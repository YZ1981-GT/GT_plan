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9060"/>
  </bookViews>
  <sheets>
    <sheet name="基本信息表" sheetId="1" r:id="rId1"/>
    <sheet name="投资明细-成本法和公允值" sheetId="5" r:id="rId2"/>
    <sheet name="投资明细-权益法" sheetId="12" r:id="rId3"/>
    <sheet name="净资产表" sheetId="6" r:id="rId4"/>
    <sheet name="净资产表_股比变1次" sheetId="19" r:id="rId5"/>
    <sheet name="净资产表_股比变2次" sheetId="22" r:id="rId6"/>
    <sheet name="净资产表_股比变3次" sheetId="23" r:id="rId7"/>
    <sheet name="模拟权益法" sheetId="13" r:id="rId8"/>
    <sheet name="合并抵消分录" sheetId="15" r:id="rId9"/>
    <sheet name="资本公积变动" sheetId="17"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_.dbf">#REF!</definedName>
    <definedName name="_00510">#REF!</definedName>
    <definedName name="_1、">#REF!</definedName>
    <definedName name="_1、受本循环影响的相关交易和账户余额">#REF!</definedName>
    <definedName name="_13">#REF!</definedName>
    <definedName name="_1w6_">#REF!</definedName>
    <definedName name="_1固定资产数据库_筛选打印">#REF!</definedName>
    <definedName name="_2、主要业务活动">#REF!</definedName>
    <definedName name="_2、注册会计师通常应在本循环中了解与上述业务活动相关的内部控制_如果计划在其他业务循环中对上述">#REF!</definedName>
    <definedName name="_2其他资产_开办费除外_明细表">#REF!</definedName>
    <definedName name="_3余额表_一级_.dbf">#REF!</definedName>
    <definedName name="_DAT1">#REF!</definedName>
    <definedName name="_DAT10">#REF!</definedName>
    <definedName name="_DAT11">#REF!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xlnm._FilterDatabase" hidden="1">#REF!</definedName>
    <definedName name="_YE1">#REF!</definedName>
    <definedName name="_YS1">#REF!</definedName>
    <definedName name="_YS2">'[1]YS02-02'!#REF!</definedName>
    <definedName name="a">#REF!</definedName>
    <definedName name="a1c1">#REF!,#REF!</definedName>
    <definedName name="aa">#REF!</definedName>
    <definedName name="aaa">#REF!</definedName>
    <definedName name="AFV" hidden="1">#REF!</definedName>
    <definedName name="agmmt">#REF!</definedName>
    <definedName name="agmt">#REF!</definedName>
    <definedName name="agmt1">#REF!</definedName>
    <definedName name="al">#REF!</definedName>
    <definedName name="AS2DocOpenMode" hidden="1">"AS2DocumentEdit"</definedName>
    <definedName name="avg_days">[2]Sheet3!$A$2</definedName>
    <definedName name="a暗暗">[3]企业表一!$F$20</definedName>
    <definedName name="b">#REF!</definedName>
    <definedName name="BD">#REF!</definedName>
    <definedName name="beg_day">#REF!</definedName>
    <definedName name="beg_day1">#REF!</definedName>
    <definedName name="bs" hidden="1">{#N/A,#N/A,FALSE,"BBPREP"}</definedName>
    <definedName name="bs_1" hidden="1">{#N/A,#N/A,FALSE,"BBPREP"}</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ount">#REF!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data1">[4]B!#REF!</definedName>
    <definedName name="data2">[4]B!#REF!</definedName>
    <definedName name="data3">[4]B!#REF!</definedName>
    <definedName name="Database">#REF!</definedName>
    <definedName name="Database1">[5]B!#REF!</definedName>
    <definedName name="datarange">#REF!</definedName>
    <definedName name="DEX" hidden="1">#REF!</definedName>
    <definedName name="EDC" hidden="1">#REF!</definedName>
    <definedName name="Effective_Tax_Rate">#REF!</definedName>
    <definedName name="end_day">#REF!</definedName>
    <definedName name="ewefw">#REF!</definedName>
    <definedName name="ExRate">#REF!</definedName>
    <definedName name="FAD" hidden="1">[6]Breakdown!#REF!</definedName>
    <definedName name="FASD" hidden="1">#REF!</definedName>
    <definedName name="FEDC" hidden="1">'[7]2004'!#REF!</definedName>
    <definedName name="ffd">[3]企业表一!$E$20</definedName>
    <definedName name="fffdfdfd">#REF!</definedName>
    <definedName name="fix2000.dbf">#REF!</definedName>
    <definedName name="fixlj2000.dbf">#REF!</definedName>
    <definedName name="fl">#REF!</definedName>
    <definedName name="fp">#REF!</definedName>
    <definedName name="frst">#REF!,#REF!</definedName>
    <definedName name="fu">#REF!</definedName>
    <definedName name="instalment">#REF!</definedName>
    <definedName name="interest">#REF!</definedName>
    <definedName name="interest_income">#REF!</definedName>
    <definedName name="kk">#REF!</definedName>
    <definedName name="Known">#REF!</definedName>
    <definedName name="KnownTable">#REF!</definedName>
    <definedName name="KnownTitle">#REF!</definedName>
    <definedName name="last">#REF!</definedName>
    <definedName name="Likely1">#REF!</definedName>
    <definedName name="Likely2">#REF!</definedName>
    <definedName name="LikelyTable1">#REF!</definedName>
    <definedName name="LikelyTable2">#REF!</definedName>
    <definedName name="LikelyTitle">#REF!</definedName>
    <definedName name="m">#REF!</definedName>
    <definedName name="Materiality">#REF!</definedName>
    <definedName name="method">#REF!</definedName>
    <definedName name="Monetary_Precision">#REF!</definedName>
    <definedName name="n">#REF!</definedName>
    <definedName name="neeeeee">#REF!</definedName>
    <definedName name="new">'[8]A430'!$A$3:$H$48</definedName>
    <definedName name="neww">'[9]loan database'!$A$1:$M$2736</definedName>
    <definedName name="newww">'[9]loan database'!$A$1:$M$2736</definedName>
    <definedName name="newwww">#REF!</definedName>
    <definedName name="newwwwwww">#REF!</definedName>
    <definedName name="no_inst">#REF!</definedName>
    <definedName name="no_pay">#REF!</definedName>
    <definedName name="NvsASD">"V2001-12-31"</definedName>
    <definedName name="NvsAutoDrillOk">"VN"</definedName>
    <definedName name="NvsElapsedTime">0.000181828705535736</definedName>
    <definedName name="NvsEndTime">37274.7274061343</definedName>
    <definedName name="NvsInstSpec">"%"</definedName>
    <definedName name="NvsLayoutType">"M3"</definedName>
    <definedName name="NvsPanelEffdt">"V1900-01-01"</definedName>
    <definedName name="NvsPanelSetid">"VFCMNY"</definedName>
    <definedName name="NvsReqBU">"VFCMHK"</definedName>
    <definedName name="NvsReqBUOnly">"VY"</definedName>
    <definedName name="NvsTransLed">"VN"</definedName>
    <definedName name="NvsTreeASD">"V2001-12-31"</definedName>
    <definedName name="NvsValTbl.ACCOUNT">"GL_ACCOUNT_TBL"</definedName>
    <definedName name="OC_Instruction">#REF!</definedName>
    <definedName name="oo">#REF!</definedName>
    <definedName name="OtherConditions">#REF!</definedName>
    <definedName name="pp">#REF!</definedName>
    <definedName name="Pre_tax_materiality">#REF!</definedName>
    <definedName name="Precision">#REF!</definedName>
    <definedName name="_xlnm.Print_Titles">#REF!</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#REF!</definedName>
    <definedName name="QC_Instruction">#REF!</definedName>
    <definedName name="qq">#REF!</definedName>
    <definedName name="qqq">#REF!</definedName>
    <definedName name="qqqqqq">#REF!</definedName>
    <definedName name="Qualitative1">#REF!</definedName>
    <definedName name="Qualitative2">#REF!</definedName>
    <definedName name="Qualitative3">#REF!</definedName>
    <definedName name="QualitativeTextBox">#REF!</definedName>
    <definedName name="rate">#REF!</definedName>
    <definedName name="RDES" hidden="1">#REF!</definedName>
    <definedName name="sa">#REF!</definedName>
    <definedName name="schedule">#REF!</definedName>
    <definedName name="SM_CurrentYearHyplnk">#REF!</definedName>
    <definedName name="SM_PriorYearHyplnk">#REF!</definedName>
    <definedName name="SM_WholeSheet">#REF!</definedName>
    <definedName name="SOD">#REF!</definedName>
    <definedName name="src">#REF!</definedName>
    <definedName name="sssc">#REF!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blFund">#REF!</definedName>
    <definedName name="terms">#REF!</definedName>
    <definedName name="test\">#REF!</definedName>
    <definedName name="TEST1">#REF!</definedName>
    <definedName name="TESTHKEY">#REF!</definedName>
    <definedName name="TESTKEYS">#REF!</definedName>
    <definedName name="TESTVKEY">#REF!</definedName>
    <definedName name="TextRefCopy1">#REF!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UFPrn20001231102643">#REF!</definedName>
    <definedName name="UFPrn20020120153922">#REF!</definedName>
    <definedName name="UFPrn20040112204621">#REF!</definedName>
    <definedName name="UFPrn20040112204659">#REF!</definedName>
    <definedName name="UFPrn20040112204721">#REF!</definedName>
    <definedName name="UFPrn20040112204802">#REF!</definedName>
    <definedName name="UFPrn20040112204848">#REF!</definedName>
    <definedName name="UFPrn20040112204938">#REF!</definedName>
    <definedName name="UFPrn20040112205009">#REF!</definedName>
    <definedName name="UFPrn20040112205036">#REF!</definedName>
    <definedName name="UFPrn20040112205154">#REF!</definedName>
    <definedName name="UFPrn20040112205239">#REF!</definedName>
    <definedName name="UFPrn20040112214910">#REF!</definedName>
    <definedName name="UFPrn20051027160140">#REF!</definedName>
    <definedName name="UFPrn20051027172739">#REF!</definedName>
    <definedName name="UFPrn20051103141418">#REF!</definedName>
    <definedName name="UFPrn20060721155740">#REF!</definedName>
    <definedName name="UFPrn20071205095615">#REF!</definedName>
    <definedName name="UFPrn20071205103259">#REF!</definedName>
    <definedName name="UFPrn20071205103331">#REF!</definedName>
    <definedName name="UFPrn20071205103404">#REF!</definedName>
    <definedName name="UFPrn20071205103449">#REF!</definedName>
    <definedName name="UFPrn20071205103544">#REF!</definedName>
    <definedName name="UFPrn20071205103726">#REF!</definedName>
    <definedName name="UFPrn20071205103910">#REF!</definedName>
    <definedName name="UFPrn20071205104255">#REF!</definedName>
    <definedName name="UFPrn20071205104641">#REF!</definedName>
    <definedName name="VFE" hidden="1">#REF!</definedName>
    <definedName name="vvv">'[10]E1020'!#REF!</definedName>
    <definedName name="w">#REF!</definedName>
    <definedName name="werf">#REF!</definedName>
    <definedName name="werfwe">#REF!</definedName>
    <definedName name="wqqq">#REF!</definedName>
    <definedName name="ww">#REF!</definedName>
    <definedName name="wws">#REF!</definedName>
    <definedName name="www">#REF!</definedName>
    <definedName name="x">#REF!</definedName>
    <definedName name="XAP" hidden="1">#REF!</definedName>
    <definedName name="XAQ" hidden="1">#REF!</definedName>
    <definedName name="XCD" hidden="1">#REF!</definedName>
    <definedName name="XREF_COLUMN_1" hidden="1">#REF!</definedName>
    <definedName name="XREF_COLUMN_2" hidden="1">[6]Breakdown!#REF!</definedName>
    <definedName name="XREF_COLUMN_3" hidden="1">#REF!</definedName>
    <definedName name="XREF_COLUMN_5" hidden="1">'[7]2004'!#REF!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xw9949xw">#REF!</definedName>
    <definedName name="xxs">#REF!</definedName>
    <definedName name="YE">#REF!</definedName>
    <definedName name="year_end">[2]Sheet3!$A$1</definedName>
    <definedName name="z">#REF!</definedName>
    <definedName name="zjgch2000.dbf">#REF!</definedName>
    <definedName name="zsw">#REF!</definedName>
    <definedName name="zz">#REF!</definedName>
    <definedName name="zzz">#REF!</definedName>
    <definedName name="暗暗审">'[3]M-5A'!$B$10</definedName>
    <definedName name="八">#REF!</definedName>
    <definedName name="保管费清单">#REF!</definedName>
    <definedName name="本循环科目" hidden="1">[11]索引!$D$15:$D$76</definedName>
    <definedName name="编号">#REF!</definedName>
    <definedName name="编制">[12]表头!$B$3</definedName>
    <definedName name="不使用">#REF!</definedName>
    <definedName name="财务费用.dbf">#REF!</definedName>
    <definedName name="查询3">#REF!</definedName>
    <definedName name="陈勇">#REF!</definedName>
    <definedName name="存货93期初">[13]企业表一!$C$7</definedName>
    <definedName name="存货93期末">[13]企业表一!$D$7</definedName>
    <definedName name="存货94期初">[13]企业表一!$E$7</definedName>
    <definedName name="存货94期末">[13]企业表一!$F$7</definedName>
    <definedName name="存货95期初">[13]企业表一!$G$7</definedName>
    <definedName name="存货95期末">[13]企业表一!$H$7</definedName>
    <definedName name="待处理固定资产净损失明细表">#REF!</definedName>
    <definedName name="待摊费用.dbf">#REF!</definedName>
    <definedName name="当前明细帐">#REF!</definedName>
    <definedName name="底稿目录" hidden="1">#REF!</definedName>
    <definedName name="短期">#REF!</definedName>
    <definedName name="短期借款.dbf">#REF!</definedName>
    <definedName name="短期投资_债券_明细表">#REF!</definedName>
    <definedName name="二">#REF!</definedName>
    <definedName name="发生额及余额表">#REF!</definedName>
    <definedName name="负债合计93期末">[13]企业表一!$D$17</definedName>
    <definedName name="负债合计94期末">[13]企业表一!$F$17</definedName>
    <definedName name="负债合计95期末">[13]企业表一!$H$17</definedName>
    <definedName name="复核">[12]表头!$B$4</definedName>
    <definedName name="固定资产.dbf">#REF!</definedName>
    <definedName name="固定资产及累计折旧明细帐">#REF!</definedName>
    <definedName name="管理费用明细表">#REF!</definedName>
    <definedName name="合并价差明细表">#REF!</definedName>
    <definedName name="和">#REF!</definedName>
    <definedName name="核算项目明细账_1133">#REF!</definedName>
    <definedName name="核算项目明细账_122">#REF!</definedName>
    <definedName name="核算项目明细账_1603">#REF!</definedName>
    <definedName name="汇率">#REF!</definedName>
    <definedName name="会计分录序时簿">#REF!</definedName>
    <definedName name="计划">#REF!</definedName>
    <definedName name="截止">[12]表头!$B$2</definedName>
    <definedName name="净_利_润93">'[13]M-5C'!$B$24</definedName>
    <definedName name="净_利_润94">'[13]M-5C'!$D$24</definedName>
    <definedName name="净_利_润95">'[13]M-5C'!$F$24</definedName>
    <definedName name="净资产合计93期初">[13]企业表一!$C$20</definedName>
    <definedName name="净资产合计93期末">[13]企业表一!$D$20</definedName>
    <definedName name="净资产合计94期初">[13]企业表一!$E$20</definedName>
    <definedName name="净资产合计94期末">[13]企业表一!$F$20</definedName>
    <definedName name="净资产合计95期初">[13]企业表一!$G$20</definedName>
    <definedName name="净资产合计95期末">[13]企业表一!$H$20</definedName>
    <definedName name="开办费明细表">#REF!</definedName>
    <definedName name="客户">[12]表头!$B$1</definedName>
    <definedName name="累计折旧明细表">#REF!</definedName>
    <definedName name="累计折旧余额表.dbf">#REF!</definedName>
    <definedName name="利_润_总_额93">'[13]M-5A'!$B$10</definedName>
    <definedName name="利_润_总_额94">'[13]M-5A'!$C$10</definedName>
    <definedName name="利_润_总_额95">'[13]M-5A'!$D$10</definedName>
    <definedName name="流_动_资_产93">'[13]M-5A'!$B$15</definedName>
    <definedName name="流_动_资_产94">'[13]M-5A'!$C$15</definedName>
    <definedName name="流_动_资_产95">'[13]M-5A'!$D$15</definedName>
    <definedName name="流动负债93期末">[13]企业表一!$D$15</definedName>
    <definedName name="流动负债94期末">[13]企业表一!$F$15</definedName>
    <definedName name="流动负债95期末">[13]企业表一!$H$15</definedName>
    <definedName name="六">#REF!</definedName>
    <definedName name="Recorder">#REF!</definedName>
    <definedName name="孟傻">#REF!</definedName>
    <definedName name="明细分类账">#REF!</definedName>
    <definedName name="明细账">#REF!</definedName>
    <definedName name="盘点">#REF!</definedName>
    <definedName name="七">#REF!</definedName>
    <definedName name="其他货币资金明细表">#REF!</definedName>
    <definedName name="其他未交款明细表">#REF!</definedName>
    <definedName name="其他业务收入.dbf">#REF!</definedName>
    <definedName name="其他业务支出.dbf">#REF!</definedName>
    <definedName name="其他应付款明细表">#REF!</definedName>
    <definedName name="其他应收款明细表">#REF!</definedName>
    <definedName name="去" hidden="1">#REF!</definedName>
    <definedName name="全球">#REF!</definedName>
    <definedName name="日期">#REF!</definedName>
    <definedName name="日期1">[12]表头!$B$5</definedName>
    <definedName name="日期2">[12]表头!$B$6</definedName>
    <definedName name="三">#REF!</definedName>
    <definedName name="上海中星_集团_公司开发产品明细表">#REF!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6">#REF!</definedName>
    <definedName name="生产期7">#REF!</definedName>
    <definedName name="生产期8">#REF!</definedName>
    <definedName name="生产期9">#REF!</definedName>
    <definedName name="四">#REF!</definedName>
    <definedName name="速_动_资_产93">'[13]M-5A'!$B$14</definedName>
    <definedName name="速_动_资_产94">'[13]M-5A'!$C$14</definedName>
    <definedName name="速_动_资_产95">'[13]M-5A'!$D$14</definedName>
    <definedName name="损益余额表.dbf">#REF!</definedName>
    <definedName name="委托贷款.dbf">#REF!</definedName>
    <definedName name="未交税金明细表">#REF!</definedName>
    <definedName name="未完流水帐">#REF!</definedName>
    <definedName name="无对应明细表的报表项目">#REF!</definedName>
    <definedName name="五">#REF!</definedName>
    <definedName name="新目录" hidden="1">#REF!</definedName>
    <definedName name="徐雯990720">#REF!</definedName>
    <definedName name="一">#REF!</definedName>
    <definedName name="应付福利费.dbf">#REF!</definedName>
    <definedName name="应付工资.dbf">#REF!</definedName>
    <definedName name="应付票据明细表">#REF!</definedName>
    <definedName name="应收帐款93期初">[13]企业表一!$C$6</definedName>
    <definedName name="应收帐款93期末">[13]企业表一!$D$6</definedName>
    <definedName name="应收帐款94期初">[13]企业表一!$E$6</definedName>
    <definedName name="应收帐款94期末">[13]企业表一!$F$6</definedName>
    <definedName name="应收帐款95期初">[13]企业表一!$G$6</definedName>
    <definedName name="应收帐款95期末">[13]企业表一!$H$6</definedName>
    <definedName name="营业外支出明细表">#REF!</definedName>
    <definedName name="余额表.dbf">#REF!</definedName>
    <definedName name="预付帐款明细表">#REF!</definedName>
    <definedName name="预收货款明细表">#REF!</definedName>
    <definedName name="预提费用明细表">#REF!</definedName>
    <definedName name="在建工程.dbf">#REF!</definedName>
    <definedName name="制造费用11">#REF!</definedName>
    <definedName name="资产合计93期初">[13]企业表一!$C$14</definedName>
    <definedName name="资产合计93期末">[13]企业表一!$D$14</definedName>
    <definedName name="资产合计94期初">[13]企业表一!$E$14</definedName>
    <definedName name="资产合计94期末">[13]企业表一!$F$14</definedName>
    <definedName name="资产合计95期初">[13]企业表一!$G$14</definedName>
    <definedName name="资产合计95期末">[13]企业表一!$H$14</definedName>
    <definedName name="_xlnm.Print_Area" localSheetId="0">基本信息表!$A$1:$X$14</definedName>
    <definedName name="_xlnm.Print_Area" localSheetId="1">'投资明细-成本法和公允值'!$A$1:$V$14</definedName>
    <definedName name="_xlnm.Print_Area" localSheetId="3">净资产表!$A$1:$I$1</definedName>
    <definedName name="_xlnm.Print_Area" localSheetId="2">'投资明细-权益法'!$A$1:$V$12</definedName>
    <definedName name="_xlnm.Print_Area" localSheetId="4">净资产表_股比变1次!$A$1:$B$1</definedName>
    <definedName name="_xlnm.Print_Area" localSheetId="5">净资产表_股比变2次!$A$1:$B$1</definedName>
    <definedName name="_xlnm.Print_Area" localSheetId="6">净资产表_股比变3次!$A$1:$B$1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杨志</author>
  </authors>
  <commentList>
    <comment ref="L2" authorId="0">
      <text>
        <r>
          <rPr>
            <b/>
            <sz val="9"/>
            <rFont val="宋体"/>
            <charset val="134"/>
          </rPr>
          <t>杨志:</t>
        </r>
        <r>
          <rPr>
            <sz val="9"/>
            <rFont val="宋体"/>
            <charset val="134"/>
          </rPr>
          <t xml:space="preserve">
这个间接持股的家数取决于前面基础表中有多少个不同单位对同一家进行持股，触发条件未基础表信息。
</t>
        </r>
      </text>
    </comment>
    <comment ref="G30" authorId="0">
      <text>
        <r>
          <rPr>
            <b/>
            <sz val="9"/>
            <rFont val="宋体"/>
            <charset val="134"/>
          </rPr>
          <t>杨志:</t>
        </r>
        <r>
          <rPr>
            <sz val="9"/>
            <rFont val="宋体"/>
            <charset val="134"/>
          </rPr>
          <t xml:space="preserve">
若股本或资本公积在变动的时候未进行模拟，则需要考虑此处影响</t>
        </r>
      </text>
    </comment>
    <comment ref="G31" authorId="0">
      <text>
        <r>
          <rPr>
            <b/>
            <sz val="9"/>
            <rFont val="宋体"/>
            <charset val="134"/>
          </rPr>
          <t>杨志:</t>
        </r>
        <r>
          <rPr>
            <sz val="9"/>
            <rFont val="宋体"/>
            <charset val="134"/>
          </rPr>
          <t xml:space="preserve">
同上</t>
        </r>
      </text>
    </comment>
  </commentList>
</comments>
</file>

<file path=xl/comments2.xml><?xml version="1.0" encoding="utf-8"?>
<comments xmlns="http://schemas.openxmlformats.org/spreadsheetml/2006/main">
  <authors>
    <author>杨志</author>
  </authors>
  <commentList>
    <comment ref="H30" authorId="0">
      <text>
        <r>
          <rPr>
            <b/>
            <sz val="9"/>
            <rFont val="宋体"/>
            <charset val="134"/>
          </rPr>
          <t>杨志:</t>
        </r>
        <r>
          <rPr>
            <sz val="9"/>
            <rFont val="宋体"/>
            <charset val="134"/>
          </rPr>
          <t xml:space="preserve">
若股本或资本公积在变动的时候未进行模拟，则需要考虑此处影响</t>
        </r>
      </text>
    </comment>
    <comment ref="H31" authorId="0">
      <text>
        <r>
          <rPr>
            <b/>
            <sz val="9"/>
            <rFont val="宋体"/>
            <charset val="134"/>
          </rPr>
          <t>杨志:</t>
        </r>
        <r>
          <rPr>
            <sz val="9"/>
            <rFont val="宋体"/>
            <charset val="134"/>
          </rPr>
          <t xml:space="preserve">
同上</t>
        </r>
      </text>
    </comment>
  </commentList>
</comments>
</file>

<file path=xl/comments3.xml><?xml version="1.0" encoding="utf-8"?>
<comments xmlns="http://schemas.openxmlformats.org/spreadsheetml/2006/main">
  <authors>
    <author>杨志</author>
  </authors>
  <commentList>
    <comment ref="R2" authorId="0">
      <text>
        <r>
          <rPr>
            <b/>
            <sz val="9"/>
            <rFont val="宋体"/>
            <charset val="134"/>
          </rPr>
          <t>杨志:</t>
        </r>
        <r>
          <rPr>
            <sz val="9"/>
            <rFont val="宋体"/>
            <charset val="134"/>
          </rPr>
          <t xml:space="preserve">
这个间接持股的家数取决于前面基础表中有多少个不同单位对同一家进行持股，触发条件未基础表信息。</t>
        </r>
      </text>
    </comment>
    <comment ref="I30" authorId="0">
      <text>
        <r>
          <rPr>
            <b/>
            <sz val="9"/>
            <rFont val="宋体"/>
            <charset val="134"/>
          </rPr>
          <t>杨志:</t>
        </r>
        <r>
          <rPr>
            <sz val="9"/>
            <rFont val="宋体"/>
            <charset val="134"/>
          </rPr>
          <t xml:space="preserve">
若股本或资本公积在变动的时候未进行模拟，则需要考虑此处影响</t>
        </r>
      </text>
    </comment>
    <comment ref="I31" authorId="0">
      <text>
        <r>
          <rPr>
            <b/>
            <sz val="9"/>
            <rFont val="宋体"/>
            <charset val="134"/>
          </rPr>
          <t>杨志:</t>
        </r>
        <r>
          <rPr>
            <sz val="9"/>
            <rFont val="宋体"/>
            <charset val="134"/>
          </rPr>
          <t xml:space="preserve">
同上</t>
        </r>
      </text>
    </comment>
  </commentList>
</comments>
</file>

<file path=xl/comments4.xml><?xml version="1.0" encoding="utf-8"?>
<comments xmlns="http://schemas.openxmlformats.org/spreadsheetml/2006/main">
  <authors>
    <author>杨志</author>
  </authors>
  <commentList>
    <comment ref="B17" authorId="0">
      <text>
        <r>
          <rPr>
            <b/>
            <sz val="9"/>
            <rFont val="宋体"/>
            <charset val="134"/>
          </rPr>
          <t>杨志:</t>
        </r>
        <r>
          <rPr>
            <sz val="9"/>
            <rFont val="宋体"/>
            <charset val="134"/>
          </rPr>
          <t xml:space="preserve">
这里如果股比发生变动的单位，可直接从前面变动的表中取数，而不像其他未变动的单位直接在本表内进行计算，需要跳出本表的计算逻辑。间接的交叉模拟逻辑类似，他也需要有个逻辑，若多家单位对同一家单位同时持股，需要在下面同时弹窗一套的底稿计算过程，跟上面第一次的相同。</t>
        </r>
      </text>
    </comment>
    <comment ref="E25" authorId="0">
      <text>
        <r>
          <rPr>
            <b/>
            <sz val="9"/>
            <rFont val="宋体"/>
            <charset val="134"/>
          </rPr>
          <t>杨志:</t>
        </r>
        <r>
          <rPr>
            <sz val="9"/>
            <rFont val="宋体"/>
            <charset val="134"/>
          </rPr>
          <t xml:space="preserve">
若股本或资本公积在变动的时候未进行模拟，则需要考虑此处影响</t>
        </r>
      </text>
    </comment>
    <comment ref="E26" authorId="0">
      <text>
        <r>
          <rPr>
            <b/>
            <sz val="9"/>
            <rFont val="宋体"/>
            <charset val="134"/>
          </rPr>
          <t>杨志:</t>
        </r>
        <r>
          <rPr>
            <sz val="9"/>
            <rFont val="宋体"/>
            <charset val="134"/>
          </rPr>
          <t xml:space="preserve">
同上</t>
        </r>
      </text>
    </comment>
    <comment ref="B34" authorId="0">
      <text>
        <r>
          <rPr>
            <b/>
            <sz val="9"/>
            <rFont val="宋体"/>
            <charset val="134"/>
          </rPr>
          <t>杨志:</t>
        </r>
        <r>
          <rPr>
            <sz val="9"/>
            <rFont val="宋体"/>
            <charset val="134"/>
          </rPr>
          <t xml:space="preserve">
仅在当期股比有变动的单位才需要有数，数字取自股比变动表的结果</t>
        </r>
      </text>
    </comment>
    <comment ref="D46" authorId="0">
      <text>
        <r>
          <rPr>
            <b/>
            <sz val="9"/>
            <rFont val="宋体"/>
            <charset val="134"/>
          </rPr>
          <t>杨志:</t>
        </r>
        <r>
          <rPr>
            <sz val="9"/>
            <rFont val="宋体"/>
            <charset val="134"/>
          </rPr>
          <t xml:space="preserve">
可以取本企业直接下属2级节点的单位的报表中权益金额，也可取前面股权无变动或有变动的对应的相应单位期末权益金额</t>
        </r>
      </text>
    </comment>
    <comment ref="E83" authorId="0">
      <text>
        <r>
          <rPr>
            <b/>
            <sz val="9"/>
            <rFont val="宋体"/>
            <charset val="134"/>
          </rPr>
          <t>杨志:</t>
        </r>
        <r>
          <rPr>
            <sz val="9"/>
            <rFont val="宋体"/>
            <charset val="134"/>
          </rPr>
          <t xml:space="preserve">
若股本或资本公积在变动的时候未进行模拟，则需要考虑此处影响</t>
        </r>
      </text>
    </comment>
    <comment ref="E84" authorId="0">
      <text>
        <r>
          <rPr>
            <b/>
            <sz val="9"/>
            <rFont val="宋体"/>
            <charset val="134"/>
          </rPr>
          <t>杨志:</t>
        </r>
        <r>
          <rPr>
            <sz val="9"/>
            <rFont val="宋体"/>
            <charset val="134"/>
          </rPr>
          <t xml:space="preserve">
同上</t>
        </r>
      </text>
    </comment>
    <comment ref="B109" authorId="0">
      <text>
        <r>
          <rPr>
            <b/>
            <sz val="9"/>
            <rFont val="宋体"/>
            <charset val="134"/>
          </rPr>
          <t>杨志:</t>
        </r>
        <r>
          <rPr>
            <sz val="9"/>
            <rFont val="宋体"/>
            <charset val="134"/>
          </rPr>
          <t xml:space="preserve">
这里还有个逻辑是，如果投资单位已采取权益法核算，那前面就不需要在模拟，直接取他前面基础表中的信息即可，核对后供后续抵消用。</t>
        </r>
      </text>
    </comment>
    <comment ref="D114" authorId="0">
      <text>
        <r>
          <rPr>
            <b/>
            <sz val="9"/>
            <rFont val="宋体"/>
            <charset val="134"/>
          </rPr>
          <t>杨志:</t>
        </r>
        <r>
          <rPr>
            <sz val="9"/>
            <rFont val="宋体"/>
            <charset val="134"/>
          </rPr>
          <t xml:space="preserve">
可以取本企业直接下属2级节点的单位的报表中权益金额，也可取前面股权无变动或有变动的对应的相应单位期末权益金额</t>
        </r>
      </text>
    </comment>
    <comment ref="A121" authorId="0">
      <text>
        <r>
          <rPr>
            <b/>
            <sz val="9"/>
            <rFont val="宋体"/>
            <charset val="134"/>
          </rPr>
          <t>杨志:</t>
        </r>
        <r>
          <rPr>
            <sz val="9"/>
            <rFont val="宋体"/>
            <charset val="134"/>
          </rPr>
          <t xml:space="preserve">
这里的触发类似与股比变动的批注，这个间接持股的家数取决于前面基础表中有多少个不同单位对同一家进行持股，触发条件未基础表信息。
</t>
        </r>
      </text>
    </comment>
    <comment ref="E152" authorId="0">
      <text>
        <r>
          <rPr>
            <b/>
            <sz val="9"/>
            <rFont val="宋体"/>
            <charset val="134"/>
          </rPr>
          <t>杨志:</t>
        </r>
        <r>
          <rPr>
            <sz val="9"/>
            <rFont val="宋体"/>
            <charset val="134"/>
          </rPr>
          <t xml:space="preserve">
若股本或资本公积在变动的时候未进行模拟，则需要考虑此处影响</t>
        </r>
      </text>
    </comment>
    <comment ref="E153" authorId="0">
      <text>
        <r>
          <rPr>
            <b/>
            <sz val="9"/>
            <rFont val="宋体"/>
            <charset val="134"/>
          </rPr>
          <t>杨志:</t>
        </r>
        <r>
          <rPr>
            <sz val="9"/>
            <rFont val="宋体"/>
            <charset val="134"/>
          </rPr>
          <t xml:space="preserve">
同上</t>
        </r>
      </text>
    </comment>
    <comment ref="D183" authorId="0">
      <text>
        <r>
          <rPr>
            <b/>
            <sz val="9"/>
            <rFont val="宋体"/>
            <charset val="134"/>
          </rPr>
          <t>杨志:</t>
        </r>
        <r>
          <rPr>
            <sz val="9"/>
            <rFont val="宋体"/>
            <charset val="134"/>
          </rPr>
          <t xml:space="preserve">
可以取本企业直接下属2级节点的单位的报表中权益金额，也可取前面股权无变动或有变动的对应的相应单位期末权益金额</t>
        </r>
      </text>
    </comment>
  </commentList>
</comments>
</file>

<file path=xl/comments5.xml><?xml version="1.0" encoding="utf-8"?>
<comments xmlns="http://schemas.openxmlformats.org/spreadsheetml/2006/main">
  <authors>
    <author>杨志</author>
  </authors>
  <commentList>
    <comment ref="F26" authorId="0">
      <text>
        <r>
          <rPr>
            <b/>
            <sz val="9"/>
            <rFont val="宋体"/>
            <charset val="134"/>
          </rPr>
          <t>杨志:</t>
        </r>
        <r>
          <rPr>
            <sz val="9"/>
            <rFont val="宋体"/>
            <charset val="134"/>
          </rPr>
          <t xml:space="preserve">
此处注意单位顺序</t>
        </r>
      </text>
    </comment>
  </commentList>
</comments>
</file>

<file path=xl/sharedStrings.xml><?xml version="1.0" encoding="utf-8"?>
<sst xmlns="http://schemas.openxmlformats.org/spreadsheetml/2006/main" count="1624" uniqueCount="252">
  <si>
    <t>合并范围内的子企业基本信息表</t>
  </si>
  <si>
    <t>序号</t>
  </si>
  <si>
    <t>最终控制方合并范围内的子企业名称</t>
  </si>
  <si>
    <t>企业代码</t>
  </si>
  <si>
    <t>核算科目
（长投、可供、交易性等）</t>
  </si>
  <si>
    <t>核算方式
（长投可分成本法、权益法）</t>
  </si>
  <si>
    <t>持股比例变动情况</t>
  </si>
  <si>
    <t>当期新增</t>
  </si>
  <si>
    <t>当期减少</t>
  </si>
  <si>
    <t>购买日</t>
  </si>
  <si>
    <t>合并类型</t>
  </si>
  <si>
    <t>首次合并日</t>
  </si>
  <si>
    <t>涉及合并</t>
  </si>
  <si>
    <t>不涉及合并</t>
  </si>
  <si>
    <t>合并范围内投资情况</t>
  </si>
  <si>
    <t>出表日后减持情况</t>
  </si>
  <si>
    <t>是否变动</t>
  </si>
  <si>
    <t>变动次数</t>
  </si>
  <si>
    <t>非同一控制首次合并</t>
  </si>
  <si>
    <t>同一控制首次合并</t>
  </si>
  <si>
    <t>投资成本</t>
  </si>
  <si>
    <t>持股比例</t>
  </si>
  <si>
    <t>首次出表日情况</t>
  </si>
  <si>
    <t>出表日前减持情况</t>
  </si>
  <si>
    <t>首次出表日</t>
  </si>
  <si>
    <t>投资减少金额</t>
  </si>
  <si>
    <t>是否有减持</t>
  </si>
  <si>
    <t>减持次数</t>
  </si>
  <si>
    <r>
      <rPr>
        <sz val="10"/>
        <rFont val="宋体"/>
        <charset val="134"/>
      </rPr>
      <t>单位</t>
    </r>
    <r>
      <rPr>
        <sz val="10"/>
        <rFont val="Arial Narrow"/>
        <charset val="134"/>
      </rPr>
      <t>1</t>
    </r>
  </si>
  <si>
    <r>
      <rPr>
        <sz val="10"/>
        <rFont val="宋体"/>
        <charset val="134"/>
      </rPr>
      <t>单位</t>
    </r>
    <r>
      <rPr>
        <sz val="10"/>
        <rFont val="Arial Narrow"/>
        <charset val="134"/>
      </rPr>
      <t>2</t>
    </r>
  </si>
  <si>
    <r>
      <rPr>
        <sz val="10"/>
        <rFont val="宋体"/>
        <charset val="134"/>
      </rPr>
      <t>单位</t>
    </r>
    <r>
      <rPr>
        <sz val="10"/>
        <rFont val="Arial Narrow"/>
        <charset val="134"/>
      </rPr>
      <t>3</t>
    </r>
  </si>
  <si>
    <r>
      <rPr>
        <sz val="10"/>
        <rFont val="宋体"/>
        <charset val="134"/>
      </rPr>
      <t>单位</t>
    </r>
    <r>
      <rPr>
        <sz val="10"/>
        <rFont val="Arial Narrow"/>
        <charset val="134"/>
      </rPr>
      <t>4</t>
    </r>
  </si>
  <si>
    <t>……</t>
  </si>
  <si>
    <t>小计</t>
  </si>
  <si>
    <t>下拉选项</t>
  </si>
  <si>
    <t>长期股权投资</t>
  </si>
  <si>
    <t>成本法</t>
  </si>
  <si>
    <t>是</t>
  </si>
  <si>
    <t>同控</t>
  </si>
  <si>
    <t>可供出售金融资产</t>
  </si>
  <si>
    <t>权益法</t>
  </si>
  <si>
    <t>否</t>
  </si>
  <si>
    <t>非同控</t>
  </si>
  <si>
    <t>交易性金融资产</t>
  </si>
  <si>
    <t>公允价值</t>
  </si>
  <si>
    <t>其他权益工具投资</t>
  </si>
  <si>
    <t>其他非流动金融资产</t>
  </si>
  <si>
    <t>其他非流动资产</t>
  </si>
  <si>
    <t>合并范围内的子企业明细</t>
  </si>
  <si>
    <t>（含非长投列报的所有合并范围内的企业，权益法核算的长投见下表）</t>
  </si>
  <si>
    <r>
      <rPr>
        <b/>
        <sz val="10"/>
        <rFont val="宋体"/>
        <charset val="134"/>
      </rPr>
      <t>本期现金红利</t>
    </r>
  </si>
  <si>
    <t>期初余额</t>
  </si>
  <si>
    <t>本期增加</t>
  </si>
  <si>
    <t>本期减少</t>
  </si>
  <si>
    <t>期末余额</t>
  </si>
  <si>
    <t>投资比例</t>
  </si>
  <si>
    <t>金额</t>
  </si>
  <si>
    <t>减值准备金额</t>
  </si>
  <si>
    <t>长投净额</t>
  </si>
  <si>
    <t>减值准备</t>
  </si>
  <si>
    <t>投资成本金额</t>
  </si>
  <si>
    <t>成本法小计</t>
  </si>
  <si>
    <t>--</t>
  </si>
  <si>
    <t>说明：如果单位涉及公允值计量，需同步填投资比例、投资成本金额和公允价值，无需填写减值准备。</t>
  </si>
  <si>
    <t>按权益法核算的长期股权投资</t>
  </si>
  <si>
    <t>被投资单位名称</t>
  </si>
  <si>
    <t>长投金额</t>
  </si>
  <si>
    <t>投资成本增加</t>
  </si>
  <si>
    <t>权益增加</t>
  </si>
  <si>
    <t>其他</t>
  </si>
  <si>
    <t>投资成本减少</t>
  </si>
  <si>
    <t>本期分回利润</t>
  </si>
  <si>
    <t>损益调整</t>
  </si>
  <si>
    <t>其他综合收益</t>
  </si>
  <si>
    <t>其他权益变动</t>
  </si>
  <si>
    <t>权益增加小计</t>
  </si>
  <si>
    <t>合并范围内的子企业净资产和损益变动表</t>
  </si>
  <si>
    <t>项目</t>
  </si>
  <si>
    <t>合计</t>
  </si>
  <si>
    <t>母公司</t>
  </si>
  <si>
    <r>
      <rPr>
        <sz val="10"/>
        <rFont val="宋体"/>
        <charset val="134"/>
      </rPr>
      <t>单位</t>
    </r>
    <r>
      <rPr>
        <sz val="10"/>
        <rFont val="Arial Narrow"/>
        <charset val="134"/>
      </rPr>
      <t>5</t>
    </r>
  </si>
  <si>
    <r>
      <rPr>
        <sz val="10"/>
        <rFont val="宋体"/>
        <charset val="134"/>
      </rPr>
      <t>单位</t>
    </r>
    <r>
      <rPr>
        <sz val="10"/>
        <rFont val="Arial Narrow"/>
        <charset val="134"/>
      </rPr>
      <t>6</t>
    </r>
  </si>
  <si>
    <t>持股比例%</t>
  </si>
  <si>
    <t>所有者权益/股东权益</t>
  </si>
  <si>
    <t>期初合计：</t>
  </si>
  <si>
    <t>实收资本（或股本）</t>
  </si>
  <si>
    <t>其他权益工具</t>
  </si>
  <si>
    <t>资本公积</t>
  </si>
  <si>
    <t>减：库存股</t>
  </si>
  <si>
    <t>专项储备</t>
  </si>
  <si>
    <t>盈余公积</t>
  </si>
  <si>
    <t>△一般风险准备</t>
  </si>
  <si>
    <t>未分配利润</t>
  </si>
  <si>
    <t>期末金额</t>
  </si>
  <si>
    <t>利润及利润分配表</t>
  </si>
  <si>
    <t>一、期初金额</t>
  </si>
  <si>
    <t>二、本年增减变动金额</t>
  </si>
  <si>
    <t>（一）综合收益总额</t>
  </si>
  <si>
    <t>其中：当期归母净利润</t>
  </si>
  <si>
    <t>（二）所有者投入和减少资本</t>
  </si>
  <si>
    <r>
      <rPr>
        <sz val="10"/>
        <rFont val="Arial Narrow"/>
        <charset val="134"/>
      </rPr>
      <t>2-1</t>
    </r>
    <r>
      <rPr>
        <sz val="10"/>
        <rFont val="宋体"/>
        <charset val="134"/>
      </rPr>
      <t>所有者投入的普通股</t>
    </r>
  </si>
  <si>
    <r>
      <rPr>
        <sz val="10"/>
        <rFont val="Arial Narrow"/>
        <charset val="134"/>
      </rPr>
      <t>2-2</t>
    </r>
    <r>
      <rPr>
        <sz val="10"/>
        <rFont val="宋体"/>
        <charset val="134"/>
      </rPr>
      <t>其他权益工具持有者投入资本</t>
    </r>
  </si>
  <si>
    <r>
      <rPr>
        <sz val="10"/>
        <rFont val="Arial Narrow"/>
        <charset val="134"/>
      </rPr>
      <t>2-3</t>
    </r>
    <r>
      <rPr>
        <sz val="10"/>
        <rFont val="宋体"/>
        <charset val="134"/>
      </rPr>
      <t>股份支付计入所有者权益的金额</t>
    </r>
  </si>
  <si>
    <r>
      <rPr>
        <sz val="10"/>
        <rFont val="Arial Narrow"/>
        <charset val="134"/>
      </rPr>
      <t>2-4</t>
    </r>
    <r>
      <rPr>
        <sz val="10"/>
        <rFont val="宋体"/>
        <charset val="134"/>
      </rPr>
      <t>其他</t>
    </r>
  </si>
  <si>
    <t>（三）专项储备提取和使用</t>
  </si>
  <si>
    <t>3-1提取专项储备</t>
  </si>
  <si>
    <t>3-2使用专项储备</t>
  </si>
  <si>
    <t>（四）利润分配</t>
  </si>
  <si>
    <r>
      <rPr>
        <sz val="10"/>
        <rFont val="Arial Narrow"/>
        <charset val="134"/>
      </rPr>
      <t>4-1</t>
    </r>
    <r>
      <rPr>
        <sz val="10"/>
        <rFont val="宋体"/>
        <charset val="134"/>
      </rPr>
      <t>提取盈余公积</t>
    </r>
  </si>
  <si>
    <r>
      <rPr>
        <sz val="10"/>
        <rFont val="Arial Narrow"/>
        <charset val="134"/>
      </rPr>
      <t>4-1-1</t>
    </r>
    <r>
      <rPr>
        <sz val="10"/>
        <rFont val="宋体"/>
        <charset val="134"/>
      </rPr>
      <t>法定公积金</t>
    </r>
  </si>
  <si>
    <r>
      <rPr>
        <sz val="10"/>
        <rFont val="Arial Narrow"/>
        <charset val="134"/>
      </rPr>
      <t>4-1-2</t>
    </r>
    <r>
      <rPr>
        <sz val="10"/>
        <rFont val="宋体"/>
        <charset val="134"/>
      </rPr>
      <t>任意公积金</t>
    </r>
  </si>
  <si>
    <r>
      <rPr>
        <sz val="10"/>
        <rFont val="Arial Narrow"/>
        <charset val="134"/>
      </rPr>
      <t>4-1-3#</t>
    </r>
    <r>
      <rPr>
        <sz val="10"/>
        <rFont val="宋体"/>
        <charset val="134"/>
      </rPr>
      <t>储备基金</t>
    </r>
  </si>
  <si>
    <r>
      <rPr>
        <sz val="10"/>
        <rFont val="Arial Narrow"/>
        <charset val="134"/>
      </rPr>
      <t>4-1-4#</t>
    </r>
    <r>
      <rPr>
        <sz val="10"/>
        <rFont val="宋体"/>
        <charset val="134"/>
      </rPr>
      <t>企业发展基金</t>
    </r>
  </si>
  <si>
    <r>
      <rPr>
        <sz val="10"/>
        <rFont val="Arial Narrow"/>
        <charset val="134"/>
      </rPr>
      <t xml:space="preserve"> 4-1-5#</t>
    </r>
    <r>
      <rPr>
        <sz val="10"/>
        <rFont val="宋体"/>
        <charset val="134"/>
      </rPr>
      <t>利润归还投资</t>
    </r>
  </si>
  <si>
    <r>
      <rPr>
        <sz val="10"/>
        <rFont val="Arial Narrow"/>
        <charset val="134"/>
      </rPr>
      <t>4-2</t>
    </r>
    <r>
      <rPr>
        <sz val="10"/>
        <rFont val="宋体"/>
        <charset val="134"/>
      </rPr>
      <t>△提取一般风险准备</t>
    </r>
  </si>
  <si>
    <r>
      <rPr>
        <sz val="10"/>
        <rFont val="Arial Narrow"/>
        <charset val="134"/>
      </rPr>
      <t>4-3</t>
    </r>
    <r>
      <rPr>
        <sz val="10"/>
        <rFont val="宋体"/>
        <charset val="134"/>
      </rPr>
      <t>对所有者（或股东）的分配</t>
    </r>
  </si>
  <si>
    <t>4-4其他</t>
  </si>
  <si>
    <t>（五）所有者权益内部结转</t>
  </si>
  <si>
    <t>5-1资本公积转增资本（或股本）</t>
  </si>
  <si>
    <t>5-2盈余公积转增资本（或股本）</t>
  </si>
  <si>
    <t>5-3弥补亏损</t>
  </si>
  <si>
    <t>5-4 设定受益计划变动额结转留存收益</t>
  </si>
  <si>
    <t>5-5其他综合收益结转留存收益</t>
  </si>
  <si>
    <t>5-6其他</t>
  </si>
  <si>
    <t>三、本年年末余额</t>
  </si>
  <si>
    <t>资本公积变动表</t>
  </si>
  <si>
    <t>期初金额</t>
  </si>
  <si>
    <t>其中：国有独享资本公积</t>
  </si>
  <si>
    <t>本期变动</t>
  </si>
  <si>
    <t>其中：资本溢价</t>
  </si>
  <si>
    <t>其他资本公积</t>
  </si>
  <si>
    <t>国有独享资本公积</t>
  </si>
  <si>
    <t>单位名称</t>
  </si>
  <si>
    <t>变动前</t>
  </si>
  <si>
    <t>变动后</t>
  </si>
  <si>
    <t>直接持股权益法模拟</t>
  </si>
  <si>
    <t>间接持股权益法模拟</t>
  </si>
  <si>
    <t>间接持股权益法模拟-单位2</t>
  </si>
  <si>
    <t>间接持股权益法模拟-单位3</t>
  </si>
  <si>
    <t>单位7</t>
  </si>
  <si>
    <t>单位甲</t>
  </si>
  <si>
    <t>单位乙</t>
  </si>
  <si>
    <t>单位丙</t>
  </si>
  <si>
    <t>变动月份</t>
  </si>
  <si>
    <t>一级科目</t>
  </si>
  <si>
    <t>二级明细</t>
  </si>
  <si>
    <t>1.基础信息整理</t>
  </si>
  <si>
    <t>借方</t>
  </si>
  <si>
    <t>贷方</t>
  </si>
  <si>
    <t>2.权益法模拟</t>
  </si>
  <si>
    <t>2.1权益法模拟期初</t>
  </si>
  <si>
    <t>年初未分配利润</t>
  </si>
  <si>
    <t>...</t>
  </si>
  <si>
    <t>2.2权益法模拟当期变动</t>
  </si>
  <si>
    <t>投资收益</t>
  </si>
  <si>
    <r>
      <rPr>
        <sz val="11"/>
        <rFont val="Arial Narrow"/>
        <charset val="134"/>
      </rPr>
      <t>2-3</t>
    </r>
    <r>
      <rPr>
        <sz val="11"/>
        <rFont val="宋体"/>
        <charset val="134"/>
      </rPr>
      <t>股份支付计入所有者权益的金额</t>
    </r>
  </si>
  <si>
    <r>
      <rPr>
        <sz val="11"/>
        <rFont val="Arial Narrow"/>
        <charset val="134"/>
      </rPr>
      <t>2-4</t>
    </r>
    <r>
      <rPr>
        <sz val="11"/>
        <rFont val="宋体"/>
        <charset val="134"/>
      </rPr>
      <t>其他</t>
    </r>
  </si>
  <si>
    <r>
      <rPr>
        <sz val="11"/>
        <rFont val="Arial Narrow"/>
        <charset val="134"/>
      </rPr>
      <t>4-3</t>
    </r>
    <r>
      <rPr>
        <sz val="11"/>
        <rFont val="宋体"/>
        <charset val="134"/>
      </rPr>
      <t>对所有者的分配</t>
    </r>
  </si>
  <si>
    <r>
      <rPr>
        <sz val="11"/>
        <rFont val="Arial Narrow"/>
        <charset val="134"/>
      </rPr>
      <t>4-4</t>
    </r>
    <r>
      <rPr>
        <sz val="11"/>
        <rFont val="宋体"/>
        <charset val="134"/>
      </rPr>
      <t>其他</t>
    </r>
  </si>
  <si>
    <r>
      <rPr>
        <sz val="11"/>
        <rFont val="Arial Narrow"/>
        <charset val="134"/>
      </rPr>
      <t>3.</t>
    </r>
    <r>
      <rPr>
        <sz val="11"/>
        <rFont val="宋体"/>
        <charset val="134"/>
      </rPr>
      <t>分红影响考虑</t>
    </r>
  </si>
  <si>
    <t>需考虑分红时间，前or后</t>
  </si>
  <si>
    <r>
      <rPr>
        <sz val="11"/>
        <rFont val="Arial Narrow"/>
        <charset val="134"/>
      </rPr>
      <t>4.</t>
    </r>
    <r>
      <rPr>
        <sz val="11"/>
        <rFont val="宋体"/>
        <charset val="134"/>
      </rPr>
      <t>调整股比变动对享有净资产的影响</t>
    </r>
  </si>
  <si>
    <t>模拟长期股权投资</t>
  </si>
  <si>
    <t>资产减值准备</t>
  </si>
  <si>
    <r>
      <rPr>
        <sz val="11"/>
        <rFont val="Arial Narrow"/>
        <charset val="134"/>
      </rPr>
      <t>2-1</t>
    </r>
    <r>
      <rPr>
        <sz val="11"/>
        <rFont val="宋体"/>
        <charset val="134"/>
      </rPr>
      <t>所有者投入的普通股</t>
    </r>
  </si>
  <si>
    <r>
      <rPr>
        <sz val="11"/>
        <rFont val="Arial Narrow"/>
        <charset val="134"/>
      </rPr>
      <t>2-2</t>
    </r>
    <r>
      <rPr>
        <sz val="11"/>
        <rFont val="宋体"/>
        <charset val="134"/>
      </rPr>
      <t>其他权益工具持有者投入资本</t>
    </r>
  </si>
  <si>
    <t>按比例享有净资产</t>
  </si>
  <si>
    <t>差异金额（按比例享有净资产-模拟后长投）</t>
  </si>
  <si>
    <t>差异原因</t>
  </si>
  <si>
    <r>
      <rPr>
        <sz val="11"/>
        <rFont val="Arial Narrow"/>
        <charset val="134"/>
      </rPr>
      <t>3-1</t>
    </r>
    <r>
      <rPr>
        <sz val="11"/>
        <rFont val="宋体"/>
        <charset val="134"/>
      </rPr>
      <t>提取专项储备</t>
    </r>
  </si>
  <si>
    <r>
      <rPr>
        <sz val="11"/>
        <rFont val="Arial Narrow"/>
        <charset val="134"/>
      </rPr>
      <t>3-2</t>
    </r>
    <r>
      <rPr>
        <sz val="11"/>
        <rFont val="宋体"/>
        <charset val="134"/>
      </rPr>
      <t>使用专项储备</t>
    </r>
  </si>
  <si>
    <r>
      <rPr>
        <sz val="11"/>
        <rFont val="Arial Narrow"/>
        <charset val="134"/>
      </rPr>
      <t>4-1</t>
    </r>
    <r>
      <rPr>
        <sz val="11"/>
        <rFont val="宋体"/>
        <charset val="134"/>
      </rPr>
      <t>提取盈余公积</t>
    </r>
  </si>
  <si>
    <r>
      <rPr>
        <sz val="11"/>
        <rFont val="Arial Narrow"/>
        <charset val="134"/>
      </rPr>
      <t>4-1-1</t>
    </r>
    <r>
      <rPr>
        <sz val="11"/>
        <rFont val="宋体"/>
        <charset val="134"/>
      </rPr>
      <t>法定公积金</t>
    </r>
  </si>
  <si>
    <r>
      <rPr>
        <sz val="11"/>
        <rFont val="Arial Narrow"/>
        <charset val="134"/>
      </rPr>
      <t>4-1-2</t>
    </r>
    <r>
      <rPr>
        <sz val="11"/>
        <rFont val="宋体"/>
        <charset val="134"/>
      </rPr>
      <t>任意公积金</t>
    </r>
  </si>
  <si>
    <r>
      <rPr>
        <sz val="11"/>
        <rFont val="Arial Narrow"/>
        <charset val="134"/>
      </rPr>
      <t>4-1-3#</t>
    </r>
    <r>
      <rPr>
        <sz val="11"/>
        <rFont val="宋体"/>
        <charset val="134"/>
      </rPr>
      <t>储备基金</t>
    </r>
  </si>
  <si>
    <r>
      <rPr>
        <sz val="11"/>
        <rFont val="Arial Narrow"/>
        <charset val="134"/>
      </rPr>
      <t>4-1-4#</t>
    </r>
    <r>
      <rPr>
        <sz val="11"/>
        <rFont val="宋体"/>
        <charset val="134"/>
      </rPr>
      <t>企业发展基金</t>
    </r>
  </si>
  <si>
    <r>
      <rPr>
        <sz val="11"/>
        <rFont val="Arial Narrow"/>
        <charset val="134"/>
      </rPr>
      <t xml:space="preserve"> 4-1-5#</t>
    </r>
    <r>
      <rPr>
        <sz val="11"/>
        <rFont val="宋体"/>
        <charset val="134"/>
      </rPr>
      <t>利润归还投资</t>
    </r>
  </si>
  <si>
    <r>
      <rPr>
        <sz val="11"/>
        <rFont val="Arial Narrow"/>
        <charset val="134"/>
      </rPr>
      <t>4-2</t>
    </r>
    <r>
      <rPr>
        <sz val="11"/>
        <rFont val="宋体"/>
        <charset val="134"/>
      </rPr>
      <t>△提取一般风险准备</t>
    </r>
  </si>
  <si>
    <r>
      <rPr>
        <sz val="11"/>
        <rFont val="Arial Narrow"/>
        <charset val="134"/>
      </rPr>
      <t>4-3</t>
    </r>
    <r>
      <rPr>
        <sz val="11"/>
        <rFont val="宋体"/>
        <charset val="134"/>
      </rPr>
      <t>对所有者（或股东）的分配</t>
    </r>
  </si>
  <si>
    <r>
      <rPr>
        <sz val="11"/>
        <rFont val="Arial Narrow"/>
        <charset val="134"/>
      </rPr>
      <t>5-1</t>
    </r>
    <r>
      <rPr>
        <sz val="11"/>
        <rFont val="宋体"/>
        <charset val="134"/>
      </rPr>
      <t>资本公积转增资本（或股本）</t>
    </r>
  </si>
  <si>
    <r>
      <rPr>
        <sz val="11"/>
        <rFont val="Arial Narrow"/>
        <charset val="134"/>
      </rPr>
      <t>5-2</t>
    </r>
    <r>
      <rPr>
        <sz val="11"/>
        <rFont val="宋体"/>
        <charset val="134"/>
      </rPr>
      <t>盈余公积转增资本（或股本）</t>
    </r>
  </si>
  <si>
    <r>
      <rPr>
        <sz val="11"/>
        <rFont val="Arial Narrow"/>
        <charset val="134"/>
      </rPr>
      <t>5-3</t>
    </r>
    <r>
      <rPr>
        <sz val="11"/>
        <rFont val="宋体"/>
        <charset val="134"/>
      </rPr>
      <t>弥补亏损</t>
    </r>
  </si>
  <si>
    <r>
      <rPr>
        <sz val="11"/>
        <rFont val="Arial Narrow"/>
        <charset val="134"/>
      </rPr>
      <t xml:space="preserve">5-4 </t>
    </r>
    <r>
      <rPr>
        <sz val="11"/>
        <rFont val="宋体"/>
        <charset val="134"/>
      </rPr>
      <t>设定受益计划变动额结转留存收益</t>
    </r>
  </si>
  <si>
    <r>
      <rPr>
        <sz val="11"/>
        <rFont val="Arial Narrow"/>
        <charset val="134"/>
      </rPr>
      <t>5-5</t>
    </r>
    <r>
      <rPr>
        <sz val="11"/>
        <rFont val="宋体"/>
        <charset val="134"/>
      </rPr>
      <t>其他综合收益结转留存收益</t>
    </r>
  </si>
  <si>
    <r>
      <rPr>
        <sz val="11"/>
        <rFont val="Arial Narrow"/>
        <charset val="134"/>
      </rPr>
      <t>5-6</t>
    </r>
    <r>
      <rPr>
        <sz val="11"/>
        <rFont val="宋体"/>
        <charset val="134"/>
      </rPr>
      <t>其他</t>
    </r>
  </si>
  <si>
    <t>单位8</t>
  </si>
  <si>
    <t>第1次</t>
  </si>
  <si>
    <t>第2次</t>
  </si>
  <si>
    <t>第1次变动后</t>
  </si>
  <si>
    <t>第2次变动后</t>
  </si>
  <si>
    <t>第3次</t>
  </si>
  <si>
    <t>第3次变动后</t>
  </si>
  <si>
    <t>模拟权益法调整表</t>
  </si>
  <si>
    <t>借贷方向</t>
  </si>
  <si>
    <r>
      <rPr>
        <sz val="11"/>
        <rFont val="宋体"/>
        <charset val="134"/>
      </rPr>
      <t>单位</t>
    </r>
    <r>
      <rPr>
        <sz val="11"/>
        <rFont val="Arial Narrow"/>
        <charset val="134"/>
      </rPr>
      <t>1</t>
    </r>
  </si>
  <si>
    <r>
      <rPr>
        <sz val="11"/>
        <rFont val="宋体"/>
        <charset val="134"/>
      </rPr>
      <t>单位</t>
    </r>
    <r>
      <rPr>
        <sz val="11"/>
        <rFont val="Arial Narrow"/>
        <charset val="134"/>
      </rPr>
      <t>2</t>
    </r>
  </si>
  <si>
    <r>
      <rPr>
        <sz val="11"/>
        <rFont val="宋体"/>
        <charset val="134"/>
      </rPr>
      <t>单位</t>
    </r>
    <r>
      <rPr>
        <sz val="11"/>
        <rFont val="Arial Narrow"/>
        <charset val="134"/>
      </rPr>
      <t>3</t>
    </r>
  </si>
  <si>
    <r>
      <rPr>
        <sz val="11"/>
        <rFont val="宋体"/>
        <charset val="134"/>
      </rPr>
      <t>单位</t>
    </r>
    <r>
      <rPr>
        <sz val="11"/>
        <rFont val="Arial Narrow"/>
        <charset val="134"/>
      </rPr>
      <t>4</t>
    </r>
  </si>
  <si>
    <r>
      <rPr>
        <sz val="11"/>
        <rFont val="宋体"/>
        <charset val="134"/>
      </rPr>
      <t>单位</t>
    </r>
    <r>
      <rPr>
        <sz val="11"/>
        <rFont val="Arial Narrow"/>
        <charset val="134"/>
      </rPr>
      <t>5</t>
    </r>
  </si>
  <si>
    <r>
      <rPr>
        <sz val="11"/>
        <rFont val="宋体"/>
        <charset val="134"/>
      </rPr>
      <t>单位</t>
    </r>
    <r>
      <rPr>
        <sz val="11"/>
        <rFont val="Arial Narrow"/>
        <charset val="134"/>
      </rPr>
      <t>6</t>
    </r>
  </si>
  <si>
    <t>期末持股比例</t>
  </si>
  <si>
    <r>
      <rPr>
        <sz val="11"/>
        <rFont val="宋体"/>
        <charset val="134"/>
      </rPr>
      <t>持股比例</t>
    </r>
    <r>
      <rPr>
        <sz val="11"/>
        <rFont val="Arial Narrow"/>
        <charset val="134"/>
      </rPr>
      <t>%</t>
    </r>
  </si>
  <si>
    <t>1.直接长期股权投资权益法模拟</t>
  </si>
  <si>
    <t>期初长投模拟</t>
  </si>
  <si>
    <t>借</t>
  </si>
  <si>
    <t>贷</t>
  </si>
  <si>
    <t>模拟当期长期股权投资</t>
  </si>
  <si>
    <t>还原分红影响</t>
  </si>
  <si>
    <t>股比发生变动对享有净资产的影响</t>
  </si>
  <si>
    <t>模拟后期末长期股权投资</t>
  </si>
  <si>
    <t>比对</t>
  </si>
  <si>
    <t>期末所有者权益金额</t>
  </si>
  <si>
    <t>商誉金额</t>
  </si>
  <si>
    <t>差异金额</t>
  </si>
  <si>
    <t>按比例享有净资产-长投</t>
  </si>
  <si>
    <t>分析过程简要注明</t>
  </si>
  <si>
    <t>单位A</t>
  </si>
  <si>
    <t>2.间接/交叉持股权益法模拟</t>
  </si>
  <si>
    <t>需要按信息表中提取</t>
  </si>
  <si>
    <t>期初长投还原</t>
  </si>
  <si>
    <t>公允值</t>
  </si>
  <si>
    <t>△（公允值-投资成本）</t>
  </si>
  <si>
    <r>
      <rPr>
        <sz val="11"/>
        <rFont val="宋体"/>
        <charset val="134"/>
      </rPr>
      <t>△（可供</t>
    </r>
    <r>
      <rPr>
        <sz val="11"/>
        <rFont val="Arial Narrow"/>
        <charset val="134"/>
      </rPr>
      <t>-</t>
    </r>
    <r>
      <rPr>
        <sz val="11"/>
        <rFont val="宋体"/>
        <charset val="134"/>
      </rPr>
      <t>投资成本）</t>
    </r>
  </si>
  <si>
    <t>少数股东损益</t>
  </si>
  <si>
    <t>当期变动的长投还原</t>
  </si>
  <si>
    <r>
      <rPr>
        <sz val="11"/>
        <rFont val="宋体"/>
        <charset val="134"/>
      </rPr>
      <t>△（可供/其他</t>
    </r>
    <r>
      <rPr>
        <sz val="11"/>
        <rFont val="Arial Narrow"/>
        <charset val="134"/>
      </rPr>
      <t>-</t>
    </r>
    <r>
      <rPr>
        <sz val="11"/>
        <rFont val="宋体"/>
        <charset val="134"/>
      </rPr>
      <t>投资成本）</t>
    </r>
  </si>
  <si>
    <t>当期模拟的净资产明细变动</t>
  </si>
  <si>
    <t>单位B</t>
  </si>
  <si>
    <t>想在下面增加对上面所有分录的汇总，可以按科目进行汇总一个大分录。</t>
  </si>
  <si>
    <t>合并抵消分录明细表</t>
  </si>
  <si>
    <t>期末权益抵消</t>
  </si>
  <si>
    <t>商誉</t>
  </si>
  <si>
    <t>少数股东权益</t>
  </si>
  <si>
    <t>当期损益抵消</t>
  </si>
  <si>
    <t>少数股权损益</t>
  </si>
  <si>
    <r>
      <rPr>
        <sz val="11"/>
        <rFont val="Arial Narrow"/>
        <charset val="134"/>
      </rPr>
      <t>4-1-5#</t>
    </r>
    <r>
      <rPr>
        <sz val="11"/>
        <rFont val="宋体"/>
        <charset val="134"/>
      </rPr>
      <t>利润归还投资</t>
    </r>
  </si>
  <si>
    <t>交叉持股的权益和损益抵消</t>
  </si>
  <si>
    <t>少数股权权益</t>
  </si>
  <si>
    <t>抵销后的少数股东权益</t>
  </si>
  <si>
    <t>合并抵消环节产生</t>
  </si>
  <si>
    <t>抵销后的少数股东损益</t>
  </si>
  <si>
    <t>资本公积变动核查表</t>
  </si>
  <si>
    <t>合并抵消环节</t>
  </si>
  <si>
    <t>涂黑色为锁定，不让填充</t>
  </si>
  <si>
    <t>当期变动</t>
  </si>
  <si>
    <t>"+权益法模拟</t>
  </si>
  <si>
    <t>"-合并抵消数</t>
  </si>
  <si>
    <t>"+自身报表变动</t>
  </si>
  <si>
    <t>期末合并报表金额</t>
  </si>
  <si>
    <t>取自合并后财务报表期末数</t>
  </si>
  <si>
    <t>差异</t>
  </si>
  <si>
    <t>合并抵消环节调整事项如下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</si>
</sst>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3">
    <font>
      <sz val="12"/>
      <name val="宋体"/>
      <charset val="134"/>
    </font>
    <font>
      <b/>
      <sz val="12"/>
      <name val="宋体"/>
      <charset val="134"/>
    </font>
    <font>
      <sz val="11"/>
      <name val="宋体"/>
      <charset val="134"/>
    </font>
    <font>
      <sz val="11"/>
      <name val="Arial Narrow"/>
      <charset val="134"/>
    </font>
    <font>
      <strike/>
      <sz val="12"/>
      <name val="宋体"/>
      <charset val="134"/>
    </font>
    <font>
      <b/>
      <sz val="11"/>
      <name val="宋体"/>
      <charset val="134"/>
    </font>
    <font>
      <b/>
      <sz val="11"/>
      <name val="Arial Narrow"/>
      <charset val="134"/>
    </font>
    <font>
      <b/>
      <i/>
      <sz val="11"/>
      <name val="宋体"/>
      <charset val="134"/>
    </font>
    <font>
      <b/>
      <i/>
      <sz val="11"/>
      <name val="Arial Narrow"/>
      <charset val="134"/>
    </font>
    <font>
      <b/>
      <u/>
      <sz val="11"/>
      <name val="宋体"/>
      <charset val="134"/>
    </font>
    <font>
      <sz val="12"/>
      <name val="Arial Narrow"/>
      <charset val="134"/>
    </font>
    <font>
      <sz val="10"/>
      <name val="Arial Narrow"/>
      <charset val="134"/>
    </font>
    <font>
      <sz val="10"/>
      <name val="宋体"/>
      <charset val="134"/>
    </font>
    <font>
      <b/>
      <sz val="10"/>
      <name val="宋体"/>
      <charset val="134"/>
    </font>
    <font>
      <b/>
      <i/>
      <sz val="10"/>
      <name val="宋体"/>
      <charset val="134"/>
    </font>
    <font>
      <b/>
      <i/>
      <sz val="10"/>
      <name val="Arial Narrow"/>
      <charset val="134"/>
    </font>
    <font>
      <b/>
      <u/>
      <sz val="10"/>
      <name val="宋体"/>
      <charset val="134"/>
    </font>
    <font>
      <b/>
      <sz val="10"/>
      <name val="Arial Narrow"/>
      <charset val="134"/>
    </font>
    <font>
      <b/>
      <sz val="12"/>
      <name val="Arial Narrow"/>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Times New Roman"/>
      <charset val="134"/>
    </font>
    <font>
      <sz val="10"/>
      <name val="Arial"/>
      <charset val="134"/>
    </font>
    <font>
      <b/>
      <sz val="9"/>
      <name val="宋体"/>
      <charset val="134"/>
    </font>
    <font>
      <sz val="9"/>
      <name val="宋体"/>
      <charset val="134"/>
    </font>
  </fonts>
  <fills count="40">
    <fill>
      <patternFill patternType="none"/>
    </fill>
    <fill>
      <patternFill patternType="gray125"/>
    </fill>
    <fill>
      <patternFill patternType="solid">
        <fgColor theme="1" tint="0.5"/>
        <bgColor indexed="64"/>
      </patternFill>
    </fill>
    <fill>
      <patternFill patternType="solid">
        <fgColor theme="6"/>
        <bgColor indexed="64"/>
      </patternFill>
    </fill>
    <fill>
      <patternFill patternType="solid">
        <fgColor theme="8"/>
        <bgColor indexed="64"/>
      </patternFill>
    </fill>
    <fill>
      <patternFill patternType="solid">
        <fgColor theme="0" tint="-0.25"/>
        <bgColor indexed="64"/>
      </patternFill>
    </fill>
    <fill>
      <patternFill patternType="solid">
        <fgColor theme="5"/>
        <bgColor indexed="64"/>
      </patternFill>
    </fill>
    <fill>
      <patternFill patternType="solid">
        <fgColor rgb="FFFFFF00"/>
        <bgColor indexed="64"/>
      </patternFill>
    </fill>
    <fill>
      <patternFill patternType="solid">
        <fgColor theme="7" tint="0.799981688894314"/>
        <bgColor indexed="64"/>
      </patternFill>
    </fill>
    <fill>
      <patternFill patternType="solid">
        <fgColor rgb="FFFFFF99"/>
        <bgColor indexed="64"/>
      </patternFill>
    </fill>
    <fill>
      <patternFill patternType="solid">
        <fgColor theme="9" tint="0.4"/>
        <bgColor indexed="64"/>
      </patternFill>
    </fill>
    <fill>
      <patternFill patternType="solid">
        <fgColor theme="5" tint="0.4"/>
        <bgColor indexed="64"/>
      </patternFill>
    </fill>
    <fill>
      <patternFill patternType="solid">
        <fgColor theme="7"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1">
    <border>
      <left/>
      <right/>
      <top/>
      <bottom/>
      <diagonal/>
    </border>
    <border>
      <left style="hair">
        <color auto="1"/>
      </left>
      <right style="hair">
        <color auto="1"/>
      </right>
      <top style="hair">
        <color auto="1"/>
      </top>
      <bottom/>
      <diagonal/>
    </border>
    <border>
      <left style="thin">
        <color auto="1"/>
      </left>
      <right style="hair">
        <color auto="1"/>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style="hair">
        <color auto="1"/>
      </right>
      <top/>
      <bottom/>
      <diagonal/>
    </border>
    <border>
      <left/>
      <right style="hair">
        <color auto="1"/>
      </right>
      <top style="hair">
        <color auto="1"/>
      </top>
      <bottom/>
      <diagonal/>
    </border>
    <border>
      <left style="hair">
        <color auto="1"/>
      </left>
      <right style="hair">
        <color auto="1"/>
      </right>
      <top/>
      <bottom style="hair">
        <color auto="1"/>
      </bottom>
      <diagonal/>
    </border>
    <border>
      <left/>
      <right style="hair">
        <color auto="1"/>
      </right>
      <top/>
      <bottom style="hair">
        <color auto="1"/>
      </bottom>
      <diagonal/>
    </border>
    <border>
      <left style="hair">
        <color auto="1"/>
      </left>
      <right/>
      <top style="hair">
        <color auto="1"/>
      </top>
      <bottom/>
      <diagonal/>
    </border>
    <border>
      <left/>
      <right/>
      <top style="hair">
        <color auto="1"/>
      </top>
      <bottom/>
      <diagonal/>
    </border>
    <border>
      <left style="dashed">
        <color auto="1"/>
      </left>
      <right style="dashed">
        <color auto="1"/>
      </right>
      <top style="dashed">
        <color auto="1"/>
      </top>
      <bottom style="dashed">
        <color auto="1"/>
      </bottom>
      <diagonal/>
    </border>
    <border>
      <left style="hair">
        <color auto="1"/>
      </left>
      <right/>
      <top/>
      <bottom/>
      <diagonal/>
    </border>
    <border>
      <left style="hair">
        <color auto="1"/>
      </left>
      <right/>
      <top/>
      <bottom style="hair">
        <color auto="1"/>
      </bottom>
      <diagonal/>
    </border>
    <border>
      <left/>
      <right/>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style="hair">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protection locked="0"/>
    </xf>
    <xf numFmtId="43" fontId="0" fillId="0" borderId="0" applyFont="0" applyFill="0" applyBorder="0" applyAlignment="0" applyProtection="0"/>
    <xf numFmtId="44" fontId="19" fillId="0" borderId="0" applyFont="0" applyFill="0" applyBorder="0" applyAlignment="0" applyProtection="0">
      <alignment vertical="center"/>
    </xf>
    <xf numFmtId="9" fontId="0" fillId="0" borderId="0" applyFont="0" applyFill="0" applyBorder="0" applyAlignment="0" applyProtection="0"/>
    <xf numFmtId="41" fontId="19" fillId="0" borderId="0" applyFont="0" applyFill="0" applyBorder="0" applyAlignment="0" applyProtection="0">
      <alignment vertical="center"/>
    </xf>
    <xf numFmtId="42" fontId="19"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9" fillId="13" borderId="23"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24" applyNumberFormat="0" applyFill="0" applyAlignment="0" applyProtection="0">
      <alignment vertical="center"/>
    </xf>
    <xf numFmtId="0" fontId="26" fillId="0" borderId="24" applyNumberFormat="0" applyFill="0" applyAlignment="0" applyProtection="0">
      <alignment vertical="center"/>
    </xf>
    <xf numFmtId="0" fontId="27" fillId="0" borderId="25" applyNumberFormat="0" applyFill="0" applyAlignment="0" applyProtection="0">
      <alignment vertical="center"/>
    </xf>
    <xf numFmtId="0" fontId="27" fillId="0" borderId="0" applyNumberFormat="0" applyFill="0" applyBorder="0" applyAlignment="0" applyProtection="0">
      <alignment vertical="center"/>
    </xf>
    <xf numFmtId="0" fontId="28" fillId="14" borderId="26" applyNumberFormat="0" applyAlignment="0" applyProtection="0">
      <alignment vertical="center"/>
    </xf>
    <xf numFmtId="0" fontId="29" fillId="15" borderId="27" applyNumberFormat="0" applyAlignment="0" applyProtection="0">
      <alignment vertical="center"/>
    </xf>
    <xf numFmtId="0" fontId="30" fillId="15" borderId="26" applyNumberFormat="0" applyAlignment="0" applyProtection="0">
      <alignment vertical="center"/>
    </xf>
    <xf numFmtId="0" fontId="31" fillId="16" borderId="28" applyNumberFormat="0" applyAlignment="0" applyProtection="0">
      <alignment vertical="center"/>
    </xf>
    <xf numFmtId="0" fontId="32" fillId="0" borderId="29" applyNumberFormat="0" applyFill="0" applyAlignment="0" applyProtection="0">
      <alignment vertical="center"/>
    </xf>
    <xf numFmtId="0" fontId="33" fillId="0" borderId="30" applyNumberFormat="0" applyFill="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6" fillId="19" borderId="0" applyNumberFormat="0" applyBorder="0" applyAlignment="0" applyProtection="0">
      <alignment vertical="center"/>
    </xf>
    <xf numFmtId="0" fontId="37" fillId="20" borderId="0" applyNumberFormat="0" applyBorder="0" applyAlignment="0" applyProtection="0">
      <alignment vertical="center"/>
    </xf>
    <xf numFmtId="0" fontId="38" fillId="21" borderId="0" applyNumberFormat="0" applyBorder="0" applyAlignment="0" applyProtection="0">
      <alignment vertical="center"/>
    </xf>
    <xf numFmtId="0" fontId="38" fillId="22" borderId="0" applyNumberFormat="0" applyBorder="0" applyAlignment="0" applyProtection="0">
      <alignment vertical="center"/>
    </xf>
    <xf numFmtId="0" fontId="37" fillId="23" borderId="0" applyNumberFormat="0" applyBorder="0" applyAlignment="0" applyProtection="0">
      <alignment vertical="center"/>
    </xf>
    <xf numFmtId="0" fontId="37" fillId="6" borderId="0" applyNumberFormat="0" applyBorder="0" applyAlignment="0" applyProtection="0">
      <alignment vertical="center"/>
    </xf>
    <xf numFmtId="0" fontId="38" fillId="24" borderId="0" applyNumberFormat="0" applyBorder="0" applyAlignment="0" applyProtection="0">
      <alignment vertical="center"/>
    </xf>
    <xf numFmtId="0" fontId="38" fillId="25" borderId="0" applyNumberFormat="0" applyBorder="0" applyAlignment="0" applyProtection="0">
      <alignment vertical="center"/>
    </xf>
    <xf numFmtId="0" fontId="37" fillId="26" borderId="0" applyNumberFormat="0" applyBorder="0" applyAlignment="0" applyProtection="0">
      <alignment vertical="center"/>
    </xf>
    <xf numFmtId="0" fontId="37" fillId="3"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8" fillId="8" borderId="0" applyNumberFormat="0" applyBorder="0" applyAlignment="0" applyProtection="0">
      <alignment vertical="center"/>
    </xf>
    <xf numFmtId="0" fontId="38" fillId="31" borderId="0" applyNumberFormat="0" applyBorder="0" applyAlignment="0" applyProtection="0">
      <alignment vertical="center"/>
    </xf>
    <xf numFmtId="0" fontId="37" fillId="32" borderId="0" applyNumberFormat="0" applyBorder="0" applyAlignment="0" applyProtection="0">
      <alignment vertical="center"/>
    </xf>
    <xf numFmtId="0" fontId="37" fillId="4" borderId="0" applyNumberFormat="0" applyBorder="0" applyAlignment="0" applyProtection="0">
      <alignment vertical="center"/>
    </xf>
    <xf numFmtId="0" fontId="38" fillId="33" borderId="0" applyNumberFormat="0" applyBorder="0" applyAlignment="0" applyProtection="0">
      <alignment vertical="center"/>
    </xf>
    <xf numFmtId="0" fontId="38" fillId="34"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8" fillId="37" borderId="0" applyNumberFormat="0" applyBorder="0" applyAlignment="0" applyProtection="0">
      <alignment vertical="center"/>
    </xf>
    <xf numFmtId="0" fontId="38" fillId="38" borderId="0" applyNumberFormat="0" applyBorder="0" applyAlignment="0" applyProtection="0">
      <alignment vertical="center"/>
    </xf>
    <xf numFmtId="0" fontId="37" fillId="39" borderId="0" applyNumberFormat="0" applyBorder="0" applyAlignment="0" applyProtection="0">
      <alignment vertical="center"/>
    </xf>
    <xf numFmtId="0" fontId="0" fillId="0" borderId="0">
      <protection locked="0"/>
    </xf>
    <xf numFmtId="0" fontId="0" fillId="0" borderId="0">
      <alignment vertical="center"/>
    </xf>
    <xf numFmtId="0" fontId="39" fillId="0" borderId="0">
      <protection locked="0"/>
    </xf>
    <xf numFmtId="0" fontId="40" fillId="0" borderId="0"/>
    <xf numFmtId="0" fontId="0" fillId="0" borderId="0" applyNumberFormat="0" applyFill="0" applyBorder="0" applyAlignment="0" applyProtection="0"/>
    <xf numFmtId="0" fontId="0" fillId="0" borderId="0"/>
  </cellStyleXfs>
  <cellXfs count="172">
    <xf numFmtId="0" fontId="0" fillId="0" borderId="0" xfId="0">
      <protection locked="0"/>
    </xf>
    <xf numFmtId="0" fontId="1" fillId="0" borderId="0" xfId="0" applyFont="1" applyAlignment="1">
      <alignment horizontal="centerContinuous"/>
      <protection locked="0"/>
    </xf>
    <xf numFmtId="0" fontId="0" fillId="0" borderId="0" xfId="0" applyAlignment="1">
      <alignment horizontal="centerContinuous"/>
      <protection locked="0"/>
    </xf>
    <xf numFmtId="0" fontId="0" fillId="0" borderId="0" xfId="0" applyAlignment="1">
      <alignment horizontal="center" vertical="center"/>
      <protection locked="0"/>
    </xf>
    <xf numFmtId="0" fontId="2" fillId="0" borderId="0" xfId="0" applyFont="1" applyAlignment="1">
      <alignment horizontal="center" vertical="center"/>
      <protection locked="0"/>
    </xf>
    <xf numFmtId="0" fontId="3" fillId="0" borderId="0" xfId="0" applyFont="1" applyAlignment="1">
      <alignment horizontal="center" vertical="center"/>
      <protection locked="0"/>
    </xf>
    <xf numFmtId="0" fontId="4" fillId="2" borderId="0" xfId="0" applyFont="1" applyFill="1">
      <protection locked="0"/>
    </xf>
    <xf numFmtId="43" fontId="0" fillId="3" borderId="0" xfId="0" applyNumberFormat="1" applyFill="1">
      <protection locked="0"/>
    </xf>
    <xf numFmtId="0" fontId="0" fillId="0" borderId="0" xfId="0" applyAlignment="1">
      <alignment horizontal="right"/>
      <protection locked="0"/>
    </xf>
    <xf numFmtId="43" fontId="0" fillId="0" borderId="0" xfId="0" applyNumberFormat="1">
      <protection locked="0"/>
    </xf>
    <xf numFmtId="0" fontId="0" fillId="2" borderId="0" xfId="0" applyFill="1">
      <protection locked="0"/>
    </xf>
    <xf numFmtId="0" fontId="0" fillId="0" borderId="0" xfId="0" applyAlignment="1">
      <alignment horizontal="left" vertical="top"/>
      <protection locked="0"/>
    </xf>
    <xf numFmtId="0" fontId="3" fillId="4" borderId="0" xfId="0" applyFont="1" applyFill="1">
      <protection locked="0"/>
    </xf>
    <xf numFmtId="0" fontId="3" fillId="0" borderId="0" xfId="0" applyFont="1">
      <protection locked="0"/>
    </xf>
    <xf numFmtId="0" fontId="5" fillId="0" borderId="0" xfId="0" applyFont="1">
      <protection locked="0"/>
    </xf>
    <xf numFmtId="0" fontId="2" fillId="0" borderId="0" xfId="0" applyFont="1" applyAlignment="1">
      <alignment horizontal="center" vertical="center" wrapText="1"/>
      <protection locked="0"/>
    </xf>
    <xf numFmtId="0" fontId="3" fillId="0" borderId="0" xfId="0" applyFont="1" applyAlignment="1">
      <alignment horizontal="center" vertical="center" wrapText="1"/>
      <protection locked="0"/>
    </xf>
    <xf numFmtId="0" fontId="3" fillId="4" borderId="0" xfId="0" applyFont="1" applyFill="1" applyAlignment="1">
      <alignment horizontal="center" vertical="center"/>
      <protection locked="0"/>
    </xf>
    <xf numFmtId="43" fontId="3" fillId="4" borderId="0" xfId="0" applyNumberFormat="1" applyFont="1" applyFill="1" applyAlignment="1">
      <alignment vertical="center"/>
      <protection locked="0"/>
    </xf>
    <xf numFmtId="0" fontId="3" fillId="4" borderId="0" xfId="0" applyFont="1" applyFill="1" applyAlignment="1">
      <alignment horizontal="left" vertical="center"/>
      <protection locked="0"/>
    </xf>
    <xf numFmtId="0" fontId="3" fillId="4" borderId="0" xfId="0" applyFont="1" applyFill="1" applyAlignment="1">
      <alignment vertical="center"/>
      <protection locked="0"/>
    </xf>
    <xf numFmtId="0" fontId="5" fillId="5" borderId="0" xfId="0" applyFont="1" applyFill="1" applyAlignment="1">
      <alignment horizontal="left" vertical="center"/>
      <protection locked="0"/>
    </xf>
    <xf numFmtId="0" fontId="6" fillId="5" borderId="0" xfId="0" applyFont="1" applyFill="1" applyAlignment="1">
      <alignment horizontal="left" vertical="center"/>
      <protection locked="0"/>
    </xf>
    <xf numFmtId="43" fontId="2" fillId="0" borderId="0" xfId="0" applyNumberFormat="1" applyFont="1" applyAlignment="1">
      <alignment horizontal="center"/>
      <protection locked="0"/>
    </xf>
    <xf numFmtId="43" fontId="2" fillId="0" borderId="0" xfId="0" applyNumberFormat="1" applyFont="1" applyAlignment="1">
      <alignment vertical="center"/>
      <protection locked="0"/>
    </xf>
    <xf numFmtId="43" fontId="3" fillId="0" borderId="0" xfId="0" applyNumberFormat="1" applyFont="1" applyAlignment="1">
      <alignment vertical="center"/>
      <protection locked="0"/>
    </xf>
    <xf numFmtId="43" fontId="3" fillId="0" borderId="0" xfId="0" applyNumberFormat="1" applyFont="1">
      <protection locked="0"/>
    </xf>
    <xf numFmtId="43" fontId="2" fillId="0" borderId="0" xfId="0" applyNumberFormat="1" applyFont="1" applyAlignment="1">
      <alignment horizontal="right"/>
      <protection locked="0"/>
    </xf>
    <xf numFmtId="43" fontId="2" fillId="0" borderId="0" xfId="0" applyNumberFormat="1" applyFont="1" applyAlignment="1">
      <alignment horizontal="left"/>
      <protection locked="0"/>
    </xf>
    <xf numFmtId="43" fontId="3" fillId="0" borderId="0" xfId="0" applyNumberFormat="1" applyFont="1" applyAlignment="1">
      <alignment horizontal="right"/>
      <protection locked="0"/>
    </xf>
    <xf numFmtId="0" fontId="2" fillId="0" borderId="0" xfId="0" applyFont="1" applyAlignment="1">
      <alignment horizontal="right"/>
      <protection locked="0"/>
    </xf>
    <xf numFmtId="43" fontId="3" fillId="4" borderId="0" xfId="0" applyNumberFormat="1" applyFont="1" applyFill="1">
      <protection locked="0"/>
    </xf>
    <xf numFmtId="43" fontId="3" fillId="3" borderId="0" xfId="0" applyNumberFormat="1" applyFont="1" applyFill="1">
      <protection locked="0"/>
    </xf>
    <xf numFmtId="43" fontId="3" fillId="0" borderId="0" xfId="0" applyNumberFormat="1" applyFont="1" applyAlignment="1">
      <alignment horizontal="left" vertical="center"/>
      <protection locked="0"/>
    </xf>
    <xf numFmtId="0" fontId="2" fillId="0" borderId="0" xfId="0" applyFont="1" applyAlignment="1">
      <alignment vertical="center"/>
      <protection locked="0"/>
    </xf>
    <xf numFmtId="0" fontId="2" fillId="0" borderId="0" xfId="0" applyFont="1" applyAlignment="1">
      <alignment horizontal="center"/>
      <protection locked="0"/>
    </xf>
    <xf numFmtId="0" fontId="2" fillId="0" borderId="0" xfId="0" applyFont="1">
      <protection locked="0"/>
    </xf>
    <xf numFmtId="0" fontId="3" fillId="0" borderId="0" xfId="0" applyFont="1" applyAlignment="1">
      <alignment horizontal="center"/>
      <protection locked="0"/>
    </xf>
    <xf numFmtId="0" fontId="2" fillId="6" borderId="0" xfId="0" applyFont="1" applyFill="1">
      <protection locked="0"/>
    </xf>
    <xf numFmtId="0" fontId="2" fillId="4" borderId="0" xfId="0" applyFont="1" applyFill="1">
      <protection locked="0"/>
    </xf>
    <xf numFmtId="0" fontId="2" fillId="3" borderId="0" xfId="0" applyFont="1" applyFill="1">
      <protection locked="0"/>
    </xf>
    <xf numFmtId="0" fontId="2" fillId="0" borderId="0" xfId="0" applyFont="1" applyFill="1">
      <protection locked="0"/>
    </xf>
    <xf numFmtId="0" fontId="2" fillId="5" borderId="0" xfId="0" applyFont="1" applyFill="1" applyAlignment="1">
      <alignment vertical="center"/>
      <protection locked="0"/>
    </xf>
    <xf numFmtId="9" fontId="3" fillId="0" borderId="0" xfId="0" applyNumberFormat="1" applyFont="1" applyAlignment="1">
      <alignment horizontal="center" vertical="center"/>
      <protection locked="0"/>
    </xf>
    <xf numFmtId="43" fontId="2" fillId="0" borderId="0" xfId="0" applyNumberFormat="1" applyFont="1">
      <protection locked="0"/>
    </xf>
    <xf numFmtId="43" fontId="2" fillId="0" borderId="0" xfId="0" applyNumberFormat="1" applyFont="1" applyAlignment="1">
      <alignment horizontal="right" vertical="center"/>
      <protection locked="0"/>
    </xf>
    <xf numFmtId="43" fontId="3" fillId="0" borderId="0" xfId="0" applyNumberFormat="1" applyFont="1" applyAlignment="1">
      <alignment horizontal="left"/>
      <protection locked="0"/>
    </xf>
    <xf numFmtId="43" fontId="3" fillId="0" borderId="0" xfId="0" applyNumberFormat="1" applyFont="1" applyAlignment="1">
      <alignment horizontal="right" vertical="center"/>
      <protection locked="0"/>
    </xf>
    <xf numFmtId="0" fontId="2" fillId="0" borderId="0" xfId="0" applyFont="1" applyAlignment="1">
      <alignment horizontal="right" vertical="center"/>
      <protection locked="0"/>
    </xf>
    <xf numFmtId="0" fontId="3" fillId="0" borderId="0" xfId="0" applyFont="1" applyAlignment="1">
      <alignment vertical="center"/>
      <protection locked="0"/>
    </xf>
    <xf numFmtId="0" fontId="2" fillId="0" borderId="0" xfId="0" applyFont="1" applyAlignment="1">
      <alignment vertical="center" wrapText="1"/>
      <protection locked="0"/>
    </xf>
    <xf numFmtId="0" fontId="2" fillId="6" borderId="0" xfId="0" applyFont="1" applyFill="1" applyAlignment="1">
      <alignment horizontal="center" vertical="center" wrapText="1"/>
      <protection locked="0"/>
    </xf>
    <xf numFmtId="43" fontId="2" fillId="6" borderId="0" xfId="0" applyNumberFormat="1" applyFont="1" applyFill="1">
      <protection locked="0"/>
    </xf>
    <xf numFmtId="43" fontId="2" fillId="0" borderId="0" xfId="0" applyNumberFormat="1" applyFont="1" applyFill="1">
      <protection locked="0"/>
    </xf>
    <xf numFmtId="0" fontId="2" fillId="4" borderId="0" xfId="0" applyFont="1" applyFill="1" applyAlignment="1">
      <alignment vertical="center" wrapText="1"/>
      <protection locked="0"/>
    </xf>
    <xf numFmtId="0" fontId="2" fillId="3" borderId="0" xfId="0" applyFont="1" applyFill="1" applyAlignment="1">
      <alignment vertical="center" wrapText="1"/>
      <protection locked="0"/>
    </xf>
    <xf numFmtId="0" fontId="3" fillId="0" borderId="0" xfId="50" applyFont="1">
      <alignment vertical="center"/>
    </xf>
    <xf numFmtId="0" fontId="3" fillId="0" borderId="0" xfId="0" applyFont="1" applyAlignment="1">
      <alignment horizontal="left" vertical="center"/>
      <protection locked="0"/>
    </xf>
    <xf numFmtId="0" fontId="5" fillId="0" borderId="0" xfId="50" applyFont="1" applyAlignment="1">
      <alignment horizontal="center" vertical="center"/>
    </xf>
    <xf numFmtId="0" fontId="5" fillId="0" borderId="0" xfId="50" applyFont="1" applyAlignment="1">
      <alignment horizontal="centerContinuous" vertical="center"/>
    </xf>
    <xf numFmtId="0" fontId="3" fillId="0" borderId="0" xfId="50" applyFont="1" applyAlignment="1">
      <alignment horizontal="centerContinuous" vertical="center"/>
    </xf>
    <xf numFmtId="0" fontId="3" fillId="0" borderId="0" xfId="50" applyFont="1" applyAlignment="1">
      <alignment horizontal="left" vertical="center"/>
    </xf>
    <xf numFmtId="0" fontId="2" fillId="7" borderId="0" xfId="0" applyFont="1" applyFill="1" applyAlignment="1">
      <alignment horizontal="center" vertical="center"/>
      <protection locked="0"/>
    </xf>
    <xf numFmtId="0" fontId="2" fillId="0" borderId="0" xfId="0" applyFont="1" applyAlignment="1">
      <alignment horizontal="left" vertical="center"/>
      <protection locked="0"/>
    </xf>
    <xf numFmtId="43" fontId="3" fillId="3" borderId="0" xfId="0" applyNumberFormat="1" applyFont="1" applyFill="1" applyAlignment="1">
      <alignment vertical="center"/>
      <protection locked="0"/>
    </xf>
    <xf numFmtId="0" fontId="3" fillId="3" borderId="0" xfId="0" applyFont="1" applyFill="1" applyAlignment="1">
      <alignment vertical="center"/>
      <protection locked="0"/>
    </xf>
    <xf numFmtId="0" fontId="3" fillId="2" borderId="0" xfId="0" applyFont="1" applyFill="1" applyAlignment="1">
      <alignment vertical="center"/>
      <protection locked="0"/>
    </xf>
    <xf numFmtId="0" fontId="5" fillId="0" borderId="0" xfId="0" applyFont="1" applyAlignment="1">
      <alignment vertical="center"/>
      <protection locked="0"/>
    </xf>
    <xf numFmtId="0" fontId="7" fillId="0" borderId="0" xfId="0" applyFont="1" applyAlignment="1">
      <alignment vertical="center"/>
      <protection locked="0"/>
    </xf>
    <xf numFmtId="43" fontId="8" fillId="3" borderId="0" xfId="0" applyNumberFormat="1" applyFont="1" applyFill="1" applyAlignment="1">
      <alignment vertical="center"/>
      <protection locked="0"/>
    </xf>
    <xf numFmtId="0" fontId="9" fillId="0" borderId="0" xfId="0" applyFont="1" applyAlignment="1">
      <alignment vertical="center"/>
      <protection locked="0"/>
    </xf>
    <xf numFmtId="0" fontId="2" fillId="0" borderId="0" xfId="0" applyFont="1" applyAlignment="1">
      <alignment horizontal="left"/>
      <protection locked="0"/>
    </xf>
    <xf numFmtId="0" fontId="10" fillId="0" borderId="0" xfId="50" applyFont="1">
      <alignment vertical="center"/>
    </xf>
    <xf numFmtId="0" fontId="11" fillId="0" borderId="0" xfId="0" applyFont="1" applyAlignment="1">
      <alignment horizontal="center" vertical="center"/>
      <protection locked="0"/>
    </xf>
    <xf numFmtId="0" fontId="11" fillId="0" borderId="0" xfId="0" applyFont="1" applyAlignment="1">
      <alignment vertical="center"/>
      <protection locked="0"/>
    </xf>
    <xf numFmtId="0" fontId="1" fillId="0" borderId="0" xfId="50" applyFont="1" applyAlignment="1">
      <alignment horizontal="center" vertical="center"/>
    </xf>
    <xf numFmtId="0" fontId="1" fillId="0" borderId="0" xfId="50" applyFont="1" applyAlignment="1">
      <alignment horizontal="centerContinuous" vertical="center"/>
    </xf>
    <xf numFmtId="0" fontId="10" fillId="0" borderId="0" xfId="50" applyFont="1" applyAlignment="1">
      <alignment horizontal="centerContinuous" vertical="center"/>
    </xf>
    <xf numFmtId="0" fontId="12" fillId="0" borderId="0" xfId="0" applyFont="1" applyAlignment="1">
      <alignment horizontal="center" vertical="center"/>
      <protection locked="0"/>
    </xf>
    <xf numFmtId="0" fontId="12" fillId="0" borderId="0" xfId="0" applyFont="1" applyAlignment="1">
      <alignment vertical="center"/>
      <protection locked="0"/>
    </xf>
    <xf numFmtId="9" fontId="12" fillId="0" borderId="0" xfId="0" applyNumberFormat="1" applyFont="1" applyAlignment="1">
      <alignment horizontal="center" vertical="center"/>
      <protection locked="0"/>
    </xf>
    <xf numFmtId="0" fontId="12" fillId="0" borderId="0" xfId="0" applyFont="1" applyAlignment="1">
      <alignment horizontal="left" vertical="center"/>
      <protection locked="0"/>
    </xf>
    <xf numFmtId="0" fontId="13" fillId="5" borderId="0" xfId="0" applyFont="1" applyFill="1" applyAlignment="1">
      <alignment horizontal="left" vertical="center"/>
      <protection locked="0"/>
    </xf>
    <xf numFmtId="43" fontId="11" fillId="3" borderId="0" xfId="0" applyNumberFormat="1" applyFont="1" applyFill="1" applyAlignment="1">
      <alignment vertical="center"/>
      <protection locked="0"/>
    </xf>
    <xf numFmtId="43" fontId="11" fillId="3" borderId="0" xfId="0" applyNumberFormat="1" applyFont="1" applyFill="1" applyAlignment="1">
      <alignment horizontal="center" vertical="center"/>
      <protection locked="0"/>
    </xf>
    <xf numFmtId="43" fontId="11" fillId="4" borderId="0" xfId="0" applyNumberFormat="1" applyFont="1" applyFill="1" applyAlignment="1">
      <alignment vertical="center"/>
      <protection locked="0"/>
    </xf>
    <xf numFmtId="43" fontId="11" fillId="0" borderId="0" xfId="0" applyNumberFormat="1" applyFont="1" applyAlignment="1">
      <alignment vertical="center"/>
      <protection locked="0"/>
    </xf>
    <xf numFmtId="43" fontId="11" fillId="0" borderId="0" xfId="0" applyNumberFormat="1" applyFont="1" applyAlignment="1">
      <alignment horizontal="center" vertical="center"/>
      <protection locked="0"/>
    </xf>
    <xf numFmtId="0" fontId="13" fillId="0" borderId="0" xfId="0" applyFont="1" applyAlignment="1">
      <alignment vertical="center"/>
      <protection locked="0"/>
    </xf>
    <xf numFmtId="0" fontId="14" fillId="0" borderId="0" xfId="0" applyFont="1" applyAlignment="1">
      <alignment vertical="center"/>
      <protection locked="0"/>
    </xf>
    <xf numFmtId="43" fontId="15" fillId="3" borderId="0" xfId="0" applyNumberFormat="1" applyFont="1" applyFill="1" applyAlignment="1">
      <alignment vertical="center"/>
      <protection locked="0"/>
    </xf>
    <xf numFmtId="43" fontId="15" fillId="3" borderId="0" xfId="0" applyNumberFormat="1" applyFont="1" applyFill="1" applyAlignment="1">
      <alignment horizontal="center" vertical="center"/>
      <protection locked="0"/>
    </xf>
    <xf numFmtId="0" fontId="11" fillId="0" borderId="0" xfId="0" applyFont="1" applyAlignment="1">
      <alignment horizontal="left" vertical="center"/>
      <protection locked="0"/>
    </xf>
    <xf numFmtId="0" fontId="16" fillId="0" borderId="0" xfId="0" applyFont="1" applyAlignment="1">
      <alignment vertical="center"/>
      <protection locked="0"/>
    </xf>
    <xf numFmtId="0" fontId="13" fillId="0" borderId="0" xfId="0" applyFont="1" applyAlignment="1">
      <alignment horizontal="centerContinuous" vertical="center"/>
      <protection locked="0"/>
    </xf>
    <xf numFmtId="0" fontId="11" fillId="0" borderId="0" xfId="0" applyFont="1" applyAlignment="1">
      <alignment horizontal="centerContinuous" vertical="center"/>
      <protection locked="0"/>
    </xf>
    <xf numFmtId="0" fontId="17" fillId="0" borderId="0" xfId="0" applyFont="1" applyAlignment="1">
      <alignment horizontal="centerContinuous" vertical="center"/>
      <protection locked="0"/>
    </xf>
    <xf numFmtId="0" fontId="17" fillId="8" borderId="1" xfId="0" applyFont="1" applyFill="1" applyBorder="1" applyAlignment="1">
      <alignment horizontal="center" vertical="center" wrapText="1"/>
      <protection locked="0"/>
    </xf>
    <xf numFmtId="0" fontId="17" fillId="8" borderId="2" xfId="0" applyFont="1" applyFill="1" applyBorder="1" applyAlignment="1">
      <alignment horizontal="center" vertical="center"/>
      <protection locked="0"/>
    </xf>
    <xf numFmtId="0" fontId="17" fillId="8" borderId="3" xfId="0" applyFont="1" applyFill="1" applyBorder="1" applyAlignment="1">
      <alignment horizontal="center" vertical="center"/>
      <protection locked="0"/>
    </xf>
    <xf numFmtId="0" fontId="17" fillId="8" borderId="4" xfId="0" applyFont="1" applyFill="1" applyBorder="1" applyAlignment="1">
      <alignment horizontal="center" vertical="center"/>
      <protection locked="0"/>
    </xf>
    <xf numFmtId="0" fontId="17" fillId="8" borderId="5" xfId="0" applyFont="1" applyFill="1" applyBorder="1" applyAlignment="1">
      <alignment horizontal="center" vertical="center" wrapText="1"/>
      <protection locked="0"/>
    </xf>
    <xf numFmtId="0" fontId="17" fillId="8" borderId="6" xfId="0" applyFont="1" applyFill="1" applyBorder="1" applyAlignment="1">
      <alignment horizontal="center" vertical="center" wrapText="1"/>
      <protection locked="0"/>
    </xf>
    <xf numFmtId="0" fontId="17" fillId="8" borderId="3" xfId="0" applyFont="1" applyFill="1" applyBorder="1" applyAlignment="1">
      <alignment horizontal="center" vertical="center" wrapText="1"/>
      <protection locked="0"/>
    </xf>
    <xf numFmtId="0" fontId="17" fillId="8" borderId="5" xfId="0" applyFont="1" applyFill="1" applyBorder="1" applyAlignment="1">
      <alignment horizontal="center" vertical="center"/>
      <protection locked="0"/>
    </xf>
    <xf numFmtId="0" fontId="17" fillId="8" borderId="6" xfId="0" applyFont="1" applyFill="1" applyBorder="1" applyAlignment="1">
      <alignment horizontal="center" vertical="center"/>
      <protection locked="0"/>
    </xf>
    <xf numFmtId="0" fontId="17" fillId="8" borderId="7" xfId="0" applyFont="1" applyFill="1" applyBorder="1" applyAlignment="1">
      <alignment horizontal="center" vertical="center" wrapText="1"/>
      <protection locked="0"/>
    </xf>
    <xf numFmtId="0" fontId="17" fillId="8" borderId="2" xfId="0" applyFont="1" applyFill="1" applyBorder="1" applyAlignment="1">
      <alignment horizontal="center" vertical="center" wrapText="1"/>
      <protection locked="0"/>
    </xf>
    <xf numFmtId="0" fontId="13" fillId="8" borderId="8" xfId="0" applyFont="1" applyFill="1" applyBorder="1" applyAlignment="1">
      <alignment horizontal="center" vertical="center" wrapText="1"/>
      <protection locked="0"/>
    </xf>
    <xf numFmtId="0" fontId="13" fillId="8" borderId="4" xfId="0" applyFont="1" applyFill="1" applyBorder="1" applyAlignment="1">
      <alignment horizontal="center" vertical="center" wrapText="1"/>
      <protection locked="0"/>
    </xf>
    <xf numFmtId="0" fontId="17" fillId="8" borderId="4" xfId="0" applyFont="1" applyFill="1" applyBorder="1" applyAlignment="1">
      <alignment horizontal="center" vertical="center" wrapText="1"/>
      <protection locked="0"/>
    </xf>
    <xf numFmtId="0" fontId="17" fillId="8" borderId="9" xfId="0" applyFont="1" applyFill="1" applyBorder="1" applyAlignment="1">
      <alignment horizontal="center" vertical="center" wrapText="1"/>
      <protection locked="0"/>
    </xf>
    <xf numFmtId="0" fontId="17" fillId="8" borderId="10" xfId="0" applyFont="1" applyFill="1" applyBorder="1" applyAlignment="1">
      <alignment horizontal="center" vertical="center" wrapText="1"/>
      <protection locked="0"/>
    </xf>
    <xf numFmtId="0" fontId="11" fillId="0" borderId="4" xfId="0" applyFont="1" applyBorder="1" applyAlignment="1">
      <alignment horizontal="center" vertical="center" wrapText="1"/>
      <protection locked="0"/>
    </xf>
    <xf numFmtId="0" fontId="11" fillId="0" borderId="4" xfId="0" applyFont="1" applyBorder="1" applyAlignment="1">
      <alignment vertical="center"/>
      <protection locked="0"/>
    </xf>
    <xf numFmtId="43" fontId="11" fillId="0" borderId="4" xfId="0" applyNumberFormat="1" applyFont="1" applyBorder="1" applyAlignment="1">
      <alignment horizontal="justify" vertical="center" wrapText="1"/>
      <protection locked="0"/>
    </xf>
    <xf numFmtId="43" fontId="11" fillId="0" borderId="2" xfId="0" applyNumberFormat="1" applyFont="1" applyBorder="1" applyAlignment="1">
      <alignment horizontal="center" vertical="center" shrinkToFit="1"/>
      <protection locked="0"/>
    </xf>
    <xf numFmtId="43" fontId="11" fillId="0" borderId="3" xfId="0" applyNumberFormat="1" applyFont="1" applyBorder="1" applyAlignment="1">
      <alignment horizontal="center" vertical="center" shrinkToFit="1"/>
      <protection locked="0"/>
    </xf>
    <xf numFmtId="43" fontId="11" fillId="0" borderId="4" xfId="0" applyNumberFormat="1" applyFont="1" applyBorder="1" applyAlignment="1">
      <alignment horizontal="center" vertical="center" shrinkToFit="1"/>
      <protection locked="0"/>
    </xf>
    <xf numFmtId="43" fontId="11" fillId="9" borderId="4" xfId="0" applyNumberFormat="1" applyFont="1" applyFill="1" applyBorder="1" applyAlignment="1">
      <alignment horizontal="justify" vertical="center" wrapText="1"/>
      <protection locked="0"/>
    </xf>
    <xf numFmtId="10" fontId="11" fillId="9" borderId="4" xfId="3" applyNumberFormat="1" applyFont="1" applyFill="1" applyBorder="1" applyAlignment="1" applyProtection="1">
      <alignment horizontal="center" vertical="center" shrinkToFit="1"/>
      <protection locked="0"/>
    </xf>
    <xf numFmtId="10" fontId="11" fillId="9" borderId="5" xfId="3" applyNumberFormat="1" applyFont="1" applyFill="1" applyBorder="1" applyAlignment="1" applyProtection="1">
      <alignment horizontal="center" vertical="center" shrinkToFit="1"/>
      <protection locked="0"/>
    </xf>
    <xf numFmtId="43" fontId="11" fillId="9" borderId="5" xfId="0" applyNumberFormat="1" applyFont="1" applyFill="1" applyBorder="1" applyAlignment="1">
      <alignment horizontal="justify" vertical="center" wrapText="1"/>
      <protection locked="0"/>
    </xf>
    <xf numFmtId="10" fontId="11" fillId="0" borderId="4" xfId="3" applyNumberFormat="1" applyFont="1" applyFill="1" applyBorder="1" applyAlignment="1" applyProtection="1">
      <alignment horizontal="center" vertical="center" shrinkToFit="1"/>
      <protection locked="0"/>
    </xf>
    <xf numFmtId="0" fontId="18" fillId="0" borderId="0" xfId="50" applyFont="1" applyAlignment="1">
      <alignment horizontal="centerContinuous" vertical="center"/>
    </xf>
    <xf numFmtId="0" fontId="17" fillId="8" borderId="11" xfId="0" applyFont="1" applyFill="1" applyBorder="1" applyAlignment="1">
      <alignment horizontal="center" vertical="center" wrapText="1"/>
      <protection locked="0"/>
    </xf>
    <xf numFmtId="0" fontId="17" fillId="8" borderId="12" xfId="0" applyFont="1" applyFill="1" applyBorder="1" applyAlignment="1">
      <alignment horizontal="center" vertical="center" wrapText="1"/>
      <protection locked="0"/>
    </xf>
    <xf numFmtId="0" fontId="17" fillId="8" borderId="13" xfId="0" applyFont="1" applyFill="1" applyBorder="1" applyAlignment="1">
      <alignment horizontal="center" vertical="center"/>
      <protection locked="0"/>
    </xf>
    <xf numFmtId="0" fontId="17" fillId="8" borderId="14" xfId="0" applyFont="1" applyFill="1" applyBorder="1" applyAlignment="1">
      <alignment horizontal="center" vertical="center" wrapText="1"/>
      <protection locked="0"/>
    </xf>
    <xf numFmtId="0" fontId="17" fillId="8" borderId="0" xfId="0" applyFont="1" applyFill="1" applyAlignment="1">
      <alignment horizontal="center" vertical="center" wrapText="1"/>
      <protection locked="0"/>
    </xf>
    <xf numFmtId="0" fontId="13" fillId="8" borderId="13" xfId="0" applyFont="1" applyFill="1" applyBorder="1" applyAlignment="1">
      <alignment horizontal="center" vertical="center"/>
      <protection locked="0"/>
    </xf>
    <xf numFmtId="0" fontId="13" fillId="8" borderId="6" xfId="0" applyFont="1" applyFill="1" applyBorder="1" applyAlignment="1">
      <alignment horizontal="center" vertical="center" wrapText="1"/>
      <protection locked="0"/>
    </xf>
    <xf numFmtId="0" fontId="13" fillId="8" borderId="3" xfId="0" applyFont="1" applyFill="1" applyBorder="1" applyAlignment="1">
      <alignment horizontal="center" vertical="center" wrapText="1"/>
      <protection locked="0"/>
    </xf>
    <xf numFmtId="0" fontId="13" fillId="8" borderId="13" xfId="0" applyFont="1" applyFill="1" applyBorder="1" applyAlignment="1">
      <alignment vertical="center"/>
      <protection locked="0"/>
    </xf>
    <xf numFmtId="0" fontId="17" fillId="8" borderId="15" xfId="0" applyFont="1" applyFill="1" applyBorder="1" applyAlignment="1">
      <alignment horizontal="center" vertical="center" wrapText="1"/>
      <protection locked="0"/>
    </xf>
    <xf numFmtId="0" fontId="17" fillId="8" borderId="16" xfId="0" applyFont="1" applyFill="1" applyBorder="1" applyAlignment="1">
      <alignment horizontal="center" vertical="center" wrapText="1"/>
      <protection locked="0"/>
    </xf>
    <xf numFmtId="0" fontId="17" fillId="8" borderId="13" xfId="0" applyFont="1" applyFill="1" applyBorder="1" applyAlignment="1">
      <alignment horizontal="center" vertical="center" wrapText="1"/>
      <protection locked="0"/>
    </xf>
    <xf numFmtId="0" fontId="13" fillId="8" borderId="13" xfId="0" applyFont="1" applyFill="1" applyBorder="1" applyAlignment="1">
      <alignment horizontal="center" vertical="center" wrapText="1"/>
      <protection locked="0"/>
    </xf>
    <xf numFmtId="0" fontId="11" fillId="0" borderId="9" xfId="0" applyFont="1" applyBorder="1" applyAlignment="1">
      <alignment horizontal="center" vertical="center" wrapText="1"/>
      <protection locked="0"/>
    </xf>
    <xf numFmtId="0" fontId="11" fillId="0" borderId="15" xfId="0" applyFont="1" applyBorder="1" applyAlignment="1">
      <alignment horizontal="justify" vertical="center" wrapText="1"/>
      <protection locked="0"/>
    </xf>
    <xf numFmtId="0" fontId="11" fillId="0" borderId="16" xfId="0" applyFont="1" applyBorder="1" applyAlignment="1">
      <alignment horizontal="justify" vertical="center" wrapText="1"/>
      <protection locked="0"/>
    </xf>
    <xf numFmtId="43" fontId="11" fillId="0" borderId="17" xfId="0" applyNumberFormat="1" applyFont="1" applyBorder="1" applyAlignment="1">
      <alignment horizontal="justify" vertical="center" wrapText="1"/>
      <protection locked="0"/>
    </xf>
    <xf numFmtId="9" fontId="11" fillId="0" borderId="18" xfId="3" applyFont="1" applyBorder="1" applyAlignment="1" applyProtection="1">
      <alignment horizontal="center" vertical="center" shrinkToFit="1"/>
      <protection locked="0"/>
    </xf>
    <xf numFmtId="43" fontId="11" fillId="0" borderId="9" xfId="0" applyNumberFormat="1" applyFont="1" applyBorder="1" applyAlignment="1">
      <alignment horizontal="justify" vertical="center" wrapText="1"/>
      <protection locked="0"/>
    </xf>
    <xf numFmtId="9" fontId="11" fillId="0" borderId="4" xfId="3" applyFont="1" applyBorder="1" applyAlignment="1" applyProtection="1">
      <alignment horizontal="center" vertical="center" shrinkToFit="1"/>
      <protection locked="0"/>
    </xf>
    <xf numFmtId="9" fontId="11" fillId="0" borderId="4" xfId="3" applyFont="1" applyBorder="1" applyAlignment="1" applyProtection="1">
      <alignment horizontal="center" vertical="center" wrapText="1"/>
      <protection locked="0"/>
    </xf>
    <xf numFmtId="43" fontId="11" fillId="9" borderId="5" xfId="3" applyNumberFormat="1" applyFont="1" applyFill="1" applyBorder="1" applyAlignment="1" applyProtection="1">
      <alignment horizontal="center" vertical="center" shrinkToFit="1"/>
      <protection locked="0"/>
    </xf>
    <xf numFmtId="43" fontId="11" fillId="9" borderId="17" xfId="0" applyNumberFormat="1" applyFont="1" applyFill="1" applyBorder="1" applyAlignment="1">
      <alignment horizontal="center" vertical="center" wrapText="1"/>
      <protection locked="0"/>
    </xf>
    <xf numFmtId="9" fontId="11" fillId="0" borderId="2" xfId="3" applyFont="1" applyBorder="1" applyAlignment="1" applyProtection="1">
      <alignment horizontal="center" vertical="center" shrinkToFit="1"/>
      <protection locked="0"/>
    </xf>
    <xf numFmtId="0" fontId="17" fillId="8" borderId="4" xfId="0" applyFont="1" applyFill="1" applyBorder="1" applyAlignment="1">
      <alignment horizontal="centerContinuous" vertical="center"/>
      <protection locked="0"/>
    </xf>
    <xf numFmtId="43" fontId="17" fillId="0" borderId="19" xfId="0" applyNumberFormat="1" applyFont="1" applyBorder="1" applyAlignment="1">
      <alignment horizontal="center" vertical="center" shrinkToFit="1"/>
      <protection locked="0"/>
    </xf>
    <xf numFmtId="43" fontId="17" fillId="9" borderId="20" xfId="0" applyNumberFormat="1" applyFont="1" applyFill="1" applyBorder="1" applyAlignment="1">
      <alignment horizontal="justify" vertical="center" wrapText="1"/>
      <protection locked="0"/>
    </xf>
    <xf numFmtId="43" fontId="17" fillId="0" borderId="20" xfId="0" applyNumberFormat="1" applyFont="1" applyBorder="1" applyAlignment="1">
      <alignment horizontal="center" vertical="center" shrinkToFit="1"/>
      <protection locked="0"/>
    </xf>
    <xf numFmtId="43" fontId="17" fillId="9" borderId="20" xfId="0" applyNumberFormat="1" applyFont="1" applyFill="1" applyBorder="1" applyAlignment="1">
      <alignment horizontal="center" vertical="center" shrinkToFit="1"/>
      <protection locked="0"/>
    </xf>
    <xf numFmtId="43" fontId="17" fillId="9" borderId="21" xfId="0" applyNumberFormat="1" applyFont="1" applyFill="1" applyBorder="1" applyAlignment="1">
      <alignment horizontal="justify" vertical="center" wrapText="1"/>
      <protection locked="0"/>
    </xf>
    <xf numFmtId="0" fontId="13" fillId="8" borderId="1" xfId="0" applyFont="1" applyFill="1" applyBorder="1" applyAlignment="1">
      <alignment horizontal="center" vertical="center" wrapText="1"/>
      <protection locked="0"/>
    </xf>
    <xf numFmtId="0" fontId="13" fillId="10" borderId="12" xfId="0" applyFont="1" applyFill="1" applyBorder="1" applyAlignment="1">
      <alignment horizontal="center" vertical="center" wrapText="1"/>
      <protection locked="0"/>
    </xf>
    <xf numFmtId="0" fontId="13" fillId="10" borderId="8" xfId="0" applyFont="1" applyFill="1" applyBorder="1" applyAlignment="1">
      <alignment horizontal="center" vertical="center" wrapText="1"/>
      <protection locked="0"/>
    </xf>
    <xf numFmtId="0" fontId="13" fillId="11" borderId="12" xfId="0" applyFont="1" applyFill="1" applyBorder="1" applyAlignment="1">
      <alignment horizontal="center" vertical="center" wrapText="1"/>
      <protection locked="0"/>
    </xf>
    <xf numFmtId="0" fontId="13" fillId="11" borderId="8" xfId="0" applyFont="1" applyFill="1" applyBorder="1" applyAlignment="1">
      <alignment horizontal="center" vertical="center" wrapText="1"/>
      <protection locked="0"/>
    </xf>
    <xf numFmtId="0" fontId="13" fillId="8" borderId="7" xfId="0" applyFont="1" applyFill="1" applyBorder="1" applyAlignment="1">
      <alignment horizontal="center" vertical="center" wrapText="1"/>
      <protection locked="0"/>
    </xf>
    <xf numFmtId="0" fontId="13" fillId="8" borderId="22" xfId="0" applyFont="1" applyFill="1" applyBorder="1" applyAlignment="1">
      <alignment horizontal="center" vertical="center" wrapText="1"/>
      <protection locked="0"/>
    </xf>
    <xf numFmtId="0" fontId="13" fillId="8" borderId="8" xfId="0" applyFont="1" applyFill="1" applyBorder="1" applyAlignment="1">
      <alignment horizontal="center" vertical="center" wrapText="1"/>
      <protection locked="0"/>
    </xf>
    <xf numFmtId="0" fontId="13" fillId="12" borderId="4" xfId="0" applyFont="1" applyFill="1" applyBorder="1" applyAlignment="1">
      <alignment horizontal="center" vertical="center" wrapText="1"/>
      <protection locked="0"/>
    </xf>
    <xf numFmtId="0" fontId="13" fillId="8" borderId="12" xfId="0" applyFont="1" applyFill="1" applyBorder="1" applyAlignment="1">
      <alignment horizontal="center" vertical="center" wrapText="1"/>
      <protection locked="0"/>
    </xf>
    <xf numFmtId="0" fontId="13" fillId="8" borderId="22" xfId="0" applyFont="1" applyFill="1" applyBorder="1" applyAlignment="1">
      <alignment horizontal="center" vertical="center" wrapText="1"/>
      <protection locked="0"/>
    </xf>
    <xf numFmtId="0" fontId="13" fillId="8" borderId="0" xfId="0" applyFont="1" applyFill="1" applyAlignment="1">
      <alignment horizontal="center" vertical="center" wrapText="1"/>
      <protection locked="0"/>
    </xf>
    <xf numFmtId="0" fontId="13" fillId="8" borderId="9" xfId="0" applyFont="1" applyFill="1" applyBorder="1" applyAlignment="1">
      <alignment horizontal="center" vertical="center" wrapText="1"/>
      <protection locked="0"/>
    </xf>
    <xf numFmtId="0" fontId="13" fillId="12" borderId="1" xfId="0" applyFont="1" applyFill="1" applyBorder="1" applyAlignment="1">
      <alignment horizontal="center" vertical="center" wrapText="1"/>
      <protection locked="0"/>
    </xf>
    <xf numFmtId="0" fontId="11" fillId="0" borderId="3" xfId="0" applyFont="1" applyBorder="1" applyAlignment="1">
      <alignment vertical="center"/>
      <protection locked="0"/>
    </xf>
    <xf numFmtId="0" fontId="11" fillId="0" borderId="3" xfId="0" applyFont="1" applyBorder="1" applyAlignment="1">
      <alignment horizontal="left" vertical="center" wrapText="1"/>
      <protection locked="0"/>
    </xf>
    <xf numFmtId="0" fontId="12" fillId="7" borderId="0" xfId="0" applyFont="1" applyFill="1" applyAlignment="1">
      <alignment vertical="center"/>
      <protection locked="0"/>
    </xf>
    <xf numFmtId="43" fontId="17" fillId="0" borderId="19" xfId="0" applyNumberFormat="1" applyFont="1" applyBorder="1" applyAlignment="1" quotePrefix="1">
      <alignment horizontal="center" vertical="center" shrinkToFit="1"/>
      <protection locked="0"/>
    </xf>
    <xf numFmtId="43" fontId="17" fillId="0" borderId="20" xfId="0" applyNumberFormat="1" applyFont="1" applyBorder="1" applyAlignment="1" quotePrefix="1">
      <alignment horizontal="center" vertical="center" shrinkToFit="1"/>
      <protection locked="0"/>
    </xf>
    <xf numFmtId="43" fontId="11" fillId="0" borderId="2" xfId="0" applyNumberFormat="1" applyFont="1" applyBorder="1" applyAlignment="1" quotePrefix="1">
      <alignment horizontal="center" vertical="center" shrinkToFit="1"/>
      <protection locked="0"/>
    </xf>
    <xf numFmtId="43" fontId="11" fillId="0" borderId="3" xfId="0" applyNumberFormat="1" applyFont="1" applyBorder="1" applyAlignment="1" quotePrefix="1">
      <alignment horizontal="center" vertical="center" shrinkToFit="1"/>
      <protection locked="0"/>
    </xf>
    <xf numFmtId="10" fontId="11" fillId="0" borderId="4" xfId="3" applyNumberFormat="1" applyFont="1" applyFill="1" applyBorder="1" applyAlignment="1" applyProtection="1" quotePrefix="1">
      <alignment horizontal="center" vertical="center" shrinkToFit="1"/>
      <protection locked="0"/>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_Book1" xfId="50"/>
    <cellStyle name="常规_sheet" xfId="51"/>
    <cellStyle name="常规_T1000-主营业务收入" xfId="52"/>
    <cellStyle name="常规 6" xfId="53"/>
    <cellStyle name="常规_附件1：决算表式（后会签稿）--1008"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6" Type="http://schemas.openxmlformats.org/officeDocument/2006/relationships/styles" Target="styles.xml"/><Relationship Id="rId25" Type="http://schemas.openxmlformats.org/officeDocument/2006/relationships/sharedStrings" Target="sharedStrings.xml"/><Relationship Id="rId24" Type="http://schemas.openxmlformats.org/officeDocument/2006/relationships/theme" Target="theme/theme1.xml"/><Relationship Id="rId23" Type="http://schemas.openxmlformats.org/officeDocument/2006/relationships/externalLink" Target="externalLinks/externalLink13.xml"/><Relationship Id="rId22" Type="http://schemas.openxmlformats.org/officeDocument/2006/relationships/externalLink" Target="externalLinks/externalLink12.xml"/><Relationship Id="rId21" Type="http://schemas.openxmlformats.org/officeDocument/2006/relationships/externalLink" Target="externalLinks/externalLink11.xml"/><Relationship Id="rId20" Type="http://schemas.openxmlformats.org/officeDocument/2006/relationships/externalLink" Target="externalLinks/externalLink10.xml"/><Relationship Id="rId2" Type="http://schemas.openxmlformats.org/officeDocument/2006/relationships/worksheet" Target="worksheets/sheet2.xml"/><Relationship Id="rId19" Type="http://schemas.openxmlformats.org/officeDocument/2006/relationships/externalLink" Target="externalLinks/externalLink9.xml"/><Relationship Id="rId18" Type="http://schemas.openxmlformats.org/officeDocument/2006/relationships/externalLink" Target="externalLinks/externalLink8.xml"/><Relationship Id="rId17" Type="http://schemas.openxmlformats.org/officeDocument/2006/relationships/externalLink" Target="externalLinks/externalLink7.xml"/><Relationship Id="rId16" Type="http://schemas.openxmlformats.org/officeDocument/2006/relationships/externalLink" Target="externalLinks/externalLink6.xml"/><Relationship Id="rId15" Type="http://schemas.openxmlformats.org/officeDocument/2006/relationships/externalLink" Target="externalLinks/externalLink5.xml"/><Relationship Id="rId14" Type="http://schemas.openxmlformats.org/officeDocument/2006/relationships/externalLink" Target="externalLinks/externalLink4.xml"/><Relationship Id="rId13" Type="http://schemas.openxmlformats.org/officeDocument/2006/relationships/externalLink" Target="externalLinks/externalLink3.xml"/><Relationship Id="rId12" Type="http://schemas.openxmlformats.org/officeDocument/2006/relationships/externalLink" Target="externalLinks/externalLink2.xml"/><Relationship Id="rId11" Type="http://schemas.openxmlformats.org/officeDocument/2006/relationships/externalLink" Target="externalLinks/externalLink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6-108\h\&#23458;&#25143;&#36164;&#26009;\&#20027;&#26495;\&#27743;&#33487;&#21556;&#20013;\&#38271;&#24449;&#21046;&#33647;&#21378;\12-31\&#24212;&#25910;&#20184;&#24080;&#4083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harles-406278\ICBC\Zhejiang\OPERATE-LEAS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20844;&#21496;\&#25191;&#19994;&#35268;&#31243;\EXCEL\&#23457;&#2668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025&#24180;\2024&#24180;&#33268;&#21516;&#36890;&#29992;&#23457;&#35745;&#31243;&#24207;&#21450;&#24213;&#31295;&#27169;&#26495;\1.&#33268;&#21516;&#23457;&#35745;&#31243;&#24207;&#21450;&#24213;&#31295;&#27169;&#26495;&#65288;2024&#24180;&#65289;\4.&#39118;&#38505;&#24212;&#23545;-&#23454;&#36136;&#24615;&#31243;&#24207;&#65288;D-Q&#65289;\H%20&#38271;&#26399;&#32929;&#26435;&#25237;&#36164;&#24490;&#29615;\Worksheet%20in%208240%20COS%20breakdown"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ROGRAM%20FILES\TENCENT\RTX\4024\Files\client%20service\FIB\FIB%202002%20Xiamen\lead%20schedule\XIAMEN-FIB1%20at%206%202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ROGRAM%20FILES\TENCENT\RTX\4024\Files\client%20service\FIB%2011%202002\Xia%20men%20branch\Credit%20review\loan%20database%2010%2031%2002%20xm.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Y:\&#24037;&#20316;\10&#24180;&#24037;&#20316;\&#27468;&#21326;\&#40718;&#35270;\&#21152;&#24037;&#36134;-&#40718;&#3527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20844;&#21496;\&#25191;&#19994;&#35268;&#31243;\&#20998;&#26512;&#349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9978;&#24066;&#20844;&#21496;&#23457;&#35745;\&#29233;&#24314;\2002&#24180;&#29233;&#24314;\&#29233;&#24314;&#35745;&#36130;&#37096;\&#20020;&#26102;&#25991;&#20214;\&#30701;&#26399;&#25237;&#36164;&#25991;&#2021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y%20Documents\2004&#24180;&#24180;&#25253;\&#22823;&#20247;&#20844;&#29992;\&#22823;&#20247;&#29123;&#27668;\&#21335;&#36890;&#29123;&#27668;\&#21335;&#36890;&#29123;&#27668;&#26412;&#37096;\04&#24037;&#20316;&#24213;&#31295;\My%20Documents\2004&#24180;&#24180;&#25253;\&#22823;&#20247;&#20844;&#29992;\&#22823;&#20247;&#29123;&#27668;\&#21335;&#36890;&#29123;&#27668;\1&#65293;6&#26376;&#26126;&#32454;&#24080;\2004&#24180;1&#65293;6&#26376;&#21335;&#36890;&#29123;&#27668;&#24207;&#26102;&#2408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YS01-01"/>
      <sheetName val="YS02-02"/>
      <sheetName val="YYY"/>
      <sheetName val="TTT"/>
      <sheetName val="YS02_02"/>
      <sheetName val="企业表一"/>
      <sheetName val="M-5A"/>
      <sheetName val="1月"/>
      <sheetName val="XL4Poppy"/>
      <sheetName val="Consol"/>
      <sheetName val="Contr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2000-lease"/>
      <sheetName val="sub-branch"/>
      <sheetName val="Sheet3"/>
      <sheetName val="Sheet1"/>
      <sheetName val="Sheet2"/>
      <sheetName val="Economic evaluation - FY98 base"/>
      <sheetName val="设定"/>
      <sheetName val="YS02-02"/>
      <sheetName val="_"/>
      <sheetName val="订单418"/>
      <sheetName val="固定资产清理Dy"/>
      <sheetName val="工程物资Dy"/>
      <sheetName val="loan database"/>
      <sheetName val="短期借款Dy"/>
      <sheetName val="企业表一"/>
      <sheetName val="M-5C"/>
      <sheetName val="M-5A"/>
      <sheetName val="应付账款 (2)"/>
      <sheetName val="订"/>
      <sheetName val="6月"/>
      <sheetName val="交易性金融资产Dy"/>
      <sheetName val="应付账款明细BS.09 "/>
      <sheetName val="A430"/>
      <sheetName val="1_巴西保罗公司"/>
      <sheetName val="索引"/>
      <sheetName val="订单"/>
      <sheetName val="其他货币资金.dbf"/>
      <sheetName val="银行存款.dbf"/>
      <sheetName val="短期投资股票投资.dbf"/>
      <sheetName val="短期投资国债投资.dbf"/>
      <sheetName val="股票投资收益.dbf"/>
      <sheetName val="其他货币海通.dbf"/>
      <sheetName val="其他货币零领路.dbf"/>
      <sheetName val="投资收益债券.dbf"/>
      <sheetName val="累计1"/>
      <sheetName val="数量金额总账"/>
      <sheetName val="清单12.31"/>
      <sheetName val="资产负债表"/>
      <sheetName val="原材料Dy"/>
      <sheetName val="B"/>
      <sheetName val="27-7"/>
      <sheetName val="现金"/>
      <sheetName val="基本信息及附注"/>
      <sheetName val="科目余额表"/>
      <sheetName val="E1020"/>
      <sheetName val="湖南湘潭应付个人明细帐"/>
      <sheetName val="FH-2应付利息明细表"/>
      <sheetName val="财务成本"/>
      <sheetName val="利润分析"/>
      <sheetName val="资产负债分析"/>
      <sheetName val="年初数调整分录"/>
      <sheetName val="应收账龄BS.01"/>
      <sheetName val="应付职工薪酬Dy"/>
      <sheetName val="Financ. Overview"/>
      <sheetName val="Toolbox"/>
      <sheetName val="#REF!"/>
      <sheetName val="所得税费用Dy"/>
      <sheetName val="库存商品余额表.dbf"/>
      <sheetName val="完"/>
      <sheetName val="A5-200回函汇总"/>
      <sheetName val="表头"/>
      <sheetName val="链接"/>
      <sheetName val="役"/>
      <sheetName val="目录"/>
      <sheetName val="A22-100明细表样式"/>
      <sheetName val="3月总表"/>
      <sheetName val="4月工资汇总表"/>
      <sheetName val="5月总表"/>
      <sheetName val="6月总表"/>
      <sheetName val="7月总表"/>
      <sheetName val="8月总表"/>
      <sheetName val="9月总表"/>
      <sheetName val="10月总表"/>
      <sheetName val="11月总表"/>
      <sheetName val="12月总表"/>
      <sheetName val="ZA-1余额表"/>
      <sheetName val="ZA-1-0调整分录"/>
      <sheetName val="管理费用表分析-1"/>
      <sheetName val="标本-资产"/>
      <sheetName val="21122"/>
      <sheetName val="销售"/>
      <sheetName val="Open"/>
      <sheetName val="ZE-1明细表"/>
      <sheetName val="负债试算平衡"/>
      <sheetName val="目录表"/>
      <sheetName val="报表格式"/>
      <sheetName val="销售6.13"/>
      <sheetName val="应付职工薪酬审定表"/>
      <sheetName val="引用"/>
      <sheetName val="3月-2"/>
      <sheetName val="4月"/>
      <sheetName val="7月"/>
      <sheetName val="Profit and Loss"/>
      <sheetName val="5132"/>
      <sheetName val="表头信息设定"/>
      <sheetName val="目錄"/>
      <sheetName val="流资汇总"/>
      <sheetName val="全年"/>
      <sheetName val="存货汇总表10"/>
      <sheetName val="预付函证控制表"/>
      <sheetName val="101"/>
      <sheetName val="审定表"/>
      <sheetName val="Collateral"/>
      <sheetName val="选择报表"/>
      <sheetName val="填制说明"/>
      <sheetName val="主营业务收入Dy"/>
      <sheetName val="其他应付款Dy"/>
      <sheetName val="主营业务成本Dy"/>
      <sheetName val="其他应收款Dy"/>
      <sheetName val="应交税费Dy"/>
      <sheetName val="预收账款Dy"/>
      <sheetName val="应收票据Dy"/>
      <sheetName val="核算项目余额表"/>
      <sheetName val="DATA"/>
      <sheetName val="POWER ASSUMPTIONS"/>
      <sheetName val="XL4Poppy"/>
      <sheetName val="12月销售成本表(原表)"/>
      <sheetName val="固定资产及累计折旧表"/>
      <sheetName val="ZA封面"/>
      <sheetName val="应收账款审定表"/>
      <sheetName val="货币资金审定表"/>
      <sheetName val="货币资金明细"/>
      <sheetName val="交易性金融资产审定表"/>
      <sheetName val="应收票据审定表"/>
      <sheetName val="质押核对表"/>
      <sheetName val="贴现未到期"/>
      <sheetName val="应收股利审定表"/>
      <sheetName val="应收利息审定表"/>
      <sheetName val="应收账款明细表"/>
      <sheetName val="其他应收款审定表"/>
      <sheetName val="其他应收明细表"/>
      <sheetName val="预付账款审定表"/>
      <sheetName val="预付账款明细表"/>
      <sheetName val="存货审定表"/>
      <sheetName val="存货跌价准备明细表"/>
      <sheetName val="其他流动资产审定表"/>
      <sheetName val="可供出售金融资产审定表"/>
      <sheetName val="持有至到期投资审定表"/>
      <sheetName val="长期应收款审定表"/>
      <sheetName val="长期股权投资明细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短期借款审定表"/>
      <sheetName val="逾期贷款"/>
      <sheetName val="交易性金融负债审定"/>
      <sheetName val="应付票据审定表"/>
      <sheetName val="应付账款审定"/>
      <sheetName val="应付账款明细表"/>
      <sheetName val="预收账款审定表"/>
      <sheetName val="预收账款明细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资本公积审定表"/>
      <sheetName val="盈余公积审定表"/>
      <sheetName val="未分配利润审定表"/>
      <sheetName val="营业收入审定表"/>
      <sheetName val="营业成本审定表"/>
      <sheetName val="十大客户、供应商检查表"/>
      <sheetName val="营业税金及附加审定表"/>
      <sheetName val="销售费用审定表"/>
      <sheetName val="管理费用审定表"/>
      <sheetName val="公允价值变动损益审定表"/>
      <sheetName val="投资收益审定表"/>
      <sheetName val="资产减值损失审定表"/>
      <sheetName val="营业外收入审定表"/>
      <sheetName val="营业外支出审定表"/>
      <sheetName val="所得税费用审定表"/>
      <sheetName val="财务费用审定表"/>
      <sheetName val="库存商品明细审定表"/>
      <sheetName val="PER SALES ORG"/>
      <sheetName val="details"/>
      <sheetName val="其他应付款科目余额2005.12.31"/>
      <sheetName val="_2568"/>
      <sheetName val="5426"/>
      <sheetName val="_8048"/>
      <sheetName val="_2687"/>
      <sheetName val="_2691"/>
      <sheetName val="_2702"/>
      <sheetName val="_2786"/>
      <sheetName val="_2800"/>
      <sheetName val="_3244"/>
      <sheetName val="_5131"/>
      <sheetName val="_8041"/>
      <sheetName val="_2594"/>
      <sheetName val="_2598"/>
      <sheetName val="2600"/>
      <sheetName val="5076"/>
      <sheetName val="_5174"/>
      <sheetName val="Assump2"/>
      <sheetName val="P08A自制半成品收发存"/>
      <sheetName val="S20-1"/>
      <sheetName val="Interco-386"/>
      <sheetName val="Fixed assets"/>
      <sheetName val="工资"/>
      <sheetName val="其他应收款"/>
      <sheetName val="货币资金披露表（国企）"/>
      <sheetName val="试算平衡表"/>
      <sheetName val="固定资产实际实施程序表"/>
      <sheetName val="固定资产、累计折旧、减值准备审定表"/>
      <sheetName val="明细表"/>
      <sheetName val="Sheet5"/>
      <sheetName val="5YE"/>
      <sheetName val="应付账款明细-单一客户名称"/>
      <sheetName val="帐本记录与流水记录核对"/>
      <sheetName val="工时统计"/>
      <sheetName val="其他应收款检查表"/>
      <sheetName val="明细表2011年-户名更改"/>
      <sheetName val="应收股利"/>
      <sheetName val="UFPrn20060113152646"/>
      <sheetName val="UFPrn20060113153757"/>
      <sheetName val="UFPrn20060113154140"/>
      <sheetName val="eqpmad2"/>
      <sheetName val="CntrlSign"/>
      <sheetName val="CntrlType1_1"/>
      <sheetName val="CntrlType1_2"/>
      <sheetName val="RiskSign"/>
      <sheetName val="固定资产经贸公司数据"/>
      <sheetName val="管理费用"/>
      <sheetName val="外地"/>
      <sheetName val="坯布"/>
      <sheetName val="材料"/>
      <sheetName val="外销"/>
      <sheetName val="CY sales report"/>
      <sheetName val="UFPrn20090217100717"/>
      <sheetName val="资"/>
      <sheetName val="披露表(标准)"/>
      <sheetName val="披露表(上市)"/>
      <sheetName val="披露表(国资)"/>
      <sheetName val="ZH1-4其他应收款个别认定"/>
      <sheetName val="ZH1-3应收账款个别认定"/>
      <sheetName val="FG-1明细表"/>
      <sheetName val="H R"/>
      <sheetName val="表头信息"/>
      <sheetName val="应收账款发函明细表"/>
      <sheetName val="主营业务税金及附加Dy"/>
      <sheetName val="应收账款Dy"/>
      <sheetName val="评估结论"/>
      <sheetName val="SD-20-3"/>
      <sheetName val="明细分类账"/>
      <sheetName val="出租开发产品明细"/>
      <sheetName val="A 10－1"/>
      <sheetName val="应付帐款"/>
      <sheetName val="汇总"/>
      <sheetName val="A3 &amp; U 09-01"/>
      <sheetName val="表2-1"/>
      <sheetName val="表2-2"/>
      <sheetName val="表2-2-"/>
      <sheetName val="2000-le!se"/>
      <sheetName val="2009_12"/>
      <sheetName val="生产成本Dy"/>
      <sheetName val="制造费用Dy"/>
      <sheetName val="应收票据"/>
      <sheetName val="明细表（未审）"/>
      <sheetName val="新城资金明细"/>
      <sheetName val="申鑫大厦租金明细"/>
      <sheetName val="三林明细"/>
      <sheetName val="东陆明细"/>
      <sheetName val="UFPrn20120329113713"/>
      <sheetName val="FF-1-1应付职工薪酬"/>
      <sheetName val="应付职工薪酬进一步审计程序"/>
      <sheetName val="辅助表MT"/>
      <sheetName val="收入明细－按客户"/>
      <sheetName val="XSC-1销售与收款循环控制测试汇总表"/>
      <sheetName val="08.8"/>
      <sheetName val="rate"/>
      <sheetName val="Conso-FS(OK)"/>
      <sheetName val="差异调整97"/>
      <sheetName val="4-货币资金-现金"/>
      <sheetName val="ZD封面"/>
      <sheetName val="SW-TEO"/>
      <sheetName val="综合"/>
      <sheetName val="代码"/>
      <sheetName val="银行存款Dy"/>
      <sheetName val="货币资金Dy"/>
      <sheetName val="项目基本情况"/>
      <sheetName val="APR"/>
      <sheetName val="JUL"/>
      <sheetName val="JUN"/>
      <sheetName val="SEP"/>
      <sheetName val="MAR"/>
      <sheetName val="AUG"/>
      <sheetName val="灰铁明细账"/>
      <sheetName val="Breakdown"/>
      <sheetName val="TTU"/>
      <sheetName val="账上导出数（包括暂估）"/>
      <sheetName val="合并"/>
      <sheetName val="关联方及关联交易-关联方清单"/>
      <sheetName val="海外售后服务费明细及调整"/>
      <sheetName val="利息7月-8月"/>
      <sheetName val="其他应收账龄分析表"/>
      <sheetName val="储藏室"/>
      <sheetName val="利息支出分类表"/>
      <sheetName val="资本公积抽查"/>
      <sheetName val="收入"/>
      <sheetName val="上市披露"/>
      <sheetName val="可参考程序表"/>
      <sheetName val="可供参考程序表-货币资金"/>
      <sheetName val="可供参考程序表"/>
      <sheetName val="实际执行的程序"/>
      <sheetName val="可供参考的程序"/>
      <sheetName val="基本生产成本"/>
      <sheetName val="TB"/>
      <sheetName val="银行存款"/>
      <sheetName val="索引表"/>
      <sheetName val="运输"/>
      <sheetName val="电子"/>
      <sheetName val="UFPrn20060213094123"/>
      <sheetName val="Consol"/>
      <sheetName val="AFEMAI"/>
      <sheetName val="KEY"/>
      <sheetName val="F1"/>
      <sheetName val="2013年其他应收明细表"/>
      <sheetName val="基础数据"/>
      <sheetName val="Cover"/>
      <sheetName val="账户汇总表_2008年1月至2012年12"/>
      <sheetName val="金都商城"/>
      <sheetName val="中山低值"/>
      <sheetName val="W"/>
      <sheetName val="账户汇总表_2014年1月至12月_"/>
      <sheetName val="科目表"/>
      <sheetName val="OPERATE-LEASE"/>
      <sheetName val="RCP作業"/>
      <sheetName val="BUD-DI"/>
      <sheetName val="All"/>
      <sheetName val="設定"/>
      <sheetName val="销售出库序时簿"/>
      <sheetName val="原材料抽查表"/>
      <sheetName val="销量"/>
      <sheetName val="存货减值测试表"/>
      <sheetName val="Detail Loan Move. &amp; Listing"/>
      <sheetName val="账龄结构分析"/>
      <sheetName val="余额分析"/>
      <sheetName val="分项目列式"/>
      <sheetName val="营业收入导引表"/>
      <sheetName val="销售费用截止测试"/>
      <sheetName val="SCH-U-5 以前年度损益调整"/>
      <sheetName val="UFPrn20040104084034"/>
      <sheetName val="预收帐款"/>
      <sheetName val="应收账款明细"/>
      <sheetName val="Main"/>
      <sheetName val="参数"/>
      <sheetName val="TB损益"/>
      <sheetName val=" "/>
      <sheetName val="资产评估结果分类汇总表 (2)"/>
      <sheetName val="待摊费用明细表"/>
      <sheetName val="Profile"/>
      <sheetName val="初始设定"/>
      <sheetName val="dxnsjtempsheet"/>
      <sheetName val="1.1bal"/>
      <sheetName val="18.2 other ex"/>
      <sheetName val="Sum"/>
      <sheetName val="04.07"/>
      <sheetName val="111"/>
      <sheetName val="细节测试审计抽样"/>
      <sheetName val="for ey reviewer 销售费用"/>
      <sheetName val="for ey reviewer 制造费用"/>
      <sheetName val="HP99"/>
      <sheetName val="ADD"/>
      <sheetName val="MIS1"/>
      <sheetName val="NON-TP-ABB"/>
      <sheetName val="for ey reviewer ÏúÊÛ·ÑÓÃ"/>
      <sheetName val="for ey reviewer ÖÆÔì·ÑÓÃ"/>
      <sheetName val="master"/>
      <sheetName val="ARP"/>
      <sheetName val="base"/>
      <sheetName val="Pnl-10"/>
      <sheetName val="20"/>
      <sheetName val="30"/>
      <sheetName val="70"/>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10"/>
      <sheetName val="30a"/>
      <sheetName val="30-Note"/>
      <sheetName val="U-2"/>
      <sheetName val="FF-21(a)"/>
      <sheetName val="上报资产负债表"/>
      <sheetName val="上报损益表"/>
      <sheetName val="现金流量表（月报）"/>
      <sheetName val="补充表"/>
      <sheetName val="source"/>
      <sheetName val="AR Trend"/>
      <sheetName val="Bad Debt Reserve Trend"/>
      <sheetName val="Bad Debt Reserve calc"/>
      <sheetName val="底稿0000"/>
      <sheetName val="BOX SUM"/>
      <sheetName val="FIN GOOD"/>
      <sheetName val="List"/>
      <sheetName val="cfs直接"/>
      <sheetName val="YEB"/>
      <sheetName val="Ã«ÀûÂÊ·ÖÎö±í"/>
      <sheetName val="Movement-总厂 "/>
      <sheetName val="INVDAYS"/>
      <sheetName val="公允价值变动损益Dy"/>
      <sheetName val="可供出售金融资产Dy"/>
      <sheetName val="采购订单3名"/>
      <sheetName val="FG-20-1-1往来科目-待抵扣进项税的核对"/>
      <sheetName val="b2"/>
      <sheetName val="company"/>
      <sheetName val="currency"/>
      <sheetName val="detailitems_1"/>
      <sheetName val="detailitems_10"/>
      <sheetName val="detailitems_100"/>
      <sheetName val="detailitems_101"/>
      <sheetName val="detailitems_102"/>
      <sheetName val="detailitems_11"/>
      <sheetName val="detailitems_111"/>
      <sheetName val="detailitems_112"/>
      <sheetName val="detailitems_113"/>
      <sheetName val="detailitems_114"/>
      <sheetName val="detailitems_115"/>
      <sheetName val="detailitems_116"/>
      <sheetName val="detailitems_117"/>
      <sheetName val="detailitems_118"/>
      <sheetName val="detailitems_119"/>
      <sheetName val="detailitems_12"/>
      <sheetName val="detailitems_120"/>
      <sheetName val="detailitems_121"/>
      <sheetName val="detailitems_122"/>
      <sheetName val="detailitems_123"/>
      <sheetName val="Basic"/>
      <sheetName val="实际执行程序表-货币资金"/>
      <sheetName val="全部存货信息"/>
      <sheetName val="3111"/>
      <sheetName val="3113"/>
      <sheetName val="_8013"/>
      <sheetName val="_8022"/>
      <sheetName val="2.5"/>
      <sheetName val="应收账款"/>
      <sheetName val="detailitems_124"/>
      <sheetName val="detailitems_125"/>
      <sheetName val="detailitems_126"/>
      <sheetName val="detailitems_127"/>
      <sheetName val="detailitems_13"/>
      <sheetName val="detailitems_14"/>
      <sheetName val="detailitems_15"/>
      <sheetName val="detailitems_150"/>
      <sheetName val="detailitems_151"/>
      <sheetName val="detailitems_152"/>
      <sheetName val="detailitems_153"/>
      <sheetName val="detailitems_154"/>
      <sheetName val="detailitems_155"/>
      <sheetName val="detailitems_156"/>
      <sheetName val="detailitems_157"/>
      <sheetName val="detailitems_158"/>
      <sheetName val="detailitems_159"/>
      <sheetName val="detailitems_16"/>
      <sheetName val="detailitems_160"/>
      <sheetName val="detailitems_161"/>
      <sheetName val="detailitems_162"/>
      <sheetName val="detailitems_163"/>
      <sheetName val="detailitems_164"/>
      <sheetName val="detailitems_165"/>
      <sheetName val="detailitems_166"/>
      <sheetName val="detailitems_167"/>
      <sheetName val="detailitems_168"/>
      <sheetName val="detailitems_169"/>
      <sheetName val="detailitems_17"/>
      <sheetName val="detailitems_170"/>
      <sheetName val="detailitems_171"/>
      <sheetName val="detailitems_172"/>
      <sheetName val="detailitems_173"/>
      <sheetName val="detailitems_174"/>
      <sheetName val="detailitems_18"/>
      <sheetName val="detailitems_19"/>
      <sheetName val="detailitems_2"/>
      <sheetName val="detailitems_20"/>
      <sheetName val="detailitems_21"/>
      <sheetName val="detailitems_22"/>
      <sheetName val="detailitems_23"/>
      <sheetName val="detailitems_24"/>
      <sheetName val="detailitems_26"/>
      <sheetName val="detailitems_27"/>
      <sheetName val="detailitems_3"/>
      <sheetName val="detailitems_300"/>
      <sheetName val="detailitems_301"/>
      <sheetName val="detailitems_302"/>
      <sheetName val="detailitems_303"/>
      <sheetName val="detailitems_304"/>
      <sheetName val="detailitems_35"/>
      <sheetName val="detailitems_36"/>
      <sheetName val="detailitems_37"/>
      <sheetName val="detailitems_38"/>
      <sheetName val="detailitems_39"/>
      <sheetName val="detailitems_4"/>
      <sheetName val="detailitems_41"/>
      <sheetName val="detailitems_42"/>
      <sheetName val="detailitems_43"/>
      <sheetName val="detailitems_44"/>
      <sheetName val="detailitems_45"/>
      <sheetName val="detailitems_46"/>
      <sheetName val="detailitems_47"/>
      <sheetName val="detailitems_48"/>
      <sheetName val="detailitems_49"/>
      <sheetName val="detailitems_5"/>
      <sheetName val="detailitems_50"/>
      <sheetName val="detailitems_51"/>
      <sheetName val="detailitems_52"/>
      <sheetName val="detailitems_53"/>
      <sheetName val="detailitems_54"/>
      <sheetName val="detailitems_56"/>
      <sheetName val="detailitems_58"/>
      <sheetName val="detailitems_59"/>
      <sheetName val="detailitems_6"/>
      <sheetName val="detailitems_60"/>
      <sheetName val="detailitems_61"/>
      <sheetName val="detailitems_62"/>
      <sheetName val="detailitems_63"/>
      <sheetName val="detailitems_64"/>
      <sheetName val="detailitems_65"/>
      <sheetName val="detailitems_66"/>
      <sheetName val="detailitems_67"/>
      <sheetName val="detailitems_68"/>
      <sheetName val="detailitems_69"/>
      <sheetName val="detailitems_7"/>
      <sheetName val="detailitems_70"/>
      <sheetName val="detailitems_71"/>
      <sheetName val="detailitems_72"/>
      <sheetName val="detailitems_73"/>
      <sheetName val="detailitems_74"/>
      <sheetName val="detailitems_75"/>
      <sheetName val="detailitems_76"/>
      <sheetName val="detailitems_77"/>
      <sheetName val="detailitems_78"/>
      <sheetName val="detailitems_79"/>
      <sheetName val="detailitems_8"/>
      <sheetName val="detailitems_80"/>
      <sheetName val="detailitems_81"/>
      <sheetName val="detailitems_82"/>
      <sheetName val="detailitems_83"/>
      <sheetName val="detailitems_84"/>
      <sheetName val="detailitems_85"/>
      <sheetName val="detailitems_86"/>
      <sheetName val="detailitems_87"/>
      <sheetName val="detailitems_88"/>
      <sheetName val="detailitems_89"/>
      <sheetName val="detailitems_9"/>
      <sheetName val="detailitems_90"/>
      <sheetName val="detailitems_91"/>
      <sheetName val="detailitems_92"/>
      <sheetName val="detailitems_93"/>
      <sheetName val="detailitems_94"/>
      <sheetName val="detailitems_95"/>
      <sheetName val="detailitems_96"/>
      <sheetName val="detailitems_97"/>
      <sheetName val="detailitems_98"/>
      <sheetName val="detailitems_99"/>
      <sheetName val="detailitems_999"/>
      <sheetName val="product"/>
      <sheetName val="12月"/>
      <sheetName val="费用"/>
      <sheetName val="1"/>
      <sheetName val="账"/>
      <sheetName val="账1"/>
      <sheetName val="基本参数"/>
      <sheetName val="ZI-3-30原材料收发存"/>
      <sheetName val="ZI-5-1-11库存商品（产成品）"/>
      <sheetName val="银行存款函证结果汇总表"/>
      <sheetName val="表页-1"/>
      <sheetName val="月份分析"/>
      <sheetName val="SA1-6收入同期比较表"/>
      <sheetName val="SA1-1收入、成本明细"/>
      <sheetName val="SA1-3分月收入、成本"/>
      <sheetName val="5月"/>
      <sheetName val="5.基础档案"/>
      <sheetName val="1.3合同卡片"/>
      <sheetName val="1.合同台账"/>
      <sheetName val="固定资产增加检查表Pz"/>
      <sheetName val="固定资产Dy (2)"/>
      <sheetName val="选择键"/>
      <sheetName val="剥离前"/>
      <sheetName val="Summary"/>
      <sheetName val="ZI10-3生产成本发生额"/>
      <sheetName val="Economic_evaluation_-_FY98_base"/>
      <sheetName val="应付账款_(2)"/>
      <sheetName val="应付账款明细BS_09_"/>
      <sheetName val="其他货币资金_dbf"/>
      <sheetName val="银行存款_dbf"/>
      <sheetName val="清单12_31"/>
      <sheetName val="loan_database"/>
      <sheetName val="短期投资股票投资_dbf"/>
      <sheetName val="短期投资国债投资_dbf"/>
      <sheetName val="股票投资收益_dbf"/>
      <sheetName val="其他货币海通_dbf"/>
      <sheetName val="其他货币零领路_dbf"/>
      <sheetName val="投资收益债券_dbf"/>
      <sheetName val="应收账龄BS_01"/>
      <sheetName val="POWER_ASSUMPTIONS"/>
      <sheetName val="08_8"/>
      <sheetName val="Economic_evaluation_-_FY98_bas1"/>
      <sheetName val="应付账款_(2)1"/>
      <sheetName val="应付账款明细BS_09_1"/>
      <sheetName val="其他货币资金_dbf1"/>
      <sheetName val="银行存款_dbf1"/>
      <sheetName val="清单12_311"/>
      <sheetName val="loan_database1"/>
      <sheetName val="短期投资股票投资_dbf1"/>
      <sheetName val="短期投资国债投资_dbf1"/>
      <sheetName val="股票投资收益_dbf1"/>
      <sheetName val="其他货币海通_dbf1"/>
      <sheetName val="其他货币零领路_dbf1"/>
      <sheetName val="投资收益债券_dbf1"/>
      <sheetName val="应收账龄BS_011"/>
      <sheetName val="POWER_ASSUMPTIONS1"/>
      <sheetName val="08_81"/>
      <sheetName val="说明"/>
      <sheetName val="数据源"/>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param"/>
      <sheetName val="Traduction"/>
      <sheetName val="UFPrn20061113135115"/>
      <sheetName val="35.1租赁明细"/>
      <sheetName val="存货汇总表10"/>
      <sheetName val="资"/>
      <sheetName val="Validation source"/>
      <sheetName val="ONE"/>
      <sheetName val="Price type"/>
      <sheetName val="Holidays"/>
      <sheetName val="产值平衡表"/>
      <sheetName val="核算项目余额表"/>
      <sheetName val="ZA 货币资金"/>
      <sheetName val="基本情况表"/>
      <sheetName val="Toolbox"/>
      <sheetName val="KEY DATA"/>
      <sheetName val="库存商品余额表.dbf"/>
      <sheetName val="佳砼负债表"/>
      <sheetName val="Collateral"/>
      <sheetName val="Disposition"/>
      <sheetName val="I110 Breakdown 200812(Audited)"/>
      <sheetName val="成本调整明细表"/>
      <sheetName val="表一(1)"/>
      <sheetName val="上月"/>
      <sheetName val="试算平衡表"/>
      <sheetName val="UFPrn20060705140320"/>
      <sheetName val="UFPrn20060705113520"/>
      <sheetName val="资产负债表(本部原报)"/>
      <sheetName val="明细分类账"/>
      <sheetName val="其他液氨采购"/>
      <sheetName val="长期借款"/>
      <sheetName val="房屋及建筑物"/>
      <sheetName val="包增减变动"/>
      <sheetName val="内销硫酸期初"/>
      <sheetName val="XL4Poppy"/>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10;؁"/>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明细输入"/>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索引"/>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FA Breakdown"/>
      <sheetName val="Z01 资产负债表(企财01表)"/>
      <sheetName val="Z02 利润表(企财02表)"/>
      <sheetName val="Z03 现金流量表(企财03表)"/>
      <sheetName val="Sheet1 (11)"/>
      <sheetName val="收入、人数真实数据--曲线"/>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费用分析"/>
      <sheetName val="Invested Capital"/>
      <sheetName val="ADJTBL 3100"/>
      <sheetName val="BUY"/>
      <sheetName val="调整后季度计划情况汇总"/>
      <sheetName val="码表"/>
      <sheetName val="台帐"/>
      <sheetName val="11应收帐款"/>
      <sheetName val=""/>
      <sheetName val="23产成品 "/>
      <sheetName val="B30111"/>
      <sheetName val="&lt;原报&gt;资产负债表"/>
      <sheetName val="设置"/>
      <sheetName val="03年1季度"/>
      <sheetName val="master"/>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10;؁"/>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
      <sheetName val="长_x0013_"/>
      <sheetName val="_x0007_¨/_x0016_Ý_x0013_Ý"/>
      <sheetName val="_x0007_®à_x0013_"/>
      <sheetName val="_x0001_¨/_x0016_Ý_x0013_Ý"/>
      <sheetName val="_x001f_0-BS_؁"/>
      <sheetName val="Dropdown list"/>
      <sheetName val="dm"/>
      <sheetName val="sd"/>
      <sheetName val="7a.Other Inc Exp"/>
      <sheetName val="account"/>
      <sheetName val="2002 VS 2003"/>
      <sheetName val="Data List"/>
      <sheetName val="内仓免税进口"/>
      <sheetName val="original2"/>
      <sheetName val="长_x0013_"/>
      <sheetName val="*ª¥$_x0004_RÝ_x0013_RÝ"/>
      <sheetName val="_x0007_zà_x0013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Ԁ"/>
      <sheetName val="财务费用明细表"/>
      <sheetName val="长期待摊费用明细表"/>
      <sheetName val="产品销售收入与成本明细表"/>
      <sheetName val="UFPrn20080725145132"/>
      <sheetName val="F130&quot;"/>
      <sheetName val="A3"/>
      <sheetName val="機種対応表(無断変更禁止)"/>
      <sheetName val="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10;؁"/>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7__x0"/>
      <sheetName val="_x0001__x0"/>
      <sheetName val="_x005f_x0000__x005f_x0007__x005"/>
      <sheetName val="_x005f_x0000__x005f_x0000__x005"/>
      <sheetName val="_x005f_x0000__x005f_x0001__x005"/>
      <sheetName val="_ª¥"/>
      <sheetName val="收回以前年度已స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7_¨/_x0016_†Ý_x0013_†Ý"/>
      <sheetName val="_x0001_¨/_x0016_†Ý_x0013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13;؁"/>
      <sheetName val="_x005f_x001f_0-BS&#13;؁"/>
      <sheetName val="0-BS&#13;؁"/>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7__x005"/>
      <sheetName val="_x005"/>
      <sheetName val="_x0001__x005"/>
      <sheetName val="_x005f_x001f_0-BS_x"/>
      <sheetName val="_x005f_x0000__x005f"/>
      <sheetName val="表外项目_x005f_x005f_x0"/>
      <sheetName val="__x00"/>
      <sheetName val="_x005f_x005f_"/>
      <sheetName val="收回以前年度已స_x00"/>
      <sheetName val="同业存放Ⱦ_x005f_x005f_x005f_x005f_x"/>
      <sheetName val="长_x005f_x005f_x005f_x005f_x005"/>
      <sheetName val="*ª¥"/>
      <sheetName val="_x0007_¨__x0016_†"/>
      <sheetName val="_x0001_¨__x0016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7_¨/_x0016_Ý_x0013_Ý"/>
      <sheetName val="[分析表.XLS]_x0001_¨/_x0016_Ý_x0013_Ý"/>
      <sheetName val="[分析表.XLS]_x0007_¨/_x0016_†Ý_x0013_†Ý"/>
      <sheetName val="[分析表.XLS]_x0001_¨/_x0016_†Ý_x0013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7_"/>
      <sheetName val="[分析表.XLS][分析表.XLS][分析表.XLS]_x0001_"/>
      <sheetName val="报表附注"/>
      <sheetName val="Sample"/>
      <sheetName val="[分析表.XLS][分析表.XLS]_x0007_¨/_x0016_"/>
      <sheetName val="[分析表.XLS][分析表.XLS]_x0001_¨/_x0016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
      <sheetName val="_x0016_Ù"/>
      <sheetName val="_x0016_Û_x0013_BÝ_x0013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7__"/>
      <sheetName val="_分析表.XLS__x0001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7_¨/_x0016_F᠀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5__x0007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10;؁"/>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10;؁"/>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16_†Ý_x0013_†Ý"/>
      <sheetName val="[分析表.XLS][分析表.XLS]_x0001_¨/_x0016_†Ý_x0013_†Ý"/>
      <sheetName val="*??$_x0004_R?_x0013_R?"/>
      <sheetName val="_x0007_z?_x0013_"/>
      <sheetName val="_x0016_Û_x"/>
      <sheetName val="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7"/>
      <sheetName val="_分析表.XLS__分析表.XLS__x0001"/>
      <sheetName val="*$"/>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_x0016"/>
      <sheetName val="_分析表.XLS__x0001_¨__x0016"/>
      <sheetName val="分析表L1-3-2"/>
      <sheetName val="明细项目"/>
      <sheetName val="pp1p"/>
      <sheetName val="pp3p "/>
      <sheetName val="pp3p_NC"/>
      <sheetName val="ppht"/>
      <sheetName val="vc"/>
      <sheetName val="附注披露信息(上市公司)D3-1"/>
      <sheetName val="_x0005__x0007__x0"/>
      <sheetName val="スコアカード (2)"/>
      <sheetName val="設定一覧"/>
      <sheetName val="97春ｻｳｼﾞ"/>
      <sheetName val="翻訳完了"/>
      <sheetName val="指標名"/>
      <sheetName val="_x005f_x005f_x005f_x001f_0-BS ؁"/>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徐"/>
      <sheetName val="管理文件清单"/>
      <sheetName val="B"/>
      <sheetName val="sheet1"/>
      <sheetName val="科目表"/>
      <sheetName val="laroux"/>
      <sheetName val="企业表一"/>
      <sheetName val="M-5A"/>
      <sheetName val="所得税调整"/>
      <sheetName val="M-5C"/>
      <sheetName val="应付"/>
      <sheetName val="预付"/>
      <sheetName val="索引"/>
      <sheetName val="2004"/>
      <sheetName val="工时统计"/>
      <sheetName val="核算项目余额表"/>
      <sheetName val="审核2"/>
      <sheetName val="Sheet9"/>
      <sheetName val="Sales branch breakdown"/>
      <sheetName val="#REF!"/>
      <sheetName val="包增减变动"/>
      <sheetName val="POWER ASSUMPTIONS"/>
      <sheetName val="盈余公积 （合并)"/>
      <sheetName val="短期投资股票投资.dbf"/>
      <sheetName val="短期投资国债投资.dbf"/>
      <sheetName val="股票投资收益.dbf"/>
      <sheetName val="其他货币海通.dbf"/>
      <sheetName val="其他货币零领路.dbf"/>
      <sheetName val="投资收益债券.dbf"/>
      <sheetName val="审计调整"/>
      <sheetName val="Breakdown"/>
      <sheetName val="W"/>
      <sheetName val="应收账款贷方余额表"/>
      <sheetName val="应收账款借方余额表"/>
      <sheetName val="应收账款余额表"/>
      <sheetName val="表头"/>
      <sheetName val="CF附注"/>
      <sheetName val="试算平衡表"/>
      <sheetName val="C_301"/>
      <sheetName val="C_311"/>
      <sheetName val="C_318"/>
      <sheetName val="UFPrn20120201171347"/>
      <sheetName val="UFPrn20120201171700"/>
      <sheetName val="其他业务利润"/>
      <sheetName val="其他应收款－个人借款明细"/>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总分类账"/>
      <sheetName val="for disclosure"/>
      <sheetName val="所得税凭证抽查"/>
      <sheetName val="资产负债表"/>
      <sheetName val="其他货币资金.dbf"/>
      <sheetName val="银行存款.dbf"/>
      <sheetName val="标实对比表"/>
      <sheetName val="银行存款核对表"/>
      <sheetName val="G1-1营业收入审定表"/>
      <sheetName val="清单12.31"/>
      <sheetName val="5月"/>
      <sheetName val="6月"/>
      <sheetName val="FA Breakdown"/>
      <sheetName val="XREF"/>
      <sheetName val="other comments"/>
      <sheetName val="应收票据函证控制表"/>
      <sheetName val="提足折旧"/>
      <sheetName val="应付职工薪酬"/>
      <sheetName val="三家其他应付公司"/>
      <sheetName val="summary "/>
      <sheetName val="广告费测试表"/>
      <sheetName val="盘存还原"/>
      <sheetName val="外汇付款计划"/>
      <sheetName val="Third party"/>
      <sheetName val="Summary"/>
      <sheetName val="2002年关联方余额及交易"/>
      <sheetName val="56271-2"/>
      <sheetName val="应收款"/>
      <sheetName val="预付款"/>
      <sheetName val="eqpmad2"/>
      <sheetName val="明细分类账"/>
      <sheetName val="房屋及建筑物"/>
      <sheetName val="DTCT"/>
      <sheetName val="Mp-team 1"/>
      <sheetName val="UFPrn20030305081341"/>
      <sheetName val="盈余公积Dy"/>
      <sheetName val="Movement"/>
      <sheetName val="土建-全钢一期二期"/>
      <sheetName val="其他土建"/>
      <sheetName val="G.1R-Shou COP Gf"/>
      <sheetName val="BS"/>
      <sheetName val="PL"/>
      <sheetName val="TB"/>
      <sheetName val="_______"/>
      <sheetName val="SW-TEO"/>
      <sheetName val="Toolbox"/>
      <sheetName val="Sale breakdown"/>
      <sheetName val="1_阿联酋_迪拜"/>
      <sheetName val="固定资产清单"/>
      <sheetName val="车辆价值计算表"/>
      <sheetName val="科目余额表1"/>
      <sheetName val="Financ. Overview"/>
      <sheetName val="营业收入审定表"/>
      <sheetName val="资产负债表(本部原报)"/>
      <sheetName val="科目余额表正式"/>
      <sheetName val="YS02-02"/>
      <sheetName val="Statistics {pbe}"/>
      <sheetName val="Allow {pbe}"/>
      <sheetName val="完"/>
      <sheetName val="2010年台帐"/>
      <sheetName val="营业费用测试"/>
      <sheetName val="param"/>
      <sheetName val="营业外收支明细"/>
      <sheetName val="XL4Poppy"/>
      <sheetName val="a8附-1510000000"/>
      <sheetName val="客户余额表"/>
      <sheetName val="明细表E6-2"/>
      <sheetName val="产销存"/>
      <sheetName val="1-6累计销售"/>
      <sheetName val="收入个月"/>
      <sheetName val="Sheet2 (3)"/>
      <sheetName val="客户基本概况表"/>
      <sheetName val="银行借款询证"/>
      <sheetName val="E1020"/>
      <sheetName val="设备部房屋"/>
      <sheetName val="detail"/>
      <sheetName val="MAP_HKG"/>
      <sheetName val="MAP_KSC"/>
      <sheetName val="MAP_PEK"/>
      <sheetName val="MAP_SSH"/>
      <sheetName val="REG_HKG"/>
      <sheetName val="REG_KSC"/>
      <sheetName val="REG_PEK"/>
      <sheetName val="REG_SSH"/>
      <sheetName val="存货赌价准备"/>
      <sheetName val="其乖帔乘款"/>
      <sheetName val="頄謡负债"/>
      <sheetName val="物资公司"/>
      <sheetName val="负债完成横向"/>
      <sheetName val="资产完成横向"/>
      <sheetName val="序时帐"/>
      <sheetName val="期后回款"/>
      <sheetName val="10月回款"/>
      <sheetName val="10月销售"/>
      <sheetName val="Part_Datum"/>
      <sheetName val="loan database"/>
      <sheetName val="科目余额表"/>
      <sheetName val="炼钢"/>
      <sheetName val="余额表"/>
      <sheetName val="存货分析表G2-4"/>
      <sheetName val="科目名称表"/>
      <sheetName val="原报调整分录"/>
      <sheetName val="审计调整分录"/>
      <sheetName val="٥Ā应"/>
      <sheetName val="erp测算"/>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Tickmarks"/>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客户编码"/>
      <sheetName val="4101汇总"/>
      <sheetName val="GA"/>
      <sheetName val="AR"/>
      <sheetName val="销售"/>
      <sheetName val="Expense summary"/>
      <sheetName val="2008.10.27-31日实际出库明细"/>
      <sheetName val="Sales ADJ 2008.1-10"/>
      <sheetName val="利润表"/>
      <sheetName val="表头（请先填写）"/>
      <sheetName val="母公司附注"/>
      <sheetName val="FA movement"/>
      <sheetName val="Sens"/>
      <sheetName val="AS-1"/>
      <sheetName val="AS-3"/>
      <sheetName val="AS-C"/>
      <sheetName val="AS-E"/>
      <sheetName val="AS-P1"/>
      <sheetName val="Start"/>
      <sheetName val="银行存款明细表"/>
      <sheetName val="EXP"/>
      <sheetName val="GuV"/>
      <sheetName val="备选程序"/>
      <sheetName val="D433 制造费用分月汇总表"/>
      <sheetName val="D432 管理费用分月汇总表"/>
      <sheetName val="现金"/>
      <sheetName val="资本公积审定表"/>
      <sheetName val="所得税明细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dm"/>
      <sheetName val="for disc"/>
      <sheetName val="Confirmation Control"/>
      <sheetName val="master"/>
      <sheetName val="參數"/>
      <sheetName val="邯矿"/>
      <sheetName val="合并表"/>
      <sheetName val="金化"/>
      <sheetName val="通达"/>
      <sheetName val="KKKKKKKK"/>
      <sheetName val="2012年营业收入审定表"/>
      <sheetName val="2012年主营业务收入毛利分析"/>
      <sheetName val="2011年主营业务收入毛利分析"/>
      <sheetName val="总部调整"/>
      <sheetName val="汇总抵消"/>
      <sheetName val="SI"/>
      <sheetName val="newcost"/>
      <sheetName val="for_disclosure"/>
      <sheetName val="FA_Breakdown"/>
      <sheetName val="other_comments"/>
      <sheetName val="summary_"/>
      <sheetName val="Third_party"/>
      <sheetName val="POWER_ASSUMPTIONS"/>
      <sheetName val="清单12_31"/>
      <sheetName val="基本情况表"/>
      <sheetName val="2010年试算平衡表"/>
      <sheetName val="本年试算平衡表"/>
      <sheetName val="资产负债表原报 (2)"/>
      <sheetName val="引用数据"/>
      <sheetName val="数外余额"/>
      <sheetName val="会计科目表"/>
      <sheetName val="现金流量表"/>
      <sheetName val="主营业务明细表"/>
      <sheetName val="12月份品种酒生产月报表"/>
      <sheetName val="账面外销"/>
      <sheetName val="MY"/>
      <sheetName val="05.7工资分析"/>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期末明细表（账龄）D2-2"/>
      <sheetName val="期初坏账测算D2-6-1"/>
      <sheetName val="PL Statement_CN_WK"/>
      <sheetName val="选择键"/>
      <sheetName val="F210 other variance"/>
      <sheetName val="#REF"/>
      <sheetName val="Info. Request"/>
      <sheetName val="C - Cash and Bank"/>
      <sheetName val="A300"/>
      <sheetName val="11月"/>
      <sheetName val="SC Consoll"/>
      <sheetName val="Disposition"/>
      <sheetName val="Collateral"/>
      <sheetName val="Sep WorkSheet"/>
      <sheetName val="披露表(上市)"/>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PTC"/>
      <sheetName val="表头"/>
      <sheetName val="coding"/>
      <sheetName val="基础数据"/>
      <sheetName val="三兴2"/>
      <sheetName val="Toolbox"/>
      <sheetName val="Appendix"/>
      <sheetName val="PRC BS"/>
      <sheetName val="完"/>
      <sheetName val="인사현황(부서)"/>
      <sheetName val="Cover"/>
      <sheetName val="营业费用测试"/>
      <sheetName val="KKKKKKKK"/>
      <sheetName val="YS02-02"/>
      <sheetName val="管理费用(集团董事会)"/>
      <sheetName val="C_301"/>
      <sheetName val="C_311"/>
      <sheetName val="C_318"/>
      <sheetName val="P12 TB SZ"/>
      <sheetName val="B"/>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资产负债表"/>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Standard audit marks (2)"/>
      <sheetName val="A300"/>
      <sheetName val="A400"/>
      <sheetName val="A410"/>
      <sheetName val="A420"/>
      <sheetName val="A430"/>
      <sheetName val="A440"/>
      <sheetName val="A500"/>
      <sheetName val="A501"/>
      <sheetName val="A502"/>
      <sheetName val="A1000"/>
      <sheetName val="C"/>
      <sheetName val="C100"/>
      <sheetName val="C200"/>
      <sheetName val="c300"/>
      <sheetName val="C400"/>
      <sheetName val="E"/>
      <sheetName val="E10 "/>
      <sheetName val="E11"/>
      <sheetName val="E12"/>
      <sheetName val="E13"/>
      <sheetName val="E21 "/>
      <sheetName val="E300"/>
      <sheetName val="E400 "/>
      <sheetName val="E500"/>
      <sheetName val="E600"/>
      <sheetName val="E700"/>
      <sheetName val="&lt;E730&gt;"/>
      <sheetName val="E800"/>
      <sheetName val="E900"/>
      <sheetName val="E1000"/>
      <sheetName val="G"/>
      <sheetName val="G100"/>
      <sheetName val="H"/>
      <sheetName val="H100"/>
      <sheetName val="H200"/>
      <sheetName val="H300(reference)"/>
      <sheetName val="H310"/>
      <sheetName val="J "/>
      <sheetName val="J100"/>
      <sheetName val="J110"/>
      <sheetName val="J300"/>
      <sheetName val="J310"/>
      <sheetName val="J320"/>
      <sheetName val="K"/>
      <sheetName val="K100"/>
      <sheetName val="K200"/>
      <sheetName val="K300"/>
      <sheetName val="L"/>
      <sheetName val="L100"/>
      <sheetName val="N "/>
      <sheetName val="N10"/>
      <sheetName val="N100 "/>
      <sheetName val="N200  "/>
      <sheetName val="N300   "/>
      <sheetName val="N500  "/>
      <sheetName val="N600"/>
      <sheetName val="N700  "/>
      <sheetName val="N800"/>
      <sheetName val="N900 "/>
      <sheetName val="O"/>
      <sheetName val="O100"/>
      <sheetName val="O210"/>
      <sheetName val="o300"/>
      <sheetName val="o310"/>
      <sheetName val="P"/>
      <sheetName val="P100"/>
      <sheetName val="p110 "/>
      <sheetName val="p120"/>
      <sheetName val="P200"/>
      <sheetName val="P300"/>
      <sheetName val="Q "/>
      <sheetName val="Q100 "/>
      <sheetName val="Q200 "/>
      <sheetName val="Q300 "/>
      <sheetName val="Q400"/>
      <sheetName val="Q410"/>
      <sheetName val="Q700"/>
      <sheetName val="Q710"/>
      <sheetName val="S "/>
      <sheetName val="S100"/>
      <sheetName val="S200"/>
      <sheetName val="U.detail"/>
      <sheetName val="U100(Overall int yield analysis"/>
      <sheetName val="U110(Yield-MM placements）"/>
      <sheetName val="U120(Yield-Loan &amp; adv)"/>
      <sheetName val="U200"/>
      <sheetName val="U300"/>
      <sheetName val="U400"/>
      <sheetName val="U500"/>
      <sheetName val="U600"/>
      <sheetName val="U700"/>
      <sheetName val="U800"/>
      <sheetName val="U900"/>
      <sheetName val="U1000"/>
      <sheetName val="U1100"/>
      <sheetName val="U1200"/>
      <sheetName val="U1210"/>
      <sheetName val="U1300"/>
      <sheetName val="U1400"/>
      <sheetName val="V"/>
      <sheetName val="V100"/>
      <sheetName val="V300"/>
      <sheetName val="OS Matters"/>
      <sheetName val="review"/>
      <sheetName val="Standard audit marks"/>
      <sheetName val="2004"/>
      <sheetName val="B"/>
      <sheetName val="loan database"/>
      <sheetName val="Break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discounted bills"/>
      <sheetName val="privo table"/>
      <sheetName val="loan database (2)"/>
      <sheetName val="loan database"/>
      <sheetName val="A430"/>
      <sheetName val="Breakdown"/>
      <sheetName val="E1020"/>
      <sheetName val="20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索引"/>
      <sheetName val="货币资金Cx"/>
      <sheetName val="货币资金Mx"/>
      <sheetName val="分录"/>
      <sheetName val="标本-资产"/>
      <sheetName val="2004"/>
      <sheetName val="1月固定资产清单"/>
      <sheetName val="企业表一"/>
      <sheetName val="M-5C"/>
      <sheetName val="M-5A"/>
      <sheetName val="关联方—创斯达"/>
      <sheetName val="关联方—东风汽车"/>
      <sheetName val="ZH1-4其他应收款个别认定"/>
      <sheetName val="ZH1-3应收账款个别认定"/>
      <sheetName val="各单位目标指标"/>
      <sheetName val="表头"/>
      <sheetName val="完"/>
      <sheetName val="breakdown"/>
      <sheetName val="资产负债表"/>
      <sheetName val="新城资金明细"/>
      <sheetName val="申鑫大厦租金明细"/>
      <sheetName val="三林明细"/>
      <sheetName val="东陆明细"/>
      <sheetName val="4-货币资金-现金"/>
      <sheetName val="基础信息"/>
      <sheetName val="XREF"/>
      <sheetName val="A430"/>
      <sheetName val="货币资金审定表"/>
      <sheetName val="B"/>
      <sheetName val="balance"/>
      <sheetName val="W"/>
      <sheetName val="PRC-BS-SZ"/>
      <sheetName val="A1"/>
      <sheetName val="eqpmad2"/>
      <sheetName val="本期报表"/>
      <sheetName val="账面外销"/>
      <sheetName val="销售费用Dy"/>
      <sheetName val="细节测试审计抽样"/>
      <sheetName val="YS02-02"/>
      <sheetName val="短期借款Dy"/>
      <sheetName val="采购订单3名"/>
      <sheetName val="Sheet1"/>
      <sheetName val="P12 TB SZ"/>
      <sheetName val="选择报表"/>
      <sheetName val="CF附注"/>
      <sheetName val="试算平衡表"/>
      <sheetName val="XL4Poppy"/>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邻酮定乙酚发出测试"/>
      <sheetName val="科目余额表"/>
      <sheetName val="凭证抽查表 "/>
      <sheetName val="资产减值损失审核表"/>
      <sheetName val="E1020"/>
      <sheetName val="坯布"/>
      <sheetName val="材料"/>
      <sheetName val="外销"/>
      <sheetName val="Summary"/>
      <sheetName val="dghn"/>
      <sheetName val="报表项目"/>
      <sheetName val="02"/>
      <sheetName val="03"/>
      <sheetName val="04"/>
      <sheetName val="05"/>
      <sheetName val="06"/>
      <sheetName val="01"/>
      <sheetName val="07"/>
      <sheetName val="08"/>
      <sheetName val="09"/>
      <sheetName val="010"/>
      <sheetName val="011"/>
      <sheetName val="012"/>
      <sheetName val="表头（请先填写）"/>
      <sheetName val="调整分录汇总表"/>
      <sheetName val="明细表（账龄）D2-2"/>
      <sheetName val="其他应付款科目余额2005.12.31"/>
      <sheetName val="期末应付帐款明细表"/>
      <sheetName val="期初应付帐款明细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表头"/>
      <sheetName val="其他表"/>
      <sheetName val="余额表"/>
      <sheetName val="联查凭证"/>
      <sheetName val="序时账"/>
      <sheetName val="库存现金1A"/>
      <sheetName val="我的凭证"/>
      <sheetName val="loan data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
      <sheetName val="出口全年"/>
      <sheetName val="底盘全年"/>
      <sheetName val="整车全年"/>
      <sheetName val="内部交易-出口商品"/>
      <sheetName val="01-04"/>
      <sheetName val="9801"/>
      <sheetName val="所得税调整"/>
      <sheetName val="暂估"/>
      <sheetName val="凭证核对内容"/>
      <sheetName val="表头"/>
      <sheetName val="科目表"/>
      <sheetName val="本期报表"/>
      <sheetName val="_REF!"/>
      <sheetName val="UFPrn20060705140320"/>
      <sheetName val="UFPrn20060705113520"/>
      <sheetName val="完"/>
      <sheetName val="B"/>
      <sheetName val="收入"/>
      <sheetName val="序时账"/>
      <sheetName val="*REF!"/>
      <sheetName val="科纳特成本按项目明细-10"/>
      <sheetName val="M_5A"/>
      <sheetName val="M_5C"/>
      <sheetName val="科目名称表"/>
      <sheetName val="08"/>
      <sheetName val="03"/>
      <sheetName val="05"/>
      <sheetName val="06"/>
      <sheetName val="10"/>
      <sheetName val="04"/>
      <sheetName val="09"/>
      <sheetName val="02"/>
      <sheetName val="07"/>
      <sheetName val="短期借款余额表"/>
      <sheetName val="应收账款贷方余额表"/>
      <sheetName val="应收账款借方余额表"/>
      <sheetName val="应收账款余额表"/>
      <sheetName val="W"/>
      <sheetName val="累计产销存"/>
      <sheetName val="Sheet3"/>
      <sheetName val="科目余额表"/>
      <sheetName val="库存商品"/>
      <sheetName val="余额表"/>
      <sheetName val="表头信息"/>
      <sheetName val="laroux"/>
      <sheetName val="Investment Property"/>
      <sheetName val="Statistics {pbe}"/>
      <sheetName val="Allow {pbe}"/>
      <sheetName val="附注汇总"/>
      <sheetName val="Summary"/>
      <sheetName val="Pre-operating Exp"/>
      <sheetName val="Miscellaneous Exp."/>
      <sheetName val="Rental 2002"/>
      <sheetName val="Rental 2001"/>
      <sheetName val="_3220"/>
      <sheetName val="收入截止测试D4-8"/>
      <sheetName val="表头（请先填写）"/>
      <sheetName val="收入确认政策检查D4-4"/>
      <sheetName val="收入函证结果汇总D4-5"/>
      <sheetName val="Source"/>
      <sheetName val="2004"/>
      <sheetName val="第一制造部"/>
      <sheetName val="主营业务明细表"/>
      <sheetName val="Sheet1 (11)"/>
      <sheetName val="基本情况表"/>
      <sheetName val="11应收帐款"/>
      <sheetName val="23产成品 "/>
      <sheetName val="B30111"/>
      <sheetName val="XL4Poppy"/>
      <sheetName val="现金"/>
      <sheetName val="ITEM"/>
      <sheetName val="负债表"/>
      <sheetName val="资产表"/>
      <sheetName val="利润表"/>
      <sheetName val="b2"/>
      <sheetName val="包增减变动"/>
      <sheetName val="FA Breakdown"/>
      <sheetName val="索引"/>
      <sheetName val="收入、人数真实数据--曲线"/>
      <sheetName val="填写参数"/>
      <sheetName val="主表 "/>
      <sheetName val="7-11销售"/>
      <sheetName val="12进销存"/>
      <sheetName val="_x005f_x0000__x005f_x0000__x005f_x0000__x005f_x0000__x0"/>
      <sheetName val="_x0"/>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长期借款"/>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_x001f_0-BS&#10;؁"/>
      <sheetName val="选择报表"/>
      <sheetName val="衍生金融工具_细表"/>
      <sheetName val="企_表一"/>
      <sheetName val="长_x0013_"/>
      <sheetName val="*ª¥$_x0004_RÝ_x0013_RÝ"/>
      <sheetName val="_x0007_zà_x0013_"/>
      <sheetName val="同业存放Ⱦ"/>
      <sheetName val="成本计算单_汇总显示_"/>
      <sheetName val="master"/>
      <sheetName val="应纳所得税明细衠"/>
      <sheetName val="衠外项目-银行承兑汇票"/>
      <sheetName val="°sÑAmÏh"/>
      <sheetName val="毛利率分析表"/>
      <sheetName val="表外项目-银行承兑ｇ秿"/>
      <sheetName val="表外项目_xffff_保函"/>
      <sheetName val="盿-信用证．棿ᚈ"/>
      <sheetName val="资产负债表"/>
      <sheetName val="_x001f_0-BS_؁"/>
      <sheetName val="非应计贷몘횀2002"/>
      <sheetName val="Apr"/>
      <sheetName val="AP1998KX(estimated)"/>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G102"/>
      <sheetName val="DATA"/>
      <sheetName val="合并底稿-自营"/>
      <sheetName val="Parameters"/>
      <sheetName val="E1020"/>
      <sheetName val="III-1-8"/>
      <sheetName val="III-1-4"/>
      <sheetName val="III-1-10"/>
      <sheetName val="III-1-9"/>
      <sheetName val="III-1-2-1"/>
      <sheetName val="III-1-6"/>
      <sheetName val="III-1-7"/>
      <sheetName val="III-1-5"/>
      <sheetName val="设备部房屋"/>
      <sheetName val="表二甲机务F型"/>
      <sheetName val="表六 "/>
      <sheetName val="dm"/>
      <sheetName val="sd"/>
      <sheetName val="°sÑ‘AmÏ‘h"/>
      <sheetName val="UFPrn20080725145132"/>
      <sheetName val="财务费用明细表"/>
      <sheetName val="长期待摊费用明细表"/>
      <sheetName val="A301-Direct"/>
      <sheetName val="4-货币资金-现金"/>
      <sheetName val="内仓免税进口"/>
      <sheetName val="original2"/>
      <sheetName val="F130&quot;"/>
      <sheetName val="F1"/>
      <sheetName val="ｺｽﾄｾﾝﾀｰ符号表"/>
      <sheetName val="产品销售收入与成本明细表"/>
      <sheetName val="Control"/>
      <sheetName val="1月应收"/>
      <sheetName val="长_x0013_"/>
      <sheetName val="_x0007_¨/_x0016_Ý_x0013_Ý"/>
      <sheetName val="_x0007_®à_x0013_"/>
      <sheetName val="_x0001_¨/_x0016_Ý_x0013_Ý"/>
      <sheetName val="应收票据(关联方)"/>
      <sheetName val="促销费内容"/>
      <sheetName val="Australia"/>
      <sheetName val="Dropdown list"/>
      <sheetName val="Sign Off Form"/>
      <sheetName val="附表6"/>
      <sheetName val="U111"/>
      <sheetName val="U100"/>
      <sheetName val="Data List"/>
      <sheetName val="分析表"/>
      <sheetName val="account"/>
      <sheetName val="7a.Other Inc Exp"/>
      <sheetName val="2002 VS 2003"/>
      <sheetName val="‚a‚l‚o“h‘•’¼Þ"/>
      <sheetName val="02-U310"/>
      <sheetName val="收回以前年度已సԀ"/>
      <sheetName val="A3"/>
      <sheetName val="機種対応表(無断変更禁止)"/>
      <sheetName val="â "/>
      <sheetName val="IV- int binominal"/>
      <sheetName val="Finsum-NAS"/>
      <sheetName val="NAS-BS"/>
      <sheetName val="预收帐款"/>
      <sheetName val="미구주"/>
      <sheetName val="원가관리"/>
      <sheetName val="_x005f_x001f_0-BS_؁"/>
      <sheetName val="CRITERIA1"/>
      <sheetName val="CRITERIA2"/>
      <sheetName val="_x005f_x005f_x005f_x001f_0-BS_؁"/>
      <sheetName val="资产负债表(97)"/>
      <sheetName val="_x005f_x005f_x005f_x005f_x005f_x005f_x005f_x001f_0-BS_؁"/>
      <sheetName val="应收账款主表"/>
      <sheetName val="_x005f_x005f_x005f_x005f_x005f_x005f_x005f_x005f_x005f_x005f_"/>
      <sheetName val="（27）实收资本"/>
      <sheetName val="数量对比"/>
      <sheetName val="产品销售收入成本明细表（合同）"/>
      <sheetName val="국영"/>
      <sheetName val="통계자료"/>
      <sheetName val="#REF!"/>
      <sheetName val="调整分录集"/>
      <sheetName val="KOR"/>
      <sheetName val="集团内交易"/>
      <sheetName val="汇总"/>
      <sheetName val="清单12.31"/>
      <sheetName val="食品原料（美爵）"/>
      <sheetName val="F9-3-1"/>
      <sheetName val="A10-1"/>
      <sheetName val="1007"/>
      <sheetName val="_x005f_x001f_0-BS&#10;؁"/>
      <sheetName val="8月乘用车分公司期间费用统计表"/>
      <sheetName val="预算主数据"/>
      <sheetName val="内部购入存货明细表"/>
      <sheetName val="雇员保险4-6月'01年度"/>
      <sheetName val="_x005f_x001f_0-BS_x005f_x000a_؁"/>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货币资金.dbf"/>
      <sheetName val="银行存款.dbf"/>
      <sheetName val="2005"/>
      <sheetName val="生产部金额"/>
      <sheetName val="宣1"/>
      <sheetName val="总公司2002.12.31"/>
      <sheetName val="G402."/>
      <sheetName val="衍生金蚍工具_细表"/>
      <sheetName val="9808 Outside Plant"/>
      <sheetName val="合噶利"/>
      <sheetName val=")R¦m"/>
      <sheetName val="银行存款核对表"/>
      <sheetName val="_x005f_x005f_x005f_x001f_0-BS_x005f_x005f_x005f_x000a_؁"/>
      <sheetName val="Final sample listing"/>
      <sheetName val="同业存放Ⱦ_x005f_x0000_"/>
      <sheetName val="长_x005f_x0013_"/>
      <sheetName val="_x005f_x0000__x005f_x0007__x005f_x0000__x005f_x0000__x0"/>
      <sheetName val="_x005f_x0000__x005f_x0001__x005f_x0000__x005f_x0000__x0"/>
      <sheetName val="_x005f_x005f_x005f_x005f_x005f_x005f_x005f_x001f_0-BS_x"/>
      <sheetName val="表外项目_x005f_xffff_保函"/>
      <sheetName val="长_x005f_x0013_"/>
      <sheetName val="_x005f_x0000___x005f_x0000__x005f_x0000__x005f_x0000_ª¥"/>
      <sheetName val="K110"/>
      <sheetName val="G210"/>
      <sheetName val="O111"/>
      <sheetName val="应付帐款期后付款"/>
      <sheetName val="短期投资股票投资.dbf"/>
      <sheetName val="短期投资国债投资.dbf"/>
      <sheetName val="股票投资收益.dbf"/>
      <sheetName val="其他货币海通.dbf"/>
      <sheetName val="其他货币零领路.dbf"/>
      <sheetName val="投资收益债券.dbf"/>
      <sheetName val="SA1- 封面"/>
      <sheetName val="2月开票明细表"/>
      <sheetName val="营业费用截止"/>
      <sheetName val="?*???ª¥$_x0004_????RÝ_x0013_?RÝ"/>
      <sheetName val="???????_x0007_???zà_x0013_?????"/>
      <sheetName val="同业存放Ⱦ?"/>
      <sheetName val="皊褢Am蠎h"/>
      <sheetName val="_____ª¥$_x0004_____RÝ_x0013__RÝ"/>
      <sheetName val="________x0007____zà_x0013______"/>
      <sheetName val="同业存放Ⱦ_"/>
      <sheetName val="FJ其他应付款封面"/>
      <sheetName val="U1200 PL Int Income"/>
      <sheetName val="上期报表"/>
      <sheetName val="出库"/>
      <sheetName val="入库"/>
      <sheetName val="购进汇总"/>
      <sheetName val="冲估价汇总"/>
      <sheetName val="估价汇总"/>
      <sheetName val="大口径耗用汇总"/>
      <sheetName val="轧钢耗用汇总"/>
      <sheetName val="2006管理费用明细表"/>
      <sheetName val="11"/>
      <sheetName val="应纳所得税明细衈"/>
      <sheetName val="收回以前年度已స"/>
      <sheetName val="UFPrn20090209084743"/>
      <sheetName val="1"/>
      <sheetName val="长_x005f_x005f_x005f_x0013_"/>
      <sheetName val="_x005f_x005f_x005f_x0000__x005f_x005f_x005f_x0007__x005"/>
      <sheetName val="_x005f_x005f_x005f_x0000__x005f_x005f_x005f_x0000__x005"/>
      <sheetName val="同业存放Ⱦ_x005f_x005f_x005f_x0000_"/>
      <sheetName val="_x005f_x005f_x005f_x0000__x005f_x005f_x005f_x0001__x005"/>
      <sheetName val="表外项目_x005f_x005f_x005f_xffff_保函"/>
      <sheetName val="Basic_Data"/>
      <sheetName val="UFPrn20090217100806"/>
      <sheetName val="_x005f_x0000_*_x005f_x0000__x005f_x0000__x005f_x0000_ª¥"/>
      <sheetName val="_x005f_x005f_x005f_x001f_0-BS_x005f_x000a_؁"/>
      <sheetName val="分产品销售收入、成本分析表"/>
      <sheetName val="假设 Assumptions"/>
      <sheetName val="ZLR1"/>
      <sheetName val="FF-6"/>
      <sheetName val="试算平衡表"/>
      <sheetName val="Coach Chassis (inventory)"/>
      <sheetName val="U211B"/>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TITEM_(2)"/>
      <sheetName val="ZHITEM_(2)"/>
      <sheetName val="王府井_(2)"/>
      <sheetName val="0-BS&#10;؁"/>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TITEM_(2)1"/>
      <sheetName val="ZHITEM_(2)1"/>
      <sheetName val="王府井_(2)1"/>
      <sheetName val="0-BS_؁"/>
      <sheetName val="12月中旬 (2)"/>
      <sheetName val="内部购进明细表"/>
      <sheetName val="表六_"/>
      <sheetName val="长"/>
      <sheetName val="*ª¥$RÝRÝ"/>
      <sheetName val="zà"/>
      <sheetName val="长"/>
      <sheetName val="¨/ÝÝ"/>
      <sheetName val="®à"/>
      <sheetName val="清单12_31"/>
      <sheetName val="12月中旬_(2)"/>
      <sheetName val="Sign_Off_Form"/>
      <sheetName val="시실누(모)_"/>
      <sheetName val="?_x0007_???¨/_x0016_?????Ý_x0013_?Ý"/>
      <sheetName val="???????_x0007_???®à_x0013_?????"/>
      <sheetName val="?_x0001_???¨/_x0016_?????Ý_x0013_?Ý"/>
      <sheetName val="XREF"/>
      <sheetName val="核算项目余额表"/>
      <sheetName val="三家其他应付公司"/>
      <sheetName val="成本"/>
      <sheetName val="材料消耗"/>
      <sheetName val="无形资产-203"/>
      <sheetName val="Data_List"/>
      <sheetName val="Dropdown_list"/>
      <sheetName val="?*???ª¥$????RÝ?RÝ"/>
      <sheetName val="??????????zà?????"/>
      <sheetName val="_____ª¥$____RÝ_RÝ"/>
      <sheetName val="__________zà_____"/>
      <sheetName val="长_x005f_x005f_x005f_x0013_"/>
      <sheetName val="_x005f_x005f_x005f_x0000___x005f_x005f_x005f_x0000__x00"/>
      <sheetName val="_____ª¥$_x005f_x0004_____RÝ_x005f_x0013__RÝ"/>
      <sheetName val="________x005f_x0007____zà_x005f_x0013______"/>
      <sheetName val="无形资产-2_x005f_x0010_03"/>
      <sheetName val="表外项目_x005f_x005f_x005f_x005f_x005f_x005f_x005f_xffff_保函"/>
      <sheetName val="Income Statement"/>
      <sheetName val="__x0007____¨__x0016______Ý_x0013__Ý"/>
      <sheetName val="________x0007____®à_x0013______"/>
      <sheetName val="__x0001____¨__x0016______Ý_x0013__Ý"/>
      <sheetName val="_ª¥$RÝRÝ"/>
      <sheetName val="¨_ÝÝ"/>
      <sheetName val="利润及分配表"/>
      <sheetName val="资产方"/>
      <sheetName val="减值准备表"/>
      <sheetName val="负债方"/>
      <sheetName val="3-2-8"/>
      <sheetName val="3-2-7"/>
      <sheetName val="3-2-9"/>
      <sheetName val="房屋租赁合同统计表"/>
      <sheetName val="上缴管理费明细"/>
      <sheetName val="固定资产清单"/>
      <sheetName val="生产成本"/>
      <sheetName val="2003本部资产负债试算表"/>
      <sheetName val="2003本部利润及利润分配表试算表"/>
      <sheetName val="breakdown"/>
      <sheetName val="成本控制表"/>
      <sheetName val="5月"/>
      <sheetName val="6月"/>
      <sheetName val="数外余额"/>
      <sheetName val="封面目录"/>
      <sheetName val="利表审定"/>
      <sheetName val="上年试算平衡表"/>
      <sheetName val="H2-1"/>
      <sheetName val="SENSITIVITY"/>
      <sheetName val="dxnsjtempsheet"/>
      <sheetName val="HL"/>
      <sheetName val="1-7-1"/>
      <sheetName val="重分类调整"/>
      <sheetName val="2"/>
      <sheetName val="3"/>
      <sheetName val="4"/>
      <sheetName val="5"/>
      <sheetName val="6"/>
      <sheetName val="7"/>
      <sheetName val="8"/>
      <sheetName val="9"/>
      <sheetName val="12"/>
      <sheetName val="TOTAL"/>
      <sheetName val="明细表D4-2-1-1项目分"/>
      <sheetName val="明细分类账"/>
      <sheetName val="其他液氨采购"/>
      <sheetName val="内销硫酸期初"/>
      <sheetName val="房屋及建筑物"/>
      <sheetName val="会计事项调整表"/>
      <sheetName val="资产负债表(本部原报)"/>
      <sheetName val="总分类账"/>
      <sheetName val="库存商品余额表.dbf"/>
      <sheetName val="生产领料bak"/>
      <sheetName val="TT04"/>
      <sheetName val="收入、成本、收款"/>
      <sheetName val="评估结论"/>
      <sheetName val="_x005f_x0000__x005f_x0000__x005"/>
      <sheetName val="_x005f_x005f_x005f_x0000__x005f"/>
      <sheetName val="明细表(品种)"/>
      <sheetName val="销项税"/>
      <sheetName val="各单位目标指标"/>
      <sheetName val="1月固定资产清单"/>
      <sheetName val="库存商品各月产量变动分析表G2-4-3"/>
      <sheetName val="湖南湘潭应付个人明细帐"/>
      <sheetName val="品种酒生产月报10月"/>
      <sheetName val="其他应收款－个人借款明细"/>
      <sheetName val="A430"/>
      <sheetName val="BALANCE SHEET"/>
      <sheetName val="#REF"/>
      <sheetName val="费用填报表"/>
      <sheetName val="界面"/>
      <sheetName val="参数"/>
      <sheetName val="主菜单"/>
      <sheetName val="主营业务收入mx"/>
      <sheetName val="工程物资Dy"/>
      <sheetName val="标本-资产"/>
      <sheetName val="专项应付款Dy"/>
      <sheetName val="分录"/>
      <sheetName val="营业外支出Dy"/>
      <sheetName val="累计折旧测算表"/>
      <sheetName val="校对"/>
      <sheetName val="坏账准备_应收账款Dy"/>
      <sheetName val="外销收入明细表"/>
      <sheetName val="内部销售明细表"/>
      <sheetName val="07年1-9月"/>
      <sheetName val="生产成本mx"/>
      <sheetName val="关联方"/>
      <sheetName val="STATPARA"/>
      <sheetName val="preBS"/>
      <sheetName val="preIS"/>
      <sheetName val="preCE"/>
      <sheetName val="TB"/>
      <sheetName val="合格数详细信息"/>
      <sheetName val="制造费用MX"/>
      <sheetName val="鸡油车间"/>
      <sheetName val="程序表原始数据"/>
      <sheetName val="单位名称"/>
      <sheetName val="调整后报表"/>
      <sheetName val="PER SALES ORG"/>
      <sheetName val="loan database"/>
      <sheetName val="５８D"/>
      <sheetName val="balance"/>
      <sheetName val="细节测试审计抽样"/>
      <sheetName val="营业费用测试"/>
      <sheetName val="FS"/>
      <sheetName val="gl"/>
      <sheetName val="Adm"/>
      <sheetName val="sell"/>
      <sheetName val="Fin"/>
      <sheetName val="短期借款Dy"/>
      <sheetName val="存货Dy"/>
      <sheetName val="应收利息Dy"/>
      <sheetName val="外销涤布"/>
      <sheetName val="账面外销"/>
      <sheetName val="Detailed Testing"/>
      <sheetName val="基础信息"/>
      <sheetName val="H053"/>
      <sheetName val="可供出售金融资产Dy"/>
      <sheetName val="UFPrn20031203195053"/>
      <sheetName val="Title"/>
      <sheetName val="工资系数05.6"/>
      <sheetName val="工时统计"/>
      <sheetName val="PRC-BS-SZ"/>
      <sheetName val="采购入库单列表G2-2-9"/>
      <sheetName val="P12 TB SZ"/>
      <sheetName val="eqpmad2"/>
      <sheetName val="original"/>
      <sheetName val="函证汇总表 G4-4-1"/>
      <sheetName val="目录"/>
      <sheetName val="委托加工材料"/>
      <sheetName val="收入明细－按客户"/>
      <sheetName val="G110"/>
      <sheetName val="Validation"/>
      <sheetName val="管理费用(集团董事会)"/>
      <sheetName val="采购公允性一(汇总重)"/>
      <sheetName val="明细账"/>
      <sheetName val="产值平衡表"/>
      <sheetName val="表一(1)"/>
      <sheetName val="存货汇总表10"/>
      <sheetName val="资"/>
      <sheetName val="Validation source"/>
      <sheetName val="ONE"/>
      <sheetName val="Price type"/>
      <sheetName val="上月"/>
      <sheetName val="费用分析"/>
      <sheetName val="Holidays"/>
      <sheetName val="Invested Capital"/>
      <sheetName val="ADJTBL 3100"/>
      <sheetName val="BUY"/>
      <sheetName val="调整后季度计划情况汇总"/>
      <sheetName val="码表"/>
      <sheetName val="台帐"/>
      <sheetName val="&lt;原报&gt;资产负债表"/>
      <sheetName val="设置"/>
      <sheetName val="03年1季度"/>
      <sheetName val="明细输入"/>
      <sheetName val="ZH1-4其他应收款个别认定"/>
      <sheetName val="ZH1-3应收账款个别认定"/>
      <sheetName val="调2010"/>
      <sheetName val="发生额"/>
      <sheetName val="调11"/>
      <sheetName val="累计额"/>
      <sheetName val=" "/>
      <sheetName val="户名"/>
      <sheetName val="SW-TEO"/>
      <sheetName val="抵销表"/>
      <sheetName val="基础表"/>
      <sheetName val="披露表(上市)"/>
      <sheetName val="役"/>
      <sheetName val="其他应付款科目余额2005.12.31"/>
      <sheetName val="供电"/>
      <sheetName val="供风"/>
      <sheetName val="供汽"/>
      <sheetName val="供水"/>
      <sheetName val="除盐水"/>
      <sheetName val="ssy1"/>
      <sheetName val="基础数据表"/>
      <sheetName val="99累油"/>
      <sheetName val="SALK"/>
      <sheetName val="企业意见"/>
      <sheetName val="B1-7"/>
      <sheetName val="INTRO"/>
      <sheetName val="GOUT"/>
      <sheetName val="工作表目录"/>
      <sheetName val="审定报表"/>
      <sheetName val="关联清单"/>
      <sheetName val="资对比"/>
      <sheetName val="损对比"/>
      <sheetName val="01065"/>
      <sheetName val="227、JMJD佳美经典"/>
      <sheetName val="III-1-1"/>
      <sheetName val="EXIT"/>
      <sheetName val="CA Sheet"/>
      <sheetName val="FSA"/>
      <sheetName val="原材料"/>
      <sheetName val="会计科目表"/>
      <sheetName val="工程项目完工表"/>
      <sheetName val="管理费用Dy"/>
      <sheetName val="销售费用Dy"/>
      <sheetName val="营业收入Dy"/>
      <sheetName val="D02A"/>
      <sheetName val="27-7"/>
      <sheetName val="_x001f_0-BS ؁"/>
      <sheetName val="KKKKKKKK"/>
      <sheetName val="param"/>
      <sheetName val="Traduction"/>
      <sheetName val="存货_生产成本Dy"/>
      <sheetName val="BS P&amp;L-SAP standard form"/>
      <sheetName val="XBase"/>
      <sheetName val="客户基本概况表"/>
      <sheetName val="待转业务收入-按客户"/>
      <sheetName val="待收账款"/>
      <sheetName val="收入和成本对应表"/>
      <sheetName val="TB表"/>
      <sheetName val="营业成本Dy"/>
      <sheetName val="其他应收款Dy"/>
      <sheetName val="广州库"/>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表单1"/>
      <sheetName val="本期权益变动表"/>
      <sheetName val="上期权益变动表"/>
      <sheetName val="附注表（二）"/>
      <sheetName val="Collateral"/>
      <sheetName val="_x005f_x005f_x005f_x005f_x005f_x005f_x005f_x0000__x005f"/>
      <sheetName val="_x005f_x001f_0-BS ؁"/>
      <sheetName val="_8022"/>
      <sheetName val="附A-7"/>
      <sheetName val="_8004"/>
      <sheetName val="_8025"/>
      <sheetName val="差异调整97"/>
      <sheetName val="明细科目余额表"/>
      <sheetName val="预付账款04"/>
      <sheetName val="固定资产04"/>
      <sheetName val="累计折旧04"/>
      <sheetName val="在建工程-杏花镇"/>
      <sheetName val="在建工程-新厂区"/>
      <sheetName val="应付票据04"/>
      <sheetName val="科目余额表正式"/>
      <sheetName val="所得税凭证抽查"/>
      <sheetName val="2005年票据"/>
      <sheetName val="资产负债表及损益表"/>
      <sheetName val="重要内部交易"/>
      <sheetName val="制造费用"/>
      <sheetName val="应付账款04"/>
      <sheetName val="固定资产清理04"/>
      <sheetName val="合并现过表"/>
      <sheetName val="8042"/>
      <sheetName val="调整分录汇总表（1）"/>
      <sheetName val="清产核资资产负债表 "/>
      <sheetName val="income_tax"/>
      <sheetName val="income_tax_06"/>
      <sheetName val="sales_tax"/>
      <sheetName val="sales_tax_06"/>
      <sheetName val="vat_input"/>
      <sheetName val="vat_output"/>
      <sheetName val="vat_input_transfer_out"/>
      <sheetName val="vat_paid"/>
      <sheetName val="进场保证金1"/>
      <sheetName val="联营明细not use"/>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_x001f_0-BS&#13;؁"/>
      <sheetName val="_x005f_x001f_0-BS&#13;؁"/>
      <sheetName val="设定"/>
      <sheetName val="_x0007_¨/_x0016_†Ý_x0013_†Ý"/>
      <sheetName val="_x0001_¨/_x0016_†Ý_x0013_†Ý"/>
      <sheetName val="_x0007_"/>
      <sheetName val="_x0001_"/>
      <sheetName val="首先输入"/>
      <sheetName val="_1"/>
      <sheetName val="准备工作"/>
      <sheetName val="评估假设"/>
      <sheetName val="应收账款余额表12月余额表"/>
      <sheetName val="2009.10月应收账款余额表"/>
      <sheetName val="2009.11月应收账款余额表"/>
      <sheetName val="2009.12月应收账款余额表"/>
      <sheetName val="2010.1月收款情况"/>
      <sheetName val="信息"/>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短期投资国债投资.dbf"/>
      <sheetName val="短期投资股票投资.dbf"/>
      <sheetName val="股票投资收益.dbf"/>
      <sheetName val="投资收益债券.dbf"/>
      <sheetName val="其他货币零领路.dbf"/>
      <sheetName val="其他货币海通.dbf"/>
      <sheetName val="#REF!"/>
      <sheetName val="#REF"/>
      <sheetName val="企业表一"/>
      <sheetName val="M-5C"/>
      <sheetName val="M-5A"/>
      <sheetName val="索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科目余额表"/>
      <sheetName val="会计分录序时簿"/>
      <sheetName val="清单12.31"/>
      <sheetName val="企业表一"/>
      <sheetName val="M-5C"/>
      <sheetName val="M-5A"/>
      <sheetName val="索引"/>
      <sheetName val="其他货币资金.dbf"/>
      <sheetName val="银行存款.dbf"/>
      <sheetName val="表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利润表项目"/>
      <sheetName val="W"/>
      <sheetName val="基本情况表"/>
      <sheetName val="2010年试算平衡表"/>
      <sheetName val="本年试算平衡表"/>
      <sheetName val="资产负债表原报 (2)"/>
      <sheetName val="Sheet1 (11)"/>
      <sheetName val="权益变动"/>
      <sheetName val="账上导出数（包括暂估）"/>
      <sheetName val="eqpmad2"/>
      <sheetName val="应收票据函证控制表"/>
      <sheetName val="POWER ASSUMPTIONS"/>
      <sheetName val="房屋及建筑物"/>
      <sheetName val="广告费测试表"/>
      <sheetName val="包增减变动"/>
      <sheetName val="明细分类账"/>
      <sheetName val="DTCT"/>
      <sheetName val="Mp-team 1"/>
      <sheetName val="UFPrn20030305081341"/>
      <sheetName val="盈余公积Dy"/>
      <sheetName val="Movement"/>
      <sheetName val="土建-全钢一期二期"/>
      <sheetName val="其他土建"/>
      <sheetName val="G.1R-Shou COP Gf"/>
      <sheetName val="BS"/>
      <sheetName val="PL"/>
      <sheetName val="TB"/>
      <sheetName val="_______"/>
      <sheetName val="SW-TEO"/>
      <sheetName val="Toolbox"/>
      <sheetName val="Sale breakdown"/>
      <sheetName val="YS02-02"/>
      <sheetName val="Tickmarks"/>
      <sheetName val="Sales branch breakdown"/>
      <sheetName val="应付账款04"/>
      <sheetName val="预付账款04"/>
      <sheetName val="固定资产04"/>
      <sheetName val="累计折旧04"/>
      <sheetName val="固定资产清理04"/>
      <sheetName val="在建工程-杏花镇"/>
      <sheetName val="在建工程-新厂区"/>
      <sheetName val="应付票据04"/>
      <sheetName val="Financ. Overview"/>
      <sheetName val="1_阿联酋_迪拜"/>
      <sheetName val="固定资产清单"/>
      <sheetName val="车辆价值计算表"/>
      <sheetName val="科目余额表1"/>
      <sheetName val="存货程序表"/>
      <sheetName val="基本信息"/>
      <sheetName val="dxnsjtempsheet"/>
      <sheetName val="٥Ā应"/>
      <sheetName val="函证汇总表"/>
      <sheetName val="营业费用Dy"/>
      <sheetName val="主营业务收入Dy"/>
      <sheetName val="应缴增值税测算明细表（按月）"/>
      <sheetName val="Open"/>
      <sheetName val="营业收入审定表"/>
      <sheetName val="应付帐款明细表1-12月"/>
      <sheetName val="余良卿9月"/>
      <sheetName val="56330-账面 (2)"/>
      <sheetName val="PIT"/>
      <sheetName val="Links"/>
      <sheetName val="Lead"/>
      <sheetName val="资产负债表(本部原报)"/>
      <sheetName val="科目余额表正式"/>
      <sheetName val="erp测算"/>
      <sheetName val="Validation source"/>
      <sheetName val="会计科目"/>
      <sheetName val="PER SALES ORG"/>
      <sheetName val="盈余公积 （合并)"/>
      <sheetName val="审计调整"/>
      <sheetName val="标本-资产"/>
      <sheetName val="合"/>
      <sheetName val="审定BS"/>
      <sheetName val="审定IN"/>
      <sheetName val="其他科目"/>
      <sheetName val="原材料（系统）"/>
      <sheetName val="Sale summary"/>
      <sheetName val="2007年其他应收款明细表 (2)"/>
      <sheetName val="长期借款程序表"/>
      <sheetName val="利息分配检查表"/>
      <sheetName val="基础数据"/>
      <sheetName val="123"/>
      <sheetName val="银行存款明细表"/>
      <sheetName val="HPGR LAB sw"/>
      <sheetName val="预付账款汇总表"/>
      <sheetName val="113301"/>
      <sheetName val="资产负债表调整过程表"/>
      <sheetName val="利润调整过程表"/>
      <sheetName val="dm"/>
      <sheetName val="管理费用程序表"/>
      <sheetName val="南通对尚玛可销售开票汇总表"/>
      <sheetName val="原报调整分录"/>
      <sheetName val="审计调整分录"/>
      <sheetName val="抽查表"/>
      <sheetName val="入库截止测试-原材料"/>
      <sheetName val="固定资产2001年折旧"/>
      <sheetName val="查证1"/>
      <sheetName val="应收明细账"/>
      <sheetName val="其他应付单位往来"/>
      <sheetName val="明细表"/>
      <sheetName val="2006"/>
      <sheetName val="折旧测试2007"/>
      <sheetName val="OR Breakdown"/>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收入、成本、收款"/>
      <sheetName val="本部固定明细"/>
      <sheetName val="预付账款明细表"/>
      <sheetName val="内部购进明细表"/>
      <sheetName val="客户编码"/>
      <sheetName val="Statistics {pbe}"/>
      <sheetName val="Allow {pbe}"/>
      <sheetName val="2012年营业收入审定表"/>
      <sheetName val="2012年主营业务收入毛利分析"/>
      <sheetName val="2011年主营业务收入毛利分析"/>
      <sheetName val="总部调整"/>
      <sheetName val="汇总抵消"/>
      <sheetName val="SI"/>
      <sheetName val="2010年台帐"/>
      <sheetName val="MAP_HKG"/>
      <sheetName val="MAP_KSC"/>
      <sheetName val="MAP_PEK"/>
      <sheetName val="MAP_SSH"/>
      <sheetName val="REG_HKG"/>
      <sheetName val="REG_KSC"/>
      <sheetName val="REG_PEK"/>
      <sheetName val="REG_SSH"/>
      <sheetName val="营业费用测试"/>
      <sheetName val="5月"/>
      <sheetName val="6月"/>
      <sheetName val="10月回款"/>
      <sheetName val="10月销售"/>
      <sheetName val="余额表"/>
      <sheetName val="存货分析表G2-4"/>
      <sheetName val="账面外销"/>
      <sheetName val="审前BS"/>
      <sheetName val="审定BS报出"/>
      <sheetName val="TB IN"/>
      <sheetName val="审定IN报出"/>
      <sheetName val="审前IN"/>
      <sheetName val="UFPrn20070127142303"/>
      <sheetName val="2000年信托利润表汇总"/>
      <sheetName val="收入成本明细表"/>
      <sheetName val="工程施工与结算"/>
      <sheetName val="现金账6月-1"/>
      <sheetName val="原材料-纸张帐"/>
      <sheetName val="审计程序"/>
      <sheetName val="TIS"/>
      <sheetName val="银行存、借款及票据函证统计表"/>
      <sheetName val="EXP"/>
      <sheetName val="Listen"/>
      <sheetName val="Start"/>
      <sheetName val="Bilanz Aktiva"/>
      <sheetName val="Bil.Zu-Abgang"/>
      <sheetName val="Cash Flow"/>
      <sheetName val="GuV"/>
      <sheetName val="Bilanz Passiva"/>
      <sheetName val="Item"/>
      <sheetName val="Ã«ÀûÂÊ·ÖÎö±í"/>
      <sheetName val="Bilanz"/>
      <sheetName val="Personal"/>
      <sheetName val="commentary"/>
      <sheetName val="Cash of Company"/>
      <sheetName val="New investment"/>
      <sheetName val="Stamp duty code"/>
      <sheetName val=" 弃"/>
      <sheetName val="data"/>
      <sheetName val="name"/>
      <sheetName val="ZI2存货"/>
      <sheetName val="现金流量表"/>
      <sheetName val="调整分录"/>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邯矿"/>
      <sheetName val="合并表"/>
      <sheetName val="金化"/>
      <sheetName val="通达"/>
      <sheetName val="KKKKKKKK"/>
      <sheetName val="Breakdown"/>
      <sheetName val="3331"/>
      <sheetName val="3334"/>
      <sheetName val="3388"/>
      <sheetName val="3389"/>
      <sheetName val="4213"/>
      <sheetName val="5357"/>
      <sheetName val="8066"/>
      <sheetName val="库存商品余额表.dbf"/>
      <sheetName val="差异调整97"/>
      <sheetName val="param"/>
      <sheetName val="附表10"/>
      <sheetName val="物资采购含税转出"/>
      <sheetName val="FA EB+YY"/>
      <sheetName val="试算平衡表"/>
      <sheetName val="XBase"/>
      <sheetName val="BDC Raw Data"/>
      <sheetName val="外销涤布"/>
      <sheetName val="新准则TB"/>
      <sheetName val="Repayment Summary"/>
      <sheetName val="封面"/>
      <sheetName val="待摊费用明细表"/>
      <sheetName val="长期借款明细表1"/>
      <sheetName val="MY"/>
      <sheetName val="05.7工资分析"/>
      <sheetName val="资合并"/>
      <sheetName val="四月份月报"/>
      <sheetName val="2002年一般预算收入"/>
      <sheetName val="农业用地"/>
      <sheetName val="程序表"/>
      <sheetName val="程序表2"/>
      <sheetName val="权益法审定表"/>
      <sheetName val="审定表"/>
      <sheetName val="入库分类"/>
      <sheetName val="披露表(上市)"/>
      <sheetName val="固定资产明细"/>
      <sheetName val="FA明细"/>
      <sheetName val="其他应付单位"/>
      <sheetName val="销售费用程序表"/>
      <sheetName val="294B b4 THAI SALE"/>
      <sheetName val="ALCUST"/>
      <sheetName val="跨期运保费抽查"/>
      <sheetName val="53130"/>
      <sheetName val="资产负债表及损益表"/>
      <sheetName val="重要内部交易"/>
      <sheetName val="分产品销售收入、成本分析表"/>
      <sheetName val="累计折旧"/>
      <sheetName val="   函证设计表D2-5-2"/>
      <sheetName val="母公司附注"/>
      <sheetName val="FA movement"/>
      <sheetName val="Sens"/>
      <sheetName val="AS-1"/>
      <sheetName val="AS-3"/>
      <sheetName val="AS-C"/>
      <sheetName val="AS-E"/>
      <sheetName val="AS-P1"/>
      <sheetName val="备选程序"/>
      <sheetName val="D433 制造费用分月汇总表"/>
      <sheetName val="D432 管理费用分月汇总表"/>
      <sheetName val="现金"/>
      <sheetName val="资本公积审定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for disc"/>
      <sheetName val="Confirmation Control"/>
      <sheetName val="master"/>
      <sheetName val="參數"/>
      <sheetName val="银行存款核对表"/>
      <sheetName val="G1-1营业收入审定表"/>
      <sheetName val="应收账款余额表"/>
      <sheetName val="所得税明细表"/>
      <sheetName val="newcost"/>
      <sheetName val="for_disclosure"/>
      <sheetName val="FA_Breakdown"/>
      <sheetName val="other_comments"/>
      <sheetName val="summary_"/>
      <sheetName val="Third_party"/>
      <sheetName val="POWER_ASSUMPTIONS"/>
      <sheetName val="清单12_31"/>
      <sheetName val="引用数据"/>
      <sheetName val="数外余额"/>
      <sheetName val="会计科目表"/>
      <sheetName val="主营业务明细表"/>
      <sheetName val="12月份品种酒生产月报表"/>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填写参数"/>
      <sheetName val="3-07-17制造费用"/>
      <sheetName val="3-07-15在建工程"/>
      <sheetName val="2-09"/>
      <sheetName val="营业外收支明细"/>
      <sheetName val="上年调整分录"/>
      <sheetName val="封面目录"/>
      <sheetName val="本年调整分录"/>
      <sheetName val="报表附注"/>
      <sheetName val="2011现流底稿"/>
      <sheetName val="利表审定"/>
      <sheetName val="资产审定表"/>
      <sheetName val="负债审定表"/>
      <sheetName val="Collateral"/>
      <sheetName val="Disposition"/>
      <sheetName val="综合成本分析01.01-0205"/>
      <sheetName val="FY02"/>
      <sheetName val="Income Statement"/>
      <sheetName val="Balance Sheet"/>
      <sheetName val="Altman Z"/>
      <sheetName val="2月收入成本明细表"/>
      <sheetName val="11"/>
      <sheetName val="Control"/>
      <sheetName val="固定资产(原表)"/>
      <sheetName val="专项应付款2"/>
      <sheetName val="2002-2004产销率"/>
      <sheetName val="original"/>
      <sheetName val="TB--附注"/>
      <sheetName val="储藏室"/>
      <sheetName val="科目余额表-总部及380"/>
      <sheetName val="Profile"/>
      <sheetName val="source"/>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收入"/>
      <sheetName val="说明"/>
      <sheetName val="总利润表"/>
      <sheetName val="记账凭证测试表—应收账款"/>
      <sheetName val="填表人、评估人员（引用表）"/>
      <sheetName val="TB表"/>
      <sheetName val="机器设备计算表"/>
      <sheetName val="坏账准备_其他应收款Dy"/>
      <sheetName val="坏账准备_预付账款Dy"/>
      <sheetName val="Namelist"/>
      <sheetName val="数量金额总账"/>
      <sheetName val="表5_2_1固定资产—机器设备"/>
      <sheetName val="成本法-决算调整法"/>
      <sheetName val="4-6-1房屋建筑物"/>
      <sheetName val=""/>
      <sheetName val="2010.02"/>
      <sheetName val="存货整体结构12月"/>
      <sheetName val="存货整体结构7月"/>
      <sheetName val="2012年长期挂账"/>
      <sheetName val="嘉诚珠宝"/>
      <sheetName val="05_7工资分析"/>
      <sheetName val="收入查证表"/>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000065"/>
      <sheetName val="产成品盘点表"/>
      <sheetName val="其他科目&#13;[分析表.XLS]G9-1&#13;[分"/>
      <sheetName val="利润重分类分录"/>
      <sheetName val="13应付账款明细表"/>
      <sheetName val="暂估分供应商汇总"/>
      <sheetName val="货币资金审定表"/>
      <sheetName val="Sch.1"/>
      <sheetName val="yb"/>
      <sheetName val="冲压领料"/>
      <sheetName val="_x005f_x0000__x005f_x0000__x005f_x0000__x005f_x0000__x0"/>
      <sheetName val="细节测试审计抽样"/>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其他科目_x005f_x0000__x005f_x0000__x005f_x000d__分析表.X"/>
      <sheetName val="_x0"/>
      <sheetName val="其他科目&#13;_分析表.X"/>
      <sheetName val="6125应付职工薪酬"/>
      <sheetName val="6126-1-2固定资产折旧明细 "/>
      <sheetName val="折旧计算表"/>
      <sheetName val="Client Code"/>
      <sheetName val="Project Code"/>
      <sheetName val="L1"/>
      <sheetName val="Additions to FA"/>
      <sheetName val="21710101进项税额"/>
      <sheetName val="Sample design"/>
      <sheetName val="K701"/>
      <sheetName val="Tax"/>
      <sheetName val="Nov,01"/>
      <sheetName val="Category"/>
      <sheetName val="Client"/>
      <sheetName val="养路支出审定表"/>
      <sheetName val="养路支出明细表"/>
      <sheetName val="养路支出抽查表"/>
      <sheetName val="通用式抽查表"/>
      <sheetName val="借款工程支出审定表"/>
      <sheetName val="借款工程支出抽查表"/>
      <sheetName val="01065"/>
      <sheetName val="科目名称"/>
      <sheetName val="BPR"/>
      <sheetName val="报表项目列表"/>
      <sheetName val="附注汇总"/>
      <sheetName val="Sheet2_(3)"/>
      <sheetName val="for_disclosure1"/>
      <sheetName val="其他货币资金_dbf"/>
      <sheetName val="银行存款_dbf"/>
      <sheetName val="清单12_311"/>
      <sheetName val="loan_database"/>
      <sheetName val="FA_Breakdown1"/>
      <sheetName val="other_comments1"/>
      <sheetName val="Expense_summary"/>
      <sheetName val="2008_10_27-31日实际出库明细"/>
      <sheetName val="Sales_ADJ_2008_1-10"/>
      <sheetName val="Third_party1"/>
      <sheetName val="summary_1"/>
      <sheetName val="短期投资股票投资_dbf"/>
      <sheetName val="短期投资国债投资_dbf"/>
      <sheetName val="股票投资收益_dbf"/>
      <sheetName val="其他货币海通_dbf"/>
      <sheetName val="其他货币零领路_dbf"/>
      <sheetName val="投资收益债券_dbf"/>
      <sheetName val="POWER_ASSUMPTIONS1"/>
      <sheetName val="Mp-team_1"/>
      <sheetName val="G_1R-Shou_COP_Gf"/>
      <sheetName val="Sale_breakdown"/>
      <sheetName val="Financ__Overview"/>
      <sheetName val="56330-账面_(2)"/>
      <sheetName val="PER_SALES_ORG"/>
      <sheetName val="盈余公积_（合并)"/>
      <sheetName val="Sales_branch_breakdown"/>
      <sheetName val="Sheet1_(11)"/>
      <sheetName val="Validation_source"/>
      <sheetName val="2007年其他应收款明细表_(2)"/>
      <sheetName val="Sale_summary"/>
      <sheetName val="Statistics_{pbe}"/>
      <sheetName val="Allow_{pbe}"/>
      <sheetName val="OR_Breakdown"/>
      <sheetName val="TB_IN"/>
      <sheetName val="HPGR_LAB_sw"/>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FA_EB+YY"/>
      <sheetName val="BDC_Raw_Data"/>
      <sheetName val="Repayment_Summary"/>
      <sheetName val="资产负债表原报_(2)"/>
      <sheetName val="294B_b4_THAI_SALE"/>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1月"/>
      <sheetName val="中山低值"/>
      <sheetName val="金铜矿存货收发存汇总表1-9月"/>
      <sheetName val="工作表目录"/>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本期报表"/>
      <sheetName val="DEP"/>
      <sheetName val="dept"/>
      <sheetName val="关联交易-存款"/>
      <sheetName val="Invoice"/>
      <sheetName val="Customize Your Invoice"/>
      <sheetName val="Historic BS"/>
      <sheetName val="封面 "/>
      <sheetName val="商务折扣"/>
      <sheetName val="工时统计"/>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inf"/>
      <sheetName val="披露表(国资)"/>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产销量值.1"/>
      <sheetName val="材料消耗"/>
      <sheetName val="收入成本表"/>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科目余额表-最终"/>
      <sheetName val="岗位工资"/>
      <sheetName val="权益调整"/>
      <sheetName val="8月份 帐套"/>
      <sheetName val="主营业务成本明细表"/>
      <sheetName val="其他科目_x005f_x0000__x005f_x0000__x005f_x000d_[分析表.X"/>
      <sheetName val="应交税费程序表"/>
      <sheetName val="结算备付金"/>
      <sheetName val="工程物资Dy"/>
      <sheetName val="应收票据单位明细"/>
      <sheetName val="制造费用Dy"/>
      <sheetName val="主菜单"/>
      <sheetName val="预收"/>
      <sheetName val="应付函证"/>
      <sheetName val="应付职工薪酬程序表"/>
      <sheetName val="应付职工薪酬明细表"/>
      <sheetName val="其他科目&#10;[分析表.XLS]G9-1&#10;[分"/>
      <sheetName val="其他科目_x005f_x005f_x005f_x0000__x005f_x005f_x005f_x0000__"/>
      <sheetName val="其他科目_x005f_x0000__x005f_x0000__x005f_x000a__分析表.X"/>
      <sheetName val="物料编码"/>
      <sheetName val="应付账款程序表"/>
      <sheetName val="总表"/>
      <sheetName val="暂估"/>
      <sheetName val="应收账款贷方余额表"/>
      <sheetName val="应收账款借方余额表"/>
      <sheetName val="上年试算表"/>
      <sheetName val="示范99tzfl"/>
      <sheetName val="基"/>
      <sheetName val="Checklist"/>
      <sheetName val="_x005f_x005f_x005f_x0000__x005f_x005f_x005f_x0000__x005"/>
      <sheetName val="营业费用截止"/>
      <sheetName val="Basic_Data"/>
      <sheetName val="内部购入存货明细表"/>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营业外"/>
      <sheetName val="Parameters"/>
      <sheetName val="合并抵销"/>
      <sheetName val="评估假设"/>
      <sheetName val="审核2.XLS"/>
      <sheetName val="Profit and Loss"/>
      <sheetName val="审计说明"/>
      <sheetName val="xj"/>
      <sheetName val="5"/>
      <sheetName val="4"/>
      <sheetName val="3"/>
      <sheetName val="资产减值准备 "/>
      <sheetName val="资产表"/>
      <sheetName val="负债表"/>
      <sheetName val="VW 358 &amp; Gleichteile"/>
      <sheetName val="封面 Cover"/>
      <sheetName val="表10"/>
      <sheetName val="目录 Index"/>
      <sheetName val="利－合并"/>
      <sheetName val="负－合并"/>
      <sheetName val="其他科目&#13;[分析表.X"/>
      <sheetName val="其他科目_x005f_x0000__x005f_x0000__"/>
      <sheetName val="其他科目&#10;_分析表.X"/>
      <sheetName val="_x005f_x0000__x005f_x0000__x005"/>
      <sheetName val="UFPrn20090223104227"/>
      <sheetName val="未展开"/>
      <sheetName val="10色母料"/>
      <sheetName val="清单"/>
      <sheetName val="产成品计价3"/>
      <sheetName val="FA-2"/>
      <sheetName val="FE-0调整分录"/>
      <sheetName val="累计折旧复核表—房屋本期"/>
      <sheetName val="累计折旧明细表"/>
      <sheetName val="累计折旧复核(有减值准备时选用)"/>
      <sheetName val="应付帐款余额表"/>
      <sheetName val="SHIP"/>
      <sheetName val="Vendor Data"/>
      <sheetName val="F130&quot;"/>
      <sheetName val="数量对比"/>
      <sheetName val="其他利润明细"/>
      <sheetName val="二级明细"/>
      <sheetName val="其他应收-导出"/>
      <sheetName val="所得税费用"/>
      <sheetName val="数字视频并帐"/>
      <sheetName val="KM"/>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Ideal World A3"/>
      <sheetName val="多级销售汇总表（备用）"/>
      <sheetName val="所有者权益(股东权益)变动表(未审)"/>
      <sheetName val="剥离前"/>
      <sheetName val="C_301"/>
      <sheetName val="C_311"/>
      <sheetName val="C_318"/>
      <sheetName val="负债试算表"/>
      <sheetName val="外地"/>
      <sheetName val="坯布"/>
      <sheetName val="材料"/>
      <sheetName val="外销"/>
      <sheetName val="_2640"/>
      <sheetName val="资产评估结果分类汇总表 (2)"/>
      <sheetName val="5132"/>
      <sheetName val="目錄"/>
      <sheetName val="汇总"/>
      <sheetName val="UFPrn20050217103510"/>
      <sheetName val="1"/>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其他应付款 "/>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B Excess Calc"/>
      <sheetName val="B 05 Breakdown by Product"/>
      <sheetName val="domestic sales tests"/>
      <sheetName val="53230"/>
      <sheetName val="63130"/>
      <sheetName val="现金导引表"/>
      <sheetName val="US Codes"/>
      <sheetName val="光缆总表"/>
      <sheetName val="会计科目(不能修订）"/>
      <sheetName val="Purchase"/>
      <sheetName val="2、利2010年"/>
      <sheetName val="附注索引"/>
      <sheetName val="合并利润表"/>
      <sheetName val="附注表（二）"/>
      <sheetName val="项目信息"/>
      <sheetName val="Floating leg"/>
      <sheetName val="Fixed Leg Curve"/>
      <sheetName val="Floating Leg Curve"/>
      <sheetName val="PL Statement_CN_WK"/>
      <sheetName val="Swap summary"/>
      <sheetName val="SC Consoll"/>
      <sheetName val="Adjusted BS"/>
      <sheetName val="laroux"/>
      <sheetName val="所得税调整"/>
      <sheetName val="Liabrary"/>
      <sheetName val="5201.2004"/>
      <sheetName val="cr余额"/>
      <sheetName val="帐龄表附表"/>
      <sheetName val="Setup"/>
      <sheetName val="FA"/>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INDEX"/>
      <sheetName val="Tables"/>
      <sheetName val="TSNO-DC"/>
      <sheetName val="12月到货 "/>
      <sheetName val="ANALYSEN"/>
      <sheetName val="N100"/>
      <sheetName val="价格"/>
      <sheetName val="A300"/>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accumdeprn"/>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AFEMAI"/>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
      <sheetName val="BႼ0Ӌ痨_x0002_郢ሃΨଊ痨郢ሃ_x001c_绺"/>
      <sheetName val="B8Ⴌ4Ӌ瘠_x0002_ඦΨଊ瘠ඦ_x001c_绺"/>
      <sheetName val="H101(OK)"/>
      <sheetName val="A包装物"/>
      <sheetName val="C包装物"/>
      <sheetName val="材料明细账"/>
      <sheetName val="Be"/>
      <sheetName val="Price List"/>
      <sheetName val="管理费用明细"/>
      <sheetName val="Bgሀြ0슌沅舤殉腼殉ㅏ怆 ɂሀ"/>
      <sheetName val="Bgैာ4슌櫂舤槆腼槆ॽᔒ@Ʉ_xd980_ै_xd980_"/>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B8"/>
      <sheetName val="Bgሀြ0슌沅"/>
      <sheetName val="Bgैာ4슌櫂"/>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索赔（按车型）A4"/>
      <sheetName val="制造成本预算表A3"/>
      <sheetName val="销售收入A4"/>
      <sheetName val="销售费用预算表(A4)"/>
      <sheetName val="质量月报表"/>
      <sheetName val="基础信息表"/>
      <sheetName val="折旧年限"/>
      <sheetName val="应收票据检查表"/>
      <sheetName val="应收帐款"/>
      <sheetName val="其他应收单位"/>
      <sheetName val="预收帐款"/>
      <sheetName val="应付帐款"/>
      <sheetName val="预付帐款 (2)"/>
      <sheetName val="管理费用(集团董事会)"/>
      <sheetName val="Title"/>
      <sheetName val="Revenue"/>
      <sheetName val="2008年"/>
      <sheetName val="应收账款Dy"/>
      <sheetName val="原材料Mx1"/>
      <sheetName val="UFPrn20060111164230"/>
      <sheetName val="基础"/>
      <sheetName val="管理费用_波动分析"/>
      <sheetName val="关联方"/>
      <sheetName val="生产成本Dy"/>
      <sheetName val="汇总调整"/>
      <sheetName val="2015试算平衡表2"/>
      <sheetName val="预算科目"/>
      <sheetName val="制费-分月"/>
      <sheetName val="成都费用（未分部门）"/>
      <sheetName val="利息7月-8月"/>
      <sheetName val="A1-A3"/>
      <sheetName val="A1_人员计划2009"/>
      <sheetName val="销量"/>
      <sheetName val="CHART_E"/>
      <sheetName val="Yr_1997"/>
      <sheetName val="标准索引体系_CF当期档案"/>
      <sheetName val="原材料-地方材料发出计价"/>
      <sheetName val="广州库"/>
      <sheetName val="Investment Property"/>
      <sheetName val="总目录"/>
      <sheetName val="审定表G3-1"/>
      <sheetName val="原料油"/>
      <sheetName val="报表索引"/>
      <sheetName val="报表科目数据源"/>
      <sheetName val="数据有效性"/>
      <sheetName val="存货汇总表10"/>
      <sheetName val="Selection"/>
      <sheetName val="retrieve BRANCH fy98"/>
      <sheetName val="在建工程设备"/>
      <sheetName val="调整分录汇总"/>
      <sheetName val="关联方及集团内清单"/>
      <sheetName val="预付清单"/>
      <sheetName val="5-Key Ratios"/>
      <sheetName val="12.31"/>
      <sheetName val="Sheet5"/>
      <sheetName val="21授信借款"/>
      <sheetName val="周转"/>
      <sheetName val="Time Series"/>
      <sheetName val="C-02 Cash &amp; Bank"/>
      <sheetName val="CMC"/>
      <sheetName val="GP analysis Per month"/>
      <sheetName val="Sales breakdown "/>
      <sheetName val="MA Adj. Test"/>
      <sheetName val="CompanyData"/>
      <sheetName val="4-1"/>
      <sheetName val="3 AJE - 09-11未入帐工资清单"/>
      <sheetName val="外仓1"/>
      <sheetName val="外仓TEM1"/>
      <sheetName val="其他科目_x005f_x005f_x005f_x0000__x"/>
      <sheetName val="其他科目_"/>
      <sheetName val="_x005f_x005f_x005f_x0000__x005f"/>
      <sheetName val="其他科目_x005f_x005f_x005f_x005f_x0"/>
      <sheetName val="_x005f_x005f_x005f_x005f_"/>
      <sheetName val="_x005"/>
      <sheetName val="17W315"/>
      <sheetName val="其他应收款D8-7坏账测试"/>
      <sheetName val="明细表D29-2"/>
      <sheetName val="审定表G7-1"/>
      <sheetName val="Final sample listing"/>
      <sheetName val="总公司2002.12.31"/>
      <sheetName val="新城资金明细"/>
      <sheetName val="申鑫大厦租金明细"/>
      <sheetName val="三林明细"/>
      <sheetName val="东陆明细"/>
      <sheetName val="Monetary assets 2007 (27a) "/>
      <sheetName val="应付账款 (2)"/>
      <sheetName val="数据定义2"/>
      <sheetName val="Drop Down"/>
      <sheetName val="4-货币资金-现金"/>
      <sheetName val="敏感"/>
      <sheetName val="科目余额"/>
      <sheetName val="公司TB"/>
      <sheetName val="索引表"/>
      <sheetName val="SP"/>
      <sheetName val="C"/>
      <sheetName val="评价汇兑收益分月"/>
      <sheetName val="addl cost"/>
      <sheetName val="FF-13"/>
      <sheetName val="Proposal-Fidelio FO "/>
      <sheetName val="COVER"/>
      <sheetName val="准备工作"/>
      <sheetName val="CBO0497"/>
      <sheetName val="HP"/>
      <sheetName val="17应付票据明细表"/>
      <sheetName val="K3代码"/>
      <sheetName val="_"/>
      <sheetName val="1-12月收入"/>
      <sheetName val="Quantity"/>
      <sheetName val="其他科目&#10;[分析表_XLS]G9-1&#10;[分"/>
      <sheetName val="8月份_帐套"/>
      <sheetName val="产销量值_1"/>
      <sheetName val="Excess_Calc"/>
      <sheetName val="124301_查询"/>
      <sheetName val="OR_Aging_summary"/>
      <sheetName val="2_25"/>
      <sheetName val="其他科目_x005f_x0000__x005f_x0000__x005f_x000a_[分析表.X"/>
      <sheetName val="其他科目_x005f_x0000__x005f_x0000___分析表.XLS_G9-"/>
      <sheetName val="数据字典"/>
      <sheetName val="信息表"/>
      <sheetName val="GB4-1应付账款"/>
      <sheetName val="GB10-2其他应付款明细"/>
      <sheetName val="2014原材料总账"/>
      <sheetName val="其他科目_x005f_x0000__x"/>
      <sheetName val="往来款明细（应收、预收）"/>
      <sheetName val="分合同收入"/>
      <sheetName val="分合同成本"/>
      <sheetName val="应收账款明细账"/>
      <sheetName val="收入明细帐"/>
      <sheetName val="成本明细帐"/>
      <sheetName val="其他应收款明细表"/>
      <sheetName val="KEY"/>
      <sheetName val="_x005f_x0000__x005f"/>
      <sheetName val="其他科目_x005f_x005f_x0"/>
      <sheetName val="Loss"/>
      <sheetName val="Key Figures"/>
      <sheetName val="Menge"/>
      <sheetName val="dongia (2)"/>
      <sheetName val="其他科目__分析表_XLS_G9-1__分"/>
      <sheetName val="应收账款审定表"/>
      <sheetName val="其他应付款科目余额2005.12.31"/>
      <sheetName val="其他科目_x005f_x0000__x005f_x0000__x005f_x000d_[分析表_X"/>
      <sheetName val="其他科目_x005f_x0000__x005f_x0000__x005f_x000d__分析表_X"/>
      <sheetName val="其他科目&#10;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7-3明细表"/>
      <sheetName val="本部资过表12630"/>
      <sheetName val="gross"/>
      <sheetName val="_x005f_x005f_"/>
      <sheetName val="parameter"/>
      <sheetName val="报表层次重要性水平"/>
      <sheetName val="Economic evaluation - FY98 base"/>
      <sheetName val="Movement(1)"/>
      <sheetName val="报表项目"/>
      <sheetName val="_x005f_x005f_x005f_x005f_x005f_x005f_x005f_x005f_"/>
      <sheetName val="其他科目__分析表.XLS_G9-"/>
      <sheetName val="帐"/>
      <sheetName val="披露表(标准)"/>
      <sheetName val="其他科目_x005f_x0000__x005f_x0000_&#10;[分析表.XLS]G9-"/>
      <sheetName val="qq"/>
      <sheetName val="其他科目&#13;[分析表_XLS]G9-1&#13;[分"/>
      <sheetName val="逾龄"/>
      <sheetName val="役龄"/>
      <sheetName val="资产负债表(97)"/>
      <sheetName val="Dollars"/>
      <sheetName val="G102"/>
      <sheetName val="资产方"/>
      <sheetName val="AssyHLSA"/>
      <sheetName val="分析报告 "/>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分吨位"/>
      <sheetName val="出库截至测试"/>
      <sheetName val="入库截至测试"/>
      <sheetName val="物料收发汇总表"/>
      <sheetName val="基础条件"/>
      <sheetName val="借款利息全年"/>
      <sheetName val="清单1.1"/>
      <sheetName val="04.9.30"/>
      <sheetName val="公积捐赠"/>
      <sheetName val="08.8"/>
      <sheetName val="4101汇总"/>
      <sheetName val="橡胶林资产收益现值法评估明细表(1984)"/>
      <sheetName val="ZI-2-4计价汇总"/>
      <sheetName val="2002.1-6管理费用"/>
      <sheetName val="应收"/>
      <sheetName val="应付"/>
      <sheetName val="预付"/>
      <sheetName val="a8附-1510000000"/>
      <sheetName val="选择键"/>
      <sheetName val="Client Data"/>
      <sheetName val="ARP"/>
      <sheetName val="管理"/>
      <sheetName val="B1-4001"/>
      <sheetName val="1131.01.01"/>
      <sheetName val="初始设定"/>
      <sheetName val="有效性"/>
      <sheetName val="Deutsch"/>
      <sheetName val="合并现金流量表"/>
      <sheetName val="母公司现金流量表"/>
      <sheetName val="调整项目明细"/>
      <sheetName val="调15"/>
      <sheetName val="调16"/>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2005.01-2005.11余额表"/>
      <sheetName val="或有事项"/>
      <sheetName val="关联方交易"/>
      <sheetName val="其他综合收益"/>
      <sheetName val="ZH1-4其他应收款个别认定"/>
      <sheetName val="ZH1-3应收账款个别认定"/>
      <sheetName val="普查库示例"/>
      <sheetName val="电子"/>
      <sheetName val="替代测试"/>
      <sheetName val="纳税调整计算表"/>
      <sheetName val="累计1"/>
      <sheetName val="制造费用明细表"/>
      <sheetName val="生产成本检查表"/>
      <sheetName val="订单418"/>
      <sheetName val="27-7"/>
      <sheetName val="值列表"/>
      <sheetName val="管道进度明细表"/>
      <sheetName val="lx"/>
      <sheetName val="Sheet1_x0002_h"/>
      <sheetName val="_x0002_ᵨO"/>
      <sheetName val="Sheet1_x0002_"/>
      <sheetName val="_x0002_"/>
      <sheetName val="1.财务报表"/>
      <sheetName val="基-上市"/>
      <sheetName val="流动资产清查评估汇总表"/>
      <sheetName val="抵消信息表"/>
      <sheetName val="Word附注"/>
      <sheetName val="货币资金明细表"/>
      <sheetName val="委托加工材料"/>
      <sheetName val="PZTPLOPN"/>
      <sheetName val="STATPARA"/>
      <sheetName val="CF"/>
      <sheetName val="preBS"/>
      <sheetName val="preCF"/>
      <sheetName val="preIS"/>
      <sheetName val="preCE"/>
      <sheetName val="其他业务收入Dy"/>
      <sheetName val="$TB 1"/>
      <sheetName val="$TB"/>
      <sheetName val="流正- "/>
      <sheetName val="合并资产负债表"/>
      <sheetName val="合并资产负债表（续）"/>
      <sheetName val="母公司资产负债表"/>
      <sheetName val="母公司资产负债表（续）"/>
      <sheetName val="母公司利润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_Profile"/>
      <sheetName val="附注"/>
      <sheetName val="预提费用Dy"/>
      <sheetName val="长期借款Dy"/>
      <sheetName val="To tied 2001 opening RE"/>
      <sheetName val="Aging Datasheet"/>
      <sheetName val="ECCS_1 DataSheet"/>
      <sheetName val="KPI Datasheet"/>
      <sheetName val="Hotel"/>
      <sheetName val="UFPrn20070303114642"/>
      <sheetName val="LXGJC"/>
      <sheetName val="基本情况"/>
      <sheetName val="Hardware Detail"/>
      <sheetName val="首表"/>
      <sheetName val="合并数据源"/>
      <sheetName val="数据源"/>
      <sheetName val="案件予算2011G"/>
      <sheetName val="应付账款明细BS.09 "/>
      <sheetName val="pay"/>
      <sheetName val="English"/>
      <sheetName val="销售毛利分析"/>
      <sheetName val="现金导引"/>
      <sheetName val="2010年台ᮀ"/>
      <sheetName val="2010年台厰"/>
      <sheetName val="2010年台"/>
      <sheetName val="其他科目&#10;_分析表_XLS_G9-1&#10;"/>
      <sheetName val="固定资产类别年统计表 (2)"/>
      <sheetName val="补贴收入明细表"/>
      <sheetName val="CM"/>
      <sheetName val="其他科目_x005f_x0000__x髈↉ーɭ"/>
      <sheetName val="其他科目_x"/>
      <sheetName val="_x005f"/>
      <sheetName val="其他科目_x0"/>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成本汇总表"/>
      <sheetName val="其他科目__分析表_XLS_G9-1_"/>
      <sheetName val="应收股利Dy"/>
      <sheetName val="注释汇总"/>
      <sheetName val="879099"/>
      <sheetName val="10月"/>
      <sheetName val="11月"/>
      <sheetName val="12月"/>
      <sheetName val="2月"/>
      <sheetName val="4月"/>
      <sheetName val="7月"/>
      <sheetName val="8月"/>
      <sheetName val="9月"/>
      <sheetName val="22未审 利润表及利润分配表"/>
      <sheetName val="存货差异分析表"/>
      <sheetName val="全年折旧"/>
      <sheetName val="院级设计"/>
      <sheetName val="业主-项目开票、收款信息表"/>
      <sheetName val="CE"/>
      <sheetName val="IS"/>
      <sheetName val="工资数据"/>
      <sheetName val="P12 TB SZ"/>
      <sheetName val="工商税收"/>
      <sheetName val="336A其他应收款明细分析"/>
      <sheetName val="15287贵阳市乌当区天网工程"/>
      <sheetName val="Z-01"/>
      <sheetName val="SysSheet"/>
      <sheetName val="M-01"/>
      <sheetName val="HK Stock Mkt"/>
      <sheetName val="SZ Stock Mkt"/>
      <sheetName val="SH Stock Mkt"/>
      <sheetName val="合计"/>
      <sheetName val="sell"/>
      <sheetName val="fin"/>
      <sheetName val="综合"/>
      <sheetName val="U401(OK)"/>
      <sheetName val="April"/>
      <sheetName val="Augest"/>
      <sheetName val="Dec"/>
      <sheetName val="Feb"/>
      <sheetName val="July"/>
      <sheetName val="June"/>
      <sheetName val="Mar"/>
      <sheetName val="May"/>
      <sheetName val="Nov"/>
      <sheetName val="Oct"/>
      <sheetName val="OH"/>
      <sheetName val="Sep"/>
      <sheetName val="Raw materials"/>
      <sheetName val="Dic"/>
      <sheetName val="科目代码"/>
      <sheetName val="Erection"/>
      <sheetName val="BNWXVLNN"/>
      <sheetName val="存货整体结构11月 "/>
      <sheetName val="119-4"/>
      <sheetName val="企业提供表"/>
      <sheetName val="商品收发总账"/>
      <sheetName val="計算書（加）"/>
      <sheetName val="投資(加）"/>
      <sheetName val="存货整体结构9月 "/>
      <sheetName val="审计说明7-3"/>
      <sheetName val="存货20"/>
      <sheetName val="原材料21"/>
      <sheetName val="包装物22"/>
      <sheetName val="产成品23"/>
      <sheetName val="在产品24"/>
      <sheetName val="存货账龄表25-1 "/>
      <sheetName val="KEY DATA"/>
      <sheetName val="CF附注"/>
      <sheetName val="A16C"/>
      <sheetName val="1111-3"/>
      <sheetName val="1111-4"/>
      <sheetName val="1111-5"/>
      <sheetName val="2221-2"/>
      <sheetName val="FS"/>
      <sheetName val="gl"/>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专项沔㧄匈"/>
      <sheetName val="倍丰及关联方清册"/>
      <sheetName val="上期编制分录"/>
      <sheetName val="本期编制分录"/>
      <sheetName val="PSI"/>
      <sheetName val="PRC_ 071231-Parent-Mgt-XX"/>
      <sheetName val="生产性生物资产Dy"/>
      <sheetName val="LF"/>
      <sheetName val="9-12月"/>
      <sheetName val="96SPECS"/>
      <sheetName val="122101"/>
      <sheetName val="1221012"/>
      <sheetName val="122102"/>
      <sheetName val="1221022"/>
      <sheetName val="jg"/>
      <sheetName val="Cash Flows"/>
      <sheetName val="其他应交款Dy"/>
      <sheetName val="应收票据Dy"/>
      <sheetName val="%E5%AE%A1%E6%A0%B82.XLS"/>
      <sheetName val="预付账款Dy"/>
      <sheetName val="取费表"/>
      <sheetName val="以前年度损益调整"/>
      <sheetName val="FAB별"/>
      <sheetName val="Detail Loan Move. &amp; Listing"/>
      <sheetName val="福州路仓库(3)"/>
      <sheetName val="物资采购-1"/>
      <sheetName val="物资采购-2"/>
      <sheetName val="祁连山路仓库(5)"/>
      <sheetName val="特种储备物资"/>
      <sheetName val="张江库"/>
      <sheetName val="附A-7"/>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13;_分析表_XLS_G9-1&#13;"/>
      <sheetName val="B__"/>
      <sheetName val="BႼ0Ӌ痨_x000"/>
      <sheetName val="B8Ⴌ4Ӌ瘠_x0002__x00"/>
      <sheetName val="Be_"/>
      <sheetName val="Bgሀြ0슌沅舤殉腼殉ㅏ怆 ɂሀ"/>
      <sheetName val="Bgैာ4슌櫂舤槆腼槆ॽᔒ@Ʉ_x"/>
      <sheetName val="其他科目_x005f_x0000__x_x000"/>
      <sheetName val="Comp"/>
      <sheetName val="非合并关联往来"/>
      <sheetName val="当期所得税"/>
      <sheetName val="企财01表(12)"/>
      <sheetName val="企财02表(12)"/>
      <sheetName val="合并试算平衡"/>
      <sheetName val="日报（扣除变更数）"/>
      <sheetName val="JY-4"/>
      <sheetName val="合同付款"/>
      <sheetName val="营销费用预算"/>
      <sheetName val="营销合约"/>
      <sheetName val="成本项目"/>
      <sheetName val="base"/>
      <sheetName val="关联方资产出售"/>
      <sheetName val="附加四-闲置固定资产"/>
      <sheetName val="08"/>
      <sheetName val="03"/>
      <sheetName val="04"/>
      <sheetName val="05"/>
      <sheetName val="06"/>
      <sheetName val="07"/>
      <sheetName val="10"/>
      <sheetName val="09"/>
      <sheetName val="被审单位基本情况表"/>
      <sheetName val="A_01"/>
      <sheetName val="A_03"/>
      <sheetName val="A_02"/>
      <sheetName val="A_1"/>
      <sheetName val="A_3"/>
      <sheetName val="A_2"/>
      <sheetName val="other lia"/>
      <sheetName val="prepayment"/>
      <sheetName val="related co"/>
      <sheetName val="sel"/>
      <sheetName val="Reference"/>
      <sheetName val="调整分录表"/>
      <sheetName val="Cover &amp; setup"/>
      <sheetName val="refernce red invoice"/>
      <sheetName val="运煤预算"/>
      <sheetName val="信用分析"/>
      <sheetName val="N102"/>
      <sheetName val="电子库龄"/>
      <sheetName val="系统导出"/>
      <sheetName val="BURDEN99"/>
      <sheetName val="资产参数"/>
      <sheetName val="原材料收发"/>
      <sheetName val="中国银行3"/>
      <sheetName val="基本信息 "/>
      <sheetName val="2010.12.31-付总"/>
      <sheetName val="个人借款"/>
      <sheetName val="基本参数"/>
      <sheetName val="流"/>
      <sheetName val="原材料发出计价测试-OK"/>
      <sheetName val="标识"/>
      <sheetName val="其他应收单位款板纸"/>
      <sheetName val="银行存款控制测试"/>
      <sheetName val="长期借款导引表"/>
      <sheetName val="前导表"/>
      <sheetName val="科目定义"/>
      <sheetName val="资金周报"/>
      <sheetName val="MBB"/>
      <sheetName val="Agro"/>
      <sheetName val="CIMB"/>
      <sheetName val="DFA"/>
      <sheetName val="首先输入"/>
      <sheetName val="5 Analysis"/>
      <sheetName val="应交税金测算表(2005)"/>
      <sheetName val="_1"/>
      <sheetName val="其他科目__分析表_X"/>
      <sheetName val="其他科目&#13;_分析表_XLS_G9-1&#13;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5YE"/>
      <sheetName val="函证客户联系表"/>
      <sheetName val="预付款项明细表"/>
      <sheetName val="应付账款明细-单一客户名称"/>
      <sheetName val="预收款项函证结果汇总表"/>
      <sheetName val="低值易耗品收发存明细表"/>
      <sheetName val="帐本记录与流水记录核对"/>
      <sheetName val="Andy"/>
      <sheetName val=" "/>
      <sheetName val="金星余额表"/>
      <sheetName val="8042"/>
      <sheetName val="项目"/>
      <sheetName val="Opening RE check"/>
      <sheetName val="UFPrn20050224154258"/>
      <sheetName val="AJE Entry-活塞"/>
      <sheetName val="培训中心"/>
      <sheetName val="清单1"/>
      <sheetName val="山西明细"/>
      <sheetName val="试算平衡（公司）"/>
      <sheetName val="试算平衡（工厂）"/>
      <sheetName val="指标辅助"/>
      <sheetName val="非建安成本测算卡"/>
      <sheetName val="规划指标"/>
      <sheetName val="建安-普通地库"/>
      <sheetName val="建安价格指标库"/>
      <sheetName val="A003"/>
      <sheetName val="数据"/>
      <sheetName val="参数设定"/>
      <sheetName val="制造费用比较"/>
      <sheetName val="应收账款明细表13"/>
      <sheetName val="分录"/>
      <sheetName val="库存商品mx"/>
      <sheetName val="主营业务成本Dy"/>
      <sheetName val="应付帐款帐龄分析表"/>
      <sheetName val="天海(國內)試算"/>
      <sheetName val="99 Affil Combined"/>
      <sheetName val="Office rent.util"/>
      <sheetName val="H2-1"/>
      <sheetName val="CARMAKE"/>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内外销货款回收情况表"/>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事业发展"/>
      <sheetName val="试工利"/>
      <sheetName val="UFPrn20060805135134"/>
      <sheetName val="威灵电机"/>
      <sheetName val="应付明细表"/>
      <sheetName val="内部单位贷方"/>
      <sheetName val="福利费1"/>
      <sheetName val="期初帐龄辅助表MT"/>
      <sheetName val="坏账准备辅助表MT"/>
      <sheetName val="K5-1"/>
      <sheetName val="无形资产使用寿命分析表"/>
      <sheetName val="无形资产累计摊销计算表"/>
      <sheetName val="其他应收05"/>
      <sheetName val="短期借款余额表"/>
      <sheetName val="设备"/>
      <sheetName val="凤县折旧测算"/>
      <sheetName val="编码"/>
      <sheetName val="Contacts"/>
      <sheetName val="费用填报表"/>
      <sheetName val="产品索引"/>
      <sheetName val="t_Schema"/>
      <sheetName val="2004 Audit adj"/>
      <sheetName val="其他科目_x005f_x0000__x005f_x0000_[分析表.XLS]G9-1"/>
      <sheetName val="LOV"/>
      <sheetName val="申报表封面"/>
      <sheetName val="原材料Dy"/>
      <sheetName val="设置"/>
      <sheetName val="其它应收款"/>
      <sheetName val="预付货款"/>
      <sheetName val="其他科目_x005f_x0000__x005f_x0000__分析表.XLS_G9-1"/>
      <sheetName val="固定资产折旧表"/>
      <sheetName val="当月应收"/>
      <sheetName val="TX-DL "/>
      <sheetName val="Tra_bang"/>
      <sheetName val="AccountInfor."/>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1资产负债表"/>
      <sheetName val="符号标识"/>
      <sheetName val="SAD"/>
      <sheetName val="3272"/>
      <sheetName val="3304"/>
      <sheetName val="3306"/>
      <sheetName val="3316"/>
      <sheetName val="档案"/>
      <sheetName val="Macro1"/>
      <sheetName val="company"/>
      <sheetName val="序时账"/>
      <sheetName val="V300-PBOC SWAP"/>
      <sheetName val="2001"/>
      <sheetName val="9100-PO"/>
      <sheetName val="Chart of Account"/>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N2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Other Exp-13"/>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Summry Prod"/>
      <sheetName val="Info div"/>
      <sheetName val="nada"/>
      <sheetName val="Paramètres"/>
      <sheetName val="Entities"/>
      <sheetName val="01 RM and PM"/>
      <sheetName val="0000"/>
      <sheetName val="Return Summary"/>
      <sheetName val="Material list"/>
      <sheetName val="Allgem. Angaben"/>
      <sheetName val="product"/>
      <sheetName val="struc_custom"/>
      <sheetName val="AP1998KX(estimated)"/>
      <sheetName val="核銷表"/>
      <sheetName val="Upload Template"/>
      <sheetName val="Adjustment summary"/>
      <sheetName val="国家"/>
      <sheetName val="Profit &amp; Loss"/>
      <sheetName val="短期借款审定表"/>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新的工作表10-1-12"/>
      <sheetName val="全部投资"/>
      <sheetName val="近三年销售前五名--按客户"/>
      <sheetName val="企业自由现金流预测"/>
      <sheetName val="应收利息审定表"/>
      <sheetName val="中文值列表"/>
      <sheetName val="明细账"/>
      <sheetName val="锅炉房"/>
      <sheetName val="项目目录"/>
      <sheetName val="1线5"/>
      <sheetName val="累计折旧余额表"/>
      <sheetName val="减少资产"/>
      <sheetName val="折旧测算表2016"/>
      <sheetName val="B?_x005f_x0000__x005f_x0000__x005f_x0000__x005f_x0000__"/>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营业费用多栏明细账"/>
      <sheetName val="046 Fixed Ass. mov."/>
      <sheetName val="应收明细"/>
      <sheetName val="存货明细"/>
      <sheetName val="Ref"/>
      <sheetName val="Lists"/>
      <sheetName val="QAD-面套库存"/>
      <sheetName val="2002 VS 2003"/>
      <sheetName val="chn01 e"/>
      <sheetName val="PM_TE"/>
      <sheetName val="PM-TE"/>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AR Report B4"/>
      <sheetName val="Financials"/>
      <sheetName val="Council Staff"/>
      <sheetName val="INPUT SHEET"/>
      <sheetName val="1380_3YR"/>
      <sheetName val="K200Motor"/>
      <sheetName val="K210F&amp;F"/>
      <sheetName val="K220-OE"/>
      <sheetName val="1390_3YR--not used"/>
      <sheetName val="1390_5YR"/>
      <sheetName val="1810_1010"/>
      <sheetName val="1810_1100-3 yr"/>
      <sheetName val="1810_1301_BP"/>
      <sheetName val="1810_1301_CASTROL"/>
      <sheetName val="母公司"/>
      <sheetName val="accudepr1"/>
      <sheetName val="K102"/>
      <sheetName val="NAV Summary"/>
      <sheetName val="이자"/>
      <sheetName val="변제"/>
      <sheetName val="상환대상"/>
      <sheetName val="生产领料 _3_"/>
      <sheetName val="凭证记录"/>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分析表.XLS]G9-1[分"/>
      <sheetName val="其他科目_分析表.X"/>
      <sheetName val="其他科目_分析表.XLS_G9-1"/>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其他科目&#10;[分析表.X"/>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10;[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10;[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10;[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B7-2-1应付账款余额表"/>
      <sheetName val="设备采购01"/>
      <sheetName val="设备采购02"/>
      <sheetName val="设备采购03"/>
      <sheetName val="X310-1 资产负债表分析性复核"/>
      <sheetName val="X310-2 损益表分析性复核"/>
      <sheetName val="AR2"/>
      <sheetName val="预付3"/>
      <sheetName val="AP1"/>
      <sheetName val="OP3"/>
      <sheetName val="OR2"/>
      <sheetName val="产成品商品目录表"/>
      <sheetName val="个人借款序时输入明细"/>
      <sheetName val="权益法"/>
      <sheetName val="A111-10"/>
      <sheetName val="DGIAgoi1"/>
      <sheetName val="银行"/>
      <sheetName val="L2-4100-a武汉海讯和海泰"/>
      <sheetName val="A541-30"/>
      <sheetName val="A541-10"/>
      <sheetName val="主要指标分析图"/>
      <sheetName val="发出商品替代"/>
      <sheetName val="客户清单"/>
      <sheetName val="合并数"/>
      <sheetName val="Sheet1_x0002__x00"/>
      <sheetName val="社保表"/>
      <sheetName val="COLODYQX"/>
      <sheetName val="2016年业务借款明细"/>
      <sheetName val="2016年现场借款明细"/>
      <sheetName val="勿删（名称）"/>
      <sheetName val="5311"/>
      <sheetName val="Sheet1_x005f_x0002__x005f_x0000__x005f_x0000__x00"/>
      <sheetName val="_x005f_x0002__x005f_x0000_ᵨO"/>
      <sheetName val="销售分析"/>
      <sheetName val="Unmatched"/>
      <sheetName val="Matched"/>
      <sheetName val="Customize Your Purchase Order"/>
      <sheetName val="CA-O7"/>
      <sheetName val="其他科目&#13;[分析表_X"/>
      <sheetName val="其他科目&#13;_分析表_X"/>
      <sheetName val="CntrlFreq"/>
      <sheetName val="CntrlSign"/>
      <sheetName val="CntrlType1_1"/>
      <sheetName val="CntrlType1_2"/>
      <sheetName val="RiskSign"/>
      <sheetName val="应交税费导引表"/>
      <sheetName val="存货导引表"/>
      <sheetName val="140存货"/>
      <sheetName val="余额表·原材料"/>
      <sheetName val="营业收入导引表"/>
      <sheetName val="其他业务收入查证表"/>
      <sheetName val="收入测试"/>
      <sheetName val="资末"/>
      <sheetName val="资初"/>
      <sheetName val="资产负债表（2）"/>
      <sheetName val="当前明细帐"/>
      <sheetName val="PRC-BS-SZ"/>
      <sheetName val="披露表2017"/>
      <sheetName val="折旧测算（直线法）2017"/>
      <sheetName val="BKD-Note 44"/>
      <sheetName val="Check-Note 35-2014"/>
      <sheetName val="BKD-Note 35-20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W22"/>
  <sheetViews>
    <sheetView tabSelected="1" view="pageBreakPreview" zoomScaleNormal="100" workbookViewId="0">
      <pane xSplit="2" ySplit="1" topLeftCell="C2" activePane="bottomRight" state="frozen"/>
      <selection/>
      <selection pane="topRight"/>
      <selection pane="bottomLeft"/>
      <selection pane="bottomRight" activeCell="C14" sqref="C14"/>
    </sheetView>
  </sheetViews>
  <sheetFormatPr defaultColWidth="9" defaultRowHeight="13.2"/>
  <cols>
    <col min="1" max="1" width="4.5" style="74" customWidth="1"/>
    <col min="2" max="2" width="21.3" style="74" customWidth="1"/>
    <col min="3" max="3" width="12.1" style="74" customWidth="1"/>
    <col min="4" max="4" width="19.3" style="74" customWidth="1"/>
    <col min="5" max="5" width="18.6" style="74" customWidth="1"/>
    <col min="6" max="6" width="12.6" style="74" customWidth="1"/>
    <col min="7" max="7" width="11.1" style="74" customWidth="1"/>
    <col min="8" max="16" width="13.6" style="74" customWidth="1"/>
    <col min="17" max="17" width="13.7" style="74" customWidth="1"/>
    <col min="18" max="18" width="14.9" style="74" customWidth="1"/>
    <col min="19" max="19" width="9.2" style="74" customWidth="1"/>
    <col min="20" max="20" width="13.7" style="74" customWidth="1"/>
    <col min="21" max="21" width="12.9" style="74" customWidth="1"/>
    <col min="22" max="23" width="13.7" style="74" customWidth="1"/>
    <col min="24" max="16384" width="9" style="74"/>
  </cols>
  <sheetData>
    <row r="1" s="72" customFormat="1" ht="24.9" customHeight="1" spans="1:23">
      <c r="A1" s="76" t="s">
        <v>0</v>
      </c>
      <c r="B1" s="76"/>
      <c r="C1" s="76"/>
      <c r="D1" s="76"/>
      <c r="E1" s="76"/>
      <c r="F1" s="77"/>
      <c r="G1" s="77"/>
      <c r="H1" s="77"/>
      <c r="I1" s="77"/>
      <c r="J1" s="77"/>
      <c r="K1" s="77"/>
      <c r="L1" s="77"/>
      <c r="M1" s="77"/>
      <c r="N1" s="77"/>
      <c r="O1" s="77"/>
      <c r="P1" s="77"/>
      <c r="Q1" s="77"/>
      <c r="R1" s="77"/>
      <c r="S1" s="77"/>
      <c r="T1" s="77"/>
      <c r="U1" s="77"/>
      <c r="V1" s="77"/>
      <c r="W1" s="77"/>
    </row>
    <row r="2" spans="1:23">
      <c r="A2" s="155" t="s">
        <v>1</v>
      </c>
      <c r="B2" s="155" t="s">
        <v>2</v>
      </c>
      <c r="C2" s="108" t="s">
        <v>3</v>
      </c>
      <c r="D2" s="108" t="s">
        <v>4</v>
      </c>
      <c r="E2" s="108" t="s">
        <v>5</v>
      </c>
      <c r="F2" s="132" t="s">
        <v>6</v>
      </c>
      <c r="G2" s="109"/>
      <c r="H2" s="156" t="s">
        <v>7</v>
      </c>
      <c r="I2" s="156"/>
      <c r="J2" s="156"/>
      <c r="K2" s="156"/>
      <c r="L2" s="156"/>
      <c r="M2" s="156"/>
      <c r="N2" s="156"/>
      <c r="O2" s="156"/>
      <c r="P2" s="157"/>
      <c r="Q2" s="158" t="s">
        <v>8</v>
      </c>
      <c r="R2" s="158"/>
      <c r="S2" s="158"/>
      <c r="T2" s="158"/>
      <c r="U2" s="158"/>
      <c r="V2" s="158"/>
      <c r="W2" s="159"/>
    </row>
    <row r="3" spans="1:23">
      <c r="A3" s="160"/>
      <c r="B3" s="160"/>
      <c r="C3" s="161"/>
      <c r="D3" s="161"/>
      <c r="E3" s="161"/>
      <c r="F3" s="132"/>
      <c r="G3" s="109"/>
      <c r="H3" s="132" t="s">
        <v>9</v>
      </c>
      <c r="I3" s="162" t="s">
        <v>10</v>
      </c>
      <c r="J3" s="109" t="s">
        <v>11</v>
      </c>
      <c r="K3" s="163" t="s">
        <v>12</v>
      </c>
      <c r="L3" s="163"/>
      <c r="M3" s="163"/>
      <c r="N3" s="163"/>
      <c r="O3" s="109" t="s">
        <v>13</v>
      </c>
      <c r="P3" s="109"/>
      <c r="Q3" s="164" t="s">
        <v>14</v>
      </c>
      <c r="R3" s="164"/>
      <c r="S3" s="164"/>
      <c r="T3" s="164"/>
      <c r="U3" s="108"/>
      <c r="V3" s="164" t="s">
        <v>15</v>
      </c>
      <c r="W3" s="108"/>
    </row>
    <row r="4" spans="1:23">
      <c r="A4" s="160"/>
      <c r="B4" s="160"/>
      <c r="C4" s="161"/>
      <c r="D4" s="161"/>
      <c r="E4" s="161"/>
      <c r="F4" s="132" t="s">
        <v>16</v>
      </c>
      <c r="G4" s="109" t="s">
        <v>17</v>
      </c>
      <c r="H4" s="132"/>
      <c r="I4" s="165"/>
      <c r="J4" s="109"/>
      <c r="K4" s="163" t="s">
        <v>18</v>
      </c>
      <c r="L4" s="163"/>
      <c r="M4" s="163" t="s">
        <v>19</v>
      </c>
      <c r="N4" s="163"/>
      <c r="O4" s="109" t="s">
        <v>20</v>
      </c>
      <c r="P4" s="109" t="s">
        <v>21</v>
      </c>
      <c r="Q4" s="164" t="s">
        <v>22</v>
      </c>
      <c r="R4" s="108"/>
      <c r="S4" s="164"/>
      <c r="T4" s="164" t="s">
        <v>23</v>
      </c>
      <c r="U4" s="108"/>
      <c r="V4" s="166"/>
      <c r="W4" s="161"/>
    </row>
    <row r="5" spans="1:23">
      <c r="A5" s="167"/>
      <c r="B5" s="167"/>
      <c r="C5" s="161"/>
      <c r="D5" s="161"/>
      <c r="E5" s="161"/>
      <c r="F5" s="108"/>
      <c r="G5" s="155"/>
      <c r="H5" s="108"/>
      <c r="I5" s="165"/>
      <c r="J5" s="155"/>
      <c r="K5" s="168" t="s">
        <v>20</v>
      </c>
      <c r="L5" s="168" t="s">
        <v>21</v>
      </c>
      <c r="M5" s="168" t="s">
        <v>20</v>
      </c>
      <c r="N5" s="168" t="s">
        <v>21</v>
      </c>
      <c r="O5" s="155"/>
      <c r="P5" s="155"/>
      <c r="Q5" s="108" t="s">
        <v>24</v>
      </c>
      <c r="R5" s="108" t="s">
        <v>25</v>
      </c>
      <c r="S5" s="108" t="s">
        <v>21</v>
      </c>
      <c r="T5" s="108" t="s">
        <v>26</v>
      </c>
      <c r="U5" s="108" t="s">
        <v>27</v>
      </c>
      <c r="V5" s="108" t="s">
        <v>26</v>
      </c>
      <c r="W5" s="108" t="s">
        <v>27</v>
      </c>
    </row>
    <row r="6" ht="20.1" customHeight="1" spans="1:23">
      <c r="A6" s="113">
        <v>1</v>
      </c>
      <c r="B6" s="114" t="s">
        <v>28</v>
      </c>
      <c r="C6" s="169"/>
      <c r="D6" s="169"/>
      <c r="E6" s="169"/>
      <c r="F6" s="169"/>
      <c r="G6" s="169"/>
      <c r="H6" s="169"/>
      <c r="I6" s="169"/>
      <c r="J6" s="169"/>
      <c r="K6" s="169"/>
      <c r="L6" s="169"/>
      <c r="M6" s="169"/>
      <c r="N6" s="169"/>
      <c r="O6" s="169"/>
      <c r="P6" s="169"/>
      <c r="Q6" s="169"/>
      <c r="R6" s="169"/>
      <c r="S6" s="169"/>
      <c r="T6" s="169"/>
      <c r="U6" s="169"/>
      <c r="V6" s="169"/>
      <c r="W6" s="169"/>
    </row>
    <row r="7" ht="20.1" customHeight="1" spans="1:23">
      <c r="A7" s="113">
        <v>2</v>
      </c>
      <c r="B7" s="114" t="s">
        <v>29</v>
      </c>
      <c r="C7" s="169"/>
      <c r="D7" s="169"/>
      <c r="E7" s="169"/>
      <c r="F7" s="169"/>
      <c r="G7" s="169"/>
      <c r="H7" s="169"/>
      <c r="I7" s="169"/>
      <c r="J7" s="169"/>
      <c r="K7" s="169"/>
      <c r="L7" s="169"/>
      <c r="M7" s="169"/>
      <c r="N7" s="169"/>
      <c r="O7" s="169"/>
      <c r="P7" s="169"/>
      <c r="Q7" s="169"/>
      <c r="R7" s="169"/>
      <c r="S7" s="169"/>
      <c r="T7" s="169"/>
      <c r="U7" s="169"/>
      <c r="V7" s="169"/>
      <c r="W7" s="169"/>
    </row>
    <row r="8" ht="20.1" customHeight="1" spans="1:23">
      <c r="A8" s="113">
        <v>3</v>
      </c>
      <c r="B8" s="114" t="s">
        <v>30</v>
      </c>
      <c r="C8" s="170"/>
      <c r="D8" s="170"/>
      <c r="E8" s="170"/>
      <c r="F8" s="170"/>
      <c r="G8" s="170"/>
      <c r="H8" s="170"/>
      <c r="I8" s="170"/>
      <c r="J8" s="170"/>
      <c r="K8" s="170"/>
      <c r="L8" s="170"/>
      <c r="M8" s="170"/>
      <c r="N8" s="170"/>
      <c r="O8" s="170"/>
      <c r="P8" s="170"/>
      <c r="Q8" s="170"/>
      <c r="R8" s="170"/>
      <c r="S8" s="170"/>
      <c r="T8" s="170"/>
      <c r="U8" s="170"/>
      <c r="V8" s="170"/>
      <c r="W8" s="170"/>
    </row>
    <row r="9" ht="20.1" customHeight="1" spans="1:23">
      <c r="A9" s="113">
        <v>4</v>
      </c>
      <c r="B9" s="114" t="s">
        <v>31</v>
      </c>
      <c r="C9" s="170"/>
      <c r="D9" s="170"/>
      <c r="E9" s="170"/>
      <c r="F9" s="170"/>
      <c r="G9" s="170"/>
      <c r="H9" s="170"/>
      <c r="I9" s="170"/>
      <c r="J9" s="170"/>
      <c r="K9" s="170"/>
      <c r="L9" s="170"/>
      <c r="M9" s="170"/>
      <c r="N9" s="170"/>
      <c r="O9" s="170"/>
      <c r="P9" s="170"/>
      <c r="Q9" s="170"/>
      <c r="R9" s="170"/>
      <c r="S9" s="170"/>
      <c r="T9" s="170"/>
      <c r="U9" s="170"/>
      <c r="V9" s="170"/>
      <c r="W9" s="170"/>
    </row>
    <row r="10" ht="20.1" customHeight="1" spans="1:23">
      <c r="A10" s="113">
        <v>5</v>
      </c>
      <c r="B10" s="114" t="s">
        <v>32</v>
      </c>
      <c r="C10" s="169"/>
      <c r="D10" s="169"/>
      <c r="E10" s="169"/>
      <c r="F10" s="169"/>
      <c r="G10" s="169"/>
      <c r="H10" s="169"/>
      <c r="I10" s="169"/>
      <c r="J10" s="169"/>
      <c r="K10" s="169"/>
      <c r="L10" s="169"/>
      <c r="M10" s="169"/>
      <c r="N10" s="169"/>
      <c r="O10" s="169"/>
      <c r="P10" s="169"/>
      <c r="Q10" s="169"/>
      <c r="R10" s="169"/>
      <c r="S10" s="169"/>
      <c r="T10" s="169"/>
      <c r="U10" s="169"/>
      <c r="V10" s="169"/>
      <c r="W10" s="169"/>
    </row>
    <row r="11" ht="20.1" customHeight="1" spans="1:23">
      <c r="A11" s="104" t="s">
        <v>33</v>
      </c>
      <c r="B11" s="99"/>
      <c r="C11" s="99"/>
      <c r="D11" s="99"/>
      <c r="E11" s="99"/>
      <c r="F11" s="99"/>
      <c r="G11" s="99"/>
      <c r="H11" s="99"/>
      <c r="I11" s="99"/>
      <c r="J11" s="99"/>
      <c r="K11" s="99"/>
      <c r="L11" s="99"/>
      <c r="M11" s="99"/>
      <c r="N11" s="99"/>
      <c r="O11" s="99"/>
      <c r="P11" s="99"/>
      <c r="Q11" s="99"/>
      <c r="R11" s="99"/>
      <c r="S11" s="99"/>
      <c r="T11" s="99"/>
      <c r="U11" s="99"/>
      <c r="V11" s="99"/>
      <c r="W11" s="99"/>
    </row>
    <row r="12" ht="20.1" customHeight="1"/>
    <row r="13" ht="20.1" customHeight="1"/>
    <row r="14" ht="20.1" customHeight="1"/>
    <row r="16" spans="1:23">
      <c r="A16" s="79"/>
      <c r="B16" s="79"/>
      <c r="C16" s="79"/>
      <c r="D16" s="79" t="s">
        <v>34</v>
      </c>
      <c r="E16" s="79" t="s">
        <v>34</v>
      </c>
      <c r="F16" s="79" t="s">
        <v>34</v>
      </c>
      <c r="I16" s="79" t="s">
        <v>34</v>
      </c>
    </row>
    <row r="17" spans="4:16">
      <c r="D17" s="79" t="s">
        <v>35</v>
      </c>
      <c r="E17" s="79" t="s">
        <v>36</v>
      </c>
      <c r="F17" s="79" t="s">
        <v>37</v>
      </c>
      <c r="I17" s="79" t="s">
        <v>38</v>
      </c>
      <c r="J17" s="79"/>
      <c r="K17" s="79"/>
      <c r="L17" s="79"/>
      <c r="M17" s="79"/>
      <c r="N17" s="79"/>
      <c r="O17" s="79"/>
      <c r="P17" s="79"/>
    </row>
    <row r="18" spans="4:16">
      <c r="D18" s="171" t="s">
        <v>39</v>
      </c>
      <c r="E18" s="79" t="s">
        <v>40</v>
      </c>
      <c r="F18" s="79" t="s">
        <v>41</v>
      </c>
      <c r="I18" s="79" t="s">
        <v>42</v>
      </c>
      <c r="J18" s="79"/>
      <c r="K18" s="79"/>
      <c r="L18" s="79"/>
      <c r="M18" s="79"/>
      <c r="N18" s="79"/>
      <c r="O18" s="79"/>
      <c r="P18" s="79"/>
    </row>
    <row r="19" spans="4:16">
      <c r="D19" s="171" t="s">
        <v>43</v>
      </c>
      <c r="E19" s="79" t="s">
        <v>44</v>
      </c>
    </row>
    <row r="20" spans="4:16">
      <c r="D20" s="171" t="s">
        <v>45</v>
      </c>
    </row>
    <row r="21" spans="4:16">
      <c r="D21" s="171" t="s">
        <v>46</v>
      </c>
    </row>
    <row r="22" spans="4:16">
      <c r="D22" s="171" t="s">
        <v>47</v>
      </c>
    </row>
  </sheetData>
  <mergeCells count="24">
    <mergeCell ref="H2:P2"/>
    <mergeCell ref="Q2:W2"/>
    <mergeCell ref="K3:N3"/>
    <mergeCell ref="O3:P3"/>
    <mergeCell ref="Q3:U3"/>
    <mergeCell ref="K4:L4"/>
    <mergeCell ref="M4:N4"/>
    <mergeCell ref="Q4:R4"/>
    <mergeCell ref="T4:U4"/>
    <mergeCell ref="A11:B11"/>
    <mergeCell ref="A2:A5"/>
    <mergeCell ref="B2:B5"/>
    <mergeCell ref="C2:C5"/>
    <mergeCell ref="D2:D5"/>
    <mergeCell ref="E2:E5"/>
    <mergeCell ref="F4:F5"/>
    <mergeCell ref="G4:G5"/>
    <mergeCell ref="H3:H5"/>
    <mergeCell ref="I3:I5"/>
    <mergeCell ref="J3:J5"/>
    <mergeCell ref="O4:O5"/>
    <mergeCell ref="P4:P5"/>
    <mergeCell ref="F2:G3"/>
    <mergeCell ref="V3:W4"/>
  </mergeCells>
  <printOptions horizontalCentered="1"/>
  <pageMargins left="0.433070866141732" right="0.196850393700787" top="0.590551181102362" bottom="0.433070866141732" header="0.511811023622047" footer="0.196850393700787"/>
  <pageSetup paperSize="9" scale="26" fitToHeight="0" orientation="landscape" blackAndWhite="1"/>
  <headerFooter alignWithMargins="0">
    <oddFooter>&amp;C第 &amp;P 页，共 &amp;N 页</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V14"/>
  <sheetViews>
    <sheetView view="pageBreakPreview" zoomScaleNormal="100" workbookViewId="0">
      <pane xSplit="2" ySplit="5" topLeftCell="C6" activePane="bottomRight" state="frozen"/>
      <selection/>
      <selection pane="topRight"/>
      <selection pane="bottomLeft"/>
      <selection pane="bottomRight" activeCell="D19" sqref="D19:D20"/>
    </sheetView>
  </sheetViews>
  <sheetFormatPr defaultColWidth="9" defaultRowHeight="15.6"/>
  <cols>
    <col min="1" max="1" width="4.5" style="74" customWidth="1"/>
    <col min="2" max="2" width="23.9" style="74" customWidth="1"/>
    <col min="3" max="3" width="12.6" style="74" customWidth="1"/>
    <col min="4" max="4" width="13" style="74" customWidth="1"/>
    <col min="5" max="5" width="11.9" style="74" customWidth="1"/>
    <col min="6" max="6" width="11" style="74" customWidth="1"/>
    <col min="7" max="7" width="13.7" style="74" customWidth="1"/>
    <col min="8" max="9" width="12.4" style="74" customWidth="1"/>
    <col min="10" max="10" width="11" style="74" customWidth="1"/>
    <col min="11" max="11" width="8.9" style="74" customWidth="1"/>
    <col min="12" max="13" width="10.8" style="74" customWidth="1"/>
    <col min="14" max="14" width="10.2" style="74" customWidth="1"/>
    <col min="15" max="15" width="11" style="74" customWidth="1"/>
    <col min="16" max="17" width="10" style="74" customWidth="1"/>
    <col min="18" max="18" width="9" style="74"/>
    <col min="19" max="19" width="12.1" style="74" customWidth="1"/>
    <col min="20" max="20" width="12.6" style="74" customWidth="1"/>
    <col min="21" max="21" width="9.9" style="74" customWidth="1"/>
    <col min="22" max="22" width="10" style="74" customWidth="1"/>
    <col min="23" max="16381" width="9" style="74"/>
  </cols>
  <sheetData>
    <row r="1" s="72" customFormat="1" ht="24.9" customHeight="1" spans="1:22">
      <c r="A1" s="76" t="s">
        <v>48</v>
      </c>
      <c r="B1" s="76"/>
      <c r="C1" s="76"/>
      <c r="D1" s="76"/>
      <c r="E1" s="76"/>
      <c r="F1" s="76"/>
      <c r="G1" s="76"/>
      <c r="H1" s="76"/>
      <c r="I1" s="76"/>
      <c r="J1" s="76"/>
      <c r="K1" s="76"/>
      <c r="L1" s="76"/>
      <c r="M1" s="76"/>
      <c r="N1" s="76"/>
      <c r="O1" s="76"/>
      <c r="P1" s="76"/>
      <c r="Q1" s="76"/>
      <c r="R1" s="124"/>
      <c r="S1" s="124"/>
      <c r="T1" s="124"/>
      <c r="U1" s="124"/>
      <c r="V1" s="76"/>
    </row>
    <row r="2" ht="20.1" customHeight="1" spans="1:22">
      <c r="A2" s="94" t="s">
        <v>49</v>
      </c>
      <c r="B2" s="95"/>
      <c r="C2" s="95"/>
      <c r="D2" s="95"/>
      <c r="E2" s="95"/>
      <c r="F2" s="95"/>
      <c r="G2" s="95"/>
      <c r="H2" s="95"/>
      <c r="I2" s="95"/>
      <c r="J2" s="95"/>
      <c r="K2" s="95"/>
      <c r="L2" s="95"/>
      <c r="M2" s="95"/>
      <c r="N2" s="95"/>
      <c r="O2" s="95"/>
      <c r="P2" s="95"/>
      <c r="Q2" s="95"/>
      <c r="R2" s="96"/>
      <c r="S2" s="96"/>
      <c r="T2" s="96"/>
      <c r="U2" s="95"/>
      <c r="V2" s="95"/>
    </row>
    <row r="3" ht="20.1" customHeight="1" spans="1:22">
      <c r="A3" s="97" t="s">
        <v>1</v>
      </c>
      <c r="B3" s="125" t="s">
        <v>2</v>
      </c>
      <c r="C3" s="126" t="s">
        <v>3</v>
      </c>
      <c r="D3" s="125" t="s">
        <v>50</v>
      </c>
      <c r="E3" s="127" t="s">
        <v>51</v>
      </c>
      <c r="F3" s="127"/>
      <c r="G3" s="127"/>
      <c r="H3" s="127"/>
      <c r="I3" s="127"/>
      <c r="J3" s="102" t="s">
        <v>52</v>
      </c>
      <c r="K3" s="102"/>
      <c r="L3" s="102"/>
      <c r="M3" s="103"/>
      <c r="N3" s="104" t="s">
        <v>53</v>
      </c>
      <c r="O3" s="105"/>
      <c r="P3" s="105"/>
      <c r="Q3" s="99"/>
      <c r="R3" s="104" t="s">
        <v>54</v>
      </c>
      <c r="S3" s="105"/>
      <c r="T3" s="105"/>
      <c r="U3" s="105"/>
      <c r="V3" s="99"/>
    </row>
    <row r="4" ht="20.1" customHeight="1" spans="1:22">
      <c r="A4" s="106"/>
      <c r="B4" s="128"/>
      <c r="C4" s="129"/>
      <c r="D4" s="128"/>
      <c r="E4" s="130" t="s">
        <v>20</v>
      </c>
      <c r="F4" s="130"/>
      <c r="G4" s="130"/>
      <c r="H4" s="130"/>
      <c r="I4" s="130" t="s">
        <v>44</v>
      </c>
      <c r="J4" s="131" t="s">
        <v>20</v>
      </c>
      <c r="K4" s="131"/>
      <c r="L4" s="132"/>
      <c r="M4" s="133" t="s">
        <v>44</v>
      </c>
      <c r="N4" s="131" t="s">
        <v>20</v>
      </c>
      <c r="O4" s="131"/>
      <c r="P4" s="132"/>
      <c r="Q4" s="133" t="s">
        <v>44</v>
      </c>
      <c r="R4" s="131" t="s">
        <v>20</v>
      </c>
      <c r="S4" s="131"/>
      <c r="T4" s="131"/>
      <c r="U4" s="131"/>
      <c r="V4" s="133" t="s">
        <v>44</v>
      </c>
    </row>
    <row r="5" ht="31" customHeight="1" spans="1:22">
      <c r="A5" s="111"/>
      <c r="B5" s="134"/>
      <c r="C5" s="135"/>
      <c r="D5" s="134"/>
      <c r="E5" s="136" t="s">
        <v>55</v>
      </c>
      <c r="F5" s="137" t="s">
        <v>56</v>
      </c>
      <c r="G5" s="137" t="s">
        <v>57</v>
      </c>
      <c r="H5" s="137" t="s">
        <v>58</v>
      </c>
      <c r="I5" s="127"/>
      <c r="J5" s="103" t="s">
        <v>55</v>
      </c>
      <c r="K5" s="110" t="s">
        <v>56</v>
      </c>
      <c r="L5" s="109" t="s">
        <v>59</v>
      </c>
      <c r="M5" s="133"/>
      <c r="N5" s="110" t="s">
        <v>55</v>
      </c>
      <c r="O5" s="110" t="s">
        <v>56</v>
      </c>
      <c r="P5" s="109" t="s">
        <v>59</v>
      </c>
      <c r="Q5" s="133"/>
      <c r="R5" s="110" t="s">
        <v>55</v>
      </c>
      <c r="S5" s="109" t="s">
        <v>60</v>
      </c>
      <c r="T5" s="109" t="s">
        <v>57</v>
      </c>
      <c r="U5" s="109" t="s">
        <v>58</v>
      </c>
      <c r="V5" s="133"/>
    </row>
    <row r="6" ht="20.1" customHeight="1" spans="1:22">
      <c r="A6" s="138">
        <v>1</v>
      </c>
      <c r="B6" s="139" t="s">
        <v>28</v>
      </c>
      <c r="C6" s="140"/>
      <c r="D6" s="141"/>
      <c r="E6" s="142"/>
      <c r="F6" s="143"/>
      <c r="G6" s="143"/>
      <c r="H6" s="143">
        <f>F6-G6</f>
        <v>0</v>
      </c>
      <c r="I6" s="143"/>
      <c r="J6" s="144"/>
      <c r="K6" s="115"/>
      <c r="L6" s="115"/>
      <c r="M6" s="115"/>
      <c r="N6" s="145"/>
      <c r="O6" s="118"/>
      <c r="P6" s="115"/>
      <c r="Q6" s="115"/>
      <c r="R6" s="120">
        <f>E6+J6-N6</f>
        <v>0</v>
      </c>
      <c r="S6" s="146">
        <f>F6+K6-O6</f>
        <v>0</v>
      </c>
      <c r="T6" s="146">
        <f>G6+L6-P6</f>
        <v>0</v>
      </c>
      <c r="U6" s="147">
        <f>S6-T6</f>
        <v>0</v>
      </c>
      <c r="V6" s="147">
        <f>I6+M6-Q6</f>
        <v>0</v>
      </c>
    </row>
    <row r="7" ht="20.1" customHeight="1" spans="1:22">
      <c r="A7" s="113">
        <v>2</v>
      </c>
      <c r="B7" s="139" t="s">
        <v>29</v>
      </c>
      <c r="C7" s="140"/>
      <c r="D7" s="141"/>
      <c r="E7" s="148"/>
      <c r="F7" s="115"/>
      <c r="G7" s="115"/>
      <c r="H7" s="115">
        <f>F7-G7</f>
        <v>0</v>
      </c>
      <c r="I7" s="115"/>
      <c r="J7" s="144"/>
      <c r="K7" s="115"/>
      <c r="L7" s="115"/>
      <c r="M7" s="115"/>
      <c r="N7" s="145"/>
      <c r="O7" s="118"/>
      <c r="P7" s="115"/>
      <c r="Q7" s="115"/>
      <c r="R7" s="120">
        <f>E7+J7-N7</f>
        <v>0</v>
      </c>
      <c r="S7" s="146">
        <f>F7+K7-O7</f>
        <v>0</v>
      </c>
      <c r="T7" s="146">
        <f>G7+L7-P7</f>
        <v>0</v>
      </c>
      <c r="U7" s="147">
        <f>S7-T7</f>
        <v>0</v>
      </c>
      <c r="V7" s="147">
        <f>I7+M7-Q7</f>
        <v>0</v>
      </c>
    </row>
    <row r="8" ht="20.1" customHeight="1" spans="1:22">
      <c r="A8" s="113">
        <v>3</v>
      </c>
      <c r="B8" s="139" t="s">
        <v>30</v>
      </c>
      <c r="C8" s="140"/>
      <c r="D8" s="141"/>
      <c r="E8" s="148"/>
      <c r="F8" s="115"/>
      <c r="G8" s="115"/>
      <c r="H8" s="115">
        <f>F8-G8</f>
        <v>0</v>
      </c>
      <c r="I8" s="115"/>
      <c r="J8" s="144"/>
      <c r="K8" s="115"/>
      <c r="L8" s="115"/>
      <c r="M8" s="115"/>
      <c r="N8" s="145"/>
      <c r="O8" s="118"/>
      <c r="P8" s="115"/>
      <c r="Q8" s="115"/>
      <c r="R8" s="120">
        <f>E8+J8-N8</f>
        <v>0</v>
      </c>
      <c r="S8" s="146">
        <f>F8+K8-O8</f>
        <v>0</v>
      </c>
      <c r="T8" s="146">
        <f>G8+L8-P8</f>
        <v>0</v>
      </c>
      <c r="U8" s="147">
        <f>S8-T8</f>
        <v>0</v>
      </c>
      <c r="V8" s="147">
        <f>I8+M8-Q8</f>
        <v>0</v>
      </c>
    </row>
    <row r="9" ht="20.1" customHeight="1" spans="1:22">
      <c r="A9" s="113">
        <v>4</v>
      </c>
      <c r="B9" s="139" t="s">
        <v>31</v>
      </c>
      <c r="C9" s="140"/>
      <c r="D9" s="141"/>
      <c r="E9" s="148"/>
      <c r="F9" s="115"/>
      <c r="G9" s="115"/>
      <c r="H9" s="115">
        <f>F9-G9</f>
        <v>0</v>
      </c>
      <c r="I9" s="115"/>
      <c r="J9" s="144"/>
      <c r="K9" s="115"/>
      <c r="L9" s="115"/>
      <c r="M9" s="115"/>
      <c r="N9" s="145"/>
      <c r="O9" s="118"/>
      <c r="P9" s="115"/>
      <c r="Q9" s="115"/>
      <c r="R9" s="120">
        <f>E9+J9-N9</f>
        <v>0</v>
      </c>
      <c r="S9" s="146">
        <f>F9+K9-O9</f>
        <v>0</v>
      </c>
      <c r="T9" s="146">
        <f>G9+L9-P9</f>
        <v>0</v>
      </c>
      <c r="U9" s="147">
        <f>S9-T9</f>
        <v>0</v>
      </c>
      <c r="V9" s="147">
        <f>I9+M9-Q9</f>
        <v>0</v>
      </c>
    </row>
    <row r="10" ht="20.1" customHeight="1" spans="1:22">
      <c r="A10" s="113"/>
      <c r="B10" s="139" t="s">
        <v>32</v>
      </c>
      <c r="C10" s="140"/>
      <c r="D10" s="141"/>
      <c r="E10" s="148"/>
      <c r="F10" s="115"/>
      <c r="G10" s="115"/>
      <c r="H10" s="115">
        <f>F10-G10</f>
        <v>0</v>
      </c>
      <c r="I10" s="115"/>
      <c r="J10" s="144"/>
      <c r="K10" s="115"/>
      <c r="L10" s="115"/>
      <c r="M10" s="115"/>
      <c r="N10" s="145"/>
      <c r="O10" s="118"/>
      <c r="P10" s="115"/>
      <c r="Q10" s="115"/>
      <c r="R10" s="120">
        <f>E10+J10-N10</f>
        <v>0</v>
      </c>
      <c r="S10" s="146">
        <f>F10+K10-O10</f>
        <v>0</v>
      </c>
      <c r="T10" s="146">
        <f>G10+L10-P10</f>
        <v>0</v>
      </c>
      <c r="U10" s="147">
        <f>S10-T10</f>
        <v>0</v>
      </c>
      <c r="V10" s="147">
        <f>I10+M10-Q10</f>
        <v>0</v>
      </c>
    </row>
    <row r="11" ht="20.1" customHeight="1" spans="1:22">
      <c r="A11" s="149" t="s">
        <v>61</v>
      </c>
      <c r="B11" s="149"/>
      <c r="C11" s="149"/>
      <c r="D11" s="147">
        <f>SUM(D6:D10)</f>
        <v>0</v>
      </c>
      <c r="E11" s="172" t="s">
        <v>62</v>
      </c>
      <c r="F11" s="151">
        <f>SUM(F6:F10)</f>
        <v>0</v>
      </c>
      <c r="G11" s="151">
        <f>SUM(G6:G10)</f>
        <v>0</v>
      </c>
      <c r="H11" s="151">
        <f>SUM(H6:H10)</f>
        <v>0</v>
      </c>
      <c r="I11" s="151"/>
      <c r="J11" s="173" t="s">
        <v>62</v>
      </c>
      <c r="K11" s="151">
        <f>SUM(K6:K10)</f>
        <v>0</v>
      </c>
      <c r="L11" s="151">
        <f>SUM(L6:L10)</f>
        <v>0</v>
      </c>
      <c r="M11" s="151"/>
      <c r="N11" s="173" t="s">
        <v>62</v>
      </c>
      <c r="O11" s="153">
        <f>SUM(O6:O10)</f>
        <v>0</v>
      </c>
      <c r="P11" s="153">
        <f>SUM(P6:P10)</f>
        <v>0</v>
      </c>
      <c r="Q11" s="153"/>
      <c r="R11" s="173" t="s">
        <v>62</v>
      </c>
      <c r="S11" s="154">
        <f>SUM(S6:S10)</f>
        <v>0</v>
      </c>
      <c r="T11" s="154">
        <f>SUM(T6:T10)</f>
        <v>0</v>
      </c>
      <c r="U11" s="154">
        <f>SUM(U6:U10)</f>
        <v>0</v>
      </c>
      <c r="V11" s="154">
        <f>SUM(V6:V10)</f>
        <v>0</v>
      </c>
    </row>
    <row r="12" ht="20.1" customHeight="1" spans="1:22">
      <c r="A12" s="79" t="s">
        <v>63</v>
      </c>
    </row>
    <row r="13" ht="20.1" customHeight="1"/>
    <row r="14" ht="20.1" customHeight="1"/>
  </sheetData>
  <mergeCells count="13">
    <mergeCell ref="E3:I3"/>
    <mergeCell ref="J3:M3"/>
    <mergeCell ref="N3:Q3"/>
    <mergeCell ref="R3:V3"/>
    <mergeCell ref="E4:H4"/>
    <mergeCell ref="J4:L4"/>
    <mergeCell ref="N4:P4"/>
    <mergeCell ref="R4:U4"/>
    <mergeCell ref="A3:A5"/>
    <mergeCell ref="B3:B5"/>
    <mergeCell ref="C3:C5"/>
    <mergeCell ref="D3:D5"/>
    <mergeCell ref="I4:I5"/>
  </mergeCells>
  <dataValidations count="1">
    <dataValidation allowBlank="1" showInputMessage="1" showErrorMessage="1" prompt="请先输入“本期新纳入合并范围的子公司”" sqref="B6:C10"/>
  </dataValidations>
  <printOptions horizontalCentered="1"/>
  <pageMargins left="0.433070866141732" right="0.196850393700787" top="0.590551181102362" bottom="0.433070866141732" header="0.511811023622047" footer="0.196850393700787"/>
  <pageSetup paperSize="9" scale="26" fitToHeight="0" orientation="landscape" blackAndWhite="1"/>
  <headerFooter alignWithMargins="0">
    <oddFooter>&amp;C第 &amp;P 页，共 &amp;N 页</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V12"/>
  <sheetViews>
    <sheetView view="pageBreakPreview" zoomScaleNormal="100" workbookViewId="0">
      <pane xSplit="2" ySplit="1" topLeftCell="C2" activePane="bottomRight" state="frozen"/>
      <selection/>
      <selection pane="topRight"/>
      <selection pane="bottomLeft"/>
      <selection pane="bottomRight" activeCell="I19" sqref="I19"/>
    </sheetView>
  </sheetViews>
  <sheetFormatPr defaultColWidth="9" defaultRowHeight="13.2"/>
  <cols>
    <col min="1" max="1" width="4.5" style="74" customWidth="1"/>
    <col min="2" max="2" width="19.6" style="74" customWidth="1"/>
    <col min="3" max="3" width="13.5" style="74" customWidth="1"/>
    <col min="4" max="5" width="10.1" style="74" customWidth="1"/>
    <col min="6" max="6" width="8.5" style="74" customWidth="1"/>
    <col min="7" max="7" width="11.7" style="74" customWidth="1"/>
    <col min="8" max="8" width="8.2" style="74" customWidth="1"/>
    <col min="9" max="9" width="8.4" style="74" customWidth="1"/>
    <col min="10" max="10" width="8.6" style="74" customWidth="1"/>
    <col min="11" max="11" width="8.9" style="74" customWidth="1"/>
    <col min="12" max="12" width="11" style="74" customWidth="1"/>
    <col min="13" max="13" width="9.4" style="74" customWidth="1"/>
    <col min="14" max="14" width="8.9" style="74" customWidth="1"/>
    <col min="15" max="15" width="9.2" style="74" customWidth="1"/>
    <col min="16" max="16" width="12.3" style="74" customWidth="1"/>
    <col min="17" max="17" width="11.6" style="74" customWidth="1"/>
    <col min="18" max="18" width="7.7" style="74" customWidth="1"/>
    <col min="19" max="19" width="8.9" style="74" customWidth="1"/>
    <col min="20" max="21" width="9" style="74"/>
    <col min="22" max="22" width="9.9" style="74" customWidth="1"/>
    <col min="23" max="16384" width="9" style="74"/>
  </cols>
  <sheetData>
    <row r="1" ht="20.1" customHeight="1" spans="1:22">
      <c r="A1" s="94" t="s">
        <v>64</v>
      </c>
      <c r="B1" s="95"/>
      <c r="C1" s="95"/>
      <c r="D1" s="95"/>
      <c r="E1" s="95"/>
      <c r="F1" s="95"/>
      <c r="G1" s="95"/>
      <c r="H1" s="95"/>
      <c r="I1" s="95"/>
      <c r="J1" s="95"/>
      <c r="K1" s="95"/>
      <c r="L1" s="95"/>
      <c r="M1" s="95"/>
      <c r="N1" s="95"/>
      <c r="O1" s="95"/>
      <c r="P1" s="95"/>
      <c r="Q1" s="95"/>
      <c r="R1" s="95"/>
      <c r="S1" s="95"/>
      <c r="T1" s="96"/>
      <c r="U1" s="96"/>
      <c r="V1" s="95"/>
    </row>
    <row r="2" ht="20.1" customHeight="1" spans="1:22">
      <c r="A2" s="97" t="s">
        <v>1</v>
      </c>
      <c r="B2" s="97" t="s">
        <v>65</v>
      </c>
      <c r="C2" s="97" t="s">
        <v>3</v>
      </c>
      <c r="D2" s="98" t="s">
        <v>51</v>
      </c>
      <c r="E2" s="99"/>
      <c r="F2" s="100"/>
      <c r="G2" s="101" t="s">
        <v>52</v>
      </c>
      <c r="H2" s="102"/>
      <c r="I2" s="102"/>
      <c r="J2" s="102"/>
      <c r="K2" s="102"/>
      <c r="L2" s="102"/>
      <c r="M2" s="102"/>
      <c r="N2" s="103"/>
      <c r="O2" s="104" t="s">
        <v>53</v>
      </c>
      <c r="P2" s="105"/>
      <c r="Q2" s="105"/>
      <c r="R2" s="105"/>
      <c r="S2" s="99"/>
      <c r="T2" s="104" t="s">
        <v>54</v>
      </c>
      <c r="U2" s="105"/>
      <c r="V2" s="105"/>
    </row>
    <row r="3" ht="20.1" customHeight="1" spans="1:22">
      <c r="A3" s="106"/>
      <c r="B3" s="106"/>
      <c r="C3" s="106"/>
      <c r="D3" s="107" t="s">
        <v>55</v>
      </c>
      <c r="E3" s="108" t="s">
        <v>66</v>
      </c>
      <c r="F3" s="109" t="s">
        <v>59</v>
      </c>
      <c r="G3" s="110" t="s">
        <v>55</v>
      </c>
      <c r="H3" s="110" t="s">
        <v>67</v>
      </c>
      <c r="I3" s="110" t="s">
        <v>68</v>
      </c>
      <c r="J3" s="110"/>
      <c r="K3" s="110"/>
      <c r="L3" s="110"/>
      <c r="M3" s="110" t="s">
        <v>69</v>
      </c>
      <c r="N3" s="109" t="s">
        <v>59</v>
      </c>
      <c r="O3" s="110" t="s">
        <v>55</v>
      </c>
      <c r="P3" s="110" t="s">
        <v>70</v>
      </c>
      <c r="Q3" s="110" t="s">
        <v>71</v>
      </c>
      <c r="R3" s="110" t="s">
        <v>69</v>
      </c>
      <c r="S3" s="109" t="s">
        <v>59</v>
      </c>
      <c r="T3" s="110" t="s">
        <v>55</v>
      </c>
      <c r="U3" s="108" t="s">
        <v>66</v>
      </c>
      <c r="V3" s="109" t="s">
        <v>59</v>
      </c>
    </row>
    <row r="4" ht="31.5" customHeight="1" spans="1:22">
      <c r="A4" s="111"/>
      <c r="B4" s="111"/>
      <c r="C4" s="111"/>
      <c r="D4" s="107"/>
      <c r="E4" s="112"/>
      <c r="F4" s="110"/>
      <c r="G4" s="110"/>
      <c r="H4" s="110"/>
      <c r="I4" s="110" t="s">
        <v>72</v>
      </c>
      <c r="J4" s="110" t="s">
        <v>73</v>
      </c>
      <c r="K4" s="110" t="s">
        <v>74</v>
      </c>
      <c r="L4" s="110" t="s">
        <v>75</v>
      </c>
      <c r="M4" s="110"/>
      <c r="N4" s="110"/>
      <c r="O4" s="110"/>
      <c r="P4" s="110"/>
      <c r="Q4" s="110"/>
      <c r="R4" s="110"/>
      <c r="S4" s="110"/>
      <c r="T4" s="110"/>
      <c r="U4" s="112"/>
      <c r="V4" s="110"/>
    </row>
    <row r="5" ht="20.1" customHeight="1" spans="1:22">
      <c r="A5" s="113">
        <v>1</v>
      </c>
      <c r="B5" s="114" t="s">
        <v>28</v>
      </c>
      <c r="C5" s="115"/>
      <c r="D5" s="116"/>
      <c r="E5" s="117"/>
      <c r="F5" s="115"/>
      <c r="G5" s="115"/>
      <c r="H5" s="118"/>
      <c r="I5" s="115"/>
      <c r="J5" s="115"/>
      <c r="K5" s="115"/>
      <c r="L5" s="119">
        <f t="shared" ref="L5:L10" si="0">SUM(I5:K5)</f>
        <v>0</v>
      </c>
      <c r="M5" s="115"/>
      <c r="N5" s="115"/>
      <c r="O5" s="115"/>
      <c r="P5" s="118"/>
      <c r="Q5" s="115"/>
      <c r="R5" s="115"/>
      <c r="S5" s="115"/>
      <c r="T5" s="120">
        <f t="shared" ref="T5:T9" si="1">D5+G5-O5</f>
        <v>0</v>
      </c>
      <c r="U5" s="121"/>
      <c r="V5" s="122">
        <f t="shared" ref="V5:V9" si="2">F5+H5+L5-P5-Q5+N5-S5</f>
        <v>0</v>
      </c>
    </row>
    <row r="6" ht="20.1" customHeight="1" spans="1:22">
      <c r="A6" s="113">
        <v>2</v>
      </c>
      <c r="B6" s="114" t="s">
        <v>29</v>
      </c>
      <c r="C6" s="115"/>
      <c r="D6" s="116"/>
      <c r="E6" s="117"/>
      <c r="F6" s="115"/>
      <c r="G6" s="115"/>
      <c r="H6" s="118"/>
      <c r="I6" s="115"/>
      <c r="J6" s="115"/>
      <c r="K6" s="115"/>
      <c r="L6" s="119">
        <f t="shared" si="0"/>
        <v>0</v>
      </c>
      <c r="M6" s="115"/>
      <c r="N6" s="115"/>
      <c r="O6" s="115"/>
      <c r="P6" s="118"/>
      <c r="Q6" s="115"/>
      <c r="R6" s="115"/>
      <c r="S6" s="115"/>
      <c r="T6" s="120">
        <f t="shared" si="1"/>
        <v>0</v>
      </c>
      <c r="U6" s="121"/>
      <c r="V6" s="122">
        <f t="shared" si="2"/>
        <v>0</v>
      </c>
    </row>
    <row r="7" ht="20.1" customHeight="1" spans="1:22">
      <c r="A7" s="113">
        <v>3</v>
      </c>
      <c r="B7" s="114" t="s">
        <v>30</v>
      </c>
      <c r="C7" s="115"/>
      <c r="D7" s="116"/>
      <c r="E7" s="117"/>
      <c r="F7" s="115"/>
      <c r="G7" s="115"/>
      <c r="H7" s="118"/>
      <c r="I7" s="115"/>
      <c r="J7" s="115"/>
      <c r="K7" s="115"/>
      <c r="L7" s="119">
        <f t="shared" si="0"/>
        <v>0</v>
      </c>
      <c r="M7" s="115"/>
      <c r="N7" s="115"/>
      <c r="O7" s="115"/>
      <c r="P7" s="118"/>
      <c r="Q7" s="115"/>
      <c r="R7" s="115"/>
      <c r="S7" s="115"/>
      <c r="T7" s="120">
        <f t="shared" si="1"/>
        <v>0</v>
      </c>
      <c r="U7" s="121"/>
      <c r="V7" s="122">
        <f t="shared" si="2"/>
        <v>0</v>
      </c>
    </row>
    <row r="8" ht="20.1" customHeight="1" spans="1:22">
      <c r="A8" s="113">
        <v>4</v>
      </c>
      <c r="B8" s="114" t="s">
        <v>31</v>
      </c>
      <c r="C8" s="115"/>
      <c r="D8" s="116"/>
      <c r="E8" s="117"/>
      <c r="F8" s="115"/>
      <c r="G8" s="115"/>
      <c r="H8" s="118"/>
      <c r="I8" s="115"/>
      <c r="J8" s="115"/>
      <c r="K8" s="115"/>
      <c r="L8" s="119">
        <f t="shared" si="0"/>
        <v>0</v>
      </c>
      <c r="M8" s="115"/>
      <c r="N8" s="115"/>
      <c r="O8" s="115"/>
      <c r="P8" s="118"/>
      <c r="Q8" s="115"/>
      <c r="R8" s="115"/>
      <c r="S8" s="115"/>
      <c r="T8" s="120">
        <f t="shared" si="1"/>
        <v>0</v>
      </c>
      <c r="U8" s="121"/>
      <c r="V8" s="122">
        <f t="shared" si="2"/>
        <v>0</v>
      </c>
    </row>
    <row r="9" ht="20.1" customHeight="1" spans="1:22">
      <c r="A9" s="113">
        <v>5</v>
      </c>
      <c r="B9" s="114" t="s">
        <v>32</v>
      </c>
      <c r="C9" s="115"/>
      <c r="D9" s="116"/>
      <c r="E9" s="117"/>
      <c r="F9" s="115"/>
      <c r="G9" s="115"/>
      <c r="H9" s="118"/>
      <c r="I9" s="115"/>
      <c r="J9" s="115"/>
      <c r="K9" s="115"/>
      <c r="L9" s="119">
        <f t="shared" si="0"/>
        <v>0</v>
      </c>
      <c r="M9" s="115"/>
      <c r="N9" s="115"/>
      <c r="O9" s="115"/>
      <c r="P9" s="118"/>
      <c r="Q9" s="115"/>
      <c r="R9" s="115"/>
      <c r="S9" s="115"/>
      <c r="T9" s="120">
        <f t="shared" si="1"/>
        <v>0</v>
      </c>
      <c r="U9" s="121"/>
      <c r="V9" s="122">
        <f t="shared" si="2"/>
        <v>0</v>
      </c>
    </row>
    <row r="10" ht="20.1" customHeight="1" spans="1:22">
      <c r="A10" s="104" t="s">
        <v>33</v>
      </c>
      <c r="B10" s="99"/>
      <c r="C10" s="115"/>
      <c r="D10" s="174" t="s">
        <v>62</v>
      </c>
      <c r="E10" s="119">
        <f>SUM(E5:E9)</f>
        <v>0</v>
      </c>
      <c r="F10" s="119">
        <f t="shared" ref="F10:K10" si="3">SUM(F5:F9)</f>
        <v>0</v>
      </c>
      <c r="G10" s="175" t="s">
        <v>62</v>
      </c>
      <c r="H10" s="119">
        <f t="shared" si="3"/>
        <v>0</v>
      </c>
      <c r="I10" s="119">
        <f t="shared" si="3"/>
        <v>0</v>
      </c>
      <c r="J10" s="119">
        <f t="shared" si="3"/>
        <v>0</v>
      </c>
      <c r="K10" s="119">
        <f t="shared" si="3"/>
        <v>0</v>
      </c>
      <c r="L10" s="119">
        <f t="shared" si="0"/>
        <v>0</v>
      </c>
      <c r="M10" s="119">
        <f>SUM(M5:M9)</f>
        <v>0</v>
      </c>
      <c r="N10" s="119">
        <f>SUM(N5:N9)</f>
        <v>0</v>
      </c>
      <c r="O10" s="119">
        <f t="shared" ref="N10:S10" si="4">SUM(O5:O9)</f>
        <v>0</v>
      </c>
      <c r="P10" s="119">
        <f t="shared" si="4"/>
        <v>0</v>
      </c>
      <c r="Q10" s="119">
        <f t="shared" si="4"/>
        <v>0</v>
      </c>
      <c r="R10" s="119">
        <f t="shared" si="4"/>
        <v>0</v>
      </c>
      <c r="S10" s="119">
        <f t="shared" si="4"/>
        <v>0</v>
      </c>
      <c r="T10" s="176" t="s">
        <v>62</v>
      </c>
      <c r="U10" s="122">
        <f>SUM(U5:U9)</f>
        <v>0</v>
      </c>
      <c r="V10" s="122">
        <f>SUM(V5:V9)</f>
        <v>0</v>
      </c>
    </row>
    <row r="11" ht="20.1" customHeight="1"/>
    <row r="12" ht="20.1" customHeight="1"/>
  </sheetData>
  <mergeCells count="24">
    <mergeCell ref="D2:F2"/>
    <mergeCell ref="G2:N2"/>
    <mergeCell ref="O2:S2"/>
    <mergeCell ref="T2:V2"/>
    <mergeCell ref="I3:L3"/>
    <mergeCell ref="A10:B10"/>
    <mergeCell ref="A2:A4"/>
    <mergeCell ref="B2:B4"/>
    <mergeCell ref="C2:C4"/>
    <mergeCell ref="D3:D4"/>
    <mergeCell ref="E3:E4"/>
    <mergeCell ref="F3:F4"/>
    <mergeCell ref="G3:G4"/>
    <mergeCell ref="H3:H4"/>
    <mergeCell ref="M3:M4"/>
    <mergeCell ref="N3:N4"/>
    <mergeCell ref="O3:O4"/>
    <mergeCell ref="P3:P4"/>
    <mergeCell ref="Q3:Q4"/>
    <mergeCell ref="R3:R4"/>
    <mergeCell ref="S3:S4"/>
    <mergeCell ref="T3:T4"/>
    <mergeCell ref="U3:U4"/>
    <mergeCell ref="V3:V4"/>
  </mergeCells>
  <printOptions horizontalCentered="1"/>
  <pageMargins left="0.433070866141732" right="0.196850393700787" top="0.590551181102362" bottom="0.433070866141732" header="0.511811023622047" footer="0.196850393700787"/>
  <pageSetup paperSize="9" scale="26" fitToHeight="0" orientation="landscape" blackAndWhite="1"/>
  <headerFooter alignWithMargins="0">
    <oddFooter>&amp;C第 &amp;P 页，共 &amp;N 页</oddFooter>
  </headerFooter>
  <colBreaks count="1" manualBreakCount="1">
    <brk id="22" max="11" man="1"/>
  </col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J88"/>
  <sheetViews>
    <sheetView workbookViewId="0">
      <pane xSplit="2" ySplit="1" topLeftCell="C44" activePane="bottomRight" state="frozen"/>
      <selection/>
      <selection pane="topRight"/>
      <selection pane="bottomLeft"/>
      <selection pane="bottomRight" activeCell="E8" sqref="E8"/>
    </sheetView>
  </sheetViews>
  <sheetFormatPr defaultColWidth="9" defaultRowHeight="15.6"/>
  <cols>
    <col min="1" max="1" width="4.5" style="73" customWidth="1"/>
    <col min="2" max="2" width="26.8" style="74" customWidth="1"/>
    <col min="3" max="3" width="19.3" style="74" customWidth="1"/>
    <col min="4" max="4" width="14.6" style="73" customWidth="1"/>
    <col min="5" max="5" width="15.8" style="74" customWidth="1"/>
    <col min="6" max="10" width="14.1" style="74" customWidth="1"/>
    <col min="11" max="16379" width="9" style="74"/>
    <col min="16381" max="16384" width="9" style="74"/>
  </cols>
  <sheetData>
    <row r="1" s="72" customFormat="1" ht="24.9" customHeight="1" spans="1:10">
      <c r="A1" s="75" t="s">
        <v>76</v>
      </c>
      <c r="B1" s="76"/>
      <c r="C1" s="76"/>
      <c r="D1" s="75"/>
      <c r="E1" s="76"/>
      <c r="F1" s="77"/>
      <c r="G1" s="77"/>
      <c r="H1" s="77"/>
      <c r="I1" s="77"/>
    </row>
    <row r="2" spans="1:10">
      <c r="A2" s="78" t="s">
        <v>1</v>
      </c>
      <c r="B2" s="78" t="s">
        <v>77</v>
      </c>
      <c r="C2" s="78" t="s">
        <v>78</v>
      </c>
      <c r="D2" s="78" t="s">
        <v>79</v>
      </c>
      <c r="E2" s="79" t="s">
        <v>28</v>
      </c>
      <c r="F2" s="79" t="s">
        <v>29</v>
      </c>
      <c r="G2" s="79" t="s">
        <v>30</v>
      </c>
      <c r="H2" s="79" t="s">
        <v>31</v>
      </c>
      <c r="I2" s="79" t="s">
        <v>80</v>
      </c>
      <c r="J2" s="79" t="s">
        <v>81</v>
      </c>
    </row>
    <row r="3" spans="1:10">
      <c r="A3" s="78"/>
      <c r="B3" s="78"/>
      <c r="C3" s="78"/>
      <c r="D3" s="80">
        <v>1</v>
      </c>
      <c r="E3" s="79" t="s">
        <v>82</v>
      </c>
      <c r="F3" s="79" t="s">
        <v>82</v>
      </c>
      <c r="G3" s="79" t="s">
        <v>82</v>
      </c>
      <c r="H3" s="79" t="s">
        <v>82</v>
      </c>
      <c r="I3" s="79" t="s">
        <v>82</v>
      </c>
      <c r="J3" s="79" t="s">
        <v>82</v>
      </c>
    </row>
    <row r="4" spans="1:10">
      <c r="A4" s="78">
        <v>1</v>
      </c>
      <c r="B4" s="81" t="s">
        <v>83</v>
      </c>
      <c r="C4" s="79"/>
      <c r="D4" s="78"/>
      <c r="E4" s="79"/>
      <c r="F4" s="79"/>
      <c r="G4" s="79"/>
      <c r="H4" s="79"/>
      <c r="I4" s="79"/>
      <c r="J4" s="79"/>
    </row>
    <row r="5" spans="1:10">
      <c r="B5" s="82" t="s">
        <v>84</v>
      </c>
      <c r="C5" s="83">
        <f>C6+C7+C8+C10+C11+C12+C13+C14-C9</f>
        <v>0</v>
      </c>
      <c r="D5" s="84"/>
      <c r="E5" s="83">
        <f t="shared" ref="E5:J5" si="0">E6+E7+E8+E10+E11+E12+E13+E14-E9</f>
        <v>0</v>
      </c>
      <c r="F5" s="83">
        <f t="shared" si="0"/>
        <v>0</v>
      </c>
      <c r="G5" s="83">
        <f t="shared" si="0"/>
        <v>0</v>
      </c>
      <c r="H5" s="83">
        <f t="shared" si="0"/>
        <v>0</v>
      </c>
      <c r="I5" s="83">
        <f t="shared" si="0"/>
        <v>0</v>
      </c>
      <c r="J5" s="83">
        <f t="shared" si="0"/>
        <v>0</v>
      </c>
    </row>
    <row r="6" spans="1:10">
      <c r="B6" s="74" t="s">
        <v>85</v>
      </c>
      <c r="C6" s="85">
        <f>SUM(E6:J6)</f>
        <v>0</v>
      </c>
    </row>
    <row r="7" spans="1:10">
      <c r="B7" s="74" t="s">
        <v>86</v>
      </c>
      <c r="C7" s="85">
        <f t="shared" ref="C7:C14" si="1">SUM(E7:J7)</f>
        <v>0</v>
      </c>
    </row>
    <row r="8" spans="1:10">
      <c r="B8" s="74" t="s">
        <v>87</v>
      </c>
      <c r="C8" s="85">
        <f t="shared" si="1"/>
        <v>0</v>
      </c>
    </row>
    <row r="9" spans="1:10">
      <c r="B9" s="74" t="s">
        <v>88</v>
      </c>
      <c r="C9" s="85">
        <f t="shared" si="1"/>
        <v>0</v>
      </c>
    </row>
    <row r="10" spans="1:10">
      <c r="B10" s="74" t="s">
        <v>73</v>
      </c>
      <c r="C10" s="85">
        <f t="shared" si="1"/>
        <v>0</v>
      </c>
    </row>
    <row r="11" spans="1:10">
      <c r="B11" s="74" t="s">
        <v>89</v>
      </c>
      <c r="C11" s="85">
        <f t="shared" si="1"/>
        <v>0</v>
      </c>
    </row>
    <row r="12" spans="1:10">
      <c r="B12" s="74" t="s">
        <v>90</v>
      </c>
      <c r="C12" s="85">
        <f t="shared" si="1"/>
        <v>0</v>
      </c>
    </row>
    <row r="13" spans="1:10">
      <c r="B13" s="74" t="s">
        <v>91</v>
      </c>
      <c r="C13" s="85">
        <f t="shared" si="1"/>
        <v>0</v>
      </c>
    </row>
    <row r="14" spans="1:10">
      <c r="B14" s="74" t="s">
        <v>92</v>
      </c>
      <c r="C14" s="85">
        <f t="shared" si="1"/>
        <v>0</v>
      </c>
    </row>
    <row r="15" spans="1:10">
      <c r="B15" s="82" t="s">
        <v>52</v>
      </c>
      <c r="C15" s="83">
        <f>C16+C17+C18+C20+C21+C22+C23+C24-C19</f>
        <v>0</v>
      </c>
      <c r="D15" s="84"/>
      <c r="E15" s="83">
        <f t="shared" ref="E15:J15" si="2">E16+E17+E18+E20+E21+E22+E23+E24-E19</f>
        <v>0</v>
      </c>
      <c r="F15" s="83">
        <f t="shared" si="2"/>
        <v>0</v>
      </c>
      <c r="G15" s="83">
        <f t="shared" si="2"/>
        <v>0</v>
      </c>
      <c r="H15" s="83">
        <f t="shared" si="2"/>
        <v>0</v>
      </c>
      <c r="I15" s="83">
        <f t="shared" si="2"/>
        <v>0</v>
      </c>
      <c r="J15" s="83">
        <f t="shared" si="2"/>
        <v>0</v>
      </c>
    </row>
    <row r="16" spans="1:10">
      <c r="B16" s="74" t="s">
        <v>85</v>
      </c>
      <c r="C16" s="85">
        <f t="shared" ref="C16:C24" si="3">SUM(E16:J16)</f>
        <v>0</v>
      </c>
    </row>
    <row r="17" spans="2:10">
      <c r="B17" s="74" t="s">
        <v>86</v>
      </c>
      <c r="C17" s="85">
        <f t="shared" si="3"/>
        <v>0</v>
      </c>
    </row>
    <row r="18" spans="2:10">
      <c r="B18" s="74" t="s">
        <v>87</v>
      </c>
      <c r="C18" s="85">
        <f t="shared" si="3"/>
        <v>0</v>
      </c>
    </row>
    <row r="19" spans="2:10">
      <c r="B19" s="74" t="s">
        <v>88</v>
      </c>
      <c r="C19" s="85">
        <f t="shared" si="3"/>
        <v>0</v>
      </c>
    </row>
    <row r="20" spans="2:10">
      <c r="B20" s="74" t="s">
        <v>73</v>
      </c>
      <c r="C20" s="85">
        <f t="shared" si="3"/>
        <v>0</v>
      </c>
    </row>
    <row r="21" spans="2:10">
      <c r="B21" s="74" t="s">
        <v>89</v>
      </c>
      <c r="C21" s="85">
        <f t="shared" si="3"/>
        <v>0</v>
      </c>
    </row>
    <row r="22" spans="2:10">
      <c r="B22" s="74" t="s">
        <v>90</v>
      </c>
      <c r="C22" s="85">
        <f t="shared" si="3"/>
        <v>0</v>
      </c>
    </row>
    <row r="23" spans="2:10">
      <c r="B23" s="74" t="s">
        <v>91</v>
      </c>
      <c r="C23" s="85">
        <f t="shared" si="3"/>
        <v>0</v>
      </c>
    </row>
    <row r="24" spans="2:10">
      <c r="B24" s="74" t="s">
        <v>92</v>
      </c>
      <c r="C24" s="85">
        <f t="shared" si="3"/>
        <v>0</v>
      </c>
    </row>
    <row r="25" spans="2:10">
      <c r="B25" s="82" t="s">
        <v>53</v>
      </c>
      <c r="C25" s="83">
        <f>C26+C27+C28+C30+C31+C32+C33+C34-C29</f>
        <v>0</v>
      </c>
      <c r="D25" s="84"/>
      <c r="E25" s="83">
        <f t="shared" ref="E25:J25" si="4">E26+E27+E28+E30+E31+E32+E33+E34-E29</f>
        <v>0</v>
      </c>
      <c r="F25" s="83">
        <f t="shared" si="4"/>
        <v>0</v>
      </c>
      <c r="G25" s="83">
        <f t="shared" si="4"/>
        <v>0</v>
      </c>
      <c r="H25" s="83">
        <f t="shared" si="4"/>
        <v>0</v>
      </c>
      <c r="I25" s="83">
        <f t="shared" si="4"/>
        <v>0</v>
      </c>
      <c r="J25" s="83">
        <f t="shared" si="4"/>
        <v>0</v>
      </c>
    </row>
    <row r="26" spans="2:10">
      <c r="B26" s="74" t="s">
        <v>85</v>
      </c>
      <c r="C26" s="85">
        <f t="shared" ref="C26:C34" si="5">SUM(E26:J26)</f>
        <v>0</v>
      </c>
    </row>
    <row r="27" spans="2:10">
      <c r="B27" s="74" t="s">
        <v>86</v>
      </c>
      <c r="C27" s="85">
        <f t="shared" si="5"/>
        <v>0</v>
      </c>
    </row>
    <row r="28" spans="2:10">
      <c r="B28" s="74" t="s">
        <v>87</v>
      </c>
      <c r="C28" s="85">
        <f t="shared" si="5"/>
        <v>0</v>
      </c>
    </row>
    <row r="29" spans="2:10">
      <c r="B29" s="74" t="s">
        <v>88</v>
      </c>
      <c r="C29" s="85">
        <f t="shared" si="5"/>
        <v>0</v>
      </c>
    </row>
    <row r="30" spans="2:10">
      <c r="B30" s="74" t="s">
        <v>73</v>
      </c>
      <c r="C30" s="85">
        <f t="shared" si="5"/>
        <v>0</v>
      </c>
    </row>
    <row r="31" spans="2:10">
      <c r="B31" s="74" t="s">
        <v>89</v>
      </c>
      <c r="C31" s="85">
        <f t="shared" si="5"/>
        <v>0</v>
      </c>
    </row>
    <row r="32" spans="2:10">
      <c r="B32" s="74" t="s">
        <v>90</v>
      </c>
      <c r="C32" s="85">
        <f t="shared" si="5"/>
        <v>0</v>
      </c>
    </row>
    <row r="33" spans="1:10">
      <c r="B33" s="74" t="s">
        <v>91</v>
      </c>
      <c r="C33" s="85">
        <f t="shared" si="5"/>
        <v>0</v>
      </c>
    </row>
    <row r="34" spans="1:10">
      <c r="B34" s="74" t="s">
        <v>92</v>
      </c>
      <c r="C34" s="85">
        <f t="shared" si="5"/>
        <v>0</v>
      </c>
    </row>
    <row r="35" spans="1:10">
      <c r="B35" s="82" t="s">
        <v>93</v>
      </c>
      <c r="C35" s="83">
        <f>C36+C37+C38+C40+C41+C42+C43+C44-C39</f>
        <v>0</v>
      </c>
      <c r="D35" s="84"/>
      <c r="E35" s="83">
        <f t="shared" ref="E35:J35" si="6">E36+E37+E38+E40+E41+E42+E43+E44-E39</f>
        <v>0</v>
      </c>
      <c r="F35" s="83">
        <f t="shared" si="6"/>
        <v>0</v>
      </c>
      <c r="G35" s="83">
        <f t="shared" si="6"/>
        <v>0</v>
      </c>
      <c r="H35" s="83">
        <f t="shared" si="6"/>
        <v>0</v>
      </c>
      <c r="I35" s="83">
        <f t="shared" si="6"/>
        <v>0</v>
      </c>
      <c r="J35" s="83">
        <f t="shared" si="6"/>
        <v>0</v>
      </c>
    </row>
    <row r="36" spans="1:10">
      <c r="B36" s="74" t="s">
        <v>85</v>
      </c>
      <c r="C36" s="86">
        <f>C6+C16-C26</f>
        <v>0</v>
      </c>
      <c r="D36" s="87"/>
      <c r="E36" s="86">
        <f t="shared" ref="E36:J36" si="7">E6+E16-E26</f>
        <v>0</v>
      </c>
      <c r="F36" s="86">
        <f t="shared" si="7"/>
        <v>0</v>
      </c>
      <c r="G36" s="86">
        <f t="shared" si="7"/>
        <v>0</v>
      </c>
      <c r="H36" s="86">
        <f t="shared" si="7"/>
        <v>0</v>
      </c>
      <c r="I36" s="86">
        <f t="shared" si="7"/>
        <v>0</v>
      </c>
      <c r="J36" s="86">
        <f t="shared" si="7"/>
        <v>0</v>
      </c>
    </row>
    <row r="37" spans="1:10">
      <c r="B37" s="74" t="s">
        <v>86</v>
      </c>
      <c r="C37" s="86">
        <f t="shared" ref="C37:C44" si="8">C7+C17-C27</f>
        <v>0</v>
      </c>
      <c r="D37" s="87"/>
      <c r="E37" s="86">
        <f t="shared" ref="E37:E44" si="9">E7+E17-E27</f>
        <v>0</v>
      </c>
      <c r="F37" s="86">
        <f t="shared" ref="F37:F44" si="10">F7+F17-F27</f>
        <v>0</v>
      </c>
      <c r="G37" s="86">
        <f t="shared" ref="G37:G44" si="11">G7+G17-G27</f>
        <v>0</v>
      </c>
      <c r="H37" s="86">
        <f t="shared" ref="H37:H44" si="12">H7+H17-H27</f>
        <v>0</v>
      </c>
      <c r="I37" s="86">
        <f t="shared" ref="I37:I44" si="13">I7+I17-I27</f>
        <v>0</v>
      </c>
      <c r="J37" s="86">
        <f t="shared" ref="J37:J44" si="14">J7+J17-J27</f>
        <v>0</v>
      </c>
    </row>
    <row r="38" spans="1:10">
      <c r="B38" s="74" t="s">
        <v>87</v>
      </c>
      <c r="C38" s="86">
        <f t="shared" si="8"/>
        <v>0</v>
      </c>
      <c r="D38" s="87"/>
      <c r="E38" s="86">
        <f t="shared" si="9"/>
        <v>0</v>
      </c>
      <c r="F38" s="86">
        <f t="shared" si="10"/>
        <v>0</v>
      </c>
      <c r="G38" s="86">
        <f t="shared" si="11"/>
        <v>0</v>
      </c>
      <c r="H38" s="86">
        <f t="shared" si="12"/>
        <v>0</v>
      </c>
      <c r="I38" s="86">
        <f t="shared" si="13"/>
        <v>0</v>
      </c>
      <c r="J38" s="86">
        <f t="shared" si="14"/>
        <v>0</v>
      </c>
    </row>
    <row r="39" spans="1:10">
      <c r="B39" s="74" t="s">
        <v>88</v>
      </c>
      <c r="C39" s="86">
        <f t="shared" si="8"/>
        <v>0</v>
      </c>
      <c r="D39" s="87"/>
      <c r="E39" s="86">
        <f t="shared" si="9"/>
        <v>0</v>
      </c>
      <c r="F39" s="86">
        <f t="shared" si="10"/>
        <v>0</v>
      </c>
      <c r="G39" s="86">
        <f t="shared" si="11"/>
        <v>0</v>
      </c>
      <c r="H39" s="86">
        <f t="shared" si="12"/>
        <v>0</v>
      </c>
      <c r="I39" s="86">
        <f t="shared" si="13"/>
        <v>0</v>
      </c>
      <c r="J39" s="86">
        <f t="shared" si="14"/>
        <v>0</v>
      </c>
    </row>
    <row r="40" spans="1:10">
      <c r="B40" s="74" t="s">
        <v>73</v>
      </c>
      <c r="C40" s="86">
        <f t="shared" si="8"/>
        <v>0</v>
      </c>
      <c r="D40" s="87"/>
      <c r="E40" s="86">
        <f t="shared" si="9"/>
        <v>0</v>
      </c>
      <c r="F40" s="86">
        <f t="shared" si="10"/>
        <v>0</v>
      </c>
      <c r="G40" s="86">
        <f t="shared" si="11"/>
        <v>0</v>
      </c>
      <c r="H40" s="86">
        <f t="shared" si="12"/>
        <v>0</v>
      </c>
      <c r="I40" s="86">
        <f t="shared" si="13"/>
        <v>0</v>
      </c>
      <c r="J40" s="86">
        <f t="shared" si="14"/>
        <v>0</v>
      </c>
    </row>
    <row r="41" spans="1:10">
      <c r="B41" s="74" t="s">
        <v>89</v>
      </c>
      <c r="C41" s="86">
        <f t="shared" si="8"/>
        <v>0</v>
      </c>
      <c r="D41" s="87"/>
      <c r="E41" s="86">
        <f t="shared" si="9"/>
        <v>0</v>
      </c>
      <c r="F41" s="86">
        <f t="shared" si="10"/>
        <v>0</v>
      </c>
      <c r="G41" s="86">
        <f t="shared" si="11"/>
        <v>0</v>
      </c>
      <c r="H41" s="86">
        <f t="shared" si="12"/>
        <v>0</v>
      </c>
      <c r="I41" s="86">
        <f t="shared" si="13"/>
        <v>0</v>
      </c>
      <c r="J41" s="86">
        <f t="shared" si="14"/>
        <v>0</v>
      </c>
    </row>
    <row r="42" spans="1:10">
      <c r="B42" s="74" t="s">
        <v>90</v>
      </c>
      <c r="C42" s="86">
        <f t="shared" si="8"/>
        <v>0</v>
      </c>
      <c r="D42" s="87"/>
      <c r="E42" s="86">
        <f t="shared" si="9"/>
        <v>0</v>
      </c>
      <c r="F42" s="86">
        <f t="shared" si="10"/>
        <v>0</v>
      </c>
      <c r="G42" s="86">
        <f t="shared" si="11"/>
        <v>0</v>
      </c>
      <c r="H42" s="86">
        <f t="shared" si="12"/>
        <v>0</v>
      </c>
      <c r="I42" s="86">
        <f t="shared" si="13"/>
        <v>0</v>
      </c>
      <c r="J42" s="86">
        <f t="shared" si="14"/>
        <v>0</v>
      </c>
    </row>
    <row r="43" spans="1:10">
      <c r="B43" s="74" t="s">
        <v>91</v>
      </c>
      <c r="C43" s="86">
        <f t="shared" si="8"/>
        <v>0</v>
      </c>
      <c r="D43" s="87"/>
      <c r="E43" s="86">
        <f t="shared" si="9"/>
        <v>0</v>
      </c>
      <c r="F43" s="86">
        <f t="shared" si="10"/>
        <v>0</v>
      </c>
      <c r="G43" s="86">
        <f t="shared" si="11"/>
        <v>0</v>
      </c>
      <c r="H43" s="86">
        <f t="shared" si="12"/>
        <v>0</v>
      </c>
      <c r="I43" s="86">
        <f t="shared" si="13"/>
        <v>0</v>
      </c>
      <c r="J43" s="86">
        <f t="shared" si="14"/>
        <v>0</v>
      </c>
    </row>
    <row r="44" spans="1:10">
      <c r="B44" s="74" t="s">
        <v>92</v>
      </c>
      <c r="C44" s="86">
        <f t="shared" si="8"/>
        <v>0</v>
      </c>
      <c r="D44" s="87"/>
      <c r="E44" s="86">
        <f t="shared" si="9"/>
        <v>0</v>
      </c>
      <c r="F44" s="86">
        <f t="shared" si="10"/>
        <v>0</v>
      </c>
      <c r="G44" s="86">
        <f t="shared" si="11"/>
        <v>0</v>
      </c>
      <c r="H44" s="86">
        <f t="shared" si="12"/>
        <v>0</v>
      </c>
      <c r="I44" s="86">
        <f t="shared" si="13"/>
        <v>0</v>
      </c>
      <c r="J44" s="86">
        <f t="shared" si="14"/>
        <v>0</v>
      </c>
    </row>
    <row r="46" spans="1:10">
      <c r="A46" s="73">
        <v>2</v>
      </c>
      <c r="B46" s="88" t="s">
        <v>94</v>
      </c>
    </row>
    <row r="47" spans="1:10">
      <c r="B47" s="89" t="s">
        <v>95</v>
      </c>
      <c r="C47" s="90">
        <f t="shared" ref="C47:C50" si="15">SUM(E47:J47)</f>
        <v>0</v>
      </c>
      <c r="D47" s="91"/>
      <c r="E47" s="90">
        <f t="shared" ref="E47:J47" si="16">E14</f>
        <v>0</v>
      </c>
      <c r="F47" s="90">
        <f t="shared" si="16"/>
        <v>0</v>
      </c>
      <c r="G47" s="90">
        <f t="shared" si="16"/>
        <v>0</v>
      </c>
      <c r="H47" s="90">
        <f t="shared" si="16"/>
        <v>0</v>
      </c>
      <c r="I47" s="90">
        <f t="shared" si="16"/>
        <v>0</v>
      </c>
      <c r="J47" s="90">
        <f t="shared" si="16"/>
        <v>0</v>
      </c>
    </row>
    <row r="48" spans="1:10">
      <c r="B48" s="79" t="s">
        <v>96</v>
      </c>
      <c r="C48" s="90">
        <f t="shared" si="15"/>
        <v>0</v>
      </c>
      <c r="D48" s="91"/>
      <c r="E48" s="90">
        <f t="shared" ref="E48:J48" si="17">E49+E51+E56+E59+E69</f>
        <v>0</v>
      </c>
      <c r="F48" s="90">
        <f t="shared" si="17"/>
        <v>0</v>
      </c>
      <c r="G48" s="90">
        <f t="shared" si="17"/>
        <v>0</v>
      </c>
      <c r="H48" s="90">
        <f t="shared" si="17"/>
        <v>0</v>
      </c>
      <c r="I48" s="90">
        <f t="shared" si="17"/>
        <v>0</v>
      </c>
      <c r="J48" s="90">
        <f t="shared" si="17"/>
        <v>0</v>
      </c>
    </row>
    <row r="49" spans="2:10">
      <c r="B49" s="74" t="s">
        <v>97</v>
      </c>
      <c r="C49" s="85">
        <f t="shared" si="15"/>
        <v>0</v>
      </c>
    </row>
    <row r="50" spans="2:10">
      <c r="B50" s="79" t="s">
        <v>98</v>
      </c>
      <c r="C50" s="85">
        <f t="shared" si="15"/>
        <v>0</v>
      </c>
    </row>
    <row r="51" spans="2:10">
      <c r="B51" s="79" t="s">
        <v>99</v>
      </c>
      <c r="C51" s="90">
        <f t="shared" ref="C51:C76" si="18">SUM(E51:J51)</f>
        <v>0</v>
      </c>
      <c r="D51" s="84"/>
      <c r="E51" s="83">
        <f t="shared" ref="E51:J51" si="19">E52+E53+E54+E55</f>
        <v>0</v>
      </c>
      <c r="F51" s="83">
        <f t="shared" si="19"/>
        <v>0</v>
      </c>
      <c r="G51" s="83">
        <f t="shared" si="19"/>
        <v>0</v>
      </c>
      <c r="H51" s="83">
        <f t="shared" si="19"/>
        <v>0</v>
      </c>
      <c r="I51" s="83">
        <f t="shared" si="19"/>
        <v>0</v>
      </c>
      <c r="J51" s="83">
        <f t="shared" si="19"/>
        <v>0</v>
      </c>
    </row>
    <row r="52" spans="2:10">
      <c r="B52" s="74" t="s">
        <v>100</v>
      </c>
      <c r="C52" s="85">
        <f t="shared" si="18"/>
        <v>0</v>
      </c>
    </row>
    <row r="53" spans="2:10">
      <c r="B53" s="74" t="s">
        <v>101</v>
      </c>
      <c r="C53" s="85">
        <f t="shared" si="18"/>
        <v>0</v>
      </c>
    </row>
    <row r="54" spans="2:10">
      <c r="B54" s="74" t="s">
        <v>102</v>
      </c>
      <c r="C54" s="85">
        <f t="shared" si="18"/>
        <v>0</v>
      </c>
    </row>
    <row r="55" spans="2:10">
      <c r="B55" s="74" t="s">
        <v>103</v>
      </c>
      <c r="C55" s="85">
        <f t="shared" si="18"/>
        <v>0</v>
      </c>
    </row>
    <row r="56" spans="2:10">
      <c r="B56" s="74" t="s">
        <v>104</v>
      </c>
      <c r="C56" s="90">
        <f t="shared" si="18"/>
        <v>0</v>
      </c>
      <c r="D56" s="84"/>
      <c r="E56" s="83">
        <f t="shared" ref="E56:J56" si="20">E57-E58</f>
        <v>0</v>
      </c>
      <c r="F56" s="83">
        <f t="shared" si="20"/>
        <v>0</v>
      </c>
      <c r="G56" s="83">
        <f t="shared" si="20"/>
        <v>0</v>
      </c>
      <c r="H56" s="83">
        <f t="shared" si="20"/>
        <v>0</v>
      </c>
      <c r="I56" s="83">
        <f t="shared" si="20"/>
        <v>0</v>
      </c>
      <c r="J56" s="83">
        <f t="shared" si="20"/>
        <v>0</v>
      </c>
    </row>
    <row r="57" spans="2:10">
      <c r="B57" s="74" t="s">
        <v>105</v>
      </c>
      <c r="C57" s="85">
        <f t="shared" si="18"/>
        <v>0</v>
      </c>
    </row>
    <row r="58" spans="2:10">
      <c r="B58" s="74" t="s">
        <v>106</v>
      </c>
      <c r="C58" s="85">
        <f t="shared" si="18"/>
        <v>0</v>
      </c>
    </row>
    <row r="59" spans="2:10">
      <c r="B59" s="74" t="s">
        <v>107</v>
      </c>
      <c r="C59" s="85">
        <f t="shared" si="18"/>
        <v>0</v>
      </c>
      <c r="D59" s="84"/>
      <c r="E59" s="83">
        <f t="shared" ref="E59:J59" si="21">E60+E66+E67+E68</f>
        <v>0</v>
      </c>
      <c r="F59" s="83">
        <f t="shared" si="21"/>
        <v>0</v>
      </c>
      <c r="G59" s="83">
        <f t="shared" si="21"/>
        <v>0</v>
      </c>
      <c r="H59" s="83">
        <f t="shared" si="21"/>
        <v>0</v>
      </c>
      <c r="I59" s="83">
        <f t="shared" si="21"/>
        <v>0</v>
      </c>
      <c r="J59" s="83">
        <f t="shared" si="21"/>
        <v>0</v>
      </c>
    </row>
    <row r="60" spans="2:10">
      <c r="B60" s="74" t="s">
        <v>108</v>
      </c>
      <c r="C60" s="90">
        <f t="shared" si="18"/>
        <v>0</v>
      </c>
      <c r="D60" s="84"/>
      <c r="E60" s="83">
        <f t="shared" ref="E60:J60" si="22">E61+E62+E63+E64+E65</f>
        <v>0</v>
      </c>
      <c r="F60" s="83">
        <f t="shared" si="22"/>
        <v>0</v>
      </c>
      <c r="G60" s="83">
        <f t="shared" si="22"/>
        <v>0</v>
      </c>
      <c r="H60" s="83">
        <f t="shared" si="22"/>
        <v>0</v>
      </c>
      <c r="I60" s="83">
        <f t="shared" si="22"/>
        <v>0</v>
      </c>
      <c r="J60" s="83">
        <f t="shared" si="22"/>
        <v>0</v>
      </c>
    </row>
    <row r="61" spans="2:10">
      <c r="B61" s="74" t="s">
        <v>109</v>
      </c>
      <c r="C61" s="90">
        <f t="shared" si="18"/>
        <v>0</v>
      </c>
    </row>
    <row r="62" spans="2:10">
      <c r="B62" s="74" t="s">
        <v>110</v>
      </c>
      <c r="C62" s="90">
        <f t="shared" si="18"/>
        <v>0</v>
      </c>
    </row>
    <row r="63" spans="2:10">
      <c r="B63" s="74" t="s">
        <v>111</v>
      </c>
      <c r="C63" s="90">
        <f t="shared" si="18"/>
        <v>0</v>
      </c>
    </row>
    <row r="64" spans="2:10">
      <c r="B64" s="92" t="s">
        <v>112</v>
      </c>
      <c r="C64" s="90">
        <f t="shared" si="18"/>
        <v>0</v>
      </c>
    </row>
    <row r="65" spans="1:10">
      <c r="B65" s="92" t="s">
        <v>113</v>
      </c>
      <c r="C65" s="90">
        <f t="shared" si="18"/>
        <v>0</v>
      </c>
    </row>
    <row r="66" spans="1:10">
      <c r="B66" s="74" t="s">
        <v>114</v>
      </c>
      <c r="C66" s="90">
        <f t="shared" si="18"/>
        <v>0</v>
      </c>
    </row>
    <row r="67" spans="1:10">
      <c r="B67" s="74" t="s">
        <v>115</v>
      </c>
      <c r="C67" s="90">
        <f t="shared" si="18"/>
        <v>0</v>
      </c>
    </row>
    <row r="68" spans="1:10">
      <c r="B68" s="74" t="s">
        <v>116</v>
      </c>
      <c r="C68" s="90">
        <f t="shared" si="18"/>
        <v>0</v>
      </c>
    </row>
    <row r="69" spans="1:10">
      <c r="B69" s="74" t="s">
        <v>117</v>
      </c>
      <c r="C69" s="90">
        <f t="shared" si="18"/>
        <v>0</v>
      </c>
      <c r="D69" s="84"/>
      <c r="E69" s="83">
        <f t="shared" ref="E69:J69" si="23">E70+E71+E73+E72+E74+E75</f>
        <v>0</v>
      </c>
      <c r="F69" s="83">
        <f t="shared" si="23"/>
        <v>0</v>
      </c>
      <c r="G69" s="83">
        <f t="shared" si="23"/>
        <v>0</v>
      </c>
      <c r="H69" s="83">
        <f t="shared" si="23"/>
        <v>0</v>
      </c>
      <c r="I69" s="83">
        <f t="shared" si="23"/>
        <v>0</v>
      </c>
      <c r="J69" s="83">
        <f t="shared" si="23"/>
        <v>0</v>
      </c>
    </row>
    <row r="70" spans="1:10">
      <c r="B70" s="74" t="s">
        <v>118</v>
      </c>
      <c r="C70" s="90">
        <f t="shared" si="18"/>
        <v>0</v>
      </c>
    </row>
    <row r="71" spans="1:10">
      <c r="B71" s="74" t="s">
        <v>119</v>
      </c>
      <c r="C71" s="90">
        <f t="shared" si="18"/>
        <v>0</v>
      </c>
    </row>
    <row r="72" spans="1:10">
      <c r="B72" s="74" t="s">
        <v>120</v>
      </c>
      <c r="C72" s="90">
        <f t="shared" si="18"/>
        <v>0</v>
      </c>
    </row>
    <row r="73" spans="1:10">
      <c r="B73" s="74" t="s">
        <v>121</v>
      </c>
      <c r="C73" s="90">
        <f t="shared" si="18"/>
        <v>0</v>
      </c>
    </row>
    <row r="74" spans="1:10">
      <c r="B74" s="74" t="s">
        <v>122</v>
      </c>
      <c r="C74" s="90">
        <f t="shared" si="18"/>
        <v>0</v>
      </c>
    </row>
    <row r="75" spans="1:10">
      <c r="B75" s="74" t="s">
        <v>123</v>
      </c>
      <c r="C75" s="90">
        <f t="shared" si="18"/>
        <v>0</v>
      </c>
    </row>
    <row r="76" spans="1:10">
      <c r="B76" s="79" t="s">
        <v>124</v>
      </c>
      <c r="C76" s="90">
        <f t="shared" si="18"/>
        <v>0</v>
      </c>
      <c r="D76" s="84"/>
      <c r="E76" s="83">
        <f t="shared" ref="E76:J76" si="24">E47+E48</f>
        <v>0</v>
      </c>
      <c r="F76" s="83">
        <f t="shared" si="24"/>
        <v>0</v>
      </c>
      <c r="G76" s="83">
        <f t="shared" si="24"/>
        <v>0</v>
      </c>
      <c r="H76" s="83">
        <f t="shared" si="24"/>
        <v>0</v>
      </c>
      <c r="I76" s="83">
        <f t="shared" si="24"/>
        <v>0</v>
      </c>
      <c r="J76" s="83">
        <f t="shared" si="24"/>
        <v>0</v>
      </c>
    </row>
    <row r="78" spans="1:10">
      <c r="A78" s="73">
        <v>3</v>
      </c>
      <c r="B78" s="93" t="s">
        <v>125</v>
      </c>
    </row>
    <row r="79" spans="1:10">
      <c r="B79" s="88" t="s">
        <v>126</v>
      </c>
    </row>
    <row r="80" spans="1:10">
      <c r="B80" s="79" t="s">
        <v>127</v>
      </c>
    </row>
    <row r="81" spans="2:10">
      <c r="B81" s="88" t="s">
        <v>128</v>
      </c>
      <c r="C81" s="90">
        <f t="shared" ref="C81:C86" si="25">SUM(E81:J81)</f>
        <v>0</v>
      </c>
      <c r="D81" s="84"/>
      <c r="E81" s="83">
        <f t="shared" ref="E81:J81" si="26">E82+E83+E84</f>
        <v>0</v>
      </c>
      <c r="F81" s="83">
        <f t="shared" si="26"/>
        <v>0</v>
      </c>
      <c r="G81" s="83">
        <f t="shared" si="26"/>
        <v>0</v>
      </c>
      <c r="H81" s="83">
        <f t="shared" si="26"/>
        <v>0</v>
      </c>
      <c r="I81" s="83">
        <f t="shared" si="26"/>
        <v>0</v>
      </c>
      <c r="J81" s="83">
        <f t="shared" si="26"/>
        <v>0</v>
      </c>
    </row>
    <row r="82" spans="2:10">
      <c r="B82" s="79" t="s">
        <v>129</v>
      </c>
    </row>
    <row r="83" spans="2:10">
      <c r="B83" s="79" t="s">
        <v>130</v>
      </c>
    </row>
    <row r="84" spans="2:10">
      <c r="B84" s="79" t="s">
        <v>131</v>
      </c>
    </row>
    <row r="85" spans="2:10">
      <c r="B85" s="88" t="s">
        <v>93</v>
      </c>
      <c r="C85" s="90">
        <f t="shared" si="25"/>
        <v>0</v>
      </c>
      <c r="D85" s="84"/>
      <c r="E85" s="83">
        <f t="shared" ref="E85:J85" si="27">E79+E83</f>
        <v>0</v>
      </c>
      <c r="F85" s="83">
        <f t="shared" si="27"/>
        <v>0</v>
      </c>
      <c r="G85" s="83">
        <f t="shared" si="27"/>
        <v>0</v>
      </c>
      <c r="H85" s="83">
        <f t="shared" si="27"/>
        <v>0</v>
      </c>
      <c r="I85" s="83">
        <f t="shared" si="27"/>
        <v>0</v>
      </c>
      <c r="J85" s="83">
        <f t="shared" si="27"/>
        <v>0</v>
      </c>
    </row>
    <row r="86" spans="2:10">
      <c r="B86" s="79" t="s">
        <v>127</v>
      </c>
      <c r="C86" s="90">
        <f t="shared" si="25"/>
        <v>0</v>
      </c>
      <c r="D86" s="84"/>
      <c r="E86" s="83">
        <f t="shared" ref="E86:J86" si="28">E80+E84</f>
        <v>0</v>
      </c>
      <c r="F86" s="83">
        <f t="shared" si="28"/>
        <v>0</v>
      </c>
      <c r="G86" s="83">
        <f t="shared" si="28"/>
        <v>0</v>
      </c>
      <c r="H86" s="83">
        <f t="shared" si="28"/>
        <v>0</v>
      </c>
      <c r="I86" s="83">
        <f t="shared" si="28"/>
        <v>0</v>
      </c>
      <c r="J86" s="83">
        <f t="shared" si="28"/>
        <v>0</v>
      </c>
    </row>
    <row r="88" spans="2:10">
      <c r="B88" s="79"/>
    </row>
  </sheetData>
  <mergeCells count="3">
    <mergeCell ref="A2:A3"/>
    <mergeCell ref="B2:B3"/>
    <mergeCell ref="C2:C3"/>
  </mergeCells>
  <printOptions horizontalCentered="1"/>
  <pageMargins left="0.433070866141732" right="0.196850393700787" top="0.590551181102362" bottom="0.433070866141732" header="0.511811023622047" footer="0.196850393700787"/>
  <pageSetup paperSize="9" scale="26" fitToHeight="0" orientation="landscape" blackAndWhite="1"/>
  <headerFooter alignWithMargins="0">
    <oddFooter>&amp;C第 &amp;P 页，共 &amp;N 页</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XET173"/>
  <sheetViews>
    <sheetView workbookViewId="0">
      <pane xSplit="2" ySplit="2" topLeftCell="C30" activePane="bottomRight" state="frozen"/>
      <selection/>
      <selection pane="topRight"/>
      <selection pane="bottomLeft"/>
      <selection pane="bottomRight" activeCell="F42" sqref="F42:G45"/>
    </sheetView>
  </sheetViews>
  <sheetFormatPr defaultColWidth="9" defaultRowHeight="14.4"/>
  <cols>
    <col min="1" max="1" width="16.9" style="5" customWidth="1"/>
    <col min="2" max="2" width="26.8" style="49" customWidth="1"/>
    <col min="3" max="4" width="14.1" style="49" customWidth="1"/>
    <col min="5" max="5" width="3.9" style="49" customWidth="1"/>
    <col min="6" max="6" width="30" style="57" customWidth="1"/>
    <col min="7" max="7" width="24.5" style="49" customWidth="1"/>
    <col min="8" max="8" width="10.5" style="49" customWidth="1"/>
    <col min="9" max="9" width="11.8" style="49" customWidth="1"/>
    <col min="10" max="10" width="10.5" style="49" customWidth="1"/>
    <col min="11" max="11" width="11.8" style="49" customWidth="1"/>
    <col min="12" max="15" width="10.8" style="49" customWidth="1"/>
    <col min="16" max="16373" width="9" style="49"/>
    <col min="16374" max="16374" width="9" style="36"/>
    <col min="16375" max="16384" width="9" style="49"/>
  </cols>
  <sheetData>
    <row r="1" s="56" customFormat="1" ht="24.9" customHeight="1" spans="1:23 16374:16374">
      <c r="A1" s="58" t="s">
        <v>76</v>
      </c>
      <c r="B1" s="59"/>
      <c r="C1" s="60"/>
      <c r="F1" s="61"/>
    </row>
    <row r="2" s="49" customFormat="1" spans="1:23 16374:16374">
      <c r="A2" s="4" t="s">
        <v>132</v>
      </c>
      <c r="B2" s="4" t="s">
        <v>77</v>
      </c>
      <c r="C2" s="4" t="s">
        <v>133</v>
      </c>
      <c r="D2" s="4" t="s">
        <v>134</v>
      </c>
      <c r="F2" s="57"/>
      <c r="H2" s="4" t="s">
        <v>135</v>
      </c>
      <c r="I2" s="4"/>
      <c r="J2" s="4"/>
      <c r="K2" s="4"/>
      <c r="L2" s="4" t="s">
        <v>136</v>
      </c>
      <c r="M2" s="4"/>
      <c r="N2" s="4"/>
      <c r="O2" s="4"/>
      <c r="P2" s="4" t="s">
        <v>137</v>
      </c>
      <c r="Q2" s="4"/>
      <c r="R2" s="4"/>
      <c r="S2" s="4"/>
      <c r="T2" s="4" t="s">
        <v>138</v>
      </c>
      <c r="U2" s="4"/>
      <c r="V2" s="4"/>
      <c r="W2" s="4"/>
      <c r="XET2" s="36"/>
    </row>
    <row r="3" s="49" customFormat="1" spans="1:23 16374:16374">
      <c r="A3" s="4" t="s">
        <v>139</v>
      </c>
      <c r="B3" s="4"/>
      <c r="C3" s="4"/>
      <c r="D3" s="4"/>
      <c r="F3" s="57"/>
      <c r="H3" s="4" t="s">
        <v>139</v>
      </c>
      <c r="I3" s="4"/>
      <c r="J3" s="4"/>
      <c r="K3" s="4"/>
      <c r="L3" s="4" t="s">
        <v>140</v>
      </c>
      <c r="M3" s="4"/>
      <c r="N3" s="4"/>
      <c r="O3" s="4"/>
      <c r="P3" s="4" t="s">
        <v>141</v>
      </c>
      <c r="Q3" s="4"/>
      <c r="R3" s="4"/>
      <c r="S3" s="4"/>
      <c r="T3" s="4" t="s">
        <v>142</v>
      </c>
      <c r="U3" s="4"/>
      <c r="V3" s="4"/>
      <c r="W3" s="4"/>
      <c r="XET3" s="36"/>
    </row>
    <row r="4" s="49" customFormat="1" spans="1:23 16374:16374">
      <c r="B4" s="4" t="s">
        <v>143</v>
      </c>
      <c r="C4" s="4"/>
      <c r="D4" s="62"/>
      <c r="F4" s="63" t="s">
        <v>144</v>
      </c>
      <c r="G4" s="63" t="s">
        <v>145</v>
      </c>
      <c r="H4" s="4" t="s">
        <v>133</v>
      </c>
      <c r="I4" s="4"/>
      <c r="J4" s="4" t="s">
        <v>134</v>
      </c>
      <c r="K4" s="4"/>
      <c r="L4" s="4" t="s">
        <v>133</v>
      </c>
      <c r="M4" s="4"/>
      <c r="N4" s="4" t="s">
        <v>134</v>
      </c>
      <c r="O4" s="4"/>
      <c r="P4" s="4" t="s">
        <v>133</v>
      </c>
      <c r="Q4" s="4"/>
      <c r="R4" s="4" t="s">
        <v>134</v>
      </c>
      <c r="S4" s="4"/>
      <c r="T4" s="4" t="s">
        <v>133</v>
      </c>
      <c r="U4" s="4"/>
      <c r="V4" s="4" t="s">
        <v>134</v>
      </c>
      <c r="W4" s="4"/>
      <c r="XET4" s="36"/>
    </row>
    <row r="5" s="49" customFormat="1" outlineLevel="1" spans="1:23 16374:16374">
      <c r="B5" s="63" t="s">
        <v>83</v>
      </c>
      <c r="C5" s="34"/>
      <c r="D5" s="34"/>
      <c r="F5" s="63" t="s">
        <v>146</v>
      </c>
      <c r="G5" s="4"/>
      <c r="H5" s="34" t="s">
        <v>147</v>
      </c>
      <c r="I5" s="34" t="s">
        <v>148</v>
      </c>
      <c r="J5" s="34" t="s">
        <v>147</v>
      </c>
      <c r="K5" s="34" t="s">
        <v>148</v>
      </c>
      <c r="L5" s="4" t="s">
        <v>147</v>
      </c>
      <c r="M5" s="4" t="s">
        <v>148</v>
      </c>
      <c r="N5" s="4" t="s">
        <v>147</v>
      </c>
      <c r="O5" s="4" t="s">
        <v>148</v>
      </c>
      <c r="P5" s="4" t="s">
        <v>147</v>
      </c>
      <c r="Q5" s="4" t="s">
        <v>148</v>
      </c>
      <c r="R5" s="4" t="s">
        <v>147</v>
      </c>
      <c r="S5" s="4" t="s">
        <v>148</v>
      </c>
      <c r="T5" s="4" t="s">
        <v>147</v>
      </c>
      <c r="U5" s="4" t="s">
        <v>148</v>
      </c>
      <c r="V5" s="4" t="s">
        <v>147</v>
      </c>
      <c r="W5" s="4" t="s">
        <v>148</v>
      </c>
      <c r="XET5" s="36"/>
    </row>
    <row r="6" s="49" customFormat="1" outlineLevel="1" spans="1:23 16374:16374">
      <c r="A6" s="5"/>
      <c r="B6" s="21" t="s">
        <v>84</v>
      </c>
      <c r="C6" s="64">
        <f>C7+C8+C9+C11+C12+C13+C14+C15-C10</f>
        <v>0</v>
      </c>
      <c r="D6" s="64">
        <f>D7+D8+D9+D11+D12+D13+D14+D15-D10</f>
        <v>0</v>
      </c>
      <c r="F6" s="34" t="s">
        <v>21</v>
      </c>
      <c r="G6" s="49"/>
      <c r="H6" s="65"/>
      <c r="J6" s="65"/>
      <c r="L6" s="65"/>
      <c r="N6" s="65"/>
      <c r="P6" s="65"/>
      <c r="R6" s="65"/>
      <c r="T6" s="65"/>
      <c r="V6" s="65"/>
      <c r="XET6" s="36"/>
    </row>
    <row r="7" s="49" customFormat="1" outlineLevel="1" spans="1:23 16374:16374">
      <c r="A7" s="5"/>
      <c r="B7" s="34" t="s">
        <v>85</v>
      </c>
      <c r="C7" s="49"/>
      <c r="XET7" s="36"/>
    </row>
    <row r="8" s="49" customFormat="1" outlineLevel="1" spans="1:23 16374:16374">
      <c r="A8" s="5"/>
      <c r="B8" s="34" t="s">
        <v>86</v>
      </c>
      <c r="C8" s="49"/>
      <c r="F8" s="63" t="s">
        <v>149</v>
      </c>
      <c r="G8" s="63"/>
      <c r="H8" s="49"/>
      <c r="I8" s="49"/>
      <c r="J8" s="49"/>
      <c r="K8" s="49"/>
      <c r="L8" s="49"/>
      <c r="XET8" s="36"/>
    </row>
    <row r="9" s="49" customFormat="1" outlineLevel="1" spans="1:23 16374:16374">
      <c r="A9" s="5"/>
      <c r="B9" s="34" t="s">
        <v>87</v>
      </c>
      <c r="C9" s="49"/>
      <c r="XET9" s="36"/>
    </row>
    <row r="10" s="49" customFormat="1" outlineLevel="1" spans="1:23 16374:16374">
      <c r="A10" s="5"/>
      <c r="B10" s="34" t="s">
        <v>88</v>
      </c>
      <c r="C10" s="49"/>
      <c r="F10" s="63" t="s">
        <v>150</v>
      </c>
      <c r="G10" s="63"/>
      <c r="H10" s="49"/>
      <c r="I10" s="49"/>
      <c r="J10" s="66"/>
      <c r="K10" s="66"/>
      <c r="L10" s="49"/>
      <c r="XET10" s="36"/>
    </row>
    <row r="11" s="49" customFormat="1" outlineLevel="1" spans="1:23 16374:16374">
      <c r="A11" s="5"/>
      <c r="B11" s="34" t="s">
        <v>73</v>
      </c>
      <c r="C11" s="49"/>
      <c r="F11" s="28" t="s">
        <v>35</v>
      </c>
      <c r="G11" s="28" t="s">
        <v>72</v>
      </c>
      <c r="H11" s="49"/>
      <c r="I11" s="49"/>
      <c r="J11" s="66"/>
      <c r="K11" s="66"/>
      <c r="L11" s="49"/>
      <c r="XET11" s="36"/>
    </row>
    <row r="12" s="49" customFormat="1" outlineLevel="1" spans="1:23 16374:16374">
      <c r="A12" s="5"/>
      <c r="B12" s="34" t="s">
        <v>89</v>
      </c>
      <c r="C12" s="49"/>
      <c r="F12" s="28" t="s">
        <v>35</v>
      </c>
      <c r="G12" s="28" t="s">
        <v>74</v>
      </c>
      <c r="H12" s="49"/>
      <c r="I12" s="49"/>
      <c r="J12" s="66"/>
      <c r="K12" s="66"/>
      <c r="XET12" s="36"/>
    </row>
    <row r="13" s="49" customFormat="1" outlineLevel="1" spans="1:23 16374:16374">
      <c r="A13" s="5"/>
      <c r="B13" s="34" t="s">
        <v>90</v>
      </c>
      <c r="C13" s="49"/>
      <c r="F13" s="27" t="s">
        <v>151</v>
      </c>
      <c r="G13" s="36"/>
      <c r="H13" s="49"/>
      <c r="I13" s="49"/>
      <c r="J13" s="66"/>
      <c r="K13" s="66"/>
      <c r="XET13" s="36"/>
    </row>
    <row r="14" s="49" customFormat="1" outlineLevel="1" spans="1:23 16374:16374">
      <c r="A14" s="5"/>
      <c r="B14" s="34" t="s">
        <v>91</v>
      </c>
      <c r="C14" s="49"/>
      <c r="F14" s="27" t="s">
        <v>87</v>
      </c>
      <c r="G14" s="36"/>
      <c r="H14" s="49"/>
      <c r="I14" s="49"/>
      <c r="J14" s="66"/>
      <c r="K14" s="66"/>
      <c r="XET14" s="36"/>
    </row>
    <row r="15" s="49" customFormat="1" outlineLevel="1" spans="1:23 16374:16374">
      <c r="A15" s="5"/>
      <c r="B15" s="34" t="s">
        <v>92</v>
      </c>
      <c r="C15" s="49"/>
      <c r="F15" s="27" t="s">
        <v>73</v>
      </c>
      <c r="G15" s="36"/>
      <c r="H15" s="49"/>
      <c r="I15" s="49"/>
      <c r="J15" s="66"/>
      <c r="K15" s="66"/>
      <c r="XET15" s="36"/>
    </row>
    <row r="16" s="49" customFormat="1" outlineLevel="1" spans="1:23 16374:16374">
      <c r="A16" s="5"/>
      <c r="B16" s="21" t="s">
        <v>52</v>
      </c>
      <c r="C16" s="64">
        <f>C17+C18+C19+C21+C22+C23+C24+C25-C20</f>
        <v>0</v>
      </c>
      <c r="D16" s="64">
        <f>D17+D18+D19+D21+D22+D23+D24+D25-D20</f>
        <v>0</v>
      </c>
      <c r="F16" s="45" t="s">
        <v>89</v>
      </c>
      <c r="G16" s="36"/>
      <c r="H16" s="49"/>
      <c r="I16" s="49"/>
      <c r="J16" s="66"/>
      <c r="K16" s="66"/>
      <c r="XET16" s="36"/>
    </row>
    <row r="17" s="49" customFormat="1" outlineLevel="1" spans="1:11 16374:16374">
      <c r="A17" s="5"/>
      <c r="B17" s="34" t="s">
        <v>85</v>
      </c>
      <c r="C17" s="49"/>
      <c r="F17" s="45" t="s">
        <v>86</v>
      </c>
      <c r="G17" s="36"/>
      <c r="H17" s="49"/>
      <c r="I17" s="49"/>
      <c r="J17" s="66"/>
      <c r="K17" s="66"/>
      <c r="XET17" s="36"/>
    </row>
    <row r="18" s="49" customFormat="1" outlineLevel="1" spans="1:11 16374:16374">
      <c r="A18" s="5"/>
      <c r="B18" s="34" t="s">
        <v>86</v>
      </c>
      <c r="C18" s="49"/>
      <c r="F18" s="45" t="s">
        <v>91</v>
      </c>
      <c r="G18" s="36"/>
      <c r="H18" s="49"/>
      <c r="I18" s="49"/>
      <c r="J18" s="66"/>
      <c r="K18" s="66"/>
      <c r="XET18" s="36"/>
    </row>
    <row r="19" s="49" customFormat="1" outlineLevel="1" spans="1:11 16374:16374">
      <c r="A19" s="5"/>
      <c r="B19" s="34" t="s">
        <v>87</v>
      </c>
      <c r="F19" s="30" t="s">
        <v>152</v>
      </c>
      <c r="G19" s="36"/>
      <c r="H19" s="49"/>
      <c r="I19" s="49"/>
      <c r="J19" s="66"/>
      <c r="K19" s="66"/>
      <c r="XET19" s="36"/>
    </row>
    <row r="20" s="49" customFormat="1" outlineLevel="1" spans="1:11 16374:16374">
      <c r="A20" s="5"/>
      <c r="B20" s="34" t="s">
        <v>88</v>
      </c>
      <c r="G20" s="36"/>
      <c r="H20" s="49"/>
      <c r="I20" s="49"/>
      <c r="J20" s="49"/>
      <c r="K20" s="49"/>
      <c r="XET20" s="36"/>
    </row>
    <row r="21" s="49" customFormat="1" outlineLevel="1" spans="1:11 16374:16374">
      <c r="A21" s="5"/>
      <c r="B21" s="34" t="s">
        <v>73</v>
      </c>
      <c r="F21" s="63" t="s">
        <v>153</v>
      </c>
      <c r="G21" s="63"/>
      <c r="H21" s="49"/>
      <c r="I21" s="49"/>
      <c r="J21" s="49"/>
      <c r="K21" s="49"/>
      <c r="XET21" s="36"/>
    </row>
    <row r="22" s="49" customFormat="1" outlineLevel="1" spans="1:11 16374:16374">
      <c r="A22" s="5"/>
      <c r="B22" s="34" t="s">
        <v>89</v>
      </c>
      <c r="F22" s="28" t="s">
        <v>35</v>
      </c>
      <c r="G22" s="28" t="s">
        <v>72</v>
      </c>
      <c r="H22" s="25">
        <f>I24-I30-I31-I32-I33</f>
        <v>0</v>
      </c>
      <c r="I22" s="25"/>
      <c r="J22" s="25">
        <f>K24-K30-K31-K32-K33</f>
        <v>0</v>
      </c>
      <c r="K22" s="25"/>
      <c r="XET22" s="36"/>
    </row>
    <row r="23" s="49" customFormat="1" outlineLevel="1" spans="1:11 16374:16374">
      <c r="A23" s="5"/>
      <c r="B23" s="34" t="s">
        <v>90</v>
      </c>
      <c r="F23" s="28" t="s">
        <v>35</v>
      </c>
      <c r="G23" s="28" t="s">
        <v>74</v>
      </c>
      <c r="H23" s="25">
        <f>I25+I26+I27+I28+I29</f>
        <v>0</v>
      </c>
      <c r="I23" s="25"/>
      <c r="J23" s="25">
        <f>K25+K26+K27+K28+K29</f>
        <v>0</v>
      </c>
      <c r="K23" s="25"/>
      <c r="XET23" s="36"/>
    </row>
    <row r="24" s="49" customFormat="1" outlineLevel="1" spans="1:11 16374:16374">
      <c r="A24" s="5"/>
      <c r="B24" s="34" t="s">
        <v>91</v>
      </c>
      <c r="F24" s="27" t="s">
        <v>154</v>
      </c>
      <c r="G24" s="46"/>
      <c r="I24" s="25">
        <f>C51*G8</f>
        <v>0</v>
      </c>
      <c r="K24" s="25">
        <f>E51*I8</f>
        <v>0</v>
      </c>
      <c r="XET24" s="36"/>
    </row>
    <row r="25" s="49" customFormat="1" outlineLevel="1" spans="1:11 16374:16374">
      <c r="A25" s="5"/>
      <c r="B25" s="34" t="s">
        <v>92</v>
      </c>
      <c r="F25" s="27" t="s">
        <v>87</v>
      </c>
      <c r="G25" s="5"/>
      <c r="I25" s="25">
        <f>C82*G8</f>
        <v>0</v>
      </c>
      <c r="K25" s="25">
        <f>E82*I8</f>
        <v>0</v>
      </c>
      <c r="XET25" s="36"/>
    </row>
    <row r="26" s="49" customFormat="1" outlineLevel="1" spans="1:11 16374:16374">
      <c r="A26" s="5"/>
      <c r="B26" s="21" t="s">
        <v>53</v>
      </c>
      <c r="C26" s="64">
        <f>C27+C28+C29+C31+C32+C33+C34+C35-C30</f>
        <v>0</v>
      </c>
      <c r="D26" s="64">
        <f>D27+D28+D29+D31+D32+D33+D34+D35-D30</f>
        <v>0</v>
      </c>
      <c r="F26" s="27" t="s">
        <v>73</v>
      </c>
      <c r="G26" s="5"/>
      <c r="I26" s="25">
        <f>(C21-C31)*G8</f>
        <v>0</v>
      </c>
      <c r="K26" s="25">
        <f>(E21-E31)*I8</f>
        <v>0</v>
      </c>
      <c r="XET26" s="36"/>
    </row>
    <row r="27" s="49" customFormat="1" outlineLevel="1" spans="1:11 16374:16374">
      <c r="A27" s="5"/>
      <c r="B27" s="34" t="s">
        <v>85</v>
      </c>
      <c r="F27" s="45" t="s">
        <v>89</v>
      </c>
      <c r="G27" s="5"/>
      <c r="I27" s="25">
        <f>(C22-C32)*G8</f>
        <v>0</v>
      </c>
      <c r="K27" s="25">
        <f>(E22-E32)*I8</f>
        <v>0</v>
      </c>
      <c r="XET27" s="36"/>
    </row>
    <row r="28" s="49" customFormat="1" outlineLevel="1" spans="1:11 16374:16374">
      <c r="A28" s="5"/>
      <c r="B28" s="34" t="s">
        <v>86</v>
      </c>
      <c r="F28" s="45" t="s">
        <v>86</v>
      </c>
      <c r="G28" s="5"/>
      <c r="I28" s="25">
        <f>(C18-C28)*G8</f>
        <v>0</v>
      </c>
      <c r="K28" s="25">
        <f>(E18-E28)*I8</f>
        <v>0</v>
      </c>
      <c r="XET28" s="36"/>
    </row>
    <row r="29" s="49" customFormat="1" outlineLevel="1" spans="1:11 16374:16374">
      <c r="A29" s="5"/>
      <c r="B29" s="34" t="s">
        <v>87</v>
      </c>
      <c r="F29" s="45" t="s">
        <v>91</v>
      </c>
      <c r="G29" s="5"/>
      <c r="H29" s="25"/>
      <c r="I29" s="25">
        <f>(C24-C34)*G8</f>
        <v>0</v>
      </c>
      <c r="J29" s="25"/>
      <c r="K29" s="25">
        <f>(E24-E34)*I8</f>
        <v>0</v>
      </c>
      <c r="XET29" s="36"/>
    </row>
    <row r="30" s="49" customFormat="1" outlineLevel="1" spans="1:11 16374:16374">
      <c r="A30" s="5"/>
      <c r="B30" s="34" t="s">
        <v>88</v>
      </c>
      <c r="F30" s="47" t="s">
        <v>155</v>
      </c>
      <c r="G30" s="34" t="s">
        <v>99</v>
      </c>
      <c r="H30" s="25"/>
      <c r="I30" s="25"/>
      <c r="J30" s="25"/>
      <c r="K30" s="25"/>
      <c r="XET30" s="36"/>
    </row>
    <row r="31" s="49" customFormat="1" outlineLevel="1" spans="1:11 16374:16374">
      <c r="A31" s="5"/>
      <c r="B31" s="34" t="s">
        <v>73</v>
      </c>
      <c r="F31" s="47" t="s">
        <v>156</v>
      </c>
      <c r="G31" s="34" t="s">
        <v>99</v>
      </c>
      <c r="H31" s="25"/>
      <c r="I31" s="25"/>
      <c r="J31" s="25"/>
      <c r="K31" s="25"/>
      <c r="XET31" s="36"/>
    </row>
    <row r="32" s="49" customFormat="1" outlineLevel="1" spans="1:11 16374:16374">
      <c r="A32" s="5"/>
      <c r="B32" s="34" t="s">
        <v>89</v>
      </c>
      <c r="F32" s="47" t="s">
        <v>157</v>
      </c>
      <c r="G32" s="34" t="s">
        <v>107</v>
      </c>
      <c r="H32" s="25"/>
      <c r="I32" s="25"/>
      <c r="J32" s="25"/>
      <c r="K32" s="25"/>
      <c r="XET32" s="36"/>
    </row>
    <row r="33" s="49" customFormat="1" outlineLevel="1" spans="1:11 16374:16374">
      <c r="A33" s="5"/>
      <c r="B33" s="34" t="s">
        <v>90</v>
      </c>
      <c r="F33" s="47" t="s">
        <v>158</v>
      </c>
      <c r="G33" s="34" t="s">
        <v>107</v>
      </c>
      <c r="H33" s="25"/>
      <c r="I33" s="25"/>
      <c r="J33" s="25"/>
      <c r="K33" s="25"/>
      <c r="XET33" s="36"/>
    </row>
    <row r="34" s="49" customFormat="1" outlineLevel="1" spans="1:11 16374:16374">
      <c r="A34" s="5"/>
      <c r="B34" s="34" t="s">
        <v>91</v>
      </c>
      <c r="F34" s="30" t="s">
        <v>152</v>
      </c>
      <c r="G34" s="36"/>
      <c r="H34" s="25"/>
      <c r="I34" s="25"/>
      <c r="J34" s="25"/>
      <c r="K34" s="25"/>
      <c r="XET34" s="36"/>
    </row>
    <row r="35" s="49" customFormat="1" outlineLevel="1" spans="1:11 16374:16374">
      <c r="A35" s="5"/>
      <c r="B35" s="34" t="s">
        <v>92</v>
      </c>
      <c r="F35" s="57"/>
      <c r="XET35" s="36"/>
    </row>
    <row r="36" s="49" customFormat="1" outlineLevel="1" spans="1:11 16374:16374">
      <c r="A36" s="5"/>
      <c r="B36" s="21" t="s">
        <v>93</v>
      </c>
      <c r="C36" s="64">
        <f>C37+C38+C39+C41+C42+C43+C44+C45-C40</f>
        <v>0</v>
      </c>
      <c r="D36" s="64">
        <f>D37+D38+D39+D41+D42+D43+D44+D45-D40</f>
        <v>0</v>
      </c>
      <c r="F36" s="57" t="s">
        <v>159</v>
      </c>
      <c r="XET36" s="36"/>
    </row>
    <row r="37" s="49" customFormat="1" outlineLevel="1" spans="1:11 16374:16374">
      <c r="A37" s="5"/>
      <c r="B37" s="34" t="s">
        <v>85</v>
      </c>
      <c r="C37" s="25">
        <f t="shared" ref="C37:C45" si="0">C7+C17-C27</f>
        <v>0</v>
      </c>
      <c r="D37" s="25">
        <f t="shared" ref="D37:D45" si="1">D7+D17-D27</f>
        <v>0</v>
      </c>
      <c r="F37" s="36" t="s">
        <v>154</v>
      </c>
      <c r="G37" s="36" t="s">
        <v>160</v>
      </c>
      <c r="H37" s="25">
        <f>C68*G6</f>
        <v>0</v>
      </c>
      <c r="J37" s="25">
        <f>'投资明细-成本法和公允值'!D6-H37</f>
        <v>0</v>
      </c>
      <c r="XET37" s="36"/>
    </row>
    <row r="38" s="49" customFormat="1" outlineLevel="1" spans="1:11 16374:16374">
      <c r="A38" s="5"/>
      <c r="B38" s="34" t="s">
        <v>86</v>
      </c>
      <c r="C38" s="25">
        <f t="shared" si="0"/>
        <v>0</v>
      </c>
      <c r="D38" s="25">
        <f t="shared" si="1"/>
        <v>0</v>
      </c>
      <c r="F38" s="30" t="s">
        <v>35</v>
      </c>
      <c r="G38" s="36" t="s">
        <v>72</v>
      </c>
      <c r="I38" s="25">
        <f>H37</f>
        <v>0</v>
      </c>
      <c r="XET38" s="36"/>
    </row>
    <row r="39" s="49" customFormat="1" outlineLevel="1" spans="1:11 16374:16374">
      <c r="A39" s="5"/>
      <c r="B39" s="34" t="s">
        <v>87</v>
      </c>
      <c r="C39" s="25">
        <f t="shared" si="0"/>
        <v>0</v>
      </c>
      <c r="D39" s="25">
        <f t="shared" si="1"/>
        <v>0</v>
      </c>
      <c r="F39" s="57"/>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XET39" s="36"/>
    </row>
    <row r="40" s="49" customFormat="1" outlineLevel="1" spans="1:11 16374:16374">
      <c r="A40" s="5"/>
      <c r="B40" s="34" t="s">
        <v>88</v>
      </c>
      <c r="C40" s="25">
        <f t="shared" si="0"/>
        <v>0</v>
      </c>
      <c r="D40" s="25">
        <f t="shared" si="1"/>
        <v>0</v>
      </c>
      <c r="XET40" s="36"/>
    </row>
    <row r="41" s="49" customFormat="1" outlineLevel="1" spans="1:11 16374:16374">
      <c r="A41" s="5"/>
      <c r="B41" s="34" t="s">
        <v>73</v>
      </c>
      <c r="C41" s="25">
        <f t="shared" si="0"/>
        <v>0</v>
      </c>
      <c r="D41" s="25">
        <f t="shared" si="1"/>
        <v>0</v>
      </c>
      <c r="F41" s="49" t="s">
        <v>161</v>
      </c>
      <c r="XET41" s="36"/>
    </row>
    <row r="42" s="49" customFormat="1" outlineLevel="1" spans="1:11 16374:16374">
      <c r="A42" s="5"/>
      <c r="B42" s="34" t="s">
        <v>89</v>
      </c>
      <c r="C42" s="25">
        <f t="shared" si="0"/>
        <v>0</v>
      </c>
      <c r="D42" s="25">
        <f t="shared" si="1"/>
        <v>0</v>
      </c>
      <c r="F42" s="34" t="s">
        <v>35</v>
      </c>
      <c r="G42" s="34" t="s">
        <v>72</v>
      </c>
      <c r="H42" s="49"/>
      <c r="I42" s="49"/>
      <c r="J42" s="49"/>
      <c r="K42" s="49"/>
      <c r="XET42" s="36"/>
    </row>
    <row r="43" s="49" customFormat="1" outlineLevel="1" spans="1:11 16374:16374">
      <c r="A43" s="5"/>
      <c r="B43" s="34" t="s">
        <v>90</v>
      </c>
      <c r="C43" s="25">
        <f t="shared" si="0"/>
        <v>0</v>
      </c>
      <c r="D43" s="25">
        <f t="shared" si="1"/>
        <v>0</v>
      </c>
      <c r="F43" s="34" t="s">
        <v>35</v>
      </c>
      <c r="G43" s="34" t="s">
        <v>74</v>
      </c>
      <c r="XET43" s="36"/>
    </row>
    <row r="44" s="49" customFormat="1" outlineLevel="1" spans="1:11 16374:16374">
      <c r="A44" s="5"/>
      <c r="B44" s="34" t="s">
        <v>91</v>
      </c>
      <c r="C44" s="25">
        <f t="shared" si="0"/>
        <v>0</v>
      </c>
      <c r="D44" s="25">
        <f t="shared" si="1"/>
        <v>0</v>
      </c>
      <c r="F44" s="48" t="s">
        <v>87</v>
      </c>
      <c r="G44" s="49"/>
      <c r="H44" s="49"/>
      <c r="I44" s="49"/>
      <c r="J44" s="49"/>
      <c r="K44" s="49"/>
      <c r="L44" s="49"/>
      <c r="XET44" s="36"/>
    </row>
    <row r="45" s="49" customFormat="1" outlineLevel="1" spans="1:11 16374:16374">
      <c r="A45" s="5"/>
      <c r="B45" s="34" t="s">
        <v>92</v>
      </c>
      <c r="C45" s="25">
        <f t="shared" si="0"/>
        <v>0</v>
      </c>
      <c r="D45" s="25">
        <f t="shared" si="1"/>
        <v>0</v>
      </c>
      <c r="F45" s="48" t="s">
        <v>154</v>
      </c>
      <c r="G45" s="49"/>
      <c r="H45" s="49"/>
      <c r="I45" s="49"/>
      <c r="J45" s="49"/>
      <c r="K45" s="49"/>
      <c r="L45" s="49"/>
      <c r="M45" s="49"/>
      <c r="N45" s="49"/>
      <c r="O45" s="49"/>
      <c r="P45" s="49"/>
      <c r="Q45" s="49"/>
      <c r="R45" s="49"/>
      <c r="S45" s="49"/>
      <c r="T45" s="49"/>
      <c r="U45" s="49"/>
      <c r="V45" s="49"/>
      <c r="W45" s="49"/>
      <c r="X45" s="49"/>
      <c r="Y45" s="49"/>
      <c r="Z45" s="49"/>
      <c r="AA45" s="49"/>
      <c r="AB45" s="49"/>
      <c r="AC45" s="49"/>
      <c r="AD45" s="49"/>
      <c r="AE45" s="49"/>
      <c r="AF45" s="49"/>
      <c r="AG45" s="49"/>
      <c r="AH45" s="49"/>
      <c r="AI45" s="49"/>
      <c r="AJ45" s="49"/>
      <c r="AK45" s="49"/>
      <c r="AL45" s="49"/>
      <c r="AM45" s="49"/>
      <c r="AN45" s="49"/>
      <c r="AO45" s="49"/>
      <c r="AP45" s="49"/>
      <c r="AQ45" s="49"/>
      <c r="AR45" s="49"/>
      <c r="AS45" s="49"/>
      <c r="AT45" s="49"/>
      <c r="AU45" s="49"/>
      <c r="AV45" s="49"/>
      <c r="AW45" s="49"/>
      <c r="AX45" s="49"/>
      <c r="AY45" s="49"/>
      <c r="AZ45" s="49"/>
      <c r="BA45" s="49"/>
      <c r="BB45" s="49"/>
      <c r="BC45" s="49"/>
      <c r="XET45" s="36"/>
    </row>
    <row r="46" outlineLevel="1" spans="1:11 16374:16374">
      <c r="G46" s="36"/>
    </row>
    <row r="47" s="49" customFormat="1" outlineLevel="1" spans="1:11 16374:16374">
      <c r="A47" s="5"/>
      <c r="B47" s="67" t="s">
        <v>94</v>
      </c>
      <c r="F47" s="57"/>
      <c r="XET47" s="36"/>
    </row>
    <row r="48" s="49" customFormat="1" outlineLevel="1" spans="1:11 16374:16374">
      <c r="A48" s="5"/>
      <c r="B48" s="68" t="s">
        <v>95</v>
      </c>
      <c r="C48" s="69">
        <f>C15</f>
        <v>0</v>
      </c>
      <c r="D48" s="69">
        <f>D15</f>
        <v>0</v>
      </c>
      <c r="F48" s="63" t="s">
        <v>162</v>
      </c>
      <c r="G48" s="36"/>
      <c r="XET48" s="36"/>
    </row>
    <row r="49" s="49" customFormat="1" outlineLevel="1" spans="1:10 16374:16374">
      <c r="A49" s="5"/>
      <c r="B49" s="34" t="s">
        <v>96</v>
      </c>
      <c r="C49" s="69">
        <f>C50+C52+C57+C60+C70</f>
        <v>0</v>
      </c>
      <c r="D49" s="69">
        <f>D50+D52+D57+D60+D70</f>
        <v>0</v>
      </c>
      <c r="F49" s="28" t="s">
        <v>35</v>
      </c>
      <c r="G49" s="36" t="s">
        <v>20</v>
      </c>
      <c r="H49" s="25">
        <f>'投资明细-成本法和公允值'!F6+'投资明细-成本法和公允值'!K6-'投资明细-成本法和公允值'!O6</f>
        <v>0</v>
      </c>
      <c r="J49" s="25">
        <f>H49</f>
        <v>0</v>
      </c>
      <c r="XET49" s="36"/>
    </row>
    <row r="50" s="49" customFormat="1" outlineLevel="1" spans="1:10 16374:16374">
      <c r="A50" s="5"/>
      <c r="B50" s="34" t="s">
        <v>97</v>
      </c>
      <c r="F50" s="28" t="s">
        <v>35</v>
      </c>
      <c r="G50" s="36" t="s">
        <v>72</v>
      </c>
      <c r="H50" s="25">
        <f>H11+H22-I38+H42</f>
        <v>0</v>
      </c>
      <c r="J50" s="25">
        <f>H50+J22-K38+J42</f>
        <v>0</v>
      </c>
      <c r="XET50" s="36"/>
    </row>
    <row r="51" s="49" customFormat="1" outlineLevel="1" spans="1:10 16374:16374">
      <c r="A51" s="5"/>
      <c r="B51" s="34" t="s">
        <v>98</v>
      </c>
      <c r="F51" s="28" t="s">
        <v>35</v>
      </c>
      <c r="G51" s="36" t="s">
        <v>74</v>
      </c>
      <c r="H51" s="25">
        <f>H12+H23+H43</f>
        <v>0</v>
      </c>
      <c r="J51" s="25">
        <f>H51+J23+J43</f>
        <v>0</v>
      </c>
      <c r="XET51" s="36"/>
    </row>
    <row r="52" s="49" customFormat="1" outlineLevel="1" spans="1:10 16374:16374">
      <c r="A52" s="5"/>
      <c r="B52" s="34" t="s">
        <v>99</v>
      </c>
      <c r="C52" s="64">
        <f>C53+C54+C55+C56</f>
        <v>0</v>
      </c>
      <c r="D52" s="64">
        <f>D53+D54+D55+D56</f>
        <v>0</v>
      </c>
      <c r="F52" s="28" t="s">
        <v>35</v>
      </c>
      <c r="G52" s="36" t="s">
        <v>163</v>
      </c>
      <c r="H52" s="25">
        <f>'投资明细-成本法和公允值'!G6</f>
        <v>0</v>
      </c>
      <c r="J52" s="25">
        <f>'投资明细-成本法和公允值'!T6</f>
        <v>0</v>
      </c>
      <c r="XET52" s="36"/>
    </row>
    <row r="53" s="49" customFormat="1" outlineLevel="1" spans="1:10 16374:16374">
      <c r="A53" s="5"/>
      <c r="B53" s="49" t="s">
        <v>164</v>
      </c>
      <c r="F53" s="28" t="s">
        <v>35</v>
      </c>
      <c r="G53" s="36" t="s">
        <v>33</v>
      </c>
      <c r="H53" s="25">
        <f>H49+H50+H51-H52</f>
        <v>0</v>
      </c>
      <c r="J53" s="25">
        <f>SUM(J49:J52)</f>
        <v>0</v>
      </c>
      <c r="XET53" s="36"/>
    </row>
    <row r="54" s="49" customFormat="1" outlineLevel="1" spans="1:10 16374:16374">
      <c r="A54" s="5"/>
      <c r="B54" s="49" t="s">
        <v>165</v>
      </c>
      <c r="XET54" s="36"/>
    </row>
    <row r="55" s="49" customFormat="1" outlineLevel="1" spans="1:10 16374:16374">
      <c r="A55" s="5"/>
      <c r="B55" s="49" t="s">
        <v>155</v>
      </c>
      <c r="F55" s="63" t="s">
        <v>166</v>
      </c>
      <c r="H55" s="25">
        <f>C36*G7</f>
        <v>0</v>
      </c>
      <c r="I55" s="25"/>
      <c r="J55" s="25">
        <f>D36*G7</f>
        <v>0</v>
      </c>
      <c r="XET55" s="36"/>
    </row>
    <row r="56" s="49" customFormat="1" outlineLevel="1" spans="1:10 16374:16374">
      <c r="A56" s="5"/>
      <c r="B56" s="49" t="s">
        <v>156</v>
      </c>
      <c r="F56" s="63" t="s">
        <v>167</v>
      </c>
      <c r="G56" s="49"/>
      <c r="H56" s="25">
        <f>H55-H53</f>
        <v>0</v>
      </c>
      <c r="J56" s="25">
        <f>J55-J53</f>
        <v>0</v>
      </c>
      <c r="XET56" s="36"/>
    </row>
    <row r="57" s="49" customFormat="1" outlineLevel="1" spans="1:10 16374:16374">
      <c r="A57" s="5"/>
      <c r="B57" s="34" t="s">
        <v>104</v>
      </c>
      <c r="C57" s="64">
        <f>C58-C59</f>
        <v>0</v>
      </c>
      <c r="D57" s="64">
        <f>D58-D59</f>
        <v>0</v>
      </c>
      <c r="F57" s="63" t="s">
        <v>168</v>
      </c>
      <c r="G57" s="36"/>
      <c r="XET57" s="36"/>
    </row>
    <row r="58" s="49" customFormat="1" outlineLevel="1" spans="1:10 16374:16374">
      <c r="A58" s="5"/>
      <c r="B58" s="49" t="s">
        <v>169</v>
      </c>
      <c r="F58" s="28"/>
      <c r="G58" s="36"/>
      <c r="H58" s="49"/>
      <c r="I58" s="49"/>
      <c r="J58" s="49"/>
      <c r="K58" s="49"/>
      <c r="XET58" s="36"/>
    </row>
    <row r="59" s="49" customFormat="1" outlineLevel="1" spans="1:10 16374:16374">
      <c r="A59" s="5"/>
      <c r="B59" s="49" t="s">
        <v>170</v>
      </c>
      <c r="F59" s="63"/>
      <c r="G59" s="36"/>
      <c r="XET59" s="36"/>
    </row>
    <row r="60" s="49" customFormat="1" outlineLevel="1" spans="1:10 16374:16374">
      <c r="A60" s="5"/>
      <c r="B60" s="34" t="s">
        <v>107</v>
      </c>
      <c r="C60" s="64">
        <f>C61+C67+C68+C69</f>
        <v>0</v>
      </c>
      <c r="D60" s="64">
        <f>D61+D67+D68+D69</f>
        <v>0</v>
      </c>
      <c r="F60" s="28"/>
      <c r="G60" s="36"/>
      <c r="XET60" s="36"/>
    </row>
    <row r="61" s="49" customFormat="1" outlineLevel="1" spans="1:10 16374:16374">
      <c r="A61" s="5"/>
      <c r="B61" s="49" t="s">
        <v>171</v>
      </c>
      <c r="C61" s="64">
        <f>C62+C63+C64+C65+C66</f>
        <v>0</v>
      </c>
      <c r="D61" s="64">
        <f>D62+D63+D64+D65+D66</f>
        <v>0</v>
      </c>
      <c r="F61" s="28"/>
      <c r="G61" s="36"/>
      <c r="H61" s="49"/>
      <c r="I61" s="49"/>
      <c r="XET61" s="36"/>
    </row>
    <row r="62" s="49" customFormat="1" outlineLevel="1" spans="1:10 16374:16374">
      <c r="A62" s="5"/>
      <c r="B62" s="49" t="s">
        <v>172</v>
      </c>
      <c r="F62" s="57"/>
      <c r="G62" s="49"/>
      <c r="H62" s="49"/>
      <c r="I62" s="49"/>
      <c r="J62" s="49"/>
      <c r="K62" s="49"/>
      <c r="XET62" s="36"/>
    </row>
    <row r="63" s="49" customFormat="1" outlineLevel="1" spans="1:10 16374:16374">
      <c r="A63" s="5"/>
      <c r="B63" s="49" t="s">
        <v>173</v>
      </c>
      <c r="F63" s="57"/>
      <c r="XET63" s="36"/>
    </row>
    <row r="64" s="49" customFormat="1" outlineLevel="1" spans="1:10 16374:16374">
      <c r="A64" s="5"/>
      <c r="B64" s="49" t="s">
        <v>174</v>
      </c>
      <c r="F64" s="57"/>
      <c r="XET64" s="36"/>
    </row>
    <row r="65" s="49" customFormat="1" outlineLevel="1" spans="1:31 16374:16374">
      <c r="A65" s="5"/>
      <c r="B65" s="57" t="s">
        <v>175</v>
      </c>
      <c r="F65" s="57"/>
      <c r="XET65" s="36"/>
    </row>
    <row r="66" s="49" customFormat="1" outlineLevel="1" spans="1:31 16374:16374">
      <c r="A66" s="5"/>
      <c r="B66" s="57" t="s">
        <v>176</v>
      </c>
      <c r="F66" s="57"/>
      <c r="XET66" s="36"/>
    </row>
    <row r="67" s="49" customFormat="1" outlineLevel="1" spans="1:31 16374:16374">
      <c r="A67" s="5"/>
      <c r="B67" s="49" t="s">
        <v>177</v>
      </c>
      <c r="F67" s="57"/>
      <c r="XET67" s="36"/>
    </row>
    <row r="68" s="49" customFormat="1" outlineLevel="1" spans="1:31 16374:16374">
      <c r="A68" s="5"/>
      <c r="B68" s="49" t="s">
        <v>178</v>
      </c>
      <c r="F68" s="57"/>
      <c r="XET68" s="36"/>
    </row>
    <row r="69" s="49" customFormat="1" outlineLevel="1" spans="1:31 16374:16374">
      <c r="A69" s="5"/>
      <c r="B69" s="49" t="s">
        <v>158</v>
      </c>
      <c r="F69" s="57"/>
      <c r="XET69" s="36"/>
    </row>
    <row r="70" s="49" customFormat="1" outlineLevel="1" spans="1:31 16374:16374">
      <c r="A70" s="5"/>
      <c r="B70" s="34" t="s">
        <v>117</v>
      </c>
      <c r="C70" s="64">
        <f>C71+C72+C74+C73+C75+C76</f>
        <v>0</v>
      </c>
      <c r="D70" s="64">
        <f>D71+D72+D74+D73+D75+D76</f>
        <v>0</v>
      </c>
      <c r="F70" s="57"/>
      <c r="XET70" s="36"/>
    </row>
    <row r="71" s="49" customFormat="1" outlineLevel="1" spans="1:31 16374:16374">
      <c r="A71" s="5"/>
      <c r="B71" s="49" t="s">
        <v>179</v>
      </c>
      <c r="F71" s="57"/>
      <c r="G71" s="49"/>
      <c r="H71" s="49"/>
      <c r="I71" s="49"/>
      <c r="J71" s="49"/>
      <c r="K71" s="49"/>
      <c r="L71" s="49"/>
      <c r="M71" s="49"/>
      <c r="N71" s="49"/>
      <c r="O71" s="49"/>
      <c r="P71" s="49"/>
      <c r="Q71" s="49"/>
      <c r="R71" s="49"/>
      <c r="S71" s="49"/>
      <c r="T71" s="49"/>
      <c r="U71" s="49"/>
      <c r="V71" s="49"/>
      <c r="W71" s="49"/>
      <c r="X71" s="49"/>
      <c r="Y71" s="49"/>
      <c r="Z71" s="49"/>
      <c r="AA71" s="49"/>
      <c r="AB71" s="49"/>
      <c r="AC71" s="49"/>
      <c r="AD71" s="49"/>
      <c r="AE71" s="49"/>
      <c r="AF71" s="49"/>
      <c r="AG71" s="49"/>
      <c r="AH71" s="49"/>
      <c r="AI71" s="49"/>
      <c r="AJ71" s="49"/>
      <c r="AK71" s="49"/>
      <c r="AL71" s="49"/>
      <c r="AM71" s="49"/>
      <c r="AN71" s="49"/>
      <c r="AO71" s="49"/>
      <c r="AP71" s="49"/>
      <c r="AQ71" s="49"/>
      <c r="XET71" s="36"/>
    </row>
    <row r="72" s="49" customFormat="1" outlineLevel="1" spans="1:31 16374:16374">
      <c r="A72" s="5"/>
      <c r="B72" s="49" t="s">
        <v>180</v>
      </c>
      <c r="F72" s="57"/>
      <c r="XET72" s="36"/>
    </row>
    <row r="73" s="49" customFormat="1" outlineLevel="1" spans="1:31 16374:16374">
      <c r="A73" s="5"/>
      <c r="B73" s="49" t="s">
        <v>181</v>
      </c>
      <c r="F73" s="57"/>
      <c r="XET73" s="36"/>
    </row>
    <row r="74" s="49" customFormat="1" outlineLevel="1" spans="1:31 16374:16374">
      <c r="A74" s="5"/>
      <c r="B74" s="49" t="s">
        <v>182</v>
      </c>
      <c r="F74" s="57"/>
      <c r="G74" s="49"/>
      <c r="H74" s="49"/>
      <c r="I74" s="49"/>
      <c r="J74" s="49"/>
      <c r="K74" s="49"/>
      <c r="XET74" s="36"/>
    </row>
    <row r="75" s="49" customFormat="1" outlineLevel="1" spans="1:31 16374:16374">
      <c r="A75" s="5"/>
      <c r="B75" s="49" t="s">
        <v>183</v>
      </c>
      <c r="F75" s="57"/>
      <c r="XET75" s="36"/>
    </row>
    <row r="76" s="49" customFormat="1" outlineLevel="1" spans="1:31 16374:16374">
      <c r="A76" s="5"/>
      <c r="B76" s="49" t="s">
        <v>184</v>
      </c>
      <c r="F76" s="57"/>
      <c r="G76" s="49"/>
      <c r="H76" s="49"/>
      <c r="I76" s="49"/>
      <c r="J76" s="49"/>
      <c r="K76" s="49"/>
      <c r="L76" s="49"/>
      <c r="XET76" s="36"/>
    </row>
    <row r="77" s="49" customFormat="1" outlineLevel="1" spans="1:31 16374:16374">
      <c r="A77" s="5"/>
      <c r="B77" s="34" t="s">
        <v>124</v>
      </c>
      <c r="C77" s="64">
        <f>C48+C49</f>
        <v>0</v>
      </c>
      <c r="D77" s="64">
        <f>D48+D49</f>
        <v>0</v>
      </c>
      <c r="F77" s="57"/>
      <c r="G77" s="49"/>
      <c r="H77" s="49"/>
      <c r="I77" s="49"/>
      <c r="J77" s="49"/>
      <c r="K77" s="49"/>
      <c r="L77" s="49"/>
      <c r="M77" s="49"/>
      <c r="N77" s="49"/>
      <c r="O77" s="49"/>
      <c r="P77" s="49"/>
      <c r="Q77" s="49"/>
      <c r="R77" s="49"/>
      <c r="S77" s="49"/>
      <c r="T77" s="49"/>
      <c r="U77" s="49"/>
      <c r="V77" s="49"/>
      <c r="W77" s="49"/>
      <c r="X77" s="49"/>
      <c r="Y77" s="49"/>
      <c r="Z77" s="49"/>
      <c r="AA77" s="49"/>
      <c r="AB77" s="49"/>
      <c r="AC77" s="49"/>
      <c r="AD77" s="49"/>
      <c r="AE77" s="49"/>
      <c r="AF77" s="49"/>
      <c r="AG77" s="49"/>
      <c r="AH77" s="49"/>
      <c r="AI77" s="49"/>
      <c r="AJ77" s="49"/>
      <c r="AK77" s="49"/>
      <c r="AL77" s="49"/>
      <c r="AM77" s="49"/>
      <c r="AN77" s="49"/>
      <c r="AO77" s="49"/>
      <c r="AP77" s="49"/>
      <c r="AQ77" s="49"/>
      <c r="AR77" s="49"/>
      <c r="AS77" s="49"/>
      <c r="AT77" s="49"/>
      <c r="AU77" s="49"/>
      <c r="AV77" s="49"/>
      <c r="AW77" s="49"/>
      <c r="AX77" s="49"/>
      <c r="AY77" s="49"/>
      <c r="AZ77" s="49"/>
      <c r="BA77" s="49"/>
      <c r="BB77" s="49"/>
      <c r="BC77" s="49"/>
      <c r="XET77" s="36"/>
    </row>
    <row r="78" outlineLevel="1"/>
    <row r="79" s="49" customFormat="1" outlineLevel="1" spans="1:31 16374:16374">
      <c r="A79" s="5"/>
      <c r="B79" s="70" t="s">
        <v>125</v>
      </c>
      <c r="F79" s="57"/>
      <c r="XET79" s="36"/>
    </row>
    <row r="80" s="49" customFormat="1" outlineLevel="1" spans="1:31 16374:16374">
      <c r="A80" s="5"/>
      <c r="B80" s="67" t="s">
        <v>126</v>
      </c>
      <c r="F80" s="57"/>
      <c r="P80" s="36"/>
      <c r="Q80" s="36"/>
      <c r="R80" s="36"/>
      <c r="S80" s="36"/>
      <c r="T80" s="36"/>
      <c r="U80" s="36"/>
      <c r="V80" s="36"/>
      <c r="W80" s="36"/>
      <c r="X80" s="36"/>
      <c r="Y80" s="36"/>
      <c r="Z80" s="36"/>
      <c r="AA80" s="36"/>
      <c r="AB80" s="36"/>
      <c r="AC80" s="36"/>
      <c r="AD80" s="36"/>
      <c r="AE80" s="36"/>
      <c r="XET80" s="36"/>
    </row>
    <row r="81" s="49" customFormat="1" outlineLevel="1" spans="1:55 16374:16374">
      <c r="A81" s="5"/>
      <c r="B81" s="34" t="s">
        <v>127</v>
      </c>
      <c r="F81" s="57"/>
      <c r="G81" s="49"/>
      <c r="H81" s="49"/>
      <c r="I81" s="49"/>
      <c r="J81" s="49"/>
      <c r="K81" s="49"/>
      <c r="L81" s="49"/>
      <c r="M81" s="49"/>
      <c r="N81" s="49"/>
      <c r="O81" s="49"/>
      <c r="P81" s="49"/>
      <c r="Q81" s="49"/>
      <c r="R81" s="49"/>
      <c r="S81" s="49"/>
      <c r="T81" s="49"/>
      <c r="U81" s="49"/>
      <c r="V81" s="49"/>
      <c r="W81" s="49"/>
      <c r="X81" s="49"/>
      <c r="Y81" s="49"/>
      <c r="Z81" s="49"/>
      <c r="AA81" s="49"/>
      <c r="AB81" s="49"/>
      <c r="AC81" s="49"/>
      <c r="AD81" s="49"/>
      <c r="AE81" s="49"/>
      <c r="AF81" s="49"/>
      <c r="AG81" s="49"/>
      <c r="AH81" s="49"/>
      <c r="AI81" s="49"/>
      <c r="AJ81" s="49"/>
      <c r="AK81" s="49"/>
      <c r="AL81" s="49"/>
      <c r="AM81" s="49"/>
      <c r="AN81" s="49"/>
      <c r="AO81" s="49"/>
      <c r="AP81" s="49"/>
      <c r="AQ81" s="49"/>
      <c r="XET81" s="36"/>
    </row>
    <row r="82" s="49" customFormat="1" outlineLevel="1" spans="1:55 16374:16374">
      <c r="A82" s="5"/>
      <c r="B82" s="67" t="s">
        <v>128</v>
      </c>
      <c r="C82" s="64">
        <f>C83+C84+C85</f>
        <v>0</v>
      </c>
      <c r="D82" s="64">
        <f>D83+D84+D85</f>
        <v>0</v>
      </c>
      <c r="F82" s="57"/>
      <c r="G82" s="49"/>
      <c r="H82" s="49"/>
      <c r="I82" s="49"/>
      <c r="J82" s="49"/>
      <c r="K82" s="49"/>
      <c r="L82" s="49"/>
      <c r="M82" s="49"/>
      <c r="N82" s="49"/>
      <c r="O82" s="49"/>
      <c r="P82" s="49"/>
      <c r="Q82" s="49"/>
      <c r="R82" s="49"/>
      <c r="S82" s="49"/>
      <c r="T82" s="49"/>
      <c r="U82" s="49"/>
      <c r="V82" s="49"/>
      <c r="W82" s="49"/>
      <c r="X82" s="49"/>
      <c r="Y82" s="49"/>
      <c r="Z82" s="49"/>
      <c r="AA82" s="49"/>
      <c r="AB82" s="49"/>
      <c r="AC82" s="49"/>
      <c r="AD82" s="49"/>
      <c r="AE82" s="49"/>
      <c r="AF82" s="36"/>
      <c r="AG82" s="36"/>
      <c r="AH82" s="36"/>
      <c r="AI82" s="36"/>
      <c r="AJ82" s="36"/>
      <c r="AK82" s="36"/>
      <c r="AL82" s="36"/>
      <c r="AM82" s="36"/>
      <c r="AN82" s="36"/>
      <c r="AO82" s="36"/>
      <c r="AP82" s="36"/>
      <c r="AQ82" s="36"/>
      <c r="XET82" s="36"/>
    </row>
    <row r="83" s="49" customFormat="1" outlineLevel="1" spans="1:55 16374:16374">
      <c r="A83" s="5"/>
      <c r="B83" s="34" t="s">
        <v>129</v>
      </c>
      <c r="F83" s="57"/>
      <c r="XET83" s="36"/>
    </row>
    <row r="84" s="49" customFormat="1" outlineLevel="1" spans="1:55 16374:16374">
      <c r="A84" s="5"/>
      <c r="B84" s="34" t="s">
        <v>130</v>
      </c>
      <c r="F84" s="57"/>
      <c r="G84" s="49"/>
      <c r="H84" s="49"/>
      <c r="I84" s="49"/>
      <c r="J84" s="49"/>
      <c r="K84" s="49"/>
      <c r="L84" s="49"/>
      <c r="M84" s="49"/>
      <c r="N84" s="49"/>
      <c r="O84" s="49"/>
      <c r="P84" s="49"/>
      <c r="Q84" s="49"/>
      <c r="R84" s="49"/>
      <c r="S84" s="49"/>
      <c r="T84" s="49"/>
      <c r="U84" s="49"/>
      <c r="V84" s="49"/>
      <c r="W84" s="49"/>
      <c r="X84" s="49"/>
      <c r="Y84" s="49"/>
      <c r="Z84" s="49"/>
      <c r="AA84" s="49"/>
      <c r="AB84" s="49"/>
      <c r="AC84" s="49"/>
      <c r="AD84" s="49"/>
      <c r="AE84" s="49"/>
      <c r="AF84" s="49"/>
      <c r="AG84" s="49"/>
      <c r="AH84" s="49"/>
      <c r="AI84" s="49"/>
      <c r="AJ84" s="49"/>
      <c r="AK84" s="49"/>
      <c r="AL84" s="49"/>
      <c r="AM84" s="49"/>
      <c r="AN84" s="49"/>
      <c r="AO84" s="49"/>
      <c r="AP84" s="49"/>
      <c r="AQ84" s="49"/>
      <c r="XET84" s="36"/>
    </row>
    <row r="85" s="49" customFormat="1" outlineLevel="1" spans="1:55 16374:16374">
      <c r="A85" s="5"/>
      <c r="B85" s="34" t="s">
        <v>131</v>
      </c>
      <c r="F85" s="57"/>
      <c r="G85" s="49"/>
      <c r="H85" s="49"/>
      <c r="I85" s="49"/>
      <c r="J85" s="49"/>
      <c r="K85" s="49"/>
      <c r="L85" s="49"/>
      <c r="M85" s="49"/>
      <c r="N85" s="49"/>
      <c r="O85" s="49"/>
      <c r="P85" s="49"/>
      <c r="Q85" s="49"/>
      <c r="R85" s="49"/>
      <c r="S85" s="49"/>
      <c r="T85" s="49"/>
      <c r="U85" s="49"/>
      <c r="V85" s="49"/>
      <c r="W85" s="49"/>
      <c r="X85" s="49"/>
      <c r="Y85" s="49"/>
      <c r="Z85" s="49"/>
      <c r="AA85" s="49"/>
      <c r="AB85" s="49"/>
      <c r="AC85" s="49"/>
      <c r="AD85" s="49"/>
      <c r="AE85" s="49"/>
      <c r="AF85" s="49"/>
      <c r="AG85" s="49"/>
      <c r="AH85" s="49"/>
      <c r="AI85" s="49"/>
      <c r="AJ85" s="49"/>
      <c r="AK85" s="49"/>
      <c r="AL85" s="49"/>
      <c r="AM85" s="49"/>
      <c r="AN85" s="49"/>
      <c r="AO85" s="49"/>
      <c r="AP85" s="49"/>
      <c r="AQ85" s="49"/>
      <c r="XET85" s="36"/>
    </row>
    <row r="86" s="49" customFormat="1" outlineLevel="1" spans="1:55 16374:16374">
      <c r="A86" s="5"/>
      <c r="B86" s="67" t="s">
        <v>93</v>
      </c>
      <c r="C86" s="64">
        <f>C80+C84</f>
        <v>0</v>
      </c>
      <c r="D86" s="64">
        <f>D80+D84</f>
        <v>0</v>
      </c>
      <c r="F86" s="57"/>
      <c r="G86" s="49"/>
      <c r="H86" s="49"/>
      <c r="I86" s="49"/>
      <c r="J86" s="49"/>
      <c r="K86" s="49"/>
      <c r="L86" s="49"/>
      <c r="M86" s="36"/>
      <c r="N86" s="36"/>
      <c r="O86" s="36"/>
      <c r="P86" s="49"/>
      <c r="Q86" s="49"/>
      <c r="R86" s="49"/>
      <c r="S86" s="49"/>
      <c r="T86" s="49"/>
      <c r="U86" s="49"/>
      <c r="V86" s="49"/>
      <c r="W86" s="49"/>
      <c r="X86" s="49"/>
      <c r="Y86" s="49"/>
      <c r="Z86" s="49"/>
      <c r="AA86" s="49"/>
      <c r="AB86" s="49"/>
      <c r="AC86" s="49"/>
      <c r="AD86" s="49"/>
      <c r="AE86" s="49"/>
      <c r="AF86" s="49"/>
      <c r="AG86" s="49"/>
      <c r="AH86" s="49"/>
      <c r="AI86" s="49"/>
      <c r="AJ86" s="49"/>
      <c r="AK86" s="49"/>
      <c r="AL86" s="49"/>
      <c r="AM86" s="49"/>
      <c r="AN86" s="49"/>
      <c r="AO86" s="49"/>
      <c r="AP86" s="49"/>
      <c r="AQ86" s="49"/>
      <c r="XET86" s="36"/>
    </row>
    <row r="87" s="49" customFormat="1" outlineLevel="1" spans="1:55 16374:16374">
      <c r="A87" s="5"/>
      <c r="B87" s="34" t="s">
        <v>127</v>
      </c>
      <c r="C87" s="64">
        <f>C81+C85</f>
        <v>0</v>
      </c>
      <c r="D87" s="64">
        <f>D81+D85</f>
        <v>0</v>
      </c>
      <c r="F87" s="57"/>
      <c r="G87" s="49"/>
      <c r="H87" s="49"/>
      <c r="I87" s="49"/>
      <c r="J87" s="49"/>
      <c r="K87" s="49"/>
      <c r="L87" s="49"/>
      <c r="M87" s="49"/>
      <c r="N87" s="49"/>
      <c r="O87" s="49"/>
      <c r="P87" s="49"/>
      <c r="Q87" s="49"/>
      <c r="R87" s="49"/>
      <c r="S87" s="49"/>
      <c r="T87" s="49"/>
      <c r="U87" s="49"/>
      <c r="V87" s="49"/>
      <c r="W87" s="49"/>
      <c r="X87" s="49"/>
      <c r="Y87" s="49"/>
      <c r="Z87" s="49"/>
      <c r="AA87" s="49"/>
      <c r="AB87" s="49"/>
      <c r="AC87" s="49"/>
      <c r="AD87" s="49"/>
      <c r="AE87" s="49"/>
      <c r="AF87" s="49"/>
      <c r="AG87" s="49"/>
      <c r="AH87" s="49"/>
      <c r="AI87" s="49"/>
      <c r="AJ87" s="49"/>
      <c r="AK87" s="49"/>
      <c r="AL87" s="49"/>
      <c r="AM87" s="49"/>
      <c r="AN87" s="49"/>
      <c r="AO87" s="49"/>
      <c r="AP87" s="49"/>
      <c r="AQ87" s="49"/>
      <c r="AR87" s="49"/>
      <c r="AS87" s="49"/>
      <c r="AT87" s="49"/>
      <c r="AU87" s="49"/>
      <c r="AV87" s="49"/>
      <c r="AW87" s="49"/>
      <c r="AX87" s="49"/>
      <c r="AY87" s="49"/>
      <c r="AZ87" s="49"/>
      <c r="BA87" s="49"/>
      <c r="BB87" s="49"/>
      <c r="BC87" s="49"/>
      <c r="XET87" s="36"/>
    </row>
    <row r="88" spans="1:55 16374:16374">
      <c r="AR88" s="36"/>
      <c r="AS88" s="36"/>
      <c r="AT88" s="36"/>
      <c r="AU88" s="36"/>
      <c r="AV88" s="36"/>
      <c r="AW88" s="36"/>
      <c r="AX88" s="36"/>
      <c r="AY88" s="36"/>
      <c r="AZ88" s="36"/>
      <c r="BA88" s="36"/>
      <c r="BB88" s="36"/>
      <c r="BC88" s="36"/>
    </row>
    <row r="89" s="36" customFormat="1" spans="1:55 16374:16374">
      <c r="A89" s="4" t="s">
        <v>185</v>
      </c>
      <c r="B89" s="49"/>
      <c r="C89" s="49"/>
      <c r="D89" s="49"/>
      <c r="F89" s="57"/>
      <c r="G89" s="49"/>
      <c r="H89" s="49"/>
      <c r="I89" s="49"/>
      <c r="J89" s="49"/>
      <c r="K89" s="49"/>
      <c r="L89" s="49"/>
      <c r="M89" s="49"/>
      <c r="N89" s="49"/>
      <c r="O89" s="49"/>
      <c r="P89" s="49"/>
      <c r="Q89" s="49"/>
      <c r="R89" s="49"/>
      <c r="S89" s="49"/>
      <c r="T89" s="49"/>
      <c r="U89" s="49"/>
      <c r="V89" s="49"/>
      <c r="W89" s="49"/>
      <c r="X89" s="49"/>
      <c r="Y89" s="49"/>
      <c r="Z89" s="49"/>
      <c r="AA89" s="49"/>
      <c r="AB89" s="49"/>
      <c r="AC89" s="49"/>
      <c r="AD89" s="49"/>
      <c r="AE89" s="49"/>
      <c r="AF89" s="49"/>
      <c r="AG89" s="49"/>
      <c r="AH89" s="49"/>
      <c r="AI89" s="49"/>
      <c r="AJ89" s="49"/>
      <c r="AK89" s="49"/>
      <c r="AL89" s="49"/>
      <c r="AM89" s="49"/>
      <c r="AN89" s="49"/>
      <c r="AO89" s="49"/>
      <c r="AP89" s="49"/>
      <c r="AQ89" s="49"/>
      <c r="AR89" s="49"/>
      <c r="AS89" s="49"/>
      <c r="AT89" s="49"/>
      <c r="AU89" s="49"/>
      <c r="AV89" s="49"/>
      <c r="AW89" s="49"/>
      <c r="AX89" s="49"/>
      <c r="AY89" s="49"/>
      <c r="AZ89" s="49"/>
      <c r="BA89" s="49"/>
      <c r="BB89" s="49"/>
      <c r="BC89" s="49"/>
    </row>
    <row r="90" s="49" customFormat="1" hidden="1" outlineLevel="2" spans="1:55 16374:16374">
      <c r="B90" s="63" t="s">
        <v>83</v>
      </c>
      <c r="C90" s="34"/>
      <c r="D90" s="34"/>
      <c r="F90" s="57"/>
      <c r="G90" s="49"/>
      <c r="H90" s="49"/>
      <c r="I90" s="49"/>
      <c r="J90" s="49"/>
      <c r="K90" s="49"/>
      <c r="L90" s="49"/>
      <c r="M90" s="49"/>
      <c r="N90" s="49"/>
      <c r="O90" s="49"/>
      <c r="P90" s="49"/>
      <c r="Q90" s="49"/>
      <c r="R90" s="49"/>
      <c r="S90" s="49"/>
      <c r="T90" s="49"/>
      <c r="U90" s="49"/>
      <c r="V90" s="49"/>
      <c r="W90" s="49"/>
      <c r="X90" s="49"/>
      <c r="Y90" s="49"/>
      <c r="Z90" s="49"/>
      <c r="AA90" s="49"/>
      <c r="AB90" s="49"/>
      <c r="AC90" s="49"/>
      <c r="AD90" s="49"/>
      <c r="AE90" s="49"/>
      <c r="AF90" s="49"/>
      <c r="AG90" s="49"/>
      <c r="AH90" s="49"/>
      <c r="AI90" s="49"/>
      <c r="AJ90" s="49"/>
      <c r="AK90" s="49"/>
      <c r="AL90" s="49"/>
      <c r="AM90" s="49"/>
      <c r="AN90" s="49"/>
      <c r="AO90" s="49"/>
      <c r="AP90" s="49"/>
      <c r="AQ90" s="49"/>
      <c r="AR90" s="49"/>
      <c r="AS90" s="49"/>
      <c r="AT90" s="49"/>
      <c r="AU90" s="49"/>
      <c r="AV90" s="49"/>
      <c r="AW90" s="49"/>
      <c r="AX90" s="49"/>
      <c r="AY90" s="49"/>
      <c r="AZ90" s="49"/>
      <c r="BA90" s="49"/>
      <c r="BB90" s="49"/>
      <c r="BC90" s="49"/>
      <c r="XET90" s="36"/>
    </row>
    <row r="91" hidden="1" outlineLevel="2" spans="1:55 16374:16374">
      <c r="B91" s="21" t="s">
        <v>84</v>
      </c>
      <c r="C91" s="64">
        <f>C92+C93+C94+C96+C97+C98+C99+C100-C95</f>
        <v>0</v>
      </c>
      <c r="D91" s="64">
        <f>D92+D93+D94+D96+D97+D98+D99+D100-D95</f>
        <v>0</v>
      </c>
    </row>
    <row r="92" hidden="1" outlineLevel="2" spans="1:55 16374:16374">
      <c r="B92" s="34" t="s">
        <v>85</v>
      </c>
    </row>
    <row r="93" hidden="1" outlineLevel="2" spans="1:55 16374:16374">
      <c r="B93" s="34" t="s">
        <v>86</v>
      </c>
    </row>
    <row r="94" hidden="1" outlineLevel="2" spans="1:55 16374:16374">
      <c r="B94" s="34" t="s">
        <v>87</v>
      </c>
    </row>
    <row r="95" hidden="1" outlineLevel="2" spans="1:55 16374:16374">
      <c r="B95" s="34" t="s">
        <v>88</v>
      </c>
      <c r="L95" s="36"/>
    </row>
    <row r="96" hidden="1" outlineLevel="2" spans="1:55 16374:16374">
      <c r="B96" s="34" t="s">
        <v>73</v>
      </c>
    </row>
    <row r="97" hidden="1" outlineLevel="2" spans="2:11">
      <c r="B97" s="34" t="s">
        <v>89</v>
      </c>
    </row>
    <row r="98" hidden="1" outlineLevel="2" spans="2:11">
      <c r="B98" s="34" t="s">
        <v>90</v>
      </c>
    </row>
    <row r="99" hidden="1" outlineLevel="2" spans="2:11">
      <c r="B99" s="34" t="s">
        <v>91</v>
      </c>
    </row>
    <row r="100" hidden="1" outlineLevel="2" spans="2:11">
      <c r="B100" s="34" t="s">
        <v>92</v>
      </c>
    </row>
    <row r="101" hidden="1" outlineLevel="2" spans="2:11">
      <c r="B101" s="21" t="s">
        <v>52</v>
      </c>
      <c r="C101" s="64">
        <f>C102+C103+C104+C106+C107+C108+C109+C110-C105</f>
        <v>0</v>
      </c>
      <c r="D101" s="64">
        <f>D102+D103+D104+D106+D107+D108+D109+D110-D105</f>
        <v>0</v>
      </c>
    </row>
    <row r="102" hidden="1" outlineLevel="2" spans="2:11">
      <c r="B102" s="34" t="s">
        <v>85</v>
      </c>
    </row>
    <row r="103" hidden="1" outlineLevel="2" spans="2:11">
      <c r="B103" s="34" t="s">
        <v>86</v>
      </c>
    </row>
    <row r="104" hidden="1" outlineLevel="2" spans="2:11">
      <c r="B104" s="34" t="s">
        <v>87</v>
      </c>
      <c r="F104" s="71"/>
      <c r="G104" s="36"/>
      <c r="H104" s="36"/>
      <c r="I104" s="36"/>
      <c r="J104" s="36"/>
      <c r="K104" s="36"/>
    </row>
    <row r="105" hidden="1" outlineLevel="2" spans="2:11">
      <c r="B105" s="34" t="s">
        <v>88</v>
      </c>
    </row>
    <row r="106" hidden="1" outlineLevel="2" spans="2:11">
      <c r="B106" s="34" t="s">
        <v>73</v>
      </c>
    </row>
    <row r="107" hidden="1" outlineLevel="2" spans="2:11">
      <c r="B107" s="34" t="s">
        <v>89</v>
      </c>
    </row>
    <row r="108" hidden="1" outlineLevel="2" spans="2:11">
      <c r="B108" s="34" t="s">
        <v>90</v>
      </c>
    </row>
    <row r="109" hidden="1" outlineLevel="2" spans="2:11">
      <c r="B109" s="34" t="s">
        <v>91</v>
      </c>
    </row>
    <row r="110" hidden="1" outlineLevel="2" spans="2:11">
      <c r="B110" s="34" t="s">
        <v>92</v>
      </c>
    </row>
    <row r="111" hidden="1" outlineLevel="2" spans="2:11">
      <c r="B111" s="21" t="s">
        <v>53</v>
      </c>
      <c r="C111" s="64">
        <f>C112+C113+C114+C116+C117+C118+C119+C120-C115</f>
        <v>0</v>
      </c>
      <c r="D111" s="64">
        <f>D112+D113+D114+D116+D117+D118+D119+D120-D115</f>
        <v>0</v>
      </c>
    </row>
    <row r="112" hidden="1" outlineLevel="2" spans="2:11">
      <c r="B112" s="34" t="s">
        <v>85</v>
      </c>
    </row>
    <row r="113" hidden="1" outlineLevel="2" spans="2:4">
      <c r="B113" s="34" t="s">
        <v>86</v>
      </c>
    </row>
    <row r="114" hidden="1" outlineLevel="2" spans="2:4">
      <c r="B114" s="34" t="s">
        <v>87</v>
      </c>
    </row>
    <row r="115" hidden="1" outlineLevel="2" spans="2:4">
      <c r="B115" s="34" t="s">
        <v>88</v>
      </c>
    </row>
    <row r="116" hidden="1" outlineLevel="2" spans="2:4">
      <c r="B116" s="34" t="s">
        <v>73</v>
      </c>
    </row>
    <row r="117" hidden="1" outlineLevel="2" spans="2:4">
      <c r="B117" s="34" t="s">
        <v>89</v>
      </c>
    </row>
    <row r="118" hidden="1" outlineLevel="2" spans="2:4">
      <c r="B118" s="34" t="s">
        <v>90</v>
      </c>
    </row>
    <row r="119" hidden="1" outlineLevel="2" spans="2:4">
      <c r="B119" s="34" t="s">
        <v>91</v>
      </c>
    </row>
    <row r="120" hidden="1" outlineLevel="2" spans="2:4">
      <c r="B120" s="34" t="s">
        <v>92</v>
      </c>
    </row>
    <row r="121" hidden="1" outlineLevel="2" spans="2:4">
      <c r="B121" s="21" t="s">
        <v>93</v>
      </c>
      <c r="C121" s="64">
        <f>C122+C123+C124+C126+C127+C128+C129+C130-C125</f>
        <v>0</v>
      </c>
      <c r="D121" s="64">
        <f>D122+D123+D124+D126+D127+D128+D129+D130-D125</f>
        <v>0</v>
      </c>
    </row>
    <row r="122" hidden="1" outlineLevel="2" spans="2:4">
      <c r="B122" s="34" t="s">
        <v>85</v>
      </c>
      <c r="C122" s="25">
        <f t="shared" ref="C122:C130" si="2">C92+C102-C112</f>
        <v>0</v>
      </c>
      <c r="D122" s="25">
        <f t="shared" ref="D122:D130" si="3">D92+D102-D112</f>
        <v>0</v>
      </c>
    </row>
    <row r="123" hidden="1" outlineLevel="2" spans="2:4">
      <c r="B123" s="34" t="s">
        <v>86</v>
      </c>
      <c r="C123" s="25">
        <f t="shared" si="2"/>
        <v>0</v>
      </c>
      <c r="D123" s="25">
        <f t="shared" si="3"/>
        <v>0</v>
      </c>
    </row>
    <row r="124" hidden="1" outlineLevel="2" spans="2:4">
      <c r="B124" s="34" t="s">
        <v>87</v>
      </c>
      <c r="C124" s="25">
        <f t="shared" si="2"/>
        <v>0</v>
      </c>
      <c r="D124" s="25">
        <f t="shared" si="3"/>
        <v>0</v>
      </c>
    </row>
    <row r="125" hidden="1" outlineLevel="2" spans="2:4">
      <c r="B125" s="34" t="s">
        <v>88</v>
      </c>
      <c r="C125" s="25">
        <f t="shared" si="2"/>
        <v>0</v>
      </c>
      <c r="D125" s="25">
        <f t="shared" si="3"/>
        <v>0</v>
      </c>
    </row>
    <row r="126" hidden="1" outlineLevel="2" spans="2:4">
      <c r="B126" s="34" t="s">
        <v>73</v>
      </c>
      <c r="C126" s="25">
        <f t="shared" si="2"/>
        <v>0</v>
      </c>
      <c r="D126" s="25">
        <f t="shared" si="3"/>
        <v>0</v>
      </c>
    </row>
    <row r="127" hidden="1" outlineLevel="2" spans="2:4">
      <c r="B127" s="34" t="s">
        <v>89</v>
      </c>
      <c r="C127" s="25">
        <f t="shared" si="2"/>
        <v>0</v>
      </c>
      <c r="D127" s="25">
        <f t="shared" si="3"/>
        <v>0</v>
      </c>
    </row>
    <row r="128" hidden="1" outlineLevel="2" spans="2:4">
      <c r="B128" s="34" t="s">
        <v>90</v>
      </c>
      <c r="C128" s="25">
        <f t="shared" si="2"/>
        <v>0</v>
      </c>
      <c r="D128" s="25">
        <f t="shared" si="3"/>
        <v>0</v>
      </c>
    </row>
    <row r="129" hidden="1" outlineLevel="2" spans="2:4">
      <c r="B129" s="34" t="s">
        <v>91</v>
      </c>
      <c r="C129" s="25">
        <f t="shared" si="2"/>
        <v>0</v>
      </c>
      <c r="D129" s="25">
        <f t="shared" si="3"/>
        <v>0</v>
      </c>
    </row>
    <row r="130" hidden="1" outlineLevel="2" spans="2:4">
      <c r="B130" s="34" t="s">
        <v>92</v>
      </c>
      <c r="C130" s="25">
        <f t="shared" si="2"/>
        <v>0</v>
      </c>
      <c r="D130" s="25">
        <f t="shared" si="3"/>
        <v>0</v>
      </c>
    </row>
    <row r="131" hidden="1" outlineLevel="2"/>
    <row r="132" hidden="1" outlineLevel="2" spans="2:4">
      <c r="B132" s="67" t="s">
        <v>94</v>
      </c>
    </row>
    <row r="133" hidden="1" outlineLevel="2" spans="2:4">
      <c r="B133" s="68" t="s">
        <v>95</v>
      </c>
      <c r="C133" s="69">
        <f>C100</f>
        <v>0</v>
      </c>
      <c r="D133" s="69">
        <f>D100</f>
        <v>0</v>
      </c>
    </row>
    <row r="134" hidden="1" outlineLevel="2" spans="2:4">
      <c r="B134" s="34" t="s">
        <v>96</v>
      </c>
      <c r="C134" s="69">
        <f>C135+C137+C142+C145+C155</f>
        <v>0</v>
      </c>
      <c r="D134" s="69">
        <f>D135+D137+D142+D145+D155</f>
        <v>0</v>
      </c>
    </row>
    <row r="135" hidden="1" outlineLevel="2" spans="2:4">
      <c r="B135" s="34" t="s">
        <v>97</v>
      </c>
    </row>
    <row r="136" hidden="1" outlineLevel="2" spans="2:4">
      <c r="B136" s="34" t="s">
        <v>98</v>
      </c>
    </row>
    <row r="137" hidden="1" outlineLevel="2" spans="2:4">
      <c r="B137" s="34" t="s">
        <v>99</v>
      </c>
      <c r="C137" s="64">
        <f>C138+C139+C140+C141</f>
        <v>0</v>
      </c>
      <c r="D137" s="64">
        <f>D138+D139+D140+D141</f>
        <v>0</v>
      </c>
    </row>
    <row r="138" hidden="1" outlineLevel="2" spans="2:4">
      <c r="B138" s="49" t="s">
        <v>164</v>
      </c>
    </row>
    <row r="139" hidden="1" outlineLevel="2" spans="2:4">
      <c r="B139" s="49" t="s">
        <v>165</v>
      </c>
    </row>
    <row r="140" hidden="1" outlineLevel="2" spans="2:4">
      <c r="B140" s="49" t="s">
        <v>155</v>
      </c>
    </row>
    <row r="141" hidden="1" outlineLevel="2" spans="2:4">
      <c r="B141" s="49" t="s">
        <v>156</v>
      </c>
    </row>
    <row r="142" hidden="1" outlineLevel="2" spans="2:4">
      <c r="B142" s="34" t="s">
        <v>104</v>
      </c>
      <c r="C142" s="64">
        <f>C143-C144</f>
        <v>0</v>
      </c>
      <c r="D142" s="64">
        <f>D143-D144</f>
        <v>0</v>
      </c>
    </row>
    <row r="143" hidden="1" outlineLevel="2" spans="2:4">
      <c r="B143" s="49" t="s">
        <v>169</v>
      </c>
    </row>
    <row r="144" hidden="1" outlineLevel="2" spans="2:4">
      <c r="B144" s="49" t="s">
        <v>170</v>
      </c>
    </row>
    <row r="145" hidden="1" outlineLevel="2" spans="2:4">
      <c r="B145" s="34" t="s">
        <v>107</v>
      </c>
      <c r="C145" s="64">
        <f>C146+C152+C153+C154</f>
        <v>0</v>
      </c>
      <c r="D145" s="64">
        <f>D146+D152+D153+D154</f>
        <v>0</v>
      </c>
    </row>
    <row r="146" hidden="1" outlineLevel="2" spans="2:4">
      <c r="B146" s="49" t="s">
        <v>171</v>
      </c>
      <c r="C146" s="64">
        <f>C147+C148+C149+C150+C151</f>
        <v>0</v>
      </c>
      <c r="D146" s="64">
        <f>D147+D148+D149+D150+D151</f>
        <v>0</v>
      </c>
    </row>
    <row r="147" hidden="1" outlineLevel="2" spans="2:4">
      <c r="B147" s="49" t="s">
        <v>172</v>
      </c>
    </row>
    <row r="148" hidden="1" outlineLevel="2" spans="2:4">
      <c r="B148" s="49" t="s">
        <v>173</v>
      </c>
    </row>
    <row r="149" hidden="1" outlineLevel="2" spans="2:4">
      <c r="B149" s="49" t="s">
        <v>174</v>
      </c>
    </row>
    <row r="150" hidden="1" outlineLevel="2" spans="2:4">
      <c r="B150" s="57" t="s">
        <v>175</v>
      </c>
    </row>
    <row r="151" hidden="1" outlineLevel="2" spans="2:4">
      <c r="B151" s="57" t="s">
        <v>176</v>
      </c>
    </row>
    <row r="152" hidden="1" outlineLevel="2" spans="2:4">
      <c r="B152" s="49" t="s">
        <v>177</v>
      </c>
    </row>
    <row r="153" hidden="1" outlineLevel="2" spans="2:4">
      <c r="B153" s="49" t="s">
        <v>178</v>
      </c>
    </row>
    <row r="154" hidden="1" outlineLevel="2" spans="2:4">
      <c r="B154" s="49" t="s">
        <v>158</v>
      </c>
    </row>
    <row r="155" hidden="1" outlineLevel="2" spans="2:4">
      <c r="B155" s="34" t="s">
        <v>117</v>
      </c>
      <c r="C155" s="64">
        <f>C156+C157+C159+C158+C160+C161</f>
        <v>0</v>
      </c>
      <c r="D155" s="64">
        <f>D156+D157+D159+D158+D160+D161</f>
        <v>0</v>
      </c>
    </row>
    <row r="156" hidden="1" outlineLevel="2" spans="2:4">
      <c r="B156" s="49" t="s">
        <v>179</v>
      </c>
    </row>
    <row r="157" hidden="1" outlineLevel="2" spans="2:4">
      <c r="B157" s="49" t="s">
        <v>180</v>
      </c>
    </row>
    <row r="158" hidden="1" outlineLevel="2" spans="2:4">
      <c r="B158" s="49" t="s">
        <v>181</v>
      </c>
    </row>
    <row r="159" hidden="1" outlineLevel="2" spans="2:4">
      <c r="B159" s="49" t="s">
        <v>182</v>
      </c>
    </row>
    <row r="160" hidden="1" outlineLevel="2" spans="2:4">
      <c r="B160" s="49" t="s">
        <v>183</v>
      </c>
    </row>
    <row r="161" hidden="1" outlineLevel="2" spans="2:4">
      <c r="B161" s="49" t="s">
        <v>184</v>
      </c>
    </row>
    <row r="162" hidden="1" outlineLevel="2" spans="2:4">
      <c r="B162" s="34" t="s">
        <v>124</v>
      </c>
      <c r="C162" s="64">
        <f>C133+C134</f>
        <v>0</v>
      </c>
      <c r="D162" s="64">
        <f>D133+D134</f>
        <v>0</v>
      </c>
    </row>
    <row r="163" hidden="1" outlineLevel="2"/>
    <row r="164" hidden="1" outlineLevel="2" spans="2:4">
      <c r="B164" s="70" t="s">
        <v>125</v>
      </c>
    </row>
    <row r="165" hidden="1" outlineLevel="2" spans="2:4">
      <c r="B165" s="67" t="s">
        <v>126</v>
      </c>
    </row>
    <row r="166" hidden="1" outlineLevel="2" spans="2:4">
      <c r="B166" s="34" t="s">
        <v>127</v>
      </c>
    </row>
    <row r="167" hidden="1" outlineLevel="2" spans="2:4">
      <c r="B167" s="67" t="s">
        <v>128</v>
      </c>
      <c r="C167" s="64">
        <f>C168+C169+C170</f>
        <v>0</v>
      </c>
      <c r="D167" s="64">
        <f>D168+D169+D170</f>
        <v>0</v>
      </c>
    </row>
    <row r="168" hidden="1" outlineLevel="2" spans="2:4">
      <c r="B168" s="34" t="s">
        <v>129</v>
      </c>
    </row>
    <row r="169" hidden="1" outlineLevel="2" spans="2:4">
      <c r="B169" s="34" t="s">
        <v>130</v>
      </c>
    </row>
    <row r="170" hidden="1" outlineLevel="2" spans="2:4">
      <c r="B170" s="34" t="s">
        <v>131</v>
      </c>
    </row>
    <row r="171" hidden="1" outlineLevel="2" spans="2:4">
      <c r="B171" s="67" t="s">
        <v>93</v>
      </c>
      <c r="C171" s="64">
        <f>C165+C169</f>
        <v>0</v>
      </c>
      <c r="D171" s="64">
        <f>D165+D169</f>
        <v>0</v>
      </c>
    </row>
    <row r="172" hidden="1" outlineLevel="2" spans="2:4">
      <c r="B172" s="34" t="s">
        <v>127</v>
      </c>
      <c r="C172" s="64">
        <f>C166+C170</f>
        <v>0</v>
      </c>
      <c r="D172" s="64">
        <f>D166+D170</f>
        <v>0</v>
      </c>
    </row>
    <row r="173" collapsed="1"/>
  </sheetData>
  <mergeCells count="16">
    <mergeCell ref="H2:K2"/>
    <mergeCell ref="L2:O2"/>
    <mergeCell ref="P2:S2"/>
    <mergeCell ref="T2:W2"/>
    <mergeCell ref="H3:K3"/>
    <mergeCell ref="L3:O3"/>
    <mergeCell ref="P3:S3"/>
    <mergeCell ref="T3:W3"/>
    <mergeCell ref="H4:I4"/>
    <mergeCell ref="J4:K4"/>
    <mergeCell ref="L4:M4"/>
    <mergeCell ref="N4:O4"/>
    <mergeCell ref="P4:Q4"/>
    <mergeCell ref="R4:S4"/>
    <mergeCell ref="T4:U4"/>
    <mergeCell ref="V4:W4"/>
  </mergeCells>
  <printOptions horizontalCentered="1"/>
  <pageMargins left="0.433070866141732" right="0.196850393700787" top="0.590551181102362" bottom="0.433070866141732" header="0.511811023622047" footer="0.196850393700787"/>
  <pageSetup paperSize="9" scale="26" fitToHeight="0" orientation="landscape" blackAndWhite="1"/>
  <headerFooter alignWithMargins="0">
    <oddFooter>&amp;C第 &amp;P 页，共 &amp;N 页</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XFC173"/>
  <sheetViews>
    <sheetView workbookViewId="0">
      <pane xSplit="2" ySplit="2" topLeftCell="C3" activePane="bottomRight" state="frozen"/>
      <selection/>
      <selection pane="topRight"/>
      <selection pane="bottomLeft"/>
      <selection pane="bottomRight" activeCell="B4" sqref="B4"/>
    </sheetView>
  </sheetViews>
  <sheetFormatPr defaultColWidth="9" defaultRowHeight="14.4"/>
  <cols>
    <col min="1" max="1" width="16.9" style="5" customWidth="1"/>
    <col min="2" max="2" width="26.8" style="49" customWidth="1"/>
    <col min="3" max="5" width="14.1" style="49" customWidth="1"/>
    <col min="6" max="6" width="3.9" style="49" customWidth="1"/>
    <col min="7" max="7" width="30" style="57" customWidth="1"/>
    <col min="8" max="8" width="24.5" style="49" customWidth="1"/>
    <col min="9" max="9" width="10.5" style="49" customWidth="1"/>
    <col min="10" max="10" width="11.8" style="49" customWidth="1"/>
    <col min="11" max="11" width="10.5" style="49" customWidth="1"/>
    <col min="12" max="12" width="11.8" style="49" customWidth="1"/>
    <col min="13" max="13" width="10.5" style="49" customWidth="1"/>
    <col min="14" max="14" width="11.8" style="49" customWidth="1"/>
    <col min="15" max="16" width="10.8" style="49" customWidth="1"/>
    <col min="17" max="17" width="10.5" style="49" customWidth="1"/>
    <col min="18" max="18" width="11.8" style="49" customWidth="1"/>
    <col min="19" max="20" width="10.8" style="49" customWidth="1"/>
    <col min="21" max="22" width="9" style="49"/>
    <col min="23" max="23" width="10.5" style="49" customWidth="1"/>
    <col min="24" max="24" width="11.8" style="49" customWidth="1"/>
    <col min="25" max="28" width="9" style="49"/>
    <col min="29" max="29" width="10.5" style="49" customWidth="1"/>
    <col min="30" max="30" width="11.8" style="49" customWidth="1"/>
    <col min="31" max="16382" width="9" style="49"/>
    <col min="16383" max="16383" width="9" style="36"/>
    <col min="16384" max="16384" width="9" style="49"/>
  </cols>
  <sheetData>
    <row r="1" s="56" customFormat="1" ht="24.9" customHeight="1" spans="1:32 16383:16383">
      <c r="A1" s="58" t="s">
        <v>76</v>
      </c>
      <c r="B1" s="59"/>
      <c r="C1" s="60"/>
      <c r="G1" s="61"/>
    </row>
    <row r="2" s="49" customFormat="1" spans="1:32 16383:16383">
      <c r="A2" s="4" t="s">
        <v>132</v>
      </c>
      <c r="B2" s="4" t="s">
        <v>77</v>
      </c>
      <c r="C2" s="4" t="s">
        <v>186</v>
      </c>
      <c r="D2" s="4"/>
      <c r="E2" s="4" t="s">
        <v>187</v>
      </c>
      <c r="G2" s="57"/>
      <c r="I2" s="4" t="s">
        <v>135</v>
      </c>
      <c r="J2" s="4"/>
      <c r="K2" s="4"/>
      <c r="L2" s="4"/>
      <c r="M2" s="4"/>
      <c r="N2" s="4"/>
      <c r="O2" s="4" t="s">
        <v>136</v>
      </c>
      <c r="P2" s="4"/>
      <c r="Q2" s="4"/>
      <c r="R2" s="4"/>
      <c r="S2" s="4"/>
      <c r="T2" s="4"/>
      <c r="U2" s="4" t="s">
        <v>137</v>
      </c>
      <c r="V2" s="4"/>
      <c r="W2" s="4"/>
      <c r="X2" s="4"/>
      <c r="Y2" s="4"/>
      <c r="Z2" s="4"/>
      <c r="AA2" s="4" t="s">
        <v>138</v>
      </c>
      <c r="AB2" s="4"/>
      <c r="AC2" s="4"/>
      <c r="AD2" s="4"/>
      <c r="AE2" s="4"/>
      <c r="AF2" s="4"/>
      <c r="XFC2" s="36"/>
    </row>
    <row r="3" s="49" customFormat="1" spans="1:32 16383:16383">
      <c r="A3" s="4" t="s">
        <v>139</v>
      </c>
      <c r="B3" s="4"/>
      <c r="C3" s="4" t="s">
        <v>133</v>
      </c>
      <c r="D3" s="4" t="s">
        <v>134</v>
      </c>
      <c r="E3" s="4" t="s">
        <v>134</v>
      </c>
      <c r="G3" s="57"/>
      <c r="I3" s="4" t="s">
        <v>139</v>
      </c>
      <c r="J3" s="4"/>
      <c r="K3" s="4"/>
      <c r="L3" s="4"/>
      <c r="M3" s="4"/>
      <c r="N3" s="4"/>
      <c r="O3" s="4" t="s">
        <v>140</v>
      </c>
      <c r="P3" s="4"/>
      <c r="Q3" s="4"/>
      <c r="R3" s="4"/>
      <c r="S3" s="4"/>
      <c r="T3" s="4"/>
      <c r="U3" s="4" t="s">
        <v>141</v>
      </c>
      <c r="V3" s="4"/>
      <c r="W3" s="4"/>
      <c r="X3" s="4"/>
      <c r="Y3" s="4"/>
      <c r="Z3" s="4"/>
      <c r="AA3" s="4" t="s">
        <v>142</v>
      </c>
      <c r="AB3" s="4"/>
      <c r="AC3" s="4"/>
      <c r="AD3" s="4"/>
      <c r="AE3" s="4"/>
      <c r="AF3" s="4"/>
      <c r="XFC3" s="36"/>
    </row>
    <row r="4" s="49" customFormat="1" spans="1:32 16383:16383">
      <c r="B4" s="4" t="s">
        <v>143</v>
      </c>
      <c r="C4" s="4"/>
      <c r="D4" s="62"/>
      <c r="E4" s="62"/>
      <c r="G4" s="63" t="s">
        <v>144</v>
      </c>
      <c r="H4" s="63" t="s">
        <v>145</v>
      </c>
      <c r="I4" s="4" t="s">
        <v>133</v>
      </c>
      <c r="J4" s="4"/>
      <c r="K4" s="4" t="s">
        <v>188</v>
      </c>
      <c r="L4" s="4"/>
      <c r="M4" s="4" t="s">
        <v>189</v>
      </c>
      <c r="N4" s="4"/>
      <c r="O4" s="4" t="s">
        <v>133</v>
      </c>
      <c r="P4" s="4"/>
      <c r="Q4" s="4" t="s">
        <v>188</v>
      </c>
      <c r="R4" s="4"/>
      <c r="S4" s="4" t="s">
        <v>189</v>
      </c>
      <c r="T4" s="4"/>
      <c r="U4" s="4" t="s">
        <v>133</v>
      </c>
      <c r="V4" s="4"/>
      <c r="W4" s="4" t="s">
        <v>188</v>
      </c>
      <c r="X4" s="4"/>
      <c r="Y4" s="4" t="s">
        <v>189</v>
      </c>
      <c r="Z4" s="4"/>
      <c r="AA4" s="4" t="s">
        <v>133</v>
      </c>
      <c r="AB4" s="4"/>
      <c r="AC4" s="4" t="s">
        <v>188</v>
      </c>
      <c r="AD4" s="4"/>
      <c r="AE4" s="4" t="s">
        <v>189</v>
      </c>
      <c r="AF4" s="4"/>
      <c r="XFC4" s="36"/>
    </row>
    <row r="5" s="49" customFormat="1" outlineLevel="1" spans="1:32 16383:16383">
      <c r="B5" s="63" t="s">
        <v>83</v>
      </c>
      <c r="C5" s="34"/>
      <c r="D5" s="34"/>
      <c r="E5" s="34"/>
      <c r="G5" s="63" t="s">
        <v>146</v>
      </c>
      <c r="H5" s="4"/>
      <c r="I5" s="34" t="s">
        <v>147</v>
      </c>
      <c r="J5" s="34" t="s">
        <v>148</v>
      </c>
      <c r="K5" s="34" t="s">
        <v>147</v>
      </c>
      <c r="L5" s="34" t="s">
        <v>148</v>
      </c>
      <c r="M5" s="34" t="s">
        <v>147</v>
      </c>
      <c r="N5" s="34" t="s">
        <v>148</v>
      </c>
      <c r="O5" s="4" t="s">
        <v>147</v>
      </c>
      <c r="P5" s="4" t="s">
        <v>148</v>
      </c>
      <c r="Q5" s="34" t="s">
        <v>147</v>
      </c>
      <c r="R5" s="34" t="s">
        <v>148</v>
      </c>
      <c r="S5" s="4" t="s">
        <v>147</v>
      </c>
      <c r="T5" s="4" t="s">
        <v>148</v>
      </c>
      <c r="U5" s="4" t="s">
        <v>147</v>
      </c>
      <c r="V5" s="4" t="s">
        <v>148</v>
      </c>
      <c r="W5" s="34" t="s">
        <v>147</v>
      </c>
      <c r="X5" s="34" t="s">
        <v>148</v>
      </c>
      <c r="Y5" s="4" t="s">
        <v>147</v>
      </c>
      <c r="Z5" s="4" t="s">
        <v>148</v>
      </c>
      <c r="AA5" s="4" t="s">
        <v>147</v>
      </c>
      <c r="AB5" s="4" t="s">
        <v>148</v>
      </c>
      <c r="AC5" s="34" t="s">
        <v>147</v>
      </c>
      <c r="AD5" s="34" t="s">
        <v>148</v>
      </c>
      <c r="AE5" s="4" t="s">
        <v>147</v>
      </c>
      <c r="AF5" s="4" t="s">
        <v>148</v>
      </c>
      <c r="XFC5" s="36"/>
    </row>
    <row r="6" s="49" customFormat="1" outlineLevel="1" spans="1:32 16383:16383">
      <c r="A6" s="5"/>
      <c r="B6" s="21" t="s">
        <v>84</v>
      </c>
      <c r="C6" s="64">
        <f>C7+C8+C9+C11+C12+C13+C14+C15-C10</f>
        <v>0</v>
      </c>
      <c r="D6" s="64">
        <f>D7+D8+D9+D11+D12+D13+D14+D15-D10</f>
        <v>0</v>
      </c>
      <c r="E6" s="64">
        <f>E7+E8+E9+E11+E12+E13+E14+E15-E10</f>
        <v>0</v>
      </c>
      <c r="G6" s="34" t="s">
        <v>21</v>
      </c>
      <c r="I6" s="65"/>
      <c r="K6" s="65"/>
      <c r="M6" s="65"/>
      <c r="O6" s="65"/>
      <c r="Q6" s="65"/>
      <c r="S6" s="65"/>
      <c r="U6" s="65"/>
      <c r="W6" s="65"/>
      <c r="Y6" s="65"/>
      <c r="AA6" s="65"/>
      <c r="AC6" s="65"/>
      <c r="AE6" s="65"/>
      <c r="XFC6" s="36"/>
    </row>
    <row r="7" s="49" customFormat="1" outlineLevel="1" spans="1:32 16383:16383">
      <c r="A7" s="5"/>
      <c r="B7" s="34" t="s">
        <v>85</v>
      </c>
      <c r="XFC7" s="36"/>
    </row>
    <row r="8" s="49" customFormat="1" outlineLevel="1" spans="1:32 16383:16383">
      <c r="A8" s="5"/>
      <c r="B8" s="34" t="s">
        <v>86</v>
      </c>
      <c r="G8" s="63" t="s">
        <v>149</v>
      </c>
      <c r="H8" s="63"/>
      <c r="XFC8" s="36"/>
    </row>
    <row r="9" s="49" customFormat="1" outlineLevel="1" spans="1:32 16383:16383">
      <c r="A9" s="5"/>
      <c r="B9" s="34" t="s">
        <v>87</v>
      </c>
      <c r="XFC9" s="36"/>
    </row>
    <row r="10" s="49" customFormat="1" outlineLevel="1" spans="1:32 16383:16383">
      <c r="A10" s="5"/>
      <c r="B10" s="34" t="s">
        <v>88</v>
      </c>
      <c r="G10" s="63" t="s">
        <v>150</v>
      </c>
      <c r="H10" s="63"/>
      <c r="K10" s="66"/>
      <c r="L10" s="66"/>
      <c r="M10" s="66"/>
      <c r="N10" s="66"/>
      <c r="Q10" s="66"/>
      <c r="R10" s="66"/>
      <c r="S10" s="66"/>
      <c r="T10" s="66"/>
      <c r="W10" s="66"/>
      <c r="X10" s="66"/>
      <c r="Y10" s="66"/>
      <c r="Z10" s="66"/>
      <c r="AC10" s="66"/>
      <c r="AD10" s="66"/>
      <c r="AE10" s="66"/>
      <c r="AF10" s="66"/>
      <c r="XFC10" s="36"/>
    </row>
    <row r="11" s="49" customFormat="1" outlineLevel="1" spans="1:32 16383:16383">
      <c r="A11" s="5"/>
      <c r="B11" s="34" t="s">
        <v>73</v>
      </c>
      <c r="G11" s="28" t="s">
        <v>35</v>
      </c>
      <c r="H11" s="28" t="s">
        <v>72</v>
      </c>
      <c r="K11" s="66"/>
      <c r="L11" s="66"/>
      <c r="M11" s="66"/>
      <c r="N11" s="66"/>
      <c r="Q11" s="66"/>
      <c r="R11" s="66"/>
      <c r="S11" s="66"/>
      <c r="T11" s="66"/>
      <c r="W11" s="66"/>
      <c r="X11" s="66"/>
      <c r="Y11" s="66"/>
      <c r="Z11" s="66"/>
      <c r="AC11" s="66"/>
      <c r="AD11" s="66"/>
      <c r="AE11" s="66"/>
      <c r="AF11" s="66"/>
      <c r="XFC11" s="36"/>
    </row>
    <row r="12" s="49" customFormat="1" outlineLevel="1" spans="1:32 16383:16383">
      <c r="A12" s="5"/>
      <c r="B12" s="34" t="s">
        <v>89</v>
      </c>
      <c r="G12" s="28" t="s">
        <v>35</v>
      </c>
      <c r="H12" s="28" t="s">
        <v>74</v>
      </c>
      <c r="K12" s="66"/>
      <c r="L12" s="66"/>
      <c r="M12" s="66"/>
      <c r="N12" s="66"/>
      <c r="Q12" s="66"/>
      <c r="R12" s="66"/>
      <c r="S12" s="66"/>
      <c r="T12" s="66"/>
      <c r="W12" s="66"/>
      <c r="X12" s="66"/>
      <c r="Y12" s="66"/>
      <c r="Z12" s="66"/>
      <c r="AC12" s="66"/>
      <c r="AD12" s="66"/>
      <c r="AE12" s="66"/>
      <c r="AF12" s="66"/>
      <c r="XFC12" s="36"/>
    </row>
    <row r="13" s="49" customFormat="1" outlineLevel="1" spans="1:32 16383:16383">
      <c r="A13" s="5"/>
      <c r="B13" s="34" t="s">
        <v>90</v>
      </c>
      <c r="G13" s="27" t="s">
        <v>151</v>
      </c>
      <c r="H13" s="36"/>
      <c r="K13" s="66"/>
      <c r="L13" s="66"/>
      <c r="M13" s="66"/>
      <c r="N13" s="66"/>
      <c r="Q13" s="66"/>
      <c r="R13" s="66"/>
      <c r="S13" s="66"/>
      <c r="T13" s="66"/>
      <c r="W13" s="66"/>
      <c r="X13" s="66"/>
      <c r="Y13" s="66"/>
      <c r="Z13" s="66"/>
      <c r="AC13" s="66"/>
      <c r="AD13" s="66"/>
      <c r="AE13" s="66"/>
      <c r="AF13" s="66"/>
      <c r="XFC13" s="36"/>
    </row>
    <row r="14" s="49" customFormat="1" outlineLevel="1" spans="1:32 16383:16383">
      <c r="A14" s="5"/>
      <c r="B14" s="34" t="s">
        <v>91</v>
      </c>
      <c r="G14" s="27" t="s">
        <v>87</v>
      </c>
      <c r="H14" s="36"/>
      <c r="K14" s="66"/>
      <c r="L14" s="66"/>
      <c r="M14" s="66"/>
      <c r="N14" s="66"/>
      <c r="Q14" s="66"/>
      <c r="R14" s="66"/>
      <c r="S14" s="66"/>
      <c r="T14" s="66"/>
      <c r="W14" s="66"/>
      <c r="X14" s="66"/>
      <c r="Y14" s="66"/>
      <c r="Z14" s="66"/>
      <c r="AC14" s="66"/>
      <c r="AD14" s="66"/>
      <c r="AE14" s="66"/>
      <c r="AF14" s="66"/>
      <c r="XFC14" s="36"/>
    </row>
    <row r="15" s="49" customFormat="1" outlineLevel="1" spans="1:32 16383:16383">
      <c r="A15" s="5"/>
      <c r="B15" s="34" t="s">
        <v>92</v>
      </c>
      <c r="G15" s="27" t="s">
        <v>73</v>
      </c>
      <c r="H15" s="36"/>
      <c r="K15" s="66"/>
      <c r="L15" s="66"/>
      <c r="M15" s="66"/>
      <c r="N15" s="66"/>
      <c r="Q15" s="66"/>
      <c r="R15" s="66"/>
      <c r="S15" s="66"/>
      <c r="T15" s="66"/>
      <c r="W15" s="66"/>
      <c r="X15" s="66"/>
      <c r="Y15" s="66"/>
      <c r="Z15" s="66"/>
      <c r="AC15" s="66"/>
      <c r="AD15" s="66"/>
      <c r="AE15" s="66"/>
      <c r="AF15" s="66"/>
      <c r="XFC15" s="36"/>
    </row>
    <row r="16" s="49" customFormat="1" outlineLevel="1" spans="1:32 16383:16383">
      <c r="A16" s="5"/>
      <c r="B16" s="21" t="s">
        <v>52</v>
      </c>
      <c r="C16" s="64">
        <f>C17+C18+C19+C21+C22+C23+C24+C25-C20</f>
        <v>0</v>
      </c>
      <c r="D16" s="64">
        <f>D17+D18+D19+D21+D22+D23+D24+D25-D20</f>
        <v>0</v>
      </c>
      <c r="E16" s="64">
        <f>E17+E18+E19+E21+E22+E23+E24+E25-E20</f>
        <v>0</v>
      </c>
      <c r="G16" s="45" t="s">
        <v>89</v>
      </c>
      <c r="H16" s="36"/>
      <c r="K16" s="66"/>
      <c r="L16" s="66"/>
      <c r="M16" s="66"/>
      <c r="N16" s="66"/>
      <c r="Q16" s="66"/>
      <c r="R16" s="66"/>
      <c r="S16" s="66"/>
      <c r="T16" s="66"/>
      <c r="W16" s="66"/>
      <c r="X16" s="66"/>
      <c r="Y16" s="66"/>
      <c r="Z16" s="66"/>
      <c r="AC16" s="66"/>
      <c r="AD16" s="66"/>
      <c r="AE16" s="66"/>
      <c r="AF16" s="66"/>
      <c r="XFC16" s="36"/>
    </row>
    <row r="17" s="49" customFormat="1" outlineLevel="1" spans="1:32 16383:16383">
      <c r="A17" s="5"/>
      <c r="B17" s="34" t="s">
        <v>85</v>
      </c>
      <c r="G17" s="45" t="s">
        <v>86</v>
      </c>
      <c r="H17" s="36"/>
      <c r="K17" s="66"/>
      <c r="L17" s="66"/>
      <c r="M17" s="66"/>
      <c r="N17" s="66"/>
      <c r="Q17" s="66"/>
      <c r="R17" s="66"/>
      <c r="S17" s="66"/>
      <c r="T17" s="66"/>
      <c r="W17" s="66"/>
      <c r="X17" s="66"/>
      <c r="Y17" s="66"/>
      <c r="Z17" s="66"/>
      <c r="AC17" s="66"/>
      <c r="AD17" s="66"/>
      <c r="AE17" s="66"/>
      <c r="AF17" s="66"/>
      <c r="XFC17" s="36"/>
    </row>
    <row r="18" s="49" customFormat="1" outlineLevel="1" spans="1:32 16383:16383">
      <c r="A18" s="5"/>
      <c r="B18" s="34" t="s">
        <v>86</v>
      </c>
      <c r="G18" s="45" t="s">
        <v>91</v>
      </c>
      <c r="H18" s="36"/>
      <c r="K18" s="66"/>
      <c r="L18" s="66"/>
      <c r="M18" s="66"/>
      <c r="N18" s="66"/>
      <c r="Q18" s="66"/>
      <c r="R18" s="66"/>
      <c r="S18" s="66"/>
      <c r="T18" s="66"/>
      <c r="W18" s="66"/>
      <c r="X18" s="66"/>
      <c r="Y18" s="66"/>
      <c r="Z18" s="66"/>
      <c r="AC18" s="66"/>
      <c r="AD18" s="66"/>
      <c r="AE18" s="66"/>
      <c r="AF18" s="66"/>
      <c r="XFC18" s="36"/>
    </row>
    <row r="19" s="49" customFormat="1" outlineLevel="1" spans="1:32 16383:16383">
      <c r="A19" s="5"/>
      <c r="B19" s="34" t="s">
        <v>87</v>
      </c>
      <c r="G19" s="30" t="s">
        <v>152</v>
      </c>
      <c r="H19" s="36"/>
      <c r="K19" s="66"/>
      <c r="L19" s="66"/>
      <c r="M19" s="66"/>
      <c r="N19" s="66"/>
      <c r="Q19" s="66"/>
      <c r="R19" s="66"/>
      <c r="S19" s="66"/>
      <c r="T19" s="66"/>
      <c r="W19" s="66"/>
      <c r="X19" s="66"/>
      <c r="Y19" s="66"/>
      <c r="Z19" s="66"/>
      <c r="AC19" s="66"/>
      <c r="AD19" s="66"/>
      <c r="AE19" s="66"/>
      <c r="AF19" s="66"/>
      <c r="XFC19" s="36"/>
    </row>
    <row r="20" s="49" customFormat="1" outlineLevel="1" spans="1:32 16383:16383">
      <c r="A20" s="5"/>
      <c r="B20" s="34" t="s">
        <v>88</v>
      </c>
      <c r="H20" s="36"/>
      <c r="XFC20" s="36"/>
    </row>
    <row r="21" s="49" customFormat="1" outlineLevel="1" spans="1:32 16383:16383">
      <c r="A21" s="5"/>
      <c r="B21" s="34" t="s">
        <v>73</v>
      </c>
      <c r="G21" s="63" t="s">
        <v>153</v>
      </c>
      <c r="H21" s="63"/>
      <c r="XFC21" s="36"/>
    </row>
    <row r="22" s="49" customFormat="1" outlineLevel="1" spans="1:32 16383:16383">
      <c r="A22" s="5"/>
      <c r="B22" s="34" t="s">
        <v>89</v>
      </c>
      <c r="G22" s="28" t="s">
        <v>35</v>
      </c>
      <c r="H22" s="28" t="s">
        <v>72</v>
      </c>
      <c r="I22" s="25">
        <f>J24-J30-J31-J32-J33</f>
        <v>0</v>
      </c>
      <c r="J22" s="25"/>
      <c r="K22" s="25">
        <f>L24-L30-L31-L32-L33</f>
        <v>0</v>
      </c>
      <c r="L22" s="25"/>
      <c r="M22" s="25">
        <f>N24-N30-N31-N32-N33</f>
        <v>0</v>
      </c>
      <c r="N22" s="25"/>
      <c r="Q22" s="25">
        <f>R24-R30-R31-R32-R33</f>
        <v>0</v>
      </c>
      <c r="R22" s="25"/>
      <c r="W22" s="25">
        <f>X24-X30-X31-X32-X33</f>
        <v>0</v>
      </c>
      <c r="X22" s="25"/>
      <c r="AC22" s="25">
        <f>AD24-AD30-AD31-AD32-AD33</f>
        <v>0</v>
      </c>
      <c r="AD22" s="25"/>
      <c r="XFC22" s="36"/>
    </row>
    <row r="23" s="49" customFormat="1" outlineLevel="1" spans="1:32 16383:16383">
      <c r="A23" s="5"/>
      <c r="B23" s="34" t="s">
        <v>90</v>
      </c>
      <c r="G23" s="28" t="s">
        <v>35</v>
      </c>
      <c r="H23" s="28" t="s">
        <v>74</v>
      </c>
      <c r="I23" s="25">
        <f>J25+J26+J27+J28+J29</f>
        <v>0</v>
      </c>
      <c r="J23" s="25"/>
      <c r="K23" s="25">
        <f>L25+L26+L27+L28+L29</f>
        <v>0</v>
      </c>
      <c r="L23" s="25"/>
      <c r="M23" s="25">
        <f>N25+N26+N27+N28+N29</f>
        <v>0</v>
      </c>
      <c r="N23" s="25"/>
      <c r="Q23" s="25">
        <f>R25+R26+R27+R28+R29</f>
        <v>0</v>
      </c>
      <c r="R23" s="25"/>
      <c r="W23" s="25">
        <f>X25+X26+X27+X28+X29</f>
        <v>0</v>
      </c>
      <c r="X23" s="25"/>
      <c r="AC23" s="25">
        <f>AD25+AD26+AD27+AD28+AD29</f>
        <v>0</v>
      </c>
      <c r="AD23" s="25"/>
      <c r="XFC23" s="36"/>
    </row>
    <row r="24" s="49" customFormat="1" outlineLevel="1" spans="1:32 16383:16383">
      <c r="A24" s="5"/>
      <c r="B24" s="34" t="s">
        <v>91</v>
      </c>
      <c r="G24" s="27" t="s">
        <v>154</v>
      </c>
      <c r="H24" s="46"/>
      <c r="J24" s="25">
        <f>C51*H8</f>
        <v>0</v>
      </c>
      <c r="L24" s="25">
        <f>D51*H8</f>
        <v>0</v>
      </c>
      <c r="N24" s="25">
        <f>F51*J8</f>
        <v>0</v>
      </c>
      <c r="R24" s="25">
        <f>J51*N8</f>
        <v>0</v>
      </c>
      <c r="X24" s="25">
        <f>P51*T8</f>
        <v>0</v>
      </c>
      <c r="AD24" s="25">
        <f>V51*Z8</f>
        <v>0</v>
      </c>
      <c r="XFC24" s="36"/>
    </row>
    <row r="25" s="49" customFormat="1" outlineLevel="1" spans="1:32 16383:16383">
      <c r="A25" s="5"/>
      <c r="B25" s="34" t="s">
        <v>92</v>
      </c>
      <c r="G25" s="27" t="s">
        <v>87</v>
      </c>
      <c r="H25" s="5"/>
      <c r="J25" s="25">
        <f>C82*H8</f>
        <v>0</v>
      </c>
      <c r="L25" s="25">
        <f>D82*H8</f>
        <v>0</v>
      </c>
      <c r="N25" s="25">
        <f>F82*J8</f>
        <v>0</v>
      </c>
      <c r="R25" s="25">
        <f>J82*N8</f>
        <v>0</v>
      </c>
      <c r="X25" s="25">
        <f>P82*T8</f>
        <v>0</v>
      </c>
      <c r="AD25" s="25">
        <f>V82*Z8</f>
        <v>0</v>
      </c>
      <c r="XFC25" s="36"/>
    </row>
    <row r="26" s="49" customFormat="1" outlineLevel="1" spans="1:32 16383:16383">
      <c r="A26" s="5"/>
      <c r="B26" s="21" t="s">
        <v>53</v>
      </c>
      <c r="C26" s="64">
        <f>C27+C28+C29+C31+C32+C33+C34+C35-C30</f>
        <v>0</v>
      </c>
      <c r="D26" s="64">
        <f>D27+D28+D29+D31+D32+D33+D34+D35-D30</f>
        <v>0</v>
      </c>
      <c r="E26" s="64">
        <f>E27+E28+E29+E31+E32+E33+E34+E35-E30</f>
        <v>0</v>
      </c>
      <c r="G26" s="27" t="s">
        <v>73</v>
      </c>
      <c r="H26" s="5"/>
      <c r="J26" s="25">
        <f>(C21-C31)*H8</f>
        <v>0</v>
      </c>
      <c r="L26" s="25">
        <f>(D21-D31)*H8</f>
        <v>0</v>
      </c>
      <c r="N26" s="25">
        <f>(F21-F31)*J8</f>
        <v>0</v>
      </c>
      <c r="R26" s="25">
        <f>(J21-J31)*N8</f>
        <v>0</v>
      </c>
      <c r="X26" s="25">
        <f>(P21-P31)*T8</f>
        <v>0</v>
      </c>
      <c r="AD26" s="25">
        <f>(V21-V31)*Z8</f>
        <v>0</v>
      </c>
      <c r="XFC26" s="36"/>
    </row>
    <row r="27" s="49" customFormat="1" outlineLevel="1" spans="1:32 16383:16383">
      <c r="A27" s="5"/>
      <c r="B27" s="34" t="s">
        <v>85</v>
      </c>
      <c r="G27" s="45" t="s">
        <v>89</v>
      </c>
      <c r="H27" s="5"/>
      <c r="J27" s="25">
        <f>(C22-C32)*H8</f>
        <v>0</v>
      </c>
      <c r="L27" s="25">
        <f>(D22-D32)*H8</f>
        <v>0</v>
      </c>
      <c r="N27" s="25">
        <f>(F22-F32)*J8</f>
        <v>0</v>
      </c>
      <c r="R27" s="25">
        <f>(J22-J32)*N8</f>
        <v>0</v>
      </c>
      <c r="X27" s="25">
        <f>(P22-P32)*T8</f>
        <v>0</v>
      </c>
      <c r="AD27" s="25">
        <f>(V22-V32)*Z8</f>
        <v>0</v>
      </c>
      <c r="XFC27" s="36"/>
    </row>
    <row r="28" s="49" customFormat="1" outlineLevel="1" spans="1:32 16383:16383">
      <c r="A28" s="5"/>
      <c r="B28" s="34" t="s">
        <v>86</v>
      </c>
      <c r="G28" s="45" t="s">
        <v>86</v>
      </c>
      <c r="H28" s="5"/>
      <c r="J28" s="25">
        <f>(C18-C28)*H8</f>
        <v>0</v>
      </c>
      <c r="L28" s="25">
        <f>(D18-D28)*H8</f>
        <v>0</v>
      </c>
      <c r="N28" s="25">
        <f>(F18-F28)*J8</f>
        <v>0</v>
      </c>
      <c r="R28" s="25">
        <f>(J18-J28)*N8</f>
        <v>0</v>
      </c>
      <c r="X28" s="25">
        <f>(P18-P28)*T8</f>
        <v>0</v>
      </c>
      <c r="AD28" s="25">
        <f>(V18-V28)*Z8</f>
        <v>0</v>
      </c>
      <c r="XFC28" s="36"/>
    </row>
    <row r="29" s="49" customFormat="1" outlineLevel="1" spans="1:32 16383:16383">
      <c r="A29" s="5"/>
      <c r="B29" s="34" t="s">
        <v>87</v>
      </c>
      <c r="G29" s="45" t="s">
        <v>91</v>
      </c>
      <c r="H29" s="5"/>
      <c r="I29" s="25"/>
      <c r="J29" s="25">
        <f>(C24-C34)*H8</f>
        <v>0</v>
      </c>
      <c r="K29" s="25"/>
      <c r="L29" s="25">
        <f>(D24-D34)*H8</f>
        <v>0</v>
      </c>
      <c r="M29" s="25"/>
      <c r="N29" s="25">
        <f>(F24-F34)*J8</f>
        <v>0</v>
      </c>
      <c r="Q29" s="25"/>
      <c r="R29" s="25">
        <f>(J24-J34)*N8</f>
        <v>0</v>
      </c>
      <c r="W29" s="25"/>
      <c r="X29" s="25">
        <f>(P24-P34)*T8</f>
        <v>0</v>
      </c>
      <c r="AC29" s="25"/>
      <c r="AD29" s="25">
        <f>(V24-V34)*Z8</f>
        <v>0</v>
      </c>
      <c r="XFC29" s="36"/>
    </row>
    <row r="30" s="49" customFormat="1" outlineLevel="1" spans="1:32 16383:16383">
      <c r="A30" s="5"/>
      <c r="B30" s="34" t="s">
        <v>88</v>
      </c>
      <c r="G30" s="47" t="s">
        <v>155</v>
      </c>
      <c r="H30" s="34" t="s">
        <v>99</v>
      </c>
      <c r="I30" s="25"/>
      <c r="J30" s="25"/>
      <c r="K30" s="25"/>
      <c r="L30" s="25"/>
      <c r="M30" s="25"/>
      <c r="N30" s="25"/>
      <c r="Q30" s="25"/>
      <c r="R30" s="25"/>
      <c r="W30" s="25"/>
      <c r="X30" s="25"/>
      <c r="AC30" s="25"/>
      <c r="AD30" s="25"/>
      <c r="XFC30" s="36"/>
    </row>
    <row r="31" s="49" customFormat="1" outlineLevel="1" spans="1:32 16383:16383">
      <c r="A31" s="5"/>
      <c r="B31" s="34" t="s">
        <v>73</v>
      </c>
      <c r="G31" s="47" t="s">
        <v>156</v>
      </c>
      <c r="H31" s="34" t="s">
        <v>99</v>
      </c>
      <c r="I31" s="25"/>
      <c r="J31" s="25"/>
      <c r="K31" s="25"/>
      <c r="L31" s="25"/>
      <c r="M31" s="25"/>
      <c r="N31" s="25"/>
      <c r="Q31" s="25"/>
      <c r="R31" s="25"/>
      <c r="W31" s="25"/>
      <c r="X31" s="25"/>
      <c r="AC31" s="25"/>
      <c r="AD31" s="25"/>
      <c r="XFC31" s="36"/>
    </row>
    <row r="32" s="49" customFormat="1" outlineLevel="1" spans="1:32 16383:16383">
      <c r="A32" s="5"/>
      <c r="B32" s="34" t="s">
        <v>89</v>
      </c>
      <c r="G32" s="47" t="s">
        <v>157</v>
      </c>
      <c r="H32" s="34" t="s">
        <v>107</v>
      </c>
      <c r="I32" s="25"/>
      <c r="J32" s="25"/>
      <c r="K32" s="25"/>
      <c r="L32" s="25"/>
      <c r="M32" s="25"/>
      <c r="N32" s="25"/>
      <c r="Q32" s="25"/>
      <c r="R32" s="25"/>
      <c r="W32" s="25"/>
      <c r="X32" s="25"/>
      <c r="AC32" s="25"/>
      <c r="AD32" s="25"/>
      <c r="XFC32" s="36"/>
    </row>
    <row r="33" s="49" customFormat="1" outlineLevel="1" spans="1:30 16383:16383">
      <c r="A33" s="5"/>
      <c r="B33" s="34" t="s">
        <v>90</v>
      </c>
      <c r="G33" s="47" t="s">
        <v>158</v>
      </c>
      <c r="H33" s="34" t="s">
        <v>107</v>
      </c>
      <c r="I33" s="25"/>
      <c r="J33" s="25"/>
      <c r="K33" s="25"/>
      <c r="L33" s="25"/>
      <c r="M33" s="25"/>
      <c r="N33" s="25"/>
      <c r="Q33" s="25"/>
      <c r="R33" s="25"/>
      <c r="W33" s="25"/>
      <c r="X33" s="25"/>
      <c r="AC33" s="25"/>
      <c r="AD33" s="25"/>
      <c r="XFC33" s="36"/>
    </row>
    <row r="34" s="49" customFormat="1" outlineLevel="1" spans="1:30 16383:16383">
      <c r="A34" s="5"/>
      <c r="B34" s="34" t="s">
        <v>91</v>
      </c>
      <c r="G34" s="30" t="s">
        <v>152</v>
      </c>
      <c r="H34" s="36"/>
      <c r="I34" s="25"/>
      <c r="J34" s="25"/>
      <c r="K34" s="25"/>
      <c r="L34" s="25"/>
      <c r="M34" s="25"/>
      <c r="N34" s="25"/>
      <c r="Q34" s="25"/>
      <c r="R34" s="25"/>
      <c r="W34" s="25"/>
      <c r="X34" s="25"/>
      <c r="AC34" s="25"/>
      <c r="AD34" s="25"/>
      <c r="XFC34" s="36"/>
    </row>
    <row r="35" s="49" customFormat="1" outlineLevel="1" spans="1:30 16383:16383">
      <c r="A35" s="5"/>
      <c r="B35" s="34" t="s">
        <v>92</v>
      </c>
      <c r="G35" s="57"/>
      <c r="XFC35" s="36"/>
    </row>
    <row r="36" s="49" customFormat="1" outlineLevel="1" spans="1:30 16383:16383">
      <c r="A36" s="5"/>
      <c r="B36" s="21" t="s">
        <v>93</v>
      </c>
      <c r="C36" s="64">
        <f>C37+C38+C39+C41+C42+C43+C44+C45-C40</f>
        <v>0</v>
      </c>
      <c r="D36" s="64">
        <f>D37+D38+D39+D41+D42+D43+D44+D45-D40</f>
        <v>0</v>
      </c>
      <c r="E36" s="64">
        <f>E37+E38+E39+E41+E42+E43+E44+E45-E40</f>
        <v>0</v>
      </c>
      <c r="G36" s="57" t="s">
        <v>159</v>
      </c>
      <c r="XFC36" s="36"/>
    </row>
    <row r="37" s="49" customFormat="1" outlineLevel="1" spans="1:30 16383:16383">
      <c r="A37" s="5"/>
      <c r="B37" s="34" t="s">
        <v>85</v>
      </c>
      <c r="C37" s="25">
        <f t="shared" ref="C37:C45" si="0">C7+C17-C27</f>
        <v>0</v>
      </c>
      <c r="D37" s="25">
        <f t="shared" ref="D37:D45" si="1">D7+D17-D27</f>
        <v>0</v>
      </c>
      <c r="E37" s="25">
        <f t="shared" ref="E37:E45" si="2">E7+E17-E27</f>
        <v>0</v>
      </c>
      <c r="G37" s="36" t="s">
        <v>154</v>
      </c>
      <c r="H37" s="36" t="s">
        <v>160</v>
      </c>
      <c r="I37" s="25">
        <f>C68*H6</f>
        <v>0</v>
      </c>
      <c r="K37" s="25"/>
      <c r="M37" s="25">
        <f>'投资明细-成本法和公允值'!D6-I37</f>
        <v>0</v>
      </c>
      <c r="Q37" s="25">
        <f>'投资明细-成本法和公允值'!H6-M37</f>
        <v>0</v>
      </c>
      <c r="W37" s="25">
        <f>'投资明细-成本法和公允值'!N6-S37</f>
        <v>0</v>
      </c>
      <c r="AC37" s="25">
        <f>'投资明细-成本法和公允值'!T6-Y37</f>
        <v>0</v>
      </c>
      <c r="XFC37" s="36"/>
    </row>
    <row r="38" s="49" customFormat="1" outlineLevel="1" spans="1:30 16383:16383">
      <c r="A38" s="5"/>
      <c r="B38" s="34" t="s">
        <v>86</v>
      </c>
      <c r="C38" s="25">
        <f t="shared" si="0"/>
        <v>0</v>
      </c>
      <c r="D38" s="25">
        <f t="shared" si="1"/>
        <v>0</v>
      </c>
      <c r="E38" s="25">
        <f t="shared" si="2"/>
        <v>0</v>
      </c>
      <c r="G38" s="30" t="s">
        <v>35</v>
      </c>
      <c r="H38" s="36" t="s">
        <v>72</v>
      </c>
      <c r="J38" s="25">
        <f>I37</f>
        <v>0</v>
      </c>
      <c r="XFC38" s="36"/>
    </row>
    <row r="39" s="49" customFormat="1" outlineLevel="1" spans="1:30 16383:16383">
      <c r="A39" s="5"/>
      <c r="B39" s="34" t="s">
        <v>87</v>
      </c>
      <c r="C39" s="25">
        <f t="shared" si="0"/>
        <v>0</v>
      </c>
      <c r="D39" s="25">
        <f t="shared" si="1"/>
        <v>0</v>
      </c>
      <c r="E39" s="25">
        <f t="shared" si="2"/>
        <v>0</v>
      </c>
      <c r="G39" s="57"/>
      <c r="XFC39" s="36"/>
    </row>
    <row r="40" s="49" customFormat="1" outlineLevel="1" spans="1:30 16383:16383">
      <c r="A40" s="5"/>
      <c r="B40" s="34" t="s">
        <v>88</v>
      </c>
      <c r="C40" s="25">
        <f t="shared" si="0"/>
        <v>0</v>
      </c>
      <c r="D40" s="25">
        <f t="shared" si="1"/>
        <v>0</v>
      </c>
      <c r="E40" s="25">
        <f t="shared" si="2"/>
        <v>0</v>
      </c>
      <c r="XFC40" s="36"/>
    </row>
    <row r="41" s="49" customFormat="1" outlineLevel="1" spans="1:30 16383:16383">
      <c r="A41" s="5"/>
      <c r="B41" s="34" t="s">
        <v>73</v>
      </c>
      <c r="C41" s="25">
        <f t="shared" si="0"/>
        <v>0</v>
      </c>
      <c r="D41" s="25">
        <f t="shared" si="1"/>
        <v>0</v>
      </c>
      <c r="E41" s="25">
        <f t="shared" si="2"/>
        <v>0</v>
      </c>
      <c r="G41" s="49" t="s">
        <v>161</v>
      </c>
      <c r="XFC41" s="36"/>
    </row>
    <row r="42" s="49" customFormat="1" outlineLevel="1" spans="1:30 16383:16383">
      <c r="A42" s="5"/>
      <c r="B42" s="34" t="s">
        <v>89</v>
      </c>
      <c r="C42" s="25">
        <f t="shared" si="0"/>
        <v>0</v>
      </c>
      <c r="D42" s="25">
        <f t="shared" si="1"/>
        <v>0</v>
      </c>
      <c r="E42" s="25">
        <f t="shared" si="2"/>
        <v>0</v>
      </c>
      <c r="G42" s="34" t="s">
        <v>35</v>
      </c>
      <c r="H42" s="34" t="s">
        <v>72</v>
      </c>
      <c r="XFC42" s="36"/>
    </row>
    <row r="43" s="49" customFormat="1" outlineLevel="1" spans="1:30 16383:16383">
      <c r="A43" s="5"/>
      <c r="B43" s="34" t="s">
        <v>90</v>
      </c>
      <c r="C43" s="25">
        <f t="shared" si="0"/>
        <v>0</v>
      </c>
      <c r="D43" s="25">
        <f t="shared" si="1"/>
        <v>0</v>
      </c>
      <c r="E43" s="25">
        <f t="shared" si="2"/>
        <v>0</v>
      </c>
      <c r="G43" s="34" t="s">
        <v>35</v>
      </c>
      <c r="H43" s="34" t="s">
        <v>74</v>
      </c>
      <c r="XFC43" s="36"/>
    </row>
    <row r="44" s="49" customFormat="1" outlineLevel="1" spans="1:30 16383:16383">
      <c r="A44" s="5"/>
      <c r="B44" s="34" t="s">
        <v>91</v>
      </c>
      <c r="C44" s="25">
        <f t="shared" si="0"/>
        <v>0</v>
      </c>
      <c r="D44" s="25">
        <f t="shared" si="1"/>
        <v>0</v>
      </c>
      <c r="E44" s="25">
        <f t="shared" si="2"/>
        <v>0</v>
      </c>
      <c r="G44" s="48" t="s">
        <v>87</v>
      </c>
      <c r="XFC44" s="36"/>
    </row>
    <row r="45" s="49" customFormat="1" outlineLevel="1" spans="1:30 16383:16383">
      <c r="A45" s="5"/>
      <c r="B45" s="34" t="s">
        <v>92</v>
      </c>
      <c r="C45" s="25">
        <f t="shared" si="0"/>
        <v>0</v>
      </c>
      <c r="D45" s="25">
        <f t="shared" si="1"/>
        <v>0</v>
      </c>
      <c r="E45" s="25">
        <f t="shared" si="2"/>
        <v>0</v>
      </c>
      <c r="G45" s="48" t="s">
        <v>154</v>
      </c>
      <c r="XFC45" s="36"/>
    </row>
    <row r="46" outlineLevel="1" spans="1:30 16383:16383">
      <c r="H46" s="36"/>
    </row>
    <row r="47" s="49" customFormat="1" outlineLevel="1" spans="1:30 16383:16383">
      <c r="A47" s="5"/>
      <c r="B47" s="67" t="s">
        <v>94</v>
      </c>
      <c r="G47" s="57"/>
      <c r="XFC47" s="36"/>
    </row>
    <row r="48" s="49" customFormat="1" outlineLevel="1" spans="1:30 16383:16383">
      <c r="A48" s="5"/>
      <c r="B48" s="68" t="s">
        <v>95</v>
      </c>
      <c r="C48" s="69">
        <f>C15</f>
        <v>0</v>
      </c>
      <c r="D48" s="69">
        <f>D15</f>
        <v>0</v>
      </c>
      <c r="E48" s="69">
        <f>E15</f>
        <v>0</v>
      </c>
      <c r="G48" s="63" t="s">
        <v>162</v>
      </c>
      <c r="H48" s="36"/>
      <c r="XFC48" s="36"/>
    </row>
    <row r="49" s="49" customFormat="1" outlineLevel="1" spans="1:29 16383:16383">
      <c r="A49" s="5"/>
      <c r="B49" s="34" t="s">
        <v>96</v>
      </c>
      <c r="C49" s="69">
        <f>C50+C52+C57+C60+C70</f>
        <v>0</v>
      </c>
      <c r="D49" s="69">
        <f>D50+D52+D57+D60+D70</f>
        <v>0</v>
      </c>
      <c r="E49" s="69">
        <f>E50+E52+E57+E60+E70</f>
        <v>0</v>
      </c>
      <c r="G49" s="28" t="s">
        <v>35</v>
      </c>
      <c r="H49" s="36" t="s">
        <v>20</v>
      </c>
      <c r="I49" s="25">
        <f>'投资明细-成本法和公允值'!F6+'投资明细-成本法和公允值'!K6-'投资明细-成本法和公允值'!O6</f>
        <v>0</v>
      </c>
      <c r="K49" s="25" t="str">
        <f>G49</f>
        <v>长期股权投资</v>
      </c>
      <c r="M49" s="25">
        <f>I49</f>
        <v>0</v>
      </c>
      <c r="Q49" s="25">
        <f>M49</f>
        <v>0</v>
      </c>
      <c r="W49" s="25">
        <f>S49</f>
        <v>0</v>
      </c>
      <c r="AC49" s="25">
        <f>Y49</f>
        <v>0</v>
      </c>
      <c r="XFC49" s="36"/>
    </row>
    <row r="50" s="49" customFormat="1" outlineLevel="1" spans="1:29 16383:16383">
      <c r="A50" s="5"/>
      <c r="B50" s="34" t="s">
        <v>97</v>
      </c>
      <c r="G50" s="28" t="s">
        <v>35</v>
      </c>
      <c r="H50" s="36" t="s">
        <v>72</v>
      </c>
      <c r="I50" s="25">
        <f>I11+I22-J38+I42</f>
        <v>0</v>
      </c>
      <c r="K50" s="25" t="e">
        <f>G50+K22-L38+K42</f>
        <v>#VALUE!</v>
      </c>
      <c r="M50" s="25">
        <f>I50+M22-N38+M42</f>
        <v>0</v>
      </c>
      <c r="Q50" s="25">
        <f>M50+Q22-R38+Q42</f>
        <v>0</v>
      </c>
      <c r="W50" s="25">
        <f>S50+W22-X38+W42</f>
        <v>0</v>
      </c>
      <c r="AC50" s="25">
        <f>Y50+AC22-AD38+AC42</f>
        <v>0</v>
      </c>
      <c r="XFC50" s="36"/>
    </row>
    <row r="51" s="49" customFormat="1" outlineLevel="1" spans="1:29 16383:16383">
      <c r="A51" s="5"/>
      <c r="B51" s="34" t="s">
        <v>98</v>
      </c>
      <c r="G51" s="28" t="s">
        <v>35</v>
      </c>
      <c r="H51" s="36" t="s">
        <v>74</v>
      </c>
      <c r="I51" s="25">
        <f>I12+I23+I43</f>
        <v>0</v>
      </c>
      <c r="K51" s="25" t="e">
        <f>G51+K23+K43</f>
        <v>#VALUE!</v>
      </c>
      <c r="M51" s="25">
        <f>I51+M23+M43</f>
        <v>0</v>
      </c>
      <c r="Q51" s="25">
        <f>M51+Q23+Q43</f>
        <v>0</v>
      </c>
      <c r="W51" s="25">
        <f>S51+W23+W43</f>
        <v>0</v>
      </c>
      <c r="AC51" s="25">
        <f>Y51+AC23+AC43</f>
        <v>0</v>
      </c>
      <c r="XFC51" s="36"/>
    </row>
    <row r="52" s="49" customFormat="1" outlineLevel="1" spans="1:29 16383:16383">
      <c r="A52" s="5"/>
      <c r="B52" s="34" t="s">
        <v>99</v>
      </c>
      <c r="C52" s="64">
        <f>C53+C54+C55+C56</f>
        <v>0</v>
      </c>
      <c r="D52" s="64">
        <f>D53+D54+D55+D56</f>
        <v>0</v>
      </c>
      <c r="E52" s="64">
        <f>E53+E54+E55+E56</f>
        <v>0</v>
      </c>
      <c r="G52" s="28" t="s">
        <v>35</v>
      </c>
      <c r="H52" s="36" t="s">
        <v>163</v>
      </c>
      <c r="I52" s="25">
        <f>'投资明细-成本法和公允值'!G6</f>
        <v>0</v>
      </c>
      <c r="K52" s="25">
        <f>'投资明细-成本法和公允值'!R6</f>
        <v>0</v>
      </c>
      <c r="M52" s="25">
        <f>'投资明细-成本法和公允值'!T6</f>
        <v>0</v>
      </c>
      <c r="Q52" s="25">
        <f>'投资明细-成本法和公允值'!X6</f>
        <v>0</v>
      </c>
      <c r="W52" s="25">
        <f>'投资明细-成本法和公允值'!AD6</f>
        <v>0</v>
      </c>
      <c r="AC52" s="25">
        <f>'投资明细-成本法和公允值'!AJ6</f>
        <v>0</v>
      </c>
      <c r="XFC52" s="36"/>
    </row>
    <row r="53" s="49" customFormat="1" outlineLevel="1" spans="1:29 16383:16383">
      <c r="A53" s="5"/>
      <c r="B53" s="49" t="s">
        <v>164</v>
      </c>
      <c r="G53" s="28" t="s">
        <v>35</v>
      </c>
      <c r="H53" s="36" t="s">
        <v>33</v>
      </c>
      <c r="I53" s="25">
        <f>I49+I50+I51-I52</f>
        <v>0</v>
      </c>
      <c r="K53" s="25" t="e">
        <f>SUM(K49:K52)</f>
        <v>#VALUE!</v>
      </c>
      <c r="M53" s="25">
        <f>SUM(M49:M52)</f>
        <v>0</v>
      </c>
      <c r="Q53" s="25">
        <f>SUM(Q49:Q52)</f>
        <v>0</v>
      </c>
      <c r="W53" s="25">
        <f>SUM(W49:W52)</f>
        <v>0</v>
      </c>
      <c r="AC53" s="25">
        <f>SUM(AC49:AC52)</f>
        <v>0</v>
      </c>
      <c r="XFC53" s="36"/>
    </row>
    <row r="54" s="49" customFormat="1" outlineLevel="1" spans="1:29 16383:16383">
      <c r="A54" s="5"/>
      <c r="B54" s="49" t="s">
        <v>165</v>
      </c>
      <c r="XFC54" s="36"/>
    </row>
    <row r="55" s="49" customFormat="1" outlineLevel="1" spans="1:29 16383:16383">
      <c r="A55" s="5"/>
      <c r="B55" s="49" t="s">
        <v>155</v>
      </c>
      <c r="G55" s="63" t="s">
        <v>166</v>
      </c>
      <c r="I55" s="25">
        <f>C36*H7</f>
        <v>0</v>
      </c>
      <c r="J55" s="25"/>
      <c r="K55" s="25" t="e">
        <f>B36*F7</f>
        <v>#VALUE!</v>
      </c>
      <c r="M55" s="25">
        <f>D36*H7</f>
        <v>0</v>
      </c>
      <c r="Q55" s="25">
        <f>H36*L7</f>
        <v>0</v>
      </c>
      <c r="W55" s="25">
        <f>N36*R7</f>
        <v>0</v>
      </c>
      <c r="AC55" s="25">
        <f>T36*X7</f>
        <v>0</v>
      </c>
      <c r="XFC55" s="36"/>
    </row>
    <row r="56" s="49" customFormat="1" outlineLevel="1" spans="1:29 16383:16383">
      <c r="A56" s="5"/>
      <c r="B56" s="49" t="s">
        <v>156</v>
      </c>
      <c r="G56" s="63" t="s">
        <v>167</v>
      </c>
      <c r="I56" s="25">
        <f>I55-I53</f>
        <v>0</v>
      </c>
      <c r="K56" s="25" t="e">
        <f>K55-K53</f>
        <v>#VALUE!</v>
      </c>
      <c r="M56" s="25">
        <f>M55-M53</f>
        <v>0</v>
      </c>
      <c r="Q56" s="25">
        <f>Q55-Q53</f>
        <v>0</v>
      </c>
      <c r="W56" s="25">
        <f>W55-W53</f>
        <v>0</v>
      </c>
      <c r="AC56" s="25">
        <f>AC55-AC53</f>
        <v>0</v>
      </c>
      <c r="XFC56" s="36"/>
    </row>
    <row r="57" s="49" customFormat="1" outlineLevel="1" spans="1:29 16383:16383">
      <c r="A57" s="5"/>
      <c r="B57" s="34" t="s">
        <v>104</v>
      </c>
      <c r="C57" s="64">
        <f>C58-C59</f>
        <v>0</v>
      </c>
      <c r="D57" s="64">
        <f>D58-D59</f>
        <v>0</v>
      </c>
      <c r="E57" s="64">
        <f>E58-E59</f>
        <v>0</v>
      </c>
      <c r="G57" s="63" t="s">
        <v>168</v>
      </c>
      <c r="H57" s="36"/>
      <c r="XFC57" s="36"/>
    </row>
    <row r="58" s="49" customFormat="1" outlineLevel="1" spans="1:29 16383:16383">
      <c r="A58" s="5"/>
      <c r="B58" s="49" t="s">
        <v>169</v>
      </c>
      <c r="G58" s="28"/>
      <c r="H58" s="36"/>
      <c r="XFC58" s="36"/>
    </row>
    <row r="59" s="49" customFormat="1" outlineLevel="1" spans="1:29 16383:16383">
      <c r="A59" s="5"/>
      <c r="B59" s="49" t="s">
        <v>170</v>
      </c>
      <c r="G59" s="63"/>
      <c r="H59" s="36"/>
      <c r="XFC59" s="36"/>
    </row>
    <row r="60" s="49" customFormat="1" outlineLevel="1" spans="1:29 16383:16383">
      <c r="A60" s="5"/>
      <c r="B60" s="34" t="s">
        <v>107</v>
      </c>
      <c r="C60" s="64">
        <f>C61+C67+C68+C69</f>
        <v>0</v>
      </c>
      <c r="D60" s="64">
        <f>D61+D67+D68+D69</f>
        <v>0</v>
      </c>
      <c r="E60" s="64">
        <f>E61+E67+E68+E69</f>
        <v>0</v>
      </c>
      <c r="G60" s="28"/>
      <c r="H60" s="36"/>
      <c r="XFC60" s="36"/>
    </row>
    <row r="61" s="49" customFormat="1" outlineLevel="1" spans="1:29 16383:16383">
      <c r="A61" s="5"/>
      <c r="B61" s="49" t="s">
        <v>171</v>
      </c>
      <c r="C61" s="64">
        <f>C62+C63+C64+C65+C66</f>
        <v>0</v>
      </c>
      <c r="D61" s="64">
        <f>D62+D63+D64+D65+D66</f>
        <v>0</v>
      </c>
      <c r="E61" s="64">
        <f>E62+E63+E64+E65+E66</f>
        <v>0</v>
      </c>
      <c r="G61" s="28"/>
      <c r="H61" s="36"/>
      <c r="XFC61" s="36"/>
    </row>
    <row r="62" s="49" customFormat="1" outlineLevel="1" spans="1:29 16383:16383">
      <c r="A62" s="5"/>
      <c r="B62" s="49" t="s">
        <v>172</v>
      </c>
      <c r="G62" s="57"/>
      <c r="XFC62" s="36"/>
    </row>
    <row r="63" s="49" customFormat="1" outlineLevel="1" spans="1:29 16383:16383">
      <c r="A63" s="5"/>
      <c r="B63" s="49" t="s">
        <v>173</v>
      </c>
      <c r="G63" s="57"/>
      <c r="XFC63" s="36"/>
    </row>
    <row r="64" s="49" customFormat="1" outlineLevel="1" spans="1:29 16383:16383">
      <c r="A64" s="5"/>
      <c r="B64" s="49" t="s">
        <v>174</v>
      </c>
      <c r="G64" s="57"/>
      <c r="XFC64" s="36"/>
    </row>
    <row r="65" s="49" customFormat="1" outlineLevel="1" spans="1:40 16383:16383">
      <c r="A65" s="5"/>
      <c r="B65" s="57" t="s">
        <v>175</v>
      </c>
      <c r="G65" s="57"/>
      <c r="XFC65" s="36"/>
    </row>
    <row r="66" s="49" customFormat="1" outlineLevel="1" spans="1:40 16383:16383">
      <c r="A66" s="5"/>
      <c r="B66" s="57" t="s">
        <v>176</v>
      </c>
      <c r="G66" s="57"/>
      <c r="XFC66" s="36"/>
    </row>
    <row r="67" s="49" customFormat="1" outlineLevel="1" spans="1:40 16383:16383">
      <c r="A67" s="5"/>
      <c r="B67" s="49" t="s">
        <v>177</v>
      </c>
      <c r="G67" s="57"/>
      <c r="XFC67" s="36"/>
    </row>
    <row r="68" s="49" customFormat="1" outlineLevel="1" spans="1:40 16383:16383">
      <c r="A68" s="5"/>
      <c r="B68" s="49" t="s">
        <v>178</v>
      </c>
      <c r="G68" s="57"/>
      <c r="XFC68" s="36"/>
    </row>
    <row r="69" s="49" customFormat="1" outlineLevel="1" spans="1:40 16383:16383">
      <c r="A69" s="5"/>
      <c r="B69" s="49" t="s">
        <v>158</v>
      </c>
      <c r="G69" s="57"/>
      <c r="XFC69" s="36"/>
    </row>
    <row r="70" s="49" customFormat="1" outlineLevel="1" spans="1:40 16383:16383">
      <c r="A70" s="5"/>
      <c r="B70" s="34" t="s">
        <v>117</v>
      </c>
      <c r="C70" s="64">
        <f>C71+C72+C74+C73+C75+C76</f>
        <v>0</v>
      </c>
      <c r="D70" s="64">
        <f>D71+D72+D74+D73+D75+D76</f>
        <v>0</v>
      </c>
      <c r="E70" s="64">
        <f>E71+E72+E74+E73+E75+E76</f>
        <v>0</v>
      </c>
      <c r="G70" s="57"/>
      <c r="XFC70" s="36"/>
    </row>
    <row r="71" s="49" customFormat="1" outlineLevel="1" spans="1:40 16383:16383">
      <c r="A71" s="5"/>
      <c r="B71" s="49" t="s">
        <v>179</v>
      </c>
      <c r="G71" s="57"/>
      <c r="XFC71" s="36"/>
    </row>
    <row r="72" s="49" customFormat="1" outlineLevel="1" spans="1:40 16383:16383">
      <c r="A72" s="5"/>
      <c r="B72" s="49" t="s">
        <v>180</v>
      </c>
      <c r="G72" s="57"/>
      <c r="XFC72" s="36"/>
    </row>
    <row r="73" s="49" customFormat="1" outlineLevel="1" spans="1:40 16383:16383">
      <c r="A73" s="5"/>
      <c r="B73" s="49" t="s">
        <v>181</v>
      </c>
      <c r="G73" s="57"/>
      <c r="XFC73" s="36"/>
    </row>
    <row r="74" s="49" customFormat="1" outlineLevel="1" spans="1:40 16383:16383">
      <c r="A74" s="5"/>
      <c r="B74" s="49" t="s">
        <v>182</v>
      </c>
      <c r="G74" s="57"/>
      <c r="XFC74" s="36"/>
    </row>
    <row r="75" s="49" customFormat="1" outlineLevel="1" spans="1:40 16383:16383">
      <c r="A75" s="5"/>
      <c r="B75" s="49" t="s">
        <v>183</v>
      </c>
      <c r="G75" s="57"/>
      <c r="XFC75" s="36"/>
    </row>
    <row r="76" s="49" customFormat="1" outlineLevel="1" spans="1:40 16383:16383">
      <c r="A76" s="5"/>
      <c r="B76" s="49" t="s">
        <v>184</v>
      </c>
      <c r="G76" s="57"/>
      <c r="XFC76" s="36"/>
    </row>
    <row r="77" s="49" customFormat="1" outlineLevel="1" spans="1:40 16383:16383">
      <c r="A77" s="5"/>
      <c r="B77" s="34" t="s">
        <v>124</v>
      </c>
      <c r="C77" s="64">
        <f>C48+C49</f>
        <v>0</v>
      </c>
      <c r="D77" s="64">
        <f>D48+D49</f>
        <v>0</v>
      </c>
      <c r="E77" s="64">
        <f>E48+E49</f>
        <v>0</v>
      </c>
      <c r="G77" s="57"/>
      <c r="XFC77" s="36"/>
    </row>
    <row r="78" outlineLevel="1"/>
    <row r="79" s="49" customFormat="1" outlineLevel="1" spans="1:40 16383:16383">
      <c r="A79" s="5"/>
      <c r="B79" s="70" t="s">
        <v>125</v>
      </c>
      <c r="G79" s="57"/>
      <c r="XFC79" s="36"/>
    </row>
    <row r="80" s="49" customFormat="1" outlineLevel="1" spans="1:40 16383:16383">
      <c r="A80" s="5"/>
      <c r="B80" s="67" t="s">
        <v>126</v>
      </c>
      <c r="G80" s="57"/>
      <c r="U80" s="36"/>
      <c r="V80" s="36"/>
      <c r="W80" s="49"/>
      <c r="X80" s="49"/>
      <c r="Y80" s="36"/>
      <c r="Z80" s="36"/>
      <c r="AA80" s="36"/>
      <c r="AB80" s="36"/>
      <c r="AC80" s="49"/>
      <c r="AD80" s="49"/>
      <c r="AE80" s="36"/>
      <c r="AF80" s="36"/>
      <c r="AG80" s="36"/>
      <c r="AH80" s="36"/>
      <c r="AI80" s="36"/>
      <c r="AJ80" s="36"/>
      <c r="AK80" s="36"/>
      <c r="AL80" s="36"/>
      <c r="AM80" s="36"/>
      <c r="AN80" s="36"/>
      <c r="XFC80" s="36"/>
    </row>
    <row r="81" s="49" customFormat="1" outlineLevel="1" spans="1:64 16383:16383">
      <c r="A81" s="5"/>
      <c r="B81" s="34" t="s">
        <v>127</v>
      </c>
      <c r="G81" s="57"/>
      <c r="XFC81" s="36"/>
    </row>
    <row r="82" s="49" customFormat="1" outlineLevel="1" spans="1:64 16383:16383">
      <c r="A82" s="5"/>
      <c r="B82" s="67" t="s">
        <v>128</v>
      </c>
      <c r="C82" s="64">
        <f>C83+C84+C85</f>
        <v>0</v>
      </c>
      <c r="D82" s="64">
        <f>D83+D84+D85</f>
        <v>0</v>
      </c>
      <c r="E82" s="64">
        <f>E83+E84+E85</f>
        <v>0</v>
      </c>
      <c r="G82" s="57"/>
      <c r="AO82" s="36"/>
      <c r="AP82" s="36"/>
      <c r="AQ82" s="36"/>
      <c r="AR82" s="36"/>
      <c r="AS82" s="36"/>
      <c r="AT82" s="36"/>
      <c r="AU82" s="36"/>
      <c r="AV82" s="36"/>
      <c r="AW82" s="36"/>
      <c r="AX82" s="36"/>
      <c r="AY82" s="36"/>
      <c r="AZ82" s="36"/>
      <c r="XFC82" s="36"/>
    </row>
    <row r="83" s="49" customFormat="1" outlineLevel="1" spans="1:64 16383:16383">
      <c r="A83" s="5"/>
      <c r="B83" s="34" t="s">
        <v>129</v>
      </c>
      <c r="G83" s="57"/>
      <c r="XFC83" s="36"/>
    </row>
    <row r="84" s="49" customFormat="1" outlineLevel="1" spans="1:64 16383:16383">
      <c r="A84" s="5"/>
      <c r="B84" s="34" t="s">
        <v>130</v>
      </c>
      <c r="G84" s="57"/>
      <c r="XFC84" s="36"/>
    </row>
    <row r="85" s="49" customFormat="1" outlineLevel="1" spans="1:64 16383:16383">
      <c r="A85" s="5"/>
      <c r="B85" s="34" t="s">
        <v>131</v>
      </c>
      <c r="G85" s="57"/>
      <c r="XFC85" s="36"/>
    </row>
    <row r="86" s="49" customFormat="1" outlineLevel="1" spans="1:64 16383:16383">
      <c r="A86" s="5"/>
      <c r="B86" s="67" t="s">
        <v>93</v>
      </c>
      <c r="C86" s="64">
        <f>C80+C84</f>
        <v>0</v>
      </c>
      <c r="D86" s="64">
        <f>D80+D84</f>
        <v>0</v>
      </c>
      <c r="E86" s="64">
        <f>E80+E84</f>
        <v>0</v>
      </c>
      <c r="G86" s="57"/>
      <c r="P86" s="36"/>
      <c r="Q86" s="49"/>
      <c r="R86" s="49"/>
      <c r="S86" s="36"/>
      <c r="T86" s="36"/>
      <c r="XFC86" s="36"/>
    </row>
    <row r="87" s="49" customFormat="1" outlineLevel="1" spans="1:64 16383:16383">
      <c r="A87" s="5"/>
      <c r="B87" s="34" t="s">
        <v>127</v>
      </c>
      <c r="C87" s="64">
        <f>C81+C85</f>
        <v>0</v>
      </c>
      <c r="D87" s="64">
        <f>D81+D85</f>
        <v>0</v>
      </c>
      <c r="E87" s="64">
        <f>E81+E85</f>
        <v>0</v>
      </c>
      <c r="G87" s="57"/>
      <c r="XFC87" s="36"/>
    </row>
    <row r="88" spans="1:64 16383:16383">
      <c r="BA88" s="36"/>
      <c r="BB88" s="36"/>
      <c r="BC88" s="36"/>
      <c r="BD88" s="36"/>
      <c r="BE88" s="36"/>
      <c r="BF88" s="36"/>
      <c r="BG88" s="36"/>
      <c r="BH88" s="36"/>
      <c r="BI88" s="36"/>
      <c r="BJ88" s="36"/>
      <c r="BK88" s="36"/>
      <c r="BL88" s="36"/>
    </row>
    <row r="89" s="36" customFormat="1" spans="1:64 16383:16383">
      <c r="A89" s="4" t="s">
        <v>185</v>
      </c>
      <c r="B89" s="49"/>
      <c r="C89" s="49"/>
      <c r="D89" s="49"/>
      <c r="E89" s="49"/>
      <c r="G89" s="57"/>
      <c r="H89" s="49"/>
      <c r="I89" s="49"/>
      <c r="J89" s="49"/>
      <c r="K89" s="49"/>
      <c r="L89" s="49"/>
      <c r="M89" s="49"/>
      <c r="N89" s="49"/>
      <c r="O89" s="49"/>
      <c r="P89" s="49"/>
      <c r="Q89" s="49"/>
      <c r="R89" s="49"/>
      <c r="S89" s="49"/>
      <c r="T89" s="49"/>
      <c r="U89" s="49"/>
      <c r="V89" s="49"/>
      <c r="W89" s="49"/>
      <c r="X89" s="49"/>
      <c r="Y89" s="49"/>
      <c r="Z89" s="49"/>
      <c r="AA89" s="49"/>
      <c r="AB89" s="49"/>
      <c r="AC89" s="49"/>
      <c r="AD89" s="49"/>
      <c r="AE89" s="49"/>
      <c r="AF89" s="49"/>
      <c r="AG89" s="49"/>
      <c r="AH89" s="49"/>
      <c r="AI89" s="49"/>
      <c r="AJ89" s="49"/>
      <c r="AK89" s="49"/>
      <c r="AL89" s="49"/>
      <c r="AM89" s="49"/>
      <c r="AN89" s="49"/>
      <c r="AO89" s="49"/>
      <c r="AP89" s="49"/>
      <c r="AQ89" s="49"/>
      <c r="AR89" s="49"/>
      <c r="AS89" s="49"/>
      <c r="AT89" s="49"/>
      <c r="AU89" s="49"/>
      <c r="AV89" s="49"/>
      <c r="AW89" s="49"/>
      <c r="AX89" s="49"/>
      <c r="AY89" s="49"/>
      <c r="AZ89" s="49"/>
      <c r="BA89" s="49"/>
      <c r="BB89" s="49"/>
      <c r="BC89" s="49"/>
      <c r="BD89" s="49"/>
      <c r="BE89" s="49"/>
      <c r="BF89" s="49"/>
      <c r="BG89" s="49"/>
      <c r="BH89" s="49"/>
      <c r="BI89" s="49"/>
      <c r="BJ89" s="49"/>
      <c r="BK89" s="49"/>
      <c r="BL89" s="49"/>
    </row>
    <row r="90" s="49" customFormat="1" hidden="1" outlineLevel="2" spans="1:64 16383:16383">
      <c r="B90" s="63" t="s">
        <v>83</v>
      </c>
      <c r="C90" s="34"/>
      <c r="D90" s="34"/>
      <c r="E90" s="34"/>
      <c r="G90" s="57"/>
      <c r="XFC90" s="36"/>
    </row>
    <row r="91" hidden="1" outlineLevel="2" spans="1:64 16383:16383">
      <c r="B91" s="21" t="s">
        <v>84</v>
      </c>
      <c r="C91" s="64">
        <f>C92+C93+C94+C96+C97+C98+C99+C100-C95</f>
        <v>0</v>
      </c>
      <c r="D91" s="64">
        <f>D92+D93+D94+D96+D97+D98+D99+D100-D95</f>
        <v>0</v>
      </c>
      <c r="E91" s="64">
        <f>E92+E93+E94+E96+E97+E98+E99+E100-E95</f>
        <v>0</v>
      </c>
    </row>
    <row r="92" hidden="1" outlineLevel="2" spans="1:64 16383:16383">
      <c r="B92" s="34" t="s">
        <v>85</v>
      </c>
    </row>
    <row r="93" hidden="1" outlineLevel="2" spans="1:64 16383:16383">
      <c r="B93" s="34" t="s">
        <v>86</v>
      </c>
    </row>
    <row r="94" hidden="1" outlineLevel="2" spans="1:64 16383:16383">
      <c r="B94" s="34" t="s">
        <v>87</v>
      </c>
    </row>
    <row r="95" hidden="1" outlineLevel="2" spans="1:64 16383:16383">
      <c r="B95" s="34" t="s">
        <v>88</v>
      </c>
      <c r="O95" s="36"/>
    </row>
    <row r="96" hidden="1" outlineLevel="2" spans="1:64 16383:16383">
      <c r="B96" s="34" t="s">
        <v>73</v>
      </c>
    </row>
    <row r="97" hidden="1" outlineLevel="2" spans="2:30">
      <c r="B97" s="34" t="s">
        <v>89</v>
      </c>
    </row>
    <row r="98" hidden="1" outlineLevel="2" spans="2:30">
      <c r="B98" s="34" t="s">
        <v>90</v>
      </c>
    </row>
    <row r="99" hidden="1" outlineLevel="2" spans="2:30">
      <c r="B99" s="34" t="s">
        <v>91</v>
      </c>
    </row>
    <row r="100" hidden="1" outlineLevel="2" spans="2:30">
      <c r="B100" s="34" t="s">
        <v>92</v>
      </c>
    </row>
    <row r="101" hidden="1" outlineLevel="2" spans="2:30">
      <c r="B101" s="21" t="s">
        <v>52</v>
      </c>
      <c r="C101" s="64">
        <f>C102+C103+C104+C106+C107+C108+C109+C110-C105</f>
        <v>0</v>
      </c>
      <c r="D101" s="64">
        <f>D102+D103+D104+D106+D107+D108+D109+D110-D105</f>
        <v>0</v>
      </c>
      <c r="E101" s="64">
        <f>E102+E103+E104+E106+E107+E108+E109+E110-E105</f>
        <v>0</v>
      </c>
    </row>
    <row r="102" hidden="1" outlineLevel="2" spans="2:30">
      <c r="B102" s="34" t="s">
        <v>85</v>
      </c>
    </row>
    <row r="103" hidden="1" outlineLevel="2" spans="2:30">
      <c r="B103" s="34" t="s">
        <v>86</v>
      </c>
    </row>
    <row r="104" hidden="1" outlineLevel="2" spans="2:30">
      <c r="B104" s="34" t="s">
        <v>87</v>
      </c>
      <c r="G104" s="71"/>
      <c r="H104" s="36"/>
      <c r="I104" s="36"/>
      <c r="J104" s="36"/>
      <c r="K104" s="36"/>
      <c r="L104" s="36"/>
      <c r="M104" s="36"/>
      <c r="N104" s="36"/>
      <c r="Q104" s="36"/>
      <c r="R104" s="36"/>
      <c r="W104" s="36"/>
      <c r="X104" s="36"/>
      <c r="AC104" s="36"/>
      <c r="AD104" s="36"/>
    </row>
    <row r="105" hidden="1" outlineLevel="2" spans="2:30">
      <c r="B105" s="34" t="s">
        <v>88</v>
      </c>
    </row>
    <row r="106" hidden="1" outlineLevel="2" spans="2:30">
      <c r="B106" s="34" t="s">
        <v>73</v>
      </c>
    </row>
    <row r="107" hidden="1" outlineLevel="2" spans="2:30">
      <c r="B107" s="34" t="s">
        <v>89</v>
      </c>
    </row>
    <row r="108" hidden="1" outlineLevel="2" spans="2:30">
      <c r="B108" s="34" t="s">
        <v>90</v>
      </c>
    </row>
    <row r="109" hidden="1" outlineLevel="2" spans="2:30">
      <c r="B109" s="34" t="s">
        <v>91</v>
      </c>
    </row>
    <row r="110" hidden="1" outlineLevel="2" spans="2:30">
      <c r="B110" s="34" t="s">
        <v>92</v>
      </c>
    </row>
    <row r="111" hidden="1" outlineLevel="2" spans="2:30">
      <c r="B111" s="21" t="s">
        <v>53</v>
      </c>
      <c r="C111" s="64">
        <f>C112+C113+C114+C116+C117+C118+C119+C120-C115</f>
        <v>0</v>
      </c>
      <c r="D111" s="64">
        <f>D112+D113+D114+D116+D117+D118+D119+D120-D115</f>
        <v>0</v>
      </c>
      <c r="E111" s="64">
        <f>E112+E113+E114+E116+E117+E118+E119+E120-E115</f>
        <v>0</v>
      </c>
    </row>
    <row r="112" hidden="1" outlineLevel="2" spans="2:30">
      <c r="B112" s="34" t="s">
        <v>85</v>
      </c>
    </row>
    <row r="113" hidden="1" outlineLevel="2" spans="2:5">
      <c r="B113" s="34" t="s">
        <v>86</v>
      </c>
    </row>
    <row r="114" hidden="1" outlineLevel="2" spans="2:5">
      <c r="B114" s="34" t="s">
        <v>87</v>
      </c>
    </row>
    <row r="115" hidden="1" outlineLevel="2" spans="2:5">
      <c r="B115" s="34" t="s">
        <v>88</v>
      </c>
    </row>
    <row r="116" hidden="1" outlineLevel="2" spans="2:5">
      <c r="B116" s="34" t="s">
        <v>73</v>
      </c>
    </row>
    <row r="117" hidden="1" outlineLevel="2" spans="2:5">
      <c r="B117" s="34" t="s">
        <v>89</v>
      </c>
    </row>
    <row r="118" hidden="1" outlineLevel="2" spans="2:5">
      <c r="B118" s="34" t="s">
        <v>90</v>
      </c>
    </row>
    <row r="119" hidden="1" outlineLevel="2" spans="2:5">
      <c r="B119" s="34" t="s">
        <v>91</v>
      </c>
    </row>
    <row r="120" hidden="1" outlineLevel="2" spans="2:5">
      <c r="B120" s="34" t="s">
        <v>92</v>
      </c>
    </row>
    <row r="121" hidden="1" outlineLevel="2" spans="2:5">
      <c r="B121" s="21" t="s">
        <v>93</v>
      </c>
      <c r="C121" s="64">
        <f>C122+C123+C124+C126+C127+C128+C129+C130-C125</f>
        <v>0</v>
      </c>
      <c r="D121" s="64">
        <f>D122+D123+D124+D126+D127+D128+D129+D130-D125</f>
        <v>0</v>
      </c>
      <c r="E121" s="64">
        <f>E122+E123+E124+E126+E127+E128+E129+E130-E125</f>
        <v>0</v>
      </c>
    </row>
    <row r="122" hidden="1" outlineLevel="2" spans="2:5">
      <c r="B122" s="34" t="s">
        <v>85</v>
      </c>
      <c r="C122" s="25">
        <f t="shared" ref="C122:C130" si="3">C92+C102-C112</f>
        <v>0</v>
      </c>
      <c r="D122" s="25">
        <f t="shared" ref="D122:D130" si="4">D92+D102-D112</f>
        <v>0</v>
      </c>
      <c r="E122" s="25">
        <f t="shared" ref="E122:E130" si="5">E92+E102-E112</f>
        <v>0</v>
      </c>
    </row>
    <row r="123" hidden="1" outlineLevel="2" spans="2:5">
      <c r="B123" s="34" t="s">
        <v>86</v>
      </c>
      <c r="C123" s="25">
        <f t="shared" si="3"/>
        <v>0</v>
      </c>
      <c r="D123" s="25">
        <f t="shared" si="4"/>
        <v>0</v>
      </c>
      <c r="E123" s="25">
        <f t="shared" si="5"/>
        <v>0</v>
      </c>
    </row>
    <row r="124" hidden="1" outlineLevel="2" spans="2:5">
      <c r="B124" s="34" t="s">
        <v>87</v>
      </c>
      <c r="C124" s="25">
        <f t="shared" si="3"/>
        <v>0</v>
      </c>
      <c r="D124" s="25">
        <f t="shared" si="4"/>
        <v>0</v>
      </c>
      <c r="E124" s="25">
        <f t="shared" si="5"/>
        <v>0</v>
      </c>
    </row>
    <row r="125" hidden="1" outlineLevel="2" spans="2:5">
      <c r="B125" s="34" t="s">
        <v>88</v>
      </c>
      <c r="C125" s="25">
        <f t="shared" si="3"/>
        <v>0</v>
      </c>
      <c r="D125" s="25">
        <f t="shared" si="4"/>
        <v>0</v>
      </c>
      <c r="E125" s="25">
        <f t="shared" si="5"/>
        <v>0</v>
      </c>
    </row>
    <row r="126" hidden="1" outlineLevel="2" spans="2:5">
      <c r="B126" s="34" t="s">
        <v>73</v>
      </c>
      <c r="C126" s="25">
        <f t="shared" si="3"/>
        <v>0</v>
      </c>
      <c r="D126" s="25">
        <f t="shared" si="4"/>
        <v>0</v>
      </c>
      <c r="E126" s="25">
        <f t="shared" si="5"/>
        <v>0</v>
      </c>
    </row>
    <row r="127" hidden="1" outlineLevel="2" spans="2:5">
      <c r="B127" s="34" t="s">
        <v>89</v>
      </c>
      <c r="C127" s="25">
        <f t="shared" si="3"/>
        <v>0</v>
      </c>
      <c r="D127" s="25">
        <f t="shared" si="4"/>
        <v>0</v>
      </c>
      <c r="E127" s="25">
        <f t="shared" si="5"/>
        <v>0</v>
      </c>
    </row>
    <row r="128" hidden="1" outlineLevel="2" spans="2:5">
      <c r="B128" s="34" t="s">
        <v>90</v>
      </c>
      <c r="C128" s="25">
        <f t="shared" si="3"/>
        <v>0</v>
      </c>
      <c r="D128" s="25">
        <f t="shared" si="4"/>
        <v>0</v>
      </c>
      <c r="E128" s="25">
        <f t="shared" si="5"/>
        <v>0</v>
      </c>
    </row>
    <row r="129" hidden="1" outlineLevel="2" spans="2:5">
      <c r="B129" s="34" t="s">
        <v>91</v>
      </c>
      <c r="C129" s="25">
        <f t="shared" si="3"/>
        <v>0</v>
      </c>
      <c r="D129" s="25">
        <f t="shared" si="4"/>
        <v>0</v>
      </c>
      <c r="E129" s="25">
        <f t="shared" si="5"/>
        <v>0</v>
      </c>
    </row>
    <row r="130" hidden="1" outlineLevel="2" spans="2:5">
      <c r="B130" s="34" t="s">
        <v>92</v>
      </c>
      <c r="C130" s="25">
        <f t="shared" si="3"/>
        <v>0</v>
      </c>
      <c r="D130" s="25">
        <f t="shared" si="4"/>
        <v>0</v>
      </c>
      <c r="E130" s="25">
        <f t="shared" si="5"/>
        <v>0</v>
      </c>
    </row>
    <row r="131" hidden="1" outlineLevel="2"/>
    <row r="132" hidden="1" outlineLevel="2" spans="2:5">
      <c r="B132" s="67" t="s">
        <v>94</v>
      </c>
    </row>
    <row r="133" hidden="1" outlineLevel="2" spans="2:5">
      <c r="B133" s="68" t="s">
        <v>95</v>
      </c>
      <c r="C133" s="69">
        <f>C100</f>
        <v>0</v>
      </c>
      <c r="D133" s="69">
        <f>D100</f>
        <v>0</v>
      </c>
      <c r="E133" s="69">
        <f>E100</f>
        <v>0</v>
      </c>
    </row>
    <row r="134" hidden="1" outlineLevel="2" spans="2:5">
      <c r="B134" s="34" t="s">
        <v>96</v>
      </c>
      <c r="C134" s="69">
        <f>C135+C137+C142+C145+C155</f>
        <v>0</v>
      </c>
      <c r="D134" s="69">
        <f>D135+D137+D142+D145+D155</f>
        <v>0</v>
      </c>
      <c r="E134" s="69">
        <f>E135+E137+E142+E145+E155</f>
        <v>0</v>
      </c>
    </row>
    <row r="135" hidden="1" outlineLevel="2" spans="2:5">
      <c r="B135" s="34" t="s">
        <v>97</v>
      </c>
    </row>
    <row r="136" hidden="1" outlineLevel="2" spans="2:5">
      <c r="B136" s="34" t="s">
        <v>98</v>
      </c>
    </row>
    <row r="137" hidden="1" outlineLevel="2" spans="2:5">
      <c r="B137" s="34" t="s">
        <v>99</v>
      </c>
      <c r="C137" s="64">
        <f>C138+C139+C140+C141</f>
        <v>0</v>
      </c>
      <c r="D137" s="64">
        <f>D138+D139+D140+D141</f>
        <v>0</v>
      </c>
      <c r="E137" s="64">
        <f>E138+E139+E140+E141</f>
        <v>0</v>
      </c>
    </row>
    <row r="138" hidden="1" outlineLevel="2" spans="2:5">
      <c r="B138" s="49" t="s">
        <v>164</v>
      </c>
    </row>
    <row r="139" hidden="1" outlineLevel="2" spans="2:5">
      <c r="B139" s="49" t="s">
        <v>165</v>
      </c>
    </row>
    <row r="140" hidden="1" outlineLevel="2" spans="2:5">
      <c r="B140" s="49" t="s">
        <v>155</v>
      </c>
    </row>
    <row r="141" hidden="1" outlineLevel="2" spans="2:5">
      <c r="B141" s="49" t="s">
        <v>156</v>
      </c>
    </row>
    <row r="142" hidden="1" outlineLevel="2" spans="2:5">
      <c r="B142" s="34" t="s">
        <v>104</v>
      </c>
      <c r="C142" s="64">
        <f>C143-C144</f>
        <v>0</v>
      </c>
      <c r="D142" s="64">
        <f>D143-D144</f>
        <v>0</v>
      </c>
      <c r="E142" s="64">
        <f>E143-E144</f>
        <v>0</v>
      </c>
    </row>
    <row r="143" hidden="1" outlineLevel="2" spans="2:5">
      <c r="B143" s="49" t="s">
        <v>169</v>
      </c>
    </row>
    <row r="144" hidden="1" outlineLevel="2" spans="2:5">
      <c r="B144" s="49" t="s">
        <v>170</v>
      </c>
    </row>
    <row r="145" hidden="1" outlineLevel="2" spans="2:5">
      <c r="B145" s="34" t="s">
        <v>107</v>
      </c>
      <c r="C145" s="64">
        <f>C146+C152+C153+C154</f>
        <v>0</v>
      </c>
      <c r="D145" s="64">
        <f>D146+D152+D153+D154</f>
        <v>0</v>
      </c>
      <c r="E145" s="64">
        <f>E146+E152+E153+E154</f>
        <v>0</v>
      </c>
    </row>
    <row r="146" hidden="1" outlineLevel="2" spans="2:5">
      <c r="B146" s="49" t="s">
        <v>171</v>
      </c>
      <c r="C146" s="64">
        <f>C147+C148+C149+C150+C151</f>
        <v>0</v>
      </c>
      <c r="D146" s="64">
        <f>D147+D148+D149+D150+D151</f>
        <v>0</v>
      </c>
      <c r="E146" s="64">
        <f>E147+E148+E149+E150+E151</f>
        <v>0</v>
      </c>
    </row>
    <row r="147" hidden="1" outlineLevel="2" spans="2:5">
      <c r="B147" s="49" t="s">
        <v>172</v>
      </c>
    </row>
    <row r="148" hidden="1" outlineLevel="2" spans="2:5">
      <c r="B148" s="49" t="s">
        <v>173</v>
      </c>
    </row>
    <row r="149" hidden="1" outlineLevel="2" spans="2:5">
      <c r="B149" s="49" t="s">
        <v>174</v>
      </c>
    </row>
    <row r="150" hidden="1" outlineLevel="2" spans="2:5">
      <c r="B150" s="57" t="s">
        <v>175</v>
      </c>
    </row>
    <row r="151" hidden="1" outlineLevel="2" spans="2:5">
      <c r="B151" s="57" t="s">
        <v>176</v>
      </c>
    </row>
    <row r="152" hidden="1" outlineLevel="2" spans="2:5">
      <c r="B152" s="49" t="s">
        <v>177</v>
      </c>
    </row>
    <row r="153" hidden="1" outlineLevel="2" spans="2:5">
      <c r="B153" s="49" t="s">
        <v>178</v>
      </c>
    </row>
    <row r="154" hidden="1" outlineLevel="2" spans="2:5">
      <c r="B154" s="49" t="s">
        <v>158</v>
      </c>
    </row>
    <row r="155" hidden="1" outlineLevel="2" spans="2:5">
      <c r="B155" s="34" t="s">
        <v>117</v>
      </c>
      <c r="C155" s="64">
        <f>C156+C157+C159+C158+C160+C161</f>
        <v>0</v>
      </c>
      <c r="D155" s="64">
        <f>D156+D157+D159+D158+D160+D161</f>
        <v>0</v>
      </c>
      <c r="E155" s="64">
        <f>E156+E157+E159+E158+E160+E161</f>
        <v>0</v>
      </c>
    </row>
    <row r="156" hidden="1" outlineLevel="2" spans="2:5">
      <c r="B156" s="49" t="s">
        <v>179</v>
      </c>
    </row>
    <row r="157" hidden="1" outlineLevel="2" spans="2:5">
      <c r="B157" s="49" t="s">
        <v>180</v>
      </c>
    </row>
    <row r="158" hidden="1" outlineLevel="2" spans="2:5">
      <c r="B158" s="49" t="s">
        <v>181</v>
      </c>
    </row>
    <row r="159" hidden="1" outlineLevel="2" spans="2:5">
      <c r="B159" s="49" t="s">
        <v>182</v>
      </c>
    </row>
    <row r="160" hidden="1" outlineLevel="2" spans="2:5">
      <c r="B160" s="49" t="s">
        <v>183</v>
      </c>
    </row>
    <row r="161" hidden="1" outlineLevel="2" spans="2:5">
      <c r="B161" s="49" t="s">
        <v>184</v>
      </c>
    </row>
    <row r="162" hidden="1" outlineLevel="2" spans="2:5">
      <c r="B162" s="34" t="s">
        <v>124</v>
      </c>
      <c r="C162" s="64">
        <f>C133+C134</f>
        <v>0</v>
      </c>
      <c r="D162" s="64">
        <f>D133+D134</f>
        <v>0</v>
      </c>
      <c r="E162" s="64">
        <f>E133+E134</f>
        <v>0</v>
      </c>
    </row>
    <row r="163" hidden="1" outlineLevel="2"/>
    <row r="164" hidden="1" outlineLevel="2" spans="2:5">
      <c r="B164" s="70" t="s">
        <v>125</v>
      </c>
    </row>
    <row r="165" hidden="1" outlineLevel="2" spans="2:5">
      <c r="B165" s="67" t="s">
        <v>126</v>
      </c>
    </row>
    <row r="166" hidden="1" outlineLevel="2" spans="2:5">
      <c r="B166" s="34" t="s">
        <v>127</v>
      </c>
    </row>
    <row r="167" hidden="1" outlineLevel="2" spans="2:5">
      <c r="B167" s="67" t="s">
        <v>128</v>
      </c>
      <c r="C167" s="64">
        <f>C168+C169+C170</f>
        <v>0</v>
      </c>
      <c r="D167" s="64">
        <f>D168+D169+D170</f>
        <v>0</v>
      </c>
      <c r="E167" s="64">
        <f>E168+E169+E170</f>
        <v>0</v>
      </c>
    </row>
    <row r="168" hidden="1" outlineLevel="2" spans="2:5">
      <c r="B168" s="34" t="s">
        <v>129</v>
      </c>
    </row>
    <row r="169" hidden="1" outlineLevel="2" spans="2:5">
      <c r="B169" s="34" t="s">
        <v>130</v>
      </c>
    </row>
    <row r="170" hidden="1" outlineLevel="2" spans="2:5">
      <c r="B170" s="34" t="s">
        <v>131</v>
      </c>
    </row>
    <row r="171" hidden="1" outlineLevel="2" spans="2:5">
      <c r="B171" s="67" t="s">
        <v>93</v>
      </c>
      <c r="C171" s="64">
        <f>C165+C169</f>
        <v>0</v>
      </c>
      <c r="D171" s="64">
        <f>D165+D169</f>
        <v>0</v>
      </c>
      <c r="E171" s="64">
        <f>E165+E169</f>
        <v>0</v>
      </c>
    </row>
    <row r="172" hidden="1" outlineLevel="2" spans="2:5">
      <c r="B172" s="34" t="s">
        <v>127</v>
      </c>
      <c r="C172" s="64">
        <f>C166+C170</f>
        <v>0</v>
      </c>
      <c r="D172" s="64">
        <f>D166+D170</f>
        <v>0</v>
      </c>
      <c r="E172" s="64">
        <f>E166+E170</f>
        <v>0</v>
      </c>
    </row>
    <row r="173" collapsed="1"/>
  </sheetData>
  <mergeCells count="21">
    <mergeCell ref="C2:D2"/>
    <mergeCell ref="I2:N2"/>
    <mergeCell ref="O2:T2"/>
    <mergeCell ref="U2:Z2"/>
    <mergeCell ref="AA2:AF2"/>
    <mergeCell ref="I3:N3"/>
    <mergeCell ref="O3:T3"/>
    <mergeCell ref="U3:Z3"/>
    <mergeCell ref="AA3:AF3"/>
    <mergeCell ref="I4:J4"/>
    <mergeCell ref="K4:L4"/>
    <mergeCell ref="M4:N4"/>
    <mergeCell ref="O4:P4"/>
    <mergeCell ref="Q4:R4"/>
    <mergeCell ref="S4:T4"/>
    <mergeCell ref="U4:V4"/>
    <mergeCell ref="W4:X4"/>
    <mergeCell ref="Y4:Z4"/>
    <mergeCell ref="AA4:AB4"/>
    <mergeCell ref="AC4:AD4"/>
    <mergeCell ref="AE4:AF4"/>
  </mergeCells>
  <printOptions horizontalCentered="1"/>
  <pageMargins left="0.433070866141732" right="0.196850393700787" top="0.590551181102362" bottom="0.433070866141732" header="0.511811023622047" footer="0.196850393700787"/>
  <pageSetup paperSize="9" scale="26" fitToHeight="0" orientation="landscape" blackAndWhite="1"/>
  <headerFooter alignWithMargins="0">
    <oddFooter>&amp;C第 &amp;P 页，共 &amp;N 页</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BU173"/>
  <sheetViews>
    <sheetView workbookViewId="0">
      <pane xSplit="2" ySplit="2" topLeftCell="S3" activePane="bottomRight" state="frozen"/>
      <selection/>
      <selection pane="topRight"/>
      <selection pane="bottomLeft"/>
      <selection pane="bottomRight" activeCell="W12" sqref="W12"/>
    </sheetView>
  </sheetViews>
  <sheetFormatPr defaultColWidth="9" defaultRowHeight="13.8"/>
  <cols>
    <col min="1" max="1" width="16.9" style="5" customWidth="1"/>
    <col min="2" max="2" width="26.8" style="49" customWidth="1"/>
    <col min="3" max="6" width="14.1" style="49" customWidth="1"/>
    <col min="7" max="7" width="3.9" style="49" customWidth="1"/>
    <col min="8" max="8" width="30" style="57" customWidth="1"/>
    <col min="9" max="9" width="24.5" style="49" customWidth="1"/>
    <col min="10" max="10" width="10.5" style="49" customWidth="1"/>
    <col min="11" max="11" width="11.8" style="49" customWidth="1"/>
    <col min="12" max="12" width="10.5" style="49" customWidth="1"/>
    <col min="13" max="13" width="11.8" style="49" customWidth="1"/>
    <col min="14" max="14" width="10.5" style="49" customWidth="1"/>
    <col min="15" max="15" width="11.8" style="49" customWidth="1"/>
    <col min="16" max="16" width="10.5" style="49" customWidth="1"/>
    <col min="17" max="17" width="11.8" style="49" customWidth="1"/>
    <col min="18" max="19" width="10.8" style="49" customWidth="1"/>
    <col min="20" max="20" width="10.5" style="49" customWidth="1"/>
    <col min="21" max="21" width="11.8" style="49" customWidth="1"/>
    <col min="22" max="25" width="10.8" style="49" customWidth="1"/>
    <col min="26" max="27" width="9" style="49"/>
    <col min="28" max="28" width="10.5" style="49" customWidth="1"/>
    <col min="29" max="29" width="11.8" style="49" customWidth="1"/>
    <col min="30" max="35" width="9" style="49"/>
    <col min="36" max="36" width="10.5" style="49" customWidth="1"/>
    <col min="37" max="37" width="11.8" style="49" customWidth="1"/>
    <col min="38" max="16384" width="9" style="49"/>
  </cols>
  <sheetData>
    <row r="1" s="56" customFormat="1" ht="24.9" customHeight="1" spans="1:41">
      <c r="A1" s="58" t="s">
        <v>76</v>
      </c>
      <c r="B1" s="59"/>
      <c r="C1" s="60"/>
      <c r="H1" s="61"/>
    </row>
    <row r="2" s="49" customFormat="1" ht="14.4" spans="1:41">
      <c r="A2" s="4" t="s">
        <v>132</v>
      </c>
      <c r="B2" s="4" t="s">
        <v>77</v>
      </c>
      <c r="C2" s="4" t="s">
        <v>186</v>
      </c>
      <c r="D2" s="4"/>
      <c r="E2" s="4" t="s">
        <v>187</v>
      </c>
      <c r="F2" s="4" t="s">
        <v>190</v>
      </c>
      <c r="H2" s="57"/>
      <c r="J2" s="4" t="s">
        <v>135</v>
      </c>
      <c r="K2" s="4"/>
      <c r="L2" s="4"/>
      <c r="M2" s="4"/>
      <c r="N2" s="4"/>
      <c r="O2" s="4"/>
      <c r="P2" s="4"/>
      <c r="Q2" s="4"/>
      <c r="R2" s="4" t="s">
        <v>136</v>
      </c>
      <c r="S2" s="4"/>
      <c r="T2" s="4"/>
      <c r="U2" s="4"/>
      <c r="V2" s="4"/>
      <c r="W2" s="4"/>
      <c r="X2" s="4"/>
      <c r="Y2" s="4"/>
      <c r="Z2" s="4" t="s">
        <v>137</v>
      </c>
      <c r="AA2" s="4"/>
      <c r="AB2" s="4"/>
      <c r="AC2" s="4"/>
      <c r="AD2" s="4"/>
      <c r="AE2" s="4"/>
      <c r="AF2" s="4"/>
      <c r="AG2" s="4"/>
      <c r="AH2" s="4" t="s">
        <v>138</v>
      </c>
      <c r="AI2" s="4"/>
      <c r="AJ2" s="4"/>
      <c r="AK2" s="4"/>
      <c r="AL2" s="4"/>
      <c r="AM2" s="4"/>
      <c r="AN2" s="4"/>
      <c r="AO2" s="4"/>
    </row>
    <row r="3" s="49" customFormat="1" ht="14.4" spans="1:41">
      <c r="A3" s="4" t="s">
        <v>139</v>
      </c>
      <c r="B3" s="4"/>
      <c r="C3" s="4" t="s">
        <v>133</v>
      </c>
      <c r="D3" s="4" t="s">
        <v>134</v>
      </c>
      <c r="E3" s="4" t="s">
        <v>134</v>
      </c>
      <c r="F3" s="4" t="s">
        <v>134</v>
      </c>
      <c r="H3" s="57"/>
      <c r="J3" s="4" t="s">
        <v>139</v>
      </c>
      <c r="K3" s="4"/>
      <c r="L3" s="4"/>
      <c r="M3" s="4"/>
      <c r="N3" s="4"/>
      <c r="O3" s="4"/>
      <c r="P3" s="4"/>
      <c r="Q3" s="4"/>
      <c r="R3" s="4" t="s">
        <v>140</v>
      </c>
      <c r="S3" s="4"/>
      <c r="T3" s="4"/>
      <c r="U3" s="4"/>
      <c r="V3" s="4"/>
      <c r="W3" s="4"/>
      <c r="X3" s="4"/>
      <c r="Y3" s="4"/>
      <c r="Z3" s="4" t="s">
        <v>141</v>
      </c>
      <c r="AA3" s="4"/>
      <c r="AB3" s="4"/>
      <c r="AC3" s="4"/>
      <c r="AD3" s="4"/>
      <c r="AE3" s="4"/>
      <c r="AF3" s="4"/>
      <c r="AG3" s="4"/>
      <c r="AH3" s="4" t="s">
        <v>142</v>
      </c>
      <c r="AI3" s="4"/>
      <c r="AJ3" s="4"/>
      <c r="AK3" s="4"/>
      <c r="AL3" s="4"/>
      <c r="AM3" s="4"/>
      <c r="AN3" s="4"/>
      <c r="AO3" s="4"/>
    </row>
    <row r="4" s="49" customFormat="1" ht="14.4" spans="1:41">
      <c r="B4" s="4" t="s">
        <v>143</v>
      </c>
      <c r="C4" s="4"/>
      <c r="D4" s="62"/>
      <c r="E4" s="62"/>
      <c r="F4" s="62"/>
      <c r="H4" s="63" t="s">
        <v>144</v>
      </c>
      <c r="I4" s="63" t="s">
        <v>145</v>
      </c>
      <c r="J4" s="4" t="s">
        <v>133</v>
      </c>
      <c r="K4" s="4"/>
      <c r="L4" s="4" t="s">
        <v>188</v>
      </c>
      <c r="M4" s="4"/>
      <c r="N4" s="4" t="s">
        <v>189</v>
      </c>
      <c r="O4" s="4"/>
      <c r="P4" s="4" t="s">
        <v>191</v>
      </c>
      <c r="Q4" s="4"/>
      <c r="R4" s="4" t="s">
        <v>133</v>
      </c>
      <c r="S4" s="4"/>
      <c r="T4" s="4" t="s">
        <v>188</v>
      </c>
      <c r="U4" s="4"/>
      <c r="V4" s="4" t="s">
        <v>189</v>
      </c>
      <c r="W4" s="4"/>
      <c r="X4" s="4" t="s">
        <v>191</v>
      </c>
      <c r="Y4" s="4"/>
      <c r="Z4" s="4" t="s">
        <v>133</v>
      </c>
      <c r="AA4" s="4"/>
      <c r="AB4" s="4" t="s">
        <v>188</v>
      </c>
      <c r="AC4" s="4"/>
      <c r="AD4" s="4" t="s">
        <v>189</v>
      </c>
      <c r="AE4" s="4"/>
      <c r="AF4" s="4" t="s">
        <v>191</v>
      </c>
      <c r="AG4" s="4"/>
      <c r="AH4" s="4" t="s">
        <v>133</v>
      </c>
      <c r="AI4" s="4"/>
      <c r="AJ4" s="4" t="s">
        <v>188</v>
      </c>
      <c r="AK4" s="4"/>
      <c r="AL4" s="4" t="s">
        <v>189</v>
      </c>
      <c r="AM4" s="4"/>
      <c r="AN4" s="4" t="s">
        <v>191</v>
      </c>
      <c r="AO4" s="4"/>
    </row>
    <row r="5" s="49" customFormat="1" ht="14.4" outlineLevel="1" spans="1:41">
      <c r="B5" s="63" t="s">
        <v>83</v>
      </c>
      <c r="C5" s="34"/>
      <c r="D5" s="34"/>
      <c r="E5" s="34"/>
      <c r="F5" s="34"/>
      <c r="H5" s="63" t="s">
        <v>146</v>
      </c>
      <c r="I5" s="4"/>
      <c r="J5" s="34" t="s">
        <v>147</v>
      </c>
      <c r="K5" s="34" t="s">
        <v>148</v>
      </c>
      <c r="L5" s="34" t="s">
        <v>147</v>
      </c>
      <c r="M5" s="34" t="s">
        <v>148</v>
      </c>
      <c r="N5" s="34" t="s">
        <v>147</v>
      </c>
      <c r="O5" s="34" t="s">
        <v>148</v>
      </c>
      <c r="P5" s="34" t="s">
        <v>147</v>
      </c>
      <c r="Q5" s="34" t="s">
        <v>148</v>
      </c>
      <c r="R5" s="4" t="s">
        <v>147</v>
      </c>
      <c r="S5" s="4" t="s">
        <v>148</v>
      </c>
      <c r="T5" s="34" t="s">
        <v>147</v>
      </c>
      <c r="U5" s="34" t="s">
        <v>148</v>
      </c>
      <c r="V5" s="4" t="s">
        <v>147</v>
      </c>
      <c r="W5" s="4" t="s">
        <v>148</v>
      </c>
      <c r="X5" s="4" t="s">
        <v>147</v>
      </c>
      <c r="Y5" s="4" t="s">
        <v>148</v>
      </c>
      <c r="Z5" s="4" t="s">
        <v>147</v>
      </c>
      <c r="AA5" s="4" t="s">
        <v>148</v>
      </c>
      <c r="AB5" s="34" t="s">
        <v>147</v>
      </c>
      <c r="AC5" s="34" t="s">
        <v>148</v>
      </c>
      <c r="AD5" s="4" t="s">
        <v>147</v>
      </c>
      <c r="AE5" s="4" t="s">
        <v>148</v>
      </c>
      <c r="AF5" s="4" t="s">
        <v>147</v>
      </c>
      <c r="AG5" s="4" t="s">
        <v>148</v>
      </c>
      <c r="AH5" s="4" t="s">
        <v>147</v>
      </c>
      <c r="AI5" s="4" t="s">
        <v>148</v>
      </c>
      <c r="AJ5" s="34" t="s">
        <v>147</v>
      </c>
      <c r="AK5" s="34" t="s">
        <v>148</v>
      </c>
      <c r="AL5" s="4" t="s">
        <v>147</v>
      </c>
      <c r="AM5" s="4" t="s">
        <v>148</v>
      </c>
      <c r="AN5" s="4" t="s">
        <v>147</v>
      </c>
      <c r="AO5" s="4" t="s">
        <v>148</v>
      </c>
    </row>
    <row r="6" s="49" customFormat="1" ht="14.4" outlineLevel="1" spans="1:41">
      <c r="A6" s="5"/>
      <c r="B6" s="21" t="s">
        <v>84</v>
      </c>
      <c r="C6" s="64">
        <f>C7+C8+C9+C11+C12+C13+C14+C15-C10</f>
        <v>0</v>
      </c>
      <c r="D6" s="64">
        <f>D7+D8+D9+D11+D12+D13+D14+D15-D10</f>
        <v>0</v>
      </c>
      <c r="E6" s="64">
        <f>E7+E8+E9+E11+E12+E13+E14+E15-E10</f>
        <v>0</v>
      </c>
      <c r="F6" s="64">
        <f>F7+F8+F9+F11+F12+F13+F14+F15-F10</f>
        <v>0</v>
      </c>
      <c r="H6" s="34" t="s">
        <v>21</v>
      </c>
      <c r="J6" s="65"/>
      <c r="L6" s="65"/>
      <c r="N6" s="65"/>
      <c r="P6" s="65"/>
      <c r="R6" s="65"/>
      <c r="T6" s="65"/>
      <c r="V6" s="65"/>
      <c r="X6" s="65"/>
      <c r="Z6" s="65"/>
      <c r="AB6" s="65"/>
      <c r="AD6" s="65"/>
      <c r="AF6" s="65"/>
      <c r="AH6" s="65"/>
      <c r="AJ6" s="65"/>
      <c r="AL6" s="65"/>
      <c r="AN6" s="65"/>
    </row>
    <row r="7" s="49" customFormat="1" ht="14.4" outlineLevel="1" spans="1:41">
      <c r="A7" s="5"/>
      <c r="B7" s="34" t="s">
        <v>85</v>
      </c>
    </row>
    <row r="8" s="49" customFormat="1" ht="14.4" outlineLevel="1" spans="1:41">
      <c r="A8" s="5"/>
      <c r="B8" s="34" t="s">
        <v>86</v>
      </c>
      <c r="H8" s="63" t="s">
        <v>149</v>
      </c>
      <c r="I8" s="63"/>
    </row>
    <row r="9" s="49" customFormat="1" ht="14.4" outlineLevel="1" spans="1:41">
      <c r="A9" s="5"/>
      <c r="B9" s="34" t="s">
        <v>87</v>
      </c>
    </row>
    <row r="10" s="49" customFormat="1" ht="14.4" outlineLevel="1" spans="1:41">
      <c r="A10" s="5"/>
      <c r="B10" s="34" t="s">
        <v>88</v>
      </c>
      <c r="H10" s="63" t="s">
        <v>150</v>
      </c>
      <c r="I10" s="63"/>
      <c r="L10" s="66"/>
      <c r="M10" s="66"/>
      <c r="N10" s="66"/>
      <c r="O10" s="66"/>
      <c r="P10" s="66"/>
      <c r="Q10" s="66"/>
      <c r="T10" s="66"/>
      <c r="U10" s="66"/>
      <c r="V10" s="66"/>
      <c r="W10" s="66"/>
      <c r="X10" s="66"/>
      <c r="Y10" s="66"/>
      <c r="AB10" s="66"/>
      <c r="AC10" s="66"/>
      <c r="AD10" s="66"/>
      <c r="AE10" s="66"/>
      <c r="AF10" s="66"/>
      <c r="AG10" s="66"/>
      <c r="AJ10" s="66"/>
      <c r="AK10" s="66"/>
      <c r="AL10" s="66"/>
      <c r="AM10" s="66"/>
      <c r="AN10" s="66"/>
      <c r="AO10" s="66"/>
    </row>
    <row r="11" s="49" customFormat="1" ht="14.4" outlineLevel="1" spans="1:41">
      <c r="A11" s="5"/>
      <c r="B11" s="34" t="s">
        <v>73</v>
      </c>
      <c r="H11" s="28" t="s">
        <v>35</v>
      </c>
      <c r="I11" s="28" t="s">
        <v>72</v>
      </c>
      <c r="L11" s="66"/>
      <c r="M11" s="66"/>
      <c r="N11" s="66"/>
      <c r="O11" s="66"/>
      <c r="P11" s="66"/>
      <c r="Q11" s="66"/>
      <c r="T11" s="66"/>
      <c r="U11" s="66"/>
      <c r="V11" s="66"/>
      <c r="W11" s="66"/>
      <c r="X11" s="66"/>
      <c r="Y11" s="66"/>
      <c r="AB11" s="66"/>
      <c r="AC11" s="66"/>
      <c r="AD11" s="66"/>
      <c r="AE11" s="66"/>
      <c r="AF11" s="66"/>
      <c r="AG11" s="66"/>
      <c r="AJ11" s="66"/>
      <c r="AK11" s="66"/>
      <c r="AL11" s="66"/>
      <c r="AM11" s="66"/>
      <c r="AN11" s="66"/>
      <c r="AO11" s="66"/>
    </row>
    <row r="12" s="49" customFormat="1" ht="14.4" outlineLevel="1" spans="1:41">
      <c r="A12" s="5"/>
      <c r="B12" s="34" t="s">
        <v>89</v>
      </c>
      <c r="H12" s="28" t="s">
        <v>35</v>
      </c>
      <c r="I12" s="28" t="s">
        <v>74</v>
      </c>
      <c r="L12" s="66"/>
      <c r="M12" s="66"/>
      <c r="N12" s="66"/>
      <c r="O12" s="66"/>
      <c r="P12" s="66"/>
      <c r="Q12" s="66"/>
      <c r="T12" s="66"/>
      <c r="U12" s="66"/>
      <c r="V12" s="66"/>
      <c r="W12" s="66"/>
      <c r="X12" s="66"/>
      <c r="Y12" s="66"/>
      <c r="AB12" s="66"/>
      <c r="AC12" s="66"/>
      <c r="AD12" s="66"/>
      <c r="AE12" s="66"/>
      <c r="AF12" s="66"/>
      <c r="AG12" s="66"/>
      <c r="AJ12" s="66"/>
      <c r="AK12" s="66"/>
      <c r="AL12" s="66"/>
      <c r="AM12" s="66"/>
      <c r="AN12" s="66"/>
      <c r="AO12" s="66"/>
    </row>
    <row r="13" s="49" customFormat="1" ht="14.4" outlineLevel="1" spans="1:41">
      <c r="A13" s="5"/>
      <c r="B13" s="34" t="s">
        <v>90</v>
      </c>
      <c r="H13" s="27" t="s">
        <v>151</v>
      </c>
      <c r="I13" s="36"/>
      <c r="L13" s="66"/>
      <c r="M13" s="66"/>
      <c r="N13" s="66"/>
      <c r="O13" s="66"/>
      <c r="P13" s="66"/>
      <c r="Q13" s="66"/>
      <c r="T13" s="66"/>
      <c r="U13" s="66"/>
      <c r="V13" s="66"/>
      <c r="W13" s="66"/>
      <c r="X13" s="66"/>
      <c r="Y13" s="66"/>
      <c r="AB13" s="66"/>
      <c r="AC13" s="66"/>
      <c r="AD13" s="66"/>
      <c r="AE13" s="66"/>
      <c r="AF13" s="66"/>
      <c r="AG13" s="66"/>
      <c r="AJ13" s="66"/>
      <c r="AK13" s="66"/>
      <c r="AL13" s="66"/>
      <c r="AM13" s="66"/>
      <c r="AN13" s="66"/>
      <c r="AO13" s="66"/>
    </row>
    <row r="14" s="49" customFormat="1" ht="14.4" outlineLevel="1" spans="1:41">
      <c r="A14" s="5"/>
      <c r="B14" s="34" t="s">
        <v>91</v>
      </c>
      <c r="H14" s="27" t="s">
        <v>87</v>
      </c>
      <c r="I14" s="36"/>
      <c r="L14" s="66"/>
      <c r="M14" s="66"/>
      <c r="N14" s="66"/>
      <c r="O14" s="66"/>
      <c r="P14" s="66"/>
      <c r="Q14" s="66"/>
      <c r="T14" s="66"/>
      <c r="U14" s="66"/>
      <c r="V14" s="66"/>
      <c r="W14" s="66"/>
      <c r="X14" s="66"/>
      <c r="Y14" s="66"/>
      <c r="AB14" s="66"/>
      <c r="AC14" s="66"/>
      <c r="AD14" s="66"/>
      <c r="AE14" s="66"/>
      <c r="AF14" s="66"/>
      <c r="AG14" s="66"/>
      <c r="AJ14" s="66"/>
      <c r="AK14" s="66"/>
      <c r="AL14" s="66"/>
      <c r="AM14" s="66"/>
      <c r="AN14" s="66"/>
      <c r="AO14" s="66"/>
    </row>
    <row r="15" s="49" customFormat="1" ht="14.4" outlineLevel="1" spans="1:41">
      <c r="A15" s="5"/>
      <c r="B15" s="34" t="s">
        <v>92</v>
      </c>
      <c r="H15" s="27" t="s">
        <v>73</v>
      </c>
      <c r="I15" s="36"/>
      <c r="L15" s="66"/>
      <c r="M15" s="66"/>
      <c r="N15" s="66"/>
      <c r="O15" s="66"/>
      <c r="P15" s="66"/>
      <c r="Q15" s="66"/>
      <c r="T15" s="66"/>
      <c r="U15" s="66"/>
      <c r="V15" s="66"/>
      <c r="W15" s="66"/>
      <c r="X15" s="66"/>
      <c r="Y15" s="66"/>
      <c r="AB15" s="66"/>
      <c r="AC15" s="66"/>
      <c r="AD15" s="66"/>
      <c r="AE15" s="66"/>
      <c r="AF15" s="66"/>
      <c r="AG15" s="66"/>
      <c r="AJ15" s="66"/>
      <c r="AK15" s="66"/>
      <c r="AL15" s="66"/>
      <c r="AM15" s="66"/>
      <c r="AN15" s="66"/>
      <c r="AO15" s="66"/>
    </row>
    <row r="16" s="49" customFormat="1" ht="14.4" outlineLevel="1" spans="1:41">
      <c r="A16" s="5"/>
      <c r="B16" s="21" t="s">
        <v>52</v>
      </c>
      <c r="C16" s="64">
        <f>C17+C18+C19+C21+C22+C23+C24+C25-C20</f>
        <v>0</v>
      </c>
      <c r="D16" s="64">
        <f>D17+D18+D19+D21+D22+D23+D24+D25-D20</f>
        <v>0</v>
      </c>
      <c r="E16" s="64">
        <f>E17+E18+E19+E21+E22+E23+E24+E25-E20</f>
        <v>0</v>
      </c>
      <c r="F16" s="64">
        <f>F17+F18+F19+F21+F22+F23+F24+F25-F20</f>
        <v>0</v>
      </c>
      <c r="H16" s="45" t="s">
        <v>89</v>
      </c>
      <c r="I16" s="36"/>
      <c r="L16" s="66"/>
      <c r="M16" s="66"/>
      <c r="N16" s="66"/>
      <c r="O16" s="66"/>
      <c r="P16" s="66"/>
      <c r="Q16" s="66"/>
      <c r="T16" s="66"/>
      <c r="U16" s="66"/>
      <c r="V16" s="66"/>
      <c r="W16" s="66"/>
      <c r="X16" s="66"/>
      <c r="Y16" s="66"/>
      <c r="AB16" s="66"/>
      <c r="AC16" s="66"/>
      <c r="AD16" s="66"/>
      <c r="AE16" s="66"/>
      <c r="AF16" s="66"/>
      <c r="AG16" s="66"/>
      <c r="AJ16" s="66"/>
      <c r="AK16" s="66"/>
      <c r="AL16" s="66"/>
      <c r="AM16" s="66"/>
      <c r="AN16" s="66"/>
      <c r="AO16" s="66"/>
    </row>
    <row r="17" s="49" customFormat="1" ht="14.4" outlineLevel="1" spans="1:41">
      <c r="A17" s="5"/>
      <c r="B17" s="34" t="s">
        <v>85</v>
      </c>
      <c r="H17" s="45" t="s">
        <v>86</v>
      </c>
      <c r="I17" s="36"/>
      <c r="L17" s="66"/>
      <c r="M17" s="66"/>
      <c r="N17" s="66"/>
      <c r="O17" s="66"/>
      <c r="P17" s="66"/>
      <c r="Q17" s="66"/>
      <c r="T17" s="66"/>
      <c r="U17" s="66"/>
      <c r="V17" s="66"/>
      <c r="W17" s="66"/>
      <c r="X17" s="66"/>
      <c r="Y17" s="66"/>
      <c r="AB17" s="66"/>
      <c r="AC17" s="66"/>
      <c r="AD17" s="66"/>
      <c r="AE17" s="66"/>
      <c r="AF17" s="66"/>
      <c r="AG17" s="66"/>
      <c r="AJ17" s="66"/>
      <c r="AK17" s="66"/>
      <c r="AL17" s="66"/>
      <c r="AM17" s="66"/>
      <c r="AN17" s="66"/>
      <c r="AO17" s="66"/>
    </row>
    <row r="18" s="49" customFormat="1" ht="14.4" outlineLevel="1" spans="1:41">
      <c r="A18" s="5"/>
      <c r="B18" s="34" t="s">
        <v>86</v>
      </c>
      <c r="H18" s="45" t="s">
        <v>91</v>
      </c>
      <c r="I18" s="36"/>
      <c r="L18" s="66"/>
      <c r="M18" s="66"/>
      <c r="N18" s="66"/>
      <c r="O18" s="66"/>
      <c r="P18" s="66"/>
      <c r="Q18" s="66"/>
      <c r="T18" s="66"/>
      <c r="U18" s="66"/>
      <c r="V18" s="66"/>
      <c r="W18" s="66"/>
      <c r="X18" s="66"/>
      <c r="Y18" s="66"/>
      <c r="AB18" s="66"/>
      <c r="AC18" s="66"/>
      <c r="AD18" s="66"/>
      <c r="AE18" s="66"/>
      <c r="AF18" s="66"/>
      <c r="AG18" s="66"/>
      <c r="AJ18" s="66"/>
      <c r="AK18" s="66"/>
      <c r="AL18" s="66"/>
      <c r="AM18" s="66"/>
      <c r="AN18" s="66"/>
      <c r="AO18" s="66"/>
    </row>
    <row r="19" s="49" customFormat="1" ht="14.4" outlineLevel="1" spans="1:41">
      <c r="A19" s="5"/>
      <c r="B19" s="34" t="s">
        <v>87</v>
      </c>
      <c r="H19" s="30" t="s">
        <v>152</v>
      </c>
      <c r="I19" s="36"/>
      <c r="L19" s="66"/>
      <c r="M19" s="66"/>
      <c r="N19" s="66"/>
      <c r="O19" s="66"/>
      <c r="P19" s="66"/>
      <c r="Q19" s="66"/>
      <c r="T19" s="66"/>
      <c r="U19" s="66"/>
      <c r="V19" s="66"/>
      <c r="W19" s="66"/>
      <c r="X19" s="66"/>
      <c r="Y19" s="66"/>
      <c r="AB19" s="66"/>
      <c r="AC19" s="66"/>
      <c r="AD19" s="66"/>
      <c r="AE19" s="66"/>
      <c r="AF19" s="66"/>
      <c r="AG19" s="66"/>
      <c r="AJ19" s="66"/>
      <c r="AK19" s="66"/>
      <c r="AL19" s="66"/>
      <c r="AM19" s="66"/>
      <c r="AN19" s="66"/>
      <c r="AO19" s="66"/>
    </row>
    <row r="20" s="49" customFormat="1" ht="14.4" outlineLevel="1" spans="1:41">
      <c r="A20" s="5"/>
      <c r="B20" s="34" t="s">
        <v>88</v>
      </c>
      <c r="I20" s="36"/>
    </row>
    <row r="21" s="49" customFormat="1" ht="14.4" outlineLevel="1" spans="1:41">
      <c r="A21" s="5"/>
      <c r="B21" s="34" t="s">
        <v>73</v>
      </c>
      <c r="H21" s="63" t="s">
        <v>153</v>
      </c>
      <c r="I21" s="63"/>
    </row>
    <row r="22" s="49" customFormat="1" ht="14.4" outlineLevel="1" spans="1:41">
      <c r="A22" s="5"/>
      <c r="B22" s="34" t="s">
        <v>89</v>
      </c>
      <c r="H22" s="28" t="s">
        <v>35</v>
      </c>
      <c r="I22" s="28" t="s">
        <v>72</v>
      </c>
      <c r="J22" s="25">
        <f t="shared" ref="J22:N22" si="0">K24-K30-K31-K32-K33</f>
        <v>0</v>
      </c>
      <c r="K22" s="25"/>
      <c r="L22" s="25">
        <f t="shared" si="0"/>
        <v>0</v>
      </c>
      <c r="M22" s="25"/>
      <c r="N22" s="25">
        <f t="shared" si="0"/>
        <v>0</v>
      </c>
      <c r="O22" s="25"/>
      <c r="P22" s="25">
        <f>Q24-Q30-Q31-Q32-Q33</f>
        <v>0</v>
      </c>
      <c r="Q22" s="25"/>
      <c r="T22" s="25">
        <f>U24-U30-U31-U32-U33</f>
        <v>0</v>
      </c>
      <c r="U22" s="25"/>
      <c r="V22" s="49"/>
      <c r="W22" s="49"/>
      <c r="AB22" s="25">
        <f>AC24-AC30-AC31-AC32-AC33</f>
        <v>0</v>
      </c>
      <c r="AC22" s="25"/>
      <c r="AD22" s="49"/>
      <c r="AE22" s="49"/>
      <c r="AJ22" s="25">
        <f>AK24-AK30-AK31-AK32-AK33</f>
        <v>0</v>
      </c>
      <c r="AK22" s="25"/>
    </row>
    <row r="23" s="49" customFormat="1" ht="14.4" outlineLevel="1" spans="1:41">
      <c r="A23" s="5"/>
      <c r="B23" s="34" t="s">
        <v>90</v>
      </c>
      <c r="H23" s="28" t="s">
        <v>35</v>
      </c>
      <c r="I23" s="28" t="s">
        <v>74</v>
      </c>
      <c r="J23" s="25">
        <f t="shared" ref="J23:N23" si="1">K25+K26+K27+K28+K29</f>
        <v>0</v>
      </c>
      <c r="K23" s="25"/>
      <c r="L23" s="25">
        <f t="shared" si="1"/>
        <v>0</v>
      </c>
      <c r="M23" s="25"/>
      <c r="N23" s="25">
        <f t="shared" si="1"/>
        <v>0</v>
      </c>
      <c r="O23" s="25"/>
      <c r="P23" s="25">
        <f>Q25+Q26+Q27+Q28+Q29</f>
        <v>0</v>
      </c>
      <c r="Q23" s="25"/>
      <c r="T23" s="25">
        <f>U25+U26+U27+U28+U29</f>
        <v>0</v>
      </c>
      <c r="U23" s="25"/>
      <c r="V23" s="49"/>
      <c r="W23" s="49"/>
      <c r="AB23" s="25">
        <f>AC25+AC26+AC27+AC28+AC29</f>
        <v>0</v>
      </c>
      <c r="AC23" s="25"/>
      <c r="AD23" s="49"/>
      <c r="AE23" s="49"/>
      <c r="AJ23" s="25">
        <f>AK25+AK26+AK27+AK28+AK29</f>
        <v>0</v>
      </c>
      <c r="AK23" s="25"/>
    </row>
    <row r="24" s="49" customFormat="1" ht="14.4" outlineLevel="1" spans="1:41">
      <c r="A24" s="5"/>
      <c r="B24" s="34" t="s">
        <v>91</v>
      </c>
      <c r="H24" s="27" t="s">
        <v>154</v>
      </c>
      <c r="I24" s="46"/>
      <c r="K24" s="25">
        <f>C51*I8</f>
        <v>0</v>
      </c>
      <c r="M24" s="25">
        <f>D51*I8</f>
        <v>0</v>
      </c>
      <c r="O24" s="25">
        <f>E51*I8</f>
        <v>0</v>
      </c>
      <c r="Q24" s="25">
        <f>G51*K8</f>
        <v>0</v>
      </c>
      <c r="U24" s="25">
        <f>K51*Q8</f>
        <v>0</v>
      </c>
      <c r="AC24" s="25">
        <f>S51*Y8</f>
        <v>0</v>
      </c>
      <c r="AK24" s="25">
        <f>AA51*AG8</f>
        <v>0</v>
      </c>
    </row>
    <row r="25" s="49" customFormat="1" ht="14.4" outlineLevel="1" spans="1:41">
      <c r="A25" s="5"/>
      <c r="B25" s="34" t="s">
        <v>92</v>
      </c>
      <c r="H25" s="27" t="s">
        <v>87</v>
      </c>
      <c r="I25" s="5"/>
      <c r="K25" s="25">
        <f>C82*I8</f>
        <v>0</v>
      </c>
      <c r="M25" s="25">
        <f>D82*I8</f>
        <v>0</v>
      </c>
      <c r="O25" s="25">
        <f>E82*I8</f>
        <v>0</v>
      </c>
      <c r="Q25" s="25">
        <f>G82*K8</f>
        <v>0</v>
      </c>
      <c r="U25" s="25">
        <f>K82*Q8</f>
        <v>0</v>
      </c>
      <c r="AC25" s="25">
        <f>S82*Y8</f>
        <v>0</v>
      </c>
      <c r="AK25" s="25">
        <f>AA82*AG8</f>
        <v>0</v>
      </c>
    </row>
    <row r="26" s="49" customFormat="1" ht="14.4" outlineLevel="1" spans="1:41">
      <c r="A26" s="5"/>
      <c r="B26" s="21" t="s">
        <v>53</v>
      </c>
      <c r="C26" s="64">
        <f>C27+C28+C29+C31+C32+C33+C34+C35-C30</f>
        <v>0</v>
      </c>
      <c r="D26" s="64">
        <f>D27+D28+D29+D31+D32+D33+D34+D35-D30</f>
        <v>0</v>
      </c>
      <c r="E26" s="64">
        <f>E27+E28+E29+E31+E32+E33+E34+E35-E30</f>
        <v>0</v>
      </c>
      <c r="F26" s="64">
        <f>F27+F28+F29+F31+F32+F33+F34+F35-F30</f>
        <v>0</v>
      </c>
      <c r="H26" s="27" t="s">
        <v>73</v>
      </c>
      <c r="I26" s="5"/>
      <c r="K26" s="25">
        <f>(C21-C31)*I8</f>
        <v>0</v>
      </c>
      <c r="M26" s="25">
        <f>(D21-D31)*I8</f>
        <v>0</v>
      </c>
      <c r="O26" s="25">
        <f>(E21-E31)*I8</f>
        <v>0</v>
      </c>
      <c r="Q26" s="25">
        <f>(G21-G31)*K8</f>
        <v>0</v>
      </c>
      <c r="U26" s="25">
        <f>(K21-K31)*Q8</f>
        <v>0</v>
      </c>
      <c r="AC26" s="25">
        <f>(S21-S31)*Y8</f>
        <v>0</v>
      </c>
      <c r="AK26" s="25">
        <f>(AA21-AA31)*AG8</f>
        <v>0</v>
      </c>
    </row>
    <row r="27" s="49" customFormat="1" ht="14.4" outlineLevel="1" spans="1:41">
      <c r="A27" s="5"/>
      <c r="B27" s="34" t="s">
        <v>85</v>
      </c>
      <c r="H27" s="45" t="s">
        <v>89</v>
      </c>
      <c r="I27" s="5"/>
      <c r="K27" s="25">
        <f>(C22-C32)*I8</f>
        <v>0</v>
      </c>
      <c r="M27" s="25">
        <f>(D22-D32)*I8</f>
        <v>0</v>
      </c>
      <c r="O27" s="25">
        <f>(E22-E32)*I8</f>
        <v>0</v>
      </c>
      <c r="Q27" s="25">
        <f>(G22-G32)*K8</f>
        <v>0</v>
      </c>
      <c r="U27" s="25">
        <f>(K22-K32)*Q8</f>
        <v>0</v>
      </c>
      <c r="AC27" s="25">
        <f>(S22-S32)*Y8</f>
        <v>0</v>
      </c>
      <c r="AK27" s="25">
        <f>(AA22-AA32)*AG8</f>
        <v>0</v>
      </c>
    </row>
    <row r="28" s="49" customFormat="1" ht="14.4" outlineLevel="1" spans="1:41">
      <c r="A28" s="5"/>
      <c r="B28" s="34" t="s">
        <v>86</v>
      </c>
      <c r="H28" s="45" t="s">
        <v>86</v>
      </c>
      <c r="I28" s="5"/>
      <c r="K28" s="25">
        <f>(C18-C28)*I8</f>
        <v>0</v>
      </c>
      <c r="M28" s="25">
        <f>(D18-D28)*I8</f>
        <v>0</v>
      </c>
      <c r="O28" s="25">
        <f>(E18-E28)*I8</f>
        <v>0</v>
      </c>
      <c r="Q28" s="25">
        <f>(G18-G28)*K8</f>
        <v>0</v>
      </c>
      <c r="U28" s="25">
        <f>(K18-K28)*Q8</f>
        <v>0</v>
      </c>
      <c r="AC28" s="25">
        <f>(S18-S28)*Y8</f>
        <v>0</v>
      </c>
      <c r="AK28" s="25">
        <f>(AA18-AA28)*AG8</f>
        <v>0</v>
      </c>
    </row>
    <row r="29" s="49" customFormat="1" ht="14.4" outlineLevel="1" spans="1:41">
      <c r="A29" s="5"/>
      <c r="B29" s="34" t="s">
        <v>87</v>
      </c>
      <c r="H29" s="45" t="s">
        <v>91</v>
      </c>
      <c r="I29" s="5"/>
      <c r="J29" s="25"/>
      <c r="K29" s="25">
        <f>(C24-C34)*I8</f>
        <v>0</v>
      </c>
      <c r="L29" s="25"/>
      <c r="M29" s="25">
        <f>(D24-D34)*I8</f>
        <v>0</v>
      </c>
      <c r="N29" s="25"/>
      <c r="O29" s="25">
        <f>(E24-E34)*I8</f>
        <v>0</v>
      </c>
      <c r="P29" s="25"/>
      <c r="Q29" s="25">
        <f>(G24-G34)*K8</f>
        <v>0</v>
      </c>
      <c r="T29" s="25"/>
      <c r="U29" s="25">
        <f>(K24-K34)*Q8</f>
        <v>0</v>
      </c>
      <c r="AB29" s="25"/>
      <c r="AC29" s="25">
        <f>(S24-S34)*Y8</f>
        <v>0</v>
      </c>
      <c r="AJ29" s="25"/>
      <c r="AK29" s="25">
        <f>(AA24-AA34)*AG8</f>
        <v>0</v>
      </c>
    </row>
    <row r="30" s="49" customFormat="1" ht="14.4" outlineLevel="1" spans="1:41">
      <c r="A30" s="5"/>
      <c r="B30" s="34" t="s">
        <v>88</v>
      </c>
      <c r="H30" s="47" t="s">
        <v>155</v>
      </c>
      <c r="I30" s="34" t="s">
        <v>99</v>
      </c>
      <c r="J30" s="25"/>
      <c r="K30" s="25"/>
      <c r="L30" s="25"/>
      <c r="M30" s="25"/>
      <c r="N30" s="25"/>
      <c r="O30" s="25"/>
      <c r="P30" s="25"/>
      <c r="Q30" s="25"/>
      <c r="T30" s="25"/>
      <c r="U30" s="25"/>
      <c r="V30" s="49"/>
      <c r="W30" s="49"/>
      <c r="AB30" s="25"/>
      <c r="AC30" s="25"/>
      <c r="AD30" s="49"/>
      <c r="AE30" s="49"/>
      <c r="AJ30" s="25"/>
      <c r="AK30" s="25"/>
    </row>
    <row r="31" s="49" customFormat="1" ht="14.4" outlineLevel="1" spans="1:41">
      <c r="A31" s="5"/>
      <c r="B31" s="34" t="s">
        <v>73</v>
      </c>
      <c r="H31" s="47" t="s">
        <v>156</v>
      </c>
      <c r="I31" s="34" t="s">
        <v>99</v>
      </c>
      <c r="J31" s="25"/>
      <c r="K31" s="25"/>
      <c r="L31" s="25"/>
      <c r="M31" s="25"/>
      <c r="N31" s="25"/>
      <c r="O31" s="25"/>
      <c r="P31" s="25"/>
      <c r="Q31" s="25"/>
      <c r="T31" s="25"/>
      <c r="U31" s="25"/>
      <c r="V31" s="49"/>
      <c r="W31" s="49"/>
      <c r="AB31" s="25"/>
      <c r="AC31" s="25"/>
      <c r="AD31" s="49"/>
      <c r="AE31" s="49"/>
      <c r="AJ31" s="25"/>
      <c r="AK31" s="25"/>
    </row>
    <row r="32" s="49" customFormat="1" ht="14.4" outlineLevel="1" spans="1:41">
      <c r="A32" s="5"/>
      <c r="B32" s="34" t="s">
        <v>89</v>
      </c>
      <c r="H32" s="47" t="s">
        <v>157</v>
      </c>
      <c r="I32" s="34" t="s">
        <v>107</v>
      </c>
      <c r="J32" s="25"/>
      <c r="K32" s="25"/>
      <c r="L32" s="25"/>
      <c r="M32" s="25"/>
      <c r="N32" s="25"/>
      <c r="O32" s="25"/>
      <c r="P32" s="25"/>
      <c r="Q32" s="25"/>
      <c r="T32" s="25"/>
      <c r="U32" s="25"/>
      <c r="V32" s="49"/>
      <c r="W32" s="49"/>
      <c r="AB32" s="25"/>
      <c r="AC32" s="25"/>
      <c r="AD32" s="49"/>
      <c r="AE32" s="49"/>
      <c r="AJ32" s="25"/>
      <c r="AK32" s="25"/>
    </row>
    <row r="33" s="49" customFormat="1" ht="14.4" outlineLevel="1" spans="1:37">
      <c r="A33" s="5"/>
      <c r="B33" s="34" t="s">
        <v>90</v>
      </c>
      <c r="H33" s="47" t="s">
        <v>158</v>
      </c>
      <c r="I33" s="34" t="s">
        <v>107</v>
      </c>
      <c r="J33" s="25"/>
      <c r="K33" s="25"/>
      <c r="L33" s="25"/>
      <c r="M33" s="25"/>
      <c r="N33" s="25"/>
      <c r="O33" s="25"/>
      <c r="P33" s="25"/>
      <c r="Q33" s="25"/>
      <c r="T33" s="25"/>
      <c r="U33" s="25"/>
      <c r="V33" s="49"/>
      <c r="W33" s="49"/>
      <c r="AB33" s="25"/>
      <c r="AC33" s="25"/>
      <c r="AD33" s="49"/>
      <c r="AE33" s="49"/>
      <c r="AJ33" s="25"/>
      <c r="AK33" s="25"/>
    </row>
    <row r="34" s="49" customFormat="1" ht="14.4" outlineLevel="1" spans="1:37">
      <c r="A34" s="5"/>
      <c r="B34" s="34" t="s">
        <v>91</v>
      </c>
      <c r="H34" s="30" t="s">
        <v>152</v>
      </c>
      <c r="I34" s="36"/>
      <c r="J34" s="25"/>
      <c r="K34" s="25"/>
      <c r="L34" s="25"/>
      <c r="M34" s="25"/>
      <c r="N34" s="25"/>
      <c r="O34" s="25"/>
      <c r="P34" s="25"/>
      <c r="Q34" s="25"/>
      <c r="T34" s="25"/>
      <c r="U34" s="25"/>
      <c r="V34" s="49"/>
      <c r="W34" s="49"/>
      <c r="AB34" s="25"/>
      <c r="AC34" s="25"/>
      <c r="AD34" s="49"/>
      <c r="AE34" s="49"/>
      <c r="AJ34" s="25"/>
      <c r="AK34" s="25"/>
    </row>
    <row r="35" s="49" customFormat="1" ht="14.4" outlineLevel="1" spans="1:37">
      <c r="A35" s="5"/>
      <c r="B35" s="34" t="s">
        <v>92</v>
      </c>
      <c r="H35" s="57"/>
    </row>
    <row r="36" s="49" customFormat="1" ht="14.4" outlineLevel="1" spans="1:37">
      <c r="A36" s="5"/>
      <c r="B36" s="21" t="s">
        <v>93</v>
      </c>
      <c r="C36" s="64">
        <f>C37+C38+C39+C41+C42+C43+C44+C45-C40</f>
        <v>0</v>
      </c>
      <c r="D36" s="64">
        <f>D37+D38+D39+D41+D42+D43+D44+D45-D40</f>
        <v>0</v>
      </c>
      <c r="E36" s="64">
        <f>E37+E38+E39+E41+E42+E43+E44+E45-E40</f>
        <v>0</v>
      </c>
      <c r="F36" s="64">
        <f>F37+F38+F39+F41+F42+F43+F44+F45-F40</f>
        <v>0</v>
      </c>
      <c r="H36" s="57" t="s">
        <v>159</v>
      </c>
    </row>
    <row r="37" s="49" customFormat="1" ht="14.4" outlineLevel="1" spans="1:37">
      <c r="A37" s="5"/>
      <c r="B37" s="34" t="s">
        <v>85</v>
      </c>
      <c r="C37" s="25">
        <f t="shared" ref="C37:C45" si="2">C7+C17-C27</f>
        <v>0</v>
      </c>
      <c r="D37" s="25">
        <f t="shared" ref="D37:D45" si="3">D7+D17-D27</f>
        <v>0</v>
      </c>
      <c r="E37" s="25">
        <f t="shared" ref="E37:E45" si="4">E7+E17-E27</f>
        <v>0</v>
      </c>
      <c r="F37" s="25">
        <f t="shared" ref="F37:F45" si="5">F7+F17-F27</f>
        <v>0</v>
      </c>
      <c r="H37" s="36" t="s">
        <v>154</v>
      </c>
      <c r="I37" s="36" t="s">
        <v>160</v>
      </c>
      <c r="J37" s="25">
        <f>C68*I6</f>
        <v>0</v>
      </c>
      <c r="L37" s="25"/>
      <c r="N37" s="25" t="e">
        <f>'投资明细-成本法和公允值'!B6-H37</f>
        <v>#VALUE!</v>
      </c>
      <c r="P37" s="25">
        <f>'投资明细-成本法和公允值'!D6-J37</f>
        <v>0</v>
      </c>
      <c r="T37" s="25">
        <f>'投资明细-成本法和公允值'!H6-P37</f>
        <v>0</v>
      </c>
      <c r="AB37" s="25">
        <f>'投资明细-成本法和公允值'!N6-X37</f>
        <v>0</v>
      </c>
      <c r="AJ37" s="25">
        <f>'投资明细-成本法和公允值'!T6-AF37</f>
        <v>0</v>
      </c>
    </row>
    <row r="38" s="49" customFormat="1" ht="14.4" outlineLevel="1" spans="1:37">
      <c r="A38" s="5"/>
      <c r="B38" s="34" t="s">
        <v>86</v>
      </c>
      <c r="C38" s="25">
        <f t="shared" si="2"/>
        <v>0</v>
      </c>
      <c r="D38" s="25">
        <f t="shared" si="3"/>
        <v>0</v>
      </c>
      <c r="E38" s="25">
        <f t="shared" si="4"/>
        <v>0</v>
      </c>
      <c r="F38" s="25">
        <f t="shared" si="5"/>
        <v>0</v>
      </c>
      <c r="H38" s="30" t="s">
        <v>35</v>
      </c>
      <c r="I38" s="36" t="s">
        <v>72</v>
      </c>
      <c r="K38" s="25">
        <f>J37</f>
        <v>0</v>
      </c>
    </row>
    <row r="39" s="49" customFormat="1" ht="14.4" outlineLevel="1" spans="1:37">
      <c r="A39" s="5"/>
      <c r="B39" s="34" t="s">
        <v>87</v>
      </c>
      <c r="C39" s="25">
        <f t="shared" si="2"/>
        <v>0</v>
      </c>
      <c r="D39" s="25">
        <f t="shared" si="3"/>
        <v>0</v>
      </c>
      <c r="E39" s="25">
        <f t="shared" si="4"/>
        <v>0</v>
      </c>
      <c r="F39" s="25">
        <f t="shared" si="5"/>
        <v>0</v>
      </c>
      <c r="H39" s="57"/>
    </row>
    <row r="40" s="49" customFormat="1" ht="14.4" outlineLevel="1" spans="1:37">
      <c r="A40" s="5"/>
      <c r="B40" s="34" t="s">
        <v>88</v>
      </c>
      <c r="C40" s="25">
        <f t="shared" si="2"/>
        <v>0</v>
      </c>
      <c r="D40" s="25">
        <f t="shared" si="3"/>
        <v>0</v>
      </c>
      <c r="E40" s="25">
        <f t="shared" si="4"/>
        <v>0</v>
      </c>
      <c r="F40" s="25">
        <f t="shared" si="5"/>
        <v>0</v>
      </c>
    </row>
    <row r="41" s="49" customFormat="1" ht="14.4" outlineLevel="1" spans="1:37">
      <c r="A41" s="5"/>
      <c r="B41" s="34" t="s">
        <v>73</v>
      </c>
      <c r="C41" s="25">
        <f t="shared" si="2"/>
        <v>0</v>
      </c>
      <c r="D41" s="25">
        <f t="shared" si="3"/>
        <v>0</v>
      </c>
      <c r="E41" s="25">
        <f t="shared" si="4"/>
        <v>0</v>
      </c>
      <c r="F41" s="25">
        <f t="shared" si="5"/>
        <v>0</v>
      </c>
      <c r="H41" s="49" t="s">
        <v>161</v>
      </c>
    </row>
    <row r="42" s="49" customFormat="1" ht="14.4" outlineLevel="1" spans="1:37">
      <c r="A42" s="5"/>
      <c r="B42" s="34" t="s">
        <v>89</v>
      </c>
      <c r="C42" s="25">
        <f t="shared" si="2"/>
        <v>0</v>
      </c>
      <c r="D42" s="25">
        <f t="shared" si="3"/>
        <v>0</v>
      </c>
      <c r="E42" s="25">
        <f t="shared" si="4"/>
        <v>0</v>
      </c>
      <c r="F42" s="25">
        <f t="shared" si="5"/>
        <v>0</v>
      </c>
      <c r="H42" s="34" t="s">
        <v>35</v>
      </c>
      <c r="I42" s="34" t="s">
        <v>72</v>
      </c>
    </row>
    <row r="43" s="49" customFormat="1" ht="14.4" outlineLevel="1" spans="1:37">
      <c r="A43" s="5"/>
      <c r="B43" s="34" t="s">
        <v>90</v>
      </c>
      <c r="C43" s="25">
        <f t="shared" si="2"/>
        <v>0</v>
      </c>
      <c r="D43" s="25">
        <f t="shared" si="3"/>
        <v>0</v>
      </c>
      <c r="E43" s="25">
        <f t="shared" si="4"/>
        <v>0</v>
      </c>
      <c r="F43" s="25">
        <f t="shared" si="5"/>
        <v>0</v>
      </c>
      <c r="H43" s="34" t="s">
        <v>35</v>
      </c>
      <c r="I43" s="34" t="s">
        <v>74</v>
      </c>
    </row>
    <row r="44" s="49" customFormat="1" ht="14.4" outlineLevel="1" spans="1:37">
      <c r="A44" s="5"/>
      <c r="B44" s="34" t="s">
        <v>91</v>
      </c>
      <c r="C44" s="25">
        <f t="shared" si="2"/>
        <v>0</v>
      </c>
      <c r="D44" s="25">
        <f t="shared" si="3"/>
        <v>0</v>
      </c>
      <c r="E44" s="25">
        <f t="shared" si="4"/>
        <v>0</v>
      </c>
      <c r="F44" s="25">
        <f t="shared" si="5"/>
        <v>0</v>
      </c>
      <c r="H44" s="48" t="s">
        <v>87</v>
      </c>
    </row>
    <row r="45" s="49" customFormat="1" ht="14.4" outlineLevel="1" spans="1:37">
      <c r="A45" s="5"/>
      <c r="B45" s="34" t="s">
        <v>92</v>
      </c>
      <c r="C45" s="25">
        <f t="shared" si="2"/>
        <v>0</v>
      </c>
      <c r="D45" s="25">
        <f t="shared" si="3"/>
        <v>0</v>
      </c>
      <c r="E45" s="25">
        <f t="shared" si="4"/>
        <v>0</v>
      </c>
      <c r="F45" s="25">
        <f t="shared" si="5"/>
        <v>0</v>
      </c>
      <c r="H45" s="48" t="s">
        <v>154</v>
      </c>
    </row>
    <row r="46" ht="14.4" outlineLevel="1" spans="1:37">
      <c r="I46" s="36"/>
    </row>
    <row r="47" s="49" customFormat="1" ht="14.4" outlineLevel="1" spans="1:37">
      <c r="A47" s="5"/>
      <c r="B47" s="67" t="s">
        <v>94</v>
      </c>
      <c r="H47" s="57"/>
    </row>
    <row r="48" s="49" customFormat="1" ht="14.4" outlineLevel="1" spans="1:37">
      <c r="A48" s="5"/>
      <c r="B48" s="68" t="s">
        <v>95</v>
      </c>
      <c r="C48" s="69">
        <f>C15</f>
        <v>0</v>
      </c>
      <c r="D48" s="69">
        <f>D15</f>
        <v>0</v>
      </c>
      <c r="E48" s="69">
        <f>E15</f>
        <v>0</v>
      </c>
      <c r="F48" s="69">
        <f>F15</f>
        <v>0</v>
      </c>
      <c r="H48" s="63" t="s">
        <v>162</v>
      </c>
      <c r="I48" s="36"/>
    </row>
    <row r="49" s="49" customFormat="1" ht="14.4" outlineLevel="1" spans="1:36">
      <c r="A49" s="5"/>
      <c r="B49" s="34" t="s">
        <v>96</v>
      </c>
      <c r="C49" s="69">
        <f>C50+C52+C57+C60+C70</f>
        <v>0</v>
      </c>
      <c r="D49" s="69">
        <f>D50+D52+D57+D60+D70</f>
        <v>0</v>
      </c>
      <c r="E49" s="69">
        <f>E50+E52+E57+E60+E70</f>
        <v>0</v>
      </c>
      <c r="F49" s="69">
        <f>F50+F52+F57+F60+F70</f>
        <v>0</v>
      </c>
      <c r="H49" s="28" t="s">
        <v>35</v>
      </c>
      <c r="I49" s="36" t="s">
        <v>20</v>
      </c>
      <c r="J49" s="25">
        <f>'投资明细-成本法和公允值'!F6+'投资明细-成本法和公允值'!K6-'投资明细-成本法和公允值'!O6</f>
        <v>0</v>
      </c>
      <c r="L49" s="25" t="str">
        <f>H49</f>
        <v>长期股权投资</v>
      </c>
      <c r="N49" s="25" t="str">
        <f>H49</f>
        <v>长期股权投资</v>
      </c>
      <c r="P49" s="25">
        <f>J49</f>
        <v>0</v>
      </c>
      <c r="T49" s="25">
        <f>P49</f>
        <v>0</v>
      </c>
      <c r="AB49" s="25">
        <f>X49</f>
        <v>0</v>
      </c>
      <c r="AJ49" s="25">
        <f>AF49</f>
        <v>0</v>
      </c>
    </row>
    <row r="50" s="49" customFormat="1" ht="14.4" outlineLevel="1" spans="1:36">
      <c r="A50" s="5"/>
      <c r="B50" s="34" t="s">
        <v>97</v>
      </c>
      <c r="H50" s="28" t="s">
        <v>35</v>
      </c>
      <c r="I50" s="36" t="s">
        <v>72</v>
      </c>
      <c r="J50" s="25">
        <f>J11+J22-K38+J42</f>
        <v>0</v>
      </c>
      <c r="L50" s="25" t="e">
        <f>H50+L22-M38+L42</f>
        <v>#VALUE!</v>
      </c>
      <c r="N50" s="25" t="e">
        <f>H50+N22-O38+N42</f>
        <v>#VALUE!</v>
      </c>
      <c r="P50" s="25">
        <f>J50+P22-Q38+P42</f>
        <v>0</v>
      </c>
      <c r="T50" s="25">
        <f>P50+T22-U38+T42</f>
        <v>0</v>
      </c>
      <c r="AB50" s="25">
        <f>X50+AB22-AC38+AB42</f>
        <v>0</v>
      </c>
      <c r="AJ50" s="25">
        <f>AF50+AJ22-AK38+AJ42</f>
        <v>0</v>
      </c>
    </row>
    <row r="51" s="49" customFormat="1" ht="14.4" outlineLevel="1" spans="1:36">
      <c r="A51" s="5"/>
      <c r="B51" s="34" t="s">
        <v>98</v>
      </c>
      <c r="H51" s="28" t="s">
        <v>35</v>
      </c>
      <c r="I51" s="36" t="s">
        <v>74</v>
      </c>
      <c r="J51" s="25">
        <f>J12+J23+J43</f>
        <v>0</v>
      </c>
      <c r="L51" s="25" t="e">
        <f>H51+L23+L43</f>
        <v>#VALUE!</v>
      </c>
      <c r="N51" s="25" t="e">
        <f>H51+N23+N43</f>
        <v>#VALUE!</v>
      </c>
      <c r="P51" s="25">
        <f>J51+P23+P43</f>
        <v>0</v>
      </c>
      <c r="T51" s="25">
        <f>P51+T23+T43</f>
        <v>0</v>
      </c>
      <c r="AB51" s="25">
        <f>X51+AB23+AB43</f>
        <v>0</v>
      </c>
      <c r="AJ51" s="25">
        <f>AF51+AJ23+AJ43</f>
        <v>0</v>
      </c>
    </row>
    <row r="52" s="49" customFormat="1" ht="14.4" outlineLevel="1" spans="1:36">
      <c r="A52" s="5"/>
      <c r="B52" s="34" t="s">
        <v>99</v>
      </c>
      <c r="C52" s="64">
        <f>C53+C54+C55+C56</f>
        <v>0</v>
      </c>
      <c r="D52" s="64">
        <f>D53+D54+D55+D56</f>
        <v>0</v>
      </c>
      <c r="E52" s="64">
        <f>E53+E54+E55+E56</f>
        <v>0</v>
      </c>
      <c r="F52" s="64">
        <f>F53+F54+F55+F56</f>
        <v>0</v>
      </c>
      <c r="H52" s="28" t="s">
        <v>35</v>
      </c>
      <c r="I52" s="36" t="s">
        <v>163</v>
      </c>
      <c r="J52" s="25">
        <f>'投资明细-成本法和公允值'!G6</f>
        <v>0</v>
      </c>
      <c r="L52" s="25">
        <f>'投资明细-成本法和公允值'!R6</f>
        <v>0</v>
      </c>
      <c r="N52" s="25">
        <f>'投资明细-成本法和公允值'!R6</f>
        <v>0</v>
      </c>
      <c r="P52" s="25">
        <f>'投资明细-成本法和公允值'!T6</f>
        <v>0</v>
      </c>
      <c r="T52" s="25">
        <f>'投资明细-成本法和公允值'!X6</f>
        <v>0</v>
      </c>
      <c r="AB52" s="25">
        <f>'投资明细-成本法和公允值'!AD6</f>
        <v>0</v>
      </c>
      <c r="AJ52" s="25">
        <f>'投资明细-成本法和公允值'!AJ6</f>
        <v>0</v>
      </c>
    </row>
    <row r="53" s="49" customFormat="1" ht="14.4" outlineLevel="1" spans="1:36">
      <c r="A53" s="5"/>
      <c r="B53" s="49" t="s">
        <v>164</v>
      </c>
      <c r="H53" s="28" t="s">
        <v>35</v>
      </c>
      <c r="I53" s="36" t="s">
        <v>33</v>
      </c>
      <c r="J53" s="25">
        <f>J49+J50+J51-J52</f>
        <v>0</v>
      </c>
      <c r="L53" s="25" t="e">
        <f>SUM(L49:L52)</f>
        <v>#VALUE!</v>
      </c>
      <c r="N53" s="25" t="e">
        <f>SUM(N49:N52)</f>
        <v>#VALUE!</v>
      </c>
      <c r="P53" s="25">
        <f>SUM(P49:P52)</f>
        <v>0</v>
      </c>
      <c r="T53" s="25">
        <f>SUM(T49:T52)</f>
        <v>0</v>
      </c>
      <c r="AB53" s="25">
        <f>SUM(AB49:AB52)</f>
        <v>0</v>
      </c>
      <c r="AJ53" s="25">
        <f>SUM(AJ49:AJ52)</f>
        <v>0</v>
      </c>
    </row>
    <row r="54" s="49" customFormat="1" ht="14.4" outlineLevel="1" spans="1:36">
      <c r="A54" s="5"/>
      <c r="B54" s="49" t="s">
        <v>165</v>
      </c>
    </row>
    <row r="55" s="49" customFormat="1" ht="14.4" outlineLevel="1" spans="1:36">
      <c r="A55" s="5"/>
      <c r="B55" s="49" t="s">
        <v>155</v>
      </c>
      <c r="H55" s="63" t="s">
        <v>166</v>
      </c>
      <c r="J55" s="25">
        <f>C36*I7</f>
        <v>0</v>
      </c>
      <c r="K55" s="25"/>
      <c r="L55" s="25" t="e">
        <f>B36*G7</f>
        <v>#VALUE!</v>
      </c>
      <c r="N55" s="25" t="e">
        <f>B36*G7</f>
        <v>#VALUE!</v>
      </c>
      <c r="P55" s="25">
        <f>D36*I7</f>
        <v>0</v>
      </c>
      <c r="T55" s="25">
        <f>I36*M7</f>
        <v>0</v>
      </c>
      <c r="AB55" s="25">
        <f>Q36*U7</f>
        <v>0</v>
      </c>
      <c r="AJ55" s="25">
        <f>Y36*AC7</f>
        <v>0</v>
      </c>
    </row>
    <row r="56" s="49" customFormat="1" ht="14.4" outlineLevel="1" spans="1:36">
      <c r="A56" s="5"/>
      <c r="B56" s="49" t="s">
        <v>156</v>
      </c>
      <c r="H56" s="63" t="s">
        <v>167</v>
      </c>
      <c r="J56" s="25">
        <f t="shared" ref="J56:N56" si="6">J55-J53</f>
        <v>0</v>
      </c>
      <c r="L56" s="25" t="e">
        <f t="shared" si="6"/>
        <v>#VALUE!</v>
      </c>
      <c r="N56" s="25" t="e">
        <f t="shared" si="6"/>
        <v>#VALUE!</v>
      </c>
      <c r="P56" s="25">
        <f>P55-P53</f>
        <v>0</v>
      </c>
      <c r="T56" s="25">
        <f>T55-T53</f>
        <v>0</v>
      </c>
      <c r="AB56" s="25">
        <f>AB55-AB53</f>
        <v>0</v>
      </c>
      <c r="AJ56" s="25">
        <f>AJ55-AJ53</f>
        <v>0</v>
      </c>
    </row>
    <row r="57" s="49" customFormat="1" ht="14.4" outlineLevel="1" spans="1:36">
      <c r="A57" s="5"/>
      <c r="B57" s="34" t="s">
        <v>104</v>
      </c>
      <c r="C57" s="64">
        <f>C58-C59</f>
        <v>0</v>
      </c>
      <c r="D57" s="64">
        <f>D58-D59</f>
        <v>0</v>
      </c>
      <c r="E57" s="64">
        <f>E58-E59</f>
        <v>0</v>
      </c>
      <c r="F57" s="64">
        <f>F58-F59</f>
        <v>0</v>
      </c>
      <c r="H57" s="63" t="s">
        <v>168</v>
      </c>
      <c r="I57" s="36"/>
    </row>
    <row r="58" s="49" customFormat="1" ht="14.4" outlineLevel="1" spans="1:36">
      <c r="A58" s="5"/>
      <c r="B58" s="49" t="s">
        <v>169</v>
      </c>
      <c r="H58" s="28"/>
      <c r="I58" s="36"/>
    </row>
    <row r="59" s="49" customFormat="1" ht="14.4" outlineLevel="1" spans="1:36">
      <c r="A59" s="5"/>
      <c r="B59" s="49" t="s">
        <v>170</v>
      </c>
      <c r="H59" s="63"/>
      <c r="I59" s="36"/>
    </row>
    <row r="60" s="49" customFormat="1" ht="14.4" outlineLevel="1" spans="1:36">
      <c r="A60" s="5"/>
      <c r="B60" s="34" t="s">
        <v>107</v>
      </c>
      <c r="C60" s="64">
        <f>C61+C67+C68+C69</f>
        <v>0</v>
      </c>
      <c r="D60" s="64">
        <f>D61+D67+D68+D69</f>
        <v>0</v>
      </c>
      <c r="E60" s="64">
        <f>E61+E67+E68+E69</f>
        <v>0</v>
      </c>
      <c r="F60" s="64">
        <f>F61+F67+F68+F69</f>
        <v>0</v>
      </c>
      <c r="H60" s="28"/>
      <c r="I60" s="36"/>
    </row>
    <row r="61" s="49" customFormat="1" ht="14.4" outlineLevel="1" spans="1:36">
      <c r="A61" s="5"/>
      <c r="B61" s="49" t="s">
        <v>171</v>
      </c>
      <c r="C61" s="64">
        <f>C62+C63+C64+C65+C66</f>
        <v>0</v>
      </c>
      <c r="D61" s="64">
        <f>D62+D63+D64+D65+D66</f>
        <v>0</v>
      </c>
      <c r="E61" s="64">
        <f>E62+E63+E64+E65+E66</f>
        <v>0</v>
      </c>
      <c r="F61" s="64">
        <f>F62+F63+F64+F65+F66</f>
        <v>0</v>
      </c>
      <c r="H61" s="28"/>
      <c r="I61" s="36"/>
    </row>
    <row r="62" s="49" customFormat="1" ht="14.4" outlineLevel="1" spans="1:36">
      <c r="A62" s="5"/>
      <c r="B62" s="49" t="s">
        <v>172</v>
      </c>
      <c r="H62" s="57"/>
    </row>
    <row r="63" s="49" customFormat="1" ht="14.4" outlineLevel="1" spans="1:36">
      <c r="A63" s="5"/>
      <c r="B63" s="49" t="s">
        <v>173</v>
      </c>
      <c r="H63" s="57"/>
    </row>
    <row r="64" s="49" customFormat="1" ht="14.4" outlineLevel="1" spans="1:36">
      <c r="A64" s="5"/>
      <c r="B64" s="49" t="s">
        <v>174</v>
      </c>
      <c r="H64" s="57"/>
    </row>
    <row r="65" s="49" customFormat="1" ht="14.4" outlineLevel="1" spans="1:49">
      <c r="A65" s="5"/>
      <c r="B65" s="57" t="s">
        <v>175</v>
      </c>
      <c r="H65" s="57"/>
    </row>
    <row r="66" s="49" customFormat="1" ht="14.4" outlineLevel="1" spans="1:49">
      <c r="A66" s="5"/>
      <c r="B66" s="57" t="s">
        <v>176</v>
      </c>
      <c r="H66" s="57"/>
    </row>
    <row r="67" s="49" customFormat="1" ht="14.4" outlineLevel="1" spans="1:49">
      <c r="A67" s="5"/>
      <c r="B67" s="49" t="s">
        <v>177</v>
      </c>
      <c r="H67" s="57"/>
    </row>
    <row r="68" s="49" customFormat="1" ht="14.4" outlineLevel="1" spans="1:49">
      <c r="A68" s="5"/>
      <c r="B68" s="49" t="s">
        <v>178</v>
      </c>
      <c r="H68" s="57"/>
    </row>
    <row r="69" s="49" customFormat="1" ht="14.4" outlineLevel="1" spans="1:49">
      <c r="A69" s="5"/>
      <c r="B69" s="49" t="s">
        <v>158</v>
      </c>
      <c r="H69" s="57"/>
    </row>
    <row r="70" s="49" customFormat="1" ht="14.4" outlineLevel="1" spans="1:49">
      <c r="A70" s="5"/>
      <c r="B70" s="34" t="s">
        <v>117</v>
      </c>
      <c r="C70" s="64">
        <f>C71+C72+C74+C73+C75+C76</f>
        <v>0</v>
      </c>
      <c r="D70" s="64">
        <f>D71+D72+D74+D73+D75+D76</f>
        <v>0</v>
      </c>
      <c r="E70" s="64">
        <f>E71+E72+E74+E73+E75+E76</f>
        <v>0</v>
      </c>
      <c r="F70" s="64">
        <f>F71+F72+F74+F73+F75+F76</f>
        <v>0</v>
      </c>
      <c r="H70" s="57"/>
    </row>
    <row r="71" s="49" customFormat="1" ht="14.4" outlineLevel="1" spans="1:49">
      <c r="A71" s="5"/>
      <c r="B71" s="49" t="s">
        <v>179</v>
      </c>
      <c r="H71" s="57"/>
    </row>
    <row r="72" s="49" customFormat="1" ht="14.4" outlineLevel="1" spans="1:49">
      <c r="A72" s="5"/>
      <c r="B72" s="49" t="s">
        <v>180</v>
      </c>
      <c r="H72" s="57"/>
    </row>
    <row r="73" s="49" customFormat="1" ht="14.4" outlineLevel="1" spans="1:49">
      <c r="A73" s="5"/>
      <c r="B73" s="49" t="s">
        <v>181</v>
      </c>
      <c r="H73" s="57"/>
    </row>
    <row r="74" s="49" customFormat="1" ht="14.4" outlineLevel="1" spans="1:49">
      <c r="A74" s="5"/>
      <c r="B74" s="49" t="s">
        <v>182</v>
      </c>
      <c r="H74" s="57"/>
    </row>
    <row r="75" s="49" customFormat="1" ht="14.4" outlineLevel="1" spans="1:49">
      <c r="A75" s="5"/>
      <c r="B75" s="49" t="s">
        <v>183</v>
      </c>
      <c r="H75" s="57"/>
    </row>
    <row r="76" s="49" customFormat="1" ht="14.4" outlineLevel="1" spans="1:49">
      <c r="A76" s="5"/>
      <c r="B76" s="49" t="s">
        <v>184</v>
      </c>
      <c r="H76" s="57"/>
    </row>
    <row r="77" s="49" customFormat="1" ht="14.4" outlineLevel="1" spans="1:49">
      <c r="A77" s="5"/>
      <c r="B77" s="34" t="s">
        <v>124</v>
      </c>
      <c r="C77" s="64">
        <f>C48+C49</f>
        <v>0</v>
      </c>
      <c r="D77" s="64">
        <f>D48+D49</f>
        <v>0</v>
      </c>
      <c r="E77" s="64">
        <f>E48+E49</f>
        <v>0</v>
      </c>
      <c r="F77" s="64">
        <f>F48+F49</f>
        <v>0</v>
      </c>
      <c r="H77" s="57"/>
    </row>
    <row r="78" outlineLevel="1"/>
    <row r="79" s="49" customFormat="1" ht="14.4" outlineLevel="1" spans="1:49">
      <c r="A79" s="5"/>
      <c r="B79" s="70" t="s">
        <v>125</v>
      </c>
      <c r="H79" s="57"/>
    </row>
    <row r="80" s="49" customFormat="1" ht="14.4" outlineLevel="1" spans="1:49">
      <c r="A80" s="5"/>
      <c r="B80" s="67" t="s">
        <v>126</v>
      </c>
      <c r="H80" s="57"/>
      <c r="Z80" s="36"/>
      <c r="AA80" s="36"/>
      <c r="AD80" s="36"/>
      <c r="AE80" s="36"/>
      <c r="AF80" s="36"/>
      <c r="AG80" s="36"/>
      <c r="AH80" s="36"/>
      <c r="AI80" s="36"/>
      <c r="AL80" s="36"/>
      <c r="AM80" s="36"/>
      <c r="AN80" s="36"/>
      <c r="AO80" s="36"/>
      <c r="AP80" s="36"/>
      <c r="AQ80" s="36"/>
      <c r="AR80" s="36"/>
      <c r="AS80" s="36"/>
      <c r="AT80" s="36"/>
      <c r="AU80" s="36"/>
      <c r="AV80" s="36"/>
      <c r="AW80" s="36"/>
    </row>
    <row r="81" s="49" customFormat="1" ht="14.4" outlineLevel="1" spans="1:73">
      <c r="A81" s="5"/>
      <c r="B81" s="34" t="s">
        <v>127</v>
      </c>
      <c r="H81" s="57"/>
    </row>
    <row r="82" s="49" customFormat="1" ht="14.4" outlineLevel="1" spans="1:73">
      <c r="A82" s="5"/>
      <c r="B82" s="67" t="s">
        <v>128</v>
      </c>
      <c r="C82" s="64">
        <f>C83+C84+C85</f>
        <v>0</v>
      </c>
      <c r="D82" s="64">
        <f>D83+D84+D85</f>
        <v>0</v>
      </c>
      <c r="E82" s="64">
        <f>E83+E84+E85</f>
        <v>0</v>
      </c>
      <c r="F82" s="64">
        <f>F83+F84+F85</f>
        <v>0</v>
      </c>
      <c r="H82" s="57"/>
      <c r="AX82" s="36"/>
      <c r="AY82" s="36"/>
      <c r="AZ82" s="36"/>
      <c r="BA82" s="36"/>
      <c r="BB82" s="36"/>
      <c r="BC82" s="36"/>
      <c r="BD82" s="36"/>
      <c r="BE82" s="36"/>
      <c r="BF82" s="36"/>
      <c r="BG82" s="36"/>
      <c r="BH82" s="36"/>
      <c r="BI82" s="36"/>
    </row>
    <row r="83" s="49" customFormat="1" ht="14.4" outlineLevel="1" spans="1:73">
      <c r="A83" s="5"/>
      <c r="B83" s="34" t="s">
        <v>129</v>
      </c>
      <c r="H83" s="57"/>
    </row>
    <row r="84" s="49" customFormat="1" ht="14.4" outlineLevel="1" spans="1:73">
      <c r="A84" s="5"/>
      <c r="B84" s="34" t="s">
        <v>130</v>
      </c>
      <c r="H84" s="57"/>
    </row>
    <row r="85" s="49" customFormat="1" ht="14.4" outlineLevel="1" spans="1:73">
      <c r="A85" s="5"/>
      <c r="B85" s="34" t="s">
        <v>131</v>
      </c>
      <c r="H85" s="57"/>
    </row>
    <row r="86" s="49" customFormat="1" ht="14.4" outlineLevel="1" spans="1:73">
      <c r="A86" s="5"/>
      <c r="B86" s="67" t="s">
        <v>93</v>
      </c>
      <c r="C86" s="64">
        <f>C80+C84</f>
        <v>0</v>
      </c>
      <c r="D86" s="64">
        <f>D80+D84</f>
        <v>0</v>
      </c>
      <c r="E86" s="64">
        <f>E80+E84</f>
        <v>0</v>
      </c>
      <c r="F86" s="64">
        <f>F80+F84</f>
        <v>0</v>
      </c>
      <c r="H86" s="57"/>
      <c r="S86" s="36"/>
      <c r="V86" s="36"/>
      <c r="W86" s="36"/>
      <c r="X86" s="36"/>
      <c r="Y86" s="36"/>
    </row>
    <row r="87" s="49" customFormat="1" ht="14.4" outlineLevel="1" spans="1:73">
      <c r="A87" s="5"/>
      <c r="B87" s="34" t="s">
        <v>127</v>
      </c>
      <c r="C87" s="64">
        <f>C81+C85</f>
        <v>0</v>
      </c>
      <c r="D87" s="64">
        <f>D81+D85</f>
        <v>0</v>
      </c>
      <c r="E87" s="64">
        <f>E81+E85</f>
        <v>0</v>
      </c>
      <c r="F87" s="64">
        <f>F81+F85</f>
        <v>0</v>
      </c>
      <c r="H87" s="57"/>
    </row>
    <row r="88" ht="14.4" spans="1:73">
      <c r="BJ88" s="36"/>
      <c r="BK88" s="36"/>
      <c r="BL88" s="36"/>
      <c r="BM88" s="36"/>
      <c r="BN88" s="36"/>
      <c r="BO88" s="36"/>
      <c r="BP88" s="36"/>
      <c r="BQ88" s="36"/>
      <c r="BR88" s="36"/>
      <c r="BS88" s="36"/>
      <c r="BT88" s="36"/>
      <c r="BU88" s="36"/>
    </row>
    <row r="89" s="36" customFormat="1" ht="14.4" spans="1:73">
      <c r="A89" s="4" t="s">
        <v>185</v>
      </c>
      <c r="B89" s="49"/>
      <c r="C89" s="49"/>
      <c r="D89" s="49"/>
      <c r="E89" s="49"/>
      <c r="F89" s="49"/>
      <c r="H89" s="57"/>
      <c r="I89" s="49"/>
      <c r="J89" s="49"/>
      <c r="K89" s="49"/>
      <c r="L89" s="49"/>
      <c r="M89" s="49"/>
      <c r="N89" s="49"/>
      <c r="O89" s="49"/>
      <c r="P89" s="49"/>
      <c r="Q89" s="49"/>
      <c r="R89" s="49"/>
      <c r="S89" s="49"/>
      <c r="T89" s="49"/>
      <c r="U89" s="49"/>
      <c r="V89" s="49"/>
      <c r="W89" s="49"/>
      <c r="X89" s="49"/>
      <c r="Y89" s="49"/>
      <c r="Z89" s="49"/>
      <c r="AA89" s="49"/>
      <c r="AB89" s="49"/>
      <c r="AC89" s="49"/>
      <c r="AD89" s="49"/>
      <c r="AE89" s="49"/>
      <c r="AF89" s="49"/>
      <c r="AG89" s="49"/>
      <c r="AH89" s="49"/>
      <c r="AI89" s="49"/>
      <c r="AJ89" s="49"/>
      <c r="AK89" s="49"/>
      <c r="AL89" s="49"/>
      <c r="AM89" s="49"/>
      <c r="AN89" s="49"/>
      <c r="AO89" s="49"/>
      <c r="AP89" s="49"/>
      <c r="AQ89" s="49"/>
      <c r="AR89" s="49"/>
      <c r="AS89" s="49"/>
      <c r="AT89" s="49"/>
      <c r="AU89" s="49"/>
      <c r="AV89" s="49"/>
      <c r="AW89" s="49"/>
      <c r="AX89" s="49"/>
      <c r="AY89" s="49"/>
      <c r="AZ89" s="49"/>
      <c r="BA89" s="49"/>
      <c r="BB89" s="49"/>
      <c r="BC89" s="49"/>
      <c r="BD89" s="49"/>
      <c r="BE89" s="49"/>
      <c r="BF89" s="49"/>
      <c r="BG89" s="49"/>
      <c r="BH89" s="49"/>
      <c r="BI89" s="49"/>
      <c r="BJ89" s="49"/>
      <c r="BK89" s="49"/>
      <c r="BL89" s="49"/>
      <c r="BM89" s="49"/>
      <c r="BN89" s="49"/>
      <c r="BO89" s="49"/>
      <c r="BP89" s="49"/>
      <c r="BQ89" s="49"/>
      <c r="BR89" s="49"/>
      <c r="BS89" s="49"/>
      <c r="BT89" s="49"/>
      <c r="BU89" s="49"/>
    </row>
    <row r="90" s="49" customFormat="1" ht="14.4" hidden="1" outlineLevel="2" spans="1:73">
      <c r="B90" s="63" t="s">
        <v>83</v>
      </c>
      <c r="C90" s="34"/>
      <c r="D90" s="34"/>
      <c r="E90" s="34"/>
      <c r="F90" s="34"/>
      <c r="H90" s="57"/>
    </row>
    <row r="91" ht="14.4" hidden="1" outlineLevel="2" spans="1:73">
      <c r="B91" s="21" t="s">
        <v>84</v>
      </c>
      <c r="C91" s="64">
        <f>C92+C93+C94+C96+C97+C98+C99+C100-C95</f>
        <v>0</v>
      </c>
      <c r="D91" s="64">
        <f>D92+D93+D94+D96+D97+D98+D99+D100-D95</f>
        <v>0</v>
      </c>
      <c r="E91" s="64">
        <f>E92+E93+E94+E96+E97+E98+E99+E100-E95</f>
        <v>0</v>
      </c>
      <c r="F91" s="64">
        <f>F92+F93+F94+F96+F97+F98+F99+F100-F95</f>
        <v>0</v>
      </c>
    </row>
    <row r="92" ht="14.4" hidden="1" outlineLevel="2" spans="1:73">
      <c r="B92" s="34" t="s">
        <v>85</v>
      </c>
    </row>
    <row r="93" ht="14.4" hidden="1" outlineLevel="2" spans="1:73">
      <c r="B93" s="34" t="s">
        <v>86</v>
      </c>
    </row>
    <row r="94" ht="14.4" hidden="1" outlineLevel="2" spans="1:73">
      <c r="B94" s="34" t="s">
        <v>87</v>
      </c>
    </row>
    <row r="95" ht="14.4" hidden="1" outlineLevel="2" spans="1:73">
      <c r="B95" s="34" t="s">
        <v>88</v>
      </c>
      <c r="R95" s="36"/>
    </row>
    <row r="96" ht="14.4" hidden="1" outlineLevel="2" spans="1:73">
      <c r="B96" s="34" t="s">
        <v>73</v>
      </c>
    </row>
    <row r="97" ht="14.4" hidden="1" outlineLevel="2" spans="2:37">
      <c r="B97" s="34" t="s">
        <v>89</v>
      </c>
    </row>
    <row r="98" ht="14.4" hidden="1" outlineLevel="2" spans="2:37">
      <c r="B98" s="34" t="s">
        <v>90</v>
      </c>
    </row>
    <row r="99" ht="14.4" hidden="1" outlineLevel="2" spans="2:37">
      <c r="B99" s="34" t="s">
        <v>91</v>
      </c>
    </row>
    <row r="100" ht="14.4" hidden="1" outlineLevel="2" spans="2:37">
      <c r="B100" s="34" t="s">
        <v>92</v>
      </c>
    </row>
    <row r="101" ht="14.4" hidden="1" outlineLevel="2" spans="2:37">
      <c r="B101" s="21" t="s">
        <v>52</v>
      </c>
      <c r="C101" s="64">
        <f>C102+C103+C104+C106+C107+C108+C109+C110-C105</f>
        <v>0</v>
      </c>
      <c r="D101" s="64">
        <f>D102+D103+D104+D106+D107+D108+D109+D110-D105</f>
        <v>0</v>
      </c>
      <c r="E101" s="64">
        <f>E102+E103+E104+E106+E107+E108+E109+E110-E105</f>
        <v>0</v>
      </c>
      <c r="F101" s="64">
        <f>F102+F103+F104+F106+F107+F108+F109+F110-F105</f>
        <v>0</v>
      </c>
    </row>
    <row r="102" ht="14.4" hidden="1" outlineLevel="2" spans="2:37">
      <c r="B102" s="34" t="s">
        <v>85</v>
      </c>
    </row>
    <row r="103" ht="14.4" hidden="1" outlineLevel="2" spans="2:37">
      <c r="B103" s="34" t="s">
        <v>86</v>
      </c>
    </row>
    <row r="104" ht="14.4" hidden="1" outlineLevel="2" spans="2:37">
      <c r="B104" s="34" t="s">
        <v>87</v>
      </c>
      <c r="H104" s="71"/>
      <c r="I104" s="36"/>
      <c r="J104" s="36"/>
      <c r="K104" s="36"/>
      <c r="L104" s="36"/>
      <c r="M104" s="36"/>
      <c r="N104" s="36"/>
      <c r="O104" s="36"/>
      <c r="P104" s="36"/>
      <c r="Q104" s="36"/>
      <c r="T104" s="36"/>
      <c r="U104" s="36"/>
      <c r="AB104" s="36"/>
      <c r="AC104" s="36"/>
      <c r="AJ104" s="36"/>
      <c r="AK104" s="36"/>
    </row>
    <row r="105" ht="14.4" hidden="1" outlineLevel="2" spans="2:37">
      <c r="B105" s="34" t="s">
        <v>88</v>
      </c>
    </row>
    <row r="106" ht="14.4" hidden="1" outlineLevel="2" spans="2:37">
      <c r="B106" s="34" t="s">
        <v>73</v>
      </c>
    </row>
    <row r="107" ht="14.4" hidden="1" outlineLevel="2" spans="2:37">
      <c r="B107" s="34" t="s">
        <v>89</v>
      </c>
    </row>
    <row r="108" ht="14.4" hidden="1" outlineLevel="2" spans="2:37">
      <c r="B108" s="34" t="s">
        <v>90</v>
      </c>
    </row>
    <row r="109" ht="14.4" hidden="1" outlineLevel="2" spans="2:37">
      <c r="B109" s="34" t="s">
        <v>91</v>
      </c>
    </row>
    <row r="110" ht="14.4" hidden="1" outlineLevel="2" spans="2:37">
      <c r="B110" s="34" t="s">
        <v>92</v>
      </c>
    </row>
    <row r="111" ht="14.4" hidden="1" outlineLevel="2" spans="2:37">
      <c r="B111" s="21" t="s">
        <v>53</v>
      </c>
      <c r="C111" s="64">
        <f>C112+C113+C114+C116+C117+C118+C119+C120-C115</f>
        <v>0</v>
      </c>
      <c r="D111" s="64">
        <f>D112+D113+D114+D116+D117+D118+D119+D120-D115</f>
        <v>0</v>
      </c>
      <c r="E111" s="64">
        <f>E112+E113+E114+E116+E117+E118+E119+E120-E115</f>
        <v>0</v>
      </c>
      <c r="F111" s="64">
        <f>F112+F113+F114+F116+F117+F118+F119+F120-F115</f>
        <v>0</v>
      </c>
    </row>
    <row r="112" ht="14.4" hidden="1" outlineLevel="2" spans="2:37">
      <c r="B112" s="34" t="s">
        <v>85</v>
      </c>
    </row>
    <row r="113" ht="14.4" hidden="1" outlineLevel="2" spans="2:6">
      <c r="B113" s="34" t="s">
        <v>86</v>
      </c>
    </row>
    <row r="114" ht="14.4" hidden="1" outlineLevel="2" spans="2:6">
      <c r="B114" s="34" t="s">
        <v>87</v>
      </c>
    </row>
    <row r="115" ht="14.4" hidden="1" outlineLevel="2" spans="2:6">
      <c r="B115" s="34" t="s">
        <v>88</v>
      </c>
    </row>
    <row r="116" ht="14.4" hidden="1" outlineLevel="2" spans="2:6">
      <c r="B116" s="34" t="s">
        <v>73</v>
      </c>
    </row>
    <row r="117" ht="14.4" hidden="1" outlineLevel="2" spans="2:6">
      <c r="B117" s="34" t="s">
        <v>89</v>
      </c>
    </row>
    <row r="118" ht="14.4" hidden="1" outlineLevel="2" spans="2:6">
      <c r="B118" s="34" t="s">
        <v>90</v>
      </c>
    </row>
    <row r="119" ht="14.4" hidden="1" outlineLevel="2" spans="2:6">
      <c r="B119" s="34" t="s">
        <v>91</v>
      </c>
    </row>
    <row r="120" ht="14.4" hidden="1" outlineLevel="2" spans="2:6">
      <c r="B120" s="34" t="s">
        <v>92</v>
      </c>
    </row>
    <row r="121" ht="14.4" hidden="1" outlineLevel="2" spans="2:6">
      <c r="B121" s="21" t="s">
        <v>93</v>
      </c>
      <c r="C121" s="64">
        <f>C122+C123+C124+C126+C127+C128+C129+C130-C125</f>
        <v>0</v>
      </c>
      <c r="D121" s="64">
        <f>D122+D123+D124+D126+D127+D128+D129+D130-D125</f>
        <v>0</v>
      </c>
      <c r="E121" s="64">
        <f>E122+E123+E124+E126+E127+E128+E129+E130-E125</f>
        <v>0</v>
      </c>
      <c r="F121" s="64">
        <f>F122+F123+F124+F126+F127+F128+F129+F130-F125</f>
        <v>0</v>
      </c>
    </row>
    <row r="122" ht="14.4" hidden="1" outlineLevel="2" spans="2:6">
      <c r="B122" s="34" t="s">
        <v>85</v>
      </c>
      <c r="C122" s="25">
        <f t="shared" ref="C122:C130" si="7">C92+C102-C112</f>
        <v>0</v>
      </c>
      <c r="D122" s="25">
        <f t="shared" ref="D122:D130" si="8">D92+D102-D112</f>
        <v>0</v>
      </c>
      <c r="E122" s="25">
        <f t="shared" ref="E122:E130" si="9">E92+E102-E112</f>
        <v>0</v>
      </c>
      <c r="F122" s="25">
        <f t="shared" ref="F122:F130" si="10">F92+F102-F112</f>
        <v>0</v>
      </c>
    </row>
    <row r="123" ht="14.4" hidden="1" outlineLevel="2" spans="2:6">
      <c r="B123" s="34" t="s">
        <v>86</v>
      </c>
      <c r="C123" s="25">
        <f t="shared" si="7"/>
        <v>0</v>
      </c>
      <c r="D123" s="25">
        <f t="shared" si="8"/>
        <v>0</v>
      </c>
      <c r="E123" s="25">
        <f t="shared" si="9"/>
        <v>0</v>
      </c>
      <c r="F123" s="25">
        <f t="shared" si="10"/>
        <v>0</v>
      </c>
    </row>
    <row r="124" ht="14.4" hidden="1" outlineLevel="2" spans="2:6">
      <c r="B124" s="34" t="s">
        <v>87</v>
      </c>
      <c r="C124" s="25">
        <f t="shared" si="7"/>
        <v>0</v>
      </c>
      <c r="D124" s="25">
        <f t="shared" si="8"/>
        <v>0</v>
      </c>
      <c r="E124" s="25">
        <f t="shared" si="9"/>
        <v>0</v>
      </c>
      <c r="F124" s="25">
        <f t="shared" si="10"/>
        <v>0</v>
      </c>
    </row>
    <row r="125" ht="14.4" hidden="1" outlineLevel="2" spans="2:6">
      <c r="B125" s="34" t="s">
        <v>88</v>
      </c>
      <c r="C125" s="25">
        <f t="shared" si="7"/>
        <v>0</v>
      </c>
      <c r="D125" s="25">
        <f t="shared" si="8"/>
        <v>0</v>
      </c>
      <c r="E125" s="25">
        <f t="shared" si="9"/>
        <v>0</v>
      </c>
      <c r="F125" s="25">
        <f t="shared" si="10"/>
        <v>0</v>
      </c>
    </row>
    <row r="126" ht="14.4" hidden="1" outlineLevel="2" spans="2:6">
      <c r="B126" s="34" t="s">
        <v>73</v>
      </c>
      <c r="C126" s="25">
        <f t="shared" si="7"/>
        <v>0</v>
      </c>
      <c r="D126" s="25">
        <f t="shared" si="8"/>
        <v>0</v>
      </c>
      <c r="E126" s="25">
        <f t="shared" si="9"/>
        <v>0</v>
      </c>
      <c r="F126" s="25">
        <f t="shared" si="10"/>
        <v>0</v>
      </c>
    </row>
    <row r="127" ht="14.4" hidden="1" outlineLevel="2" spans="2:6">
      <c r="B127" s="34" t="s">
        <v>89</v>
      </c>
      <c r="C127" s="25">
        <f t="shared" si="7"/>
        <v>0</v>
      </c>
      <c r="D127" s="25">
        <f t="shared" si="8"/>
        <v>0</v>
      </c>
      <c r="E127" s="25">
        <f t="shared" si="9"/>
        <v>0</v>
      </c>
      <c r="F127" s="25">
        <f t="shared" si="10"/>
        <v>0</v>
      </c>
    </row>
    <row r="128" ht="14.4" hidden="1" outlineLevel="2" spans="2:6">
      <c r="B128" s="34" t="s">
        <v>90</v>
      </c>
      <c r="C128" s="25">
        <f t="shared" si="7"/>
        <v>0</v>
      </c>
      <c r="D128" s="25">
        <f t="shared" si="8"/>
        <v>0</v>
      </c>
      <c r="E128" s="25">
        <f t="shared" si="9"/>
        <v>0</v>
      </c>
      <c r="F128" s="25">
        <f t="shared" si="10"/>
        <v>0</v>
      </c>
    </row>
    <row r="129" ht="14.4" hidden="1" outlineLevel="2" spans="2:6">
      <c r="B129" s="34" t="s">
        <v>91</v>
      </c>
      <c r="C129" s="25">
        <f t="shared" si="7"/>
        <v>0</v>
      </c>
      <c r="D129" s="25">
        <f t="shared" si="8"/>
        <v>0</v>
      </c>
      <c r="E129" s="25">
        <f t="shared" si="9"/>
        <v>0</v>
      </c>
      <c r="F129" s="25">
        <f t="shared" si="10"/>
        <v>0</v>
      </c>
    </row>
    <row r="130" ht="14.4" hidden="1" outlineLevel="2" spans="2:6">
      <c r="B130" s="34" t="s">
        <v>92</v>
      </c>
      <c r="C130" s="25">
        <f t="shared" si="7"/>
        <v>0</v>
      </c>
      <c r="D130" s="25">
        <f t="shared" si="8"/>
        <v>0</v>
      </c>
      <c r="E130" s="25">
        <f t="shared" si="9"/>
        <v>0</v>
      </c>
      <c r="F130" s="25">
        <f t="shared" si="10"/>
        <v>0</v>
      </c>
    </row>
    <row r="131" hidden="1" outlineLevel="2"/>
    <row r="132" ht="14.4" hidden="1" outlineLevel="2" spans="2:6">
      <c r="B132" s="67" t="s">
        <v>94</v>
      </c>
    </row>
    <row r="133" ht="14.4" hidden="1" outlineLevel="2" spans="2:6">
      <c r="B133" s="68" t="s">
        <v>95</v>
      </c>
      <c r="C133" s="69">
        <f>C100</f>
        <v>0</v>
      </c>
      <c r="D133" s="69">
        <f>D100</f>
        <v>0</v>
      </c>
      <c r="E133" s="69">
        <f>E100</f>
        <v>0</v>
      </c>
      <c r="F133" s="69">
        <f>F100</f>
        <v>0</v>
      </c>
    </row>
    <row r="134" ht="14.4" hidden="1" outlineLevel="2" spans="2:6">
      <c r="B134" s="34" t="s">
        <v>96</v>
      </c>
      <c r="C134" s="69">
        <f>C135+C137+C142+C145+C155</f>
        <v>0</v>
      </c>
      <c r="D134" s="69">
        <f>D135+D137+D142+D145+D155</f>
        <v>0</v>
      </c>
      <c r="E134" s="69">
        <f>E135+E137+E142+E145+E155</f>
        <v>0</v>
      </c>
      <c r="F134" s="69">
        <f>F135+F137+F142+F145+F155</f>
        <v>0</v>
      </c>
    </row>
    <row r="135" ht="14.4" hidden="1" outlineLevel="2" spans="2:6">
      <c r="B135" s="34" t="s">
        <v>97</v>
      </c>
    </row>
    <row r="136" ht="14.4" hidden="1" outlineLevel="2" spans="2:6">
      <c r="B136" s="34" t="s">
        <v>98</v>
      </c>
    </row>
    <row r="137" ht="14.4" hidden="1" outlineLevel="2" spans="2:6">
      <c r="B137" s="34" t="s">
        <v>99</v>
      </c>
      <c r="C137" s="64">
        <f>C138+C139+C140+C141</f>
        <v>0</v>
      </c>
      <c r="D137" s="64">
        <f>D138+D139+D140+D141</f>
        <v>0</v>
      </c>
      <c r="E137" s="64">
        <f>E138+E139+E140+E141</f>
        <v>0</v>
      </c>
      <c r="F137" s="64">
        <f>F138+F139+F140+F141</f>
        <v>0</v>
      </c>
    </row>
    <row r="138" ht="14.4" hidden="1" outlineLevel="2" spans="2:6">
      <c r="B138" s="49" t="s">
        <v>164</v>
      </c>
    </row>
    <row r="139" ht="14.4" hidden="1" outlineLevel="2" spans="2:6">
      <c r="B139" s="49" t="s">
        <v>165</v>
      </c>
    </row>
    <row r="140" ht="14.4" hidden="1" outlineLevel="2" spans="2:6">
      <c r="B140" s="49" t="s">
        <v>155</v>
      </c>
    </row>
    <row r="141" ht="14.4" hidden="1" outlineLevel="2" spans="2:6">
      <c r="B141" s="49" t="s">
        <v>156</v>
      </c>
    </row>
    <row r="142" ht="14.4" hidden="1" outlineLevel="2" spans="2:6">
      <c r="B142" s="34" t="s">
        <v>104</v>
      </c>
      <c r="C142" s="64">
        <f>C143-C144</f>
        <v>0</v>
      </c>
      <c r="D142" s="64">
        <f>D143-D144</f>
        <v>0</v>
      </c>
      <c r="E142" s="64">
        <f>E143-E144</f>
        <v>0</v>
      </c>
      <c r="F142" s="64">
        <f>F143-F144</f>
        <v>0</v>
      </c>
    </row>
    <row r="143" ht="14.4" hidden="1" outlineLevel="2" spans="2:6">
      <c r="B143" s="49" t="s">
        <v>169</v>
      </c>
    </row>
    <row r="144" ht="14.4" hidden="1" outlineLevel="2" spans="2:6">
      <c r="B144" s="49" t="s">
        <v>170</v>
      </c>
    </row>
    <row r="145" ht="14.4" hidden="1" outlineLevel="2" spans="2:6">
      <c r="B145" s="34" t="s">
        <v>107</v>
      </c>
      <c r="C145" s="64">
        <f>C146+C152+C153+C154</f>
        <v>0</v>
      </c>
      <c r="D145" s="64">
        <f>D146+D152+D153+D154</f>
        <v>0</v>
      </c>
      <c r="E145" s="64">
        <f>E146+E152+E153+E154</f>
        <v>0</v>
      </c>
      <c r="F145" s="64">
        <f>F146+F152+F153+F154</f>
        <v>0</v>
      </c>
    </row>
    <row r="146" ht="14.4" hidden="1" outlineLevel="2" spans="2:6">
      <c r="B146" s="49" t="s">
        <v>171</v>
      </c>
      <c r="C146" s="64">
        <f>C147+C148+C149+C150+C151</f>
        <v>0</v>
      </c>
      <c r="D146" s="64">
        <f>D147+D148+D149+D150+D151</f>
        <v>0</v>
      </c>
      <c r="E146" s="64">
        <f>E147+E148+E149+E150+E151</f>
        <v>0</v>
      </c>
      <c r="F146" s="64">
        <f>F147+F148+F149+F150+F151</f>
        <v>0</v>
      </c>
    </row>
    <row r="147" ht="14.4" hidden="1" outlineLevel="2" spans="2:6">
      <c r="B147" s="49" t="s">
        <v>172</v>
      </c>
    </row>
    <row r="148" ht="14.4" hidden="1" outlineLevel="2" spans="2:6">
      <c r="B148" s="49" t="s">
        <v>173</v>
      </c>
    </row>
    <row r="149" ht="14.4" hidden="1" outlineLevel="2" spans="2:6">
      <c r="B149" s="49" t="s">
        <v>174</v>
      </c>
    </row>
    <row r="150" ht="14.4" hidden="1" outlineLevel="2" spans="2:6">
      <c r="B150" s="57" t="s">
        <v>175</v>
      </c>
    </row>
    <row r="151" ht="14.4" hidden="1" outlineLevel="2" spans="2:6">
      <c r="B151" s="57" t="s">
        <v>176</v>
      </c>
    </row>
    <row r="152" ht="14.4" hidden="1" outlineLevel="2" spans="2:6">
      <c r="B152" s="49" t="s">
        <v>177</v>
      </c>
    </row>
    <row r="153" ht="14.4" hidden="1" outlineLevel="2" spans="2:6">
      <c r="B153" s="49" t="s">
        <v>178</v>
      </c>
    </row>
    <row r="154" ht="14.4" hidden="1" outlineLevel="2" spans="2:6">
      <c r="B154" s="49" t="s">
        <v>158</v>
      </c>
    </row>
    <row r="155" ht="14.4" hidden="1" outlineLevel="2" spans="2:6">
      <c r="B155" s="34" t="s">
        <v>117</v>
      </c>
      <c r="C155" s="64">
        <f>C156+C157+C159+C158+C160+C161</f>
        <v>0</v>
      </c>
      <c r="D155" s="64">
        <f>D156+D157+D159+D158+D160+D161</f>
        <v>0</v>
      </c>
      <c r="E155" s="64">
        <f>E156+E157+E159+E158+E160+E161</f>
        <v>0</v>
      </c>
      <c r="F155" s="64">
        <f>F156+F157+F159+F158+F160+F161</f>
        <v>0</v>
      </c>
    </row>
    <row r="156" ht="14.4" hidden="1" outlineLevel="2" spans="2:6">
      <c r="B156" s="49" t="s">
        <v>179</v>
      </c>
    </row>
    <row r="157" ht="14.4" hidden="1" outlineLevel="2" spans="2:6">
      <c r="B157" s="49" t="s">
        <v>180</v>
      </c>
    </row>
    <row r="158" ht="14.4" hidden="1" outlineLevel="2" spans="2:6">
      <c r="B158" s="49" t="s">
        <v>181</v>
      </c>
    </row>
    <row r="159" ht="14.4" hidden="1" outlineLevel="2" spans="2:6">
      <c r="B159" s="49" t="s">
        <v>182</v>
      </c>
    </row>
    <row r="160" ht="14.4" hidden="1" outlineLevel="2" spans="2:6">
      <c r="B160" s="49" t="s">
        <v>183</v>
      </c>
    </row>
    <row r="161" ht="14.4" hidden="1" outlineLevel="2" spans="2:6">
      <c r="B161" s="49" t="s">
        <v>184</v>
      </c>
    </row>
    <row r="162" ht="14.4" hidden="1" outlineLevel="2" spans="2:6">
      <c r="B162" s="34" t="s">
        <v>124</v>
      </c>
      <c r="C162" s="64">
        <f>C133+C134</f>
        <v>0</v>
      </c>
      <c r="D162" s="64">
        <f>D133+D134</f>
        <v>0</v>
      </c>
      <c r="E162" s="64">
        <f>E133+E134</f>
        <v>0</v>
      </c>
      <c r="F162" s="64">
        <f>F133+F134</f>
        <v>0</v>
      </c>
    </row>
    <row r="163" hidden="1" outlineLevel="2"/>
    <row r="164" ht="14.4" hidden="1" outlineLevel="2" spans="2:6">
      <c r="B164" s="70" t="s">
        <v>125</v>
      </c>
    </row>
    <row r="165" ht="14.4" hidden="1" outlineLevel="2" spans="2:6">
      <c r="B165" s="67" t="s">
        <v>126</v>
      </c>
    </row>
    <row r="166" ht="14.4" hidden="1" outlineLevel="2" spans="2:6">
      <c r="B166" s="34" t="s">
        <v>127</v>
      </c>
    </row>
    <row r="167" ht="14.4" hidden="1" outlineLevel="2" spans="2:6">
      <c r="B167" s="67" t="s">
        <v>128</v>
      </c>
      <c r="C167" s="64">
        <f>C168+C169+C170</f>
        <v>0</v>
      </c>
      <c r="D167" s="64">
        <f>D168+D169+D170</f>
        <v>0</v>
      </c>
      <c r="E167" s="64">
        <f>E168+E169+E170</f>
        <v>0</v>
      </c>
      <c r="F167" s="64">
        <f>F168+F169+F170</f>
        <v>0</v>
      </c>
    </row>
    <row r="168" ht="14.4" hidden="1" outlineLevel="2" spans="2:6">
      <c r="B168" s="34" t="s">
        <v>129</v>
      </c>
    </row>
    <row r="169" ht="14.4" hidden="1" outlineLevel="2" spans="2:6">
      <c r="B169" s="34" t="s">
        <v>130</v>
      </c>
    </row>
    <row r="170" ht="14.4" hidden="1" outlineLevel="2" spans="2:6">
      <c r="B170" s="34" t="s">
        <v>131</v>
      </c>
    </row>
    <row r="171" ht="14.4" hidden="1" outlineLevel="2" spans="2:6">
      <c r="B171" s="67" t="s">
        <v>93</v>
      </c>
      <c r="C171" s="64">
        <f>C165+C169</f>
        <v>0</v>
      </c>
      <c r="D171" s="64">
        <f>D165+D169</f>
        <v>0</v>
      </c>
      <c r="E171" s="64">
        <f>E165+E169</f>
        <v>0</v>
      </c>
      <c r="F171" s="64">
        <f>F165+F169</f>
        <v>0</v>
      </c>
    </row>
    <row r="172" ht="14.4" hidden="1" outlineLevel="2" spans="2:6">
      <c r="B172" s="34" t="s">
        <v>127</v>
      </c>
      <c r="C172" s="64">
        <f>C166+C170</f>
        <v>0</v>
      </c>
      <c r="D172" s="64">
        <f>D166+D170</f>
        <v>0</v>
      </c>
      <c r="E172" s="64">
        <f>E166+E170</f>
        <v>0</v>
      </c>
      <c r="F172" s="64">
        <f>F166+F170</f>
        <v>0</v>
      </c>
    </row>
    <row r="173" collapsed="1"/>
  </sheetData>
  <mergeCells count="25">
    <mergeCell ref="C2:D2"/>
    <mergeCell ref="J2:Q2"/>
    <mergeCell ref="R2:Y2"/>
    <mergeCell ref="Z2:AG2"/>
    <mergeCell ref="AH2:AO2"/>
    <mergeCell ref="J3:Q3"/>
    <mergeCell ref="R3:Y3"/>
    <mergeCell ref="Z3:AG3"/>
    <mergeCell ref="AH3:AO3"/>
    <mergeCell ref="J4:K4"/>
    <mergeCell ref="L4:M4"/>
    <mergeCell ref="N4:O4"/>
    <mergeCell ref="P4:Q4"/>
    <mergeCell ref="R4:S4"/>
    <mergeCell ref="T4:U4"/>
    <mergeCell ref="V4:W4"/>
    <mergeCell ref="X4:Y4"/>
    <mergeCell ref="Z4:AA4"/>
    <mergeCell ref="AB4:AC4"/>
    <mergeCell ref="AD4:AE4"/>
    <mergeCell ref="AF4:AG4"/>
    <mergeCell ref="AH4:AI4"/>
    <mergeCell ref="AJ4:AK4"/>
    <mergeCell ref="AL4:AM4"/>
    <mergeCell ref="AN4:AO4"/>
  </mergeCells>
  <printOptions horizontalCentered="1"/>
  <pageMargins left="0.433070866141732" right="0.196850393700787" top="0.590551181102362" bottom="0.433070866141732" header="0.511811023622047" footer="0.196850393700787"/>
  <pageSetup paperSize="9" scale="26" fitToHeight="0" orientation="landscape" blackAndWhite="1"/>
  <headerFooter alignWithMargins="0">
    <oddFooter>&amp;C第 &amp;P 页，共 &amp;N 页</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M188"/>
  <sheetViews>
    <sheetView workbookViewId="0">
      <pane xSplit="5" ySplit="4" topLeftCell="F158" activePane="bottomRight" state="frozen"/>
      <selection/>
      <selection pane="topRight"/>
      <selection pane="bottomLeft"/>
      <selection pane="bottomRight" activeCell="G47" sqref="G47"/>
    </sheetView>
  </sheetViews>
  <sheetFormatPr defaultColWidth="8.8" defaultRowHeight="14.4"/>
  <cols>
    <col min="1" max="2" width="8.8" style="36" customWidth="1"/>
    <col min="3" max="3" width="5" style="36" customWidth="1"/>
    <col min="4" max="5" width="22.5" style="36" customWidth="1"/>
    <col min="6" max="6" width="15.3" style="36" customWidth="1"/>
    <col min="7" max="12" width="13.2" style="36" customWidth="1"/>
    <col min="13" max="16384" width="8.8" style="36"/>
  </cols>
  <sheetData>
    <row r="1" spans="1:12">
      <c r="A1" s="14" t="s">
        <v>192</v>
      </c>
    </row>
    <row r="3" spans="1:12">
      <c r="A3" s="35" t="s">
        <v>1</v>
      </c>
      <c r="B3" s="35"/>
      <c r="C3" s="15" t="s">
        <v>193</v>
      </c>
      <c r="D3" s="4" t="s">
        <v>77</v>
      </c>
      <c r="E3" s="34"/>
      <c r="F3" s="34" t="s">
        <v>78</v>
      </c>
      <c r="G3" s="4" t="s">
        <v>194</v>
      </c>
      <c r="H3" s="4" t="s">
        <v>195</v>
      </c>
      <c r="I3" s="4" t="s">
        <v>196</v>
      </c>
      <c r="J3" s="4" t="s">
        <v>197</v>
      </c>
      <c r="K3" s="4" t="s">
        <v>198</v>
      </c>
      <c r="L3" s="4" t="s">
        <v>199</v>
      </c>
    </row>
    <row r="4" spans="1:12">
      <c r="A4" s="35"/>
      <c r="B4" s="35"/>
      <c r="C4" s="15"/>
      <c r="D4" s="4"/>
      <c r="E4" s="42" t="s">
        <v>200</v>
      </c>
      <c r="F4" s="34"/>
      <c r="G4" s="43">
        <v>0.51</v>
      </c>
      <c r="H4" s="4" t="s">
        <v>201</v>
      </c>
      <c r="I4" s="4" t="s">
        <v>201</v>
      </c>
      <c r="J4" s="4" t="s">
        <v>201</v>
      </c>
      <c r="K4" s="4" t="s">
        <v>201</v>
      </c>
      <c r="L4" s="4" t="s">
        <v>201</v>
      </c>
    </row>
    <row r="5" spans="1:12">
      <c r="B5" s="36" t="s">
        <v>202</v>
      </c>
      <c r="C5" s="15"/>
      <c r="D5" s="4"/>
      <c r="E5" s="34"/>
      <c r="F5" s="34"/>
      <c r="G5" s="5"/>
      <c r="H5" s="5"/>
      <c r="I5" s="5"/>
      <c r="J5" s="5"/>
      <c r="K5" s="5"/>
      <c r="L5" s="5"/>
    </row>
    <row r="6" spans="1:12">
      <c r="A6" s="15">
        <v>1</v>
      </c>
      <c r="B6" s="15" t="s">
        <v>203</v>
      </c>
      <c r="C6" s="23" t="s">
        <v>204</v>
      </c>
      <c r="D6" s="28" t="s">
        <v>35</v>
      </c>
      <c r="E6" s="28" t="s">
        <v>72</v>
      </c>
      <c r="F6" s="44">
        <f>SUM(G6:L6)</f>
        <v>0</v>
      </c>
      <c r="G6" s="44">
        <f t="shared" ref="G6:L6" si="0">G8</f>
        <v>0</v>
      </c>
      <c r="H6" s="44">
        <f t="shared" si="0"/>
        <v>0</v>
      </c>
      <c r="I6" s="44">
        <f t="shared" si="0"/>
        <v>0</v>
      </c>
      <c r="J6" s="44">
        <f t="shared" si="0"/>
        <v>0</v>
      </c>
      <c r="K6" s="44">
        <f t="shared" si="0"/>
        <v>0</v>
      </c>
      <c r="L6" s="44">
        <f t="shared" si="0"/>
        <v>0</v>
      </c>
    </row>
    <row r="7" spans="1:12">
      <c r="A7" s="15"/>
      <c r="B7" s="15"/>
      <c r="C7" s="23" t="s">
        <v>204</v>
      </c>
      <c r="D7" s="28" t="s">
        <v>35</v>
      </c>
      <c r="E7" s="28" t="s">
        <v>74</v>
      </c>
      <c r="F7" s="44">
        <f>SUM(G7:L7)</f>
        <v>0</v>
      </c>
      <c r="G7" s="44">
        <f t="shared" ref="G7:L7" si="1">G9+G10+G11+G12+G13+G14</f>
        <v>0</v>
      </c>
      <c r="H7" s="44">
        <f t="shared" si="1"/>
        <v>0</v>
      </c>
      <c r="I7" s="44">
        <f t="shared" si="1"/>
        <v>0</v>
      </c>
      <c r="J7" s="44">
        <f t="shared" si="1"/>
        <v>0</v>
      </c>
      <c r="K7" s="44">
        <f t="shared" si="1"/>
        <v>0</v>
      </c>
      <c r="L7" s="44">
        <f t="shared" si="1"/>
        <v>0</v>
      </c>
    </row>
    <row r="8" spans="1:12">
      <c r="A8" s="15"/>
      <c r="B8" s="15"/>
      <c r="C8" s="4" t="s">
        <v>205</v>
      </c>
      <c r="D8" s="27" t="s">
        <v>151</v>
      </c>
      <c r="F8" s="44">
        <f t="shared" ref="F8:F14" si="2">SUM(G8:L8)</f>
        <v>0</v>
      </c>
    </row>
    <row r="9" spans="1:12">
      <c r="A9" s="15"/>
      <c r="B9" s="15"/>
      <c r="C9" s="4" t="s">
        <v>205</v>
      </c>
      <c r="D9" s="27" t="s">
        <v>87</v>
      </c>
      <c r="F9" s="44">
        <f t="shared" si="2"/>
        <v>0</v>
      </c>
    </row>
    <row r="10" spans="1:12">
      <c r="A10" s="15"/>
      <c r="B10" s="15"/>
      <c r="C10" s="4" t="s">
        <v>205</v>
      </c>
      <c r="D10" s="27" t="s">
        <v>73</v>
      </c>
      <c r="F10" s="44">
        <f t="shared" si="2"/>
        <v>0</v>
      </c>
    </row>
    <row r="11" spans="1:12">
      <c r="A11" s="15"/>
      <c r="B11" s="15"/>
      <c r="C11" s="4" t="s">
        <v>205</v>
      </c>
      <c r="D11" s="45" t="s">
        <v>89</v>
      </c>
      <c r="F11" s="44">
        <f t="shared" si="2"/>
        <v>0</v>
      </c>
    </row>
    <row r="12" spans="1:12">
      <c r="A12" s="15"/>
      <c r="B12" s="15"/>
      <c r="C12" s="4" t="s">
        <v>205</v>
      </c>
      <c r="D12" s="45" t="s">
        <v>86</v>
      </c>
      <c r="F12" s="44">
        <f t="shared" si="2"/>
        <v>0</v>
      </c>
    </row>
    <row r="13" spans="1:12">
      <c r="A13" s="15"/>
      <c r="B13" s="15"/>
      <c r="C13" s="4" t="s">
        <v>205</v>
      </c>
      <c r="D13" s="45" t="s">
        <v>91</v>
      </c>
      <c r="F13" s="44">
        <f t="shared" si="2"/>
        <v>0</v>
      </c>
    </row>
    <row r="14" spans="1:12">
      <c r="A14" s="15"/>
      <c r="B14" s="15"/>
      <c r="C14" s="4" t="s">
        <v>205</v>
      </c>
      <c r="D14" s="30" t="s">
        <v>152</v>
      </c>
      <c r="F14" s="44">
        <f t="shared" si="2"/>
        <v>0</v>
      </c>
    </row>
    <row r="15" spans="1:12">
      <c r="A15" s="15"/>
      <c r="B15" s="15"/>
      <c r="C15" s="15"/>
    </row>
    <row r="17" spans="1:13">
      <c r="A17" s="15">
        <v>2</v>
      </c>
      <c r="B17" s="15" t="s">
        <v>206</v>
      </c>
      <c r="C17" s="23" t="s">
        <v>204</v>
      </c>
      <c r="D17" s="28" t="s">
        <v>35</v>
      </c>
      <c r="E17" s="28" t="s">
        <v>72</v>
      </c>
      <c r="F17" s="44">
        <f t="shared" ref="F17:F29" si="3">SUM(G17:L17)</f>
        <v>0</v>
      </c>
      <c r="G17" s="44">
        <f t="shared" ref="G17:L17" si="4">G19-G25-G26-G27-G28</f>
        <v>0</v>
      </c>
      <c r="H17" s="44">
        <f t="shared" si="4"/>
        <v>0</v>
      </c>
      <c r="I17" s="44">
        <f t="shared" si="4"/>
        <v>0</v>
      </c>
      <c r="J17" s="44">
        <f t="shared" si="4"/>
        <v>0</v>
      </c>
      <c r="K17" s="44">
        <f t="shared" si="4"/>
        <v>0</v>
      </c>
      <c r="L17" s="44">
        <f t="shared" si="4"/>
        <v>0</v>
      </c>
    </row>
    <row r="18" spans="1:13">
      <c r="A18" s="15"/>
      <c r="B18" s="15"/>
      <c r="C18" s="23" t="s">
        <v>204</v>
      </c>
      <c r="D18" s="28" t="s">
        <v>35</v>
      </c>
      <c r="E18" s="28" t="s">
        <v>74</v>
      </c>
      <c r="F18" s="44">
        <f t="shared" si="3"/>
        <v>0</v>
      </c>
      <c r="G18" s="44">
        <f t="shared" ref="G18:L18" si="5">G20+G21+G23+G22+G24</f>
        <v>0</v>
      </c>
      <c r="H18" s="44">
        <f t="shared" si="5"/>
        <v>0</v>
      </c>
      <c r="I18" s="44">
        <f t="shared" si="5"/>
        <v>0</v>
      </c>
      <c r="J18" s="44">
        <f t="shared" si="5"/>
        <v>0</v>
      </c>
      <c r="K18" s="44">
        <f t="shared" si="5"/>
        <v>0</v>
      </c>
      <c r="L18" s="44">
        <f t="shared" si="5"/>
        <v>0</v>
      </c>
    </row>
    <row r="19" spans="1:13">
      <c r="A19" s="15"/>
      <c r="B19" s="15"/>
      <c r="C19" s="4" t="s">
        <v>205</v>
      </c>
      <c r="D19" s="27" t="s">
        <v>154</v>
      </c>
      <c r="E19" s="46"/>
      <c r="F19" s="44">
        <f t="shared" si="3"/>
        <v>0</v>
      </c>
    </row>
    <row r="20" spans="1:13">
      <c r="A20" s="15"/>
      <c r="B20" s="15"/>
      <c r="C20" s="4" t="s">
        <v>205</v>
      </c>
      <c r="D20" s="27" t="s">
        <v>87</v>
      </c>
      <c r="E20" s="5"/>
      <c r="F20" s="44">
        <f t="shared" si="3"/>
        <v>0</v>
      </c>
    </row>
    <row r="21" spans="1:13">
      <c r="A21" s="15"/>
      <c r="B21" s="15"/>
      <c r="C21" s="4" t="s">
        <v>205</v>
      </c>
      <c r="D21" s="27" t="s">
        <v>73</v>
      </c>
      <c r="E21" s="5"/>
      <c r="F21" s="44">
        <f t="shared" si="3"/>
        <v>0</v>
      </c>
    </row>
    <row r="22" spans="1:13">
      <c r="A22" s="15"/>
      <c r="B22" s="15"/>
      <c r="C22" s="4" t="s">
        <v>205</v>
      </c>
      <c r="D22" s="45" t="s">
        <v>89</v>
      </c>
      <c r="E22" s="5"/>
      <c r="F22" s="44">
        <f t="shared" si="3"/>
        <v>0</v>
      </c>
    </row>
    <row r="23" spans="1:13">
      <c r="A23" s="15"/>
      <c r="B23" s="15"/>
      <c r="C23" s="4" t="s">
        <v>205</v>
      </c>
      <c r="D23" s="45" t="s">
        <v>86</v>
      </c>
      <c r="E23" s="5"/>
      <c r="F23" s="44">
        <f t="shared" si="3"/>
        <v>0</v>
      </c>
    </row>
    <row r="24" spans="1:13">
      <c r="A24" s="15"/>
      <c r="B24" s="15"/>
      <c r="C24" s="4" t="s">
        <v>205</v>
      </c>
      <c r="D24" s="45" t="s">
        <v>91</v>
      </c>
      <c r="E24" s="5"/>
      <c r="F24" s="44">
        <f t="shared" si="3"/>
        <v>0</v>
      </c>
    </row>
    <row r="25" spans="1:13">
      <c r="A25" s="15"/>
      <c r="B25" s="15"/>
      <c r="C25" s="4" t="s">
        <v>205</v>
      </c>
      <c r="D25" s="47" t="s">
        <v>155</v>
      </c>
      <c r="E25" s="34" t="s">
        <v>99</v>
      </c>
      <c r="F25" s="44">
        <f t="shared" si="3"/>
        <v>0</v>
      </c>
    </row>
    <row r="26" spans="1:13">
      <c r="A26" s="15"/>
      <c r="B26" s="15"/>
      <c r="C26" s="4" t="s">
        <v>205</v>
      </c>
      <c r="D26" s="47" t="s">
        <v>156</v>
      </c>
      <c r="E26" s="34" t="s">
        <v>99</v>
      </c>
      <c r="F26" s="44">
        <f t="shared" si="3"/>
        <v>0</v>
      </c>
    </row>
    <row r="27" spans="1:13">
      <c r="A27" s="15"/>
      <c r="B27" s="15"/>
      <c r="C27" s="4" t="s">
        <v>205</v>
      </c>
      <c r="D27" s="47" t="s">
        <v>157</v>
      </c>
      <c r="E27" s="34" t="s">
        <v>107</v>
      </c>
      <c r="F27" s="44">
        <f t="shared" si="3"/>
        <v>0</v>
      </c>
    </row>
    <row r="28" spans="1:13">
      <c r="A28" s="15"/>
      <c r="B28" s="15"/>
      <c r="C28" s="4" t="s">
        <v>205</v>
      </c>
      <c r="D28" s="47" t="s">
        <v>158</v>
      </c>
      <c r="E28" s="34" t="s">
        <v>107</v>
      </c>
      <c r="F28" s="44">
        <f t="shared" si="3"/>
        <v>0</v>
      </c>
    </row>
    <row r="29" spans="1:13">
      <c r="A29" s="15"/>
      <c r="B29" s="15"/>
      <c r="C29" s="4" t="s">
        <v>205</v>
      </c>
      <c r="D29" s="36" t="s">
        <v>152</v>
      </c>
      <c r="F29" s="44">
        <f t="shared" si="3"/>
        <v>0</v>
      </c>
    </row>
    <row r="30" spans="1:13">
      <c r="A30" s="15"/>
      <c r="B30" s="15"/>
      <c r="C30" s="4"/>
    </row>
    <row r="31" spans="1:13">
      <c r="A31" s="15">
        <v>3</v>
      </c>
      <c r="B31" s="15" t="s">
        <v>207</v>
      </c>
      <c r="C31" s="4" t="s">
        <v>204</v>
      </c>
      <c r="D31" s="36" t="s">
        <v>154</v>
      </c>
      <c r="F31" s="44">
        <f>SUM(G31:L31)</f>
        <v>0</v>
      </c>
      <c r="G31" s="44">
        <f>'投资明细-成本法和公允值'!D6</f>
        <v>0</v>
      </c>
      <c r="H31" s="44">
        <f>'投资明细-成本法和公允值'!D7</f>
        <v>0</v>
      </c>
      <c r="I31" s="44">
        <f>'投资明细-成本法和公允值'!D8</f>
        <v>0</v>
      </c>
      <c r="J31" s="44">
        <f>'投资明细-成本法和公允值'!D9</f>
        <v>0</v>
      </c>
      <c r="K31" s="44"/>
      <c r="L31" s="44"/>
      <c r="M31" s="44"/>
    </row>
    <row r="32" spans="1:13">
      <c r="A32" s="15"/>
      <c r="B32" s="15"/>
      <c r="C32" s="4" t="s">
        <v>205</v>
      </c>
      <c r="D32" s="30" t="s">
        <v>35</v>
      </c>
      <c r="E32" s="36" t="s">
        <v>72</v>
      </c>
      <c r="F32" s="44">
        <f>SUM(G32:L32)</f>
        <v>0</v>
      </c>
      <c r="G32" s="44">
        <f t="shared" ref="G32:L32" si="6">G31</f>
        <v>0</v>
      </c>
      <c r="H32" s="44">
        <f t="shared" si="6"/>
        <v>0</v>
      </c>
      <c r="I32" s="44">
        <f t="shared" si="6"/>
        <v>0</v>
      </c>
      <c r="J32" s="44">
        <f t="shared" si="6"/>
        <v>0</v>
      </c>
      <c r="K32" s="44">
        <f t="shared" si="6"/>
        <v>0</v>
      </c>
      <c r="L32" s="44">
        <f t="shared" si="6"/>
        <v>0</v>
      </c>
    </row>
    <row r="33" spans="1:13">
      <c r="A33" s="15"/>
      <c r="B33" s="15"/>
      <c r="C33" s="4"/>
    </row>
    <row r="34" spans="1:13">
      <c r="A34" s="15">
        <v>4</v>
      </c>
      <c r="B34" s="15" t="s">
        <v>208</v>
      </c>
      <c r="C34" s="4" t="s">
        <v>204</v>
      </c>
      <c r="D34" s="34" t="s">
        <v>35</v>
      </c>
      <c r="E34" s="34" t="s">
        <v>72</v>
      </c>
    </row>
    <row r="35" spans="1:13">
      <c r="A35" s="15"/>
      <c r="B35" s="15"/>
      <c r="C35" s="4" t="s">
        <v>204</v>
      </c>
      <c r="D35" s="34" t="s">
        <v>35</v>
      </c>
      <c r="E35" s="34" t="s">
        <v>74</v>
      </c>
    </row>
    <row r="36" spans="1:13">
      <c r="A36" s="15"/>
      <c r="B36" s="15"/>
      <c r="C36" s="4" t="s">
        <v>205</v>
      </c>
      <c r="D36" s="48" t="s">
        <v>87</v>
      </c>
      <c r="E36" s="49"/>
    </row>
    <row r="37" spans="1:13">
      <c r="A37" s="15"/>
      <c r="B37" s="15"/>
      <c r="C37" s="4" t="s">
        <v>205</v>
      </c>
      <c r="D37" s="48" t="s">
        <v>154</v>
      </c>
      <c r="E37" s="49"/>
    </row>
    <row r="38" spans="1:13">
      <c r="A38" s="15"/>
      <c r="B38" s="15"/>
      <c r="C38" s="4" t="s">
        <v>205</v>
      </c>
      <c r="D38" s="36" t="s">
        <v>152</v>
      </c>
    </row>
    <row r="40" ht="15" customHeight="1" spans="1:13">
      <c r="A40" s="15"/>
      <c r="B40" s="15" t="s">
        <v>209</v>
      </c>
      <c r="C40" s="23" t="s">
        <v>204</v>
      </c>
      <c r="D40" s="28" t="s">
        <v>35</v>
      </c>
      <c r="E40" s="36" t="s">
        <v>20</v>
      </c>
      <c r="F40" s="44">
        <f>SUM(G40:L40)</f>
        <v>0</v>
      </c>
      <c r="G40" s="44">
        <f>'投资明细-成本法和公允值'!F6</f>
        <v>0</v>
      </c>
      <c r="H40" s="44">
        <f>'投资明细-成本法和公允值'!G6</f>
        <v>0</v>
      </c>
      <c r="I40" s="44">
        <f>'投资明细-成本法和公允值'!H6</f>
        <v>0</v>
      </c>
      <c r="J40" s="44">
        <f>'投资明细-成本法和公允值'!I6</f>
        <v>0</v>
      </c>
      <c r="K40" s="44">
        <f>'投资明细-成本法和公允值'!J6</f>
        <v>0</v>
      </c>
      <c r="L40" s="44">
        <f>'投资明细-成本法和公允值'!K6</f>
        <v>0</v>
      </c>
    </row>
    <row r="41" spans="1:13">
      <c r="A41" s="15"/>
      <c r="B41" s="15"/>
      <c r="C41" s="23" t="s">
        <v>204</v>
      </c>
      <c r="D41" s="28" t="s">
        <v>35</v>
      </c>
      <c r="E41" s="28" t="s">
        <v>72</v>
      </c>
      <c r="F41" s="44">
        <f>SUM(G41:L41)</f>
        <v>0</v>
      </c>
      <c r="G41" s="44">
        <f t="shared" ref="G41:L41" si="7">G6+G17-G32</f>
        <v>0</v>
      </c>
      <c r="H41" s="44">
        <f t="shared" si="7"/>
        <v>0</v>
      </c>
      <c r="I41" s="44">
        <f t="shared" si="7"/>
        <v>0</v>
      </c>
      <c r="J41" s="44">
        <f t="shared" si="7"/>
        <v>0</v>
      </c>
      <c r="K41" s="44">
        <f t="shared" si="7"/>
        <v>0</v>
      </c>
      <c r="L41" s="44">
        <f t="shared" si="7"/>
        <v>0</v>
      </c>
    </row>
    <row r="42" spans="1:13">
      <c r="A42" s="15"/>
      <c r="B42" s="15"/>
      <c r="C42" s="23" t="s">
        <v>204</v>
      </c>
      <c r="D42" s="28" t="s">
        <v>35</v>
      </c>
      <c r="E42" s="28" t="s">
        <v>74</v>
      </c>
      <c r="F42" s="44">
        <f>SUM(G42:L42)</f>
        <v>0</v>
      </c>
      <c r="G42" s="44">
        <f t="shared" ref="G42:L42" si="8">G7+G18</f>
        <v>0</v>
      </c>
      <c r="H42" s="44">
        <f t="shared" si="8"/>
        <v>0</v>
      </c>
      <c r="I42" s="44">
        <f t="shared" si="8"/>
        <v>0</v>
      </c>
      <c r="J42" s="44">
        <f t="shared" si="8"/>
        <v>0</v>
      </c>
      <c r="K42" s="44">
        <f t="shared" si="8"/>
        <v>0</v>
      </c>
      <c r="L42" s="44">
        <f t="shared" si="8"/>
        <v>0</v>
      </c>
    </row>
    <row r="43" spans="1:13">
      <c r="A43" s="15"/>
      <c r="B43" s="15"/>
      <c r="C43" s="23" t="s">
        <v>204</v>
      </c>
      <c r="D43" s="28" t="s">
        <v>35</v>
      </c>
      <c r="E43" s="28" t="s">
        <v>163</v>
      </c>
      <c r="F43" s="44">
        <f>SUM(G43:L43)</f>
        <v>0</v>
      </c>
      <c r="G43" s="44">
        <f>'投资明细-成本法和公允值'!G6</f>
        <v>0</v>
      </c>
      <c r="H43" s="44">
        <f>'投资明细-成本法和公允值'!H6</f>
        <v>0</v>
      </c>
      <c r="I43" s="44">
        <f>'投资明细-成本法和公允值'!I6</f>
        <v>0</v>
      </c>
      <c r="J43" s="44">
        <f>'投资明细-成本法和公允值'!J6</f>
        <v>0</v>
      </c>
      <c r="K43" s="44">
        <f>'投资明细-成本法和公允值'!K6</f>
        <v>0</v>
      </c>
      <c r="L43" s="44">
        <f>'投资明细-成本法和公允值'!L6</f>
        <v>0</v>
      </c>
    </row>
    <row r="44" spans="1:13">
      <c r="A44" s="15"/>
      <c r="B44" s="15"/>
      <c r="D44" s="28" t="s">
        <v>35</v>
      </c>
      <c r="E44" s="36" t="s">
        <v>33</v>
      </c>
      <c r="F44" s="44">
        <f>SUM(G44:L44)</f>
        <v>0</v>
      </c>
      <c r="G44" s="44">
        <f t="shared" ref="G44:L44" si="9">G40+G41+G42-G43</f>
        <v>0</v>
      </c>
      <c r="H44" s="44">
        <f t="shared" si="9"/>
        <v>0</v>
      </c>
      <c r="I44" s="44">
        <f t="shared" si="9"/>
        <v>0</v>
      </c>
      <c r="J44" s="44">
        <f t="shared" si="9"/>
        <v>0</v>
      </c>
      <c r="K44" s="44">
        <f t="shared" si="9"/>
        <v>0</v>
      </c>
      <c r="L44" s="44">
        <f t="shared" si="9"/>
        <v>0</v>
      </c>
    </row>
    <row r="45" spans="1:13">
      <c r="A45" s="50"/>
      <c r="B45" s="50"/>
    </row>
    <row r="46" s="38" customFormat="1" spans="1:13">
      <c r="A46" s="51"/>
      <c r="B46" s="51" t="s">
        <v>210</v>
      </c>
      <c r="D46" s="38" t="s">
        <v>211</v>
      </c>
      <c r="E46" s="38"/>
      <c r="G46" s="52">
        <f>净资产表!E35</f>
        <v>0</v>
      </c>
      <c r="H46" s="52">
        <f>净资产表!F35</f>
        <v>0</v>
      </c>
      <c r="I46" s="52">
        <f>净资产表!G35</f>
        <v>0</v>
      </c>
      <c r="J46" s="52">
        <f>净资产表!H35</f>
        <v>0</v>
      </c>
      <c r="K46" s="52">
        <f>净资产表!I35</f>
        <v>0</v>
      </c>
      <c r="L46" s="52">
        <f>净资产表!J35</f>
        <v>0</v>
      </c>
      <c r="M46" s="52">
        <f>净资产表!K35</f>
        <v>0</v>
      </c>
    </row>
    <row r="47" s="38" customFormat="1" spans="1:13">
      <c r="A47" s="51"/>
      <c r="B47" s="51"/>
      <c r="D47" s="38" t="s">
        <v>212</v>
      </c>
      <c r="E47" s="41"/>
      <c r="F47" s="41"/>
      <c r="G47" s="53"/>
      <c r="H47" s="53"/>
      <c r="I47" s="53"/>
      <c r="J47" s="53"/>
      <c r="K47" s="53"/>
      <c r="L47" s="53"/>
      <c r="M47" s="53"/>
    </row>
    <row r="48" spans="1:13">
      <c r="A48" s="51"/>
      <c r="B48" s="51"/>
      <c r="D48" s="36" t="s">
        <v>213</v>
      </c>
      <c r="E48" s="36" t="s">
        <v>214</v>
      </c>
      <c r="G48" s="44">
        <f t="shared" ref="G48:L48" si="10">G46*G4-G44+G47</f>
        <v>0</v>
      </c>
      <c r="H48" s="44" t="e">
        <f t="shared" si="10"/>
        <v>#VALUE!</v>
      </c>
      <c r="I48" s="44" t="e">
        <f t="shared" si="10"/>
        <v>#VALUE!</v>
      </c>
      <c r="J48" s="44" t="e">
        <f t="shared" si="10"/>
        <v>#VALUE!</v>
      </c>
      <c r="K48" s="44" t="e">
        <f t="shared" si="10"/>
        <v>#VALUE!</v>
      </c>
      <c r="L48" s="44" t="e">
        <f t="shared" si="10"/>
        <v>#VALUE!</v>
      </c>
      <c r="M48" s="44">
        <f>M46*M4-M44</f>
        <v>0</v>
      </c>
    </row>
    <row r="49" spans="1:7">
      <c r="A49" s="51"/>
      <c r="B49" s="51"/>
      <c r="D49" s="36" t="s">
        <v>168</v>
      </c>
      <c r="E49" s="36" t="s">
        <v>215</v>
      </c>
    </row>
    <row r="50" spans="1:7">
      <c r="A50" s="50"/>
      <c r="B50" s="50"/>
    </row>
    <row r="51" s="39" customFormat="1" spans="1:7">
      <c r="A51" s="54"/>
      <c r="B51" s="54"/>
    </row>
    <row r="52" s="40" customFormat="1" spans="1:7">
      <c r="A52" s="55" t="s">
        <v>216</v>
      </c>
      <c r="B52" s="55"/>
      <c r="G52" s="40" t="s">
        <v>21</v>
      </c>
    </row>
    <row r="53" spans="1:7">
      <c r="B53" s="36" t="s">
        <v>217</v>
      </c>
      <c r="E53" s="42" t="s">
        <v>200</v>
      </c>
      <c r="F53" s="36" t="s">
        <v>218</v>
      </c>
    </row>
    <row r="54" spans="1:7">
      <c r="A54" s="50"/>
      <c r="B54" s="50"/>
    </row>
    <row r="55" spans="1:7">
      <c r="A55" s="15">
        <v>4</v>
      </c>
      <c r="B55" s="15" t="s">
        <v>219</v>
      </c>
      <c r="C55" s="23" t="s">
        <v>204</v>
      </c>
      <c r="D55" s="28" t="s">
        <v>35</v>
      </c>
      <c r="E55" s="28" t="s">
        <v>20</v>
      </c>
    </row>
    <row r="56" spans="1:7">
      <c r="A56" s="15"/>
      <c r="B56" s="15"/>
      <c r="C56" s="4" t="s">
        <v>205</v>
      </c>
      <c r="D56" s="45" t="s">
        <v>39</v>
      </c>
      <c r="E56" s="46"/>
    </row>
    <row r="57" spans="1:7">
      <c r="A57" s="15"/>
      <c r="B57" s="15"/>
      <c r="C57" s="4" t="s">
        <v>205</v>
      </c>
      <c r="D57" s="45" t="s">
        <v>43</v>
      </c>
      <c r="E57" s="28" t="s">
        <v>220</v>
      </c>
    </row>
    <row r="58" spans="1:7">
      <c r="A58" s="15"/>
      <c r="B58" s="15"/>
      <c r="C58" s="4" t="s">
        <v>205</v>
      </c>
      <c r="D58" s="45" t="s">
        <v>45</v>
      </c>
      <c r="E58" s="46"/>
    </row>
    <row r="59" spans="1:7">
      <c r="A59" s="15"/>
      <c r="B59" s="15"/>
      <c r="C59" s="4" t="s">
        <v>205</v>
      </c>
      <c r="D59" s="45" t="s">
        <v>46</v>
      </c>
      <c r="E59" s="46"/>
    </row>
    <row r="60" spans="1:7">
      <c r="A60" s="15"/>
      <c r="B60" s="15"/>
      <c r="C60" s="4" t="s">
        <v>205</v>
      </c>
      <c r="D60" s="45" t="s">
        <v>47</v>
      </c>
      <c r="E60" s="46"/>
    </row>
    <row r="61" spans="1:7">
      <c r="A61" s="15"/>
      <c r="B61" s="15"/>
      <c r="C61" s="4" t="s">
        <v>205</v>
      </c>
      <c r="D61" s="27" t="s">
        <v>151</v>
      </c>
      <c r="E61" s="28" t="s">
        <v>221</v>
      </c>
    </row>
    <row r="62" spans="1:7">
      <c r="A62" s="15"/>
      <c r="B62" s="15"/>
      <c r="C62" s="4" t="s">
        <v>205</v>
      </c>
      <c r="D62" s="27" t="s">
        <v>73</v>
      </c>
      <c r="E62" s="28" t="s">
        <v>222</v>
      </c>
    </row>
    <row r="63" spans="1:7">
      <c r="A63" s="15"/>
      <c r="B63" s="15"/>
      <c r="C63" s="4" t="s">
        <v>205</v>
      </c>
      <c r="D63" s="30" t="s">
        <v>152</v>
      </c>
      <c r="E63" s="46"/>
    </row>
    <row r="64" spans="1:7">
      <c r="A64" s="15"/>
      <c r="B64" s="15"/>
      <c r="C64" s="5"/>
      <c r="D64" s="29"/>
      <c r="E64" s="46"/>
    </row>
    <row r="65" spans="1:5">
      <c r="A65" s="15">
        <v>5</v>
      </c>
      <c r="B65" s="15" t="s">
        <v>203</v>
      </c>
      <c r="C65" s="23" t="s">
        <v>204</v>
      </c>
      <c r="D65" s="28" t="s">
        <v>35</v>
      </c>
      <c r="E65" s="28" t="s">
        <v>72</v>
      </c>
    </row>
    <row r="66" spans="1:5">
      <c r="A66" s="15"/>
      <c r="B66" s="15"/>
      <c r="C66" s="23" t="s">
        <v>204</v>
      </c>
      <c r="D66" s="28" t="s">
        <v>35</v>
      </c>
      <c r="E66" s="28" t="s">
        <v>74</v>
      </c>
    </row>
    <row r="67" spans="1:5">
      <c r="A67" s="15"/>
      <c r="B67" s="15"/>
      <c r="C67" s="4" t="s">
        <v>205</v>
      </c>
      <c r="D67" s="27" t="s">
        <v>87</v>
      </c>
      <c r="E67" s="46"/>
    </row>
    <row r="68" spans="1:5">
      <c r="A68" s="15"/>
      <c r="B68" s="15"/>
      <c r="C68" s="4" t="s">
        <v>205</v>
      </c>
      <c r="D68" s="27" t="s">
        <v>73</v>
      </c>
      <c r="E68" s="46"/>
    </row>
    <row r="69" spans="1:5">
      <c r="A69" s="15"/>
      <c r="B69" s="15"/>
      <c r="C69" s="4" t="s">
        <v>205</v>
      </c>
      <c r="D69" s="45" t="s">
        <v>89</v>
      </c>
      <c r="E69" s="46"/>
    </row>
    <row r="70" spans="1:5">
      <c r="A70" s="15"/>
      <c r="B70" s="15"/>
      <c r="C70" s="4" t="s">
        <v>205</v>
      </c>
      <c r="D70" s="45" t="s">
        <v>86</v>
      </c>
      <c r="E70" s="46"/>
    </row>
    <row r="71" spans="1:5">
      <c r="A71" s="15"/>
      <c r="B71" s="15"/>
      <c r="C71" s="4" t="s">
        <v>205</v>
      </c>
      <c r="D71" s="45" t="s">
        <v>91</v>
      </c>
      <c r="E71" s="46"/>
    </row>
    <row r="72" spans="1:5">
      <c r="A72" s="15"/>
      <c r="B72" s="15"/>
      <c r="C72" s="4" t="s">
        <v>205</v>
      </c>
      <c r="D72" s="30" t="s">
        <v>152</v>
      </c>
      <c r="E72" s="46"/>
    </row>
    <row r="74" spans="1:5">
      <c r="A74" s="15">
        <v>6</v>
      </c>
      <c r="B74" s="15" t="s">
        <v>206</v>
      </c>
      <c r="C74" s="23" t="s">
        <v>204</v>
      </c>
      <c r="D74" s="28" t="s">
        <v>35</v>
      </c>
      <c r="E74" s="28" t="s">
        <v>72</v>
      </c>
    </row>
    <row r="75" spans="1:5">
      <c r="A75" s="15"/>
      <c r="B75" s="15"/>
      <c r="C75" s="23" t="s">
        <v>204</v>
      </c>
      <c r="D75" s="28" t="s">
        <v>35</v>
      </c>
      <c r="E75" s="28" t="s">
        <v>74</v>
      </c>
    </row>
    <row r="76" spans="1:5">
      <c r="A76" s="15"/>
      <c r="B76" s="15"/>
      <c r="C76" s="4" t="s">
        <v>205</v>
      </c>
      <c r="D76" s="27" t="s">
        <v>154</v>
      </c>
      <c r="E76" s="46"/>
    </row>
    <row r="77" spans="1:5">
      <c r="A77" s="15"/>
      <c r="B77" s="15"/>
      <c r="C77" s="4" t="s">
        <v>205</v>
      </c>
      <c r="D77" s="27" t="s">
        <v>223</v>
      </c>
      <c r="E77" s="46"/>
    </row>
    <row r="78" spans="1:5">
      <c r="A78" s="15"/>
      <c r="B78" s="15"/>
      <c r="C78" s="4" t="s">
        <v>205</v>
      </c>
      <c r="D78" s="27" t="s">
        <v>87</v>
      </c>
      <c r="E78" s="5"/>
    </row>
    <row r="79" spans="1:5">
      <c r="A79" s="15"/>
      <c r="B79" s="15"/>
      <c r="C79" s="4" t="s">
        <v>205</v>
      </c>
      <c r="D79" s="27" t="s">
        <v>73</v>
      </c>
      <c r="E79" s="5"/>
    </row>
    <row r="80" spans="1:5">
      <c r="A80" s="15"/>
      <c r="B80" s="15"/>
      <c r="C80" s="4" t="s">
        <v>205</v>
      </c>
      <c r="D80" s="45" t="s">
        <v>89</v>
      </c>
      <c r="E80" s="5"/>
    </row>
    <row r="81" spans="1:5">
      <c r="A81" s="15"/>
      <c r="B81" s="15"/>
      <c r="C81" s="4" t="s">
        <v>205</v>
      </c>
      <c r="D81" s="45" t="s">
        <v>86</v>
      </c>
      <c r="E81" s="5"/>
    </row>
    <row r="82" spans="1:5">
      <c r="A82" s="15"/>
      <c r="B82" s="15"/>
      <c r="C82" s="4" t="s">
        <v>205</v>
      </c>
      <c r="D82" s="45" t="s">
        <v>91</v>
      </c>
      <c r="E82" s="5"/>
    </row>
    <row r="83" spans="1:5">
      <c r="A83" s="15"/>
      <c r="B83" s="15"/>
      <c r="C83" s="4" t="s">
        <v>205</v>
      </c>
      <c r="D83" s="47" t="s">
        <v>155</v>
      </c>
      <c r="E83" s="34" t="s">
        <v>99</v>
      </c>
    </row>
    <row r="84" spans="1:5">
      <c r="A84" s="15"/>
      <c r="B84" s="15"/>
      <c r="C84" s="4" t="s">
        <v>205</v>
      </c>
      <c r="D84" s="47" t="s">
        <v>156</v>
      </c>
      <c r="E84" s="34" t="s">
        <v>99</v>
      </c>
    </row>
    <row r="85" spans="1:5">
      <c r="A85" s="15"/>
      <c r="B85" s="15"/>
      <c r="C85" s="4" t="s">
        <v>205</v>
      </c>
      <c r="D85" s="47" t="s">
        <v>157</v>
      </c>
      <c r="E85" s="34" t="s">
        <v>107</v>
      </c>
    </row>
    <row r="86" spans="1:5">
      <c r="A86" s="15"/>
      <c r="B86" s="15"/>
      <c r="C86" s="4" t="s">
        <v>205</v>
      </c>
      <c r="D86" s="47" t="s">
        <v>158</v>
      </c>
      <c r="E86" s="34" t="s">
        <v>107</v>
      </c>
    </row>
    <row r="87" spans="1:5">
      <c r="A87" s="15"/>
      <c r="B87" s="15"/>
      <c r="C87" s="23" t="s">
        <v>204</v>
      </c>
      <c r="D87" s="28" t="s">
        <v>35</v>
      </c>
      <c r="E87" s="36" t="s">
        <v>20</v>
      </c>
    </row>
    <row r="88" spans="1:5">
      <c r="A88" s="50"/>
      <c r="B88" s="50"/>
      <c r="C88" s="5"/>
      <c r="D88" s="47"/>
      <c r="E88" s="49"/>
    </row>
    <row r="89" spans="1:5">
      <c r="A89" s="15">
        <v>7</v>
      </c>
      <c r="B89" s="15" t="s">
        <v>224</v>
      </c>
      <c r="C89" s="23" t="s">
        <v>204</v>
      </c>
      <c r="D89" s="28" t="s">
        <v>35</v>
      </c>
      <c r="E89" s="28" t="s">
        <v>20</v>
      </c>
    </row>
    <row r="90" spans="1:5">
      <c r="A90" s="15"/>
      <c r="B90" s="15"/>
      <c r="C90" s="4" t="s">
        <v>205</v>
      </c>
      <c r="D90" s="45" t="s">
        <v>39</v>
      </c>
      <c r="E90" s="46"/>
    </row>
    <row r="91" spans="1:5">
      <c r="A91" s="15"/>
      <c r="B91" s="15"/>
      <c r="C91" s="4" t="s">
        <v>205</v>
      </c>
      <c r="D91" s="45" t="s">
        <v>43</v>
      </c>
      <c r="E91" s="28" t="s">
        <v>220</v>
      </c>
    </row>
    <row r="92" spans="1:5">
      <c r="A92" s="15"/>
      <c r="B92" s="15"/>
      <c r="C92" s="4" t="s">
        <v>205</v>
      </c>
      <c r="D92" s="45" t="s">
        <v>45</v>
      </c>
      <c r="E92" s="46"/>
    </row>
    <row r="93" spans="1:5">
      <c r="A93" s="15"/>
      <c r="B93" s="15"/>
      <c r="C93" s="4" t="s">
        <v>205</v>
      </c>
      <c r="D93" s="45" t="s">
        <v>46</v>
      </c>
      <c r="E93" s="46"/>
    </row>
    <row r="94" spans="1:5">
      <c r="A94" s="15"/>
      <c r="B94" s="15"/>
      <c r="C94" s="4" t="s">
        <v>205</v>
      </c>
      <c r="D94" s="45" t="s">
        <v>47</v>
      </c>
      <c r="E94" s="46"/>
    </row>
    <row r="95" spans="1:5">
      <c r="A95" s="15"/>
      <c r="B95" s="15"/>
      <c r="C95" s="4" t="s">
        <v>205</v>
      </c>
      <c r="D95" s="45" t="s">
        <v>87</v>
      </c>
      <c r="E95" s="28" t="s">
        <v>225</v>
      </c>
    </row>
    <row r="96" spans="1:5">
      <c r="A96" s="15"/>
      <c r="B96" s="15"/>
      <c r="C96" s="4" t="s">
        <v>205</v>
      </c>
      <c r="D96" s="27" t="s">
        <v>154</v>
      </c>
      <c r="E96" s="28" t="s">
        <v>221</v>
      </c>
    </row>
    <row r="97" spans="1:5">
      <c r="A97" s="15"/>
      <c r="B97" s="15"/>
      <c r="C97" s="4" t="s">
        <v>205</v>
      </c>
      <c r="D97" s="27" t="s">
        <v>73</v>
      </c>
      <c r="E97" s="28" t="s">
        <v>222</v>
      </c>
    </row>
    <row r="98" spans="1:5">
      <c r="A98" s="15"/>
      <c r="B98" s="15"/>
      <c r="C98" s="4" t="s">
        <v>205</v>
      </c>
      <c r="D98" s="30" t="s">
        <v>152</v>
      </c>
      <c r="E98" s="46"/>
    </row>
    <row r="99" customFormat="1" ht="15.6" spans="1:5">
      <c r="A99" s="15"/>
      <c r="B99" s="15"/>
      <c r="C99" s="4"/>
      <c r="D99" s="30"/>
      <c r="E99" s="46"/>
    </row>
    <row r="100" customFormat="1" ht="15.6" spans="1:5">
      <c r="A100" s="15">
        <v>8</v>
      </c>
      <c r="B100" s="15" t="s">
        <v>207</v>
      </c>
      <c r="C100" s="23" t="s">
        <v>204</v>
      </c>
      <c r="D100" s="36" t="s">
        <v>154</v>
      </c>
      <c r="E100" s="36"/>
    </row>
    <row r="101" customFormat="1" ht="15.6" spans="1:5">
      <c r="A101" s="15"/>
      <c r="B101" s="15"/>
      <c r="C101" s="4" t="s">
        <v>205</v>
      </c>
      <c r="D101" s="30" t="s">
        <v>35</v>
      </c>
      <c r="E101" s="36" t="s">
        <v>72</v>
      </c>
    </row>
    <row r="102" customFormat="1" ht="15.6" spans="1:5">
      <c r="A102" s="15"/>
      <c r="B102" s="15"/>
      <c r="C102" s="4"/>
      <c r="D102" s="30"/>
      <c r="E102" s="46"/>
    </row>
    <row r="103" customFormat="1" ht="15.6" spans="1:5">
      <c r="A103" s="15">
        <v>9</v>
      </c>
      <c r="B103" s="15" t="s">
        <v>208</v>
      </c>
      <c r="C103" s="4" t="s">
        <v>204</v>
      </c>
      <c r="D103" s="34" t="s">
        <v>35</v>
      </c>
      <c r="E103" s="34" t="s">
        <v>72</v>
      </c>
    </row>
    <row r="104" customFormat="1" ht="15.6" spans="1:5">
      <c r="A104" s="15"/>
      <c r="B104" s="15"/>
      <c r="C104" s="4" t="s">
        <v>204</v>
      </c>
      <c r="D104" s="34" t="s">
        <v>35</v>
      </c>
      <c r="E104" s="34" t="s">
        <v>74</v>
      </c>
    </row>
    <row r="105" customFormat="1" ht="15.6" spans="1:5">
      <c r="A105" s="15"/>
      <c r="B105" s="15"/>
      <c r="C105" s="4" t="s">
        <v>205</v>
      </c>
      <c r="D105" s="48" t="s">
        <v>87</v>
      </c>
      <c r="E105" s="49"/>
    </row>
    <row r="106" customFormat="1" ht="15.6" spans="1:5">
      <c r="A106" s="15"/>
      <c r="B106" s="15"/>
      <c r="C106" s="4" t="s">
        <v>205</v>
      </c>
      <c r="D106" s="48" t="s">
        <v>154</v>
      </c>
      <c r="E106" s="49"/>
    </row>
    <row r="107" customFormat="1" ht="15.6" spans="1:5">
      <c r="A107" s="15"/>
      <c r="B107" s="15"/>
      <c r="C107" s="4" t="s">
        <v>205</v>
      </c>
      <c r="D107" s="36" t="s">
        <v>152</v>
      </c>
      <c r="E107" s="36"/>
    </row>
    <row r="108" s="41" customFormat="1"/>
    <row r="109" spans="1:5">
      <c r="A109" s="15"/>
      <c r="B109" s="15" t="s">
        <v>209</v>
      </c>
      <c r="C109" s="23" t="s">
        <v>204</v>
      </c>
      <c r="D109" s="28" t="s">
        <v>35</v>
      </c>
      <c r="E109" s="28" t="s">
        <v>20</v>
      </c>
    </row>
    <row r="110" spans="1:5">
      <c r="A110" s="15"/>
      <c r="B110" s="15"/>
      <c r="C110" s="23" t="s">
        <v>204</v>
      </c>
      <c r="D110" s="28" t="s">
        <v>35</v>
      </c>
      <c r="E110" s="28" t="s">
        <v>72</v>
      </c>
    </row>
    <row r="111" spans="1:5">
      <c r="A111" s="15"/>
      <c r="B111" s="15"/>
      <c r="C111" s="23" t="s">
        <v>204</v>
      </c>
      <c r="D111" s="28" t="s">
        <v>35</v>
      </c>
      <c r="E111" s="28" t="s">
        <v>74</v>
      </c>
    </row>
    <row r="112" spans="1:5">
      <c r="A112" s="15"/>
      <c r="B112" s="15"/>
      <c r="D112" s="28" t="s">
        <v>35</v>
      </c>
      <c r="E112" s="36" t="s">
        <v>33</v>
      </c>
    </row>
    <row r="114" s="38" customFormat="1" spans="1:13">
      <c r="A114" s="51"/>
      <c r="B114" s="51" t="s">
        <v>210</v>
      </c>
      <c r="D114" s="38" t="s">
        <v>211</v>
      </c>
      <c r="G114" s="52"/>
      <c r="H114" s="52"/>
      <c r="I114" s="52"/>
      <c r="J114" s="52"/>
      <c r="K114" s="52"/>
      <c r="L114" s="52"/>
      <c r="M114" s="52"/>
    </row>
    <row r="115" spans="1:13">
      <c r="A115" s="51"/>
      <c r="B115" s="51"/>
      <c r="D115" s="36" t="s">
        <v>213</v>
      </c>
      <c r="E115" s="36" t="s">
        <v>214</v>
      </c>
      <c r="G115" s="44"/>
      <c r="H115" s="44"/>
      <c r="I115" s="44"/>
      <c r="J115" s="44"/>
      <c r="K115" s="44"/>
      <c r="L115" s="44"/>
      <c r="M115" s="44"/>
    </row>
    <row r="116" spans="1:13">
      <c r="A116" s="51"/>
      <c r="B116" s="51"/>
      <c r="D116" s="36" t="s">
        <v>168</v>
      </c>
      <c r="E116" s="36" t="s">
        <v>215</v>
      </c>
    </row>
    <row r="118" spans="1:13">
      <c r="D118" s="36" t="s">
        <v>226</v>
      </c>
      <c r="E118" s="27" t="s">
        <v>87</v>
      </c>
      <c r="F118" s="44">
        <f>SUM(G118:M118)</f>
        <v>0</v>
      </c>
      <c r="G118" s="44">
        <f>G20+G78+G95</f>
        <v>0</v>
      </c>
      <c r="H118" s="44">
        <f t="shared" ref="H118:M118" si="11">H20+H78+H95</f>
        <v>0</v>
      </c>
      <c r="I118" s="44">
        <f t="shared" si="11"/>
        <v>0</v>
      </c>
      <c r="J118" s="44">
        <f t="shared" si="11"/>
        <v>0</v>
      </c>
      <c r="K118" s="44">
        <f t="shared" si="11"/>
        <v>0</v>
      </c>
      <c r="L118" s="44">
        <f t="shared" si="11"/>
        <v>0</v>
      </c>
      <c r="M118" s="44">
        <f t="shared" si="11"/>
        <v>0</v>
      </c>
    </row>
    <row r="119" spans="1:13">
      <c r="D119" s="36" t="s">
        <v>226</v>
      </c>
      <c r="E119" s="27" t="s">
        <v>73</v>
      </c>
      <c r="F119" s="44">
        <f>SUM(G119:M119)</f>
        <v>0</v>
      </c>
      <c r="G119" s="44">
        <f>G21+G79+G97</f>
        <v>0</v>
      </c>
      <c r="H119" s="44">
        <f t="shared" ref="H119:M119" si="12">H21+H79+H97</f>
        <v>0</v>
      </c>
      <c r="I119" s="44">
        <f t="shared" si="12"/>
        <v>0</v>
      </c>
      <c r="J119" s="44">
        <f t="shared" si="12"/>
        <v>0</v>
      </c>
      <c r="K119" s="44">
        <f t="shared" si="12"/>
        <v>0</v>
      </c>
      <c r="L119" s="44">
        <f t="shared" si="12"/>
        <v>0</v>
      </c>
      <c r="M119" s="44">
        <f t="shared" si="12"/>
        <v>0</v>
      </c>
    </row>
    <row r="121" s="40" customFormat="1" spans="1:13">
      <c r="A121" s="55" t="s">
        <v>227</v>
      </c>
      <c r="B121" s="55"/>
      <c r="G121" s="40" t="s">
        <v>21</v>
      </c>
    </row>
    <row r="122" spans="1:13">
      <c r="B122" s="36" t="s">
        <v>217</v>
      </c>
      <c r="E122" s="42" t="s">
        <v>200</v>
      </c>
      <c r="F122" s="36" t="s">
        <v>218</v>
      </c>
    </row>
    <row r="123" spans="1:13">
      <c r="A123" s="50"/>
      <c r="B123" s="50"/>
    </row>
    <row r="124" spans="1:13">
      <c r="A124" s="15"/>
      <c r="B124" s="15" t="s">
        <v>219</v>
      </c>
      <c r="C124" s="23" t="s">
        <v>204</v>
      </c>
      <c r="D124" s="28" t="s">
        <v>35</v>
      </c>
      <c r="E124" s="28" t="s">
        <v>20</v>
      </c>
    </row>
    <row r="125" spans="1:13">
      <c r="A125" s="15"/>
      <c r="B125" s="15"/>
      <c r="C125" s="4" t="s">
        <v>205</v>
      </c>
      <c r="D125" s="45" t="s">
        <v>39</v>
      </c>
      <c r="E125" s="46"/>
    </row>
    <row r="126" spans="1:13">
      <c r="A126" s="15"/>
      <c r="B126" s="15"/>
      <c r="C126" s="4" t="s">
        <v>205</v>
      </c>
      <c r="D126" s="45" t="s">
        <v>43</v>
      </c>
      <c r="E126" s="28" t="s">
        <v>220</v>
      </c>
    </row>
    <row r="127" spans="1:13">
      <c r="A127" s="15"/>
      <c r="B127" s="15"/>
      <c r="C127" s="4" t="s">
        <v>205</v>
      </c>
      <c r="D127" s="45" t="s">
        <v>45</v>
      </c>
      <c r="E127" s="46"/>
    </row>
    <row r="128" spans="1:13">
      <c r="A128" s="15"/>
      <c r="B128" s="15"/>
      <c r="C128" s="4" t="s">
        <v>205</v>
      </c>
      <c r="D128" s="45" t="s">
        <v>46</v>
      </c>
      <c r="E128" s="46"/>
    </row>
    <row r="129" spans="1:5">
      <c r="A129" s="15"/>
      <c r="B129" s="15"/>
      <c r="C129" s="4" t="s">
        <v>205</v>
      </c>
      <c r="D129" s="45" t="s">
        <v>47</v>
      </c>
      <c r="E129" s="46"/>
    </row>
    <row r="130" spans="1:5">
      <c r="A130" s="15"/>
      <c r="B130" s="15"/>
      <c r="C130" s="4" t="s">
        <v>205</v>
      </c>
      <c r="D130" s="27" t="s">
        <v>151</v>
      </c>
      <c r="E130" s="28" t="s">
        <v>221</v>
      </c>
    </row>
    <row r="131" spans="1:5">
      <c r="A131" s="15"/>
      <c r="B131" s="15"/>
      <c r="C131" s="4" t="s">
        <v>205</v>
      </c>
      <c r="D131" s="27" t="s">
        <v>73</v>
      </c>
      <c r="E131" s="28" t="s">
        <v>222</v>
      </c>
    </row>
    <row r="132" spans="1:5">
      <c r="A132" s="15"/>
      <c r="B132" s="15"/>
      <c r="C132" s="4" t="s">
        <v>205</v>
      </c>
      <c r="D132" s="30" t="s">
        <v>152</v>
      </c>
      <c r="E132" s="46"/>
    </row>
    <row r="133" spans="1:5">
      <c r="A133" s="15"/>
      <c r="B133" s="15"/>
      <c r="C133" s="5"/>
      <c r="D133" s="29"/>
      <c r="E133" s="46"/>
    </row>
    <row r="134" spans="1:5">
      <c r="A134" s="15"/>
      <c r="B134" s="15" t="s">
        <v>203</v>
      </c>
      <c r="C134" s="23" t="s">
        <v>204</v>
      </c>
      <c r="D134" s="28" t="s">
        <v>35</v>
      </c>
      <c r="E134" s="28" t="s">
        <v>72</v>
      </c>
    </row>
    <row r="135" spans="1:5">
      <c r="A135" s="15"/>
      <c r="B135" s="15"/>
      <c r="C135" s="23" t="s">
        <v>204</v>
      </c>
      <c r="D135" s="28" t="s">
        <v>35</v>
      </c>
      <c r="E135" s="28" t="s">
        <v>74</v>
      </c>
    </row>
    <row r="136" spans="1:5">
      <c r="A136" s="15"/>
      <c r="B136" s="15"/>
      <c r="C136" s="4" t="s">
        <v>205</v>
      </c>
      <c r="D136" s="27" t="s">
        <v>87</v>
      </c>
      <c r="E136" s="46"/>
    </row>
    <row r="137" spans="1:5">
      <c r="A137" s="15"/>
      <c r="B137" s="15"/>
      <c r="C137" s="4" t="s">
        <v>205</v>
      </c>
      <c r="D137" s="27" t="s">
        <v>73</v>
      </c>
      <c r="E137" s="46"/>
    </row>
    <row r="138" spans="1:5">
      <c r="A138" s="15"/>
      <c r="B138" s="15"/>
      <c r="C138" s="4" t="s">
        <v>205</v>
      </c>
      <c r="D138" s="45" t="s">
        <v>89</v>
      </c>
      <c r="E138" s="46"/>
    </row>
    <row r="139" spans="1:5">
      <c r="A139" s="15"/>
      <c r="B139" s="15"/>
      <c r="C139" s="4" t="s">
        <v>205</v>
      </c>
      <c r="D139" s="45" t="s">
        <v>86</v>
      </c>
      <c r="E139" s="46"/>
    </row>
    <row r="140" spans="1:5">
      <c r="A140" s="15"/>
      <c r="B140" s="15"/>
      <c r="C140" s="4" t="s">
        <v>205</v>
      </c>
      <c r="D140" s="45" t="s">
        <v>91</v>
      </c>
      <c r="E140" s="46"/>
    </row>
    <row r="141" spans="1:5">
      <c r="A141" s="15"/>
      <c r="B141" s="15"/>
      <c r="C141" s="4" t="s">
        <v>205</v>
      </c>
      <c r="D141" s="30" t="s">
        <v>152</v>
      </c>
      <c r="E141" s="46"/>
    </row>
    <row r="143" spans="1:5">
      <c r="A143" s="15"/>
      <c r="B143" s="15" t="s">
        <v>206</v>
      </c>
      <c r="C143" s="23" t="s">
        <v>204</v>
      </c>
      <c r="D143" s="28" t="s">
        <v>35</v>
      </c>
      <c r="E143" s="28" t="s">
        <v>72</v>
      </c>
    </row>
    <row r="144" spans="1:5">
      <c r="A144" s="15"/>
      <c r="B144" s="15"/>
      <c r="C144" s="23" t="s">
        <v>204</v>
      </c>
      <c r="D144" s="28" t="s">
        <v>35</v>
      </c>
      <c r="E144" s="28" t="s">
        <v>74</v>
      </c>
    </row>
    <row r="145" spans="1:5">
      <c r="A145" s="15"/>
      <c r="B145" s="15"/>
      <c r="C145" s="4" t="s">
        <v>205</v>
      </c>
      <c r="D145" s="27" t="s">
        <v>154</v>
      </c>
      <c r="E145" s="46"/>
    </row>
    <row r="146" spans="1:5">
      <c r="A146" s="15"/>
      <c r="B146" s="15"/>
      <c r="C146" s="4" t="s">
        <v>205</v>
      </c>
      <c r="D146" s="27" t="s">
        <v>223</v>
      </c>
      <c r="E146" s="46"/>
    </row>
    <row r="147" spans="1:5">
      <c r="A147" s="15"/>
      <c r="B147" s="15"/>
      <c r="C147" s="4" t="s">
        <v>205</v>
      </c>
      <c r="D147" s="27" t="s">
        <v>87</v>
      </c>
      <c r="E147" s="5"/>
    </row>
    <row r="148" spans="1:5">
      <c r="A148" s="15"/>
      <c r="B148" s="15"/>
      <c r="C148" s="4" t="s">
        <v>205</v>
      </c>
      <c r="D148" s="27" t="s">
        <v>73</v>
      </c>
      <c r="E148" s="5"/>
    </row>
    <row r="149" spans="1:5">
      <c r="A149" s="15"/>
      <c r="B149" s="15"/>
      <c r="C149" s="4" t="s">
        <v>205</v>
      </c>
      <c r="D149" s="45" t="s">
        <v>89</v>
      </c>
      <c r="E149" s="5"/>
    </row>
    <row r="150" spans="1:5">
      <c r="A150" s="15"/>
      <c r="B150" s="15"/>
      <c r="C150" s="4" t="s">
        <v>205</v>
      </c>
      <c r="D150" s="45" t="s">
        <v>86</v>
      </c>
      <c r="E150" s="5"/>
    </row>
    <row r="151" spans="1:5">
      <c r="A151" s="15"/>
      <c r="B151" s="15"/>
      <c r="C151" s="4" t="s">
        <v>205</v>
      </c>
      <c r="D151" s="45" t="s">
        <v>91</v>
      </c>
      <c r="E151" s="5"/>
    </row>
    <row r="152" spans="1:5">
      <c r="A152" s="15"/>
      <c r="B152" s="15"/>
      <c r="C152" s="4" t="s">
        <v>205</v>
      </c>
      <c r="D152" s="47" t="s">
        <v>155</v>
      </c>
      <c r="E152" s="34" t="s">
        <v>99</v>
      </c>
    </row>
    <row r="153" spans="1:5">
      <c r="A153" s="15"/>
      <c r="B153" s="15"/>
      <c r="C153" s="4" t="s">
        <v>205</v>
      </c>
      <c r="D153" s="47" t="s">
        <v>156</v>
      </c>
      <c r="E153" s="34" t="s">
        <v>99</v>
      </c>
    </row>
    <row r="154" spans="1:5">
      <c r="A154" s="15"/>
      <c r="B154" s="15"/>
      <c r="C154" s="4" t="s">
        <v>205</v>
      </c>
      <c r="D154" s="47" t="s">
        <v>157</v>
      </c>
      <c r="E154" s="34" t="s">
        <v>107</v>
      </c>
    </row>
    <row r="155" spans="1:5">
      <c r="A155" s="15"/>
      <c r="B155" s="15"/>
      <c r="C155" s="4" t="s">
        <v>205</v>
      </c>
      <c r="D155" s="47" t="s">
        <v>158</v>
      </c>
      <c r="E155" s="34" t="s">
        <v>107</v>
      </c>
    </row>
    <row r="156" spans="1:5">
      <c r="A156" s="15"/>
      <c r="B156" s="15"/>
      <c r="C156" s="23" t="s">
        <v>204</v>
      </c>
      <c r="D156" s="28" t="s">
        <v>35</v>
      </c>
      <c r="E156" s="36" t="s">
        <v>20</v>
      </c>
    </row>
    <row r="157" spans="1:5">
      <c r="A157" s="50"/>
      <c r="B157" s="50"/>
      <c r="C157" s="5"/>
      <c r="D157" s="47"/>
      <c r="E157" s="49"/>
    </row>
    <row r="158" spans="1:5">
      <c r="A158" s="15"/>
      <c r="B158" s="15" t="s">
        <v>224</v>
      </c>
      <c r="C158" s="23" t="s">
        <v>204</v>
      </c>
      <c r="D158" s="28" t="s">
        <v>35</v>
      </c>
      <c r="E158" s="28" t="s">
        <v>20</v>
      </c>
    </row>
    <row r="159" spans="1:5">
      <c r="A159" s="15"/>
      <c r="B159" s="15"/>
      <c r="C159" s="4" t="s">
        <v>205</v>
      </c>
      <c r="D159" s="45" t="s">
        <v>39</v>
      </c>
      <c r="E159" s="46"/>
    </row>
    <row r="160" spans="1:5">
      <c r="A160" s="15"/>
      <c r="B160" s="15"/>
      <c r="C160" s="4" t="s">
        <v>205</v>
      </c>
      <c r="D160" s="45" t="s">
        <v>43</v>
      </c>
      <c r="E160" s="28" t="s">
        <v>220</v>
      </c>
    </row>
    <row r="161" spans="1:5">
      <c r="A161" s="15"/>
      <c r="B161" s="15"/>
      <c r="C161" s="4" t="s">
        <v>205</v>
      </c>
      <c r="D161" s="45" t="s">
        <v>45</v>
      </c>
      <c r="E161" s="46"/>
    </row>
    <row r="162" spans="1:5">
      <c r="A162" s="15"/>
      <c r="B162" s="15"/>
      <c r="C162" s="4" t="s">
        <v>205</v>
      </c>
      <c r="D162" s="45" t="s">
        <v>46</v>
      </c>
      <c r="E162" s="46"/>
    </row>
    <row r="163" spans="1:5">
      <c r="A163" s="15"/>
      <c r="B163" s="15"/>
      <c r="C163" s="4" t="s">
        <v>205</v>
      </c>
      <c r="D163" s="45" t="s">
        <v>47</v>
      </c>
      <c r="E163" s="46"/>
    </row>
    <row r="164" spans="1:5">
      <c r="A164" s="15"/>
      <c r="B164" s="15"/>
      <c r="C164" s="4" t="s">
        <v>205</v>
      </c>
      <c r="D164" s="45" t="s">
        <v>87</v>
      </c>
      <c r="E164" s="28" t="s">
        <v>225</v>
      </c>
    </row>
    <row r="165" spans="1:5">
      <c r="A165" s="15"/>
      <c r="B165" s="15"/>
      <c r="C165" s="4" t="s">
        <v>205</v>
      </c>
      <c r="D165" s="27" t="s">
        <v>154</v>
      </c>
      <c r="E165" s="28" t="s">
        <v>221</v>
      </c>
    </row>
    <row r="166" spans="1:5">
      <c r="A166" s="15"/>
      <c r="B166" s="15"/>
      <c r="C166" s="4" t="s">
        <v>205</v>
      </c>
      <c r="D166" s="27" t="s">
        <v>73</v>
      </c>
      <c r="E166" s="28" t="s">
        <v>222</v>
      </c>
    </row>
    <row r="167" spans="1:5">
      <c r="A167" s="15"/>
      <c r="B167" s="15"/>
      <c r="C167" s="4" t="s">
        <v>205</v>
      </c>
      <c r="D167" s="30" t="s">
        <v>152</v>
      </c>
      <c r="E167" s="46"/>
    </row>
    <row r="168" customFormat="1" ht="15.6" spans="1:5">
      <c r="A168" s="15"/>
      <c r="B168" s="15"/>
      <c r="C168" s="4"/>
      <c r="D168" s="30"/>
      <c r="E168" s="46"/>
    </row>
    <row r="169" customFormat="1" ht="15.6" spans="1:5">
      <c r="A169" s="15"/>
      <c r="B169" s="15" t="s">
        <v>207</v>
      </c>
      <c r="C169" s="23" t="s">
        <v>204</v>
      </c>
      <c r="D169" s="36" t="s">
        <v>154</v>
      </c>
      <c r="E169" s="36"/>
    </row>
    <row r="170" customFormat="1" ht="15.6" spans="1:5">
      <c r="A170" s="15"/>
      <c r="B170" s="15"/>
      <c r="C170" s="4" t="s">
        <v>205</v>
      </c>
      <c r="D170" s="30" t="s">
        <v>35</v>
      </c>
      <c r="E170" s="36" t="s">
        <v>72</v>
      </c>
    </row>
    <row r="171" customFormat="1" ht="15.6" spans="1:5">
      <c r="A171" s="15"/>
      <c r="B171" s="15"/>
      <c r="C171" s="4"/>
      <c r="D171" s="30"/>
      <c r="E171" s="46"/>
    </row>
    <row r="172" customFormat="1" ht="15.6" spans="1:5">
      <c r="A172" s="15">
        <v>9</v>
      </c>
      <c r="B172" s="15" t="s">
        <v>208</v>
      </c>
      <c r="C172" s="4" t="s">
        <v>204</v>
      </c>
      <c r="D172" s="34" t="s">
        <v>35</v>
      </c>
      <c r="E172" s="34" t="s">
        <v>72</v>
      </c>
    </row>
    <row r="173" customFormat="1" ht="15.6" spans="1:5">
      <c r="A173" s="15"/>
      <c r="B173" s="15"/>
      <c r="C173" s="4" t="s">
        <v>204</v>
      </c>
      <c r="D173" s="34" t="s">
        <v>35</v>
      </c>
      <c r="E173" s="34" t="s">
        <v>74</v>
      </c>
    </row>
    <row r="174" customFormat="1" ht="15.6" spans="1:5">
      <c r="A174" s="15"/>
      <c r="B174" s="15"/>
      <c r="C174" s="4" t="s">
        <v>205</v>
      </c>
      <c r="D174" s="48" t="s">
        <v>87</v>
      </c>
      <c r="E174" s="49"/>
    </row>
    <row r="175" customFormat="1" ht="15.6" spans="1:5">
      <c r="A175" s="15"/>
      <c r="B175" s="15"/>
      <c r="C175" s="4" t="s">
        <v>205</v>
      </c>
      <c r="D175" s="48" t="s">
        <v>154</v>
      </c>
      <c r="E175" s="49"/>
    </row>
    <row r="176" customFormat="1" ht="15.6" spans="1:5">
      <c r="A176" s="15"/>
      <c r="B176" s="15"/>
      <c r="C176" s="4" t="s">
        <v>205</v>
      </c>
      <c r="D176" s="36" t="s">
        <v>152</v>
      </c>
      <c r="E176" s="36"/>
    </row>
    <row r="177" s="41" customFormat="1"/>
    <row r="178" spans="1:13">
      <c r="A178" s="15"/>
      <c r="B178" s="15" t="s">
        <v>209</v>
      </c>
      <c r="C178" s="23" t="s">
        <v>204</v>
      </c>
      <c r="D178" s="28" t="s">
        <v>35</v>
      </c>
      <c r="E178" s="28" t="s">
        <v>20</v>
      </c>
    </row>
    <row r="179" spans="1:13">
      <c r="A179" s="15"/>
      <c r="B179" s="15"/>
      <c r="C179" s="23" t="s">
        <v>204</v>
      </c>
      <c r="D179" s="28" t="s">
        <v>35</v>
      </c>
      <c r="E179" s="28" t="s">
        <v>72</v>
      </c>
    </row>
    <row r="180" spans="1:13">
      <c r="A180" s="15"/>
      <c r="B180" s="15"/>
      <c r="C180" s="23" t="s">
        <v>204</v>
      </c>
      <c r="D180" s="28" t="s">
        <v>35</v>
      </c>
      <c r="E180" s="28" t="s">
        <v>74</v>
      </c>
    </row>
    <row r="181" spans="1:13">
      <c r="A181" s="15"/>
      <c r="B181" s="15"/>
      <c r="D181" s="28" t="s">
        <v>35</v>
      </c>
      <c r="E181" s="36" t="s">
        <v>33</v>
      </c>
    </row>
    <row r="183" s="38" customFormat="1" spans="1:13">
      <c r="A183" s="51"/>
      <c r="B183" s="51" t="s">
        <v>210</v>
      </c>
      <c r="D183" s="38" t="s">
        <v>211</v>
      </c>
      <c r="G183" s="52"/>
      <c r="H183" s="52"/>
      <c r="I183" s="52"/>
      <c r="J183" s="52"/>
      <c r="K183" s="52"/>
      <c r="L183" s="52"/>
      <c r="M183" s="52"/>
    </row>
    <row r="184" spans="1:13">
      <c r="A184" s="51"/>
      <c r="B184" s="51"/>
      <c r="D184" s="36" t="s">
        <v>213</v>
      </c>
      <c r="E184" s="36" t="s">
        <v>214</v>
      </c>
      <c r="G184" s="44"/>
      <c r="H184" s="44"/>
      <c r="I184" s="44"/>
      <c r="J184" s="44"/>
      <c r="K184" s="44"/>
      <c r="L184" s="44"/>
      <c r="M184" s="44"/>
    </row>
    <row r="185" spans="1:13">
      <c r="A185" s="51"/>
      <c r="B185" s="51"/>
      <c r="D185" s="36" t="s">
        <v>168</v>
      </c>
      <c r="E185" s="36" t="s">
        <v>215</v>
      </c>
    </row>
    <row r="188" spans="1:13">
      <c r="D188" s="36" t="s">
        <v>228</v>
      </c>
    </row>
  </sheetData>
  <mergeCells count="48">
    <mergeCell ref="A3:A4"/>
    <mergeCell ref="A6:A15"/>
    <mergeCell ref="A17:A29"/>
    <mergeCell ref="A31:A32"/>
    <mergeCell ref="A34:A38"/>
    <mergeCell ref="A40:A44"/>
    <mergeCell ref="A46:A49"/>
    <mergeCell ref="A55:A63"/>
    <mergeCell ref="A65:A72"/>
    <mergeCell ref="A74:A87"/>
    <mergeCell ref="A89:A98"/>
    <mergeCell ref="A100:A101"/>
    <mergeCell ref="A103:A107"/>
    <mergeCell ref="A109:A112"/>
    <mergeCell ref="A114:A116"/>
    <mergeCell ref="A124:A132"/>
    <mergeCell ref="A134:A141"/>
    <mergeCell ref="A143:A156"/>
    <mergeCell ref="A158:A167"/>
    <mergeCell ref="A169:A170"/>
    <mergeCell ref="A172:A176"/>
    <mergeCell ref="A178:A181"/>
    <mergeCell ref="A183:A185"/>
    <mergeCell ref="B3:B4"/>
    <mergeCell ref="B6:B15"/>
    <mergeCell ref="B17:B29"/>
    <mergeCell ref="B31:B32"/>
    <mergeCell ref="B34:B38"/>
    <mergeCell ref="B40:B44"/>
    <mergeCell ref="B46:B49"/>
    <mergeCell ref="B55:B63"/>
    <mergeCell ref="B65:B72"/>
    <mergeCell ref="B74:B87"/>
    <mergeCell ref="B89:B98"/>
    <mergeCell ref="B100:B101"/>
    <mergeCell ref="B103:B107"/>
    <mergeCell ref="B109:B112"/>
    <mergeCell ref="B114:B116"/>
    <mergeCell ref="B124:B132"/>
    <mergeCell ref="B134:B141"/>
    <mergeCell ref="B143:B156"/>
    <mergeCell ref="B158:B167"/>
    <mergeCell ref="B169:B170"/>
    <mergeCell ref="B172:B176"/>
    <mergeCell ref="B178:B181"/>
    <mergeCell ref="B183:B185"/>
    <mergeCell ref="C3:C4"/>
    <mergeCell ref="D3:D4"/>
  </mergeCells>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K54"/>
  <sheetViews>
    <sheetView workbookViewId="0">
      <pane xSplit="5" ySplit="4" topLeftCell="F5" activePane="bottomRight" state="frozen"/>
      <selection/>
      <selection pane="topRight"/>
      <selection pane="bottomLeft"/>
      <selection pane="bottomRight" activeCell="D49" sqref="D49"/>
    </sheetView>
  </sheetViews>
  <sheetFormatPr defaultColWidth="8.8" defaultRowHeight="13.8"/>
  <cols>
    <col min="1" max="1" width="3.8" style="13" customWidth="1"/>
    <col min="2" max="2" width="5.2" style="13" customWidth="1"/>
    <col min="3" max="3" width="33.5" style="13" customWidth="1"/>
    <col min="4" max="4" width="23.9" style="13" customWidth="1"/>
    <col min="5" max="5" width="13.5" style="13" customWidth="1"/>
    <col min="6" max="6" width="15.2" style="13" customWidth="1"/>
    <col min="7" max="11" width="14.1" style="13" customWidth="1"/>
    <col min="12" max="16384" width="8.8" style="13"/>
  </cols>
  <sheetData>
    <row r="1" ht="14.4" spans="1:11">
      <c r="A1" s="14" t="s">
        <v>229</v>
      </c>
    </row>
    <row r="3" ht="14.4" spans="1:11">
      <c r="A3" s="4" t="s">
        <v>1</v>
      </c>
      <c r="B3" s="15" t="s">
        <v>193</v>
      </c>
      <c r="C3" s="4" t="s">
        <v>77</v>
      </c>
      <c r="D3" s="4" t="s">
        <v>145</v>
      </c>
      <c r="E3" s="4" t="s">
        <v>78</v>
      </c>
      <c r="F3" s="4" t="s">
        <v>194</v>
      </c>
      <c r="G3" s="4" t="s">
        <v>195</v>
      </c>
      <c r="H3" s="4" t="s">
        <v>196</v>
      </c>
      <c r="I3" s="4" t="s">
        <v>197</v>
      </c>
      <c r="J3" s="4" t="s">
        <v>198</v>
      </c>
      <c r="K3" s="4" t="s">
        <v>199</v>
      </c>
    </row>
    <row r="4" ht="14.4" spans="1:11">
      <c r="A4" s="5"/>
      <c r="B4" s="16"/>
      <c r="C4" s="5"/>
      <c r="D4" s="5"/>
      <c r="E4" s="5"/>
      <c r="F4" s="4" t="s">
        <v>201</v>
      </c>
      <c r="G4" s="4" t="s">
        <v>201</v>
      </c>
      <c r="H4" s="4" t="s">
        <v>201</v>
      </c>
      <c r="I4" s="4" t="s">
        <v>201</v>
      </c>
      <c r="J4" s="4" t="s">
        <v>201</v>
      </c>
      <c r="K4" s="4" t="s">
        <v>201</v>
      </c>
    </row>
    <row r="5" s="12" customFormat="1" spans="1:11">
      <c r="A5" s="17"/>
      <c r="B5" s="17"/>
      <c r="C5" s="18"/>
      <c r="D5" s="19"/>
      <c r="E5" s="20"/>
      <c r="F5" s="20"/>
      <c r="G5" s="20"/>
      <c r="H5" s="20"/>
      <c r="I5" s="20"/>
      <c r="J5" s="20"/>
      <c r="K5" s="20"/>
    </row>
    <row r="6" ht="14.4" spans="1:11">
      <c r="A6" s="5">
        <v>1</v>
      </c>
      <c r="C6" s="21" t="s">
        <v>230</v>
      </c>
      <c r="D6" s="22"/>
    </row>
    <row r="7" ht="14.4" spans="1:11">
      <c r="A7" s="5"/>
      <c r="B7" s="23" t="s">
        <v>204</v>
      </c>
      <c r="C7" s="24" t="s">
        <v>85</v>
      </c>
      <c r="D7" s="25"/>
      <c r="E7" s="26">
        <f>SUM(F7:L7)</f>
        <v>0</v>
      </c>
      <c r="F7" s="26">
        <f>净资产表!E36</f>
        <v>0</v>
      </c>
      <c r="G7" s="26">
        <f>净资产表!F36</f>
        <v>0</v>
      </c>
      <c r="H7" s="26">
        <f>净资产表!G36</f>
        <v>0</v>
      </c>
      <c r="I7" s="26">
        <f>净资产表!H36</f>
        <v>0</v>
      </c>
      <c r="J7" s="26">
        <f>净资产表!I36</f>
        <v>0</v>
      </c>
      <c r="K7" s="26">
        <f>净资产表!J36</f>
        <v>0</v>
      </c>
    </row>
    <row r="8" ht="14.4" spans="1:11">
      <c r="A8" s="5"/>
      <c r="B8" s="23" t="s">
        <v>204</v>
      </c>
      <c r="C8" s="24" t="s">
        <v>86</v>
      </c>
      <c r="D8" s="25"/>
      <c r="E8" s="26">
        <f t="shared" ref="E8:E21" si="0">SUM(F8:L8)</f>
        <v>0</v>
      </c>
      <c r="F8" s="26">
        <f>净资产表!E37</f>
        <v>0</v>
      </c>
      <c r="G8" s="26">
        <f>净资产表!F37</f>
        <v>0</v>
      </c>
      <c r="H8" s="26">
        <f>净资产表!G37</f>
        <v>0</v>
      </c>
      <c r="I8" s="26">
        <f>净资产表!H37</f>
        <v>0</v>
      </c>
      <c r="J8" s="26">
        <f>净资产表!I37</f>
        <v>0</v>
      </c>
      <c r="K8" s="26">
        <f>净资产表!J37</f>
        <v>0</v>
      </c>
    </row>
    <row r="9" ht="14.4" spans="1:11">
      <c r="A9" s="5"/>
      <c r="B9" s="23" t="s">
        <v>204</v>
      </c>
      <c r="C9" s="24" t="s">
        <v>87</v>
      </c>
      <c r="D9" s="25"/>
      <c r="E9" s="26">
        <f t="shared" si="0"/>
        <v>0</v>
      </c>
      <c r="F9" s="26">
        <f>净资产表!E38</f>
        <v>0</v>
      </c>
      <c r="G9" s="26">
        <f>净资产表!F38</f>
        <v>0</v>
      </c>
      <c r="H9" s="26">
        <f>净资产表!G38</f>
        <v>0</v>
      </c>
      <c r="I9" s="26">
        <f>净资产表!H38</f>
        <v>0</v>
      </c>
      <c r="J9" s="26">
        <f>净资产表!I38</f>
        <v>0</v>
      </c>
      <c r="K9" s="26">
        <f>净资产表!J38</f>
        <v>0</v>
      </c>
    </row>
    <row r="10" ht="14.4" spans="1:11">
      <c r="A10" s="5"/>
      <c r="B10" s="23" t="s">
        <v>204</v>
      </c>
      <c r="C10" s="24" t="s">
        <v>88</v>
      </c>
      <c r="D10" s="25"/>
      <c r="E10" s="26">
        <f t="shared" si="0"/>
        <v>0</v>
      </c>
      <c r="F10" s="26">
        <f>净资产表!E39</f>
        <v>0</v>
      </c>
      <c r="G10" s="26">
        <f>净资产表!F39</f>
        <v>0</v>
      </c>
      <c r="H10" s="26">
        <f>净资产表!G39</f>
        <v>0</v>
      </c>
      <c r="I10" s="26">
        <f>净资产表!H39</f>
        <v>0</v>
      </c>
      <c r="J10" s="26">
        <f>净资产表!I39</f>
        <v>0</v>
      </c>
      <c r="K10" s="26">
        <f>净资产表!J39</f>
        <v>0</v>
      </c>
    </row>
    <row r="11" ht="14.4" spans="1:11">
      <c r="A11" s="5"/>
      <c r="B11" s="23" t="s">
        <v>204</v>
      </c>
      <c r="C11" s="24" t="s">
        <v>73</v>
      </c>
      <c r="D11" s="25"/>
      <c r="E11" s="26">
        <f t="shared" si="0"/>
        <v>0</v>
      </c>
      <c r="F11" s="26">
        <f>净资产表!E40</f>
        <v>0</v>
      </c>
      <c r="G11" s="26">
        <f>净资产表!F40</f>
        <v>0</v>
      </c>
      <c r="H11" s="26">
        <f>净资产表!G40</f>
        <v>0</v>
      </c>
      <c r="I11" s="26">
        <f>净资产表!H40</f>
        <v>0</v>
      </c>
      <c r="J11" s="26">
        <f>净资产表!I40</f>
        <v>0</v>
      </c>
      <c r="K11" s="26">
        <f>净资产表!J40</f>
        <v>0</v>
      </c>
    </row>
    <row r="12" ht="14.4" spans="1:11">
      <c r="A12" s="5"/>
      <c r="B12" s="23" t="s">
        <v>204</v>
      </c>
      <c r="C12" s="24" t="s">
        <v>89</v>
      </c>
      <c r="D12" s="25"/>
      <c r="E12" s="26">
        <f t="shared" si="0"/>
        <v>0</v>
      </c>
      <c r="F12" s="26">
        <f>净资产表!E41</f>
        <v>0</v>
      </c>
      <c r="G12" s="26">
        <f>净资产表!F41</f>
        <v>0</v>
      </c>
      <c r="H12" s="26">
        <f>净资产表!G41</f>
        <v>0</v>
      </c>
      <c r="I12" s="26">
        <f>净资产表!H41</f>
        <v>0</v>
      </c>
      <c r="J12" s="26">
        <f>净资产表!I41</f>
        <v>0</v>
      </c>
      <c r="K12" s="26">
        <f>净资产表!J41</f>
        <v>0</v>
      </c>
    </row>
    <row r="13" ht="14.4" spans="1:11">
      <c r="A13" s="5"/>
      <c r="B13" s="23" t="s">
        <v>204</v>
      </c>
      <c r="C13" s="24" t="s">
        <v>90</v>
      </c>
      <c r="D13" s="25"/>
      <c r="E13" s="26">
        <f t="shared" si="0"/>
        <v>0</v>
      </c>
      <c r="F13" s="26">
        <f>净资产表!E42</f>
        <v>0</v>
      </c>
      <c r="G13" s="26">
        <f>净资产表!F42</f>
        <v>0</v>
      </c>
      <c r="H13" s="26">
        <f>净资产表!G42</f>
        <v>0</v>
      </c>
      <c r="I13" s="26">
        <f>净资产表!H42</f>
        <v>0</v>
      </c>
      <c r="J13" s="26">
        <f>净资产表!I42</f>
        <v>0</v>
      </c>
      <c r="K13" s="26">
        <f>净资产表!J42</f>
        <v>0</v>
      </c>
    </row>
    <row r="14" ht="14.4" spans="1:11">
      <c r="A14" s="5"/>
      <c r="B14" s="23" t="s">
        <v>204</v>
      </c>
      <c r="C14" s="24" t="s">
        <v>91</v>
      </c>
      <c r="D14" s="25"/>
      <c r="E14" s="26">
        <f t="shared" si="0"/>
        <v>0</v>
      </c>
      <c r="F14" s="26">
        <f>净资产表!E43</f>
        <v>0</v>
      </c>
      <c r="G14" s="26">
        <f>净资产表!F43</f>
        <v>0</v>
      </c>
      <c r="H14" s="26">
        <f>净资产表!G43</f>
        <v>0</v>
      </c>
      <c r="I14" s="26">
        <f>净资产表!H43</f>
        <v>0</v>
      </c>
      <c r="J14" s="26">
        <f>净资产表!I43</f>
        <v>0</v>
      </c>
      <c r="K14" s="26">
        <f>净资产表!J43</f>
        <v>0</v>
      </c>
    </row>
    <row r="15" ht="14.4" spans="1:11">
      <c r="A15" s="5"/>
      <c r="B15" s="23" t="s">
        <v>204</v>
      </c>
      <c r="C15" s="24" t="s">
        <v>92</v>
      </c>
      <c r="D15" s="25"/>
      <c r="E15" s="26">
        <f t="shared" si="0"/>
        <v>0</v>
      </c>
      <c r="F15" s="26">
        <f>净资产表!E44</f>
        <v>0</v>
      </c>
      <c r="G15" s="26">
        <f>净资产表!F44</f>
        <v>0</v>
      </c>
      <c r="H15" s="26">
        <f>净资产表!G44</f>
        <v>0</v>
      </c>
      <c r="I15" s="26">
        <f>净资产表!H44</f>
        <v>0</v>
      </c>
      <c r="J15" s="26">
        <f>净资产表!I44</f>
        <v>0</v>
      </c>
      <c r="K15" s="26">
        <f>净资产表!J44</f>
        <v>0</v>
      </c>
    </row>
    <row r="16" ht="14.4" spans="1:11">
      <c r="A16" s="5"/>
      <c r="B16" s="23" t="s">
        <v>204</v>
      </c>
      <c r="C16" s="24" t="s">
        <v>231</v>
      </c>
      <c r="D16" s="25"/>
      <c r="E16" s="26">
        <f t="shared" si="0"/>
        <v>0</v>
      </c>
      <c r="F16" s="26">
        <f>模拟权益法!G47</f>
        <v>0</v>
      </c>
      <c r="G16" s="26">
        <f>模拟权益法!H47</f>
        <v>0</v>
      </c>
      <c r="H16" s="26">
        <f>模拟权益法!I47</f>
        <v>0</v>
      </c>
      <c r="I16" s="26">
        <f>模拟权益法!J47</f>
        <v>0</v>
      </c>
      <c r="J16" s="26">
        <f>模拟权益法!K47</f>
        <v>0</v>
      </c>
      <c r="K16" s="26">
        <f>模拟权益法!L47</f>
        <v>0</v>
      </c>
    </row>
    <row r="17" ht="14.4" spans="1:11">
      <c r="A17" s="5"/>
      <c r="B17" s="23" t="s">
        <v>204</v>
      </c>
      <c r="C17" s="24" t="s">
        <v>35</v>
      </c>
      <c r="D17" s="24" t="s">
        <v>59</v>
      </c>
      <c r="E17" s="26">
        <f t="shared" si="0"/>
        <v>0</v>
      </c>
      <c r="F17" s="26">
        <f>模拟权益法!G44</f>
        <v>0</v>
      </c>
      <c r="G17" s="26">
        <f>模拟权益法!H44</f>
        <v>0</v>
      </c>
      <c r="H17" s="26">
        <f>模拟权益法!I44</f>
        <v>0</v>
      </c>
      <c r="I17" s="26">
        <f>模拟权益法!J44</f>
        <v>0</v>
      </c>
      <c r="J17" s="26">
        <f>模拟权益法!K44</f>
        <v>0</v>
      </c>
      <c r="K17" s="26">
        <f>模拟权益法!L44</f>
        <v>0</v>
      </c>
    </row>
    <row r="18" ht="14.4" spans="1:11">
      <c r="A18" s="5"/>
      <c r="B18" s="23" t="s">
        <v>205</v>
      </c>
      <c r="C18" s="27" t="s">
        <v>35</v>
      </c>
      <c r="D18" s="28" t="s">
        <v>20</v>
      </c>
      <c r="E18" s="26">
        <f t="shared" si="0"/>
        <v>0</v>
      </c>
      <c r="F18" s="26">
        <f>模拟权益法!G40</f>
        <v>0</v>
      </c>
      <c r="G18" s="26">
        <f>模拟权益法!H40</f>
        <v>0</v>
      </c>
      <c r="H18" s="26">
        <f>模拟权益法!I40</f>
        <v>0</v>
      </c>
      <c r="I18" s="26">
        <f>模拟权益法!J40</f>
        <v>0</v>
      </c>
      <c r="J18" s="26">
        <f>模拟权益法!K40</f>
        <v>0</v>
      </c>
      <c r="K18" s="26">
        <f>模拟权益法!L40</f>
        <v>0</v>
      </c>
    </row>
    <row r="19" ht="14.4" spans="1:11">
      <c r="A19" s="5"/>
      <c r="B19" s="23" t="s">
        <v>205</v>
      </c>
      <c r="C19" s="27" t="s">
        <v>35</v>
      </c>
      <c r="D19" s="28" t="s">
        <v>72</v>
      </c>
      <c r="E19" s="26">
        <f t="shared" si="0"/>
        <v>0</v>
      </c>
      <c r="F19" s="26">
        <f>模拟权益法!G41</f>
        <v>0</v>
      </c>
      <c r="G19" s="26">
        <f>模拟权益法!H41</f>
        <v>0</v>
      </c>
      <c r="H19" s="26">
        <f>模拟权益法!I41</f>
        <v>0</v>
      </c>
      <c r="I19" s="26">
        <f>模拟权益法!J41</f>
        <v>0</v>
      </c>
      <c r="J19" s="26">
        <f>模拟权益法!K41</f>
        <v>0</v>
      </c>
      <c r="K19" s="26">
        <f>模拟权益法!L41</f>
        <v>0</v>
      </c>
    </row>
    <row r="20" ht="14.4" spans="1:11">
      <c r="A20" s="5"/>
      <c r="B20" s="23" t="s">
        <v>205</v>
      </c>
      <c r="C20" s="27" t="s">
        <v>35</v>
      </c>
      <c r="D20" s="28" t="s">
        <v>74</v>
      </c>
      <c r="E20" s="26">
        <f t="shared" si="0"/>
        <v>0</v>
      </c>
      <c r="F20" s="26">
        <f>模拟权益法!G42</f>
        <v>0</v>
      </c>
      <c r="G20" s="26">
        <f>模拟权益法!H42</f>
        <v>0</v>
      </c>
      <c r="H20" s="26">
        <f>模拟权益法!I42</f>
        <v>0</v>
      </c>
      <c r="I20" s="26">
        <f>模拟权益法!J42</f>
        <v>0</v>
      </c>
      <c r="J20" s="26">
        <f>模拟权益法!K42</f>
        <v>0</v>
      </c>
      <c r="K20" s="26">
        <f>模拟权益法!L42</f>
        <v>0</v>
      </c>
    </row>
    <row r="21" ht="14.4" spans="1:11">
      <c r="A21" s="5"/>
      <c r="B21" s="23" t="s">
        <v>205</v>
      </c>
      <c r="C21" s="27" t="s">
        <v>232</v>
      </c>
      <c r="D21" s="29"/>
      <c r="E21" s="26">
        <f t="shared" si="0"/>
        <v>0</v>
      </c>
      <c r="F21" s="26">
        <f t="shared" ref="F21:K21" si="1">SUM(F7:F17)-F18-F19-F20</f>
        <v>0</v>
      </c>
      <c r="G21" s="26">
        <f t="shared" si="1"/>
        <v>0</v>
      </c>
      <c r="H21" s="26">
        <f t="shared" si="1"/>
        <v>0</v>
      </c>
      <c r="I21" s="26">
        <f t="shared" si="1"/>
        <v>0</v>
      </c>
      <c r="J21" s="26">
        <f t="shared" si="1"/>
        <v>0</v>
      </c>
      <c r="K21" s="26">
        <f t="shared" si="1"/>
        <v>0</v>
      </c>
    </row>
    <row r="22" ht="14.4" spans="1:11">
      <c r="A22" s="5"/>
      <c r="B22" s="4" t="s">
        <v>205</v>
      </c>
      <c r="C22" s="30" t="s">
        <v>152</v>
      </c>
      <c r="D22" s="26"/>
      <c r="E22" s="26"/>
      <c r="F22" s="26"/>
      <c r="G22" s="26"/>
      <c r="H22" s="26"/>
      <c r="I22" s="26"/>
      <c r="J22" s="26"/>
      <c r="K22" s="26"/>
    </row>
    <row r="23" s="12" customFormat="1" spans="1:11">
      <c r="B23" s="31"/>
      <c r="C23" s="31"/>
      <c r="D23" s="31"/>
      <c r="E23" s="31"/>
      <c r="F23" s="31"/>
      <c r="G23" s="31"/>
      <c r="H23" s="31"/>
      <c r="I23" s="31"/>
      <c r="J23" s="31"/>
      <c r="K23" s="31"/>
    </row>
    <row r="24" ht="14.4" spans="1:11">
      <c r="A24" s="5">
        <v>2</v>
      </c>
      <c r="B24" s="26"/>
      <c r="C24" s="21" t="s">
        <v>233</v>
      </c>
      <c r="D24" s="22"/>
      <c r="E24" s="26"/>
      <c r="F24" s="26"/>
      <c r="G24" s="26"/>
      <c r="H24" s="26"/>
      <c r="I24" s="26"/>
      <c r="J24" s="26"/>
      <c r="K24" s="26"/>
    </row>
    <row r="25" ht="14.4" spans="1:11">
      <c r="A25" s="5"/>
      <c r="B25" s="23" t="s">
        <v>204</v>
      </c>
      <c r="C25" s="28" t="s">
        <v>151</v>
      </c>
      <c r="D25" s="26"/>
      <c r="E25" s="26">
        <f t="shared" ref="E25:E38" si="2">SUM(F25:L25)</f>
        <v>0</v>
      </c>
      <c r="F25" s="26">
        <f>净资产表!E47</f>
        <v>0</v>
      </c>
      <c r="G25" s="26">
        <f>净资产表!F47</f>
        <v>0</v>
      </c>
      <c r="H25" s="26">
        <f>净资产表!G47</f>
        <v>0</v>
      </c>
      <c r="I25" s="26">
        <f>净资产表!H47</f>
        <v>0</v>
      </c>
      <c r="J25" s="26">
        <f>净资产表!I47</f>
        <v>0</v>
      </c>
      <c r="K25" s="26">
        <f>净资产表!J47</f>
        <v>0</v>
      </c>
    </row>
    <row r="26" ht="14.4" spans="1:11">
      <c r="A26" s="5"/>
      <c r="B26" s="23" t="s">
        <v>204</v>
      </c>
      <c r="C26" s="28" t="s">
        <v>154</v>
      </c>
      <c r="E26" s="26">
        <f t="shared" si="2"/>
        <v>0</v>
      </c>
      <c r="F26" s="32">
        <f>模拟权益法!G19+模拟权益法!G76+'投资明细-权益法'!I5</f>
        <v>0</v>
      </c>
    </row>
    <row r="27" ht="14.4" spans="1:11">
      <c r="A27" s="5"/>
      <c r="B27" s="23" t="s">
        <v>204</v>
      </c>
      <c r="C27" s="28" t="s">
        <v>234</v>
      </c>
      <c r="E27" s="26">
        <f t="shared" si="2"/>
        <v>0</v>
      </c>
      <c r="F27" s="32">
        <f>净资产表!E50-F26</f>
        <v>0</v>
      </c>
    </row>
    <row r="28" ht="14.4" spans="1:11">
      <c r="A28" s="5"/>
      <c r="B28" s="23" t="s">
        <v>205</v>
      </c>
      <c r="C28" s="33" t="s">
        <v>155</v>
      </c>
      <c r="D28" s="34" t="s">
        <v>99</v>
      </c>
      <c r="E28" s="26">
        <f t="shared" si="2"/>
        <v>0</v>
      </c>
      <c r="F28" s="26">
        <f>净资产表!E54</f>
        <v>0</v>
      </c>
      <c r="G28" s="26">
        <f>净资产表!F54</f>
        <v>0</v>
      </c>
      <c r="H28" s="26">
        <f>净资产表!G54</f>
        <v>0</v>
      </c>
      <c r="I28" s="26">
        <f>净资产表!H54</f>
        <v>0</v>
      </c>
      <c r="J28" s="26">
        <f>净资产表!I54</f>
        <v>0</v>
      </c>
      <c r="K28" s="26">
        <f>净资产表!J54</f>
        <v>0</v>
      </c>
    </row>
    <row r="29" ht="14.4" spans="1:11">
      <c r="A29" s="5"/>
      <c r="B29" s="23" t="s">
        <v>205</v>
      </c>
      <c r="C29" s="33" t="s">
        <v>156</v>
      </c>
      <c r="D29" s="34" t="s">
        <v>99</v>
      </c>
      <c r="E29" s="26">
        <f t="shared" si="2"/>
        <v>0</v>
      </c>
      <c r="F29" s="26">
        <f>净资产表!E55</f>
        <v>0</v>
      </c>
      <c r="G29" s="26">
        <f>净资产表!F55</f>
        <v>0</v>
      </c>
      <c r="H29" s="26">
        <f>净资产表!G55</f>
        <v>0</v>
      </c>
      <c r="I29" s="26">
        <f>净资产表!H55</f>
        <v>0</v>
      </c>
      <c r="J29" s="26">
        <f>净资产表!I55</f>
        <v>0</v>
      </c>
      <c r="K29" s="26">
        <f>净资产表!J55</f>
        <v>0</v>
      </c>
    </row>
    <row r="30" ht="14.4" spans="1:11">
      <c r="A30" s="5"/>
      <c r="B30" s="23" t="s">
        <v>205</v>
      </c>
      <c r="C30" s="33" t="s">
        <v>171</v>
      </c>
      <c r="D30" s="34" t="s">
        <v>107</v>
      </c>
      <c r="E30" s="26">
        <f t="shared" si="2"/>
        <v>0</v>
      </c>
      <c r="F30" s="26">
        <f>净资产表!E60</f>
        <v>0</v>
      </c>
      <c r="G30" s="26">
        <f>净资产表!F60</f>
        <v>0</v>
      </c>
      <c r="H30" s="26">
        <f>净资产表!G60</f>
        <v>0</v>
      </c>
      <c r="I30" s="26">
        <f>净资产表!H60</f>
        <v>0</v>
      </c>
      <c r="J30" s="26">
        <f>净资产表!I60</f>
        <v>0</v>
      </c>
      <c r="K30" s="26">
        <f>净资产表!J60</f>
        <v>0</v>
      </c>
    </row>
    <row r="31" ht="14.4" spans="1:11">
      <c r="A31" s="5"/>
      <c r="B31" s="23" t="s">
        <v>205</v>
      </c>
      <c r="C31" s="33" t="s">
        <v>172</v>
      </c>
      <c r="D31" s="34" t="s">
        <v>107</v>
      </c>
      <c r="E31" s="26">
        <f t="shared" si="2"/>
        <v>0</v>
      </c>
      <c r="F31" s="26">
        <f>净资产表!E61</f>
        <v>0</v>
      </c>
      <c r="G31" s="26">
        <f>净资产表!F61</f>
        <v>0</v>
      </c>
      <c r="H31" s="26">
        <f>净资产表!G61</f>
        <v>0</v>
      </c>
      <c r="I31" s="26">
        <f>净资产表!H61</f>
        <v>0</v>
      </c>
      <c r="J31" s="26">
        <f>净资产表!I61</f>
        <v>0</v>
      </c>
      <c r="K31" s="26">
        <f>净资产表!J61</f>
        <v>0</v>
      </c>
    </row>
    <row r="32" ht="14.4" spans="1:11">
      <c r="A32" s="5"/>
      <c r="B32" s="23" t="s">
        <v>205</v>
      </c>
      <c r="C32" s="33" t="s">
        <v>173</v>
      </c>
      <c r="D32" s="34" t="s">
        <v>107</v>
      </c>
      <c r="E32" s="26">
        <f t="shared" si="2"/>
        <v>0</v>
      </c>
      <c r="F32" s="26">
        <f>净资产表!E62</f>
        <v>0</v>
      </c>
      <c r="G32" s="26">
        <f>净资产表!F62</f>
        <v>0</v>
      </c>
      <c r="H32" s="26">
        <f>净资产表!G62</f>
        <v>0</v>
      </c>
      <c r="I32" s="26">
        <f>净资产表!H62</f>
        <v>0</v>
      </c>
      <c r="J32" s="26">
        <f>净资产表!I62</f>
        <v>0</v>
      </c>
      <c r="K32" s="26">
        <f>净资产表!J62</f>
        <v>0</v>
      </c>
    </row>
    <row r="33" ht="14.4" spans="1:11">
      <c r="A33" s="5"/>
      <c r="B33" s="23" t="s">
        <v>205</v>
      </c>
      <c r="C33" s="33" t="s">
        <v>174</v>
      </c>
      <c r="D33" s="34" t="s">
        <v>107</v>
      </c>
      <c r="E33" s="26">
        <f t="shared" si="2"/>
        <v>0</v>
      </c>
      <c r="F33" s="26">
        <f>净资产表!E63</f>
        <v>0</v>
      </c>
      <c r="G33" s="26">
        <f>净资产表!F63</f>
        <v>0</v>
      </c>
      <c r="H33" s="26">
        <f>净资产表!G63</f>
        <v>0</v>
      </c>
      <c r="I33" s="26">
        <f>净资产表!H63</f>
        <v>0</v>
      </c>
      <c r="J33" s="26">
        <f>净资产表!I63</f>
        <v>0</v>
      </c>
      <c r="K33" s="26">
        <f>净资产表!J63</f>
        <v>0</v>
      </c>
    </row>
    <row r="34" ht="14.4" spans="1:11">
      <c r="A34" s="5"/>
      <c r="B34" s="23" t="s">
        <v>205</v>
      </c>
      <c r="C34" s="33" t="s">
        <v>175</v>
      </c>
      <c r="D34" s="34" t="s">
        <v>107</v>
      </c>
      <c r="E34" s="26">
        <f t="shared" si="2"/>
        <v>0</v>
      </c>
      <c r="F34" s="26">
        <f>净资产表!E64</f>
        <v>0</v>
      </c>
      <c r="G34" s="26">
        <f>净资产表!F64</f>
        <v>0</v>
      </c>
      <c r="H34" s="26">
        <f>净资产表!G64</f>
        <v>0</v>
      </c>
      <c r="I34" s="26">
        <f>净资产表!H64</f>
        <v>0</v>
      </c>
      <c r="J34" s="26">
        <f>净资产表!I64</f>
        <v>0</v>
      </c>
      <c r="K34" s="26">
        <f>净资产表!J64</f>
        <v>0</v>
      </c>
    </row>
    <row r="35" ht="14.4" spans="1:11">
      <c r="A35" s="5"/>
      <c r="B35" s="23" t="s">
        <v>205</v>
      </c>
      <c r="C35" s="33" t="s">
        <v>235</v>
      </c>
      <c r="D35" s="34" t="s">
        <v>107</v>
      </c>
      <c r="E35" s="26">
        <f t="shared" si="2"/>
        <v>0</v>
      </c>
      <c r="F35" s="26">
        <f>净资产表!E65</f>
        <v>0</v>
      </c>
      <c r="G35" s="26">
        <f>净资产表!F65</f>
        <v>0</v>
      </c>
      <c r="H35" s="26">
        <f>净资产表!G65</f>
        <v>0</v>
      </c>
      <c r="I35" s="26">
        <f>净资产表!H65</f>
        <v>0</v>
      </c>
      <c r="J35" s="26">
        <f>净资产表!I65</f>
        <v>0</v>
      </c>
      <c r="K35" s="26">
        <f>净资产表!J65</f>
        <v>0</v>
      </c>
    </row>
    <row r="36" ht="14.4" spans="1:11">
      <c r="A36" s="5"/>
      <c r="B36" s="23" t="s">
        <v>205</v>
      </c>
      <c r="C36" s="33" t="s">
        <v>177</v>
      </c>
      <c r="D36" s="34" t="s">
        <v>107</v>
      </c>
      <c r="E36" s="26">
        <f t="shared" si="2"/>
        <v>0</v>
      </c>
      <c r="F36" s="26">
        <f>净资产表!E66</f>
        <v>0</v>
      </c>
      <c r="G36" s="26">
        <f>净资产表!F66</f>
        <v>0</v>
      </c>
      <c r="H36" s="26">
        <f>净资产表!G66</f>
        <v>0</v>
      </c>
      <c r="I36" s="26">
        <f>净资产表!H66</f>
        <v>0</v>
      </c>
      <c r="J36" s="26">
        <f>净资产表!I66</f>
        <v>0</v>
      </c>
      <c r="K36" s="26">
        <f>净资产表!J66</f>
        <v>0</v>
      </c>
    </row>
    <row r="37" ht="14.4" spans="1:11">
      <c r="A37" s="5"/>
      <c r="B37" s="23" t="s">
        <v>205</v>
      </c>
      <c r="C37" s="33" t="s">
        <v>178</v>
      </c>
      <c r="D37" s="34" t="s">
        <v>107</v>
      </c>
      <c r="E37" s="26">
        <f t="shared" si="2"/>
        <v>0</v>
      </c>
      <c r="F37" s="26">
        <f>净资产表!E67</f>
        <v>0</v>
      </c>
      <c r="G37" s="26">
        <f>净资产表!F67</f>
        <v>0</v>
      </c>
      <c r="H37" s="26">
        <f>净资产表!G67</f>
        <v>0</v>
      </c>
      <c r="I37" s="26">
        <f>净资产表!H67</f>
        <v>0</v>
      </c>
      <c r="J37" s="26">
        <f>净资产表!I67</f>
        <v>0</v>
      </c>
      <c r="K37" s="26">
        <f>净资产表!J67</f>
        <v>0</v>
      </c>
    </row>
    <row r="38" ht="14.4" spans="1:11">
      <c r="A38" s="5"/>
      <c r="B38" s="23" t="s">
        <v>205</v>
      </c>
      <c r="C38" s="33" t="s">
        <v>158</v>
      </c>
      <c r="D38" s="34" t="s">
        <v>107</v>
      </c>
      <c r="E38" s="26">
        <f t="shared" si="2"/>
        <v>0</v>
      </c>
      <c r="F38" s="26">
        <f>净资产表!E68</f>
        <v>0</v>
      </c>
      <c r="G38" s="26">
        <f>净资产表!F68</f>
        <v>0</v>
      </c>
      <c r="H38" s="26">
        <f>净资产表!G68</f>
        <v>0</v>
      </c>
      <c r="I38" s="26">
        <f>净资产表!H68</f>
        <v>0</v>
      </c>
      <c r="J38" s="26">
        <f>净资产表!I68</f>
        <v>0</v>
      </c>
      <c r="K38" s="26">
        <f>净资产表!J68</f>
        <v>0</v>
      </c>
    </row>
    <row r="39" ht="14.4" spans="1:11">
      <c r="A39" s="5"/>
      <c r="B39" s="4" t="s">
        <v>205</v>
      </c>
      <c r="C39" s="30" t="s">
        <v>152</v>
      </c>
    </row>
    <row r="40" spans="1:11">
      <c r="A40" s="5"/>
    </row>
    <row r="41" s="12" customFormat="1" spans="1:11">
      <c r="A41" s="17"/>
      <c r="B41" s="17"/>
      <c r="C41" s="19"/>
      <c r="D41" s="17"/>
      <c r="E41" s="20"/>
      <c r="F41" s="20"/>
      <c r="G41" s="20"/>
      <c r="H41" s="20"/>
      <c r="I41" s="20"/>
      <c r="J41" s="20"/>
      <c r="K41" s="20"/>
    </row>
    <row r="42" s="12" customFormat="1"/>
    <row r="43" ht="14.4" spans="1:11">
      <c r="C43" s="21" t="s">
        <v>236</v>
      </c>
      <c r="D43" s="22"/>
    </row>
    <row r="44" ht="14.4" spans="1:11">
      <c r="B44" s="35" t="s">
        <v>204</v>
      </c>
      <c r="C44" s="36" t="s">
        <v>237</v>
      </c>
    </row>
    <row r="45" ht="14.4" spans="1:11">
      <c r="B45" s="35" t="s">
        <v>205</v>
      </c>
      <c r="C45" s="30" t="s">
        <v>35</v>
      </c>
    </row>
    <row r="46" spans="1:11">
      <c r="B46" s="37"/>
    </row>
    <row r="47" ht="14.4" spans="1:11">
      <c r="B47" s="35" t="s">
        <v>204</v>
      </c>
      <c r="C47" s="36" t="s">
        <v>154</v>
      </c>
    </row>
    <row r="48" ht="14.4" spans="1:11">
      <c r="B48" s="35" t="s">
        <v>205</v>
      </c>
      <c r="C48" s="30" t="s">
        <v>234</v>
      </c>
    </row>
    <row r="49" spans="2:11">
      <c r="B49" s="37"/>
    </row>
    <row r="50" s="12" customFormat="1"/>
    <row r="53" ht="14.4" spans="2:11">
      <c r="C53" s="36" t="s">
        <v>238</v>
      </c>
      <c r="D53" s="36" t="s">
        <v>239</v>
      </c>
      <c r="E53" s="26">
        <f>SUM(F53:K53)</f>
        <v>0</v>
      </c>
      <c r="F53" s="26">
        <f t="shared" ref="F53:K53" si="3">F21-F44</f>
        <v>0</v>
      </c>
      <c r="G53" s="26">
        <f t="shared" si="3"/>
        <v>0</v>
      </c>
      <c r="H53" s="26">
        <f t="shared" si="3"/>
        <v>0</v>
      </c>
      <c r="I53" s="26">
        <f t="shared" si="3"/>
        <v>0</v>
      </c>
      <c r="J53" s="26">
        <f t="shared" si="3"/>
        <v>0</v>
      </c>
      <c r="K53" s="26">
        <f t="shared" si="3"/>
        <v>0</v>
      </c>
    </row>
    <row r="54" ht="14.4" spans="2:11">
      <c r="C54" s="36" t="s">
        <v>240</v>
      </c>
      <c r="D54" s="36" t="s">
        <v>239</v>
      </c>
      <c r="E54" s="26">
        <f>SUM(F54:K54)</f>
        <v>0</v>
      </c>
      <c r="F54" s="26">
        <f t="shared" ref="F54:K54" si="4">F27-F48</f>
        <v>0</v>
      </c>
      <c r="G54" s="26">
        <f t="shared" si="4"/>
        <v>0</v>
      </c>
      <c r="H54" s="26">
        <f t="shared" si="4"/>
        <v>0</v>
      </c>
      <c r="I54" s="26">
        <f t="shared" si="4"/>
        <v>0</v>
      </c>
      <c r="J54" s="26">
        <f t="shared" si="4"/>
        <v>0</v>
      </c>
      <c r="K54" s="26">
        <f t="shared" si="4"/>
        <v>0</v>
      </c>
    </row>
  </sheetData>
  <mergeCells count="7">
    <mergeCell ref="A3:A4"/>
    <mergeCell ref="A6:A22"/>
    <mergeCell ref="A24:A40"/>
    <mergeCell ref="B3:B4"/>
    <mergeCell ref="C3:C4"/>
    <mergeCell ref="D3:D4"/>
    <mergeCell ref="E3:E4"/>
  </mergeCells>
  <pageMargins left="0.75" right="0.75" top="1" bottom="1" header="0.5" footer="0.5"/>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K21"/>
  <sheetViews>
    <sheetView workbookViewId="0">
      <selection activeCell="D22" sqref="D22"/>
    </sheetView>
  </sheetViews>
  <sheetFormatPr defaultColWidth="8.8" defaultRowHeight="15.6"/>
  <cols>
    <col min="1" max="1" width="18.4" customWidth="1"/>
    <col min="2" max="3" width="15.6" customWidth="1"/>
    <col min="4" max="4" width="17.3" customWidth="1"/>
    <col min="5" max="5" width="14.7" customWidth="1"/>
    <col min="6" max="6" width="14.5" customWidth="1"/>
    <col min="7" max="7" width="14" customWidth="1"/>
    <col min="8" max="8" width="13.1" customWidth="1"/>
    <col min="9" max="10" width="12.9" customWidth="1"/>
  </cols>
  <sheetData>
    <row r="1" spans="1:11">
      <c r="A1" s="1" t="s">
        <v>241</v>
      </c>
      <c r="B1" s="2"/>
      <c r="C1" s="2"/>
      <c r="D1" s="2"/>
      <c r="E1" s="2"/>
      <c r="F1" s="2"/>
      <c r="G1" s="2"/>
      <c r="H1" s="2"/>
      <c r="I1" s="2"/>
      <c r="J1" s="2"/>
    </row>
    <row r="3" spans="1:11">
      <c r="A3" s="3" t="s">
        <v>87</v>
      </c>
      <c r="B3" s="4" t="s">
        <v>78</v>
      </c>
      <c r="C3" s="4" t="s">
        <v>242</v>
      </c>
      <c r="D3" s="4" t="s">
        <v>79</v>
      </c>
      <c r="E3" s="4" t="s">
        <v>194</v>
      </c>
      <c r="F3" s="4" t="s">
        <v>195</v>
      </c>
      <c r="G3" s="4" t="s">
        <v>196</v>
      </c>
      <c r="H3" s="4" t="s">
        <v>197</v>
      </c>
      <c r="I3" s="4" t="s">
        <v>198</v>
      </c>
      <c r="J3" s="4" t="s">
        <v>199</v>
      </c>
    </row>
    <row r="4" spans="1:11">
      <c r="A4" s="3"/>
      <c r="B4" s="5"/>
      <c r="C4" s="4"/>
      <c r="D4" s="4"/>
      <c r="E4" s="4" t="s">
        <v>201</v>
      </c>
      <c r="F4" s="4" t="s">
        <v>201</v>
      </c>
      <c r="G4" s="4" t="s">
        <v>201</v>
      </c>
      <c r="H4" s="4" t="s">
        <v>201</v>
      </c>
      <c r="I4" s="4" t="s">
        <v>201</v>
      </c>
      <c r="J4" s="4" t="s">
        <v>201</v>
      </c>
    </row>
    <row r="5" spans="1:11">
      <c r="A5" t="s">
        <v>126</v>
      </c>
      <c r="C5" s="6"/>
      <c r="D5" s="6"/>
      <c r="E5" s="6"/>
      <c r="F5" s="6"/>
      <c r="G5" s="6"/>
      <c r="H5" s="6"/>
      <c r="I5" s="6"/>
      <c r="J5" s="6"/>
      <c r="K5" t="s">
        <v>243</v>
      </c>
    </row>
    <row r="6" spans="1:11">
      <c r="A6" t="s">
        <v>244</v>
      </c>
      <c r="B6" s="7">
        <f>SUM(C6:I6)</f>
        <v>0</v>
      </c>
      <c r="C6" s="7">
        <f>C7+C8+C9+C10</f>
        <v>0</v>
      </c>
      <c r="D6" s="7">
        <f t="shared" ref="D6:I6" si="0">D7+D8+D9+D10</f>
        <v>0</v>
      </c>
      <c r="E6" s="7">
        <f t="shared" si="0"/>
        <v>0</v>
      </c>
      <c r="F6" s="7">
        <f t="shared" si="0"/>
        <v>0</v>
      </c>
      <c r="G6" s="7">
        <f t="shared" si="0"/>
        <v>0</v>
      </c>
      <c r="H6" s="7">
        <f t="shared" si="0"/>
        <v>0</v>
      </c>
      <c r="I6" s="7">
        <f t="shared" si="0"/>
        <v>0</v>
      </c>
      <c r="J6" s="7"/>
    </row>
    <row r="7" spans="1:11">
      <c r="A7" s="8" t="s">
        <v>245</v>
      </c>
      <c r="B7" s="9">
        <f>SUM(C7:I7)</f>
        <v>0</v>
      </c>
      <c r="C7" s="10"/>
      <c r="D7" s="9"/>
      <c r="E7" s="9">
        <f>模拟权益法!G118</f>
        <v>0</v>
      </c>
      <c r="F7" s="9">
        <f>模拟权益法!H118</f>
        <v>0</v>
      </c>
      <c r="G7" s="9">
        <f>模拟权益法!I118</f>
        <v>0</v>
      </c>
      <c r="H7" s="9">
        <f>模拟权益法!J118</f>
        <v>0</v>
      </c>
      <c r="I7" s="9">
        <f>模拟权益法!K118</f>
        <v>0</v>
      </c>
      <c r="J7" s="9">
        <f>模拟权益法!L118</f>
        <v>0</v>
      </c>
    </row>
    <row r="8" spans="1:11">
      <c r="A8" s="8" t="s">
        <v>246</v>
      </c>
      <c r="B8" s="9">
        <f>SUM(C8:I8)</f>
        <v>0</v>
      </c>
      <c r="C8" s="10"/>
      <c r="D8" s="9"/>
      <c r="E8" s="9">
        <f>合并抵消分录!F9</f>
        <v>0</v>
      </c>
      <c r="F8" s="9">
        <f>合并抵消分录!G9</f>
        <v>0</v>
      </c>
      <c r="G8" s="9">
        <f>合并抵消分录!H9</f>
        <v>0</v>
      </c>
      <c r="H8" s="9">
        <f>合并抵消分录!I9</f>
        <v>0</v>
      </c>
      <c r="I8" s="9">
        <f>合并抵消分录!J9</f>
        <v>0</v>
      </c>
      <c r="J8" s="9">
        <f>合并抵消分录!K9</f>
        <v>0</v>
      </c>
    </row>
    <row r="9" spans="1:11">
      <c r="A9" s="8" t="s">
        <v>247</v>
      </c>
      <c r="B9" s="9">
        <f>SUM(C9:I9)</f>
        <v>0</v>
      </c>
      <c r="C9" s="10"/>
      <c r="D9" s="9">
        <f>净资产表!D81</f>
        <v>0</v>
      </c>
      <c r="E9" s="9">
        <f>净资产表!E81</f>
        <v>0</v>
      </c>
      <c r="F9" s="9">
        <f>净资产表!F81</f>
        <v>0</v>
      </c>
      <c r="G9" s="9">
        <f>净资产表!G81</f>
        <v>0</v>
      </c>
      <c r="H9" s="9">
        <f>净资产表!H81</f>
        <v>0</v>
      </c>
      <c r="I9" s="9">
        <f>净资产表!I81</f>
        <v>0</v>
      </c>
      <c r="J9" s="9">
        <f>净资产表!J81</f>
        <v>0</v>
      </c>
    </row>
    <row r="10" spans="1:11">
      <c r="A10" s="8" t="s">
        <v>69</v>
      </c>
      <c r="B10" s="9">
        <f>SUM(C10:I10)</f>
        <v>0</v>
      </c>
      <c r="C10" s="9">
        <f>B16</f>
        <v>0</v>
      </c>
    </row>
    <row r="11" spans="1:11">
      <c r="A11" t="s">
        <v>93</v>
      </c>
      <c r="B11" s="9">
        <f>B5+B6</f>
        <v>0</v>
      </c>
    </row>
    <row r="13" spans="1:11">
      <c r="A13" t="s">
        <v>248</v>
      </c>
      <c r="C13" t="s">
        <v>249</v>
      </c>
    </row>
    <row r="14" spans="1:11">
      <c r="A14" t="s">
        <v>250</v>
      </c>
      <c r="B14" s="9">
        <f>B13-B11</f>
        <v>0</v>
      </c>
    </row>
    <row r="16" spans="1:11">
      <c r="A16" t="s">
        <v>251</v>
      </c>
      <c r="B16" s="9">
        <f>SUM(C17:C21)</f>
        <v>0</v>
      </c>
    </row>
    <row r="17" spans="1:1">
      <c r="A17" s="11">
        <v>1</v>
      </c>
    </row>
    <row r="18" spans="1:1">
      <c r="A18" s="11">
        <v>2</v>
      </c>
    </row>
    <row r="19" spans="1:1">
      <c r="A19" s="11">
        <v>3</v>
      </c>
    </row>
    <row r="20" spans="1:1">
      <c r="A20" s="11">
        <v>4</v>
      </c>
    </row>
    <row r="21" spans="1:1">
      <c r="A21" s="11">
        <v>5</v>
      </c>
    </row>
  </sheetData>
  <mergeCells count="4">
    <mergeCell ref="A3:A4"/>
    <mergeCell ref="B3:B4"/>
    <mergeCell ref="C3:C4"/>
    <mergeCell ref="D3:D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10</vt:i4>
      </vt:variant>
    </vt:vector>
  </HeadingPairs>
  <TitlesOfParts>
    <vt:vector size="10" baseType="lpstr">
      <vt:lpstr>基本信息表</vt:lpstr>
      <vt:lpstr>投资明细-成本法和公允值</vt:lpstr>
      <vt:lpstr>投资明细-权益法</vt:lpstr>
      <vt:lpstr>净资产表</vt:lpstr>
      <vt:lpstr>净资产表_股比变1次</vt:lpstr>
      <vt:lpstr>净资产表_股比变2次</vt:lpstr>
      <vt:lpstr>净资产表_股比变3次</vt:lpstr>
      <vt:lpstr>模拟权益法</vt:lpstr>
      <vt:lpstr>合并抵消分录</vt:lpstr>
      <vt:lpstr>资本公积变动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杨志</dc:creator>
  <cp:lastModifiedBy>杨志</cp:lastModifiedBy>
  <dcterms:created xsi:type="dcterms:W3CDTF">2025-09-02T05:59:00Z</dcterms:created>
  <dcterms:modified xsi:type="dcterms:W3CDTF">2026-05-01T10:05:08Z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C9FF42223BB14F989325DB7592B51272_13</vt:lpwstr>
  </property>
  <property fmtid="{D5CDD505-2E9C-101B-9397-08002B2CF9AE}" pid="3" name="KSOProductBuildVer">
    <vt:lpwstr>2052-12.1.0.25865</vt:lpwstr>
  </property>
  <property fmtid="{D5CDD505-2E9C-101B-9397-08002B2CF9AE}" pid="4" name="CalculationRule">
    <vt:i4>0</vt:i4>
  </property>
</Properties>
</file>