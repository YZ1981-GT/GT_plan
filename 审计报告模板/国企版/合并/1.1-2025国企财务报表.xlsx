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tabRatio="741"/>
  </bookViews>
  <sheets>
    <sheet name="1,2-资产负债表(企财01表）" sheetId="4" r:id="rId1"/>
    <sheet name="1,2-资产负债表(企财01表）续" sheetId="12" r:id="rId2"/>
    <sheet name="3-利润表（企财02表）" sheetId="5" r:id="rId3"/>
    <sheet name="4-现金流量表（企财03表）" sheetId="6" r:id="rId4"/>
    <sheet name="5-所有者权益变动表（企财04表-合并）" sheetId="7" r:id="rId5"/>
    <sheet name="6-所有者权益变动表（企财04表-母公司）" sheetId="13" r:id="rId6"/>
    <sheet name="7-资产减值准备情况表（企财06表－合并）" sheetId="8" r:id="rId7"/>
    <sheet name="8-资产减值准备情况表（企财06表－母公司）" sheetId="9" r:id="rId8"/>
    <sheet name="GT_Custom" sheetId="11" state="hidden" r:id="rId9"/>
  </sheets>
  <definedNames>
    <definedName name="_xlnm.Print_Area" localSheetId="0">'1,2-资产负债表(企财01表）'!$A$1:$F$59</definedName>
    <definedName name="_xlnm.Print_Area" localSheetId="1">'1,2-资产负债表(企财01表）续'!$A$1:$F$83</definedName>
    <definedName name="_xlnm.Print_Area" localSheetId="2">'3-利润表（企财02表）'!$A$1:$F$85</definedName>
    <definedName name="_xlnm.Print_Area" localSheetId="3">'4-现金流量表（企财03表）'!$A$1:$F$70</definedName>
    <definedName name="_xlnm.Print_Area" localSheetId="4">'5-所有者权益变动表（企财04表-合并）'!$A$1:$AD$43</definedName>
    <definedName name="_xlnm.Print_Area" localSheetId="5">'6-所有者权益变动表（企财04表-母公司）'!$A$1:$Z$42</definedName>
    <definedName name="_xlnm.Print_Area" localSheetId="6">'7-资产减值准备情况表（企财06表－合并）'!$A$1:$M$27</definedName>
    <definedName name="_xlnm.Print_Titles" localSheetId="4">'5-所有者权益变动表（企财04表-合并）'!$A:$B</definedName>
    <definedName name="_xlnm.Print_Titles" localSheetId="5">'6-所有者权益变动表（企财04表-母公司）'!$A:$B</definedName>
    <definedName name="_xlnm.Print_Area" localSheetId="7">'8-资产减值准备情况表（企财06表－母公司）'!$A$1:$M$27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致同</author>
    <author>lihong.li</author>
  </authors>
  <commentList>
    <comment ref="E4" authorId="0">
      <text>
        <r>
          <rPr>
            <b/>
            <sz val="9"/>
            <rFont val="宋体"/>
            <charset val="134"/>
          </rPr>
          <t>致同:</t>
        </r>
        <r>
          <rPr>
            <sz val="9"/>
            <rFont val="宋体"/>
            <charset val="134"/>
          </rPr>
          <t xml:space="preserve">
年初改为期初。
表内“期初余额”指标根据企业上年度财务决算中资产负债表的“期末余额”结合本年度调整数填列。新执行新金融工具准则则的企业，需将上年度财务决算中资产负债表的“期末余额”按照新准则规定转化后，结合本年度调整数填列。
即，此处填列重述后的数据。</t>
        </r>
      </text>
    </comment>
    <comment ref="A10" authorId="0">
      <text>
        <r>
          <rPr>
            <b/>
            <sz val="9"/>
            <rFont val="宋体"/>
            <charset val="134"/>
          </rPr>
          <t>致同:</t>
        </r>
        <r>
          <rPr>
            <sz val="9"/>
            <rFont val="宋体"/>
            <charset val="134"/>
          </rPr>
          <t xml:space="preserve">
删除“ 以公允价值计量且其变动计入当期损益的金融资产”</t>
        </r>
      </text>
    </comment>
    <comment ref="A20" authorId="1">
      <text>
        <r>
          <rPr>
            <b/>
            <sz val="9"/>
            <rFont val="宋体"/>
            <charset val="134"/>
          </rPr>
          <t>lihong.li:</t>
        </r>
        <r>
          <rPr>
            <sz val="9"/>
            <rFont val="宋体"/>
            <charset val="134"/>
          </rPr>
          <t xml:space="preserve">
包括应收利息、应收股利</t>
        </r>
      </text>
    </comment>
    <comment ref="A35" authorId="0">
      <text>
        <r>
          <rPr>
            <b/>
            <sz val="9"/>
            <rFont val="宋体"/>
            <charset val="134"/>
          </rPr>
          <t>致同:</t>
        </r>
        <r>
          <rPr>
            <sz val="9"/>
            <rFont val="宋体"/>
            <charset val="134"/>
          </rPr>
          <t xml:space="preserve">
“可供出售金融资产”和“持有至到期投资”删除</t>
        </r>
      </text>
    </comment>
    <comment ref="A42" authorId="1">
      <text>
        <r>
          <rPr>
            <b/>
            <sz val="9"/>
            <rFont val="宋体"/>
            <charset val="134"/>
          </rPr>
          <t>lihong.li:</t>
        </r>
        <r>
          <rPr>
            <sz val="9"/>
            <rFont val="宋体"/>
            <charset val="134"/>
          </rPr>
          <t xml:space="preserve">
包括固定资产清理；
删除累计折旧、原值等
按净额列报
</t>
        </r>
      </text>
    </comment>
    <comment ref="A46" authorId="1">
      <text>
        <r>
          <rPr>
            <b/>
            <sz val="9"/>
            <rFont val="宋体"/>
            <charset val="134"/>
          </rPr>
          <t>lihong.li:</t>
        </r>
        <r>
          <rPr>
            <sz val="9"/>
            <rFont val="宋体"/>
            <charset val="134"/>
          </rPr>
          <t xml:space="preserve">
包括工程物资</t>
        </r>
      </text>
    </comment>
  </commentList>
</comments>
</file>

<file path=xl/comments2.xml><?xml version="1.0" encoding="utf-8"?>
<comments xmlns="http://schemas.openxmlformats.org/spreadsheetml/2006/main">
  <authors>
    <author>致同</author>
    <author>lihong.li</author>
    <author>Chu Yantao 储燕涛</author>
    <author>Windows 用户</author>
  </authors>
  <commentList>
    <comment ref="E4" authorId="0">
      <text>
        <r>
          <rPr>
            <b/>
            <sz val="9"/>
            <rFont val="宋体"/>
            <charset val="134"/>
          </rPr>
          <t>致同:</t>
        </r>
        <r>
          <rPr>
            <sz val="9"/>
            <rFont val="宋体"/>
            <charset val="134"/>
          </rPr>
          <t xml:space="preserve">
年初改为期初。
表内“期初余额”指标根据企业上年度财务决算中资产负债表的“期末余额”结合本年度调整数填列。新执行新金融工具准则的企业，需将上年度财务决算中资产负债表的“期末余额”按照新准则规定转化后，结合本年度调整数填列。
即，此处填列重述后的数据。</t>
        </r>
      </text>
    </comment>
    <comment ref="A10" authorId="0">
      <text>
        <r>
          <rPr>
            <b/>
            <sz val="9"/>
            <rFont val="宋体"/>
            <charset val="134"/>
          </rPr>
          <t>致同:</t>
        </r>
        <r>
          <rPr>
            <sz val="9"/>
            <rFont val="宋体"/>
            <charset val="134"/>
          </rPr>
          <t xml:space="preserve">
删除“以公允价值计量且其变动计入当期损益的金融负债”</t>
        </r>
      </text>
    </comment>
    <comment ref="A26" authorId="1">
      <text>
        <r>
          <rPr>
            <b/>
            <sz val="9"/>
            <rFont val="宋体"/>
            <charset val="134"/>
          </rPr>
          <t>lihong.li:</t>
        </r>
        <r>
          <rPr>
            <sz val="9"/>
            <rFont val="宋体"/>
            <charset val="134"/>
          </rPr>
          <t xml:space="preserve">
原则上不应在应交税金填列“-”数。应重分类填列到“其他流动资产”</t>
        </r>
      </text>
    </comment>
    <comment ref="A27" authorId="1">
      <text>
        <r>
          <rPr>
            <b/>
            <sz val="9"/>
            <rFont val="宋体"/>
            <charset val="134"/>
          </rPr>
          <t>lihong.li:</t>
        </r>
        <r>
          <rPr>
            <sz val="9"/>
            <rFont val="宋体"/>
            <charset val="134"/>
          </rPr>
          <t xml:space="preserve">
包括应付利息、应付股利
</t>
        </r>
      </text>
    </comment>
    <comment ref="A31" authorId="2">
      <text>
        <r>
          <rPr>
            <b/>
            <sz val="9"/>
            <rFont val="宋体"/>
            <charset val="134"/>
          </rPr>
          <t>Chu Yantao 储燕涛:</t>
        </r>
        <r>
          <rPr>
            <sz val="9"/>
            <rFont val="宋体"/>
            <charset val="134"/>
          </rPr>
          <t xml:space="preserve">
财会〔2017〕30号</t>
        </r>
      </text>
    </comment>
    <comment ref="A44" authorId="1">
      <text>
        <r>
          <rPr>
            <b/>
            <sz val="9"/>
            <rFont val="宋体"/>
            <charset val="134"/>
          </rPr>
          <t>lihong.li:</t>
        </r>
        <r>
          <rPr>
            <sz val="9"/>
            <rFont val="宋体"/>
            <charset val="134"/>
          </rPr>
          <t xml:space="preserve">
包括专项应付款
</t>
        </r>
      </text>
    </comment>
    <comment ref="A56" authorId="3">
      <text>
        <r>
          <rPr>
            <b/>
            <sz val="9"/>
            <rFont val="宋体"/>
            <charset val="134"/>
          </rPr>
          <t>Windows 用户:</t>
        </r>
        <r>
          <rPr>
            <sz val="9"/>
            <rFont val="宋体"/>
            <charset val="134"/>
          </rPr>
          <t xml:space="preserve">
除“中国航发”、“国家管网集团”、“南方电网”、“鞍钢”、“中国东航”、“南航集团”、“中国商飞”、“中国稀土集团”、“国药集团”、“中广核”、“南光集团”、“中国电气装备”、“中国物流”和“中国中检”等集团层面股权多元化的中央企业集团合并表有“国有法人资本”外，其他中央企业一级集团合并表均无“国有法人资本”。</t>
        </r>
      </text>
    </comment>
  </commentList>
</comments>
</file>

<file path=xl/comments3.xml><?xml version="1.0" encoding="utf-8"?>
<comments xmlns="http://schemas.openxmlformats.org/spreadsheetml/2006/main">
  <authors>
    <author>1</author>
    <author>lihong.li</author>
    <author>Chu Yantao 储燕涛</author>
  </authors>
  <commentList>
    <comment ref="E4" authorId="0">
      <text>
        <r>
          <rPr>
            <b/>
            <sz val="9"/>
            <rFont val="宋体"/>
            <charset val="134"/>
          </rPr>
          <t>1:</t>
        </r>
        <r>
          <rPr>
            <sz val="9"/>
            <rFont val="宋体"/>
            <charset val="134"/>
          </rPr>
          <t xml:space="preserve">
上期数与上年决算数据一致，无需按新准则追溯调整。</t>
        </r>
      </text>
    </comment>
    <comment ref="A34" authorId="1">
      <text>
        <r>
          <rPr>
            <b/>
            <sz val="9"/>
            <rFont val="宋体"/>
            <charset val="134"/>
          </rPr>
          <t>lihong.li:</t>
        </r>
        <r>
          <rPr>
            <sz val="9"/>
            <rFont val="宋体"/>
            <charset val="134"/>
          </rPr>
          <t xml:space="preserve">
反映的是石油石化企业在油气勘探过程中发生相关费用。
</t>
        </r>
      </text>
    </comment>
    <comment ref="A46" authorId="2">
      <text>
        <r>
          <rPr>
            <b/>
            <sz val="9"/>
            <rFont val="宋体"/>
            <charset val="134"/>
          </rPr>
          <t>Chu Yantao 储燕涛:</t>
        </r>
        <r>
          <rPr>
            <sz val="9"/>
            <rFont val="宋体"/>
            <charset val="134"/>
          </rPr>
          <t xml:space="preserve">
删除了：非流动资产处置利得，非货币性资产交换利得</t>
        </r>
      </text>
    </comment>
    <comment ref="A48" authorId="2">
      <text>
        <r>
          <rPr>
            <b/>
            <sz val="9"/>
            <rFont val="宋体"/>
            <charset val="134"/>
          </rPr>
          <t>Chu Yantao 储燕涛:</t>
        </r>
        <r>
          <rPr>
            <sz val="9"/>
            <rFont val="宋体"/>
            <charset val="134"/>
          </rPr>
          <t xml:space="preserve">
删除：非流动资产处置损失和非货币性资产交换损失</t>
        </r>
      </text>
    </comment>
    <comment ref="A69" authorId="0">
      <text>
        <r>
          <rPr>
            <b/>
            <sz val="9"/>
            <rFont val="宋体"/>
            <charset val="134"/>
          </rPr>
          <t>1:</t>
        </r>
        <r>
          <rPr>
            <sz val="9"/>
            <rFont val="宋体"/>
            <charset val="134"/>
          </rPr>
          <t xml:space="preserve">
删除了 原“3.可供出售金融资产公允价值变动损益”、“5.持有至到期投资重分类为可供出售金融资产损益”</t>
        </r>
      </text>
    </comment>
  </commentList>
</comments>
</file>

<file path=xl/comments4.xml><?xml version="1.0" encoding="utf-8"?>
<comments xmlns="http://schemas.openxmlformats.org/spreadsheetml/2006/main">
  <authors>
    <author>Windows 用户</author>
    <author>致同</author>
  </authors>
  <commentList>
    <comment ref="A34" authorId="0">
      <text>
        <r>
          <rPr>
            <b/>
            <sz val="9"/>
            <rFont val="宋体"/>
            <charset val="134"/>
          </rPr>
          <t>Windows 用户:</t>
        </r>
        <r>
          <rPr>
            <sz val="9"/>
            <rFont val="宋体"/>
            <charset val="134"/>
          </rPr>
          <t xml:space="preserve">
企业为职工支付的养老、医疗、失业、工伤等社会保险费、补充养老保险费、补充医疗保险费、住房公积金、支付给职工的住房困难补助，以及企业支付给职工或为职工支付的其他福利费等，应按职工的工作性质和服务对象，分别在本项目和“购建固定资产、无形资产和其他长期资产所支付的现金”项目反映。</t>
        </r>
      </text>
    </comment>
    <comment ref="A36" authorId="0">
      <text>
        <r>
          <rPr>
            <b/>
            <sz val="9"/>
            <rFont val="宋体"/>
            <charset val="134"/>
          </rPr>
          <t>Windows 用户:</t>
        </r>
        <r>
          <rPr>
            <sz val="9"/>
            <rFont val="宋体"/>
            <charset val="134"/>
          </rPr>
          <t xml:space="preserve">
企业支付给离退休人员的费用，在“支付其他与经营活动有关的现金”项目中反映</t>
        </r>
      </text>
    </comment>
    <comment ref="A56" authorId="1">
      <text>
        <r>
          <rPr>
            <b/>
            <sz val="9"/>
            <rFont val="宋体"/>
            <charset val="134"/>
          </rPr>
          <t>致同:</t>
        </r>
        <r>
          <rPr>
            <sz val="9"/>
            <rFont val="宋体"/>
            <charset val="134"/>
          </rPr>
          <t xml:space="preserve">
根据财政部2020年报通知（财会〔2021〕2号）：企业对不存在相应业务的报表项目可结合本企业的实际情况进行必要删减，企业根据重要性原则并结合本企业的实际情况，对确需单独列示的内容可增加报表项目。例如，可以在合并现金流量表中“筹资活动产生的现金流量”项下增加“发行债券收到的现金”项目。</t>
        </r>
      </text>
    </comment>
  </commentList>
</comments>
</file>

<file path=xl/comments5.xml><?xml version="1.0" encoding="utf-8"?>
<comments xmlns="http://schemas.openxmlformats.org/spreadsheetml/2006/main">
  <authors>
    <author>yantao.chu</author>
    <author>Chu Yantao 储燕涛</author>
    <author>张彦丽</author>
    <author>Windows 用户</author>
  </authors>
  <commentList>
    <comment ref="A10" authorId="0">
      <text>
        <r>
          <rPr>
            <b/>
            <sz val="9"/>
            <rFont val="Tahoma"/>
            <charset val="134"/>
          </rPr>
          <t>yantao.chu:</t>
        </r>
        <r>
          <rPr>
            <sz val="9"/>
            <rFont val="Tahoma"/>
            <charset val="134"/>
          </rPr>
          <t xml:space="preserve">
</t>
        </r>
        <r>
          <rPr>
            <sz val="9"/>
            <rFont val="宋体"/>
            <charset val="134"/>
          </rPr>
          <t>这两行，国资委不允许填数</t>
        </r>
      </text>
    </comment>
    <comment ref="A12" authorId="1">
      <text>
        <r>
          <rPr>
            <b/>
            <sz val="9"/>
            <rFont val="宋体"/>
            <charset val="134"/>
          </rPr>
          <t>Chu Yantao 储燕涛:</t>
        </r>
        <r>
          <rPr>
            <sz val="9"/>
            <rFont val="宋体"/>
            <charset val="134"/>
          </rPr>
          <t xml:space="preserve">
同一控制下企业合并、清产核资、执行新金融工具准则等</t>
        </r>
      </text>
    </comment>
    <comment ref="A17" authorId="2">
      <text>
        <r>
          <rPr>
            <b/>
            <sz val="9"/>
            <rFont val="宋体"/>
            <charset val="134"/>
          </rPr>
          <t>张彦丽:</t>
        </r>
        <r>
          <rPr>
            <sz val="9"/>
            <rFont val="宋体"/>
            <charset val="134"/>
          </rPr>
          <t xml:space="preserve">
“所有者投入资本”改为“所有者投入的普通股”</t>
        </r>
      </text>
    </comment>
    <comment ref="A37" authorId="3">
      <text>
        <r>
          <rPr>
            <b/>
            <sz val="9"/>
            <rFont val="宋体"/>
            <charset val="134"/>
          </rPr>
          <t>Windows 用户:</t>
        </r>
        <r>
          <rPr>
            <sz val="9"/>
            <rFont val="宋体"/>
            <charset val="134"/>
          </rPr>
          <t xml:space="preserve">
“盈余公积弥补亏损”修改为“弥补亏损”,并将本行资本公积和实收资本单元格解封。
</t>
        </r>
      </text>
    </comment>
  </commentList>
</comments>
</file>

<file path=xl/comments6.xml><?xml version="1.0" encoding="utf-8"?>
<comments xmlns="http://schemas.openxmlformats.org/spreadsheetml/2006/main">
  <authors>
    <author>张彦丽</author>
  </authors>
  <commentList>
    <comment ref="A16" authorId="0">
      <text>
        <r>
          <rPr>
            <b/>
            <sz val="9"/>
            <rFont val="宋体"/>
            <charset val="134"/>
          </rPr>
          <t>张彦丽:</t>
        </r>
        <r>
          <rPr>
            <sz val="9"/>
            <rFont val="宋体"/>
            <charset val="134"/>
          </rPr>
          <t xml:space="preserve">
“所有者投入资本”改为“所有者投入的普通股”</t>
        </r>
      </text>
    </comment>
  </commentList>
</comments>
</file>

<file path=xl/comments7.xml><?xml version="1.0" encoding="utf-8"?>
<comments xmlns="http://schemas.openxmlformats.org/spreadsheetml/2006/main">
  <authors>
    <author>Chu Yantao 储燕涛</author>
  </authors>
  <commentList>
    <comment ref="C4" authorId="0">
      <text>
        <r>
          <rPr>
            <b/>
            <sz val="9"/>
            <rFont val="宋体"/>
            <charset val="134"/>
          </rPr>
          <t>Chu Yantao 储燕涛:</t>
        </r>
        <r>
          <rPr>
            <sz val="9"/>
            <rFont val="宋体"/>
            <charset val="134"/>
          </rPr>
          <t xml:space="preserve">
首次执行新金融工具准则及发生其他期初数调整事项的企业，按照调整后的金额填列</t>
        </r>
      </text>
    </comment>
  </commentList>
</comments>
</file>

<file path=xl/sharedStrings.xml><?xml version="1.0" encoding="utf-8"?>
<sst xmlns="http://schemas.openxmlformats.org/spreadsheetml/2006/main" count="621" uniqueCount="457">
  <si>
    <t>合 并 及 公 司 资 产 负 债 表</t>
  </si>
  <si>
    <r>
      <rPr>
        <b/>
        <sz val="12"/>
        <rFont val="Arial Narrow"/>
        <charset val="134"/>
      </rPr>
      <t>2025</t>
    </r>
    <r>
      <rPr>
        <b/>
        <sz val="12"/>
        <rFont val="仿宋_GB2312"/>
        <charset val="134"/>
      </rPr>
      <t>年</t>
    </r>
    <r>
      <rPr>
        <b/>
        <sz val="12"/>
        <rFont val="Arial Narrow"/>
        <charset val="134"/>
      </rPr>
      <t>12</t>
    </r>
    <r>
      <rPr>
        <b/>
        <sz val="12"/>
        <rFont val="仿宋_GB2312"/>
        <charset val="134"/>
      </rPr>
      <t>月</t>
    </r>
    <r>
      <rPr>
        <b/>
        <sz val="12"/>
        <rFont val="Arial Narrow"/>
        <charset val="134"/>
      </rPr>
      <t>31</t>
    </r>
    <r>
      <rPr>
        <b/>
        <sz val="12"/>
        <rFont val="仿宋_GB2312"/>
        <charset val="134"/>
      </rPr>
      <t>日</t>
    </r>
  </si>
  <si>
    <t>编制单位：</t>
  </si>
  <si>
    <t>金额单位：元</t>
  </si>
  <si>
    <t>项            目</t>
  </si>
  <si>
    <t>附注</t>
  </si>
  <si>
    <t>期末余额</t>
  </si>
  <si>
    <t>期初余额</t>
  </si>
  <si>
    <t>合并</t>
  </si>
  <si>
    <t>公司</t>
  </si>
  <si>
    <t>流动资产：</t>
  </si>
  <si>
    <t xml:space="preserve">  货币资金</t>
  </si>
  <si>
    <t xml:space="preserve">  △结算备付金</t>
  </si>
  <si>
    <t xml:space="preserve">  △拆出资金</t>
  </si>
  <si>
    <t xml:space="preserve">  交易性金融资产</t>
  </si>
  <si>
    <t xml:space="preserve">  衍生金融资产</t>
  </si>
  <si>
    <t xml:space="preserve">  应收票据</t>
  </si>
  <si>
    <t xml:space="preserve">  应收账款</t>
  </si>
  <si>
    <t xml:space="preserve">  应收款项融资</t>
  </si>
  <si>
    <t xml:space="preserve">  预付款项</t>
  </si>
  <si>
    <t xml:space="preserve">  ▲应收保费</t>
  </si>
  <si>
    <t xml:space="preserve">  ▲应收分保账款</t>
  </si>
  <si>
    <t xml:space="preserve">  ▲应收分保合同准备金</t>
  </si>
  <si>
    <t xml:space="preserve">  应收资金集中管理款</t>
  </si>
  <si>
    <t xml:space="preserve">  其他应收款</t>
  </si>
  <si>
    <t xml:space="preserve">    其中：应收股利</t>
  </si>
  <si>
    <t xml:space="preserve">  △买入返售金融资产</t>
  </si>
  <si>
    <t xml:space="preserve">  存货</t>
  </si>
  <si>
    <t xml:space="preserve">    其中：原材料</t>
  </si>
  <si>
    <t xml:space="preserve">          库存商品（产成品）</t>
  </si>
  <si>
    <t xml:space="preserve">  合同资产</t>
  </si>
  <si>
    <t xml:space="preserve">  △保险合同资产</t>
  </si>
  <si>
    <t xml:space="preserve">  △分出再保险合同资产</t>
  </si>
  <si>
    <t xml:space="preserve">  持有待售资产</t>
  </si>
  <si>
    <t xml:space="preserve">  一年内到期的非流动资产</t>
  </si>
  <si>
    <t xml:space="preserve">  其他流动资产</t>
  </si>
  <si>
    <t>流动资产合计</t>
  </si>
  <si>
    <t>非流动资产：</t>
  </si>
  <si>
    <t xml:space="preserve">  △发放贷款和垫款</t>
  </si>
  <si>
    <t xml:space="preserve">  债权投资</t>
  </si>
  <si>
    <t xml:space="preserve">  其他债权投资</t>
  </si>
  <si>
    <t xml:space="preserve">  长期应收款</t>
  </si>
  <si>
    <t xml:space="preserve">  长期股权投资</t>
  </si>
  <si>
    <t xml:space="preserve">  其他权益工具投资</t>
  </si>
  <si>
    <t xml:space="preserve">  其他非流动金融资产</t>
  </si>
  <si>
    <t xml:space="preserve">  投资性房地产</t>
  </si>
  <si>
    <t xml:space="preserve">  固定资产</t>
  </si>
  <si>
    <t xml:space="preserve">    其中：固定资产原价</t>
  </si>
  <si>
    <t xml:space="preserve">          累计折旧</t>
  </si>
  <si>
    <t xml:space="preserve">          固定资产减值准备</t>
  </si>
  <si>
    <t xml:space="preserve">  在建工程</t>
  </si>
  <si>
    <t xml:space="preserve">  生产性生物资产</t>
  </si>
  <si>
    <t xml:space="preserve">  油气资产</t>
  </si>
  <si>
    <t xml:space="preserve">  使用权资产</t>
  </si>
  <si>
    <t xml:space="preserve">  无形资产</t>
  </si>
  <si>
    <t xml:space="preserve">  开发支出</t>
  </si>
  <si>
    <t xml:space="preserve">  商誉</t>
  </si>
  <si>
    <t xml:space="preserve">  长期待摊费用</t>
  </si>
  <si>
    <t xml:space="preserve">  递延所得税资产</t>
  </si>
  <si>
    <t xml:space="preserve">  其他非流动资产</t>
  </si>
  <si>
    <t xml:space="preserve">    其中：特准储备物资</t>
  </si>
  <si>
    <t>非流动资产合计</t>
  </si>
  <si>
    <t>资  产  总  计</t>
  </si>
  <si>
    <r>
      <rPr>
        <sz val="10"/>
        <rFont val="宋体"/>
        <charset val="134"/>
      </rPr>
      <t>注：</t>
    </r>
    <r>
      <rPr>
        <sz val="10"/>
        <color indexed="10"/>
        <rFont val="宋体"/>
        <charset val="134"/>
      </rPr>
      <t>表中带</t>
    </r>
    <r>
      <rPr>
        <sz val="10"/>
        <color indexed="10"/>
        <rFont val="Arial"/>
        <charset val="134"/>
      </rPr>
      <t>*</t>
    </r>
    <r>
      <rPr>
        <sz val="10"/>
        <color indexed="10"/>
        <rFont val="宋体"/>
        <charset val="134"/>
      </rPr>
      <t>科目为合并会计报表专用；</t>
    </r>
  </si>
  <si>
    <r>
      <rPr>
        <sz val="10"/>
        <rFont val="宋体"/>
        <charset val="134"/>
      </rPr>
      <t>注：</t>
    </r>
    <r>
      <rPr>
        <sz val="10"/>
        <color indexed="10"/>
        <rFont val="宋体"/>
        <charset val="134"/>
      </rPr>
      <t>加△科目为金融类企业专用；</t>
    </r>
  </si>
  <si>
    <r>
      <rPr>
        <sz val="10"/>
        <rFont val="宋体"/>
        <charset val="134"/>
      </rPr>
      <t>注：</t>
    </r>
    <r>
      <rPr>
        <sz val="10"/>
        <color indexed="10"/>
        <rFont val="宋体"/>
        <charset val="134"/>
      </rPr>
      <t>加▲项目为未执行新保险合同准则的企业专用；</t>
    </r>
  </si>
  <si>
    <t>注：带#为外商投资企业专用。</t>
  </si>
  <si>
    <t>合 并 及 公 司 资 产 负 债 表 （续）</t>
  </si>
  <si>
    <t>流动负债：</t>
  </si>
  <si>
    <t xml:space="preserve">  短期借款</t>
  </si>
  <si>
    <t xml:space="preserve">  △向中央银行借款</t>
  </si>
  <si>
    <t xml:space="preserve">  △拆入资金</t>
  </si>
  <si>
    <t xml:space="preserve">  交易性金融负债</t>
  </si>
  <si>
    <t xml:space="preserve">  衍生金融负债</t>
  </si>
  <si>
    <t xml:space="preserve">  应付票据</t>
  </si>
  <si>
    <t xml:space="preserve">  应付账款</t>
  </si>
  <si>
    <r>
      <rPr>
        <sz val="12"/>
        <rFont val="仿宋_GB2312"/>
        <charset val="134"/>
      </rPr>
      <t xml:space="preserve">  预收</t>
    </r>
    <r>
      <rPr>
        <sz val="12"/>
        <color indexed="8"/>
        <rFont val="仿宋_GB2312"/>
        <charset val="134"/>
      </rPr>
      <t>款项</t>
    </r>
  </si>
  <si>
    <t xml:space="preserve">  合同负债</t>
  </si>
  <si>
    <t xml:space="preserve">  △卖出回购金融资产款</t>
  </si>
  <si>
    <t xml:space="preserve">  △吸收存款及同业存放</t>
  </si>
  <si>
    <t xml:space="preserve">  △代理买卖证券款</t>
  </si>
  <si>
    <t xml:space="preserve">  △代理承销证券款</t>
  </si>
  <si>
    <t xml:space="preserve">  △预收保费</t>
  </si>
  <si>
    <t xml:space="preserve">  应付职工薪酬</t>
  </si>
  <si>
    <t xml:space="preserve">    其中：应付工资</t>
  </si>
  <si>
    <t xml:space="preserve">          应付福利费</t>
  </si>
  <si>
    <t xml:space="preserve">          #其中：职工奖励及福利基金</t>
  </si>
  <si>
    <t xml:space="preserve">  应交税费</t>
  </si>
  <si>
    <t xml:space="preserve">    其中：应交税金</t>
  </si>
  <si>
    <t xml:space="preserve">  其他应付款</t>
  </si>
  <si>
    <t xml:space="preserve">    其中：应付股利</t>
  </si>
  <si>
    <t xml:space="preserve">  ▲应付手续费及佣金</t>
  </si>
  <si>
    <t xml:space="preserve">  ▲应付分保账款</t>
  </si>
  <si>
    <t xml:space="preserve">  持有待售负债</t>
  </si>
  <si>
    <t xml:space="preserve">  一年内到期的非流动负债</t>
  </si>
  <si>
    <t xml:space="preserve">  其他流动负债</t>
  </si>
  <si>
    <t>流动负债合计</t>
  </si>
  <si>
    <t>非流动负债：</t>
  </si>
  <si>
    <t xml:space="preserve">  ▲保险合同准备金</t>
  </si>
  <si>
    <t xml:space="preserve">  长期借款</t>
  </si>
  <si>
    <t xml:space="preserve">  应付债券</t>
  </si>
  <si>
    <t xml:space="preserve">    其中：优先股</t>
  </si>
  <si>
    <t xml:space="preserve">          永续债</t>
  </si>
  <si>
    <t xml:space="preserve">  △保险合同负债</t>
  </si>
  <si>
    <t xml:space="preserve">  △分出再保险合同负债</t>
  </si>
  <si>
    <t xml:space="preserve">  租赁负债</t>
  </si>
  <si>
    <t xml:space="preserve">  长期应付款</t>
  </si>
  <si>
    <t xml:space="preserve">  长期应付职工薪酬</t>
  </si>
  <si>
    <t xml:space="preserve">  预计负债</t>
  </si>
  <si>
    <t xml:space="preserve">  递延收益</t>
  </si>
  <si>
    <t xml:space="preserve">  递延所得税负债</t>
  </si>
  <si>
    <t xml:space="preserve">  其他非流动负债</t>
  </si>
  <si>
    <t xml:space="preserve">    其中：特准储备基金</t>
  </si>
  <si>
    <t>非流动负债合计</t>
  </si>
  <si>
    <t>负 债 合 计</t>
  </si>
  <si>
    <t>所有者权益：</t>
  </si>
  <si>
    <t xml:space="preserve">  实收资本</t>
  </si>
  <si>
    <t xml:space="preserve">    国家资本</t>
  </si>
  <si>
    <t xml:space="preserve">    国有法人资本</t>
  </si>
  <si>
    <t xml:space="preserve">    集体资本</t>
  </si>
  <si>
    <t xml:space="preserve">    民营资本</t>
  </si>
  <si>
    <t xml:space="preserve">    外商资本</t>
  </si>
  <si>
    <t xml:space="preserve">  #减：已归还投资</t>
  </si>
  <si>
    <t xml:space="preserve">  实收资本净额</t>
  </si>
  <si>
    <t xml:space="preserve">  其他权益工具</t>
  </si>
  <si>
    <t xml:space="preserve">      其中：优先股</t>
  </si>
  <si>
    <t xml:space="preserve">            永续债</t>
  </si>
  <si>
    <t xml:space="preserve">  资本公积</t>
  </si>
  <si>
    <t xml:space="preserve">  减：库存股</t>
  </si>
  <si>
    <t xml:space="preserve">  其他综合收益</t>
  </si>
  <si>
    <t xml:space="preserve">      其中：外币报表折算差额</t>
  </si>
  <si>
    <t xml:space="preserve">  专项储备</t>
  </si>
  <si>
    <t xml:space="preserve">  盈余公积</t>
  </si>
  <si>
    <t xml:space="preserve">    其中：法定公积金</t>
  </si>
  <si>
    <t xml:space="preserve">          任意公积金</t>
  </si>
  <si>
    <t xml:space="preserve">          #储备基金</t>
  </si>
  <si>
    <t xml:space="preserve">          #企业发展基金</t>
  </si>
  <si>
    <t xml:space="preserve">          #利润归还投资</t>
  </si>
  <si>
    <t xml:space="preserve">  △一般风险准备</t>
  </si>
  <si>
    <t xml:space="preserve">  未分配利润</t>
  </si>
  <si>
    <t>归属于母公司所有者权益合计</t>
  </si>
  <si>
    <r>
      <rPr>
        <sz val="12"/>
        <rFont val="仿宋_GB2312"/>
        <charset val="134"/>
      </rPr>
      <t xml:space="preserve"> </t>
    </r>
    <r>
      <rPr>
        <sz val="12"/>
        <color indexed="10"/>
        <rFont val="仿宋_GB2312"/>
        <charset val="134"/>
      </rPr>
      <t>*</t>
    </r>
    <r>
      <rPr>
        <sz val="12"/>
        <rFont val="仿宋_GB2312"/>
        <charset val="134"/>
      </rPr>
      <t>少数股东权益</t>
    </r>
  </si>
  <si>
    <t>所有者权益合计</t>
  </si>
  <si>
    <t>负债和所有者权益总计</t>
  </si>
  <si>
    <t>企业负责人：                        主管会计工作负责人：                        会计机构负责人：</t>
  </si>
  <si>
    <t>合 并 及 公 司 利 润 表</t>
  </si>
  <si>
    <t>2025年度</t>
  </si>
  <si>
    <t>本期金额</t>
  </si>
  <si>
    <t>上期金额</t>
  </si>
  <si>
    <t>一、营业总收入</t>
  </si>
  <si>
    <t xml:space="preserve">        其中：营业收入</t>
  </si>
  <si>
    <t xml:space="preserve">                △利息收入</t>
  </si>
  <si>
    <t xml:space="preserve">                △保险服务收入</t>
  </si>
  <si>
    <t xml:space="preserve">                ▲已赚保费</t>
  </si>
  <si>
    <t xml:space="preserve">                △手续费及佣金收入</t>
  </si>
  <si>
    <t>二、营业总成本</t>
  </si>
  <si>
    <t xml:space="preserve">        其中：营业成本</t>
  </si>
  <si>
    <t xml:space="preserve">                △利息支出</t>
  </si>
  <si>
    <t xml:space="preserve">                △手续费及佣金支出</t>
  </si>
  <si>
    <t xml:space="preserve">                △保险服务费用</t>
  </si>
  <si>
    <t xml:space="preserve">                △分出保费的分配</t>
  </si>
  <si>
    <t xml:space="preserve">                △减：摊回保险服务费用</t>
  </si>
  <si>
    <t xml:space="preserve">                △承保财务损失</t>
  </si>
  <si>
    <t xml:space="preserve">                △减：分出再保险财务收益</t>
  </si>
  <si>
    <t xml:space="preserve">                ▲退保金</t>
  </si>
  <si>
    <t xml:space="preserve">                ▲赔付支出净额</t>
  </si>
  <si>
    <t xml:space="preserve">                ▲提取保险责任准备金净额</t>
  </si>
  <si>
    <t xml:space="preserve">                ▲保单红利支出</t>
  </si>
  <si>
    <t xml:space="preserve">                ▲分保费用</t>
  </si>
  <si>
    <t xml:space="preserve">                    税金及附加</t>
  </si>
  <si>
    <t>反映企业经营活动发生的消费税、城市维护建设税、资源税、教育费附加及房产税、土地使用税、车船税、印花税等相关税费，应根据“税金及附加”科目的发生额填列</t>
  </si>
  <si>
    <t xml:space="preserve">                    销售费用</t>
  </si>
  <si>
    <t xml:space="preserve">                    管理费用</t>
  </si>
  <si>
    <t xml:space="preserve">                    研发费用</t>
  </si>
  <si>
    <t xml:space="preserve">                    财务费用</t>
  </si>
  <si>
    <t xml:space="preserve">                        其中：利息费用</t>
  </si>
  <si>
    <t xml:space="preserve">                                  利息收入</t>
  </si>
  <si>
    <t xml:space="preserve">                                  汇兑净损失（净收益以“－”号填列）</t>
  </si>
  <si>
    <t xml:space="preserve">                    其他</t>
  </si>
  <si>
    <t xml:space="preserve">         加：  其他收益</t>
  </si>
  <si>
    <t>反映与企业日常活动相关的政府补助、债务人以非金融资产清偿债务形成的债务重组损益以及其他与日常活动相关且计入其他收益的项目。该项目应根据“其他收益”科目的发生额分析填列。企业作为个人所得税的扣缴义务人，根据《中华人民共和国个人所得税法》收到的扣缴税款手续费，应作为其他与日常活动相关的收益在该项目中填列</t>
  </si>
  <si>
    <t xml:space="preserve">                    投资收益（损失以“－”号填列）</t>
  </si>
  <si>
    <t xml:space="preserve">                        其中：对联营企业和合营企业的投资收益</t>
  </si>
  <si>
    <t xml:space="preserve">                                  以摊余成本计量的金融资产终止确认收益</t>
  </si>
  <si>
    <t xml:space="preserve">                △汇兑收益（损失以“－”号填列）</t>
  </si>
  <si>
    <t xml:space="preserve">                    净敞口套期收益（损失以“－”号填列）</t>
  </si>
  <si>
    <t xml:space="preserve">                    公允价值变动收益（损失以“－”号填列）</t>
  </si>
  <si>
    <t xml:space="preserve">                    信用减值损失（损失以“－”号填列）</t>
  </si>
  <si>
    <r>
      <rPr>
        <sz val="12"/>
        <rFont val="仿宋_GB2312"/>
        <charset val="134"/>
      </rPr>
      <t>反映企业按照《企业会计准则第</t>
    </r>
    <r>
      <rPr>
        <sz val="12"/>
        <rFont val="Arial Narrow"/>
        <charset val="134"/>
      </rPr>
      <t>22</t>
    </r>
    <r>
      <rPr>
        <sz val="12"/>
        <rFont val="仿宋_GB2312"/>
        <charset val="134"/>
      </rPr>
      <t>号——金融工具确认和计量》的要求计提的各项金融工具减值准备所形成的预期信用损失，应根据“信用减值损失”科目发生额分析填列，损失以“</t>
    </r>
    <r>
      <rPr>
        <sz val="12"/>
        <rFont val="Arial Narrow"/>
        <charset val="134"/>
      </rPr>
      <t>-</t>
    </r>
    <r>
      <rPr>
        <sz val="12"/>
        <rFont val="仿宋_GB2312"/>
        <charset val="134"/>
      </rPr>
      <t>”号填列</t>
    </r>
  </si>
  <si>
    <t xml:space="preserve">                    资产减值损失（损失以“－”号填列）</t>
  </si>
  <si>
    <t xml:space="preserve">                    资产处置收益（损失以“－”号填列）</t>
  </si>
  <si>
    <r>
      <rPr>
        <sz val="12"/>
        <color rgb="FF000000"/>
        <rFont val="Arial Narrow"/>
        <charset val="134"/>
      </rPr>
      <t>1</t>
    </r>
    <r>
      <rPr>
        <sz val="12"/>
        <color rgb="FF000000"/>
        <rFont val="仿宋_GB2312"/>
        <charset val="134"/>
      </rPr>
      <t>．新增</t>
    </r>
    <r>
      <rPr>
        <sz val="12"/>
        <color rgb="FF000000"/>
        <rFont val="Arial Narrow"/>
        <charset val="134"/>
      </rPr>
      <t>“</t>
    </r>
    <r>
      <rPr>
        <sz val="12"/>
        <color rgb="FF000000"/>
        <rFont val="仿宋_GB2312"/>
        <charset val="134"/>
      </rPr>
      <t>资产处置收益</t>
    </r>
    <r>
      <rPr>
        <sz val="12"/>
        <color rgb="FF000000"/>
        <rFont val="Arial Narrow"/>
        <charset val="134"/>
      </rPr>
      <t>”</t>
    </r>
    <r>
      <rPr>
        <sz val="12"/>
        <color rgb="FF000000"/>
        <rFont val="仿宋_GB2312"/>
        <charset val="134"/>
      </rPr>
      <t>行项目，反映企业出售划分为持有待售的非流动资产（金融工具、长期股权投资和投资性房地产除外）或处置组时确认的处置利得或损失，以及处置未划分为持有待售的固定资产、在建工程、生产性生物资产及无形资产而产生的处置利得或损失。债务重组中因处置非流动资产产生的利得或损失和非货币性资产交换产生的利得或损失也包括在本项目内。该项目应根据在损益类科目新设置的</t>
    </r>
    <r>
      <rPr>
        <sz val="12"/>
        <color rgb="FF000000"/>
        <rFont val="Arial Narrow"/>
        <charset val="134"/>
      </rPr>
      <t>“</t>
    </r>
    <r>
      <rPr>
        <sz val="12"/>
        <color rgb="FF000000"/>
        <rFont val="仿宋_GB2312"/>
        <charset val="134"/>
      </rPr>
      <t>资产处置损益</t>
    </r>
    <r>
      <rPr>
        <sz val="12"/>
        <color rgb="FF000000"/>
        <rFont val="Arial Narrow"/>
        <charset val="134"/>
      </rPr>
      <t>”</t>
    </r>
    <r>
      <rPr>
        <sz val="12"/>
        <color rgb="FF000000"/>
        <rFont val="仿宋_GB2312"/>
        <charset val="134"/>
      </rPr>
      <t>科目的发生额分析填列；如为处置损失，以</t>
    </r>
    <r>
      <rPr>
        <sz val="12"/>
        <color rgb="FF000000"/>
        <rFont val="Arial Narrow"/>
        <charset val="134"/>
      </rPr>
      <t>“-”</t>
    </r>
    <r>
      <rPr>
        <sz val="12"/>
        <color rgb="FF000000"/>
        <rFont val="仿宋_GB2312"/>
        <charset val="134"/>
      </rPr>
      <t>号填列。</t>
    </r>
  </si>
  <si>
    <r>
      <rPr>
        <b/>
        <sz val="10"/>
        <rFont val="仿宋_GB2312"/>
        <charset val="134"/>
      </rPr>
      <t>三、营业利润</t>
    </r>
    <r>
      <rPr>
        <sz val="10"/>
        <rFont val="仿宋_GB2312"/>
        <charset val="134"/>
      </rPr>
      <t>（亏损以“－”号填列）</t>
    </r>
  </si>
  <si>
    <t xml:space="preserve">         加： 营业外收入</t>
  </si>
  <si>
    <r>
      <rPr>
        <sz val="12"/>
        <color rgb="FF000000"/>
        <rFont val="Arial Narrow"/>
        <charset val="134"/>
      </rPr>
      <t>3</t>
    </r>
    <r>
      <rPr>
        <sz val="12"/>
        <color rgb="FF000000"/>
        <rFont val="仿宋_GB2312"/>
        <charset val="134"/>
      </rPr>
      <t>．</t>
    </r>
    <r>
      <rPr>
        <sz val="12"/>
        <color rgb="FF000000"/>
        <rFont val="Arial Narrow"/>
        <charset val="134"/>
      </rPr>
      <t>“</t>
    </r>
    <r>
      <rPr>
        <sz val="12"/>
        <color rgb="FF000000"/>
        <rFont val="仿宋_GB2312"/>
        <charset val="134"/>
      </rPr>
      <t>营业外收入</t>
    </r>
    <r>
      <rPr>
        <sz val="12"/>
        <color rgb="FF000000"/>
        <rFont val="Arial Narrow"/>
        <charset val="134"/>
      </rPr>
      <t>”</t>
    </r>
    <r>
      <rPr>
        <sz val="12"/>
        <color rgb="FF000000"/>
        <rFont val="仿宋_GB2312"/>
        <charset val="134"/>
      </rPr>
      <t>行项目，反映企业发生的营业利润以外的收益，主要包括与企业日常活动无关的政府补助、盘盈利得、捐赠利得等。该项目应根据</t>
    </r>
    <r>
      <rPr>
        <sz val="12"/>
        <color rgb="FF000000"/>
        <rFont val="Arial Narrow"/>
        <charset val="134"/>
      </rPr>
      <t>“</t>
    </r>
    <r>
      <rPr>
        <sz val="12"/>
        <color rgb="FF000000"/>
        <rFont val="仿宋_GB2312"/>
        <charset val="134"/>
      </rPr>
      <t>营业外收入</t>
    </r>
    <r>
      <rPr>
        <sz val="12"/>
        <color rgb="FF000000"/>
        <rFont val="Arial Narrow"/>
        <charset val="134"/>
      </rPr>
      <t>”</t>
    </r>
    <r>
      <rPr>
        <sz val="12"/>
        <color rgb="FF000000"/>
        <rFont val="仿宋_GB2312"/>
        <charset val="134"/>
      </rPr>
      <t>科目的发生额分析填列。</t>
    </r>
  </si>
  <si>
    <t xml:space="preserve">                  其中：政府补助</t>
  </si>
  <si>
    <t xml:space="preserve">         减： 营业外支出</t>
  </si>
  <si>
    <r>
      <rPr>
        <sz val="12"/>
        <color rgb="FF000000"/>
        <rFont val="Arial Narrow"/>
        <charset val="134"/>
      </rPr>
      <t>4</t>
    </r>
    <r>
      <rPr>
        <sz val="12"/>
        <color rgb="FF000000"/>
        <rFont val="仿宋_GB2312"/>
        <charset val="134"/>
      </rPr>
      <t>．</t>
    </r>
    <r>
      <rPr>
        <sz val="12"/>
        <color rgb="FF000000"/>
        <rFont val="Arial Narrow"/>
        <charset val="134"/>
      </rPr>
      <t>“</t>
    </r>
    <r>
      <rPr>
        <sz val="12"/>
        <color rgb="FF000000"/>
        <rFont val="仿宋_GB2312"/>
        <charset val="134"/>
      </rPr>
      <t>营业外支出</t>
    </r>
    <r>
      <rPr>
        <sz val="12"/>
        <color rgb="FF000000"/>
        <rFont val="Arial Narrow"/>
        <charset val="134"/>
      </rPr>
      <t>”</t>
    </r>
    <r>
      <rPr>
        <sz val="12"/>
        <color rgb="FF000000"/>
        <rFont val="仿宋_GB2312"/>
        <charset val="134"/>
      </rPr>
      <t>行项目，反映企业发生的营业利润以外的支出，主要包括公益性捐赠支出、非常损失、盘亏损失、非流动资产毁损报废损失等。该项目应根据</t>
    </r>
    <r>
      <rPr>
        <sz val="12"/>
        <color rgb="FF000000"/>
        <rFont val="Arial Narrow"/>
        <charset val="134"/>
      </rPr>
      <t>“</t>
    </r>
    <r>
      <rPr>
        <sz val="12"/>
        <color rgb="FF000000"/>
        <rFont val="仿宋_GB2312"/>
        <charset val="134"/>
      </rPr>
      <t>营业外支出</t>
    </r>
    <r>
      <rPr>
        <sz val="12"/>
        <color rgb="FF000000"/>
        <rFont val="Arial Narrow"/>
        <charset val="134"/>
      </rPr>
      <t>”</t>
    </r>
    <r>
      <rPr>
        <sz val="12"/>
        <color rgb="FF000000"/>
        <rFont val="仿宋_GB2312"/>
        <charset val="134"/>
      </rPr>
      <t>科目的发生额分析填列。</t>
    </r>
  </si>
  <si>
    <r>
      <rPr>
        <b/>
        <sz val="10"/>
        <rFont val="仿宋_GB2312"/>
        <charset val="134"/>
      </rPr>
      <t>四、利润总额</t>
    </r>
    <r>
      <rPr>
        <sz val="10"/>
        <rFont val="仿宋_GB2312"/>
        <charset val="134"/>
      </rPr>
      <t>（亏损总额以“－”号填列）</t>
    </r>
  </si>
  <si>
    <t xml:space="preserve">         减： 所得税费用</t>
  </si>
  <si>
    <r>
      <rPr>
        <b/>
        <sz val="10"/>
        <rFont val="仿宋_GB2312"/>
        <charset val="134"/>
      </rPr>
      <t>五、净利润</t>
    </r>
    <r>
      <rPr>
        <sz val="10"/>
        <rFont val="仿宋_GB2312"/>
        <charset val="134"/>
      </rPr>
      <t>（净亏损以“－”号填列）</t>
    </r>
  </si>
  <si>
    <t>（一）按所有权归属分类</t>
  </si>
  <si>
    <t xml:space="preserve">   1.归属于母公司所有者的净利润</t>
  </si>
  <si>
    <r>
      <rPr>
        <sz val="10"/>
        <rFont val="仿宋_GB2312"/>
        <charset val="134"/>
      </rPr>
      <t xml:space="preserve">  </t>
    </r>
    <r>
      <rPr>
        <sz val="10"/>
        <color indexed="10"/>
        <rFont val="仿宋_GB2312"/>
        <charset val="134"/>
      </rPr>
      <t>*</t>
    </r>
    <r>
      <rPr>
        <sz val="10"/>
        <color theme="1"/>
        <rFont val="仿宋_GB2312"/>
        <charset val="134"/>
      </rPr>
      <t>2.</t>
    </r>
    <r>
      <rPr>
        <sz val="10"/>
        <rFont val="仿宋_GB2312"/>
        <charset val="134"/>
      </rPr>
      <t>少数股东损益</t>
    </r>
  </si>
  <si>
    <t>（二）按经营持续性分类</t>
  </si>
  <si>
    <t xml:space="preserve">   1.持续经营净利润</t>
  </si>
  <si>
    <t xml:space="preserve">   2.终止经营净利润</t>
  </si>
  <si>
    <t>六、其他综合收益的税后净额</t>
  </si>
  <si>
    <t xml:space="preserve">   归属于母公司所有者的其他综合收益的税后净额</t>
  </si>
  <si>
    <t>（一）不能重分类进损益的其他综合收益</t>
  </si>
  <si>
    <t xml:space="preserve">       1. 重新计量设定受益计划变动额</t>
  </si>
  <si>
    <t xml:space="preserve">       2. 权益法下不能转损益的其他综合收益</t>
  </si>
  <si>
    <t xml:space="preserve">       3. 其他权益工具投资公允价值变动</t>
  </si>
  <si>
    <t xml:space="preserve">       4. 企业自身信用风险公允价值变动</t>
  </si>
  <si>
    <t xml:space="preserve">   △5. 不能转损益的保险合同金融变动</t>
  </si>
  <si>
    <t xml:space="preserve">       6. 其他</t>
  </si>
  <si>
    <t>（二）将重分类进损益的其他综合收益</t>
  </si>
  <si>
    <t xml:space="preserve">       1. 权益法下可转损益的其他综合收益</t>
  </si>
  <si>
    <t xml:space="preserve">       2. 其他债权投资公允价值变动</t>
  </si>
  <si>
    <t xml:space="preserve">       3. 金融资产重分类计入其他综合收益的金额</t>
  </si>
  <si>
    <t xml:space="preserve">       4. 其他债权投资信用减值准备</t>
  </si>
  <si>
    <t xml:space="preserve">       5. 现金流量套期储备（现金流量套期损益的有效部分）</t>
  </si>
  <si>
    <t xml:space="preserve">       6. 外币财务报表折算差额</t>
  </si>
  <si>
    <t xml:space="preserve">   △7. 可转损益的保险合同金融变动</t>
  </si>
  <si>
    <t xml:space="preserve">   △8. 可转损益的分出再保险合同金融变动</t>
  </si>
  <si>
    <t xml:space="preserve">       9. 其他</t>
  </si>
  <si>
    <t xml:space="preserve">  *归属于少数股东的其他综合收益的税后净额</t>
  </si>
  <si>
    <t>七、综合收益总额</t>
  </si>
  <si>
    <t xml:space="preserve">         归属于母公司所有者的综合收益总额</t>
  </si>
  <si>
    <t xml:space="preserve">        *归属于少数股东的综合收益总额</t>
  </si>
  <si>
    <t>八、每股收益：</t>
  </si>
  <si>
    <t xml:space="preserve">         基本每股收益</t>
  </si>
  <si>
    <t xml:space="preserve">         稀释每股收益</t>
  </si>
  <si>
    <r>
      <rPr>
        <sz val="10"/>
        <rFont val="仿宋_GB2312"/>
        <charset val="134"/>
      </rPr>
      <t>注：</t>
    </r>
    <r>
      <rPr>
        <sz val="10"/>
        <color indexed="10"/>
        <rFont val="仿宋_GB2312"/>
        <charset val="134"/>
      </rPr>
      <t>表中带*科目为合并会计报表专用；</t>
    </r>
    <r>
      <rPr>
        <sz val="10"/>
        <rFont val="仿宋_GB2312"/>
        <charset val="134"/>
      </rPr>
      <t>加△项目为金融类企业专用；带▲项目为未执行新保险合同准则的企业专用。</t>
    </r>
  </si>
  <si>
    <t>合 并 及 公 司 现 金 流 量 表</t>
  </si>
  <si>
    <r>
      <rPr>
        <sz val="12"/>
        <rFont val="Arial Narrow"/>
        <charset val="134"/>
      </rPr>
      <t>2025</t>
    </r>
    <r>
      <rPr>
        <sz val="12"/>
        <rFont val="仿宋_GB2312"/>
        <charset val="134"/>
      </rPr>
      <t>年度</t>
    </r>
  </si>
  <si>
    <r>
      <rPr>
        <sz val="12"/>
        <rFont val="仿宋_GB2312"/>
        <charset val="134"/>
      </rPr>
      <t>编制单位：</t>
    </r>
  </si>
  <si>
    <t>一、经营活动产生的现金流量：</t>
  </si>
  <si>
    <t xml:space="preserve">  销售商品、提供劳务收到的现金</t>
  </si>
  <si>
    <t xml:space="preserve">  △客户存款和同业存放款项净增加额</t>
  </si>
  <si>
    <t xml:space="preserve">  △向中央银行借款净增加额</t>
  </si>
  <si>
    <t xml:space="preserve">  △向其他金融机构拆入资金净增加额</t>
  </si>
  <si>
    <t xml:space="preserve">  △收到签发保险合同保费取得的现金</t>
  </si>
  <si>
    <t xml:space="preserve">  △收到分入再保险合同的现金净额</t>
  </si>
  <si>
    <t xml:space="preserve">  ▲收到原保险合同保费取得的现金</t>
  </si>
  <si>
    <t xml:space="preserve">  ▲收到再保业务现金净额</t>
  </si>
  <si>
    <t xml:space="preserve">  ▲保户储金及投资款净增加额</t>
  </si>
  <si>
    <t xml:space="preserve">  △处置以公允价值计量且其变动计入当期损益的金融资产净增加额</t>
  </si>
  <si>
    <t xml:space="preserve">  △收取利息、手续费及佣金的现金</t>
  </si>
  <si>
    <t xml:space="preserve">  △拆入资金净增加额</t>
  </si>
  <si>
    <t xml:space="preserve">  △回购业务资金净增加额</t>
  </si>
  <si>
    <t xml:space="preserve">  △代理买卖证券收到的现金净额</t>
  </si>
  <si>
    <t xml:space="preserve">  收到的税费返还</t>
  </si>
  <si>
    <t>收到的留抵退税款项有关现金流量在“收到的税费返还”项目列示</t>
  </si>
  <si>
    <t xml:space="preserve">  收到其他与经营活动有关的现金</t>
  </si>
  <si>
    <t>接受现金捐赠反映在“收到其他与经营活动有关的现金”项目</t>
  </si>
  <si>
    <t>经营活动现金流入小计</t>
  </si>
  <si>
    <t xml:space="preserve">  购买商品、接受劳务支付的现金</t>
  </si>
  <si>
    <t xml:space="preserve">  △客户贷款及垫款净增加额</t>
  </si>
  <si>
    <t xml:space="preserve">  △存放中央银行和同业款项净增加额</t>
  </si>
  <si>
    <t xml:space="preserve">  △支付签发保险合同赔款的现金</t>
  </si>
  <si>
    <t xml:space="preserve">  △支付分出再保险合同的现金净额</t>
  </si>
  <si>
    <t xml:space="preserve">  △保单质押贷款净额增加额</t>
  </si>
  <si>
    <t xml:space="preserve">  ▲支付原保险合同赔付款项的现金</t>
  </si>
  <si>
    <t xml:space="preserve">  △拆出资金净增加额</t>
  </si>
  <si>
    <t xml:space="preserve">  △支付利息、手续费及佣金的现金</t>
  </si>
  <si>
    <t xml:space="preserve">  ▲支付保单红利的现金</t>
  </si>
  <si>
    <t xml:space="preserve">  支付给职工及为职工支付的现金</t>
  </si>
  <si>
    <t>支付的工会经费反映在“支付给职工及为职工支付的现金”项目</t>
  </si>
  <si>
    <t xml:space="preserve">  支付的各项税费</t>
  </si>
  <si>
    <t>缴回并继续按规定抵扣进项税额的留抵退税款项有关现金流量在“支付的各项税费”项目列示</t>
  </si>
  <si>
    <t xml:space="preserve">  支付其他与经营活动有关的现金</t>
  </si>
  <si>
    <t>捐赠现金支出反映在“支付其他与经营活动有关的现金”项目</t>
  </si>
  <si>
    <t>经营活动现金流出小计</t>
  </si>
  <si>
    <t xml:space="preserve">        经营活动产生的现金流量净额</t>
  </si>
  <si>
    <t>二、投资活动产生的现金流量：</t>
  </si>
  <si>
    <t xml:space="preserve">  收回投资收到的现金</t>
  </si>
  <si>
    <t xml:space="preserve">  取得投资收益收到的现金</t>
  </si>
  <si>
    <t xml:space="preserve">  处置固定资产、无形资产和其他长期资产收回的现金净额</t>
  </si>
  <si>
    <t xml:space="preserve">  处置子公司及其他营业单位收到的现金净额</t>
  </si>
  <si>
    <t xml:space="preserve">  收到其他与投资活动有关的现金</t>
  </si>
  <si>
    <t>投资活动现金流入小计</t>
  </si>
  <si>
    <t xml:space="preserve">  购建固定资产、无形资产和其他长期资产支付的现金</t>
  </si>
  <si>
    <t xml:space="preserve">  投资支付的现金</t>
  </si>
  <si>
    <t xml:space="preserve">  ▲质押贷款净增加额</t>
  </si>
  <si>
    <t xml:space="preserve">  取得子公司及其他营业单位支付的现金净额</t>
  </si>
  <si>
    <t xml:space="preserve">  支付其他与投资活动有关的现金</t>
  </si>
  <si>
    <t>投资活动现金流出小计</t>
  </si>
  <si>
    <t xml:space="preserve">        投资活动产生的现金流量净额</t>
  </si>
  <si>
    <t>三、筹资活动产生的现金流量：</t>
  </si>
  <si>
    <t xml:space="preserve">  吸收投资收到的现金</t>
  </si>
  <si>
    <r>
      <rPr>
        <sz val="10"/>
        <rFont val="仿宋_GB2312"/>
        <charset val="134"/>
      </rPr>
      <t xml:space="preserve">    </t>
    </r>
    <r>
      <rPr>
        <sz val="10"/>
        <color rgb="FFFF0000"/>
        <rFont val="仿宋_GB2312"/>
        <charset val="134"/>
      </rPr>
      <t xml:space="preserve"> *</t>
    </r>
    <r>
      <rPr>
        <sz val="10"/>
        <rFont val="仿宋_GB2312"/>
        <charset val="134"/>
      </rPr>
      <t>其中：子公司吸收少数股东投资收到的现金</t>
    </r>
  </si>
  <si>
    <t xml:space="preserve">  取得借款收到的现金</t>
  </si>
  <si>
    <t xml:space="preserve">  收到其他与筹资活动有关的现金</t>
  </si>
  <si>
    <t>筹资活动现金流入小计</t>
  </si>
  <si>
    <t xml:space="preserve">  偿还债务支付的现金</t>
  </si>
  <si>
    <t xml:space="preserve">  分配股利、利润或偿付利息支付的现金</t>
  </si>
  <si>
    <r>
      <rPr>
        <sz val="10"/>
        <rFont val="仿宋_GB2312"/>
        <charset val="134"/>
      </rPr>
      <t xml:space="preserve">     </t>
    </r>
    <r>
      <rPr>
        <sz val="10"/>
        <color rgb="FFFF0000"/>
        <rFont val="仿宋_GB2312"/>
        <charset val="134"/>
      </rPr>
      <t>*</t>
    </r>
    <r>
      <rPr>
        <sz val="10"/>
        <rFont val="仿宋_GB2312"/>
        <charset val="134"/>
      </rPr>
      <t>其中：子公司支付给少数股东的股利、利润</t>
    </r>
  </si>
  <si>
    <t xml:space="preserve">  支付其他与筹资活动有关的现金</t>
  </si>
  <si>
    <t>筹资活动现金流出小计</t>
  </si>
  <si>
    <t xml:space="preserve">       筹资活动产生的现金流量净额</t>
  </si>
  <si>
    <t>四、汇率变动对现金及现金等价物的影响</t>
  </si>
  <si>
    <t>五、现金及现金等价物净增加额</t>
  </si>
  <si>
    <t xml:space="preserve">  加：期初现金及现金等价物余额</t>
  </si>
  <si>
    <t>六、期末现金及现金等价物余额</t>
  </si>
  <si>
    <r>
      <rPr>
        <sz val="10"/>
        <rFont val="宋体"/>
        <charset val="134"/>
      </rPr>
      <t>注：加△项目为金融类企业专用</t>
    </r>
    <r>
      <rPr>
        <sz val="10"/>
        <rFont val="宋体"/>
        <charset val="134"/>
      </rPr>
      <t>。</t>
    </r>
  </si>
  <si>
    <t>合并所有者权益变动表</t>
  </si>
  <si>
    <t>合并所有者权益变动表(续)</t>
  </si>
  <si>
    <t>2024年度</t>
  </si>
  <si>
    <t>行次</t>
  </si>
  <si>
    <t>本年金额</t>
  </si>
  <si>
    <t>上年金额</t>
  </si>
  <si>
    <t>归属于母公司所有者权益</t>
  </si>
  <si>
    <t>少数股东权益</t>
  </si>
  <si>
    <t>所有者
权益合计</t>
  </si>
  <si>
    <t>实收资本
（或股本）</t>
  </si>
  <si>
    <t>其他权益工具</t>
  </si>
  <si>
    <t>资本公积</t>
  </si>
  <si>
    <t>减：库存股</t>
  </si>
  <si>
    <t>其他综合收益</t>
  </si>
  <si>
    <t>专项储备</t>
  </si>
  <si>
    <t>盈余公积</t>
  </si>
  <si>
    <t>△一般风险准备</t>
  </si>
  <si>
    <t>未分配利润</t>
  </si>
  <si>
    <t>小计</t>
  </si>
  <si>
    <t>优先股</t>
  </si>
  <si>
    <t>永续债</t>
  </si>
  <si>
    <t>其他</t>
  </si>
  <si>
    <t>栏            次</t>
  </si>
  <si>
    <t>——</t>
  </si>
  <si>
    <t>一、上年年末余额</t>
  </si>
  <si>
    <t xml:space="preserve">    加：会计政策变更</t>
  </si>
  <si>
    <t xml:space="preserve">        前期差错更正</t>
  </si>
  <si>
    <t xml:space="preserve">        其他</t>
  </si>
  <si>
    <t>二、本年年初余额</t>
  </si>
  <si>
    <t>三、本年增减变动金额（减少以“－”号填列）</t>
  </si>
  <si>
    <t xml:space="preserve">  （一）综合收益总额</t>
  </si>
  <si>
    <t xml:space="preserve">  （二）所有者投入和减少资本</t>
  </si>
  <si>
    <t xml:space="preserve">             1.所有者投入的普通股</t>
  </si>
  <si>
    <t xml:space="preserve">             2.其他权益工具持有者投入资本</t>
  </si>
  <si>
    <t xml:space="preserve">             3.股份支付计入所有者权益的金额</t>
  </si>
  <si>
    <t xml:space="preserve">             4.其他</t>
  </si>
  <si>
    <t xml:space="preserve">  （三）专项储备提取和使用</t>
  </si>
  <si>
    <t xml:space="preserve">            1.提取专项储备</t>
  </si>
  <si>
    <t xml:space="preserve">            2.使用专项储备</t>
  </si>
  <si>
    <t xml:space="preserve">  （四）利润分配</t>
  </si>
  <si>
    <t xml:space="preserve">           1.提取盈余公积</t>
  </si>
  <si>
    <t xml:space="preserve">                 其中：法定公积金</t>
  </si>
  <si>
    <t xml:space="preserve">                               任意公积金</t>
  </si>
  <si>
    <t xml:space="preserve">                              #储备基金</t>
  </si>
  <si>
    <t>　　　  　            #企业发展基金</t>
  </si>
  <si>
    <t>　　　    　          #利润归还投资</t>
  </si>
  <si>
    <t xml:space="preserve">       △ 2.提取一般风险准备</t>
  </si>
  <si>
    <t xml:space="preserve">            3.对所有者（或股东）的分配</t>
  </si>
  <si>
    <t xml:space="preserve">            4.其他</t>
  </si>
  <si>
    <t xml:space="preserve">  （五）所有者权益内部结转</t>
  </si>
  <si>
    <t xml:space="preserve">           1.资本公积转增资本（或股本）</t>
  </si>
  <si>
    <t xml:space="preserve">           2.盈余公积转增资本（或股本）</t>
  </si>
  <si>
    <t xml:space="preserve">           3.弥补亏损</t>
  </si>
  <si>
    <t xml:space="preserve">           4. 设定受益计划变动额结转留存收益</t>
  </si>
  <si>
    <t xml:space="preserve">           5.其他综合收益结转留存收益</t>
  </si>
  <si>
    <t xml:space="preserve">           6.其他</t>
  </si>
  <si>
    <t>四、本年年末余额</t>
  </si>
  <si>
    <t>企业负责人：</t>
  </si>
  <si>
    <t>主管会计工作负责人：</t>
  </si>
  <si>
    <t>会计机构负责人：</t>
  </si>
  <si>
    <t>注：带#为外商投资企业专用，加△项目为金融类企业专用。</t>
  </si>
  <si>
    <t>（1）本表反映企业所有者权益的各组成部分本年年初和上年年初调整及本年和上年增减变动的情况，不仅包括所有者权益总量的增减变动，还包括所有者权益增减变动的重要结构性信息。“少数股东权益”栏目用于反映合并报表中少数股东权益变动的情况。</t>
  </si>
  <si>
    <t>（2）其他:反映企业本年和上年同一控制下企业合并、清产核资、执行新金融工具准则等影响的金额。</t>
  </si>
  <si>
    <t>公司所有者权益变动表</t>
  </si>
  <si>
    <t>公司所有者权益变动表(续)</t>
  </si>
  <si>
    <t>△一般风险
准备</t>
  </si>
  <si>
    <t xml:space="preserve">         加：会计政策变更</t>
  </si>
  <si>
    <t xml:space="preserve">                   前期差错更正</t>
  </si>
  <si>
    <t xml:space="preserve">                   其他</t>
  </si>
  <si>
    <t xml:space="preserve">      （一）综合收益总额</t>
  </si>
  <si>
    <t xml:space="preserve">      （二）所有者投入和减少资本</t>
  </si>
  <si>
    <t xml:space="preserve">               1.所有者投入的普通股</t>
  </si>
  <si>
    <t xml:space="preserve">               2.其他权益工具持有者投入资本</t>
  </si>
  <si>
    <t xml:space="preserve">               3.股份支付计入所有者权益的金额</t>
  </si>
  <si>
    <t xml:space="preserve">               4.其他</t>
  </si>
  <si>
    <t xml:space="preserve">     （三）专项储备提取和使用</t>
  </si>
  <si>
    <t xml:space="preserve">               1.提取专项储备</t>
  </si>
  <si>
    <t xml:space="preserve">               2.使用专项储备</t>
  </si>
  <si>
    <t xml:space="preserve">     （四）利润分配</t>
  </si>
  <si>
    <t xml:space="preserve">               1.提取盈余公积</t>
  </si>
  <si>
    <t xml:space="preserve">                      其中：法定公积金</t>
  </si>
  <si>
    <t xml:space="preserve">                              任意公积金</t>
  </si>
  <si>
    <t>　　       　　  　      #企业发展基金</t>
  </si>
  <si>
    <t>　　　　                   #利润归还投资</t>
  </si>
  <si>
    <t xml:space="preserve">          △ 2.提取一般风险准备</t>
  </si>
  <si>
    <t xml:space="preserve">               3.对所有者（或股东）的分配</t>
  </si>
  <si>
    <t xml:space="preserve">      （五）所有者权益内部结转</t>
  </si>
  <si>
    <t xml:space="preserve">               1.资本公积转增资本（或股本）</t>
  </si>
  <si>
    <t xml:space="preserve">               2.盈余公积转增资本（或股本）</t>
  </si>
  <si>
    <t xml:space="preserve">               3.弥补亏损</t>
  </si>
  <si>
    <t xml:space="preserve">               4. 设定受益计划变动额结转留存收益</t>
  </si>
  <si>
    <t xml:space="preserve">               5.其他综合收益结转留存收益</t>
  </si>
  <si>
    <t xml:space="preserve">               6.其他</t>
  </si>
  <si>
    <t>注：带#为外商投资企业专用，加△楷体项目为金融类企业专用。</t>
  </si>
  <si>
    <t>合并资产减值准备情况表</t>
  </si>
  <si>
    <r>
      <rPr>
        <sz val="12"/>
        <rFont val="Arial Narrow"/>
        <charset val="134"/>
      </rPr>
      <t>2025</t>
    </r>
    <r>
      <rPr>
        <sz val="12"/>
        <rFont val="仿宋_GB2312"/>
        <charset val="134"/>
      </rPr>
      <t>年</t>
    </r>
    <r>
      <rPr>
        <sz val="12"/>
        <rFont val="Arial Narrow"/>
        <charset val="134"/>
      </rPr>
      <t>12</t>
    </r>
    <r>
      <rPr>
        <sz val="12"/>
        <rFont val="仿宋_GB2312"/>
        <charset val="134"/>
      </rPr>
      <t>月</t>
    </r>
    <r>
      <rPr>
        <sz val="12"/>
        <rFont val="Arial Narrow"/>
        <charset val="134"/>
      </rPr>
      <t>31</t>
    </r>
    <r>
      <rPr>
        <sz val="12"/>
        <rFont val="仿宋_GB2312"/>
        <charset val="134"/>
      </rPr>
      <t>日</t>
    </r>
  </si>
  <si>
    <t>项       目</t>
  </si>
  <si>
    <t>年初账面余额</t>
  </si>
  <si>
    <t>本期增加额</t>
  </si>
  <si>
    <t>本期减少额</t>
  </si>
  <si>
    <t>期末账面余额</t>
  </si>
  <si>
    <t>本期计提额</t>
  </si>
  <si>
    <t>合并增加额</t>
  </si>
  <si>
    <t>其他原因增加额</t>
  </si>
  <si>
    <t>合计</t>
  </si>
  <si>
    <t>资产价值回升转回额</t>
  </si>
  <si>
    <t>转销额</t>
  </si>
  <si>
    <t>合并减少额</t>
  </si>
  <si>
    <t>其他原因减少额</t>
  </si>
  <si>
    <t>栏       次</t>
  </si>
  <si>
    <t>一、坏账准备</t>
  </si>
  <si>
    <t xml:space="preserve">  其中：应收账款坏账准备</t>
  </si>
  <si>
    <t>二、存货跌价准备</t>
  </si>
  <si>
    <t>三、合同资产减值准备</t>
  </si>
  <si>
    <t>四、合同取得成本减值准备</t>
  </si>
  <si>
    <t>五、合同履约成本减值准备</t>
  </si>
  <si>
    <t>六、持有待售资产减值准备</t>
  </si>
  <si>
    <t>七、债权投资减值准备</t>
  </si>
  <si>
    <t>八、长期股权投资减值准备</t>
  </si>
  <si>
    <t>九、投资性房地产减值准备</t>
  </si>
  <si>
    <t>十、固定资产减值准备</t>
  </si>
  <si>
    <t>十一、在建工程减值准备</t>
  </si>
  <si>
    <t>十二、生产性生物资产减值准备</t>
  </si>
  <si>
    <t>十三、油气资产减值准备</t>
  </si>
  <si>
    <t>十四、使用权资产减值准备</t>
  </si>
  <si>
    <t>十五、无形资产减值准备</t>
  </si>
  <si>
    <t>十六、商誉减值准备</t>
  </si>
  <si>
    <t>十七、其他减值准备</t>
  </si>
  <si>
    <t>合   计</t>
  </si>
  <si>
    <t>企业负责人：                                                  主管会计工作负责人：                                                           会计机构负责人：</t>
  </si>
  <si>
    <r>
      <rPr>
        <sz val="12"/>
        <rFont val="仿宋_GB2312"/>
        <charset val="134"/>
      </rPr>
      <t>（</t>
    </r>
    <r>
      <rPr>
        <sz val="12"/>
        <rFont val="Arial Narrow"/>
        <charset val="134"/>
      </rPr>
      <t>1</t>
    </r>
    <r>
      <rPr>
        <sz val="12"/>
        <rFont val="仿宋_GB2312"/>
        <charset val="134"/>
      </rPr>
      <t>）本表反映企业各项资产减值准备的年初账面余额、本期增减变动和期末账面余额，以及政策性挂账和当年处理以前年度损失和挂账等情况。其中，首次执行新金融工具准则以及发生其他期初数调整事项的企业，“年初账面余额”</t>
    </r>
    <r>
      <rPr>
        <sz val="12"/>
        <rFont val="Arial Narrow"/>
        <charset val="134"/>
      </rPr>
      <t xml:space="preserve"> </t>
    </r>
    <r>
      <rPr>
        <sz val="12"/>
        <rFont val="仿宋_GB2312"/>
        <charset val="134"/>
      </rPr>
      <t>按照调整后金额进行填列。</t>
    </r>
  </si>
  <si>
    <r>
      <rPr>
        <sz val="12"/>
        <rFont val="仿宋_GB2312"/>
        <charset val="134"/>
      </rPr>
      <t>（</t>
    </r>
    <r>
      <rPr>
        <sz val="12"/>
        <rFont val="Arial Narrow"/>
        <charset val="134"/>
      </rPr>
      <t>2</t>
    </r>
    <r>
      <rPr>
        <sz val="12"/>
        <rFont val="仿宋_GB2312"/>
        <charset val="134"/>
      </rPr>
      <t>）“合同资产减值准备”、“债权投资减值准备”等指标当期应冲减的金额在“本期计提额”中反映。</t>
    </r>
  </si>
  <si>
    <r>
      <rPr>
        <sz val="12"/>
        <rFont val="仿宋_GB2312"/>
        <charset val="134"/>
      </rPr>
      <t>（</t>
    </r>
    <r>
      <rPr>
        <sz val="12"/>
        <rFont val="Arial Narrow"/>
        <charset val="134"/>
      </rPr>
      <t>3</t>
    </r>
    <r>
      <rPr>
        <sz val="12"/>
        <rFont val="仿宋_GB2312"/>
        <charset val="134"/>
      </rPr>
      <t>）合并增加额、合并减少额：反映企业（集团）因合并范围变化而增加或减少的减值准备金额。因同一控制下企业合并增加的子公司，应调整合并期初数，不在本项目下反映。</t>
    </r>
  </si>
  <si>
    <t>公司资产减值准备情况表</t>
  </si>
  <si>
    <t>因资产价值回升转回额</t>
  </si>
  <si>
    <t>C1</t>
  </si>
  <si>
    <t>Custom 1</t>
  </si>
  <si>
    <t>C2</t>
  </si>
  <si>
    <t>Custom 2</t>
  </si>
  <si>
    <t>C3</t>
  </si>
  <si>
    <t>Custom 3</t>
  </si>
  <si>
    <t>C4</t>
  </si>
  <si>
    <t>Custom 4</t>
  </si>
  <si>
    <t>C5</t>
  </si>
  <si>
    <t>Custom 5</t>
  </si>
  <si>
    <t>C6</t>
  </si>
  <si>
    <t>Custom 6</t>
  </si>
  <si>
    <t>C7</t>
  </si>
  <si>
    <t>Custom 7</t>
  </si>
  <si>
    <t>C8</t>
  </si>
  <si>
    <t>Custom 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</si>
</sst>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56">
    <font>
      <sz val="12"/>
      <name val="宋体"/>
      <charset val="134"/>
    </font>
    <font>
      <sz val="12"/>
      <name val="仿宋_GB2312"/>
      <charset val="134"/>
    </font>
    <font>
      <sz val="10"/>
      <name val="仿宋_GB2312"/>
      <charset val="134"/>
    </font>
    <font>
      <b/>
      <sz val="16"/>
      <name val="仿宋_GB2312"/>
      <charset val="134"/>
    </font>
    <font>
      <sz val="12"/>
      <name val="Arial Narrow"/>
      <charset val="134"/>
    </font>
    <font>
      <sz val="10"/>
      <name val="Arial Narrow"/>
      <charset val="134"/>
    </font>
    <font>
      <b/>
      <sz val="10"/>
      <color indexed="8"/>
      <name val="仿宋_GB2312"/>
      <charset val="134"/>
    </font>
    <font>
      <sz val="10"/>
      <color indexed="8"/>
      <name val="Arial Narrow"/>
      <charset val="134"/>
    </font>
    <font>
      <b/>
      <sz val="12"/>
      <name val="仿宋_GB2312"/>
      <charset val="134"/>
    </font>
    <font>
      <b/>
      <sz val="10"/>
      <name val="宋体"/>
      <charset val="134"/>
    </font>
    <font>
      <sz val="10"/>
      <name val="宋体"/>
      <charset val="134"/>
    </font>
    <font>
      <b/>
      <sz val="10"/>
      <name val="仿宋_GB2312"/>
      <charset val="134"/>
    </font>
    <font>
      <b/>
      <sz val="10"/>
      <name val="Arial Narrow"/>
      <charset val="134"/>
    </font>
    <font>
      <b/>
      <sz val="9"/>
      <name val="Arial Narrow"/>
      <charset val="134"/>
    </font>
    <font>
      <sz val="9"/>
      <name val="Arial Narrow"/>
      <charset val="134"/>
    </font>
    <font>
      <sz val="12"/>
      <color indexed="8"/>
      <name val="仿宋_GB2312"/>
      <charset val="134"/>
    </font>
    <font>
      <sz val="16"/>
      <name val="仿宋_GB2312"/>
      <charset val="134"/>
    </font>
    <font>
      <sz val="10"/>
      <name val="Arial"/>
      <charset val="134"/>
    </font>
    <font>
      <sz val="12"/>
      <color rgb="FF000000"/>
      <name val="Arial Narrow"/>
      <charset val="134"/>
    </font>
    <font>
      <b/>
      <sz val="12"/>
      <name val="Arial Narrow"/>
      <charset val="134"/>
    </font>
    <font>
      <sz val="11"/>
      <name val="仿宋_GB2312"/>
      <charset val="134"/>
    </font>
    <font>
      <sz val="11"/>
      <name val="Arial Narrow"/>
      <charset val="134"/>
    </font>
    <font>
      <b/>
      <sz val="11"/>
      <name val="仿宋_GB2312"/>
      <charset val="134"/>
    </font>
    <font>
      <b/>
      <sz val="11"/>
      <name val="Arial Narrow"/>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2"/>
      <color rgb="FF000000"/>
      <name val="仿宋_GB2312"/>
      <charset val="134"/>
    </font>
    <font>
      <sz val="10"/>
      <color indexed="10"/>
      <name val="宋体"/>
      <charset val="134"/>
    </font>
    <font>
      <sz val="10"/>
      <color indexed="10"/>
      <name val="Arial"/>
      <charset val="134"/>
    </font>
    <font>
      <sz val="10"/>
      <color indexed="10"/>
      <name val="仿宋_GB2312"/>
      <charset val="134"/>
    </font>
    <font>
      <sz val="10"/>
      <color rgb="FFFF0000"/>
      <name val="仿宋_GB2312"/>
      <charset val="134"/>
    </font>
    <font>
      <sz val="12"/>
      <color indexed="10"/>
      <name val="仿宋_GB2312"/>
      <charset val="134"/>
    </font>
    <font>
      <sz val="10"/>
      <color theme="1"/>
      <name val="仿宋_GB2312"/>
      <charset val="134"/>
    </font>
    <font>
      <b/>
      <sz val="9"/>
      <name val="Tahoma"/>
      <charset val="134"/>
    </font>
    <font>
      <b/>
      <sz val="9"/>
      <name val="宋体"/>
      <charset val="134"/>
    </font>
    <font>
      <sz val="9"/>
      <name val="宋体"/>
      <charset val="134"/>
    </font>
    <font>
      <sz val="9"/>
      <name val="Tahoma"/>
      <charset val="134"/>
    </font>
  </fonts>
  <fills count="34">
    <fill>
      <patternFill patternType="none"/>
    </fill>
    <fill>
      <patternFill patternType="gray125"/>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top/>
      <bottom style="thin">
        <color auto="1"/>
      </bottom>
      <diagonal/>
    </border>
    <border>
      <left style="thin">
        <color auto="1"/>
      </left>
      <right/>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3" borderId="16"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7" applyNumberFormat="0" applyFill="0" applyAlignment="0" applyProtection="0">
      <alignment vertical="center"/>
    </xf>
    <xf numFmtId="0" fontId="31" fillId="0" borderId="17" applyNumberFormat="0" applyFill="0" applyAlignment="0" applyProtection="0">
      <alignment vertical="center"/>
    </xf>
    <xf numFmtId="0" fontId="32" fillId="0" borderId="18" applyNumberFormat="0" applyFill="0" applyAlignment="0" applyProtection="0">
      <alignment vertical="center"/>
    </xf>
    <xf numFmtId="0" fontId="32" fillId="0" borderId="0" applyNumberFormat="0" applyFill="0" applyBorder="0" applyAlignment="0" applyProtection="0">
      <alignment vertical="center"/>
    </xf>
    <xf numFmtId="0" fontId="33" fillId="4" borderId="19" applyNumberFormat="0" applyAlignment="0" applyProtection="0">
      <alignment vertical="center"/>
    </xf>
    <xf numFmtId="0" fontId="34" fillId="5" borderId="20" applyNumberFormat="0" applyAlignment="0" applyProtection="0">
      <alignment vertical="center"/>
    </xf>
    <xf numFmtId="0" fontId="35" fillId="5" borderId="19" applyNumberFormat="0" applyAlignment="0" applyProtection="0">
      <alignment vertical="center"/>
    </xf>
    <xf numFmtId="0" fontId="36" fillId="6" borderId="21" applyNumberFormat="0" applyAlignment="0" applyProtection="0">
      <alignment vertical="center"/>
    </xf>
    <xf numFmtId="0" fontId="37" fillId="0" borderId="22" applyNumberFormat="0" applyFill="0" applyAlignment="0" applyProtection="0">
      <alignment vertical="center"/>
    </xf>
    <xf numFmtId="0" fontId="38" fillId="0" borderId="23" applyNumberFormat="0" applyFill="0" applyAlignment="0" applyProtection="0">
      <alignment vertical="center"/>
    </xf>
    <xf numFmtId="0" fontId="39" fillId="7" borderId="0" applyNumberFormat="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2"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44" fillId="0" borderId="0"/>
  </cellStyleXfs>
  <cellXfs count="256">
    <xf numFmtId="0" fontId="0" fillId="0" borderId="0" xfId="0" applyAlignment="1">
      <alignment vertical="center"/>
    </xf>
    <xf numFmtId="0" fontId="1" fillId="0" borderId="0" xfId="52" applyFont="1" applyFill="1" applyAlignment="1">
      <alignment vertical="center"/>
    </xf>
    <xf numFmtId="0" fontId="2" fillId="0" borderId="0" xfId="52" applyFont="1" applyFill="1" applyAlignment="1">
      <alignment vertical="center" wrapText="1"/>
    </xf>
    <xf numFmtId="0" fontId="2" fillId="0" borderId="0" xfId="52" applyFont="1" applyFill="1" applyAlignment="1">
      <alignment vertical="center"/>
    </xf>
    <xf numFmtId="0" fontId="2" fillId="0" borderId="0" xfId="52" applyFont="1" applyFill="1" applyBorder="1" applyAlignment="1">
      <alignment vertical="center"/>
    </xf>
    <xf numFmtId="0" fontId="3" fillId="0" borderId="0" xfId="52" applyFont="1" applyFill="1" applyAlignment="1">
      <alignment horizontal="center" vertical="center"/>
    </xf>
    <xf numFmtId="0" fontId="1" fillId="0" borderId="0" xfId="52" applyFont="1" applyFill="1" applyAlignment="1">
      <alignment horizontal="left" vertical="center"/>
    </xf>
    <xf numFmtId="49" fontId="1" fillId="0" borderId="0" xfId="52" applyNumberFormat="1" applyFont="1" applyFill="1" applyBorder="1" applyAlignment="1">
      <alignment horizontal="center" vertical="center"/>
    </xf>
    <xf numFmtId="49" fontId="1" fillId="0" borderId="0" xfId="52" applyNumberFormat="1" applyFont="1" applyFill="1" applyBorder="1" applyAlignment="1">
      <alignment vertical="center"/>
    </xf>
    <xf numFmtId="49" fontId="4" fillId="0" borderId="0" xfId="52" applyNumberFormat="1" applyFont="1" applyFill="1" applyBorder="1" applyAlignment="1">
      <alignment vertical="center"/>
    </xf>
    <xf numFmtId="0" fontId="1" fillId="0" borderId="0" xfId="52" applyFont="1" applyFill="1" applyBorder="1" applyAlignment="1">
      <alignment horizontal="right" vertical="center"/>
    </xf>
    <xf numFmtId="0" fontId="2" fillId="0" borderId="1" xfId="52" applyFont="1" applyFill="1" applyBorder="1" applyAlignment="1">
      <alignment horizontal="center" vertical="center" wrapText="1"/>
    </xf>
    <xf numFmtId="0" fontId="2" fillId="0" borderId="2" xfId="52" applyFont="1" applyFill="1" applyBorder="1" applyAlignment="1">
      <alignment horizontal="center" vertical="center" wrapText="1"/>
    </xf>
    <xf numFmtId="0" fontId="2" fillId="0" borderId="2" xfId="52" applyFont="1" applyFill="1" applyBorder="1" applyAlignment="1">
      <alignment horizontal="center" vertical="center"/>
    </xf>
    <xf numFmtId="0" fontId="5" fillId="0" borderId="2" xfId="52" applyFont="1" applyFill="1" applyBorder="1" applyAlignment="1">
      <alignment horizontal="center" vertical="center" wrapText="1"/>
    </xf>
    <xf numFmtId="0" fontId="2" fillId="0" borderId="3" xfId="52" applyFont="1" applyFill="1" applyBorder="1" applyAlignment="1">
      <alignment vertical="center"/>
    </xf>
    <xf numFmtId="0" fontId="5" fillId="0" borderId="4" xfId="52" applyFont="1" applyFill="1" applyBorder="1" applyAlignment="1">
      <alignment horizontal="center" vertical="center"/>
    </xf>
    <xf numFmtId="43" fontId="5" fillId="0" borderId="4" xfId="52" applyNumberFormat="1" applyFont="1" applyFill="1" applyBorder="1" applyAlignment="1">
      <alignment vertical="center"/>
    </xf>
    <xf numFmtId="43" fontId="5" fillId="0" borderId="4" xfId="52" applyNumberFormat="1" applyFont="1" applyFill="1" applyBorder="1" applyAlignment="1">
      <alignment horizontal="center" vertical="center"/>
    </xf>
    <xf numFmtId="0" fontId="2" fillId="0" borderId="5" xfId="52" applyFont="1" applyFill="1" applyBorder="1" applyAlignment="1">
      <alignment vertical="center" wrapText="1"/>
    </xf>
    <xf numFmtId="0" fontId="5" fillId="0" borderId="6" xfId="52" applyFont="1" applyFill="1" applyBorder="1" applyAlignment="1">
      <alignment horizontal="center" vertical="center"/>
    </xf>
    <xf numFmtId="43" fontId="5" fillId="0" borderId="6" xfId="52" applyNumberFormat="1" applyFont="1" applyFill="1" applyBorder="1" applyAlignment="1">
      <alignment vertical="center"/>
    </xf>
    <xf numFmtId="43" fontId="5" fillId="0" borderId="6" xfId="52" applyNumberFormat="1" applyFont="1" applyFill="1" applyBorder="1" applyAlignment="1">
      <alignment vertical="center" wrapText="1"/>
    </xf>
    <xf numFmtId="43" fontId="5" fillId="0" borderId="6" xfId="52" applyNumberFormat="1" applyFont="1" applyFill="1" applyBorder="1" applyAlignment="1">
      <alignment horizontal="center" vertical="center"/>
    </xf>
    <xf numFmtId="0" fontId="2" fillId="0" borderId="5" xfId="52" applyFont="1" applyFill="1" applyBorder="1" applyAlignment="1">
      <alignment vertical="center"/>
    </xf>
    <xf numFmtId="0" fontId="6" fillId="0" borderId="7" xfId="52" applyFont="1" applyFill="1" applyBorder="1" applyAlignment="1">
      <alignment horizontal="center" vertical="center"/>
    </xf>
    <xf numFmtId="0" fontId="5" fillId="0" borderId="8" xfId="52" applyFont="1" applyFill="1" applyBorder="1" applyAlignment="1">
      <alignment horizontal="center" vertical="center"/>
    </xf>
    <xf numFmtId="43" fontId="7" fillId="0" borderId="8" xfId="52" applyNumberFormat="1" applyFont="1" applyFill="1" applyBorder="1" applyAlignment="1">
      <alignment vertical="center"/>
    </xf>
    <xf numFmtId="43" fontId="8" fillId="0" borderId="0" xfId="49" applyNumberFormat="1" applyFont="1" applyFill="1" applyAlignment="1">
      <alignment vertical="center"/>
    </xf>
    <xf numFmtId="0" fontId="5" fillId="0" borderId="2" xfId="52" applyFont="1" applyFill="1" applyBorder="1" applyAlignment="1">
      <alignment horizontal="center" vertical="center"/>
    </xf>
    <xf numFmtId="0" fontId="2" fillId="0" borderId="3" xfId="52" applyFont="1" applyFill="1" applyBorder="1" applyAlignment="1">
      <alignment vertical="center" wrapText="1"/>
    </xf>
    <xf numFmtId="0" fontId="6" fillId="0" borderId="7" xfId="52" applyFont="1" applyFill="1" applyBorder="1" applyAlignment="1">
      <alignment horizontal="center" vertical="center" wrapText="1"/>
    </xf>
    <xf numFmtId="43" fontId="5" fillId="0" borderId="8" xfId="52" applyNumberFormat="1" applyFont="1" applyFill="1" applyBorder="1" applyAlignment="1">
      <alignment vertical="center"/>
    </xf>
    <xf numFmtId="0" fontId="1" fillId="0" borderId="0" xfId="0" applyFont="1" applyFill="1" applyAlignment="1">
      <alignment vertical="center"/>
    </xf>
    <xf numFmtId="0" fontId="2" fillId="0" borderId="0" xfId="50" applyFont="1" applyAlignment="1">
      <alignment vertical="center"/>
    </xf>
    <xf numFmtId="0" fontId="1" fillId="0" borderId="0" xfId="50" applyFont="1" applyAlignment="1">
      <alignment vertical="center"/>
    </xf>
    <xf numFmtId="0" fontId="9" fillId="0" borderId="0" xfId="50" applyFont="1" applyAlignment="1">
      <alignment vertical="center"/>
    </xf>
    <xf numFmtId="0" fontId="10" fillId="0" borderId="0" xfId="50" applyFont="1" applyAlignment="1">
      <alignment vertical="center"/>
    </xf>
    <xf numFmtId="0" fontId="3" fillId="0" borderId="0" xfId="50" applyFont="1" applyAlignment="1">
      <alignment vertical="center"/>
    </xf>
    <xf numFmtId="0" fontId="2" fillId="0" borderId="0" xfId="50" applyFont="1" applyAlignment="1">
      <alignment horizontal="right" vertical="center"/>
    </xf>
    <xf numFmtId="0" fontId="1" fillId="0" borderId="0" xfId="50" applyFont="1" applyAlignment="1">
      <alignment horizontal="left" vertical="center"/>
    </xf>
    <xf numFmtId="0" fontId="4" fillId="0" borderId="9" xfId="50" applyFont="1" applyBorder="1" applyAlignment="1">
      <alignment horizontal="center" vertical="center"/>
    </xf>
    <xf numFmtId="0" fontId="4" fillId="0" borderId="9" xfId="0" applyFont="1" applyBorder="1"/>
    <xf numFmtId="0" fontId="1" fillId="0" borderId="9" xfId="50" applyFont="1" applyBorder="1" applyAlignment="1">
      <alignment horizontal="center" vertical="center"/>
    </xf>
    <xf numFmtId="0" fontId="1" fillId="0" borderId="9" xfId="0" applyFont="1" applyBorder="1"/>
    <xf numFmtId="0" fontId="2" fillId="0" borderId="1" xfId="50" applyFont="1" applyBorder="1" applyAlignment="1">
      <alignment horizontal="center" vertical="center" wrapText="1"/>
    </xf>
    <xf numFmtId="0" fontId="2" fillId="0" borderId="2" xfId="50" applyFont="1" applyBorder="1" applyAlignment="1">
      <alignment horizontal="center" vertical="center" wrapText="1"/>
    </xf>
    <xf numFmtId="0" fontId="2" fillId="0" borderId="2" xfId="50" applyFont="1" applyBorder="1" applyAlignment="1">
      <alignment horizontal="center" vertical="center"/>
    </xf>
    <xf numFmtId="0" fontId="1" fillId="0" borderId="10" xfId="0" applyFont="1" applyBorder="1"/>
    <xf numFmtId="0" fontId="1" fillId="0" borderId="1" xfId="0" applyFont="1" applyBorder="1"/>
    <xf numFmtId="0" fontId="2" fillId="0" borderId="1" xfId="50" applyFont="1" applyBorder="1" applyAlignment="1">
      <alignment horizontal="center" vertical="center"/>
    </xf>
    <xf numFmtId="0" fontId="1" fillId="0" borderId="5" xfId="0" applyFont="1" applyBorder="1"/>
    <xf numFmtId="0" fontId="1" fillId="0" borderId="6" xfId="0" applyFont="1" applyBorder="1"/>
    <xf numFmtId="0" fontId="2" fillId="0" borderId="11" xfId="50" applyFont="1" applyBorder="1" applyAlignment="1">
      <alignment horizontal="center" vertical="center" wrapText="1"/>
    </xf>
    <xf numFmtId="0" fontId="2" fillId="0" borderId="4" xfId="50" applyFont="1" applyBorder="1" applyAlignment="1">
      <alignment horizontal="center" vertical="center" wrapText="1"/>
    </xf>
    <xf numFmtId="0" fontId="1" fillId="0" borderId="12" xfId="0" applyFont="1" applyBorder="1"/>
    <xf numFmtId="0" fontId="1" fillId="0" borderId="3" xfId="0" applyFont="1" applyBorder="1"/>
    <xf numFmtId="0" fontId="1" fillId="0" borderId="7" xfId="0" applyFont="1" applyBorder="1"/>
    <xf numFmtId="0" fontId="1" fillId="0" borderId="8" xfId="0" applyFont="1" applyBorder="1"/>
    <xf numFmtId="0" fontId="1" fillId="0" borderId="13" xfId="0" applyFont="1" applyBorder="1"/>
    <xf numFmtId="0" fontId="5" fillId="0" borderId="2" xfId="50" applyFont="1" applyBorder="1" applyAlignment="1">
      <alignment horizontal="center" vertical="center"/>
    </xf>
    <xf numFmtId="0" fontId="5" fillId="0" borderId="11" xfId="50" applyFont="1" applyBorder="1" applyAlignment="1">
      <alignment horizontal="center" vertical="center"/>
    </xf>
    <xf numFmtId="0" fontId="5" fillId="0" borderId="1" xfId="50" applyFont="1" applyBorder="1" applyAlignment="1">
      <alignment horizontal="center" vertical="center"/>
    </xf>
    <xf numFmtId="0" fontId="11" fillId="0" borderId="5" xfId="50" applyFont="1" applyBorder="1" applyAlignment="1">
      <alignment vertical="center"/>
    </xf>
    <xf numFmtId="0" fontId="12" fillId="0" borderId="6" xfId="50" applyFont="1" applyBorder="1" applyAlignment="1">
      <alignment horizontal="center" vertical="center"/>
    </xf>
    <xf numFmtId="43" fontId="13" fillId="0" borderId="6" xfId="50" applyNumberFormat="1" applyFont="1" applyBorder="1" applyAlignment="1">
      <alignment horizontal="right" vertical="center"/>
    </xf>
    <xf numFmtId="43" fontId="13" fillId="0" borderId="14" xfId="50" applyNumberFormat="1" applyFont="1" applyBorder="1" applyAlignment="1">
      <alignment horizontal="right" vertical="center"/>
    </xf>
    <xf numFmtId="43" fontId="13" fillId="0" borderId="5" xfId="50" applyNumberFormat="1" applyFont="1" applyBorder="1" applyAlignment="1">
      <alignment horizontal="right" vertical="center"/>
    </xf>
    <xf numFmtId="0" fontId="2" fillId="0" borderId="5" xfId="50" applyFont="1" applyBorder="1" applyAlignment="1">
      <alignment vertical="center"/>
    </xf>
    <xf numFmtId="0" fontId="5" fillId="0" borderId="6" xfId="50" applyFont="1" applyBorder="1" applyAlignment="1">
      <alignment horizontal="center" vertical="center"/>
    </xf>
    <xf numFmtId="43" fontId="14" fillId="0" borderId="6" xfId="50" applyNumberFormat="1" applyFont="1" applyBorder="1" applyAlignment="1">
      <alignment horizontal="right" vertical="center"/>
    </xf>
    <xf numFmtId="43" fontId="14" fillId="0" borderId="14" xfId="50" applyNumberFormat="1" applyFont="1" applyBorder="1" applyAlignment="1">
      <alignment horizontal="right" vertical="center"/>
    </xf>
    <xf numFmtId="43" fontId="14" fillId="0" borderId="5" xfId="50" applyNumberFormat="1" applyFont="1" applyBorder="1" applyAlignment="1">
      <alignment horizontal="right" vertical="center"/>
    </xf>
    <xf numFmtId="0" fontId="2" fillId="0" borderId="5" xfId="50" applyFont="1" applyBorder="1" applyAlignment="1">
      <alignment horizontal="left" vertical="center"/>
    </xf>
    <xf numFmtId="43" fontId="14" fillId="0" borderId="6" xfId="50" applyNumberFormat="1" applyFont="1" applyBorder="1" applyAlignment="1">
      <alignment horizontal="right" vertical="center" wrapText="1"/>
    </xf>
    <xf numFmtId="43" fontId="14" fillId="0" borderId="5" xfId="50" applyNumberFormat="1" applyFont="1" applyBorder="1" applyAlignment="1">
      <alignment horizontal="right" vertical="center" wrapText="1"/>
    </xf>
    <xf numFmtId="0" fontId="2" fillId="0" borderId="5" xfId="50" applyFont="1" applyBorder="1" applyAlignment="1">
      <alignment horizontal="left" vertical="center" wrapText="1"/>
    </xf>
    <xf numFmtId="0" fontId="11" fillId="0" borderId="7" xfId="50" applyFont="1" applyBorder="1" applyAlignment="1">
      <alignment vertical="center"/>
    </xf>
    <xf numFmtId="0" fontId="5" fillId="0" borderId="8" xfId="50" applyFont="1" applyBorder="1" applyAlignment="1">
      <alignment horizontal="center" vertical="center"/>
    </xf>
    <xf numFmtId="43" fontId="13" fillId="0" borderId="8" xfId="50" applyNumberFormat="1" applyFont="1" applyBorder="1" applyAlignment="1">
      <alignment horizontal="right" vertical="center"/>
    </xf>
    <xf numFmtId="43" fontId="13" fillId="0" borderId="13" xfId="50" applyNumberFormat="1" applyFont="1" applyBorder="1" applyAlignment="1">
      <alignment horizontal="right" vertical="center"/>
    </xf>
    <xf numFmtId="43" fontId="13" fillId="0" borderId="7" xfId="50" applyNumberFormat="1" applyFont="1" applyBorder="1" applyAlignment="1">
      <alignment horizontal="right" vertical="center"/>
    </xf>
    <xf numFmtId="0" fontId="15" fillId="0" borderId="0" xfId="50" applyFont="1" applyAlignment="1">
      <alignment vertical="center"/>
    </xf>
    <xf numFmtId="43" fontId="8" fillId="0" borderId="0" xfId="49" applyNumberFormat="1" applyFont="1" applyAlignment="1">
      <alignment vertical="center"/>
    </xf>
    <xf numFmtId="0" fontId="8" fillId="0" borderId="0" xfId="50" applyFont="1" applyAlignment="1">
      <alignment vertical="center"/>
    </xf>
    <xf numFmtId="0" fontId="2" fillId="0" borderId="0" xfId="49" applyFont="1" applyAlignment="1">
      <alignment horizontal="left" vertical="center"/>
    </xf>
    <xf numFmtId="0" fontId="2" fillId="0" borderId="0" xfId="50" applyFont="1" applyAlignment="1">
      <alignment vertical="center" wrapText="1"/>
    </xf>
    <xf numFmtId="0" fontId="1" fillId="0" borderId="0" xfId="50" applyFont="1" applyAlignment="1">
      <alignment horizontal="right" vertical="center"/>
    </xf>
    <xf numFmtId="0" fontId="1" fillId="0" borderId="14" xfId="0" applyFont="1" applyBorder="1"/>
    <xf numFmtId="0" fontId="1" fillId="0" borderId="0" xfId="0" applyFont="1" applyAlignment="1">
      <alignment vertical="center"/>
    </xf>
    <xf numFmtId="0" fontId="16" fillId="0" borderId="0" xfId="50" applyFont="1" applyFill="1" applyAlignment="1">
      <alignment vertical="center"/>
    </xf>
    <xf numFmtId="0" fontId="1" fillId="0" borderId="0" xfId="50" applyFont="1" applyFill="1" applyAlignment="1">
      <alignment vertical="center"/>
    </xf>
    <xf numFmtId="0" fontId="2" fillId="0" borderId="0" xfId="50" applyFont="1" applyFill="1" applyBorder="1" applyAlignment="1">
      <alignment vertical="center"/>
    </xf>
    <xf numFmtId="0" fontId="2" fillId="0" borderId="0" xfId="50" applyFont="1" applyFill="1" applyAlignment="1">
      <alignment vertical="center"/>
    </xf>
    <xf numFmtId="0" fontId="2" fillId="0" borderId="0" xfId="50" applyFont="1" applyFill="1" applyBorder="1" applyAlignment="1">
      <alignment horizontal="center" vertical="center"/>
    </xf>
    <xf numFmtId="0" fontId="3" fillId="0" borderId="0" xfId="50" applyFont="1" applyFill="1" applyBorder="1" applyAlignment="1">
      <alignment horizontal="center" vertical="center"/>
    </xf>
    <xf numFmtId="0" fontId="16" fillId="0" borderId="0" xfId="50" applyFont="1" applyFill="1" applyBorder="1" applyAlignment="1">
      <alignment vertical="center"/>
    </xf>
    <xf numFmtId="0" fontId="4" fillId="0" borderId="0" xfId="50" applyFont="1" applyFill="1" applyAlignment="1">
      <alignment horizontal="center" vertical="center"/>
    </xf>
    <xf numFmtId="0" fontId="1" fillId="0" borderId="0" xfId="50" applyFont="1" applyFill="1" applyBorder="1" applyAlignment="1">
      <alignment vertical="center"/>
    </xf>
    <xf numFmtId="0" fontId="1" fillId="0" borderId="0" xfId="50" applyFont="1" applyFill="1" applyBorder="1" applyAlignment="1">
      <alignment horizontal="left" vertical="center"/>
    </xf>
    <xf numFmtId="0" fontId="1" fillId="0" borderId="0" xfId="50" applyFont="1" applyFill="1" applyBorder="1" applyAlignment="1">
      <alignment horizontal="right" vertical="center"/>
    </xf>
    <xf numFmtId="0" fontId="2" fillId="0" borderId="12" xfId="50" applyFont="1" applyFill="1" applyBorder="1" applyAlignment="1">
      <alignment horizontal="center" vertical="center"/>
    </xf>
    <xf numFmtId="0" fontId="2" fillId="0" borderId="2" xfId="50" applyFont="1" applyFill="1" applyBorder="1" applyAlignment="1">
      <alignment horizontal="center" vertical="center" shrinkToFit="1"/>
    </xf>
    <xf numFmtId="49" fontId="2" fillId="0" borderId="2" xfId="50" applyNumberFormat="1" applyFont="1" applyFill="1" applyBorder="1" applyAlignment="1">
      <alignment horizontal="center" vertical="center"/>
    </xf>
    <xf numFmtId="49" fontId="2" fillId="0" borderId="11" xfId="50" applyNumberFormat="1" applyFont="1" applyFill="1" applyBorder="1" applyAlignment="1">
      <alignment horizontal="center" vertical="center"/>
    </xf>
    <xf numFmtId="0" fontId="2" fillId="0" borderId="9" xfId="50" applyFont="1" applyFill="1" applyBorder="1" applyAlignment="1">
      <alignment horizontal="center" vertical="center"/>
    </xf>
    <xf numFmtId="0" fontId="2" fillId="0" borderId="10" xfId="50" applyFont="1" applyFill="1" applyBorder="1" applyAlignment="1">
      <alignment horizontal="center" vertical="center" shrinkToFit="1"/>
    </xf>
    <xf numFmtId="0" fontId="11" fillId="0" borderId="0" xfId="50" applyFont="1" applyFill="1" applyBorder="1" applyAlignment="1">
      <alignment vertical="center"/>
    </xf>
    <xf numFmtId="0" fontId="2" fillId="0" borderId="6" xfId="50" applyFont="1" applyFill="1" applyBorder="1" applyAlignment="1">
      <alignment horizontal="center" vertical="center"/>
    </xf>
    <xf numFmtId="0" fontId="5" fillId="0" borderId="0" xfId="50" applyFont="1" applyFill="1" applyBorder="1" applyAlignment="1">
      <alignment horizontal="right" vertical="center"/>
    </xf>
    <xf numFmtId="0" fontId="5" fillId="0" borderId="6" xfId="50" applyFont="1" applyFill="1" applyBorder="1" applyAlignment="1">
      <alignment horizontal="right" vertical="center"/>
    </xf>
    <xf numFmtId="176" fontId="5" fillId="0" borderId="6" xfId="50" applyNumberFormat="1" applyFont="1" applyFill="1" applyBorder="1" applyAlignment="1">
      <alignment horizontal="right" vertical="center"/>
    </xf>
    <xf numFmtId="176" fontId="5" fillId="0" borderId="14" xfId="50" applyNumberFormat="1" applyFont="1" applyFill="1" applyBorder="1" applyAlignment="1">
      <alignment horizontal="right" vertical="center"/>
    </xf>
    <xf numFmtId="0" fontId="2" fillId="0" borderId="0" xfId="50" applyFont="1" applyFill="1" applyBorder="1" applyAlignment="1">
      <alignment vertical="center" wrapText="1"/>
    </xf>
    <xf numFmtId="0" fontId="2" fillId="0" borderId="5" xfId="50" applyFont="1" applyFill="1" applyBorder="1" applyAlignment="1">
      <alignment vertical="center"/>
    </xf>
    <xf numFmtId="0" fontId="11" fillId="0" borderId="0" xfId="50" applyFont="1" applyFill="1" applyBorder="1" applyAlignment="1">
      <alignment horizontal="center" vertical="center"/>
    </xf>
    <xf numFmtId="176" fontId="12" fillId="0" borderId="6" xfId="50" applyNumberFormat="1" applyFont="1" applyFill="1" applyBorder="1" applyAlignment="1">
      <alignment horizontal="right" vertical="center"/>
    </xf>
    <xf numFmtId="176" fontId="12" fillId="0" borderId="14" xfId="50" applyNumberFormat="1" applyFont="1" applyFill="1" applyBorder="1" applyAlignment="1">
      <alignment horizontal="right" vertical="center"/>
    </xf>
    <xf numFmtId="0" fontId="12" fillId="0" borderId="0" xfId="50" applyFont="1" applyFill="1" applyBorder="1" applyAlignment="1">
      <alignment horizontal="right" vertical="center"/>
    </xf>
    <xf numFmtId="0" fontId="12" fillId="0" borderId="6" xfId="50" applyFont="1" applyFill="1" applyBorder="1" applyAlignment="1">
      <alignment horizontal="right" vertical="center"/>
    </xf>
    <xf numFmtId="0" fontId="12" fillId="0" borderId="14" xfId="50" applyFont="1" applyFill="1" applyBorder="1" applyAlignment="1">
      <alignment horizontal="right" vertical="center"/>
    </xf>
    <xf numFmtId="0" fontId="2" fillId="0" borderId="5" xfId="50" applyFont="1" applyFill="1" applyBorder="1" applyAlignment="1">
      <alignment vertical="center" wrapText="1" shrinkToFit="1"/>
    </xf>
    <xf numFmtId="0" fontId="2" fillId="0" borderId="0" xfId="50" applyFont="1" applyFill="1" applyBorder="1" applyAlignment="1">
      <alignment vertical="center" shrinkToFit="1"/>
    </xf>
    <xf numFmtId="0" fontId="11" fillId="0" borderId="0" xfId="50" applyFont="1" applyFill="1" applyBorder="1" applyAlignment="1">
      <alignment horizontal="center" vertical="center" shrinkToFit="1"/>
    </xf>
    <xf numFmtId="0" fontId="11" fillId="0" borderId="0" xfId="50" applyFont="1" applyFill="1" applyBorder="1" applyAlignment="1">
      <alignment vertical="center" shrinkToFit="1"/>
    </xf>
    <xf numFmtId="0" fontId="11" fillId="0" borderId="9" xfId="50" applyFont="1" applyFill="1" applyBorder="1" applyAlignment="1">
      <alignment vertical="center"/>
    </xf>
    <xf numFmtId="0" fontId="2" fillId="0" borderId="8" xfId="50" applyFont="1" applyFill="1" applyBorder="1" applyAlignment="1">
      <alignment horizontal="center" vertical="center"/>
    </xf>
    <xf numFmtId="176" fontId="12" fillId="0" borderId="8" xfId="50" applyNumberFormat="1" applyFont="1" applyFill="1" applyBorder="1" applyAlignment="1">
      <alignment horizontal="right" vertical="center"/>
    </xf>
    <xf numFmtId="176" fontId="12" fillId="0" borderId="13" xfId="50" applyNumberFormat="1" applyFont="1" applyFill="1" applyBorder="1" applyAlignment="1">
      <alignment horizontal="right" vertical="center"/>
    </xf>
    <xf numFmtId="0" fontId="1" fillId="0" borderId="0" xfId="50" applyFont="1" applyFill="1" applyBorder="1" applyAlignment="1">
      <alignment horizontal="center" vertical="center"/>
    </xf>
    <xf numFmtId="43" fontId="8" fillId="0" borderId="0" xfId="49" applyNumberFormat="1" applyFont="1" applyFill="1" applyBorder="1" applyAlignment="1">
      <alignment vertical="center"/>
    </xf>
    <xf numFmtId="0" fontId="10" fillId="0" borderId="0" xfId="49" applyFont="1" applyFill="1" applyBorder="1" applyAlignment="1">
      <alignment horizontal="left" vertical="center"/>
    </xf>
    <xf numFmtId="0" fontId="17" fillId="0" borderId="0" xfId="49" applyFont="1" applyFill="1" applyBorder="1" applyAlignment="1">
      <alignment vertical="center"/>
    </xf>
    <xf numFmtId="0" fontId="16" fillId="0" borderId="0" xfId="50" applyFont="1" applyAlignment="1">
      <alignment vertical="center"/>
    </xf>
    <xf numFmtId="0" fontId="4" fillId="0" borderId="0" xfId="50" applyFont="1" applyAlignment="1">
      <alignment vertical="center"/>
    </xf>
    <xf numFmtId="0" fontId="4" fillId="0" borderId="0" xfId="50" applyFont="1" applyAlignment="1">
      <alignment horizontal="justify" vertical="justify"/>
    </xf>
    <xf numFmtId="0" fontId="4" fillId="0" borderId="0" xfId="50" applyFont="1" applyFill="1" applyAlignment="1">
      <alignment vertical="center"/>
    </xf>
    <xf numFmtId="0" fontId="2" fillId="0" borderId="0" xfId="50" applyFont="1" applyFill="1" applyBorder="1" applyAlignment="1">
      <alignment horizontal="left" vertical="center"/>
    </xf>
    <xf numFmtId="0" fontId="2" fillId="0" borderId="0" xfId="50" applyFont="1" applyFill="1" applyAlignment="1">
      <alignment horizontal="center" vertical="center"/>
    </xf>
    <xf numFmtId="0" fontId="2" fillId="0" borderId="0" xfId="50" applyFont="1" applyBorder="1" applyAlignment="1">
      <alignment vertical="center"/>
    </xf>
    <xf numFmtId="0" fontId="1" fillId="0" borderId="0" xfId="50" applyFont="1" applyAlignment="1">
      <alignment horizontal="center" vertical="center"/>
    </xf>
    <xf numFmtId="0" fontId="1" fillId="0" borderId="0" xfId="50" applyFont="1" applyFill="1" applyAlignment="1">
      <alignment horizontal="center" vertical="center"/>
    </xf>
    <xf numFmtId="0" fontId="1" fillId="0" borderId="0" xfId="50" applyFont="1" applyBorder="1" applyAlignment="1">
      <alignment horizontal="left" vertical="center"/>
    </xf>
    <xf numFmtId="0" fontId="1" fillId="0" borderId="0" xfId="50" applyFont="1" applyBorder="1" applyAlignment="1">
      <alignment vertical="center"/>
    </xf>
    <xf numFmtId="0" fontId="1" fillId="0" borderId="0" xfId="50" applyFont="1" applyBorder="1" applyAlignment="1">
      <alignment horizontal="right" vertical="center"/>
    </xf>
    <xf numFmtId="0" fontId="2" fillId="0" borderId="3" xfId="50" applyFont="1" applyFill="1" applyBorder="1" applyAlignment="1">
      <alignment horizontal="center" vertical="center"/>
    </xf>
    <xf numFmtId="0" fontId="2" fillId="0" borderId="12" xfId="50" applyFont="1" applyFill="1" applyBorder="1" applyAlignment="1">
      <alignment horizontal="center" vertical="center" shrinkToFit="1"/>
    </xf>
    <xf numFmtId="49" fontId="2" fillId="0" borderId="2" xfId="50" applyNumberFormat="1" applyFont="1" applyBorder="1" applyAlignment="1">
      <alignment horizontal="center" vertical="center"/>
    </xf>
    <xf numFmtId="49" fontId="2" fillId="0" borderId="11" xfId="50" applyNumberFormat="1" applyFont="1" applyBorder="1" applyAlignment="1">
      <alignment horizontal="center" vertical="center"/>
    </xf>
    <xf numFmtId="0" fontId="2" fillId="0" borderId="7" xfId="50" applyFont="1" applyFill="1" applyBorder="1" applyAlignment="1">
      <alignment horizontal="center" vertical="center"/>
    </xf>
    <xf numFmtId="0" fontId="2" fillId="0" borderId="9" xfId="50" applyFont="1" applyFill="1" applyBorder="1" applyAlignment="1">
      <alignment horizontal="center" vertical="center" shrinkToFit="1"/>
    </xf>
    <xf numFmtId="0" fontId="2" fillId="0" borderId="2" xfId="50" applyFont="1" applyBorder="1" applyAlignment="1">
      <alignment horizontal="center" vertical="center" shrinkToFit="1"/>
    </xf>
    <xf numFmtId="0" fontId="2" fillId="0" borderId="11" xfId="50" applyFont="1" applyBorder="1" applyAlignment="1">
      <alignment horizontal="center" vertical="center" shrinkToFit="1"/>
    </xf>
    <xf numFmtId="0" fontId="11" fillId="0" borderId="5" xfId="50" applyFont="1" applyFill="1" applyBorder="1" applyAlignment="1">
      <alignment horizontal="left" vertical="center"/>
    </xf>
    <xf numFmtId="0" fontId="5" fillId="0" borderId="4" xfId="50" applyFont="1" applyFill="1" applyBorder="1" applyAlignment="1">
      <alignment vertical="center" shrinkToFit="1"/>
    </xf>
    <xf numFmtId="176" fontId="12" fillId="0" borderId="4" xfId="50" applyNumberFormat="1" applyFont="1" applyBorder="1" applyAlignment="1">
      <alignment vertical="center"/>
    </xf>
    <xf numFmtId="176" fontId="12" fillId="0" borderId="15" xfId="50" applyNumberFormat="1" applyFont="1" applyBorder="1" applyAlignment="1">
      <alignment vertical="center"/>
    </xf>
    <xf numFmtId="49" fontId="2" fillId="0" borderId="5" xfId="50" applyNumberFormat="1" applyFont="1" applyFill="1" applyBorder="1" applyAlignment="1">
      <alignment horizontal="left" vertical="center"/>
    </xf>
    <xf numFmtId="0" fontId="5" fillId="0" borderId="6" xfId="50" applyFont="1" applyFill="1" applyBorder="1" applyAlignment="1">
      <alignment horizontal="center" vertical="center"/>
    </xf>
    <xf numFmtId="176" fontId="5" fillId="0" borderId="6" xfId="50" applyNumberFormat="1" applyFont="1" applyBorder="1" applyAlignment="1">
      <alignment vertical="center"/>
    </xf>
    <xf numFmtId="176" fontId="5" fillId="0" borderId="14" xfId="50" applyNumberFormat="1" applyFont="1" applyBorder="1" applyAlignment="1">
      <alignment vertical="center"/>
    </xf>
    <xf numFmtId="176" fontId="12" fillId="0" borderId="6" xfId="50" applyNumberFormat="1" applyFont="1" applyBorder="1" applyAlignment="1">
      <alignment vertical="center"/>
    </xf>
    <xf numFmtId="176" fontId="12" fillId="0" borderId="14" xfId="50" applyNumberFormat="1" applyFont="1" applyBorder="1" applyAlignment="1">
      <alignment vertical="center"/>
    </xf>
    <xf numFmtId="0" fontId="2" fillId="0" borderId="5" xfId="50" applyFont="1" applyFill="1" applyBorder="1" applyAlignment="1">
      <alignment horizontal="left" vertical="center"/>
    </xf>
    <xf numFmtId="0" fontId="2" fillId="0" borderId="5" xfId="50" applyFont="1" applyFill="1" applyBorder="1" applyAlignment="1">
      <alignment horizontal="left" vertical="center" wrapText="1"/>
    </xf>
    <xf numFmtId="49" fontId="2" fillId="0" borderId="5" xfId="50" applyNumberFormat="1" applyFont="1" applyFill="1" applyBorder="1" applyAlignment="1">
      <alignment horizontal="left" vertical="center" wrapText="1"/>
    </xf>
    <xf numFmtId="176" fontId="5" fillId="0" borderId="6" xfId="50" applyNumberFormat="1" applyFont="1" applyBorder="1" applyAlignment="1">
      <alignment horizontal="right" vertical="center"/>
    </xf>
    <xf numFmtId="176" fontId="5" fillId="0" borderId="14" xfId="50" applyNumberFormat="1" applyFont="1" applyBorder="1" applyAlignment="1">
      <alignment horizontal="right" vertical="center"/>
    </xf>
    <xf numFmtId="0" fontId="18" fillId="0" borderId="0" xfId="0" applyFont="1" applyAlignment="1">
      <alignment vertical="center"/>
    </xf>
    <xf numFmtId="49" fontId="11" fillId="0" borderId="5" xfId="50" applyNumberFormat="1" applyFont="1" applyFill="1" applyBorder="1" applyAlignment="1">
      <alignment horizontal="left" vertical="center"/>
    </xf>
    <xf numFmtId="0" fontId="5" fillId="0" borderId="6" xfId="50" applyFont="1" applyFill="1" applyBorder="1" applyAlignment="1">
      <alignment horizontal="left" vertical="center" wrapText="1"/>
    </xf>
    <xf numFmtId="0" fontId="2" fillId="0" borderId="5" xfId="50" applyFont="1" applyFill="1" applyBorder="1" applyAlignment="1">
      <alignment horizontal="left" vertical="center" indent="1"/>
    </xf>
    <xf numFmtId="176" fontId="5" fillId="0" borderId="6" xfId="50" applyNumberFormat="1" applyFont="1" applyFill="1" applyBorder="1" applyAlignment="1">
      <alignment vertical="center"/>
    </xf>
    <xf numFmtId="176" fontId="5" fillId="0" borderId="14" xfId="50" applyNumberFormat="1" applyFont="1" applyFill="1" applyBorder="1" applyAlignment="1">
      <alignment vertical="center"/>
    </xf>
    <xf numFmtId="0" fontId="2" fillId="0" borderId="5" xfId="50" applyFont="1" applyFill="1" applyBorder="1" applyAlignment="1">
      <alignment horizontal="left" vertical="center" wrapText="1" indent="2"/>
    </xf>
    <xf numFmtId="0" fontId="2" fillId="0" borderId="5" xfId="50" applyFont="1" applyFill="1" applyBorder="1" applyAlignment="1">
      <alignment horizontal="left" vertical="center" indent="2"/>
    </xf>
    <xf numFmtId="0" fontId="2" fillId="0" borderId="5" xfId="50" applyFont="1" applyFill="1" applyBorder="1" applyAlignment="1">
      <alignment horizontal="left" vertical="center" wrapText="1" indent="1"/>
    </xf>
    <xf numFmtId="0" fontId="11" fillId="0" borderId="5" xfId="51" applyFont="1" applyFill="1" applyBorder="1" applyAlignment="1">
      <alignment horizontal="justify" vertical="center" wrapText="1"/>
    </xf>
    <xf numFmtId="0" fontId="2" fillId="0" borderId="5" xfId="51" applyFont="1" applyFill="1" applyBorder="1" applyAlignment="1">
      <alignment horizontal="justify" vertical="center" wrapText="1"/>
    </xf>
    <xf numFmtId="0" fontId="2" fillId="0" borderId="7" xfId="51" applyFont="1" applyFill="1" applyBorder="1" applyAlignment="1">
      <alignment horizontal="justify" vertical="center" wrapText="1"/>
    </xf>
    <xf numFmtId="0" fontId="5" fillId="0" borderId="8" xfId="50" applyFont="1" applyFill="1" applyBorder="1" applyAlignment="1">
      <alignment horizontal="center" vertical="center"/>
    </xf>
    <xf numFmtId="176" fontId="5" fillId="0" borderId="8" xfId="50" applyNumberFormat="1" applyFont="1" applyBorder="1" applyAlignment="1">
      <alignment vertical="center"/>
    </xf>
    <xf numFmtId="176" fontId="5" fillId="0" borderId="13" xfId="50" applyNumberFormat="1" applyFont="1" applyBorder="1" applyAlignment="1">
      <alignment vertical="center"/>
    </xf>
    <xf numFmtId="0" fontId="4" fillId="0" borderId="0" xfId="50" applyFont="1" applyFill="1" applyBorder="1" applyAlignment="1">
      <alignment horizontal="center" vertical="center"/>
    </xf>
    <xf numFmtId="0" fontId="4" fillId="0" borderId="0" xfId="50" applyFont="1" applyBorder="1" applyAlignment="1">
      <alignment vertical="center"/>
    </xf>
    <xf numFmtId="0" fontId="1" fillId="0" borderId="0" xfId="50" applyFont="1" applyFill="1" applyBorder="1" applyAlignment="1">
      <alignment horizontal="left" vertical="center" wrapText="1"/>
    </xf>
    <xf numFmtId="0" fontId="15" fillId="0" borderId="0" xfId="50" applyFont="1" applyFill="1" applyBorder="1"/>
    <xf numFmtId="0" fontId="2" fillId="2" borderId="0" xfId="49" applyFont="1" applyFill="1" applyBorder="1" applyAlignment="1">
      <alignment horizontal="left" vertical="center"/>
    </xf>
    <xf numFmtId="0" fontId="17" fillId="2" borderId="0" xfId="49" applyFont="1" applyFill="1" applyBorder="1" applyAlignment="1">
      <alignment vertical="center"/>
    </xf>
    <xf numFmtId="0" fontId="1" fillId="0" borderId="0" xfId="50" applyFont="1" applyBorder="1" applyAlignment="1">
      <alignment vertical="center" shrinkToFit="1"/>
    </xf>
    <xf numFmtId="0" fontId="2" fillId="0" borderId="0" xfId="50" applyFont="1" applyAlignment="1">
      <alignment horizontal="center" vertical="center"/>
    </xf>
    <xf numFmtId="49" fontId="19" fillId="0" borderId="0" xfId="50" applyNumberFormat="1" applyFont="1" applyFill="1" applyBorder="1" applyAlignment="1">
      <alignment horizontal="center" vertical="center"/>
    </xf>
    <xf numFmtId="49" fontId="1" fillId="0" borderId="0" xfId="50" applyNumberFormat="1" applyFont="1" applyBorder="1" applyAlignment="1">
      <alignment horizontal="left" vertical="center"/>
    </xf>
    <xf numFmtId="49" fontId="1" fillId="0" borderId="0" xfId="50" applyNumberFormat="1" applyFont="1" applyBorder="1" applyAlignment="1">
      <alignment vertical="center"/>
    </xf>
    <xf numFmtId="0" fontId="1" fillId="0" borderId="0" xfId="49" applyFont="1" applyBorder="1" applyAlignment="1">
      <alignment horizontal="right"/>
    </xf>
    <xf numFmtId="0" fontId="1" fillId="0" borderId="3" xfId="50" applyFont="1" applyFill="1" applyBorder="1" applyAlignment="1">
      <alignment horizontal="center" vertical="center" shrinkToFit="1"/>
    </xf>
    <xf numFmtId="0" fontId="1" fillId="0" borderId="1" xfId="50" applyFont="1" applyBorder="1" applyAlignment="1">
      <alignment horizontal="center" vertical="center" shrinkToFit="1"/>
    </xf>
    <xf numFmtId="49" fontId="1" fillId="0" borderId="2" xfId="50" applyNumberFormat="1" applyFont="1" applyFill="1" applyBorder="1" applyAlignment="1">
      <alignment horizontal="center" vertical="center"/>
    </xf>
    <xf numFmtId="49" fontId="1" fillId="0" borderId="11" xfId="50" applyNumberFormat="1" applyFont="1" applyFill="1" applyBorder="1" applyAlignment="1">
      <alignment horizontal="center" vertical="center"/>
    </xf>
    <xf numFmtId="0" fontId="1" fillId="0" borderId="7" xfId="50" applyFont="1" applyFill="1" applyBorder="1" applyAlignment="1">
      <alignment horizontal="center" vertical="center" shrinkToFit="1"/>
    </xf>
    <xf numFmtId="0" fontId="1" fillId="0" borderId="2" xfId="50" applyFont="1" applyBorder="1" applyAlignment="1">
      <alignment horizontal="center" vertical="center" shrinkToFit="1"/>
    </xf>
    <xf numFmtId="0" fontId="1" fillId="0" borderId="11" xfId="50" applyFont="1" applyBorder="1" applyAlignment="1">
      <alignment horizontal="center" vertical="center" shrinkToFit="1"/>
    </xf>
    <xf numFmtId="0" fontId="1" fillId="0" borderId="5" xfId="50" applyFont="1" applyFill="1" applyBorder="1" applyAlignment="1">
      <alignment horizontal="left" vertical="center" shrinkToFit="1"/>
    </xf>
    <xf numFmtId="0" fontId="1" fillId="0" borderId="5" xfId="50" applyFont="1" applyBorder="1" applyAlignment="1">
      <alignment horizontal="center" vertical="center" shrinkToFit="1"/>
    </xf>
    <xf numFmtId="0" fontId="1" fillId="0" borderId="0" xfId="50" applyFont="1" applyBorder="1" applyAlignment="1">
      <alignment horizontal="center" vertical="center" shrinkToFit="1"/>
    </xf>
    <xf numFmtId="0" fontId="1" fillId="0" borderId="4" xfId="50" applyFont="1" applyBorder="1" applyAlignment="1">
      <alignment horizontal="center" vertical="center" shrinkToFit="1"/>
    </xf>
    <xf numFmtId="0" fontId="1" fillId="0" borderId="15" xfId="50" applyFont="1" applyBorder="1" applyAlignment="1">
      <alignment horizontal="center" vertical="center" shrinkToFit="1"/>
    </xf>
    <xf numFmtId="0" fontId="1" fillId="0" borderId="5" xfId="50" applyFont="1" applyFill="1" applyBorder="1" applyAlignment="1">
      <alignment vertical="center" shrinkToFit="1"/>
    </xf>
    <xf numFmtId="176" fontId="4" fillId="0" borderId="6" xfId="50" applyNumberFormat="1" applyFont="1" applyBorder="1" applyAlignment="1">
      <alignment vertical="center" shrinkToFit="1"/>
    </xf>
    <xf numFmtId="176" fontId="4" fillId="0" borderId="14" xfId="50" applyNumberFormat="1" applyFont="1" applyBorder="1" applyAlignment="1">
      <alignment vertical="center" shrinkToFit="1"/>
    </xf>
    <xf numFmtId="0" fontId="1" fillId="0" borderId="5" xfId="50" applyFont="1" applyFill="1" applyBorder="1" applyAlignment="1">
      <alignment vertical="center" wrapText="1"/>
    </xf>
    <xf numFmtId="0" fontId="8" fillId="0" borderId="5" xfId="50" applyFont="1" applyFill="1" applyBorder="1" applyAlignment="1">
      <alignment horizontal="center" vertical="center" shrinkToFit="1"/>
    </xf>
    <xf numFmtId="176" fontId="19" fillId="0" borderId="6" xfId="50" applyNumberFormat="1" applyFont="1" applyBorder="1" applyAlignment="1">
      <alignment vertical="center" shrinkToFit="1"/>
    </xf>
    <xf numFmtId="176" fontId="19" fillId="0" borderId="14" xfId="50" applyNumberFormat="1" applyFont="1" applyBorder="1" applyAlignment="1">
      <alignment vertical="center" shrinkToFit="1"/>
    </xf>
    <xf numFmtId="0" fontId="1" fillId="0" borderId="6" xfId="50" applyFont="1" applyBorder="1" applyAlignment="1">
      <alignment horizontal="center" vertical="center" shrinkToFit="1"/>
    </xf>
    <xf numFmtId="0" fontId="1" fillId="0" borderId="14" xfId="50" applyFont="1" applyBorder="1" applyAlignment="1">
      <alignment horizontal="center" vertical="center" shrinkToFit="1"/>
    </xf>
    <xf numFmtId="176" fontId="1" fillId="0" borderId="5" xfId="0" applyNumberFormat="1" applyFont="1" applyFill="1" applyBorder="1" applyAlignment="1">
      <alignment vertical="center"/>
    </xf>
    <xf numFmtId="0" fontId="1" fillId="0" borderId="5" xfId="50" applyFont="1" applyFill="1" applyBorder="1" applyAlignment="1">
      <alignment horizontal="center" vertical="center" shrinkToFit="1"/>
    </xf>
    <xf numFmtId="0" fontId="8" fillId="0" borderId="7" xfId="50" applyFont="1" applyFill="1" applyBorder="1" applyAlignment="1">
      <alignment horizontal="center" vertical="center" shrinkToFit="1"/>
    </xf>
    <xf numFmtId="0" fontId="1" fillId="0" borderId="7" xfId="50" applyFont="1" applyBorder="1" applyAlignment="1">
      <alignment horizontal="center" vertical="center" shrinkToFit="1"/>
    </xf>
    <xf numFmtId="176" fontId="19" fillId="0" borderId="8" xfId="50" applyNumberFormat="1" applyFont="1" applyBorder="1" applyAlignment="1">
      <alignment vertical="center" shrinkToFit="1"/>
    </xf>
    <xf numFmtId="176" fontId="19" fillId="0" borderId="13" xfId="50" applyNumberFormat="1" applyFont="1" applyBorder="1" applyAlignment="1">
      <alignment vertical="center" shrinkToFit="1"/>
    </xf>
    <xf numFmtId="0" fontId="1" fillId="0" borderId="0" xfId="49" applyFont="1" applyAlignment="1">
      <alignment horizontal="center"/>
    </xf>
    <xf numFmtId="0" fontId="1" fillId="0" borderId="0" xfId="49" applyFont="1" applyBorder="1" applyAlignment="1">
      <alignment horizontal="center"/>
    </xf>
    <xf numFmtId="0" fontId="1" fillId="0" borderId="0" xfId="50" applyFont="1" applyFill="1" applyBorder="1" applyAlignment="1">
      <alignment horizontal="justify" vertical="center" wrapText="1"/>
    </xf>
    <xf numFmtId="0" fontId="1" fillId="0" borderId="0" xfId="50" applyFont="1" applyBorder="1" applyAlignment="1">
      <alignment horizontal="justify" vertical="center" wrapText="1"/>
    </xf>
    <xf numFmtId="0" fontId="1" fillId="0" borderId="0" xfId="50" applyFont="1" applyBorder="1" applyAlignment="1">
      <alignment horizontal="center" vertical="center"/>
    </xf>
    <xf numFmtId="0" fontId="2" fillId="0" borderId="0" xfId="50" applyFont="1" applyBorder="1" applyAlignment="1">
      <alignment horizontal="center" vertical="center"/>
    </xf>
    <xf numFmtId="0" fontId="20" fillId="0" borderId="3" xfId="50" applyFont="1" applyFill="1" applyBorder="1" applyAlignment="1">
      <alignment horizontal="center" vertical="center" shrinkToFit="1"/>
    </xf>
    <xf numFmtId="0" fontId="20" fillId="0" borderId="1" xfId="50" applyFont="1" applyBorder="1" applyAlignment="1">
      <alignment horizontal="center" vertical="center" shrinkToFit="1"/>
    </xf>
    <xf numFmtId="49" fontId="20" fillId="0" borderId="2" xfId="50" applyNumberFormat="1" applyFont="1" applyFill="1" applyBorder="1" applyAlignment="1">
      <alignment horizontal="center" vertical="center"/>
    </xf>
    <xf numFmtId="49" fontId="20" fillId="0" borderId="11" xfId="50" applyNumberFormat="1" applyFont="1" applyFill="1" applyBorder="1" applyAlignment="1">
      <alignment horizontal="center" vertical="center"/>
    </xf>
    <xf numFmtId="0" fontId="20" fillId="0" borderId="7" xfId="50" applyFont="1" applyFill="1" applyBorder="1" applyAlignment="1">
      <alignment horizontal="center" vertical="center" shrinkToFit="1"/>
    </xf>
    <xf numFmtId="0" fontId="20" fillId="0" borderId="2" xfId="50" applyFont="1" applyBorder="1" applyAlignment="1">
      <alignment horizontal="center" vertical="center" shrinkToFit="1"/>
    </xf>
    <xf numFmtId="0" fontId="20" fillId="0" borderId="11" xfId="50" applyFont="1" applyBorder="1" applyAlignment="1">
      <alignment horizontal="center" vertical="center" shrinkToFit="1"/>
    </xf>
    <xf numFmtId="0" fontId="20" fillId="0" borderId="5" xfId="50" applyFont="1" applyFill="1" applyBorder="1" applyAlignment="1">
      <alignment vertical="center" shrinkToFit="1"/>
    </xf>
    <xf numFmtId="0" fontId="20" fillId="0" borderId="15" xfId="50" applyFont="1" applyBorder="1" applyAlignment="1">
      <alignment horizontal="center" vertical="center" shrinkToFit="1"/>
    </xf>
    <xf numFmtId="43" fontId="21" fillId="0" borderId="4" xfId="50" applyNumberFormat="1" applyFont="1" applyFill="1" applyBorder="1" applyAlignment="1">
      <alignment horizontal="center" vertical="center" shrinkToFit="1"/>
    </xf>
    <xf numFmtId="43" fontId="21" fillId="0" borderId="12" xfId="50" applyNumberFormat="1" applyFont="1" applyFill="1" applyBorder="1" applyAlignment="1">
      <alignment horizontal="center" vertical="center" shrinkToFit="1"/>
    </xf>
    <xf numFmtId="43" fontId="21" fillId="0" borderId="15" xfId="50" applyNumberFormat="1" applyFont="1" applyFill="1" applyBorder="1" applyAlignment="1">
      <alignment horizontal="center" vertical="center" shrinkToFit="1"/>
    </xf>
    <xf numFmtId="0" fontId="20" fillId="0" borderId="5" xfId="50" applyFont="1" applyFill="1" applyBorder="1" applyAlignment="1">
      <alignment horizontal="left" vertical="center" shrinkToFit="1"/>
    </xf>
    <xf numFmtId="0" fontId="20" fillId="0" borderId="14" xfId="50" applyFont="1" applyBorder="1" applyAlignment="1">
      <alignment horizontal="center" vertical="center" shrinkToFit="1"/>
    </xf>
    <xf numFmtId="43" fontId="21" fillId="0" borderId="6" xfId="50" applyNumberFormat="1" applyFont="1" applyFill="1" applyBorder="1" applyAlignment="1">
      <alignment vertical="center" shrinkToFit="1"/>
    </xf>
    <xf numFmtId="43" fontId="21" fillId="0" borderId="14" xfId="50" applyNumberFormat="1" applyFont="1" applyFill="1" applyBorder="1" applyAlignment="1">
      <alignment vertical="center" shrinkToFit="1"/>
    </xf>
    <xf numFmtId="0" fontId="22" fillId="0" borderId="5" xfId="50" applyFont="1" applyFill="1" applyBorder="1" applyAlignment="1">
      <alignment horizontal="center" vertical="center" shrinkToFit="1"/>
    </xf>
    <xf numFmtId="43" fontId="23" fillId="0" borderId="6" xfId="50" applyNumberFormat="1" applyFont="1" applyFill="1" applyBorder="1" applyAlignment="1">
      <alignment vertical="center" shrinkToFit="1"/>
    </xf>
    <xf numFmtId="43" fontId="23" fillId="0" borderId="14" xfId="50" applyNumberFormat="1" applyFont="1" applyFill="1" applyBorder="1" applyAlignment="1">
      <alignment vertical="center" shrinkToFit="1"/>
    </xf>
    <xf numFmtId="43" fontId="21" fillId="0" borderId="6" xfId="50" applyNumberFormat="1" applyFont="1" applyFill="1" applyBorder="1" applyAlignment="1">
      <alignment horizontal="center" vertical="center" shrinkToFit="1"/>
    </xf>
    <xf numFmtId="43" fontId="21" fillId="0" borderId="14" xfId="50" applyNumberFormat="1" applyFont="1" applyFill="1" applyBorder="1" applyAlignment="1">
      <alignment horizontal="center" vertical="center" shrinkToFit="1"/>
    </xf>
    <xf numFmtId="0" fontId="22" fillId="0" borderId="7" xfId="50" applyFont="1" applyFill="1" applyBorder="1" applyAlignment="1">
      <alignment horizontal="center" vertical="center" shrinkToFit="1"/>
    </xf>
    <xf numFmtId="0" fontId="20" fillId="0" borderId="13" xfId="50" applyFont="1" applyBorder="1" applyAlignment="1">
      <alignment horizontal="center" vertical="center" shrinkToFit="1"/>
    </xf>
    <xf numFmtId="43" fontId="23" fillId="0" borderId="8" xfId="50" applyNumberFormat="1" applyFont="1" applyFill="1" applyBorder="1" applyAlignment="1">
      <alignment vertical="center" shrinkToFit="1"/>
    </xf>
    <xf numFmtId="43" fontId="23" fillId="0" borderId="13" xfId="50" applyNumberFormat="1" applyFont="1" applyFill="1" applyBorder="1" applyAlignment="1">
      <alignment vertical="center" shrinkToFit="1"/>
    </xf>
    <xf numFmtId="0" fontId="10" fillId="2" borderId="0" xfId="49" applyFont="1" applyFill="1" applyBorder="1" applyAlignment="1">
      <alignment horizontal="left" vertical="center"/>
    </xf>
    <xf numFmtId="0" fontId="10" fillId="2" borderId="0" xfId="49" applyFont="1" applyFill="1" applyBorder="1" applyAlignment="1">
      <alignment horizontal="left" vertical="center" wrapText="1"/>
    </xf>
    <xf numFmtId="0" fontId="17" fillId="2" borderId="0" xfId="49" applyFont="1" applyFill="1" applyBorder="1" applyAlignment="1">
      <alignmen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常规_附件1：决算表式（后会签稿）--1008" xfId="50"/>
    <cellStyle name="常规_鹤壁煤电三年期按新准则调整后的新报表格式" xfId="51"/>
    <cellStyle name="常规_资产损失与科研补充表修改2稿" xfId="52"/>
    <cellStyle name="普通_现金流量表" xfId="53"/>
  </cellStyles>
  <dxfs count="1">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F109"/>
  <sheetViews>
    <sheetView showGridLines="0" showZeros="0" tabSelected="1" view="pageBreakPreview" zoomScaleNormal="110" workbookViewId="0">
      <pane xSplit="2" ySplit="5" topLeftCell="C6" activePane="bottomRight" state="frozen"/>
      <selection/>
      <selection pane="topRight"/>
      <selection pane="bottomLeft"/>
      <selection pane="bottomRight" activeCell="C14" sqref="C14"/>
    </sheetView>
  </sheetViews>
  <sheetFormatPr defaultColWidth="9" defaultRowHeight="15.75" customHeight="1" outlineLevelCol="5"/>
  <cols>
    <col min="1" max="1" width="26.1" style="92" customWidth="1"/>
    <col min="2" max="2" width="8.9" style="190" customWidth="1"/>
    <col min="3" max="3" width="16" style="34" customWidth="1"/>
    <col min="4" max="4" width="14.8" style="34" customWidth="1"/>
    <col min="5" max="5" width="16" style="34" customWidth="1"/>
    <col min="6" max="6" width="15.2" style="139" customWidth="1"/>
    <col min="7" max="16384" width="9" style="34"/>
  </cols>
  <sheetData>
    <row r="1" ht="30" customHeight="1" spans="1:6">
      <c r="A1" s="95" t="s">
        <v>0</v>
      </c>
      <c r="B1" s="95"/>
      <c r="C1" s="95"/>
      <c r="D1" s="95"/>
      <c r="E1" s="95"/>
      <c r="F1" s="95"/>
    </row>
    <row r="2" ht="16.5" customHeight="1" spans="1:6">
      <c r="A2" s="191" t="s">
        <v>1</v>
      </c>
      <c r="B2" s="191"/>
      <c r="C2" s="191"/>
      <c r="D2" s="191"/>
      <c r="E2" s="191"/>
      <c r="F2" s="191"/>
    </row>
    <row r="3" s="35" customFormat="1" ht="18" customHeight="1" spans="1:6">
      <c r="A3" s="99" t="s">
        <v>2</v>
      </c>
      <c r="B3" s="192"/>
      <c r="C3" s="192"/>
      <c r="D3" s="193"/>
      <c r="E3" s="193"/>
      <c r="F3" s="194" t="s">
        <v>3</v>
      </c>
    </row>
    <row r="4" s="143" customFormat="1" ht="18" customHeight="1" spans="1:6">
      <c r="A4" s="228" t="s">
        <v>4</v>
      </c>
      <c r="B4" s="229" t="s">
        <v>5</v>
      </c>
      <c r="C4" s="230" t="s">
        <v>6</v>
      </c>
      <c r="D4" s="230"/>
      <c r="E4" s="230" t="s">
        <v>7</v>
      </c>
      <c r="F4" s="231"/>
    </row>
    <row r="5" s="189" customFormat="1" ht="15" customHeight="1" spans="1:6">
      <c r="A5" s="232"/>
      <c r="B5" s="229"/>
      <c r="C5" s="233" t="s">
        <v>8</v>
      </c>
      <c r="D5" s="233" t="s">
        <v>9</v>
      </c>
      <c r="E5" s="233" t="s">
        <v>8</v>
      </c>
      <c r="F5" s="234" t="s">
        <v>9</v>
      </c>
    </row>
    <row r="6" s="189" customFormat="1" ht="15" customHeight="1" spans="1:6">
      <c r="A6" s="235" t="s">
        <v>10</v>
      </c>
      <c r="B6" s="236"/>
      <c r="C6" s="237"/>
      <c r="D6" s="238"/>
      <c r="E6" s="237"/>
      <c r="F6" s="239"/>
    </row>
    <row r="7" s="189" customFormat="1" ht="15" customHeight="1" spans="1:6">
      <c r="A7" s="240" t="s">
        <v>11</v>
      </c>
      <c r="B7" s="241"/>
      <c r="C7" s="242"/>
      <c r="D7" s="242"/>
      <c r="E7" s="242"/>
      <c r="F7" s="243"/>
    </row>
    <row r="8" s="189" customFormat="1" ht="15" customHeight="1" spans="1:6">
      <c r="A8" s="240" t="s">
        <v>12</v>
      </c>
      <c r="B8" s="241"/>
      <c r="C8" s="242"/>
      <c r="D8" s="242"/>
      <c r="E8" s="242"/>
      <c r="F8" s="243"/>
    </row>
    <row r="9" s="189" customFormat="1" ht="15" customHeight="1" spans="1:6">
      <c r="A9" s="240" t="s">
        <v>13</v>
      </c>
      <c r="B9" s="241"/>
      <c r="C9" s="242"/>
      <c r="D9" s="242"/>
      <c r="E9" s="242"/>
      <c r="F9" s="243"/>
    </row>
    <row r="10" s="189" customFormat="1" ht="15" customHeight="1" spans="1:6">
      <c r="A10" s="240" t="s">
        <v>14</v>
      </c>
      <c r="B10" s="241"/>
      <c r="C10" s="242"/>
      <c r="D10" s="242"/>
      <c r="E10" s="242"/>
      <c r="F10" s="243"/>
    </row>
    <row r="11" s="189" customFormat="1" ht="15" customHeight="1" spans="1:6">
      <c r="A11" s="240" t="s">
        <v>15</v>
      </c>
      <c r="B11" s="241"/>
      <c r="C11" s="242"/>
      <c r="D11" s="242"/>
      <c r="E11" s="242"/>
      <c r="F11" s="243"/>
    </row>
    <row r="12" s="189" customFormat="1" ht="15" customHeight="1" spans="1:6">
      <c r="A12" s="240" t="s">
        <v>16</v>
      </c>
      <c r="B12" s="241"/>
      <c r="C12" s="242"/>
      <c r="D12" s="242"/>
      <c r="E12" s="242"/>
      <c r="F12" s="243"/>
    </row>
    <row r="13" s="189" customFormat="1" ht="15" customHeight="1" spans="1:6">
      <c r="A13" s="240" t="s">
        <v>17</v>
      </c>
      <c r="B13" s="241"/>
      <c r="C13" s="242"/>
      <c r="D13" s="242"/>
      <c r="E13" s="242"/>
      <c r="F13" s="243"/>
    </row>
    <row r="14" s="189" customFormat="1" ht="15" customHeight="1" spans="1:6">
      <c r="A14" s="240" t="s">
        <v>18</v>
      </c>
      <c r="B14" s="241"/>
      <c r="C14" s="242"/>
      <c r="D14" s="242"/>
      <c r="E14" s="242"/>
      <c r="F14" s="243"/>
    </row>
    <row r="15" s="189" customFormat="1" ht="15" customHeight="1" spans="1:6">
      <c r="A15" s="235" t="s">
        <v>19</v>
      </c>
      <c r="B15" s="241"/>
      <c r="C15" s="242"/>
      <c r="D15" s="242"/>
      <c r="E15" s="242"/>
      <c r="F15" s="243"/>
    </row>
    <row r="16" s="189" customFormat="1" ht="15" customHeight="1" spans="1:6">
      <c r="A16" s="240" t="s">
        <v>20</v>
      </c>
      <c r="B16" s="241"/>
      <c r="C16" s="242"/>
      <c r="D16" s="242"/>
      <c r="E16" s="242"/>
      <c r="F16" s="243"/>
    </row>
    <row r="17" s="189" customFormat="1" ht="15" customHeight="1" spans="1:6">
      <c r="A17" s="240" t="s">
        <v>21</v>
      </c>
      <c r="B17" s="241"/>
      <c r="C17" s="242"/>
      <c r="D17" s="242"/>
      <c r="E17" s="242"/>
      <c r="F17" s="243"/>
    </row>
    <row r="18" s="189" customFormat="1" ht="15" customHeight="1" spans="1:6">
      <c r="A18" s="240" t="s">
        <v>22</v>
      </c>
      <c r="B18" s="241"/>
      <c r="C18" s="242"/>
      <c r="D18" s="242"/>
      <c r="E18" s="242"/>
      <c r="F18" s="243"/>
    </row>
    <row r="19" s="189" customFormat="1" ht="15" customHeight="1" spans="1:6">
      <c r="A19" s="240" t="s">
        <v>23</v>
      </c>
      <c r="B19" s="241"/>
      <c r="C19" s="242"/>
      <c r="D19" s="242"/>
      <c r="E19" s="242"/>
      <c r="F19" s="243"/>
    </row>
    <row r="20" s="189" customFormat="1" ht="15" customHeight="1" spans="1:6">
      <c r="A20" s="240" t="s">
        <v>24</v>
      </c>
      <c r="B20" s="241"/>
      <c r="C20" s="242"/>
      <c r="D20" s="242"/>
      <c r="E20" s="242"/>
      <c r="F20" s="243"/>
    </row>
    <row r="21" s="189" customFormat="1" ht="15" customHeight="1" spans="1:6">
      <c r="A21" s="240" t="s">
        <v>25</v>
      </c>
      <c r="B21" s="241"/>
      <c r="C21" s="242"/>
      <c r="D21" s="242"/>
      <c r="E21" s="242"/>
      <c r="F21" s="243"/>
    </row>
    <row r="22" s="189" customFormat="1" ht="15" customHeight="1" spans="1:6">
      <c r="A22" s="240" t="s">
        <v>26</v>
      </c>
      <c r="B22" s="241"/>
      <c r="C22" s="242"/>
      <c r="D22" s="242"/>
      <c r="E22" s="242"/>
      <c r="F22" s="243"/>
    </row>
    <row r="23" s="189" customFormat="1" ht="15" customHeight="1" spans="1:6">
      <c r="A23" s="240" t="s">
        <v>27</v>
      </c>
      <c r="B23" s="241"/>
      <c r="C23" s="242"/>
      <c r="D23" s="242"/>
      <c r="E23" s="242"/>
      <c r="F23" s="243"/>
    </row>
    <row r="24" s="189" customFormat="1" ht="15" customHeight="1" spans="1:6">
      <c r="A24" s="240" t="s">
        <v>28</v>
      </c>
      <c r="B24" s="241"/>
      <c r="C24" s="242"/>
      <c r="D24" s="242"/>
      <c r="E24" s="242"/>
      <c r="F24" s="243"/>
    </row>
    <row r="25" s="189" customFormat="1" ht="15" customHeight="1" spans="1:6">
      <c r="A25" s="240" t="s">
        <v>29</v>
      </c>
      <c r="B25" s="241"/>
      <c r="C25" s="242"/>
      <c r="D25" s="242"/>
      <c r="E25" s="242"/>
      <c r="F25" s="243"/>
    </row>
    <row r="26" s="189" customFormat="1" ht="15" customHeight="1" spans="1:6">
      <c r="A26" s="240" t="s">
        <v>30</v>
      </c>
      <c r="B26" s="241"/>
      <c r="C26" s="242"/>
      <c r="D26" s="242"/>
      <c r="E26" s="242"/>
      <c r="F26" s="243"/>
    </row>
    <row r="27" s="189" customFormat="1" ht="15" customHeight="1" spans="1:6">
      <c r="A27" s="240" t="s">
        <v>31</v>
      </c>
      <c r="B27" s="241"/>
      <c r="C27" s="242"/>
      <c r="D27" s="242"/>
      <c r="E27" s="242"/>
      <c r="F27" s="243"/>
    </row>
    <row r="28" s="189" customFormat="1" ht="15" customHeight="1" spans="1:6">
      <c r="A28" s="240" t="s">
        <v>32</v>
      </c>
      <c r="B28" s="241"/>
      <c r="C28" s="242"/>
      <c r="D28" s="242"/>
      <c r="E28" s="242"/>
      <c r="F28" s="243"/>
    </row>
    <row r="29" s="189" customFormat="1" ht="15" customHeight="1" spans="1:6">
      <c r="A29" s="240" t="s">
        <v>33</v>
      </c>
      <c r="B29" s="241"/>
      <c r="C29" s="242"/>
      <c r="D29" s="242"/>
      <c r="E29" s="242"/>
      <c r="F29" s="243"/>
    </row>
    <row r="30" s="189" customFormat="1" ht="15" customHeight="1" spans="1:6">
      <c r="A30" s="240" t="s">
        <v>34</v>
      </c>
      <c r="B30" s="241"/>
      <c r="C30" s="242"/>
      <c r="D30" s="242"/>
      <c r="E30" s="242"/>
      <c r="F30" s="243"/>
    </row>
    <row r="31" s="189" customFormat="1" ht="15" customHeight="1" spans="1:6">
      <c r="A31" s="240" t="s">
        <v>35</v>
      </c>
      <c r="B31" s="241"/>
      <c r="C31" s="242"/>
      <c r="D31" s="242"/>
      <c r="E31" s="242"/>
      <c r="F31" s="243"/>
    </row>
    <row r="32" s="189" customFormat="1" ht="15" customHeight="1" spans="1:6">
      <c r="A32" s="244" t="s">
        <v>36</v>
      </c>
      <c r="B32" s="241"/>
      <c r="C32" s="245">
        <f>SUM(C7:C31)-C24-C25-C21</f>
        <v>0</v>
      </c>
      <c r="D32" s="245">
        <f>SUM(D7:D31)-D24-D25-D21</f>
        <v>0</v>
      </c>
      <c r="E32" s="245">
        <f>SUM(E7:E31)-E24-E25-E21</f>
        <v>0</v>
      </c>
      <c r="F32" s="246">
        <f>SUM(F7:F31)-F24-F25-F21</f>
        <v>0</v>
      </c>
    </row>
    <row r="33" s="189" customFormat="1" ht="15" customHeight="1" spans="1:6">
      <c r="A33" s="240" t="s">
        <v>37</v>
      </c>
      <c r="B33" s="241"/>
      <c r="C33" s="247"/>
      <c r="D33" s="247"/>
      <c r="E33" s="247"/>
      <c r="F33" s="248"/>
    </row>
    <row r="34" s="189" customFormat="1" ht="15" customHeight="1" spans="1:6">
      <c r="A34" s="240" t="s">
        <v>38</v>
      </c>
      <c r="B34" s="241"/>
      <c r="C34" s="247"/>
      <c r="D34" s="247"/>
      <c r="E34" s="247"/>
      <c r="F34" s="248"/>
    </row>
    <row r="35" s="189" customFormat="1" ht="15" customHeight="1" spans="1:6">
      <c r="A35" s="240" t="s">
        <v>39</v>
      </c>
      <c r="B35" s="241"/>
      <c r="C35" s="247"/>
      <c r="D35" s="247"/>
      <c r="E35" s="247"/>
      <c r="F35" s="248"/>
    </row>
    <row r="36" s="189" customFormat="1" ht="15" customHeight="1" spans="1:6">
      <c r="A36" s="240" t="s">
        <v>40</v>
      </c>
      <c r="B36" s="241"/>
      <c r="C36" s="242"/>
      <c r="D36" s="242"/>
      <c r="E36" s="242"/>
      <c r="F36" s="243"/>
    </row>
    <row r="37" s="189" customFormat="1" ht="15" customHeight="1" spans="1:6">
      <c r="A37" s="240" t="s">
        <v>41</v>
      </c>
      <c r="B37" s="241"/>
      <c r="C37" s="242"/>
      <c r="D37" s="242"/>
      <c r="E37" s="242"/>
      <c r="F37" s="243"/>
    </row>
    <row r="38" s="189" customFormat="1" ht="15" customHeight="1" spans="1:6">
      <c r="A38" s="240" t="s">
        <v>42</v>
      </c>
      <c r="B38" s="241"/>
      <c r="C38" s="242"/>
      <c r="D38" s="242"/>
      <c r="E38" s="242"/>
      <c r="F38" s="243"/>
    </row>
    <row r="39" s="189" customFormat="1" ht="15" customHeight="1" spans="1:6">
      <c r="A39" s="240" t="s">
        <v>43</v>
      </c>
      <c r="B39" s="241"/>
      <c r="C39" s="242"/>
      <c r="D39" s="242"/>
      <c r="E39" s="242"/>
      <c r="F39" s="243"/>
    </row>
    <row r="40" s="189" customFormat="1" ht="15" customHeight="1" spans="1:6">
      <c r="A40" s="240" t="s">
        <v>44</v>
      </c>
      <c r="B40" s="241"/>
      <c r="C40" s="242"/>
      <c r="D40" s="242"/>
      <c r="E40" s="242"/>
      <c r="F40" s="243"/>
    </row>
    <row r="41" s="189" customFormat="1" ht="15" customHeight="1" spans="1:6">
      <c r="A41" s="240" t="s">
        <v>45</v>
      </c>
      <c r="B41" s="241"/>
      <c r="C41" s="242"/>
      <c r="D41" s="242"/>
      <c r="E41" s="242"/>
      <c r="F41" s="243"/>
    </row>
    <row r="42" s="189" customFormat="1" ht="15" customHeight="1" spans="1:6">
      <c r="A42" s="240" t="s">
        <v>46</v>
      </c>
      <c r="B42" s="241"/>
      <c r="C42" s="242"/>
      <c r="D42" s="242"/>
      <c r="E42" s="242"/>
      <c r="F42" s="243"/>
    </row>
    <row r="43" s="189" customFormat="1" ht="15" customHeight="1" spans="1:6">
      <c r="A43" s="240" t="s">
        <v>47</v>
      </c>
      <c r="B43" s="241"/>
      <c r="C43" s="242"/>
      <c r="D43" s="242"/>
      <c r="E43" s="242"/>
      <c r="F43" s="243"/>
    </row>
    <row r="44" s="189" customFormat="1" ht="15" customHeight="1" spans="1:6">
      <c r="A44" s="240" t="s">
        <v>48</v>
      </c>
      <c r="B44" s="241"/>
      <c r="C44" s="242"/>
      <c r="D44" s="242"/>
      <c r="E44" s="242"/>
      <c r="F44" s="243"/>
    </row>
    <row r="45" s="189" customFormat="1" ht="15" customHeight="1" spans="1:6">
      <c r="A45" s="240" t="s">
        <v>49</v>
      </c>
      <c r="B45" s="241"/>
      <c r="C45" s="242"/>
      <c r="D45" s="242"/>
      <c r="E45" s="242"/>
      <c r="F45" s="243"/>
    </row>
    <row r="46" s="189" customFormat="1" ht="15" customHeight="1" spans="1:6">
      <c r="A46" s="240" t="s">
        <v>50</v>
      </c>
      <c r="B46" s="241"/>
      <c r="C46" s="242"/>
      <c r="D46" s="242"/>
      <c r="E46" s="242"/>
      <c r="F46" s="243"/>
    </row>
    <row r="47" s="189" customFormat="1" ht="15" customHeight="1" spans="1:6">
      <c r="A47" s="235" t="s">
        <v>51</v>
      </c>
      <c r="B47" s="241"/>
      <c r="C47" s="242"/>
      <c r="D47" s="242"/>
      <c r="E47" s="242"/>
      <c r="F47" s="243"/>
    </row>
    <row r="48" s="189" customFormat="1" ht="15" customHeight="1" spans="1:6">
      <c r="A48" s="235" t="s">
        <v>52</v>
      </c>
      <c r="B48" s="241"/>
      <c r="C48" s="242"/>
      <c r="D48" s="242"/>
      <c r="E48" s="242"/>
      <c r="F48" s="243"/>
    </row>
    <row r="49" s="189" customFormat="1" ht="15" customHeight="1" spans="1:6">
      <c r="A49" s="240" t="s">
        <v>53</v>
      </c>
      <c r="B49" s="241"/>
      <c r="C49" s="242"/>
      <c r="D49" s="242"/>
      <c r="E49" s="242"/>
      <c r="F49" s="243"/>
    </row>
    <row r="50" s="189" customFormat="1" ht="15" customHeight="1" spans="1:6">
      <c r="A50" s="240" t="s">
        <v>54</v>
      </c>
      <c r="B50" s="241"/>
      <c r="C50" s="242"/>
      <c r="D50" s="242"/>
      <c r="E50" s="242"/>
      <c r="F50" s="243"/>
    </row>
    <row r="51" s="189" customFormat="1" ht="15" customHeight="1" spans="1:6">
      <c r="A51" s="240" t="s">
        <v>55</v>
      </c>
      <c r="B51" s="241"/>
      <c r="C51" s="242"/>
      <c r="D51" s="242"/>
      <c r="E51" s="242"/>
      <c r="F51" s="243"/>
    </row>
    <row r="52" s="189" customFormat="1" ht="15" customHeight="1" spans="1:6">
      <c r="A52" s="240" t="s">
        <v>56</v>
      </c>
      <c r="B52" s="241"/>
      <c r="C52" s="242"/>
      <c r="D52" s="242"/>
      <c r="E52" s="242"/>
      <c r="F52" s="243"/>
    </row>
    <row r="53" s="189" customFormat="1" ht="15" customHeight="1" spans="1:6">
      <c r="A53" s="240" t="s">
        <v>57</v>
      </c>
      <c r="B53" s="241"/>
      <c r="C53" s="242"/>
      <c r="D53" s="242"/>
      <c r="E53" s="242"/>
      <c r="F53" s="243"/>
    </row>
    <row r="54" s="189" customFormat="1" ht="15" customHeight="1" spans="1:6">
      <c r="A54" s="240" t="s">
        <v>58</v>
      </c>
      <c r="B54" s="241"/>
      <c r="C54" s="242"/>
      <c r="D54" s="242"/>
      <c r="E54" s="242"/>
      <c r="F54" s="243"/>
    </row>
    <row r="55" s="189" customFormat="1" ht="15" customHeight="1" spans="1:6">
      <c r="A55" s="240" t="s">
        <v>59</v>
      </c>
      <c r="B55" s="241"/>
      <c r="C55" s="242"/>
      <c r="D55" s="242"/>
      <c r="E55" s="242"/>
      <c r="F55" s="243"/>
    </row>
    <row r="56" s="189" customFormat="1" ht="15" customHeight="1" spans="1:6">
      <c r="A56" s="240" t="s">
        <v>60</v>
      </c>
      <c r="B56" s="241"/>
      <c r="C56" s="242"/>
      <c r="D56" s="242"/>
      <c r="E56" s="242"/>
      <c r="F56" s="243"/>
    </row>
    <row r="57" s="189" customFormat="1" ht="15" customHeight="1" spans="1:6">
      <c r="A57" s="244" t="s">
        <v>61</v>
      </c>
      <c r="B57" s="241"/>
      <c r="C57" s="245">
        <f>SUM(C34:C42)+SUM(C46:C55)</f>
        <v>0</v>
      </c>
      <c r="D57" s="245">
        <f>SUM(D34:D42)+SUM(D46:D55)</f>
        <v>0</v>
      </c>
      <c r="E57" s="245">
        <f>SUM(E34:E42)+SUM(E46:E55)</f>
        <v>0</v>
      </c>
      <c r="F57" s="246">
        <f>SUM(F34:F42)+SUM(F46:F55)</f>
        <v>0</v>
      </c>
    </row>
    <row r="58" s="35" customFormat="1" customHeight="1" spans="1:6">
      <c r="A58" s="249" t="s">
        <v>62</v>
      </c>
      <c r="B58" s="250"/>
      <c r="C58" s="251">
        <f>C32+C57</f>
        <v>0</v>
      </c>
      <c r="D58" s="251">
        <f>D32+D57</f>
        <v>0</v>
      </c>
      <c r="E58" s="251">
        <f>E32+E57</f>
        <v>0</v>
      </c>
      <c r="F58" s="252">
        <f>F32+F57</f>
        <v>0</v>
      </c>
    </row>
    <row r="59" s="143" customFormat="1" ht="15" customHeight="1" spans="1:6">
      <c r="A59" s="98"/>
      <c r="B59" s="140"/>
      <c r="C59" s="35"/>
      <c r="D59" s="35"/>
      <c r="E59" s="35"/>
    </row>
    <row r="60" s="143" customFormat="1" ht="15" customHeight="1" spans="1:6">
      <c r="A60" s="186"/>
      <c r="B60" s="226"/>
    </row>
    <row r="61" s="143" customFormat="1" customHeight="1" spans="1:6">
      <c r="A61" s="224"/>
      <c r="B61" s="225"/>
      <c r="C61" s="225"/>
      <c r="D61" s="225"/>
      <c r="E61" s="225"/>
      <c r="F61" s="225"/>
    </row>
    <row r="62" s="143" customFormat="1" customHeight="1" spans="1:6">
      <c r="A62" s="98"/>
      <c r="B62" s="226"/>
    </row>
    <row r="63" s="143" customFormat="1" customHeight="1" spans="1:6">
      <c r="A63" s="253" t="s">
        <v>63</v>
      </c>
      <c r="B63" s="188"/>
      <c r="C63" s="188"/>
      <c r="D63" s="188"/>
    </row>
    <row r="64" s="143" customFormat="1" customHeight="1" spans="1:6">
      <c r="A64" s="253" t="s">
        <v>64</v>
      </c>
      <c r="B64" s="188"/>
      <c r="C64" s="188"/>
      <c r="D64" s="188"/>
    </row>
    <row r="65" s="143" customFormat="1" customHeight="1" spans="1:6">
      <c r="A65" s="253" t="s">
        <v>65</v>
      </c>
      <c r="B65" s="188"/>
      <c r="C65" s="188"/>
      <c r="D65" s="188"/>
    </row>
    <row r="66" s="143" customFormat="1" customHeight="1" spans="1:6">
      <c r="A66" s="253" t="s">
        <v>66</v>
      </c>
      <c r="B66" s="188"/>
      <c r="C66" s="188"/>
      <c r="D66" s="188"/>
    </row>
    <row r="67" s="143" customFormat="1" customHeight="1" spans="1:6">
      <c r="A67" s="253"/>
      <c r="B67" s="188"/>
      <c r="C67" s="188"/>
      <c r="D67" s="188"/>
    </row>
    <row r="68" s="143" customFormat="1" ht="31.5" customHeight="1" spans="1:6">
      <c r="A68" s="254"/>
      <c r="B68" s="255"/>
      <c r="C68" s="255"/>
      <c r="D68" s="255"/>
    </row>
    <row r="69" s="143" customFormat="1" ht="41.25" customHeight="1" spans="1:6">
      <c r="A69" s="254"/>
      <c r="B69" s="255"/>
      <c r="C69" s="255"/>
      <c r="D69" s="255"/>
    </row>
    <row r="70" s="143" customFormat="1" customHeight="1" spans="1:6">
      <c r="A70" s="98"/>
      <c r="B70" s="226"/>
    </row>
    <row r="71" s="143" customFormat="1" customHeight="1" spans="1:6">
      <c r="A71" s="98"/>
      <c r="B71" s="226"/>
    </row>
    <row r="72" s="143" customFormat="1" customHeight="1" spans="1:6">
      <c r="A72" s="98"/>
      <c r="B72" s="226"/>
    </row>
    <row r="73" s="143" customFormat="1" customHeight="1" spans="1:6">
      <c r="A73" s="98"/>
      <c r="B73" s="226"/>
    </row>
    <row r="74" s="143" customFormat="1" customHeight="1" spans="1:6">
      <c r="A74" s="98"/>
      <c r="B74" s="226"/>
    </row>
    <row r="75" s="143" customFormat="1" customHeight="1" spans="1:6">
      <c r="A75" s="98"/>
      <c r="B75" s="226"/>
    </row>
    <row r="76" s="143" customFormat="1" customHeight="1" spans="1:6">
      <c r="A76" s="98"/>
      <c r="B76" s="226"/>
    </row>
    <row r="77" s="139" customFormat="1" customHeight="1" spans="1:6">
      <c r="A77" s="98"/>
      <c r="B77" s="226"/>
      <c r="C77" s="143"/>
      <c r="D77" s="143"/>
      <c r="E77" s="143"/>
      <c r="F77" s="143"/>
    </row>
    <row r="78" s="139" customFormat="1" customHeight="1" spans="1:6">
      <c r="A78" s="98"/>
      <c r="B78" s="226"/>
      <c r="C78" s="143"/>
      <c r="D78" s="143"/>
      <c r="E78" s="143"/>
      <c r="F78" s="143"/>
    </row>
    <row r="79" s="139" customFormat="1" customHeight="1" spans="1:6">
      <c r="A79" s="92"/>
      <c r="B79" s="227"/>
    </row>
    <row r="80" s="139" customFormat="1" customHeight="1" spans="1:6">
      <c r="A80" s="92"/>
      <c r="B80" s="227"/>
    </row>
    <row r="81" s="139" customFormat="1" customHeight="1" spans="1:2">
      <c r="A81" s="92"/>
      <c r="B81" s="227"/>
    </row>
    <row r="82" s="139" customFormat="1" customHeight="1" spans="1:2">
      <c r="A82" s="92"/>
      <c r="B82" s="227"/>
    </row>
    <row r="83" s="139" customFormat="1" customHeight="1" spans="1:2">
      <c r="A83" s="92"/>
      <c r="B83" s="227"/>
    </row>
    <row r="84" s="139" customFormat="1" customHeight="1" spans="1:2">
      <c r="A84" s="92"/>
      <c r="B84" s="227"/>
    </row>
    <row r="85" s="139" customFormat="1" customHeight="1" spans="1:2">
      <c r="A85" s="92"/>
      <c r="B85" s="227"/>
    </row>
    <row r="86" s="139" customFormat="1" customHeight="1" spans="1:2">
      <c r="A86" s="92"/>
      <c r="B86" s="227"/>
    </row>
    <row r="87" s="139" customFormat="1" customHeight="1" spans="1:2">
      <c r="A87" s="92"/>
      <c r="B87" s="227"/>
    </row>
    <row r="88" s="139" customFormat="1" customHeight="1" spans="1:2">
      <c r="A88" s="92"/>
      <c r="B88" s="227"/>
    </row>
    <row r="89" s="139" customFormat="1" customHeight="1" spans="1:2">
      <c r="A89" s="92"/>
      <c r="B89" s="227"/>
    </row>
    <row r="90" s="139" customFormat="1" customHeight="1" spans="1:2">
      <c r="A90" s="92"/>
      <c r="B90" s="227"/>
    </row>
    <row r="91" s="139" customFormat="1" customHeight="1" spans="1:2">
      <c r="A91" s="92"/>
      <c r="B91" s="227"/>
    </row>
    <row r="92" s="139" customFormat="1" customHeight="1" spans="1:2">
      <c r="A92" s="92"/>
      <c r="B92" s="227"/>
    </row>
    <row r="93" s="139" customFormat="1" customHeight="1" spans="1:2">
      <c r="A93" s="92"/>
      <c r="B93" s="227"/>
    </row>
    <row r="94" s="139" customFormat="1" customHeight="1" spans="1:2">
      <c r="A94" s="92"/>
      <c r="B94" s="227"/>
    </row>
    <row r="95" s="139" customFormat="1" customHeight="1" spans="1:2">
      <c r="A95" s="92"/>
      <c r="B95" s="227"/>
    </row>
    <row r="96" s="139" customFormat="1" customHeight="1" spans="1:2">
      <c r="A96" s="92"/>
      <c r="B96" s="227"/>
    </row>
    <row r="97" s="139" customFormat="1" customHeight="1" spans="1:5">
      <c r="A97" s="92"/>
      <c r="B97" s="227"/>
    </row>
    <row r="98" s="139" customFormat="1" customHeight="1" spans="1:5">
      <c r="A98" s="92"/>
      <c r="B98" s="227"/>
    </row>
    <row r="99" s="139" customFormat="1" customHeight="1" spans="1:5">
      <c r="A99" s="92"/>
      <c r="B99" s="227"/>
    </row>
    <row r="100" s="139" customFormat="1" customHeight="1" spans="1:5">
      <c r="A100" s="92"/>
      <c r="B100" s="227"/>
    </row>
    <row r="101" s="139" customFormat="1" customHeight="1" spans="1:5">
      <c r="A101" s="92"/>
      <c r="B101" s="227"/>
    </row>
    <row r="102" s="139" customFormat="1" customHeight="1" spans="1:5">
      <c r="A102" s="92"/>
      <c r="B102" s="227"/>
    </row>
    <row r="103" s="139" customFormat="1" customHeight="1" spans="1:5">
      <c r="A103" s="92"/>
      <c r="B103" s="227"/>
    </row>
    <row r="104" s="139" customFormat="1" customHeight="1" spans="1:5">
      <c r="A104" s="92"/>
      <c r="B104" s="227"/>
    </row>
    <row r="105" s="139" customFormat="1" customHeight="1" spans="1:5">
      <c r="A105" s="92"/>
      <c r="B105" s="227"/>
    </row>
    <row r="106" s="139" customFormat="1" customHeight="1" spans="1:5">
      <c r="A106" s="92"/>
      <c r="B106" s="227"/>
    </row>
    <row r="107" s="139" customFormat="1" customHeight="1" spans="1:5">
      <c r="A107" s="92"/>
      <c r="B107" s="227"/>
    </row>
    <row r="108" s="139" customFormat="1" customHeight="1" spans="1:5">
      <c r="A108" s="92"/>
      <c r="B108" s="227"/>
    </row>
    <row r="109" customHeight="1" spans="1:5">
      <c r="B109" s="227"/>
      <c r="C109" s="139"/>
      <c r="D109" s="139"/>
      <c r="E109" s="139"/>
    </row>
  </sheetData>
  <mergeCells count="13">
    <mergeCell ref="A1:F1"/>
    <mergeCell ref="A2:F2"/>
    <mergeCell ref="C4:D4"/>
    <mergeCell ref="E4:F4"/>
    <mergeCell ref="A63:D63"/>
    <mergeCell ref="A64:D64"/>
    <mergeCell ref="A65:D65"/>
    <mergeCell ref="A66:D66"/>
    <mergeCell ref="A67:D67"/>
    <mergeCell ref="A68:D68"/>
    <mergeCell ref="A69:D69"/>
    <mergeCell ref="A4:A5"/>
    <mergeCell ref="B4:B5"/>
  </mergeCells>
  <conditionalFormatting sqref="C$1:F$1048576">
    <cfRule type="cellIs" dxfId="0" priority="1" operator="equal">
      <formula>0</formula>
    </cfRule>
  </conditionalFormatting>
  <printOptions horizontalCentered="1"/>
  <pageMargins left="0.748031496062992" right="0.393055555555556" top="0.590277777777778" bottom="0.747916666666667" header="0.511811023622047" footer="0.511811023622047"/>
  <pageSetup paperSize="9" scale="87" fitToWidth="0" orientation="portrait" useFirstPageNumber="1"/>
  <headerFooter alignWithMargins="0">
    <oddFooter>&amp;C&amp;"Arial Narrow,常规"&amp;P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F131"/>
  <sheetViews>
    <sheetView showGridLines="0" showZeros="0" view="pageBreakPreview" zoomScaleNormal="110" workbookViewId="0">
      <pane xSplit="2" ySplit="5" topLeftCell="C6" activePane="bottomRight" state="frozen"/>
      <selection/>
      <selection pane="topRight"/>
      <selection pane="bottomLeft"/>
      <selection pane="bottomRight" activeCell="C17" sqref="C17"/>
    </sheetView>
  </sheetViews>
  <sheetFormatPr defaultColWidth="9" defaultRowHeight="15.75" customHeight="1" outlineLevelCol="5"/>
  <cols>
    <col min="1" max="1" width="43.25" style="92" customWidth="1"/>
    <col min="2" max="2" width="6.6" style="190" customWidth="1"/>
    <col min="3" max="5" width="19" style="34" customWidth="1"/>
    <col min="6" max="6" width="19" style="139" customWidth="1"/>
    <col min="7" max="16384" width="9" style="34"/>
  </cols>
  <sheetData>
    <row r="1" ht="30" customHeight="1" spans="1:6">
      <c r="A1" s="95" t="s">
        <v>67</v>
      </c>
      <c r="B1" s="95"/>
      <c r="C1" s="95"/>
      <c r="D1" s="95"/>
      <c r="E1" s="95"/>
      <c r="F1" s="95"/>
    </row>
    <row r="2" ht="16.5" customHeight="1" spans="1:6">
      <c r="A2" s="191" t="s">
        <v>1</v>
      </c>
      <c r="B2" s="191"/>
      <c r="C2" s="191"/>
      <c r="D2" s="191"/>
      <c r="E2" s="191"/>
      <c r="F2" s="191"/>
    </row>
    <row r="3" s="35" customFormat="1" ht="18" customHeight="1" spans="1:6">
      <c r="A3" s="99" t="s">
        <v>2</v>
      </c>
      <c r="B3" s="192"/>
      <c r="C3" s="192"/>
      <c r="D3" s="193"/>
      <c r="E3" s="193"/>
      <c r="F3" s="194" t="s">
        <v>3</v>
      </c>
    </row>
    <row r="4" s="143" customFormat="1" ht="15.6" spans="1:6">
      <c r="A4" s="195" t="s">
        <v>4</v>
      </c>
      <c r="B4" s="196" t="s">
        <v>5</v>
      </c>
      <c r="C4" s="197" t="s">
        <v>6</v>
      </c>
      <c r="D4" s="197"/>
      <c r="E4" s="197" t="s">
        <v>7</v>
      </c>
      <c r="F4" s="198"/>
    </row>
    <row r="5" s="189" customFormat="1" ht="15.6" spans="1:6">
      <c r="A5" s="199"/>
      <c r="B5" s="196"/>
      <c r="C5" s="200" t="s">
        <v>8</v>
      </c>
      <c r="D5" s="200" t="s">
        <v>9</v>
      </c>
      <c r="E5" s="200" t="s">
        <v>8</v>
      </c>
      <c r="F5" s="201" t="s">
        <v>9</v>
      </c>
    </row>
    <row r="6" s="189" customFormat="1" ht="15.6" spans="1:6">
      <c r="A6" s="202" t="s">
        <v>68</v>
      </c>
      <c r="B6" s="203"/>
      <c r="C6" s="204"/>
      <c r="D6" s="205"/>
      <c r="E6" s="205"/>
      <c r="F6" s="206"/>
    </row>
    <row r="7" s="189" customFormat="1" ht="15.6" spans="1:6">
      <c r="A7" s="207" t="s">
        <v>69</v>
      </c>
      <c r="B7" s="203"/>
      <c r="C7" s="208"/>
      <c r="D7" s="208"/>
      <c r="E7" s="208"/>
      <c r="F7" s="209"/>
    </row>
    <row r="8" s="189" customFormat="1" ht="15.6" spans="1:6">
      <c r="A8" s="207" t="s">
        <v>70</v>
      </c>
      <c r="B8" s="203"/>
      <c r="C8" s="208"/>
      <c r="D8" s="208"/>
      <c r="E8" s="208"/>
      <c r="F8" s="209"/>
    </row>
    <row r="9" s="189" customFormat="1" ht="15.6" spans="1:6">
      <c r="A9" s="207" t="s">
        <v>71</v>
      </c>
      <c r="B9" s="203"/>
      <c r="C9" s="208"/>
      <c r="D9" s="208"/>
      <c r="E9" s="208"/>
      <c r="F9" s="209"/>
    </row>
    <row r="10" s="189" customFormat="1" ht="15.6" spans="1:6">
      <c r="A10" s="202" t="s">
        <v>72</v>
      </c>
      <c r="B10" s="203"/>
      <c r="C10" s="208"/>
      <c r="D10" s="208"/>
      <c r="E10" s="208"/>
      <c r="F10" s="209"/>
    </row>
    <row r="11" s="189" customFormat="1" ht="15.6" spans="1:6">
      <c r="A11" s="207" t="s">
        <v>73</v>
      </c>
      <c r="B11" s="203"/>
      <c r="C11" s="208"/>
      <c r="D11" s="208"/>
      <c r="E11" s="208"/>
      <c r="F11" s="209"/>
    </row>
    <row r="12" s="189" customFormat="1" ht="15.6" spans="1:6">
      <c r="A12" s="207" t="s">
        <v>74</v>
      </c>
      <c r="B12" s="203"/>
      <c r="C12" s="208"/>
      <c r="D12" s="208"/>
      <c r="E12" s="208"/>
      <c r="F12" s="209"/>
    </row>
    <row r="13" s="189" customFormat="1" ht="15.6" spans="1:6">
      <c r="A13" s="207" t="s">
        <v>75</v>
      </c>
      <c r="B13" s="203"/>
      <c r="C13" s="208"/>
      <c r="D13" s="208"/>
      <c r="E13" s="208"/>
      <c r="F13" s="209"/>
    </row>
    <row r="14" s="189" customFormat="1" ht="15.6" spans="1:6">
      <c r="A14" s="207" t="s">
        <v>76</v>
      </c>
      <c r="B14" s="203"/>
      <c r="C14" s="208"/>
      <c r="D14" s="208"/>
      <c r="E14" s="208"/>
      <c r="F14" s="209"/>
    </row>
    <row r="15" s="189" customFormat="1" ht="15.6" spans="1:6">
      <c r="A15" s="202" t="s">
        <v>77</v>
      </c>
      <c r="B15" s="203"/>
      <c r="C15" s="208"/>
      <c r="D15" s="208"/>
      <c r="E15" s="208"/>
      <c r="F15" s="209"/>
    </row>
    <row r="16" s="189" customFormat="1" ht="15.6" spans="1:6">
      <c r="A16" s="207" t="s">
        <v>78</v>
      </c>
      <c r="B16" s="203"/>
      <c r="C16" s="208"/>
      <c r="D16" s="208"/>
      <c r="E16" s="208"/>
      <c r="F16" s="209"/>
    </row>
    <row r="17" s="189" customFormat="1" ht="15.6" spans="1:6">
      <c r="A17" s="210" t="s">
        <v>79</v>
      </c>
      <c r="B17" s="203"/>
      <c r="C17" s="208"/>
      <c r="D17" s="208"/>
      <c r="E17" s="208"/>
      <c r="F17" s="209"/>
    </row>
    <row r="18" s="189" customFormat="1" ht="15.6" spans="1:6">
      <c r="A18" s="207" t="s">
        <v>80</v>
      </c>
      <c r="B18" s="203"/>
      <c r="C18" s="208"/>
      <c r="D18" s="208"/>
      <c r="E18" s="208"/>
      <c r="F18" s="209"/>
    </row>
    <row r="19" s="189" customFormat="1" ht="15.6" spans="1:6">
      <c r="A19" s="207" t="s">
        <v>81</v>
      </c>
      <c r="B19" s="203"/>
      <c r="C19" s="208"/>
      <c r="D19" s="208"/>
      <c r="E19" s="208"/>
      <c r="F19" s="209"/>
    </row>
    <row r="20" s="189" customFormat="1" ht="15.6" spans="1:6">
      <c r="A20" s="207" t="s">
        <v>82</v>
      </c>
      <c r="B20" s="203"/>
      <c r="C20" s="208"/>
      <c r="D20" s="208"/>
      <c r="E20" s="208"/>
      <c r="F20" s="209"/>
    </row>
    <row r="21" s="189" customFormat="1" ht="15.6" spans="1:6">
      <c r="A21" s="207" t="s">
        <v>83</v>
      </c>
      <c r="B21" s="203"/>
      <c r="C21" s="208"/>
      <c r="D21" s="208"/>
      <c r="E21" s="208"/>
      <c r="F21" s="209"/>
    </row>
    <row r="22" s="189" customFormat="1" ht="15.6" spans="1:6">
      <c r="A22" s="207" t="s">
        <v>84</v>
      </c>
      <c r="B22" s="203"/>
      <c r="C22" s="208"/>
      <c r="D22" s="208"/>
      <c r="E22" s="208"/>
      <c r="F22" s="209"/>
    </row>
    <row r="23" s="189" customFormat="1" ht="15.6" spans="1:6">
      <c r="A23" s="207" t="s">
        <v>85</v>
      </c>
      <c r="B23" s="203"/>
      <c r="C23" s="208"/>
      <c r="D23" s="208"/>
      <c r="E23" s="208"/>
      <c r="F23" s="209"/>
    </row>
    <row r="24" s="189" customFormat="1" ht="15.6" spans="1:6">
      <c r="A24" s="207" t="s">
        <v>86</v>
      </c>
      <c r="B24" s="203"/>
      <c r="C24" s="208"/>
      <c r="D24" s="208"/>
      <c r="E24" s="208"/>
      <c r="F24" s="209"/>
    </row>
    <row r="25" s="189" customFormat="1" ht="15.6" spans="1:6">
      <c r="A25" s="207" t="s">
        <v>87</v>
      </c>
      <c r="B25" s="203"/>
      <c r="C25" s="208"/>
      <c r="D25" s="208"/>
      <c r="E25" s="208"/>
      <c r="F25" s="209"/>
    </row>
    <row r="26" s="189" customFormat="1" ht="15.6" spans="1:6">
      <c r="A26" s="207" t="s">
        <v>88</v>
      </c>
      <c r="B26" s="203"/>
      <c r="C26" s="208"/>
      <c r="D26" s="208"/>
      <c r="E26" s="208"/>
      <c r="F26" s="209"/>
    </row>
    <row r="27" s="189" customFormat="1" ht="15.6" spans="1:6">
      <c r="A27" s="207" t="s">
        <v>89</v>
      </c>
      <c r="B27" s="203"/>
      <c r="C27" s="208"/>
      <c r="D27" s="208"/>
      <c r="E27" s="208"/>
      <c r="F27" s="209"/>
    </row>
    <row r="28" s="189" customFormat="1" ht="15.6" spans="1:6">
      <c r="A28" s="207" t="s">
        <v>90</v>
      </c>
      <c r="B28" s="203"/>
      <c r="C28" s="208"/>
      <c r="D28" s="208"/>
      <c r="E28" s="208"/>
      <c r="F28" s="209"/>
    </row>
    <row r="29" s="189" customFormat="1" ht="15.6" spans="1:6">
      <c r="A29" s="210" t="s">
        <v>91</v>
      </c>
      <c r="B29" s="203"/>
      <c r="C29" s="208"/>
      <c r="D29" s="208"/>
      <c r="E29" s="208"/>
      <c r="F29" s="209"/>
    </row>
    <row r="30" s="189" customFormat="1" ht="15.6" spans="1:6">
      <c r="A30" s="207" t="s">
        <v>92</v>
      </c>
      <c r="B30" s="203"/>
      <c r="C30" s="208"/>
      <c r="D30" s="208"/>
      <c r="E30" s="208"/>
      <c r="F30" s="209"/>
    </row>
    <row r="31" s="189" customFormat="1" ht="15.6" spans="1:6">
      <c r="A31" s="207" t="s">
        <v>93</v>
      </c>
      <c r="B31" s="203"/>
      <c r="C31" s="208"/>
      <c r="D31" s="208"/>
      <c r="E31" s="208"/>
      <c r="F31" s="209"/>
    </row>
    <row r="32" s="189" customFormat="1" ht="15.6" spans="1:6">
      <c r="A32" s="207" t="s">
        <v>94</v>
      </c>
      <c r="B32" s="203"/>
      <c r="C32" s="208"/>
      <c r="D32" s="208"/>
      <c r="E32" s="208"/>
      <c r="F32" s="209"/>
    </row>
    <row r="33" s="189" customFormat="1" ht="15.6" spans="1:6">
      <c r="A33" s="207" t="s">
        <v>95</v>
      </c>
      <c r="B33" s="203"/>
      <c r="C33" s="208"/>
      <c r="D33" s="208"/>
      <c r="E33" s="208"/>
      <c r="F33" s="209"/>
    </row>
    <row r="34" s="189" customFormat="1" ht="15.6" spans="1:6">
      <c r="A34" s="211" t="s">
        <v>96</v>
      </c>
      <c r="B34" s="203"/>
      <c r="C34" s="212">
        <f>SUM(C7:C21)+C25+C27+SUM(C29:C33)</f>
        <v>0</v>
      </c>
      <c r="D34" s="212">
        <f>SUM(D7:D21)+D25+D27+SUM(D29:D33)</f>
        <v>0</v>
      </c>
      <c r="E34" s="212">
        <f>SUM(E7:E21)+E25+E27+SUM(E29:E33)</f>
        <v>0</v>
      </c>
      <c r="F34" s="213">
        <f>SUM(F7:F21)+F25+F27+SUM(F29:F33)</f>
        <v>0</v>
      </c>
    </row>
    <row r="35" s="189" customFormat="1" ht="15.6" spans="1:6">
      <c r="A35" s="207" t="s">
        <v>97</v>
      </c>
      <c r="B35" s="203"/>
      <c r="C35" s="204"/>
      <c r="D35" s="214"/>
      <c r="E35" s="214"/>
      <c r="F35" s="215"/>
    </row>
    <row r="36" s="189" customFormat="1" ht="15.6" spans="1:6">
      <c r="A36" s="210" t="s">
        <v>98</v>
      </c>
      <c r="B36" s="203"/>
      <c r="C36" s="208"/>
      <c r="D36" s="208"/>
      <c r="E36" s="208"/>
      <c r="F36" s="209"/>
    </row>
    <row r="37" s="189" customFormat="1" ht="15.6" spans="1:6">
      <c r="A37" s="207" t="s">
        <v>99</v>
      </c>
      <c r="B37" s="203"/>
      <c r="C37" s="208"/>
      <c r="D37" s="208"/>
      <c r="E37" s="208"/>
      <c r="F37" s="209"/>
    </row>
    <row r="38" s="189" customFormat="1" ht="15.6" spans="1:6">
      <c r="A38" s="207" t="s">
        <v>100</v>
      </c>
      <c r="B38" s="203"/>
      <c r="C38" s="208"/>
      <c r="D38" s="208"/>
      <c r="E38" s="208"/>
      <c r="F38" s="209"/>
    </row>
    <row r="39" s="189" customFormat="1" ht="15.6" spans="1:6">
      <c r="A39" s="207" t="s">
        <v>101</v>
      </c>
      <c r="B39" s="203"/>
      <c r="C39" s="208"/>
      <c r="D39" s="208"/>
      <c r="E39" s="208"/>
      <c r="F39" s="209"/>
    </row>
    <row r="40" s="189" customFormat="1" ht="15.6" spans="1:6">
      <c r="A40" s="207" t="s">
        <v>102</v>
      </c>
      <c r="B40" s="203"/>
      <c r="C40" s="208"/>
      <c r="D40" s="208"/>
      <c r="E40" s="208"/>
      <c r="F40" s="209"/>
    </row>
    <row r="41" s="189" customFormat="1" ht="15.6" spans="1:6">
      <c r="A41" s="207" t="s">
        <v>103</v>
      </c>
      <c r="B41" s="203"/>
      <c r="C41" s="208"/>
      <c r="D41" s="208"/>
      <c r="E41" s="208"/>
      <c r="F41" s="209"/>
    </row>
    <row r="42" s="189" customFormat="1" ht="15.6" spans="1:6">
      <c r="A42" s="207" t="s">
        <v>104</v>
      </c>
      <c r="B42" s="203"/>
      <c r="C42" s="208"/>
      <c r="D42" s="208"/>
      <c r="E42" s="208"/>
      <c r="F42" s="209"/>
    </row>
    <row r="43" s="189" customFormat="1" ht="15.6" spans="1:6">
      <c r="A43" s="202" t="s">
        <v>105</v>
      </c>
      <c r="B43" s="203"/>
      <c r="C43" s="208"/>
      <c r="D43" s="208"/>
      <c r="E43" s="208"/>
      <c r="F43" s="209"/>
    </row>
    <row r="44" s="189" customFormat="1" ht="15.6" spans="1:6">
      <c r="A44" s="207" t="s">
        <v>106</v>
      </c>
      <c r="B44" s="203"/>
      <c r="C44" s="208"/>
      <c r="D44" s="208"/>
      <c r="E44" s="208"/>
      <c r="F44" s="209"/>
    </row>
    <row r="45" s="189" customFormat="1" ht="15.6" spans="1:6">
      <c r="A45" s="207" t="s">
        <v>107</v>
      </c>
      <c r="B45" s="203"/>
      <c r="C45" s="208"/>
      <c r="D45" s="208"/>
      <c r="E45" s="208"/>
      <c r="F45" s="209"/>
    </row>
    <row r="46" s="189" customFormat="1" ht="15.6" spans="1:6">
      <c r="A46" s="207" t="s">
        <v>108</v>
      </c>
      <c r="B46" s="203"/>
      <c r="C46" s="208"/>
      <c r="D46" s="208"/>
      <c r="E46" s="208"/>
      <c r="F46" s="209"/>
    </row>
    <row r="47" s="189" customFormat="1" ht="15.6" spans="1:6">
      <c r="A47" s="216" t="s">
        <v>109</v>
      </c>
      <c r="B47" s="203"/>
      <c r="C47" s="208"/>
      <c r="D47" s="208"/>
      <c r="E47" s="208"/>
      <c r="F47" s="209"/>
    </row>
    <row r="48" s="189" customFormat="1" ht="15.6" spans="1:6">
      <c r="A48" s="207" t="s">
        <v>110</v>
      </c>
      <c r="B48" s="203"/>
      <c r="C48" s="208"/>
      <c r="D48" s="208"/>
      <c r="E48" s="208"/>
      <c r="F48" s="209"/>
    </row>
    <row r="49" s="189" customFormat="1" ht="15.6" spans="1:6">
      <c r="A49" s="207" t="s">
        <v>111</v>
      </c>
      <c r="B49" s="203"/>
      <c r="C49" s="208"/>
      <c r="D49" s="208"/>
      <c r="E49" s="208"/>
      <c r="F49" s="209"/>
    </row>
    <row r="50" s="189" customFormat="1" ht="15.6" spans="1:6">
      <c r="A50" s="207" t="s">
        <v>112</v>
      </c>
      <c r="B50" s="203"/>
      <c r="C50" s="208"/>
      <c r="D50" s="208"/>
      <c r="E50" s="208"/>
      <c r="F50" s="209"/>
    </row>
    <row r="51" s="189" customFormat="1" ht="15.6" spans="1:6">
      <c r="A51" s="211" t="s">
        <v>113</v>
      </c>
      <c r="B51" s="203"/>
      <c r="C51" s="212">
        <f>SUM(C36:C49)-C39-C40</f>
        <v>0</v>
      </c>
      <c r="D51" s="212">
        <f t="shared" ref="D51:F51" si="0">SUM(D36:D49)-D39-D40</f>
        <v>0</v>
      </c>
      <c r="E51" s="212">
        <f t="shared" si="0"/>
        <v>0</v>
      </c>
      <c r="F51" s="213">
        <f t="shared" si="0"/>
        <v>0</v>
      </c>
    </row>
    <row r="52" s="189" customFormat="1" ht="15.6" spans="1:6">
      <c r="A52" s="211" t="s">
        <v>114</v>
      </c>
      <c r="B52" s="203"/>
      <c r="C52" s="212">
        <f>C34+C51</f>
        <v>0</v>
      </c>
      <c r="D52" s="212">
        <f>D34+D51</f>
        <v>0</v>
      </c>
      <c r="E52" s="212">
        <f>E34+E51</f>
        <v>0</v>
      </c>
      <c r="F52" s="213">
        <f>F34+F51</f>
        <v>0</v>
      </c>
    </row>
    <row r="53" s="189" customFormat="1" ht="15.6" spans="1:6">
      <c r="A53" s="207" t="s">
        <v>115</v>
      </c>
      <c r="B53" s="203"/>
      <c r="C53" s="204"/>
      <c r="D53" s="214"/>
      <c r="E53" s="214"/>
      <c r="F53" s="215"/>
    </row>
    <row r="54" s="189" customFormat="1" ht="15.6" spans="1:6">
      <c r="A54" s="207" t="s">
        <v>116</v>
      </c>
      <c r="B54" s="203"/>
      <c r="C54" s="208">
        <f>SUM(C55:C59)</f>
        <v>0</v>
      </c>
      <c r="D54" s="208">
        <f t="shared" ref="D54:F54" si="1">SUM(D55:D59)</f>
        <v>0</v>
      </c>
      <c r="E54" s="208">
        <f t="shared" si="1"/>
        <v>0</v>
      </c>
      <c r="F54" s="209">
        <f t="shared" si="1"/>
        <v>0</v>
      </c>
    </row>
    <row r="55" s="189" customFormat="1" ht="15.6" spans="1:6">
      <c r="A55" s="210" t="s">
        <v>117</v>
      </c>
      <c r="B55" s="203"/>
      <c r="C55" s="208"/>
      <c r="D55" s="208"/>
      <c r="E55" s="208"/>
      <c r="F55" s="209"/>
    </row>
    <row r="56" s="189" customFormat="1" ht="15.6" spans="1:6">
      <c r="A56" s="207" t="s">
        <v>118</v>
      </c>
      <c r="B56" s="203"/>
      <c r="C56" s="208"/>
      <c r="D56" s="208"/>
      <c r="E56" s="208"/>
      <c r="F56" s="209"/>
    </row>
    <row r="57" s="189" customFormat="1" ht="15.6" spans="1:6">
      <c r="A57" s="207" t="s">
        <v>119</v>
      </c>
      <c r="B57" s="203"/>
      <c r="C57" s="208"/>
      <c r="D57" s="208"/>
      <c r="E57" s="208"/>
      <c r="F57" s="209"/>
    </row>
    <row r="58" s="189" customFormat="1" ht="15.6" spans="1:6">
      <c r="A58" s="210" t="s">
        <v>120</v>
      </c>
      <c r="B58" s="203"/>
      <c r="C58" s="208"/>
      <c r="D58" s="208"/>
      <c r="E58" s="208"/>
      <c r="F58" s="209"/>
    </row>
    <row r="59" s="189" customFormat="1" ht="15.6" spans="1:6">
      <c r="A59" s="207" t="s">
        <v>121</v>
      </c>
      <c r="B59" s="203"/>
      <c r="C59" s="208"/>
      <c r="D59" s="208"/>
      <c r="E59" s="208"/>
      <c r="F59" s="209"/>
    </row>
    <row r="60" s="189" customFormat="1" ht="15.6" spans="1:6">
      <c r="A60" s="207" t="s">
        <v>122</v>
      </c>
      <c r="B60" s="203"/>
      <c r="C60" s="208"/>
      <c r="D60" s="208"/>
      <c r="E60" s="208"/>
      <c r="F60" s="209"/>
    </row>
    <row r="61" s="189" customFormat="1" ht="15.6" spans="1:6">
      <c r="A61" s="207" t="s">
        <v>123</v>
      </c>
      <c r="B61" s="203"/>
      <c r="C61" s="208">
        <f>C54-C60</f>
        <v>0</v>
      </c>
      <c r="D61" s="208">
        <f>D54-D60</f>
        <v>0</v>
      </c>
      <c r="E61" s="208">
        <f>E54-E60</f>
        <v>0</v>
      </c>
      <c r="F61" s="209">
        <f>F54-F60</f>
        <v>0</v>
      </c>
    </row>
    <row r="62" s="189" customFormat="1" ht="15.6" spans="1:6">
      <c r="A62" s="216" t="s">
        <v>124</v>
      </c>
      <c r="B62" s="203"/>
      <c r="C62" s="208"/>
      <c r="D62" s="208"/>
      <c r="E62" s="208"/>
      <c r="F62" s="209"/>
    </row>
    <row r="63" s="189" customFormat="1" ht="15.6" spans="1:6">
      <c r="A63" s="216" t="s">
        <v>125</v>
      </c>
      <c r="B63" s="203"/>
      <c r="C63" s="208"/>
      <c r="D63" s="208"/>
      <c r="E63" s="208"/>
      <c r="F63" s="209"/>
    </row>
    <row r="64" s="189" customFormat="1" ht="15.6" spans="1:6">
      <c r="A64" s="216" t="s">
        <v>126</v>
      </c>
      <c r="B64" s="203"/>
      <c r="C64" s="208"/>
      <c r="D64" s="208"/>
      <c r="E64" s="208"/>
      <c r="F64" s="209"/>
    </row>
    <row r="65" s="189" customFormat="1" ht="15.6" spans="1:6">
      <c r="A65" s="207" t="s">
        <v>127</v>
      </c>
      <c r="B65" s="203"/>
      <c r="C65" s="208"/>
      <c r="D65" s="208"/>
      <c r="E65" s="208"/>
      <c r="F65" s="209"/>
    </row>
    <row r="66" s="189" customFormat="1" ht="15.6" spans="1:6">
      <c r="A66" s="207" t="s">
        <v>128</v>
      </c>
      <c r="B66" s="203"/>
      <c r="C66" s="208"/>
      <c r="D66" s="208"/>
      <c r="E66" s="208"/>
      <c r="F66" s="209"/>
    </row>
    <row r="67" s="189" customFormat="1" ht="15.6" spans="1:6">
      <c r="A67" s="216" t="s">
        <v>129</v>
      </c>
      <c r="B67" s="203"/>
      <c r="C67" s="208"/>
      <c r="D67" s="208"/>
      <c r="E67" s="208"/>
      <c r="F67" s="209"/>
    </row>
    <row r="68" s="189" customFormat="1" ht="15.6" spans="1:6">
      <c r="A68" s="216" t="s">
        <v>130</v>
      </c>
      <c r="B68" s="203"/>
      <c r="C68" s="208"/>
      <c r="D68" s="208"/>
      <c r="E68" s="208"/>
      <c r="F68" s="209"/>
    </row>
    <row r="69" s="189" customFormat="1" ht="15.6" spans="1:6">
      <c r="A69" s="207" t="s">
        <v>131</v>
      </c>
      <c r="B69" s="203"/>
      <c r="C69" s="208"/>
      <c r="D69" s="208"/>
      <c r="E69" s="208"/>
      <c r="F69" s="209"/>
    </row>
    <row r="70" s="189" customFormat="1" ht="15.6" spans="1:6">
      <c r="A70" s="207" t="s">
        <v>132</v>
      </c>
      <c r="B70" s="203"/>
      <c r="C70" s="208"/>
      <c r="D70" s="208"/>
      <c r="E70" s="208"/>
      <c r="F70" s="209"/>
    </row>
    <row r="71" s="189" customFormat="1" ht="15.6" spans="1:6">
      <c r="A71" s="207" t="s">
        <v>133</v>
      </c>
      <c r="B71" s="203"/>
      <c r="C71" s="208"/>
      <c r="D71" s="208"/>
      <c r="E71" s="208"/>
      <c r="F71" s="209"/>
    </row>
    <row r="72" s="189" customFormat="1" ht="15.6" spans="1:6">
      <c r="A72" s="207" t="s">
        <v>134</v>
      </c>
      <c r="B72" s="203"/>
      <c r="C72" s="208"/>
      <c r="D72" s="208"/>
      <c r="E72" s="208"/>
      <c r="F72" s="209"/>
    </row>
    <row r="73" s="189" customFormat="1" ht="15.6" spans="1:6">
      <c r="A73" s="207" t="s">
        <v>135</v>
      </c>
      <c r="B73" s="203"/>
      <c r="C73" s="208"/>
      <c r="D73" s="208"/>
      <c r="E73" s="208"/>
      <c r="F73" s="209"/>
    </row>
    <row r="74" s="189" customFormat="1" ht="15.6" spans="1:6">
      <c r="A74" s="207" t="s">
        <v>136</v>
      </c>
      <c r="B74" s="203"/>
      <c r="C74" s="208"/>
      <c r="D74" s="208"/>
      <c r="E74" s="208"/>
      <c r="F74" s="209"/>
    </row>
    <row r="75" s="189" customFormat="1" ht="15.6" spans="1:6">
      <c r="A75" s="207" t="s">
        <v>137</v>
      </c>
      <c r="B75" s="203"/>
      <c r="C75" s="208"/>
      <c r="D75" s="208"/>
      <c r="E75" s="208"/>
      <c r="F75" s="209"/>
    </row>
    <row r="76" s="189" customFormat="1" ht="15.6" spans="1:6">
      <c r="A76" s="207" t="s">
        <v>138</v>
      </c>
      <c r="B76" s="203"/>
      <c r="C76" s="208"/>
      <c r="D76" s="208"/>
      <c r="E76" s="208"/>
      <c r="F76" s="209"/>
    </row>
    <row r="77" s="189" customFormat="1" ht="15.6" spans="1:6">
      <c r="A77" s="207" t="s">
        <v>139</v>
      </c>
      <c r="B77" s="203"/>
      <c r="C77" s="208"/>
      <c r="D77" s="208"/>
      <c r="E77" s="208"/>
      <c r="F77" s="209"/>
    </row>
    <row r="78" s="189" customFormat="1" ht="15.6" spans="1:6">
      <c r="A78" s="217" t="s">
        <v>140</v>
      </c>
      <c r="B78" s="203"/>
      <c r="C78" s="208">
        <f>C61+C62+C65-C66+C67+C69+C70+C76+C77</f>
        <v>0</v>
      </c>
      <c r="D78" s="208">
        <f>D61+D62+D65-D66+D67+D69+D70+D76+D77</f>
        <v>0</v>
      </c>
      <c r="E78" s="208">
        <f t="shared" ref="E78:F78" si="2">E61+E62+E65-E66+E67+E69+E70+E76+E77</f>
        <v>0</v>
      </c>
      <c r="F78" s="209">
        <f t="shared" si="2"/>
        <v>0</v>
      </c>
    </row>
    <row r="79" s="189" customFormat="1" ht="15.6" spans="1:6">
      <c r="A79" s="202" t="s">
        <v>141</v>
      </c>
      <c r="B79" s="203"/>
      <c r="C79" s="208"/>
      <c r="D79" s="208"/>
      <c r="E79" s="208"/>
      <c r="F79" s="209"/>
    </row>
    <row r="80" s="189" customFormat="1" ht="15.6" spans="1:6">
      <c r="A80" s="211" t="s">
        <v>142</v>
      </c>
      <c r="B80" s="203"/>
      <c r="C80" s="212">
        <f>C78+C79</f>
        <v>0</v>
      </c>
      <c r="D80" s="212">
        <f>D78+D79</f>
        <v>0</v>
      </c>
      <c r="E80" s="212">
        <f>E78+E79</f>
        <v>0</v>
      </c>
      <c r="F80" s="213">
        <f>F78+F79</f>
        <v>0</v>
      </c>
    </row>
    <row r="81" s="35" customFormat="1" ht="15.6" spans="1:6">
      <c r="A81" s="218" t="s">
        <v>143</v>
      </c>
      <c r="B81" s="219"/>
      <c r="C81" s="220">
        <f>C52+C80</f>
        <v>0</v>
      </c>
      <c r="D81" s="220">
        <f>D52+D80</f>
        <v>0</v>
      </c>
      <c r="E81" s="220">
        <f>E52+E80</f>
        <v>0</v>
      </c>
      <c r="F81" s="221">
        <f>F52+F80</f>
        <v>0</v>
      </c>
    </row>
    <row r="82" s="143" customFormat="1" ht="15.6" spans="1:6">
      <c r="A82" s="98"/>
      <c r="B82" s="140"/>
      <c r="C82" s="35"/>
      <c r="D82" s="35"/>
      <c r="E82" s="35"/>
    </row>
    <row r="83" s="143" customFormat="1" ht="15.6" spans="1:6">
      <c r="A83" s="130" t="s">
        <v>144</v>
      </c>
      <c r="B83" s="222"/>
      <c r="C83" s="222"/>
      <c r="D83" s="222"/>
      <c r="E83" s="222"/>
      <c r="F83" s="223"/>
    </row>
    <row r="84" s="143" customFormat="1" customHeight="1" spans="1:6">
      <c r="A84" s="224"/>
      <c r="B84" s="225"/>
      <c r="C84" s="225"/>
      <c r="D84" s="225"/>
    </row>
    <row r="85" s="143" customFormat="1" customHeight="1" spans="1:6">
      <c r="A85" s="98"/>
      <c r="B85" s="226"/>
    </row>
    <row r="86" s="143" customFormat="1" customHeight="1" spans="1:6">
      <c r="A86" s="98"/>
      <c r="B86" s="226"/>
    </row>
    <row r="87" s="143" customFormat="1" customHeight="1" spans="1:6">
      <c r="A87" s="98"/>
      <c r="B87" s="226"/>
    </row>
    <row r="88" s="143" customFormat="1" customHeight="1" spans="1:6">
      <c r="A88" s="98"/>
      <c r="B88" s="226"/>
    </row>
    <row r="89" s="143" customFormat="1" customHeight="1" spans="1:6">
      <c r="A89" s="98"/>
      <c r="B89" s="226"/>
    </row>
    <row r="90" s="143" customFormat="1" customHeight="1" spans="1:6">
      <c r="A90" s="98"/>
      <c r="B90" s="226"/>
    </row>
    <row r="91" s="143" customFormat="1" customHeight="1" spans="1:6">
      <c r="A91" s="98"/>
      <c r="B91" s="226"/>
    </row>
    <row r="92" s="143" customFormat="1" customHeight="1" spans="1:6">
      <c r="A92" s="98"/>
      <c r="B92" s="226"/>
    </row>
    <row r="93" s="143" customFormat="1" customHeight="1" spans="1:6">
      <c r="A93" s="98"/>
      <c r="B93" s="226"/>
    </row>
    <row r="94" s="143" customFormat="1" customHeight="1" spans="1:6">
      <c r="A94" s="98"/>
      <c r="B94" s="226"/>
    </row>
    <row r="95" s="143" customFormat="1" customHeight="1" spans="1:6">
      <c r="A95" s="98"/>
      <c r="B95" s="226"/>
    </row>
    <row r="96" s="143" customFormat="1" customHeight="1" spans="1:6">
      <c r="A96" s="98"/>
      <c r="B96" s="226"/>
    </row>
    <row r="97" s="143" customFormat="1" customHeight="1" spans="1:6">
      <c r="A97" s="98"/>
      <c r="B97" s="226"/>
    </row>
    <row r="98" s="143" customFormat="1" customHeight="1" spans="1:6">
      <c r="A98" s="98"/>
      <c r="B98" s="226"/>
    </row>
    <row r="99" s="139" customFormat="1" customHeight="1" spans="1:6">
      <c r="A99" s="98"/>
      <c r="B99" s="226"/>
      <c r="C99" s="143"/>
      <c r="D99" s="143"/>
      <c r="E99" s="143"/>
      <c r="F99" s="143"/>
    </row>
    <row r="100" s="139" customFormat="1" customHeight="1" spans="1:6">
      <c r="A100" s="98"/>
      <c r="B100" s="226"/>
      <c r="C100" s="143"/>
      <c r="D100" s="143"/>
      <c r="E100" s="143"/>
      <c r="F100" s="143"/>
    </row>
    <row r="101" s="139" customFormat="1" customHeight="1" spans="1:6">
      <c r="A101" s="92"/>
      <c r="B101" s="227"/>
    </row>
    <row r="102" s="139" customFormat="1" customHeight="1" spans="1:6">
      <c r="A102" s="92"/>
      <c r="B102" s="227"/>
    </row>
    <row r="103" s="139" customFormat="1" customHeight="1" spans="1:6">
      <c r="A103" s="92"/>
      <c r="B103" s="227"/>
    </row>
    <row r="104" s="139" customFormat="1" customHeight="1" spans="1:6">
      <c r="A104" s="92"/>
      <c r="B104" s="227"/>
    </row>
    <row r="105" s="139" customFormat="1" customHeight="1" spans="1:6">
      <c r="A105" s="92"/>
      <c r="B105" s="227"/>
    </row>
    <row r="106" s="139" customFormat="1" customHeight="1" spans="1:6">
      <c r="A106" s="92"/>
      <c r="B106" s="227"/>
    </row>
    <row r="107" s="139" customFormat="1" customHeight="1" spans="1:6">
      <c r="A107" s="92"/>
      <c r="B107" s="227"/>
    </row>
    <row r="108" s="139" customFormat="1" customHeight="1" spans="1:6">
      <c r="A108" s="92"/>
      <c r="B108" s="227"/>
    </row>
    <row r="109" s="139" customFormat="1" customHeight="1" spans="1:6">
      <c r="A109" s="92"/>
      <c r="B109" s="227"/>
    </row>
    <row r="110" s="139" customFormat="1" customHeight="1" spans="1:6">
      <c r="A110" s="92"/>
      <c r="B110" s="227"/>
    </row>
    <row r="111" s="139" customFormat="1" customHeight="1" spans="1:6">
      <c r="A111" s="92"/>
      <c r="B111" s="227"/>
    </row>
    <row r="112" s="139" customFormat="1" customHeight="1" spans="1:6">
      <c r="A112" s="92"/>
      <c r="B112" s="227"/>
    </row>
    <row r="113" s="139" customFormat="1" customHeight="1" spans="1:2">
      <c r="A113" s="92"/>
      <c r="B113" s="227"/>
    </row>
    <row r="114" s="139" customFormat="1" customHeight="1" spans="1:2">
      <c r="A114" s="92"/>
      <c r="B114" s="227"/>
    </row>
    <row r="115" s="139" customFormat="1" customHeight="1" spans="1:2">
      <c r="A115" s="92"/>
      <c r="B115" s="227"/>
    </row>
    <row r="116" s="139" customFormat="1" customHeight="1" spans="1:2">
      <c r="A116" s="92"/>
      <c r="B116" s="227"/>
    </row>
    <row r="117" s="139" customFormat="1" customHeight="1" spans="1:2">
      <c r="A117" s="92"/>
      <c r="B117" s="227"/>
    </row>
    <row r="118" s="139" customFormat="1" customHeight="1" spans="1:2">
      <c r="A118" s="92"/>
      <c r="B118" s="227"/>
    </row>
    <row r="119" s="139" customFormat="1" customHeight="1" spans="1:2">
      <c r="A119" s="92"/>
      <c r="B119" s="227"/>
    </row>
    <row r="120" s="139" customFormat="1" customHeight="1" spans="1:2">
      <c r="A120" s="92"/>
      <c r="B120" s="227"/>
    </row>
    <row r="121" s="139" customFormat="1" customHeight="1" spans="1:2">
      <c r="A121" s="92"/>
      <c r="B121" s="227"/>
    </row>
    <row r="122" s="139" customFormat="1" customHeight="1" spans="1:2">
      <c r="A122" s="92"/>
      <c r="B122" s="227"/>
    </row>
    <row r="123" s="139" customFormat="1" customHeight="1" spans="1:2">
      <c r="A123" s="92"/>
      <c r="B123" s="227"/>
    </row>
    <row r="124" s="139" customFormat="1" customHeight="1" spans="1:2">
      <c r="A124" s="92"/>
      <c r="B124" s="227"/>
    </row>
    <row r="125" s="139" customFormat="1" customHeight="1" spans="1:2">
      <c r="A125" s="92"/>
      <c r="B125" s="227"/>
    </row>
    <row r="126" s="139" customFormat="1" customHeight="1" spans="1:2">
      <c r="A126" s="92"/>
      <c r="B126" s="227"/>
    </row>
    <row r="127" s="139" customFormat="1" customHeight="1" spans="1:2">
      <c r="A127" s="92"/>
      <c r="B127" s="227"/>
    </row>
    <row r="128" s="139" customFormat="1" customHeight="1" spans="1:2">
      <c r="A128" s="92"/>
      <c r="B128" s="227"/>
    </row>
    <row r="129" s="139" customFormat="1" customHeight="1" spans="1:5">
      <c r="A129" s="92"/>
      <c r="B129" s="227"/>
    </row>
    <row r="130" s="139" customFormat="1" customHeight="1" spans="1:5">
      <c r="A130" s="92"/>
      <c r="B130" s="227"/>
    </row>
    <row r="131" customHeight="1" spans="1:5">
      <c r="B131" s="227"/>
      <c r="C131" s="139"/>
      <c r="D131" s="139"/>
      <c r="E131" s="139"/>
    </row>
  </sheetData>
  <mergeCells count="6">
    <mergeCell ref="A1:F1"/>
    <mergeCell ref="A2:F2"/>
    <mergeCell ref="C4:D4"/>
    <mergeCell ref="E4:F4"/>
    <mergeCell ref="A4:A5"/>
    <mergeCell ref="B4:B5"/>
  </mergeCells>
  <conditionalFormatting sqref="C$1:F$1048576">
    <cfRule type="cellIs" dxfId="0" priority="1" operator="equal">
      <formula>0</formula>
    </cfRule>
  </conditionalFormatting>
  <printOptions horizontalCentered="1"/>
  <pageMargins left="0.590277777777778" right="0.629861111111111" top="0.590277777777778" bottom="0.472222222222222" header="0.432638888888889" footer="0.236111111111111"/>
  <pageSetup paperSize="9" scale="62" firstPageNumber="2" orientation="portrait" useFirstPageNumber="1"/>
  <headerFooter alignWithMargins="0">
    <oddFooter>&amp;C&amp;"Arial Narrow,常规"&amp;P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G92"/>
  <sheetViews>
    <sheetView showGridLines="0" showZeros="0" view="pageBreakPreview" zoomScaleNormal="100" workbookViewId="0">
      <pane xSplit="2" ySplit="5" topLeftCell="C60" activePane="bottomRight" state="frozen"/>
      <selection/>
      <selection pane="topRight"/>
      <selection pane="bottomLeft"/>
      <selection pane="bottomRight" activeCell="D77" sqref="D77"/>
    </sheetView>
  </sheetViews>
  <sheetFormatPr defaultColWidth="9" defaultRowHeight="15" customHeight="1" outlineLevelCol="6"/>
  <cols>
    <col min="1" max="1" width="63.4" style="137" customWidth="1"/>
    <col min="2" max="2" width="9.125" style="138" customWidth="1"/>
    <col min="3" max="4" width="18.8" style="34" customWidth="1"/>
    <col min="5" max="6" width="18.8" style="139" customWidth="1"/>
    <col min="7" max="16384" width="9" style="34"/>
  </cols>
  <sheetData>
    <row r="1" s="133" customFormat="1" ht="30" customHeight="1" spans="1:7">
      <c r="A1" s="95" t="s">
        <v>145</v>
      </c>
      <c r="B1" s="95"/>
      <c r="C1" s="95"/>
      <c r="D1" s="95"/>
      <c r="E1" s="95"/>
      <c r="F1" s="95"/>
    </row>
    <row r="2" s="35" customFormat="1" ht="18" customHeight="1" spans="1:7">
      <c r="A2" s="140" t="s">
        <v>146</v>
      </c>
      <c r="B2" s="141"/>
      <c r="C2" s="140"/>
      <c r="D2" s="140"/>
      <c r="E2" s="140"/>
      <c r="F2" s="140"/>
    </row>
    <row r="3" s="35" customFormat="1" ht="18" customHeight="1" spans="1:7">
      <c r="A3" s="142" t="s">
        <v>2</v>
      </c>
      <c r="B3" s="99"/>
      <c r="C3" s="142"/>
      <c r="D3" s="142"/>
      <c r="E3" s="143"/>
      <c r="F3" s="144" t="s">
        <v>3</v>
      </c>
    </row>
    <row r="4" s="35" customFormat="1" ht="15.6" spans="1:7">
      <c r="A4" s="145" t="s">
        <v>4</v>
      </c>
      <c r="B4" s="146" t="s">
        <v>5</v>
      </c>
      <c r="C4" s="147" t="s">
        <v>147</v>
      </c>
      <c r="D4" s="147"/>
      <c r="E4" s="147" t="s">
        <v>148</v>
      </c>
      <c r="F4" s="148"/>
      <c r="G4" s="143"/>
    </row>
    <row r="5" s="35" customFormat="1" ht="15.6" spans="1:7">
      <c r="A5" s="149"/>
      <c r="B5" s="150"/>
      <c r="C5" s="151" t="s">
        <v>8</v>
      </c>
      <c r="D5" s="151" t="s">
        <v>9</v>
      </c>
      <c r="E5" s="151" t="s">
        <v>8</v>
      </c>
      <c r="F5" s="152" t="s">
        <v>9</v>
      </c>
      <c r="G5" s="143"/>
    </row>
    <row r="6" s="134" customFormat="1" spans="1:7">
      <c r="A6" s="153" t="s">
        <v>149</v>
      </c>
      <c r="B6" s="154"/>
      <c r="C6" s="155">
        <f>SUM(C7:C11)</f>
        <v>0</v>
      </c>
      <c r="D6" s="155">
        <f t="shared" ref="D6:F6" si="0">SUM(D7:D11)</f>
        <v>0</v>
      </c>
      <c r="E6" s="155">
        <f t="shared" si="0"/>
        <v>0</v>
      </c>
      <c r="F6" s="156">
        <f t="shared" si="0"/>
        <v>0</v>
      </c>
    </row>
    <row r="7" s="134" customFormat="1" spans="1:7">
      <c r="A7" s="157" t="s">
        <v>150</v>
      </c>
      <c r="B7" s="158"/>
      <c r="C7" s="159"/>
      <c r="D7" s="159"/>
      <c r="E7" s="159"/>
      <c r="F7" s="160"/>
    </row>
    <row r="8" s="134" customFormat="1" spans="1:7">
      <c r="A8" s="157" t="s">
        <v>151</v>
      </c>
      <c r="B8" s="158"/>
      <c r="C8" s="159"/>
      <c r="D8" s="159"/>
      <c r="E8" s="159"/>
      <c r="F8" s="160"/>
    </row>
    <row r="9" s="134" customFormat="1" spans="1:7">
      <c r="A9" s="157" t="s">
        <v>152</v>
      </c>
      <c r="B9" s="158"/>
      <c r="C9" s="159"/>
      <c r="D9" s="159"/>
      <c r="E9" s="159"/>
      <c r="F9" s="160"/>
    </row>
    <row r="10" s="134" customFormat="1" spans="1:7">
      <c r="A10" s="157" t="s">
        <v>153</v>
      </c>
      <c r="B10" s="158"/>
      <c r="C10" s="159"/>
      <c r="D10" s="159"/>
      <c r="E10" s="159"/>
      <c r="F10" s="160"/>
    </row>
    <row r="11" s="134" customFormat="1" spans="1:7">
      <c r="A11" s="157" t="s">
        <v>154</v>
      </c>
      <c r="B11" s="158"/>
      <c r="C11" s="159"/>
      <c r="D11" s="159"/>
      <c r="E11" s="159"/>
      <c r="F11" s="160"/>
    </row>
    <row r="12" s="134" customFormat="1" spans="1:7">
      <c r="A12" s="153" t="s">
        <v>155</v>
      </c>
      <c r="B12" s="158"/>
      <c r="C12" s="161">
        <f>SUM(C13:C30)+C34</f>
        <v>0</v>
      </c>
      <c r="D12" s="161">
        <f t="shared" ref="D12:F12" si="1">SUM(D13:D30)+D34</f>
        <v>0</v>
      </c>
      <c r="E12" s="161">
        <f t="shared" si="1"/>
        <v>0</v>
      </c>
      <c r="F12" s="162">
        <f t="shared" si="1"/>
        <v>0</v>
      </c>
    </row>
    <row r="13" s="134" customFormat="1" spans="1:7">
      <c r="A13" s="157" t="s">
        <v>156</v>
      </c>
      <c r="B13" s="158"/>
      <c r="C13" s="159"/>
      <c r="D13" s="159"/>
      <c r="E13" s="159"/>
      <c r="F13" s="160"/>
    </row>
    <row r="14" s="134" customFormat="1" spans="1:7">
      <c r="A14" s="157" t="s">
        <v>157</v>
      </c>
      <c r="B14" s="158"/>
      <c r="C14" s="159"/>
      <c r="D14" s="159"/>
      <c r="E14" s="159"/>
      <c r="F14" s="160"/>
    </row>
    <row r="15" s="134" customFormat="1" spans="1:7">
      <c r="A15" s="157" t="s">
        <v>158</v>
      </c>
      <c r="B15" s="158"/>
      <c r="C15" s="159"/>
      <c r="D15" s="159"/>
      <c r="E15" s="159"/>
      <c r="F15" s="160"/>
    </row>
    <row r="16" s="134" customFormat="1" spans="1:7">
      <c r="A16" s="157" t="s">
        <v>159</v>
      </c>
      <c r="B16" s="158"/>
      <c r="C16" s="159"/>
      <c r="D16" s="159"/>
      <c r="E16" s="159"/>
      <c r="F16" s="160"/>
    </row>
    <row r="17" s="134" customFormat="1" spans="1:7">
      <c r="A17" s="157" t="s">
        <v>160</v>
      </c>
      <c r="B17" s="158"/>
      <c r="C17" s="159"/>
      <c r="D17" s="159"/>
      <c r="E17" s="159"/>
      <c r="F17" s="160"/>
    </row>
    <row r="18" s="134" customFormat="1" spans="1:7">
      <c r="A18" s="157" t="s">
        <v>161</v>
      </c>
      <c r="B18" s="158"/>
      <c r="C18" s="159"/>
      <c r="D18" s="159"/>
      <c r="E18" s="159"/>
      <c r="F18" s="160"/>
    </row>
    <row r="19" s="134" customFormat="1" spans="1:7">
      <c r="A19" s="157" t="s">
        <v>162</v>
      </c>
      <c r="B19" s="158"/>
      <c r="C19" s="159"/>
      <c r="D19" s="159"/>
      <c r="E19" s="159"/>
      <c r="F19" s="160"/>
    </row>
    <row r="20" s="134" customFormat="1" spans="1:7">
      <c r="A20" s="157" t="s">
        <v>163</v>
      </c>
      <c r="B20" s="158"/>
      <c r="C20" s="159"/>
      <c r="D20" s="159"/>
      <c r="E20" s="159"/>
      <c r="F20" s="160"/>
    </row>
    <row r="21" s="134" customFormat="1" spans="1:7">
      <c r="A21" s="157" t="s">
        <v>164</v>
      </c>
      <c r="B21" s="158"/>
      <c r="C21" s="159"/>
      <c r="D21" s="159"/>
      <c r="E21" s="159"/>
      <c r="F21" s="160"/>
    </row>
    <row r="22" s="134" customFormat="1" spans="1:7">
      <c r="A22" s="157" t="s">
        <v>165</v>
      </c>
      <c r="B22" s="158"/>
      <c r="C22" s="159"/>
      <c r="D22" s="159"/>
      <c r="E22" s="159"/>
      <c r="F22" s="160"/>
    </row>
    <row r="23" s="134" customFormat="1" spans="1:7">
      <c r="A23" s="157" t="s">
        <v>166</v>
      </c>
      <c r="B23" s="158"/>
      <c r="C23" s="159"/>
      <c r="D23" s="159"/>
      <c r="E23" s="159"/>
      <c r="F23" s="160"/>
    </row>
    <row r="24" s="134" customFormat="1" spans="1:7">
      <c r="A24" s="157" t="s">
        <v>167</v>
      </c>
      <c r="B24" s="158"/>
      <c r="C24" s="159"/>
      <c r="D24" s="159"/>
      <c r="E24" s="159"/>
      <c r="F24" s="160"/>
    </row>
    <row r="25" s="134" customFormat="1" spans="1:7">
      <c r="A25" s="157" t="s">
        <v>168</v>
      </c>
      <c r="B25" s="158"/>
      <c r="C25" s="159"/>
      <c r="D25" s="159"/>
      <c r="E25" s="159"/>
      <c r="F25" s="160"/>
    </row>
    <row r="26" s="134" customFormat="1" ht="15.6" spans="1:7">
      <c r="A26" s="157" t="s">
        <v>169</v>
      </c>
      <c r="B26" s="158"/>
      <c r="C26" s="159"/>
      <c r="D26" s="159"/>
      <c r="E26" s="159"/>
      <c r="F26" s="160"/>
      <c r="G26" s="89" t="s">
        <v>170</v>
      </c>
    </row>
    <row r="27" s="134" customFormat="1" spans="1:7">
      <c r="A27" s="163" t="s">
        <v>171</v>
      </c>
      <c r="B27" s="158"/>
      <c r="C27" s="159"/>
      <c r="D27" s="159"/>
      <c r="E27" s="159"/>
      <c r="F27" s="160"/>
    </row>
    <row r="28" s="134" customFormat="1" spans="1:7">
      <c r="A28" s="163" t="s">
        <v>172</v>
      </c>
      <c r="B28" s="158"/>
      <c r="C28" s="159"/>
      <c r="D28" s="159"/>
      <c r="E28" s="159"/>
      <c r="F28" s="160"/>
    </row>
    <row r="29" s="134" customFormat="1" spans="1:7">
      <c r="A29" s="163" t="s">
        <v>173</v>
      </c>
      <c r="B29" s="158"/>
      <c r="C29" s="159"/>
      <c r="D29" s="159"/>
      <c r="E29" s="159"/>
      <c r="F29" s="160"/>
    </row>
    <row r="30" s="134" customFormat="1" spans="1:7">
      <c r="A30" s="157" t="s">
        <v>174</v>
      </c>
      <c r="B30" s="158"/>
      <c r="C30" s="159"/>
      <c r="D30" s="159"/>
      <c r="E30" s="159"/>
      <c r="F30" s="160"/>
    </row>
    <row r="31" s="134" customFormat="1" spans="1:7">
      <c r="A31" s="163" t="s">
        <v>175</v>
      </c>
      <c r="B31" s="158"/>
      <c r="C31" s="159"/>
      <c r="D31" s="159"/>
      <c r="E31" s="159"/>
      <c r="F31" s="160"/>
    </row>
    <row r="32" s="134" customFormat="1" spans="1:7">
      <c r="A32" s="163" t="s">
        <v>176</v>
      </c>
      <c r="B32" s="158"/>
      <c r="C32" s="159"/>
      <c r="D32" s="159"/>
      <c r="E32" s="159"/>
      <c r="F32" s="160"/>
    </row>
    <row r="33" s="134" customFormat="1" spans="1:7">
      <c r="A33" s="164" t="s">
        <v>177</v>
      </c>
      <c r="B33" s="158"/>
      <c r="C33" s="159"/>
      <c r="D33" s="159"/>
      <c r="E33" s="159"/>
      <c r="F33" s="160"/>
    </row>
    <row r="34" s="134" customFormat="1" spans="1:7">
      <c r="A34" s="165" t="s">
        <v>178</v>
      </c>
      <c r="B34" s="158"/>
      <c r="C34" s="159"/>
      <c r="D34" s="159"/>
      <c r="E34" s="159"/>
      <c r="F34" s="160"/>
    </row>
    <row r="35" s="134" customFormat="1" ht="15.6" spans="1:7">
      <c r="A35" s="164" t="s">
        <v>179</v>
      </c>
      <c r="B35" s="158"/>
      <c r="C35" s="159"/>
      <c r="D35" s="159"/>
      <c r="E35" s="159"/>
      <c r="F35" s="160"/>
      <c r="G35" s="89" t="s">
        <v>180</v>
      </c>
    </row>
    <row r="36" s="134" customFormat="1" spans="1:7">
      <c r="A36" s="165" t="s">
        <v>181</v>
      </c>
      <c r="B36" s="158"/>
      <c r="C36" s="159"/>
      <c r="D36" s="159"/>
      <c r="E36" s="159"/>
      <c r="F36" s="160"/>
    </row>
    <row r="37" s="134" customFormat="1" spans="1:7">
      <c r="A37" s="164" t="s">
        <v>182</v>
      </c>
      <c r="B37" s="158"/>
      <c r="C37" s="159"/>
      <c r="D37" s="159"/>
      <c r="E37" s="159"/>
      <c r="F37" s="160"/>
    </row>
    <row r="38" s="134" customFormat="1" customHeight="1" spans="1:7">
      <c r="A38" s="164" t="s">
        <v>183</v>
      </c>
      <c r="B38" s="158"/>
      <c r="C38" s="159"/>
      <c r="D38" s="159"/>
      <c r="E38" s="166"/>
      <c r="F38" s="167"/>
    </row>
    <row r="39" s="134" customFormat="1" spans="1:7">
      <c r="A39" s="163" t="s">
        <v>184</v>
      </c>
      <c r="B39" s="158"/>
      <c r="C39" s="159"/>
      <c r="D39" s="159"/>
      <c r="E39" s="159"/>
      <c r="F39" s="160"/>
    </row>
    <row r="40" s="134" customFormat="1" spans="1:7">
      <c r="A40" s="163" t="s">
        <v>185</v>
      </c>
      <c r="B40" s="158"/>
      <c r="C40" s="159"/>
      <c r="D40" s="159"/>
      <c r="E40" s="166"/>
      <c r="F40" s="167"/>
    </row>
    <row r="41" s="134" customFormat="1" spans="1:7">
      <c r="A41" s="163" t="s">
        <v>186</v>
      </c>
      <c r="B41" s="158"/>
      <c r="C41" s="159"/>
      <c r="D41" s="159"/>
      <c r="E41" s="159"/>
      <c r="F41" s="160"/>
    </row>
    <row r="42" s="134" customFormat="1" ht="15.6" spans="1:7">
      <c r="A42" s="163" t="s">
        <v>187</v>
      </c>
      <c r="B42" s="158"/>
      <c r="C42" s="159"/>
      <c r="D42" s="159"/>
      <c r="E42" s="166"/>
      <c r="F42" s="167"/>
      <c r="G42" s="89" t="s">
        <v>188</v>
      </c>
    </row>
    <row r="43" s="134" customFormat="1" spans="1:7">
      <c r="A43" s="163" t="s">
        <v>189</v>
      </c>
      <c r="B43" s="158"/>
      <c r="C43" s="159"/>
      <c r="D43" s="159"/>
      <c r="E43" s="159"/>
      <c r="F43" s="160"/>
    </row>
    <row r="44" s="134" customFormat="1" ht="15.6" spans="1:7">
      <c r="A44" s="163" t="s">
        <v>190</v>
      </c>
      <c r="B44" s="158"/>
      <c r="C44" s="159"/>
      <c r="D44" s="159"/>
      <c r="E44" s="159"/>
      <c r="F44" s="160"/>
      <c r="G44" s="168" t="s">
        <v>191</v>
      </c>
    </row>
    <row r="45" s="134" customFormat="1" spans="1:7">
      <c r="A45" s="169" t="s">
        <v>192</v>
      </c>
      <c r="B45" s="158"/>
      <c r="C45" s="161">
        <f>C6-C12+SUM(C35:C36,C39:C44)</f>
        <v>0</v>
      </c>
      <c r="D45" s="161">
        <f t="shared" ref="D45:F45" si="2">D6-D12+SUM(D35:D36,D39:D44)</f>
        <v>0</v>
      </c>
      <c r="E45" s="161">
        <f t="shared" si="2"/>
        <v>0</v>
      </c>
      <c r="F45" s="162">
        <f t="shared" si="2"/>
        <v>0</v>
      </c>
    </row>
    <row r="46" s="135" customFormat="1" ht="15.6" spans="1:7">
      <c r="A46" s="157" t="s">
        <v>193</v>
      </c>
      <c r="B46" s="170"/>
      <c r="C46" s="159"/>
      <c r="D46" s="159"/>
      <c r="E46" s="159"/>
      <c r="F46" s="160"/>
      <c r="G46" s="168" t="s">
        <v>194</v>
      </c>
    </row>
    <row r="47" s="134" customFormat="1" spans="1:7">
      <c r="A47" s="157" t="s">
        <v>195</v>
      </c>
      <c r="B47" s="158"/>
      <c r="C47" s="159"/>
      <c r="D47" s="159"/>
      <c r="E47" s="159"/>
      <c r="F47" s="160"/>
    </row>
    <row r="48" s="134" customFormat="1" ht="15.6" spans="1:7">
      <c r="A48" s="157" t="s">
        <v>196</v>
      </c>
      <c r="B48" s="158"/>
      <c r="C48" s="159"/>
      <c r="D48" s="159"/>
      <c r="E48" s="159"/>
      <c r="F48" s="160"/>
      <c r="G48" s="168" t="s">
        <v>197</v>
      </c>
    </row>
    <row r="49" s="134" customFormat="1" spans="1:6">
      <c r="A49" s="153" t="s">
        <v>198</v>
      </c>
      <c r="B49" s="158"/>
      <c r="C49" s="161">
        <f>C45+C46-C48</f>
        <v>0</v>
      </c>
      <c r="D49" s="161">
        <f>D45+D46-D48</f>
        <v>0</v>
      </c>
      <c r="E49" s="161">
        <f>E45+E46-E48</f>
        <v>0</v>
      </c>
      <c r="F49" s="162">
        <f>F45+F46-F48</f>
        <v>0</v>
      </c>
    </row>
    <row r="50" s="134" customFormat="1" spans="1:6">
      <c r="A50" s="163" t="s">
        <v>199</v>
      </c>
      <c r="B50" s="158"/>
      <c r="C50" s="159"/>
      <c r="D50" s="159"/>
      <c r="E50" s="159"/>
      <c r="F50" s="160"/>
    </row>
    <row r="51" s="134" customFormat="1" spans="1:6">
      <c r="A51" s="153" t="s">
        <v>200</v>
      </c>
      <c r="B51" s="158"/>
      <c r="C51" s="161">
        <f>C49-C50</f>
        <v>0</v>
      </c>
      <c r="D51" s="161">
        <f>D49-D50</f>
        <v>0</v>
      </c>
      <c r="E51" s="161">
        <f>E49-E50</f>
        <v>0</v>
      </c>
      <c r="F51" s="162">
        <f>F49-F50</f>
        <v>0</v>
      </c>
    </row>
    <row r="52" s="136" customFormat="1" spans="1:6">
      <c r="A52" s="171" t="s">
        <v>201</v>
      </c>
      <c r="B52" s="158"/>
      <c r="C52" s="172"/>
      <c r="D52" s="172"/>
      <c r="E52" s="172"/>
      <c r="F52" s="173"/>
    </row>
    <row r="53" s="134" customFormat="1" spans="1:6">
      <c r="A53" s="174" t="s">
        <v>202</v>
      </c>
      <c r="B53" s="158"/>
      <c r="C53" s="159"/>
      <c r="D53" s="159"/>
      <c r="E53" s="159"/>
      <c r="F53" s="160"/>
    </row>
    <row r="54" s="134" customFormat="1" spans="1:6">
      <c r="A54" s="175" t="s">
        <v>203</v>
      </c>
      <c r="B54" s="158"/>
      <c r="C54" s="159">
        <f>C51-C53</f>
        <v>0</v>
      </c>
      <c r="D54" s="159">
        <f>D51-D53</f>
        <v>0</v>
      </c>
      <c r="E54" s="159">
        <f>E51-E53</f>
        <v>0</v>
      </c>
      <c r="F54" s="160">
        <f>F51-F53</f>
        <v>0</v>
      </c>
    </row>
    <row r="55" s="136" customFormat="1" spans="1:6">
      <c r="A55" s="171" t="s">
        <v>204</v>
      </c>
      <c r="B55" s="158"/>
      <c r="C55" s="172"/>
      <c r="D55" s="172"/>
      <c r="E55" s="172"/>
      <c r="F55" s="173"/>
    </row>
    <row r="56" s="136" customFormat="1" spans="1:6">
      <c r="A56" s="175" t="s">
        <v>205</v>
      </c>
      <c r="B56" s="158"/>
      <c r="C56" s="172">
        <f>C51-C57</f>
        <v>0</v>
      </c>
      <c r="D56" s="172">
        <f>D51-D57</f>
        <v>0</v>
      </c>
      <c r="E56" s="172">
        <f>E51-E57</f>
        <v>0</v>
      </c>
      <c r="F56" s="173">
        <f>F51-F57</f>
        <v>0</v>
      </c>
    </row>
    <row r="57" s="136" customFormat="1" spans="1:6">
      <c r="A57" s="175" t="s">
        <v>206</v>
      </c>
      <c r="B57" s="158"/>
      <c r="C57" s="172"/>
      <c r="D57" s="172"/>
      <c r="E57" s="172"/>
      <c r="F57" s="173"/>
    </row>
    <row r="58" s="134" customFormat="1" spans="1:6">
      <c r="A58" s="153" t="s">
        <v>207</v>
      </c>
      <c r="B58" s="158"/>
      <c r="C58" s="161">
        <f>C59+C77</f>
        <v>0</v>
      </c>
      <c r="D58" s="161">
        <f>D59+D77</f>
        <v>0</v>
      </c>
      <c r="E58" s="161">
        <f>E59+E77</f>
        <v>0</v>
      </c>
      <c r="F58" s="162">
        <f>F59+F77</f>
        <v>0</v>
      </c>
    </row>
    <row r="59" s="134" customFormat="1" spans="1:6">
      <c r="A59" s="171" t="s">
        <v>208</v>
      </c>
      <c r="B59" s="158"/>
      <c r="C59" s="159">
        <f>C60+C67</f>
        <v>0</v>
      </c>
      <c r="D59" s="159">
        <f t="shared" ref="D59:F59" si="3">D60+D67</f>
        <v>0</v>
      </c>
      <c r="E59" s="159">
        <f t="shared" si="3"/>
        <v>0</v>
      </c>
      <c r="F59" s="160">
        <f t="shared" si="3"/>
        <v>0</v>
      </c>
    </row>
    <row r="60" s="134" customFormat="1" spans="1:6">
      <c r="A60" s="171" t="s">
        <v>209</v>
      </c>
      <c r="B60" s="158"/>
      <c r="C60" s="159"/>
      <c r="D60" s="159"/>
      <c r="E60" s="159"/>
      <c r="F60" s="160"/>
    </row>
    <row r="61" s="134" customFormat="1" spans="1:6">
      <c r="A61" s="174" t="s">
        <v>210</v>
      </c>
      <c r="B61" s="158"/>
      <c r="C61" s="159"/>
      <c r="D61" s="159"/>
      <c r="E61" s="159"/>
      <c r="F61" s="160"/>
    </row>
    <row r="62" s="134" customFormat="1" spans="1:6">
      <c r="A62" s="174" t="s">
        <v>211</v>
      </c>
      <c r="B62" s="158"/>
      <c r="C62" s="159"/>
      <c r="D62" s="159"/>
      <c r="E62" s="159"/>
      <c r="F62" s="160"/>
    </row>
    <row r="63" s="134" customFormat="1" spans="1:6">
      <c r="A63" s="174" t="s">
        <v>212</v>
      </c>
      <c r="B63" s="158"/>
      <c r="C63" s="159"/>
      <c r="D63" s="159"/>
      <c r="E63" s="166"/>
      <c r="F63" s="167"/>
    </row>
    <row r="64" s="134" customFormat="1" spans="1:6">
      <c r="A64" s="174" t="s">
        <v>213</v>
      </c>
      <c r="B64" s="158"/>
      <c r="C64" s="159"/>
      <c r="D64" s="159"/>
      <c r="E64" s="166"/>
      <c r="F64" s="167"/>
    </row>
    <row r="65" s="134" customFormat="1" spans="1:6">
      <c r="A65" s="174" t="s">
        <v>214</v>
      </c>
      <c r="B65" s="158"/>
      <c r="C65" s="159"/>
      <c r="D65" s="159"/>
      <c r="E65" s="166"/>
      <c r="F65" s="167"/>
    </row>
    <row r="66" s="134" customFormat="1" spans="1:6">
      <c r="A66" s="174" t="s">
        <v>215</v>
      </c>
      <c r="B66" s="158"/>
      <c r="C66" s="159"/>
      <c r="D66" s="159"/>
      <c r="E66" s="159"/>
      <c r="F66" s="160"/>
    </row>
    <row r="67" s="134" customFormat="1" spans="1:6">
      <c r="A67" s="176" t="s">
        <v>216</v>
      </c>
      <c r="B67" s="158"/>
      <c r="C67" s="159"/>
      <c r="D67" s="159"/>
      <c r="E67" s="159"/>
      <c r="F67" s="160"/>
    </row>
    <row r="68" s="134" customFormat="1" spans="1:6">
      <c r="A68" s="174" t="s">
        <v>217</v>
      </c>
      <c r="B68" s="158"/>
      <c r="C68" s="159"/>
      <c r="D68" s="159"/>
      <c r="E68" s="159"/>
      <c r="F68" s="160"/>
    </row>
    <row r="69" s="134" customFormat="1" spans="1:6">
      <c r="A69" s="174" t="s">
        <v>218</v>
      </c>
      <c r="B69" s="158"/>
      <c r="C69" s="159"/>
      <c r="D69" s="159"/>
      <c r="E69" s="166"/>
      <c r="F69" s="167"/>
    </row>
    <row r="70" s="134" customFormat="1" spans="1:6">
      <c r="A70" s="174" t="s">
        <v>219</v>
      </c>
      <c r="B70" s="158"/>
      <c r="C70" s="159"/>
      <c r="D70" s="159"/>
      <c r="E70" s="166"/>
      <c r="F70" s="167"/>
    </row>
    <row r="71" s="134" customFormat="1" spans="1:6">
      <c r="A71" s="174" t="s">
        <v>220</v>
      </c>
      <c r="B71" s="158"/>
      <c r="C71" s="159"/>
      <c r="D71" s="159"/>
      <c r="E71" s="166"/>
      <c r="F71" s="167"/>
    </row>
    <row r="72" s="134" customFormat="1" spans="1:6">
      <c r="A72" s="174" t="s">
        <v>221</v>
      </c>
      <c r="B72" s="158"/>
      <c r="C72" s="159"/>
      <c r="D72" s="159"/>
      <c r="E72" s="159"/>
      <c r="F72" s="160"/>
    </row>
    <row r="73" s="134" customFormat="1" spans="1:6">
      <c r="A73" s="174" t="s">
        <v>222</v>
      </c>
      <c r="B73" s="158"/>
      <c r="C73" s="159"/>
      <c r="D73" s="159"/>
      <c r="E73" s="159"/>
      <c r="F73" s="160"/>
    </row>
    <row r="74" s="134" customFormat="1" spans="1:6">
      <c r="A74" s="174" t="s">
        <v>223</v>
      </c>
      <c r="B74" s="158"/>
      <c r="C74" s="159"/>
      <c r="D74" s="159"/>
      <c r="E74" s="159"/>
      <c r="F74" s="160"/>
    </row>
    <row r="75" s="134" customFormat="1" spans="1:6">
      <c r="A75" s="174" t="s">
        <v>224</v>
      </c>
      <c r="B75" s="158"/>
      <c r="C75" s="159"/>
      <c r="D75" s="159"/>
      <c r="E75" s="159"/>
      <c r="F75" s="160"/>
    </row>
    <row r="76" s="134" customFormat="1" spans="1:6">
      <c r="A76" s="174" t="s">
        <v>225</v>
      </c>
      <c r="B76" s="158"/>
      <c r="C76" s="159"/>
      <c r="D76" s="159"/>
      <c r="E76" s="159"/>
      <c r="F76" s="160"/>
    </row>
    <row r="77" s="134" customFormat="1" spans="1:6">
      <c r="A77" s="171" t="s">
        <v>226</v>
      </c>
      <c r="B77" s="158"/>
      <c r="C77" s="159"/>
      <c r="D77" s="159"/>
      <c r="E77" s="159"/>
      <c r="F77" s="160"/>
    </row>
    <row r="78" s="134" customFormat="1" spans="1:6">
      <c r="A78" s="177" t="s">
        <v>227</v>
      </c>
      <c r="B78" s="158"/>
      <c r="C78" s="161">
        <f>C51+C58</f>
        <v>0</v>
      </c>
      <c r="D78" s="161">
        <f>D51+D58</f>
        <v>0</v>
      </c>
      <c r="E78" s="161">
        <f>E51+E58</f>
        <v>0</v>
      </c>
      <c r="F78" s="162">
        <f>F51+F58</f>
        <v>0</v>
      </c>
    </row>
    <row r="79" s="134" customFormat="1" spans="1:6">
      <c r="A79" s="178" t="s">
        <v>228</v>
      </c>
      <c r="B79" s="158"/>
      <c r="C79" s="159"/>
      <c r="D79" s="159"/>
      <c r="E79" s="159"/>
      <c r="F79" s="160"/>
    </row>
    <row r="80" s="134" customFormat="1" spans="1:6">
      <c r="A80" s="178" t="s">
        <v>229</v>
      </c>
      <c r="B80" s="158"/>
      <c r="C80" s="159"/>
      <c r="D80" s="159"/>
      <c r="E80" s="159"/>
      <c r="F80" s="160"/>
    </row>
    <row r="81" s="134" customFormat="1" spans="1:6">
      <c r="A81" s="153" t="s">
        <v>230</v>
      </c>
      <c r="B81" s="158"/>
      <c r="C81" s="159"/>
      <c r="D81" s="159"/>
      <c r="E81" s="159"/>
      <c r="F81" s="160"/>
    </row>
    <row r="82" s="134" customFormat="1" spans="1:6">
      <c r="A82" s="163" t="s">
        <v>231</v>
      </c>
      <c r="B82" s="158"/>
      <c r="C82" s="159"/>
      <c r="D82" s="159"/>
      <c r="E82" s="159"/>
      <c r="F82" s="160"/>
    </row>
    <row r="83" s="134" customFormat="1" spans="1:6">
      <c r="A83" s="179" t="s">
        <v>232</v>
      </c>
      <c r="B83" s="180"/>
      <c r="C83" s="181"/>
      <c r="D83" s="181"/>
      <c r="E83" s="181"/>
      <c r="F83" s="182"/>
    </row>
    <row r="84" s="134" customFormat="1" ht="15.6" spans="1:6">
      <c r="A84" s="98"/>
      <c r="B84" s="183"/>
      <c r="C84" s="184"/>
      <c r="D84" s="184"/>
      <c r="E84" s="184"/>
      <c r="F84" s="184"/>
    </row>
    <row r="85" s="35" customFormat="1" ht="15.6" spans="1:6">
      <c r="A85" s="130" t="s">
        <v>144</v>
      </c>
      <c r="B85" s="141"/>
      <c r="E85" s="143"/>
      <c r="F85" s="143"/>
    </row>
    <row r="86" s="35" customFormat="1" ht="18" customHeight="1" spans="1:6">
      <c r="A86" s="185"/>
      <c r="B86" s="141"/>
      <c r="E86" s="143"/>
      <c r="F86" s="143"/>
    </row>
    <row r="87" s="35" customFormat="1" ht="18" customHeight="1" spans="1:6">
      <c r="A87" s="186"/>
      <c r="B87" s="141"/>
      <c r="E87" s="143"/>
      <c r="F87" s="143"/>
    </row>
    <row r="88" s="35" customFormat="1" ht="18" customHeight="1" spans="1:6">
      <c r="A88" s="99"/>
      <c r="B88" s="141"/>
      <c r="E88" s="143"/>
      <c r="F88" s="143"/>
    </row>
    <row r="89" s="35" customFormat="1" ht="18" customHeight="1" spans="1:6">
      <c r="A89" s="187" t="s">
        <v>233</v>
      </c>
      <c r="B89" s="132"/>
      <c r="C89" s="188"/>
      <c r="D89" s="188"/>
      <c r="E89" s="143"/>
      <c r="F89" s="143"/>
    </row>
    <row r="90" s="35" customFormat="1" ht="18" customHeight="1" spans="1:6">
      <c r="A90" s="99"/>
      <c r="B90" s="141"/>
      <c r="E90" s="143"/>
      <c r="F90" s="143"/>
    </row>
    <row r="91" ht="18" customHeight="1"/>
    <row r="92" ht="18" customHeight="1"/>
  </sheetData>
  <mergeCells count="8">
    <mergeCell ref="A1:F1"/>
    <mergeCell ref="A2:F2"/>
    <mergeCell ref="A3:C3"/>
    <mergeCell ref="C4:D4"/>
    <mergeCell ref="E4:F4"/>
    <mergeCell ref="A89:D89"/>
    <mergeCell ref="A4:A5"/>
    <mergeCell ref="B4:B5"/>
  </mergeCells>
  <conditionalFormatting sqref="C$1:F$1048576">
    <cfRule type="cellIs" dxfId="0" priority="1" operator="equal">
      <formula>0</formula>
    </cfRule>
  </conditionalFormatting>
  <printOptions horizontalCentered="1" verticalCentered="1"/>
  <pageMargins left="0.747916666666667" right="0.550694444444444" top="0.786805555555556" bottom="0.590277777777778" header="0.511805555555556" footer="0.275"/>
  <pageSetup paperSize="9" scale="56" firstPageNumber="2" orientation="portrait" useFirstPageNumber="1" horizontalDpi="600"/>
  <headerFooter alignWithMargins="0">
    <oddFooter>&amp;C&amp;"Arial Narrow,常规"&amp;P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G74"/>
  <sheetViews>
    <sheetView showGridLines="0" showZeros="0" view="pageBreakPreview" zoomScaleNormal="100" workbookViewId="0">
      <pane xSplit="2" ySplit="5" topLeftCell="C45" activePane="bottomRight" state="frozen"/>
      <selection/>
      <selection pane="topRight"/>
      <selection pane="bottomLeft"/>
      <selection pane="bottomRight" activeCell="D62" sqref="D62"/>
    </sheetView>
  </sheetViews>
  <sheetFormatPr defaultColWidth="9" defaultRowHeight="22.2" customHeight="1" outlineLevelCol="6"/>
  <cols>
    <col min="1" max="1" width="46.0083333333333" style="92" customWidth="1"/>
    <col min="2" max="2" width="9.125" style="93" customWidth="1"/>
    <col min="3" max="5" width="17.1" style="93" customWidth="1"/>
    <col min="6" max="6" width="17.1" style="94" customWidth="1"/>
    <col min="7" max="7" width="9" style="92" customWidth="1"/>
    <col min="8" max="16384" width="9" style="93"/>
  </cols>
  <sheetData>
    <row r="1" s="90" customFormat="1" ht="30" customHeight="1" spans="1:7">
      <c r="A1" s="95" t="s">
        <v>234</v>
      </c>
      <c r="B1" s="95"/>
      <c r="C1" s="95"/>
      <c r="D1" s="95"/>
      <c r="E1" s="95"/>
      <c r="F1" s="95"/>
      <c r="G1" s="96"/>
    </row>
    <row r="2" s="91" customFormat="1" ht="18" customHeight="1" spans="1:7">
      <c r="A2" s="97" t="s">
        <v>235</v>
      </c>
      <c r="B2" s="97"/>
      <c r="C2" s="97"/>
      <c r="D2" s="97"/>
      <c r="E2" s="97"/>
      <c r="F2" s="97"/>
      <c r="G2" s="98"/>
    </row>
    <row r="3" s="91" customFormat="1" ht="18" customHeight="1" spans="1:7">
      <c r="A3" s="99" t="s">
        <v>236</v>
      </c>
      <c r="B3" s="99"/>
      <c r="C3" s="99"/>
      <c r="D3" s="99"/>
      <c r="E3" s="99"/>
      <c r="F3" s="100" t="s">
        <v>3</v>
      </c>
      <c r="G3" s="98"/>
    </row>
    <row r="4" s="91" customFormat="1" ht="15.6" spans="1:7">
      <c r="A4" s="101" t="s">
        <v>4</v>
      </c>
      <c r="B4" s="102" t="s">
        <v>5</v>
      </c>
      <c r="C4" s="103" t="s">
        <v>147</v>
      </c>
      <c r="D4" s="103"/>
      <c r="E4" s="103" t="s">
        <v>148</v>
      </c>
      <c r="F4" s="104"/>
      <c r="G4" s="98"/>
    </row>
    <row r="5" s="91" customFormat="1" ht="15.6" spans="1:7">
      <c r="A5" s="105"/>
      <c r="B5" s="102"/>
      <c r="C5" s="106" t="s">
        <v>8</v>
      </c>
      <c r="D5" s="102" t="s">
        <v>9</v>
      </c>
      <c r="E5" s="102" t="s">
        <v>8</v>
      </c>
      <c r="F5" s="106" t="s">
        <v>9</v>
      </c>
      <c r="G5" s="98"/>
    </row>
    <row r="6" s="91" customFormat="1" ht="15.6" spans="1:7">
      <c r="A6" s="107" t="s">
        <v>237</v>
      </c>
      <c r="B6" s="108"/>
      <c r="C6" s="109"/>
      <c r="D6" s="110"/>
      <c r="E6" s="110"/>
      <c r="F6" s="109"/>
      <c r="G6" s="98"/>
    </row>
    <row r="7" s="91" customFormat="1" ht="15.6" spans="1:7">
      <c r="A7" s="92" t="s">
        <v>238</v>
      </c>
      <c r="B7" s="108"/>
      <c r="C7" s="111"/>
      <c r="D7" s="111"/>
      <c r="E7" s="111"/>
      <c r="F7" s="112"/>
      <c r="G7" s="98"/>
    </row>
    <row r="8" s="91" customFormat="1" ht="15.6" spans="1:7">
      <c r="A8" s="92" t="s">
        <v>239</v>
      </c>
      <c r="B8" s="108"/>
      <c r="C8" s="111"/>
      <c r="D8" s="111"/>
      <c r="E8" s="111"/>
      <c r="F8" s="112"/>
      <c r="G8" s="98"/>
    </row>
    <row r="9" s="91" customFormat="1" ht="15.6" spans="1:7">
      <c r="A9" s="92" t="s">
        <v>240</v>
      </c>
      <c r="B9" s="108"/>
      <c r="C9" s="111"/>
      <c r="D9" s="111"/>
      <c r="E9" s="111"/>
      <c r="F9" s="112"/>
      <c r="G9" s="98"/>
    </row>
    <row r="10" s="91" customFormat="1" ht="15.6" spans="1:7">
      <c r="A10" s="92" t="s">
        <v>241</v>
      </c>
      <c r="B10" s="108"/>
      <c r="C10" s="111"/>
      <c r="D10" s="111"/>
      <c r="E10" s="111"/>
      <c r="F10" s="112"/>
      <c r="G10" s="98"/>
    </row>
    <row r="11" s="91" customFormat="1" ht="15.6" spans="1:7">
      <c r="A11" s="92" t="s">
        <v>242</v>
      </c>
      <c r="B11" s="108"/>
      <c r="C11" s="111"/>
      <c r="D11" s="111"/>
      <c r="E11" s="111"/>
      <c r="F11" s="112"/>
      <c r="G11" s="98"/>
    </row>
    <row r="12" s="91" customFormat="1" ht="15.6" spans="1:7">
      <c r="A12" s="92" t="s">
        <v>243</v>
      </c>
      <c r="B12" s="108"/>
      <c r="C12" s="111"/>
      <c r="D12" s="111"/>
      <c r="E12" s="111"/>
      <c r="F12" s="112"/>
      <c r="G12" s="98"/>
    </row>
    <row r="13" s="91" customFormat="1" ht="15.6" spans="1:7">
      <c r="A13" s="92" t="s">
        <v>244</v>
      </c>
      <c r="B13" s="108"/>
      <c r="C13" s="111"/>
      <c r="D13" s="111"/>
      <c r="E13" s="111"/>
      <c r="F13" s="112"/>
      <c r="G13" s="98"/>
    </row>
    <row r="14" s="91" customFormat="1" ht="15.6" spans="1:7">
      <c r="A14" s="92" t="s">
        <v>245</v>
      </c>
      <c r="B14" s="108"/>
      <c r="C14" s="111"/>
      <c r="D14" s="111"/>
      <c r="E14" s="111"/>
      <c r="F14" s="112"/>
      <c r="G14" s="98"/>
    </row>
    <row r="15" s="91" customFormat="1" ht="15.6" spans="1:7">
      <c r="A15" s="92" t="s">
        <v>246</v>
      </c>
      <c r="B15" s="108"/>
      <c r="C15" s="111"/>
      <c r="D15" s="111"/>
      <c r="E15" s="111"/>
      <c r="F15" s="112"/>
      <c r="G15" s="98"/>
    </row>
    <row r="16" s="91" customFormat="1" ht="35" customHeight="1" spans="1:7">
      <c r="A16" s="113" t="s">
        <v>247</v>
      </c>
      <c r="B16" s="108"/>
      <c r="C16" s="111"/>
      <c r="D16" s="111"/>
      <c r="E16" s="111"/>
      <c r="F16" s="112"/>
      <c r="G16" s="98"/>
    </row>
    <row r="17" s="91" customFormat="1" ht="15.6" spans="1:7">
      <c r="A17" s="92" t="s">
        <v>248</v>
      </c>
      <c r="B17" s="108"/>
      <c r="C17" s="111"/>
      <c r="D17" s="111"/>
      <c r="E17" s="111"/>
      <c r="F17" s="112"/>
      <c r="G17" s="98"/>
    </row>
    <row r="18" s="91" customFormat="1" ht="15.6" spans="1:7">
      <c r="A18" s="92" t="s">
        <v>249</v>
      </c>
      <c r="B18" s="108"/>
      <c r="C18" s="111"/>
      <c r="D18" s="111"/>
      <c r="E18" s="111"/>
      <c r="F18" s="112"/>
      <c r="G18" s="98"/>
    </row>
    <row r="19" s="91" customFormat="1" ht="15.6" spans="1:7">
      <c r="A19" s="92" t="s">
        <v>250</v>
      </c>
      <c r="B19" s="108"/>
      <c r="C19" s="111"/>
      <c r="D19" s="111"/>
      <c r="E19" s="111"/>
      <c r="F19" s="112"/>
      <c r="G19" s="98"/>
    </row>
    <row r="20" s="91" customFormat="1" ht="15.6" spans="1:7">
      <c r="A20" s="114" t="s">
        <v>251</v>
      </c>
      <c r="B20" s="108"/>
      <c r="C20" s="111"/>
      <c r="D20" s="111"/>
      <c r="E20" s="111"/>
      <c r="F20" s="112"/>
      <c r="G20" s="98"/>
    </row>
    <row r="21" s="91" customFormat="1" ht="15.6" spans="1:7">
      <c r="A21" s="92" t="s">
        <v>252</v>
      </c>
      <c r="B21" s="108"/>
      <c r="C21" s="111"/>
      <c r="D21" s="111"/>
      <c r="E21" s="111"/>
      <c r="F21" s="112"/>
      <c r="G21" s="98" t="s">
        <v>253</v>
      </c>
    </row>
    <row r="22" s="91" customFormat="1" ht="15.6" spans="1:7">
      <c r="A22" s="92" t="s">
        <v>254</v>
      </c>
      <c r="B22" s="108"/>
      <c r="C22" s="111"/>
      <c r="D22" s="111"/>
      <c r="E22" s="111"/>
      <c r="F22" s="112"/>
      <c r="G22" s="33" t="s">
        <v>255</v>
      </c>
    </row>
    <row r="23" s="91" customFormat="1" ht="15.6" spans="1:7">
      <c r="A23" s="115" t="s">
        <v>256</v>
      </c>
      <c r="B23" s="108"/>
      <c r="C23" s="116">
        <f>SUM(C7:C22)</f>
        <v>0</v>
      </c>
      <c r="D23" s="116">
        <f>SUM(D7:D22)</f>
        <v>0</v>
      </c>
      <c r="E23" s="116">
        <f>SUM(E7:E22)</f>
        <v>0</v>
      </c>
      <c r="F23" s="117">
        <f>SUM(F7:F22)</f>
        <v>0</v>
      </c>
      <c r="G23" s="98"/>
    </row>
    <row r="24" s="91" customFormat="1" ht="15.6" spans="1:7">
      <c r="A24" s="92" t="s">
        <v>257</v>
      </c>
      <c r="B24" s="108"/>
      <c r="C24" s="111"/>
      <c r="D24" s="111"/>
      <c r="E24" s="111"/>
      <c r="F24" s="112"/>
      <c r="G24" s="98"/>
    </row>
    <row r="25" s="91" customFormat="1" ht="15.6" spans="1:7">
      <c r="A25" s="92" t="s">
        <v>258</v>
      </c>
      <c r="B25" s="108"/>
      <c r="C25" s="111"/>
      <c r="D25" s="111"/>
      <c r="E25" s="111"/>
      <c r="F25" s="112"/>
      <c r="G25" s="98"/>
    </row>
    <row r="26" s="91" customFormat="1" ht="15.6" spans="1:7">
      <c r="A26" s="92" t="s">
        <v>259</v>
      </c>
      <c r="B26" s="108"/>
      <c r="C26" s="111"/>
      <c r="D26" s="111"/>
      <c r="E26" s="111"/>
      <c r="F26" s="112"/>
      <c r="G26" s="98"/>
    </row>
    <row r="27" s="91" customFormat="1" ht="15.6" spans="1:7">
      <c r="A27" s="92" t="s">
        <v>260</v>
      </c>
      <c r="B27" s="108"/>
      <c r="C27" s="111"/>
      <c r="D27" s="111"/>
      <c r="E27" s="111"/>
      <c r="F27" s="112"/>
      <c r="G27" s="98"/>
    </row>
    <row r="28" s="91" customFormat="1" ht="15.6" spans="1:7">
      <c r="A28" s="114" t="s">
        <v>261</v>
      </c>
      <c r="B28" s="108"/>
      <c r="C28" s="111"/>
      <c r="D28" s="111"/>
      <c r="E28" s="111"/>
      <c r="F28" s="112"/>
      <c r="G28" s="98"/>
    </row>
    <row r="29" s="91" customFormat="1" ht="15.6" spans="1:7">
      <c r="A29" s="92" t="s">
        <v>262</v>
      </c>
      <c r="B29" s="108"/>
      <c r="C29" s="111"/>
      <c r="D29" s="111"/>
      <c r="E29" s="111"/>
      <c r="F29" s="112"/>
      <c r="G29" s="98"/>
    </row>
    <row r="30" s="91" customFormat="1" ht="15.6" spans="1:7">
      <c r="A30" s="92" t="s">
        <v>263</v>
      </c>
      <c r="B30" s="108"/>
      <c r="C30" s="111"/>
      <c r="D30" s="111"/>
      <c r="E30" s="111"/>
      <c r="F30" s="112"/>
      <c r="G30" s="98"/>
    </row>
    <row r="31" s="91" customFormat="1" ht="15.6" spans="1:7">
      <c r="A31" s="114" t="s">
        <v>264</v>
      </c>
      <c r="B31" s="108"/>
      <c r="C31" s="111"/>
      <c r="D31" s="111"/>
      <c r="E31" s="111"/>
      <c r="F31" s="112"/>
      <c r="G31" s="98"/>
    </row>
    <row r="32" s="91" customFormat="1" ht="15.6" spans="1:7">
      <c r="A32" s="92" t="s">
        <v>265</v>
      </c>
      <c r="B32" s="108"/>
      <c r="C32" s="111"/>
      <c r="D32" s="111"/>
      <c r="E32" s="111"/>
      <c r="F32" s="112"/>
      <c r="G32" s="98"/>
    </row>
    <row r="33" s="91" customFormat="1" ht="15.6" spans="1:7">
      <c r="A33" s="92" t="s">
        <v>266</v>
      </c>
      <c r="B33" s="108"/>
      <c r="C33" s="111"/>
      <c r="D33" s="111"/>
      <c r="E33" s="111"/>
      <c r="F33" s="112"/>
      <c r="G33" s="98"/>
    </row>
    <row r="34" s="91" customFormat="1" ht="15.6" spans="1:7">
      <c r="A34" s="114" t="s">
        <v>267</v>
      </c>
      <c r="B34" s="108"/>
      <c r="C34" s="111"/>
      <c r="D34" s="111"/>
      <c r="E34" s="111"/>
      <c r="F34" s="112"/>
      <c r="G34" s="33" t="s">
        <v>268</v>
      </c>
    </row>
    <row r="35" s="91" customFormat="1" ht="15.6" spans="1:7">
      <c r="A35" s="92" t="s">
        <v>269</v>
      </c>
      <c r="B35" s="108"/>
      <c r="C35" s="111"/>
      <c r="D35" s="111"/>
      <c r="E35" s="111"/>
      <c r="F35" s="112"/>
      <c r="G35" s="98" t="s">
        <v>270</v>
      </c>
    </row>
    <row r="36" s="91" customFormat="1" ht="15.6" spans="1:7">
      <c r="A36" s="92" t="s">
        <v>271</v>
      </c>
      <c r="B36" s="108"/>
      <c r="C36" s="111"/>
      <c r="D36" s="111"/>
      <c r="E36" s="111"/>
      <c r="F36" s="112"/>
      <c r="G36" s="33" t="s">
        <v>272</v>
      </c>
    </row>
    <row r="37" s="91" customFormat="1" ht="15.6" spans="1:7">
      <c r="A37" s="115" t="s">
        <v>273</v>
      </c>
      <c r="B37" s="108"/>
      <c r="C37" s="116">
        <f>SUM(C24:C36)</f>
        <v>0</v>
      </c>
      <c r="D37" s="116">
        <f>SUM(D24:D36)</f>
        <v>0</v>
      </c>
      <c r="E37" s="116">
        <f>SUM(E24:E36)</f>
        <v>0</v>
      </c>
      <c r="F37" s="117">
        <f>SUM(F24:F36)</f>
        <v>0</v>
      </c>
      <c r="G37" s="98"/>
    </row>
    <row r="38" s="91" customFormat="1" ht="15.6" spans="1:7">
      <c r="A38" s="107" t="s">
        <v>274</v>
      </c>
      <c r="B38" s="108"/>
      <c r="C38" s="116">
        <f>C23-C37</f>
        <v>0</v>
      </c>
      <c r="D38" s="116">
        <f>D23-D37</f>
        <v>0</v>
      </c>
      <c r="E38" s="116">
        <f>E23-E37</f>
        <v>0</v>
      </c>
      <c r="F38" s="117">
        <f>F23-F37</f>
        <v>0</v>
      </c>
      <c r="G38" s="98"/>
    </row>
    <row r="39" s="91" customFormat="1" ht="15.6" spans="1:7">
      <c r="A39" s="107" t="s">
        <v>275</v>
      </c>
      <c r="B39" s="108"/>
      <c r="C39" s="118"/>
      <c r="D39" s="119"/>
      <c r="E39" s="119"/>
      <c r="F39" s="120"/>
      <c r="G39" s="98"/>
    </row>
    <row r="40" s="91" customFormat="1" ht="15.6" spans="1:7">
      <c r="A40" s="92" t="s">
        <v>276</v>
      </c>
      <c r="B40" s="108"/>
      <c r="C40" s="111"/>
      <c r="D40" s="111"/>
      <c r="E40" s="111"/>
      <c r="F40" s="112"/>
      <c r="G40" s="98"/>
    </row>
    <row r="41" s="91" customFormat="1" ht="15.6" spans="1:7">
      <c r="A41" s="92" t="s">
        <v>277</v>
      </c>
      <c r="B41" s="108"/>
      <c r="C41" s="111"/>
      <c r="D41" s="111"/>
      <c r="E41" s="111"/>
      <c r="F41" s="112"/>
      <c r="G41" s="98"/>
    </row>
    <row r="42" s="91" customFormat="1" ht="24" spans="1:7">
      <c r="A42" s="121" t="s">
        <v>278</v>
      </c>
      <c r="B42" s="108"/>
      <c r="C42" s="111"/>
      <c r="D42" s="111"/>
      <c r="E42" s="111"/>
      <c r="F42" s="112"/>
      <c r="G42" s="98"/>
    </row>
    <row r="43" s="91" customFormat="1" ht="15.6" spans="1:7">
      <c r="A43" s="114" t="s">
        <v>279</v>
      </c>
      <c r="B43" s="108"/>
      <c r="C43" s="111"/>
      <c r="D43" s="111"/>
      <c r="E43" s="111"/>
      <c r="F43" s="112"/>
      <c r="G43" s="98"/>
    </row>
    <row r="44" s="91" customFormat="1" ht="15.6" spans="1:7">
      <c r="A44" s="122" t="s">
        <v>280</v>
      </c>
      <c r="B44" s="108"/>
      <c r="C44" s="111"/>
      <c r="D44" s="111"/>
      <c r="E44" s="111"/>
      <c r="F44" s="112"/>
      <c r="G44" s="98"/>
    </row>
    <row r="45" s="91" customFormat="1" ht="15.6" spans="1:7">
      <c r="A45" s="123" t="s">
        <v>281</v>
      </c>
      <c r="B45" s="108"/>
      <c r="C45" s="116">
        <f>SUM(C40:C44)</f>
        <v>0</v>
      </c>
      <c r="D45" s="116">
        <f>SUM(D40:D44)</f>
        <v>0</v>
      </c>
      <c r="E45" s="116">
        <f>SUM(E40:E44)</f>
        <v>0</v>
      </c>
      <c r="F45" s="117">
        <f>SUM(F40:F44)</f>
        <v>0</v>
      </c>
      <c r="G45" s="98"/>
    </row>
    <row r="46" s="91" customFormat="1" ht="15.6" spans="1:7">
      <c r="A46" s="121" t="s">
        <v>282</v>
      </c>
      <c r="B46" s="108"/>
      <c r="C46" s="111"/>
      <c r="D46" s="111"/>
      <c r="E46" s="111"/>
      <c r="F46" s="112"/>
      <c r="G46" s="98"/>
    </row>
    <row r="47" s="91" customFormat="1" ht="15.6" spans="1:7">
      <c r="A47" s="92" t="s">
        <v>283</v>
      </c>
      <c r="B47" s="108"/>
      <c r="C47" s="111"/>
      <c r="D47" s="111"/>
      <c r="E47" s="111"/>
      <c r="F47" s="112"/>
      <c r="G47" s="98"/>
    </row>
    <row r="48" s="91" customFormat="1" ht="15.6" spans="1:7">
      <c r="A48" s="92" t="s">
        <v>284</v>
      </c>
      <c r="B48" s="108"/>
      <c r="C48" s="111"/>
      <c r="D48" s="111"/>
      <c r="E48" s="111"/>
      <c r="F48" s="112"/>
      <c r="G48" s="98"/>
    </row>
    <row r="49" s="91" customFormat="1" ht="15.6" spans="1:7">
      <c r="A49" s="92" t="s">
        <v>285</v>
      </c>
      <c r="B49" s="108"/>
      <c r="C49" s="111"/>
      <c r="D49" s="111"/>
      <c r="E49" s="111"/>
      <c r="F49" s="112"/>
      <c r="G49" s="98"/>
    </row>
    <row r="50" s="91" customFormat="1" ht="15.6" spans="1:7">
      <c r="A50" s="122" t="s">
        <v>286</v>
      </c>
      <c r="B50" s="108"/>
      <c r="C50" s="111"/>
      <c r="D50" s="111"/>
      <c r="E50" s="111"/>
      <c r="F50" s="112"/>
      <c r="G50" s="98"/>
    </row>
    <row r="51" s="91" customFormat="1" ht="15.6" spans="1:7">
      <c r="A51" s="123" t="s">
        <v>287</v>
      </c>
      <c r="B51" s="108"/>
      <c r="C51" s="116">
        <f>SUM(C46:C50)</f>
        <v>0</v>
      </c>
      <c r="D51" s="116">
        <f>SUM(D46:D50)</f>
        <v>0</v>
      </c>
      <c r="E51" s="116">
        <f>SUM(E46:E50)</f>
        <v>0</v>
      </c>
      <c r="F51" s="117">
        <f>SUM(F46:F50)</f>
        <v>0</v>
      </c>
      <c r="G51" s="98"/>
    </row>
    <row r="52" s="91" customFormat="1" ht="15.6" spans="1:7">
      <c r="A52" s="124" t="s">
        <v>288</v>
      </c>
      <c r="B52" s="108"/>
      <c r="C52" s="116">
        <f>C45-C51</f>
        <v>0</v>
      </c>
      <c r="D52" s="116">
        <f>D45-D51</f>
        <v>0</v>
      </c>
      <c r="E52" s="116">
        <f>E45-E51</f>
        <v>0</v>
      </c>
      <c r="F52" s="117">
        <f>F45-F51</f>
        <v>0</v>
      </c>
      <c r="G52" s="98"/>
    </row>
    <row r="53" s="91" customFormat="1" ht="15.6" spans="1:7">
      <c r="A53" s="124" t="s">
        <v>289</v>
      </c>
      <c r="B53" s="108"/>
      <c r="C53" s="118"/>
      <c r="D53" s="119"/>
      <c r="E53" s="119"/>
      <c r="F53" s="120"/>
      <c r="G53" s="98"/>
    </row>
    <row r="54" s="91" customFormat="1" ht="15.6" spans="1:7">
      <c r="A54" s="122" t="s">
        <v>290</v>
      </c>
      <c r="B54" s="108"/>
      <c r="C54" s="111"/>
      <c r="D54" s="111"/>
      <c r="E54" s="111"/>
      <c r="F54" s="112"/>
      <c r="G54" s="98"/>
    </row>
    <row r="55" s="91" customFormat="1" ht="15.6" spans="1:7">
      <c r="A55" s="92" t="s">
        <v>291</v>
      </c>
      <c r="B55" s="108"/>
      <c r="C55" s="111"/>
      <c r="D55" s="111"/>
      <c r="E55" s="111"/>
      <c r="F55" s="112"/>
      <c r="G55" s="98"/>
    </row>
    <row r="56" s="91" customFormat="1" ht="15.6" spans="1:7">
      <c r="A56" s="122" t="s">
        <v>292</v>
      </c>
      <c r="B56" s="108"/>
      <c r="C56" s="111"/>
      <c r="D56" s="111"/>
      <c r="E56" s="111"/>
      <c r="F56" s="112"/>
      <c r="G56" s="98"/>
    </row>
    <row r="57" s="91" customFormat="1" ht="15.6" spans="1:7">
      <c r="A57" s="122" t="s">
        <v>293</v>
      </c>
      <c r="B57" s="108"/>
      <c r="C57" s="111"/>
      <c r="D57" s="111"/>
      <c r="E57" s="111"/>
      <c r="F57" s="112"/>
      <c r="G57" s="98"/>
    </row>
    <row r="58" s="91" customFormat="1" ht="15.6" spans="1:7">
      <c r="A58" s="123" t="s">
        <v>294</v>
      </c>
      <c r="B58" s="108"/>
      <c r="C58" s="116">
        <f>SUM(C54:C57)-C55</f>
        <v>0</v>
      </c>
      <c r="D58" s="116">
        <f>SUM(D54:D57)-D55</f>
        <v>0</v>
      </c>
      <c r="E58" s="116">
        <f>SUM(E54:E57)-E55</f>
        <v>0</v>
      </c>
      <c r="F58" s="117">
        <f>SUM(F54:F57)-F55</f>
        <v>0</v>
      </c>
      <c r="G58" s="98"/>
    </row>
    <row r="59" s="91" customFormat="1" ht="15.6" spans="1:7">
      <c r="A59" s="122" t="s">
        <v>295</v>
      </c>
      <c r="B59" s="108"/>
      <c r="C59" s="111"/>
      <c r="D59" s="111"/>
      <c r="E59" s="111"/>
      <c r="F59" s="112"/>
      <c r="G59" s="98"/>
    </row>
    <row r="60" s="91" customFormat="1" ht="15.6" spans="1:7">
      <c r="A60" s="122" t="s">
        <v>296</v>
      </c>
      <c r="B60" s="108"/>
      <c r="C60" s="111"/>
      <c r="D60" s="111"/>
      <c r="E60" s="111"/>
      <c r="F60" s="112"/>
      <c r="G60" s="98"/>
    </row>
    <row r="61" s="91" customFormat="1" ht="15.6" spans="1:7">
      <c r="A61" s="92" t="s">
        <v>297</v>
      </c>
      <c r="B61" s="108"/>
      <c r="C61" s="111"/>
      <c r="D61" s="111"/>
      <c r="E61" s="111"/>
      <c r="F61" s="112"/>
      <c r="G61" s="98"/>
    </row>
    <row r="62" s="91" customFormat="1" ht="15.6" spans="1:7">
      <c r="A62" s="122" t="s">
        <v>298</v>
      </c>
      <c r="B62" s="108"/>
      <c r="C62" s="111"/>
      <c r="D62" s="111"/>
      <c r="E62" s="111"/>
      <c r="F62" s="112"/>
      <c r="G62" s="98"/>
    </row>
    <row r="63" s="91" customFormat="1" ht="15.6" spans="1:7">
      <c r="A63" s="123" t="s">
        <v>299</v>
      </c>
      <c r="B63" s="108"/>
      <c r="C63" s="116">
        <f>SUM(C59:C62)-C61</f>
        <v>0</v>
      </c>
      <c r="D63" s="116">
        <f>SUM(D59:D62)-D61</f>
        <v>0</v>
      </c>
      <c r="E63" s="116">
        <f>SUM(E59:E62)-E61</f>
        <v>0</v>
      </c>
      <c r="F63" s="117">
        <f>SUM(F59:F62)-F61</f>
        <v>0</v>
      </c>
      <c r="G63" s="98"/>
    </row>
    <row r="64" s="91" customFormat="1" ht="15.6" spans="1:7">
      <c r="A64" s="124" t="s">
        <v>300</v>
      </c>
      <c r="B64" s="108"/>
      <c r="C64" s="116">
        <f>C58-C63</f>
        <v>0</v>
      </c>
      <c r="D64" s="116">
        <f>D58-D63</f>
        <v>0</v>
      </c>
      <c r="E64" s="116">
        <f>E58-E63</f>
        <v>0</v>
      </c>
      <c r="F64" s="117">
        <f>F58-F63</f>
        <v>0</v>
      </c>
      <c r="G64" s="98"/>
    </row>
    <row r="65" s="91" customFormat="1" ht="15.6" spans="1:7">
      <c r="A65" s="124" t="s">
        <v>301</v>
      </c>
      <c r="B65" s="108"/>
      <c r="C65" s="116"/>
      <c r="D65" s="116"/>
      <c r="E65" s="116"/>
      <c r="F65" s="117"/>
      <c r="G65" s="98"/>
    </row>
    <row r="66" s="91" customFormat="1" ht="15.6" spans="1:7">
      <c r="A66" s="124" t="s">
        <v>302</v>
      </c>
      <c r="B66" s="108"/>
      <c r="C66" s="116">
        <f>C38+C52+C64+C65</f>
        <v>0</v>
      </c>
      <c r="D66" s="116">
        <f>D38+D52+D64+D65</f>
        <v>0</v>
      </c>
      <c r="E66" s="116">
        <f>E38+E52+E64+E65</f>
        <v>0</v>
      </c>
      <c r="F66" s="117">
        <f>F38+F52+F64+F65</f>
        <v>0</v>
      </c>
      <c r="G66" s="98"/>
    </row>
    <row r="67" s="91" customFormat="1" ht="15.6" spans="1:7">
      <c r="A67" s="122" t="s">
        <v>303</v>
      </c>
      <c r="B67" s="108"/>
      <c r="C67" s="111"/>
      <c r="D67" s="111"/>
      <c r="E67" s="111"/>
      <c r="F67" s="112"/>
      <c r="G67" s="98"/>
    </row>
    <row r="68" s="91" customFormat="1" ht="15.6" spans="1:7">
      <c r="A68" s="125" t="s">
        <v>304</v>
      </c>
      <c r="B68" s="126"/>
      <c r="C68" s="127">
        <f>C66+C67</f>
        <v>0</v>
      </c>
      <c r="D68" s="127">
        <f>D66+D67</f>
        <v>0</v>
      </c>
      <c r="E68" s="127">
        <f>E66+E67</f>
        <v>0</v>
      </c>
      <c r="F68" s="128">
        <f>F66+F67</f>
        <v>0</v>
      </c>
      <c r="G68" s="98"/>
    </row>
    <row r="69" s="91" customFormat="1" ht="15.6" spans="1:7">
      <c r="A69" s="98"/>
      <c r="F69" s="129"/>
      <c r="G69" s="98"/>
    </row>
    <row r="70" s="91" customFormat="1" ht="15.6" spans="1:7">
      <c r="A70" s="130" t="s">
        <v>144</v>
      </c>
      <c r="F70" s="129"/>
      <c r="G70" s="98"/>
    </row>
    <row r="71" s="91" customFormat="1" ht="18" customHeight="1" spans="1:7">
      <c r="A71" s="98"/>
      <c r="F71" s="129"/>
      <c r="G71" s="98"/>
    </row>
    <row r="72" ht="18" customHeight="1"/>
    <row r="73" ht="18" customHeight="1"/>
    <row r="74" ht="18" customHeight="1" spans="1:7">
      <c r="A74" s="131" t="s">
        <v>305</v>
      </c>
      <c r="B74" s="132"/>
      <c r="C74" s="132"/>
      <c r="D74" s="132"/>
    </row>
  </sheetData>
  <mergeCells count="9">
    <mergeCell ref="A1:F1"/>
    <mergeCell ref="A2:F2"/>
    <mergeCell ref="A3:B3"/>
    <mergeCell ref="D3:E3"/>
    <mergeCell ref="C4:D4"/>
    <mergeCell ref="E4:F4"/>
    <mergeCell ref="A74:D74"/>
    <mergeCell ref="A4:A5"/>
    <mergeCell ref="B4:B5"/>
  </mergeCells>
  <conditionalFormatting sqref="C$1:F$1048576">
    <cfRule type="cellIs" dxfId="0" priority="1" operator="equal">
      <formula>0</formula>
    </cfRule>
  </conditionalFormatting>
  <printOptions horizontalCentered="1"/>
  <pageMargins left="0.66875" right="0.472222222222222" top="0.747916666666667" bottom="0.472222222222222" header="0.511811023622047" footer="0.196527777777778"/>
  <pageSetup paperSize="9" scale="69" firstPageNumber="4" orientation="portrait" useFirstPageNumber="1"/>
  <headerFooter alignWithMargins="0">
    <oddFooter>&amp;C&amp;"Arial Narrow,常规"&amp;P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D49"/>
  <sheetViews>
    <sheetView showGridLines="0" view="pageBreakPreview" zoomScaleNormal="100" workbookViewId="0">
      <pane xSplit="2" ySplit="8" topLeftCell="C9" activePane="bottomRight" state="frozen"/>
      <selection/>
      <selection pane="topRight"/>
      <selection pane="bottomLeft"/>
      <selection pane="bottomRight" activeCell="I8" sqref="I8"/>
    </sheetView>
  </sheetViews>
  <sheetFormatPr defaultColWidth="9" defaultRowHeight="12"/>
  <cols>
    <col min="1" max="1" width="42.2" style="34" customWidth="1"/>
    <col min="2" max="2" width="4.7" style="37" customWidth="1"/>
    <col min="3" max="3" width="14.7" style="37" customWidth="1"/>
    <col min="4" max="4" width="7.5" style="37" customWidth="1"/>
    <col min="5" max="5" width="14.7" style="37" customWidth="1"/>
    <col min="6" max="6" width="5.2" style="37" customWidth="1"/>
    <col min="7" max="7" width="14.4" style="37" customWidth="1"/>
    <col min="8" max="8" width="5.2" style="37" customWidth="1"/>
    <col min="9" max="9" width="13.7" style="37" customWidth="1"/>
    <col min="10" max="11" width="12.3" style="37" customWidth="1"/>
    <col min="12" max="12" width="6.6" style="37" customWidth="1"/>
    <col min="13" max="13" width="12.3" style="37" customWidth="1"/>
    <col min="14" max="14" width="14.4" style="37" customWidth="1"/>
    <col min="15" max="15" width="13.9" style="37" customWidth="1"/>
    <col min="16" max="16" width="14.9" style="37" customWidth="1"/>
    <col min="17" max="17" width="13.9" style="37" customWidth="1"/>
    <col min="18" max="18" width="7.2" style="37" customWidth="1"/>
    <col min="19" max="19" width="15.4" style="37" customWidth="1"/>
    <col min="20" max="20" width="5.4" style="37" customWidth="1"/>
    <col min="21" max="21" width="14.3" style="37" customWidth="1"/>
    <col min="22" max="22" width="7.1" style="37" customWidth="1"/>
    <col min="23" max="25" width="11.7" style="37" customWidth="1"/>
    <col min="26" max="26" width="7.3" style="37" customWidth="1"/>
    <col min="27" max="27" width="13.4" style="37" customWidth="1"/>
    <col min="28" max="28" width="14.8" style="37" customWidth="1"/>
    <col min="29" max="29" width="14.4" style="37" customWidth="1"/>
    <col min="30" max="30" width="14.9" style="37" customWidth="1"/>
    <col min="31" max="16384" width="9" style="37" customWidth="1"/>
  </cols>
  <sheetData>
    <row r="1" s="34" customFormat="1" ht="30" customHeight="1" spans="1:30">
      <c r="B1" s="38"/>
      <c r="C1" s="38"/>
      <c r="D1" s="38"/>
      <c r="E1" s="38"/>
      <c r="F1" s="38" t="s">
        <v>306</v>
      </c>
      <c r="G1" s="38"/>
      <c r="H1" s="38"/>
      <c r="I1" s="38"/>
      <c r="J1" s="38"/>
      <c r="K1" s="38"/>
      <c r="L1" s="38"/>
      <c r="M1" s="38"/>
      <c r="N1" s="38"/>
      <c r="O1" s="38"/>
      <c r="P1" s="38"/>
      <c r="Q1" s="38"/>
      <c r="R1" s="38"/>
      <c r="S1" s="38"/>
      <c r="T1" s="38" t="s">
        <v>307</v>
      </c>
      <c r="U1" s="38"/>
      <c r="V1" s="38"/>
      <c r="W1" s="38"/>
      <c r="X1" s="38"/>
      <c r="Y1" s="38"/>
      <c r="Z1" s="38"/>
      <c r="AA1" s="38"/>
      <c r="AB1" s="38"/>
      <c r="AC1" s="38"/>
      <c r="AD1" s="38"/>
    </row>
    <row r="2" s="34" customFormat="1" ht="18" customHeight="1" spans="1:30">
      <c r="B2" s="39"/>
      <c r="C2" s="39"/>
      <c r="D2" s="39"/>
      <c r="E2" s="39"/>
      <c r="F2" s="39"/>
      <c r="G2" s="39"/>
      <c r="H2" s="39"/>
      <c r="I2" s="39"/>
      <c r="J2" s="39"/>
      <c r="K2" s="39"/>
      <c r="L2" s="39"/>
      <c r="M2" s="39"/>
      <c r="N2" s="39"/>
      <c r="O2" s="39"/>
      <c r="P2" s="39"/>
      <c r="R2" s="39"/>
      <c r="S2" s="39"/>
      <c r="T2" s="39"/>
      <c r="W2" s="39"/>
      <c r="AD2" s="39"/>
    </row>
    <row r="3" s="35" customFormat="1" ht="18" customHeight="1" spans="1:30">
      <c r="A3" s="40" t="s">
        <v>2</v>
      </c>
      <c r="B3" s="40"/>
      <c r="C3" s="40"/>
      <c r="D3" s="40"/>
      <c r="E3" s="40"/>
      <c r="F3" s="40"/>
      <c r="G3" s="40" t="s">
        <v>146</v>
      </c>
      <c r="H3" s="35"/>
      <c r="I3" s="35"/>
      <c r="J3" s="35"/>
      <c r="K3" s="35"/>
      <c r="P3" s="87" t="s">
        <v>3</v>
      </c>
      <c r="Q3" s="35"/>
      <c r="R3" s="40"/>
      <c r="S3" s="40"/>
      <c r="T3" s="40"/>
      <c r="U3" s="35" t="s">
        <v>308</v>
      </c>
      <c r="AD3" s="87" t="s">
        <v>3</v>
      </c>
    </row>
    <row r="4" s="34" customFormat="1" ht="18" customHeight="1" spans="1:30">
      <c r="A4" s="45" t="s">
        <v>4</v>
      </c>
      <c r="B4" s="46" t="s">
        <v>309</v>
      </c>
      <c r="C4" s="47" t="s">
        <v>310</v>
      </c>
      <c r="D4" s="48"/>
      <c r="E4" s="48"/>
      <c r="F4" s="48"/>
      <c r="G4" s="48"/>
      <c r="H4" s="48"/>
      <c r="I4" s="48"/>
      <c r="J4" s="48"/>
      <c r="K4" s="48"/>
      <c r="L4" s="48"/>
      <c r="M4" s="48"/>
      <c r="N4" s="48"/>
      <c r="O4" s="48"/>
      <c r="P4" s="49"/>
      <c r="Q4" s="50" t="s">
        <v>311</v>
      </c>
      <c r="R4" s="48"/>
      <c r="S4" s="48"/>
      <c r="T4" s="48"/>
      <c r="U4" s="48"/>
      <c r="V4" s="48"/>
      <c r="W4" s="48"/>
      <c r="X4" s="48"/>
      <c r="Y4" s="48"/>
      <c r="Z4" s="48"/>
      <c r="AA4" s="48"/>
      <c r="AB4" s="48"/>
      <c r="AC4" s="48"/>
      <c r="AD4" s="49"/>
    </row>
    <row r="5" s="86" customFormat="1" ht="15" customHeight="1" spans="1:30">
      <c r="A5" s="51"/>
      <c r="B5" s="52"/>
      <c r="C5" s="47" t="s">
        <v>312</v>
      </c>
      <c r="D5" s="48"/>
      <c r="E5" s="48"/>
      <c r="F5" s="48"/>
      <c r="G5" s="48"/>
      <c r="H5" s="48"/>
      <c r="I5" s="48"/>
      <c r="J5" s="48"/>
      <c r="K5" s="48"/>
      <c r="L5" s="48"/>
      <c r="M5" s="48"/>
      <c r="N5" s="49"/>
      <c r="O5" s="46" t="s">
        <v>313</v>
      </c>
      <c r="P5" s="53" t="s">
        <v>314</v>
      </c>
      <c r="Q5" s="50" t="s">
        <v>312</v>
      </c>
      <c r="R5" s="48"/>
      <c r="S5" s="48"/>
      <c r="T5" s="48"/>
      <c r="U5" s="48"/>
      <c r="V5" s="48"/>
      <c r="W5" s="48"/>
      <c r="X5" s="48"/>
      <c r="Y5" s="48"/>
      <c r="Z5" s="48"/>
      <c r="AA5" s="48"/>
      <c r="AB5" s="49"/>
      <c r="AC5" s="46" t="s">
        <v>313</v>
      </c>
      <c r="AD5" s="53" t="s">
        <v>314</v>
      </c>
    </row>
    <row r="6" s="34" customFormat="1" ht="33.75" customHeight="1" spans="1:30">
      <c r="A6" s="51"/>
      <c r="B6" s="52"/>
      <c r="C6" s="46" t="s">
        <v>315</v>
      </c>
      <c r="D6" s="46" t="s">
        <v>316</v>
      </c>
      <c r="E6" s="48"/>
      <c r="F6" s="49"/>
      <c r="G6" s="46" t="s">
        <v>317</v>
      </c>
      <c r="H6" s="46" t="s">
        <v>318</v>
      </c>
      <c r="I6" s="46" t="s">
        <v>319</v>
      </c>
      <c r="J6" s="46" t="s">
        <v>320</v>
      </c>
      <c r="K6" s="46" t="s">
        <v>321</v>
      </c>
      <c r="L6" s="46" t="s">
        <v>322</v>
      </c>
      <c r="M6" s="46" t="s">
        <v>323</v>
      </c>
      <c r="N6" s="46" t="s">
        <v>324</v>
      </c>
      <c r="O6" s="52"/>
      <c r="P6" s="88"/>
      <c r="Q6" s="45" t="s">
        <v>315</v>
      </c>
      <c r="R6" s="46" t="s">
        <v>316</v>
      </c>
      <c r="S6" s="48"/>
      <c r="T6" s="49"/>
      <c r="U6" s="46" t="s">
        <v>317</v>
      </c>
      <c r="V6" s="46" t="s">
        <v>318</v>
      </c>
      <c r="W6" s="46" t="s">
        <v>319</v>
      </c>
      <c r="X6" s="46" t="s">
        <v>320</v>
      </c>
      <c r="Y6" s="46" t="s">
        <v>321</v>
      </c>
      <c r="Z6" s="46" t="s">
        <v>322</v>
      </c>
      <c r="AA6" s="46" t="s">
        <v>323</v>
      </c>
      <c r="AB6" s="46" t="s">
        <v>324</v>
      </c>
      <c r="AC6" s="52"/>
      <c r="AD6" s="88"/>
    </row>
    <row r="7" s="34" customFormat="1" ht="27" customHeight="1" spans="1:30">
      <c r="A7" s="57"/>
      <c r="B7" s="58"/>
      <c r="C7" s="58"/>
      <c r="D7" s="46" t="s">
        <v>325</v>
      </c>
      <c r="E7" s="46" t="s">
        <v>326</v>
      </c>
      <c r="F7" s="46" t="s">
        <v>327</v>
      </c>
      <c r="G7" s="58"/>
      <c r="H7" s="58"/>
      <c r="I7" s="58"/>
      <c r="J7" s="58"/>
      <c r="K7" s="58"/>
      <c r="L7" s="58"/>
      <c r="M7" s="58"/>
      <c r="N7" s="58"/>
      <c r="O7" s="58"/>
      <c r="P7" s="59"/>
      <c r="Q7" s="57"/>
      <c r="R7" s="46" t="s">
        <v>325</v>
      </c>
      <c r="S7" s="46" t="s">
        <v>326</v>
      </c>
      <c r="T7" s="46" t="s">
        <v>327</v>
      </c>
      <c r="U7" s="58"/>
      <c r="V7" s="58"/>
      <c r="W7" s="58"/>
      <c r="X7" s="58"/>
      <c r="Y7" s="58"/>
      <c r="Z7" s="58"/>
      <c r="AA7" s="58"/>
      <c r="AB7" s="58"/>
      <c r="AC7" s="58"/>
      <c r="AD7" s="59"/>
    </row>
    <row r="8" s="34" customFormat="1" ht="15" customHeight="1" spans="1:30">
      <c r="A8" s="50" t="s">
        <v>328</v>
      </c>
      <c r="B8" s="60" t="s">
        <v>329</v>
      </c>
      <c r="C8" s="60">
        <v>1</v>
      </c>
      <c r="D8" s="60">
        <v>2</v>
      </c>
      <c r="E8" s="60">
        <v>3</v>
      </c>
      <c r="F8" s="60">
        <v>4</v>
      </c>
      <c r="G8" s="60">
        <v>5</v>
      </c>
      <c r="H8" s="60">
        <v>6</v>
      </c>
      <c r="I8" s="60">
        <v>7</v>
      </c>
      <c r="J8" s="60">
        <v>8</v>
      </c>
      <c r="K8" s="60">
        <v>9</v>
      </c>
      <c r="L8" s="60">
        <v>10</v>
      </c>
      <c r="M8" s="60">
        <v>11</v>
      </c>
      <c r="N8" s="60">
        <v>12</v>
      </c>
      <c r="O8" s="60">
        <v>13</v>
      </c>
      <c r="P8" s="61">
        <v>14</v>
      </c>
      <c r="Q8" s="62">
        <v>15</v>
      </c>
      <c r="R8" s="60">
        <v>16</v>
      </c>
      <c r="S8" s="60">
        <v>17</v>
      </c>
      <c r="T8" s="60">
        <v>18</v>
      </c>
      <c r="U8" s="60">
        <v>19</v>
      </c>
      <c r="V8" s="60">
        <v>20</v>
      </c>
      <c r="W8" s="60">
        <v>21</v>
      </c>
      <c r="X8" s="60">
        <v>22</v>
      </c>
      <c r="Y8" s="60">
        <v>23</v>
      </c>
      <c r="Z8" s="60">
        <v>24</v>
      </c>
      <c r="AA8" s="60">
        <v>25</v>
      </c>
      <c r="AB8" s="60">
        <v>26</v>
      </c>
      <c r="AC8" s="60">
        <v>27</v>
      </c>
      <c r="AD8" s="61">
        <v>28</v>
      </c>
    </row>
    <row r="9" s="36" customFormat="1" ht="15" customHeight="1" spans="1:30">
      <c r="A9" s="63" t="s">
        <v>330</v>
      </c>
      <c r="B9" s="64">
        <v>1</v>
      </c>
      <c r="C9" s="65"/>
      <c r="D9" s="65"/>
      <c r="E9" s="65"/>
      <c r="F9" s="65"/>
      <c r="G9" s="65"/>
      <c r="H9" s="65"/>
      <c r="I9" s="65"/>
      <c r="J9" s="65"/>
      <c r="K9" s="65"/>
      <c r="L9" s="65"/>
      <c r="M9" s="65"/>
      <c r="N9" s="65">
        <f>SUM(C9:G9)+SUM(I9:M9)-H9</f>
        <v>0</v>
      </c>
      <c r="O9" s="65"/>
      <c r="P9" s="66">
        <f t="shared" ref="P9:P14" si="0">SUM(N9:O9)</f>
        <v>0</v>
      </c>
      <c r="Q9" s="67"/>
      <c r="R9" s="65"/>
      <c r="S9" s="65"/>
      <c r="T9" s="65"/>
      <c r="U9" s="65"/>
      <c r="V9" s="65"/>
      <c r="W9" s="65"/>
      <c r="X9" s="65"/>
      <c r="Y9" s="65"/>
      <c r="Z9" s="65"/>
      <c r="AA9" s="65"/>
      <c r="AB9" s="65">
        <f t="shared" ref="AB9:AB41" si="1">SUM(Q9:U9)+SUM(W9:AA9)-V9</f>
        <v>0</v>
      </c>
      <c r="AC9" s="65"/>
      <c r="AD9" s="66">
        <f>SUM(AB9:AC9)</f>
        <v>0</v>
      </c>
    </row>
    <row r="10" s="37" customFormat="1" ht="15" customHeight="1" spans="1:30">
      <c r="A10" s="68" t="s">
        <v>331</v>
      </c>
      <c r="B10" s="69">
        <v>2</v>
      </c>
      <c r="C10" s="70"/>
      <c r="D10" s="70"/>
      <c r="E10" s="70"/>
      <c r="F10" s="70"/>
      <c r="G10" s="70"/>
      <c r="H10" s="70"/>
      <c r="I10" s="70"/>
      <c r="J10" s="70"/>
      <c r="K10" s="70"/>
      <c r="L10" s="70"/>
      <c r="M10" s="70"/>
      <c r="N10" s="70">
        <f t="shared" ref="N10:N41" si="2">SUM(C10:G10)+SUM(I10:M10)-H10</f>
        <v>0</v>
      </c>
      <c r="O10" s="70"/>
      <c r="P10" s="71">
        <f t="shared" si="0"/>
        <v>0</v>
      </c>
      <c r="Q10" s="72"/>
      <c r="R10" s="70"/>
      <c r="S10" s="70"/>
      <c r="T10" s="70"/>
      <c r="U10" s="70"/>
      <c r="V10" s="70"/>
      <c r="W10" s="70"/>
      <c r="X10" s="70"/>
      <c r="Y10" s="70"/>
      <c r="Z10" s="70"/>
      <c r="AA10" s="70"/>
      <c r="AB10" s="70">
        <f t="shared" si="1"/>
        <v>0</v>
      </c>
      <c r="AC10" s="70"/>
      <c r="AD10" s="71">
        <f>SUM(AB10:AC10)</f>
        <v>0</v>
      </c>
    </row>
    <row r="11" s="37" customFormat="1" ht="15" customHeight="1" spans="1:30">
      <c r="A11" s="68" t="s">
        <v>332</v>
      </c>
      <c r="B11" s="69">
        <v>3</v>
      </c>
      <c r="C11" s="70"/>
      <c r="D11" s="70"/>
      <c r="E11" s="70"/>
      <c r="F11" s="70"/>
      <c r="G11" s="70"/>
      <c r="H11" s="70"/>
      <c r="I11" s="70"/>
      <c r="J11" s="70"/>
      <c r="K11" s="70"/>
      <c r="L11" s="70"/>
      <c r="M11" s="70"/>
      <c r="N11" s="70">
        <f t="shared" si="2"/>
        <v>0</v>
      </c>
      <c r="O11" s="70"/>
      <c r="P11" s="71">
        <f t="shared" si="0"/>
        <v>0</v>
      </c>
      <c r="Q11" s="72"/>
      <c r="R11" s="70"/>
      <c r="S11" s="70"/>
      <c r="T11" s="70"/>
      <c r="U11" s="70"/>
      <c r="V11" s="70"/>
      <c r="W11" s="70"/>
      <c r="X11" s="70"/>
      <c r="Y11" s="70"/>
      <c r="Z11" s="70"/>
      <c r="AA11" s="70"/>
      <c r="AB11" s="70">
        <f t="shared" si="1"/>
        <v>0</v>
      </c>
      <c r="AC11" s="70"/>
      <c r="AD11" s="71">
        <f>SUM(AB11:AC11)</f>
        <v>0</v>
      </c>
    </row>
    <row r="12" s="37" customFormat="1" ht="15" customHeight="1" spans="1:30">
      <c r="A12" s="68" t="s">
        <v>333</v>
      </c>
      <c r="B12" s="69">
        <v>4</v>
      </c>
      <c r="C12" s="70"/>
      <c r="D12" s="70"/>
      <c r="E12" s="70"/>
      <c r="F12" s="70"/>
      <c r="G12" s="70"/>
      <c r="H12" s="70"/>
      <c r="I12" s="70"/>
      <c r="J12" s="70"/>
      <c r="K12" s="70"/>
      <c r="L12" s="70"/>
      <c r="M12" s="70"/>
      <c r="N12" s="70">
        <f t="shared" si="2"/>
        <v>0</v>
      </c>
      <c r="O12" s="70"/>
      <c r="P12" s="71">
        <f t="shared" si="0"/>
        <v>0</v>
      </c>
      <c r="Q12" s="72"/>
      <c r="R12" s="70"/>
      <c r="S12" s="70"/>
      <c r="T12" s="70"/>
      <c r="U12" s="70"/>
      <c r="V12" s="70"/>
      <c r="W12" s="70"/>
      <c r="X12" s="70"/>
      <c r="Y12" s="70"/>
      <c r="Z12" s="70"/>
      <c r="AA12" s="70"/>
      <c r="AB12" s="70">
        <f t="shared" si="1"/>
        <v>0</v>
      </c>
      <c r="AC12" s="70"/>
      <c r="AD12" s="71">
        <f>SUM(AB12:AC12)</f>
        <v>0</v>
      </c>
    </row>
    <row r="13" s="36" customFormat="1" ht="15" customHeight="1" spans="1:30">
      <c r="A13" s="63" t="s">
        <v>334</v>
      </c>
      <c r="B13" s="69">
        <v>5</v>
      </c>
      <c r="C13" s="65">
        <f>SUM(C9:C12)</f>
        <v>0</v>
      </c>
      <c r="D13" s="65">
        <f t="shared" ref="D13:O13" si="3">SUM(D9:D12)</f>
        <v>0</v>
      </c>
      <c r="E13" s="65">
        <f t="shared" si="3"/>
        <v>0</v>
      </c>
      <c r="F13" s="65">
        <f t="shared" si="3"/>
        <v>0</v>
      </c>
      <c r="G13" s="65">
        <f t="shared" si="3"/>
        <v>0</v>
      </c>
      <c r="H13" s="65">
        <f t="shared" si="3"/>
        <v>0</v>
      </c>
      <c r="I13" s="65">
        <f t="shared" si="3"/>
        <v>0</v>
      </c>
      <c r="J13" s="65">
        <f t="shared" si="3"/>
        <v>0</v>
      </c>
      <c r="K13" s="65">
        <f t="shared" si="3"/>
        <v>0</v>
      </c>
      <c r="L13" s="65">
        <f t="shared" si="3"/>
        <v>0</v>
      </c>
      <c r="M13" s="65">
        <f t="shared" si="3"/>
        <v>0</v>
      </c>
      <c r="N13" s="65">
        <f t="shared" si="2"/>
        <v>0</v>
      </c>
      <c r="O13" s="65">
        <f t="shared" si="3"/>
        <v>0</v>
      </c>
      <c r="P13" s="66">
        <f t="shared" si="0"/>
        <v>0</v>
      </c>
      <c r="Q13" s="67">
        <f t="shared" ref="Q13" si="4">SUM(Q9:Q12)</f>
        <v>0</v>
      </c>
      <c r="R13" s="65">
        <f t="shared" ref="R13" si="5">SUM(R9:R12)</f>
        <v>0</v>
      </c>
      <c r="S13" s="65">
        <f t="shared" ref="S13" si="6">SUM(S9:S12)</f>
        <v>0</v>
      </c>
      <c r="T13" s="65">
        <f t="shared" ref="T13" si="7">SUM(T9:T12)</f>
        <v>0</v>
      </c>
      <c r="U13" s="65">
        <f t="shared" ref="U13" si="8">SUM(U9:U12)</f>
        <v>0</v>
      </c>
      <c r="V13" s="65">
        <f t="shared" ref="V13" si="9">SUM(V9:V12)</f>
        <v>0</v>
      </c>
      <c r="W13" s="65">
        <f t="shared" ref="W13" si="10">SUM(W9:W12)</f>
        <v>0</v>
      </c>
      <c r="X13" s="65">
        <f t="shared" ref="X13" si="11">SUM(X9:X12)</f>
        <v>0</v>
      </c>
      <c r="Y13" s="65">
        <f t="shared" ref="Y13" si="12">SUM(Y9:Y12)</f>
        <v>0</v>
      </c>
      <c r="Z13" s="65">
        <f t="shared" ref="Z13" si="13">SUM(Z9:Z12)</f>
        <v>0</v>
      </c>
      <c r="AA13" s="65">
        <f t="shared" ref="AA13:AD13" si="14">SUM(AA9:AA12)</f>
        <v>0</v>
      </c>
      <c r="AB13" s="65">
        <f t="shared" si="1"/>
        <v>0</v>
      </c>
      <c r="AC13" s="65">
        <f t="shared" si="14"/>
        <v>0</v>
      </c>
      <c r="AD13" s="66">
        <f t="shared" si="14"/>
        <v>0</v>
      </c>
    </row>
    <row r="14" s="36" customFormat="1" ht="15" customHeight="1" spans="1:30">
      <c r="A14" s="63" t="s">
        <v>335</v>
      </c>
      <c r="B14" s="69">
        <v>6</v>
      </c>
      <c r="C14" s="65">
        <f>C15+C16+C21+C24+C34</f>
        <v>0</v>
      </c>
      <c r="D14" s="65">
        <f t="shared" ref="D14:O14" si="15">D15+D16+D21+D24+D34</f>
        <v>0</v>
      </c>
      <c r="E14" s="65">
        <f t="shared" ref="E14:F14" si="16">E15+E16+E21+E24+E34</f>
        <v>0</v>
      </c>
      <c r="F14" s="65">
        <f t="shared" si="16"/>
        <v>0</v>
      </c>
      <c r="G14" s="65">
        <f t="shared" si="15"/>
        <v>0</v>
      </c>
      <c r="H14" s="65">
        <f t="shared" si="15"/>
        <v>0</v>
      </c>
      <c r="I14" s="65">
        <f t="shared" si="15"/>
        <v>0</v>
      </c>
      <c r="J14" s="65">
        <f t="shared" si="15"/>
        <v>0</v>
      </c>
      <c r="K14" s="65">
        <f t="shared" si="15"/>
        <v>0</v>
      </c>
      <c r="L14" s="65">
        <f t="shared" si="15"/>
        <v>0</v>
      </c>
      <c r="M14" s="65">
        <f t="shared" si="15"/>
        <v>0</v>
      </c>
      <c r="N14" s="65">
        <f t="shared" si="2"/>
        <v>0</v>
      </c>
      <c r="O14" s="65">
        <f t="shared" si="15"/>
        <v>0</v>
      </c>
      <c r="P14" s="66">
        <f t="shared" si="0"/>
        <v>0</v>
      </c>
      <c r="Q14" s="67">
        <f>Q15+Q16+Q21+Q24+Q34</f>
        <v>0</v>
      </c>
      <c r="R14" s="65">
        <f t="shared" ref="R14:AA14" si="17">R15+R16+R21+R24+R34</f>
        <v>0</v>
      </c>
      <c r="S14" s="65">
        <f t="shared" ref="S14:T14" si="18">S15+S16+S21+S24+S34</f>
        <v>0</v>
      </c>
      <c r="T14" s="65">
        <f t="shared" si="18"/>
        <v>0</v>
      </c>
      <c r="U14" s="65">
        <f t="shared" si="17"/>
        <v>0</v>
      </c>
      <c r="V14" s="65">
        <f t="shared" si="17"/>
        <v>0</v>
      </c>
      <c r="W14" s="65">
        <f t="shared" si="17"/>
        <v>0</v>
      </c>
      <c r="X14" s="65">
        <f t="shared" si="17"/>
        <v>0</v>
      </c>
      <c r="Y14" s="65">
        <f t="shared" si="17"/>
        <v>0</v>
      </c>
      <c r="Z14" s="65">
        <f t="shared" si="17"/>
        <v>0</v>
      </c>
      <c r="AA14" s="65">
        <f t="shared" si="17"/>
        <v>0</v>
      </c>
      <c r="AB14" s="65">
        <f t="shared" si="1"/>
        <v>0</v>
      </c>
      <c r="AC14" s="65">
        <f>AC15+AC16+AC21+AC24+AC34</f>
        <v>0</v>
      </c>
      <c r="AD14" s="66">
        <f>SUM(AB14:AC14)</f>
        <v>0</v>
      </c>
    </row>
    <row r="15" s="37" customFormat="1" ht="15" customHeight="1" spans="1:30">
      <c r="A15" s="68" t="s">
        <v>336</v>
      </c>
      <c r="B15" s="69">
        <v>7</v>
      </c>
      <c r="C15" s="70"/>
      <c r="D15" s="70"/>
      <c r="E15" s="70"/>
      <c r="F15" s="70"/>
      <c r="G15" s="70"/>
      <c r="H15" s="70"/>
      <c r="I15" s="70"/>
      <c r="J15" s="70"/>
      <c r="K15" s="70"/>
      <c r="L15" s="70"/>
      <c r="M15" s="70"/>
      <c r="N15" s="70">
        <f t="shared" si="2"/>
        <v>0</v>
      </c>
      <c r="O15" s="70"/>
      <c r="P15" s="71">
        <f t="shared" ref="P15:P41" si="19">SUM(N15:O15)</f>
        <v>0</v>
      </c>
      <c r="Q15" s="72"/>
      <c r="R15" s="70"/>
      <c r="S15" s="70"/>
      <c r="T15" s="70"/>
      <c r="U15" s="70"/>
      <c r="V15" s="70"/>
      <c r="W15" s="70"/>
      <c r="X15" s="70"/>
      <c r="Y15" s="70"/>
      <c r="Z15" s="70"/>
      <c r="AA15" s="70"/>
      <c r="AB15" s="70">
        <f t="shared" si="1"/>
        <v>0</v>
      </c>
      <c r="AC15" s="70"/>
      <c r="AD15" s="71">
        <f t="shared" ref="AD15:AD41" si="20">SUM(AB15:AC15)</f>
        <v>0</v>
      </c>
    </row>
    <row r="16" s="37" customFormat="1" ht="15" customHeight="1" spans="1:30">
      <c r="A16" s="68" t="s">
        <v>337</v>
      </c>
      <c r="B16" s="69">
        <v>8</v>
      </c>
      <c r="C16" s="70">
        <f>C17+C18+C19+C20</f>
        <v>0</v>
      </c>
      <c r="D16" s="70">
        <f t="shared" ref="D16:Q16" si="21">D17+D18+D19+D20</f>
        <v>0</v>
      </c>
      <c r="E16" s="70">
        <f t="shared" ref="E16:F16" si="22">E17+E18+E19+E20</f>
        <v>0</v>
      </c>
      <c r="F16" s="70">
        <f t="shared" si="22"/>
        <v>0</v>
      </c>
      <c r="G16" s="70">
        <f t="shared" si="21"/>
        <v>0</v>
      </c>
      <c r="H16" s="70">
        <f t="shared" si="21"/>
        <v>0</v>
      </c>
      <c r="I16" s="70">
        <f t="shared" si="21"/>
        <v>0</v>
      </c>
      <c r="J16" s="70">
        <f t="shared" si="21"/>
        <v>0</v>
      </c>
      <c r="K16" s="70">
        <f t="shared" si="21"/>
        <v>0</v>
      </c>
      <c r="L16" s="70">
        <f t="shared" si="21"/>
        <v>0</v>
      </c>
      <c r="M16" s="70">
        <f t="shared" si="21"/>
        <v>0</v>
      </c>
      <c r="N16" s="70">
        <f t="shared" si="2"/>
        <v>0</v>
      </c>
      <c r="O16" s="70">
        <f t="shared" si="21"/>
        <v>0</v>
      </c>
      <c r="P16" s="71">
        <f t="shared" si="19"/>
        <v>0</v>
      </c>
      <c r="Q16" s="72">
        <f t="shared" si="21"/>
        <v>0</v>
      </c>
      <c r="R16" s="70">
        <f t="shared" ref="R16:AA16" si="23">R17+R18+R19+R20</f>
        <v>0</v>
      </c>
      <c r="S16" s="70">
        <f t="shared" si="23"/>
        <v>0</v>
      </c>
      <c r="T16" s="70">
        <f t="shared" si="23"/>
        <v>0</v>
      </c>
      <c r="U16" s="70">
        <f t="shared" si="23"/>
        <v>0</v>
      </c>
      <c r="V16" s="70">
        <f t="shared" si="23"/>
        <v>0</v>
      </c>
      <c r="W16" s="70">
        <f t="shared" si="23"/>
        <v>0</v>
      </c>
      <c r="X16" s="70">
        <f t="shared" si="23"/>
        <v>0</v>
      </c>
      <c r="Y16" s="70">
        <f t="shared" si="23"/>
        <v>0</v>
      </c>
      <c r="Z16" s="70">
        <f t="shared" si="23"/>
        <v>0</v>
      </c>
      <c r="AA16" s="70">
        <f t="shared" si="23"/>
        <v>0</v>
      </c>
      <c r="AB16" s="70">
        <f t="shared" si="1"/>
        <v>0</v>
      </c>
      <c r="AC16" s="70">
        <f>AC17+AC18+AC19+AC20</f>
        <v>0</v>
      </c>
      <c r="AD16" s="71">
        <f t="shared" si="20"/>
        <v>0</v>
      </c>
    </row>
    <row r="17" s="37" customFormat="1" ht="15" customHeight="1" spans="1:30">
      <c r="A17" s="73" t="s">
        <v>338</v>
      </c>
      <c r="B17" s="69">
        <v>9</v>
      </c>
      <c r="C17" s="70"/>
      <c r="D17" s="70"/>
      <c r="E17" s="70"/>
      <c r="F17" s="70"/>
      <c r="G17" s="70"/>
      <c r="H17" s="70"/>
      <c r="I17" s="70"/>
      <c r="J17" s="70"/>
      <c r="K17" s="70"/>
      <c r="L17" s="70"/>
      <c r="M17" s="70"/>
      <c r="N17" s="70">
        <f t="shared" si="2"/>
        <v>0</v>
      </c>
      <c r="O17" s="70"/>
      <c r="P17" s="71">
        <f t="shared" si="19"/>
        <v>0</v>
      </c>
      <c r="Q17" s="72"/>
      <c r="R17" s="70"/>
      <c r="S17" s="70"/>
      <c r="T17" s="70"/>
      <c r="U17" s="70"/>
      <c r="V17" s="70"/>
      <c r="W17" s="70"/>
      <c r="X17" s="70"/>
      <c r="Y17" s="70"/>
      <c r="Z17" s="70"/>
      <c r="AA17" s="70"/>
      <c r="AB17" s="70">
        <f t="shared" si="1"/>
        <v>0</v>
      </c>
      <c r="AC17" s="70"/>
      <c r="AD17" s="71">
        <f t="shared" si="20"/>
        <v>0</v>
      </c>
    </row>
    <row r="18" s="37" customFormat="1" ht="15" customHeight="1" spans="1:30">
      <c r="A18" s="73" t="s">
        <v>339</v>
      </c>
      <c r="B18" s="69">
        <v>10</v>
      </c>
      <c r="C18" s="70"/>
      <c r="D18" s="70"/>
      <c r="E18" s="70"/>
      <c r="F18" s="70"/>
      <c r="G18" s="70"/>
      <c r="H18" s="70"/>
      <c r="I18" s="70"/>
      <c r="J18" s="70"/>
      <c r="K18" s="70"/>
      <c r="L18" s="70"/>
      <c r="M18" s="70"/>
      <c r="N18" s="70">
        <f t="shared" si="2"/>
        <v>0</v>
      </c>
      <c r="O18" s="70"/>
      <c r="P18" s="71">
        <f t="shared" si="19"/>
        <v>0</v>
      </c>
      <c r="Q18" s="72"/>
      <c r="R18" s="70"/>
      <c r="S18" s="70"/>
      <c r="T18" s="70"/>
      <c r="U18" s="70"/>
      <c r="V18" s="70"/>
      <c r="W18" s="70"/>
      <c r="X18" s="70"/>
      <c r="Y18" s="70"/>
      <c r="Z18" s="70"/>
      <c r="AA18" s="70"/>
      <c r="AB18" s="70">
        <f t="shared" si="1"/>
        <v>0</v>
      </c>
      <c r="AC18" s="70"/>
      <c r="AD18" s="71">
        <f t="shared" si="20"/>
        <v>0</v>
      </c>
    </row>
    <row r="19" s="37" customFormat="1" ht="15" customHeight="1" spans="1:30">
      <c r="A19" s="73" t="s">
        <v>340</v>
      </c>
      <c r="B19" s="69">
        <v>11</v>
      </c>
      <c r="C19" s="70"/>
      <c r="D19" s="70"/>
      <c r="E19" s="70"/>
      <c r="F19" s="70"/>
      <c r="G19" s="70"/>
      <c r="H19" s="70"/>
      <c r="I19" s="70"/>
      <c r="J19" s="70"/>
      <c r="K19" s="70"/>
      <c r="L19" s="70"/>
      <c r="M19" s="70"/>
      <c r="N19" s="70">
        <f t="shared" si="2"/>
        <v>0</v>
      </c>
      <c r="O19" s="70"/>
      <c r="P19" s="71">
        <f t="shared" si="19"/>
        <v>0</v>
      </c>
      <c r="Q19" s="72"/>
      <c r="R19" s="70"/>
      <c r="S19" s="70"/>
      <c r="T19" s="70"/>
      <c r="U19" s="70"/>
      <c r="V19" s="70"/>
      <c r="W19" s="70"/>
      <c r="X19" s="70"/>
      <c r="Y19" s="70"/>
      <c r="Z19" s="70"/>
      <c r="AA19" s="70"/>
      <c r="AB19" s="70">
        <f t="shared" si="1"/>
        <v>0</v>
      </c>
      <c r="AC19" s="70"/>
      <c r="AD19" s="71">
        <f t="shared" si="20"/>
        <v>0</v>
      </c>
    </row>
    <row r="20" s="37" customFormat="1" ht="15" customHeight="1" spans="1:30">
      <c r="A20" s="73" t="s">
        <v>341</v>
      </c>
      <c r="B20" s="69">
        <v>12</v>
      </c>
      <c r="C20" s="74"/>
      <c r="D20" s="74"/>
      <c r="E20" s="74"/>
      <c r="F20" s="74"/>
      <c r="G20" s="74"/>
      <c r="H20" s="74"/>
      <c r="I20" s="74"/>
      <c r="J20" s="74"/>
      <c r="K20" s="74"/>
      <c r="L20" s="74"/>
      <c r="M20" s="74"/>
      <c r="N20" s="70">
        <f t="shared" si="2"/>
        <v>0</v>
      </c>
      <c r="O20" s="70"/>
      <c r="P20" s="71">
        <f t="shared" si="19"/>
        <v>0</v>
      </c>
      <c r="Q20" s="75"/>
      <c r="R20" s="74"/>
      <c r="S20" s="74"/>
      <c r="T20" s="74"/>
      <c r="U20" s="74"/>
      <c r="V20" s="74"/>
      <c r="W20" s="74"/>
      <c r="X20" s="74"/>
      <c r="Y20" s="74"/>
      <c r="Z20" s="74"/>
      <c r="AA20" s="74"/>
      <c r="AB20" s="70">
        <f t="shared" si="1"/>
        <v>0</v>
      </c>
      <c r="AC20" s="70"/>
      <c r="AD20" s="71">
        <f t="shared" si="20"/>
        <v>0</v>
      </c>
    </row>
    <row r="21" s="37" customFormat="1" ht="15" customHeight="1" spans="1:30">
      <c r="A21" s="68" t="s">
        <v>342</v>
      </c>
      <c r="B21" s="69">
        <v>13</v>
      </c>
      <c r="C21" s="70">
        <f>C22+C23</f>
        <v>0</v>
      </c>
      <c r="D21" s="70">
        <f>D22+D23</f>
        <v>0</v>
      </c>
      <c r="E21" s="70">
        <f t="shared" ref="E21:F21" si="24">E22+E23</f>
        <v>0</v>
      </c>
      <c r="F21" s="70">
        <f t="shared" si="24"/>
        <v>0</v>
      </c>
      <c r="G21" s="70">
        <f t="shared" ref="G21:O21" si="25">G22+G23</f>
        <v>0</v>
      </c>
      <c r="H21" s="70">
        <f t="shared" si="25"/>
        <v>0</v>
      </c>
      <c r="I21" s="70">
        <f t="shared" si="25"/>
        <v>0</v>
      </c>
      <c r="J21" s="70">
        <f t="shared" si="25"/>
        <v>0</v>
      </c>
      <c r="K21" s="70">
        <f t="shared" si="25"/>
        <v>0</v>
      </c>
      <c r="L21" s="70">
        <f t="shared" si="25"/>
        <v>0</v>
      </c>
      <c r="M21" s="70">
        <f t="shared" si="25"/>
        <v>0</v>
      </c>
      <c r="N21" s="70">
        <f t="shared" si="2"/>
        <v>0</v>
      </c>
      <c r="O21" s="70">
        <f t="shared" si="25"/>
        <v>0</v>
      </c>
      <c r="P21" s="71">
        <f t="shared" si="19"/>
        <v>0</v>
      </c>
      <c r="Q21" s="72">
        <f>Q22+Q23</f>
        <v>0</v>
      </c>
      <c r="R21" s="70">
        <f>R22+R23</f>
        <v>0</v>
      </c>
      <c r="S21" s="70">
        <f t="shared" ref="S21:T21" si="26">S22+S23</f>
        <v>0</v>
      </c>
      <c r="T21" s="70">
        <f t="shared" si="26"/>
        <v>0</v>
      </c>
      <c r="U21" s="70">
        <f t="shared" ref="U21:AC21" si="27">U22+U23</f>
        <v>0</v>
      </c>
      <c r="V21" s="70">
        <f t="shared" si="27"/>
        <v>0</v>
      </c>
      <c r="W21" s="70">
        <f t="shared" si="27"/>
        <v>0</v>
      </c>
      <c r="X21" s="70">
        <f t="shared" si="27"/>
        <v>0</v>
      </c>
      <c r="Y21" s="70">
        <f t="shared" si="27"/>
        <v>0</v>
      </c>
      <c r="Z21" s="70">
        <f t="shared" si="27"/>
        <v>0</v>
      </c>
      <c r="AA21" s="70">
        <f t="shared" si="27"/>
        <v>0</v>
      </c>
      <c r="AB21" s="70">
        <f t="shared" si="1"/>
        <v>0</v>
      </c>
      <c r="AC21" s="70">
        <f t="shared" si="27"/>
        <v>0</v>
      </c>
      <c r="AD21" s="71">
        <f t="shared" si="20"/>
        <v>0</v>
      </c>
    </row>
    <row r="22" s="37" customFormat="1" ht="15" customHeight="1" spans="1:30">
      <c r="A22" s="73" t="s">
        <v>343</v>
      </c>
      <c r="B22" s="69">
        <v>14</v>
      </c>
      <c r="C22" s="70"/>
      <c r="D22" s="70"/>
      <c r="E22" s="70"/>
      <c r="F22" s="70"/>
      <c r="G22" s="70"/>
      <c r="H22" s="70"/>
      <c r="I22" s="70"/>
      <c r="J22" s="70"/>
      <c r="K22" s="70"/>
      <c r="L22" s="70"/>
      <c r="M22" s="70"/>
      <c r="N22" s="70">
        <f t="shared" si="2"/>
        <v>0</v>
      </c>
      <c r="O22" s="70"/>
      <c r="P22" s="71">
        <f t="shared" si="19"/>
        <v>0</v>
      </c>
      <c r="Q22" s="72"/>
      <c r="R22" s="70"/>
      <c r="S22" s="70"/>
      <c r="T22" s="70"/>
      <c r="U22" s="70"/>
      <c r="V22" s="70"/>
      <c r="W22" s="70"/>
      <c r="X22" s="70"/>
      <c r="Y22" s="70"/>
      <c r="Z22" s="70"/>
      <c r="AA22" s="70"/>
      <c r="AB22" s="70">
        <f t="shared" si="1"/>
        <v>0</v>
      </c>
      <c r="AC22" s="70"/>
      <c r="AD22" s="71">
        <f t="shared" si="20"/>
        <v>0</v>
      </c>
    </row>
    <row r="23" s="37" customFormat="1" ht="15" customHeight="1" spans="1:30">
      <c r="A23" s="73" t="s">
        <v>344</v>
      </c>
      <c r="B23" s="69">
        <v>15</v>
      </c>
      <c r="C23" s="70"/>
      <c r="D23" s="70"/>
      <c r="E23" s="70"/>
      <c r="F23" s="70"/>
      <c r="G23" s="70"/>
      <c r="H23" s="70"/>
      <c r="I23" s="70"/>
      <c r="J23" s="70"/>
      <c r="K23" s="70"/>
      <c r="L23" s="70"/>
      <c r="M23" s="70"/>
      <c r="N23" s="70">
        <f t="shared" si="2"/>
        <v>0</v>
      </c>
      <c r="O23" s="70"/>
      <c r="P23" s="71">
        <f t="shared" si="19"/>
        <v>0</v>
      </c>
      <c r="Q23" s="72"/>
      <c r="R23" s="70"/>
      <c r="S23" s="70"/>
      <c r="T23" s="70"/>
      <c r="U23" s="70"/>
      <c r="V23" s="70"/>
      <c r="W23" s="70"/>
      <c r="X23" s="70"/>
      <c r="Y23" s="70"/>
      <c r="Z23" s="70"/>
      <c r="AA23" s="70"/>
      <c r="AB23" s="70">
        <f t="shared" si="1"/>
        <v>0</v>
      </c>
      <c r="AC23" s="70"/>
      <c r="AD23" s="71">
        <f t="shared" si="20"/>
        <v>0</v>
      </c>
    </row>
    <row r="24" s="37" customFormat="1" ht="15" customHeight="1" spans="1:30">
      <c r="A24" s="68" t="s">
        <v>345</v>
      </c>
      <c r="B24" s="69">
        <v>16</v>
      </c>
      <c r="C24" s="70">
        <f>C25+C31+C32+C33</f>
        <v>0</v>
      </c>
      <c r="D24" s="70">
        <f>D25+D31+D32+D33</f>
        <v>0</v>
      </c>
      <c r="E24" s="70">
        <f t="shared" ref="E24:F24" si="28">E25+E31+E32+E33</f>
        <v>0</v>
      </c>
      <c r="F24" s="70">
        <f t="shared" si="28"/>
        <v>0</v>
      </c>
      <c r="G24" s="70">
        <f t="shared" ref="G24:O24" si="29">G25+G31+G32+G33</f>
        <v>0</v>
      </c>
      <c r="H24" s="70">
        <f t="shared" si="29"/>
        <v>0</v>
      </c>
      <c r="I24" s="70">
        <f t="shared" si="29"/>
        <v>0</v>
      </c>
      <c r="J24" s="70">
        <f t="shared" si="29"/>
        <v>0</v>
      </c>
      <c r="K24" s="70">
        <f t="shared" si="29"/>
        <v>0</v>
      </c>
      <c r="L24" s="70">
        <f t="shared" si="29"/>
        <v>0</v>
      </c>
      <c r="M24" s="70">
        <f t="shared" si="29"/>
        <v>0</v>
      </c>
      <c r="N24" s="70">
        <f t="shared" si="2"/>
        <v>0</v>
      </c>
      <c r="O24" s="70">
        <f t="shared" si="29"/>
        <v>0</v>
      </c>
      <c r="P24" s="71">
        <f t="shared" si="19"/>
        <v>0</v>
      </c>
      <c r="Q24" s="72">
        <f>Q25+Q31+Q32+Q33</f>
        <v>0</v>
      </c>
      <c r="R24" s="70">
        <f>R25+R31+R32+R33</f>
        <v>0</v>
      </c>
      <c r="S24" s="70">
        <f t="shared" ref="S24:T24" si="30">S25+S31+S32+S33</f>
        <v>0</v>
      </c>
      <c r="T24" s="70">
        <f t="shared" si="30"/>
        <v>0</v>
      </c>
      <c r="U24" s="70">
        <f t="shared" ref="U24:AC24" si="31">U25+U31+U32+U33</f>
        <v>0</v>
      </c>
      <c r="V24" s="70">
        <f t="shared" si="31"/>
        <v>0</v>
      </c>
      <c r="W24" s="70">
        <f t="shared" si="31"/>
        <v>0</v>
      </c>
      <c r="X24" s="70">
        <f t="shared" si="31"/>
        <v>0</v>
      </c>
      <c r="Y24" s="70">
        <f t="shared" si="31"/>
        <v>0</v>
      </c>
      <c r="Z24" s="70">
        <f t="shared" si="31"/>
        <v>0</v>
      </c>
      <c r="AA24" s="70">
        <f t="shared" si="31"/>
        <v>0</v>
      </c>
      <c r="AB24" s="70">
        <f t="shared" si="1"/>
        <v>0</v>
      </c>
      <c r="AC24" s="70">
        <f t="shared" si="31"/>
        <v>0</v>
      </c>
      <c r="AD24" s="71">
        <f t="shared" si="20"/>
        <v>0</v>
      </c>
    </row>
    <row r="25" s="37" customFormat="1" ht="15" customHeight="1" spans="1:30">
      <c r="A25" s="73" t="s">
        <v>346</v>
      </c>
      <c r="B25" s="69">
        <v>17</v>
      </c>
      <c r="C25" s="70"/>
      <c r="D25" s="70"/>
      <c r="E25" s="70"/>
      <c r="F25" s="70"/>
      <c r="G25" s="70"/>
      <c r="H25" s="70"/>
      <c r="I25" s="70"/>
      <c r="J25" s="70"/>
      <c r="K25" s="70"/>
      <c r="L25" s="70"/>
      <c r="M25" s="70"/>
      <c r="N25" s="70">
        <f t="shared" si="2"/>
        <v>0</v>
      </c>
      <c r="O25" s="70"/>
      <c r="P25" s="71">
        <f t="shared" si="19"/>
        <v>0</v>
      </c>
      <c r="Q25" s="72"/>
      <c r="R25" s="70"/>
      <c r="S25" s="70"/>
      <c r="T25" s="70"/>
      <c r="U25" s="70"/>
      <c r="V25" s="70"/>
      <c r="W25" s="70"/>
      <c r="X25" s="70"/>
      <c r="Y25" s="70"/>
      <c r="Z25" s="70"/>
      <c r="AA25" s="70"/>
      <c r="AB25" s="70">
        <f t="shared" si="1"/>
        <v>0</v>
      </c>
      <c r="AC25" s="70"/>
      <c r="AD25" s="71">
        <f t="shared" si="20"/>
        <v>0</v>
      </c>
    </row>
    <row r="26" s="37" customFormat="1" ht="15" customHeight="1" spans="1:30">
      <c r="A26" s="68" t="s">
        <v>347</v>
      </c>
      <c r="B26" s="69">
        <v>18</v>
      </c>
      <c r="C26" s="70"/>
      <c r="D26" s="70"/>
      <c r="E26" s="70"/>
      <c r="F26" s="70"/>
      <c r="G26" s="70"/>
      <c r="H26" s="70"/>
      <c r="I26" s="70"/>
      <c r="J26" s="70"/>
      <c r="K26" s="70"/>
      <c r="L26" s="70"/>
      <c r="M26" s="70"/>
      <c r="N26" s="70">
        <f t="shared" si="2"/>
        <v>0</v>
      </c>
      <c r="O26" s="70"/>
      <c r="P26" s="71">
        <f t="shared" si="19"/>
        <v>0</v>
      </c>
      <c r="Q26" s="72"/>
      <c r="R26" s="70"/>
      <c r="S26" s="70"/>
      <c r="T26" s="70"/>
      <c r="U26" s="70"/>
      <c r="V26" s="70"/>
      <c r="W26" s="70"/>
      <c r="X26" s="70"/>
      <c r="Y26" s="70"/>
      <c r="Z26" s="70"/>
      <c r="AA26" s="70"/>
      <c r="AB26" s="70">
        <f t="shared" si="1"/>
        <v>0</v>
      </c>
      <c r="AC26" s="70"/>
      <c r="AD26" s="71">
        <f t="shared" si="20"/>
        <v>0</v>
      </c>
    </row>
    <row r="27" s="37" customFormat="1" ht="15" customHeight="1" spans="1:30">
      <c r="A27" s="68" t="s">
        <v>348</v>
      </c>
      <c r="B27" s="69">
        <v>19</v>
      </c>
      <c r="C27" s="70"/>
      <c r="D27" s="70"/>
      <c r="E27" s="70"/>
      <c r="F27" s="70"/>
      <c r="G27" s="70"/>
      <c r="H27" s="70"/>
      <c r="I27" s="70"/>
      <c r="J27" s="70"/>
      <c r="K27" s="70"/>
      <c r="L27" s="70"/>
      <c r="M27" s="70"/>
      <c r="N27" s="70">
        <f t="shared" si="2"/>
        <v>0</v>
      </c>
      <c r="O27" s="70"/>
      <c r="P27" s="71">
        <f t="shared" si="19"/>
        <v>0</v>
      </c>
      <c r="Q27" s="72"/>
      <c r="R27" s="70"/>
      <c r="S27" s="70"/>
      <c r="T27" s="70"/>
      <c r="U27" s="70"/>
      <c r="V27" s="70"/>
      <c r="W27" s="70"/>
      <c r="X27" s="70"/>
      <c r="Y27" s="70"/>
      <c r="Z27" s="70"/>
      <c r="AA27" s="70"/>
      <c r="AB27" s="70">
        <f t="shared" si="1"/>
        <v>0</v>
      </c>
      <c r="AC27" s="70"/>
      <c r="AD27" s="71">
        <f t="shared" si="20"/>
        <v>0</v>
      </c>
    </row>
    <row r="28" s="37" customFormat="1" ht="15" customHeight="1" spans="1:30">
      <c r="A28" s="68" t="s">
        <v>349</v>
      </c>
      <c r="B28" s="69">
        <v>20</v>
      </c>
      <c r="C28" s="70"/>
      <c r="D28" s="70"/>
      <c r="E28" s="70"/>
      <c r="F28" s="70"/>
      <c r="G28" s="70"/>
      <c r="H28" s="70"/>
      <c r="I28" s="70"/>
      <c r="J28" s="70"/>
      <c r="K28" s="70"/>
      <c r="L28" s="70"/>
      <c r="M28" s="70"/>
      <c r="N28" s="70">
        <f t="shared" si="2"/>
        <v>0</v>
      </c>
      <c r="O28" s="70"/>
      <c r="P28" s="71">
        <f t="shared" si="19"/>
        <v>0</v>
      </c>
      <c r="Q28" s="72"/>
      <c r="R28" s="70"/>
      <c r="S28" s="70"/>
      <c r="T28" s="70"/>
      <c r="U28" s="70"/>
      <c r="V28" s="70"/>
      <c r="W28" s="70"/>
      <c r="X28" s="70"/>
      <c r="Y28" s="70"/>
      <c r="Z28" s="70"/>
      <c r="AA28" s="70"/>
      <c r="AB28" s="70">
        <f t="shared" si="1"/>
        <v>0</v>
      </c>
      <c r="AC28" s="70"/>
      <c r="AD28" s="71">
        <f t="shared" si="20"/>
        <v>0</v>
      </c>
    </row>
    <row r="29" s="37" customFormat="1" ht="15" customHeight="1" spans="1:30">
      <c r="A29" s="68" t="s">
        <v>350</v>
      </c>
      <c r="B29" s="69">
        <v>21</v>
      </c>
      <c r="C29" s="70"/>
      <c r="D29" s="70"/>
      <c r="E29" s="70"/>
      <c r="F29" s="70"/>
      <c r="G29" s="70"/>
      <c r="H29" s="70"/>
      <c r="I29" s="70"/>
      <c r="J29" s="70"/>
      <c r="K29" s="70"/>
      <c r="L29" s="70"/>
      <c r="M29" s="70"/>
      <c r="N29" s="70">
        <f t="shared" si="2"/>
        <v>0</v>
      </c>
      <c r="O29" s="70"/>
      <c r="P29" s="71">
        <f t="shared" si="19"/>
        <v>0</v>
      </c>
      <c r="Q29" s="72"/>
      <c r="R29" s="70"/>
      <c r="S29" s="70"/>
      <c r="T29" s="70"/>
      <c r="U29" s="70"/>
      <c r="V29" s="70"/>
      <c r="W29" s="70"/>
      <c r="X29" s="70"/>
      <c r="Y29" s="70"/>
      <c r="Z29" s="70"/>
      <c r="AA29" s="70"/>
      <c r="AB29" s="70">
        <f t="shared" si="1"/>
        <v>0</v>
      </c>
      <c r="AC29" s="70"/>
      <c r="AD29" s="71">
        <f t="shared" si="20"/>
        <v>0</v>
      </c>
    </row>
    <row r="30" s="37" customFormat="1" ht="15" customHeight="1" spans="1:30">
      <c r="A30" s="68" t="s">
        <v>351</v>
      </c>
      <c r="B30" s="69">
        <v>22</v>
      </c>
      <c r="C30" s="70"/>
      <c r="D30" s="70"/>
      <c r="E30" s="70"/>
      <c r="F30" s="70"/>
      <c r="G30" s="70"/>
      <c r="H30" s="70"/>
      <c r="I30" s="70"/>
      <c r="J30" s="70"/>
      <c r="K30" s="70"/>
      <c r="L30" s="70"/>
      <c r="M30" s="70"/>
      <c r="N30" s="70">
        <f t="shared" si="2"/>
        <v>0</v>
      </c>
      <c r="O30" s="70"/>
      <c r="P30" s="71">
        <f t="shared" si="19"/>
        <v>0</v>
      </c>
      <c r="Q30" s="72"/>
      <c r="R30" s="70"/>
      <c r="S30" s="70"/>
      <c r="T30" s="70"/>
      <c r="U30" s="70"/>
      <c r="V30" s="70"/>
      <c r="W30" s="70"/>
      <c r="X30" s="70"/>
      <c r="Y30" s="70"/>
      <c r="Z30" s="70"/>
      <c r="AA30" s="70"/>
      <c r="AB30" s="70">
        <f t="shared" si="1"/>
        <v>0</v>
      </c>
      <c r="AC30" s="70"/>
      <c r="AD30" s="71">
        <f t="shared" si="20"/>
        <v>0</v>
      </c>
    </row>
    <row r="31" s="37" customFormat="1" ht="15" customHeight="1" spans="1:30">
      <c r="A31" s="68" t="s">
        <v>352</v>
      </c>
      <c r="B31" s="69">
        <v>23</v>
      </c>
      <c r="C31" s="70"/>
      <c r="D31" s="70"/>
      <c r="E31" s="70"/>
      <c r="F31" s="70"/>
      <c r="G31" s="70"/>
      <c r="H31" s="70"/>
      <c r="I31" s="70"/>
      <c r="J31" s="70"/>
      <c r="K31" s="70"/>
      <c r="L31" s="70"/>
      <c r="M31" s="70"/>
      <c r="N31" s="70">
        <f t="shared" si="2"/>
        <v>0</v>
      </c>
      <c r="O31" s="70"/>
      <c r="P31" s="71">
        <f t="shared" si="19"/>
        <v>0</v>
      </c>
      <c r="Q31" s="72"/>
      <c r="R31" s="70"/>
      <c r="S31" s="70"/>
      <c r="T31" s="70"/>
      <c r="U31" s="70"/>
      <c r="V31" s="70"/>
      <c r="W31" s="70"/>
      <c r="X31" s="70"/>
      <c r="Y31" s="70"/>
      <c r="Z31" s="70"/>
      <c r="AA31" s="70"/>
      <c r="AB31" s="70">
        <f t="shared" si="1"/>
        <v>0</v>
      </c>
      <c r="AC31" s="70"/>
      <c r="AD31" s="71">
        <f t="shared" si="20"/>
        <v>0</v>
      </c>
    </row>
    <row r="32" s="37" customFormat="1" ht="15" customHeight="1" spans="1:30">
      <c r="A32" s="73" t="s">
        <v>353</v>
      </c>
      <c r="B32" s="69">
        <v>24</v>
      </c>
      <c r="C32" s="70"/>
      <c r="D32" s="70"/>
      <c r="E32" s="70"/>
      <c r="F32" s="70"/>
      <c r="G32" s="70"/>
      <c r="H32" s="70"/>
      <c r="I32" s="70"/>
      <c r="J32" s="70"/>
      <c r="K32" s="70"/>
      <c r="L32" s="70"/>
      <c r="M32" s="70"/>
      <c r="N32" s="70">
        <f t="shared" si="2"/>
        <v>0</v>
      </c>
      <c r="O32" s="70"/>
      <c r="P32" s="71">
        <f t="shared" si="19"/>
        <v>0</v>
      </c>
      <c r="Q32" s="72"/>
      <c r="R32" s="70"/>
      <c r="S32" s="70"/>
      <c r="T32" s="70"/>
      <c r="U32" s="70"/>
      <c r="V32" s="70"/>
      <c r="W32" s="70"/>
      <c r="X32" s="70"/>
      <c r="Y32" s="70"/>
      <c r="Z32" s="70"/>
      <c r="AA32" s="70"/>
      <c r="AB32" s="70">
        <f t="shared" si="1"/>
        <v>0</v>
      </c>
      <c r="AC32" s="70"/>
      <c r="AD32" s="71">
        <f t="shared" si="20"/>
        <v>0</v>
      </c>
    </row>
    <row r="33" s="37" customFormat="1" ht="15" customHeight="1" spans="1:30">
      <c r="A33" s="73" t="s">
        <v>354</v>
      </c>
      <c r="B33" s="69">
        <v>25</v>
      </c>
      <c r="C33" s="70"/>
      <c r="D33" s="70"/>
      <c r="E33" s="70"/>
      <c r="F33" s="70"/>
      <c r="G33" s="70"/>
      <c r="H33" s="70"/>
      <c r="I33" s="70"/>
      <c r="J33" s="70"/>
      <c r="K33" s="70"/>
      <c r="L33" s="70"/>
      <c r="M33" s="70"/>
      <c r="N33" s="70">
        <f t="shared" si="2"/>
        <v>0</v>
      </c>
      <c r="O33" s="70"/>
      <c r="P33" s="71">
        <f t="shared" si="19"/>
        <v>0</v>
      </c>
      <c r="Q33" s="72"/>
      <c r="R33" s="70"/>
      <c r="S33" s="70"/>
      <c r="T33" s="70"/>
      <c r="U33" s="70"/>
      <c r="V33" s="70"/>
      <c r="W33" s="70"/>
      <c r="X33" s="70"/>
      <c r="Y33" s="70"/>
      <c r="Z33" s="70"/>
      <c r="AA33" s="70"/>
      <c r="AB33" s="70">
        <f t="shared" si="1"/>
        <v>0</v>
      </c>
      <c r="AC33" s="70"/>
      <c r="AD33" s="71">
        <f t="shared" si="20"/>
        <v>0</v>
      </c>
    </row>
    <row r="34" s="37" customFormat="1" ht="15" customHeight="1" spans="1:30">
      <c r="A34" s="68" t="s">
        <v>355</v>
      </c>
      <c r="B34" s="69">
        <v>26</v>
      </c>
      <c r="C34" s="70">
        <f>C35+C36+C37+C39+C40+C38</f>
        <v>0</v>
      </c>
      <c r="D34" s="70">
        <f t="shared" ref="D34:M34" si="32">D35+D36+D37+D39+D40+D38</f>
        <v>0</v>
      </c>
      <c r="E34" s="70">
        <f t="shared" si="32"/>
        <v>0</v>
      </c>
      <c r="F34" s="70">
        <f t="shared" si="32"/>
        <v>0</v>
      </c>
      <c r="G34" s="70">
        <f t="shared" si="32"/>
        <v>0</v>
      </c>
      <c r="H34" s="70">
        <f t="shared" si="32"/>
        <v>0</v>
      </c>
      <c r="I34" s="70">
        <f t="shared" si="32"/>
        <v>0</v>
      </c>
      <c r="J34" s="70">
        <f t="shared" si="32"/>
        <v>0</v>
      </c>
      <c r="K34" s="70">
        <f t="shared" si="32"/>
        <v>0</v>
      </c>
      <c r="L34" s="70">
        <f t="shared" si="32"/>
        <v>0</v>
      </c>
      <c r="M34" s="70">
        <f t="shared" si="32"/>
        <v>0</v>
      </c>
      <c r="N34" s="70">
        <f t="shared" si="2"/>
        <v>0</v>
      </c>
      <c r="O34" s="70">
        <f>SUM(O35:O40)</f>
        <v>0</v>
      </c>
      <c r="P34" s="71">
        <f t="shared" si="19"/>
        <v>0</v>
      </c>
      <c r="Q34" s="72">
        <f t="shared" ref="Q34" si="33">Q35+Q36+Q37+Q39+Q40+Q38</f>
        <v>0</v>
      </c>
      <c r="R34" s="70">
        <f t="shared" ref="R34" si="34">R35+R36+R37+R39+R40+R38</f>
        <v>0</v>
      </c>
      <c r="S34" s="70">
        <f t="shared" ref="S34" si="35">S35+S36+S37+S39+S40+S38</f>
        <v>0</v>
      </c>
      <c r="T34" s="70">
        <f t="shared" ref="T34" si="36">T35+T36+T37+T39+T40+T38</f>
        <v>0</v>
      </c>
      <c r="U34" s="70">
        <f t="shared" ref="U34" si="37">U35+U36+U37+U39+U40+U38</f>
        <v>0</v>
      </c>
      <c r="V34" s="70">
        <f t="shared" ref="V34" si="38">V35+V36+V37+V39+V40+V38</f>
        <v>0</v>
      </c>
      <c r="W34" s="70">
        <f t="shared" ref="W34" si="39">W35+W36+W37+W39+W40+W38</f>
        <v>0</v>
      </c>
      <c r="X34" s="70">
        <f t="shared" ref="X34" si="40">X35+X36+X37+X39+X40+X38</f>
        <v>0</v>
      </c>
      <c r="Y34" s="70">
        <f t="shared" ref="Y34" si="41">Y35+Y36+Y37+Y39+Y40+Y38</f>
        <v>0</v>
      </c>
      <c r="Z34" s="70">
        <f t="shared" ref="Z34" si="42">Z35+Z36+Z37+Z39+Z40+Z38</f>
        <v>0</v>
      </c>
      <c r="AA34" s="70">
        <f t="shared" ref="AA34" si="43">AA35+AA36+AA37+AA39+AA40+AA38</f>
        <v>0</v>
      </c>
      <c r="AB34" s="70">
        <f t="shared" si="1"/>
        <v>0</v>
      </c>
      <c r="AC34" s="70">
        <f>AC35+AC36+AC37+AC39+AC40+AC38</f>
        <v>0</v>
      </c>
      <c r="AD34" s="71">
        <f t="shared" si="20"/>
        <v>0</v>
      </c>
    </row>
    <row r="35" s="37" customFormat="1" ht="15" customHeight="1" spans="1:30">
      <c r="A35" s="73" t="s">
        <v>356</v>
      </c>
      <c r="B35" s="69">
        <v>27</v>
      </c>
      <c r="C35" s="70"/>
      <c r="D35" s="70"/>
      <c r="E35" s="70"/>
      <c r="F35" s="70"/>
      <c r="G35" s="70"/>
      <c r="H35" s="70"/>
      <c r="I35" s="70"/>
      <c r="J35" s="70"/>
      <c r="K35" s="70"/>
      <c r="L35" s="70"/>
      <c r="M35" s="70"/>
      <c r="N35" s="70">
        <f t="shared" si="2"/>
        <v>0</v>
      </c>
      <c r="O35" s="70"/>
      <c r="P35" s="71">
        <f t="shared" si="19"/>
        <v>0</v>
      </c>
      <c r="Q35" s="72"/>
      <c r="R35" s="70"/>
      <c r="S35" s="70"/>
      <c r="T35" s="70"/>
      <c r="U35" s="70"/>
      <c r="V35" s="70"/>
      <c r="W35" s="70"/>
      <c r="X35" s="70"/>
      <c r="Y35" s="70"/>
      <c r="Z35" s="70"/>
      <c r="AA35" s="70"/>
      <c r="AB35" s="70">
        <f t="shared" si="1"/>
        <v>0</v>
      </c>
      <c r="AC35" s="70"/>
      <c r="AD35" s="71">
        <f t="shared" si="20"/>
        <v>0</v>
      </c>
    </row>
    <row r="36" s="37" customFormat="1" ht="15" customHeight="1" spans="1:30">
      <c r="A36" s="73" t="s">
        <v>357</v>
      </c>
      <c r="B36" s="69">
        <v>28</v>
      </c>
      <c r="C36" s="70"/>
      <c r="D36" s="70"/>
      <c r="E36" s="70"/>
      <c r="F36" s="70"/>
      <c r="G36" s="70"/>
      <c r="H36" s="70"/>
      <c r="I36" s="70"/>
      <c r="J36" s="70"/>
      <c r="K36" s="70"/>
      <c r="L36" s="70"/>
      <c r="M36" s="70"/>
      <c r="N36" s="70">
        <f t="shared" si="2"/>
        <v>0</v>
      </c>
      <c r="O36" s="70"/>
      <c r="P36" s="71">
        <f t="shared" si="19"/>
        <v>0</v>
      </c>
      <c r="Q36" s="72"/>
      <c r="R36" s="70"/>
      <c r="S36" s="70"/>
      <c r="T36" s="70"/>
      <c r="U36" s="70"/>
      <c r="V36" s="70"/>
      <c r="W36" s="70"/>
      <c r="X36" s="70"/>
      <c r="Y36" s="70"/>
      <c r="Z36" s="70"/>
      <c r="AA36" s="70"/>
      <c r="AB36" s="70">
        <f t="shared" si="1"/>
        <v>0</v>
      </c>
      <c r="AC36" s="70"/>
      <c r="AD36" s="71">
        <f t="shared" si="20"/>
        <v>0</v>
      </c>
    </row>
    <row r="37" s="37" customFormat="1" ht="15" customHeight="1" spans="1:30">
      <c r="A37" s="73" t="s">
        <v>358</v>
      </c>
      <c r="B37" s="69">
        <v>29</v>
      </c>
      <c r="C37" s="70"/>
      <c r="D37" s="70"/>
      <c r="E37" s="70"/>
      <c r="F37" s="70"/>
      <c r="G37" s="70"/>
      <c r="H37" s="70"/>
      <c r="I37" s="70"/>
      <c r="J37" s="70"/>
      <c r="K37" s="70"/>
      <c r="L37" s="70"/>
      <c r="M37" s="70"/>
      <c r="N37" s="70">
        <f t="shared" si="2"/>
        <v>0</v>
      </c>
      <c r="O37" s="70"/>
      <c r="P37" s="71">
        <f t="shared" si="19"/>
        <v>0</v>
      </c>
      <c r="Q37" s="72"/>
      <c r="R37" s="70"/>
      <c r="S37" s="70"/>
      <c r="T37" s="70"/>
      <c r="U37" s="70"/>
      <c r="V37" s="70"/>
      <c r="W37" s="70"/>
      <c r="X37" s="70"/>
      <c r="Y37" s="70"/>
      <c r="Z37" s="70"/>
      <c r="AA37" s="70"/>
      <c r="AB37" s="70">
        <f t="shared" si="1"/>
        <v>0</v>
      </c>
      <c r="AC37" s="70"/>
      <c r="AD37" s="71">
        <f t="shared" si="20"/>
        <v>0</v>
      </c>
    </row>
    <row r="38" s="37" customFormat="1" ht="15" customHeight="1" spans="1:30">
      <c r="A38" s="76" t="s">
        <v>359</v>
      </c>
      <c r="B38" s="69">
        <v>30</v>
      </c>
      <c r="C38" s="70"/>
      <c r="D38" s="70"/>
      <c r="E38" s="70"/>
      <c r="F38" s="70"/>
      <c r="G38" s="70"/>
      <c r="H38" s="70"/>
      <c r="I38" s="70"/>
      <c r="J38" s="70"/>
      <c r="K38" s="70"/>
      <c r="L38" s="70"/>
      <c r="M38" s="70"/>
      <c r="N38" s="70">
        <f t="shared" si="2"/>
        <v>0</v>
      </c>
      <c r="O38" s="70"/>
      <c r="P38" s="71">
        <f t="shared" si="19"/>
        <v>0</v>
      </c>
      <c r="Q38" s="72"/>
      <c r="R38" s="70"/>
      <c r="S38" s="70"/>
      <c r="T38" s="70"/>
      <c r="U38" s="70"/>
      <c r="V38" s="70"/>
      <c r="W38" s="70"/>
      <c r="X38" s="70"/>
      <c r="Y38" s="70"/>
      <c r="Z38" s="70"/>
      <c r="AA38" s="70"/>
      <c r="AB38" s="70">
        <f t="shared" si="1"/>
        <v>0</v>
      </c>
      <c r="AC38" s="70"/>
      <c r="AD38" s="71">
        <f t="shared" si="20"/>
        <v>0</v>
      </c>
    </row>
    <row r="39" s="37" customFormat="1" ht="15.75" customHeight="1" spans="1:30">
      <c r="A39" s="76" t="s">
        <v>360</v>
      </c>
      <c r="B39" s="69">
        <v>31</v>
      </c>
      <c r="C39" s="70"/>
      <c r="D39" s="70"/>
      <c r="E39" s="70"/>
      <c r="F39" s="70"/>
      <c r="G39" s="70"/>
      <c r="H39" s="70"/>
      <c r="I39" s="70"/>
      <c r="J39" s="70"/>
      <c r="K39" s="70"/>
      <c r="L39" s="70"/>
      <c r="M39" s="70"/>
      <c r="N39" s="70">
        <f t="shared" si="2"/>
        <v>0</v>
      </c>
      <c r="O39" s="70"/>
      <c r="P39" s="71">
        <f t="shared" si="19"/>
        <v>0</v>
      </c>
      <c r="Q39" s="72"/>
      <c r="R39" s="70"/>
      <c r="S39" s="70"/>
      <c r="T39" s="70"/>
      <c r="U39" s="70"/>
      <c r="V39" s="70"/>
      <c r="W39" s="70"/>
      <c r="X39" s="70"/>
      <c r="Y39" s="70"/>
      <c r="Z39" s="70"/>
      <c r="AA39" s="70"/>
      <c r="AB39" s="70">
        <f t="shared" si="1"/>
        <v>0</v>
      </c>
      <c r="AC39" s="70"/>
      <c r="AD39" s="71">
        <f t="shared" si="20"/>
        <v>0</v>
      </c>
    </row>
    <row r="40" s="37" customFormat="1" ht="15" customHeight="1" spans="1:30">
      <c r="A40" s="73" t="s">
        <v>361</v>
      </c>
      <c r="B40" s="69">
        <v>32</v>
      </c>
      <c r="C40" s="70"/>
      <c r="D40" s="70"/>
      <c r="E40" s="70"/>
      <c r="F40" s="70"/>
      <c r="G40" s="70"/>
      <c r="H40" s="70"/>
      <c r="I40" s="70"/>
      <c r="J40" s="70"/>
      <c r="K40" s="70"/>
      <c r="L40" s="70"/>
      <c r="M40" s="70"/>
      <c r="N40" s="70">
        <f t="shared" si="2"/>
        <v>0</v>
      </c>
      <c r="O40" s="70"/>
      <c r="P40" s="71">
        <f t="shared" si="19"/>
        <v>0</v>
      </c>
      <c r="Q40" s="72"/>
      <c r="R40" s="70"/>
      <c r="S40" s="70"/>
      <c r="T40" s="70"/>
      <c r="U40" s="70"/>
      <c r="V40" s="70"/>
      <c r="W40" s="70"/>
      <c r="X40" s="70"/>
      <c r="Y40" s="70"/>
      <c r="Z40" s="70"/>
      <c r="AA40" s="70"/>
      <c r="AB40" s="70">
        <f t="shared" si="1"/>
        <v>0</v>
      </c>
      <c r="AC40" s="70"/>
      <c r="AD40" s="71">
        <f t="shared" si="20"/>
        <v>0</v>
      </c>
    </row>
    <row r="41" s="36" customFormat="1" ht="15" customHeight="1" spans="1:30">
      <c r="A41" s="77" t="s">
        <v>362</v>
      </c>
      <c r="B41" s="78">
        <v>33</v>
      </c>
      <c r="C41" s="79">
        <f>C13+C14</f>
        <v>0</v>
      </c>
      <c r="D41" s="79">
        <f>D13+D14</f>
        <v>0</v>
      </c>
      <c r="E41" s="79">
        <f t="shared" ref="E41:F41" si="44">E13+E14</f>
        <v>0</v>
      </c>
      <c r="F41" s="79">
        <f t="shared" si="44"/>
        <v>0</v>
      </c>
      <c r="G41" s="79">
        <f t="shared" ref="G41:M41" si="45">G13+G14</f>
        <v>0</v>
      </c>
      <c r="H41" s="79">
        <f t="shared" si="45"/>
        <v>0</v>
      </c>
      <c r="I41" s="79">
        <f t="shared" si="45"/>
        <v>0</v>
      </c>
      <c r="J41" s="79">
        <f t="shared" si="45"/>
        <v>0</v>
      </c>
      <c r="K41" s="79">
        <f t="shared" si="45"/>
        <v>0</v>
      </c>
      <c r="L41" s="79">
        <f t="shared" si="45"/>
        <v>0</v>
      </c>
      <c r="M41" s="79">
        <f t="shared" si="45"/>
        <v>0</v>
      </c>
      <c r="N41" s="79">
        <f t="shared" si="2"/>
        <v>0</v>
      </c>
      <c r="O41" s="79">
        <f>O13+O14</f>
        <v>0</v>
      </c>
      <c r="P41" s="80">
        <f t="shared" si="19"/>
        <v>0</v>
      </c>
      <c r="Q41" s="81">
        <f>Q13+Q14</f>
        <v>0</v>
      </c>
      <c r="R41" s="79">
        <f>R13+R14</f>
        <v>0</v>
      </c>
      <c r="S41" s="79">
        <f t="shared" ref="S41:T41" si="46">S13+S14</f>
        <v>0</v>
      </c>
      <c r="T41" s="79">
        <f t="shared" si="46"/>
        <v>0</v>
      </c>
      <c r="U41" s="79">
        <f t="shared" ref="U41:AA41" si="47">U13+U14</f>
        <v>0</v>
      </c>
      <c r="V41" s="79">
        <f t="shared" si="47"/>
        <v>0</v>
      </c>
      <c r="W41" s="79">
        <f t="shared" si="47"/>
        <v>0</v>
      </c>
      <c r="X41" s="79">
        <f t="shared" si="47"/>
        <v>0</v>
      </c>
      <c r="Y41" s="79">
        <f t="shared" si="47"/>
        <v>0</v>
      </c>
      <c r="Z41" s="79">
        <f t="shared" si="47"/>
        <v>0</v>
      </c>
      <c r="AA41" s="79">
        <f t="shared" si="47"/>
        <v>0</v>
      </c>
      <c r="AB41" s="79">
        <f t="shared" si="1"/>
        <v>0</v>
      </c>
      <c r="AC41" s="79">
        <f>AC13+AC14</f>
        <v>0</v>
      </c>
      <c r="AD41" s="80">
        <f t="shared" si="20"/>
        <v>0</v>
      </c>
    </row>
    <row r="42" s="35" customFormat="1" ht="15.6" customHeight="1" spans="1:30">
      <c r="B42" s="82"/>
      <c r="C42" s="82"/>
      <c r="D42" s="82"/>
      <c r="E42" s="82"/>
      <c r="F42" s="82"/>
      <c r="G42" s="82"/>
      <c r="H42" s="82"/>
      <c r="I42" s="82"/>
      <c r="J42" s="82"/>
      <c r="K42" s="82"/>
      <c r="L42" s="82"/>
      <c r="M42" s="82"/>
      <c r="N42" s="82"/>
      <c r="R42" s="82"/>
      <c r="S42" s="82"/>
      <c r="T42" s="82"/>
      <c r="W42" s="82"/>
    </row>
    <row r="43" s="35" customFormat="1" ht="15.6" customHeight="1" spans="1:30">
      <c r="A43" s="83" t="s">
        <v>363</v>
      </c>
      <c r="E43" s="84" t="s">
        <v>364</v>
      </c>
      <c r="L43" s="84" t="s">
        <v>365</v>
      </c>
      <c r="S43" s="84" t="s">
        <v>364</v>
      </c>
      <c r="Z43" s="84" t="s">
        <v>365</v>
      </c>
    </row>
    <row r="47" s="37" customFormat="1" spans="1:30">
      <c r="A47" s="85" t="s">
        <v>366</v>
      </c>
    </row>
    <row r="48" s="37" customFormat="1" ht="15.6" customHeight="1" spans="1:30">
      <c r="A48" s="89" t="s">
        <v>367</v>
      </c>
    </row>
    <row r="49" s="37" customFormat="1" ht="15.6" customHeight="1" spans="1:1">
      <c r="A49" s="89" t="s">
        <v>368</v>
      </c>
    </row>
  </sheetData>
  <mergeCells count="31">
    <mergeCell ref="C4:P4"/>
    <mergeCell ref="Q4:AD4"/>
    <mergeCell ref="C5:N5"/>
    <mergeCell ref="Q5:AB5"/>
    <mergeCell ref="D6:F6"/>
    <mergeCell ref="R6:T6"/>
    <mergeCell ref="A47:G47"/>
    <mergeCell ref="A4:A7"/>
    <mergeCell ref="B4:B7"/>
    <mergeCell ref="C6:C7"/>
    <mergeCell ref="G6:G7"/>
    <mergeCell ref="H6:H7"/>
    <mergeCell ref="I6:I7"/>
    <mergeCell ref="J6:J7"/>
    <mergeCell ref="K6:K7"/>
    <mergeCell ref="L6:L7"/>
    <mergeCell ref="M6:M7"/>
    <mergeCell ref="N6:N7"/>
    <mergeCell ref="O5:O7"/>
    <mergeCell ref="P5:P7"/>
    <mergeCell ref="Q6:Q7"/>
    <mergeCell ref="U6:U7"/>
    <mergeCell ref="V6:V7"/>
    <mergeCell ref="W6:W7"/>
    <mergeCell ref="X6:X7"/>
    <mergeCell ref="Y6:Y7"/>
    <mergeCell ref="Z6:Z7"/>
    <mergeCell ref="AA6:AA7"/>
    <mergeCell ref="AB6:AB7"/>
    <mergeCell ref="AC5:AC7"/>
    <mergeCell ref="AD5:AD7"/>
  </mergeCells>
  <conditionalFormatting sqref="C$1:AD$1048576">
    <cfRule type="cellIs" dxfId="0" priority="1" operator="equal">
      <formula>0</formula>
    </cfRule>
  </conditionalFormatting>
  <printOptions horizontalCentered="1"/>
  <pageMargins left="0.275" right="0.314583333333333" top="0.826388888888889" bottom="0.747916666666667" header="0.511811023622047" footer="0.511811023622047"/>
  <pageSetup paperSize="9" scale="63" firstPageNumber="10" fitToWidth="0" orientation="landscape" useFirstPageNumber="1"/>
  <headerFooter alignWithMargins="0">
    <oddFooter>&amp;C&amp;"Arial Narrow,常规"&amp;P</oddFooter>
  </headerFooter>
  <colBreaks count="1" manualBreakCount="1">
    <brk id="16" max="42"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Z46"/>
  <sheetViews>
    <sheetView showGridLines="0" view="pageBreakPreview" zoomScaleNormal="100" workbookViewId="0">
      <pane xSplit="2" ySplit="7" topLeftCell="L8" activePane="bottomRight" state="frozen"/>
      <selection/>
      <selection pane="topRight"/>
      <selection pane="bottomLeft"/>
      <selection pane="bottomRight" activeCell="K17" sqref="K17"/>
    </sheetView>
  </sheetViews>
  <sheetFormatPr defaultColWidth="9" defaultRowHeight="12"/>
  <cols>
    <col min="1" max="1" width="41.9" style="34" customWidth="1"/>
    <col min="2" max="2" width="4.7" style="34" customWidth="1"/>
    <col min="3" max="3" width="14.5" style="37" customWidth="1"/>
    <col min="4" max="4" width="6.7" style="37" customWidth="1"/>
    <col min="5" max="5" width="15.5" style="37" customWidth="1"/>
    <col min="6" max="6" width="6.7" style="37" customWidth="1"/>
    <col min="7" max="7" width="14.3" style="37" customWidth="1"/>
    <col min="8" max="8" width="7.4" style="37" customWidth="1"/>
    <col min="9" max="9" width="13.6" style="37" customWidth="1"/>
    <col min="10" max="10" width="7.9" style="37" customWidth="1"/>
    <col min="11" max="11" width="14.3" style="37" customWidth="1"/>
    <col min="12" max="12" width="9.3" style="37" customWidth="1"/>
    <col min="13" max="13" width="14.8" style="37" customWidth="1"/>
    <col min="14" max="14" width="13.9" style="37" customWidth="1"/>
    <col min="15" max="15" width="15.3" style="37" customWidth="1"/>
    <col min="16" max="16" width="7.7" style="37" customWidth="1"/>
    <col min="17" max="17" width="15.5" style="37" customWidth="1"/>
    <col min="18" max="18" width="6.2" style="37" customWidth="1"/>
    <col min="19" max="19" width="14.5" style="37" customWidth="1"/>
    <col min="20" max="20" width="6.3" style="37" customWidth="1"/>
    <col min="21" max="21" width="15" style="37" customWidth="1"/>
    <col min="22" max="22" width="8.7" style="37" customWidth="1"/>
    <col min="23" max="23" width="13.3" style="37" customWidth="1"/>
    <col min="24" max="24" width="7.6" style="37" customWidth="1"/>
    <col min="25" max="25" width="13.9" style="37" customWidth="1"/>
    <col min="26" max="26" width="15.1" style="37" customWidth="1"/>
    <col min="27" max="16384" width="9" style="37" customWidth="1"/>
  </cols>
  <sheetData>
    <row r="1" s="34" customFormat="1" ht="30" customHeight="1" spans="1:26">
      <c r="B1" s="38"/>
      <c r="C1" s="38"/>
      <c r="D1" s="38" t="s">
        <v>369</v>
      </c>
      <c r="E1" s="38"/>
      <c r="F1" s="38"/>
      <c r="G1" s="38"/>
      <c r="H1" s="38"/>
      <c r="I1" s="38"/>
      <c r="J1" s="38"/>
      <c r="K1" s="38"/>
      <c r="L1" s="38"/>
      <c r="M1" s="38"/>
      <c r="N1" s="38"/>
      <c r="O1" s="38"/>
      <c r="P1" s="38" t="s">
        <v>370</v>
      </c>
      <c r="R1" s="38"/>
      <c r="S1" s="38"/>
      <c r="T1" s="38"/>
      <c r="U1" s="38"/>
      <c r="V1" s="38"/>
      <c r="W1" s="38"/>
      <c r="X1" s="38"/>
      <c r="Y1" s="38"/>
      <c r="Z1" s="38"/>
    </row>
    <row r="2" s="34" customFormat="1" ht="18" customHeight="1" spans="1:26">
      <c r="B2" s="39"/>
      <c r="C2" s="39"/>
      <c r="D2" s="39"/>
      <c r="E2" s="39"/>
      <c r="F2" s="39"/>
      <c r="G2" s="39"/>
      <c r="H2" s="39"/>
      <c r="I2" s="39"/>
      <c r="J2" s="39"/>
      <c r="K2" s="39"/>
      <c r="L2" s="39"/>
      <c r="M2" s="39"/>
      <c r="N2" s="39"/>
      <c r="P2" s="39"/>
      <c r="Q2" s="39"/>
      <c r="R2" s="39"/>
      <c r="U2" s="39"/>
    </row>
    <row r="3" s="35" customFormat="1" ht="18" customHeight="1" spans="1:26">
      <c r="A3" s="40" t="s">
        <v>2</v>
      </c>
      <c r="B3" s="40"/>
      <c r="C3" s="40"/>
      <c r="D3" s="40"/>
      <c r="E3" s="41" t="s">
        <v>235</v>
      </c>
      <c r="F3" s="42"/>
      <c r="G3" s="42"/>
      <c r="H3" s="35"/>
      <c r="I3" s="35"/>
      <c r="J3" s="35"/>
      <c r="K3" s="35"/>
      <c r="P3" s="40"/>
      <c r="Q3" s="43" t="s">
        <v>308</v>
      </c>
      <c r="R3" s="44"/>
      <c r="S3" s="44"/>
    </row>
    <row r="4" s="34" customFormat="1" ht="18" customHeight="1" spans="1:26">
      <c r="A4" s="45" t="s">
        <v>4</v>
      </c>
      <c r="B4" s="46" t="s">
        <v>309</v>
      </c>
      <c r="C4" s="47" t="s">
        <v>310</v>
      </c>
      <c r="D4" s="48"/>
      <c r="E4" s="48"/>
      <c r="F4" s="48"/>
      <c r="G4" s="48"/>
      <c r="H4" s="48"/>
      <c r="I4" s="48"/>
      <c r="J4" s="48"/>
      <c r="K4" s="48"/>
      <c r="L4" s="48"/>
      <c r="M4" s="48"/>
      <c r="N4" s="49"/>
      <c r="O4" s="50" t="s">
        <v>311</v>
      </c>
      <c r="P4" s="48"/>
      <c r="Q4" s="48"/>
      <c r="R4" s="48"/>
      <c r="S4" s="48"/>
      <c r="T4" s="48"/>
      <c r="U4" s="48"/>
      <c r="V4" s="48"/>
      <c r="W4" s="48"/>
      <c r="X4" s="48"/>
      <c r="Y4" s="48"/>
      <c r="Z4" s="49"/>
    </row>
    <row r="5" s="34" customFormat="1" ht="33.75" customHeight="1" spans="1:26">
      <c r="A5" s="51"/>
      <c r="B5" s="52"/>
      <c r="C5" s="46" t="s">
        <v>315</v>
      </c>
      <c r="D5" s="46" t="s">
        <v>316</v>
      </c>
      <c r="E5" s="48"/>
      <c r="F5" s="49"/>
      <c r="G5" s="46" t="s">
        <v>317</v>
      </c>
      <c r="H5" s="46" t="s">
        <v>318</v>
      </c>
      <c r="I5" s="46" t="s">
        <v>319</v>
      </c>
      <c r="J5" s="46" t="s">
        <v>320</v>
      </c>
      <c r="K5" s="46" t="s">
        <v>321</v>
      </c>
      <c r="L5" s="46" t="s">
        <v>371</v>
      </c>
      <c r="M5" s="46" t="s">
        <v>323</v>
      </c>
      <c r="N5" s="53" t="s">
        <v>142</v>
      </c>
      <c r="O5" s="46" t="s">
        <v>315</v>
      </c>
      <c r="P5" s="54" t="s">
        <v>316</v>
      </c>
      <c r="Q5" s="55"/>
      <c r="R5" s="56"/>
      <c r="S5" s="46" t="s">
        <v>317</v>
      </c>
      <c r="T5" s="46" t="s">
        <v>318</v>
      </c>
      <c r="U5" s="46" t="s">
        <v>319</v>
      </c>
      <c r="V5" s="46" t="s">
        <v>320</v>
      </c>
      <c r="W5" s="46" t="s">
        <v>321</v>
      </c>
      <c r="X5" s="46" t="s">
        <v>322</v>
      </c>
      <c r="Y5" s="46" t="s">
        <v>323</v>
      </c>
      <c r="Z5" s="53" t="s">
        <v>142</v>
      </c>
    </row>
    <row r="6" s="34" customFormat="1" ht="33.75" customHeight="1" spans="1:26">
      <c r="A6" s="57"/>
      <c r="B6" s="58"/>
      <c r="C6" s="58"/>
      <c r="D6" s="46" t="s">
        <v>325</v>
      </c>
      <c r="E6" s="46" t="s">
        <v>326</v>
      </c>
      <c r="F6" s="46" t="s">
        <v>327</v>
      </c>
      <c r="G6" s="58"/>
      <c r="H6" s="58"/>
      <c r="I6" s="58"/>
      <c r="J6" s="58"/>
      <c r="K6" s="58"/>
      <c r="L6" s="58"/>
      <c r="M6" s="58"/>
      <c r="N6" s="59"/>
      <c r="O6" s="58"/>
      <c r="P6" s="46" t="s">
        <v>325</v>
      </c>
      <c r="Q6" s="46" t="s">
        <v>326</v>
      </c>
      <c r="R6" s="46" t="s">
        <v>327</v>
      </c>
      <c r="S6" s="58"/>
      <c r="T6" s="58"/>
      <c r="U6" s="58"/>
      <c r="V6" s="58"/>
      <c r="W6" s="58"/>
      <c r="X6" s="58"/>
      <c r="Y6" s="58"/>
      <c r="Z6" s="59"/>
    </row>
    <row r="7" s="34" customFormat="1" ht="15" customHeight="1" spans="1:26">
      <c r="A7" s="50" t="s">
        <v>328</v>
      </c>
      <c r="B7" s="60" t="s">
        <v>329</v>
      </c>
      <c r="C7" s="60">
        <v>1</v>
      </c>
      <c r="D7" s="60">
        <v>2</v>
      </c>
      <c r="E7" s="60">
        <v>3</v>
      </c>
      <c r="F7" s="60">
        <v>4</v>
      </c>
      <c r="G7" s="60">
        <v>5</v>
      </c>
      <c r="H7" s="60">
        <v>6</v>
      </c>
      <c r="I7" s="60">
        <v>7</v>
      </c>
      <c r="J7" s="60">
        <v>8</v>
      </c>
      <c r="K7" s="60">
        <v>9</v>
      </c>
      <c r="L7" s="60">
        <v>10</v>
      </c>
      <c r="M7" s="60">
        <v>11</v>
      </c>
      <c r="N7" s="61">
        <v>12</v>
      </c>
      <c r="O7" s="62">
        <v>13</v>
      </c>
      <c r="P7" s="60">
        <v>14</v>
      </c>
      <c r="Q7" s="60">
        <v>15</v>
      </c>
      <c r="R7" s="60">
        <v>16</v>
      </c>
      <c r="S7" s="60">
        <v>17</v>
      </c>
      <c r="T7" s="60">
        <v>18</v>
      </c>
      <c r="U7" s="60">
        <v>19</v>
      </c>
      <c r="V7" s="60">
        <v>20</v>
      </c>
      <c r="W7" s="60">
        <v>21</v>
      </c>
      <c r="X7" s="60">
        <v>22</v>
      </c>
      <c r="Y7" s="60">
        <v>23</v>
      </c>
      <c r="Z7" s="61">
        <v>24</v>
      </c>
    </row>
    <row r="8" s="36" customFormat="1" ht="15" customHeight="1" spans="1:26">
      <c r="A8" s="63" t="s">
        <v>330</v>
      </c>
      <c r="B8" s="64">
        <v>1</v>
      </c>
      <c r="C8" s="65"/>
      <c r="D8" s="65"/>
      <c r="E8" s="65"/>
      <c r="F8" s="65"/>
      <c r="G8" s="65"/>
      <c r="H8" s="65"/>
      <c r="I8" s="65"/>
      <c r="J8" s="65"/>
      <c r="K8" s="65"/>
      <c r="L8" s="65"/>
      <c r="M8" s="65"/>
      <c r="N8" s="66">
        <f t="shared" ref="N8:N40" si="0">SUM(C8:G8)+SUM(I8:M8)-H8</f>
        <v>0</v>
      </c>
      <c r="O8" s="67"/>
      <c r="P8" s="65"/>
      <c r="Q8" s="65"/>
      <c r="R8" s="65"/>
      <c r="S8" s="65"/>
      <c r="T8" s="65"/>
      <c r="U8" s="65"/>
      <c r="V8" s="65"/>
      <c r="W8" s="65"/>
      <c r="X8" s="65"/>
      <c r="Y8" s="65"/>
      <c r="Z8" s="66">
        <f t="shared" ref="Z8:Z40" si="1">SUM(O8:S8)+SUM(U8:Y8)-T8</f>
        <v>0</v>
      </c>
    </row>
    <row r="9" s="37" customFormat="1" ht="15" customHeight="1" spans="1:26">
      <c r="A9" s="68" t="s">
        <v>372</v>
      </c>
      <c r="B9" s="69">
        <v>2</v>
      </c>
      <c r="C9" s="70"/>
      <c r="D9" s="70"/>
      <c r="E9" s="70"/>
      <c r="F9" s="70"/>
      <c r="G9" s="70"/>
      <c r="H9" s="70"/>
      <c r="I9" s="70"/>
      <c r="J9" s="70"/>
      <c r="K9" s="70"/>
      <c r="L9" s="70"/>
      <c r="M9" s="70"/>
      <c r="N9" s="71">
        <f t="shared" si="0"/>
        <v>0</v>
      </c>
      <c r="O9" s="72"/>
      <c r="P9" s="70"/>
      <c r="Q9" s="70"/>
      <c r="R9" s="70"/>
      <c r="S9" s="70"/>
      <c r="T9" s="70"/>
      <c r="U9" s="70"/>
      <c r="V9" s="70"/>
      <c r="W9" s="70"/>
      <c r="X9" s="70"/>
      <c r="Y9" s="70"/>
      <c r="Z9" s="71">
        <f t="shared" si="1"/>
        <v>0</v>
      </c>
    </row>
    <row r="10" s="37" customFormat="1" ht="15" customHeight="1" spans="1:26">
      <c r="A10" s="68" t="s">
        <v>373</v>
      </c>
      <c r="B10" s="69">
        <v>3</v>
      </c>
      <c r="C10" s="70"/>
      <c r="D10" s="70"/>
      <c r="E10" s="70"/>
      <c r="F10" s="70"/>
      <c r="G10" s="70"/>
      <c r="H10" s="70"/>
      <c r="I10" s="70"/>
      <c r="J10" s="70"/>
      <c r="K10" s="70"/>
      <c r="L10" s="70"/>
      <c r="M10" s="70"/>
      <c r="N10" s="71">
        <f t="shared" si="0"/>
        <v>0</v>
      </c>
      <c r="O10" s="72"/>
      <c r="P10" s="70"/>
      <c r="Q10" s="70"/>
      <c r="R10" s="70"/>
      <c r="S10" s="70"/>
      <c r="T10" s="70"/>
      <c r="U10" s="70"/>
      <c r="V10" s="70"/>
      <c r="W10" s="70"/>
      <c r="X10" s="70"/>
      <c r="Y10" s="70"/>
      <c r="Z10" s="71">
        <f t="shared" si="1"/>
        <v>0</v>
      </c>
    </row>
    <row r="11" s="37" customFormat="1" ht="15" customHeight="1" spans="1:26">
      <c r="A11" s="68" t="s">
        <v>374</v>
      </c>
      <c r="B11" s="69">
        <v>4</v>
      </c>
      <c r="C11" s="70"/>
      <c r="D11" s="70"/>
      <c r="E11" s="70"/>
      <c r="F11" s="70"/>
      <c r="G11" s="70"/>
      <c r="H11" s="70"/>
      <c r="I11" s="70"/>
      <c r="J11" s="70"/>
      <c r="K11" s="70"/>
      <c r="L11" s="70"/>
      <c r="M11" s="70"/>
      <c r="N11" s="71">
        <f t="shared" si="0"/>
        <v>0</v>
      </c>
      <c r="O11" s="72"/>
      <c r="P11" s="70"/>
      <c r="Q11" s="70"/>
      <c r="R11" s="70"/>
      <c r="S11" s="70"/>
      <c r="T11" s="70"/>
      <c r="U11" s="70"/>
      <c r="V11" s="70"/>
      <c r="W11" s="70"/>
      <c r="X11" s="70"/>
      <c r="Y11" s="70"/>
      <c r="Z11" s="71">
        <f t="shared" si="1"/>
        <v>0</v>
      </c>
    </row>
    <row r="12" s="36" customFormat="1" ht="15" customHeight="1" spans="1:26">
      <c r="A12" s="63" t="s">
        <v>334</v>
      </c>
      <c r="B12" s="69">
        <v>5</v>
      </c>
      <c r="C12" s="65">
        <f>SUM(C8:C11)</f>
        <v>0</v>
      </c>
      <c r="D12" s="65">
        <f t="shared" ref="D12:M12" si="2">SUM(D8:D11)</f>
        <v>0</v>
      </c>
      <c r="E12" s="65">
        <f t="shared" si="2"/>
        <v>0</v>
      </c>
      <c r="F12" s="65">
        <f t="shared" si="2"/>
        <v>0</v>
      </c>
      <c r="G12" s="65">
        <f t="shared" si="2"/>
        <v>0</v>
      </c>
      <c r="H12" s="65">
        <f t="shared" si="2"/>
        <v>0</v>
      </c>
      <c r="I12" s="65">
        <f t="shared" si="2"/>
        <v>0</v>
      </c>
      <c r="J12" s="65">
        <f t="shared" si="2"/>
        <v>0</v>
      </c>
      <c r="K12" s="65">
        <f t="shared" si="2"/>
        <v>0</v>
      </c>
      <c r="L12" s="65">
        <f t="shared" si="2"/>
        <v>0</v>
      </c>
      <c r="M12" s="65">
        <f t="shared" si="2"/>
        <v>0</v>
      </c>
      <c r="N12" s="66">
        <f t="shared" si="0"/>
        <v>0</v>
      </c>
      <c r="O12" s="67">
        <f t="shared" ref="O12" si="3">SUM(O8:O11)</f>
        <v>0</v>
      </c>
      <c r="P12" s="65">
        <f t="shared" ref="P12" si="4">SUM(P8:P11)</f>
        <v>0</v>
      </c>
      <c r="Q12" s="65">
        <f t="shared" ref="Q12" si="5">SUM(Q8:Q11)</f>
        <v>0</v>
      </c>
      <c r="R12" s="65">
        <f t="shared" ref="R12" si="6">SUM(R8:R11)</f>
        <v>0</v>
      </c>
      <c r="S12" s="65">
        <f t="shared" ref="S12" si="7">SUM(S8:S11)</f>
        <v>0</v>
      </c>
      <c r="T12" s="65">
        <f t="shared" ref="T12" si="8">SUM(T8:T11)</f>
        <v>0</v>
      </c>
      <c r="U12" s="65">
        <f t="shared" ref="U12" si="9">SUM(U8:U11)</f>
        <v>0</v>
      </c>
      <c r="V12" s="65">
        <f t="shared" ref="V12" si="10">SUM(V8:V11)</f>
        <v>0</v>
      </c>
      <c r="W12" s="65">
        <f t="shared" ref="W12" si="11">SUM(W8:W11)</f>
        <v>0</v>
      </c>
      <c r="X12" s="65">
        <f t="shared" ref="X12" si="12">SUM(X8:X11)</f>
        <v>0</v>
      </c>
      <c r="Y12" s="65">
        <f t="shared" ref="Y12" si="13">SUM(Y8:Y11)</f>
        <v>0</v>
      </c>
      <c r="Z12" s="66">
        <f t="shared" si="1"/>
        <v>0</v>
      </c>
    </row>
    <row r="13" s="36" customFormat="1" ht="15" customHeight="1" spans="1:26">
      <c r="A13" s="63" t="s">
        <v>335</v>
      </c>
      <c r="B13" s="69">
        <v>6</v>
      </c>
      <c r="C13" s="65">
        <f>C14+C15+C20+C23+C33</f>
        <v>0</v>
      </c>
      <c r="D13" s="65">
        <f t="shared" ref="D13:M13" si="14">D14+D15+D20+D23+D33</f>
        <v>0</v>
      </c>
      <c r="E13" s="65">
        <f t="shared" ref="E13:F13" si="15">E14+E15+E20+E23+E33</f>
        <v>0</v>
      </c>
      <c r="F13" s="65">
        <f t="shared" si="15"/>
        <v>0</v>
      </c>
      <c r="G13" s="65">
        <f t="shared" si="14"/>
        <v>0</v>
      </c>
      <c r="H13" s="65">
        <f t="shared" si="14"/>
        <v>0</v>
      </c>
      <c r="I13" s="65">
        <f t="shared" si="14"/>
        <v>0</v>
      </c>
      <c r="J13" s="65">
        <f t="shared" si="14"/>
        <v>0</v>
      </c>
      <c r="K13" s="65">
        <f t="shared" si="14"/>
        <v>0</v>
      </c>
      <c r="L13" s="65">
        <f t="shared" si="14"/>
        <v>0</v>
      </c>
      <c r="M13" s="65">
        <f t="shared" si="14"/>
        <v>0</v>
      </c>
      <c r="N13" s="66">
        <f t="shared" si="0"/>
        <v>0</v>
      </c>
      <c r="O13" s="67">
        <f>O14+O15+O20+O23+O33</f>
        <v>0</v>
      </c>
      <c r="P13" s="65">
        <f t="shared" ref="P13:Y13" si="16">P14+P15+P20+P23+P33</f>
        <v>0</v>
      </c>
      <c r="Q13" s="65">
        <f t="shared" ref="Q13:S13" si="17">Q14+Q15+Q20+Q23+Q33</f>
        <v>0</v>
      </c>
      <c r="R13" s="65">
        <f t="shared" si="17"/>
        <v>0</v>
      </c>
      <c r="S13" s="65">
        <f t="shared" si="17"/>
        <v>0</v>
      </c>
      <c r="T13" s="65">
        <f t="shared" si="16"/>
        <v>0</v>
      </c>
      <c r="U13" s="65">
        <f t="shared" si="16"/>
        <v>0</v>
      </c>
      <c r="V13" s="65">
        <f t="shared" si="16"/>
        <v>0</v>
      </c>
      <c r="W13" s="65">
        <f t="shared" si="16"/>
        <v>0</v>
      </c>
      <c r="X13" s="65">
        <f t="shared" si="16"/>
        <v>0</v>
      </c>
      <c r="Y13" s="65">
        <f t="shared" si="16"/>
        <v>0</v>
      </c>
      <c r="Z13" s="66">
        <f t="shared" si="1"/>
        <v>0</v>
      </c>
    </row>
    <row r="14" s="37" customFormat="1" ht="15" customHeight="1" spans="1:26">
      <c r="A14" s="68" t="s">
        <v>375</v>
      </c>
      <c r="B14" s="69">
        <v>7</v>
      </c>
      <c r="C14" s="70"/>
      <c r="D14" s="70"/>
      <c r="E14" s="70"/>
      <c r="F14" s="70"/>
      <c r="G14" s="70"/>
      <c r="H14" s="70"/>
      <c r="I14" s="70"/>
      <c r="J14" s="70"/>
      <c r="K14" s="70"/>
      <c r="L14" s="70"/>
      <c r="M14" s="70"/>
      <c r="N14" s="71">
        <f t="shared" si="0"/>
        <v>0</v>
      </c>
      <c r="O14" s="72"/>
      <c r="P14" s="70"/>
      <c r="Q14" s="70"/>
      <c r="R14" s="70"/>
      <c r="S14" s="70"/>
      <c r="T14" s="70"/>
      <c r="U14" s="70"/>
      <c r="V14" s="70"/>
      <c r="W14" s="70"/>
      <c r="X14" s="70"/>
      <c r="Y14" s="70"/>
      <c r="Z14" s="71">
        <f t="shared" si="1"/>
        <v>0</v>
      </c>
    </row>
    <row r="15" s="37" customFormat="1" ht="15" customHeight="1" spans="1:26">
      <c r="A15" s="68" t="s">
        <v>376</v>
      </c>
      <c r="B15" s="69">
        <v>8</v>
      </c>
      <c r="C15" s="70">
        <f>C16+C17+C18+C19</f>
        <v>0</v>
      </c>
      <c r="D15" s="70">
        <f t="shared" ref="D15:Y15" si="18">D16+D17+D18+D19</f>
        <v>0</v>
      </c>
      <c r="E15" s="70">
        <f t="shared" ref="E15:F15" si="19">E16+E17+E18+E19</f>
        <v>0</v>
      </c>
      <c r="F15" s="70">
        <f t="shared" si="19"/>
        <v>0</v>
      </c>
      <c r="G15" s="70">
        <f t="shared" si="18"/>
        <v>0</v>
      </c>
      <c r="H15" s="70">
        <f t="shared" si="18"/>
        <v>0</v>
      </c>
      <c r="I15" s="70">
        <f t="shared" si="18"/>
        <v>0</v>
      </c>
      <c r="J15" s="70">
        <f t="shared" si="18"/>
        <v>0</v>
      </c>
      <c r="K15" s="70">
        <f t="shared" si="18"/>
        <v>0</v>
      </c>
      <c r="L15" s="70">
        <f t="shared" si="18"/>
        <v>0</v>
      </c>
      <c r="M15" s="70">
        <f t="shared" si="18"/>
        <v>0</v>
      </c>
      <c r="N15" s="71">
        <f t="shared" si="0"/>
        <v>0</v>
      </c>
      <c r="O15" s="72">
        <f t="shared" si="18"/>
        <v>0</v>
      </c>
      <c r="P15" s="70">
        <f t="shared" si="18"/>
        <v>0</v>
      </c>
      <c r="Q15" s="70">
        <f t="shared" ref="Q15:S15" si="20">Q16+Q17+Q18+Q19</f>
        <v>0</v>
      </c>
      <c r="R15" s="70">
        <f t="shared" si="20"/>
        <v>0</v>
      </c>
      <c r="S15" s="70">
        <f t="shared" si="20"/>
        <v>0</v>
      </c>
      <c r="T15" s="70">
        <f t="shared" si="18"/>
        <v>0</v>
      </c>
      <c r="U15" s="70">
        <f t="shared" si="18"/>
        <v>0</v>
      </c>
      <c r="V15" s="70">
        <f t="shared" si="18"/>
        <v>0</v>
      </c>
      <c r="W15" s="70">
        <f t="shared" si="18"/>
        <v>0</v>
      </c>
      <c r="X15" s="70">
        <f t="shared" si="18"/>
        <v>0</v>
      </c>
      <c r="Y15" s="70">
        <f t="shared" si="18"/>
        <v>0</v>
      </c>
      <c r="Z15" s="71">
        <f t="shared" si="1"/>
        <v>0</v>
      </c>
    </row>
    <row r="16" s="37" customFormat="1" ht="15" customHeight="1" spans="1:26">
      <c r="A16" s="73" t="s">
        <v>377</v>
      </c>
      <c r="B16" s="69">
        <v>9</v>
      </c>
      <c r="C16" s="70"/>
      <c r="D16" s="70"/>
      <c r="E16" s="70"/>
      <c r="F16" s="70"/>
      <c r="G16" s="70"/>
      <c r="H16" s="70"/>
      <c r="I16" s="70"/>
      <c r="J16" s="70"/>
      <c r="K16" s="70"/>
      <c r="L16" s="70"/>
      <c r="M16" s="70"/>
      <c r="N16" s="71">
        <f t="shared" si="0"/>
        <v>0</v>
      </c>
      <c r="O16" s="72"/>
      <c r="P16" s="70"/>
      <c r="Q16" s="70"/>
      <c r="R16" s="70"/>
      <c r="S16" s="70"/>
      <c r="T16" s="70"/>
      <c r="U16" s="70"/>
      <c r="V16" s="70"/>
      <c r="W16" s="70"/>
      <c r="X16" s="70"/>
      <c r="Y16" s="70"/>
      <c r="Z16" s="71">
        <f t="shared" si="1"/>
        <v>0</v>
      </c>
    </row>
    <row r="17" s="37" customFormat="1" ht="15" customHeight="1" spans="1:26">
      <c r="A17" s="73" t="s">
        <v>378</v>
      </c>
      <c r="B17" s="69">
        <v>10</v>
      </c>
      <c r="C17" s="70"/>
      <c r="D17" s="70"/>
      <c r="E17" s="70"/>
      <c r="F17" s="70"/>
      <c r="G17" s="70"/>
      <c r="H17" s="70"/>
      <c r="I17" s="70"/>
      <c r="J17" s="70"/>
      <c r="K17" s="70"/>
      <c r="L17" s="70"/>
      <c r="M17" s="70"/>
      <c r="N17" s="71">
        <f t="shared" si="0"/>
        <v>0</v>
      </c>
      <c r="O17" s="72"/>
      <c r="P17" s="70"/>
      <c r="Q17" s="70"/>
      <c r="R17" s="70"/>
      <c r="S17" s="70"/>
      <c r="T17" s="70"/>
      <c r="U17" s="70"/>
      <c r="V17" s="70"/>
      <c r="W17" s="70"/>
      <c r="X17" s="70"/>
      <c r="Y17" s="70"/>
      <c r="Z17" s="71">
        <f t="shared" si="1"/>
        <v>0</v>
      </c>
    </row>
    <row r="18" s="37" customFormat="1" ht="15" customHeight="1" spans="1:26">
      <c r="A18" s="73" t="s">
        <v>379</v>
      </c>
      <c r="B18" s="69">
        <v>11</v>
      </c>
      <c r="C18" s="70"/>
      <c r="D18" s="70"/>
      <c r="E18" s="70"/>
      <c r="F18" s="70"/>
      <c r="G18" s="70"/>
      <c r="H18" s="70"/>
      <c r="I18" s="70"/>
      <c r="J18" s="70"/>
      <c r="K18" s="70"/>
      <c r="L18" s="70"/>
      <c r="M18" s="70"/>
      <c r="N18" s="71">
        <f t="shared" si="0"/>
        <v>0</v>
      </c>
      <c r="O18" s="72"/>
      <c r="P18" s="70"/>
      <c r="Q18" s="70"/>
      <c r="R18" s="70"/>
      <c r="S18" s="70"/>
      <c r="T18" s="70"/>
      <c r="U18" s="70"/>
      <c r="V18" s="70"/>
      <c r="W18" s="70"/>
      <c r="X18" s="70"/>
      <c r="Y18" s="70"/>
      <c r="Z18" s="71">
        <f t="shared" si="1"/>
        <v>0</v>
      </c>
    </row>
    <row r="19" s="37" customFormat="1" ht="15" customHeight="1" spans="1:26">
      <c r="A19" s="73" t="s">
        <v>380</v>
      </c>
      <c r="B19" s="69">
        <v>12</v>
      </c>
      <c r="C19" s="74"/>
      <c r="D19" s="74"/>
      <c r="E19" s="74"/>
      <c r="F19" s="74"/>
      <c r="G19" s="74"/>
      <c r="H19" s="74"/>
      <c r="I19" s="74"/>
      <c r="J19" s="74"/>
      <c r="K19" s="74"/>
      <c r="L19" s="74"/>
      <c r="M19" s="74"/>
      <c r="N19" s="71">
        <f t="shared" si="0"/>
        <v>0</v>
      </c>
      <c r="O19" s="75"/>
      <c r="P19" s="74"/>
      <c r="Q19" s="74"/>
      <c r="R19" s="74"/>
      <c r="S19" s="74"/>
      <c r="T19" s="74"/>
      <c r="U19" s="74"/>
      <c r="V19" s="74"/>
      <c r="W19" s="74"/>
      <c r="X19" s="74"/>
      <c r="Y19" s="74"/>
      <c r="Z19" s="71">
        <f t="shared" si="1"/>
        <v>0</v>
      </c>
    </row>
    <row r="20" s="37" customFormat="1" ht="15" customHeight="1" spans="1:26">
      <c r="A20" s="68" t="s">
        <v>381</v>
      </c>
      <c r="B20" s="69">
        <v>13</v>
      </c>
      <c r="C20" s="70">
        <f>C21+C22</f>
        <v>0</v>
      </c>
      <c r="D20" s="70">
        <f>D21+D22</f>
        <v>0</v>
      </c>
      <c r="E20" s="70">
        <f t="shared" ref="E20:G20" si="21">E21+E22</f>
        <v>0</v>
      </c>
      <c r="F20" s="70">
        <f t="shared" si="21"/>
        <v>0</v>
      </c>
      <c r="G20" s="70">
        <f t="shared" si="21"/>
        <v>0</v>
      </c>
      <c r="H20" s="70">
        <f t="shared" ref="H20:M20" si="22">H21+H22</f>
        <v>0</v>
      </c>
      <c r="I20" s="70">
        <f t="shared" si="22"/>
        <v>0</v>
      </c>
      <c r="J20" s="70">
        <f t="shared" si="22"/>
        <v>0</v>
      </c>
      <c r="K20" s="70">
        <f t="shared" si="22"/>
        <v>0</v>
      </c>
      <c r="L20" s="70">
        <f t="shared" si="22"/>
        <v>0</v>
      </c>
      <c r="M20" s="70">
        <f t="shared" si="22"/>
        <v>0</v>
      </c>
      <c r="N20" s="71">
        <f t="shared" si="0"/>
        <v>0</v>
      </c>
      <c r="O20" s="72">
        <f>O21+O22</f>
        <v>0</v>
      </c>
      <c r="P20" s="70">
        <f>P21+P22</f>
        <v>0</v>
      </c>
      <c r="Q20" s="70">
        <f t="shared" ref="Q20:R20" si="23">Q21+Q22</f>
        <v>0</v>
      </c>
      <c r="R20" s="70">
        <f t="shared" si="23"/>
        <v>0</v>
      </c>
      <c r="S20" s="70">
        <f t="shared" ref="S20:Y20" si="24">S21+S22</f>
        <v>0</v>
      </c>
      <c r="T20" s="70">
        <f t="shared" si="24"/>
        <v>0</v>
      </c>
      <c r="U20" s="70">
        <f t="shared" si="24"/>
        <v>0</v>
      </c>
      <c r="V20" s="70">
        <f t="shared" si="24"/>
        <v>0</v>
      </c>
      <c r="W20" s="70">
        <f t="shared" si="24"/>
        <v>0</v>
      </c>
      <c r="X20" s="70">
        <f t="shared" si="24"/>
        <v>0</v>
      </c>
      <c r="Y20" s="70">
        <f t="shared" si="24"/>
        <v>0</v>
      </c>
      <c r="Z20" s="71">
        <f t="shared" si="1"/>
        <v>0</v>
      </c>
    </row>
    <row r="21" s="37" customFormat="1" ht="15" customHeight="1" spans="1:26">
      <c r="A21" s="73" t="s">
        <v>382</v>
      </c>
      <c r="B21" s="69">
        <v>14</v>
      </c>
      <c r="C21" s="70"/>
      <c r="D21" s="70"/>
      <c r="E21" s="70"/>
      <c r="F21" s="70"/>
      <c r="G21" s="70"/>
      <c r="H21" s="70"/>
      <c r="I21" s="70"/>
      <c r="J21" s="70"/>
      <c r="K21" s="70"/>
      <c r="L21" s="70"/>
      <c r="M21" s="70"/>
      <c r="N21" s="71">
        <f t="shared" si="0"/>
        <v>0</v>
      </c>
      <c r="O21" s="72"/>
      <c r="P21" s="70"/>
      <c r="Q21" s="70"/>
      <c r="R21" s="70"/>
      <c r="S21" s="70"/>
      <c r="T21" s="70"/>
      <c r="U21" s="70"/>
      <c r="V21" s="70"/>
      <c r="W21" s="70"/>
      <c r="X21" s="70"/>
      <c r="Y21" s="70"/>
      <c r="Z21" s="71">
        <f t="shared" si="1"/>
        <v>0</v>
      </c>
    </row>
    <row r="22" s="37" customFormat="1" ht="15" customHeight="1" spans="1:26">
      <c r="A22" s="73" t="s">
        <v>383</v>
      </c>
      <c r="B22" s="69">
        <v>15</v>
      </c>
      <c r="C22" s="70"/>
      <c r="D22" s="70"/>
      <c r="E22" s="70"/>
      <c r="F22" s="70"/>
      <c r="G22" s="70"/>
      <c r="H22" s="70"/>
      <c r="I22" s="70"/>
      <c r="J22" s="70"/>
      <c r="K22" s="70"/>
      <c r="L22" s="70"/>
      <c r="M22" s="70"/>
      <c r="N22" s="71">
        <f t="shared" si="0"/>
        <v>0</v>
      </c>
      <c r="O22" s="72"/>
      <c r="P22" s="70"/>
      <c r="Q22" s="70"/>
      <c r="R22" s="70"/>
      <c r="S22" s="70"/>
      <c r="T22" s="70"/>
      <c r="U22" s="70"/>
      <c r="V22" s="70"/>
      <c r="W22" s="70"/>
      <c r="X22" s="70"/>
      <c r="Y22" s="70"/>
      <c r="Z22" s="71">
        <f t="shared" si="1"/>
        <v>0</v>
      </c>
    </row>
    <row r="23" s="37" customFormat="1" ht="15" customHeight="1" spans="1:26">
      <c r="A23" s="68" t="s">
        <v>384</v>
      </c>
      <c r="B23" s="69">
        <v>16</v>
      </c>
      <c r="C23" s="70">
        <f>C24+C30+C31+C32</f>
        <v>0</v>
      </c>
      <c r="D23" s="70">
        <f>D24+D30+D31+D32</f>
        <v>0</v>
      </c>
      <c r="E23" s="70">
        <f t="shared" ref="E23:G23" si="25">E24+E30+E31+E32</f>
        <v>0</v>
      </c>
      <c r="F23" s="70">
        <f t="shared" si="25"/>
        <v>0</v>
      </c>
      <c r="G23" s="70">
        <f t="shared" si="25"/>
        <v>0</v>
      </c>
      <c r="H23" s="70">
        <f t="shared" ref="H23:M23" si="26">H24+H30+H31+H32</f>
        <v>0</v>
      </c>
      <c r="I23" s="70">
        <f t="shared" si="26"/>
        <v>0</v>
      </c>
      <c r="J23" s="70">
        <f t="shared" si="26"/>
        <v>0</v>
      </c>
      <c r="K23" s="70">
        <f t="shared" si="26"/>
        <v>0</v>
      </c>
      <c r="L23" s="70">
        <f t="shared" si="26"/>
        <v>0</v>
      </c>
      <c r="M23" s="70">
        <f t="shared" si="26"/>
        <v>0</v>
      </c>
      <c r="N23" s="71">
        <f t="shared" si="0"/>
        <v>0</v>
      </c>
      <c r="O23" s="72">
        <f>O24+O30+O31+O32</f>
        <v>0</v>
      </c>
      <c r="P23" s="70">
        <f>P24+P30+P31+P32</f>
        <v>0</v>
      </c>
      <c r="Q23" s="70">
        <f t="shared" ref="Q23:R23" si="27">Q24+Q30+Q31+Q32</f>
        <v>0</v>
      </c>
      <c r="R23" s="70">
        <f t="shared" si="27"/>
        <v>0</v>
      </c>
      <c r="S23" s="70">
        <f t="shared" ref="S23:Y23" si="28">S24+S30+S31+S32</f>
        <v>0</v>
      </c>
      <c r="T23" s="70">
        <f t="shared" si="28"/>
        <v>0</v>
      </c>
      <c r="U23" s="70">
        <f t="shared" si="28"/>
        <v>0</v>
      </c>
      <c r="V23" s="70">
        <f t="shared" si="28"/>
        <v>0</v>
      </c>
      <c r="W23" s="70">
        <f t="shared" si="28"/>
        <v>0</v>
      </c>
      <c r="X23" s="70">
        <f t="shared" si="28"/>
        <v>0</v>
      </c>
      <c r="Y23" s="70">
        <f t="shared" si="28"/>
        <v>0</v>
      </c>
      <c r="Z23" s="71">
        <f t="shared" si="1"/>
        <v>0</v>
      </c>
    </row>
    <row r="24" s="37" customFormat="1" ht="15" customHeight="1" spans="1:26">
      <c r="A24" s="73" t="s">
        <v>385</v>
      </c>
      <c r="B24" s="69">
        <v>17</v>
      </c>
      <c r="C24" s="70"/>
      <c r="D24" s="70"/>
      <c r="E24" s="70"/>
      <c r="F24" s="70"/>
      <c r="G24" s="70"/>
      <c r="H24" s="70"/>
      <c r="I24" s="70"/>
      <c r="J24" s="70"/>
      <c r="K24" s="70"/>
      <c r="L24" s="70"/>
      <c r="M24" s="70"/>
      <c r="N24" s="71">
        <f t="shared" si="0"/>
        <v>0</v>
      </c>
      <c r="O24" s="72"/>
      <c r="P24" s="70"/>
      <c r="Q24" s="70"/>
      <c r="R24" s="70"/>
      <c r="S24" s="70"/>
      <c r="T24" s="70"/>
      <c r="U24" s="70"/>
      <c r="V24" s="70"/>
      <c r="W24" s="70"/>
      <c r="X24" s="70"/>
      <c r="Y24" s="70"/>
      <c r="Z24" s="71">
        <f t="shared" si="1"/>
        <v>0</v>
      </c>
    </row>
    <row r="25" s="37" customFormat="1" ht="15" customHeight="1" spans="1:26">
      <c r="A25" s="68" t="s">
        <v>386</v>
      </c>
      <c r="B25" s="69">
        <v>18</v>
      </c>
      <c r="C25" s="70"/>
      <c r="D25" s="70"/>
      <c r="E25" s="70"/>
      <c r="F25" s="70"/>
      <c r="G25" s="70"/>
      <c r="H25" s="70"/>
      <c r="I25" s="70"/>
      <c r="J25" s="70"/>
      <c r="K25" s="70"/>
      <c r="L25" s="70"/>
      <c r="M25" s="70"/>
      <c r="N25" s="71">
        <f t="shared" si="0"/>
        <v>0</v>
      </c>
      <c r="O25" s="72"/>
      <c r="P25" s="70"/>
      <c r="Q25" s="70"/>
      <c r="R25" s="70"/>
      <c r="S25" s="70"/>
      <c r="T25" s="70"/>
      <c r="U25" s="70"/>
      <c r="V25" s="70"/>
      <c r="W25" s="70"/>
      <c r="X25" s="70"/>
      <c r="Y25" s="70"/>
      <c r="Z25" s="71">
        <f t="shared" si="1"/>
        <v>0</v>
      </c>
    </row>
    <row r="26" s="37" customFormat="1" ht="15" customHeight="1" spans="1:26">
      <c r="A26" s="68" t="s">
        <v>387</v>
      </c>
      <c r="B26" s="69">
        <v>19</v>
      </c>
      <c r="C26" s="70"/>
      <c r="D26" s="70"/>
      <c r="E26" s="70"/>
      <c r="F26" s="70"/>
      <c r="G26" s="70"/>
      <c r="H26" s="70"/>
      <c r="I26" s="70"/>
      <c r="J26" s="70"/>
      <c r="K26" s="70"/>
      <c r="L26" s="70"/>
      <c r="M26" s="70"/>
      <c r="N26" s="71">
        <f t="shared" si="0"/>
        <v>0</v>
      </c>
      <c r="O26" s="72"/>
      <c r="P26" s="70"/>
      <c r="Q26" s="70"/>
      <c r="R26" s="70"/>
      <c r="S26" s="70"/>
      <c r="T26" s="70"/>
      <c r="U26" s="70"/>
      <c r="V26" s="70"/>
      <c r="W26" s="70"/>
      <c r="X26" s="70"/>
      <c r="Y26" s="70"/>
      <c r="Z26" s="71">
        <f t="shared" si="1"/>
        <v>0</v>
      </c>
    </row>
    <row r="27" s="37" customFormat="1" ht="15" customHeight="1" spans="1:26">
      <c r="A27" s="68" t="s">
        <v>349</v>
      </c>
      <c r="B27" s="69">
        <v>20</v>
      </c>
      <c r="C27" s="70"/>
      <c r="D27" s="70"/>
      <c r="E27" s="70"/>
      <c r="F27" s="70"/>
      <c r="G27" s="70"/>
      <c r="H27" s="70"/>
      <c r="I27" s="70"/>
      <c r="J27" s="70"/>
      <c r="K27" s="70"/>
      <c r="L27" s="70"/>
      <c r="M27" s="70"/>
      <c r="N27" s="71">
        <f t="shared" si="0"/>
        <v>0</v>
      </c>
      <c r="O27" s="72"/>
      <c r="P27" s="70"/>
      <c r="Q27" s="70"/>
      <c r="R27" s="70"/>
      <c r="S27" s="70"/>
      <c r="T27" s="70"/>
      <c r="U27" s="70"/>
      <c r="V27" s="70"/>
      <c r="W27" s="70"/>
      <c r="X27" s="70"/>
      <c r="Y27" s="70"/>
      <c r="Z27" s="71">
        <f t="shared" si="1"/>
        <v>0</v>
      </c>
    </row>
    <row r="28" s="37" customFormat="1" ht="15" customHeight="1" spans="1:26">
      <c r="A28" s="68" t="s">
        <v>388</v>
      </c>
      <c r="B28" s="69">
        <v>21</v>
      </c>
      <c r="C28" s="70"/>
      <c r="D28" s="70"/>
      <c r="E28" s="70"/>
      <c r="F28" s="70"/>
      <c r="G28" s="70"/>
      <c r="H28" s="70"/>
      <c r="I28" s="70"/>
      <c r="J28" s="70"/>
      <c r="K28" s="70"/>
      <c r="L28" s="70"/>
      <c r="M28" s="70"/>
      <c r="N28" s="71">
        <f t="shared" si="0"/>
        <v>0</v>
      </c>
      <c r="O28" s="72"/>
      <c r="P28" s="70"/>
      <c r="Q28" s="70"/>
      <c r="R28" s="70"/>
      <c r="S28" s="70"/>
      <c r="T28" s="70"/>
      <c r="U28" s="70"/>
      <c r="V28" s="70"/>
      <c r="W28" s="70"/>
      <c r="X28" s="70"/>
      <c r="Y28" s="70"/>
      <c r="Z28" s="71">
        <f t="shared" si="1"/>
        <v>0</v>
      </c>
    </row>
    <row r="29" s="37" customFormat="1" ht="15" customHeight="1" spans="1:26">
      <c r="A29" s="68" t="s">
        <v>389</v>
      </c>
      <c r="B29" s="69">
        <v>22</v>
      </c>
      <c r="C29" s="70"/>
      <c r="D29" s="70"/>
      <c r="E29" s="70"/>
      <c r="F29" s="70"/>
      <c r="G29" s="70"/>
      <c r="H29" s="70"/>
      <c r="I29" s="70"/>
      <c r="J29" s="70"/>
      <c r="K29" s="70"/>
      <c r="L29" s="70"/>
      <c r="M29" s="70"/>
      <c r="N29" s="71">
        <f t="shared" si="0"/>
        <v>0</v>
      </c>
      <c r="O29" s="72"/>
      <c r="P29" s="70"/>
      <c r="Q29" s="70"/>
      <c r="R29" s="70"/>
      <c r="S29" s="70"/>
      <c r="T29" s="70"/>
      <c r="U29" s="70"/>
      <c r="V29" s="70"/>
      <c r="W29" s="70"/>
      <c r="X29" s="70"/>
      <c r="Y29" s="70"/>
      <c r="Z29" s="71">
        <f t="shared" si="1"/>
        <v>0</v>
      </c>
    </row>
    <row r="30" s="37" customFormat="1" ht="15" customHeight="1" spans="1:26">
      <c r="A30" s="68" t="s">
        <v>390</v>
      </c>
      <c r="B30" s="69">
        <v>23</v>
      </c>
      <c r="C30" s="70"/>
      <c r="D30" s="70"/>
      <c r="E30" s="70"/>
      <c r="F30" s="70"/>
      <c r="G30" s="70"/>
      <c r="H30" s="70"/>
      <c r="I30" s="70"/>
      <c r="J30" s="70"/>
      <c r="K30" s="70"/>
      <c r="L30" s="70"/>
      <c r="M30" s="70"/>
      <c r="N30" s="71">
        <f t="shared" si="0"/>
        <v>0</v>
      </c>
      <c r="O30" s="72"/>
      <c r="P30" s="70"/>
      <c r="Q30" s="70"/>
      <c r="R30" s="70"/>
      <c r="S30" s="70"/>
      <c r="T30" s="70"/>
      <c r="U30" s="70"/>
      <c r="V30" s="70"/>
      <c r="W30" s="70"/>
      <c r="X30" s="70"/>
      <c r="Y30" s="70"/>
      <c r="Z30" s="71">
        <f t="shared" si="1"/>
        <v>0</v>
      </c>
    </row>
    <row r="31" s="37" customFormat="1" ht="15" customHeight="1" spans="1:26">
      <c r="A31" s="73" t="s">
        <v>391</v>
      </c>
      <c r="B31" s="69">
        <v>24</v>
      </c>
      <c r="C31" s="70"/>
      <c r="D31" s="70"/>
      <c r="E31" s="70"/>
      <c r="F31" s="70"/>
      <c r="G31" s="70"/>
      <c r="H31" s="70"/>
      <c r="I31" s="70"/>
      <c r="J31" s="70"/>
      <c r="K31" s="70"/>
      <c r="L31" s="70"/>
      <c r="M31" s="70"/>
      <c r="N31" s="71">
        <f t="shared" si="0"/>
        <v>0</v>
      </c>
      <c r="O31" s="72"/>
      <c r="P31" s="70"/>
      <c r="Q31" s="70"/>
      <c r="R31" s="70"/>
      <c r="S31" s="70"/>
      <c r="T31" s="70"/>
      <c r="U31" s="70"/>
      <c r="V31" s="70"/>
      <c r="W31" s="70"/>
      <c r="X31" s="70"/>
      <c r="Y31" s="70"/>
      <c r="Z31" s="71">
        <f t="shared" si="1"/>
        <v>0</v>
      </c>
    </row>
    <row r="32" s="37" customFormat="1" ht="15" customHeight="1" spans="1:26">
      <c r="A32" s="73" t="s">
        <v>380</v>
      </c>
      <c r="B32" s="69">
        <v>25</v>
      </c>
      <c r="C32" s="70"/>
      <c r="D32" s="70"/>
      <c r="E32" s="70"/>
      <c r="F32" s="70"/>
      <c r="G32" s="70"/>
      <c r="H32" s="70"/>
      <c r="I32" s="70"/>
      <c r="J32" s="70"/>
      <c r="K32" s="70"/>
      <c r="L32" s="70"/>
      <c r="M32" s="70"/>
      <c r="N32" s="71">
        <f t="shared" si="0"/>
        <v>0</v>
      </c>
      <c r="O32" s="72"/>
      <c r="P32" s="70"/>
      <c r="Q32" s="70"/>
      <c r="R32" s="70"/>
      <c r="S32" s="70"/>
      <c r="T32" s="70"/>
      <c r="U32" s="70"/>
      <c r="V32" s="70"/>
      <c r="W32" s="70"/>
      <c r="X32" s="70"/>
      <c r="Y32" s="70"/>
      <c r="Z32" s="71">
        <f t="shared" si="1"/>
        <v>0</v>
      </c>
    </row>
    <row r="33" s="37" customFormat="1" ht="15" customHeight="1" spans="1:26">
      <c r="A33" s="68" t="s">
        <v>392</v>
      </c>
      <c r="B33" s="69">
        <v>26</v>
      </c>
      <c r="C33" s="70">
        <f>SUM(C34:C39)</f>
        <v>0</v>
      </c>
      <c r="D33" s="70">
        <f t="shared" ref="D33:Z33" si="29">SUM(D34:D39)</f>
        <v>0</v>
      </c>
      <c r="E33" s="70">
        <f t="shared" si="29"/>
        <v>0</v>
      </c>
      <c r="F33" s="70">
        <f t="shared" si="29"/>
        <v>0</v>
      </c>
      <c r="G33" s="70">
        <f t="shared" si="29"/>
        <v>0</v>
      </c>
      <c r="H33" s="70">
        <f t="shared" si="29"/>
        <v>0</v>
      </c>
      <c r="I33" s="70">
        <f t="shared" si="29"/>
        <v>0</v>
      </c>
      <c r="J33" s="70">
        <f t="shared" si="29"/>
        <v>0</v>
      </c>
      <c r="K33" s="70">
        <f t="shared" si="29"/>
        <v>0</v>
      </c>
      <c r="L33" s="70">
        <f t="shared" si="29"/>
        <v>0</v>
      </c>
      <c r="M33" s="70">
        <f t="shared" si="29"/>
        <v>0</v>
      </c>
      <c r="N33" s="71">
        <f t="shared" si="29"/>
        <v>0</v>
      </c>
      <c r="O33" s="72">
        <f t="shared" si="29"/>
        <v>0</v>
      </c>
      <c r="P33" s="70">
        <f t="shared" si="29"/>
        <v>0</v>
      </c>
      <c r="Q33" s="70">
        <f t="shared" si="29"/>
        <v>0</v>
      </c>
      <c r="R33" s="70">
        <f t="shared" si="29"/>
        <v>0</v>
      </c>
      <c r="S33" s="70">
        <f t="shared" si="29"/>
        <v>0</v>
      </c>
      <c r="T33" s="70">
        <f t="shared" si="29"/>
        <v>0</v>
      </c>
      <c r="U33" s="70">
        <f t="shared" si="29"/>
        <v>0</v>
      </c>
      <c r="V33" s="70">
        <f t="shared" si="29"/>
        <v>0</v>
      </c>
      <c r="W33" s="70">
        <f t="shared" si="29"/>
        <v>0</v>
      </c>
      <c r="X33" s="70">
        <f t="shared" si="29"/>
        <v>0</v>
      </c>
      <c r="Y33" s="70">
        <f t="shared" si="29"/>
        <v>0</v>
      </c>
      <c r="Z33" s="71">
        <f t="shared" si="29"/>
        <v>0</v>
      </c>
    </row>
    <row r="34" s="37" customFormat="1" ht="15" customHeight="1" spans="1:26">
      <c r="A34" s="73" t="s">
        <v>393</v>
      </c>
      <c r="B34" s="69">
        <v>27</v>
      </c>
      <c r="C34" s="70"/>
      <c r="D34" s="70"/>
      <c r="E34" s="70"/>
      <c r="F34" s="70"/>
      <c r="G34" s="70"/>
      <c r="H34" s="70"/>
      <c r="I34" s="70"/>
      <c r="J34" s="70"/>
      <c r="K34" s="70"/>
      <c r="L34" s="70"/>
      <c r="M34" s="70"/>
      <c r="N34" s="71">
        <f t="shared" si="0"/>
        <v>0</v>
      </c>
      <c r="O34" s="72"/>
      <c r="P34" s="70"/>
      <c r="Q34" s="70"/>
      <c r="R34" s="70"/>
      <c r="S34" s="70"/>
      <c r="T34" s="70"/>
      <c r="U34" s="70"/>
      <c r="V34" s="70"/>
      <c r="W34" s="70"/>
      <c r="X34" s="70"/>
      <c r="Y34" s="70"/>
      <c r="Z34" s="71">
        <f t="shared" si="1"/>
        <v>0</v>
      </c>
    </row>
    <row r="35" s="37" customFormat="1" ht="15" customHeight="1" spans="1:26">
      <c r="A35" s="73" t="s">
        <v>394</v>
      </c>
      <c r="B35" s="69">
        <v>28</v>
      </c>
      <c r="C35" s="70"/>
      <c r="D35" s="70"/>
      <c r="E35" s="70"/>
      <c r="F35" s="70"/>
      <c r="G35" s="70"/>
      <c r="H35" s="70"/>
      <c r="I35" s="70"/>
      <c r="J35" s="70"/>
      <c r="K35" s="70"/>
      <c r="L35" s="70"/>
      <c r="M35" s="70"/>
      <c r="N35" s="71">
        <f t="shared" si="0"/>
        <v>0</v>
      </c>
      <c r="O35" s="72"/>
      <c r="P35" s="70"/>
      <c r="Q35" s="70"/>
      <c r="R35" s="70"/>
      <c r="S35" s="70"/>
      <c r="T35" s="70"/>
      <c r="U35" s="70"/>
      <c r="V35" s="70"/>
      <c r="W35" s="70"/>
      <c r="X35" s="70"/>
      <c r="Y35" s="70"/>
      <c r="Z35" s="71">
        <f t="shared" si="1"/>
        <v>0</v>
      </c>
    </row>
    <row r="36" s="37" customFormat="1" ht="16.5" customHeight="1" spans="1:26">
      <c r="A36" s="73" t="s">
        <v>395</v>
      </c>
      <c r="B36" s="69">
        <v>29</v>
      </c>
      <c r="C36" s="70"/>
      <c r="D36" s="70"/>
      <c r="E36" s="70"/>
      <c r="F36" s="70"/>
      <c r="G36" s="70"/>
      <c r="H36" s="70"/>
      <c r="I36" s="70"/>
      <c r="J36" s="70"/>
      <c r="K36" s="70"/>
      <c r="L36" s="70"/>
      <c r="M36" s="70"/>
      <c r="N36" s="71">
        <f t="shared" si="0"/>
        <v>0</v>
      </c>
      <c r="O36" s="72"/>
      <c r="P36" s="70"/>
      <c r="Q36" s="70"/>
      <c r="R36" s="70"/>
      <c r="S36" s="70"/>
      <c r="T36" s="70"/>
      <c r="U36" s="70"/>
      <c r="V36" s="70"/>
      <c r="W36" s="70"/>
      <c r="X36" s="70"/>
      <c r="Y36" s="70"/>
      <c r="Z36" s="71">
        <f t="shared" si="1"/>
        <v>0</v>
      </c>
    </row>
    <row r="37" s="37" customFormat="1" ht="16.5" customHeight="1" spans="1:26">
      <c r="A37" s="76" t="s">
        <v>396</v>
      </c>
      <c r="B37" s="69">
        <v>30</v>
      </c>
      <c r="C37" s="70"/>
      <c r="D37" s="70"/>
      <c r="E37" s="70"/>
      <c r="F37" s="70"/>
      <c r="G37" s="70"/>
      <c r="H37" s="70"/>
      <c r="I37" s="70"/>
      <c r="J37" s="70"/>
      <c r="K37" s="70"/>
      <c r="L37" s="70"/>
      <c r="M37" s="70"/>
      <c r="N37" s="71">
        <f t="shared" si="0"/>
        <v>0</v>
      </c>
      <c r="O37" s="72"/>
      <c r="P37" s="70"/>
      <c r="Q37" s="70"/>
      <c r="R37" s="70"/>
      <c r="S37" s="70"/>
      <c r="T37" s="70"/>
      <c r="U37" s="70"/>
      <c r="V37" s="70"/>
      <c r="W37" s="70"/>
      <c r="X37" s="70"/>
      <c r="Y37" s="70"/>
      <c r="Z37" s="71">
        <f t="shared" si="1"/>
        <v>0</v>
      </c>
    </row>
    <row r="38" s="37" customFormat="1" ht="16.5" customHeight="1" spans="1:26">
      <c r="A38" s="76" t="s">
        <v>397</v>
      </c>
      <c r="B38" s="69">
        <v>31</v>
      </c>
      <c r="C38" s="70"/>
      <c r="D38" s="70"/>
      <c r="E38" s="70"/>
      <c r="F38" s="70"/>
      <c r="G38" s="70"/>
      <c r="H38" s="70"/>
      <c r="I38" s="70"/>
      <c r="J38" s="70"/>
      <c r="K38" s="70"/>
      <c r="L38" s="70"/>
      <c r="M38" s="70"/>
      <c r="N38" s="71">
        <f t="shared" si="0"/>
        <v>0</v>
      </c>
      <c r="O38" s="72"/>
      <c r="P38" s="70"/>
      <c r="Q38" s="70"/>
      <c r="R38" s="70"/>
      <c r="S38" s="70"/>
      <c r="T38" s="70"/>
      <c r="U38" s="70"/>
      <c r="V38" s="70"/>
      <c r="W38" s="70"/>
      <c r="X38" s="70"/>
      <c r="Y38" s="70"/>
      <c r="Z38" s="71">
        <f t="shared" si="1"/>
        <v>0</v>
      </c>
    </row>
    <row r="39" s="37" customFormat="1" ht="15" customHeight="1" spans="1:26">
      <c r="A39" s="73" t="s">
        <v>398</v>
      </c>
      <c r="B39" s="69">
        <v>32</v>
      </c>
      <c r="C39" s="70"/>
      <c r="D39" s="70"/>
      <c r="E39" s="70"/>
      <c r="F39" s="70"/>
      <c r="G39" s="70"/>
      <c r="H39" s="70"/>
      <c r="I39" s="70"/>
      <c r="J39" s="70"/>
      <c r="K39" s="70"/>
      <c r="L39" s="70"/>
      <c r="M39" s="70"/>
      <c r="N39" s="71">
        <f t="shared" si="0"/>
        <v>0</v>
      </c>
      <c r="O39" s="72"/>
      <c r="P39" s="70"/>
      <c r="Q39" s="70"/>
      <c r="R39" s="70"/>
      <c r="S39" s="70"/>
      <c r="T39" s="70"/>
      <c r="U39" s="70"/>
      <c r="V39" s="70"/>
      <c r="W39" s="70"/>
      <c r="X39" s="70"/>
      <c r="Y39" s="70"/>
      <c r="Z39" s="71">
        <f t="shared" si="1"/>
        <v>0</v>
      </c>
    </row>
    <row r="40" s="36" customFormat="1" ht="15" customHeight="1" spans="1:26">
      <c r="A40" s="77" t="s">
        <v>362</v>
      </c>
      <c r="B40" s="78">
        <v>33</v>
      </c>
      <c r="C40" s="79">
        <f>C12+C13</f>
        <v>0</v>
      </c>
      <c r="D40" s="79">
        <f>D12+D13</f>
        <v>0</v>
      </c>
      <c r="E40" s="79">
        <f t="shared" ref="E40:F40" si="30">E12+E13</f>
        <v>0</v>
      </c>
      <c r="F40" s="79">
        <f t="shared" si="30"/>
        <v>0</v>
      </c>
      <c r="G40" s="79">
        <f t="shared" ref="G40:M40" si="31">G12+G13</f>
        <v>0</v>
      </c>
      <c r="H40" s="79">
        <f t="shared" si="31"/>
        <v>0</v>
      </c>
      <c r="I40" s="79">
        <f t="shared" si="31"/>
        <v>0</v>
      </c>
      <c r="J40" s="79">
        <f t="shared" si="31"/>
        <v>0</v>
      </c>
      <c r="K40" s="79">
        <f t="shared" si="31"/>
        <v>0</v>
      </c>
      <c r="L40" s="79">
        <f t="shared" si="31"/>
        <v>0</v>
      </c>
      <c r="M40" s="79">
        <f t="shared" si="31"/>
        <v>0</v>
      </c>
      <c r="N40" s="80">
        <f t="shared" si="0"/>
        <v>0</v>
      </c>
      <c r="O40" s="81">
        <f>O12+O13</f>
        <v>0</v>
      </c>
      <c r="P40" s="79">
        <f>P12+P13</f>
        <v>0</v>
      </c>
      <c r="Q40" s="79">
        <f t="shared" ref="Q40:R40" si="32">Q12+Q13</f>
        <v>0</v>
      </c>
      <c r="R40" s="79">
        <f t="shared" si="32"/>
        <v>0</v>
      </c>
      <c r="S40" s="79">
        <f t="shared" ref="S40:Y40" si="33">S12+S13</f>
        <v>0</v>
      </c>
      <c r="T40" s="79">
        <f t="shared" si="33"/>
        <v>0</v>
      </c>
      <c r="U40" s="79">
        <f t="shared" si="33"/>
        <v>0</v>
      </c>
      <c r="V40" s="79">
        <f t="shared" si="33"/>
        <v>0</v>
      </c>
      <c r="W40" s="79">
        <f t="shared" si="33"/>
        <v>0</v>
      </c>
      <c r="X40" s="79">
        <f t="shared" si="33"/>
        <v>0</v>
      </c>
      <c r="Y40" s="79">
        <f t="shared" si="33"/>
        <v>0</v>
      </c>
      <c r="Z40" s="80">
        <f t="shared" si="1"/>
        <v>0</v>
      </c>
    </row>
    <row r="41" s="35" customFormat="1" ht="15.6" customHeight="1" spans="1:26">
      <c r="B41" s="82"/>
      <c r="C41" s="82"/>
      <c r="D41" s="82"/>
      <c r="E41" s="82"/>
      <c r="F41" s="82"/>
      <c r="G41" s="82"/>
      <c r="H41" s="82"/>
      <c r="I41" s="82"/>
      <c r="J41" s="82"/>
      <c r="K41" s="82"/>
      <c r="L41" s="82"/>
      <c r="M41" s="82"/>
      <c r="N41" s="82"/>
      <c r="O41" s="35"/>
      <c r="P41" s="82"/>
      <c r="Q41" s="82"/>
      <c r="R41" s="82"/>
      <c r="U41" s="82"/>
    </row>
    <row r="42" s="35" customFormat="1" ht="15.6" customHeight="1" spans="1:26">
      <c r="A42" s="83" t="s">
        <v>363</v>
      </c>
      <c r="B42" s="35"/>
      <c r="E42" s="84" t="s">
        <v>364</v>
      </c>
      <c r="L42" s="84" t="s">
        <v>365</v>
      </c>
      <c r="Q42" s="84" t="s">
        <v>364</v>
      </c>
      <c r="X42" s="84" t="s">
        <v>365</v>
      </c>
    </row>
    <row r="46" s="37" customFormat="1" spans="1:26">
      <c r="A46" s="85" t="s">
        <v>399</v>
      </c>
      <c r="B46" s="34"/>
    </row>
  </sheetData>
  <mergeCells count="27">
    <mergeCell ref="E3:G3"/>
    <mergeCell ref="Q3:S3"/>
    <mergeCell ref="C4:N4"/>
    <mergeCell ref="O4:Z4"/>
    <mergeCell ref="D5:F5"/>
    <mergeCell ref="P5:R5"/>
    <mergeCell ref="A46:G46"/>
    <mergeCell ref="A4:A6"/>
    <mergeCell ref="B4:B6"/>
    <mergeCell ref="C5:C6"/>
    <mergeCell ref="G5:G6"/>
    <mergeCell ref="H5:H6"/>
    <mergeCell ref="I5:I6"/>
    <mergeCell ref="J5:J6"/>
    <mergeCell ref="K5:K6"/>
    <mergeCell ref="L5:L6"/>
    <mergeCell ref="M5:M6"/>
    <mergeCell ref="N5:N6"/>
    <mergeCell ref="O5:O6"/>
    <mergeCell ref="S5:S6"/>
    <mergeCell ref="T5:T6"/>
    <mergeCell ref="U5:U6"/>
    <mergeCell ref="V5:V6"/>
    <mergeCell ref="W5:W6"/>
    <mergeCell ref="X5:X6"/>
    <mergeCell ref="Y5:Y6"/>
    <mergeCell ref="Z5:Z6"/>
  </mergeCells>
  <conditionalFormatting sqref="C$1:Z$1048576">
    <cfRule type="cellIs" dxfId="0" priority="1" operator="equal">
      <formula>0</formula>
    </cfRule>
  </conditionalFormatting>
  <printOptions horizontalCentered="1"/>
  <pageMargins left="0.432638888888889" right="0.393055555555556" top="1.02361111111111" bottom="0.826388888888889" header="0.511811023622047" footer="0.511811023622047"/>
  <pageSetup paperSize="9" scale="70" firstPageNumber="10" fitToWidth="0" orientation="landscape" useFirstPageNumber="1"/>
  <headerFooter alignWithMargins="0">
    <oddFooter>&amp;C&amp;"Arial Narrow,常规"&amp;P</oddFooter>
  </headerFooter>
  <colBreaks count="1" manualBreakCount="1">
    <brk id="14" max="41"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M31"/>
  <sheetViews>
    <sheetView showGridLines="0" view="pageBreakPreview" zoomScaleNormal="100" workbookViewId="0">
      <pane xSplit="2" ySplit="6" topLeftCell="D7" activePane="bottomRight" state="frozen"/>
      <selection/>
      <selection pane="topRight"/>
      <selection pane="bottomLeft"/>
      <selection pane="bottomRight" activeCell="H15" sqref="H15"/>
    </sheetView>
  </sheetViews>
  <sheetFormatPr defaultColWidth="9" defaultRowHeight="17.25" customHeight="1"/>
  <cols>
    <col min="1" max="1" width="23" style="3" customWidth="1"/>
    <col min="2" max="2" width="4.2" style="3" customWidth="1"/>
    <col min="3" max="13" width="14.9" style="3" customWidth="1"/>
    <col min="14" max="16384" width="9" style="3"/>
  </cols>
  <sheetData>
    <row r="1" ht="30" customHeight="1" spans="1:13">
      <c r="A1" s="5" t="s">
        <v>400</v>
      </c>
      <c r="B1" s="5"/>
      <c r="C1" s="5"/>
      <c r="D1" s="5"/>
      <c r="E1" s="5"/>
      <c r="F1" s="5"/>
      <c r="G1" s="5"/>
      <c r="H1" s="5"/>
      <c r="I1" s="5"/>
      <c r="J1" s="5"/>
      <c r="K1" s="5"/>
      <c r="L1" s="5"/>
      <c r="M1" s="5"/>
    </row>
    <row r="2" s="1" customFormat="1" ht="18" customHeight="1" spans="1:13">
      <c r="A2" s="6"/>
      <c r="B2" s="6"/>
      <c r="C2" s="6"/>
      <c r="D2" s="6"/>
      <c r="E2" s="6"/>
      <c r="F2" s="6"/>
      <c r="G2" s="6"/>
      <c r="H2" s="6"/>
      <c r="I2" s="6"/>
      <c r="J2" s="6"/>
      <c r="K2" s="6"/>
      <c r="L2" s="6"/>
      <c r="M2" s="6"/>
    </row>
    <row r="3" s="1" customFormat="1" ht="18" customHeight="1" spans="1:13">
      <c r="A3" s="6" t="s">
        <v>2</v>
      </c>
      <c r="B3" s="6"/>
      <c r="D3" s="7"/>
      <c r="F3" s="8"/>
      <c r="G3" s="8"/>
      <c r="H3" s="9" t="s">
        <v>401</v>
      </c>
      <c r="I3" s="8"/>
      <c r="J3" s="8"/>
      <c r="K3" s="8"/>
      <c r="L3" s="8"/>
      <c r="M3" s="10" t="s">
        <v>3</v>
      </c>
    </row>
    <row r="4" s="3" customFormat="1" ht="18" customHeight="1" spans="1:13">
      <c r="A4" s="11" t="s">
        <v>402</v>
      </c>
      <c r="B4" s="12" t="s">
        <v>309</v>
      </c>
      <c r="C4" s="12" t="s">
        <v>403</v>
      </c>
      <c r="D4" s="12" t="s">
        <v>404</v>
      </c>
      <c r="E4" s="12"/>
      <c r="F4" s="12"/>
      <c r="G4" s="12"/>
      <c r="H4" s="12" t="s">
        <v>405</v>
      </c>
      <c r="I4" s="12"/>
      <c r="J4" s="12"/>
      <c r="K4" s="12"/>
      <c r="L4" s="12"/>
      <c r="M4" s="12" t="s">
        <v>406</v>
      </c>
    </row>
    <row r="5" s="3" customFormat="1" ht="24" spans="1:13">
      <c r="A5" s="11"/>
      <c r="B5" s="12"/>
      <c r="C5" s="12"/>
      <c r="D5" s="12" t="s">
        <v>407</v>
      </c>
      <c r="E5" s="12" t="s">
        <v>408</v>
      </c>
      <c r="F5" s="12" t="s">
        <v>409</v>
      </c>
      <c r="G5" s="12" t="s">
        <v>410</v>
      </c>
      <c r="H5" s="12" t="s">
        <v>411</v>
      </c>
      <c r="I5" s="12" t="s">
        <v>412</v>
      </c>
      <c r="J5" s="12" t="s">
        <v>413</v>
      </c>
      <c r="K5" s="12" t="s">
        <v>414</v>
      </c>
      <c r="L5" s="12" t="s">
        <v>410</v>
      </c>
      <c r="M5" s="12"/>
    </row>
    <row r="6" s="3" customFormat="1" ht="22.2" customHeight="1" spans="1:13">
      <c r="A6" s="11" t="s">
        <v>415</v>
      </c>
      <c r="B6" s="13" t="s">
        <v>329</v>
      </c>
      <c r="C6" s="29">
        <v>1</v>
      </c>
      <c r="D6" s="29">
        <v>2</v>
      </c>
      <c r="E6" s="29">
        <v>3</v>
      </c>
      <c r="F6" s="29">
        <v>4</v>
      </c>
      <c r="G6" s="29">
        <v>5</v>
      </c>
      <c r="H6" s="29">
        <v>6</v>
      </c>
      <c r="I6" s="29">
        <v>7</v>
      </c>
      <c r="J6" s="29">
        <v>8</v>
      </c>
      <c r="K6" s="29">
        <v>9</v>
      </c>
      <c r="L6" s="29">
        <v>10</v>
      </c>
      <c r="M6" s="29">
        <v>11</v>
      </c>
    </row>
    <row r="7" s="3" customFormat="1" ht="26" customHeight="1" spans="1:13">
      <c r="A7" s="30" t="s">
        <v>416</v>
      </c>
      <c r="B7" s="16">
        <v>1</v>
      </c>
      <c r="C7" s="17"/>
      <c r="D7" s="17"/>
      <c r="E7" s="17"/>
      <c r="F7" s="17"/>
      <c r="G7" s="17">
        <f>SUM(D7:F7)</f>
        <v>0</v>
      </c>
      <c r="H7" s="18"/>
      <c r="I7" s="18"/>
      <c r="J7" s="18"/>
      <c r="K7" s="18"/>
      <c r="L7" s="17">
        <f t="shared" ref="L7:L25" si="0">SUM(H7:K7)</f>
        <v>0</v>
      </c>
      <c r="M7" s="17">
        <f>C7+G7-L7</f>
        <v>0</v>
      </c>
    </row>
    <row r="8" s="3" customFormat="1" ht="26" customHeight="1" spans="1:13">
      <c r="A8" s="19" t="s">
        <v>417</v>
      </c>
      <c r="B8" s="20">
        <v>2</v>
      </c>
      <c r="C8" s="21"/>
      <c r="D8" s="21"/>
      <c r="E8" s="21"/>
      <c r="F8" s="21"/>
      <c r="G8" s="21"/>
      <c r="H8" s="23"/>
      <c r="I8" s="23"/>
      <c r="J8" s="23"/>
      <c r="K8" s="23"/>
      <c r="L8" s="21"/>
      <c r="M8" s="21"/>
    </row>
    <row r="9" s="4" customFormat="1" ht="26" customHeight="1" spans="1:13">
      <c r="A9" s="19" t="s">
        <v>418</v>
      </c>
      <c r="B9" s="20">
        <v>3</v>
      </c>
      <c r="C9" s="21"/>
      <c r="D9" s="21"/>
      <c r="E9" s="21"/>
      <c r="F9" s="21"/>
      <c r="G9" s="21">
        <f t="shared" ref="G9:G24" si="1">SUM(D9:F9)</f>
        <v>0</v>
      </c>
      <c r="H9" s="23"/>
      <c r="I9" s="23"/>
      <c r="J9" s="23"/>
      <c r="K9" s="23"/>
      <c r="L9" s="21">
        <f t="shared" si="0"/>
        <v>0</v>
      </c>
      <c r="M9" s="21">
        <f>C9+G9-L9</f>
        <v>0</v>
      </c>
    </row>
    <row r="10" s="4" customFormat="1" ht="26" customHeight="1" spans="1:13">
      <c r="A10" s="19" t="s">
        <v>419</v>
      </c>
      <c r="B10" s="20">
        <v>4</v>
      </c>
      <c r="C10" s="21"/>
      <c r="D10" s="21"/>
      <c r="E10" s="21"/>
      <c r="F10" s="21"/>
      <c r="G10" s="21">
        <f t="shared" si="1"/>
        <v>0</v>
      </c>
      <c r="H10" s="23"/>
      <c r="I10" s="23"/>
      <c r="J10" s="23"/>
      <c r="K10" s="23"/>
      <c r="L10" s="21">
        <f t="shared" si="0"/>
        <v>0</v>
      </c>
      <c r="M10" s="21">
        <f t="shared" ref="M10:M13" si="2">C10+G10-L10</f>
        <v>0</v>
      </c>
    </row>
    <row r="11" s="4" customFormat="1" ht="26" customHeight="1" spans="1:13">
      <c r="A11" s="19" t="s">
        <v>420</v>
      </c>
      <c r="B11" s="20">
        <v>5</v>
      </c>
      <c r="C11" s="21"/>
      <c r="D11" s="21"/>
      <c r="E11" s="21"/>
      <c r="F11" s="21"/>
      <c r="G11" s="21">
        <f t="shared" si="1"/>
        <v>0</v>
      </c>
      <c r="H11" s="23"/>
      <c r="I11" s="23"/>
      <c r="J11" s="23"/>
      <c r="K11" s="23"/>
      <c r="L11" s="21">
        <f t="shared" si="0"/>
        <v>0</v>
      </c>
      <c r="M11" s="21">
        <f t="shared" si="2"/>
        <v>0</v>
      </c>
    </row>
    <row r="12" s="4" customFormat="1" ht="26" customHeight="1" spans="1:13">
      <c r="A12" s="19" t="s">
        <v>421</v>
      </c>
      <c r="B12" s="20">
        <v>6</v>
      </c>
      <c r="C12" s="21"/>
      <c r="D12" s="21"/>
      <c r="E12" s="21"/>
      <c r="F12" s="21"/>
      <c r="G12" s="21">
        <f t="shared" si="1"/>
        <v>0</v>
      </c>
      <c r="H12" s="23"/>
      <c r="I12" s="23"/>
      <c r="J12" s="23"/>
      <c r="K12" s="23"/>
      <c r="L12" s="21">
        <f t="shared" si="0"/>
        <v>0</v>
      </c>
      <c r="M12" s="21">
        <f t="shared" si="2"/>
        <v>0</v>
      </c>
    </row>
    <row r="13" s="4" customFormat="1" ht="26" customHeight="1" spans="1:13">
      <c r="A13" s="19" t="s">
        <v>422</v>
      </c>
      <c r="B13" s="20">
        <v>7</v>
      </c>
      <c r="C13" s="21"/>
      <c r="D13" s="21"/>
      <c r="E13" s="21"/>
      <c r="F13" s="21"/>
      <c r="G13" s="21">
        <f t="shared" si="1"/>
        <v>0</v>
      </c>
      <c r="H13" s="23" t="s">
        <v>329</v>
      </c>
      <c r="I13" s="23"/>
      <c r="J13" s="21"/>
      <c r="K13" s="21"/>
      <c r="L13" s="21">
        <f t="shared" si="0"/>
        <v>0</v>
      </c>
      <c r="M13" s="21">
        <f t="shared" si="2"/>
        <v>0</v>
      </c>
    </row>
    <row r="14" s="4" customFormat="1" ht="26" customHeight="1" spans="1:13">
      <c r="A14" s="19" t="s">
        <v>423</v>
      </c>
      <c r="B14" s="20">
        <v>8</v>
      </c>
      <c r="C14" s="21"/>
      <c r="D14" s="21"/>
      <c r="E14" s="21"/>
      <c r="F14" s="21"/>
      <c r="G14" s="21">
        <f t="shared" si="1"/>
        <v>0</v>
      </c>
      <c r="H14" s="23"/>
      <c r="I14" s="21"/>
      <c r="J14" s="21"/>
      <c r="K14" s="21"/>
      <c r="L14" s="21">
        <f t="shared" si="0"/>
        <v>0</v>
      </c>
      <c r="M14" s="21">
        <f t="shared" ref="M14:M21" si="3">C14+G14-L14</f>
        <v>0</v>
      </c>
    </row>
    <row r="15" s="4" customFormat="1" ht="26" customHeight="1" spans="1:13">
      <c r="A15" s="19" t="s">
        <v>424</v>
      </c>
      <c r="B15" s="20">
        <v>9</v>
      </c>
      <c r="C15" s="21"/>
      <c r="D15" s="21"/>
      <c r="E15" s="21"/>
      <c r="F15" s="21"/>
      <c r="G15" s="21">
        <f t="shared" si="1"/>
        <v>0</v>
      </c>
      <c r="H15" s="23" t="s">
        <v>329</v>
      </c>
      <c r="I15" s="21"/>
      <c r="J15" s="21"/>
      <c r="K15" s="21"/>
      <c r="L15" s="21">
        <f t="shared" si="0"/>
        <v>0</v>
      </c>
      <c r="M15" s="21">
        <f t="shared" si="3"/>
        <v>0</v>
      </c>
    </row>
    <row r="16" s="4" customFormat="1" ht="26" customHeight="1" spans="1:13">
      <c r="A16" s="19" t="s">
        <v>425</v>
      </c>
      <c r="B16" s="20">
        <v>10</v>
      </c>
      <c r="C16" s="21"/>
      <c r="D16" s="21"/>
      <c r="E16" s="21"/>
      <c r="F16" s="21"/>
      <c r="G16" s="21">
        <f t="shared" si="1"/>
        <v>0</v>
      </c>
      <c r="H16" s="23" t="s">
        <v>329</v>
      </c>
      <c r="I16" s="21"/>
      <c r="J16" s="21"/>
      <c r="K16" s="21"/>
      <c r="L16" s="21">
        <f t="shared" si="0"/>
        <v>0</v>
      </c>
      <c r="M16" s="21">
        <f t="shared" si="3"/>
        <v>0</v>
      </c>
    </row>
    <row r="17" s="4" customFormat="1" ht="26" customHeight="1" spans="1:13">
      <c r="A17" s="19" t="s">
        <v>426</v>
      </c>
      <c r="B17" s="20">
        <v>11</v>
      </c>
      <c r="C17" s="21"/>
      <c r="D17" s="21"/>
      <c r="E17" s="21"/>
      <c r="F17" s="21"/>
      <c r="G17" s="21">
        <f t="shared" si="1"/>
        <v>0</v>
      </c>
      <c r="H17" s="23" t="s">
        <v>329</v>
      </c>
      <c r="I17" s="23"/>
      <c r="J17" s="21"/>
      <c r="K17" s="21"/>
      <c r="L17" s="21">
        <f t="shared" si="0"/>
        <v>0</v>
      </c>
      <c r="M17" s="21">
        <f t="shared" si="3"/>
        <v>0</v>
      </c>
    </row>
    <row r="18" s="4" customFormat="1" ht="26" customHeight="1" spans="1:13">
      <c r="A18" s="19" t="s">
        <v>427</v>
      </c>
      <c r="B18" s="20">
        <v>12</v>
      </c>
      <c r="C18" s="21"/>
      <c r="D18" s="21"/>
      <c r="E18" s="21"/>
      <c r="F18" s="21"/>
      <c r="G18" s="21">
        <f t="shared" si="1"/>
        <v>0</v>
      </c>
      <c r="H18" s="23" t="s">
        <v>329</v>
      </c>
      <c r="I18" s="21"/>
      <c r="J18" s="21"/>
      <c r="K18" s="21"/>
      <c r="L18" s="21">
        <f t="shared" si="0"/>
        <v>0</v>
      </c>
      <c r="M18" s="21">
        <f t="shared" si="3"/>
        <v>0</v>
      </c>
    </row>
    <row r="19" s="4" customFormat="1" ht="26" customHeight="1" spans="1:13">
      <c r="A19" s="19" t="s">
        <v>428</v>
      </c>
      <c r="B19" s="20">
        <v>13</v>
      </c>
      <c r="C19" s="21"/>
      <c r="D19" s="21"/>
      <c r="E19" s="21"/>
      <c r="F19" s="21"/>
      <c r="G19" s="21">
        <f t="shared" si="1"/>
        <v>0</v>
      </c>
      <c r="H19" s="23" t="s">
        <v>329</v>
      </c>
      <c r="I19" s="21"/>
      <c r="J19" s="21"/>
      <c r="K19" s="21"/>
      <c r="L19" s="21">
        <f t="shared" si="0"/>
        <v>0</v>
      </c>
      <c r="M19" s="21"/>
    </row>
    <row r="20" s="4" customFormat="1" ht="26" customHeight="1" spans="1:13">
      <c r="A20" s="19" t="s">
        <v>429</v>
      </c>
      <c r="B20" s="20">
        <v>14</v>
      </c>
      <c r="C20" s="21"/>
      <c r="D20" s="21"/>
      <c r="E20" s="21"/>
      <c r="F20" s="21"/>
      <c r="G20" s="21">
        <f t="shared" si="1"/>
        <v>0</v>
      </c>
      <c r="H20" s="23" t="s">
        <v>329</v>
      </c>
      <c r="I20" s="23"/>
      <c r="J20" s="21"/>
      <c r="K20" s="21"/>
      <c r="L20" s="21">
        <f t="shared" si="0"/>
        <v>0</v>
      </c>
      <c r="M20" s="21">
        <f t="shared" si="3"/>
        <v>0</v>
      </c>
    </row>
    <row r="21" s="4" customFormat="1" ht="26" customHeight="1" spans="1:13">
      <c r="A21" s="19" t="s">
        <v>430</v>
      </c>
      <c r="B21" s="20">
        <v>15</v>
      </c>
      <c r="C21" s="21"/>
      <c r="D21" s="21"/>
      <c r="E21" s="21"/>
      <c r="F21" s="21"/>
      <c r="G21" s="21">
        <f t="shared" si="1"/>
        <v>0</v>
      </c>
      <c r="H21" s="23" t="s">
        <v>329</v>
      </c>
      <c r="I21" s="21"/>
      <c r="J21" s="21"/>
      <c r="K21" s="21"/>
      <c r="L21" s="21">
        <f t="shared" si="0"/>
        <v>0</v>
      </c>
      <c r="M21" s="21">
        <f t="shared" si="3"/>
        <v>0</v>
      </c>
    </row>
    <row r="22" s="4" customFormat="1" ht="26" customHeight="1" spans="1:13">
      <c r="A22" s="19" t="s">
        <v>431</v>
      </c>
      <c r="B22" s="20">
        <v>16</v>
      </c>
      <c r="C22" s="21"/>
      <c r="D22" s="21"/>
      <c r="E22" s="21"/>
      <c r="F22" s="21"/>
      <c r="G22" s="21">
        <f t="shared" si="1"/>
        <v>0</v>
      </c>
      <c r="H22" s="23" t="s">
        <v>329</v>
      </c>
      <c r="I22" s="21"/>
      <c r="J22" s="21"/>
      <c r="K22" s="21"/>
      <c r="L22" s="21">
        <f t="shared" si="0"/>
        <v>0</v>
      </c>
      <c r="M22" s="21">
        <f t="shared" ref="M22:M25" si="4">C22+G22-L22</f>
        <v>0</v>
      </c>
    </row>
    <row r="23" s="4" customFormat="1" ht="26" customHeight="1" spans="1:13">
      <c r="A23" s="19" t="s">
        <v>432</v>
      </c>
      <c r="B23" s="20">
        <v>17</v>
      </c>
      <c r="C23" s="21"/>
      <c r="D23" s="21"/>
      <c r="E23" s="21"/>
      <c r="F23" s="21"/>
      <c r="G23" s="21">
        <f t="shared" si="1"/>
        <v>0</v>
      </c>
      <c r="H23" s="23" t="s">
        <v>329</v>
      </c>
      <c r="I23" s="21"/>
      <c r="J23" s="21"/>
      <c r="K23" s="21"/>
      <c r="L23" s="21">
        <f t="shared" si="0"/>
        <v>0</v>
      </c>
      <c r="M23" s="21">
        <f t="shared" si="4"/>
        <v>0</v>
      </c>
    </row>
    <row r="24" s="4" customFormat="1" ht="26" customHeight="1" spans="1:13">
      <c r="A24" s="19" t="s">
        <v>433</v>
      </c>
      <c r="B24" s="20">
        <v>18</v>
      </c>
      <c r="C24" s="21"/>
      <c r="D24" s="21"/>
      <c r="E24" s="21"/>
      <c r="F24" s="21"/>
      <c r="G24" s="21">
        <f t="shared" si="1"/>
        <v>0</v>
      </c>
      <c r="H24" s="21"/>
      <c r="I24" s="21"/>
      <c r="J24" s="21"/>
      <c r="K24" s="21"/>
      <c r="L24" s="21">
        <f t="shared" si="0"/>
        <v>0</v>
      </c>
      <c r="M24" s="21">
        <f t="shared" si="4"/>
        <v>0</v>
      </c>
    </row>
    <row r="25" s="3" customFormat="1" ht="26" customHeight="1" spans="1:13">
      <c r="A25" s="31" t="s">
        <v>434</v>
      </c>
      <c r="B25" s="26">
        <v>19</v>
      </c>
      <c r="C25" s="27">
        <f t="shared" ref="C25:G25" si="5">SUM(C7:C24)-C8</f>
        <v>0</v>
      </c>
      <c r="D25" s="27">
        <f t="shared" si="5"/>
        <v>0</v>
      </c>
      <c r="E25" s="27">
        <f t="shared" si="5"/>
        <v>0</v>
      </c>
      <c r="F25" s="27">
        <f t="shared" si="5"/>
        <v>0</v>
      </c>
      <c r="G25" s="27">
        <f t="shared" si="5"/>
        <v>0</v>
      </c>
      <c r="H25" s="27">
        <f t="shared" ref="H25:K25" si="6">SUM(H7:H24)-H8</f>
        <v>0</v>
      </c>
      <c r="I25" s="27">
        <f t="shared" si="6"/>
        <v>0</v>
      </c>
      <c r="J25" s="27">
        <f t="shared" si="6"/>
        <v>0</v>
      </c>
      <c r="K25" s="27">
        <f t="shared" si="6"/>
        <v>0</v>
      </c>
      <c r="L25" s="27">
        <f t="shared" si="0"/>
        <v>0</v>
      </c>
      <c r="M25" s="32">
        <f t="shared" si="4"/>
        <v>0</v>
      </c>
    </row>
    <row r="26" s="1" customFormat="1" customHeight="1"/>
    <row r="27" s="1" customFormat="1" customHeight="1" spans="1:13">
      <c r="A27" s="28" t="s">
        <v>435</v>
      </c>
    </row>
    <row r="28" s="1" customFormat="1" customHeight="1"/>
    <row r="29" customHeight="1" spans="1:13">
      <c r="A29" s="33" t="s">
        <v>436</v>
      </c>
    </row>
    <row r="30" customHeight="1" spans="1:13">
      <c r="A30" s="33" t="s">
        <v>437</v>
      </c>
    </row>
    <row r="31" customHeight="1" spans="1:13">
      <c r="A31" s="33" t="s">
        <v>438</v>
      </c>
    </row>
  </sheetData>
  <mergeCells count="7">
    <mergeCell ref="A1:M1"/>
    <mergeCell ref="D4:G4"/>
    <mergeCell ref="H4:L4"/>
    <mergeCell ref="A4:A5"/>
    <mergeCell ref="B4:B5"/>
    <mergeCell ref="C4:C5"/>
    <mergeCell ref="M4:M5"/>
  </mergeCells>
  <conditionalFormatting sqref="C$1:M$1048576">
    <cfRule type="cellIs" dxfId="0" priority="1" operator="equal">
      <formula>0</formula>
    </cfRule>
  </conditionalFormatting>
  <printOptions horizontalCentered="1"/>
  <pageMargins left="0.354166666666667" right="0.314583333333333" top="0.708333333333333" bottom="0.904861111111111" header="0.511811023622047" footer="0.511811023622047"/>
  <pageSetup paperSize="9" scale="69" firstPageNumber="10" orientation="landscape" useFirstPageNumber="1"/>
  <headerFooter alignWithMargins="0">
    <oddFooter>&amp;C&amp;"Arial Narrow,常规"&amp;P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M29"/>
  <sheetViews>
    <sheetView showGridLines="0" view="pageBreakPreview" zoomScaleNormal="100" workbookViewId="0">
      <pane xSplit="2" ySplit="6" topLeftCell="D7" activePane="bottomRight" state="frozen"/>
      <selection/>
      <selection pane="topRight"/>
      <selection pane="bottomLeft"/>
      <selection pane="bottomRight" activeCell="F14" sqref="F14"/>
    </sheetView>
  </sheetViews>
  <sheetFormatPr defaultColWidth="9" defaultRowHeight="17.25" customHeight="1"/>
  <cols>
    <col min="1" max="1" width="27.5" style="3" customWidth="1"/>
    <col min="2" max="2" width="6" style="3" customWidth="1"/>
    <col min="3" max="13" width="15.2" style="3" customWidth="1"/>
    <col min="14" max="16384" width="9" style="3"/>
  </cols>
  <sheetData>
    <row r="1" ht="30" customHeight="1" spans="1:13">
      <c r="A1" s="5" t="s">
        <v>439</v>
      </c>
      <c r="B1" s="5"/>
      <c r="C1" s="5"/>
      <c r="D1" s="5"/>
      <c r="E1" s="5"/>
      <c r="F1" s="5"/>
      <c r="G1" s="5"/>
      <c r="H1" s="5"/>
      <c r="I1" s="5"/>
      <c r="J1" s="5"/>
      <c r="K1" s="5"/>
      <c r="L1" s="5"/>
      <c r="M1" s="5"/>
    </row>
    <row r="2" s="1" customFormat="1" ht="18" customHeight="1" spans="1:13">
      <c r="A2" s="6"/>
      <c r="B2" s="6"/>
      <c r="C2" s="6"/>
      <c r="D2" s="6"/>
      <c r="E2" s="6"/>
      <c r="F2" s="6"/>
      <c r="G2" s="6"/>
      <c r="H2" s="6"/>
      <c r="I2" s="6"/>
      <c r="J2" s="6"/>
      <c r="K2" s="6"/>
      <c r="L2" s="6"/>
      <c r="M2" s="6"/>
    </row>
    <row r="3" s="1" customFormat="1" ht="18" customHeight="1" spans="1:13">
      <c r="A3" s="6" t="s">
        <v>2</v>
      </c>
      <c r="B3" s="6"/>
      <c r="D3" s="7"/>
      <c r="F3" s="8"/>
      <c r="G3" s="8"/>
      <c r="H3" s="9" t="s">
        <v>401</v>
      </c>
      <c r="I3" s="8"/>
      <c r="J3" s="8"/>
      <c r="K3" s="8"/>
      <c r="L3" s="8"/>
      <c r="M3" s="10" t="s">
        <v>3</v>
      </c>
    </row>
    <row r="4" s="2" customFormat="1" ht="18" customHeight="1" spans="1:13">
      <c r="A4" s="11" t="s">
        <v>402</v>
      </c>
      <c r="B4" s="12" t="s">
        <v>309</v>
      </c>
      <c r="C4" s="12" t="s">
        <v>403</v>
      </c>
      <c r="D4" s="12" t="s">
        <v>404</v>
      </c>
      <c r="E4" s="12"/>
      <c r="F4" s="12"/>
      <c r="G4" s="12"/>
      <c r="H4" s="12" t="s">
        <v>405</v>
      </c>
      <c r="I4" s="12"/>
      <c r="J4" s="13"/>
      <c r="K4" s="13"/>
      <c r="L4" s="13"/>
      <c r="M4" s="12" t="s">
        <v>406</v>
      </c>
    </row>
    <row r="5" s="2" customFormat="1" ht="24" spans="1:13">
      <c r="A5" s="11"/>
      <c r="B5" s="12"/>
      <c r="C5" s="12"/>
      <c r="D5" s="12" t="s">
        <v>407</v>
      </c>
      <c r="E5" s="12" t="s">
        <v>408</v>
      </c>
      <c r="F5" s="12" t="s">
        <v>409</v>
      </c>
      <c r="G5" s="12" t="s">
        <v>410</v>
      </c>
      <c r="H5" s="12" t="s">
        <v>440</v>
      </c>
      <c r="I5" s="12" t="s">
        <v>412</v>
      </c>
      <c r="J5" s="12" t="s">
        <v>413</v>
      </c>
      <c r="K5" s="12" t="s">
        <v>414</v>
      </c>
      <c r="L5" s="12" t="s">
        <v>410</v>
      </c>
      <c r="M5" s="12"/>
    </row>
    <row r="6" s="2" customFormat="1" ht="18" customHeight="1" spans="1:13">
      <c r="A6" s="11" t="s">
        <v>415</v>
      </c>
      <c r="B6" s="12" t="s">
        <v>329</v>
      </c>
      <c r="C6" s="14">
        <v>1</v>
      </c>
      <c r="D6" s="14">
        <v>2</v>
      </c>
      <c r="E6" s="14">
        <v>3</v>
      </c>
      <c r="F6" s="14">
        <v>4</v>
      </c>
      <c r="G6" s="14">
        <v>5</v>
      </c>
      <c r="H6" s="14">
        <v>6</v>
      </c>
      <c r="I6" s="14">
        <v>7</v>
      </c>
      <c r="J6" s="14">
        <v>8</v>
      </c>
      <c r="K6" s="14">
        <v>9</v>
      </c>
      <c r="L6" s="14">
        <v>10</v>
      </c>
      <c r="M6" s="14">
        <v>11</v>
      </c>
    </row>
    <row r="7" s="3" customFormat="1" ht="35" customHeight="1" spans="1:13">
      <c r="A7" s="15" t="s">
        <v>416</v>
      </c>
      <c r="B7" s="16">
        <v>1</v>
      </c>
      <c r="C7" s="17"/>
      <c r="D7" s="17"/>
      <c r="E7" s="17"/>
      <c r="F7" s="17"/>
      <c r="G7" s="17">
        <f>SUM(D7:F7)</f>
        <v>0</v>
      </c>
      <c r="H7" s="18"/>
      <c r="I7" s="18"/>
      <c r="J7" s="18"/>
      <c r="K7" s="18"/>
      <c r="L7" s="17">
        <f>SUM(H7:K7)</f>
        <v>0</v>
      </c>
      <c r="M7" s="17">
        <f>C7+G7-L7</f>
        <v>0</v>
      </c>
    </row>
    <row r="8" s="4" customFormat="1" ht="35" customHeight="1" spans="1:13">
      <c r="A8" s="19" t="s">
        <v>417</v>
      </c>
      <c r="B8" s="20">
        <v>2</v>
      </c>
      <c r="C8" s="21"/>
      <c r="D8" s="22"/>
      <c r="E8" s="22"/>
      <c r="F8" s="22"/>
      <c r="G8" s="21">
        <f t="shared" ref="G8:G24" si="0">SUM(D8:F8)</f>
        <v>0</v>
      </c>
      <c r="H8" s="23"/>
      <c r="I8" s="23"/>
      <c r="J8" s="23"/>
      <c r="K8" s="23"/>
      <c r="L8" s="21">
        <f>SUM(H8:K8)</f>
        <v>0</v>
      </c>
      <c r="M8" s="21">
        <f>C8+G8-L8</f>
        <v>0</v>
      </c>
    </row>
    <row r="9" s="4" customFormat="1" ht="35" customHeight="1" spans="1:13">
      <c r="A9" s="24" t="s">
        <v>418</v>
      </c>
      <c r="B9" s="20">
        <v>3</v>
      </c>
      <c r="C9" s="21"/>
      <c r="D9" s="22"/>
      <c r="E9" s="22"/>
      <c r="F9" s="22"/>
      <c r="G9" s="21">
        <f t="shared" si="0"/>
        <v>0</v>
      </c>
      <c r="H9" s="23"/>
      <c r="I9" s="23"/>
      <c r="J9" s="23"/>
      <c r="K9" s="23"/>
      <c r="L9" s="21">
        <f t="shared" ref="L9:L11" si="1">SUM(H9:K9)</f>
        <v>0</v>
      </c>
      <c r="M9" s="21">
        <f t="shared" ref="M9:M10" si="2">C9+G9-L9</f>
        <v>0</v>
      </c>
    </row>
    <row r="10" s="4" customFormat="1" ht="27" customHeight="1" spans="1:13">
      <c r="A10" s="24" t="s">
        <v>419</v>
      </c>
      <c r="B10" s="20">
        <v>4</v>
      </c>
      <c r="C10" s="21"/>
      <c r="D10" s="21"/>
      <c r="E10" s="21"/>
      <c r="F10" s="21"/>
      <c r="G10" s="21">
        <f t="shared" si="0"/>
        <v>0</v>
      </c>
      <c r="H10" s="23"/>
      <c r="I10" s="23"/>
      <c r="J10" s="23"/>
      <c r="K10" s="23"/>
      <c r="L10" s="21">
        <f t="shared" si="1"/>
        <v>0</v>
      </c>
      <c r="M10" s="21">
        <f t="shared" si="2"/>
        <v>0</v>
      </c>
    </row>
    <row r="11" s="4" customFormat="1" ht="27" customHeight="1" spans="1:13">
      <c r="A11" s="24" t="s">
        <v>420</v>
      </c>
      <c r="B11" s="20">
        <v>5</v>
      </c>
      <c r="C11" s="21"/>
      <c r="D11" s="21"/>
      <c r="E11" s="21"/>
      <c r="F11" s="21"/>
      <c r="G11" s="21">
        <f t="shared" si="0"/>
        <v>0</v>
      </c>
      <c r="H11" s="23"/>
      <c r="I11" s="23"/>
      <c r="J11" s="21"/>
      <c r="K11" s="21"/>
      <c r="L11" s="21">
        <f t="shared" si="1"/>
        <v>0</v>
      </c>
      <c r="M11" s="21">
        <f t="shared" ref="M11:M21" si="3">C11+G11-L11</f>
        <v>0</v>
      </c>
    </row>
    <row r="12" s="4" customFormat="1" ht="27" customHeight="1" spans="1:13">
      <c r="A12" s="24" t="s">
        <v>421</v>
      </c>
      <c r="B12" s="20">
        <v>6</v>
      </c>
      <c r="C12" s="21"/>
      <c r="D12" s="21"/>
      <c r="E12" s="21"/>
      <c r="F12" s="21"/>
      <c r="G12" s="21">
        <f t="shared" si="0"/>
        <v>0</v>
      </c>
      <c r="H12" s="23"/>
      <c r="I12" s="23"/>
      <c r="J12" s="21"/>
      <c r="K12" s="21"/>
      <c r="L12" s="21">
        <f>SUM(I12:K12)</f>
        <v>0</v>
      </c>
      <c r="M12" s="21">
        <f t="shared" si="3"/>
        <v>0</v>
      </c>
    </row>
    <row r="13" s="4" customFormat="1" ht="27" customHeight="1" spans="1:13">
      <c r="A13" s="24" t="s">
        <v>422</v>
      </c>
      <c r="B13" s="20">
        <v>7</v>
      </c>
      <c r="C13" s="21"/>
      <c r="D13" s="21"/>
      <c r="E13" s="21"/>
      <c r="F13" s="21"/>
      <c r="G13" s="21">
        <f t="shared" si="0"/>
        <v>0</v>
      </c>
      <c r="H13" s="23" t="s">
        <v>329</v>
      </c>
      <c r="I13" s="21"/>
      <c r="J13" s="21"/>
      <c r="K13" s="21"/>
      <c r="L13" s="21">
        <f t="shared" ref="L13:L19" si="4">SUM(I13:K13)</f>
        <v>0</v>
      </c>
      <c r="M13" s="21">
        <f t="shared" si="3"/>
        <v>0</v>
      </c>
    </row>
    <row r="14" s="4" customFormat="1" ht="27" customHeight="1" spans="1:13">
      <c r="A14" s="24" t="s">
        <v>423</v>
      </c>
      <c r="B14" s="20">
        <v>8</v>
      </c>
      <c r="C14" s="21"/>
      <c r="D14" s="21"/>
      <c r="E14" s="21"/>
      <c r="F14" s="21"/>
      <c r="G14" s="21">
        <f t="shared" si="0"/>
        <v>0</v>
      </c>
      <c r="H14" s="23"/>
      <c r="I14" s="21"/>
      <c r="J14" s="21"/>
      <c r="K14" s="21"/>
      <c r="L14" s="21">
        <f t="shared" si="4"/>
        <v>0</v>
      </c>
      <c r="M14" s="21">
        <f t="shared" si="3"/>
        <v>0</v>
      </c>
    </row>
    <row r="15" s="4" customFormat="1" ht="27" customHeight="1" spans="1:13">
      <c r="A15" s="24" t="s">
        <v>424</v>
      </c>
      <c r="B15" s="20">
        <v>9</v>
      </c>
      <c r="C15" s="21"/>
      <c r="D15" s="21"/>
      <c r="E15" s="21"/>
      <c r="F15" s="21"/>
      <c r="G15" s="21">
        <f t="shared" si="0"/>
        <v>0</v>
      </c>
      <c r="H15" s="23" t="s">
        <v>329</v>
      </c>
      <c r="I15" s="23"/>
      <c r="J15" s="21"/>
      <c r="K15" s="21"/>
      <c r="L15" s="21">
        <f t="shared" si="4"/>
        <v>0</v>
      </c>
      <c r="M15" s="21">
        <f t="shared" si="3"/>
        <v>0</v>
      </c>
    </row>
    <row r="16" s="4" customFormat="1" ht="27" customHeight="1" spans="1:13">
      <c r="A16" s="24" t="s">
        <v>425</v>
      </c>
      <c r="B16" s="20">
        <v>10</v>
      </c>
      <c r="C16" s="21"/>
      <c r="D16" s="21"/>
      <c r="E16" s="21"/>
      <c r="F16" s="21"/>
      <c r="G16" s="21">
        <f t="shared" si="0"/>
        <v>0</v>
      </c>
      <c r="H16" s="23" t="s">
        <v>329</v>
      </c>
      <c r="I16" s="21"/>
      <c r="J16" s="21"/>
      <c r="K16" s="21"/>
      <c r="L16" s="21">
        <f t="shared" si="4"/>
        <v>0</v>
      </c>
      <c r="M16" s="21">
        <f t="shared" si="3"/>
        <v>0</v>
      </c>
    </row>
    <row r="17" s="4" customFormat="1" ht="27" customHeight="1" spans="1:13">
      <c r="A17" s="24" t="s">
        <v>426</v>
      </c>
      <c r="B17" s="20">
        <v>11</v>
      </c>
      <c r="C17" s="21"/>
      <c r="D17" s="21"/>
      <c r="E17" s="21"/>
      <c r="F17" s="21"/>
      <c r="G17" s="21">
        <f t="shared" si="0"/>
        <v>0</v>
      </c>
      <c r="H17" s="23" t="s">
        <v>329</v>
      </c>
      <c r="I17" s="23"/>
      <c r="J17" s="21"/>
      <c r="K17" s="21"/>
      <c r="L17" s="21">
        <f t="shared" si="4"/>
        <v>0</v>
      </c>
      <c r="M17" s="21">
        <f t="shared" si="3"/>
        <v>0</v>
      </c>
    </row>
    <row r="18" s="4" customFormat="1" ht="27" customHeight="1" spans="1:13">
      <c r="A18" s="24" t="s">
        <v>427</v>
      </c>
      <c r="B18" s="20">
        <v>12</v>
      </c>
      <c r="C18" s="21"/>
      <c r="D18" s="21"/>
      <c r="E18" s="21"/>
      <c r="F18" s="21"/>
      <c r="G18" s="21">
        <f t="shared" si="0"/>
        <v>0</v>
      </c>
      <c r="H18" s="23" t="s">
        <v>329</v>
      </c>
      <c r="I18" s="21"/>
      <c r="J18" s="21"/>
      <c r="K18" s="21"/>
      <c r="L18" s="21">
        <f t="shared" si="4"/>
        <v>0</v>
      </c>
      <c r="M18" s="21">
        <f t="shared" si="3"/>
        <v>0</v>
      </c>
    </row>
    <row r="19" s="4" customFormat="1" ht="27" customHeight="1" spans="1:13">
      <c r="A19" s="24" t="s">
        <v>428</v>
      </c>
      <c r="B19" s="20">
        <v>13</v>
      </c>
      <c r="C19" s="21"/>
      <c r="D19" s="21"/>
      <c r="E19" s="21"/>
      <c r="F19" s="21"/>
      <c r="G19" s="21">
        <f t="shared" si="0"/>
        <v>0</v>
      </c>
      <c r="H19" s="23" t="s">
        <v>329</v>
      </c>
      <c r="I19" s="23"/>
      <c r="J19" s="21"/>
      <c r="K19" s="21"/>
      <c r="L19" s="21">
        <f t="shared" si="4"/>
        <v>0</v>
      </c>
      <c r="M19" s="21">
        <f t="shared" si="3"/>
        <v>0</v>
      </c>
    </row>
    <row r="20" s="4" customFormat="1" ht="27" customHeight="1" spans="1:13">
      <c r="A20" s="24" t="s">
        <v>429</v>
      </c>
      <c r="B20" s="20">
        <v>14</v>
      </c>
      <c r="C20" s="21"/>
      <c r="D20" s="21"/>
      <c r="E20" s="21"/>
      <c r="F20" s="21"/>
      <c r="G20" s="21"/>
      <c r="H20" s="23" t="s">
        <v>329</v>
      </c>
      <c r="I20" s="23"/>
      <c r="J20" s="21"/>
      <c r="K20" s="21"/>
      <c r="L20" s="21"/>
      <c r="M20" s="21"/>
    </row>
    <row r="21" s="4" customFormat="1" ht="27" customHeight="1" spans="1:13">
      <c r="A21" s="24" t="s">
        <v>430</v>
      </c>
      <c r="B21" s="20">
        <v>15</v>
      </c>
      <c r="C21" s="21"/>
      <c r="D21" s="21"/>
      <c r="E21" s="21"/>
      <c r="F21" s="21"/>
      <c r="G21" s="21">
        <f t="shared" si="0"/>
        <v>0</v>
      </c>
      <c r="H21" s="23" t="s">
        <v>329</v>
      </c>
      <c r="I21" s="21"/>
      <c r="J21" s="21"/>
      <c r="K21" s="21"/>
      <c r="L21" s="21">
        <f>SUM(H21:K21)</f>
        <v>0</v>
      </c>
      <c r="M21" s="21">
        <f t="shared" si="3"/>
        <v>0</v>
      </c>
    </row>
    <row r="22" s="4" customFormat="1" ht="27" customHeight="1" spans="1:13">
      <c r="A22" s="24" t="s">
        <v>431</v>
      </c>
      <c r="B22" s="20">
        <v>16</v>
      </c>
      <c r="C22" s="21"/>
      <c r="D22" s="21"/>
      <c r="E22" s="21"/>
      <c r="F22" s="21"/>
      <c r="G22" s="21">
        <f t="shared" si="0"/>
        <v>0</v>
      </c>
      <c r="H22" s="23" t="s">
        <v>329</v>
      </c>
      <c r="I22" s="21"/>
      <c r="J22" s="21"/>
      <c r="K22" s="21"/>
      <c r="L22" s="21">
        <f t="shared" ref="L22" si="5">SUM(I22:K22)</f>
        <v>0</v>
      </c>
      <c r="M22" s="21">
        <f t="shared" ref="M22:M24" si="6">C22+G22-L22</f>
        <v>0</v>
      </c>
    </row>
    <row r="23" s="4" customFormat="1" ht="27" customHeight="1" spans="1:13">
      <c r="A23" s="24" t="s">
        <v>432</v>
      </c>
      <c r="B23" s="20">
        <v>17</v>
      </c>
      <c r="C23" s="21"/>
      <c r="D23" s="21"/>
      <c r="E23" s="21"/>
      <c r="F23" s="21"/>
      <c r="G23" s="21">
        <f t="shared" si="0"/>
        <v>0</v>
      </c>
      <c r="H23" s="23" t="s">
        <v>329</v>
      </c>
      <c r="I23" s="21"/>
      <c r="J23" s="21"/>
      <c r="K23" s="21"/>
      <c r="L23" s="21">
        <f t="shared" ref="L23" si="7">SUM(H23:K23)</f>
        <v>0</v>
      </c>
      <c r="M23" s="21">
        <f t="shared" si="6"/>
        <v>0</v>
      </c>
    </row>
    <row r="24" s="4" customFormat="1" ht="27" customHeight="1" spans="1:13">
      <c r="A24" s="24" t="s">
        <v>433</v>
      </c>
      <c r="B24" s="20">
        <v>18</v>
      </c>
      <c r="C24" s="21"/>
      <c r="D24" s="21"/>
      <c r="E24" s="21"/>
      <c r="F24" s="21"/>
      <c r="G24" s="21">
        <f t="shared" si="0"/>
        <v>0</v>
      </c>
      <c r="H24" s="23"/>
      <c r="I24" s="21"/>
      <c r="J24" s="21"/>
      <c r="K24" s="21"/>
      <c r="L24" s="21">
        <f t="shared" ref="L24" si="8">SUM(H24:K24)</f>
        <v>0</v>
      </c>
      <c r="M24" s="21">
        <f t="shared" si="6"/>
        <v>0</v>
      </c>
    </row>
    <row r="25" s="4" customFormat="1" ht="27" customHeight="1" spans="1:13">
      <c r="A25" s="25" t="s">
        <v>434</v>
      </c>
      <c r="B25" s="26">
        <v>19</v>
      </c>
      <c r="C25" s="27">
        <f t="shared" ref="C25:M25" si="9">SUM(C7:C24)</f>
        <v>0</v>
      </c>
      <c r="D25" s="27">
        <f t="shared" si="9"/>
        <v>0</v>
      </c>
      <c r="E25" s="27">
        <f t="shared" si="9"/>
        <v>0</v>
      </c>
      <c r="F25" s="27">
        <f t="shared" si="9"/>
        <v>0</v>
      </c>
      <c r="G25" s="27">
        <f t="shared" si="9"/>
        <v>0</v>
      </c>
      <c r="H25" s="27">
        <f t="shared" si="9"/>
        <v>0</v>
      </c>
      <c r="I25" s="27">
        <f t="shared" si="9"/>
        <v>0</v>
      </c>
      <c r="J25" s="27">
        <f t="shared" si="9"/>
        <v>0</v>
      </c>
      <c r="K25" s="27">
        <f t="shared" si="9"/>
        <v>0</v>
      </c>
      <c r="L25" s="27">
        <f t="shared" si="9"/>
        <v>0</v>
      </c>
      <c r="M25" s="27">
        <f t="shared" si="9"/>
        <v>0</v>
      </c>
    </row>
    <row r="26" s="1" customFormat="1" ht="22.2" customHeight="1"/>
    <row r="27" s="1" customFormat="1" customHeight="1" spans="1:13">
      <c r="A27" s="28" t="s">
        <v>435</v>
      </c>
    </row>
    <row r="28" s="1" customFormat="1" customHeight="1" spans="1:13">
      <c r="A28" s="28"/>
    </row>
    <row r="29" s="1" customFormat="1" customHeight="1"/>
  </sheetData>
  <mergeCells count="7">
    <mergeCell ref="A1:M1"/>
    <mergeCell ref="D4:G4"/>
    <mergeCell ref="H4:L4"/>
    <mergeCell ref="A4:A5"/>
    <mergeCell ref="B4:B5"/>
    <mergeCell ref="C4:C5"/>
    <mergeCell ref="M4:M5"/>
  </mergeCells>
  <conditionalFormatting sqref="C$1:M$1048576">
    <cfRule type="cellIs" dxfId="0" priority="1" operator="equal">
      <formula>0</formula>
    </cfRule>
  </conditionalFormatting>
  <printOptions horizontalCentered="1"/>
  <pageMargins left="0.432638888888889" right="0.354166666666667" top="0.786805555555556" bottom="0.786805555555556" header="0.511811023622047" footer="0.511811023622047"/>
  <pageSetup paperSize="9" scale="65" firstPageNumber="10" orientation="landscape" useFirstPageNumber="1"/>
  <headerFooter alignWithMargins="0">
    <oddFooter>&amp;C&amp;"Arial Narrow,常规"&amp;P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8"/>
  <sheetViews>
    <sheetView workbookViewId="0">
      <selection activeCell="A1" sqref="A1"/>
    </sheetView>
  </sheetViews>
  <sheetFormatPr defaultColWidth="9" defaultRowHeight="15.6" outlineLevelRow="7" outlineLevelCol="1"/>
  <sheetData>
    <row r="1" spans="1:2">
      <c r="A1" t="s">
        <v>441</v>
      </c>
      <c r="B1" t="s">
        <v>442</v>
      </c>
    </row>
    <row r="2" spans="1:2">
      <c r="A2" t="s">
        <v>443</v>
      </c>
      <c r="B2" t="s">
        <v>444</v>
      </c>
    </row>
    <row r="3" spans="1:2">
      <c r="A3" t="s">
        <v>445</v>
      </c>
      <c r="B3" t="s">
        <v>446</v>
      </c>
    </row>
    <row r="4" spans="1:2">
      <c r="A4" t="s">
        <v>447</v>
      </c>
      <c r="B4" t="s">
        <v>448</v>
      </c>
    </row>
    <row r="5" spans="1:2">
      <c r="A5" t="s">
        <v>449</v>
      </c>
      <c r="B5" t="s">
        <v>450</v>
      </c>
    </row>
    <row r="6" spans="1:2">
      <c r="A6" t="s">
        <v>451</v>
      </c>
      <c r="B6" t="s">
        <v>452</v>
      </c>
    </row>
    <row r="7" spans="1:2">
      <c r="A7" t="s">
        <v>453</v>
      </c>
      <c r="B7" t="s">
        <v>454</v>
      </c>
    </row>
    <row r="8" spans="1:2">
      <c r="A8" t="s">
        <v>455</v>
      </c>
      <c r="B8" t="s">
        <v>456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北京京都会计师事务所</Company>
  <Application>Microsoft Excel</Application>
  <HeadingPairs>
    <vt:vector size="2" baseType="variant">
      <vt:variant>
        <vt:lpstr>工作表</vt:lpstr>
      </vt:variant>
      <vt:variant>
        <vt:i4>9</vt:i4>
      </vt:variant>
    </vt:vector>
  </HeadingPairs>
  <TitlesOfParts>
    <vt:vector size="9" baseType="lpstr">
      <vt:lpstr>1,2-资产负债表(企财01表）</vt:lpstr>
      <vt:lpstr>1,2-资产负债表(企财01表）续</vt:lpstr>
      <vt:lpstr>3-利润表（企财02表）</vt:lpstr>
      <vt:lpstr>4-现金流量表（企财03表）</vt:lpstr>
      <vt:lpstr>5-所有者权益变动表（企财04表-合并）</vt:lpstr>
      <vt:lpstr>6-所有者权益变动表（企财04表-母公司）</vt:lpstr>
      <vt:lpstr>7-资产减值准备情况表（企财06表－合并）</vt:lpstr>
      <vt:lpstr>8-资产减值准备情况表（企财06表－母公司）</vt:lpstr>
      <vt:lpstr>GT_Custom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dc:creator>
  <cp:lastModifiedBy>杨志</cp:lastModifiedBy>
  <dcterms:created xsi:type="dcterms:W3CDTF">2007-11-28T03:17:00Z</dcterms:created>
  <cp:lastPrinted>2022-12-28T09:07:00Z</cp:lastPrinted>
  <dcterms:modified xsi:type="dcterms:W3CDTF">2026-01-10T09:03:00Z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53124284ED974854A8CC436D41FB5A67_12</vt:lpwstr>
  </property>
  <property fmtid="{D5CDD505-2E9C-101B-9397-08002B2CF9AE}" pid="3" name="KSOProductBuildVer">
    <vt:lpwstr>2052-12.1.0.24034</vt:lpwstr>
  </property>
  <property fmtid="{D5CDD505-2E9C-101B-9397-08002B2CF9AE}" pid="4" name="CalculationRule">
    <vt:i4>0</vt:i4>
  </property>
</Properties>
</file>