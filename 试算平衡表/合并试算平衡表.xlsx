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activeTab="1"/>
  </bookViews>
  <sheets>
    <sheet name="合并TB资产负债" sheetId="1" r:id="rId1"/>
    <sheet name="合并TB损益" sheetId="3" r:id="rId2"/>
    <sheet name="TB合并CF" sheetId="4"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_13102">#REF!</definedName>
    <definedName name="_13302">#REF!</definedName>
    <definedName name="_13398">#REF!</definedName>
    <definedName name="_18102">#REF!</definedName>
    <definedName name="_18198">#REF!</definedName>
    <definedName name="_2003附注">[1]附注汇总!$C$5:$AY$646</definedName>
    <definedName name="_2其他资产_开办费除外_明细表">#REF!</definedName>
    <definedName name="_scn11">#REF!</definedName>
    <definedName name="_scn15">#REF!</definedName>
    <definedName name="_scn16">#REF!</definedName>
    <definedName name="_scn17">#REF!</definedName>
    <definedName name="_scn19">#REF!</definedName>
    <definedName name="_scn2">#REF!</definedName>
    <definedName name="_scn20">#REF!</definedName>
    <definedName name="_scn3">#REF!</definedName>
    <definedName name="_scn4">#REF!</definedName>
    <definedName name="_scn5">#REF!</definedName>
    <definedName name="_scn6">#REF!</definedName>
    <definedName name="_scn7">#REF!</definedName>
    <definedName name="_scn8">#REF!</definedName>
    <definedName name="_scn9">#REF!</definedName>
    <definedName name="_scq1">#REF!</definedName>
    <definedName name="_scq11">#REF!</definedName>
    <definedName name="_scq15">#REF!</definedName>
    <definedName name="_scq16">#REF!</definedName>
    <definedName name="_scq17">#REF!</definedName>
    <definedName name="_scq19">#REF!</definedName>
    <definedName name="_scq2">#REF!</definedName>
    <definedName name="_scq20">#REF!</definedName>
    <definedName name="_scq3">#REF!</definedName>
    <definedName name="_scq4">#REF!</definedName>
    <definedName name="_scq5">#REF!</definedName>
    <definedName name="_scq6">#REF!</definedName>
    <definedName name="_scq7">#REF!</definedName>
    <definedName name="_scq8">#REF!</definedName>
    <definedName name="_scq9">#REF!</definedName>
    <definedName name="a">#REF!</definedName>
    <definedName name="Approach">[2]选择键!$G$2:$G$6</definedName>
    <definedName name="as">#REF!</definedName>
    <definedName name="AS2DocOpenMode" hidden="1">"AS2DocumentEdit"</definedName>
    <definedName name="AS2WebLink1">#REF!</definedName>
    <definedName name="AS2WebLink10">#REF!</definedName>
    <definedName name="AS2WebLink11">#REF!</definedName>
    <definedName name="AS2WebLink12">#REF!</definedName>
    <definedName name="AS2WebLink13">#REF!</definedName>
    <definedName name="AS2WebLink14">#REF!</definedName>
    <definedName name="AS2WebLink15">#REF!</definedName>
    <definedName name="AS2WebLink16">#REF!</definedName>
    <definedName name="AS2WebLink17">#REF!</definedName>
    <definedName name="AS2WebLink18">#REF!</definedName>
    <definedName name="AS2WebLink19">#REF!</definedName>
    <definedName name="AS2WebLink2">#REF!</definedName>
    <definedName name="AS2WebLink21">#REF!</definedName>
    <definedName name="AS2WebLink22">#REF!</definedName>
    <definedName name="AS2WebLink23">#REF!</definedName>
    <definedName name="AS2WebLink24">#REF!</definedName>
    <definedName name="AS2WebLink3">#REF!</definedName>
    <definedName name="AS2WebLink4">#REF!</definedName>
    <definedName name="AS2WebLink5">#REF!</definedName>
    <definedName name="AS2WebLink6">#REF!</definedName>
    <definedName name="AS2WebLink7">#REF!</definedName>
    <definedName name="AS2WebLink8">[3]Summary!#REF!</definedName>
    <definedName name="AS2WebLink9">#REF!</definedName>
    <definedName name="b">#REF!</definedName>
    <definedName name="baoji">[4]本期报表!$A$6:$D$139</definedName>
    <definedName name="bs" hidden="1">{#N/A,#N/A,FALSE,"BBPREP"}</definedName>
    <definedName name="bs_1" hidden="1">{#N/A,#N/A,FALSE,"BBPREP"}</definedName>
    <definedName name="bv">#REF!</definedName>
    <definedName name="Cash_Receipts">#REF!</definedName>
    <definedName name="CD">[2]选择键!$D$2:$D$5</definedName>
    <definedName name="CM">[2]选择键!$D$2:$D$4</definedName>
    <definedName name="CT">[2]选择键!$B$2:$B$10</definedName>
    <definedName name="Customer_Setup">#REF!</definedName>
    <definedName name="d">#REF!</definedName>
    <definedName name="data">[5]B!#REF!</definedName>
    <definedName name="Database">[6]B!#REF!</definedName>
    <definedName name="DD">[2]选择键!$C$2:$C$4</definedName>
    <definedName name="df">#REF!</definedName>
    <definedName name="dfs">#REF!</definedName>
    <definedName name="e">#REF!</definedName>
    <definedName name="er">#REF!</definedName>
    <definedName name="eve">[7]XL4Poppy!$C$39</definedName>
    <definedName name="f">#REF!</definedName>
    <definedName name="fg">#REF!</definedName>
    <definedName name="fgd">#REF!</definedName>
    <definedName name="fgh">#REF!</definedName>
    <definedName name="g">#REF!</definedName>
    <definedName name="h">#REF!</definedName>
    <definedName name="hv">#REF!</definedName>
    <definedName name="i">#REF!</definedName>
    <definedName name="Invoicing">#REF!</definedName>
    <definedName name="jk">#REF!</definedName>
    <definedName name="k">#REF!</definedName>
    <definedName name="kj">#REF!</definedName>
    <definedName name="kklist">'[8]&lt;原报&gt;资产负债表'!$F$6:$F$110</definedName>
    <definedName name="kl">#REF!</definedName>
    <definedName name="KMDM">#REF!</definedName>
    <definedName name="l">#REF!</definedName>
    <definedName name="lk">#REF!</definedName>
    <definedName name="m">#REF!</definedName>
    <definedName name="mn">#REF!</definedName>
    <definedName name="n">#REF!</definedName>
    <definedName name="nm">#REF!</definedName>
    <definedName name="o">#REF!</definedName>
    <definedName name="op">#REF!</definedName>
    <definedName name="p">#REF!</definedName>
    <definedName name="_xlnm.Print_Area" localSheetId="0">合并TB资产负债!$A$1:$I$52</definedName>
    <definedName name="Print_Area_MI">#REF!</definedName>
    <definedName name="_xlnm.Print_Titles" localSheetId="0">合并TB资产负债!$1:$5</definedName>
    <definedName name="Priority">[2]选择键!$A$2:$A$5</definedName>
    <definedName name="q">#REF!</definedName>
    <definedName name="rt">#REF!</definedName>
    <definedName name="rty">#REF!</definedName>
    <definedName name="s">#REF!</definedName>
    <definedName name="sa">#REF!</definedName>
    <definedName name="Sales_Adj">#REF!</definedName>
    <definedName name="scn">#REF!</definedName>
    <definedName name="scq">#REF!</definedName>
    <definedName name="sda">#REF!</definedName>
    <definedName name="Shipping">#REF!</definedName>
    <definedName name="Solution">[2]选择键!$E$13:$E$16</definedName>
    <definedName name="ss">#REF!</definedName>
    <definedName name="sss">[9]营业费用测试!#REF!</definedName>
    <definedName name="t">#REF!</definedName>
    <definedName name="TextRefCopy1">#REF!</definedName>
    <definedName name="TextRefCopy10">#REF!</definedName>
    <definedName name="TextRefCopy100">#REF!</definedName>
    <definedName name="TextRefCopy101">#REF!</definedName>
    <definedName name="TextRefCopy102">#REF!</definedName>
    <definedName name="TextRefCopy103">#REF!</definedName>
    <definedName name="TextRefCopy104">#REF!</definedName>
    <definedName name="TextRefCopy105">#REF!</definedName>
    <definedName name="TextRefCopy106">#REF!</definedName>
    <definedName name="TextRefCopy107">#REF!</definedName>
    <definedName name="TextRefCopy108">#REF!</definedName>
    <definedName name="TextRefCopy109">#REF!</definedName>
    <definedName name="TextRefCopy11">#REF!</definedName>
    <definedName name="TextRefCopy110">'[10]35.1租赁明细'!#REF!</definedName>
    <definedName name="TextRefCopy112">#REF!</definedName>
    <definedName name="TextRefCopy113">'[10]35.1租赁明细'!#REF!</definedName>
    <definedName name="TextRefCopy12">#REF!</definedName>
    <definedName name="TextRefCopy120">#REF!</definedName>
    <definedName name="TextRefCopy121">#REF!</definedName>
    <definedName name="TextRefCopy122">#REF!</definedName>
    <definedName name="TextRefCopy123">#REF!</definedName>
    <definedName name="TextRefCopy124">#REF!</definedName>
    <definedName name="TextRefCopy125">#REF!</definedName>
    <definedName name="TextRefCopy126">#REF!</definedName>
    <definedName name="TextRefCopy127">#REF!</definedName>
    <definedName name="TextRefCopy128">#REF!</definedName>
    <definedName name="TextRefCopy129">#REF!</definedName>
    <definedName name="TextRefCopy13">#REF!</definedName>
    <definedName name="TextRefCopy130">#REF!</definedName>
    <definedName name="TextRefCopy131">#REF!</definedName>
    <definedName name="TextRefCopy137">#REF!</definedName>
    <definedName name="TextRefCopy14">#REF!</definedName>
    <definedName name="TextRefCopy149">#REF!</definedName>
    <definedName name="TextRefCopy15">#REF!</definedName>
    <definedName name="TextRefCopy150">#REF!</definedName>
    <definedName name="TextRefCopy151">#REF!</definedName>
    <definedName name="TextRefCopy16">#REF!</definedName>
    <definedName name="TextRefCopy17">#REF!</definedName>
    <definedName name="TextRefCopy18">#REF!</definedName>
    <definedName name="TextRefCopy19">#REF!</definedName>
    <definedName name="TextRefCopy190">#REF!</definedName>
    <definedName name="TextRefCopy191">#REF!</definedName>
    <definedName name="TextRefCopy2">#REF!</definedName>
    <definedName name="TextRefCopy20">#REF!</definedName>
    <definedName name="TextRefCopy21">#REF!</definedName>
    <definedName name="TextRefCopy22">#REF!</definedName>
    <definedName name="TextRefCopy221">'[11]Investment Property'!#REF!</definedName>
    <definedName name="TextRefCopy222">'[11]Investment Property'!#REF!</definedName>
    <definedName name="TextRefCopy23">#REF!</definedName>
    <definedName name="TextRefCopy24">#REF!</definedName>
    <definedName name="TextRefCopy25">#REF!</definedName>
    <definedName name="TextRefCopy26">#REF!</definedName>
    <definedName name="TextRefCopy27">#REF!</definedName>
    <definedName name="TextRefCopy28">#REF!</definedName>
    <definedName name="TextRefCopy29">#REF!</definedName>
    <definedName name="TextRefCopy3">#REF!</definedName>
    <definedName name="TextRefCopy30">#REF!</definedName>
    <definedName name="TextRefCopy31">#REF!</definedName>
    <definedName name="TextRefCopy32">#REF!</definedName>
    <definedName name="TextRefCopy33">#REF!</definedName>
    <definedName name="TextRefCopy34">#REF!</definedName>
    <definedName name="TextRefCopy35">#REF!</definedName>
    <definedName name="TextRefCopy36">#REF!</definedName>
    <definedName name="TextRefCopy37">#REF!</definedName>
    <definedName name="TextRefCopy38">#REF!</definedName>
    <definedName name="TextRefCopy39">#REF!</definedName>
    <definedName name="TextRefCopy4">#REF!</definedName>
    <definedName name="TextRefCopy40">#REF!</definedName>
    <definedName name="TextRefCopy41">#REF!</definedName>
    <definedName name="TextRefCopy42">#REF!</definedName>
    <definedName name="TextRefCopy43">#REF!</definedName>
    <definedName name="TextRefCopy44">#REF!</definedName>
    <definedName name="TextRefCopy45">#REF!</definedName>
    <definedName name="TextRefCopy46">#REF!</definedName>
    <definedName name="TextRefCopy47">#REF!</definedName>
    <definedName name="TextRefCopy48">#REF!</definedName>
    <definedName name="TextRefCopy49">#REF!</definedName>
    <definedName name="TextRefCopy5">#REF!</definedName>
    <definedName name="TextRefCopy50">#REF!</definedName>
    <definedName name="TextRefCopy51">#REF!</definedName>
    <definedName name="TextRefCopy52">#REF!</definedName>
    <definedName name="TextRefCopy53">#REF!</definedName>
    <definedName name="TextRefCopy54">#REF!</definedName>
    <definedName name="TextRefCopy55">#REF!</definedName>
    <definedName name="TextRefCopy56">#REF!</definedName>
    <definedName name="TextRefCopy57">#REF!</definedName>
    <definedName name="TextRefCopy58">#REF!</definedName>
    <definedName name="TextRefCopy59">#REF!</definedName>
    <definedName name="TextRefCopy6">#REF!</definedName>
    <definedName name="TextRefCopy60">#REF!</definedName>
    <definedName name="TextRefCopy61">#REF!</definedName>
    <definedName name="TextRefCopy62">#REF!</definedName>
    <definedName name="TextRefCopy63">#REF!</definedName>
    <definedName name="TextRefCopy64">#REF!</definedName>
    <definedName name="TextRefCopy65">#REF!</definedName>
    <definedName name="TextRefCopy66">#REF!</definedName>
    <definedName name="TextRefCopy67">#REF!</definedName>
    <definedName name="TextRefCopy68">#REF!</definedName>
    <definedName name="TextRefCopy69">#REF!</definedName>
    <definedName name="TextRefCopy7">#REF!</definedName>
    <definedName name="TextRefCopy70">#REF!</definedName>
    <definedName name="TextRefCopy71">#REF!</definedName>
    <definedName name="TextRefCopy72">#REF!</definedName>
    <definedName name="TextRefCopy73">#REF!</definedName>
    <definedName name="TextRefCopy74">#REF!</definedName>
    <definedName name="TextRefCopy75">#REF!</definedName>
    <definedName name="TextRefCopy76">#REF!</definedName>
    <definedName name="TextRefCopy77">#REF!</definedName>
    <definedName name="TextRefCopy78">#REF!</definedName>
    <definedName name="TextRefCopy79">#REF!</definedName>
    <definedName name="TextRefCopy8">#REF!</definedName>
    <definedName name="TextRefCopy80">#REF!</definedName>
    <definedName name="TextRefCopy81">#REF!</definedName>
    <definedName name="TextRefCopy82">#REF!</definedName>
    <definedName name="TextRefCopy83">#REF!</definedName>
    <definedName name="TextRefCopy84">#REF!</definedName>
    <definedName name="TextRefCopy85">#REF!</definedName>
    <definedName name="TextRefCopy86">#REF!</definedName>
    <definedName name="TextRefCopy87">#REF!</definedName>
    <definedName name="TextRefCopy88">#REF!</definedName>
    <definedName name="TextRefCopy89">#REF!</definedName>
    <definedName name="TextRefCopy9">#REF!</definedName>
    <definedName name="TextRefCopy90">#REF!</definedName>
    <definedName name="TextRefCopy91">#REF!</definedName>
    <definedName name="TextRefCopy92">#REF!</definedName>
    <definedName name="TextRefCopy93">#REF!</definedName>
    <definedName name="TextRefCopy94">#REF!</definedName>
    <definedName name="TextRefCopy95">#REF!</definedName>
    <definedName name="TextRefCopy96">#REF!</definedName>
    <definedName name="TextRefCopy97">#REF!</definedName>
    <definedName name="TextRefCopy98">#REF!</definedName>
    <definedName name="TextRefCopy99">#REF!</definedName>
    <definedName name="TextRefCopyRangeCount" hidden="1">136</definedName>
    <definedName name="Total_AR_Value">#REF!</definedName>
    <definedName name="ty">#REF!</definedName>
    <definedName name="u">#REF!</definedName>
    <definedName name="UFPrn20000310061247">#REF!</definedName>
    <definedName name="UFPrn20000324091925">#REF!</definedName>
    <definedName name="UFPrn20021008134934">#REF!</definedName>
    <definedName name="ui">#REF!</definedName>
    <definedName name="uio">#REF!</definedName>
    <definedName name="v">#REF!</definedName>
    <definedName name="vb">#REF!</definedName>
    <definedName name="w">#REF!</definedName>
    <definedName name="Warranty">#REF!</definedName>
    <definedName name="wer">#REF!</definedName>
    <definedName name="xc">#REF!</definedName>
    <definedName name="xcv">#REF!</definedName>
    <definedName name="XREF_COLUMN_1" hidden="1">#REF!</definedName>
    <definedName name="XREF_COLUMN_2" hidden="1">[12]breakdown!#REF!</definedName>
    <definedName name="XREF_COLUMN_3" hidden="1">#REF!</definedName>
    <definedName name="XREF_COLUMN_5" hidden="1">'[13]2004'!#REF!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y">#REF!</definedName>
    <definedName name="yu">#REF!</definedName>
    <definedName name="zhjjl">#REF!</definedName>
    <definedName name="巴拉贡库">#REF!</definedName>
    <definedName name="包头2">[14]本期报表!$A$6:$D$139</definedName>
    <definedName name="包头报表">[14]本期报表!$A$6:$D$139</definedName>
    <definedName name="包头报表1">[14]本期报表!$A$6:$D$139</definedName>
    <definedName name="本期报表">[15]本期报表!$A$6:$D$139</definedName>
    <definedName name="本循环科目" hidden="1">[16]索引!$D$15:$D$76</definedName>
    <definedName name="表">#REF!</definedName>
    <definedName name="场地租赁合同书">#REF!</definedName>
    <definedName name="场内联营厂商合同书">#REF!</definedName>
    <definedName name="存货93期初">[17]企业表一!$C$7</definedName>
    <definedName name="存货93期末">[17]企业表一!$D$7</definedName>
    <definedName name="存货94期初">[17]企业表一!$E$7</definedName>
    <definedName name="存货94期末">[17]企业表一!$F$7</definedName>
    <definedName name="存货95期初">[17]企业表一!$G$7</definedName>
    <definedName name="存货95期末">[17]企业表一!$H$7</definedName>
    <definedName name="待处理固定资产净损失明细表">#REF!</definedName>
    <definedName name="东胜库">#REF!</definedName>
    <definedName name="短期投资_债券_明细表">#REF!</definedName>
    <definedName name="负债合计93期末">[17]企业表一!$D$17</definedName>
    <definedName name="负债合计94期末">[17]企业表一!$F$17</definedName>
    <definedName name="负债合计95期末">[17]企业表一!$H$17</definedName>
    <definedName name="管理费用明细表">#REF!</definedName>
    <definedName name="广州库">[18]广州库!$A$1:$O$2970</definedName>
    <definedName name="合并价差明细表">#REF!</definedName>
    <definedName name="汇率">#REF!</definedName>
    <definedName name="截止日">[19]表头信息!$B$3</definedName>
    <definedName name="借贷">[20]科目名称表!$A$2:$A$3</definedName>
    <definedName name="进项税">#REF!</definedName>
    <definedName name="净_利_润93">'[17]M-5C'!$B$24</definedName>
    <definedName name="净_利_润94">'[17]M-5C'!$D$24</definedName>
    <definedName name="净_利_润95">'[17]M-5C'!$F$24</definedName>
    <definedName name="净资产合计93期初">[17]企业表一!$C$20</definedName>
    <definedName name="净资产合计93期末">[17]企业表一!$D$20</definedName>
    <definedName name="净资产合计94期初">[17]企业表一!$E$20</definedName>
    <definedName name="净资产合计94期末">[17]企业表一!$F$20</definedName>
    <definedName name="净资产合计95期初">[17]企业表一!$G$20</definedName>
    <definedName name="净资产合计95期末">[17]企业表一!$H$20</definedName>
    <definedName name="开办费明细表">#REF!</definedName>
    <definedName name="累计折旧明细表">#REF!</definedName>
    <definedName name="利_润_总_额93">'[17]M-5A'!$B$10</definedName>
    <definedName name="利_润_总_额94">'[17]M-5A'!$C$10</definedName>
    <definedName name="利_润_总_额95">'[17]M-5A'!$D$10</definedName>
    <definedName name="流_动_资_产93">'[17]M-5A'!$B$15</definedName>
    <definedName name="流_动_资_产94">'[17]M-5A'!$C$15</definedName>
    <definedName name="流_动_资_产95">'[17]M-5A'!$D$15</definedName>
    <definedName name="流动负债93期末">[17]企业表一!$D$15</definedName>
    <definedName name="流动负债94期末">[17]企业表一!$F$15</definedName>
    <definedName name="流动负债95期末">[17]企业表一!$H$15</definedName>
    <definedName name="评估汇总项目">[21]项目信息!#REF!</definedName>
    <definedName name="其他货币资金明细表">#REF!</definedName>
    <definedName name="其他未交款明细表">#REF!</definedName>
    <definedName name="其他应付款明细表">#REF!</definedName>
    <definedName name="其他应收款明细表">#REF!</definedName>
    <definedName name="上期报表">[22]上期报表!$A$6:$D$150</definedName>
    <definedName name="生产成本2">[23]生产成本账!$A$2:$D$235</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6">#REF!</definedName>
    <definedName name="生产期7">#REF!</definedName>
    <definedName name="生产期8">#REF!</definedName>
    <definedName name="生产期9">#REF!</definedName>
    <definedName name="收入对">#REF!</definedName>
    <definedName name="宋体">[24]现金!#REF!</definedName>
    <definedName name="速_动_资_产93">'[17]M-5A'!$B$14</definedName>
    <definedName name="速_动_资_产94">'[17]M-5A'!$C$14</definedName>
    <definedName name="速_动_资_产95">'[17]M-5A'!$D$14</definedName>
    <definedName name="未">[25]本期报表!$A$6:$D$139</definedName>
    <definedName name="未交税金明细表">#REF!</definedName>
    <definedName name="温">[26]本期报表!$A$6:$D$150</definedName>
    <definedName name="无对应明细表的报表项目">#REF!</definedName>
    <definedName name="已交增值税">#REF!</definedName>
    <definedName name="以前年度损益调整明细表">#REF!</definedName>
    <definedName name="银行存款">[27]银行借款询证!#REF!</definedName>
    <definedName name="营业外支出明细表">#REF!</definedName>
    <definedName name="应付福利费">#REF!</definedName>
    <definedName name="应付工资">#REF!</definedName>
    <definedName name="应付票据明细表">#REF!</definedName>
    <definedName name="应收帐款93期初">[17]企业表一!$C$6</definedName>
    <definedName name="应收帐款93期末">[17]企业表一!$D$6</definedName>
    <definedName name="应收帐款94期初">[17]企业表一!$E$6</definedName>
    <definedName name="应收帐款94期末">[17]企业表一!$F$6</definedName>
    <definedName name="应收帐款95期初">[17]企业表一!$G$6</definedName>
    <definedName name="应收帐款95期末">[17]企业表一!$H$6</definedName>
    <definedName name="预付帐款明细表">#REF!</definedName>
    <definedName name="预收货款明细表">#REF!</definedName>
    <definedName name="预提">#REF!</definedName>
    <definedName name="预提费用">#REF!</definedName>
    <definedName name="预提费用明细表">#REF!</definedName>
    <definedName name="资产合计93期初">[17]企业表一!$C$14</definedName>
    <definedName name="资产合计93期末">[17]企业表一!$D$14</definedName>
    <definedName name="资产合计94期初">[17]企业表一!$E$14</definedName>
    <definedName name="资产合计94期末">[17]企业表一!$F$14</definedName>
    <definedName name="资产合计95期初">[17]企业表一!$G$14</definedName>
    <definedName name="资产合计95期末">[17]企业表一!$H$14</definedName>
    <definedName name="전">#REF!</definedName>
    <definedName name="주택사업본부">#REF!</definedName>
    <definedName name="철구사업본부">#REF!</definedName>
    <definedName name="_xlnm.Print_Area" localSheetId="1">合并TB损益!$A$1:$I$57</definedName>
    <definedName name="_xlnm.Print_Titles" localSheetId="1">合并TB损益!$1:$5</definedName>
    <definedName name="_xlnm.Print_Area" localSheetId="2">TB合并CF!$A$1:$E$82</definedName>
    <definedName name="_xlnm.Print_Titles" localSheetId="2">TB合并CF!$1:$5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<sst xmlns="http://schemas.openxmlformats.org/spreadsheetml/2006/main" count="283" uniqueCount="251">
  <si>
    <t>合并资产负债表试算平衡</t>
  </si>
  <si>
    <t>客户名称：</t>
  </si>
  <si>
    <t>编制：</t>
  </si>
  <si>
    <t>复核：</t>
  </si>
  <si>
    <r>
      <rPr>
        <sz val="10"/>
        <rFont val="宋体"/>
        <charset val="134"/>
      </rPr>
      <t>索引：</t>
    </r>
    <r>
      <rPr>
        <sz val="10"/>
        <rFont val="Arial Narrow"/>
        <charset val="134"/>
      </rPr>
      <t xml:space="preserve"> </t>
    </r>
    <r>
      <rPr>
        <u/>
        <sz val="10"/>
        <rFont val="Arial Narrow"/>
        <charset val="134"/>
      </rPr>
      <t xml:space="preserve">           </t>
    </r>
  </si>
  <si>
    <t>会计时点：2019.12.31</t>
  </si>
  <si>
    <t>日期：</t>
  </si>
  <si>
    <r>
      <rPr>
        <sz val="10"/>
        <rFont val="宋体"/>
        <charset val="134"/>
      </rPr>
      <t>分页：</t>
    </r>
    <r>
      <rPr>
        <u/>
        <sz val="10"/>
        <rFont val="Arial Narrow"/>
        <charset val="134"/>
      </rPr>
      <t xml:space="preserve">       </t>
    </r>
    <r>
      <rPr>
        <sz val="10"/>
        <rFont val="Arial Narrow"/>
        <charset val="134"/>
      </rPr>
      <t xml:space="preserve">    </t>
    </r>
  </si>
  <si>
    <t>项目</t>
  </si>
  <si>
    <t>审定汇总</t>
  </si>
  <si>
    <t>合并权益抵销</t>
  </si>
  <si>
    <t>合并往来交易抵销</t>
  </si>
  <si>
    <t>合并报表调整</t>
  </si>
  <si>
    <t>合并审定数</t>
  </si>
  <si>
    <t>借方</t>
  </si>
  <si>
    <t>贷方</t>
  </si>
  <si>
    <t>流动资产：</t>
  </si>
  <si>
    <t>货币资金</t>
  </si>
  <si>
    <t>交易性金融资产</t>
  </si>
  <si>
    <t>以公允价值计量且其变动计入当期损益的金融资产</t>
  </si>
  <si>
    <t>衍生金融资产</t>
  </si>
  <si>
    <t>应收票据</t>
  </si>
  <si>
    <t>应收账款</t>
  </si>
  <si>
    <t>应收款项融资</t>
  </si>
  <si>
    <t>预付款项</t>
  </si>
  <si>
    <t>其他应收款</t>
  </si>
  <si>
    <t xml:space="preserve">  其中：应收利息</t>
  </si>
  <si>
    <t xml:space="preserve">        应收股利</t>
  </si>
  <si>
    <t>存货</t>
  </si>
  <si>
    <t>合同资产</t>
  </si>
  <si>
    <t>持有待售资产</t>
  </si>
  <si>
    <t>一年内到期的非流动资产</t>
  </si>
  <si>
    <t>其他流动资产</t>
  </si>
  <si>
    <t>流动资产合计</t>
  </si>
  <si>
    <t>非流动资产:</t>
  </si>
  <si>
    <t>债权投资</t>
  </si>
  <si>
    <t>可供出售金融资产</t>
  </si>
  <si>
    <t>其他债权投资</t>
  </si>
  <si>
    <t>持有至到期投资</t>
  </si>
  <si>
    <t>长期应收款</t>
  </si>
  <si>
    <t>设定受益计划净资产</t>
  </si>
  <si>
    <t>长期股权投资</t>
  </si>
  <si>
    <t>其他权益工具投资</t>
  </si>
  <si>
    <t>其他非流动金融资产</t>
  </si>
  <si>
    <t>投资性房地产</t>
  </si>
  <si>
    <t>固定资产</t>
  </si>
  <si>
    <t>在建工程</t>
  </si>
  <si>
    <t xml:space="preserve">生产性生物资产 </t>
  </si>
  <si>
    <t>油气资产</t>
  </si>
  <si>
    <t>使用权资产</t>
  </si>
  <si>
    <t>无形资产</t>
  </si>
  <si>
    <t>开发支出</t>
  </si>
  <si>
    <t>商誉</t>
  </si>
  <si>
    <t>长期待摊费用</t>
  </si>
  <si>
    <t>递延所得税资产</t>
  </si>
  <si>
    <t>其他非流动资产</t>
  </si>
  <si>
    <t>非流动资产合计</t>
  </si>
  <si>
    <t>资 产 总 计</t>
  </si>
  <si>
    <t>流动负债：</t>
  </si>
  <si>
    <t>短期借款</t>
  </si>
  <si>
    <t>交易性金融负债</t>
  </si>
  <si>
    <t>以公允价值计量且其变动计入当期损益的金融负债</t>
  </si>
  <si>
    <t>衍生金融负债</t>
  </si>
  <si>
    <t>应付票据</t>
  </si>
  <si>
    <t>应付账款</t>
  </si>
  <si>
    <t>预收款项</t>
  </si>
  <si>
    <t>合同负债</t>
  </si>
  <si>
    <t>应付职工薪酬</t>
  </si>
  <si>
    <t>应交税费</t>
  </si>
  <si>
    <t>其他应付款</t>
  </si>
  <si>
    <t xml:space="preserve">  其中：应付利息</t>
  </si>
  <si>
    <t xml:space="preserve">        应付股利</t>
  </si>
  <si>
    <t>持有待售负债</t>
  </si>
  <si>
    <t>一年内到期的非流动负债</t>
  </si>
  <si>
    <t>其他流动负债</t>
  </si>
  <si>
    <t>流动负债合计</t>
  </si>
  <si>
    <t>非流动负债:</t>
  </si>
  <si>
    <t>长期借款</t>
  </si>
  <si>
    <t>应付债券</t>
  </si>
  <si>
    <t xml:space="preserve">  其中：优先股</t>
  </si>
  <si>
    <t xml:space="preserve">        永续债</t>
  </si>
  <si>
    <t>租赁负债</t>
  </si>
  <si>
    <t>长期应付款</t>
  </si>
  <si>
    <t>长期应付职工薪酬</t>
  </si>
  <si>
    <t>预计负债</t>
  </si>
  <si>
    <t>递延收益</t>
  </si>
  <si>
    <t>递延所得税负债</t>
  </si>
  <si>
    <t>其他非流动负债</t>
  </si>
  <si>
    <t>非流动负债合计</t>
  </si>
  <si>
    <t>负 债 合 计</t>
  </si>
  <si>
    <t>股东权益：</t>
  </si>
  <si>
    <t>股本</t>
  </si>
  <si>
    <t>其他权益工具</t>
  </si>
  <si>
    <t>资本公积</t>
  </si>
  <si>
    <t>减：库存股</t>
  </si>
  <si>
    <t>其他综合收益</t>
  </si>
  <si>
    <t>专项储备</t>
  </si>
  <si>
    <t>盈余公积</t>
  </si>
  <si>
    <t>未分配利润</t>
  </si>
  <si>
    <t>归属于母公司股东权益合计</t>
  </si>
  <si>
    <t>少数股东权益</t>
  </si>
  <si>
    <t>股东权益合计</t>
  </si>
  <si>
    <t>负债和股东权益合计</t>
  </si>
  <si>
    <t>合并利润及利润分配表试算平衡</t>
  </si>
  <si>
    <t>会计期间：2019年度</t>
  </si>
  <si>
    <t>一、营业收入</t>
  </si>
  <si>
    <t xml:space="preserve">        其中：主营业务收入</t>
  </si>
  <si>
    <t xml:space="preserve">              其他业务收入</t>
  </si>
  <si>
    <t xml:space="preserve">    减：营业成本</t>
  </si>
  <si>
    <t xml:space="preserve">        其中：主营业务成本</t>
  </si>
  <si>
    <t xml:space="preserve">              其他业务成本</t>
  </si>
  <si>
    <t xml:space="preserve">        税金及附加</t>
  </si>
  <si>
    <t xml:space="preserve">        销售费用</t>
  </si>
  <si>
    <t xml:space="preserve">        管理费用</t>
  </si>
  <si>
    <t xml:space="preserve">        研发费用</t>
  </si>
  <si>
    <t xml:space="preserve">        财务费用</t>
  </si>
  <si>
    <t xml:space="preserve">        其中：利息费用</t>
  </si>
  <si>
    <t xml:space="preserve">              利息收入</t>
  </si>
  <si>
    <t xml:space="preserve">    加：其他收益</t>
  </si>
  <si>
    <t xml:space="preserve">        投资收益（损失以“－”号填列）</t>
  </si>
  <si>
    <t xml:space="preserve">        其中：对联营企业和合营企业的投资收益</t>
  </si>
  <si>
    <t xml:space="preserve">              以摊余成本计量的金融资产终止确认收益（损失以“-”号填列）</t>
  </si>
  <si>
    <t xml:space="preserve">        净敞口套期收益（损失以“-”号填列）</t>
  </si>
  <si>
    <t xml:space="preserve">        公允价值变动收益（损失以“－”号填列）</t>
  </si>
  <si>
    <t xml:space="preserve">         信用减值损失(损失以“-”号填列）</t>
  </si>
  <si>
    <t xml:space="preserve">         资产减值损失(损失以“-”号填列）</t>
  </si>
  <si>
    <t xml:space="preserve">        资产处置收益(损失以“-”号填列）</t>
  </si>
  <si>
    <t>二、营业利润（亏损以“－”号填列）</t>
  </si>
  <si>
    <t xml:space="preserve">    加：营业外收入</t>
  </si>
  <si>
    <t xml:space="preserve">    减：营业外支出</t>
  </si>
  <si>
    <t>三、利润总额（亏损总额以“－”号填列）</t>
  </si>
  <si>
    <t xml:space="preserve">    减：所得税费用</t>
  </si>
  <si>
    <t>四、净利润（净亏损以“－”号填列）</t>
  </si>
  <si>
    <t xml:space="preserve"> （一）按经营持续性分类</t>
  </si>
  <si>
    <t xml:space="preserve">     其中：持续经营净利润（净亏损以“-”号填列）</t>
  </si>
  <si>
    <t xml:space="preserve">                 终止经营净利润（净亏损以“-”号填列）</t>
  </si>
  <si>
    <t xml:space="preserve"> （二）按所有权归属分类</t>
  </si>
  <si>
    <t xml:space="preserve">     其中：归属于母公司股东的净利润（净亏损以“-”号填列）</t>
  </si>
  <si>
    <t xml:space="preserve">                少数股东损益（净亏损以“-”号填列）</t>
  </si>
  <si>
    <t>五、其他综合收益的税后净额</t>
  </si>
  <si>
    <t>归属于母公司股东的其他综合收益的税后净额</t>
  </si>
  <si>
    <t xml:space="preserve">  （一）不能重分类进损益的其他综合收益</t>
  </si>
  <si>
    <t>1.重新计量设定受益计划变动额</t>
  </si>
  <si>
    <t>2.权益法下不能转损益的其他综合收益</t>
  </si>
  <si>
    <t xml:space="preserve">3.其他权益工具投资公允价值变动 </t>
  </si>
  <si>
    <t xml:space="preserve">4.企业自身信用风险公允价值变动 </t>
  </si>
  <si>
    <t>5.其他</t>
  </si>
  <si>
    <t xml:space="preserve">  （二）将重分类进损益的其他综合收益</t>
  </si>
  <si>
    <t>1.权益法下可转损益的其他综合收益</t>
  </si>
  <si>
    <t xml:space="preserve">2.其他债权投资公允价值变动 </t>
  </si>
  <si>
    <t>3.可供出售金融资产公允价值变动损益</t>
  </si>
  <si>
    <t xml:space="preserve">4.金融资产重分类计入其他综合收益的金额 </t>
  </si>
  <si>
    <t>5.持有至到期投资重分类为可供出售金融资产损益</t>
  </si>
  <si>
    <t>6.其他债权投资信用减值准备</t>
  </si>
  <si>
    <t>7.现金流量套期储备</t>
  </si>
  <si>
    <t>8.外币财务报表折算差额</t>
  </si>
  <si>
    <t>9.自用房地产或作为存货的房地产转换为以公允价值计量的投资性房地产在转换日公允价值大于账面价值部分</t>
  </si>
  <si>
    <t>10.多次交易分步处置子公司股权构成一揽子交易的，丧失控制权之前各次交易处置价款与对应净资产账面价值份额的差额</t>
  </si>
  <si>
    <t>11.其他</t>
  </si>
  <si>
    <t>归属于少数股东的其他综合收益的税后净额</t>
  </si>
  <si>
    <t>六、综合收益总额</t>
  </si>
  <si>
    <t xml:space="preserve">     归属于母公司股东的综合收益总额</t>
  </si>
  <si>
    <t xml:space="preserve">     归属于少数股东的综合收益总额</t>
  </si>
  <si>
    <t>七、每股收益</t>
  </si>
  <si>
    <t xml:space="preserve">   （一）基本每股收益</t>
  </si>
  <si>
    <t xml:space="preserve">   （二）稀释每股收益</t>
  </si>
  <si>
    <t>八、利润分配</t>
  </si>
  <si>
    <t xml:space="preserve">   （一）年初未分配利润</t>
  </si>
  <si>
    <t xml:space="preserve">   （二）可供分配的利润</t>
  </si>
  <si>
    <t xml:space="preserve">    1、提取法定盈余公积</t>
  </si>
  <si>
    <t xml:space="preserve">    2、其他</t>
  </si>
  <si>
    <t xml:space="preserve">   （三）可供投资者分配的利润</t>
  </si>
  <si>
    <t xml:space="preserve">    1、应付优先股股利</t>
  </si>
  <si>
    <t xml:space="preserve">    2、提取任意盈余公积</t>
  </si>
  <si>
    <t xml:space="preserve">    3、应付普通股股利（应付利润）</t>
  </si>
  <si>
    <t xml:space="preserve">    4、转作资本（或股本）的普通股股利</t>
  </si>
  <si>
    <t xml:space="preserve">    5、其他</t>
  </si>
  <si>
    <t>九、未分配利润</t>
  </si>
  <si>
    <t>合并现金流量表试算平衡</t>
  </si>
  <si>
    <t>汇总抵销</t>
  </si>
  <si>
    <t>报表调整</t>
  </si>
  <si>
    <t>一、经营活动产生的现金流量</t>
  </si>
  <si>
    <t xml:space="preserve">     销售商品、提供劳务收到的现金</t>
  </si>
  <si>
    <t xml:space="preserve">     收到的税费返还</t>
  </si>
  <si>
    <t xml:space="preserve">     收到的其他与经营活动有关的现金</t>
  </si>
  <si>
    <t xml:space="preserve">     经营活动现金流入小计</t>
  </si>
  <si>
    <t xml:space="preserve">     购买商品、接受劳务支付的现金</t>
  </si>
  <si>
    <t xml:space="preserve">     支付给职工以及为职工支付的现金</t>
  </si>
  <si>
    <t xml:space="preserve">     支付各项税费</t>
  </si>
  <si>
    <t xml:space="preserve">     支付的其他与经营活动有关的现金</t>
  </si>
  <si>
    <t xml:space="preserve">     经营活动现金流出小计</t>
  </si>
  <si>
    <t xml:space="preserve">     经营活动产生的现金流量净额</t>
  </si>
  <si>
    <t>二、投资活动产生的现金流量</t>
  </si>
  <si>
    <t xml:space="preserve">     收回投资所收到的现金</t>
  </si>
  <si>
    <t xml:space="preserve">     取得投资收益所收到的现金</t>
  </si>
  <si>
    <t xml:space="preserve">     处置固定资产、无形资产和其他长期资产而收到的现金净额</t>
  </si>
  <si>
    <t xml:space="preserve">     处置子公司及其他营业单位收到的现金净额</t>
  </si>
  <si>
    <t xml:space="preserve">     收到其他与投资活动有关的现金</t>
  </si>
  <si>
    <t xml:space="preserve">     投资活动现金流入小计</t>
  </si>
  <si>
    <t xml:space="preserve">     购置固定资产、无形资产和其他长期资产所支付现金 </t>
  </si>
  <si>
    <t xml:space="preserve">     投资所支付的现金</t>
  </si>
  <si>
    <t xml:space="preserve">     取得子公司及其他营业单位支付的现金净额</t>
  </si>
  <si>
    <t xml:space="preserve">     支付其他与投资活动有关的现金</t>
  </si>
  <si>
    <t xml:space="preserve">      投资活动现金流出小计</t>
  </si>
  <si>
    <t xml:space="preserve">     投资活动产生的现金流量净额</t>
  </si>
  <si>
    <t>三、筹资活动产生的现金流量</t>
  </si>
  <si>
    <t xml:space="preserve">     吸收投资所收到的现金</t>
  </si>
  <si>
    <t xml:space="preserve">     其中:子公司吸收少数股东权益性投资收到的现金</t>
  </si>
  <si>
    <t xml:space="preserve">     取得借款收到的现金</t>
  </si>
  <si>
    <t xml:space="preserve">     收到的其他与筹资活动有关的现金</t>
  </si>
  <si>
    <t xml:space="preserve">     筹资活动现金流入小计</t>
  </si>
  <si>
    <t xml:space="preserve">     偿还债务支付的现金</t>
  </si>
  <si>
    <t xml:space="preserve">     分配股利、利润或偿付利息支付的现金</t>
  </si>
  <si>
    <t xml:space="preserve">      其中:子公司支付少数股东的现金股利</t>
  </si>
  <si>
    <t xml:space="preserve">     支付其他与筹资活动有关的现金</t>
  </si>
  <si>
    <t xml:space="preserve">      其中:子公司减资支付给少数股东的现金</t>
  </si>
  <si>
    <t xml:space="preserve">     筹资活动现金流出小计</t>
  </si>
  <si>
    <t xml:space="preserve">     筹资活动产生的现金流量净额</t>
  </si>
  <si>
    <t>四、汇率变动对现金及现金等价物的影响</t>
  </si>
  <si>
    <t>五、现金及现金等价物净增加额</t>
  </si>
  <si>
    <t xml:space="preserve">    加：期初现金及现金等价物余额</t>
  </si>
  <si>
    <t>六、期末现金及现金等价物余额</t>
  </si>
  <si>
    <t>补充资料</t>
  </si>
  <si>
    <t>1、将净利润调节为经营活动现金流量：</t>
  </si>
  <si>
    <t xml:space="preserve">     净利润</t>
  </si>
  <si>
    <t>加：资产减值损失</t>
  </si>
  <si>
    <t xml:space="preserve">    信用减值损失</t>
  </si>
  <si>
    <t xml:space="preserve">     固定资产折旧、油气资产折耗、生产性生物资产折旧</t>
  </si>
  <si>
    <t xml:space="preserve">     无形资产摊销</t>
  </si>
  <si>
    <t xml:space="preserve">     长期待摊费用摊销</t>
  </si>
  <si>
    <t xml:space="preserve">     处置固定资产、无形资产和其他长期资产的损失（收益以“－”号填列）</t>
  </si>
  <si>
    <t xml:space="preserve">     固定资产报废损失（收益以“－”号填列）</t>
  </si>
  <si>
    <t xml:space="preserve">     公允价值变动损失（收益以“－”号填列）</t>
  </si>
  <si>
    <t xml:space="preserve">     财务费用（收益以“－”号填列）</t>
  </si>
  <si>
    <t xml:space="preserve">     投资损失（收益以“－”号填列）</t>
  </si>
  <si>
    <t xml:space="preserve">     递延所得税资产减少（增加以“－”号填列）</t>
  </si>
  <si>
    <t xml:space="preserve">     递延所得税负债增加（减少以“－”号填列）</t>
  </si>
  <si>
    <t xml:space="preserve">     存货的减少（增加以“－”号填列）</t>
  </si>
  <si>
    <t xml:space="preserve">     经营性应收项目的减少（增加以“－”号填列）</t>
  </si>
  <si>
    <t xml:space="preserve">     经营性应付项目的增加（减少以“－”号填列）</t>
  </si>
  <si>
    <t>2、不涉及现金收支的投资和筹资活动：</t>
  </si>
  <si>
    <t xml:space="preserve">     债务转为资本</t>
  </si>
  <si>
    <t xml:space="preserve">     一年内到期的可转换公司债券</t>
  </si>
  <si>
    <t xml:space="preserve">     融资租入固定资产</t>
  </si>
  <si>
    <t xml:space="preserve">     其他</t>
  </si>
  <si>
    <t>3、现金及现金等价物净变动情况：</t>
  </si>
  <si>
    <t xml:space="preserve">     现金的期末余额</t>
  </si>
  <si>
    <t xml:space="preserve">     减：现金的期初余额</t>
  </si>
  <si>
    <t xml:space="preserve">     加：现金等价物的期末余额</t>
  </si>
  <si>
    <t xml:space="preserve">     减：现金等价物的期初余额</t>
  </si>
  <si>
    <t xml:space="preserve">     现金及现金等价物净增加额</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</si>
</sst>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2]* #,##0.00_);_([$€-2]* \(#,##0.00\);_([$€-2]* &quot;-&quot;??_)"/>
    <numFmt numFmtId="177" formatCode="#,##0.00_ "/>
    <numFmt numFmtId="178" formatCode="#,##0.0000_ "/>
  </numFmts>
  <fonts count="41">
    <font>
      <sz val="12"/>
      <name val="宋体"/>
      <charset val="134"/>
    </font>
    <font>
      <sz val="10"/>
      <name val="Arial Narrow"/>
      <charset val="134"/>
    </font>
    <font>
      <b/>
      <sz val="9"/>
      <name val="Arial Narrow"/>
      <charset val="134"/>
    </font>
    <font>
      <sz val="9"/>
      <name val="Arial Narrow"/>
      <charset val="134"/>
    </font>
    <font>
      <b/>
      <sz val="14"/>
      <name val="宋体"/>
      <charset val="134"/>
    </font>
    <font>
      <b/>
      <sz val="14"/>
      <name val="Arial Narrow"/>
      <charset val="134"/>
    </font>
    <font>
      <sz val="10"/>
      <name val="宋体"/>
      <charset val="134"/>
    </font>
    <font>
      <b/>
      <sz val="11"/>
      <name val="宋体"/>
      <charset val="134"/>
    </font>
    <font>
      <b/>
      <sz val="10"/>
      <name val="宋体"/>
      <charset val="134"/>
    </font>
    <font>
      <b/>
      <sz val="11"/>
      <name val="Arial Narrow"/>
      <charset val="134"/>
    </font>
    <font>
      <i/>
      <sz val="10"/>
      <name val="Arial Narrow"/>
      <charset val="134"/>
    </font>
    <font>
      <b/>
      <sz val="10"/>
      <name val="Arial Narrow"/>
      <charset val="134"/>
    </font>
    <font>
      <b/>
      <i/>
      <sz val="10"/>
      <color indexed="12"/>
      <name val="Arial Narrow"/>
      <charset val="134"/>
    </font>
    <font>
      <b/>
      <sz val="10"/>
      <color indexed="10"/>
      <name val="Arial Narrow"/>
      <charset val="134"/>
    </font>
    <font>
      <sz val="9"/>
      <color indexed="9"/>
      <name val="Arial Narrow"/>
      <charset val="134"/>
    </font>
    <font>
      <sz val="8"/>
      <name val="Arial Narrow"/>
      <charset val="134"/>
    </font>
    <font>
      <sz val="9"/>
      <color rgb="FFFF0000"/>
      <name val="Arial Narrow"/>
      <charset val="134"/>
    </font>
    <font>
      <sz val="9"/>
      <name val="宋体"/>
      <charset val="134"/>
    </font>
    <font>
      <sz val="10"/>
      <name val="Times New Roman"/>
      <charset val="134"/>
    </font>
    <font>
      <b/>
      <sz val="10"/>
      <name val="Times New Roma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u/>
      <sz val="10"/>
      <name val="Arial Narrow"/>
      <charset val="134"/>
    </font>
  </fonts>
  <fills count="35">
    <fill>
      <patternFill patternType="none"/>
    </fill>
    <fill>
      <patternFill patternType="gray125"/>
    </fill>
    <fill>
      <patternFill patternType="solid">
        <fgColor indexed="41"/>
        <bgColor indexed="64"/>
      </patternFill>
    </fill>
    <fill>
      <patternFill patternType="solid">
        <fgColor rgb="FFCC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6">
    <border>
      <left/>
      <right/>
      <top/>
      <bottom/>
      <diagonal/>
    </border>
    <border>
      <left/>
      <right style="hair">
        <color auto="1"/>
      </right>
      <top style="thin">
        <color auto="1"/>
      </top>
      <bottom style="hair">
        <color auto="1"/>
      </bottom>
      <diagonal/>
    </border>
    <border>
      <left style="hair">
        <color auto="1"/>
      </left>
      <right style="hair">
        <color auto="1"/>
      </right>
      <top style="thin">
        <color auto="1"/>
      </top>
      <bottom/>
      <diagonal/>
    </border>
    <border>
      <left style="hair">
        <color auto="1"/>
      </left>
      <right/>
      <top style="thin">
        <color auto="1"/>
      </top>
      <bottom/>
      <diagonal/>
    </border>
    <border>
      <left/>
      <right style="hair">
        <color auto="1"/>
      </right>
      <top style="hair">
        <color auto="1"/>
      </top>
      <bottom style="thin">
        <color auto="1"/>
      </bottom>
      <diagonal/>
    </border>
    <border>
      <left style="hair">
        <color auto="1"/>
      </left>
      <right style="hair">
        <color auto="1"/>
      </right>
      <top/>
      <bottom style="thin">
        <color auto="1"/>
      </bottom>
      <diagonal/>
    </border>
    <border>
      <left style="hair">
        <color auto="1"/>
      </left>
      <right/>
      <top/>
      <bottom style="thin">
        <color auto="1"/>
      </bottom>
      <diagonal/>
    </border>
    <border>
      <left style="hair">
        <color auto="1"/>
      </left>
      <right style="hair">
        <color auto="1"/>
      </right>
      <top style="thin">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thin">
        <color auto="1"/>
      </bottom>
      <diagonal/>
    </border>
    <border>
      <left/>
      <right/>
      <top style="thin">
        <color auto="1"/>
      </top>
      <bottom/>
      <diagonal/>
    </border>
    <border>
      <left/>
      <right/>
      <top/>
      <bottom style="thin">
        <color auto="1"/>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diagonal/>
    </border>
    <border>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176" fontId="0" fillId="0" borderId="0">
      <protection locked="0"/>
    </xf>
    <xf numFmtId="43" fontId="0" fillId="0" borderId="0" applyFont="0" applyFill="0" applyBorder="0" applyAlignment="0" applyProtection="0"/>
    <xf numFmtId="44" fontId="20" fillId="0" borderId="0" applyFont="0" applyFill="0" applyBorder="0" applyAlignment="0" applyProtection="0">
      <alignment vertical="center"/>
    </xf>
    <xf numFmtId="9" fontId="20" fillId="0" borderId="0" applyFont="0" applyFill="0" applyBorder="0" applyAlignment="0" applyProtection="0">
      <alignment vertical="center"/>
    </xf>
    <xf numFmtId="41" fontId="20" fillId="0" borderId="0" applyFont="0" applyFill="0" applyBorder="0" applyAlignment="0" applyProtection="0">
      <alignment vertical="center"/>
    </xf>
    <xf numFmtId="42" fontId="20" fillId="0" borderId="0" applyFon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0" fillId="4" borderId="18"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9" applyNumberFormat="0" applyFill="0" applyAlignment="0" applyProtection="0">
      <alignment vertical="center"/>
    </xf>
    <xf numFmtId="0" fontId="27" fillId="0" borderId="19" applyNumberFormat="0" applyFill="0" applyAlignment="0" applyProtection="0">
      <alignment vertical="center"/>
    </xf>
    <xf numFmtId="0" fontId="28" fillId="0" borderId="20" applyNumberFormat="0" applyFill="0" applyAlignment="0" applyProtection="0">
      <alignment vertical="center"/>
    </xf>
    <xf numFmtId="0" fontId="28" fillId="0" borderId="0" applyNumberFormat="0" applyFill="0" applyBorder="0" applyAlignment="0" applyProtection="0">
      <alignment vertical="center"/>
    </xf>
    <xf numFmtId="0" fontId="29" fillId="5" borderId="21" applyNumberFormat="0" applyAlignment="0" applyProtection="0">
      <alignment vertical="center"/>
    </xf>
    <xf numFmtId="0" fontId="30" fillId="6" borderId="22" applyNumberFormat="0" applyAlignment="0" applyProtection="0">
      <alignment vertical="center"/>
    </xf>
    <xf numFmtId="0" fontId="31" fillId="6" borderId="21" applyNumberFormat="0" applyAlignment="0" applyProtection="0">
      <alignment vertical="center"/>
    </xf>
    <xf numFmtId="0" fontId="32" fillId="7" borderId="23" applyNumberFormat="0" applyAlignment="0" applyProtection="0">
      <alignment vertical="center"/>
    </xf>
    <xf numFmtId="0" fontId="33" fillId="0" borderId="24" applyNumberFormat="0" applyFill="0" applyAlignment="0" applyProtection="0">
      <alignment vertical="center"/>
    </xf>
    <xf numFmtId="0" fontId="34" fillId="0" borderId="25" applyNumberFormat="0" applyFill="0" applyAlignment="0" applyProtection="0">
      <alignment vertical="center"/>
    </xf>
    <xf numFmtId="0" fontId="35" fillId="8" borderId="0" applyNumberFormat="0" applyBorder="0" applyAlignment="0" applyProtection="0">
      <alignment vertical="center"/>
    </xf>
    <xf numFmtId="0" fontId="36" fillId="9" borderId="0" applyNumberFormat="0" applyBorder="0" applyAlignment="0" applyProtection="0">
      <alignment vertical="center"/>
    </xf>
    <xf numFmtId="0" fontId="37" fillId="10" borderId="0" applyNumberFormat="0" applyBorder="0" applyAlignment="0" applyProtection="0">
      <alignment vertical="center"/>
    </xf>
    <xf numFmtId="0" fontId="38" fillId="11" borderId="0" applyNumberFormat="0" applyBorder="0" applyAlignment="0" applyProtection="0">
      <alignment vertical="center"/>
    </xf>
    <xf numFmtId="0" fontId="39" fillId="12" borderId="0" applyNumberFormat="0" applyBorder="0" applyAlignment="0" applyProtection="0">
      <alignment vertical="center"/>
    </xf>
    <xf numFmtId="0" fontId="39" fillId="13" borderId="0" applyNumberFormat="0" applyBorder="0" applyAlignment="0" applyProtection="0">
      <alignment vertical="center"/>
    </xf>
    <xf numFmtId="0" fontId="38" fillId="14" borderId="0" applyNumberFormat="0" applyBorder="0" applyAlignment="0" applyProtection="0">
      <alignment vertical="center"/>
    </xf>
    <xf numFmtId="0" fontId="38" fillId="15" borderId="0" applyNumberFormat="0" applyBorder="0" applyAlignment="0" applyProtection="0">
      <alignment vertical="center"/>
    </xf>
    <xf numFmtId="0" fontId="39" fillId="16" borderId="0" applyNumberFormat="0" applyBorder="0" applyAlignment="0" applyProtection="0">
      <alignment vertical="center"/>
    </xf>
    <xf numFmtId="0" fontId="39" fillId="17" borderId="0" applyNumberFormat="0" applyBorder="0" applyAlignment="0" applyProtection="0">
      <alignment vertical="center"/>
    </xf>
    <xf numFmtId="0" fontId="38" fillId="18" borderId="0" applyNumberFormat="0" applyBorder="0" applyAlignment="0" applyProtection="0">
      <alignment vertical="center"/>
    </xf>
    <xf numFmtId="0" fontId="38" fillId="19" borderId="0" applyNumberFormat="0" applyBorder="0" applyAlignment="0" applyProtection="0">
      <alignment vertical="center"/>
    </xf>
    <xf numFmtId="0" fontId="39" fillId="20" borderId="0" applyNumberFormat="0" applyBorder="0" applyAlignment="0" applyProtection="0">
      <alignment vertical="center"/>
    </xf>
    <xf numFmtId="0" fontId="39" fillId="21" borderId="0" applyNumberFormat="0" applyBorder="0" applyAlignment="0" applyProtection="0">
      <alignment vertical="center"/>
    </xf>
    <xf numFmtId="0" fontId="38" fillId="22" borderId="0" applyNumberFormat="0" applyBorder="0" applyAlignment="0" applyProtection="0">
      <alignment vertical="center"/>
    </xf>
    <xf numFmtId="0" fontId="38" fillId="23" borderId="0" applyNumberFormat="0" applyBorder="0" applyAlignment="0" applyProtection="0">
      <alignment vertical="center"/>
    </xf>
    <xf numFmtId="0" fontId="39" fillId="24" borderId="0" applyNumberFormat="0" applyBorder="0" applyAlignment="0" applyProtection="0">
      <alignment vertical="center"/>
    </xf>
    <xf numFmtId="0" fontId="39" fillId="25" borderId="0" applyNumberFormat="0" applyBorder="0" applyAlignment="0" applyProtection="0">
      <alignment vertical="center"/>
    </xf>
    <xf numFmtId="0" fontId="38" fillId="26" borderId="0" applyNumberFormat="0" applyBorder="0" applyAlignment="0" applyProtection="0">
      <alignment vertical="center"/>
    </xf>
    <xf numFmtId="0" fontId="38" fillId="27" borderId="0" applyNumberFormat="0" applyBorder="0" applyAlignment="0" applyProtection="0">
      <alignment vertical="center"/>
    </xf>
    <xf numFmtId="0" fontId="39" fillId="28" borderId="0" applyNumberFormat="0" applyBorder="0" applyAlignment="0" applyProtection="0">
      <alignment vertical="center"/>
    </xf>
    <xf numFmtId="0" fontId="39" fillId="29" borderId="0" applyNumberFormat="0" applyBorder="0" applyAlignment="0" applyProtection="0">
      <alignment vertical="center"/>
    </xf>
    <xf numFmtId="0" fontId="38" fillId="30" borderId="0" applyNumberFormat="0" applyBorder="0" applyAlignment="0" applyProtection="0">
      <alignment vertical="center"/>
    </xf>
    <xf numFmtId="0" fontId="38" fillId="31" borderId="0" applyNumberFormat="0" applyBorder="0" applyAlignment="0" applyProtection="0">
      <alignment vertical="center"/>
    </xf>
    <xf numFmtId="0" fontId="39" fillId="32" borderId="0" applyNumberFormat="0" applyBorder="0" applyAlignment="0" applyProtection="0">
      <alignment vertical="center"/>
    </xf>
    <xf numFmtId="0" fontId="39" fillId="33" borderId="0" applyNumberFormat="0" applyBorder="0" applyAlignment="0" applyProtection="0">
      <alignment vertical="center"/>
    </xf>
    <xf numFmtId="0" fontId="38" fillId="34" borderId="0" applyNumberFormat="0" applyBorder="0" applyAlignment="0" applyProtection="0">
      <alignment vertical="center"/>
    </xf>
    <xf numFmtId="176" fontId="0" fillId="0" borderId="0">
      <protection locked="0"/>
    </xf>
    <xf numFmtId="176" fontId="17" fillId="0" borderId="0">
      <protection locked="0"/>
    </xf>
  </cellStyleXfs>
  <cellXfs count="90">
    <xf numFmtId="176" fontId="0" fillId="0" borderId="0" xfId="0">
      <protection locked="0"/>
    </xf>
    <xf numFmtId="177" fontId="1" fillId="0" borderId="0" xfId="50" applyNumberFormat="1" applyFont="1" applyAlignment="1">
      <alignment vertical="center"/>
      <protection locked="0"/>
    </xf>
    <xf numFmtId="177" fontId="2" fillId="0" borderId="0" xfId="50" applyNumberFormat="1" applyFont="1" applyAlignment="1">
      <alignment vertical="center"/>
      <protection locked="0"/>
    </xf>
    <xf numFmtId="177" fontId="3" fillId="0" borderId="0" xfId="50" applyNumberFormat="1" applyFont="1" applyAlignment="1">
      <alignment vertical="center"/>
      <protection locked="0"/>
    </xf>
    <xf numFmtId="176" fontId="4" fillId="0" borderId="0" xfId="50" applyFont="1" applyAlignment="1">
      <alignment horizontal="centerContinuous" vertical="center"/>
      <protection locked="0"/>
    </xf>
    <xf numFmtId="177" fontId="5" fillId="0" borderId="0" xfId="50" applyNumberFormat="1" applyFont="1" applyAlignment="1">
      <alignment horizontal="centerContinuous" vertical="center"/>
      <protection locked="0"/>
    </xf>
    <xf numFmtId="177" fontId="6" fillId="0" borderId="0" xfId="50" applyNumberFormat="1" applyFont="1" applyAlignment="1" applyProtection="1">
      <alignment vertical="center"/>
    </xf>
    <xf numFmtId="177" fontId="6" fillId="0" borderId="0" xfId="50" applyNumberFormat="1" applyFont="1" applyBorder="1" applyAlignment="1" applyProtection="1">
      <alignment horizontal="left" vertical="center"/>
    </xf>
    <xf numFmtId="177" fontId="6" fillId="0" borderId="0" xfId="50" applyNumberFormat="1" applyFont="1" applyAlignment="1" applyProtection="1">
      <alignment horizontal="left" vertical="center"/>
    </xf>
    <xf numFmtId="177" fontId="1" fillId="0" borderId="0" xfId="50" applyNumberFormat="1" applyFont="1" applyAlignment="1" applyProtection="1">
      <alignment vertical="center"/>
    </xf>
    <xf numFmtId="177" fontId="1" fillId="0" borderId="0" xfId="50" applyNumberFormat="1" applyFont="1" applyBorder="1" applyAlignment="1" applyProtection="1">
      <alignment horizontal="left" vertical="center"/>
    </xf>
    <xf numFmtId="177" fontId="7" fillId="0" borderId="1" xfId="50" applyNumberFormat="1" applyFont="1" applyBorder="1" applyAlignment="1" applyProtection="1">
      <alignment horizontal="center" vertical="center"/>
    </xf>
    <xf numFmtId="177" fontId="8" fillId="0" borderId="2" xfId="50" applyNumberFormat="1" applyFont="1" applyBorder="1" applyAlignment="1" applyProtection="1">
      <alignment horizontal="center" vertical="center" wrapText="1"/>
    </xf>
    <xf numFmtId="177" fontId="8" fillId="0" borderId="2" xfId="50" applyNumberFormat="1" applyFont="1" applyBorder="1" applyAlignment="1" applyProtection="1">
      <alignment horizontal="center" vertical="center"/>
    </xf>
    <xf numFmtId="177" fontId="8" fillId="0" borderId="3" xfId="50" applyNumberFormat="1" applyFont="1" applyBorder="1" applyAlignment="1" applyProtection="1">
      <alignment horizontal="center" vertical="center"/>
    </xf>
    <xf numFmtId="177" fontId="9" fillId="0" borderId="4" xfId="50" applyNumberFormat="1" applyFont="1" applyBorder="1" applyAlignment="1" applyProtection="1">
      <alignment horizontal="center" vertical="center"/>
    </xf>
    <xf numFmtId="177" fontId="8" fillId="0" borderId="5" xfId="50" applyNumberFormat="1" applyFont="1" applyBorder="1" applyAlignment="1" applyProtection="1">
      <alignment horizontal="center" vertical="center" wrapText="1"/>
    </xf>
    <xf numFmtId="177" fontId="8" fillId="0" borderId="5" xfId="50" applyNumberFormat="1" applyFont="1" applyBorder="1" applyAlignment="1" applyProtection="1">
      <alignment horizontal="center" vertical="center"/>
    </xf>
    <xf numFmtId="177" fontId="8" fillId="0" borderId="6" xfId="50" applyNumberFormat="1" applyFont="1" applyBorder="1" applyAlignment="1" applyProtection="1">
      <alignment horizontal="center" vertical="center"/>
    </xf>
    <xf numFmtId="176" fontId="10" fillId="0" borderId="1" xfId="1" applyNumberFormat="1" applyFont="1" applyBorder="1" applyProtection="1">
      <protection locked="0"/>
    </xf>
    <xf numFmtId="43" fontId="1" fillId="0" borderId="7" xfId="1" applyFont="1" applyBorder="1" applyProtection="1">
      <protection locked="0"/>
    </xf>
    <xf numFmtId="177" fontId="3" fillId="0" borderId="7" xfId="50" applyNumberFormat="1" applyFont="1" applyBorder="1" applyAlignment="1">
      <alignment vertical="center"/>
      <protection locked="0"/>
    </xf>
    <xf numFmtId="176" fontId="1" fillId="0" borderId="8" xfId="1" applyNumberFormat="1" applyFont="1" applyBorder="1" applyAlignment="1" applyProtection="1">
      <alignment horizontal="left"/>
      <protection locked="0"/>
    </xf>
    <xf numFmtId="43" fontId="1" fillId="0" borderId="9" xfId="1" applyFont="1" applyBorder="1" applyProtection="1">
      <protection locked="0"/>
    </xf>
    <xf numFmtId="177" fontId="3" fillId="0" borderId="9" xfId="50" applyNumberFormat="1" applyFont="1" applyBorder="1" applyAlignment="1">
      <alignment vertical="center"/>
      <protection locked="0"/>
    </xf>
    <xf numFmtId="176" fontId="11" fillId="0" borderId="8" xfId="1" applyNumberFormat="1" applyFont="1" applyBorder="1" applyAlignment="1" applyProtection="1">
      <alignment horizontal="center"/>
      <protection locked="0"/>
    </xf>
    <xf numFmtId="43" fontId="11" fillId="0" borderId="9" xfId="1" applyFont="1" applyBorder="1" applyProtection="1">
      <protection locked="0"/>
    </xf>
    <xf numFmtId="176" fontId="10" fillId="0" borderId="8" xfId="1" applyNumberFormat="1" applyFont="1" applyBorder="1" applyAlignment="1" applyProtection="1">
      <alignment horizontal="left"/>
      <protection locked="0"/>
    </xf>
    <xf numFmtId="176" fontId="1" fillId="0" borderId="8" xfId="1" applyNumberFormat="1" applyFont="1" applyBorder="1" applyAlignment="1" applyProtection="1">
      <alignment horizontal="left" indent="1"/>
      <protection locked="0"/>
    </xf>
    <xf numFmtId="176" fontId="11" fillId="0" borderId="8" xfId="1" applyNumberFormat="1" applyFont="1" applyBorder="1" applyAlignment="1" applyProtection="1">
      <alignment horizontal="left"/>
      <protection locked="0"/>
    </xf>
    <xf numFmtId="176" fontId="11" fillId="0" borderId="4" xfId="1" applyNumberFormat="1" applyFont="1" applyBorder="1" applyProtection="1">
      <protection locked="0"/>
    </xf>
    <xf numFmtId="43" fontId="11" fillId="0" borderId="10" xfId="1" applyFont="1" applyBorder="1" applyProtection="1">
      <protection locked="0"/>
    </xf>
    <xf numFmtId="176" fontId="1" fillId="0" borderId="11" xfId="1" applyNumberFormat="1" applyFont="1" applyBorder="1" applyProtection="1">
      <protection locked="0"/>
    </xf>
    <xf numFmtId="43" fontId="1" fillId="0" borderId="11" xfId="1" applyFont="1" applyBorder="1" applyProtection="1">
      <protection locked="0"/>
    </xf>
    <xf numFmtId="177" fontId="3" fillId="0" borderId="11" xfId="50" applyNumberFormat="1" applyFont="1" applyBorder="1" applyAlignment="1">
      <alignment vertical="center"/>
      <protection locked="0"/>
    </xf>
    <xf numFmtId="176" fontId="11" fillId="0" borderId="0" xfId="1" applyNumberFormat="1" applyFont="1" applyBorder="1" applyAlignment="1" applyProtection="1">
      <alignment horizontal="center"/>
      <protection locked="0"/>
    </xf>
    <xf numFmtId="43" fontId="11" fillId="0" borderId="0" xfId="1" applyFont="1" applyBorder="1" applyProtection="1">
      <protection locked="0"/>
    </xf>
    <xf numFmtId="177" fontId="3" fillId="0" borderId="0" xfId="50" applyNumberFormat="1" applyFont="1" applyBorder="1" applyAlignment="1">
      <alignment vertical="center"/>
      <protection locked="0"/>
    </xf>
    <xf numFmtId="43" fontId="12" fillId="0" borderId="12" xfId="1" applyNumberFormat="1" applyFont="1" applyBorder="1" applyProtection="1">
      <protection locked="0"/>
    </xf>
    <xf numFmtId="43" fontId="1" fillId="0" borderId="12" xfId="1" applyFont="1" applyBorder="1" applyProtection="1">
      <protection locked="0"/>
    </xf>
    <xf numFmtId="177" fontId="3" fillId="0" borderId="12" xfId="50" applyNumberFormat="1" applyFont="1" applyBorder="1" applyAlignment="1">
      <alignment vertical="center"/>
      <protection locked="0"/>
    </xf>
    <xf numFmtId="176" fontId="11" fillId="0" borderId="1" xfId="1" applyNumberFormat="1" applyFont="1" applyBorder="1" applyProtection="1">
      <protection locked="0"/>
    </xf>
    <xf numFmtId="176" fontId="11" fillId="0" borderId="8" xfId="1" applyNumberFormat="1" applyFont="1" applyBorder="1" applyProtection="1">
      <protection locked="0"/>
    </xf>
    <xf numFmtId="176" fontId="1" fillId="0" borderId="8" xfId="1" applyNumberFormat="1" applyFont="1" applyBorder="1" applyProtection="1">
      <protection locked="0"/>
    </xf>
    <xf numFmtId="176" fontId="10" fillId="0" borderId="8" xfId="1" applyNumberFormat="1" applyFont="1" applyBorder="1" applyProtection="1">
      <protection locked="0"/>
    </xf>
    <xf numFmtId="176" fontId="11" fillId="0" borderId="4" xfId="1" applyNumberFormat="1" applyFont="1" applyBorder="1" applyAlignment="1" applyProtection="1">
      <alignment horizontal="left"/>
      <protection locked="0"/>
    </xf>
    <xf numFmtId="176" fontId="4" fillId="0" borderId="0" xfId="50" applyFont="1" applyAlignment="1" applyProtection="1">
      <alignment horizontal="centerContinuous" vertical="center"/>
    </xf>
    <xf numFmtId="177" fontId="5" fillId="0" borderId="0" xfId="50" applyNumberFormat="1" applyFont="1" applyAlignment="1" applyProtection="1">
      <alignment horizontal="centerContinuous" vertical="center"/>
    </xf>
    <xf numFmtId="177" fontId="5" fillId="0" borderId="0" xfId="50" applyNumberFormat="1" applyFont="1" applyAlignment="1">
      <alignment horizontal="center" vertical="center"/>
      <protection locked="0"/>
    </xf>
    <xf numFmtId="177" fontId="13" fillId="0" borderId="0" xfId="50" applyNumberFormat="1" applyFont="1" applyAlignment="1" applyProtection="1">
      <alignment vertical="center"/>
    </xf>
    <xf numFmtId="177" fontId="1" fillId="0" borderId="0" xfId="50" applyNumberFormat="1" applyFont="1" applyAlignment="1" applyProtection="1">
      <alignment horizontal="left" vertical="center"/>
    </xf>
    <xf numFmtId="177" fontId="7" fillId="0" borderId="1" xfId="50" applyNumberFormat="1" applyFont="1" applyBorder="1" applyAlignment="1" applyProtection="1">
      <alignment horizontal="center" vertical="center" wrapText="1"/>
    </xf>
    <xf numFmtId="177" fontId="8" fillId="0" borderId="7" xfId="50" applyNumberFormat="1" applyFont="1" applyBorder="1" applyAlignment="1" applyProtection="1">
      <alignment horizontal="center" vertical="center"/>
    </xf>
    <xf numFmtId="177" fontId="9" fillId="0" borderId="4" xfId="50" applyNumberFormat="1" applyFont="1" applyBorder="1" applyAlignment="1" applyProtection="1">
      <alignment horizontal="center" vertical="center" wrapText="1"/>
    </xf>
    <xf numFmtId="177" fontId="8" fillId="0" borderId="10" xfId="50" applyNumberFormat="1" applyFont="1" applyBorder="1" applyAlignment="1" applyProtection="1">
      <alignment horizontal="center" vertical="center"/>
    </xf>
    <xf numFmtId="177" fontId="8" fillId="0" borderId="13" xfId="50" applyNumberFormat="1" applyFont="1" applyBorder="1" applyAlignment="1" applyProtection="1">
      <alignment vertical="center"/>
    </xf>
    <xf numFmtId="43" fontId="2" fillId="0" borderId="14" xfId="1" applyFont="1" applyBorder="1" applyAlignment="1" applyProtection="1">
      <alignment vertical="center"/>
    </xf>
    <xf numFmtId="43" fontId="2" fillId="0" borderId="14" xfId="1" applyFont="1" applyFill="1" applyBorder="1" applyAlignment="1" applyProtection="1">
      <alignment vertical="center"/>
    </xf>
    <xf numFmtId="43" fontId="3" fillId="0" borderId="14" xfId="1" applyFont="1" applyFill="1" applyBorder="1" applyAlignment="1" applyProtection="1">
      <alignment vertical="center"/>
    </xf>
    <xf numFmtId="177" fontId="6" fillId="0" borderId="13" xfId="50" applyNumberFormat="1" applyFont="1" applyBorder="1" applyAlignment="1" applyProtection="1">
      <alignment vertical="center"/>
    </xf>
    <xf numFmtId="43" fontId="3" fillId="0" borderId="14" xfId="1" applyFont="1" applyBorder="1" applyAlignment="1" applyProtection="1">
      <alignment vertical="center"/>
    </xf>
    <xf numFmtId="43" fontId="3" fillId="0" borderId="9" xfId="1" applyFont="1" applyFill="1" applyBorder="1" applyAlignment="1" applyProtection="1">
      <alignment vertical="center"/>
    </xf>
    <xf numFmtId="178" fontId="3" fillId="0" borderId="0" xfId="50" applyNumberFormat="1" applyFont="1" applyAlignment="1">
      <alignment vertical="center"/>
      <protection locked="0"/>
    </xf>
    <xf numFmtId="43" fontId="2" fillId="0" borderId="9" xfId="1" applyFont="1" applyBorder="1" applyAlignment="1" applyProtection="1">
      <alignment vertical="center"/>
    </xf>
    <xf numFmtId="43" fontId="3" fillId="0" borderId="9" xfId="1" applyFont="1" applyBorder="1" applyAlignment="1" applyProtection="1">
      <alignment vertical="center"/>
    </xf>
    <xf numFmtId="177" fontId="6" fillId="0" borderId="13" xfId="50" applyNumberFormat="1" applyFont="1" applyBorder="1" applyAlignment="1" applyProtection="1">
      <alignment horizontal="left" vertical="center" indent="1"/>
    </xf>
    <xf numFmtId="177" fontId="6" fillId="0" borderId="8" xfId="50" applyNumberFormat="1" applyFont="1" applyBorder="1" applyAlignment="1" applyProtection="1">
      <alignment vertical="center"/>
    </xf>
    <xf numFmtId="177" fontId="8" fillId="0" borderId="8" xfId="50" applyNumberFormat="1" applyFont="1" applyBorder="1" applyAlignment="1" applyProtection="1">
      <alignment vertical="center"/>
    </xf>
    <xf numFmtId="177" fontId="8" fillId="0" borderId="4" xfId="50" applyNumberFormat="1" applyFont="1" applyBorder="1" applyAlignment="1" applyProtection="1">
      <alignment vertical="center"/>
    </xf>
    <xf numFmtId="43" fontId="2" fillId="0" borderId="10" xfId="1" applyFont="1" applyBorder="1" applyAlignment="1" applyProtection="1">
      <alignment vertical="center"/>
    </xf>
    <xf numFmtId="43" fontId="2" fillId="0" borderId="10" xfId="1" applyFont="1" applyFill="1" applyBorder="1" applyAlignment="1" applyProtection="1">
      <alignment vertical="center"/>
    </xf>
    <xf numFmtId="176" fontId="3" fillId="2" borderId="0" xfId="1" applyNumberFormat="1" applyFont="1" applyFill="1" applyAlignment="1" applyProtection="1">
      <alignment horizontal="left" vertical="center"/>
    </xf>
    <xf numFmtId="43" fontId="14" fillId="3" borderId="0" xfId="1" applyFont="1" applyFill="1" applyAlignment="1" applyProtection="1">
      <alignment vertical="center"/>
    </xf>
    <xf numFmtId="177" fontId="14" fillId="2" borderId="0" xfId="50" applyNumberFormat="1" applyFont="1" applyFill="1" applyAlignment="1" applyProtection="1">
      <alignment vertical="center"/>
    </xf>
    <xf numFmtId="43" fontId="15" fillId="0" borderId="0" xfId="1" applyFont="1" applyAlignment="1" applyProtection="1">
      <alignment vertical="center"/>
    </xf>
    <xf numFmtId="43" fontId="3" fillId="0" borderId="0" xfId="1" applyFont="1" applyFill="1" applyAlignment="1" applyProtection="1">
      <alignment vertical="center"/>
    </xf>
    <xf numFmtId="177" fontId="3" fillId="0" borderId="0" xfId="50" applyNumberFormat="1" applyFont="1" applyFill="1" applyAlignment="1" applyProtection="1">
      <alignment vertical="center"/>
    </xf>
    <xf numFmtId="177" fontId="16" fillId="0" borderId="0" xfId="50" applyNumberFormat="1" applyFont="1" applyAlignment="1">
      <alignment vertical="center"/>
      <protection locked="0"/>
    </xf>
    <xf numFmtId="43" fontId="17" fillId="0" borderId="0" xfId="49" applyNumberFormat="1" applyFont="1" applyAlignment="1" applyProtection="1">
      <alignment vertical="center"/>
    </xf>
    <xf numFmtId="43" fontId="3" fillId="0" borderId="0" xfId="49" applyNumberFormat="1" applyFont="1" applyAlignment="1">
      <alignment vertical="center"/>
      <protection locked="0"/>
    </xf>
    <xf numFmtId="177" fontId="3" fillId="0" borderId="14" xfId="50" applyNumberFormat="1" applyFont="1" applyBorder="1" applyAlignment="1" applyProtection="1">
      <alignment vertical="center"/>
    </xf>
    <xf numFmtId="177" fontId="18" fillId="0" borderId="8" xfId="50" applyNumberFormat="1" applyFont="1" applyBorder="1" applyAlignment="1" applyProtection="1">
      <alignment horizontal="left" vertical="center"/>
    </xf>
    <xf numFmtId="177" fontId="19" fillId="0" borderId="8" xfId="50" applyNumberFormat="1" applyFont="1" applyBorder="1" applyAlignment="1" applyProtection="1">
      <alignment horizontal="center" vertical="center"/>
    </xf>
    <xf numFmtId="177" fontId="19" fillId="0" borderId="8" xfId="50" applyNumberFormat="1" applyFont="1" applyBorder="1" applyAlignment="1" applyProtection="1">
      <alignment horizontal="left" vertical="center"/>
    </xf>
    <xf numFmtId="177" fontId="19" fillId="0" borderId="15" xfId="50" applyNumberFormat="1" applyFont="1" applyBorder="1" applyAlignment="1" applyProtection="1">
      <alignment horizontal="center" vertical="center"/>
    </xf>
    <xf numFmtId="177" fontId="19" fillId="0" borderId="16" xfId="50" applyNumberFormat="1" applyFont="1" applyBorder="1" applyAlignment="1" applyProtection="1">
      <alignment horizontal="center" vertical="center"/>
    </xf>
    <xf numFmtId="43" fontId="2" fillId="0" borderId="17" xfId="1" applyFont="1" applyBorder="1" applyAlignment="1" applyProtection="1">
      <alignment vertical="center"/>
      <protection locked="0"/>
    </xf>
    <xf numFmtId="177" fontId="18" fillId="0" borderId="8" xfId="50" applyNumberFormat="1" applyFont="1" applyBorder="1" applyAlignment="1" applyProtection="1">
      <alignment horizontal="left" vertical="center" indent="1"/>
    </xf>
    <xf numFmtId="43" fontId="2" fillId="0" borderId="9" xfId="1" applyFont="1" applyFill="1" applyBorder="1" applyAlignment="1" applyProtection="1">
      <alignment vertical="center"/>
    </xf>
    <xf numFmtId="177" fontId="19" fillId="0" borderId="15" xfId="50" applyNumberFormat="1" applyFont="1" applyBorder="1" applyAlignment="1" applyProtection="1">
      <alignment horizontal="center" vertical="center" shrinkToFi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试算表(三建主业)" xfId="49"/>
    <cellStyle name="常规_2003年调整表1" xfId="50"/>
  </cellStyles>
  <dxfs count="18">
    <dxf>
      <font>
        <color indexed="10"/>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6.xml"/><Relationship Id="rId8" Type="http://schemas.openxmlformats.org/officeDocument/2006/relationships/externalLink" Target="externalLinks/externalLink5.xml"/><Relationship Id="rId7" Type="http://schemas.openxmlformats.org/officeDocument/2006/relationships/externalLink" Target="externalLinks/externalLink4.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33" Type="http://schemas.openxmlformats.org/officeDocument/2006/relationships/styles" Target="styles.xml"/><Relationship Id="rId32" Type="http://schemas.openxmlformats.org/officeDocument/2006/relationships/sharedStrings" Target="sharedStrings.xml"/><Relationship Id="rId31" Type="http://schemas.openxmlformats.org/officeDocument/2006/relationships/theme" Target="theme/theme1.xml"/><Relationship Id="rId30" Type="http://schemas.openxmlformats.org/officeDocument/2006/relationships/externalLink" Target="externalLinks/externalLink27.xml"/><Relationship Id="rId3" Type="http://schemas.openxmlformats.org/officeDocument/2006/relationships/worksheet" Target="worksheets/sheet3.xml"/><Relationship Id="rId29" Type="http://schemas.openxmlformats.org/officeDocument/2006/relationships/externalLink" Target="externalLinks/externalLink26.xml"/><Relationship Id="rId28" Type="http://schemas.openxmlformats.org/officeDocument/2006/relationships/externalLink" Target="externalLinks/externalLink25.xml"/><Relationship Id="rId27" Type="http://schemas.openxmlformats.org/officeDocument/2006/relationships/externalLink" Target="externalLinks/externalLink24.xml"/><Relationship Id="rId26" Type="http://schemas.openxmlformats.org/officeDocument/2006/relationships/externalLink" Target="externalLinks/externalLink23.xml"/><Relationship Id="rId25" Type="http://schemas.openxmlformats.org/officeDocument/2006/relationships/externalLink" Target="externalLinks/externalLink22.xml"/><Relationship Id="rId24" Type="http://schemas.openxmlformats.org/officeDocument/2006/relationships/externalLink" Target="externalLinks/externalLink21.xml"/><Relationship Id="rId23" Type="http://schemas.openxmlformats.org/officeDocument/2006/relationships/externalLink" Target="externalLinks/externalLink20.xml"/><Relationship Id="rId22" Type="http://schemas.openxmlformats.org/officeDocument/2006/relationships/externalLink" Target="externalLinks/externalLink19.xml"/><Relationship Id="rId21" Type="http://schemas.openxmlformats.org/officeDocument/2006/relationships/externalLink" Target="externalLinks/externalLink18.xml"/><Relationship Id="rId20" Type="http://schemas.openxmlformats.org/officeDocument/2006/relationships/externalLink" Target="externalLinks/externalLink17.xml"/><Relationship Id="rId2" Type="http://schemas.openxmlformats.org/officeDocument/2006/relationships/worksheet" Target="worksheets/sheet2.xml"/><Relationship Id="rId19" Type="http://schemas.openxmlformats.org/officeDocument/2006/relationships/externalLink" Target="externalLinks/externalLink16.xml"/><Relationship Id="rId18" Type="http://schemas.openxmlformats.org/officeDocument/2006/relationships/externalLink" Target="externalLinks/externalLink15.xml"/><Relationship Id="rId17" Type="http://schemas.openxmlformats.org/officeDocument/2006/relationships/externalLink" Target="externalLinks/externalLink14.xml"/><Relationship Id="rId16" Type="http://schemas.openxmlformats.org/officeDocument/2006/relationships/externalLink" Target="externalLinks/externalLink13.xml"/><Relationship Id="rId15" Type="http://schemas.openxmlformats.org/officeDocument/2006/relationships/externalLink" Target="externalLinks/externalLink12.xml"/><Relationship Id="rId14" Type="http://schemas.openxmlformats.org/officeDocument/2006/relationships/externalLink" Target="externalLinks/externalLink11.xml"/><Relationship Id="rId13" Type="http://schemas.openxmlformats.org/officeDocument/2006/relationships/externalLink" Target="externalLinks/externalLink10.xml"/><Relationship Id="rId12" Type="http://schemas.openxmlformats.org/officeDocument/2006/relationships/externalLink" Target="externalLinks/externalLink9.xml"/><Relationship Id="rId11" Type="http://schemas.openxmlformats.org/officeDocument/2006/relationships/externalLink" Target="externalLinks/externalLink8.xml"/><Relationship Id="rId10" Type="http://schemas.openxmlformats.org/officeDocument/2006/relationships/externalLink" Target="externalLinks/externalLink7.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Wuhaiou\&#21326;&#32852;2004\My%20Documents\2003\&#21326;&#32852;2003\&#24180;&#23457;\&#38468;&#27880;2003&#21326;&#3285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1\a\LOCALS~1\Temp\Rar$DI00.858\Control%20Matrix%20Template%20v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T_plan\&#33268;&#21516;&#36890;&#29992;&#23457;&#35745;&#31243;&#24207;&#21450;&#24213;&#31295;&#27169;&#26495;&#65288;2025&#24180;&#20462;&#35746;&#65289;\1.&#33268;&#21516;&#23457;&#35745;&#31243;&#24207;&#21450;&#24213;&#31295;&#27169;&#26495;&#65288;2025&#24180;&#65289;\5.&#23436;&#25104;&#38454;&#27573;&#65288;A1-A30&#65289;\1.&#25253;&#21578;&#19982;&#27807;&#36890;&#65288;A1-A10&#65289;\A3%20&#21512;&#24182;&#27969;&#31243;\Worksheet%20in%205540%20Prepaid%20Exp.%20Breakdown"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Wuhaiou\&#21326;&#32852;2004\My%20Documents\2003\&#21326;&#32852;2003\&#20013;&#26399;\&#37073;&#24030;&#20013;&#23386;\&#37073;&#24030;%20&#25253;&#34920;&#20998;&#2651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19994;&#21153;\cec&#22659;&#22806;&#36164;&#20135;&#23457;&#35745;\&#21512;&#24182;\worksheets\btg\&#26412;&#37096;&#24213;&#31295;\&#22871;&#39184;\2002&#26631;&#20934;\e-mail&#27807;&#36890;\7&#21495;&#27807;&#36890;\&#21508;&#34892;&#21382;&#27425;&#35843;&#25972;&#34920;\2002.9&#19978;&#24066;\DOCUME~1\405861\LOCALS~1\Temp\audit\2000&#24180;&#19994;&#21153;&#35268;&#33539;\&#25552;&#20379;&#20989;\&#25991;&#26412;&#25552;&#20379;&#20989;\&#19978;&#24066;&#20844;&#21496;\EXCEL\&#23457;&#26680;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My%20Documents\&#24037;&#20316;&#24213;&#31295;12.11\&#22303;&#22320;&#24213;&#3129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19994;&#21153;\cec&#22659;&#22806;&#36164;&#20135;&#23457;&#35745;\&#21512;&#24182;\worksheets\btg\&#26412;&#37096;&#24213;&#31295;\3.15&#39318;&#26053;&#38598;&#22242;&#26412;&#37096;&#22871;&#39184;.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T_plan\&#33268;&#21516;&#36890;&#29992;&#23457;&#35745;&#31243;&#24207;&#21450;&#24213;&#31295;&#27169;&#26495;&#65288;2025&#24180;&#20462;&#35746;&#65289;\1.&#33268;&#21516;&#23457;&#35745;&#31243;&#24207;&#21450;&#24213;&#31295;&#27169;&#26495;&#65288;2025&#24180;&#65289;\5.&#23436;&#25104;&#38454;&#27573;&#65288;A1-A30&#65289;\1.&#25253;&#21578;&#19982;&#27807;&#36890;&#65288;A1-A10&#65289;\A3%20&#21512;&#24182;&#27969;&#31243;\https:\d.docs.live.net\My%20Documents\&#21326;&#32852;&#32929;&#20221;\04\&#27827;&#21335;\&#27827;&#21335;&#21326;&#32852;%20(version%20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T_plan\&#33268;&#21516;&#36890;&#29992;&#23457;&#35745;&#31243;&#24207;&#21450;&#24213;&#31295;&#27169;&#26495;&#65288;2025&#24180;&#20462;&#35746;&#65289;\1.&#33268;&#21516;&#23457;&#35745;&#31243;&#24207;&#21450;&#24213;&#31295;&#27169;&#26495;&#65288;2025&#24180;&#65289;\5.&#23436;&#25104;&#38454;&#27573;&#65288;A1-A30&#65289;\1.&#25253;&#21578;&#19982;&#27807;&#36890;&#65288;A1-A10&#65289;\A3%20&#21512;&#24182;&#27969;&#31243;\https:\d.docs.live.net\&#25105;&#30340;&#24037;&#20316;\&#25480;&#26435;&#29256;\&#26032;&#20140;&#37117;&#23457;&#35745;&#31243;&#24207;(&#24449;&#27714;&#24847;&#35265;&#31295;&#65289;061107\&#35745;&#21010;&#23457;&#35745;&#38454;&#27573;B&#31867;\&#23457;&#35745;&#25351;&#24341;&#65293;&#35745;&#21010;&#23457;&#35745;&#24037;&#20316;&#38454;&#27573;B&#31867;\&#23457;&#35745;&#25552;&#31034;&#65293;&#23458;&#25143;&#38656;&#25552;&#20379;&#30340;&#36164;&#26009;&#28165;&#21333;&#21450;&#34920;&#26684;&#65288;&#21442;&#32771;&#65289;b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T_plan\&#33268;&#21516;&#36890;&#29992;&#23457;&#35745;&#31243;&#24207;&#21450;&#24213;&#31295;&#27169;&#26495;&#65288;2025&#24180;&#20462;&#35746;&#65289;\1.&#33268;&#21516;&#23457;&#35745;&#31243;&#24207;&#21450;&#24213;&#31295;&#27169;&#26495;&#65288;2025&#24180;&#65289;\5.&#23436;&#25104;&#38454;&#27573;&#65288;A1-A30&#65289;\1.&#25253;&#21578;&#19982;&#27807;&#36890;&#65288;A1-A10&#65289;\A3%20&#21512;&#24182;&#27969;&#31243;\https:\d.docs.live.net\&#23457;&#35745;\4&#26376;\2270%20For%20MORGAN-Consolidation%202002-2005.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T_plan\&#33268;&#21516;&#36890;&#29992;&#23457;&#35745;&#31243;&#24207;&#21450;&#24213;&#31295;&#27169;&#26495;&#65288;2025&#24180;&#20462;&#35746;&#65289;\1.&#33268;&#21516;&#23457;&#35745;&#31243;&#24207;&#21450;&#24213;&#31295;&#27169;&#26495;&#65288;2025&#24180;&#65289;\5.&#23436;&#25104;&#38454;&#27573;&#65288;A1-A30&#65289;\1.&#25253;&#21578;&#19982;&#27807;&#36890;&#65288;A1-A10&#65289;\A3%20&#21512;&#24182;&#27969;&#31243;\Worksheet%20in%205440%20Inventory"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T_plan\&#33268;&#21516;&#36890;&#29992;&#23457;&#35745;&#31243;&#24207;&#21450;&#24213;&#31295;&#27169;&#26495;&#65288;2025&#24180;&#20462;&#35746;&#65289;\1.&#33268;&#21516;&#23457;&#35745;&#31243;&#24207;&#21450;&#24213;&#31295;&#27169;&#26495;&#65288;2025&#24180;&#65289;\5.&#23436;&#25104;&#38454;&#27573;&#65288;A1-A30&#65289;\1.&#25253;&#21578;&#19982;&#27807;&#36890;&#65288;A1-A10&#65289;\A3%20&#21512;&#24182;&#27969;&#31243;\Worksheet%20in%208240%20COS%20breakdown"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Wuhaiou\&#21326;&#32852;2004\My%20Documents\&#20020;&#26102;&#25991;&#26723;\&#21253;&#22836;&#20998;&#20844;&#21496;\&#21253;&#22836;&#20998;&#26512;&#24615;&#22797;&#2668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Wuhaiou\&#21326;&#32852;2004\My%20Documents\2003\&#21326;&#32852;2003\&#20013;&#26399;\&#21335;&#20140;%20&#25253;&#34920;&#20998;&#2651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ocuments%20and%20Settings\Administrator\&#26700;&#38754;\to&#65293;&#20869;&#37096;&#25511;&#21046;&#32452;\&#20854;&#20182;&#25152;\&#22825;&#24314;\&#22269;&#36152;_2005_&#38543;&#20415;.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B:\&#20998;&#26512;&#3492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My%20Documents\600277&#20159;&#21033;&#31185;&#25216;\2003&#24180;&#23457;\c-&#20013;&#33647;&#26448;\&#20013;&#33647;&#26448;&#26126;&#32454;&#24080;\&#24211;&#23384;&#25968;&#37327;&#37329;&#39069;&#2408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F:\&#21326;&#32852;2004&#20013;&#26399;\&#23458;&#25143;&#36164;&#26009;\&#32852;&#37319;&#34920;&#26684;.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T_plan\&#33268;&#21516;&#36890;&#29992;&#23457;&#35745;&#31243;&#24207;&#21450;&#24213;&#31295;&#27169;&#26495;&#65288;2025&#24180;&#20462;&#35746;&#65289;\1.&#33268;&#21516;&#23457;&#35745;&#31243;&#24207;&#21450;&#24213;&#31295;&#27169;&#26495;&#65288;2025&#24180;&#65289;\5.&#23436;&#25104;&#38454;&#27573;&#65288;A1-A30&#65289;\1.&#25253;&#21578;&#19982;&#27807;&#36890;&#65288;A1-A10&#65289;\A3%20&#21512;&#24182;&#27969;&#31243;\https:\d.docs.live.net\My%20Documents\&#40548;&#22721;&#29028;&#30719;\06&#20013;&#26399;\&#32508;&#21512;\&#27719;&#24635;&#36807;&#31243;\&#40548;&#22721;&#29028;&#30005;06&#20013;&#26399;&#27719;&#34920;&#36807;&#31243;-y.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GT_plan\&#33268;&#21516;&#36890;&#29992;&#23457;&#35745;&#31243;&#24207;&#21450;&#24213;&#31295;&#27169;&#26495;&#65288;2025&#24180;&#20462;&#35746;&#65289;\1.&#33268;&#21516;&#23457;&#35745;&#31243;&#24207;&#21450;&#24213;&#31295;&#27169;&#26495;&#65288;2025&#24180;&#65289;\5.&#23436;&#25104;&#38454;&#27573;&#65288;A1-A30&#65289;\1.&#25253;&#21578;&#19982;&#27807;&#36890;&#65288;A1-A10&#65289;\A3%20&#21512;&#24182;&#27969;&#31243;\&#35780;&#20272;&#26126;&#32454;&#34920;&#27169;&#26495;1"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F:\DOCUME~1\yjr\LOCALS~1\Temp\My%20Documents\2003\&#21326;&#32852;\&#24180;&#23457;\&#20854;&#20182;\&#21512;&#24182;&#25253;&#34920;&#20998;&#2651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A:\&#25104;&#21697;&#20179;\&#20848;&#33457;&#31185;&#21019;\&#22823;&#38451;&#20998;&#20844;&#21496;\&#22823;&#38451;&#24180;&#23457;04\&#25104;&#21697;&#20179;\&#20848;&#33457;&#31185;&#21019;\&#22823;&#38451;&#20998;&#20844;&#21496;\04&#22823;&#38451;&#20013;&#26399;\&#22823;&#38451;04&#24180;1-6&#26376;&#23384;&#36135;.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E:\&#31243;&#24207;\&#31243;&#24207;\11&#35780;&#20272;&#26126;&#32454;&#34920;\v4.6\01%20&#21333;&#20307;&#35780;&#20272;&#31995;&#32479;&#65288;V4.5&#65289;.xlt"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Wuhaiou\&#21326;&#32852;2004\&#25105;&#30340;&#25991;&#26723;\&#21326;&#32852;&#32508;&#36229;\&#21326;&#32852;03\&#22797;&#26680;\&#21628;&#21644;&#28009;&#29305;.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Wuhaiou\&#21326;&#32852;2004\My%20Documents\2003\&#21326;&#32852;2003\&#20013;&#26399;\&#23665;&#35199;&#20146;&#36132;\&#22826;&#21407;%20&#25253;&#34920;&#20998;&#26512;.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GT_plan\&#33268;&#21516;&#36890;&#29992;&#23457;&#35745;&#31243;&#24207;&#21450;&#24213;&#31295;&#27169;&#26495;&#65288;2025&#24180;&#20462;&#35746;&#65289;\1.&#33268;&#21516;&#23457;&#35745;&#31243;&#24207;&#21450;&#24213;&#31295;&#27169;&#26495;&#65288;2025&#24180;&#65289;\5.&#23436;&#25104;&#38454;&#27573;&#65288;A1-A30&#65289;\1.&#25253;&#21578;&#19982;&#27807;&#36890;&#65288;A1-A10&#65289;\A3%20&#21512;&#24182;&#27969;&#31243;\https:\d.docs.live.net\Liufengshou\&#23457;&#35745;&#36164;&#26009;\&#23457;&#35745;&#27169;&#26495;&#26631;&#20934;&#27169;&#26495;\&#23454;&#36136;&#24615;&#27979;&#35797;&#24037;&#20316;&#24213;&#31295;liu\&#20852;&#21326;&#23457;&#35745;\2005&#36136;&#37327;&#25511;&#21046;&#21450;&#24037;&#20316;&#24213;&#31295;\2005&#23457;&#35745;&#24213;&#31295;&#21644;&#35268;&#33539;&#35201;&#27714;(&#19978;&#24066;&#23457;&#35745;&#36866;&#29992;&#65289;\&#20855;&#20307;&#31243;&#24207;&#21450;&#24213;&#31295;\2004\2003audit\&#26032;&#24314;&#25991;&#20214;&#22841;\&#23457;&#35745;&#20934;&#22791;\&#35810;&#35777;&#24213;&#31295;lrx.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GT_plan\&#33268;&#21516;&#36890;&#29992;&#23457;&#35745;&#31243;&#24207;&#21450;&#24213;&#31295;&#27169;&#26495;&#65288;2025&#24180;&#20462;&#35746;&#65289;\1.&#33268;&#21516;&#23457;&#35745;&#31243;&#24207;&#21450;&#24213;&#31295;&#27169;&#26495;&#65288;2025&#24180;&#65289;\5.&#23436;&#25104;&#38454;&#27573;&#65288;A1-A30&#65289;\1.&#25253;&#21578;&#19982;&#27807;&#36890;&#65288;A1-A10&#65289;\A3%20&#21512;&#24182;&#27969;&#31243;\A3-1&#12289;-2%20&#21512;&#24182;&#25253;&#34920;&#35797;&#31639;-201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目录"/>
      <sheetName val="附注汇总"/>
      <sheetName val="差异汇总"/>
      <sheetName val="WORD附注"/>
      <sheetName val="长期待摊费用"/>
      <sheetName val="大额票据"/>
      <sheetName val="在建工程"/>
      <sheetName val="10月"/>
      <sheetName val="11月"/>
      <sheetName val="12月"/>
      <sheetName val="1月"/>
      <sheetName val="2月"/>
      <sheetName val="3月"/>
      <sheetName val="4月"/>
      <sheetName val="5月"/>
      <sheetName val="6月"/>
      <sheetName val="7月"/>
      <sheetName val="8月"/>
      <sheetName val="9月"/>
      <sheetName val="本期报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填写说明"/>
      <sheetName val="财务报表认定表"/>
      <sheetName val="FR0101会计科目的建议及维护"/>
      <sheetName val="控制负责人"/>
      <sheetName val="选择键"/>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2004"/>
      <sheetName val="Summary"/>
      <sheetName val="Rental 2004"/>
      <sheetName val="Excess Calc"/>
      <sheetName val="Pre-operating Exp"/>
      <sheetName val="Miscellaneous Exp."/>
      <sheetName val="Tickmarks"/>
      <sheetName val="宝应{pbc}"/>
      <sheetName val="浙江{pbc}"/>
      <sheetName val="四川{pbc}"/>
      <sheetName val="河南{pbc}"/>
      <sheetName val="常州{pbc}"/>
      <sheetName val="金坛{pbc}"/>
      <sheetName val="泰州{pbc}"/>
      <sheetName val="XREF"/>
      <sheetName val="Rental 2002"/>
      <sheetName val="Rental 2001"/>
      <sheetName val="选择键"/>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未审"/>
      <sheetName val="审定"/>
      <sheetName val="未审比率"/>
      <sheetName val="审定比率"/>
      <sheetName val="本期报表"/>
      <sheetName val="上期报表"/>
      <sheetName val="账表核对"/>
      <sheetName val="企业表一"/>
      <sheetName val="M-5A"/>
      <sheetName val="08"/>
      <sheetName val="03"/>
      <sheetName val="05"/>
      <sheetName val="06"/>
      <sheetName val="10"/>
      <sheetName val="04"/>
      <sheetName val="09"/>
      <sheetName val="02"/>
      <sheetName val="0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徐"/>
      <sheetName val="管理文件清单"/>
      <sheetName val="B"/>
      <sheetName val="本期报表"/>
    </sheetNames>
    <sheetDataSet>
      <sheetData sheetId="0" refreshError="1"/>
      <sheetData sheetId="1" refreshError="1"/>
      <sheetData sheetId="2" refreshError="1"/>
      <sheetData sheetId="3"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操作表"/>
      <sheetName val="调查分析表"/>
      <sheetName val="土地一般因素"/>
      <sheetName val="成本逼近"/>
      <sheetName val="土地调查评价表-工业用地"/>
      <sheetName val="土地调查评价表-商业用地"/>
      <sheetName val="居住用地"/>
      <sheetName val="工业"/>
      <sheetName val="住宅"/>
      <sheetName val="商业"/>
      <sheetName val="土地租赁"/>
      <sheetName val="房地出租"/>
      <sheetName val="生产企业不动产"/>
      <sheetName val="XL4Poppy"/>
      <sheetName val="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基本要素填列"/>
      <sheetName val="&lt;原报&gt;资产负债表"/>
      <sheetName val="&lt;原报&gt;利润表"/>
      <sheetName val="&lt;原报&gt;现金流量表"/>
      <sheetName val="年初数账项调整事项汇总表"/>
      <sheetName val="年初数报表调整事项汇总表"/>
      <sheetName val="&lt;试算平衡&gt;资产负债表年初数"/>
      <sheetName val="&lt;试算平衡&gt;利润表上年数"/>
      <sheetName val="&lt;未审&gt;资产负债表趋势分析"/>
      <sheetName val="&lt;未审&gt;利润表趋势分析"/>
      <sheetName val="未审报表趋势分析"/>
      <sheetName val="账项调整事项汇总表"/>
      <sheetName val="报表调整事项汇总表"/>
      <sheetName val="未调整事项汇总表"/>
      <sheetName val="调整事项转换表"/>
      <sheetName val="&lt;试算平衡&gt;资产负债表"/>
      <sheetName val="&lt;试算平衡&gt;利润表"/>
      <sheetName val="母公司现金流量表测算"/>
      <sheetName val="母公司财务现金主表试算平衡测算"/>
      <sheetName val="母公司财务现金附表试算平衡测算"/>
      <sheetName val="母公司财务现金附表测算 "/>
      <sheetName val="&lt;试算平衡&gt;现金流量表"/>
      <sheetName val="&lt;审定&gt;资产负债表趋势分析"/>
      <sheetName val="&lt;审定&gt;利润表趋势分析"/>
      <sheetName val="审定报表趋势分析"/>
      <sheetName val="&lt;正式报表&gt;资产负债表"/>
      <sheetName val="&lt;正式报表&gt;利润及利润分配表"/>
      <sheetName val="&lt;正式报表&gt;现金流量表"/>
      <sheetName val="&lt;正式报表&gt;现金流量表补充资料"/>
      <sheetName val="钩稽关系复核"/>
      <sheetName val="利润表"/>
      <sheetName val="XL4Popp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货币资金"/>
      <sheetName val="现金盘点C1-2"/>
      <sheetName val="银行存款C1-5"/>
      <sheetName val="银行未达帐项C1-6"/>
      <sheetName val="中行1001未达账项核查"/>
      <sheetName val="其他货币资金核查C1-10"/>
      <sheetName val="其他应收款"/>
      <sheetName val="111"/>
      <sheetName val="坏账准备"/>
      <sheetName val="坏帐准备核查表C7-6-1"/>
      <sheetName val="坏帐准备核查表C7-6-2"/>
      <sheetName val="530109 营业外收入-其他"/>
      <sheetName val="5801  以前年度损益调整"/>
      <sheetName val="Sheet1"/>
      <sheetName val="百货其他应收款明细表"/>
      <sheetName val="信用卡-百货"/>
      <sheetName val="其他应收款明细表"/>
      <sheetName val="短期借款"/>
      <sheetName val="短期借款明细表"/>
      <sheetName val="应付工资"/>
      <sheetName val="应付工资明细账"/>
      <sheetName val="应付福利费"/>
      <sheetName val="福利费测试"/>
      <sheetName val="福利费明细表"/>
      <sheetName val="其他应付款"/>
      <sheetName val="其他应付款明细表"/>
      <sheetName val="函证清单"/>
      <sheetName val="国林等"/>
      <sheetName val="04020184马卫莉"/>
      <sheetName val="218104 其他应付款-系统内部往来"/>
      <sheetName val="预提费用"/>
      <sheetName val="预提费用-房租、电费"/>
      <sheetName val="21910502 预提费用-电气设备租赁费"/>
      <sheetName val="219110 预提费用-工资费用"/>
      <sheetName val="219109 预提费用-其他"/>
      <sheetName val="营业费用"/>
      <sheetName val="费用比较"/>
      <sheetName val="营业费用测试"/>
      <sheetName val="营业费用明细帐"/>
      <sheetName val="管理费用"/>
      <sheetName val="管理费用测试"/>
      <sheetName val="财务费用"/>
      <sheetName val="财务费用测试"/>
      <sheetName val="&lt;原报&gt;资产负债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封面"/>
      <sheetName val="资料清单1"/>
      <sheetName val="资料2"/>
      <sheetName val="财务报表"/>
      <sheetName val="1.银行存款"/>
      <sheetName val="2.短期投资"/>
      <sheetName val="3.应收票据"/>
      <sheetName val="4.应收帐款"/>
      <sheetName val="5.其他应收款"/>
      <sheetName val="6.坏帐准备"/>
      <sheetName val="7.预付账款"/>
      <sheetName val="8.待摊费用"/>
      <sheetName val="9.存货"/>
      <sheetName val="9.1库存明细"/>
      <sheetName val="10.固定资产"/>
      <sheetName val="11.长期待摊"/>
      <sheetName val="12.在建工程"/>
      <sheetName val="13.其他长期资产"/>
      <sheetName val="14.无形资产"/>
      <sheetName val="15.长期投资"/>
      <sheetName val="15a.股票投资"/>
      <sheetName val="15b.其他股权投资"/>
      <sheetName val="15c.长期股权投资减值准备"/>
      <sheetName val="15d.长期股权投资差额"/>
      <sheetName val="15e.长期债券投资"/>
      <sheetName val="15f.长期债券投资减值准备"/>
      <sheetName val="15g.委托贷款"/>
      <sheetName val="16.短期借款"/>
      <sheetName val="17.长期借款"/>
      <sheetName val="18.应付帐款"/>
      <sheetName val="18a.应付票据"/>
      <sheetName val="19.其他应付款"/>
      <sheetName val="20.预收帐款"/>
      <sheetName val="21.预提费用"/>
      <sheetName val="22.应付工资及福利"/>
      <sheetName val="23.应交税金"/>
      <sheetName val="23b.所得税"/>
      <sheetName val="24.应付股利"/>
      <sheetName val="25.实收资本"/>
      <sheetName val="26.资本公积及盈余公积"/>
      <sheetName val="26a.未分配利润"/>
      <sheetName val="27.收入成本"/>
      <sheetName val="27b.主营税金附加"/>
      <sheetName val="28. 制造费用"/>
      <sheetName val="29.采购"/>
      <sheetName val="30.管理费用"/>
      <sheetName val="30.1营业费用"/>
      <sheetName val="31.财务费用"/>
      <sheetName val="32.其他收支"/>
      <sheetName val="33.投资收益及补贴收入"/>
      <sheetName val="34.关联交易"/>
      <sheetName val="35.承诺"/>
      <sheetName val="35.1租赁明细"/>
      <sheetName val="36.预计负债"/>
      <sheetName val="37. 董事监事薪酬"/>
      <sheetName val="Investment Property"/>
      <sheetName val="营业费用测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2002"/>
      <sheetName val="Equity movement"/>
      <sheetName val="2003"/>
      <sheetName val="2004"/>
      <sheetName val="2005.4.30"/>
      <sheetName val="Income tax"/>
      <sheetName val="Trade and other payable"/>
      <sheetName val="Trade and other receivable"/>
      <sheetName val="2004.4.30"/>
      <sheetName val="Bank loan"/>
      <sheetName val="Revenue -for disclosure"/>
      <sheetName val="Selling exp-old"/>
      <sheetName val="Pledge of assets"/>
      <sheetName val="PP&amp;E "/>
      <sheetName val="Land for disclosure"/>
      <sheetName val="POC"/>
      <sheetName val="Investment Property"/>
      <sheetName val="Intangible assets"/>
      <sheetName val="Goodwill"/>
      <sheetName val="Segment information-2002"/>
      <sheetName val="Segment information-2005.4.30"/>
      <sheetName val="Segment information-2004.4.30"/>
      <sheetName val="Segment information-2004"/>
      <sheetName val="Segment information-2003"/>
      <sheetName val="Revenue"/>
      <sheetName val="Other operating income"/>
      <sheetName val="Other operating expense"/>
      <sheetName val="Profit from operations"/>
      <sheetName val="G&amp;A "/>
      <sheetName val="Selling exp"/>
      <sheetName val="COS"/>
      <sheetName val="Directors and supervisors"/>
      <sheetName val="前五名高管人员工资"/>
      <sheetName val="Bad debt provision"/>
      <sheetName val="Lease committment"/>
      <sheetName val="Finance cost"/>
      <sheetName val="Profit on deemed disposal"/>
      <sheetName val="G&amp;A-old"/>
      <sheetName val="Change in equity"/>
      <sheetName val="Investments"/>
      <sheetName val="Investments in Associates"/>
      <sheetName val="Share of results of associates"/>
      <sheetName val="Investment in associate for dis"/>
      <sheetName val="Negative goodwill"/>
      <sheetName val="Inventory"/>
      <sheetName val="Capital committment"/>
      <sheetName val="Contingent liability"/>
      <sheetName val="资产置换汇总"/>
      <sheetName val="For disclosure-02-03acquisition"/>
      <sheetName val="Acquisition of subsidiary "/>
      <sheetName val="2004 acquisition for disclosure"/>
      <sheetName val="For disclosure-Disposal"/>
      <sheetName val="合并范围增加影响"/>
      <sheetName val="2005 acquisition for disclosure"/>
      <sheetName val="资产置换2004"/>
      <sheetName val="Disposal of subsidiary"/>
      <sheetName val="资产置换2005"/>
      <sheetName val="Sheet1"/>
      <sheetName val="新收购公司情况"/>
      <sheetName val="Tickmarks"/>
      <sheetName val="35.1租赁明细"/>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未审"/>
      <sheetName val="审定"/>
      <sheetName val="未审比率"/>
      <sheetName val="审定比率"/>
      <sheetName val="本期报表"/>
      <sheetName val="上期报表"/>
      <sheetName val="其他应收款－个人借款明细"/>
      <sheetName val="20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未审"/>
      <sheetName val="审定"/>
      <sheetName val="未审比率"/>
      <sheetName val="审定比率"/>
      <sheetName val="本期报表"/>
      <sheetName val="上期报表"/>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索引"/>
      <sheetName val="货币资金Cx"/>
      <sheetName val="货币资金Mx"/>
      <sheetName val="分录"/>
      <sheetName val="标本-资产"/>
      <sheetName val="本期报表"/>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所得税调整"/>
      <sheetName val="laroux"/>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M_5A"/>
      <sheetName val="M_5C"/>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Sheet3"/>
      <sheetName val="封面"/>
      <sheetName val="资料清单"/>
      <sheetName val="基础数据表清单"/>
      <sheetName val="现金"/>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长期借款"/>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B"/>
      <sheetName val="分析表2"/>
      <sheetName val="衍生金融工具☎细表"/>
      <sheetName val="衍生金融工具?细表"/>
      <sheetName val="王府井"/>
      <sheetName val="王府井 (2)"/>
      <sheetName val="王府井转换表"/>
      <sheetName val="资负表"/>
      <sheetName val="利润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选择报表"/>
      <sheetName val="衍生金融工具_细表"/>
      <sheetName val="企_表一"/>
      <sheetName val="_x001f_0-BS&#10;؁"/>
      <sheetName val="索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甘草商标乙草条"/>
      <sheetName val="广州余额"/>
      <sheetName val="广州发生额"/>
      <sheetName val="广州林蛙"/>
      <sheetName val="广州黄苓"/>
      <sheetName val="广州黄芪1"/>
      <sheetName val="广州黄芪2"/>
      <sheetName val="广州元贝"/>
      <sheetName val="广州枸杞"/>
      <sheetName val="广州库明细"/>
      <sheetName val="广州库"/>
      <sheetName val="前库明细"/>
      <sheetName val="前旗库"/>
      <sheetName val="出口库"/>
      <sheetName val="出口抽凭"/>
      <sheetName val="巴库明细"/>
      <sheetName val="巴拉贡库"/>
      <sheetName val="东胜库"/>
      <sheetName val="清单12.31"/>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目录"/>
      <sheetName val="表头信息"/>
      <sheetName val="坏账准备"/>
      <sheetName val="报表"/>
      <sheetName val="报表比率"/>
      <sheetName val="附注汇总"/>
      <sheetName val="货币资金"/>
      <sheetName val="银行未达帐项"/>
      <sheetName val="大额未达"/>
      <sheetName val="应收账款"/>
      <sheetName val="应收账款明细表"/>
      <sheetName val="其他应收款"/>
      <sheetName val="内部债权"/>
      <sheetName val="内部债务"/>
      <sheetName val="关联债权"/>
      <sheetName val="关联债务"/>
      <sheetName val="存货"/>
      <sheetName val="库存分析"/>
      <sheetName val="待摊费用明细"/>
      <sheetName val="固定资产折旧"/>
      <sheetName val="固定资产明细"/>
      <sheetName val="折旧验算表"/>
      <sheetName val="应付账款"/>
      <sheetName val="应付账款明细"/>
      <sheetName val="应付账款明细 (2)"/>
      <sheetName val="预收账款"/>
      <sheetName val="预收帐款明细"/>
      <sheetName val="应交税金"/>
      <sheetName val="应交增值税"/>
      <sheetName val="应交增值税 (2)"/>
      <sheetName val="应交营业税"/>
      <sheetName val="应交城建税"/>
      <sheetName val="应交所得税"/>
      <sheetName val="其他应交款"/>
      <sheetName val="其他应付款"/>
      <sheetName val="其他应付款明细"/>
      <sheetName val="主营收入成本"/>
      <sheetName val="毛利率"/>
      <sheetName val="营业税金及附加"/>
      <sheetName val="其他业务利润"/>
      <sheetName val="其他收入分析"/>
      <sheetName val="其他业务收入明细"/>
      <sheetName val="管理费用"/>
      <sheetName val="财务费用"/>
      <sheetName val="营业外收支"/>
      <sheetName val="其他现金流量"/>
      <sheetName val="广州库"/>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目录"/>
      <sheetName val="本部纳税调整表模板"/>
      <sheetName val="Sheet1"/>
      <sheetName val="科目名称表"/>
      <sheetName val="调整分录2006合并"/>
      <sheetName val="存货中的未实现内部利润"/>
      <sheetName val="丁字帐2006合并"/>
      <sheetName val="报表2006合并"/>
      <sheetName val="检查"/>
      <sheetName val="调整分录2006母公司"/>
      <sheetName val="丁字帐2006母公司"/>
      <sheetName val="报表2006母公司"/>
      <sheetName val="变动"/>
      <sheetName val="本部坏账"/>
      <sheetName val="本部重分类调整明细"/>
      <sheetName val="调整分录2006本部"/>
      <sheetName val="丁字帐2006本部"/>
      <sheetName val="报表2006本部"/>
      <sheetName val="本部投资收益"/>
      <sheetName val="本部长期投资"/>
      <sheetName val="调整分录2006热电厂筹建处"/>
      <sheetName val="丁字帐2006热电厂筹建处"/>
      <sheetName val="报表2006热电厂筹建处"/>
      <sheetName val="调整分录2006章武轮掌筹建处"/>
      <sheetName val="丁字帐2006章武轮掌筹建处"/>
      <sheetName val="报表2006章武轮掌筹建处"/>
      <sheetName val="调整分录2006综合科技楼"/>
      <sheetName val="丁字帐2006综合科技楼"/>
      <sheetName val="报表2006综合科技楼"/>
      <sheetName val="调整分录2006内保"/>
      <sheetName val="丁字帐2006内保"/>
      <sheetName val="报表2006内保"/>
      <sheetName val="调整分录2006社保"/>
      <sheetName val="丁字帐2006社保"/>
      <sheetName val="报表2006社保"/>
      <sheetName val="调整分录2006煤质处"/>
      <sheetName val="丁字帐2006煤质处"/>
      <sheetName val="报表2006煤质处"/>
      <sheetName val="调整分录2006救护大队"/>
      <sheetName val="丁字帐2006救护大队"/>
      <sheetName val="报表2006救护大队"/>
      <sheetName val="调整分录2006结算中心"/>
      <sheetName val="丁字帐2006结算中心"/>
      <sheetName val="报表2006结算中心"/>
      <sheetName val="调整分录2006销售处"/>
      <sheetName val="丁字帐2006销售处"/>
      <sheetName val="报表2006销售处"/>
      <sheetName val="调整分录2006电厂"/>
      <sheetName val="丁字帐2006电厂"/>
      <sheetName val="报表2006电厂"/>
      <sheetName val="调整分录2006供应"/>
      <sheetName val="丁字帐2006供应"/>
      <sheetName val="报表2006供应"/>
      <sheetName val="调整分录2006机电"/>
      <sheetName val="丁字帐2006机电"/>
      <sheetName val="报表2006机电"/>
      <sheetName val="调整分录2006研发中心"/>
      <sheetName val="丁字帐2006研发中心"/>
      <sheetName val="报表2006研发中心"/>
      <sheetName val="调整分录2006十矿"/>
      <sheetName val="丁字帐2006十矿"/>
      <sheetName val="报表2006十矿"/>
      <sheetName val="调整分录2006九矿"/>
      <sheetName val="丁字帐2006九矿"/>
      <sheetName val="报表2006九矿"/>
      <sheetName val="调整分录2006八矿"/>
      <sheetName val="丁字帐2006八矿"/>
      <sheetName val="报表2006八矿"/>
      <sheetName val="调整分录2006六矿"/>
      <sheetName val="丁字帐2006六矿"/>
      <sheetName val="报表2006六矿"/>
      <sheetName val="调整分录2006四矿"/>
      <sheetName val="丁字帐2006四矿"/>
      <sheetName val="报表2006四矿"/>
      <sheetName val="调整分录2006三矿"/>
      <sheetName val="丁字帐2006三矿"/>
      <sheetName val="报表2006三矿"/>
      <sheetName val="调整分录2006福源精煤"/>
      <sheetName val="丁字帐2006福源精煤"/>
      <sheetName val="报表2006福源精煤"/>
      <sheetName val="调整分录2006中泰矿业"/>
      <sheetName val="丁字帐2006中泰矿业"/>
      <sheetName val="报表2006中泰矿业"/>
      <sheetName val="报表2003模板"/>
      <sheetName val="调整分录2003模板"/>
      <sheetName val="丁字帐2003模板"/>
      <sheetName val="纳税调整"/>
      <sheetName val="表头信息"/>
      <sheetName val="12月份品种酒生产月报表"/>
      <sheetName val="品种酒生产月报10月"/>
      <sheetName val="广州库"/>
      <sheetName val="#REF"/>
      <sheetName val="35.1租赁明细"/>
      <sheetName val="出库"/>
      <sheetName val="入库"/>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调整分录表"/>
      <sheetName val="平衡表"/>
      <sheetName val="资产评估备案表1"/>
      <sheetName val="资产评估备案表2"/>
      <sheetName val="资产评估备案表3"/>
      <sheetName val="项目信息"/>
      <sheetName val="汇总表"/>
      <sheetName val="分类汇总"/>
      <sheetName val="流资"/>
      <sheetName val="货币"/>
      <sheetName val="现金"/>
      <sheetName val="银存"/>
      <sheetName val="其他货币"/>
      <sheetName val="短期投资"/>
      <sheetName val="股票"/>
      <sheetName val="债券"/>
      <sheetName val="应收票据"/>
      <sheetName val="应收账款"/>
      <sheetName val="应收股利(利润)"/>
      <sheetName val="应收利息"/>
      <sheetName val="预付账款"/>
      <sheetName val="应收补贴款"/>
      <sheetName val="其他应收款"/>
      <sheetName val="存货"/>
      <sheetName val="原材料"/>
      <sheetName val="材料采购(在途物资)"/>
      <sheetName val="在库低耗品"/>
      <sheetName val="包装物(库存物资)"/>
      <sheetName val="委托加工材料"/>
      <sheetName val="产成品(库存商品)"/>
      <sheetName val="在产品(自制半成品)"/>
      <sheetName val="分期收款发出商品"/>
      <sheetName val="在用低值易耗品"/>
      <sheetName val="委托代销商品"/>
      <sheetName val="受托代销商品"/>
      <sheetName val="待摊费用"/>
      <sheetName val="待处理流动资产净损失"/>
      <sheetName val="一年内到期的长期债券投资"/>
      <sheetName val="其他流动资产"/>
      <sheetName val="长期投资"/>
      <sheetName val="长期股票"/>
      <sheetName val="长期债券"/>
      <sheetName val="长期其他投资"/>
      <sheetName val="固定资产"/>
      <sheetName val="房屋建筑"/>
      <sheetName val="构筑物"/>
      <sheetName val="管道沟槽"/>
      <sheetName val="机器设备"/>
      <sheetName val="运输设备"/>
      <sheetName val="车辆评估计算"/>
      <sheetName val="电子设备"/>
      <sheetName val="家具用具"/>
      <sheetName val="工程物资"/>
      <sheetName val="土建工程"/>
      <sheetName val="设备安装"/>
      <sheetName val="固定资产清理"/>
      <sheetName val="待处固定资产净损失"/>
      <sheetName val="土地"/>
      <sheetName val="其他无形资产"/>
      <sheetName val="开办费"/>
      <sheetName val="长期待摊费用"/>
      <sheetName val="其他长期资产"/>
      <sheetName val="递延税款借项"/>
      <sheetName val="流动负债"/>
      <sheetName val="短期借款"/>
      <sheetName val="应付票据"/>
      <sheetName val="应付账款"/>
      <sheetName val="预收账款"/>
      <sheetName val="代销商品款"/>
      <sheetName val="其他应付款"/>
      <sheetName val="应付工资"/>
      <sheetName val="应付福利费"/>
      <sheetName val="应交税金"/>
      <sheetName val="应付利润(股利)"/>
      <sheetName val="其他应交款"/>
      <sheetName val="预提费用"/>
      <sheetName val="一年内到期的长期负债"/>
      <sheetName val="其他流动负债"/>
      <sheetName val="长期负债"/>
      <sheetName val="长期借款"/>
      <sheetName val="应付债券"/>
      <sheetName val="长期应付款"/>
      <sheetName val="住房周转金"/>
      <sheetName val="递延税款贷项"/>
      <sheetName val="其他长期负债"/>
      <sheetName val="科目名称表"/>
      <sheetName val="表头信息"/>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未审"/>
      <sheetName val="审定"/>
      <sheetName val="未审比率"/>
      <sheetName val="审定比率"/>
      <sheetName val="本期报表"/>
      <sheetName val="上期报表"/>
      <sheetName val="项目信息"/>
      <sheetName val="科目名称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检查情况表（采购）"/>
      <sheetName val="检查情况表（生产成本）"/>
      <sheetName val="原材料"/>
      <sheetName val="材料成本差异"/>
      <sheetName val="材料成本差异测算"/>
      <sheetName val="生产成本账"/>
      <sheetName val="生产成本及销售成本倒轧表"/>
      <sheetName val="1-6月成本明细"/>
      <sheetName val="单位成本分析"/>
      <sheetName val="上期报表"/>
      <sheetName val="项目信息"/>
      <sheetName val="商务折扣"/>
      <sheetName val="表头信息"/>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休息"/>
      <sheetName val="您好"/>
      <sheetName val="参数"/>
      <sheetName val="目录"/>
      <sheetName val="汇总"/>
      <sheetName val="分类汇总1"/>
      <sheetName val="分类汇总2"/>
      <sheetName val="流动资产汇总"/>
      <sheetName val="现金"/>
      <sheetName val="银行存款"/>
      <sheetName val="其他货币资金"/>
      <sheetName val="短期投资汇总"/>
      <sheetName val="短期投资-股票"/>
      <sheetName val="短期投资-债券"/>
      <sheetName val="应收票据"/>
      <sheetName val="应收股利"/>
      <sheetName val="应收利息"/>
      <sheetName val="应收帐款"/>
      <sheetName val="其他应收款"/>
      <sheetName val="预付帐款"/>
      <sheetName val="应收补贴款"/>
      <sheetName val="存货汇总"/>
      <sheetName val="存货-原材料"/>
      <sheetName val="存货-材料采购"/>
      <sheetName val="存货-在库低值易耗品"/>
      <sheetName val="存货-包装物"/>
      <sheetName val="存货-委托加工材料"/>
      <sheetName val="存货-产成品"/>
      <sheetName val="存货-在产品"/>
      <sheetName val="存货-分期收款发出商品"/>
      <sheetName val="存货-在用低值易耗品"/>
      <sheetName val="存货-委托代销商品"/>
      <sheetName val="存货-受托代销商品"/>
      <sheetName val="待摊费用"/>
      <sheetName val="待处理流动资产净损失"/>
      <sheetName val="一年内到期的长期投资"/>
      <sheetName val="其他流动资产"/>
      <sheetName val="长期投资汇总"/>
      <sheetName val="长期投资-股票"/>
      <sheetName val="长期投资-债券"/>
      <sheetName val="其他长期投资"/>
      <sheetName val="固定资产汇总"/>
      <sheetName val="固定资产-建筑物"/>
      <sheetName val="固定资产-构筑物"/>
      <sheetName val="固定资产-管沟"/>
      <sheetName val="固定资产-机器设备"/>
      <sheetName val="固定资产-车辆"/>
      <sheetName val="固定资产-电子设备"/>
      <sheetName val="工程物资"/>
      <sheetName val="在建工程-土建"/>
      <sheetName val="在建工程-设备"/>
      <sheetName val="固定资产清理"/>
      <sheetName val="待处理固定资产净损失"/>
      <sheetName val="无形资产-土地"/>
      <sheetName val="其他无形资产"/>
      <sheetName val="开办费"/>
      <sheetName val="长期待摊费用"/>
      <sheetName val="其他长期资产"/>
      <sheetName val="递延税款借项"/>
      <sheetName val="流动负债汇总"/>
      <sheetName val="短期借款"/>
      <sheetName val="应付票据"/>
      <sheetName val="应付帐款"/>
      <sheetName val="预收帐款"/>
      <sheetName val="其他应付款"/>
      <sheetName val="应付工资"/>
      <sheetName val="应付福利费"/>
      <sheetName val="应交税金"/>
      <sheetName val="应付利润"/>
      <sheetName val="其他应交款"/>
      <sheetName val="预提费用"/>
      <sheetName val="预计负债"/>
      <sheetName val="一年内到期的长期负债"/>
      <sheetName val="其他流动负债"/>
      <sheetName val="长期负债汇总"/>
      <sheetName val="长期借款"/>
      <sheetName val="应付债券"/>
      <sheetName val="长期应付款"/>
      <sheetName val="专项应付款"/>
      <sheetName val="其他长期负债"/>
      <sheetName val="递延税款贷项"/>
      <sheetName val="各项准备"/>
      <sheetName val="评估分析"/>
      <sheetName val="使用说明"/>
      <sheetName val="正式版信息"/>
      <sheetName val=" "/>
      <sheetName val="生产成本账"/>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未审"/>
      <sheetName val="审定"/>
      <sheetName val="未审比率"/>
      <sheetName val="审定比率"/>
      <sheetName val="本期报表"/>
      <sheetName val="上期报表"/>
      <sheetName val="完"/>
      <sheetName val="Investment Property"/>
      <sheetName val="Main"/>
      <sheetName val="5月"/>
      <sheetName val="6月"/>
      <sheetName val="B"/>
      <sheetName val="生产成本账"/>
      <sheetName val="现金"/>
      <sheetName val="科目名称表"/>
      <sheetName val="科目表"/>
      <sheetName val="唯一合同编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未审"/>
      <sheetName val="审定"/>
      <sheetName val="未审比率"/>
      <sheetName val="审定比率"/>
      <sheetName val="本期报表"/>
      <sheetName val="上期报表"/>
      <sheetName val="账表核对"/>
      <sheetName val="大额未达"/>
      <sheetName val="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银行存款询证明细表"/>
      <sheetName val="其他货币资金询证明细表"/>
      <sheetName val="银行借款询证"/>
      <sheetName val="应收账款函证明细表"/>
      <sheetName val="其他应收款函证明细表"/>
      <sheetName val="预收账款函证明细表"/>
      <sheetName val="应付账款函证明细表"/>
      <sheetName val="其他应付款函证明细表"/>
      <sheetName val="工程往来函证明细表"/>
      <sheetName val="应收票据函证明细表"/>
      <sheetName val="应付票据函证明细表"/>
      <sheetName val="往来询证函"/>
      <sheetName val="异地存货询证函"/>
      <sheetName val="发出商品询证函"/>
      <sheetName val="交易询证函"/>
      <sheetName val="工商询证函"/>
      <sheetName val="房产管理处询证函"/>
      <sheetName val="国税询证函"/>
      <sheetName val="地税询证函"/>
      <sheetName val="银行询证函模板"/>
      <sheetName val="本期报表"/>
      <sheetName val="产销存明细"/>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temp_temp__"/>
      <sheetName val="说明"/>
      <sheetName val="TEST"/>
      <sheetName val="报表格式"/>
      <sheetName val="年初BS审定"/>
      <sheetName val="上年PL审定"/>
      <sheetName val="期初核对BS"/>
      <sheetName val="期初核对PL"/>
      <sheetName val="母公司BS汇总"/>
      <sheetName val="母公司PL汇总"/>
      <sheetName val="母公司CF汇总"/>
      <sheetName val="母公司汇总抵销"/>
      <sheetName val="母公司账项调整"/>
      <sheetName val="母公司报表调整"/>
      <sheetName val="母公司TB资产"/>
      <sheetName val="母公司TB负债"/>
      <sheetName val="母公司TB损益"/>
      <sheetName val="TB母公司CF"/>
      <sheetName val="合并BS汇总"/>
      <sheetName val="合并PL汇总"/>
      <sheetName val="合并CF汇总"/>
      <sheetName val="权益抵销"/>
      <sheetName val="往来交易抵销"/>
      <sheetName val="合并报表调整 "/>
      <sheetName val="合并TB资产"/>
      <sheetName val="合并TB负债"/>
      <sheetName val="合并TB损益"/>
      <sheetName val=" "/>
      <sheetName val="TB合并CF"/>
      <sheetName val="审定合并BS"/>
      <sheetName val="审定合并PL"/>
      <sheetName val="审定合并CF"/>
      <sheetName val="已审横向BS"/>
      <sheetName val="已审纵向BS"/>
      <sheetName val="已审横向PL"/>
      <sheetName val="已审纵向PL"/>
      <sheetName val="已审比率分析"/>
      <sheetName val="Q2-4 EPS-ROE(新)"/>
      <sheetName val="母已审横向BS"/>
      <sheetName val="母已审纵向BS"/>
      <sheetName val="母已审横向PL"/>
      <sheetName val="母已审纵向PL"/>
      <sheetName val="母已审比率分析"/>
      <sheetName val="银行借款询证"/>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indexed="20"/>
    <pageSetUpPr fitToPage="1"/>
  </sheetPr>
  <dimension ref="A1:M99"/>
  <sheetViews>
    <sheetView showZeros="0" workbookViewId="0">
      <pane xSplit="2" ySplit="5" topLeftCell="C87" activePane="bottomRight" state="frozen"/>
      <selection/>
      <selection pane="topRight"/>
      <selection pane="bottomLeft"/>
      <selection pane="bottomRight" activeCell="B110" sqref="B110"/>
    </sheetView>
  </sheetViews>
  <sheetFormatPr defaultColWidth="7" defaultRowHeight="11.4"/>
  <cols>
    <col min="1" max="1" width="20.5" style="3" customWidth="1"/>
    <col min="2" max="4" width="11.625" style="3" customWidth="1"/>
    <col min="5" max="6" width="11" style="3" customWidth="1"/>
    <col min="7" max="7" width="10.375" style="3" customWidth="1"/>
    <col min="8" max="8" width="10" style="3" customWidth="1"/>
    <col min="9" max="9" width="12.6" style="3" customWidth="1"/>
    <col min="10" max="10" width="11.625" style="3" customWidth="1"/>
    <col min="11" max="11" width="17.25" style="3" customWidth="1"/>
    <col min="12" max="12" width="6.75" style="3" customWidth="1"/>
    <col min="13" max="16384" width="7" style="3"/>
  </cols>
  <sheetData>
    <row r="1" s="1" customFormat="1" ht="19.5" customHeight="1" spans="1:13">
      <c r="A1" s="4" t="s">
        <v>0</v>
      </c>
      <c r="B1" s="5"/>
      <c r="C1" s="5"/>
      <c r="D1" s="5"/>
      <c r="E1" s="5"/>
      <c r="F1" s="5"/>
      <c r="G1" s="5"/>
      <c r="H1" s="5"/>
      <c r="I1" s="5"/>
      <c r="J1" s="3"/>
      <c r="K1" s="78"/>
      <c r="L1" s="79"/>
      <c r="M1" s="3"/>
    </row>
    <row r="2" s="1" customFormat="1" ht="15" customHeight="1" spans="1:13">
      <c r="A2" s="6" t="s">
        <v>1</v>
      </c>
      <c r="D2" s="8" t="s">
        <v>2</v>
      </c>
      <c r="F2" s="6" t="s">
        <v>3</v>
      </c>
      <c r="I2" s="8" t="s">
        <v>4</v>
      </c>
      <c r="J2" s="3"/>
      <c r="K2" s="78"/>
      <c r="L2" s="79"/>
      <c r="M2" s="3"/>
    </row>
    <row r="3" s="1" customFormat="1" ht="17.25" customHeight="1" spans="1:13">
      <c r="A3" s="9" t="s">
        <v>5</v>
      </c>
      <c r="D3" s="50" t="str">
        <f ca="1">CONCATENATE("日期：",TEXT(NOW(),"yyyy.mm.dd"))</f>
        <v>日期：2026.05.03</v>
      </c>
      <c r="F3" s="8" t="s">
        <v>6</v>
      </c>
      <c r="I3" s="8" t="s">
        <v>7</v>
      </c>
      <c r="J3" s="3"/>
      <c r="K3" s="78"/>
      <c r="L3" s="79"/>
      <c r="M3" s="3"/>
    </row>
    <row r="4" s="1" customFormat="1" ht="13.5" customHeight="1" spans="1:13">
      <c r="A4" s="11" t="s">
        <v>8</v>
      </c>
      <c r="B4" s="12" t="s">
        <v>9</v>
      </c>
      <c r="C4" s="52" t="s">
        <v>10</v>
      </c>
      <c r="D4" s="52"/>
      <c r="E4" s="52" t="s">
        <v>11</v>
      </c>
      <c r="F4" s="52"/>
      <c r="G4" s="52" t="s">
        <v>12</v>
      </c>
      <c r="H4" s="52"/>
      <c r="I4" s="13" t="s">
        <v>13</v>
      </c>
      <c r="J4" s="3"/>
      <c r="K4" s="78"/>
      <c r="L4" s="79"/>
      <c r="M4" s="3"/>
    </row>
    <row r="5" s="1" customFormat="1" ht="13.2" spans="1:13">
      <c r="A5" s="15"/>
      <c r="B5" s="16"/>
      <c r="C5" s="54" t="s">
        <v>14</v>
      </c>
      <c r="D5" s="54" t="s">
        <v>15</v>
      </c>
      <c r="E5" s="54" t="s">
        <v>14</v>
      </c>
      <c r="F5" s="54" t="s">
        <v>15</v>
      </c>
      <c r="G5" s="54" t="s">
        <v>14</v>
      </c>
      <c r="H5" s="54" t="s">
        <v>15</v>
      </c>
      <c r="I5" s="17"/>
      <c r="J5" s="3"/>
      <c r="K5" s="78"/>
      <c r="L5" s="79"/>
      <c r="M5" s="3"/>
    </row>
    <row r="6" ht="14.45" customHeight="1" spans="1:13">
      <c r="A6" s="55" t="s">
        <v>16</v>
      </c>
      <c r="B6" s="80"/>
      <c r="C6" s="80"/>
      <c r="D6" s="80"/>
      <c r="E6" s="80"/>
      <c r="F6" s="80"/>
      <c r="G6" s="80"/>
      <c r="H6" s="80"/>
      <c r="I6" s="80"/>
      <c r="K6" s="78"/>
      <c r="L6" s="79"/>
    </row>
    <row r="7" ht="14.45" customHeight="1" spans="1:13">
      <c r="A7" s="81" t="s">
        <v>17</v>
      </c>
      <c r="B7" s="64">
        <v>0</v>
      </c>
      <c r="C7" s="64">
        <v>0</v>
      </c>
      <c r="D7" s="64">
        <v>0</v>
      </c>
      <c r="E7" s="64">
        <v>0</v>
      </c>
      <c r="F7" s="64">
        <v>0</v>
      </c>
      <c r="G7" s="64">
        <v>0</v>
      </c>
      <c r="H7" s="64">
        <v>0</v>
      </c>
      <c r="I7" s="64">
        <f t="shared" ref="I7:I24" si="0">B7+E7+G7-F7-H7+C7-D7</f>
        <v>0</v>
      </c>
      <c r="K7" s="78"/>
      <c r="L7" s="79"/>
    </row>
    <row r="8" ht="14.45" customHeight="1" spans="1:13">
      <c r="A8" s="81" t="s">
        <v>18</v>
      </c>
      <c r="B8" s="64">
        <v>0</v>
      </c>
      <c r="C8" s="64">
        <v>0</v>
      </c>
      <c r="D8" s="64">
        <v>0</v>
      </c>
      <c r="E8" s="64">
        <v>0</v>
      </c>
      <c r="F8" s="64">
        <v>0</v>
      </c>
      <c r="G8" s="64">
        <v>0</v>
      </c>
      <c r="H8" s="64">
        <v>0</v>
      </c>
      <c r="I8" s="64">
        <f t="shared" si="0"/>
        <v>0</v>
      </c>
      <c r="K8" s="78"/>
      <c r="L8" s="79"/>
    </row>
    <row r="9" ht="14.45" customHeight="1" spans="1:13">
      <c r="A9" s="81" t="s">
        <v>19</v>
      </c>
      <c r="B9" s="64">
        <v>0</v>
      </c>
      <c r="C9" s="64">
        <v>0</v>
      </c>
      <c r="D9" s="64">
        <v>0</v>
      </c>
      <c r="E9" s="64">
        <v>0</v>
      </c>
      <c r="F9" s="64">
        <v>0</v>
      </c>
      <c r="G9" s="64">
        <v>0</v>
      </c>
      <c r="H9" s="64">
        <v>0</v>
      </c>
      <c r="I9" s="64">
        <f t="shared" si="0"/>
        <v>0</v>
      </c>
      <c r="K9" s="78"/>
      <c r="L9" s="79"/>
    </row>
    <row r="10" ht="14.45" customHeight="1" spans="1:13">
      <c r="A10" s="81" t="s">
        <v>20</v>
      </c>
      <c r="B10" s="64">
        <v>0</v>
      </c>
      <c r="C10" s="64">
        <v>0</v>
      </c>
      <c r="D10" s="64">
        <v>0</v>
      </c>
      <c r="E10" s="64">
        <v>0</v>
      </c>
      <c r="F10" s="64">
        <v>0</v>
      </c>
      <c r="G10" s="64">
        <v>0</v>
      </c>
      <c r="H10" s="64">
        <v>0</v>
      </c>
      <c r="I10" s="64">
        <f t="shared" si="0"/>
        <v>0</v>
      </c>
      <c r="K10" s="78"/>
      <c r="L10" s="79"/>
    </row>
    <row r="11" ht="14.45" customHeight="1" spans="1:13">
      <c r="A11" s="81" t="s">
        <v>21</v>
      </c>
      <c r="B11" s="64">
        <v>0</v>
      </c>
      <c r="C11" s="64">
        <v>0</v>
      </c>
      <c r="D11" s="64">
        <v>0</v>
      </c>
      <c r="E11" s="64">
        <v>0</v>
      </c>
      <c r="F11" s="64">
        <v>0</v>
      </c>
      <c r="G11" s="64">
        <v>0</v>
      </c>
      <c r="H11" s="64">
        <v>0</v>
      </c>
      <c r="I11" s="64">
        <f t="shared" si="0"/>
        <v>0</v>
      </c>
    </row>
    <row r="12" ht="14.45" customHeight="1" spans="1:13">
      <c r="A12" s="81" t="s">
        <v>22</v>
      </c>
      <c r="B12" s="64">
        <v>0</v>
      </c>
      <c r="C12" s="64">
        <v>0</v>
      </c>
      <c r="D12" s="64">
        <v>0</v>
      </c>
      <c r="E12" s="64">
        <v>0</v>
      </c>
      <c r="F12" s="64">
        <v>0</v>
      </c>
      <c r="G12" s="64">
        <v>0</v>
      </c>
      <c r="H12" s="64">
        <v>0</v>
      </c>
      <c r="I12" s="64">
        <f t="shared" si="0"/>
        <v>0</v>
      </c>
    </row>
    <row r="13" ht="14.45" customHeight="1" spans="1:13">
      <c r="A13" s="81" t="s">
        <v>23</v>
      </c>
      <c r="B13" s="64">
        <v>0</v>
      </c>
      <c r="C13" s="64">
        <v>0</v>
      </c>
      <c r="D13" s="64">
        <v>0</v>
      </c>
      <c r="E13" s="64">
        <v>0</v>
      </c>
      <c r="F13" s="64">
        <v>0</v>
      </c>
      <c r="G13" s="64">
        <v>0</v>
      </c>
      <c r="H13" s="64">
        <v>0</v>
      </c>
      <c r="I13" s="64">
        <f t="shared" si="0"/>
        <v>0</v>
      </c>
    </row>
    <row r="14" ht="14.45" customHeight="1" spans="1:13">
      <c r="A14" s="81" t="s">
        <v>24</v>
      </c>
      <c r="B14" s="64">
        <v>0</v>
      </c>
      <c r="C14" s="64">
        <v>0</v>
      </c>
      <c r="D14" s="64">
        <v>0</v>
      </c>
      <c r="E14" s="64">
        <v>0</v>
      </c>
      <c r="F14" s="64">
        <v>0</v>
      </c>
      <c r="G14" s="64">
        <v>0</v>
      </c>
      <c r="H14" s="64">
        <v>0</v>
      </c>
      <c r="I14" s="64">
        <f t="shared" si="0"/>
        <v>0</v>
      </c>
    </row>
    <row r="15" ht="14.45" customHeight="1" spans="1:13">
      <c r="A15" s="81" t="s">
        <v>25</v>
      </c>
      <c r="B15" s="64">
        <v>0</v>
      </c>
      <c r="C15" s="64">
        <v>0</v>
      </c>
      <c r="D15" s="64">
        <v>0</v>
      </c>
      <c r="E15" s="64">
        <v>0</v>
      </c>
      <c r="F15" s="64">
        <v>0</v>
      </c>
      <c r="G15" s="64">
        <v>0</v>
      </c>
      <c r="H15" s="64">
        <v>0</v>
      </c>
      <c r="I15" s="64">
        <f t="shared" si="0"/>
        <v>0</v>
      </c>
    </row>
    <row r="16" ht="14.45" customHeight="1" spans="1:13">
      <c r="A16" s="81" t="s">
        <v>26</v>
      </c>
      <c r="B16" s="64">
        <v>0</v>
      </c>
      <c r="C16" s="61">
        <v>0</v>
      </c>
      <c r="D16" s="61">
        <v>0</v>
      </c>
      <c r="E16" s="61">
        <v>0</v>
      </c>
      <c r="F16" s="61">
        <v>0</v>
      </c>
      <c r="G16" s="61">
        <v>0</v>
      </c>
      <c r="H16" s="61">
        <v>0</v>
      </c>
      <c r="I16" s="64">
        <f t="shared" si="0"/>
        <v>0</v>
      </c>
    </row>
    <row r="17" ht="14.45" customHeight="1" spans="1:9">
      <c r="A17" s="81" t="s">
        <v>27</v>
      </c>
      <c r="B17" s="64">
        <v>0</v>
      </c>
      <c r="C17" s="64">
        <v>0</v>
      </c>
      <c r="D17" s="64">
        <v>0</v>
      </c>
      <c r="E17" s="64">
        <v>0</v>
      </c>
      <c r="F17" s="64">
        <v>0</v>
      </c>
      <c r="G17" s="64">
        <v>0</v>
      </c>
      <c r="H17" s="64">
        <v>0</v>
      </c>
      <c r="I17" s="64">
        <f t="shared" si="0"/>
        <v>0</v>
      </c>
    </row>
    <row r="18" ht="14.45" customHeight="1" spans="1:9">
      <c r="A18" s="81" t="s">
        <v>28</v>
      </c>
      <c r="B18" s="64">
        <v>0</v>
      </c>
      <c r="C18" s="64">
        <v>0</v>
      </c>
      <c r="D18" s="64">
        <v>0</v>
      </c>
      <c r="E18" s="64">
        <v>0</v>
      </c>
      <c r="F18" s="64">
        <v>0</v>
      </c>
      <c r="G18" s="64">
        <v>0</v>
      </c>
      <c r="H18" s="64">
        <v>0</v>
      </c>
      <c r="I18" s="64">
        <f t="shared" si="0"/>
        <v>0</v>
      </c>
    </row>
    <row r="19" ht="14.45" customHeight="1" spans="1:9">
      <c r="A19" s="81" t="s">
        <v>29</v>
      </c>
      <c r="B19" s="64">
        <v>0</v>
      </c>
      <c r="C19" s="64">
        <v>0</v>
      </c>
      <c r="D19" s="64">
        <v>0</v>
      </c>
      <c r="E19" s="64">
        <v>0</v>
      </c>
      <c r="F19" s="64">
        <v>0</v>
      </c>
      <c r="G19" s="64">
        <v>0</v>
      </c>
      <c r="H19" s="64">
        <v>0</v>
      </c>
      <c r="I19" s="64">
        <f t="shared" si="0"/>
        <v>0</v>
      </c>
    </row>
    <row r="20" ht="14.45" customHeight="1" spans="1:9">
      <c r="A20" s="81" t="s">
        <v>30</v>
      </c>
      <c r="B20" s="64">
        <v>0</v>
      </c>
      <c r="C20" s="64">
        <v>0</v>
      </c>
      <c r="D20" s="64">
        <v>0</v>
      </c>
      <c r="E20" s="64">
        <v>0</v>
      </c>
      <c r="F20" s="64">
        <v>0</v>
      </c>
      <c r="G20" s="64">
        <v>0</v>
      </c>
      <c r="H20" s="64">
        <v>0</v>
      </c>
      <c r="I20" s="64">
        <f t="shared" si="0"/>
        <v>0</v>
      </c>
    </row>
    <row r="21" ht="14.45" customHeight="1" spans="1:9">
      <c r="A21" s="81" t="s">
        <v>31</v>
      </c>
      <c r="B21" s="64">
        <v>0</v>
      </c>
      <c r="C21" s="64">
        <v>0</v>
      </c>
      <c r="D21" s="64">
        <v>0</v>
      </c>
      <c r="E21" s="64">
        <v>0</v>
      </c>
      <c r="F21" s="64">
        <v>0</v>
      </c>
      <c r="G21" s="64">
        <v>0</v>
      </c>
      <c r="H21" s="64">
        <v>0</v>
      </c>
      <c r="I21" s="64">
        <f t="shared" si="0"/>
        <v>0</v>
      </c>
    </row>
    <row r="22" ht="14.45" customHeight="1" spans="1:9">
      <c r="A22" s="81" t="s">
        <v>32</v>
      </c>
      <c r="B22" s="64">
        <v>0</v>
      </c>
      <c r="C22" s="64">
        <v>0</v>
      </c>
      <c r="D22" s="64">
        <v>0</v>
      </c>
      <c r="E22" s="64">
        <v>0</v>
      </c>
      <c r="F22" s="64">
        <v>0</v>
      </c>
      <c r="G22" s="64">
        <v>0</v>
      </c>
      <c r="H22" s="64">
        <v>0</v>
      </c>
      <c r="I22" s="64">
        <f t="shared" si="0"/>
        <v>0</v>
      </c>
    </row>
    <row r="23" ht="14.45" customHeight="1" spans="1:9">
      <c r="A23" s="81">
        <v>0</v>
      </c>
      <c r="B23" s="64">
        <v>0</v>
      </c>
      <c r="C23" s="64">
        <v>0</v>
      </c>
      <c r="D23" s="64">
        <v>0</v>
      </c>
      <c r="E23" s="64">
        <v>0</v>
      </c>
      <c r="F23" s="64">
        <v>0</v>
      </c>
      <c r="G23" s="64">
        <v>0</v>
      </c>
      <c r="H23" s="64">
        <v>0</v>
      </c>
      <c r="I23" s="64">
        <f t="shared" si="0"/>
        <v>0</v>
      </c>
    </row>
    <row r="24" ht="14.45" customHeight="1" spans="1:9">
      <c r="A24" s="81">
        <v>0</v>
      </c>
      <c r="B24" s="64">
        <v>0</v>
      </c>
      <c r="C24" s="64">
        <v>0</v>
      </c>
      <c r="D24" s="64">
        <v>0</v>
      </c>
      <c r="E24" s="64">
        <v>0</v>
      </c>
      <c r="F24" s="64">
        <v>0</v>
      </c>
      <c r="G24" s="64">
        <v>0</v>
      </c>
      <c r="H24" s="64">
        <v>0</v>
      </c>
      <c r="I24" s="64">
        <f t="shared" si="0"/>
        <v>0</v>
      </c>
    </row>
    <row r="25" s="2" customFormat="1" ht="14.45" customHeight="1" spans="1:9">
      <c r="A25" s="82" t="s">
        <v>33</v>
      </c>
      <c r="B25" s="63">
        <f t="shared" ref="B25:I25" si="1">SUM(B7:B24)-B16-B17</f>
        <v>0</v>
      </c>
      <c r="C25" s="63">
        <f t="shared" si="1"/>
        <v>0</v>
      </c>
      <c r="D25" s="63">
        <f t="shared" si="1"/>
        <v>0</v>
      </c>
      <c r="E25" s="63">
        <f t="shared" si="1"/>
        <v>0</v>
      </c>
      <c r="F25" s="63">
        <f t="shared" si="1"/>
        <v>0</v>
      </c>
      <c r="G25" s="63">
        <f t="shared" si="1"/>
        <v>0</v>
      </c>
      <c r="H25" s="63">
        <f t="shared" si="1"/>
        <v>0</v>
      </c>
      <c r="I25" s="63">
        <f t="shared" si="1"/>
        <v>0</v>
      </c>
    </row>
    <row r="26" ht="14.45" customHeight="1" spans="1:9">
      <c r="A26" s="83" t="s">
        <v>34</v>
      </c>
      <c r="B26" s="64"/>
      <c r="C26" s="64"/>
      <c r="D26" s="64"/>
      <c r="E26" s="64"/>
      <c r="F26" s="64"/>
      <c r="G26" s="64"/>
      <c r="H26" s="64"/>
      <c r="I26" s="64"/>
    </row>
    <row r="27" ht="14.45" customHeight="1" spans="1:9">
      <c r="A27" s="81" t="s">
        <v>35</v>
      </c>
      <c r="B27" s="64">
        <v>0</v>
      </c>
      <c r="C27" s="64">
        <v>0</v>
      </c>
      <c r="D27" s="64">
        <v>0</v>
      </c>
      <c r="E27" s="64">
        <v>0</v>
      </c>
      <c r="F27" s="64">
        <v>0</v>
      </c>
      <c r="G27" s="64">
        <v>0</v>
      </c>
      <c r="H27" s="64">
        <v>0</v>
      </c>
      <c r="I27" s="64">
        <f t="shared" ref="I27:I50" si="2">B27+E27+G27-F27-H27+C27-D27</f>
        <v>0</v>
      </c>
    </row>
    <row r="28" ht="14.45" customHeight="1" spans="1:9">
      <c r="A28" s="81" t="s">
        <v>36</v>
      </c>
      <c r="B28" s="64">
        <v>0</v>
      </c>
      <c r="C28" s="64">
        <v>0</v>
      </c>
      <c r="D28" s="64">
        <v>0</v>
      </c>
      <c r="E28" s="64">
        <v>0</v>
      </c>
      <c r="F28" s="64">
        <v>0</v>
      </c>
      <c r="G28" s="64">
        <v>0</v>
      </c>
      <c r="H28" s="64">
        <v>0</v>
      </c>
      <c r="I28" s="64">
        <f t="shared" si="2"/>
        <v>0</v>
      </c>
    </row>
    <row r="29" ht="14.45" customHeight="1" spans="1:9">
      <c r="A29" s="81" t="s">
        <v>37</v>
      </c>
      <c r="B29" s="64">
        <v>0</v>
      </c>
      <c r="C29" s="64">
        <v>0</v>
      </c>
      <c r="D29" s="64">
        <v>0</v>
      </c>
      <c r="E29" s="64">
        <v>0</v>
      </c>
      <c r="F29" s="64">
        <v>0</v>
      </c>
      <c r="G29" s="64">
        <v>0</v>
      </c>
      <c r="H29" s="64">
        <v>0</v>
      </c>
      <c r="I29" s="64">
        <f t="shared" si="2"/>
        <v>0</v>
      </c>
    </row>
    <row r="30" ht="14.45" customHeight="1" spans="1:9">
      <c r="A30" s="81" t="s">
        <v>38</v>
      </c>
      <c r="B30" s="64">
        <v>0</v>
      </c>
      <c r="C30" s="64">
        <v>0</v>
      </c>
      <c r="D30" s="64">
        <v>0</v>
      </c>
      <c r="E30" s="64">
        <v>0</v>
      </c>
      <c r="F30" s="64">
        <v>0</v>
      </c>
      <c r="G30" s="64">
        <v>0</v>
      </c>
      <c r="H30" s="64">
        <v>0</v>
      </c>
      <c r="I30" s="64">
        <f t="shared" si="2"/>
        <v>0</v>
      </c>
    </row>
    <row r="31" ht="14.45" customHeight="1" spans="1:9">
      <c r="A31" s="81" t="s">
        <v>39</v>
      </c>
      <c r="B31" s="64">
        <v>0</v>
      </c>
      <c r="C31" s="64">
        <v>0</v>
      </c>
      <c r="D31" s="64">
        <v>0</v>
      </c>
      <c r="E31" s="64">
        <v>0</v>
      </c>
      <c r="F31" s="64">
        <v>0</v>
      </c>
      <c r="G31" s="64">
        <v>0</v>
      </c>
      <c r="H31" s="64">
        <v>0</v>
      </c>
      <c r="I31" s="64">
        <f t="shared" si="2"/>
        <v>0</v>
      </c>
    </row>
    <row r="32" ht="14.45" customHeight="1" spans="1:9">
      <c r="A32" s="81" t="s">
        <v>40</v>
      </c>
      <c r="B32" s="64">
        <v>0</v>
      </c>
      <c r="C32" s="64">
        <v>0</v>
      </c>
      <c r="D32" s="64">
        <v>0</v>
      </c>
      <c r="E32" s="64">
        <v>0</v>
      </c>
      <c r="F32" s="64">
        <v>0</v>
      </c>
      <c r="G32" s="64">
        <v>0</v>
      </c>
      <c r="H32" s="64">
        <v>0</v>
      </c>
      <c r="I32" s="64">
        <f t="shared" si="2"/>
        <v>0</v>
      </c>
    </row>
    <row r="33" ht="14.45" customHeight="1" spans="1:9">
      <c r="A33" s="81" t="s">
        <v>41</v>
      </c>
      <c r="B33" s="64">
        <v>0</v>
      </c>
      <c r="C33" s="64">
        <v>0</v>
      </c>
      <c r="D33" s="64">
        <v>0</v>
      </c>
      <c r="E33" s="64">
        <v>0</v>
      </c>
      <c r="F33" s="64">
        <v>0</v>
      </c>
      <c r="G33" s="64">
        <v>0</v>
      </c>
      <c r="H33" s="64">
        <v>0</v>
      </c>
      <c r="I33" s="64">
        <f t="shared" si="2"/>
        <v>0</v>
      </c>
    </row>
    <row r="34" ht="14.45" customHeight="1" spans="1:9">
      <c r="A34" s="81" t="s">
        <v>42</v>
      </c>
      <c r="B34" s="64">
        <v>0</v>
      </c>
      <c r="C34" s="64">
        <v>0</v>
      </c>
      <c r="D34" s="64">
        <v>0</v>
      </c>
      <c r="E34" s="64">
        <v>0</v>
      </c>
      <c r="F34" s="64">
        <v>0</v>
      </c>
      <c r="G34" s="64">
        <v>0</v>
      </c>
      <c r="H34" s="64">
        <v>0</v>
      </c>
      <c r="I34" s="64">
        <f t="shared" si="2"/>
        <v>0</v>
      </c>
    </row>
    <row r="35" ht="14.45" customHeight="1" spans="1:9">
      <c r="A35" s="81" t="s">
        <v>43</v>
      </c>
      <c r="B35" s="64">
        <v>0</v>
      </c>
      <c r="C35" s="64">
        <v>0</v>
      </c>
      <c r="D35" s="64">
        <v>0</v>
      </c>
      <c r="E35" s="64">
        <v>0</v>
      </c>
      <c r="F35" s="64">
        <v>0</v>
      </c>
      <c r="G35" s="64">
        <v>0</v>
      </c>
      <c r="H35" s="64">
        <v>0</v>
      </c>
      <c r="I35" s="64">
        <f t="shared" si="2"/>
        <v>0</v>
      </c>
    </row>
    <row r="36" ht="14.45" customHeight="1" spans="1:9">
      <c r="A36" s="81" t="s">
        <v>44</v>
      </c>
      <c r="B36" s="64">
        <v>0</v>
      </c>
      <c r="C36" s="64">
        <v>0</v>
      </c>
      <c r="D36" s="64">
        <v>0</v>
      </c>
      <c r="E36" s="64">
        <v>0</v>
      </c>
      <c r="F36" s="64">
        <v>0</v>
      </c>
      <c r="G36" s="64">
        <v>0</v>
      </c>
      <c r="H36" s="64">
        <v>0</v>
      </c>
      <c r="I36" s="64">
        <f t="shared" si="2"/>
        <v>0</v>
      </c>
    </row>
    <row r="37" ht="14.45" customHeight="1" spans="1:9">
      <c r="A37" s="81" t="s">
        <v>45</v>
      </c>
      <c r="B37" s="64">
        <v>0</v>
      </c>
      <c r="C37" s="64">
        <v>0</v>
      </c>
      <c r="D37" s="64">
        <v>0</v>
      </c>
      <c r="E37" s="64">
        <v>0</v>
      </c>
      <c r="F37" s="64">
        <v>0</v>
      </c>
      <c r="G37" s="64">
        <v>0</v>
      </c>
      <c r="H37" s="64">
        <v>0</v>
      </c>
      <c r="I37" s="64">
        <f t="shared" si="2"/>
        <v>0</v>
      </c>
    </row>
    <row r="38" ht="14.45" customHeight="1" spans="1:9">
      <c r="A38" s="81" t="s">
        <v>46</v>
      </c>
      <c r="B38" s="64">
        <v>0</v>
      </c>
      <c r="C38" s="64">
        <v>0</v>
      </c>
      <c r="D38" s="64">
        <v>0</v>
      </c>
      <c r="E38" s="64">
        <v>0</v>
      </c>
      <c r="F38" s="64">
        <v>0</v>
      </c>
      <c r="G38" s="64">
        <v>0</v>
      </c>
      <c r="H38" s="64">
        <v>0</v>
      </c>
      <c r="I38" s="64">
        <f t="shared" si="2"/>
        <v>0</v>
      </c>
    </row>
    <row r="39" ht="14.45" customHeight="1" spans="1:9">
      <c r="A39" s="81" t="s">
        <v>47</v>
      </c>
      <c r="B39" s="64">
        <v>0</v>
      </c>
      <c r="C39" s="64">
        <v>0</v>
      </c>
      <c r="D39" s="64">
        <v>0</v>
      </c>
      <c r="E39" s="64">
        <v>0</v>
      </c>
      <c r="F39" s="64">
        <v>0</v>
      </c>
      <c r="G39" s="64">
        <v>0</v>
      </c>
      <c r="H39" s="64">
        <v>0</v>
      </c>
      <c r="I39" s="64">
        <f t="shared" si="2"/>
        <v>0</v>
      </c>
    </row>
    <row r="40" ht="14.45" customHeight="1" spans="1:9">
      <c r="A40" s="81" t="s">
        <v>48</v>
      </c>
      <c r="B40" s="64">
        <v>0</v>
      </c>
      <c r="C40" s="64">
        <v>0</v>
      </c>
      <c r="D40" s="64">
        <v>0</v>
      </c>
      <c r="E40" s="64">
        <v>0</v>
      </c>
      <c r="F40" s="64">
        <v>0</v>
      </c>
      <c r="G40" s="64">
        <v>0</v>
      </c>
      <c r="H40" s="64">
        <v>0</v>
      </c>
      <c r="I40" s="64">
        <f t="shared" si="2"/>
        <v>0</v>
      </c>
    </row>
    <row r="41" ht="14.45" customHeight="1" spans="1:9">
      <c r="A41" s="81" t="s">
        <v>49</v>
      </c>
      <c r="B41" s="64">
        <v>0</v>
      </c>
      <c r="C41" s="64">
        <v>0</v>
      </c>
      <c r="D41" s="64">
        <v>0</v>
      </c>
      <c r="E41" s="64">
        <v>0</v>
      </c>
      <c r="F41" s="64">
        <v>0</v>
      </c>
      <c r="G41" s="64">
        <v>0</v>
      </c>
      <c r="H41" s="64">
        <v>0</v>
      </c>
      <c r="I41" s="64">
        <f t="shared" si="2"/>
        <v>0</v>
      </c>
    </row>
    <row r="42" ht="14.45" customHeight="1" spans="1:9">
      <c r="A42" s="81" t="s">
        <v>50</v>
      </c>
      <c r="B42" s="64">
        <v>0</v>
      </c>
      <c r="C42" s="64">
        <v>0</v>
      </c>
      <c r="D42" s="64">
        <v>0</v>
      </c>
      <c r="E42" s="64">
        <v>0</v>
      </c>
      <c r="F42" s="64">
        <v>0</v>
      </c>
      <c r="G42" s="64">
        <v>0</v>
      </c>
      <c r="H42" s="64">
        <v>0</v>
      </c>
      <c r="I42" s="64">
        <f t="shared" si="2"/>
        <v>0</v>
      </c>
    </row>
    <row r="43" ht="14.45" customHeight="1" spans="1:9">
      <c r="A43" s="81" t="s">
        <v>51</v>
      </c>
      <c r="B43" s="64">
        <v>0</v>
      </c>
      <c r="C43" s="64">
        <v>0</v>
      </c>
      <c r="D43" s="64">
        <v>0</v>
      </c>
      <c r="E43" s="64">
        <v>0</v>
      </c>
      <c r="F43" s="64">
        <v>0</v>
      </c>
      <c r="G43" s="64">
        <v>0</v>
      </c>
      <c r="H43" s="64">
        <v>0</v>
      </c>
      <c r="I43" s="64">
        <f t="shared" si="2"/>
        <v>0</v>
      </c>
    </row>
    <row r="44" ht="14.45" customHeight="1" spans="1:9">
      <c r="A44" s="81" t="s">
        <v>52</v>
      </c>
      <c r="B44" s="64">
        <v>0</v>
      </c>
      <c r="C44" s="64">
        <v>0</v>
      </c>
      <c r="D44" s="64">
        <v>0</v>
      </c>
      <c r="E44" s="64">
        <v>0</v>
      </c>
      <c r="F44" s="64">
        <v>0</v>
      </c>
      <c r="G44" s="64">
        <v>0</v>
      </c>
      <c r="H44" s="64">
        <v>0</v>
      </c>
      <c r="I44" s="64">
        <f t="shared" si="2"/>
        <v>0</v>
      </c>
    </row>
    <row r="45" ht="14.45" customHeight="1" spans="1:9">
      <c r="A45" s="81" t="s">
        <v>53</v>
      </c>
      <c r="B45" s="64">
        <v>0</v>
      </c>
      <c r="C45" s="64">
        <v>0</v>
      </c>
      <c r="D45" s="64">
        <v>0</v>
      </c>
      <c r="E45" s="64">
        <v>0</v>
      </c>
      <c r="F45" s="64">
        <v>0</v>
      </c>
      <c r="G45" s="64">
        <v>0</v>
      </c>
      <c r="H45" s="64">
        <v>0</v>
      </c>
      <c r="I45" s="64">
        <f t="shared" si="2"/>
        <v>0</v>
      </c>
    </row>
    <row r="46" ht="14.45" customHeight="1" spans="1:9">
      <c r="A46" s="81" t="s">
        <v>54</v>
      </c>
      <c r="B46" s="64">
        <v>0</v>
      </c>
      <c r="C46" s="64">
        <v>0</v>
      </c>
      <c r="D46" s="64">
        <v>0</v>
      </c>
      <c r="E46" s="64">
        <v>0</v>
      </c>
      <c r="F46" s="64">
        <v>0</v>
      </c>
      <c r="G46" s="64">
        <v>0</v>
      </c>
      <c r="H46" s="64">
        <v>0</v>
      </c>
      <c r="I46" s="64">
        <f t="shared" si="2"/>
        <v>0</v>
      </c>
    </row>
    <row r="47" ht="14.45" customHeight="1" spans="1:9">
      <c r="A47" s="81" t="s">
        <v>55</v>
      </c>
      <c r="B47" s="64">
        <v>0</v>
      </c>
      <c r="C47" s="64">
        <v>0</v>
      </c>
      <c r="D47" s="64">
        <v>0</v>
      </c>
      <c r="E47" s="64">
        <v>0</v>
      </c>
      <c r="F47" s="64">
        <v>0</v>
      </c>
      <c r="G47" s="64">
        <v>0</v>
      </c>
      <c r="H47" s="64">
        <v>0</v>
      </c>
      <c r="I47" s="64">
        <f t="shared" si="2"/>
        <v>0</v>
      </c>
    </row>
    <row r="48" ht="14.45" customHeight="1" spans="1:9">
      <c r="A48" s="81">
        <v>0</v>
      </c>
      <c r="B48" s="64">
        <v>0</v>
      </c>
      <c r="C48" s="64">
        <v>0</v>
      </c>
      <c r="D48" s="64">
        <v>0</v>
      </c>
      <c r="E48" s="64">
        <v>0</v>
      </c>
      <c r="F48" s="64">
        <v>0</v>
      </c>
      <c r="G48" s="64">
        <v>0</v>
      </c>
      <c r="H48" s="64">
        <v>0</v>
      </c>
      <c r="I48" s="64">
        <f t="shared" si="2"/>
        <v>0</v>
      </c>
    </row>
    <row r="49" ht="14.45" customHeight="1" spans="1:10">
      <c r="A49" s="81">
        <v>0</v>
      </c>
      <c r="B49" s="64">
        <v>0</v>
      </c>
      <c r="C49" s="64">
        <v>0</v>
      </c>
      <c r="D49" s="64">
        <v>0</v>
      </c>
      <c r="E49" s="64">
        <v>0</v>
      </c>
      <c r="F49" s="64">
        <v>0</v>
      </c>
      <c r="G49" s="64">
        <v>0</v>
      </c>
      <c r="H49" s="64">
        <v>0</v>
      </c>
      <c r="I49" s="64">
        <f t="shared" si="2"/>
        <v>0</v>
      </c>
    </row>
    <row r="50" ht="14.45" customHeight="1" spans="1:10">
      <c r="A50" s="81">
        <v>0</v>
      </c>
      <c r="B50" s="64">
        <v>0</v>
      </c>
      <c r="C50" s="64">
        <v>0</v>
      </c>
      <c r="D50" s="64">
        <v>0</v>
      </c>
      <c r="E50" s="64">
        <v>0</v>
      </c>
      <c r="F50" s="64">
        <v>0</v>
      </c>
      <c r="G50" s="64">
        <v>0</v>
      </c>
      <c r="H50" s="64">
        <v>0</v>
      </c>
      <c r="I50" s="64">
        <f t="shared" si="2"/>
        <v>0</v>
      </c>
    </row>
    <row r="51" s="2" customFormat="1" ht="14.45" customHeight="1" spans="1:10">
      <c r="A51" s="84" t="s">
        <v>56</v>
      </c>
      <c r="B51" s="63">
        <f t="shared" ref="B51:J51" si="3">SUM(B27:B50)</f>
        <v>0</v>
      </c>
      <c r="C51" s="63">
        <f t="shared" si="3"/>
        <v>0</v>
      </c>
      <c r="D51" s="63">
        <f t="shared" si="3"/>
        <v>0</v>
      </c>
      <c r="E51" s="63">
        <f t="shared" si="3"/>
        <v>0</v>
      </c>
      <c r="F51" s="63">
        <f t="shared" si="3"/>
        <v>0</v>
      </c>
      <c r="G51" s="63">
        <f t="shared" si="3"/>
        <v>0</v>
      </c>
      <c r="H51" s="63">
        <f t="shared" si="3"/>
        <v>0</v>
      </c>
      <c r="I51" s="63">
        <f t="shared" si="3"/>
        <v>0</v>
      </c>
    </row>
    <row r="52" ht="14.45" customHeight="1" spans="1:10">
      <c r="A52" s="85" t="s">
        <v>57</v>
      </c>
      <c r="B52" s="86">
        <f t="shared" ref="B52:J52" si="4">SUM(B25,B51)</f>
        <v>0</v>
      </c>
      <c r="C52" s="86">
        <f t="shared" si="4"/>
        <v>0</v>
      </c>
      <c r="D52" s="86">
        <f t="shared" si="4"/>
        <v>0</v>
      </c>
      <c r="E52" s="86">
        <f t="shared" si="4"/>
        <v>0</v>
      </c>
      <c r="F52" s="86">
        <f t="shared" si="4"/>
        <v>0</v>
      </c>
      <c r="G52" s="86">
        <f t="shared" si="4"/>
        <v>0</v>
      </c>
      <c r="H52" s="86">
        <f t="shared" si="4"/>
        <v>0</v>
      </c>
      <c r="I52" s="86">
        <f t="shared" si="4"/>
        <v>0</v>
      </c>
      <c r="J52" s="2"/>
    </row>
    <row r="53" s="77" customFormat="1" ht="12" spans="1:10">
      <c r="A53" s="55" t="s">
        <v>58</v>
      </c>
      <c r="B53" s="80"/>
      <c r="C53" s="80"/>
      <c r="D53" s="80"/>
      <c r="E53" s="80"/>
      <c r="F53" s="80"/>
      <c r="G53" s="80"/>
      <c r="H53" s="80"/>
      <c r="I53" s="80"/>
    </row>
    <row r="54" ht="13.2" spans="1:10">
      <c r="A54" s="81" t="s">
        <v>59</v>
      </c>
      <c r="B54" s="64">
        <v>0</v>
      </c>
      <c r="C54" s="64">
        <v>0</v>
      </c>
      <c r="D54" s="64">
        <v>0</v>
      </c>
      <c r="E54" s="64">
        <v>0</v>
      </c>
      <c r="F54" s="64">
        <v>0</v>
      </c>
      <c r="G54" s="64">
        <v>0</v>
      </c>
      <c r="H54" s="64">
        <v>0</v>
      </c>
      <c r="I54" s="64">
        <f t="shared" ref="I54:I69" si="5">B54-E54-G54+F54+H54-C54+D54</f>
        <v>0</v>
      </c>
    </row>
    <row r="55" ht="13.2" spans="1:10">
      <c r="A55" s="81" t="s">
        <v>60</v>
      </c>
      <c r="B55" s="64">
        <v>0</v>
      </c>
      <c r="C55" s="64">
        <v>0</v>
      </c>
      <c r="D55" s="64">
        <v>0</v>
      </c>
      <c r="E55" s="64">
        <v>0</v>
      </c>
      <c r="F55" s="64">
        <v>0</v>
      </c>
      <c r="G55" s="64">
        <v>0</v>
      </c>
      <c r="H55" s="64">
        <v>0</v>
      </c>
      <c r="I55" s="64">
        <f t="shared" si="5"/>
        <v>0</v>
      </c>
    </row>
    <row r="56" ht="13.2" spans="1:10">
      <c r="A56" s="81" t="s">
        <v>61</v>
      </c>
      <c r="B56" s="64">
        <v>0</v>
      </c>
      <c r="C56" s="64">
        <v>0</v>
      </c>
      <c r="D56" s="64">
        <v>0</v>
      </c>
      <c r="E56" s="64">
        <v>0</v>
      </c>
      <c r="F56" s="64">
        <v>0</v>
      </c>
      <c r="G56" s="64">
        <v>0</v>
      </c>
      <c r="H56" s="64">
        <v>0</v>
      </c>
      <c r="I56" s="64">
        <f t="shared" si="5"/>
        <v>0</v>
      </c>
    </row>
    <row r="57" ht="13.2" spans="1:10">
      <c r="A57" s="81" t="s">
        <v>62</v>
      </c>
      <c r="B57" s="64">
        <v>0</v>
      </c>
      <c r="C57" s="64">
        <v>0</v>
      </c>
      <c r="D57" s="64">
        <v>0</v>
      </c>
      <c r="E57" s="64">
        <v>0</v>
      </c>
      <c r="F57" s="64">
        <v>0</v>
      </c>
      <c r="G57" s="64">
        <v>0</v>
      </c>
      <c r="H57" s="64">
        <v>0</v>
      </c>
      <c r="I57" s="64">
        <f t="shared" si="5"/>
        <v>0</v>
      </c>
    </row>
    <row r="58" ht="13.2" spans="1:10">
      <c r="A58" s="81" t="s">
        <v>63</v>
      </c>
      <c r="B58" s="64">
        <v>0</v>
      </c>
      <c r="C58" s="64">
        <v>0</v>
      </c>
      <c r="D58" s="64">
        <v>0</v>
      </c>
      <c r="E58" s="64">
        <v>0</v>
      </c>
      <c r="F58" s="64">
        <v>0</v>
      </c>
      <c r="G58" s="64">
        <v>0</v>
      </c>
      <c r="H58" s="64">
        <v>0</v>
      </c>
      <c r="I58" s="64">
        <f t="shared" si="5"/>
        <v>0</v>
      </c>
    </row>
    <row r="59" ht="13.2" spans="1:10">
      <c r="A59" s="81" t="s">
        <v>64</v>
      </c>
      <c r="B59" s="64">
        <v>0</v>
      </c>
      <c r="C59" s="64">
        <v>0</v>
      </c>
      <c r="D59" s="64">
        <v>0</v>
      </c>
      <c r="E59" s="64">
        <v>0</v>
      </c>
      <c r="F59" s="64">
        <v>0</v>
      </c>
      <c r="G59" s="64">
        <v>0</v>
      </c>
      <c r="H59" s="64">
        <v>0</v>
      </c>
      <c r="I59" s="64">
        <f t="shared" si="5"/>
        <v>0</v>
      </c>
    </row>
    <row r="60" ht="13.2" spans="1:10">
      <c r="A60" s="81" t="s">
        <v>65</v>
      </c>
      <c r="B60" s="64">
        <v>0</v>
      </c>
      <c r="C60" s="64">
        <v>0</v>
      </c>
      <c r="D60" s="64">
        <v>0</v>
      </c>
      <c r="E60" s="64">
        <v>0</v>
      </c>
      <c r="F60" s="64">
        <v>0</v>
      </c>
      <c r="G60" s="64">
        <v>0</v>
      </c>
      <c r="H60" s="64">
        <v>0</v>
      </c>
      <c r="I60" s="64">
        <f t="shared" si="5"/>
        <v>0</v>
      </c>
    </row>
    <row r="61" ht="13.2" spans="1:10">
      <c r="A61" s="81" t="s">
        <v>66</v>
      </c>
      <c r="B61" s="64">
        <v>0</v>
      </c>
      <c r="C61" s="64">
        <v>0</v>
      </c>
      <c r="D61" s="64">
        <v>0</v>
      </c>
      <c r="E61" s="64">
        <v>0</v>
      </c>
      <c r="F61" s="64">
        <v>0</v>
      </c>
      <c r="G61" s="64">
        <v>0</v>
      </c>
      <c r="H61" s="64">
        <v>0</v>
      </c>
      <c r="I61" s="64">
        <f t="shared" si="5"/>
        <v>0</v>
      </c>
    </row>
    <row r="62" ht="13.2" spans="1:10">
      <c r="A62" s="81" t="s">
        <v>67</v>
      </c>
      <c r="B62" s="64">
        <v>0</v>
      </c>
      <c r="C62" s="64">
        <v>0</v>
      </c>
      <c r="D62" s="64">
        <v>0</v>
      </c>
      <c r="E62" s="64">
        <v>0</v>
      </c>
      <c r="F62" s="64">
        <v>0</v>
      </c>
      <c r="G62" s="64">
        <v>0</v>
      </c>
      <c r="H62" s="64">
        <v>0</v>
      </c>
      <c r="I62" s="64">
        <f t="shared" si="5"/>
        <v>0</v>
      </c>
    </row>
    <row r="63" ht="13.2" spans="1:10">
      <c r="A63" s="81" t="s">
        <v>68</v>
      </c>
      <c r="B63" s="64">
        <v>0</v>
      </c>
      <c r="C63" s="64">
        <v>0</v>
      </c>
      <c r="D63" s="64">
        <v>0</v>
      </c>
      <c r="E63" s="64">
        <v>0</v>
      </c>
      <c r="F63" s="64">
        <v>0</v>
      </c>
      <c r="G63" s="64">
        <v>0</v>
      </c>
      <c r="H63" s="64">
        <v>0</v>
      </c>
      <c r="I63" s="64">
        <f t="shared" si="5"/>
        <v>0</v>
      </c>
    </row>
    <row r="64" ht="13.2" spans="1:10">
      <c r="A64" s="81" t="s">
        <v>69</v>
      </c>
      <c r="B64" s="64">
        <v>0</v>
      </c>
      <c r="C64" s="64">
        <v>0</v>
      </c>
      <c r="D64" s="64">
        <v>0</v>
      </c>
      <c r="E64" s="64">
        <v>0</v>
      </c>
      <c r="F64" s="64">
        <v>0</v>
      </c>
      <c r="G64" s="64">
        <v>0</v>
      </c>
      <c r="H64" s="64">
        <v>0</v>
      </c>
      <c r="I64" s="64">
        <f t="shared" si="5"/>
        <v>0</v>
      </c>
    </row>
    <row r="65" ht="13.2" spans="1:9">
      <c r="A65" s="81" t="s">
        <v>70</v>
      </c>
      <c r="B65" s="64">
        <v>0</v>
      </c>
      <c r="C65" s="61">
        <v>0</v>
      </c>
      <c r="D65" s="61">
        <v>0</v>
      </c>
      <c r="E65" s="61">
        <v>0</v>
      </c>
      <c r="F65" s="61">
        <v>0</v>
      </c>
      <c r="G65" s="61">
        <v>0</v>
      </c>
      <c r="H65" s="61">
        <v>0</v>
      </c>
      <c r="I65" s="64">
        <f t="shared" si="5"/>
        <v>0</v>
      </c>
    </row>
    <row r="66" ht="13.2" spans="1:9">
      <c r="A66" s="81" t="s">
        <v>71</v>
      </c>
      <c r="B66" s="64">
        <v>0</v>
      </c>
      <c r="C66" s="61">
        <v>0</v>
      </c>
      <c r="D66" s="61">
        <v>0</v>
      </c>
      <c r="E66" s="61">
        <v>0</v>
      </c>
      <c r="F66" s="61">
        <v>0</v>
      </c>
      <c r="G66" s="61">
        <v>0</v>
      </c>
      <c r="H66" s="61">
        <v>0</v>
      </c>
      <c r="I66" s="64">
        <f t="shared" si="5"/>
        <v>0</v>
      </c>
    </row>
    <row r="67" ht="13.2" spans="1:9">
      <c r="A67" s="81" t="s">
        <v>72</v>
      </c>
      <c r="B67" s="64">
        <v>0</v>
      </c>
      <c r="C67" s="64">
        <v>0</v>
      </c>
      <c r="D67" s="64">
        <v>0</v>
      </c>
      <c r="E67" s="64">
        <v>0</v>
      </c>
      <c r="F67" s="64">
        <v>0</v>
      </c>
      <c r="G67" s="64">
        <v>0</v>
      </c>
      <c r="H67" s="64">
        <v>0</v>
      </c>
      <c r="I67" s="64">
        <f t="shared" si="5"/>
        <v>0</v>
      </c>
    </row>
    <row r="68" ht="13.2" spans="1:9">
      <c r="A68" s="81" t="s">
        <v>73</v>
      </c>
      <c r="B68" s="64">
        <v>0</v>
      </c>
      <c r="C68" s="64">
        <v>0</v>
      </c>
      <c r="D68" s="64">
        <v>0</v>
      </c>
      <c r="E68" s="64">
        <v>0</v>
      </c>
      <c r="F68" s="64">
        <v>0</v>
      </c>
      <c r="G68" s="64">
        <v>0</v>
      </c>
      <c r="H68" s="64">
        <v>0</v>
      </c>
      <c r="I68" s="64">
        <f t="shared" si="5"/>
        <v>0</v>
      </c>
    </row>
    <row r="69" ht="13.2" spans="1:9">
      <c r="A69" s="81" t="s">
        <v>74</v>
      </c>
      <c r="B69" s="64">
        <v>0</v>
      </c>
      <c r="C69" s="64">
        <v>0</v>
      </c>
      <c r="D69" s="64">
        <v>0</v>
      </c>
      <c r="E69" s="64">
        <v>0</v>
      </c>
      <c r="F69" s="64">
        <v>0</v>
      </c>
      <c r="G69" s="64">
        <v>0</v>
      </c>
      <c r="H69" s="64">
        <v>0</v>
      </c>
      <c r="I69" s="64">
        <f t="shared" si="5"/>
        <v>0</v>
      </c>
    </row>
    <row r="70" ht="13.2" spans="1:9">
      <c r="A70" s="82" t="s">
        <v>75</v>
      </c>
      <c r="B70" s="63">
        <f t="shared" ref="B70:I70" si="6">SUM(B54:B69)-B65-B66</f>
        <v>0</v>
      </c>
      <c r="C70" s="63">
        <f t="shared" si="6"/>
        <v>0</v>
      </c>
      <c r="D70" s="63">
        <f t="shared" si="6"/>
        <v>0</v>
      </c>
      <c r="E70" s="63">
        <f t="shared" si="6"/>
        <v>0</v>
      </c>
      <c r="F70" s="63">
        <f t="shared" si="6"/>
        <v>0</v>
      </c>
      <c r="G70" s="63">
        <f t="shared" si="6"/>
        <v>0</v>
      </c>
      <c r="H70" s="63">
        <f t="shared" si="6"/>
        <v>0</v>
      </c>
      <c r="I70" s="63">
        <f t="shared" si="6"/>
        <v>0</v>
      </c>
    </row>
    <row r="71" ht="13.2" spans="1:9">
      <c r="A71" s="83" t="s">
        <v>76</v>
      </c>
      <c r="B71" s="63"/>
      <c r="C71" s="63"/>
      <c r="D71" s="63"/>
      <c r="E71" s="63"/>
      <c r="F71" s="63"/>
      <c r="G71" s="63"/>
      <c r="H71" s="63"/>
      <c r="I71" s="63"/>
    </row>
    <row r="72" ht="13.2" spans="1:9">
      <c r="A72" s="81" t="s">
        <v>77</v>
      </c>
      <c r="B72" s="64">
        <v>0</v>
      </c>
      <c r="C72" s="64">
        <v>0</v>
      </c>
      <c r="D72" s="64">
        <v>0</v>
      </c>
      <c r="E72" s="64">
        <v>0</v>
      </c>
      <c r="F72" s="64">
        <v>0</v>
      </c>
      <c r="G72" s="64">
        <v>0</v>
      </c>
      <c r="H72" s="64">
        <v>0</v>
      </c>
      <c r="I72" s="64">
        <f t="shared" ref="I72:I82" si="7">B72-E72-G72+F72+H72-C72+D72</f>
        <v>0</v>
      </c>
    </row>
    <row r="73" ht="13.2" spans="1:9">
      <c r="A73" s="81" t="s">
        <v>78</v>
      </c>
      <c r="B73" s="64">
        <v>0</v>
      </c>
      <c r="C73" s="61">
        <v>0</v>
      </c>
      <c r="D73" s="61">
        <v>0</v>
      </c>
      <c r="E73" s="61">
        <v>0</v>
      </c>
      <c r="F73" s="61">
        <v>0</v>
      </c>
      <c r="G73" s="61">
        <v>0</v>
      </c>
      <c r="H73" s="61">
        <v>0</v>
      </c>
      <c r="I73" s="64">
        <f t="shared" si="7"/>
        <v>0</v>
      </c>
    </row>
    <row r="74" ht="13.2" spans="1:9">
      <c r="A74" s="81" t="s">
        <v>79</v>
      </c>
      <c r="B74" s="64">
        <v>0</v>
      </c>
      <c r="C74" s="61">
        <v>0</v>
      </c>
      <c r="D74" s="61">
        <v>0</v>
      </c>
      <c r="E74" s="61">
        <v>0</v>
      </c>
      <c r="F74" s="61">
        <v>0</v>
      </c>
      <c r="G74" s="61">
        <v>0</v>
      </c>
      <c r="H74" s="61">
        <v>0</v>
      </c>
      <c r="I74" s="64">
        <f t="shared" si="7"/>
        <v>0</v>
      </c>
    </row>
    <row r="75" ht="13.2" spans="1:9">
      <c r="A75" s="87" t="s">
        <v>80</v>
      </c>
      <c r="B75" s="64">
        <v>0</v>
      </c>
      <c r="C75" s="61">
        <v>0</v>
      </c>
      <c r="D75" s="61">
        <v>0</v>
      </c>
      <c r="E75" s="61">
        <v>0</v>
      </c>
      <c r="F75" s="61">
        <v>0</v>
      </c>
      <c r="G75" s="61">
        <v>0</v>
      </c>
      <c r="H75" s="61">
        <v>0</v>
      </c>
      <c r="I75" s="64">
        <f t="shared" si="7"/>
        <v>0</v>
      </c>
    </row>
    <row r="76" ht="13.2" spans="1:9">
      <c r="A76" s="81" t="s">
        <v>81</v>
      </c>
      <c r="B76" s="64">
        <v>0</v>
      </c>
      <c r="C76" s="61">
        <v>0</v>
      </c>
      <c r="D76" s="61">
        <v>0</v>
      </c>
      <c r="E76" s="61">
        <v>0</v>
      </c>
      <c r="F76" s="61">
        <v>0</v>
      </c>
      <c r="G76" s="61">
        <v>0</v>
      </c>
      <c r="H76" s="61">
        <v>0</v>
      </c>
      <c r="I76" s="64">
        <f t="shared" si="7"/>
        <v>0</v>
      </c>
    </row>
    <row r="77" ht="13.2" spans="1:9">
      <c r="A77" s="81" t="s">
        <v>82</v>
      </c>
      <c r="B77" s="64">
        <v>0</v>
      </c>
      <c r="C77" s="61">
        <v>0</v>
      </c>
      <c r="D77" s="61">
        <v>0</v>
      </c>
      <c r="E77" s="61">
        <v>0</v>
      </c>
      <c r="F77" s="61">
        <v>0</v>
      </c>
      <c r="G77" s="61">
        <v>0</v>
      </c>
      <c r="H77" s="61">
        <v>0</v>
      </c>
      <c r="I77" s="64">
        <f t="shared" si="7"/>
        <v>0</v>
      </c>
    </row>
    <row r="78" ht="13.2" spans="1:9">
      <c r="A78" s="81" t="s">
        <v>83</v>
      </c>
      <c r="B78" s="64">
        <v>0</v>
      </c>
      <c r="C78" s="61">
        <v>0</v>
      </c>
      <c r="D78" s="61">
        <v>0</v>
      </c>
      <c r="E78" s="61">
        <v>0</v>
      </c>
      <c r="F78" s="61">
        <v>0</v>
      </c>
      <c r="G78" s="61">
        <v>0</v>
      </c>
      <c r="H78" s="61">
        <v>0</v>
      </c>
      <c r="I78" s="64">
        <f t="shared" si="7"/>
        <v>0</v>
      </c>
    </row>
    <row r="79" ht="13.2" spans="1:9">
      <c r="A79" s="81" t="s">
        <v>84</v>
      </c>
      <c r="B79" s="64">
        <v>0</v>
      </c>
      <c r="C79" s="61">
        <v>0</v>
      </c>
      <c r="D79" s="61">
        <v>0</v>
      </c>
      <c r="E79" s="61">
        <v>0</v>
      </c>
      <c r="F79" s="61">
        <v>0</v>
      </c>
      <c r="G79" s="61">
        <v>0</v>
      </c>
      <c r="H79" s="61">
        <v>0</v>
      </c>
      <c r="I79" s="64">
        <f t="shared" si="7"/>
        <v>0</v>
      </c>
    </row>
    <row r="80" ht="13.2" spans="1:9">
      <c r="A80" s="81" t="s">
        <v>85</v>
      </c>
      <c r="B80" s="64">
        <v>0</v>
      </c>
      <c r="C80" s="61">
        <v>0</v>
      </c>
      <c r="D80" s="61">
        <v>0</v>
      </c>
      <c r="E80" s="61">
        <v>0</v>
      </c>
      <c r="F80" s="61">
        <v>0</v>
      </c>
      <c r="G80" s="61">
        <v>0</v>
      </c>
      <c r="H80" s="61">
        <v>0</v>
      </c>
      <c r="I80" s="64">
        <f t="shared" si="7"/>
        <v>0</v>
      </c>
    </row>
    <row r="81" ht="13.2" spans="1:9">
      <c r="A81" s="81" t="s">
        <v>86</v>
      </c>
      <c r="B81" s="64">
        <v>0</v>
      </c>
      <c r="C81" s="61">
        <v>0</v>
      </c>
      <c r="D81" s="61">
        <v>0</v>
      </c>
      <c r="E81" s="61">
        <v>0</v>
      </c>
      <c r="F81" s="61">
        <v>0</v>
      </c>
      <c r="G81" s="61">
        <v>0</v>
      </c>
      <c r="H81" s="61">
        <v>0</v>
      </c>
      <c r="I81" s="64">
        <f t="shared" si="7"/>
        <v>0</v>
      </c>
    </row>
    <row r="82" ht="13.2" spans="1:9">
      <c r="A82" s="81" t="s">
        <v>87</v>
      </c>
      <c r="B82" s="64">
        <v>0</v>
      </c>
      <c r="C82" s="61">
        <v>0</v>
      </c>
      <c r="D82" s="61">
        <v>0</v>
      </c>
      <c r="E82" s="61">
        <v>0</v>
      </c>
      <c r="F82" s="61">
        <v>0</v>
      </c>
      <c r="G82" s="61">
        <v>0</v>
      </c>
      <c r="H82" s="61">
        <v>0</v>
      </c>
      <c r="I82" s="64">
        <f t="shared" si="7"/>
        <v>0</v>
      </c>
    </row>
    <row r="83" ht="13.2" spans="1:9">
      <c r="A83" s="82" t="s">
        <v>88</v>
      </c>
      <c r="B83" s="63">
        <f t="shared" ref="B83:I83" si="8">SUM(B72:B82)-B74-B75</f>
        <v>0</v>
      </c>
      <c r="C83" s="88">
        <f t="shared" si="8"/>
        <v>0</v>
      </c>
      <c r="D83" s="88">
        <f t="shared" si="8"/>
        <v>0</v>
      </c>
      <c r="E83" s="88">
        <f t="shared" si="8"/>
        <v>0</v>
      </c>
      <c r="F83" s="88">
        <f t="shared" si="8"/>
        <v>0</v>
      </c>
      <c r="G83" s="88">
        <f t="shared" si="8"/>
        <v>0</v>
      </c>
      <c r="H83" s="88">
        <f t="shared" si="8"/>
        <v>0</v>
      </c>
      <c r="I83" s="63">
        <f t="shared" si="8"/>
        <v>0</v>
      </c>
    </row>
    <row r="84" ht="13.2" spans="1:9">
      <c r="A84" s="82" t="s">
        <v>89</v>
      </c>
      <c r="B84" s="63">
        <f t="shared" ref="B84:I84" si="9">SUM(B70,B83)</f>
        <v>0</v>
      </c>
      <c r="C84" s="88">
        <f t="shared" si="9"/>
        <v>0</v>
      </c>
      <c r="D84" s="88">
        <f t="shared" si="9"/>
        <v>0</v>
      </c>
      <c r="E84" s="88">
        <f t="shared" si="9"/>
        <v>0</v>
      </c>
      <c r="F84" s="88">
        <f t="shared" si="9"/>
        <v>0</v>
      </c>
      <c r="G84" s="88">
        <f t="shared" si="9"/>
        <v>0</v>
      </c>
      <c r="H84" s="88">
        <f t="shared" si="9"/>
        <v>0</v>
      </c>
      <c r="I84" s="63">
        <f t="shared" si="9"/>
        <v>0</v>
      </c>
    </row>
    <row r="85" ht="13.2" spans="1:9">
      <c r="A85" s="83" t="s">
        <v>90</v>
      </c>
      <c r="B85" s="64"/>
      <c r="C85" s="61"/>
      <c r="D85" s="61"/>
      <c r="E85" s="61"/>
      <c r="F85" s="61"/>
      <c r="G85" s="61"/>
      <c r="H85" s="61"/>
      <c r="I85" s="64"/>
    </row>
    <row r="86" ht="13.2" spans="1:9">
      <c r="A86" s="81" t="s">
        <v>91</v>
      </c>
      <c r="B86" s="64">
        <v>0</v>
      </c>
      <c r="C86" s="61">
        <v>0</v>
      </c>
      <c r="D86" s="61">
        <v>0</v>
      </c>
      <c r="E86" s="61">
        <v>0</v>
      </c>
      <c r="F86" s="61">
        <v>0</v>
      </c>
      <c r="G86" s="61">
        <v>0</v>
      </c>
      <c r="H86" s="61">
        <v>0</v>
      </c>
      <c r="I86" s="64">
        <f t="shared" ref="I86:I94" si="10">B86-E86-G86+F86+H86-C86+D86</f>
        <v>0</v>
      </c>
    </row>
    <row r="87" ht="13.2" spans="1:9">
      <c r="A87" s="81" t="s">
        <v>92</v>
      </c>
      <c r="B87" s="64">
        <v>0</v>
      </c>
      <c r="C87" s="61">
        <v>0</v>
      </c>
      <c r="D87" s="61">
        <v>0</v>
      </c>
      <c r="E87" s="61">
        <v>0</v>
      </c>
      <c r="F87" s="61">
        <v>0</v>
      </c>
      <c r="G87" s="61">
        <v>0</v>
      </c>
      <c r="H87" s="61">
        <v>0</v>
      </c>
      <c r="I87" s="64">
        <f t="shared" si="10"/>
        <v>0</v>
      </c>
    </row>
    <row r="88" ht="13.2" spans="1:9">
      <c r="A88" s="81" t="s">
        <v>79</v>
      </c>
      <c r="B88" s="64">
        <v>0</v>
      </c>
      <c r="C88" s="61">
        <v>0</v>
      </c>
      <c r="D88" s="61">
        <v>0</v>
      </c>
      <c r="E88" s="61">
        <v>0</v>
      </c>
      <c r="F88" s="61">
        <v>0</v>
      </c>
      <c r="G88" s="61">
        <v>0</v>
      </c>
      <c r="H88" s="61">
        <v>0</v>
      </c>
      <c r="I88" s="64">
        <f t="shared" si="10"/>
        <v>0</v>
      </c>
    </row>
    <row r="89" ht="13.2" spans="1:9">
      <c r="A89" s="87" t="s">
        <v>80</v>
      </c>
      <c r="B89" s="64">
        <v>0</v>
      </c>
      <c r="C89" s="61">
        <v>0</v>
      </c>
      <c r="D89" s="61">
        <v>0</v>
      </c>
      <c r="E89" s="61">
        <v>0</v>
      </c>
      <c r="F89" s="61">
        <v>0</v>
      </c>
      <c r="G89" s="61">
        <v>0</v>
      </c>
      <c r="H89" s="61">
        <v>0</v>
      </c>
      <c r="I89" s="64">
        <f t="shared" si="10"/>
        <v>0</v>
      </c>
    </row>
    <row r="90" ht="13.2" spans="1:9">
      <c r="A90" s="81" t="s">
        <v>93</v>
      </c>
      <c r="B90" s="64">
        <v>0</v>
      </c>
      <c r="C90" s="64">
        <v>0</v>
      </c>
      <c r="D90" s="64">
        <v>0</v>
      </c>
      <c r="E90" s="64">
        <v>0</v>
      </c>
      <c r="F90" s="64">
        <v>0</v>
      </c>
      <c r="G90" s="64">
        <v>0</v>
      </c>
      <c r="H90" s="64">
        <v>0</v>
      </c>
      <c r="I90" s="64">
        <f t="shared" si="10"/>
        <v>0</v>
      </c>
    </row>
    <row r="91" ht="13.2" spans="1:9">
      <c r="A91" s="81" t="s">
        <v>94</v>
      </c>
      <c r="B91" s="64">
        <v>0</v>
      </c>
      <c r="C91" s="64">
        <v>0</v>
      </c>
      <c r="D91" s="64">
        <v>0</v>
      </c>
      <c r="E91" s="64">
        <v>0</v>
      </c>
      <c r="F91" s="64">
        <v>0</v>
      </c>
      <c r="G91" s="64">
        <v>0</v>
      </c>
      <c r="H91" s="64">
        <v>0</v>
      </c>
      <c r="I91" s="64">
        <f t="shared" si="10"/>
        <v>0</v>
      </c>
    </row>
    <row r="92" ht="13.2" spans="1:9">
      <c r="A92" s="81" t="s">
        <v>95</v>
      </c>
      <c r="B92" s="64">
        <v>0</v>
      </c>
      <c r="C92" s="64">
        <v>0</v>
      </c>
      <c r="D92" s="64">
        <v>0</v>
      </c>
      <c r="E92" s="64">
        <v>0</v>
      </c>
      <c r="F92" s="64">
        <v>0</v>
      </c>
      <c r="G92" s="64">
        <v>0</v>
      </c>
      <c r="H92" s="64">
        <v>0</v>
      </c>
      <c r="I92" s="64">
        <f t="shared" si="10"/>
        <v>0</v>
      </c>
    </row>
    <row r="93" ht="13.2" spans="1:9">
      <c r="A93" s="81" t="s">
        <v>96</v>
      </c>
      <c r="B93" s="64">
        <v>0</v>
      </c>
      <c r="C93" s="64">
        <v>0</v>
      </c>
      <c r="D93" s="64">
        <v>0</v>
      </c>
      <c r="E93" s="64">
        <v>0</v>
      </c>
      <c r="F93" s="64">
        <v>0</v>
      </c>
      <c r="G93" s="64">
        <v>0</v>
      </c>
      <c r="H93" s="64">
        <v>0</v>
      </c>
      <c r="I93" s="64">
        <f t="shared" si="10"/>
        <v>0</v>
      </c>
    </row>
    <row r="94" ht="13.2" spans="1:9">
      <c r="A94" s="81" t="s">
        <v>97</v>
      </c>
      <c r="B94" s="64">
        <v>0</v>
      </c>
      <c r="C94" s="64">
        <v>0</v>
      </c>
      <c r="D94" s="64">
        <v>0</v>
      </c>
      <c r="E94" s="64">
        <v>0</v>
      </c>
      <c r="F94" s="64">
        <v>0</v>
      </c>
      <c r="G94" s="64">
        <v>0</v>
      </c>
      <c r="H94" s="64">
        <v>0</v>
      </c>
      <c r="I94" s="64">
        <f t="shared" si="10"/>
        <v>0</v>
      </c>
    </row>
    <row r="95" ht="13.2" spans="1:9">
      <c r="A95" s="81" t="s">
        <v>98</v>
      </c>
      <c r="B95" s="64">
        <v>0</v>
      </c>
      <c r="C95" s="64">
        <f>合并TB损益!C126</f>
        <v>0</v>
      </c>
      <c r="D95" s="64">
        <f>合并TB损益!D126</f>
        <v>0</v>
      </c>
      <c r="E95" s="64">
        <f>合并TB损益!E126</f>
        <v>0</v>
      </c>
      <c r="F95" s="64">
        <f>合并TB损益!F126</f>
        <v>0</v>
      </c>
      <c r="G95" s="64">
        <f>合并TB损益!G126</f>
        <v>0</v>
      </c>
      <c r="H95" s="64">
        <f>合并TB损益!H126</f>
        <v>0</v>
      </c>
      <c r="I95" s="64">
        <f>合并TB损益!I126</f>
        <v>0</v>
      </c>
    </row>
    <row r="96" ht="13.2" spans="1:9">
      <c r="A96" s="81" t="s">
        <v>99</v>
      </c>
      <c r="B96" s="64">
        <f t="shared" ref="B96:I96" si="11">SUM(B86:B87,B90,-B91,B92:B95)</f>
        <v>0</v>
      </c>
      <c r="C96" s="64">
        <f t="shared" si="11"/>
        <v>0</v>
      </c>
      <c r="D96" s="64">
        <f t="shared" si="11"/>
        <v>0</v>
      </c>
      <c r="E96" s="64">
        <f t="shared" si="11"/>
        <v>0</v>
      </c>
      <c r="F96" s="64">
        <f t="shared" si="11"/>
        <v>0</v>
      </c>
      <c r="G96" s="64">
        <f t="shared" si="11"/>
        <v>0</v>
      </c>
      <c r="H96" s="64">
        <f t="shared" si="11"/>
        <v>0</v>
      </c>
      <c r="I96" s="64">
        <f t="shared" si="11"/>
        <v>0</v>
      </c>
    </row>
    <row r="97" ht="13.2" spans="1:9">
      <c r="A97" s="81" t="s">
        <v>100</v>
      </c>
      <c r="B97" s="64">
        <v>0</v>
      </c>
      <c r="C97" s="64">
        <v>0</v>
      </c>
      <c r="D97" s="64">
        <v>0</v>
      </c>
      <c r="E97" s="64">
        <v>0</v>
      </c>
      <c r="F97" s="64">
        <v>0</v>
      </c>
      <c r="G97" s="64">
        <v>0</v>
      </c>
      <c r="H97" s="64">
        <v>0</v>
      </c>
      <c r="I97" s="64">
        <f>B97-E97-G97+F97+H97-C97+D97</f>
        <v>0</v>
      </c>
    </row>
    <row r="98" ht="13.2" spans="1:9">
      <c r="A98" s="89" t="s">
        <v>101</v>
      </c>
      <c r="B98" s="63">
        <f t="shared" ref="B98:I98" si="12">SUM(B96:B97)</f>
        <v>0</v>
      </c>
      <c r="C98" s="63">
        <f t="shared" si="12"/>
        <v>0</v>
      </c>
      <c r="D98" s="63">
        <f t="shared" si="12"/>
        <v>0</v>
      </c>
      <c r="E98" s="63">
        <f t="shared" si="12"/>
        <v>0</v>
      </c>
      <c r="F98" s="63">
        <f t="shared" si="12"/>
        <v>0</v>
      </c>
      <c r="G98" s="63">
        <f t="shared" si="12"/>
        <v>0</v>
      </c>
      <c r="H98" s="63">
        <f t="shared" si="12"/>
        <v>0</v>
      </c>
      <c r="I98" s="63">
        <f t="shared" si="12"/>
        <v>0</v>
      </c>
    </row>
    <row r="99" ht="13.2" spans="1:9">
      <c r="A99" s="85" t="s">
        <v>102</v>
      </c>
      <c r="B99" s="86">
        <f t="shared" ref="B99:I99" si="13">SUM(B84,B98)</f>
        <v>0</v>
      </c>
      <c r="C99" s="86">
        <f t="shared" si="13"/>
        <v>0</v>
      </c>
      <c r="D99" s="86">
        <f t="shared" si="13"/>
        <v>0</v>
      </c>
      <c r="E99" s="86">
        <f t="shared" si="13"/>
        <v>0</v>
      </c>
      <c r="F99" s="86">
        <f t="shared" si="13"/>
        <v>0</v>
      </c>
      <c r="G99" s="86">
        <f t="shared" si="13"/>
        <v>0</v>
      </c>
      <c r="H99" s="86">
        <f t="shared" si="13"/>
        <v>0</v>
      </c>
      <c r="I99" s="86">
        <f t="shared" si="13"/>
        <v>0</v>
      </c>
    </row>
  </sheetData>
  <sheetProtection formatCells="0" formatColumns="0" formatRows="0" insertRows="0" autoFilter="0" pivotTables="0"/>
  <mergeCells count="6">
    <mergeCell ref="C4:D4"/>
    <mergeCell ref="E4:F4"/>
    <mergeCell ref="G4:H4"/>
    <mergeCell ref="A4:A5"/>
    <mergeCell ref="B4:B5"/>
    <mergeCell ref="I4:I5"/>
  </mergeCells>
  <conditionalFormatting sqref="A4:A5">
    <cfRule type="cellIs" dxfId="0" priority="1" stopIfTrue="1" operator="equal">
      <formula>"报表未调平!"</formula>
    </cfRule>
  </conditionalFormatting>
  <printOptions horizontalCentered="1" verticalCentered="1"/>
  <pageMargins left="0.551181102362205" right="0.354330708661417" top="0.433070866141732" bottom="0.236220472440945" header="0.236220472440945" footer="0.196850393700787"/>
  <pageSetup paperSize="9" scale="79" orientation="portrait"/>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indexed="20"/>
    <pageSetUpPr fitToPage="1"/>
  </sheetPr>
  <dimension ref="A1:M81"/>
  <sheetViews>
    <sheetView showZeros="0" tabSelected="1" zoomScale="90" zoomScaleNormal="90" workbookViewId="0">
      <pane xSplit="1" ySplit="5" topLeftCell="B6" activePane="bottomRight" state="frozen"/>
      <selection/>
      <selection pane="topRight"/>
      <selection pane="bottomLeft"/>
      <selection pane="bottomRight" activeCell="C10" sqref="C10"/>
    </sheetView>
  </sheetViews>
  <sheetFormatPr defaultColWidth="7" defaultRowHeight="11.4"/>
  <cols>
    <col min="1" max="1" width="39.5" style="3" customWidth="1"/>
    <col min="2" max="4" width="11.75" style="3" customWidth="1"/>
    <col min="5" max="5" width="11.5" style="3" customWidth="1"/>
    <col min="6" max="6" width="12.25" style="3" customWidth="1"/>
    <col min="7" max="7" width="11.5" style="3" customWidth="1"/>
    <col min="8" max="8" width="12.25" style="3" customWidth="1"/>
    <col min="9" max="9" width="11.5" style="3" customWidth="1"/>
    <col min="10" max="10" width="7.375" style="3" customWidth="1"/>
    <col min="11" max="11" width="12.25" style="3" customWidth="1"/>
    <col min="12" max="12" width="12.125" style="3" customWidth="1"/>
    <col min="13" max="16384" width="7" style="3"/>
  </cols>
  <sheetData>
    <row r="1" s="1" customFormat="1" ht="24" customHeight="1" spans="1:13">
      <c r="A1" s="46" t="s">
        <v>103</v>
      </c>
      <c r="B1" s="47"/>
      <c r="C1" s="47"/>
      <c r="D1" s="47"/>
      <c r="E1" s="47"/>
      <c r="F1" s="47"/>
      <c r="G1" s="47"/>
      <c r="H1" s="47"/>
      <c r="I1" s="47"/>
      <c r="J1" s="48"/>
      <c r="K1" s="3"/>
      <c r="L1" s="3"/>
      <c r="M1" s="3"/>
    </row>
    <row r="2" s="1" customFormat="1" ht="17.25" customHeight="1" spans="1:13">
      <c r="A2" s="9" t="s">
        <v>1</v>
      </c>
      <c r="D2" s="8" t="s">
        <v>2</v>
      </c>
      <c r="F2" s="49"/>
      <c r="G2" s="9" t="s">
        <v>3</v>
      </c>
      <c r="I2" s="9"/>
      <c r="K2" s="3"/>
      <c r="L2" s="3"/>
      <c r="M2" s="3"/>
    </row>
    <row r="3" s="1" customFormat="1" ht="17.25" customHeight="1" spans="1:13">
      <c r="A3" s="9" t="s">
        <v>104</v>
      </c>
      <c r="D3" s="50" t="str">
        <f ca="1">CONCATENATE("日期：",TEXT(NOW(),"yyyy.mm.dd"))</f>
        <v>日期：2026.05.03</v>
      </c>
      <c r="F3" s="9"/>
      <c r="G3" s="9" t="str">
        <f>合并TB资产负债!F3</f>
        <v>日期：</v>
      </c>
      <c r="I3" s="9"/>
      <c r="K3" s="3"/>
      <c r="L3" s="3"/>
      <c r="M3" s="3"/>
    </row>
    <row r="4" s="1" customFormat="1" ht="13.2" spans="1:13">
      <c r="A4" s="51" t="s">
        <v>8</v>
      </c>
      <c r="B4" s="12" t="s">
        <v>9</v>
      </c>
      <c r="C4" s="52" t="s">
        <v>10</v>
      </c>
      <c r="D4" s="52"/>
      <c r="E4" s="52" t="s">
        <v>11</v>
      </c>
      <c r="F4" s="52"/>
      <c r="G4" s="52" t="s">
        <v>12</v>
      </c>
      <c r="H4" s="52"/>
      <c r="I4" s="14" t="s">
        <v>13</v>
      </c>
      <c r="K4" s="3"/>
      <c r="L4" s="3"/>
      <c r="M4" s="3"/>
    </row>
    <row r="5" s="1" customFormat="1" ht="14.25" customHeight="1" spans="1:13">
      <c r="A5" s="53"/>
      <c r="B5" s="16"/>
      <c r="C5" s="54" t="s">
        <v>14</v>
      </c>
      <c r="D5" s="54" t="s">
        <v>15</v>
      </c>
      <c r="E5" s="54" t="s">
        <v>14</v>
      </c>
      <c r="F5" s="54" t="s">
        <v>15</v>
      </c>
      <c r="G5" s="54" t="s">
        <v>14</v>
      </c>
      <c r="H5" s="54" t="s">
        <v>15</v>
      </c>
      <c r="I5" s="18"/>
      <c r="K5" s="3"/>
      <c r="L5" s="3"/>
      <c r="M5" s="3"/>
    </row>
    <row r="6" ht="15" customHeight="1" spans="1:13">
      <c r="A6" s="55" t="s">
        <v>105</v>
      </c>
      <c r="B6" s="56">
        <v>0</v>
      </c>
      <c r="C6" s="57">
        <v>0</v>
      </c>
      <c r="D6" s="57">
        <v>0</v>
      </c>
      <c r="E6" s="57">
        <v>0</v>
      </c>
      <c r="F6" s="57">
        <v>0</v>
      </c>
      <c r="G6" s="57">
        <v>0</v>
      </c>
      <c r="H6" s="57">
        <v>0</v>
      </c>
      <c r="I6" s="58">
        <f t="shared" ref="I6:I8" si="0">B6-E6-G6+F6+H6-C6+D6</f>
        <v>0</v>
      </c>
    </row>
    <row r="7" ht="15" customHeight="1" spans="1:13">
      <c r="A7" s="59" t="s">
        <v>106</v>
      </c>
      <c r="B7" s="60">
        <v>0</v>
      </c>
      <c r="C7" s="58">
        <v>0</v>
      </c>
      <c r="D7" s="58">
        <v>0</v>
      </c>
      <c r="E7" s="58">
        <v>0</v>
      </c>
      <c r="F7" s="58">
        <v>0</v>
      </c>
      <c r="G7" s="58">
        <v>0</v>
      </c>
      <c r="H7" s="58">
        <v>0</v>
      </c>
      <c r="I7" s="58">
        <f t="shared" si="0"/>
        <v>0</v>
      </c>
    </row>
    <row r="8" ht="15" customHeight="1" spans="1:13">
      <c r="A8" s="59" t="s">
        <v>107</v>
      </c>
      <c r="B8" s="60">
        <v>0</v>
      </c>
      <c r="C8" s="58">
        <v>0</v>
      </c>
      <c r="D8" s="58">
        <v>0</v>
      </c>
      <c r="E8" s="58">
        <v>0</v>
      </c>
      <c r="F8" s="58">
        <v>0</v>
      </c>
      <c r="G8" s="58">
        <v>0</v>
      </c>
      <c r="H8" s="58">
        <v>0</v>
      </c>
      <c r="I8" s="58">
        <f t="shared" si="0"/>
        <v>0</v>
      </c>
    </row>
    <row r="9" ht="15" customHeight="1" spans="1:13">
      <c r="A9" s="59" t="s">
        <v>108</v>
      </c>
      <c r="B9" s="60">
        <v>0</v>
      </c>
      <c r="C9" s="58">
        <v>0</v>
      </c>
      <c r="D9" s="58">
        <v>0</v>
      </c>
      <c r="E9" s="58">
        <v>0</v>
      </c>
      <c r="F9" s="58">
        <v>0</v>
      </c>
      <c r="G9" s="58">
        <v>0</v>
      </c>
      <c r="H9" s="58">
        <v>0</v>
      </c>
      <c r="I9" s="58">
        <f t="shared" ref="I9:I18" si="1">B9+E9+G9-F9-H9+C9-D9</f>
        <v>0</v>
      </c>
    </row>
    <row r="10" ht="15" customHeight="1" spans="1:13">
      <c r="A10" s="59" t="s">
        <v>109</v>
      </c>
      <c r="B10" s="60">
        <v>0</v>
      </c>
      <c r="C10" s="58">
        <v>0</v>
      </c>
      <c r="D10" s="58">
        <v>0</v>
      </c>
      <c r="E10" s="58">
        <v>0</v>
      </c>
      <c r="F10" s="58">
        <v>0</v>
      </c>
      <c r="G10" s="58">
        <v>0</v>
      </c>
      <c r="H10" s="58">
        <v>0</v>
      </c>
      <c r="I10" s="58">
        <f t="shared" si="1"/>
        <v>0</v>
      </c>
    </row>
    <row r="11" ht="15" customHeight="1" spans="1:13">
      <c r="A11" s="59" t="s">
        <v>110</v>
      </c>
      <c r="B11" s="60">
        <v>0</v>
      </c>
      <c r="C11" s="58">
        <v>0</v>
      </c>
      <c r="D11" s="58">
        <v>0</v>
      </c>
      <c r="E11" s="58">
        <v>0</v>
      </c>
      <c r="F11" s="58">
        <v>0</v>
      </c>
      <c r="G11" s="58">
        <v>0</v>
      </c>
      <c r="H11" s="58">
        <v>0</v>
      </c>
      <c r="I11" s="58">
        <f t="shared" si="1"/>
        <v>0</v>
      </c>
    </row>
    <row r="12" ht="15" customHeight="1" spans="1:13">
      <c r="A12" s="59" t="s">
        <v>111</v>
      </c>
      <c r="B12" s="60">
        <v>0</v>
      </c>
      <c r="C12" s="58">
        <v>0</v>
      </c>
      <c r="D12" s="58">
        <v>0</v>
      </c>
      <c r="E12" s="58">
        <v>0</v>
      </c>
      <c r="F12" s="58">
        <v>0</v>
      </c>
      <c r="G12" s="58">
        <v>0</v>
      </c>
      <c r="H12" s="58">
        <v>0</v>
      </c>
      <c r="I12" s="58">
        <f t="shared" si="1"/>
        <v>0</v>
      </c>
    </row>
    <row r="13" ht="15" customHeight="1" spans="1:13">
      <c r="A13" s="59" t="s">
        <v>112</v>
      </c>
      <c r="B13" s="60">
        <v>0</v>
      </c>
      <c r="C13" s="58">
        <v>0</v>
      </c>
      <c r="D13" s="58">
        <v>0</v>
      </c>
      <c r="E13" s="58">
        <v>0</v>
      </c>
      <c r="F13" s="58">
        <v>0</v>
      </c>
      <c r="G13" s="58">
        <v>0</v>
      </c>
      <c r="H13" s="58">
        <v>0</v>
      </c>
      <c r="I13" s="58">
        <f t="shared" si="1"/>
        <v>0</v>
      </c>
    </row>
    <row r="14" ht="15" customHeight="1" spans="1:13">
      <c r="A14" s="59" t="s">
        <v>113</v>
      </c>
      <c r="B14" s="60">
        <v>0</v>
      </c>
      <c r="C14" s="58">
        <v>0</v>
      </c>
      <c r="D14" s="58">
        <v>0</v>
      </c>
      <c r="E14" s="58">
        <v>0</v>
      </c>
      <c r="F14" s="58">
        <v>0</v>
      </c>
      <c r="G14" s="58">
        <v>0</v>
      </c>
      <c r="H14" s="58">
        <v>0</v>
      </c>
      <c r="I14" s="58">
        <f t="shared" si="1"/>
        <v>0</v>
      </c>
    </row>
    <row r="15" ht="15" customHeight="1" spans="1:13">
      <c r="A15" s="59" t="s">
        <v>114</v>
      </c>
      <c r="B15" s="60">
        <v>0</v>
      </c>
      <c r="C15" s="58">
        <v>0</v>
      </c>
      <c r="D15" s="58">
        <v>0</v>
      </c>
      <c r="E15" s="58">
        <v>0</v>
      </c>
      <c r="F15" s="58">
        <v>0</v>
      </c>
      <c r="G15" s="58">
        <v>0</v>
      </c>
      <c r="H15" s="58">
        <v>0</v>
      </c>
      <c r="I15" s="61">
        <f t="shared" si="1"/>
        <v>0</v>
      </c>
    </row>
    <row r="16" ht="15" customHeight="1" spans="1:13">
      <c r="A16" s="59" t="s">
        <v>115</v>
      </c>
      <c r="B16" s="60">
        <v>0</v>
      </c>
      <c r="C16" s="58">
        <v>0</v>
      </c>
      <c r="D16" s="58">
        <v>0</v>
      </c>
      <c r="E16" s="58">
        <v>0</v>
      </c>
      <c r="F16" s="58">
        <v>0</v>
      </c>
      <c r="G16" s="58">
        <v>0</v>
      </c>
      <c r="H16" s="58">
        <v>0</v>
      </c>
      <c r="I16" s="58">
        <f t="shared" si="1"/>
        <v>0</v>
      </c>
    </row>
    <row r="17" ht="15" customHeight="1" spans="1:12">
      <c r="A17" s="59" t="s">
        <v>116</v>
      </c>
      <c r="B17" s="60">
        <v>0</v>
      </c>
      <c r="C17" s="58">
        <v>0</v>
      </c>
      <c r="D17" s="58">
        <v>0</v>
      </c>
      <c r="E17" s="58">
        <v>0</v>
      </c>
      <c r="F17" s="58">
        <v>0</v>
      </c>
      <c r="G17" s="58">
        <v>0</v>
      </c>
      <c r="H17" s="58">
        <v>0</v>
      </c>
      <c r="I17" s="61">
        <f t="shared" si="1"/>
        <v>0</v>
      </c>
    </row>
    <row r="18" ht="15" customHeight="1" spans="1:12">
      <c r="A18" s="59" t="s">
        <v>117</v>
      </c>
      <c r="B18" s="60">
        <v>0</v>
      </c>
      <c r="C18" s="58">
        <v>0</v>
      </c>
      <c r="D18" s="58">
        <v>0</v>
      </c>
      <c r="E18" s="58">
        <v>0</v>
      </c>
      <c r="F18" s="58">
        <v>0</v>
      </c>
      <c r="G18" s="58">
        <v>0</v>
      </c>
      <c r="H18" s="58">
        <v>0</v>
      </c>
      <c r="I18" s="61">
        <f t="shared" si="1"/>
        <v>0</v>
      </c>
    </row>
    <row r="19" ht="15" customHeight="1" spans="1:12">
      <c r="A19" s="59" t="s">
        <v>118</v>
      </c>
      <c r="B19" s="60">
        <v>0</v>
      </c>
      <c r="C19" s="58">
        <v>0</v>
      </c>
      <c r="D19" s="58">
        <v>0</v>
      </c>
      <c r="E19" s="58">
        <v>0</v>
      </c>
      <c r="F19" s="58">
        <v>0</v>
      </c>
      <c r="G19" s="58">
        <v>0</v>
      </c>
      <c r="H19" s="58">
        <v>0</v>
      </c>
      <c r="I19" s="58">
        <f t="shared" ref="I19:I27" si="2">B19-E19-G19+F19+H19-C19+D19</f>
        <v>0</v>
      </c>
    </row>
    <row r="20" ht="15" customHeight="1" spans="1:12">
      <c r="A20" s="59" t="s">
        <v>119</v>
      </c>
      <c r="B20" s="60">
        <v>0</v>
      </c>
      <c r="C20" s="58">
        <v>0</v>
      </c>
      <c r="D20" s="58">
        <v>0</v>
      </c>
      <c r="E20" s="58">
        <v>0</v>
      </c>
      <c r="F20" s="58">
        <v>0</v>
      </c>
      <c r="G20" s="58">
        <v>0</v>
      </c>
      <c r="H20" s="58">
        <v>0</v>
      </c>
      <c r="I20" s="58">
        <f t="shared" si="2"/>
        <v>0</v>
      </c>
    </row>
    <row r="21" ht="15" customHeight="1" spans="1:12">
      <c r="A21" s="59" t="s">
        <v>120</v>
      </c>
      <c r="B21" s="60">
        <v>0</v>
      </c>
      <c r="C21" s="58">
        <v>0</v>
      </c>
      <c r="D21" s="58">
        <v>0</v>
      </c>
      <c r="E21" s="58">
        <v>0</v>
      </c>
      <c r="F21" s="58">
        <v>0</v>
      </c>
      <c r="G21" s="58">
        <v>0</v>
      </c>
      <c r="H21" s="58">
        <v>0</v>
      </c>
      <c r="I21" s="58">
        <f t="shared" si="2"/>
        <v>0</v>
      </c>
    </row>
    <row r="22" ht="15" customHeight="1" spans="1:12">
      <c r="A22" s="59" t="s">
        <v>121</v>
      </c>
      <c r="B22" s="60">
        <v>0</v>
      </c>
      <c r="C22" s="58">
        <v>0</v>
      </c>
      <c r="D22" s="58">
        <v>0</v>
      </c>
      <c r="E22" s="58">
        <v>0</v>
      </c>
      <c r="F22" s="58">
        <v>0</v>
      </c>
      <c r="G22" s="58">
        <v>0</v>
      </c>
      <c r="H22" s="58">
        <v>0</v>
      </c>
      <c r="I22" s="58">
        <f t="shared" si="2"/>
        <v>0</v>
      </c>
    </row>
    <row r="23" ht="15" customHeight="1" spans="1:12">
      <c r="A23" s="59" t="s">
        <v>122</v>
      </c>
      <c r="B23" s="60">
        <v>0</v>
      </c>
      <c r="C23" s="58">
        <v>0</v>
      </c>
      <c r="D23" s="58">
        <v>0</v>
      </c>
      <c r="E23" s="58">
        <v>0</v>
      </c>
      <c r="F23" s="58">
        <v>0</v>
      </c>
      <c r="G23" s="58">
        <v>0</v>
      </c>
      <c r="H23" s="58">
        <v>0</v>
      </c>
      <c r="I23" s="58">
        <f t="shared" si="2"/>
        <v>0</v>
      </c>
    </row>
    <row r="24" ht="15" customHeight="1" spans="1:12">
      <c r="A24" s="59" t="s">
        <v>123</v>
      </c>
      <c r="B24" s="60">
        <v>0</v>
      </c>
      <c r="C24" s="58">
        <v>0</v>
      </c>
      <c r="D24" s="58">
        <v>0</v>
      </c>
      <c r="E24" s="58">
        <v>0</v>
      </c>
      <c r="F24" s="58">
        <v>0</v>
      </c>
      <c r="G24" s="58">
        <v>0</v>
      </c>
      <c r="H24" s="58">
        <v>0</v>
      </c>
      <c r="I24" s="58">
        <f t="shared" si="2"/>
        <v>0</v>
      </c>
    </row>
    <row r="25" ht="15" customHeight="1" spans="1:12">
      <c r="A25" s="59" t="s">
        <v>124</v>
      </c>
      <c r="B25" s="60">
        <v>0</v>
      </c>
      <c r="C25" s="58">
        <v>0</v>
      </c>
      <c r="D25" s="58">
        <v>0</v>
      </c>
      <c r="E25" s="58">
        <v>0</v>
      </c>
      <c r="F25" s="58">
        <v>0</v>
      </c>
      <c r="G25" s="58">
        <v>0</v>
      </c>
      <c r="H25" s="58">
        <v>0</v>
      </c>
      <c r="I25" s="58">
        <f t="shared" si="2"/>
        <v>0</v>
      </c>
    </row>
    <row r="26" ht="15" customHeight="1" spans="1:12">
      <c r="A26" s="59" t="s">
        <v>125</v>
      </c>
      <c r="B26" s="60">
        <v>0</v>
      </c>
      <c r="C26" s="58">
        <v>0</v>
      </c>
      <c r="D26" s="58">
        <v>0</v>
      </c>
      <c r="E26" s="58">
        <v>0</v>
      </c>
      <c r="F26" s="58">
        <v>0</v>
      </c>
      <c r="G26" s="58">
        <v>0</v>
      </c>
      <c r="H26" s="58">
        <v>0</v>
      </c>
      <c r="I26" s="58">
        <f t="shared" si="2"/>
        <v>0</v>
      </c>
    </row>
    <row r="27" ht="15" customHeight="1" spans="1:12">
      <c r="A27" s="59" t="s">
        <v>126</v>
      </c>
      <c r="B27" s="60">
        <v>0</v>
      </c>
      <c r="C27" s="58">
        <v>0</v>
      </c>
      <c r="D27" s="58">
        <v>0</v>
      </c>
      <c r="E27" s="58">
        <v>0</v>
      </c>
      <c r="F27" s="58">
        <v>0</v>
      </c>
      <c r="G27" s="58">
        <v>0</v>
      </c>
      <c r="H27" s="58">
        <v>0</v>
      </c>
      <c r="I27" s="58">
        <f t="shared" si="2"/>
        <v>0</v>
      </c>
    </row>
    <row r="28" s="2" customFormat="1" ht="15" customHeight="1" spans="1:12">
      <c r="A28" s="55" t="s">
        <v>127</v>
      </c>
      <c r="B28" s="56">
        <f t="shared" ref="B28:J28" si="3">SUM(B6)-SUM(B9,B12:B16)+SUM(B19:B20)+SUM(B23:B27)</f>
        <v>0</v>
      </c>
      <c r="C28" s="56">
        <f t="shared" si="3"/>
        <v>0</v>
      </c>
      <c r="D28" s="56">
        <f t="shared" si="3"/>
        <v>0</v>
      </c>
      <c r="E28" s="56">
        <f t="shared" si="3"/>
        <v>0</v>
      </c>
      <c r="F28" s="56">
        <f t="shared" si="3"/>
        <v>0</v>
      </c>
      <c r="G28" s="56">
        <f t="shared" si="3"/>
        <v>0</v>
      </c>
      <c r="H28" s="56">
        <f t="shared" si="3"/>
        <v>0</v>
      </c>
      <c r="I28" s="56">
        <f t="shared" si="3"/>
        <v>0</v>
      </c>
    </row>
    <row r="29" ht="15" customHeight="1" spans="1:12">
      <c r="A29" s="59" t="s">
        <v>128</v>
      </c>
      <c r="B29" s="60">
        <v>0</v>
      </c>
      <c r="C29" s="58">
        <v>0</v>
      </c>
      <c r="D29" s="58">
        <v>0</v>
      </c>
      <c r="E29" s="61">
        <v>0</v>
      </c>
      <c r="F29" s="61">
        <v>0</v>
      </c>
      <c r="G29" s="61">
        <v>0</v>
      </c>
      <c r="H29" s="61">
        <v>0</v>
      </c>
      <c r="I29" s="61">
        <f>B29-E29-G29+F29+H29-C29+D29</f>
        <v>0</v>
      </c>
      <c r="L29" s="62"/>
    </row>
    <row r="30" ht="15" customHeight="1" spans="1:12">
      <c r="A30" s="59" t="s">
        <v>129</v>
      </c>
      <c r="B30" s="60">
        <v>0</v>
      </c>
      <c r="C30" s="58">
        <v>0</v>
      </c>
      <c r="D30" s="58">
        <v>0</v>
      </c>
      <c r="E30" s="58">
        <v>0</v>
      </c>
      <c r="F30" s="58">
        <v>0</v>
      </c>
      <c r="G30" s="58">
        <v>0</v>
      </c>
      <c r="H30" s="58">
        <v>0</v>
      </c>
      <c r="I30" s="58">
        <f t="shared" ref="I30:I33" si="4">B30+E30+G30-F30-H30+C30-D30</f>
        <v>0</v>
      </c>
    </row>
    <row r="31" s="2" customFormat="1" ht="15" customHeight="1" spans="1:12">
      <c r="A31" s="55" t="s">
        <v>130</v>
      </c>
      <c r="B31" s="56">
        <f t="shared" ref="B31:J31" si="5">SUM(B28)+SUM(B29)-SUM(B30)</f>
        <v>0</v>
      </c>
      <c r="C31" s="57">
        <f t="shared" si="5"/>
        <v>0</v>
      </c>
      <c r="D31" s="57">
        <f t="shared" si="5"/>
        <v>0</v>
      </c>
      <c r="E31" s="57">
        <f t="shared" si="5"/>
        <v>0</v>
      </c>
      <c r="F31" s="57">
        <f t="shared" si="5"/>
        <v>0</v>
      </c>
      <c r="G31" s="57">
        <f t="shared" si="5"/>
        <v>0</v>
      </c>
      <c r="H31" s="57">
        <f t="shared" si="5"/>
        <v>0</v>
      </c>
      <c r="I31" s="57">
        <f t="shared" si="5"/>
        <v>0</v>
      </c>
    </row>
    <row r="32" ht="15" customHeight="1" spans="1:12">
      <c r="A32" s="59" t="s">
        <v>131</v>
      </c>
      <c r="B32" s="60">
        <v>0</v>
      </c>
      <c r="C32" s="58">
        <v>0</v>
      </c>
      <c r="D32" s="58">
        <v>0</v>
      </c>
      <c r="E32" s="58">
        <v>0</v>
      </c>
      <c r="F32" s="58">
        <v>0</v>
      </c>
      <c r="G32" s="58">
        <v>0</v>
      </c>
      <c r="H32" s="58">
        <v>0</v>
      </c>
      <c r="I32" s="58">
        <f t="shared" si="4"/>
        <v>0</v>
      </c>
    </row>
    <row r="33" ht="15" customHeight="1" spans="1:9">
      <c r="A33" s="59">
        <v>0</v>
      </c>
      <c r="B33" s="60">
        <v>0</v>
      </c>
      <c r="C33" s="58">
        <v>0</v>
      </c>
      <c r="D33" s="58">
        <v>0</v>
      </c>
      <c r="E33" s="58">
        <v>0</v>
      </c>
      <c r="F33" s="58">
        <v>0</v>
      </c>
      <c r="G33" s="58">
        <v>0</v>
      </c>
      <c r="H33" s="58">
        <v>0</v>
      </c>
      <c r="I33" s="58">
        <f t="shared" si="4"/>
        <v>0</v>
      </c>
    </row>
    <row r="34" s="2" customFormat="1" ht="15" customHeight="1" spans="1:9">
      <c r="A34" s="55" t="s">
        <v>132</v>
      </c>
      <c r="B34" s="56">
        <f t="shared" ref="B34:J34" si="6">B31-B32-B33</f>
        <v>0</v>
      </c>
      <c r="C34" s="57">
        <f t="shared" si="6"/>
        <v>0</v>
      </c>
      <c r="D34" s="57">
        <f t="shared" si="6"/>
        <v>0</v>
      </c>
      <c r="E34" s="57">
        <f t="shared" si="6"/>
        <v>0</v>
      </c>
      <c r="F34" s="57">
        <f t="shared" si="6"/>
        <v>0</v>
      </c>
      <c r="G34" s="57">
        <f t="shared" si="6"/>
        <v>0</v>
      </c>
      <c r="H34" s="57">
        <f t="shared" si="6"/>
        <v>0</v>
      </c>
      <c r="I34" s="57">
        <f t="shared" si="6"/>
        <v>0</v>
      </c>
    </row>
    <row r="35" ht="15" customHeight="1" spans="1:9">
      <c r="A35" s="59" t="s">
        <v>133</v>
      </c>
      <c r="B35" s="60"/>
      <c r="C35" s="58"/>
      <c r="D35" s="58"/>
      <c r="E35" s="58"/>
      <c r="F35" s="58"/>
      <c r="G35" s="58"/>
      <c r="H35" s="58"/>
      <c r="I35" s="58"/>
    </row>
    <row r="36" ht="15" customHeight="1" spans="1:9">
      <c r="A36" s="59" t="s">
        <v>134</v>
      </c>
      <c r="B36" s="60">
        <v>0</v>
      </c>
      <c r="C36" s="58"/>
      <c r="D36" s="58"/>
      <c r="E36" s="58"/>
      <c r="F36" s="58"/>
      <c r="G36" s="58"/>
      <c r="H36" s="58"/>
      <c r="I36" s="58">
        <f t="shared" ref="I36:I64" si="7">B36-E36-G36+F36+H36-C36+D36</f>
        <v>0</v>
      </c>
    </row>
    <row r="37" ht="15" customHeight="1" spans="1:9">
      <c r="A37" s="59" t="s">
        <v>135</v>
      </c>
      <c r="B37" s="60">
        <v>0</v>
      </c>
      <c r="C37" s="58"/>
      <c r="D37" s="58"/>
      <c r="E37" s="58"/>
      <c r="F37" s="58"/>
      <c r="G37" s="58"/>
      <c r="H37" s="58"/>
      <c r="I37" s="58">
        <f t="shared" si="7"/>
        <v>0</v>
      </c>
    </row>
    <row r="38" ht="15" customHeight="1" spans="1:9">
      <c r="A38" s="59" t="s">
        <v>136</v>
      </c>
      <c r="B38" s="60"/>
      <c r="C38" s="58"/>
      <c r="D38" s="58"/>
      <c r="E38" s="58"/>
      <c r="F38" s="58"/>
      <c r="G38" s="58"/>
      <c r="H38" s="58"/>
      <c r="I38" s="58"/>
    </row>
    <row r="39" ht="15" customHeight="1" spans="1:9">
      <c r="A39" s="59" t="s">
        <v>137</v>
      </c>
      <c r="B39" s="60">
        <v>0</v>
      </c>
      <c r="C39" s="58">
        <f t="shared" ref="C39:I39" si="8">C34-C40</f>
        <v>0</v>
      </c>
      <c r="D39" s="58">
        <f t="shared" si="8"/>
        <v>0</v>
      </c>
      <c r="E39" s="58">
        <f t="shared" si="8"/>
        <v>0</v>
      </c>
      <c r="F39" s="58">
        <f t="shared" si="8"/>
        <v>0</v>
      </c>
      <c r="G39" s="58">
        <f t="shared" si="8"/>
        <v>0</v>
      </c>
      <c r="H39" s="58">
        <f t="shared" si="8"/>
        <v>0</v>
      </c>
      <c r="I39" s="58">
        <f t="shared" si="8"/>
        <v>0</v>
      </c>
    </row>
    <row r="40" s="2" customFormat="1" ht="15" customHeight="1" spans="1:9">
      <c r="A40" s="59" t="s">
        <v>138</v>
      </c>
      <c r="B40" s="60">
        <v>0</v>
      </c>
      <c r="C40" s="58">
        <v>0</v>
      </c>
      <c r="D40" s="58">
        <v>0</v>
      </c>
      <c r="E40" s="58">
        <v>0</v>
      </c>
      <c r="F40" s="58">
        <v>0</v>
      </c>
      <c r="G40" s="58">
        <v>0</v>
      </c>
      <c r="H40" s="58">
        <v>0</v>
      </c>
      <c r="I40" s="58">
        <f>B40+E40+G40-F40-H40+C40-D40</f>
        <v>0</v>
      </c>
    </row>
    <row r="41" ht="15" customHeight="1" spans="1:9">
      <c r="A41" s="55" t="s">
        <v>139</v>
      </c>
      <c r="B41" s="63">
        <v>0</v>
      </c>
      <c r="C41" s="57">
        <f t="shared" ref="C41:H41" si="9">C42+C61</f>
        <v>0</v>
      </c>
      <c r="D41" s="57">
        <f t="shared" si="9"/>
        <v>0</v>
      </c>
      <c r="E41" s="57">
        <f t="shared" si="9"/>
        <v>0</v>
      </c>
      <c r="F41" s="57">
        <f t="shared" si="9"/>
        <v>0</v>
      </c>
      <c r="G41" s="57">
        <f t="shared" si="9"/>
        <v>0</v>
      </c>
      <c r="H41" s="57">
        <f t="shared" si="9"/>
        <v>0</v>
      </c>
      <c r="I41" s="57">
        <f t="shared" si="7"/>
        <v>0</v>
      </c>
    </row>
    <row r="42" ht="15" customHeight="1" spans="1:9">
      <c r="A42" s="59" t="s">
        <v>140</v>
      </c>
      <c r="B42" s="64">
        <f>B35+B41</f>
        <v>0</v>
      </c>
      <c r="C42" s="58">
        <f t="shared" ref="C42:H42" si="10">C43+C49</f>
        <v>0</v>
      </c>
      <c r="D42" s="58">
        <f t="shared" si="10"/>
        <v>0</v>
      </c>
      <c r="E42" s="58">
        <f t="shared" si="10"/>
        <v>0</v>
      </c>
      <c r="F42" s="58">
        <f t="shared" si="10"/>
        <v>0</v>
      </c>
      <c r="G42" s="58">
        <f t="shared" si="10"/>
        <v>0</v>
      </c>
      <c r="H42" s="58">
        <f t="shared" si="10"/>
        <v>0</v>
      </c>
      <c r="I42" s="58">
        <f t="shared" si="7"/>
        <v>0</v>
      </c>
    </row>
    <row r="43" ht="15" customHeight="1" spans="1:9">
      <c r="A43" s="59" t="s">
        <v>141</v>
      </c>
      <c r="B43" s="64">
        <v>0</v>
      </c>
      <c r="C43" s="58">
        <f t="shared" ref="C43:H43" si="11">SUM(C44:C48)</f>
        <v>0</v>
      </c>
      <c r="D43" s="58">
        <f t="shared" si="11"/>
        <v>0</v>
      </c>
      <c r="E43" s="58">
        <f t="shared" si="11"/>
        <v>0</v>
      </c>
      <c r="F43" s="58">
        <f t="shared" si="11"/>
        <v>0</v>
      </c>
      <c r="G43" s="58">
        <f t="shared" si="11"/>
        <v>0</v>
      </c>
      <c r="H43" s="58">
        <f t="shared" si="11"/>
        <v>0</v>
      </c>
      <c r="I43" s="58">
        <f t="shared" si="7"/>
        <v>0</v>
      </c>
    </row>
    <row r="44" ht="15" customHeight="1" spans="1:9">
      <c r="A44" s="65" t="s">
        <v>142</v>
      </c>
      <c r="B44" s="64">
        <v>0</v>
      </c>
      <c r="C44" s="58">
        <v>0</v>
      </c>
      <c r="D44" s="58">
        <v>0</v>
      </c>
      <c r="E44" s="61">
        <v>0</v>
      </c>
      <c r="F44" s="61">
        <v>0</v>
      </c>
      <c r="G44" s="61">
        <v>0</v>
      </c>
      <c r="H44" s="61">
        <v>0</v>
      </c>
      <c r="I44" s="58">
        <f t="shared" si="7"/>
        <v>0</v>
      </c>
    </row>
    <row r="45" ht="15" customHeight="1" spans="1:9">
      <c r="A45" s="65" t="s">
        <v>143</v>
      </c>
      <c r="B45" s="64">
        <v>0</v>
      </c>
      <c r="C45" s="58">
        <v>0</v>
      </c>
      <c r="D45" s="58">
        <v>0</v>
      </c>
      <c r="E45" s="61">
        <v>0</v>
      </c>
      <c r="F45" s="61">
        <v>0</v>
      </c>
      <c r="G45" s="61">
        <v>0</v>
      </c>
      <c r="H45" s="61">
        <v>0</v>
      </c>
      <c r="I45" s="58">
        <f t="shared" si="7"/>
        <v>0</v>
      </c>
    </row>
    <row r="46" ht="15" customHeight="1" spans="1:9">
      <c r="A46" s="65" t="s">
        <v>144</v>
      </c>
      <c r="B46" s="64">
        <v>0</v>
      </c>
      <c r="C46" s="58">
        <v>0</v>
      </c>
      <c r="D46" s="58">
        <v>0</v>
      </c>
      <c r="E46" s="61">
        <v>0</v>
      </c>
      <c r="F46" s="61">
        <v>0</v>
      </c>
      <c r="G46" s="61">
        <v>0</v>
      </c>
      <c r="H46" s="61">
        <v>0</v>
      </c>
      <c r="I46" s="58">
        <f t="shared" si="7"/>
        <v>0</v>
      </c>
    </row>
    <row r="47" ht="15" customHeight="1" spans="1:9">
      <c r="A47" s="65" t="s">
        <v>145</v>
      </c>
      <c r="B47" s="64">
        <v>0</v>
      </c>
      <c r="C47" s="58">
        <v>0</v>
      </c>
      <c r="D47" s="58">
        <v>0</v>
      </c>
      <c r="E47" s="61">
        <v>0</v>
      </c>
      <c r="F47" s="61">
        <v>0</v>
      </c>
      <c r="G47" s="61">
        <v>0</v>
      </c>
      <c r="H47" s="61">
        <v>0</v>
      </c>
      <c r="I47" s="58">
        <f t="shared" si="7"/>
        <v>0</v>
      </c>
    </row>
    <row r="48" ht="15" customHeight="1" spans="1:9">
      <c r="A48" s="65" t="s">
        <v>146</v>
      </c>
      <c r="B48" s="64">
        <v>0</v>
      </c>
      <c r="C48" s="58">
        <v>0</v>
      </c>
      <c r="D48" s="58">
        <v>0</v>
      </c>
      <c r="E48" s="61">
        <v>0</v>
      </c>
      <c r="F48" s="61">
        <v>0</v>
      </c>
      <c r="G48" s="61">
        <v>0</v>
      </c>
      <c r="H48" s="61">
        <v>0</v>
      </c>
      <c r="I48" s="58">
        <f t="shared" si="7"/>
        <v>0</v>
      </c>
    </row>
    <row r="49" ht="15" customHeight="1" spans="1:9">
      <c r="A49" s="59" t="s">
        <v>147</v>
      </c>
      <c r="B49" s="64">
        <v>0</v>
      </c>
      <c r="C49" s="58">
        <f t="shared" ref="C49:H49" si="12">SUM(C50:C60)</f>
        <v>0</v>
      </c>
      <c r="D49" s="58">
        <f t="shared" si="12"/>
        <v>0</v>
      </c>
      <c r="E49" s="58">
        <f t="shared" si="12"/>
        <v>0</v>
      </c>
      <c r="F49" s="58">
        <f t="shared" si="12"/>
        <v>0</v>
      </c>
      <c r="G49" s="58">
        <f t="shared" si="12"/>
        <v>0</v>
      </c>
      <c r="H49" s="58">
        <f t="shared" si="12"/>
        <v>0</v>
      </c>
      <c r="I49" s="58">
        <f t="shared" si="7"/>
        <v>0</v>
      </c>
    </row>
    <row r="50" ht="15" customHeight="1" spans="1:9">
      <c r="A50" s="65" t="s">
        <v>148</v>
      </c>
      <c r="B50" s="64">
        <v>0</v>
      </c>
      <c r="C50" s="58">
        <v>0</v>
      </c>
      <c r="D50" s="58">
        <v>0</v>
      </c>
      <c r="E50" s="61">
        <v>0</v>
      </c>
      <c r="F50" s="61">
        <v>0</v>
      </c>
      <c r="G50" s="61">
        <v>0</v>
      </c>
      <c r="H50" s="61">
        <v>0</v>
      </c>
      <c r="I50" s="58">
        <f t="shared" si="7"/>
        <v>0</v>
      </c>
    </row>
    <row r="51" ht="15" customHeight="1" spans="1:9">
      <c r="A51" s="65" t="s">
        <v>149</v>
      </c>
      <c r="B51" s="64">
        <v>0</v>
      </c>
      <c r="C51" s="58">
        <v>0</v>
      </c>
      <c r="D51" s="58">
        <v>0</v>
      </c>
      <c r="E51" s="61">
        <v>0</v>
      </c>
      <c r="F51" s="61">
        <v>0</v>
      </c>
      <c r="G51" s="61">
        <v>0</v>
      </c>
      <c r="H51" s="61">
        <v>0</v>
      </c>
      <c r="I51" s="58">
        <f t="shared" si="7"/>
        <v>0</v>
      </c>
    </row>
    <row r="52" ht="15" customHeight="1" spans="1:9">
      <c r="A52" s="65" t="s">
        <v>150</v>
      </c>
      <c r="B52" s="64">
        <v>0</v>
      </c>
      <c r="C52" s="58">
        <v>0</v>
      </c>
      <c r="D52" s="58">
        <v>0</v>
      </c>
      <c r="E52" s="61">
        <v>0</v>
      </c>
      <c r="F52" s="61">
        <v>0</v>
      </c>
      <c r="G52" s="61">
        <v>0</v>
      </c>
      <c r="H52" s="61">
        <v>0</v>
      </c>
      <c r="I52" s="58">
        <f t="shared" si="7"/>
        <v>0</v>
      </c>
    </row>
    <row r="53" ht="15" customHeight="1" spans="1:9">
      <c r="A53" s="65" t="s">
        <v>151</v>
      </c>
      <c r="B53" s="64">
        <v>0</v>
      </c>
      <c r="C53" s="58">
        <v>0</v>
      </c>
      <c r="D53" s="58">
        <v>0</v>
      </c>
      <c r="E53" s="61">
        <v>0</v>
      </c>
      <c r="F53" s="61">
        <v>0</v>
      </c>
      <c r="G53" s="61">
        <v>0</v>
      </c>
      <c r="H53" s="61">
        <v>0</v>
      </c>
      <c r="I53" s="58">
        <f t="shared" si="7"/>
        <v>0</v>
      </c>
    </row>
    <row r="54" ht="15" customHeight="1" spans="1:9">
      <c r="A54" s="65" t="s">
        <v>152</v>
      </c>
      <c r="B54" s="64">
        <v>0</v>
      </c>
      <c r="C54" s="58">
        <v>0</v>
      </c>
      <c r="D54" s="58">
        <v>0</v>
      </c>
      <c r="E54" s="61">
        <v>0</v>
      </c>
      <c r="F54" s="61">
        <v>0</v>
      </c>
      <c r="G54" s="61">
        <v>0</v>
      </c>
      <c r="H54" s="61">
        <v>0</v>
      </c>
      <c r="I54" s="58">
        <f t="shared" si="7"/>
        <v>0</v>
      </c>
    </row>
    <row r="55" ht="15" customHeight="1" spans="1:9">
      <c r="A55" s="65" t="s">
        <v>153</v>
      </c>
      <c r="B55" s="64">
        <v>0</v>
      </c>
      <c r="C55" s="58">
        <v>0</v>
      </c>
      <c r="D55" s="58">
        <v>0</v>
      </c>
      <c r="E55" s="61">
        <v>0</v>
      </c>
      <c r="F55" s="61">
        <v>0</v>
      </c>
      <c r="G55" s="61">
        <v>0</v>
      </c>
      <c r="H55" s="61">
        <v>0</v>
      </c>
      <c r="I55" s="58">
        <f t="shared" si="7"/>
        <v>0</v>
      </c>
    </row>
    <row r="56" ht="15" customHeight="1" spans="1:9">
      <c r="A56" s="65" t="s">
        <v>154</v>
      </c>
      <c r="B56" s="64">
        <v>0</v>
      </c>
      <c r="C56" s="58">
        <v>0</v>
      </c>
      <c r="D56" s="58">
        <v>0</v>
      </c>
      <c r="E56" s="61">
        <v>0</v>
      </c>
      <c r="F56" s="61">
        <v>0</v>
      </c>
      <c r="G56" s="61">
        <v>0</v>
      </c>
      <c r="H56" s="61">
        <v>0</v>
      </c>
      <c r="I56" s="58">
        <f t="shared" si="7"/>
        <v>0</v>
      </c>
    </row>
    <row r="57" ht="15" customHeight="1" spans="1:9">
      <c r="A57" s="65" t="s">
        <v>155</v>
      </c>
      <c r="B57" s="64">
        <v>0</v>
      </c>
      <c r="C57" s="58">
        <v>0</v>
      </c>
      <c r="D57" s="58">
        <v>0</v>
      </c>
      <c r="E57" s="61">
        <v>0</v>
      </c>
      <c r="F57" s="61">
        <v>0</v>
      </c>
      <c r="G57" s="61">
        <v>0</v>
      </c>
      <c r="H57" s="61">
        <v>0</v>
      </c>
      <c r="I57" s="58">
        <f t="shared" si="7"/>
        <v>0</v>
      </c>
    </row>
    <row r="58" ht="15" customHeight="1" spans="1:9">
      <c r="A58" s="65" t="s">
        <v>156</v>
      </c>
      <c r="B58" s="64">
        <v>0</v>
      </c>
      <c r="C58" s="58">
        <v>0</v>
      </c>
      <c r="D58" s="58">
        <v>0</v>
      </c>
      <c r="E58" s="61">
        <v>0</v>
      </c>
      <c r="F58" s="61">
        <v>0</v>
      </c>
      <c r="G58" s="61">
        <v>0</v>
      </c>
      <c r="H58" s="61">
        <v>0</v>
      </c>
      <c r="I58" s="58">
        <f t="shared" si="7"/>
        <v>0</v>
      </c>
    </row>
    <row r="59" ht="15" customHeight="1" spans="1:9">
      <c r="A59" s="65" t="s">
        <v>157</v>
      </c>
      <c r="B59" s="64">
        <v>0</v>
      </c>
      <c r="C59" s="58">
        <v>0</v>
      </c>
      <c r="D59" s="58">
        <v>0</v>
      </c>
      <c r="E59" s="61">
        <v>0</v>
      </c>
      <c r="F59" s="61">
        <v>0</v>
      </c>
      <c r="G59" s="61">
        <v>0</v>
      </c>
      <c r="H59" s="61">
        <v>0</v>
      </c>
      <c r="I59" s="58">
        <f t="shared" si="7"/>
        <v>0</v>
      </c>
    </row>
    <row r="60" ht="15" customHeight="1" spans="1:9">
      <c r="A60" s="65" t="s">
        <v>158</v>
      </c>
      <c r="B60" s="64">
        <v>0</v>
      </c>
      <c r="C60" s="58">
        <v>0</v>
      </c>
      <c r="D60" s="58">
        <v>0</v>
      </c>
      <c r="E60" s="61">
        <v>0</v>
      </c>
      <c r="F60" s="61">
        <v>0</v>
      </c>
      <c r="G60" s="61">
        <v>0</v>
      </c>
      <c r="H60" s="61">
        <v>0</v>
      </c>
      <c r="I60" s="58">
        <f t="shared" si="7"/>
        <v>0</v>
      </c>
    </row>
    <row r="61" ht="15" customHeight="1" spans="1:9">
      <c r="A61" s="59" t="s">
        <v>159</v>
      </c>
      <c r="B61" s="64">
        <v>0</v>
      </c>
      <c r="C61" s="58">
        <v>0</v>
      </c>
      <c r="D61" s="58">
        <v>0</v>
      </c>
      <c r="E61" s="61">
        <v>0</v>
      </c>
      <c r="F61" s="61">
        <v>0</v>
      </c>
      <c r="G61" s="61">
        <v>0</v>
      </c>
      <c r="H61" s="61">
        <v>0</v>
      </c>
      <c r="I61" s="58">
        <f t="shared" si="7"/>
        <v>0</v>
      </c>
    </row>
    <row r="62" ht="15" customHeight="1" spans="1:9">
      <c r="A62" s="55" t="s">
        <v>160</v>
      </c>
      <c r="B62" s="63">
        <v>0</v>
      </c>
      <c r="C62" s="57">
        <f t="shared" ref="C62:H62" si="13">C34+C41</f>
        <v>0</v>
      </c>
      <c r="D62" s="57">
        <f t="shared" si="13"/>
        <v>0</v>
      </c>
      <c r="E62" s="57">
        <f t="shared" si="13"/>
        <v>0</v>
      </c>
      <c r="F62" s="57">
        <f t="shared" si="13"/>
        <v>0</v>
      </c>
      <c r="G62" s="57">
        <f t="shared" si="13"/>
        <v>0</v>
      </c>
      <c r="H62" s="57">
        <f t="shared" si="13"/>
        <v>0</v>
      </c>
      <c r="I62" s="57">
        <f t="shared" si="7"/>
        <v>0</v>
      </c>
    </row>
    <row r="63" ht="15" customHeight="1" spans="1:9">
      <c r="A63" s="59" t="s">
        <v>161</v>
      </c>
      <c r="B63" s="64">
        <v>0</v>
      </c>
      <c r="C63" s="58">
        <f t="shared" ref="C63:H63" si="14">C39+C42</f>
        <v>0</v>
      </c>
      <c r="D63" s="58">
        <f t="shared" si="14"/>
        <v>0</v>
      </c>
      <c r="E63" s="58">
        <f t="shared" si="14"/>
        <v>0</v>
      </c>
      <c r="F63" s="58">
        <f t="shared" si="14"/>
        <v>0</v>
      </c>
      <c r="G63" s="58">
        <f t="shared" si="14"/>
        <v>0</v>
      </c>
      <c r="H63" s="58">
        <f t="shared" si="14"/>
        <v>0</v>
      </c>
      <c r="I63" s="58">
        <f t="shared" si="7"/>
        <v>0</v>
      </c>
    </row>
    <row r="64" ht="15" customHeight="1" spans="1:9">
      <c r="A64" s="59" t="s">
        <v>162</v>
      </c>
      <c r="B64" s="64">
        <v>0</v>
      </c>
      <c r="C64" s="58">
        <f t="shared" ref="C64:H64" si="15">C40+C61</f>
        <v>0</v>
      </c>
      <c r="D64" s="58">
        <f t="shared" si="15"/>
        <v>0</v>
      </c>
      <c r="E64" s="58">
        <f t="shared" si="15"/>
        <v>0</v>
      </c>
      <c r="F64" s="58">
        <f t="shared" si="15"/>
        <v>0</v>
      </c>
      <c r="G64" s="58">
        <f t="shared" si="15"/>
        <v>0</v>
      </c>
      <c r="H64" s="58">
        <f t="shared" si="15"/>
        <v>0</v>
      </c>
      <c r="I64" s="58">
        <f t="shared" si="7"/>
        <v>0</v>
      </c>
    </row>
    <row r="65" ht="15" customHeight="1" spans="1:9">
      <c r="A65" s="55" t="s">
        <v>163</v>
      </c>
      <c r="B65" s="64"/>
      <c r="C65" s="58"/>
      <c r="D65" s="58"/>
      <c r="E65" s="58"/>
      <c r="F65" s="58"/>
      <c r="G65" s="58"/>
      <c r="H65" s="58"/>
      <c r="I65" s="58"/>
    </row>
    <row r="66" ht="15" customHeight="1" spans="1:9">
      <c r="A66" s="59" t="s">
        <v>164</v>
      </c>
      <c r="B66" s="64">
        <v>0</v>
      </c>
      <c r="C66" s="58">
        <v>0</v>
      </c>
      <c r="D66" s="58">
        <v>0</v>
      </c>
      <c r="E66" s="58">
        <v>0</v>
      </c>
      <c r="F66" s="58">
        <v>0</v>
      </c>
      <c r="G66" s="58">
        <v>0</v>
      </c>
      <c r="H66" s="58">
        <v>0</v>
      </c>
      <c r="I66" s="58">
        <f t="shared" ref="I66:I69" si="16">B66-E66-G66+F66+H66-C66+D66</f>
        <v>0</v>
      </c>
    </row>
    <row r="67" ht="15" customHeight="1" spans="1:9">
      <c r="A67" s="66" t="s">
        <v>165</v>
      </c>
      <c r="B67" s="64">
        <v>0</v>
      </c>
      <c r="C67" s="58">
        <v>0</v>
      </c>
      <c r="D67" s="58">
        <v>0</v>
      </c>
      <c r="E67" s="58">
        <v>0</v>
      </c>
      <c r="F67" s="58">
        <v>0</v>
      </c>
      <c r="G67" s="58">
        <v>0</v>
      </c>
      <c r="H67" s="58">
        <v>0</v>
      </c>
      <c r="I67" s="58">
        <f t="shared" si="16"/>
        <v>0</v>
      </c>
    </row>
    <row r="68" ht="15" customHeight="1" spans="1:9">
      <c r="A68" s="67" t="s">
        <v>166</v>
      </c>
      <c r="B68" s="64">
        <v>0</v>
      </c>
      <c r="C68" s="61"/>
      <c r="D68" s="61"/>
      <c r="E68" s="61"/>
      <c r="F68" s="61"/>
      <c r="G68" s="61"/>
      <c r="H68" s="61"/>
      <c r="I68" s="61"/>
    </row>
    <row r="69" ht="15" customHeight="1" spans="1:9">
      <c r="A69" s="66" t="s">
        <v>167</v>
      </c>
      <c r="B69" s="64">
        <v>0</v>
      </c>
      <c r="C69" s="61">
        <v>0</v>
      </c>
      <c r="D69" s="61">
        <v>0</v>
      </c>
      <c r="E69" s="61">
        <v>0</v>
      </c>
      <c r="F69" s="61">
        <v>0</v>
      </c>
      <c r="G69" s="61">
        <v>0</v>
      </c>
      <c r="H69" s="61">
        <v>0</v>
      </c>
      <c r="I69" s="58">
        <f t="shared" si="16"/>
        <v>0</v>
      </c>
    </row>
    <row r="70" ht="15" customHeight="1" spans="1:9">
      <c r="A70" s="66" t="s">
        <v>168</v>
      </c>
      <c r="B70" s="64">
        <v>0</v>
      </c>
      <c r="C70" s="61">
        <v>0</v>
      </c>
      <c r="D70" s="61">
        <v>0</v>
      </c>
      <c r="E70" s="61">
        <v>0</v>
      </c>
      <c r="F70" s="61">
        <v>0</v>
      </c>
      <c r="G70" s="61">
        <v>0</v>
      </c>
      <c r="H70" s="61">
        <v>0</v>
      </c>
      <c r="I70" s="61">
        <f>I39+I69</f>
        <v>0</v>
      </c>
    </row>
    <row r="71" ht="15" customHeight="1" spans="1:9">
      <c r="A71" s="66" t="s">
        <v>169</v>
      </c>
      <c r="B71" s="64">
        <v>0</v>
      </c>
      <c r="C71" s="58">
        <v>0</v>
      </c>
      <c r="D71" s="58">
        <v>0</v>
      </c>
      <c r="E71" s="61">
        <v>0</v>
      </c>
      <c r="F71" s="61">
        <v>0</v>
      </c>
      <c r="G71" s="61">
        <v>0</v>
      </c>
      <c r="H71" s="61">
        <v>0</v>
      </c>
      <c r="I71" s="58">
        <f t="shared" ref="I71:I78" si="17">B71-E71-G71+F71+H71-C71+D71</f>
        <v>0</v>
      </c>
    </row>
    <row r="72" ht="15" customHeight="1" spans="1:9">
      <c r="A72" s="66" t="s">
        <v>170</v>
      </c>
      <c r="B72" s="64">
        <v>0</v>
      </c>
      <c r="C72" s="58">
        <v>0</v>
      </c>
      <c r="D72" s="58">
        <v>0</v>
      </c>
      <c r="E72" s="61">
        <v>0</v>
      </c>
      <c r="F72" s="61">
        <v>0</v>
      </c>
      <c r="G72" s="61">
        <v>0</v>
      </c>
      <c r="H72" s="61">
        <v>0</v>
      </c>
      <c r="I72" s="58">
        <f t="shared" si="17"/>
        <v>0</v>
      </c>
    </row>
    <row r="73" ht="15" customHeight="1" spans="1:9">
      <c r="A73" s="66" t="s">
        <v>171</v>
      </c>
      <c r="B73" s="64">
        <v>0</v>
      </c>
      <c r="C73" s="61">
        <f t="shared" ref="C73:J73" si="18">C70-C71-C72</f>
        <v>0</v>
      </c>
      <c r="D73" s="61">
        <f t="shared" si="18"/>
        <v>0</v>
      </c>
      <c r="E73" s="61">
        <f t="shared" si="18"/>
        <v>0</v>
      </c>
      <c r="F73" s="61">
        <f t="shared" si="18"/>
        <v>0</v>
      </c>
      <c r="G73" s="61">
        <f t="shared" si="18"/>
        <v>0</v>
      </c>
      <c r="H73" s="61">
        <f t="shared" si="18"/>
        <v>0</v>
      </c>
      <c r="I73" s="61">
        <f t="shared" si="18"/>
        <v>0</v>
      </c>
    </row>
    <row r="74" ht="15" customHeight="1" spans="1:9">
      <c r="A74" s="66" t="s">
        <v>172</v>
      </c>
      <c r="B74" s="64">
        <v>0</v>
      </c>
      <c r="C74" s="58">
        <v>0</v>
      </c>
      <c r="D74" s="58">
        <v>0</v>
      </c>
      <c r="E74" s="61">
        <v>0</v>
      </c>
      <c r="F74" s="61">
        <v>0</v>
      </c>
      <c r="G74" s="61">
        <v>0</v>
      </c>
      <c r="H74" s="61">
        <v>0</v>
      </c>
      <c r="I74" s="58">
        <f t="shared" si="17"/>
        <v>0</v>
      </c>
    </row>
    <row r="75" ht="15" customHeight="1" spans="1:9">
      <c r="A75" s="66" t="s">
        <v>173</v>
      </c>
      <c r="B75" s="64">
        <v>0</v>
      </c>
      <c r="C75" s="58">
        <v>0</v>
      </c>
      <c r="D75" s="58">
        <v>0</v>
      </c>
      <c r="E75" s="61">
        <v>0</v>
      </c>
      <c r="F75" s="61">
        <v>0</v>
      </c>
      <c r="G75" s="61">
        <v>0</v>
      </c>
      <c r="H75" s="61">
        <v>0</v>
      </c>
      <c r="I75" s="58">
        <f t="shared" si="17"/>
        <v>0</v>
      </c>
    </row>
    <row r="76" ht="15" customHeight="1" spans="1:9">
      <c r="A76" s="66" t="s">
        <v>174</v>
      </c>
      <c r="B76" s="64">
        <v>0</v>
      </c>
      <c r="C76" s="58">
        <v>0</v>
      </c>
      <c r="D76" s="58">
        <v>0</v>
      </c>
      <c r="E76" s="61">
        <v>0</v>
      </c>
      <c r="F76" s="61">
        <v>0</v>
      </c>
      <c r="G76" s="61">
        <v>0</v>
      </c>
      <c r="H76" s="61">
        <v>0</v>
      </c>
      <c r="I76" s="58">
        <f t="shared" si="17"/>
        <v>0</v>
      </c>
    </row>
    <row r="77" ht="15" customHeight="1" spans="1:9">
      <c r="A77" s="66" t="s">
        <v>175</v>
      </c>
      <c r="B77" s="64">
        <v>0</v>
      </c>
      <c r="C77" s="58">
        <v>0</v>
      </c>
      <c r="D77" s="58">
        <v>0</v>
      </c>
      <c r="E77" s="61">
        <v>0</v>
      </c>
      <c r="F77" s="61">
        <v>0</v>
      </c>
      <c r="G77" s="61">
        <v>0</v>
      </c>
      <c r="H77" s="61">
        <v>0</v>
      </c>
      <c r="I77" s="58">
        <f t="shared" si="17"/>
        <v>0</v>
      </c>
    </row>
    <row r="78" ht="15" customHeight="1" spans="1:9">
      <c r="A78" s="66" t="s">
        <v>176</v>
      </c>
      <c r="B78" s="64">
        <v>0</v>
      </c>
      <c r="C78" s="58">
        <v>0</v>
      </c>
      <c r="D78" s="58">
        <v>0</v>
      </c>
      <c r="E78" s="61">
        <v>0</v>
      </c>
      <c r="F78" s="61">
        <v>0</v>
      </c>
      <c r="G78" s="61">
        <v>0</v>
      </c>
      <c r="H78" s="61">
        <v>0</v>
      </c>
      <c r="I78" s="58">
        <f t="shared" si="17"/>
        <v>0</v>
      </c>
    </row>
    <row r="79" s="2" customFormat="1" ht="15" customHeight="1" spans="1:9">
      <c r="A79" s="68" t="s">
        <v>177</v>
      </c>
      <c r="B79" s="69">
        <v>0</v>
      </c>
      <c r="C79" s="70">
        <f t="shared" ref="C79:J79" si="19">C73-SUM(C74:C78)</f>
        <v>0</v>
      </c>
      <c r="D79" s="70">
        <f t="shared" si="19"/>
        <v>0</v>
      </c>
      <c r="E79" s="70">
        <f t="shared" si="19"/>
        <v>0</v>
      </c>
      <c r="F79" s="70">
        <f t="shared" si="19"/>
        <v>0</v>
      </c>
      <c r="G79" s="70">
        <f t="shared" si="19"/>
        <v>0</v>
      </c>
      <c r="H79" s="70">
        <f t="shared" si="19"/>
        <v>0</v>
      </c>
      <c r="I79" s="70">
        <f t="shared" si="19"/>
        <v>0</v>
      </c>
    </row>
    <row r="80" spans="1:9">
      <c r="A80" s="71"/>
      <c r="B80" s="72" t="e">
        <f>#REF!</f>
        <v>#REF!</v>
      </c>
      <c r="C80" s="73">
        <f t="shared" ref="C80:I80" si="20">SUM(C6,C9,C12:C16,C19:C20,C23:C27,C29:C30,C32:C33,C40,C44:C48,C50:C61,C66:C67,C69,C71:C72,C74:C78)</f>
        <v>0</v>
      </c>
      <c r="D80" s="73">
        <f t="shared" si="20"/>
        <v>0</v>
      </c>
      <c r="E80" s="73">
        <f t="shared" si="20"/>
        <v>0</v>
      </c>
      <c r="F80" s="73">
        <f t="shared" si="20"/>
        <v>0</v>
      </c>
      <c r="G80" s="73">
        <f t="shared" si="20"/>
        <v>0</v>
      </c>
      <c r="H80" s="73">
        <f t="shared" si="20"/>
        <v>0</v>
      </c>
      <c r="I80" s="73">
        <f t="shared" si="20"/>
        <v>0</v>
      </c>
    </row>
    <row r="81" spans="1:9">
      <c r="A81" s="74"/>
      <c r="B81" s="75" t="e">
        <f>B80-B79</f>
        <v>#REF!</v>
      </c>
      <c r="C81" s="75"/>
      <c r="D81" s="75"/>
      <c r="E81" s="76"/>
      <c r="F81" s="76"/>
      <c r="G81" s="76"/>
      <c r="H81" s="76"/>
      <c r="I81" s="75"/>
    </row>
  </sheetData>
  <sheetProtection formatCells="0" formatColumns="0" formatRows="0" insertRows="0" autoFilter="0" pivotTables="0"/>
  <mergeCells count="6">
    <mergeCell ref="C4:D4"/>
    <mergeCell ref="E4:F4"/>
    <mergeCell ref="G4:H4"/>
    <mergeCell ref="A4:A5"/>
    <mergeCell ref="B4:B5"/>
    <mergeCell ref="I4:I5"/>
  </mergeCells>
  <conditionalFormatting sqref="A4:A5">
    <cfRule type="cellIs" dxfId="0" priority="1" stopIfTrue="1" operator="equal">
      <formula>"报表未调平!"</formula>
    </cfRule>
  </conditionalFormatting>
  <printOptions horizontalCentered="1" verticalCentered="1"/>
  <pageMargins left="0.354330708661417" right="0.354330708661417" top="0.433070866141732" bottom="0.31" header="0.196850393700787" footer="0.196850393700787"/>
  <pageSetup paperSize="9" scale="58" orientation="portrait"/>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indexed="20"/>
    <pageSetUpPr fitToPage="1"/>
  </sheetPr>
  <dimension ref="A1:E82"/>
  <sheetViews>
    <sheetView showZeros="0" workbookViewId="0">
      <pane xSplit="2" ySplit="5" topLeftCell="C6" activePane="bottomRight" state="frozen"/>
      <selection/>
      <selection pane="topRight"/>
      <selection pane="bottomLeft"/>
      <selection pane="bottomRight" activeCell="A6" sqref="A6"/>
    </sheetView>
  </sheetViews>
  <sheetFormatPr defaultColWidth="7" defaultRowHeight="11.4" outlineLevelCol="4"/>
  <cols>
    <col min="1" max="1" width="45.625" style="3" customWidth="1"/>
    <col min="2" max="2" width="14.375" style="3" customWidth="1"/>
    <col min="3" max="3" width="18.5" style="3" customWidth="1"/>
    <col min="4" max="4" width="12.5" style="3" customWidth="1"/>
    <col min="5" max="5" width="18" style="3" customWidth="1" outlineLevel="1"/>
    <col min="6" max="6" width="9.125" style="3" customWidth="1"/>
    <col min="7" max="7" width="8" style="3" customWidth="1"/>
    <col min="8" max="8" width="6.75" style="3" customWidth="1"/>
    <col min="9" max="16384" width="7" style="3"/>
  </cols>
  <sheetData>
    <row r="1" s="1" customFormat="1" ht="19.5" customHeight="1" spans="1:5">
      <c r="A1" s="4" t="s">
        <v>178</v>
      </c>
      <c r="B1" s="5"/>
      <c r="C1" s="5"/>
      <c r="D1" s="5"/>
      <c r="E1" s="5"/>
    </row>
    <row r="2" s="1" customFormat="1" ht="15" customHeight="1" spans="1:5">
      <c r="A2" s="6" t="s">
        <v>1</v>
      </c>
      <c r="B2" s="7" t="s">
        <v>2</v>
      </c>
      <c r="D2" s="6" t="s">
        <v>3</v>
      </c>
      <c r="E2" s="8" t="s">
        <v>4</v>
      </c>
    </row>
    <row r="3" s="1" customFormat="1" ht="17.25" customHeight="1" spans="1:5">
      <c r="A3" s="9" t="s">
        <v>5</v>
      </c>
      <c r="B3" s="10" t="str">
        <f ca="1">CONCATENATE("日期：",TEXT(NOW(),"yyyy.mm.dd"))</f>
        <v>日期：2026.05.03</v>
      </c>
      <c r="D3" s="8" t="s">
        <v>6</v>
      </c>
      <c r="E3" s="8" t="s">
        <v>7</v>
      </c>
    </row>
    <row r="4" s="1" customFormat="1" ht="12.75" customHeight="1" spans="1:5">
      <c r="A4" s="11" t="s">
        <v>8</v>
      </c>
      <c r="B4" s="12" t="s">
        <v>9</v>
      </c>
      <c r="C4" s="13" t="s">
        <v>179</v>
      </c>
      <c r="D4" s="13" t="s">
        <v>180</v>
      </c>
      <c r="E4" s="14" t="s">
        <v>13</v>
      </c>
    </row>
    <row r="5" s="1" customFormat="1" ht="14.25" customHeight="1" spans="1:5">
      <c r="A5" s="15"/>
      <c r="B5" s="16"/>
      <c r="C5" s="17"/>
      <c r="D5" s="17"/>
      <c r="E5" s="18"/>
    </row>
    <row r="6" ht="13.2" spans="1:5">
      <c r="A6" s="19" t="s">
        <v>181</v>
      </c>
      <c r="B6" s="20"/>
      <c r="C6" s="21"/>
      <c r="D6" s="21"/>
      <c r="E6" s="21"/>
    </row>
    <row r="7" ht="13.2" spans="1:5">
      <c r="A7" s="22" t="s">
        <v>182</v>
      </c>
      <c r="B7" s="23"/>
      <c r="C7" s="24"/>
      <c r="D7" s="24"/>
      <c r="E7" s="24"/>
    </row>
    <row r="8" ht="13.2" spans="1:5">
      <c r="A8" s="22" t="s">
        <v>183</v>
      </c>
      <c r="B8" s="23"/>
      <c r="C8" s="24"/>
      <c r="D8" s="24"/>
      <c r="E8" s="24"/>
    </row>
    <row r="9" ht="13.2" spans="1:5">
      <c r="A9" s="22" t="s">
        <v>184</v>
      </c>
      <c r="B9" s="23"/>
      <c r="C9" s="24"/>
      <c r="D9" s="24"/>
      <c r="E9" s="24"/>
    </row>
    <row r="10" ht="13.2" spans="1:5">
      <c r="A10" s="25" t="s">
        <v>185</v>
      </c>
      <c r="B10" s="23"/>
      <c r="C10" s="23"/>
      <c r="D10" s="23"/>
      <c r="E10" s="23"/>
    </row>
    <row r="11" ht="13.2" spans="1:5">
      <c r="A11" s="22" t="s">
        <v>186</v>
      </c>
      <c r="B11" s="23"/>
      <c r="C11" s="24"/>
      <c r="D11" s="24"/>
      <c r="E11" s="24"/>
    </row>
    <row r="12" ht="13.2" spans="1:5">
      <c r="A12" s="22" t="s">
        <v>187</v>
      </c>
      <c r="B12" s="23"/>
      <c r="C12" s="24"/>
      <c r="D12" s="24"/>
      <c r="E12" s="24"/>
    </row>
    <row r="13" ht="13.2" spans="1:5">
      <c r="A13" s="22" t="s">
        <v>188</v>
      </c>
      <c r="B13" s="23"/>
      <c r="C13" s="24"/>
      <c r="D13" s="24"/>
      <c r="E13" s="24"/>
    </row>
    <row r="14" ht="13.2" spans="1:5">
      <c r="A14" s="22" t="s">
        <v>189</v>
      </c>
      <c r="B14" s="23"/>
      <c r="C14" s="24"/>
      <c r="D14" s="24"/>
      <c r="E14" s="24"/>
    </row>
    <row r="15" ht="13.2" spans="1:5">
      <c r="A15" s="25" t="s">
        <v>190</v>
      </c>
      <c r="B15" s="23"/>
      <c r="C15" s="23"/>
      <c r="D15" s="23"/>
      <c r="E15" s="23"/>
    </row>
    <row r="16" s="2" customFormat="1" ht="13.2" spans="1:5">
      <c r="A16" s="25" t="s">
        <v>191</v>
      </c>
      <c r="B16" s="26"/>
      <c r="C16" s="26"/>
      <c r="D16" s="26"/>
      <c r="E16" s="26"/>
    </row>
    <row r="17" ht="13.2" spans="1:5">
      <c r="A17" s="27" t="s">
        <v>192</v>
      </c>
      <c r="B17" s="23"/>
      <c r="C17" s="24"/>
      <c r="D17" s="24"/>
      <c r="E17" s="24"/>
    </row>
    <row r="18" ht="13.2" spans="1:5">
      <c r="A18" s="22" t="s">
        <v>193</v>
      </c>
      <c r="B18" s="23"/>
      <c r="C18" s="24"/>
      <c r="D18" s="24"/>
      <c r="E18" s="24"/>
    </row>
    <row r="19" ht="13.2" spans="1:5">
      <c r="A19" s="22" t="s">
        <v>194</v>
      </c>
      <c r="B19" s="23"/>
      <c r="C19" s="24"/>
      <c r="D19" s="24"/>
      <c r="E19" s="24"/>
    </row>
    <row r="20" ht="13.2" spans="1:5">
      <c r="A20" s="22" t="s">
        <v>195</v>
      </c>
      <c r="B20" s="23"/>
      <c r="C20" s="24"/>
      <c r="D20" s="24"/>
      <c r="E20" s="24"/>
    </row>
    <row r="21" ht="13.2" spans="1:5">
      <c r="A21" s="22" t="s">
        <v>196</v>
      </c>
      <c r="B21" s="23"/>
      <c r="C21" s="24"/>
      <c r="D21" s="24"/>
      <c r="E21" s="24"/>
    </row>
    <row r="22" ht="13.2" spans="1:5">
      <c r="A22" s="22" t="s">
        <v>197</v>
      </c>
      <c r="B22" s="23"/>
      <c r="C22" s="24"/>
      <c r="D22" s="24"/>
      <c r="E22" s="24"/>
    </row>
    <row r="23" ht="13.2" spans="1:5">
      <c r="A23" s="25" t="s">
        <v>198</v>
      </c>
      <c r="B23" s="23"/>
      <c r="C23" s="23"/>
      <c r="D23" s="23"/>
      <c r="E23" s="23"/>
    </row>
    <row r="24" ht="13.2" spans="1:5">
      <c r="A24" s="22" t="s">
        <v>199</v>
      </c>
      <c r="B24" s="23"/>
      <c r="C24" s="24"/>
      <c r="D24" s="24"/>
      <c r="E24" s="24"/>
    </row>
    <row r="25" ht="13.2" spans="1:5">
      <c r="A25" s="22" t="s">
        <v>200</v>
      </c>
      <c r="B25" s="23"/>
      <c r="C25" s="24"/>
      <c r="D25" s="24"/>
      <c r="E25" s="24"/>
    </row>
    <row r="26" ht="13.2" spans="1:5">
      <c r="A26" s="22" t="s">
        <v>201</v>
      </c>
      <c r="B26" s="23"/>
      <c r="C26" s="24"/>
      <c r="D26" s="24"/>
      <c r="E26" s="24"/>
    </row>
    <row r="27" ht="13.2" spans="1:5">
      <c r="A27" s="22" t="s">
        <v>202</v>
      </c>
      <c r="B27" s="23"/>
      <c r="C27" s="24"/>
      <c r="D27" s="24"/>
      <c r="E27" s="24"/>
    </row>
    <row r="28" ht="13.2" spans="1:5">
      <c r="A28" s="25" t="s">
        <v>203</v>
      </c>
      <c r="B28" s="23"/>
      <c r="C28" s="23"/>
      <c r="D28" s="23"/>
      <c r="E28" s="23"/>
    </row>
    <row r="29" s="2" customFormat="1" ht="13.2" spans="1:5">
      <c r="A29" s="25" t="s">
        <v>204</v>
      </c>
      <c r="B29" s="26"/>
      <c r="C29" s="26"/>
      <c r="D29" s="26"/>
      <c r="E29" s="26"/>
    </row>
    <row r="30" ht="13.2" spans="1:5">
      <c r="A30" s="27" t="s">
        <v>205</v>
      </c>
      <c r="B30" s="23"/>
      <c r="C30" s="24"/>
      <c r="D30" s="24"/>
      <c r="E30" s="24"/>
    </row>
    <row r="31" ht="13.2" spans="1:5">
      <c r="A31" s="22" t="s">
        <v>206</v>
      </c>
      <c r="B31" s="23"/>
      <c r="C31" s="24"/>
      <c r="D31" s="24"/>
      <c r="E31" s="24"/>
    </row>
    <row r="32" ht="13.2" spans="1:5">
      <c r="A32" s="28" t="s">
        <v>207</v>
      </c>
      <c r="B32" s="23"/>
      <c r="C32" s="24"/>
      <c r="D32" s="24"/>
      <c r="E32" s="24"/>
    </row>
    <row r="33" ht="13.2" spans="1:5">
      <c r="A33" s="22" t="s">
        <v>208</v>
      </c>
      <c r="B33" s="23"/>
      <c r="C33" s="24"/>
      <c r="D33" s="24"/>
      <c r="E33" s="24"/>
    </row>
    <row r="34" ht="13.2" spans="1:5">
      <c r="A34" s="22" t="s">
        <v>209</v>
      </c>
      <c r="B34" s="23"/>
      <c r="C34" s="24"/>
      <c r="D34" s="24"/>
      <c r="E34" s="24"/>
    </row>
    <row r="35" ht="13.2" spans="1:5">
      <c r="A35" s="22">
        <v>0</v>
      </c>
      <c r="B35" s="23"/>
      <c r="C35" s="24"/>
      <c r="D35" s="24"/>
      <c r="E35" s="24"/>
    </row>
    <row r="36" ht="13.2" spans="1:5">
      <c r="A36" s="25" t="s">
        <v>210</v>
      </c>
      <c r="B36" s="23"/>
      <c r="C36" s="23"/>
      <c r="D36" s="23"/>
      <c r="E36" s="23"/>
    </row>
    <row r="37" ht="13.2" spans="1:5">
      <c r="A37" s="22" t="s">
        <v>211</v>
      </c>
      <c r="B37" s="23"/>
      <c r="C37" s="24"/>
      <c r="D37" s="24"/>
      <c r="E37" s="24"/>
    </row>
    <row r="38" ht="13.2" spans="1:5">
      <c r="A38" s="22" t="s">
        <v>212</v>
      </c>
      <c r="B38" s="23"/>
      <c r="C38" s="24"/>
      <c r="D38" s="24"/>
      <c r="E38" s="24"/>
    </row>
    <row r="39" ht="13.2" spans="1:5">
      <c r="A39" s="28" t="s">
        <v>213</v>
      </c>
      <c r="B39" s="23"/>
      <c r="C39" s="24"/>
      <c r="D39" s="24"/>
      <c r="E39" s="24"/>
    </row>
    <row r="40" ht="13.2" spans="1:5">
      <c r="A40" s="22" t="s">
        <v>214</v>
      </c>
      <c r="B40" s="23"/>
      <c r="C40" s="24"/>
      <c r="D40" s="24"/>
      <c r="E40" s="24"/>
    </row>
    <row r="41" ht="13.2" spans="1:5">
      <c r="A41" s="28" t="s">
        <v>215</v>
      </c>
      <c r="B41" s="23"/>
      <c r="C41" s="24"/>
      <c r="D41" s="24"/>
      <c r="E41" s="24"/>
    </row>
    <row r="42" ht="13.2" spans="1:5">
      <c r="A42" s="25" t="s">
        <v>216</v>
      </c>
      <c r="B42" s="23"/>
      <c r="C42" s="23"/>
      <c r="D42" s="23"/>
      <c r="E42" s="23"/>
    </row>
    <row r="43" s="2" customFormat="1" ht="13.2" spans="1:5">
      <c r="A43" s="25" t="s">
        <v>217</v>
      </c>
      <c r="B43" s="26"/>
      <c r="C43" s="26"/>
      <c r="D43" s="26"/>
      <c r="E43" s="26"/>
    </row>
    <row r="44" ht="13.2" spans="1:5">
      <c r="A44" s="22"/>
      <c r="B44" s="23"/>
      <c r="C44" s="24"/>
      <c r="D44" s="24"/>
      <c r="E44" s="24"/>
    </row>
    <row r="45" ht="13.2" spans="1:5">
      <c r="A45" s="29" t="s">
        <v>218</v>
      </c>
      <c r="B45" s="23"/>
      <c r="C45" s="24"/>
      <c r="D45" s="24"/>
      <c r="E45" s="24"/>
    </row>
    <row r="46" s="2" customFormat="1" ht="13.2" spans="1:5">
      <c r="A46" s="29" t="s">
        <v>219</v>
      </c>
      <c r="B46" s="26"/>
      <c r="C46" s="26"/>
      <c r="D46" s="26"/>
      <c r="E46" s="26"/>
    </row>
    <row r="47" ht="13.2" spans="1:5">
      <c r="A47" s="22" t="s">
        <v>220</v>
      </c>
      <c r="B47" s="23"/>
      <c r="C47" s="24"/>
      <c r="D47" s="24"/>
      <c r="E47" s="24"/>
    </row>
    <row r="48" ht="13.2" spans="1:5">
      <c r="A48" s="30" t="s">
        <v>221</v>
      </c>
      <c r="B48" s="31"/>
      <c r="C48" s="31"/>
      <c r="D48" s="31"/>
      <c r="E48" s="31"/>
    </row>
    <row r="49" ht="13.2" spans="1:5">
      <c r="A49" s="32"/>
      <c r="B49" s="33"/>
      <c r="C49" s="34"/>
      <c r="D49" s="34"/>
      <c r="E49" s="34"/>
    </row>
    <row r="50" ht="13.2" spans="1:5">
      <c r="A50" s="35"/>
      <c r="B50" s="36"/>
      <c r="C50" s="37"/>
      <c r="D50" s="37"/>
      <c r="E50" s="37"/>
    </row>
    <row r="51" ht="13.2" spans="1:5">
      <c r="A51" s="38" t="s">
        <v>222</v>
      </c>
      <c r="B51" s="39"/>
      <c r="C51" s="40"/>
      <c r="D51" s="40"/>
      <c r="E51" s="40"/>
    </row>
    <row r="52" ht="13.2" spans="1:5">
      <c r="A52" s="41" t="s">
        <v>223</v>
      </c>
      <c r="B52" s="20"/>
      <c r="C52" s="21"/>
      <c r="D52" s="21"/>
      <c r="E52" s="21"/>
    </row>
    <row r="53" ht="13.2" spans="1:5">
      <c r="A53" s="22" t="s">
        <v>224</v>
      </c>
      <c r="B53" s="23">
        <v>0</v>
      </c>
      <c r="C53" s="24"/>
      <c r="D53" s="24"/>
      <c r="E53" s="24">
        <f t="shared" ref="E53:E68" si="0">SUM(B53:D53)</f>
        <v>0</v>
      </c>
    </row>
    <row r="54" ht="13.2" spans="1:5">
      <c r="A54" s="22" t="s">
        <v>225</v>
      </c>
      <c r="B54" s="23">
        <v>0</v>
      </c>
      <c r="C54" s="24"/>
      <c r="D54" s="24"/>
      <c r="E54" s="24">
        <f t="shared" si="0"/>
        <v>0</v>
      </c>
    </row>
    <row r="55" ht="13.2" spans="1:5">
      <c r="A55" s="22" t="s">
        <v>226</v>
      </c>
      <c r="B55" s="23">
        <v>0</v>
      </c>
      <c r="C55" s="24"/>
      <c r="D55" s="24"/>
      <c r="E55" s="24">
        <f t="shared" si="0"/>
        <v>0</v>
      </c>
    </row>
    <row r="56" ht="13.2" spans="1:5">
      <c r="A56" s="22" t="s">
        <v>227</v>
      </c>
      <c r="B56" s="23">
        <v>0</v>
      </c>
      <c r="C56" s="24"/>
      <c r="D56" s="24"/>
      <c r="E56" s="24">
        <f t="shared" si="0"/>
        <v>0</v>
      </c>
    </row>
    <row r="57" ht="13.2" spans="1:5">
      <c r="A57" s="22" t="s">
        <v>228</v>
      </c>
      <c r="B57" s="23">
        <v>0</v>
      </c>
      <c r="C57" s="24"/>
      <c r="D57" s="24"/>
      <c r="E57" s="24">
        <f t="shared" si="0"/>
        <v>0</v>
      </c>
    </row>
    <row r="58" ht="13.2" spans="1:5">
      <c r="A58" s="22" t="s">
        <v>229</v>
      </c>
      <c r="B58" s="23">
        <v>0</v>
      </c>
      <c r="C58" s="24"/>
      <c r="D58" s="24"/>
      <c r="E58" s="24">
        <f t="shared" si="0"/>
        <v>0</v>
      </c>
    </row>
    <row r="59" ht="13.2" spans="1:5">
      <c r="A59" s="22" t="s">
        <v>230</v>
      </c>
      <c r="B59" s="23">
        <v>0</v>
      </c>
      <c r="C59" s="24"/>
      <c r="D59" s="24"/>
      <c r="E59" s="24">
        <f t="shared" si="0"/>
        <v>0</v>
      </c>
    </row>
    <row r="60" ht="13.2" spans="1:5">
      <c r="A60" s="22" t="s">
        <v>231</v>
      </c>
      <c r="B60" s="23">
        <v>0</v>
      </c>
      <c r="C60" s="24"/>
      <c r="D60" s="24"/>
      <c r="E60" s="24">
        <f t="shared" si="0"/>
        <v>0</v>
      </c>
    </row>
    <row r="61" ht="13.2" spans="1:5">
      <c r="A61" s="22" t="s">
        <v>232</v>
      </c>
      <c r="B61" s="23">
        <v>0</v>
      </c>
      <c r="C61" s="24"/>
      <c r="D61" s="24"/>
      <c r="E61" s="24">
        <f t="shared" si="0"/>
        <v>0</v>
      </c>
    </row>
    <row r="62" ht="13.2" spans="1:5">
      <c r="A62" s="22" t="s">
        <v>233</v>
      </c>
      <c r="B62" s="23">
        <v>0</v>
      </c>
      <c r="C62" s="24"/>
      <c r="D62" s="24"/>
      <c r="E62" s="24">
        <f t="shared" si="0"/>
        <v>0</v>
      </c>
    </row>
    <row r="63" ht="13.2" spans="1:5">
      <c r="A63" s="22" t="s">
        <v>234</v>
      </c>
      <c r="B63" s="23">
        <v>0</v>
      </c>
      <c r="C63" s="24"/>
      <c r="D63" s="24"/>
      <c r="E63" s="24">
        <f t="shared" si="0"/>
        <v>0</v>
      </c>
    </row>
    <row r="64" ht="13.2" spans="1:5">
      <c r="A64" s="22" t="s">
        <v>235</v>
      </c>
      <c r="B64" s="23">
        <v>0</v>
      </c>
      <c r="C64" s="24"/>
      <c r="D64" s="24"/>
      <c r="E64" s="24">
        <f t="shared" si="0"/>
        <v>0</v>
      </c>
    </row>
    <row r="65" ht="13.2" spans="1:5">
      <c r="A65" s="22" t="s">
        <v>236</v>
      </c>
      <c r="B65" s="23">
        <v>0</v>
      </c>
      <c r="C65" s="24"/>
      <c r="D65" s="24"/>
      <c r="E65" s="24">
        <f t="shared" si="0"/>
        <v>0</v>
      </c>
    </row>
    <row r="66" ht="13.2" spans="1:5">
      <c r="A66" s="22" t="s">
        <v>237</v>
      </c>
      <c r="B66" s="23">
        <v>0</v>
      </c>
      <c r="C66" s="24"/>
      <c r="D66" s="24"/>
      <c r="E66" s="24">
        <f t="shared" si="0"/>
        <v>0</v>
      </c>
    </row>
    <row r="67" ht="13.2" spans="1:5">
      <c r="A67" s="22" t="s">
        <v>238</v>
      </c>
      <c r="B67" s="23">
        <v>0</v>
      </c>
      <c r="C67" s="24"/>
      <c r="D67" s="24"/>
      <c r="E67" s="24">
        <f t="shared" si="0"/>
        <v>0</v>
      </c>
    </row>
    <row r="68" ht="13.2" spans="1:5">
      <c r="A68" s="22" t="s">
        <v>239</v>
      </c>
      <c r="B68" s="23">
        <v>0</v>
      </c>
      <c r="C68" s="24"/>
      <c r="D68" s="24"/>
      <c r="E68" s="24">
        <f t="shared" si="0"/>
        <v>0</v>
      </c>
    </row>
    <row r="69" ht="13.2" spans="1:5">
      <c r="A69" s="42" t="s">
        <v>191</v>
      </c>
      <c r="B69" s="26">
        <f>SUM(B53:B68)</f>
        <v>0</v>
      </c>
      <c r="C69" s="26">
        <f>SUM(C53:C68)</f>
        <v>0</v>
      </c>
      <c r="D69" s="26">
        <f>SUM(D53:D68)</f>
        <v>0</v>
      </c>
      <c r="E69" s="26">
        <f>SUM(E53:E68)</f>
        <v>0</v>
      </c>
    </row>
    <row r="70" ht="13.2" spans="1:5">
      <c r="A70" s="43"/>
      <c r="B70" s="26"/>
      <c r="C70" s="24"/>
      <c r="D70" s="24"/>
      <c r="E70" s="24"/>
    </row>
    <row r="71" ht="13.2" spans="1:5">
      <c r="A71" s="44" t="s">
        <v>240</v>
      </c>
      <c r="B71" s="26"/>
      <c r="C71" s="24"/>
      <c r="D71" s="24"/>
      <c r="E71" s="24"/>
    </row>
    <row r="72" ht="13.2" spans="1:5">
      <c r="A72" s="22" t="s">
        <v>241</v>
      </c>
      <c r="B72" s="23">
        <v>0</v>
      </c>
      <c r="C72" s="24"/>
      <c r="D72" s="24"/>
      <c r="E72" s="24">
        <f>SUM(B72:D72)</f>
        <v>0</v>
      </c>
    </row>
    <row r="73" ht="13.2" spans="1:5">
      <c r="A73" s="22" t="s">
        <v>242</v>
      </c>
      <c r="B73" s="23">
        <v>0</v>
      </c>
      <c r="C73" s="24"/>
      <c r="D73" s="24"/>
      <c r="E73" s="24">
        <f>SUM(B73:D73)</f>
        <v>0</v>
      </c>
    </row>
    <row r="74" ht="13.2" spans="1:5">
      <c r="A74" s="22" t="s">
        <v>243</v>
      </c>
      <c r="B74" s="23">
        <v>0</v>
      </c>
      <c r="C74" s="24"/>
      <c r="D74" s="24"/>
      <c r="E74" s="24">
        <f>SUM(B74:D74)</f>
        <v>0</v>
      </c>
    </row>
    <row r="75" ht="13.2" spans="1:5">
      <c r="A75" s="22" t="s">
        <v>244</v>
      </c>
      <c r="B75" s="23">
        <v>0</v>
      </c>
      <c r="C75" s="24"/>
      <c r="D75" s="24"/>
      <c r="E75" s="24">
        <f>SUM(B75:D75)</f>
        <v>0</v>
      </c>
    </row>
    <row r="76" ht="13.2" spans="1:5">
      <c r="A76" s="22">
        <v>0</v>
      </c>
      <c r="B76" s="23">
        <v>0</v>
      </c>
      <c r="C76" s="24"/>
      <c r="D76" s="24"/>
      <c r="E76" s="24">
        <f>SUM(B76:D76)</f>
        <v>0</v>
      </c>
    </row>
    <row r="77" ht="13.2" spans="1:5">
      <c r="A77" s="27" t="s">
        <v>245</v>
      </c>
      <c r="B77" s="26"/>
      <c r="C77" s="24"/>
      <c r="D77" s="24"/>
      <c r="E77" s="24"/>
    </row>
    <row r="78" ht="13.2" spans="1:5">
      <c r="A78" s="28" t="s">
        <v>246</v>
      </c>
      <c r="B78" s="23">
        <v>0</v>
      </c>
      <c r="C78" s="24"/>
      <c r="D78" s="24"/>
      <c r="E78" s="24">
        <f>SUM(B78:D78)</f>
        <v>0</v>
      </c>
    </row>
    <row r="79" ht="13.2" spans="1:5">
      <c r="A79" s="22" t="s">
        <v>247</v>
      </c>
      <c r="B79" s="23">
        <v>0</v>
      </c>
      <c r="C79" s="24"/>
      <c r="D79" s="24"/>
      <c r="E79" s="24">
        <f>SUM(B79:D79)</f>
        <v>0</v>
      </c>
    </row>
    <row r="80" ht="13.2" spans="1:5">
      <c r="A80" s="22" t="s">
        <v>248</v>
      </c>
      <c r="B80" s="23">
        <v>0</v>
      </c>
      <c r="C80" s="24"/>
      <c r="D80" s="24"/>
      <c r="E80" s="24">
        <f>SUM(B80:D80)</f>
        <v>0</v>
      </c>
    </row>
    <row r="81" ht="13.2" spans="1:5">
      <c r="A81" s="22" t="s">
        <v>249</v>
      </c>
      <c r="B81" s="23">
        <v>0</v>
      </c>
      <c r="C81" s="24"/>
      <c r="D81" s="24"/>
      <c r="E81" s="24">
        <f>SUM(B81:D81)</f>
        <v>0</v>
      </c>
    </row>
    <row r="82" ht="13.2" spans="1:5">
      <c r="A82" s="45" t="s">
        <v>250</v>
      </c>
      <c r="B82" s="31">
        <f>B78-B79+B80-B81</f>
        <v>0</v>
      </c>
      <c r="C82" s="31">
        <f>C78-C79+C80-C81</f>
        <v>0</v>
      </c>
      <c r="D82" s="31">
        <f>D78-D79+D80-D81</f>
        <v>0</v>
      </c>
      <c r="E82" s="31">
        <f>E78-E79+E80-E81</f>
        <v>0</v>
      </c>
    </row>
  </sheetData>
  <sheetProtection formatCells="0" formatColumns="0" formatRows="0" insertRows="0" autoFilter="0" pivotTables="0"/>
  <mergeCells count="5">
    <mergeCell ref="A4:A5"/>
    <mergeCell ref="B4:B5"/>
    <mergeCell ref="C4:C5"/>
    <mergeCell ref="D4:D5"/>
    <mergeCell ref="E4:E5"/>
  </mergeCells>
  <conditionalFormatting sqref="A4:A5">
    <cfRule type="cellIs" dxfId="0" priority="1" stopIfTrue="1" operator="equal">
      <formula>"现金流量表未调平!"</formula>
    </cfRule>
  </conditionalFormatting>
  <printOptions horizontalCentered="1" verticalCentered="1"/>
  <pageMargins left="0.551181102362205" right="0.354330708661417" top="0.433070866141732" bottom="0.236220472440945" header="0.236220472440945" footer="0.196850393700787"/>
  <pageSetup paperSize="9" scale="65" orientation="portrait"/>
  <headerFooter alignWithMargins="0"/>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合并TB资产负债</vt:lpstr>
      <vt:lpstr>合并TB损益</vt:lpstr>
      <vt:lpstr>TB合并CF</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杨志</dc:creator>
  <cp:lastModifiedBy>杨志</cp:lastModifiedBy>
  <dcterms:created xsi:type="dcterms:W3CDTF">2026-05-03T12:50:00Z</dcterms:created>
  <dcterms:modified xsi:type="dcterms:W3CDTF">2026-05-03T12:56:28Z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714CD0F9301E4D2AA012B94B5D0ABF24_11</vt:lpwstr>
  </property>
  <property fmtid="{D5CDD505-2E9C-101B-9397-08002B2CF9AE}" pid="3" name="KSOProductBuildVer">
    <vt:lpwstr>2052-12.1.0.25865</vt:lpwstr>
  </property>
  <property fmtid="{D5CDD505-2E9C-101B-9397-08002B2CF9AE}" pid="4" name="CalculationRule">
    <vt:i4>1</vt:i4>
  </property>
</Properties>
</file>