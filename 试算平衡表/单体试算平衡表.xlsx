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firstSheet="1" activeTab="2"/>
  </bookViews>
  <sheets>
    <sheet name="TB资产负债" sheetId="4" r:id="rId1"/>
    <sheet name="TB损益" sheetId="2" r:id="rId2"/>
    <sheet name="TB现金流"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_13102">#REF!</definedName>
    <definedName name="_13302">#REF!</definedName>
    <definedName name="_13398">#REF!</definedName>
    <definedName name="_18102">#REF!</definedName>
    <definedName name="_18198">#REF!</definedName>
    <definedName name="_2003附注">[1]附注汇总!$C$5:$AY$646</definedName>
    <definedName name="_2其他资产_开办费除外_明细表">#REF!</definedName>
    <definedName name="_scn11">#REF!</definedName>
    <definedName name="_scn15">#REF!</definedName>
    <definedName name="_scn16">#REF!</definedName>
    <definedName name="_scn17">#REF!</definedName>
    <definedName name="_scn19">#REF!</definedName>
    <definedName name="_scn2">#REF!</definedName>
    <definedName name="_scn20">#REF!</definedName>
    <definedName name="_scn3">#REF!</definedName>
    <definedName name="_scn4">#REF!</definedName>
    <definedName name="_scn5">#REF!</definedName>
    <definedName name="_scn6">#REF!</definedName>
    <definedName name="_scn7">#REF!</definedName>
    <definedName name="_scn8">#REF!</definedName>
    <definedName name="_scn9">#REF!</definedName>
    <definedName name="_scq1">#REF!</definedName>
    <definedName name="_scq11">#REF!</definedName>
    <definedName name="_scq15">#REF!</definedName>
    <definedName name="_scq16">#REF!</definedName>
    <definedName name="_scq17">#REF!</definedName>
    <definedName name="_scq19">#REF!</definedName>
    <definedName name="_scq2">#REF!</definedName>
    <definedName name="_scq20">#REF!</definedName>
    <definedName name="_scq3">#REF!</definedName>
    <definedName name="_scq4">#REF!</definedName>
    <definedName name="_scq5">#REF!</definedName>
    <definedName name="_scq6">#REF!</definedName>
    <definedName name="_scq7">#REF!</definedName>
    <definedName name="_scq8">#REF!</definedName>
    <definedName name="_scq9">#REF!</definedName>
    <definedName name="a">#REF!</definedName>
    <definedName name="Approach">[2]选择键!$G$2:$G$6</definedName>
    <definedName name="as">#REF!</definedName>
    <definedName name="AS2DocOpenMode" hidden="1">"AS2DocumentEdit"</definedName>
    <definedName name="AS2WebLink1">#REF!</definedName>
    <definedName name="AS2WebLink10">#REF!</definedName>
    <definedName name="AS2WebLink11">#REF!</definedName>
    <definedName name="AS2WebLink12">#REF!</definedName>
    <definedName name="AS2WebLink13">#REF!</definedName>
    <definedName name="AS2WebLink14">#REF!</definedName>
    <definedName name="AS2WebLink15">#REF!</definedName>
    <definedName name="AS2WebLink16">#REF!</definedName>
    <definedName name="AS2WebLink17">#REF!</definedName>
    <definedName name="AS2WebLink18">#REF!</definedName>
    <definedName name="AS2WebLink19">#REF!</definedName>
    <definedName name="AS2WebLink2">#REF!</definedName>
    <definedName name="AS2WebLink21">#REF!</definedName>
    <definedName name="AS2WebLink22">#REF!</definedName>
    <definedName name="AS2WebLink23">#REF!</definedName>
    <definedName name="AS2WebLink24">#REF!</definedName>
    <definedName name="AS2WebLink3">#REF!</definedName>
    <definedName name="AS2WebLink4">#REF!</definedName>
    <definedName name="AS2WebLink5">#REF!</definedName>
    <definedName name="AS2WebLink6">#REF!</definedName>
    <definedName name="AS2WebLink7">#REF!</definedName>
    <definedName name="AS2WebLink8">[3]Summary!#REF!</definedName>
    <definedName name="AS2WebLink9">#REF!</definedName>
    <definedName name="b">#REF!</definedName>
    <definedName name="baoji">[4]本期报表!$A$6:$D$139</definedName>
    <definedName name="bs" hidden="1">{#N/A,#N/A,FALSE,"BBPREP"}</definedName>
    <definedName name="bs_1" hidden="1">{#N/A,#N/A,FALSE,"BBPREP"}</definedName>
    <definedName name="bv">#REF!</definedName>
    <definedName name="Cash_Receipts">#REF!</definedName>
    <definedName name="CD">[2]选择键!$D$2:$D$5</definedName>
    <definedName name="CM">[2]选择键!$D$2:$D$4</definedName>
    <definedName name="CT">[2]选择键!$B$2:$B$10</definedName>
    <definedName name="Customer_Setup">#REF!</definedName>
    <definedName name="d">#REF!</definedName>
    <definedName name="data">[5]B!#REF!</definedName>
    <definedName name="Database">[6]B!#REF!</definedName>
    <definedName name="DD">[2]选择键!$C$2:$C$4</definedName>
    <definedName name="df">#REF!</definedName>
    <definedName name="dfs">#REF!</definedName>
    <definedName name="e">#REF!</definedName>
    <definedName name="er">#REF!</definedName>
    <definedName name="eve">[7]XL4Poppy!$C$39</definedName>
    <definedName name="f">#REF!</definedName>
    <definedName name="fg">#REF!</definedName>
    <definedName name="fgd">#REF!</definedName>
    <definedName name="fgh">#REF!</definedName>
    <definedName name="g">#REF!</definedName>
    <definedName name="h">#REF!</definedName>
    <definedName name="hv">#REF!</definedName>
    <definedName name="i">#REF!</definedName>
    <definedName name="Invoicing">#REF!</definedName>
    <definedName name="jk">#REF!</definedName>
    <definedName name="k">#REF!</definedName>
    <definedName name="kj">#REF!</definedName>
    <definedName name="kklist">'[8]&lt;原报&gt;资产负债表'!$F$6:$F$110</definedName>
    <definedName name="kl">#REF!</definedName>
    <definedName name="KMDM">#REF!</definedName>
    <definedName name="l">#REF!</definedName>
    <definedName name="lk">#REF!</definedName>
    <definedName name="m">#REF!</definedName>
    <definedName name="mn">#REF!</definedName>
    <definedName name="n">#REF!</definedName>
    <definedName name="nm">#REF!</definedName>
    <definedName name="o">#REF!</definedName>
    <definedName name="op">#REF!</definedName>
    <definedName name="p">#REF!</definedName>
    <definedName name="Print_Area_MI">#REF!</definedName>
    <definedName name="Priority">[2]选择键!$A$2:$A$5</definedName>
    <definedName name="q">#REF!</definedName>
    <definedName name="rt">#REF!</definedName>
    <definedName name="rty">#REF!</definedName>
    <definedName name="s">#REF!</definedName>
    <definedName name="sa">#REF!</definedName>
    <definedName name="Sales_Adj">#REF!</definedName>
    <definedName name="scn">#REF!</definedName>
    <definedName name="scq">#REF!</definedName>
    <definedName name="sda">#REF!</definedName>
    <definedName name="Shipping">#REF!</definedName>
    <definedName name="Solution">[2]选择键!$E$13:$E$16</definedName>
    <definedName name="ss">#REF!</definedName>
    <definedName name="sss">[9]营业费用测试!#REF!</definedName>
    <definedName name="t">#REF!</definedName>
    <definedName name="TextRefCopy1">#REF!</definedName>
    <definedName name="TextRefCopy10">#REF!</definedName>
    <definedName name="TextRefCopy100">#REF!</definedName>
    <definedName name="TextRefCopy101">#REF!</definedName>
    <definedName name="TextRefCopy102">#REF!</definedName>
    <definedName name="TextRefCopy103">#REF!</definedName>
    <definedName name="TextRefCopy104">#REF!</definedName>
    <definedName name="TextRefCopy105">#REF!</definedName>
    <definedName name="TextRefCopy106">#REF!</definedName>
    <definedName name="TextRefCopy107">#REF!</definedName>
    <definedName name="TextRefCopy108">#REF!</definedName>
    <definedName name="TextRefCopy109">#REF!</definedName>
    <definedName name="TextRefCopy11">#REF!</definedName>
    <definedName name="TextRefCopy110">'[10]35.1租赁明细'!#REF!</definedName>
    <definedName name="TextRefCopy112">#REF!</definedName>
    <definedName name="TextRefCopy113">'[10]35.1租赁明细'!#REF!</definedName>
    <definedName name="TextRefCopy12">#REF!</definedName>
    <definedName name="TextRefCopy120">#REF!</definedName>
    <definedName name="TextRefCopy121">#REF!</definedName>
    <definedName name="TextRefCopy122">#REF!</definedName>
    <definedName name="TextRefCopy123">#REF!</definedName>
    <definedName name="TextRefCopy124">#REF!</definedName>
    <definedName name="TextRefCopy125">#REF!</definedName>
    <definedName name="TextRefCopy126">#REF!</definedName>
    <definedName name="TextRefCopy127">#REF!</definedName>
    <definedName name="TextRefCopy128">#REF!</definedName>
    <definedName name="TextRefCopy129">#REF!</definedName>
    <definedName name="TextRefCopy13">#REF!</definedName>
    <definedName name="TextRefCopy130">#REF!</definedName>
    <definedName name="TextRefCopy131">#REF!</definedName>
    <definedName name="TextRefCopy137">#REF!</definedName>
    <definedName name="TextRefCopy14">#REF!</definedName>
    <definedName name="TextRefCopy149">#REF!</definedName>
    <definedName name="TextRefCopy15">#REF!</definedName>
    <definedName name="TextRefCopy150">#REF!</definedName>
    <definedName name="TextRefCopy151">#REF!</definedName>
    <definedName name="TextRefCopy16">#REF!</definedName>
    <definedName name="TextRefCopy17">#REF!</definedName>
    <definedName name="TextRefCopy18">#REF!</definedName>
    <definedName name="TextRefCopy19">#REF!</definedName>
    <definedName name="TextRefCopy190">#REF!</definedName>
    <definedName name="TextRefCopy191">#REF!</definedName>
    <definedName name="TextRefCopy2">#REF!</definedName>
    <definedName name="TextRefCopy20">#REF!</definedName>
    <definedName name="TextRefCopy21">#REF!</definedName>
    <definedName name="TextRefCopy22">#REF!</definedName>
    <definedName name="TextRefCopy221">'[11]Investment Property'!#REF!</definedName>
    <definedName name="TextRefCopy222">'[11]Investment Property'!#REF!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0">#REF!</definedName>
    <definedName name="TextRefCopy31">#REF!</definedName>
    <definedName name="TextRefCopy32">#REF!</definedName>
    <definedName name="TextRefCopy33">#REF!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4">#REF!</definedName>
    <definedName name="TextRefCopy40">#REF!</definedName>
    <definedName name="TextRefCopy41">#REF!</definedName>
    <definedName name="TextRefCopy42">#REF!</definedName>
    <definedName name="TextRefCopy43">#REF!</definedName>
    <definedName name="TextRefCopy44">#REF!</definedName>
    <definedName name="TextRefCopy45">#REF!</definedName>
    <definedName name="TextRefCopy46">#REF!</definedName>
    <definedName name="TextRefCopy47">#REF!</definedName>
    <definedName name="TextRefCopy48">#REF!</definedName>
    <definedName name="TextRefCopy49">#REF!</definedName>
    <definedName name="TextRefCopy5">#REF!</definedName>
    <definedName name="TextRefCopy50">#REF!</definedName>
    <definedName name="TextRefCopy51">#REF!</definedName>
    <definedName name="TextRefCopy52">#REF!</definedName>
    <definedName name="TextRefCopy53">#REF!</definedName>
    <definedName name="TextRefCopy54">#REF!</definedName>
    <definedName name="TextRefCopy55">#REF!</definedName>
    <definedName name="TextRefCopy56">#REF!</definedName>
    <definedName name="TextRefCopy57">#REF!</definedName>
    <definedName name="TextRefCopy58">#REF!</definedName>
    <definedName name="TextRefCopy59">#REF!</definedName>
    <definedName name="TextRefCopy6">#REF!</definedName>
    <definedName name="TextRefCopy60">#REF!</definedName>
    <definedName name="TextRefCopy61">#REF!</definedName>
    <definedName name="TextRefCopy62">#REF!</definedName>
    <definedName name="TextRefCopy63">#REF!</definedName>
    <definedName name="TextRefCopy64">#REF!</definedName>
    <definedName name="TextRefCopy65">#REF!</definedName>
    <definedName name="TextRefCopy66">#REF!</definedName>
    <definedName name="TextRefCopy67">#REF!</definedName>
    <definedName name="TextRefCopy68">#REF!</definedName>
    <definedName name="TextRefCopy69">#REF!</definedName>
    <definedName name="TextRefCopy7">#REF!</definedName>
    <definedName name="TextRefCopy70">#REF!</definedName>
    <definedName name="TextRefCopy71">#REF!</definedName>
    <definedName name="TextRefCopy72">#REF!</definedName>
    <definedName name="TextRefCopy73">#REF!</definedName>
    <definedName name="TextRefCopy74">#REF!</definedName>
    <definedName name="TextRefCopy75">#REF!</definedName>
    <definedName name="TextRefCopy76">#REF!</definedName>
    <definedName name="TextRefCopy77">#REF!</definedName>
    <definedName name="TextRefCopy78">#REF!</definedName>
    <definedName name="TextRefCopy79">#REF!</definedName>
    <definedName name="TextRefCopy8">#REF!</definedName>
    <definedName name="TextRefCopy80">#REF!</definedName>
    <definedName name="TextRefCopy81">#REF!</definedName>
    <definedName name="TextRefCopy82">#REF!</definedName>
    <definedName name="TextRefCopy83">#REF!</definedName>
    <definedName name="TextRefCopy84">#REF!</definedName>
    <definedName name="TextRefCopy85">#REF!</definedName>
    <definedName name="TextRefCopy86">#REF!</definedName>
    <definedName name="TextRefCopy87">#REF!</definedName>
    <definedName name="TextRefCopy88">#REF!</definedName>
    <definedName name="TextRefCopy89">#REF!</definedName>
    <definedName name="TextRefCopy9">#REF!</definedName>
    <definedName name="TextRefCopy90">#REF!</definedName>
    <definedName name="TextRefCopy91">#REF!</definedName>
    <definedName name="TextRefCopy92">#REF!</definedName>
    <definedName name="TextRefCopy93">#REF!</definedName>
    <definedName name="TextRefCopy94">#REF!</definedName>
    <definedName name="TextRefCopy95">#REF!</definedName>
    <definedName name="TextRefCopy96">#REF!</definedName>
    <definedName name="TextRefCopy97">#REF!</definedName>
    <definedName name="TextRefCopy98">#REF!</definedName>
    <definedName name="TextRefCopy99">#REF!</definedName>
    <definedName name="TextRefCopyRangeCount" hidden="1">136</definedName>
    <definedName name="Total_AR_Value">#REF!</definedName>
    <definedName name="ty">#REF!</definedName>
    <definedName name="u">#REF!</definedName>
    <definedName name="UFPrn20000310061247">#REF!</definedName>
    <definedName name="UFPrn20000324091925">#REF!</definedName>
    <definedName name="UFPrn20021008134934">#REF!</definedName>
    <definedName name="ui">#REF!</definedName>
    <definedName name="uio">#REF!</definedName>
    <definedName name="v">#REF!</definedName>
    <definedName name="vb">#REF!</definedName>
    <definedName name="w">#REF!</definedName>
    <definedName name="Warranty">#REF!</definedName>
    <definedName name="wer">#REF!</definedName>
    <definedName name="xc">#REF!</definedName>
    <definedName name="xcv">#REF!</definedName>
    <definedName name="XREF_COLUMN_1" hidden="1">#REF!</definedName>
    <definedName name="XREF_COLUMN_2" hidden="1">[12]Breakdown!#REF!</definedName>
    <definedName name="XREF_COLUMN_3" hidden="1">#REF!</definedName>
    <definedName name="XREF_COLUMN_5" hidden="1">'[13]2004'!#REF!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y">#REF!</definedName>
    <definedName name="yu">#REF!</definedName>
    <definedName name="zhjjl">#REF!</definedName>
    <definedName name="巴拉贡库">#REF!</definedName>
    <definedName name="包头2">[14]本期报表!$A$6:$D$139</definedName>
    <definedName name="包头报表">[14]本期报表!$A$6:$D$139</definedName>
    <definedName name="包头报表1">[14]本期报表!$A$6:$D$139</definedName>
    <definedName name="本期报表">[15]本期报表!$A$6:$D$139</definedName>
    <definedName name="本循环科目" hidden="1">[16]索引!$D$15:$D$76</definedName>
    <definedName name="表">#REF!</definedName>
    <definedName name="场地租赁合同书">#REF!</definedName>
    <definedName name="场内联营厂商合同书">#REF!</definedName>
    <definedName name="存货93期初">[17]企业表一!$C$7</definedName>
    <definedName name="存货93期末">[17]企业表一!$D$7</definedName>
    <definedName name="存货94期初">[17]企业表一!$E$7</definedName>
    <definedName name="存货94期末">[17]企业表一!$F$7</definedName>
    <definedName name="存货95期初">[17]企业表一!$G$7</definedName>
    <definedName name="存货95期末">[17]企业表一!$H$7</definedName>
    <definedName name="待处理固定资产净损失明细表">#REF!</definedName>
    <definedName name="东胜库">#REF!</definedName>
    <definedName name="短期投资_债券_明细表">#REF!</definedName>
    <definedName name="负债合计93期末">[17]企业表一!$D$17</definedName>
    <definedName name="负债合计94期末">[17]企业表一!$F$17</definedName>
    <definedName name="负债合计95期末">[17]企业表一!$H$17</definedName>
    <definedName name="管理费用明细表">#REF!</definedName>
    <definedName name="广州库">[18]广州库!$A$1:$O$2970</definedName>
    <definedName name="合并价差明细表">#REF!</definedName>
    <definedName name="汇率">#REF!</definedName>
    <definedName name="截止日">[19]表头信息!$B$3</definedName>
    <definedName name="借贷">[20]科目名称表!$A$2:$A$3</definedName>
    <definedName name="进项税">#REF!</definedName>
    <definedName name="净_利_润93">'[17]M-5C'!$B$24</definedName>
    <definedName name="净_利_润94">'[17]M-5C'!$D$24</definedName>
    <definedName name="净_利_润95">'[17]M-5C'!$F$24</definedName>
    <definedName name="净资产合计93期初">[17]企业表一!$C$20</definedName>
    <definedName name="净资产合计93期末">[17]企业表一!$D$20</definedName>
    <definedName name="净资产合计94期初">[17]企业表一!$E$20</definedName>
    <definedName name="净资产合计94期末">[17]企业表一!$F$20</definedName>
    <definedName name="净资产合计95期初">[17]企业表一!$G$20</definedName>
    <definedName name="净资产合计95期末">[17]企业表一!$H$20</definedName>
    <definedName name="开办费明细表">#REF!</definedName>
    <definedName name="累计折旧明细表">#REF!</definedName>
    <definedName name="利_润_总_额93">'[17]M-5A'!$B$10</definedName>
    <definedName name="利_润_总_额94">'[17]M-5A'!$C$10</definedName>
    <definedName name="利_润_总_额95">'[17]M-5A'!$D$10</definedName>
    <definedName name="流_动_资_产93">'[17]M-5A'!$B$15</definedName>
    <definedName name="流_动_资_产94">'[17]M-5A'!$C$15</definedName>
    <definedName name="流_动_资_产95">'[17]M-5A'!$D$15</definedName>
    <definedName name="流动负债93期末">[17]企业表一!$D$15</definedName>
    <definedName name="流动负债94期末">[17]企业表一!$F$15</definedName>
    <definedName name="流动负债95期末">[17]企业表一!$H$15</definedName>
    <definedName name="评估汇总项目">[21]项目信息!#REF!</definedName>
    <definedName name="其他货币资金明细表">#REF!</definedName>
    <definedName name="其他未交款明细表">#REF!</definedName>
    <definedName name="其他应付款明细表">#REF!</definedName>
    <definedName name="其他应收款明细表">#REF!</definedName>
    <definedName name="上期报表">[22]上期报表!$A$6:$D$150</definedName>
    <definedName name="生产成本2">[23]生产成本账!$A$2:$D$235</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收入对">#REF!</definedName>
    <definedName name="宋体">[24]现金!#REF!</definedName>
    <definedName name="速_动_资_产93">'[17]M-5A'!$B$14</definedName>
    <definedName name="速_动_资_产94">'[17]M-5A'!$C$14</definedName>
    <definedName name="速_动_资_产95">'[17]M-5A'!$D$14</definedName>
    <definedName name="未">[25]本期报表!$A$6:$D$139</definedName>
    <definedName name="未交税金明细表">#REF!</definedName>
    <definedName name="温">[26]本期报表!$A$6:$D$150</definedName>
    <definedName name="无对应明细表的报表项目">#REF!</definedName>
    <definedName name="已交增值税">#REF!</definedName>
    <definedName name="以前年度损益调整明细表">#REF!</definedName>
    <definedName name="银行存款">[27]银行借款询证!#REF!</definedName>
    <definedName name="营业外支出明细表">#REF!</definedName>
    <definedName name="应付福利费">#REF!</definedName>
    <definedName name="应付工资">#REF!</definedName>
    <definedName name="应付票据明细表">#REF!</definedName>
    <definedName name="应收帐款93期初">[17]企业表一!$C$6</definedName>
    <definedName name="应收帐款93期末">[17]企业表一!$D$6</definedName>
    <definedName name="应收帐款94期初">[17]企业表一!$E$6</definedName>
    <definedName name="应收帐款94期末">[17]企业表一!$F$6</definedName>
    <definedName name="应收帐款95期初">[17]企业表一!$G$6</definedName>
    <definedName name="应收帐款95期末">[17]企业表一!$H$6</definedName>
    <definedName name="预付帐款明细表">#REF!</definedName>
    <definedName name="预收货款明细表">#REF!</definedName>
    <definedName name="预提">#REF!</definedName>
    <definedName name="预提费用">#REF!</definedName>
    <definedName name="预提费用明细表">#REF!</definedName>
    <definedName name="资产合计93期初">[17]企业表一!$C$14</definedName>
    <definedName name="资产合计93期末">[17]企业表一!$D$14</definedName>
    <definedName name="资产合计94期初">[17]企业表一!$E$14</definedName>
    <definedName name="资产合计94期末">[17]企业表一!$F$14</definedName>
    <definedName name="资产合计95期初">[17]企业表一!$G$14</definedName>
    <definedName name="资产合计95期末">[17]企业表一!$H$14</definedName>
    <definedName name="전">#REF!</definedName>
    <definedName name="주택사업본부">#REF!</definedName>
    <definedName name="철구사업본부">#REF!</definedName>
    <definedName name="_xlnm.Print_Area" localSheetId="1">TB损益!$A$1:$K$58</definedName>
    <definedName name="_xlnm.Print_Titles" localSheetId="1">TB损益!$1:$5</definedName>
    <definedName name="_xlnm.Print_Area" localSheetId="2">TB现金流!$A$1:$E$82</definedName>
    <definedName name="_xlnm.Print_Titles" localSheetId="2">TB现金流!$1:$5</definedName>
    <definedName name="_xlnm.Print_Area" localSheetId="0">TB资产负债!$A$1:$G$52</definedName>
    <definedName name="_xlnm.Print_Titles" localSheetId="0">TB资产负债!$1:$5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<sst xmlns="http://schemas.openxmlformats.org/spreadsheetml/2006/main" count="83" uniqueCount="63">
  <si>
    <t>资产负债表试算平衡</t>
  </si>
  <si>
    <r>
      <rPr>
        <sz val="10"/>
        <rFont val="宋体"/>
        <charset val="134"/>
      </rPr>
      <t>索引：</t>
    </r>
    <r>
      <rPr>
        <sz val="10"/>
        <rFont val="Arial Narrow"/>
        <charset val="134"/>
      </rPr>
      <t xml:space="preserve"> </t>
    </r>
    <r>
      <rPr>
        <u/>
        <sz val="10"/>
        <rFont val="Arial Narrow"/>
        <charset val="134"/>
      </rPr>
      <t xml:space="preserve">           </t>
    </r>
  </si>
  <si>
    <t>日期：</t>
  </si>
  <si>
    <r>
      <rPr>
        <sz val="10"/>
        <rFont val="宋体"/>
        <charset val="134"/>
      </rPr>
      <t>分页：</t>
    </r>
    <r>
      <rPr>
        <u/>
        <sz val="10"/>
        <rFont val="Arial Narrow"/>
        <charset val="134"/>
      </rPr>
      <t xml:space="preserve">       </t>
    </r>
    <r>
      <rPr>
        <sz val="10"/>
        <rFont val="Arial Narrow"/>
        <charset val="134"/>
      </rPr>
      <t xml:space="preserve">    </t>
    </r>
  </si>
  <si>
    <t>项目</t>
  </si>
  <si>
    <t>未审数</t>
  </si>
  <si>
    <t>账项调整</t>
  </si>
  <si>
    <t>报表调整</t>
  </si>
  <si>
    <t>审定数</t>
  </si>
  <si>
    <t>借方</t>
  </si>
  <si>
    <t>贷方</t>
  </si>
  <si>
    <t>流动负债：</t>
  </si>
  <si>
    <t>短期借款</t>
  </si>
  <si>
    <t>交易性金融负债</t>
  </si>
  <si>
    <t>以公允价值计量且其变动计入当期损益的金融负债</t>
  </si>
  <si>
    <t>衍生金融负债</t>
  </si>
  <si>
    <t>应付票据</t>
  </si>
  <si>
    <t>应付账款</t>
  </si>
  <si>
    <t>预收款项</t>
  </si>
  <si>
    <t>合同负债</t>
  </si>
  <si>
    <t>应付职工薪酬</t>
  </si>
  <si>
    <t>应交税费</t>
  </si>
  <si>
    <t>其他应付款</t>
  </si>
  <si>
    <t xml:space="preserve">  其中：应付利息</t>
  </si>
  <si>
    <t xml:space="preserve">        应付股利</t>
  </si>
  <si>
    <t>持有待售负债</t>
  </si>
  <si>
    <t>一年内到期的非流动负债</t>
  </si>
  <si>
    <t>其他流动负债</t>
  </si>
  <si>
    <t>流动负债合计</t>
  </si>
  <si>
    <t>非流动负债:</t>
  </si>
  <si>
    <t>长期借款</t>
  </si>
  <si>
    <t>应付债券</t>
  </si>
  <si>
    <t xml:space="preserve">  其中：优先股</t>
  </si>
  <si>
    <t xml:space="preserve">        永续债</t>
  </si>
  <si>
    <t>租赁负债</t>
  </si>
  <si>
    <t>长期应付款</t>
  </si>
  <si>
    <t>长期应付职工薪酬</t>
  </si>
  <si>
    <t>预计负债</t>
  </si>
  <si>
    <t>递延收益</t>
  </si>
  <si>
    <t>递延所得税负债</t>
  </si>
  <si>
    <t>其他非流动负债</t>
  </si>
  <si>
    <t>非流动负债合计</t>
  </si>
  <si>
    <t>负 债 合 计</t>
  </si>
  <si>
    <t>股东权益：</t>
  </si>
  <si>
    <t>股本</t>
  </si>
  <si>
    <t>其他权益工具</t>
  </si>
  <si>
    <t>资本公积</t>
  </si>
  <si>
    <t>减：库存股</t>
  </si>
  <si>
    <t>其他综合收益</t>
  </si>
  <si>
    <t>专项储备</t>
  </si>
  <si>
    <t>盈余公积</t>
  </si>
  <si>
    <t>未分配利润</t>
  </si>
  <si>
    <t>归属于母公司股东权益合计</t>
  </si>
  <si>
    <t>少数股东权益</t>
  </si>
  <si>
    <t>股东权益合计</t>
  </si>
  <si>
    <t>负债和股东权益合计</t>
  </si>
  <si>
    <t>母公司利润及利润分配表试算平衡</t>
  </si>
  <si>
    <t>母公司汇总</t>
  </si>
  <si>
    <t>汇总抵销</t>
  </si>
  <si>
    <t>调后数</t>
  </si>
  <si>
    <t>剥离调整</t>
  </si>
  <si>
    <t>母公司审定数</t>
  </si>
  <si>
    <t>母公司汇总现金流量表试算平衡</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</si>
</sst>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2]* #,##0.00_);_([$€-2]* \(#,##0.00\);_([$€-2]* &quot;-&quot;??_)"/>
    <numFmt numFmtId="177" formatCode="#,##0.00_ "/>
    <numFmt numFmtId="178" formatCode="#,##0.0000_ "/>
  </numFmts>
  <fonts count="42">
    <font>
      <sz val="12"/>
      <name val="宋体"/>
      <charset val="134"/>
    </font>
    <font>
      <sz val="10"/>
      <name val="Arial Narrow"/>
      <charset val="134"/>
    </font>
    <font>
      <b/>
      <sz val="9"/>
      <name val="Arial Narrow"/>
      <charset val="134"/>
    </font>
    <font>
      <sz val="9"/>
      <name val="Arial Narrow"/>
      <charset val="134"/>
    </font>
    <font>
      <b/>
      <sz val="14"/>
      <name val="宋体"/>
      <charset val="134"/>
    </font>
    <font>
      <b/>
      <sz val="14"/>
      <name val="Arial Narrow"/>
      <charset val="134"/>
    </font>
    <font>
      <sz val="10"/>
      <name val="宋体"/>
      <charset val="134"/>
    </font>
    <font>
      <b/>
      <sz val="11"/>
      <name val="宋体"/>
      <charset val="134"/>
    </font>
    <font>
      <b/>
      <sz val="10"/>
      <name val="宋体"/>
      <charset val="134"/>
    </font>
    <font>
      <b/>
      <sz val="11"/>
      <name val="Arial Narrow"/>
      <charset val="134"/>
    </font>
    <font>
      <i/>
      <sz val="10"/>
      <name val="Arial Narrow"/>
      <charset val="134"/>
    </font>
    <font>
      <b/>
      <sz val="10"/>
      <name val="Arial Narrow"/>
      <charset val="134"/>
    </font>
    <font>
      <b/>
      <i/>
      <sz val="10"/>
      <color indexed="12"/>
      <name val="Arial Narrow"/>
      <charset val="134"/>
    </font>
    <font>
      <sz val="9"/>
      <color theme="0"/>
      <name val="Arial Narrow"/>
      <charset val="134"/>
    </font>
    <font>
      <b/>
      <sz val="10"/>
      <color indexed="10"/>
      <name val="Arial Narrow"/>
      <charset val="134"/>
    </font>
    <font>
      <b/>
      <sz val="11"/>
      <color indexed="10"/>
      <name val="Arial Narrow"/>
      <charset val="134"/>
    </font>
    <font>
      <sz val="8"/>
      <name val="Arial Narrow"/>
      <charset val="134"/>
    </font>
    <font>
      <sz val="9"/>
      <name val="宋体"/>
      <charset val="134"/>
    </font>
    <font>
      <sz val="10"/>
      <name val="Times New Roman"/>
      <charset val="134"/>
    </font>
    <font>
      <b/>
      <sz val="10"/>
      <name val="Times New Roman"/>
      <charset val="134"/>
    </font>
    <font>
      <sz val="12"/>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0"/>
      <name val="Arial Narrow"/>
      <charset val="134"/>
    </font>
  </fonts>
  <fills count="35">
    <fill>
      <patternFill patternType="none"/>
    </fill>
    <fill>
      <patternFill patternType="gray125"/>
    </fill>
    <fill>
      <patternFill patternType="solid">
        <fgColor indexed="41"/>
        <bgColor indexed="64"/>
      </patternFill>
    </fill>
    <fill>
      <patternFill patternType="solid">
        <fgColor rgb="FFCC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right style="hair">
        <color auto="1"/>
      </right>
      <top style="thin">
        <color auto="1"/>
      </top>
      <bottom style="hair">
        <color auto="1"/>
      </bottom>
      <diagonal/>
    </border>
    <border>
      <left style="hair">
        <color auto="1"/>
      </left>
      <right style="hair">
        <color auto="1"/>
      </right>
      <top style="thin">
        <color auto="1"/>
      </top>
      <bottom/>
      <diagonal/>
    </border>
    <border>
      <left style="hair">
        <color auto="1"/>
      </left>
      <right/>
      <top style="thin">
        <color auto="1"/>
      </top>
      <bottom/>
      <diagonal/>
    </border>
    <border>
      <left/>
      <right style="hair">
        <color auto="1"/>
      </right>
      <top style="hair">
        <color auto="1"/>
      </top>
      <bottom style="thin">
        <color auto="1"/>
      </bottom>
      <diagonal/>
    </border>
    <border>
      <left style="hair">
        <color auto="1"/>
      </left>
      <right style="hair">
        <color auto="1"/>
      </right>
      <top/>
      <bottom style="thin">
        <color auto="1"/>
      </bottom>
      <diagonal/>
    </border>
    <border>
      <left style="hair">
        <color auto="1"/>
      </left>
      <right/>
      <top/>
      <bottom style="thin">
        <color auto="1"/>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right/>
      <top style="thin">
        <color auto="1"/>
      </top>
      <bottom/>
      <diagonal/>
    </border>
    <border>
      <left/>
      <right/>
      <top/>
      <bottom style="thin">
        <color auto="1"/>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176" fontId="0" fillId="0" borderId="0">
      <protection locked="0"/>
    </xf>
    <xf numFmtId="43" fontId="20" fillId="0" borderId="0" applyFont="0" applyFill="0" applyBorder="0" applyAlignment="0" applyProtection="0"/>
    <xf numFmtId="44" fontId="21" fillId="0" borderId="0" applyFont="0" applyFill="0" applyBorder="0" applyAlignment="0" applyProtection="0">
      <alignment vertical="center"/>
    </xf>
    <xf numFmtId="9" fontId="21" fillId="0" borderId="0" applyFont="0" applyFill="0" applyBorder="0" applyAlignment="0" applyProtection="0">
      <alignment vertical="center"/>
    </xf>
    <xf numFmtId="41" fontId="21" fillId="0" borderId="0" applyFont="0" applyFill="0" applyBorder="0" applyAlignment="0" applyProtection="0">
      <alignment vertical="center"/>
    </xf>
    <xf numFmtId="42" fontId="21"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1" fillId="4" borderId="23"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24" applyNumberFormat="0" applyFill="0" applyAlignment="0" applyProtection="0">
      <alignment vertical="center"/>
    </xf>
    <xf numFmtId="0" fontId="28" fillId="0" borderId="24" applyNumberFormat="0" applyFill="0" applyAlignment="0" applyProtection="0">
      <alignment vertical="center"/>
    </xf>
    <xf numFmtId="0" fontId="29" fillId="0" borderId="25" applyNumberFormat="0" applyFill="0" applyAlignment="0" applyProtection="0">
      <alignment vertical="center"/>
    </xf>
    <xf numFmtId="0" fontId="29" fillId="0" borderId="0" applyNumberFormat="0" applyFill="0" applyBorder="0" applyAlignment="0" applyProtection="0">
      <alignment vertical="center"/>
    </xf>
    <xf numFmtId="0" fontId="30" fillId="5" borderId="26" applyNumberFormat="0" applyAlignment="0" applyProtection="0">
      <alignment vertical="center"/>
    </xf>
    <xf numFmtId="0" fontId="31" fillId="6" borderId="27" applyNumberFormat="0" applyAlignment="0" applyProtection="0">
      <alignment vertical="center"/>
    </xf>
    <xf numFmtId="0" fontId="32" fillId="6" borderId="26" applyNumberFormat="0" applyAlignment="0" applyProtection="0">
      <alignment vertical="center"/>
    </xf>
    <xf numFmtId="0" fontId="33" fillId="7" borderId="28" applyNumberFormat="0" applyAlignment="0" applyProtection="0">
      <alignment vertical="center"/>
    </xf>
    <xf numFmtId="0" fontId="34" fillId="0" borderId="29" applyNumberFormat="0" applyFill="0" applyAlignment="0" applyProtection="0">
      <alignment vertical="center"/>
    </xf>
    <xf numFmtId="0" fontId="35" fillId="0" borderId="30" applyNumberFormat="0" applyFill="0" applyAlignment="0" applyProtection="0">
      <alignment vertical="center"/>
    </xf>
    <xf numFmtId="0" fontId="36" fillId="8" borderId="0" applyNumberFormat="0" applyBorder="0" applyAlignment="0" applyProtection="0">
      <alignment vertical="center"/>
    </xf>
    <xf numFmtId="0" fontId="37" fillId="9" borderId="0" applyNumberFormat="0" applyBorder="0" applyAlignment="0" applyProtection="0">
      <alignment vertical="center"/>
    </xf>
    <xf numFmtId="0" fontId="38" fillId="10" borderId="0" applyNumberFormat="0" applyBorder="0" applyAlignment="0" applyProtection="0">
      <alignment vertical="center"/>
    </xf>
    <xf numFmtId="0" fontId="39"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39" fillId="14" borderId="0" applyNumberFormat="0" applyBorder="0" applyAlignment="0" applyProtection="0">
      <alignment vertical="center"/>
    </xf>
    <xf numFmtId="0" fontId="39"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39" fillId="18" borderId="0" applyNumberFormat="0" applyBorder="0" applyAlignment="0" applyProtection="0">
      <alignment vertical="center"/>
    </xf>
    <xf numFmtId="0" fontId="39"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40" fillId="32" borderId="0" applyNumberFormat="0" applyBorder="0" applyAlignment="0" applyProtection="0">
      <alignment vertical="center"/>
    </xf>
    <xf numFmtId="0" fontId="40" fillId="33" borderId="0" applyNumberFormat="0" applyBorder="0" applyAlignment="0" applyProtection="0">
      <alignment vertical="center"/>
    </xf>
    <xf numFmtId="0" fontId="39" fillId="34" borderId="0" applyNumberFormat="0" applyBorder="0" applyAlignment="0" applyProtection="0">
      <alignment vertical="center"/>
    </xf>
    <xf numFmtId="176" fontId="17" fillId="0" borderId="0">
      <protection locked="0"/>
    </xf>
    <xf numFmtId="176" fontId="20" fillId="0" borderId="0">
      <protection locked="0"/>
    </xf>
  </cellStyleXfs>
  <cellXfs count="106">
    <xf numFmtId="176" fontId="0" fillId="0" borderId="0" xfId="0">
      <protection locked="0"/>
    </xf>
    <xf numFmtId="177" fontId="1" fillId="0" borderId="0" xfId="49" applyNumberFormat="1" applyFont="1" applyAlignment="1">
      <alignment vertical="center"/>
      <protection locked="0"/>
    </xf>
    <xf numFmtId="177" fontId="2" fillId="0" borderId="0" xfId="49" applyNumberFormat="1" applyFont="1" applyAlignment="1">
      <alignment vertical="center"/>
      <protection locked="0"/>
    </xf>
    <xf numFmtId="177" fontId="3" fillId="0" borderId="0" xfId="49" applyNumberFormat="1" applyFont="1" applyAlignment="1">
      <alignment vertical="center"/>
      <protection locked="0"/>
    </xf>
    <xf numFmtId="176" fontId="4" fillId="0" borderId="0" xfId="49" applyFont="1" applyAlignment="1">
      <alignment horizontal="centerContinuous" vertical="center"/>
      <protection locked="0"/>
    </xf>
    <xf numFmtId="177" fontId="5" fillId="0" borderId="0" xfId="49" applyNumberFormat="1" applyFont="1" applyAlignment="1">
      <alignment horizontal="centerContinuous" vertical="center"/>
      <protection locked="0"/>
    </xf>
    <xf numFmtId="177" fontId="6" fillId="0" borderId="0" xfId="49" applyNumberFormat="1" applyFont="1" applyAlignment="1" applyProtection="1">
      <alignment vertical="center"/>
    </xf>
    <xf numFmtId="177" fontId="6" fillId="0" borderId="0" xfId="49" applyNumberFormat="1" applyFont="1" applyBorder="1" applyAlignment="1" applyProtection="1">
      <alignment horizontal="left" vertical="center"/>
    </xf>
    <xf numFmtId="177" fontId="6" fillId="0" borderId="0" xfId="49" applyNumberFormat="1" applyFont="1" applyAlignment="1" applyProtection="1">
      <alignment horizontal="left" vertical="center"/>
    </xf>
    <xf numFmtId="177" fontId="1" fillId="0" borderId="0" xfId="49" applyNumberFormat="1" applyFont="1" applyAlignment="1" applyProtection="1">
      <alignment vertical="center"/>
    </xf>
    <xf numFmtId="177" fontId="1" fillId="0" borderId="0" xfId="49" applyNumberFormat="1" applyFont="1" applyBorder="1" applyAlignment="1" applyProtection="1">
      <alignment horizontal="left" vertical="center"/>
    </xf>
    <xf numFmtId="177" fontId="7" fillId="0" borderId="1" xfId="49" applyNumberFormat="1" applyFont="1" applyBorder="1" applyAlignment="1" applyProtection="1">
      <alignment horizontal="center" vertical="center"/>
    </xf>
    <xf numFmtId="177" fontId="8" fillId="0" borderId="2" xfId="49" applyNumberFormat="1" applyFont="1" applyBorder="1" applyAlignment="1" applyProtection="1">
      <alignment horizontal="center" vertical="center" wrapText="1"/>
    </xf>
    <xf numFmtId="177" fontId="8" fillId="0" borderId="2" xfId="49" applyNumberFormat="1" applyFont="1" applyBorder="1" applyAlignment="1" applyProtection="1">
      <alignment horizontal="center" vertical="center"/>
    </xf>
    <xf numFmtId="177" fontId="8" fillId="0" borderId="3" xfId="49" applyNumberFormat="1" applyFont="1" applyBorder="1" applyAlignment="1" applyProtection="1">
      <alignment horizontal="center" vertical="center"/>
    </xf>
    <xf numFmtId="177" fontId="9" fillId="0" borderId="4" xfId="49" applyNumberFormat="1" applyFont="1" applyBorder="1" applyAlignment="1" applyProtection="1">
      <alignment horizontal="center" vertical="center"/>
    </xf>
    <xf numFmtId="177" fontId="8" fillId="0" borderId="5" xfId="49" applyNumberFormat="1" applyFont="1" applyBorder="1" applyAlignment="1" applyProtection="1">
      <alignment horizontal="center" vertical="center" wrapText="1"/>
    </xf>
    <xf numFmtId="177" fontId="8" fillId="0" borderId="5" xfId="49" applyNumberFormat="1" applyFont="1" applyBorder="1" applyAlignment="1" applyProtection="1">
      <alignment horizontal="center" vertical="center"/>
    </xf>
    <xf numFmtId="177" fontId="8" fillId="0" borderId="6" xfId="49" applyNumberFormat="1" applyFont="1" applyBorder="1" applyAlignment="1" applyProtection="1">
      <alignment horizontal="center" vertical="center"/>
    </xf>
    <xf numFmtId="176" fontId="10" fillId="0" borderId="1" xfId="1" applyNumberFormat="1" applyFont="1" applyBorder="1" applyProtection="1">
      <protection locked="0"/>
    </xf>
    <xf numFmtId="43" fontId="1" fillId="0" borderId="7" xfId="1" applyFont="1" applyBorder="1" applyProtection="1">
      <protection locked="0"/>
    </xf>
    <xf numFmtId="177" fontId="3" fillId="0" borderId="7" xfId="49" applyNumberFormat="1" applyFont="1" applyBorder="1" applyAlignment="1">
      <alignment vertical="center"/>
      <protection locked="0"/>
    </xf>
    <xf numFmtId="177" fontId="3" fillId="0" borderId="8" xfId="49" applyNumberFormat="1" applyFont="1" applyBorder="1" applyAlignment="1">
      <alignment vertical="center"/>
      <protection locked="0"/>
    </xf>
    <xf numFmtId="176" fontId="1" fillId="0" borderId="9" xfId="1" applyNumberFormat="1" applyFont="1" applyBorder="1" applyAlignment="1" applyProtection="1">
      <alignment horizontal="left"/>
      <protection locked="0"/>
    </xf>
    <xf numFmtId="43" fontId="1" fillId="0" borderId="10" xfId="1" applyFont="1" applyBorder="1" applyProtection="1">
      <protection locked="0"/>
    </xf>
    <xf numFmtId="177" fontId="3" fillId="0" borderId="10" xfId="49" applyNumberFormat="1" applyFont="1" applyBorder="1" applyAlignment="1">
      <alignment vertical="center"/>
      <protection locked="0"/>
    </xf>
    <xf numFmtId="177" fontId="3" fillId="0" borderId="11" xfId="49" applyNumberFormat="1" applyFont="1" applyBorder="1" applyAlignment="1">
      <alignment vertical="center"/>
      <protection locked="0"/>
    </xf>
    <xf numFmtId="176" fontId="11" fillId="0" borderId="9" xfId="1" applyNumberFormat="1" applyFont="1" applyBorder="1" applyAlignment="1" applyProtection="1">
      <alignment horizontal="center"/>
      <protection locked="0"/>
    </xf>
    <xf numFmtId="43" fontId="11" fillId="0" borderId="10" xfId="1" applyFont="1" applyBorder="1" applyProtection="1">
      <protection locked="0"/>
    </xf>
    <xf numFmtId="177" fontId="2" fillId="0" borderId="11" xfId="49" applyNumberFormat="1" applyFont="1" applyBorder="1" applyAlignment="1">
      <alignment vertical="center"/>
      <protection locked="0"/>
    </xf>
    <xf numFmtId="176" fontId="10" fillId="0" borderId="9" xfId="1" applyNumberFormat="1" applyFont="1" applyBorder="1" applyAlignment="1" applyProtection="1">
      <alignment horizontal="left"/>
      <protection locked="0"/>
    </xf>
    <xf numFmtId="176" fontId="1" fillId="0" borderId="9" xfId="1" applyNumberFormat="1" applyFont="1" applyBorder="1" applyAlignment="1" applyProtection="1">
      <alignment horizontal="left" indent="1"/>
      <protection locked="0"/>
    </xf>
    <xf numFmtId="176" fontId="11" fillId="0" borderId="9" xfId="1" applyNumberFormat="1" applyFont="1" applyBorder="1" applyAlignment="1" applyProtection="1">
      <alignment horizontal="left"/>
      <protection locked="0"/>
    </xf>
    <xf numFmtId="176" fontId="11" fillId="0" borderId="4" xfId="1" applyNumberFormat="1" applyFont="1" applyBorder="1" applyProtection="1">
      <protection locked="0"/>
    </xf>
    <xf numFmtId="43" fontId="11" fillId="0" borderId="12" xfId="1" applyFont="1" applyBorder="1" applyProtection="1">
      <protection locked="0"/>
    </xf>
    <xf numFmtId="177" fontId="2" fillId="0" borderId="13" xfId="49" applyNumberFormat="1" applyFont="1" applyBorder="1" applyAlignment="1">
      <alignment vertical="center"/>
      <protection locked="0"/>
    </xf>
    <xf numFmtId="176" fontId="1" fillId="0" borderId="14" xfId="1" applyNumberFormat="1" applyFont="1" applyBorder="1" applyProtection="1">
      <protection locked="0"/>
    </xf>
    <xf numFmtId="43" fontId="1" fillId="0" borderId="14" xfId="1" applyFont="1" applyBorder="1" applyProtection="1">
      <protection locked="0"/>
    </xf>
    <xf numFmtId="177" fontId="3" fillId="0" borderId="14" xfId="49" applyNumberFormat="1" applyFont="1" applyBorder="1" applyAlignment="1">
      <alignment vertical="center"/>
      <protection locked="0"/>
    </xf>
    <xf numFmtId="176" fontId="11" fillId="0" borderId="0" xfId="1" applyNumberFormat="1" applyFont="1" applyBorder="1" applyAlignment="1" applyProtection="1">
      <alignment horizontal="center"/>
      <protection locked="0"/>
    </xf>
    <xf numFmtId="43" fontId="11" fillId="0" borderId="0" xfId="1" applyFont="1" applyBorder="1" applyProtection="1">
      <protection locked="0"/>
    </xf>
    <xf numFmtId="177" fontId="3" fillId="0" borderId="0" xfId="49" applyNumberFormat="1" applyFont="1" applyBorder="1" applyAlignment="1">
      <alignment vertical="center"/>
      <protection locked="0"/>
    </xf>
    <xf numFmtId="43" fontId="12" fillId="0" borderId="15" xfId="1" applyNumberFormat="1" applyFont="1" applyBorder="1" applyProtection="1">
      <protection locked="0"/>
    </xf>
    <xf numFmtId="43" fontId="1" fillId="0" borderId="15" xfId="1" applyFont="1" applyBorder="1" applyProtection="1">
      <protection locked="0"/>
    </xf>
    <xf numFmtId="177" fontId="3" fillId="0" borderId="15" xfId="49" applyNumberFormat="1" applyFont="1" applyBorder="1" applyAlignment="1">
      <alignment vertical="center"/>
      <protection locked="0"/>
    </xf>
    <xf numFmtId="176" fontId="11" fillId="0" borderId="1" xfId="1" applyNumberFormat="1" applyFont="1" applyBorder="1" applyProtection="1">
      <protection locked="0"/>
    </xf>
    <xf numFmtId="176" fontId="11" fillId="0" borderId="4" xfId="1" applyNumberFormat="1" applyFont="1" applyBorder="1" applyAlignment="1" applyProtection="1">
      <alignment horizontal="left"/>
      <protection locked="0"/>
    </xf>
    <xf numFmtId="177" fontId="13" fillId="0" borderId="0" xfId="49" applyNumberFormat="1" applyFont="1" applyAlignment="1">
      <alignment vertical="center"/>
      <protection locked="0"/>
    </xf>
    <xf numFmtId="176" fontId="4" fillId="0" borderId="0" xfId="49" applyFont="1" applyAlignment="1" applyProtection="1">
      <alignment horizontal="centerContinuous" vertical="center"/>
    </xf>
    <xf numFmtId="177" fontId="5" fillId="0" borderId="0" xfId="49" applyNumberFormat="1" applyFont="1" applyAlignment="1" applyProtection="1">
      <alignment horizontal="centerContinuous" vertical="center"/>
    </xf>
    <xf numFmtId="177" fontId="5" fillId="0" borderId="0" xfId="49" applyNumberFormat="1" applyFont="1" applyAlignment="1">
      <alignment horizontal="center" vertical="center"/>
      <protection locked="0"/>
    </xf>
    <xf numFmtId="177" fontId="14" fillId="0" borderId="0" xfId="49" applyNumberFormat="1" applyFont="1" applyAlignment="1" applyProtection="1">
      <alignment vertical="center"/>
    </xf>
    <xf numFmtId="177" fontId="15" fillId="0" borderId="0" xfId="49" applyNumberFormat="1" applyFont="1" applyAlignment="1" applyProtection="1">
      <alignment horizontal="center" vertical="center"/>
    </xf>
    <xf numFmtId="177" fontId="1" fillId="0" borderId="0" xfId="49" applyNumberFormat="1" applyFont="1" applyAlignment="1" applyProtection="1">
      <alignment horizontal="left" vertical="center"/>
    </xf>
    <xf numFmtId="177" fontId="9" fillId="0" borderId="1" xfId="49" applyNumberFormat="1" applyFont="1" applyBorder="1" applyAlignment="1" applyProtection="1">
      <alignment horizontal="center" vertical="center" wrapText="1"/>
    </xf>
    <xf numFmtId="177" fontId="8" fillId="0" borderId="7" xfId="49" applyNumberFormat="1" applyFont="1" applyBorder="1" applyAlignment="1" applyProtection="1">
      <alignment horizontal="center" vertical="center"/>
    </xf>
    <xf numFmtId="177" fontId="9" fillId="0" borderId="4" xfId="49" applyNumberFormat="1" applyFont="1" applyBorder="1" applyAlignment="1" applyProtection="1">
      <alignment horizontal="center" vertical="center" wrapText="1"/>
    </xf>
    <xf numFmtId="177" fontId="8" fillId="0" borderId="12" xfId="49" applyNumberFormat="1" applyFont="1" applyBorder="1" applyAlignment="1" applyProtection="1">
      <alignment horizontal="center" vertical="center"/>
    </xf>
    <xf numFmtId="177" fontId="8" fillId="0" borderId="16" xfId="49" applyNumberFormat="1" applyFont="1" applyBorder="1" applyAlignment="1" applyProtection="1">
      <alignment vertical="center"/>
    </xf>
    <xf numFmtId="43" fontId="3" fillId="0" borderId="17" xfId="1" applyFont="1" applyBorder="1" applyAlignment="1" applyProtection="1">
      <alignment vertical="center"/>
    </xf>
    <xf numFmtId="43" fontId="3" fillId="0" borderId="17" xfId="1" applyFont="1" applyFill="1" applyBorder="1" applyAlignment="1" applyProtection="1">
      <alignment vertical="center"/>
    </xf>
    <xf numFmtId="43" fontId="3" fillId="0" borderId="18" xfId="1" applyFont="1" applyBorder="1" applyAlignment="1" applyProtection="1">
      <alignment vertical="center"/>
    </xf>
    <xf numFmtId="177" fontId="6" fillId="0" borderId="16" xfId="49" applyNumberFormat="1" applyFont="1" applyBorder="1" applyAlignment="1" applyProtection="1">
      <alignment vertical="center"/>
    </xf>
    <xf numFmtId="43" fontId="3" fillId="0" borderId="10" xfId="1" applyFont="1" applyBorder="1" applyAlignment="1" applyProtection="1">
      <alignment vertical="center"/>
      <protection locked="0"/>
    </xf>
    <xf numFmtId="43" fontId="3" fillId="0" borderId="10" xfId="1" applyFont="1" applyBorder="1" applyAlignment="1" applyProtection="1">
      <alignment vertical="center"/>
    </xf>
    <xf numFmtId="43" fontId="3" fillId="0" borderId="10" xfId="1" applyFont="1" applyFill="1" applyBorder="1" applyAlignment="1" applyProtection="1">
      <alignment vertical="center"/>
    </xf>
    <xf numFmtId="43" fontId="2" fillId="0" borderId="17" xfId="1" applyFont="1" applyBorder="1" applyAlignment="1" applyProtection="1">
      <alignment vertical="center"/>
    </xf>
    <xf numFmtId="178" fontId="3" fillId="0" borderId="0" xfId="49" applyNumberFormat="1" applyFont="1" applyAlignment="1">
      <alignment vertical="center"/>
      <protection locked="0"/>
    </xf>
    <xf numFmtId="43" fontId="2" fillId="0" borderId="17" xfId="1" applyFont="1" applyFill="1" applyBorder="1" applyAlignment="1" applyProtection="1">
      <alignment vertical="center"/>
    </xf>
    <xf numFmtId="43" fontId="2" fillId="0" borderId="10" xfId="1" applyFont="1" applyBorder="1" applyAlignment="1" applyProtection="1">
      <alignment vertical="center"/>
    </xf>
    <xf numFmtId="177" fontId="6" fillId="0" borderId="16" xfId="49" applyNumberFormat="1" applyFont="1" applyBorder="1" applyAlignment="1" applyProtection="1">
      <alignment horizontal="left" vertical="center" indent="1"/>
    </xf>
    <xf numFmtId="43" fontId="2" fillId="0" borderId="18" xfId="1" applyFont="1" applyBorder="1" applyAlignment="1" applyProtection="1">
      <alignment vertical="center"/>
    </xf>
    <xf numFmtId="177" fontId="6" fillId="0" borderId="9" xfId="49" applyNumberFormat="1" applyFont="1" applyBorder="1" applyAlignment="1" applyProtection="1">
      <alignment vertical="center"/>
    </xf>
    <xf numFmtId="43" fontId="3" fillId="0" borderId="11" xfId="1" applyFont="1" applyBorder="1" applyAlignment="1" applyProtection="1">
      <alignment vertical="center"/>
    </xf>
    <xf numFmtId="177" fontId="8" fillId="0" borderId="9" xfId="49" applyNumberFormat="1" applyFont="1" applyBorder="1" applyAlignment="1" applyProtection="1">
      <alignment vertical="center"/>
    </xf>
    <xf numFmtId="177" fontId="8" fillId="0" borderId="4" xfId="49" applyNumberFormat="1" applyFont="1" applyBorder="1" applyAlignment="1" applyProtection="1">
      <alignment vertical="center"/>
    </xf>
    <xf numFmtId="43" fontId="2" fillId="0" borderId="12" xfId="1" applyFont="1" applyBorder="1" applyAlignment="1" applyProtection="1">
      <alignment vertical="center"/>
    </xf>
    <xf numFmtId="43" fontId="2" fillId="0" borderId="13" xfId="1" applyFont="1" applyBorder="1" applyAlignment="1" applyProtection="1">
      <alignment vertical="center"/>
    </xf>
    <xf numFmtId="176" fontId="13" fillId="2" borderId="0" xfId="1" applyNumberFormat="1" applyFont="1" applyFill="1" applyAlignment="1" applyProtection="1">
      <alignment horizontal="left" vertical="center"/>
    </xf>
    <xf numFmtId="43" fontId="13" fillId="3" borderId="0" xfId="1" applyFont="1" applyFill="1" applyAlignment="1" applyProtection="1">
      <alignment vertical="center"/>
    </xf>
    <xf numFmtId="177" fontId="13" fillId="2" borderId="0" xfId="49" applyNumberFormat="1" applyFont="1" applyFill="1" applyAlignment="1" applyProtection="1">
      <alignment vertical="center"/>
    </xf>
    <xf numFmtId="177" fontId="13" fillId="3" borderId="0" xfId="49" applyNumberFormat="1" applyFont="1" applyFill="1" applyAlignment="1" applyProtection="1">
      <alignment vertical="center"/>
    </xf>
    <xf numFmtId="43" fontId="16" fillId="0" borderId="0" xfId="1" applyFont="1" applyAlignment="1" applyProtection="1">
      <alignment vertical="center"/>
    </xf>
    <xf numFmtId="43" fontId="3" fillId="0" borderId="0" xfId="1" applyFont="1" applyFill="1" applyAlignment="1" applyProtection="1">
      <alignment vertical="center"/>
    </xf>
    <xf numFmtId="43" fontId="3" fillId="0" borderId="0" xfId="1" applyFont="1" applyAlignment="1" applyProtection="1">
      <alignment vertical="center"/>
    </xf>
    <xf numFmtId="177" fontId="3" fillId="0" borderId="0" xfId="49" applyNumberFormat="1" applyFont="1" applyAlignment="1" applyProtection="1">
      <alignment vertical="center"/>
    </xf>
    <xf numFmtId="0" fontId="3" fillId="0" borderId="0" xfId="49" applyNumberFormat="1" applyFont="1" applyAlignment="1">
      <alignment vertical="center" shrinkToFit="1"/>
      <protection locked="0"/>
    </xf>
    <xf numFmtId="0" fontId="4" fillId="0" borderId="0" xfId="49" applyNumberFormat="1" applyFont="1" applyAlignment="1">
      <alignment horizontal="centerContinuous" vertical="center" shrinkToFit="1"/>
      <protection locked="0"/>
    </xf>
    <xf numFmtId="43" fontId="17" fillId="0" borderId="0" xfId="50" applyNumberFormat="1" applyFont="1" applyAlignment="1" applyProtection="1">
      <alignment vertical="center"/>
    </xf>
    <xf numFmtId="43" fontId="3" fillId="0" borderId="0" xfId="50" applyNumberFormat="1" applyFont="1" applyAlignment="1">
      <alignment vertical="center"/>
      <protection locked="0"/>
    </xf>
    <xf numFmtId="0" fontId="6" fillId="0" borderId="0" xfId="49" applyNumberFormat="1" applyFont="1" applyAlignment="1" applyProtection="1">
      <alignment vertical="center" shrinkToFit="1"/>
    </xf>
    <xf numFmtId="0" fontId="1" fillId="0" borderId="0" xfId="49" applyNumberFormat="1" applyFont="1" applyAlignment="1" applyProtection="1">
      <alignment vertical="center" shrinkToFit="1"/>
    </xf>
    <xf numFmtId="0" fontId="7" fillId="0" borderId="1" xfId="49" applyNumberFormat="1" applyFont="1" applyBorder="1" applyAlignment="1" applyProtection="1">
      <alignment horizontal="center" vertical="center" shrinkToFit="1"/>
    </xf>
    <xf numFmtId="177" fontId="8" fillId="0" borderId="2" xfId="49" applyNumberFormat="1" applyFont="1" applyBorder="1" applyAlignment="1" applyProtection="1">
      <alignment horizontal="center" vertical="center"/>
    </xf>
    <xf numFmtId="0" fontId="9" fillId="0" borderId="4" xfId="49" applyNumberFormat="1" applyFont="1" applyBorder="1" applyAlignment="1" applyProtection="1">
      <alignment horizontal="center" vertical="center" shrinkToFit="1"/>
    </xf>
    <xf numFmtId="177" fontId="8" fillId="0" borderId="5" xfId="49" applyNumberFormat="1" applyFont="1" applyBorder="1" applyAlignment="1" applyProtection="1">
      <alignment horizontal="center" vertical="center"/>
    </xf>
    <xf numFmtId="0" fontId="8" fillId="0" borderId="16" xfId="49" applyNumberFormat="1" applyFont="1" applyBorder="1" applyAlignment="1" applyProtection="1">
      <alignment vertical="center" shrinkToFit="1"/>
    </xf>
    <xf numFmtId="177" fontId="3" fillId="0" borderId="17" xfId="49" applyNumberFormat="1" applyFont="1" applyBorder="1" applyAlignment="1" applyProtection="1">
      <alignment vertical="center"/>
    </xf>
    <xf numFmtId="0" fontId="18" fillId="0" borderId="9" xfId="49" applyNumberFormat="1" applyFont="1" applyBorder="1" applyAlignment="1" applyProtection="1">
      <alignment horizontal="left" vertical="center" shrinkToFit="1"/>
    </xf>
    <xf numFmtId="0" fontId="19" fillId="0" borderId="9" xfId="49" applyNumberFormat="1" applyFont="1" applyBorder="1" applyAlignment="1" applyProtection="1">
      <alignment horizontal="center" vertical="center" shrinkToFit="1"/>
    </xf>
    <xf numFmtId="0" fontId="19" fillId="0" borderId="9" xfId="49" applyNumberFormat="1" applyFont="1" applyBorder="1" applyAlignment="1" applyProtection="1">
      <alignment horizontal="left" vertical="center" shrinkToFit="1"/>
    </xf>
    <xf numFmtId="0" fontId="19" fillId="0" borderId="19" xfId="49" applyNumberFormat="1" applyFont="1" applyBorder="1" applyAlignment="1" applyProtection="1">
      <alignment horizontal="center" vertical="center" shrinkToFit="1"/>
    </xf>
    <xf numFmtId="43" fontId="2" fillId="0" borderId="20" xfId="1" applyFont="1" applyBorder="1" applyAlignment="1" applyProtection="1">
      <alignment vertical="center"/>
    </xf>
    <xf numFmtId="0" fontId="19" fillId="0" borderId="21" xfId="49" applyNumberFormat="1" applyFont="1" applyBorder="1" applyAlignment="1" applyProtection="1">
      <alignment horizontal="center" vertical="center" shrinkToFit="1"/>
    </xf>
    <xf numFmtId="43" fontId="2" fillId="0" borderId="22" xfId="1" applyFont="1" applyBorder="1" applyAlignment="1" applyProtection="1">
      <alignment vertical="center"/>
      <protection locked="0"/>
    </xf>
    <xf numFmtId="43" fontId="2" fillId="0" borderId="20" xfId="1" applyFont="1" applyBorder="1" applyAlignment="1" applyProtection="1">
      <alignment vertical="center"/>
      <protection locked="0"/>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2003年调整表1" xfId="49"/>
    <cellStyle name="常规_试算表(三建主业)" xfId="50"/>
  </cellStyles>
  <dxfs count="18">
    <dxf>
      <font>
        <color indexed="1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6.xml"/><Relationship Id="rId8" Type="http://schemas.openxmlformats.org/officeDocument/2006/relationships/externalLink" Target="externalLinks/externalLink5.xml"/><Relationship Id="rId7" Type="http://schemas.openxmlformats.org/officeDocument/2006/relationships/externalLink" Target="externalLinks/externalLink4.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34" Type="http://schemas.openxmlformats.org/officeDocument/2006/relationships/styles" Target="styles.xml"/><Relationship Id="rId33" Type="http://schemas.openxmlformats.org/officeDocument/2006/relationships/sharedStrings" Target="sharedStrings.xml"/><Relationship Id="rId32" Type="http://schemas.openxmlformats.org/officeDocument/2006/relationships/theme" Target="theme/theme1.xml"/><Relationship Id="rId31" Type="http://schemas.openxmlformats.org/officeDocument/2006/relationships/externalLink" Target="externalLinks/externalLink28.xml"/><Relationship Id="rId30" Type="http://schemas.openxmlformats.org/officeDocument/2006/relationships/externalLink" Target="externalLinks/externalLink27.xml"/><Relationship Id="rId3" Type="http://schemas.openxmlformats.org/officeDocument/2006/relationships/worksheet" Target="worksheets/sheet3.xml"/><Relationship Id="rId29" Type="http://schemas.openxmlformats.org/officeDocument/2006/relationships/externalLink" Target="externalLinks/externalLink26.xml"/><Relationship Id="rId28" Type="http://schemas.openxmlformats.org/officeDocument/2006/relationships/externalLink" Target="externalLinks/externalLink25.xml"/><Relationship Id="rId27" Type="http://schemas.openxmlformats.org/officeDocument/2006/relationships/externalLink" Target="externalLinks/externalLink24.xml"/><Relationship Id="rId26" Type="http://schemas.openxmlformats.org/officeDocument/2006/relationships/externalLink" Target="externalLinks/externalLink23.xml"/><Relationship Id="rId25" Type="http://schemas.openxmlformats.org/officeDocument/2006/relationships/externalLink" Target="externalLinks/externalLink22.xml"/><Relationship Id="rId24" Type="http://schemas.openxmlformats.org/officeDocument/2006/relationships/externalLink" Target="externalLinks/externalLink21.xml"/><Relationship Id="rId23" Type="http://schemas.openxmlformats.org/officeDocument/2006/relationships/externalLink" Target="externalLinks/externalLink20.xml"/><Relationship Id="rId22" Type="http://schemas.openxmlformats.org/officeDocument/2006/relationships/externalLink" Target="externalLinks/externalLink19.xml"/><Relationship Id="rId21" Type="http://schemas.openxmlformats.org/officeDocument/2006/relationships/externalLink" Target="externalLinks/externalLink18.xml"/><Relationship Id="rId20" Type="http://schemas.openxmlformats.org/officeDocument/2006/relationships/externalLink" Target="externalLinks/externalLink17.xml"/><Relationship Id="rId2" Type="http://schemas.openxmlformats.org/officeDocument/2006/relationships/worksheet" Target="worksheets/sheet2.xml"/><Relationship Id="rId19" Type="http://schemas.openxmlformats.org/officeDocument/2006/relationships/externalLink" Target="externalLinks/externalLink16.xml"/><Relationship Id="rId18" Type="http://schemas.openxmlformats.org/officeDocument/2006/relationships/externalLink" Target="externalLinks/externalLink15.xml"/><Relationship Id="rId17" Type="http://schemas.openxmlformats.org/officeDocument/2006/relationships/externalLink" Target="externalLinks/externalLink14.xml"/><Relationship Id="rId16" Type="http://schemas.openxmlformats.org/officeDocument/2006/relationships/externalLink" Target="externalLinks/externalLink13.xml"/><Relationship Id="rId15" Type="http://schemas.openxmlformats.org/officeDocument/2006/relationships/externalLink" Target="externalLinks/externalLink12.xml"/><Relationship Id="rId14" Type="http://schemas.openxmlformats.org/officeDocument/2006/relationships/externalLink" Target="externalLinks/externalLink11.xml"/><Relationship Id="rId13" Type="http://schemas.openxmlformats.org/officeDocument/2006/relationships/externalLink" Target="externalLinks/externalLink10.xml"/><Relationship Id="rId12" Type="http://schemas.openxmlformats.org/officeDocument/2006/relationships/externalLink" Target="externalLinks/externalLink9.xml"/><Relationship Id="rId11" Type="http://schemas.openxmlformats.org/officeDocument/2006/relationships/externalLink" Target="externalLinks/externalLink8.xml"/><Relationship Id="rId10" Type="http://schemas.openxmlformats.org/officeDocument/2006/relationships/externalLink" Target="externalLinks/externalLink7.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file:///\\Wuhaiou\&#21326;&#32852;2004\My Documents\2003\&#21326;&#32852;2003\&#24180;&#23457;\&#38468;&#27880;2003&#21326;&#32852;.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file:///E:\DOCUME~1\a\LOCALS~1\Temp\Rar$DI00.858\Control Matrix Template v1.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file:///D:\GT_plan\&#33268;&#21516;&#36890;&#29992;&#23457;&#35745;&#31243;&#24207;&#21450;&#24213;&#31295;&#27169;&#26495;&#65288;2025&#24180;&#20462;&#35746;&#65289;\1.&#33268;&#21516;&#23457;&#35745;&#31243;&#24207;&#21450;&#24213;&#31295;&#27169;&#26495;&#65288;2025&#24180;&#65289;\5.&#23436;&#25104;&#38454;&#27573;&#65288;A1-A30&#65289;\1.&#25253;&#21578;&#19982;&#27807;&#36890;&#65288;A1-A10&#65289;\A3 &#21512;&#24182;&#27969;&#31243;\Worksheet in 5540 Prepaid Exp. Breakdown"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file:///\\Wuhaiou\&#21326;&#32852;2004\My Documents\2003\&#21326;&#32852;2003\&#20013;&#26399;\&#37073;&#24030;&#20013;&#23386;\&#37073;&#24030; &#25253;&#34920;&#20998;&#26512;.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file:///F:\&#19994;&#21153;\cec&#22659;&#22806;&#36164;&#20135;&#23457;&#35745;\&#21512;&#24182;\worksheets\btg\&#26412;&#37096;&#24213;&#31295;\&#22871;&#39184;\2002&#26631;&#20934;\e-mail&#27807;&#36890;\7&#21495;&#27807;&#36890;\&#21508;&#34892;&#21382;&#27425;&#35843;&#25972;&#34920;\2002.9&#19978;&#24066;\DOCUME~1\405861\LOCALS~1\Temp\audit\2000&#24180;&#19994;&#21153;&#35268;&#33539;\&#25552;&#20379;&#20989;\&#25991;&#26412;&#25552;&#20379;&#20989;\&#19978;&#24066;&#20844;&#21496;\EXCEL\&#23457;&#2668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file:///A:\My Documents\&#24037;&#20316;&#24213;&#31295;12.11\&#22303;&#22320;&#24213;&#31295;.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file:///F:\&#19994;&#21153;\cec&#22659;&#22806;&#36164;&#20135;&#23457;&#35745;\&#21512;&#24182;\worksheets\btg\&#26412;&#37096;&#24213;&#31295;\3.15&#39318;&#26053;&#38598;&#22242;&#26412;&#37096;&#22871;&#39184;.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file:///D:\GT_plan\&#33268;&#21516;&#36890;&#29992;&#23457;&#35745;&#31243;&#24207;&#21450;&#24213;&#31295;&#27169;&#26495;&#65288;2025&#24180;&#20462;&#35746;&#65289;\1.&#33268;&#21516;&#23457;&#35745;&#31243;&#24207;&#21450;&#24213;&#31295;&#27169;&#26495;&#65288;2025&#24180;&#65289;\5.&#23436;&#25104;&#38454;&#27573;&#65288;A1-A30&#65289;\1.&#25253;&#21578;&#19982;&#27807;&#36890;&#65288;A1-A10&#65289;\A3 &#21512;&#24182;&#27969;&#31243;\https:\d.docs.live.net\My Documents\&#21326;&#32852;&#32929;&#20221;\04\&#27827;&#21335;\&#27827;&#21335;&#21326;&#32852; (version 1).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file:///D:\GT_plan\&#33268;&#21516;&#36890;&#29992;&#23457;&#35745;&#31243;&#24207;&#21450;&#24213;&#31295;&#27169;&#26495;&#65288;2025&#24180;&#20462;&#35746;&#65289;\1.&#33268;&#21516;&#23457;&#35745;&#31243;&#24207;&#21450;&#24213;&#31295;&#27169;&#26495;&#65288;2025&#24180;&#65289;\5.&#23436;&#25104;&#38454;&#27573;&#65288;A1-A30&#65289;\1.&#25253;&#21578;&#19982;&#27807;&#36890;&#65288;A1-A10&#65289;\A3 &#21512;&#24182;&#27969;&#31243;\https:\d.docs.live.net\&#25105;&#30340;&#24037;&#20316;\&#25480;&#26435;&#29256;\&#26032;&#20140;&#37117;&#23457;&#35745;&#31243;&#24207;(&#24449;&#27714;&#24847;&#35265;&#31295;&#65289;061107\&#35745;&#21010;&#23457;&#35745;&#38454;&#27573;B&#31867;\&#23457;&#35745;&#25351;&#24341;&#65293;&#35745;&#21010;&#23457;&#35745;&#24037;&#20316;&#38454;&#27573;B&#31867;\&#23457;&#35745;&#25552;&#31034;&#65293;&#23458;&#25143;&#38656;&#25552;&#20379;&#30340;&#36164;&#26009;&#28165;&#21333;&#21450;&#34920;&#26684;&#65288;&#21442;&#32771;&#65289;b6.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file:///D:\GT_plan\&#33268;&#21516;&#36890;&#29992;&#23457;&#35745;&#31243;&#24207;&#21450;&#24213;&#31295;&#27169;&#26495;&#65288;2025&#24180;&#20462;&#35746;&#65289;\1.&#33268;&#21516;&#23457;&#35745;&#31243;&#24207;&#21450;&#24213;&#31295;&#27169;&#26495;&#65288;2025&#24180;&#65289;\5.&#23436;&#25104;&#38454;&#27573;&#65288;A1-A30&#65289;\1.&#25253;&#21578;&#19982;&#27807;&#36890;&#65288;A1-A10&#65289;\A3 &#21512;&#24182;&#27969;&#31243;\https:\d.docs.live.net\&#23457;&#35745;\4&#26376;\2270 For MORGAN-Consolidation 2002-2005.xls"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ile:///D:\GT_plan\&#33268;&#21516;&#36890;&#29992;&#23457;&#35745;&#31243;&#24207;&#21450;&#24213;&#31295;&#27169;&#26495;&#65288;2025&#24180;&#20462;&#35746;&#65289;\1.&#33268;&#21516;&#23457;&#35745;&#31243;&#24207;&#21450;&#24213;&#31295;&#27169;&#26495;&#65288;2025&#24180;&#65289;\5.&#23436;&#25104;&#38454;&#27573;&#65288;A1-A30&#65289;\1.&#25253;&#21578;&#19982;&#27807;&#36890;&#65288;A1-A10&#65289;\A3 &#21512;&#24182;&#27969;&#31243;\Worksheet in 5440 Invent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ile:///D:\GT_plan\&#33268;&#21516;&#36890;&#29992;&#23457;&#35745;&#31243;&#24207;&#21450;&#24213;&#31295;&#27169;&#26495;&#65288;2025&#24180;&#20462;&#35746;&#65289;\1.&#33268;&#21516;&#23457;&#35745;&#31243;&#24207;&#21450;&#24213;&#31295;&#27169;&#26495;&#65288;2025&#24180;&#65289;\5.&#23436;&#25104;&#38454;&#27573;&#65288;A1-A30&#65289;\1.&#25253;&#21578;&#19982;&#27807;&#36890;&#65288;A1-A10&#65289;\A3 &#21512;&#24182;&#27969;&#31243;\Worksheet in 8240 COS breakdown"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file:///\\Wuhaiou\&#21326;&#32852;2004\My Documents\&#20020;&#26102;&#25991;&#26723;\&#21253;&#22836;&#20998;&#20844;&#21496;\&#21253;&#22836;&#20998;&#26512;&#24615;&#22797;&#26680;.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file:///\\Wuhaiou\&#21326;&#32852;2004\My Documents\2003\&#21326;&#32852;2003\&#20013;&#26399;\&#21335;&#20140; &#25253;&#34920;&#20998;&#26512;.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file:///E:\Documents and Settings\Administrator\&#26700;&#38754;\to&#65293;&#20869;&#37096;&#25511;&#21046;&#32452;\&#20854;&#20182;&#25152;\&#22825;&#24314;\&#22269;&#36152;_2005_&#38543;&#20415;.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file:///B:\&#20998;&#26512;&#34920;.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file:///F:\My Documents\600277&#20159;&#21033;&#31185;&#25216;\2003&#24180;&#23457;\c-&#20013;&#33647;&#26448;\&#20013;&#33647;&#26448;&#26126;&#32454;&#24080;\&#24211;&#23384;&#25968;&#37327;&#37329;&#39069;&#24080;.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file:///F:\&#21326;&#32852;2004&#20013;&#26399;\&#23458;&#25143;&#36164;&#26009;\&#32852;&#37319;&#34920;&#26684;.xl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file:///D:\GT_plan\&#33268;&#21516;&#36890;&#29992;&#23457;&#35745;&#31243;&#24207;&#21450;&#24213;&#31295;&#27169;&#26495;&#65288;2025&#24180;&#20462;&#35746;&#65289;\1.&#33268;&#21516;&#23457;&#35745;&#31243;&#24207;&#21450;&#24213;&#31295;&#27169;&#26495;&#65288;2025&#24180;&#65289;\5.&#23436;&#25104;&#38454;&#27573;&#65288;A1-A30&#65289;\1.&#25253;&#21578;&#19982;&#27807;&#36890;&#65288;A1-A10&#65289;\A3 &#21512;&#24182;&#27969;&#31243;\https:\d.docs.live.net\My Documents\&#40548;&#22721;&#29028;&#30719;\06&#20013;&#26399;\&#32508;&#21512;\&#27719;&#24635;&#36807;&#31243;\&#40548;&#22721;&#29028;&#30005;06&#20013;&#26399;&#27719;&#34920;&#36807;&#31243;-y.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file:///D:\GT_plan\&#33268;&#21516;&#36890;&#29992;&#23457;&#35745;&#31243;&#24207;&#21450;&#24213;&#31295;&#27169;&#26495;&#65288;2025&#24180;&#20462;&#35746;&#65289;\1.&#33268;&#21516;&#23457;&#35745;&#31243;&#24207;&#21450;&#24213;&#31295;&#27169;&#26495;&#65288;2025&#24180;&#65289;\5.&#23436;&#25104;&#38454;&#27573;&#65288;A1-A30&#65289;\1.&#25253;&#21578;&#19982;&#27807;&#36890;&#65288;A1-A10&#65289;\A3 &#21512;&#24182;&#27969;&#31243;\&#35780;&#20272;&#26126;&#32454;&#34920;&#27169;&#26495;1"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file:///F:\DOCUME~1\yjr\LOCALS~1\Temp\My Documents\2003\&#21326;&#32852;\&#24180;&#23457;\&#20854;&#20182;\&#21512;&#24182;&#25253;&#34920;&#20998;&#26512;.xl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file:///A:\&#25104;&#21697;&#20179;\&#20848;&#33457;&#31185;&#21019;\&#22823;&#38451;&#20998;&#20844;&#21496;\&#22823;&#38451;&#24180;&#23457;04\&#25104;&#21697;&#20179;\&#20848;&#33457;&#31185;&#21019;\&#22823;&#38451;&#20998;&#20844;&#21496;\04&#22823;&#38451;&#20013;&#26399;\&#22823;&#38451;04&#24180;1-6&#26376;&#23384;&#36135;.xl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file:///E:\&#31243;&#24207;\&#31243;&#24207;\11&#35780;&#20272;&#26126;&#32454;&#34920;\v4.6\01 &#21333;&#20307;&#35780;&#20272;&#31995;&#32479;&#65288;V4.5&#65289;.xlt"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file:///\\Wuhaiou\&#21326;&#32852;2004\&#25105;&#30340;&#25991;&#26723;\&#21326;&#32852;&#32508;&#36229;\&#21326;&#32852;03\&#22797;&#26680;\&#21628;&#21644;&#28009;&#29305;.xls"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file:///\\Wuhaiou\&#21326;&#32852;2004\My Documents\2003\&#21326;&#32852;2003\&#20013;&#26399;\&#23665;&#35199;&#20146;&#36132;\&#22826;&#21407; &#25253;&#34920;&#20998;&#26512;.xls"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file:///D:\GT_plan\&#33268;&#21516;&#36890;&#29992;&#23457;&#35745;&#31243;&#24207;&#21450;&#24213;&#31295;&#27169;&#26495;&#65288;2025&#24180;&#20462;&#35746;&#65289;\1.&#33268;&#21516;&#23457;&#35745;&#31243;&#24207;&#21450;&#24213;&#31295;&#27169;&#26495;&#65288;2025&#24180;&#65289;\5.&#23436;&#25104;&#38454;&#27573;&#65288;A1-A30&#65289;\1.&#25253;&#21578;&#19982;&#27807;&#36890;&#65288;A1-A10&#65289;\A3 &#21512;&#24182;&#27969;&#31243;\https:\d.docs.live.net\Liufengshou\&#23457;&#35745;&#36164;&#26009;\&#23457;&#35745;&#27169;&#26495;&#26631;&#20934;&#27169;&#26495;\&#23454;&#36136;&#24615;&#27979;&#35797;&#24037;&#20316;&#24213;&#31295;liu\&#20852;&#21326;&#23457;&#35745;\2005&#36136;&#37327;&#25511;&#21046;&#21450;&#24037;&#20316;&#24213;&#31295;\2005&#23457;&#35745;&#24213;&#31295;&#21644;&#35268;&#33539;&#35201;&#27714;(&#19978;&#24066;&#23457;&#35745;&#36866;&#29992;&#65289;\&#20855;&#20307;&#31243;&#24207;&#21450;&#24213;&#31295;\2004\2003audit\&#26032;&#24314;&#25991;&#20214;&#22841;\&#23457;&#35745;&#20934;&#22791;\&#35810;&#35777;&#24213;&#31295;lrx.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GT_plan\&#33268;&#21516;&#36890;&#29992;&#23457;&#35745;&#31243;&#24207;&#21450;&#24213;&#31295;&#27169;&#26495;&#65288;2025&#24180;&#20462;&#35746;&#65289;\1.&#33268;&#21516;&#23457;&#35745;&#31243;&#24207;&#21450;&#24213;&#31295;&#27169;&#26495;&#65288;2025&#24180;&#65289;\5.&#23436;&#25104;&#38454;&#27573;&#65288;A1-A30&#65289;\1.&#25253;&#21578;&#19982;&#27807;&#36890;&#65288;A1-A10&#65289;\A3%20&#21512;&#24182;&#27969;&#31243;\A3-1&#12289;-2%20&#21512;&#24182;&#25253;&#34920;&#35797;&#31639;-201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
      <sheetName val="附注汇总"/>
      <sheetName val="差异汇总"/>
      <sheetName val="WORD附注"/>
      <sheetName val="长期待摊费用"/>
      <sheetName val="大额票据"/>
      <sheetName val="在建工程"/>
      <sheetName val="10月"/>
      <sheetName val="11月"/>
      <sheetName val="12月"/>
      <sheetName val="1月"/>
      <sheetName val="2月"/>
      <sheetName val="3月"/>
      <sheetName val="4月"/>
      <sheetName val="5月"/>
      <sheetName val="6月"/>
      <sheetName val="7月"/>
      <sheetName val="8月"/>
      <sheetName val="9月"/>
      <sheetName val="本期报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填写说明"/>
      <sheetName val="财务报表认定表"/>
      <sheetName val="FR0101会计科目的建议及维护"/>
      <sheetName val="控制负责人"/>
      <sheetName val="选择键"/>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2004"/>
      <sheetName val="Summary"/>
      <sheetName val="Rental 2004"/>
      <sheetName val="Excess Calc"/>
      <sheetName val="Pre-operating Exp"/>
      <sheetName val="Miscellaneous Exp."/>
      <sheetName val="Tickmarks"/>
      <sheetName val="宝应{pbc}"/>
      <sheetName val="浙江{pbc}"/>
      <sheetName val="四川{pbc}"/>
      <sheetName val="河南{pbc}"/>
      <sheetName val="常州{pbc}"/>
      <sheetName val="金坛{pbc}"/>
      <sheetName val="泰州{pbc}"/>
      <sheetName val="XREF"/>
      <sheetName val="Rental 2002"/>
      <sheetName val="Rental 2001"/>
      <sheetName val="选择键"/>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未审"/>
      <sheetName val="审定"/>
      <sheetName val="未审比率"/>
      <sheetName val="审定比率"/>
      <sheetName val="本期报表"/>
      <sheetName val="上期报表"/>
      <sheetName val="账表核对"/>
      <sheetName val="企业表一"/>
      <sheetName val="M-5A"/>
      <sheetName val="08"/>
      <sheetName val="03"/>
      <sheetName val="05"/>
      <sheetName val="06"/>
      <sheetName val="10"/>
      <sheetName val="04"/>
      <sheetName val="09"/>
      <sheetName val="02"/>
      <sheetName val="0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徐"/>
      <sheetName val="管理文件清单"/>
      <sheetName val="B"/>
      <sheetName val="本期报表"/>
    </sheetNames>
    <sheetDataSet>
      <sheetData sheetId="0" refreshError="1"/>
      <sheetData sheetId="1" refreshError="1"/>
      <sheetData sheetId="2" refreshError="1"/>
      <sheetData sheetId="3"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徐"/>
      <sheetName val="管理文件清单"/>
      <sheetName val="B"/>
    </sheetNames>
    <sheetDataSet>
      <sheetData sheetId="0" refreshError="1"/>
      <sheetData sheetId="1" refreshError="1"/>
      <sheetData sheetId="2"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操作表"/>
      <sheetName val="调查分析表"/>
      <sheetName val="土地一般因素"/>
      <sheetName val="成本逼近"/>
      <sheetName val="土地调查评价表-工业用地"/>
      <sheetName val="土地调查评价表-商业用地"/>
      <sheetName val="居住用地"/>
      <sheetName val="工业"/>
      <sheetName val="住宅"/>
      <sheetName val="商业"/>
      <sheetName val="土地租赁"/>
      <sheetName val="房地出租"/>
      <sheetName val="生产企业不动产"/>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基本要素填列"/>
      <sheetName val="&lt;原报&gt;资产负债表"/>
      <sheetName val="&lt;原报&gt;利润表"/>
      <sheetName val="&lt;原报&gt;现金流量表"/>
      <sheetName val="年初数账项调整事项汇总表"/>
      <sheetName val="年初数报表调整事项汇总表"/>
      <sheetName val="&lt;试算平衡&gt;资产负债表年初数"/>
      <sheetName val="&lt;试算平衡&gt;利润表上年数"/>
      <sheetName val="&lt;未审&gt;资产负债表趋势分析"/>
      <sheetName val="&lt;未审&gt;利润表趋势分析"/>
      <sheetName val="未审报表趋势分析"/>
      <sheetName val="账项调整事项汇总表"/>
      <sheetName val="报表调整事项汇总表"/>
      <sheetName val="未调整事项汇总表"/>
      <sheetName val="调整事项转换表"/>
      <sheetName val="&lt;试算平衡&gt;资产负债表"/>
      <sheetName val="&lt;试算平衡&gt;利润表"/>
      <sheetName val="母公司现金流量表测算"/>
      <sheetName val="母公司财务现金主表试算平衡测算"/>
      <sheetName val="母公司财务现金附表试算平衡测算"/>
      <sheetName val="母公司财务现金附表测算 "/>
      <sheetName val="&lt;试算平衡&gt;现金流量表"/>
      <sheetName val="&lt;审定&gt;资产负债表趋势分析"/>
      <sheetName val="&lt;审定&gt;利润表趋势分析"/>
      <sheetName val="审定报表趋势分析"/>
      <sheetName val="&lt;正式报表&gt;资产负债表"/>
      <sheetName val="&lt;正式报表&gt;利润及利润分配表"/>
      <sheetName val="&lt;正式报表&gt;现金流量表"/>
      <sheetName val="&lt;正式报表&gt;现金流量表补充资料"/>
      <sheetName val="钩稽关系复核"/>
      <sheetName val="利润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货币资金"/>
      <sheetName val="现金盘点C1-2"/>
      <sheetName val="银行存款C1-5"/>
      <sheetName val="银行未达帐项C1-6"/>
      <sheetName val="中行1001未达账项核查"/>
      <sheetName val="其他货币资金核查C1-10"/>
      <sheetName val="其他应收款"/>
      <sheetName val="111"/>
      <sheetName val="坏账准备"/>
      <sheetName val="坏帐准备核查表C7-6-1"/>
      <sheetName val="坏帐准备核查表C7-6-2"/>
      <sheetName val="530109 营业外收入-其他"/>
      <sheetName val="5801  以前年度损益调整"/>
      <sheetName val="Sheet1"/>
      <sheetName val="百货其他应收款明细表"/>
      <sheetName val="信用卡-百货"/>
      <sheetName val="其他应收款明细表"/>
      <sheetName val="短期借款"/>
      <sheetName val="短期借款明细表"/>
      <sheetName val="应付工资"/>
      <sheetName val="应付工资明细账"/>
      <sheetName val="应付福利费"/>
      <sheetName val="福利费测试"/>
      <sheetName val="福利费明细表"/>
      <sheetName val="其他应付款"/>
      <sheetName val="其他应付款明细表"/>
      <sheetName val="函证清单"/>
      <sheetName val="国林等"/>
      <sheetName val="04020184马卫莉"/>
      <sheetName val="218104 其他应付款-系统内部往来"/>
      <sheetName val="预提费用"/>
      <sheetName val="预提费用-房租、电费"/>
      <sheetName val="21910502 预提费用-电气设备租赁费"/>
      <sheetName val="219110 预提费用-工资费用"/>
      <sheetName val="219109 预提费用-其他"/>
      <sheetName val="营业费用"/>
      <sheetName val="费用比较"/>
      <sheetName val="营业费用测试"/>
      <sheetName val="营业费用明细帐"/>
      <sheetName val="管理费用"/>
      <sheetName val="管理费用测试"/>
      <sheetName val="财务费用"/>
      <sheetName val="财务费用测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封面"/>
      <sheetName val="资料清单1"/>
      <sheetName val="资料2"/>
      <sheetName val="财务报表"/>
      <sheetName val="1.银行存款"/>
      <sheetName val="2.短期投资"/>
      <sheetName val="3.应收票据"/>
      <sheetName val="4.应收帐款"/>
      <sheetName val="5.其他应收款"/>
      <sheetName val="6.坏帐准备"/>
      <sheetName val="7.预付账款"/>
      <sheetName val="8.待摊费用"/>
      <sheetName val="9.存货"/>
      <sheetName val="9.1库存明细"/>
      <sheetName val="10.固定资产"/>
      <sheetName val="11.长期待摊"/>
      <sheetName val="12.在建工程"/>
      <sheetName val="13.其他长期资产"/>
      <sheetName val="14.无形资产"/>
      <sheetName val="15.长期投资"/>
      <sheetName val="15a.股票投资"/>
      <sheetName val="15b.其他股权投资"/>
      <sheetName val="15c.长期股权投资减值准备"/>
      <sheetName val="15d.长期股权投资差额"/>
      <sheetName val="15e.长期债券投资"/>
      <sheetName val="15f.长期债券投资减值准备"/>
      <sheetName val="15g.委托贷款"/>
      <sheetName val="16.短期借款"/>
      <sheetName val="17.长期借款"/>
      <sheetName val="18.应付帐款"/>
      <sheetName val="18a.应付票据"/>
      <sheetName val="19.其他应付款"/>
      <sheetName val="20.预收帐款"/>
      <sheetName val="21.预提费用"/>
      <sheetName val="22.应付工资及福利"/>
      <sheetName val="23.应交税金"/>
      <sheetName val="23b.所得税"/>
      <sheetName val="24.应付股利"/>
      <sheetName val="25.实收资本"/>
      <sheetName val="26.资本公积及盈余公积"/>
      <sheetName val="26a.未分配利润"/>
      <sheetName val="27.收入成本"/>
      <sheetName val="27b.主营税金附加"/>
      <sheetName val="28. 制造费用"/>
      <sheetName val="29.采购"/>
      <sheetName val="30.管理费用"/>
      <sheetName val="30.1营业费用"/>
      <sheetName val="31.财务费用"/>
      <sheetName val="32.其他收支"/>
      <sheetName val="33.投资收益及补贴收入"/>
      <sheetName val="34.关联交易"/>
      <sheetName val="35.承诺"/>
      <sheetName val="35.1租赁明细"/>
      <sheetName val="36.预计负债"/>
      <sheetName val="37. 董事监事薪酬"/>
      <sheetName val="Investment Proper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2002"/>
      <sheetName val="Equity movement"/>
      <sheetName val="2003"/>
      <sheetName val="2004"/>
      <sheetName val="2005.4.30"/>
      <sheetName val="Income tax"/>
      <sheetName val="Trade and other payable"/>
      <sheetName val="Trade and other receivable"/>
      <sheetName val="2004.4.30"/>
      <sheetName val="Bank loan"/>
      <sheetName val="Revenue -for disclosure"/>
      <sheetName val="Selling exp-old"/>
      <sheetName val="Pledge of assets"/>
      <sheetName val="PP&amp;E "/>
      <sheetName val="Land for disclosure"/>
      <sheetName val="POC"/>
      <sheetName val="Investment Property"/>
      <sheetName val="Intangible assets"/>
      <sheetName val="Goodwill"/>
      <sheetName val="Segment information-2002"/>
      <sheetName val="Segment information-2005.4.30"/>
      <sheetName val="Segment information-2004.4.30"/>
      <sheetName val="Segment information-2004"/>
      <sheetName val="Segment information-2003"/>
      <sheetName val="Revenue"/>
      <sheetName val="Other operating income"/>
      <sheetName val="Other operating expense"/>
      <sheetName val="Profit from operations"/>
      <sheetName val="G&amp;A "/>
      <sheetName val="Selling exp"/>
      <sheetName val="COS"/>
      <sheetName val="Directors and supervisors"/>
      <sheetName val="前五名高管人员工资"/>
      <sheetName val="Bad debt provision"/>
      <sheetName val="Lease committment"/>
      <sheetName val="Finance cost"/>
      <sheetName val="Profit on deemed disposal"/>
      <sheetName val="G&amp;A-old"/>
      <sheetName val="Change in equity"/>
      <sheetName val="Investments"/>
      <sheetName val="Investments in Associates"/>
      <sheetName val="Share of results of associates"/>
      <sheetName val="Investment in associate for dis"/>
      <sheetName val="Negative goodwill"/>
      <sheetName val="Inventory"/>
      <sheetName val="Capital committment"/>
      <sheetName val="Contingent liability"/>
      <sheetName val="资产置换汇总"/>
      <sheetName val="For disclosure-02-03acquisition"/>
      <sheetName val="Acquisition of subsidiary "/>
      <sheetName val="2004 acquisition for disclosure"/>
      <sheetName val="For disclosure-Disposal"/>
      <sheetName val="合并范围增加影响"/>
      <sheetName val="2005 acquisition for disclosure"/>
      <sheetName val="资产置换2004"/>
      <sheetName val="Disposal of subsidiary"/>
      <sheetName val="资产置换2005"/>
      <sheetName val="Sheet1"/>
      <sheetName val="新收购公司情况"/>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未审"/>
      <sheetName val="审定"/>
      <sheetName val="未审比率"/>
      <sheetName val="审定比率"/>
      <sheetName val="本期报表"/>
      <sheetName val="上期报表"/>
      <sheetName val="其他应收款－个人借款明细"/>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未审"/>
      <sheetName val="审定"/>
      <sheetName val="未审比率"/>
      <sheetName val="审定比率"/>
      <sheetName val="本期报表"/>
      <sheetName val="上期报表"/>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所得税调整"/>
      <sheetName val="laroux"/>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M_5A"/>
      <sheetName val="M_5C"/>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Sheet3"/>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B"/>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甘草商标乙草条"/>
      <sheetName val="广州余额"/>
      <sheetName val="广州发生额"/>
      <sheetName val="广州林蛙"/>
      <sheetName val="广州黄苓"/>
      <sheetName val="广州黄芪1"/>
      <sheetName val="广州黄芪2"/>
      <sheetName val="广州元贝"/>
      <sheetName val="广州枸杞"/>
      <sheetName val="广州库明细"/>
      <sheetName val="广州库"/>
      <sheetName val="前库明细"/>
      <sheetName val="前旗库"/>
      <sheetName val="出口库"/>
      <sheetName val="出口抽凭"/>
      <sheetName val="巴库明细"/>
      <sheetName val="巴拉贡库"/>
      <sheetName val="东胜库"/>
      <sheetName val="清单12.31"/>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目录"/>
      <sheetName val="表头信息"/>
      <sheetName val="坏账准备"/>
      <sheetName val="报表"/>
      <sheetName val="报表比率"/>
      <sheetName val="附注汇总"/>
      <sheetName val="货币资金"/>
      <sheetName val="银行未达帐项"/>
      <sheetName val="大额未达"/>
      <sheetName val="应收账款"/>
      <sheetName val="应收账款明细表"/>
      <sheetName val="其他应收款"/>
      <sheetName val="内部债权"/>
      <sheetName val="内部债务"/>
      <sheetName val="关联债权"/>
      <sheetName val="关联债务"/>
      <sheetName val="存货"/>
      <sheetName val="库存分析"/>
      <sheetName val="待摊费用明细"/>
      <sheetName val="固定资产折旧"/>
      <sheetName val="固定资产明细"/>
      <sheetName val="折旧验算表"/>
      <sheetName val="应付账款"/>
      <sheetName val="应付账款明细"/>
      <sheetName val="应付账款明细 (2)"/>
      <sheetName val="预收账款"/>
      <sheetName val="预收帐款明细"/>
      <sheetName val="应交税金"/>
      <sheetName val="应交增值税"/>
      <sheetName val="应交增值税 (2)"/>
      <sheetName val="应交营业税"/>
      <sheetName val="应交城建税"/>
      <sheetName val="应交所得税"/>
      <sheetName val="其他应交款"/>
      <sheetName val="其他应付款"/>
      <sheetName val="其他应付款明细"/>
      <sheetName val="主营收入成本"/>
      <sheetName val="毛利率"/>
      <sheetName val="营业税金及附加"/>
      <sheetName val="其他业务利润"/>
      <sheetName val="其他收入分析"/>
      <sheetName val="其他业务收入明细"/>
      <sheetName val="管理费用"/>
      <sheetName val="财务费用"/>
      <sheetName val="营业外收支"/>
      <sheetName val="其他现金流量"/>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目录"/>
      <sheetName val="本部纳税调整表模板"/>
      <sheetName val="Sheet1"/>
      <sheetName val="科目名称表"/>
      <sheetName val="调整分录2006合并"/>
      <sheetName val="存货中的未实现内部利润"/>
      <sheetName val="丁字帐2006合并"/>
      <sheetName val="报表2006合并"/>
      <sheetName val="检查"/>
      <sheetName val="调整分录2006母公司"/>
      <sheetName val="丁字帐2006母公司"/>
      <sheetName val="报表2006母公司"/>
      <sheetName val="变动"/>
      <sheetName val="本部坏账"/>
      <sheetName val="本部重分类调整明细"/>
      <sheetName val="调整分录2006本部"/>
      <sheetName val="丁字帐2006本部"/>
      <sheetName val="报表2006本部"/>
      <sheetName val="本部投资收益"/>
      <sheetName val="本部长期投资"/>
      <sheetName val="调整分录2006热电厂筹建处"/>
      <sheetName val="丁字帐2006热电厂筹建处"/>
      <sheetName val="报表2006热电厂筹建处"/>
      <sheetName val="调整分录2006章武轮掌筹建处"/>
      <sheetName val="丁字帐2006章武轮掌筹建处"/>
      <sheetName val="报表2006章武轮掌筹建处"/>
      <sheetName val="调整分录2006综合科技楼"/>
      <sheetName val="丁字帐2006综合科技楼"/>
      <sheetName val="报表2006综合科技楼"/>
      <sheetName val="调整分录2006内保"/>
      <sheetName val="丁字帐2006内保"/>
      <sheetName val="报表2006内保"/>
      <sheetName val="调整分录2006社保"/>
      <sheetName val="丁字帐2006社保"/>
      <sheetName val="报表2006社保"/>
      <sheetName val="调整分录2006煤质处"/>
      <sheetName val="丁字帐2006煤质处"/>
      <sheetName val="报表2006煤质处"/>
      <sheetName val="调整分录2006救护大队"/>
      <sheetName val="丁字帐2006救护大队"/>
      <sheetName val="报表2006救护大队"/>
      <sheetName val="调整分录2006结算中心"/>
      <sheetName val="丁字帐2006结算中心"/>
      <sheetName val="报表2006结算中心"/>
      <sheetName val="调整分录2006销售处"/>
      <sheetName val="丁字帐2006销售处"/>
      <sheetName val="报表2006销售处"/>
      <sheetName val="调整分录2006电厂"/>
      <sheetName val="丁字帐2006电厂"/>
      <sheetName val="报表2006电厂"/>
      <sheetName val="调整分录2006供应"/>
      <sheetName val="丁字帐2006供应"/>
      <sheetName val="报表2006供应"/>
      <sheetName val="调整分录2006机电"/>
      <sheetName val="丁字帐2006机电"/>
      <sheetName val="报表2006机电"/>
      <sheetName val="调整分录2006研发中心"/>
      <sheetName val="丁字帐2006研发中心"/>
      <sheetName val="报表2006研发中心"/>
      <sheetName val="调整分录2006十矿"/>
      <sheetName val="丁字帐2006十矿"/>
      <sheetName val="报表2006十矿"/>
      <sheetName val="调整分录2006九矿"/>
      <sheetName val="丁字帐2006九矿"/>
      <sheetName val="报表2006九矿"/>
      <sheetName val="调整分录2006八矿"/>
      <sheetName val="丁字帐2006八矿"/>
      <sheetName val="报表2006八矿"/>
      <sheetName val="调整分录2006六矿"/>
      <sheetName val="丁字帐2006六矿"/>
      <sheetName val="报表2006六矿"/>
      <sheetName val="调整分录2006四矿"/>
      <sheetName val="丁字帐2006四矿"/>
      <sheetName val="报表2006四矿"/>
      <sheetName val="调整分录2006三矿"/>
      <sheetName val="丁字帐2006三矿"/>
      <sheetName val="报表2006三矿"/>
      <sheetName val="调整分录2006福源精煤"/>
      <sheetName val="丁字帐2006福源精煤"/>
      <sheetName val="报表2006福源精煤"/>
      <sheetName val="调整分录2006中泰矿业"/>
      <sheetName val="丁字帐2006中泰矿业"/>
      <sheetName val="报表2006中泰矿业"/>
      <sheetName val="报表2003模板"/>
      <sheetName val="调整分录2003模板"/>
      <sheetName val="丁字帐2003模板"/>
      <sheetName val="纳税调整"/>
      <sheetName val="表头信息"/>
      <sheetName val="12月份品种酒生产月报表"/>
      <sheetName val="品种酒生产月报10月"/>
      <sheetName val="广州库"/>
      <sheetName val="#REF"/>
      <sheetName val="35.1租赁明细"/>
      <sheetName val="出库"/>
      <sheetName val="入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调整分录表"/>
      <sheetName val="平衡表"/>
      <sheetName val="资产评估备案表1"/>
      <sheetName val="资产评估备案表2"/>
      <sheetName val="资产评估备案表3"/>
      <sheetName val="项目信息"/>
      <sheetName val="汇总表"/>
      <sheetName val="分类汇总"/>
      <sheetName val="流资"/>
      <sheetName val="货币"/>
      <sheetName val="现金"/>
      <sheetName val="银存"/>
      <sheetName val="其他货币"/>
      <sheetName val="短期投资"/>
      <sheetName val="股票"/>
      <sheetName val="债券"/>
      <sheetName val="应收票据"/>
      <sheetName val="应收账款"/>
      <sheetName val="应收股利(利润)"/>
      <sheetName val="应收利息"/>
      <sheetName val="预付账款"/>
      <sheetName val="应收补贴款"/>
      <sheetName val="其他应收款"/>
      <sheetName val="存货"/>
      <sheetName val="原材料"/>
      <sheetName val="材料采购(在途物资)"/>
      <sheetName val="在库低耗品"/>
      <sheetName val="包装物(库存物资)"/>
      <sheetName val="委托加工材料"/>
      <sheetName val="产成品(库存商品)"/>
      <sheetName val="在产品(自制半成品)"/>
      <sheetName val="分期收款发出商品"/>
      <sheetName val="在用低值易耗品"/>
      <sheetName val="委托代销商品"/>
      <sheetName val="受托代销商品"/>
      <sheetName val="待摊费用"/>
      <sheetName val="待处理流动资产净损失"/>
      <sheetName val="一年内到期的长期债券投资"/>
      <sheetName val="其他流动资产"/>
      <sheetName val="长期投资"/>
      <sheetName val="长期股票"/>
      <sheetName val="长期债券"/>
      <sheetName val="长期其他投资"/>
      <sheetName val="固定资产"/>
      <sheetName val="房屋建筑"/>
      <sheetName val="构筑物"/>
      <sheetName val="管道沟槽"/>
      <sheetName val="机器设备"/>
      <sheetName val="运输设备"/>
      <sheetName val="车辆评估计算"/>
      <sheetName val="电子设备"/>
      <sheetName val="家具用具"/>
      <sheetName val="工程物资"/>
      <sheetName val="土建工程"/>
      <sheetName val="设备安装"/>
      <sheetName val="固定资产清理"/>
      <sheetName val="待处固定资产净损失"/>
      <sheetName val="土地"/>
      <sheetName val="其他无形资产"/>
      <sheetName val="开办费"/>
      <sheetName val="长期待摊费用"/>
      <sheetName val="其他长期资产"/>
      <sheetName val="递延税款借项"/>
      <sheetName val="流动负债"/>
      <sheetName val="短期借款"/>
      <sheetName val="应付票据"/>
      <sheetName val="应付账款"/>
      <sheetName val="预收账款"/>
      <sheetName val="代销商品款"/>
      <sheetName val="其他应付款"/>
      <sheetName val="应付工资"/>
      <sheetName val="应付福利费"/>
      <sheetName val="应交税金"/>
      <sheetName val="应付利润(股利)"/>
      <sheetName val="其他应交款"/>
      <sheetName val="预提费用"/>
      <sheetName val="一年内到期的长期负债"/>
      <sheetName val="其他流动负债"/>
      <sheetName val="长期负债"/>
      <sheetName val="长期借款"/>
      <sheetName val="应付债券"/>
      <sheetName val="长期应付款"/>
      <sheetName val="住房周转金"/>
      <sheetName val="递延税款贷项"/>
      <sheetName val="其他长期负债"/>
      <sheetName val="科目名称表"/>
      <sheetName val="表头信息"/>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未审"/>
      <sheetName val="审定"/>
      <sheetName val="未审比率"/>
      <sheetName val="审定比率"/>
      <sheetName val="本期报表"/>
      <sheetName val="上期报表"/>
      <sheetName val="项目信息"/>
      <sheetName val="科目名称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检查情况表（采购）"/>
      <sheetName val="检查情况表（生产成本）"/>
      <sheetName val="原材料"/>
      <sheetName val="材料成本差异"/>
      <sheetName val="材料成本差异测算"/>
      <sheetName val="生产成本账"/>
      <sheetName val="生产成本及销售成本倒轧表"/>
      <sheetName val="1-6月成本明细"/>
      <sheetName val="单位成本分析"/>
      <sheetName val="上期报表"/>
      <sheetName val="项目信息"/>
      <sheetName val="商务折扣"/>
      <sheetName val="表头信息"/>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休息"/>
      <sheetName val="您好"/>
      <sheetName val="参数"/>
      <sheetName val="目录"/>
      <sheetName val="汇总"/>
      <sheetName val="分类汇总1"/>
      <sheetName val="分类汇总2"/>
      <sheetName val="流动资产汇总"/>
      <sheetName val="现金"/>
      <sheetName val="银行存款"/>
      <sheetName val="其他货币资金"/>
      <sheetName val="短期投资汇总"/>
      <sheetName val="短期投资-股票"/>
      <sheetName val="短期投资-债券"/>
      <sheetName val="应收票据"/>
      <sheetName val="应收股利"/>
      <sheetName val="应收利息"/>
      <sheetName val="应收帐款"/>
      <sheetName val="其他应收款"/>
      <sheetName val="预付帐款"/>
      <sheetName val="应收补贴款"/>
      <sheetName val="存货汇总"/>
      <sheetName val="存货-原材料"/>
      <sheetName val="存货-材料采购"/>
      <sheetName val="存货-在库低值易耗品"/>
      <sheetName val="存货-包装物"/>
      <sheetName val="存货-委托加工材料"/>
      <sheetName val="存货-产成品"/>
      <sheetName val="存货-在产品"/>
      <sheetName val="存货-分期收款发出商品"/>
      <sheetName val="存货-在用低值易耗品"/>
      <sheetName val="存货-委托代销商品"/>
      <sheetName val="存货-受托代销商品"/>
      <sheetName val="待摊费用"/>
      <sheetName val="待处理流动资产净损失"/>
      <sheetName val="一年内到期的长期投资"/>
      <sheetName val="其他流动资产"/>
      <sheetName val="长期投资汇总"/>
      <sheetName val="长期投资-股票"/>
      <sheetName val="长期投资-债券"/>
      <sheetName val="其他长期投资"/>
      <sheetName val="固定资产汇总"/>
      <sheetName val="固定资产-建筑物"/>
      <sheetName val="固定资产-构筑物"/>
      <sheetName val="固定资产-管沟"/>
      <sheetName val="固定资产-机器设备"/>
      <sheetName val="固定资产-车辆"/>
      <sheetName val="固定资产-电子设备"/>
      <sheetName val="工程物资"/>
      <sheetName val="在建工程-土建"/>
      <sheetName val="在建工程-设备"/>
      <sheetName val="固定资产清理"/>
      <sheetName val="待处理固定资产净损失"/>
      <sheetName val="无形资产-土地"/>
      <sheetName val="其他无形资产"/>
      <sheetName val="开办费"/>
      <sheetName val="长期待摊费用"/>
      <sheetName val="其他长期资产"/>
      <sheetName val="递延税款借项"/>
      <sheetName val="流动负债汇总"/>
      <sheetName val="短期借款"/>
      <sheetName val="应付票据"/>
      <sheetName val="应付帐款"/>
      <sheetName val="预收帐款"/>
      <sheetName val="其他应付款"/>
      <sheetName val="应付工资"/>
      <sheetName val="应付福利费"/>
      <sheetName val="应交税金"/>
      <sheetName val="应付利润"/>
      <sheetName val="其他应交款"/>
      <sheetName val="预提费用"/>
      <sheetName val="预计负债"/>
      <sheetName val="一年内到期的长期负债"/>
      <sheetName val="其他流动负债"/>
      <sheetName val="长期负债汇总"/>
      <sheetName val="长期借款"/>
      <sheetName val="应付债券"/>
      <sheetName val="长期应付款"/>
      <sheetName val="专项应付款"/>
      <sheetName val="其他长期负债"/>
      <sheetName val="递延税款贷项"/>
      <sheetName val="各项准备"/>
      <sheetName val="评估分析"/>
      <sheetName val="使用说明"/>
      <sheetName val="正式版信息"/>
      <sheetName val="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未审"/>
      <sheetName val="审定"/>
      <sheetName val="未审比率"/>
      <sheetName val="审定比率"/>
      <sheetName val="本期报表"/>
      <sheetName val="上期报表"/>
      <sheetName val="完"/>
      <sheetName val="Investment Property"/>
      <sheetName val="Main"/>
      <sheetName val="5月"/>
      <sheetName val="6月"/>
      <sheetName val="B"/>
      <sheetName val="生产成本账"/>
      <sheetName val="现金"/>
      <sheetName val="科目名称表"/>
      <sheetName val="科目表"/>
      <sheetName val="唯一合同编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未审"/>
      <sheetName val="审定"/>
      <sheetName val="未审比率"/>
      <sheetName val="审定比率"/>
      <sheetName val="本期报表"/>
      <sheetName val="上期报表"/>
      <sheetName val="账表核对"/>
      <sheetName val="大额未达"/>
      <sheetName val="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银行存款询证明细表"/>
      <sheetName val="其他货币资金询证明细表"/>
      <sheetName val="银行借款询证"/>
      <sheetName val="应收账款函证明细表"/>
      <sheetName val="其他应收款函证明细表"/>
      <sheetName val="预收账款函证明细表"/>
      <sheetName val="应付账款函证明细表"/>
      <sheetName val="其他应付款函证明细表"/>
      <sheetName val="工程往来函证明细表"/>
      <sheetName val="应收票据函证明细表"/>
      <sheetName val="应付票据函证明细表"/>
      <sheetName val="往来询证函"/>
      <sheetName val="异地存货询证函"/>
      <sheetName val="发出商品询证函"/>
      <sheetName val="交易询证函"/>
      <sheetName val="工商询证函"/>
      <sheetName val="房产管理处询证函"/>
      <sheetName val="国税询证函"/>
      <sheetName val="地税询证函"/>
      <sheetName val="银行询证函模板"/>
      <sheetName val="本期报表"/>
      <sheetName val="产销存明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temp_temp__"/>
      <sheetName val="说明"/>
      <sheetName val="TEST"/>
      <sheetName val="报表格式"/>
      <sheetName val="年初BS审定"/>
      <sheetName val="上年PL审定"/>
      <sheetName val="期初核对BS"/>
      <sheetName val="期初核对PL"/>
      <sheetName val="母公司BS汇总"/>
      <sheetName val="母公司PL汇总"/>
      <sheetName val="母公司CF汇总"/>
      <sheetName val="母公司汇总抵销"/>
      <sheetName val="母公司账项调整"/>
      <sheetName val="母公司报表调整"/>
      <sheetName val="母公司TB资产"/>
      <sheetName val="母公司TB负债"/>
      <sheetName val="母公司TB损益"/>
      <sheetName val="TB母公司CF"/>
      <sheetName val="合并BS汇总"/>
      <sheetName val="合并PL汇总"/>
      <sheetName val="合并CF汇总"/>
      <sheetName val="权益抵销"/>
      <sheetName val="往来交易抵销"/>
      <sheetName val="合并报表调整 "/>
      <sheetName val="合并TB资产"/>
      <sheetName val="合并TB负债"/>
      <sheetName val="合并TB损益"/>
      <sheetName val=" "/>
      <sheetName val="TB合并CF"/>
      <sheetName val="审定合并BS"/>
      <sheetName val="审定合并PL"/>
      <sheetName val="审定合并CF"/>
      <sheetName val="已审横向BS"/>
      <sheetName val="已审纵向BS"/>
      <sheetName val="已审横向PL"/>
      <sheetName val="已审纵向PL"/>
      <sheetName val="已审比率分析"/>
      <sheetName val="Q2-4 EPS-ROE(新)"/>
      <sheetName val="母已审横向BS"/>
      <sheetName val="母已审纵向BS"/>
      <sheetName val="母已审横向PL"/>
      <sheetName val="母已审纵向PL"/>
      <sheetName val="母已审比率分析"/>
    </sheetNames>
    <sheetDataSet>
      <sheetData sheetId="0"/>
      <sheetData sheetId="1">
        <row r="30">
          <cell r="E30" t="str">
            <v>2019年度</v>
          </cell>
        </row>
        <row r="32">
          <cell r="E32">
            <v>43830</v>
          </cell>
        </row>
      </sheetData>
      <sheetData sheetId="2"/>
      <sheetData sheetId="3">
        <row r="4">
          <cell r="U4" t="str">
            <v>补充资料</v>
          </cell>
        </row>
        <row r="5">
          <cell r="B5" t="str">
            <v>流动资产：</v>
          </cell>
        </row>
        <row r="5">
          <cell r="L5" t="str">
            <v>一、营业收入</v>
          </cell>
        </row>
        <row r="5">
          <cell r="Q5" t="str">
            <v>一、经营活动产生的现金流量</v>
          </cell>
        </row>
        <row r="5">
          <cell r="U5" t="str">
            <v>1、将净利润调节为经营活动现金流量：</v>
          </cell>
        </row>
        <row r="6">
          <cell r="B6" t="str">
            <v>货币资金</v>
          </cell>
        </row>
        <row r="6">
          <cell r="L6" t="str">
            <v>        其中：主营业务收入</v>
          </cell>
        </row>
        <row r="6">
          <cell r="Q6" t="str">
            <v>     销售商品、提供劳务收到的现金</v>
          </cell>
        </row>
        <row r="6">
          <cell r="U6" t="str">
            <v>     净利润</v>
          </cell>
        </row>
        <row r="7">
          <cell r="B7" t="str">
            <v>交易性金融资产</v>
          </cell>
        </row>
        <row r="7">
          <cell r="L7" t="str">
            <v>              其他业务收入</v>
          </cell>
        </row>
        <row r="7">
          <cell r="Q7" t="str">
            <v>     收到的税费返还</v>
          </cell>
        </row>
        <row r="8">
          <cell r="B8" t="str">
            <v>以公允价值计量且其变动计入当期损益的金融资产</v>
          </cell>
        </row>
        <row r="8">
          <cell r="L8" t="str">
            <v>    减：营业成本</v>
          </cell>
        </row>
        <row r="8">
          <cell r="Q8" t="str">
            <v>     收到的其他与经营活动有关的现金</v>
          </cell>
        </row>
        <row r="9">
          <cell r="B9" t="str">
            <v>衍生金融资产</v>
          </cell>
        </row>
        <row r="9">
          <cell r="L9" t="str">
            <v>        其中：主营业务成本</v>
          </cell>
        </row>
        <row r="9">
          <cell r="U9" t="str">
            <v>加：资产减值损失</v>
          </cell>
        </row>
        <row r="10">
          <cell r="B10" t="str">
            <v>应收票据</v>
          </cell>
        </row>
        <row r="10">
          <cell r="L10" t="str">
            <v>              其他业务成本</v>
          </cell>
        </row>
        <row r="10">
          <cell r="Q10" t="str">
            <v>     经营活动现金流入小计</v>
          </cell>
        </row>
        <row r="10">
          <cell r="U10" t="str">
            <v>    信用减值损失</v>
          </cell>
        </row>
        <row r="11">
          <cell r="B11" t="str">
            <v>应收账款</v>
          </cell>
        </row>
        <row r="11">
          <cell r="L11" t="str">
            <v>        税金及附加</v>
          </cell>
        </row>
        <row r="11">
          <cell r="Q11" t="str">
            <v>     购买商品、接受劳务支付的现金</v>
          </cell>
        </row>
        <row r="11">
          <cell r="U11" t="str">
            <v>     固定资产折旧、油气资产折耗、生产性生物资产折旧</v>
          </cell>
        </row>
        <row r="12">
          <cell r="B12" t="str">
            <v>应收款项融资</v>
          </cell>
        </row>
        <row r="12">
          <cell r="L12" t="str">
            <v>        销售费用</v>
          </cell>
        </row>
        <row r="12">
          <cell r="Q12" t="str">
            <v>     支付给职工以及为职工支付的现金</v>
          </cell>
        </row>
        <row r="12">
          <cell r="U12" t="str">
            <v>     无形资产摊销</v>
          </cell>
        </row>
        <row r="13">
          <cell r="B13" t="str">
            <v>预付款项</v>
          </cell>
        </row>
        <row r="13">
          <cell r="L13" t="str">
            <v>        管理费用</v>
          </cell>
        </row>
        <row r="13">
          <cell r="Q13" t="str">
            <v>     支付各项税费</v>
          </cell>
        </row>
        <row r="13">
          <cell r="U13" t="str">
            <v>     长期待摊费用摊销</v>
          </cell>
        </row>
        <row r="14">
          <cell r="B14" t="str">
            <v>其他应收款</v>
          </cell>
        </row>
        <row r="14">
          <cell r="L14" t="str">
            <v>        研发费用</v>
          </cell>
        </row>
        <row r="14">
          <cell r="Q14" t="str">
            <v>     支付的其他与经营活动有关的现金</v>
          </cell>
        </row>
        <row r="14">
          <cell r="U14" t="str">
            <v>     处置固定资产、无形资产和其他长期资产的损失（收益以“－”号填列）</v>
          </cell>
        </row>
        <row r="15">
          <cell r="B15" t="str">
            <v>  其中：应收利息</v>
          </cell>
        </row>
        <row r="15">
          <cell r="L15" t="str">
            <v>        财务费用</v>
          </cell>
        </row>
        <row r="15">
          <cell r="U15" t="str">
            <v>     固定资产报废损失（收益以“－”号填列）</v>
          </cell>
        </row>
        <row r="16">
          <cell r="B16" t="str">
            <v>        应收股利</v>
          </cell>
        </row>
        <row r="16">
          <cell r="L16" t="str">
            <v>        其中：利息费用</v>
          </cell>
        </row>
        <row r="16">
          <cell r="Q16" t="str">
            <v>     经营活动现金流出小计</v>
          </cell>
        </row>
        <row r="16">
          <cell r="U16" t="str">
            <v>     公允价值变动损失（收益以“－”号填列）</v>
          </cell>
        </row>
        <row r="17">
          <cell r="B17" t="str">
            <v>存货</v>
          </cell>
        </row>
        <row r="17">
          <cell r="L17" t="str">
            <v>              利息收入</v>
          </cell>
        </row>
        <row r="17">
          <cell r="Q17" t="str">
            <v>     经营活动产生的现金流量净额</v>
          </cell>
        </row>
        <row r="17">
          <cell r="U17" t="str">
            <v>     财务费用（收益以“－”号填列）</v>
          </cell>
        </row>
        <row r="18">
          <cell r="B18" t="str">
            <v>合同资产</v>
          </cell>
        </row>
        <row r="18">
          <cell r="L18" t="str">
            <v>    加：其他收益</v>
          </cell>
        </row>
        <row r="18">
          <cell r="Q18" t="str">
            <v>二、投资活动产生的现金流量</v>
          </cell>
        </row>
        <row r="18">
          <cell r="U18" t="str">
            <v>     投资损失（收益以“－”号填列）</v>
          </cell>
        </row>
        <row r="19">
          <cell r="B19" t="str">
            <v>持有待售资产</v>
          </cell>
        </row>
        <row r="19">
          <cell r="L19" t="str">
            <v>        投资收益（损失以“－”号填列）</v>
          </cell>
        </row>
        <row r="19">
          <cell r="Q19" t="str">
            <v>     收回投资所收到的现金</v>
          </cell>
        </row>
        <row r="19">
          <cell r="U19" t="str">
            <v>     递延所得税资产减少（增加以“－”号填列）</v>
          </cell>
        </row>
        <row r="20">
          <cell r="B20" t="str">
            <v>一年内到期的非流动资产</v>
          </cell>
        </row>
        <row r="20">
          <cell r="L20" t="str">
            <v>        其中：对联营企业和合营企业的投资收益</v>
          </cell>
        </row>
        <row r="20">
          <cell r="Q20" t="str">
            <v>     取得投资收益所收到的现金</v>
          </cell>
        </row>
        <row r="20">
          <cell r="U20" t="str">
            <v>     递延所得税负债增加（减少以“－”号填列）</v>
          </cell>
        </row>
        <row r="21">
          <cell r="B21" t="str">
            <v>其他流动资产</v>
          </cell>
        </row>
        <row r="21">
          <cell r="L21" t="str">
            <v>              以摊余成本计量的金融资产终止确认收益（损失以“-”号填列）</v>
          </cell>
        </row>
        <row r="21">
          <cell r="Q21" t="str">
            <v>     处置固定资产、无形资产和其他长期资产而收到的现金净额</v>
          </cell>
        </row>
        <row r="21">
          <cell r="U21" t="str">
            <v>     存货的减少（增加以“－”号填列）</v>
          </cell>
        </row>
        <row r="22">
          <cell r="L22" t="str">
            <v>        净敞口套期收益（损失以“-”号填列）</v>
          </cell>
        </row>
        <row r="22">
          <cell r="Q22" t="str">
            <v>     处置子公司及其他营业单位收到的现金净额</v>
          </cell>
        </row>
        <row r="22">
          <cell r="U22" t="str">
            <v>     经营性应收项目的减少（增加以“－”号填列）</v>
          </cell>
        </row>
        <row r="23">
          <cell r="L23" t="str">
            <v>        公允价值变动收益（损失以“－”号填列）</v>
          </cell>
        </row>
        <row r="23">
          <cell r="Q23" t="str">
            <v>     收到其他与投资活动有关的现金</v>
          </cell>
        </row>
        <row r="23">
          <cell r="U23" t="str">
            <v>     经营性应付项目的增加（减少以“－”号填列）</v>
          </cell>
        </row>
        <row r="24">
          <cell r="B24" t="str">
            <v>流动资产合计</v>
          </cell>
        </row>
        <row r="24">
          <cell r="L24" t="str">
            <v>         信用减值损失(损失以“-”号填列）</v>
          </cell>
        </row>
        <row r="25">
          <cell r="B25" t="str">
            <v>非流动资产:</v>
          </cell>
        </row>
        <row r="25">
          <cell r="L25" t="str">
            <v>         资产减值损失(损失以“-”号填列）</v>
          </cell>
        </row>
        <row r="25">
          <cell r="Q25" t="str">
            <v>     投资活动现金流入小计</v>
          </cell>
        </row>
        <row r="26">
          <cell r="B26" t="str">
            <v>债权投资</v>
          </cell>
        </row>
        <row r="26">
          <cell r="L26" t="str">
            <v>        资产处置收益(损失以“-”号填列）</v>
          </cell>
        </row>
        <row r="26">
          <cell r="Q26" t="str">
            <v>     购置固定资产、无形资产和其他长期资产所支付现金 </v>
          </cell>
        </row>
        <row r="26">
          <cell r="U26" t="str">
            <v>     经营活动产生的现金流量净额</v>
          </cell>
        </row>
        <row r="27">
          <cell r="B27" t="str">
            <v>可供出售金融资产</v>
          </cell>
        </row>
        <row r="27">
          <cell r="L27" t="str">
            <v>二、营业利润（亏损以“－”号填列）</v>
          </cell>
        </row>
        <row r="27">
          <cell r="Q27" t="str">
            <v>     投资所支付的现金</v>
          </cell>
        </row>
        <row r="28">
          <cell r="B28" t="str">
            <v>其他债权投资</v>
          </cell>
        </row>
        <row r="28">
          <cell r="L28" t="str">
            <v>    加：营业外收入</v>
          </cell>
        </row>
        <row r="28">
          <cell r="Q28" t="str">
            <v>     取得子公司及其他营业单位支付的现金净额</v>
          </cell>
        </row>
        <row r="28">
          <cell r="U28" t="str">
            <v>2、不涉及现金收支的投资和筹资活动：</v>
          </cell>
        </row>
        <row r="29">
          <cell r="B29" t="str">
            <v>持有至到期投资</v>
          </cell>
        </row>
        <row r="29">
          <cell r="L29" t="str">
            <v>    减：营业外支出</v>
          </cell>
        </row>
        <row r="29">
          <cell r="Q29" t="str">
            <v>     支付其他与投资活动有关的现金</v>
          </cell>
        </row>
        <row r="29">
          <cell r="U29" t="str">
            <v>     债务转为资本</v>
          </cell>
        </row>
        <row r="30">
          <cell r="B30" t="str">
            <v>长期应收款</v>
          </cell>
        </row>
        <row r="30">
          <cell r="L30" t="str">
            <v>三、利润总额（亏损总额以“－”号填列）</v>
          </cell>
        </row>
        <row r="30">
          <cell r="U30" t="str">
            <v>     一年内到期的可转换公司债券</v>
          </cell>
        </row>
        <row r="31">
          <cell r="B31" t="str">
            <v>设定受益计划净资产</v>
          </cell>
        </row>
        <row r="31">
          <cell r="L31" t="str">
            <v>    减：所得税费用</v>
          </cell>
        </row>
        <row r="31">
          <cell r="Q31" t="str">
            <v>      投资活动现金流出小计</v>
          </cell>
        </row>
        <row r="31">
          <cell r="U31" t="str">
            <v>     融资租入固定资产</v>
          </cell>
        </row>
        <row r="32">
          <cell r="B32" t="str">
            <v>长期股权投资</v>
          </cell>
        </row>
        <row r="32">
          <cell r="Q32" t="str">
            <v>     投资活动产生的现金流量净额</v>
          </cell>
        </row>
        <row r="32">
          <cell r="U32" t="str">
            <v>     其他</v>
          </cell>
        </row>
        <row r="33">
          <cell r="B33" t="str">
            <v>其他权益工具投资</v>
          </cell>
        </row>
        <row r="33">
          <cell r="L33" t="str">
            <v>四、净利润（净亏损以“－”号填列）</v>
          </cell>
        </row>
        <row r="33">
          <cell r="Q33" t="str">
            <v>三、筹资活动产生的现金流量</v>
          </cell>
        </row>
        <row r="34">
          <cell r="B34" t="str">
            <v>其他非流动金融资产</v>
          </cell>
        </row>
        <row r="34">
          <cell r="L34" t="str">
            <v> （一）按经营持续性分类</v>
          </cell>
        </row>
        <row r="34">
          <cell r="Q34" t="str">
            <v>     吸收投资所收到的现金</v>
          </cell>
        </row>
        <row r="35">
          <cell r="B35" t="str">
            <v>投资性房地产</v>
          </cell>
        </row>
        <row r="35">
          <cell r="L35" t="str">
            <v>     其中：持续经营净利润（净亏损以“-”号填列）</v>
          </cell>
        </row>
        <row r="35">
          <cell r="Q35" t="str">
            <v>     其中:子公司吸收少数股东权益性投资收到的现金</v>
          </cell>
        </row>
        <row r="35">
          <cell r="U35" t="str">
            <v>3、现金及现金等价物净变动情况：</v>
          </cell>
        </row>
        <row r="36">
          <cell r="B36" t="str">
            <v>固定资产</v>
          </cell>
        </row>
        <row r="36">
          <cell r="L36" t="str">
            <v>                 终止经营净利润（净亏损以“-”号填列）</v>
          </cell>
        </row>
        <row r="36">
          <cell r="Q36" t="str">
            <v>     取得借款收到的现金</v>
          </cell>
        </row>
        <row r="36">
          <cell r="U36" t="str">
            <v>     现金的期末余额</v>
          </cell>
        </row>
        <row r="37">
          <cell r="B37" t="str">
            <v>在建工程</v>
          </cell>
        </row>
        <row r="37">
          <cell r="L37" t="str">
            <v> （二）按所有权归属分类</v>
          </cell>
        </row>
        <row r="37">
          <cell r="Q37" t="str">
            <v>     收到的其他与筹资活动有关的现金</v>
          </cell>
        </row>
        <row r="37">
          <cell r="U37" t="str">
            <v>     减：现金的期初余额</v>
          </cell>
        </row>
        <row r="38">
          <cell r="B38" t="str">
            <v>生产性生物资产 </v>
          </cell>
        </row>
        <row r="38">
          <cell r="L38" t="str">
            <v>     其中：归属于母公司股东的净利润（净亏损以“-”号填列）</v>
          </cell>
        </row>
        <row r="38">
          <cell r="U38" t="str">
            <v>     加：现金等价物的期末余额</v>
          </cell>
        </row>
        <row r="39">
          <cell r="B39" t="str">
            <v>油气资产</v>
          </cell>
        </row>
        <row r="39">
          <cell r="L39" t="str">
            <v>                少数股东损益（净亏损以“-”号填列）</v>
          </cell>
        </row>
        <row r="39">
          <cell r="Q39" t="str">
            <v>     筹资活动现金流入小计</v>
          </cell>
        </row>
        <row r="39">
          <cell r="U39" t="str">
            <v>     减：现金等价物的期初余额</v>
          </cell>
        </row>
        <row r="40">
          <cell r="B40" t="str">
            <v>使用权资产</v>
          </cell>
        </row>
        <row r="40">
          <cell r="L40" t="str">
            <v>五、其他综合收益的税后净额</v>
          </cell>
        </row>
        <row r="40">
          <cell r="Q40" t="str">
            <v>     偿还债务支付的现金</v>
          </cell>
        </row>
        <row r="41">
          <cell r="B41" t="str">
            <v>无形资产</v>
          </cell>
        </row>
        <row r="41">
          <cell r="L41" t="str">
            <v>归属于母公司股东的其他综合收益的税后净额</v>
          </cell>
        </row>
        <row r="41">
          <cell r="Q41" t="str">
            <v>     分配股利、利润或偿付利息支付的现金</v>
          </cell>
        </row>
        <row r="42">
          <cell r="B42" t="str">
            <v>开发支出</v>
          </cell>
        </row>
        <row r="42">
          <cell r="L42" t="str">
            <v>  （一）不能重分类进损益的其他综合收益</v>
          </cell>
        </row>
        <row r="42">
          <cell r="Q42" t="str">
            <v>      其中:子公司支付少数股东的现金股利</v>
          </cell>
        </row>
        <row r="43">
          <cell r="B43" t="str">
            <v>商誉</v>
          </cell>
        </row>
        <row r="43">
          <cell r="L43" t="str">
            <v>1.重新计量设定受益计划变动额</v>
          </cell>
        </row>
        <row r="43">
          <cell r="Q43" t="str">
            <v>     支付其他与筹资活动有关的现金</v>
          </cell>
        </row>
        <row r="44">
          <cell r="B44" t="str">
            <v>长期待摊费用</v>
          </cell>
        </row>
        <row r="44">
          <cell r="L44" t="str">
            <v>2.权益法下不能转损益的其他综合收益</v>
          </cell>
        </row>
        <row r="44">
          <cell r="Q44" t="str">
            <v>      其中:子公司减资支付给少数股东的现金</v>
          </cell>
        </row>
        <row r="45">
          <cell r="B45" t="str">
            <v>递延所得税资产</v>
          </cell>
        </row>
        <row r="45">
          <cell r="L45" t="str">
            <v>3.其他权益工具投资公允价值变动 </v>
          </cell>
        </row>
        <row r="45">
          <cell r="Q45" t="str">
            <v>     筹资活动现金流出小计</v>
          </cell>
        </row>
        <row r="46">
          <cell r="B46" t="str">
            <v>其他非流动资产</v>
          </cell>
        </row>
        <row r="46">
          <cell r="L46" t="str">
            <v>4.企业自身信用风险公允价值变动 </v>
          </cell>
        </row>
        <row r="46">
          <cell r="Q46" t="str">
            <v>     筹资活动产生的现金流量净额</v>
          </cell>
        </row>
        <row r="47">
          <cell r="L47" t="str">
            <v>5.其他</v>
          </cell>
        </row>
        <row r="47">
          <cell r="Q47" t="str">
            <v>四、汇率变动对现金及现金等价物的影响</v>
          </cell>
        </row>
        <row r="48">
          <cell r="L48" t="str">
            <v>  （二）将重分类进损益的其他综合收益</v>
          </cell>
        </row>
        <row r="48">
          <cell r="Q48" t="str">
            <v>五、现金及现金等价物净增加额</v>
          </cell>
        </row>
        <row r="49">
          <cell r="L49" t="str">
            <v>1.权益法下可转损益的其他综合收益</v>
          </cell>
        </row>
        <row r="49">
          <cell r="Q49" t="str">
            <v>    加：期初现金及现金等价物余额</v>
          </cell>
        </row>
        <row r="50">
          <cell r="B50" t="str">
            <v>非流动资产合计</v>
          </cell>
        </row>
        <row r="50">
          <cell r="L50" t="str">
            <v>2.其他债权投资公允价值变动 </v>
          </cell>
        </row>
        <row r="50">
          <cell r="Q50" t="str">
            <v>六、期末现金及现金等价物余额</v>
          </cell>
        </row>
        <row r="50">
          <cell r="U50" t="str">
            <v>     现金及现金等价物净增加额</v>
          </cell>
        </row>
        <row r="51">
          <cell r="B51" t="str">
            <v>资 产 总 计</v>
          </cell>
        </row>
        <row r="51">
          <cell r="L51" t="str">
            <v>3.可供出售金融资产公允价值变动损益</v>
          </cell>
        </row>
        <row r="52">
          <cell r="L52" t="str">
            <v>4.金融资产重分类计入其他综合收益的金额 </v>
          </cell>
        </row>
        <row r="53">
          <cell r="L53" t="str">
            <v>5.持有至到期投资重分类为可供出售金融资产损益</v>
          </cell>
        </row>
        <row r="54">
          <cell r="L54" t="str">
            <v>6.其他债权投资信用减值准备</v>
          </cell>
        </row>
        <row r="55">
          <cell r="L55" t="str">
            <v>7.现金流量套期储备</v>
          </cell>
        </row>
        <row r="56">
          <cell r="L56" t="str">
            <v>8.外币财务报表折算差额</v>
          </cell>
        </row>
        <row r="57">
          <cell r="L57" t="str">
            <v>9.自用房地产或作为存货的房地产转换为以公允价值计量的投资性房地产在转换日公允价值大于账面价值部分</v>
          </cell>
        </row>
        <row r="58">
          <cell r="L58" t="str">
            <v>10.多次交易分步处置子公司股权构成一揽子交易的，丧失控制权之前各次交易处置价款与对应净资产账面价值份额的差额</v>
          </cell>
        </row>
        <row r="59">
          <cell r="L59" t="str">
            <v>11.其他</v>
          </cell>
        </row>
        <row r="60">
          <cell r="L60" t="str">
            <v>归属于少数股东的其他综合收益的税后净额</v>
          </cell>
        </row>
        <row r="61">
          <cell r="L61" t="str">
            <v>六、综合收益总额</v>
          </cell>
        </row>
        <row r="62">
          <cell r="L62" t="str">
            <v>     归属于母公司股东的综合收益总额</v>
          </cell>
        </row>
        <row r="63">
          <cell r="L63" t="str">
            <v>     归属于少数股东的综合收益总额</v>
          </cell>
        </row>
        <row r="64">
          <cell r="L64" t="str">
            <v>七、每股收益</v>
          </cell>
        </row>
        <row r="65">
          <cell r="L65" t="str">
            <v>   （一）基本每股收益</v>
          </cell>
        </row>
        <row r="66">
          <cell r="L66" t="str">
            <v>   （二）稀释每股收益</v>
          </cell>
        </row>
        <row r="67">
          <cell r="L67" t="str">
            <v>八、利润分配</v>
          </cell>
        </row>
        <row r="68">
          <cell r="L68" t="str">
            <v>   （一）年初未分配利润</v>
          </cell>
        </row>
        <row r="69">
          <cell r="L69" t="str">
            <v>   （二）可供分配的利润</v>
          </cell>
        </row>
        <row r="70">
          <cell r="L70" t="str">
            <v>    1、提取法定盈余公积</v>
          </cell>
        </row>
        <row r="71">
          <cell r="L71" t="str">
            <v>    2、其他</v>
          </cell>
        </row>
        <row r="72">
          <cell r="L72" t="str">
            <v>   （三）可供投资者分配的利润</v>
          </cell>
        </row>
        <row r="73">
          <cell r="L73" t="str">
            <v>    1、应付优先股股利</v>
          </cell>
        </row>
        <row r="74">
          <cell r="L74" t="str">
            <v>    2、提取任意盈余公积</v>
          </cell>
        </row>
        <row r="75">
          <cell r="L75" t="str">
            <v>    3、应付普通股股利（应付利润）</v>
          </cell>
        </row>
        <row r="76">
          <cell r="L76" t="str">
            <v>    4、转作资本（或股本）的普通股股利</v>
          </cell>
        </row>
        <row r="77">
          <cell r="L77" t="str">
            <v>    5、其他</v>
          </cell>
        </row>
        <row r="78">
          <cell r="L78" t="str">
            <v>九、未分配利润</v>
          </cell>
        </row>
      </sheetData>
      <sheetData sheetId="4"/>
      <sheetData sheetId="5"/>
      <sheetData sheetId="6"/>
      <sheetData sheetId="7"/>
      <sheetData sheetId="8"/>
      <sheetData sheetId="9">
        <row r="6">
          <cell r="B6">
            <v>0</v>
          </cell>
        </row>
        <row r="7">
          <cell r="B7">
            <v>0</v>
          </cell>
        </row>
        <row r="8">
          <cell r="B8">
            <v>0</v>
          </cell>
        </row>
        <row r="9">
          <cell r="B9">
            <v>0</v>
          </cell>
        </row>
        <row r="10">
          <cell r="B10">
            <v>0</v>
          </cell>
        </row>
        <row r="11">
          <cell r="B11">
            <v>0</v>
          </cell>
        </row>
        <row r="12">
          <cell r="B12">
            <v>0</v>
          </cell>
        </row>
        <row r="13">
          <cell r="B13">
            <v>0</v>
          </cell>
        </row>
        <row r="14">
          <cell r="B14">
            <v>0</v>
          </cell>
        </row>
        <row r="15">
          <cell r="B15">
            <v>0</v>
          </cell>
        </row>
        <row r="16">
          <cell r="B16">
            <v>0</v>
          </cell>
        </row>
        <row r="17">
          <cell r="B17">
            <v>0</v>
          </cell>
        </row>
        <row r="18">
          <cell r="B18">
            <v>0</v>
          </cell>
        </row>
        <row r="19">
          <cell r="B19">
            <v>0</v>
          </cell>
        </row>
        <row r="20">
          <cell r="B20">
            <v>0</v>
          </cell>
        </row>
        <row r="21">
          <cell r="B21">
            <v>0</v>
          </cell>
        </row>
        <row r="22">
          <cell r="B22">
            <v>0</v>
          </cell>
        </row>
        <row r="23">
          <cell r="B23">
            <v>0</v>
          </cell>
        </row>
        <row r="24">
          <cell r="B24">
            <v>0</v>
          </cell>
        </row>
        <row r="25">
          <cell r="B25">
            <v>0</v>
          </cell>
        </row>
        <row r="26">
          <cell r="B26">
            <v>0</v>
          </cell>
        </row>
        <row r="27">
          <cell r="B27">
            <v>0</v>
          </cell>
        </row>
        <row r="29">
          <cell r="B29">
            <v>0</v>
          </cell>
        </row>
        <row r="30">
          <cell r="B30">
            <v>0</v>
          </cell>
        </row>
        <row r="32">
          <cell r="B32">
            <v>0</v>
          </cell>
        </row>
        <row r="33">
          <cell r="B33">
            <v>0</v>
          </cell>
        </row>
        <row r="36">
          <cell r="B36">
            <v>0</v>
          </cell>
        </row>
        <row r="37">
          <cell r="B37">
            <v>0</v>
          </cell>
        </row>
        <row r="39">
          <cell r="B39">
            <v>0</v>
          </cell>
        </row>
        <row r="40">
          <cell r="B40">
            <v>0</v>
          </cell>
        </row>
        <row r="41">
          <cell r="B41">
            <v>0</v>
          </cell>
        </row>
        <row r="42">
          <cell r="B42">
            <v>0</v>
          </cell>
        </row>
        <row r="43">
          <cell r="B43">
            <v>0</v>
          </cell>
        </row>
        <row r="44">
          <cell r="B44">
            <v>0</v>
          </cell>
        </row>
        <row r="45">
          <cell r="B45">
            <v>0</v>
          </cell>
        </row>
        <row r="46">
          <cell r="B46">
            <v>0</v>
          </cell>
        </row>
        <row r="47">
          <cell r="B47">
            <v>0</v>
          </cell>
        </row>
        <row r="48">
          <cell r="B48">
            <v>0</v>
          </cell>
        </row>
        <row r="49">
          <cell r="B49">
            <v>0</v>
          </cell>
        </row>
        <row r="50">
          <cell r="B50">
            <v>0</v>
          </cell>
        </row>
        <row r="51">
          <cell r="B51">
            <v>0</v>
          </cell>
        </row>
        <row r="52">
          <cell r="B52">
            <v>0</v>
          </cell>
        </row>
        <row r="53">
          <cell r="B53">
            <v>0</v>
          </cell>
        </row>
        <row r="54">
          <cell r="B54">
            <v>0</v>
          </cell>
        </row>
        <row r="55">
          <cell r="B55">
            <v>0</v>
          </cell>
        </row>
        <row r="56">
          <cell r="B56">
            <v>0</v>
          </cell>
        </row>
        <row r="57">
          <cell r="B57">
            <v>0</v>
          </cell>
        </row>
        <row r="58">
          <cell r="B58">
            <v>0</v>
          </cell>
        </row>
        <row r="59">
          <cell r="B59">
            <v>0</v>
          </cell>
        </row>
        <row r="60">
          <cell r="B60">
            <v>0</v>
          </cell>
        </row>
        <row r="61">
          <cell r="B61">
            <v>0</v>
          </cell>
        </row>
        <row r="62">
          <cell r="B62">
            <v>0</v>
          </cell>
        </row>
        <row r="63">
          <cell r="B63">
            <v>0</v>
          </cell>
        </row>
        <row r="64">
          <cell r="B64">
            <v>0</v>
          </cell>
        </row>
        <row r="66">
          <cell r="B66">
            <v>0</v>
          </cell>
        </row>
        <row r="67">
          <cell r="B67">
            <v>0</v>
          </cell>
        </row>
        <row r="69">
          <cell r="B69">
            <v>0</v>
          </cell>
        </row>
        <row r="70">
          <cell r="B70">
            <v>0</v>
          </cell>
        </row>
        <row r="71">
          <cell r="B71">
            <v>0</v>
          </cell>
        </row>
        <row r="72">
          <cell r="B72">
            <v>0</v>
          </cell>
        </row>
        <row r="73">
          <cell r="B73">
            <v>0</v>
          </cell>
        </row>
        <row r="74">
          <cell r="B74">
            <v>0</v>
          </cell>
        </row>
        <row r="75">
          <cell r="B75">
            <v>0</v>
          </cell>
        </row>
        <row r="76">
          <cell r="B76">
            <v>0</v>
          </cell>
        </row>
        <row r="77">
          <cell r="B77">
            <v>0</v>
          </cell>
        </row>
        <row r="78">
          <cell r="B78">
            <v>0</v>
          </cell>
        </row>
        <row r="79">
          <cell r="B79">
            <v>0</v>
          </cell>
        </row>
      </sheetData>
      <sheetData sheetId="10"/>
      <sheetData sheetId="11">
        <row r="5">
          <cell r="E5" t="str">
            <v/>
          </cell>
        </row>
        <row r="5">
          <cell r="H5" t="str">
            <v/>
          </cell>
        </row>
        <row r="6">
          <cell r="E6" t="str">
            <v/>
          </cell>
        </row>
        <row r="6">
          <cell r="H6" t="str">
            <v/>
          </cell>
        </row>
        <row r="7">
          <cell r="E7" t="str">
            <v/>
          </cell>
        </row>
        <row r="7">
          <cell r="H7" t="str">
            <v/>
          </cell>
        </row>
        <row r="8">
          <cell r="E8" t="str">
            <v/>
          </cell>
        </row>
        <row r="8">
          <cell r="H8" t="str">
            <v/>
          </cell>
        </row>
        <row r="9">
          <cell r="E9" t="str">
            <v/>
          </cell>
        </row>
        <row r="9">
          <cell r="H9" t="str">
            <v/>
          </cell>
        </row>
        <row r="10">
          <cell r="E10" t="str">
            <v/>
          </cell>
        </row>
        <row r="10">
          <cell r="H10" t="str">
            <v/>
          </cell>
        </row>
        <row r="11">
          <cell r="E11" t="str">
            <v/>
          </cell>
        </row>
        <row r="11">
          <cell r="H11" t="str">
            <v/>
          </cell>
        </row>
        <row r="12">
          <cell r="E12" t="str">
            <v/>
          </cell>
        </row>
        <row r="12">
          <cell r="H12" t="str">
            <v/>
          </cell>
        </row>
        <row r="13">
          <cell r="J13" t="str">
            <v/>
          </cell>
        </row>
        <row r="14">
          <cell r="E14" t="str">
            <v/>
          </cell>
        </row>
        <row r="14">
          <cell r="H14" t="str">
            <v/>
          </cell>
        </row>
        <row r="15">
          <cell r="E15" t="str">
            <v/>
          </cell>
        </row>
        <row r="15">
          <cell r="H15" t="str">
            <v/>
          </cell>
        </row>
        <row r="16">
          <cell r="E16" t="str">
            <v/>
          </cell>
        </row>
        <row r="16">
          <cell r="H16" t="str">
            <v/>
          </cell>
        </row>
        <row r="17">
          <cell r="E17" t="str">
            <v/>
          </cell>
        </row>
        <row r="17">
          <cell r="H17" t="str">
            <v/>
          </cell>
        </row>
        <row r="18">
          <cell r="E18" t="str">
            <v/>
          </cell>
        </row>
        <row r="18">
          <cell r="H18" t="str">
            <v/>
          </cell>
        </row>
        <row r="19">
          <cell r="E19" t="str">
            <v/>
          </cell>
        </row>
        <row r="19">
          <cell r="H19" t="str">
            <v/>
          </cell>
        </row>
        <row r="20">
          <cell r="J20" t="str">
            <v/>
          </cell>
        </row>
        <row r="21">
          <cell r="E21" t="str">
            <v/>
          </cell>
        </row>
        <row r="21">
          <cell r="H21" t="str">
            <v/>
          </cell>
        </row>
        <row r="22">
          <cell r="E22" t="str">
            <v/>
          </cell>
        </row>
        <row r="22">
          <cell r="H22" t="str">
            <v/>
          </cell>
        </row>
        <row r="23">
          <cell r="E23" t="str">
            <v/>
          </cell>
        </row>
        <row r="23">
          <cell r="H23" t="str">
            <v/>
          </cell>
        </row>
        <row r="24">
          <cell r="E24" t="str">
            <v/>
          </cell>
        </row>
        <row r="24">
          <cell r="H24" t="str">
            <v/>
          </cell>
        </row>
        <row r="25">
          <cell r="E25" t="str">
            <v/>
          </cell>
        </row>
        <row r="25">
          <cell r="H25" t="str">
            <v/>
          </cell>
        </row>
        <row r="26">
          <cell r="E26" t="str">
            <v/>
          </cell>
        </row>
        <row r="26">
          <cell r="H26" t="str">
            <v/>
          </cell>
        </row>
        <row r="27">
          <cell r="J27" t="str">
            <v/>
          </cell>
        </row>
        <row r="28">
          <cell r="E28" t="str">
            <v/>
          </cell>
        </row>
        <row r="28">
          <cell r="H28" t="str">
            <v/>
          </cell>
        </row>
        <row r="29">
          <cell r="E29" t="str">
            <v/>
          </cell>
        </row>
        <row r="29">
          <cell r="H29" t="str">
            <v/>
          </cell>
        </row>
        <row r="30">
          <cell r="E30" t="str">
            <v/>
          </cell>
        </row>
        <row r="30">
          <cell r="H30" t="str">
            <v/>
          </cell>
        </row>
        <row r="31">
          <cell r="E31" t="str">
            <v/>
          </cell>
        </row>
        <row r="31">
          <cell r="H31" t="str">
            <v/>
          </cell>
        </row>
        <row r="32">
          <cell r="E32" t="str">
            <v/>
          </cell>
        </row>
        <row r="32">
          <cell r="H32" t="str">
            <v/>
          </cell>
        </row>
        <row r="33">
          <cell r="E33" t="str">
            <v/>
          </cell>
        </row>
        <row r="33">
          <cell r="H33" t="str">
            <v/>
          </cell>
        </row>
        <row r="34">
          <cell r="J34" t="str">
            <v/>
          </cell>
        </row>
        <row r="35">
          <cell r="E35" t="str">
            <v/>
          </cell>
        </row>
        <row r="35">
          <cell r="H35" t="str">
            <v/>
          </cell>
        </row>
        <row r="36">
          <cell r="E36" t="str">
            <v/>
          </cell>
        </row>
        <row r="36">
          <cell r="H36" t="str">
            <v/>
          </cell>
        </row>
        <row r="37">
          <cell r="E37" t="str">
            <v/>
          </cell>
        </row>
        <row r="37">
          <cell r="H37" t="str">
            <v/>
          </cell>
        </row>
        <row r="38">
          <cell r="E38" t="str">
            <v/>
          </cell>
        </row>
        <row r="38">
          <cell r="H38" t="str">
            <v/>
          </cell>
        </row>
        <row r="39">
          <cell r="E39" t="str">
            <v/>
          </cell>
        </row>
        <row r="39">
          <cell r="H39" t="str">
            <v/>
          </cell>
        </row>
        <row r="40">
          <cell r="E40" t="str">
            <v/>
          </cell>
        </row>
        <row r="40">
          <cell r="H40" t="str">
            <v/>
          </cell>
        </row>
        <row r="41">
          <cell r="J41" t="str">
            <v/>
          </cell>
        </row>
        <row r="42">
          <cell r="E42" t="str">
            <v/>
          </cell>
        </row>
        <row r="42">
          <cell r="H42" t="str">
            <v/>
          </cell>
        </row>
        <row r="43">
          <cell r="E43" t="str">
            <v/>
          </cell>
        </row>
        <row r="43">
          <cell r="H43" t="str">
            <v/>
          </cell>
        </row>
        <row r="44">
          <cell r="E44" t="str">
            <v/>
          </cell>
        </row>
        <row r="44">
          <cell r="H44" t="str">
            <v/>
          </cell>
        </row>
        <row r="45">
          <cell r="E45" t="str">
            <v/>
          </cell>
        </row>
        <row r="45">
          <cell r="H45" t="str">
            <v/>
          </cell>
        </row>
        <row r="46">
          <cell r="E46" t="str">
            <v/>
          </cell>
        </row>
        <row r="46">
          <cell r="H46" t="str">
            <v/>
          </cell>
        </row>
        <row r="47">
          <cell r="E47" t="str">
            <v/>
          </cell>
        </row>
        <row r="47">
          <cell r="H47" t="str">
            <v/>
          </cell>
        </row>
        <row r="48">
          <cell r="J48" t="str">
            <v/>
          </cell>
        </row>
        <row r="49">
          <cell r="E49" t="str">
            <v/>
          </cell>
        </row>
        <row r="49">
          <cell r="H49" t="str">
            <v/>
          </cell>
        </row>
        <row r="50">
          <cell r="E50" t="str">
            <v/>
          </cell>
        </row>
        <row r="50">
          <cell r="H50" t="str">
            <v/>
          </cell>
        </row>
        <row r="51">
          <cell r="E51" t="str">
            <v/>
          </cell>
        </row>
        <row r="51">
          <cell r="H51" t="str">
            <v/>
          </cell>
        </row>
        <row r="52">
          <cell r="E52" t="str">
            <v/>
          </cell>
        </row>
        <row r="52">
          <cell r="H52" t="str">
            <v/>
          </cell>
        </row>
        <row r="53">
          <cell r="E53" t="str">
            <v/>
          </cell>
        </row>
        <row r="53">
          <cell r="H53" t="str">
            <v/>
          </cell>
        </row>
        <row r="54">
          <cell r="E54" t="str">
            <v/>
          </cell>
        </row>
        <row r="54">
          <cell r="H54" t="str">
            <v/>
          </cell>
        </row>
        <row r="55">
          <cell r="J55" t="str">
            <v/>
          </cell>
        </row>
        <row r="56">
          <cell r="E56" t="str">
            <v/>
          </cell>
        </row>
        <row r="56">
          <cell r="H56" t="str">
            <v/>
          </cell>
        </row>
        <row r="57">
          <cell r="E57" t="str">
            <v/>
          </cell>
        </row>
        <row r="57">
          <cell r="H57" t="str">
            <v/>
          </cell>
        </row>
        <row r="58">
          <cell r="E58" t="str">
            <v/>
          </cell>
        </row>
        <row r="58">
          <cell r="H58" t="str">
            <v/>
          </cell>
        </row>
        <row r="59">
          <cell r="E59" t="str">
            <v/>
          </cell>
        </row>
        <row r="59">
          <cell r="H59" t="str">
            <v/>
          </cell>
        </row>
        <row r="60">
          <cell r="E60" t="str">
            <v/>
          </cell>
        </row>
        <row r="60">
          <cell r="H60" t="str">
            <v/>
          </cell>
        </row>
        <row r="61">
          <cell r="E61" t="str">
            <v/>
          </cell>
        </row>
        <row r="61">
          <cell r="H61" t="str">
            <v/>
          </cell>
        </row>
        <row r="62">
          <cell r="J62" t="str">
            <v/>
          </cell>
        </row>
        <row r="63">
          <cell r="E63" t="str">
            <v/>
          </cell>
        </row>
        <row r="63">
          <cell r="H63" t="str">
            <v/>
          </cell>
        </row>
        <row r="64">
          <cell r="E64" t="str">
            <v/>
          </cell>
        </row>
        <row r="64">
          <cell r="H64" t="str">
            <v/>
          </cell>
        </row>
        <row r="65">
          <cell r="E65" t="str">
            <v/>
          </cell>
        </row>
        <row r="65">
          <cell r="H65" t="str">
            <v/>
          </cell>
        </row>
        <row r="66">
          <cell r="E66" t="str">
            <v/>
          </cell>
        </row>
        <row r="66">
          <cell r="H66" t="str">
            <v/>
          </cell>
        </row>
        <row r="67">
          <cell r="E67" t="str">
            <v/>
          </cell>
        </row>
        <row r="67">
          <cell r="H67" t="str">
            <v/>
          </cell>
        </row>
        <row r="68">
          <cell r="E68" t="str">
            <v/>
          </cell>
        </row>
        <row r="68">
          <cell r="H68" t="str">
            <v/>
          </cell>
        </row>
        <row r="69">
          <cell r="J69" t="str">
            <v/>
          </cell>
        </row>
        <row r="70">
          <cell r="E70" t="str">
            <v/>
          </cell>
        </row>
        <row r="70">
          <cell r="H70" t="str">
            <v/>
          </cell>
        </row>
        <row r="71">
          <cell r="E71" t="str">
            <v/>
          </cell>
        </row>
        <row r="71">
          <cell r="H71" t="str">
            <v/>
          </cell>
        </row>
        <row r="72">
          <cell r="E72" t="str">
            <v/>
          </cell>
        </row>
        <row r="72">
          <cell r="H72" t="str">
            <v/>
          </cell>
        </row>
        <row r="73">
          <cell r="E73" t="str">
            <v/>
          </cell>
        </row>
        <row r="73">
          <cell r="H73" t="str">
            <v/>
          </cell>
        </row>
        <row r="74">
          <cell r="E74" t="str">
            <v/>
          </cell>
        </row>
        <row r="74">
          <cell r="H74" t="str">
            <v/>
          </cell>
        </row>
        <row r="75">
          <cell r="E75" t="str">
            <v/>
          </cell>
        </row>
        <row r="75">
          <cell r="H75" t="str">
            <v/>
          </cell>
        </row>
        <row r="76">
          <cell r="J76" t="str">
            <v/>
          </cell>
        </row>
        <row r="77">
          <cell r="E77" t="str">
            <v/>
          </cell>
        </row>
        <row r="77">
          <cell r="H77" t="str">
            <v/>
          </cell>
        </row>
        <row r="78">
          <cell r="E78" t="str">
            <v/>
          </cell>
        </row>
        <row r="78">
          <cell r="H78" t="str">
            <v/>
          </cell>
        </row>
        <row r="79">
          <cell r="E79" t="str">
            <v/>
          </cell>
        </row>
        <row r="79">
          <cell r="H79" t="str">
            <v/>
          </cell>
        </row>
        <row r="80">
          <cell r="E80" t="str">
            <v/>
          </cell>
        </row>
        <row r="80">
          <cell r="H80" t="str">
            <v/>
          </cell>
        </row>
        <row r="81">
          <cell r="E81" t="str">
            <v/>
          </cell>
        </row>
        <row r="81">
          <cell r="H81" t="str">
            <v/>
          </cell>
        </row>
        <row r="82">
          <cell r="E82" t="str">
            <v/>
          </cell>
        </row>
        <row r="82">
          <cell r="H82" t="str">
            <v/>
          </cell>
        </row>
        <row r="83">
          <cell r="J83" t="str">
            <v/>
          </cell>
        </row>
        <row r="84">
          <cell r="E84" t="str">
            <v/>
          </cell>
        </row>
        <row r="84">
          <cell r="H84" t="str">
            <v/>
          </cell>
        </row>
        <row r="85">
          <cell r="E85" t="str">
            <v/>
          </cell>
        </row>
        <row r="85">
          <cell r="H85" t="str">
            <v/>
          </cell>
        </row>
        <row r="86">
          <cell r="E86" t="str">
            <v/>
          </cell>
        </row>
        <row r="86">
          <cell r="H86" t="str">
            <v/>
          </cell>
        </row>
        <row r="87">
          <cell r="E87" t="str">
            <v/>
          </cell>
        </row>
        <row r="87">
          <cell r="H87" t="str">
            <v/>
          </cell>
        </row>
        <row r="88">
          <cell r="E88" t="str">
            <v/>
          </cell>
        </row>
        <row r="88">
          <cell r="H88" t="str">
            <v/>
          </cell>
        </row>
        <row r="89">
          <cell r="E89" t="str">
            <v/>
          </cell>
        </row>
        <row r="89">
          <cell r="H89" t="str">
            <v/>
          </cell>
        </row>
        <row r="90">
          <cell r="J90" t="str">
            <v/>
          </cell>
        </row>
        <row r="91">
          <cell r="E91" t="str">
            <v/>
          </cell>
        </row>
        <row r="91">
          <cell r="H91" t="str">
            <v/>
          </cell>
        </row>
        <row r="92">
          <cell r="E92" t="str">
            <v/>
          </cell>
        </row>
        <row r="92">
          <cell r="H92" t="str">
            <v/>
          </cell>
        </row>
        <row r="93">
          <cell r="E93" t="str">
            <v/>
          </cell>
        </row>
        <row r="93">
          <cell r="H93" t="str">
            <v/>
          </cell>
        </row>
        <row r="94">
          <cell r="E94" t="str">
            <v/>
          </cell>
        </row>
        <row r="94">
          <cell r="H94" t="str">
            <v/>
          </cell>
        </row>
        <row r="95">
          <cell r="E95" t="str">
            <v/>
          </cell>
        </row>
        <row r="95">
          <cell r="H95" t="str">
            <v/>
          </cell>
        </row>
        <row r="96">
          <cell r="E96" t="str">
            <v/>
          </cell>
        </row>
        <row r="96">
          <cell r="H96" t="str">
            <v/>
          </cell>
        </row>
        <row r="97">
          <cell r="J97" t="str">
            <v/>
          </cell>
        </row>
        <row r="98">
          <cell r="E98" t="str">
            <v/>
          </cell>
        </row>
        <row r="98">
          <cell r="H98" t="str">
            <v/>
          </cell>
        </row>
        <row r="99">
          <cell r="E99" t="str">
            <v/>
          </cell>
        </row>
        <row r="99">
          <cell r="H99" t="str">
            <v/>
          </cell>
        </row>
        <row r="100">
          <cell r="E100" t="str">
            <v/>
          </cell>
        </row>
        <row r="100">
          <cell r="H100" t="str">
            <v/>
          </cell>
        </row>
        <row r="101">
          <cell r="E101" t="str">
            <v/>
          </cell>
        </row>
        <row r="101">
          <cell r="H101" t="str">
            <v/>
          </cell>
        </row>
        <row r="102">
          <cell r="E102" t="str">
            <v/>
          </cell>
        </row>
        <row r="102">
          <cell r="H102" t="str">
            <v/>
          </cell>
        </row>
        <row r="103">
          <cell r="E103" t="str">
            <v/>
          </cell>
        </row>
        <row r="103">
          <cell r="H103" t="str">
            <v/>
          </cell>
        </row>
        <row r="104">
          <cell r="J104" t="str">
            <v/>
          </cell>
        </row>
        <row r="105">
          <cell r="E105" t="str">
            <v/>
          </cell>
        </row>
        <row r="105">
          <cell r="H105" t="str">
            <v/>
          </cell>
        </row>
        <row r="106">
          <cell r="E106" t="str">
            <v/>
          </cell>
        </row>
        <row r="106">
          <cell r="H106" t="str">
            <v/>
          </cell>
        </row>
        <row r="107">
          <cell r="E107" t="str">
            <v/>
          </cell>
        </row>
        <row r="107">
          <cell r="H107" t="str">
            <v/>
          </cell>
        </row>
        <row r="108">
          <cell r="E108" t="str">
            <v/>
          </cell>
        </row>
        <row r="108">
          <cell r="H108" t="str">
            <v/>
          </cell>
        </row>
        <row r="109">
          <cell r="E109" t="str">
            <v/>
          </cell>
        </row>
        <row r="109">
          <cell r="H109" t="str">
            <v/>
          </cell>
        </row>
        <row r="110">
          <cell r="E110" t="str">
            <v/>
          </cell>
        </row>
        <row r="110">
          <cell r="H110" t="str">
            <v/>
          </cell>
        </row>
        <row r="111">
          <cell r="J111" t="str">
            <v/>
          </cell>
        </row>
        <row r="112">
          <cell r="E112" t="str">
            <v/>
          </cell>
        </row>
        <row r="112">
          <cell r="H112" t="str">
            <v/>
          </cell>
        </row>
        <row r="113">
          <cell r="E113" t="str">
            <v/>
          </cell>
        </row>
        <row r="113">
          <cell r="H113" t="str">
            <v/>
          </cell>
        </row>
        <row r="114">
          <cell r="E114" t="str">
            <v/>
          </cell>
        </row>
        <row r="114">
          <cell r="H114" t="str">
            <v/>
          </cell>
        </row>
        <row r="115">
          <cell r="E115" t="str">
            <v/>
          </cell>
        </row>
        <row r="115">
          <cell r="H115" t="str">
            <v/>
          </cell>
        </row>
        <row r="116">
          <cell r="E116" t="str">
            <v/>
          </cell>
        </row>
        <row r="116">
          <cell r="H116" t="str">
            <v/>
          </cell>
        </row>
        <row r="117">
          <cell r="E117" t="str">
            <v/>
          </cell>
        </row>
        <row r="117">
          <cell r="H117" t="str">
            <v/>
          </cell>
        </row>
        <row r="118">
          <cell r="J118" t="str">
            <v/>
          </cell>
        </row>
        <row r="119">
          <cell r="E119" t="str">
            <v/>
          </cell>
        </row>
        <row r="119">
          <cell r="H119" t="str">
            <v/>
          </cell>
        </row>
        <row r="120">
          <cell r="E120" t="str">
            <v/>
          </cell>
        </row>
        <row r="120">
          <cell r="H120" t="str">
            <v/>
          </cell>
        </row>
        <row r="121">
          <cell r="E121" t="str">
            <v/>
          </cell>
        </row>
        <row r="121">
          <cell r="H121" t="str">
            <v/>
          </cell>
        </row>
        <row r="122">
          <cell r="E122" t="str">
            <v/>
          </cell>
        </row>
        <row r="122">
          <cell r="H122" t="str">
            <v/>
          </cell>
        </row>
        <row r="123">
          <cell r="E123" t="str">
            <v/>
          </cell>
        </row>
        <row r="123">
          <cell r="H123" t="str">
            <v/>
          </cell>
        </row>
        <row r="124">
          <cell r="E124" t="str">
            <v/>
          </cell>
        </row>
        <row r="124">
          <cell r="H124" t="str">
            <v/>
          </cell>
        </row>
        <row r="125">
          <cell r="J125" t="str">
            <v/>
          </cell>
        </row>
        <row r="126">
          <cell r="E126" t="str">
            <v/>
          </cell>
        </row>
        <row r="126">
          <cell r="H126" t="str">
            <v/>
          </cell>
        </row>
        <row r="127">
          <cell r="E127" t="str">
            <v/>
          </cell>
        </row>
        <row r="127">
          <cell r="H127" t="str">
            <v/>
          </cell>
        </row>
        <row r="128">
          <cell r="E128" t="str">
            <v/>
          </cell>
        </row>
        <row r="128">
          <cell r="H128" t="str">
            <v/>
          </cell>
        </row>
        <row r="129">
          <cell r="E129" t="str">
            <v/>
          </cell>
        </row>
        <row r="129">
          <cell r="H129" t="str">
            <v/>
          </cell>
        </row>
        <row r="130">
          <cell r="E130" t="str">
            <v/>
          </cell>
        </row>
        <row r="130">
          <cell r="H130" t="str">
            <v/>
          </cell>
        </row>
        <row r="131">
          <cell r="E131" t="str">
            <v/>
          </cell>
        </row>
        <row r="131">
          <cell r="H131" t="str">
            <v/>
          </cell>
        </row>
        <row r="132">
          <cell r="J132" t="str">
            <v/>
          </cell>
        </row>
        <row r="133">
          <cell r="E133" t="str">
            <v/>
          </cell>
        </row>
        <row r="133">
          <cell r="H133" t="str">
            <v/>
          </cell>
        </row>
        <row r="134">
          <cell r="E134" t="str">
            <v/>
          </cell>
        </row>
        <row r="134">
          <cell r="H134" t="str">
            <v/>
          </cell>
        </row>
        <row r="135">
          <cell r="E135" t="str">
            <v/>
          </cell>
        </row>
        <row r="135">
          <cell r="H135" t="str">
            <v/>
          </cell>
        </row>
        <row r="136">
          <cell r="E136" t="str">
            <v/>
          </cell>
        </row>
        <row r="136">
          <cell r="H136" t="str">
            <v/>
          </cell>
        </row>
        <row r="137">
          <cell r="E137" t="str">
            <v/>
          </cell>
        </row>
        <row r="137">
          <cell r="H137" t="str">
            <v/>
          </cell>
        </row>
        <row r="138">
          <cell r="E138" t="str">
            <v/>
          </cell>
        </row>
        <row r="138">
          <cell r="H138" t="str">
            <v/>
          </cell>
        </row>
        <row r="139">
          <cell r="J139" t="str">
            <v/>
          </cell>
        </row>
        <row r="140">
          <cell r="E140" t="str">
            <v/>
          </cell>
        </row>
        <row r="140">
          <cell r="H140" t="str">
            <v/>
          </cell>
        </row>
        <row r="141">
          <cell r="E141" t="str">
            <v/>
          </cell>
        </row>
        <row r="141">
          <cell r="H141" t="str">
            <v/>
          </cell>
        </row>
        <row r="142">
          <cell r="E142" t="str">
            <v/>
          </cell>
        </row>
        <row r="142">
          <cell r="H142" t="str">
            <v/>
          </cell>
        </row>
        <row r="143">
          <cell r="E143" t="str">
            <v/>
          </cell>
        </row>
        <row r="143">
          <cell r="H143" t="str">
            <v/>
          </cell>
        </row>
        <row r="144">
          <cell r="E144" t="str">
            <v/>
          </cell>
        </row>
        <row r="144">
          <cell r="H144" t="str">
            <v/>
          </cell>
        </row>
        <row r="145">
          <cell r="E145" t="str">
            <v/>
          </cell>
        </row>
        <row r="145">
          <cell r="H145" t="str">
            <v/>
          </cell>
        </row>
        <row r="146">
          <cell r="J146" t="str">
            <v/>
          </cell>
        </row>
        <row r="147">
          <cell r="E147" t="str">
            <v/>
          </cell>
        </row>
        <row r="147">
          <cell r="H147" t="str">
            <v/>
          </cell>
        </row>
        <row r="148">
          <cell r="E148" t="str">
            <v/>
          </cell>
        </row>
        <row r="148">
          <cell r="H148" t="str">
            <v/>
          </cell>
        </row>
        <row r="149">
          <cell r="E149" t="str">
            <v/>
          </cell>
        </row>
        <row r="149">
          <cell r="H149" t="str">
            <v/>
          </cell>
        </row>
        <row r="150">
          <cell r="E150" t="str">
            <v/>
          </cell>
        </row>
        <row r="150">
          <cell r="H150" t="str">
            <v/>
          </cell>
        </row>
        <row r="151">
          <cell r="E151" t="str">
            <v/>
          </cell>
        </row>
        <row r="151">
          <cell r="H151" t="str">
            <v/>
          </cell>
        </row>
        <row r="152">
          <cell r="E152" t="str">
            <v/>
          </cell>
        </row>
        <row r="152">
          <cell r="H152" t="str">
            <v/>
          </cell>
        </row>
        <row r="153">
          <cell r="J153" t="str">
            <v/>
          </cell>
        </row>
        <row r="154">
          <cell r="E154" t="str">
            <v/>
          </cell>
        </row>
        <row r="154">
          <cell r="H154" t="str">
            <v/>
          </cell>
        </row>
        <row r="155">
          <cell r="E155" t="str">
            <v/>
          </cell>
        </row>
        <row r="155">
          <cell r="H155" t="str">
            <v/>
          </cell>
        </row>
        <row r="156">
          <cell r="E156" t="str">
            <v/>
          </cell>
        </row>
        <row r="156">
          <cell r="H156" t="str">
            <v/>
          </cell>
        </row>
        <row r="157">
          <cell r="E157" t="str">
            <v/>
          </cell>
        </row>
        <row r="157">
          <cell r="H157" t="str">
            <v/>
          </cell>
        </row>
        <row r="158">
          <cell r="E158" t="str">
            <v/>
          </cell>
        </row>
        <row r="158">
          <cell r="H158" t="str">
            <v/>
          </cell>
        </row>
        <row r="159">
          <cell r="E159" t="str">
            <v/>
          </cell>
        </row>
        <row r="159">
          <cell r="H159" t="str">
            <v/>
          </cell>
        </row>
        <row r="160">
          <cell r="J160" t="str">
            <v/>
          </cell>
        </row>
        <row r="161">
          <cell r="E161" t="str">
            <v/>
          </cell>
        </row>
        <row r="161">
          <cell r="H161" t="str">
            <v/>
          </cell>
        </row>
        <row r="162">
          <cell r="E162" t="str">
            <v/>
          </cell>
        </row>
        <row r="162">
          <cell r="H162" t="str">
            <v/>
          </cell>
        </row>
        <row r="163">
          <cell r="E163" t="str">
            <v/>
          </cell>
        </row>
        <row r="163">
          <cell r="H163" t="str">
            <v/>
          </cell>
        </row>
        <row r="164">
          <cell r="E164" t="str">
            <v/>
          </cell>
        </row>
        <row r="164">
          <cell r="H164" t="str">
            <v/>
          </cell>
        </row>
        <row r="165">
          <cell r="E165" t="str">
            <v/>
          </cell>
        </row>
        <row r="165">
          <cell r="H165" t="str">
            <v/>
          </cell>
        </row>
        <row r="166">
          <cell r="E166" t="str">
            <v/>
          </cell>
        </row>
        <row r="166">
          <cell r="H166" t="str">
            <v/>
          </cell>
        </row>
        <row r="167">
          <cell r="J167" t="str">
            <v/>
          </cell>
        </row>
        <row r="168">
          <cell r="E168" t="str">
            <v/>
          </cell>
        </row>
        <row r="168">
          <cell r="H168" t="str">
            <v/>
          </cell>
        </row>
        <row r="169">
          <cell r="E169" t="str">
            <v/>
          </cell>
        </row>
        <row r="169">
          <cell r="H169" t="str">
            <v/>
          </cell>
        </row>
        <row r="170">
          <cell r="E170" t="str">
            <v/>
          </cell>
        </row>
        <row r="170">
          <cell r="H170" t="str">
            <v/>
          </cell>
        </row>
        <row r="171">
          <cell r="E171" t="str">
            <v/>
          </cell>
        </row>
        <row r="171">
          <cell r="H171" t="str">
            <v/>
          </cell>
        </row>
        <row r="172">
          <cell r="E172" t="str">
            <v/>
          </cell>
        </row>
        <row r="172">
          <cell r="H172" t="str">
            <v/>
          </cell>
        </row>
        <row r="173">
          <cell r="E173" t="str">
            <v/>
          </cell>
        </row>
        <row r="173">
          <cell r="H173" t="str">
            <v/>
          </cell>
        </row>
        <row r="174">
          <cell r="J174" t="str">
            <v/>
          </cell>
        </row>
        <row r="175">
          <cell r="E175" t="str">
            <v/>
          </cell>
        </row>
        <row r="175">
          <cell r="H175" t="str">
            <v/>
          </cell>
        </row>
        <row r="176">
          <cell r="E176" t="str">
            <v/>
          </cell>
        </row>
        <row r="176">
          <cell r="H176" t="str">
            <v/>
          </cell>
        </row>
        <row r="177">
          <cell r="E177" t="str">
            <v/>
          </cell>
        </row>
        <row r="177">
          <cell r="H177" t="str">
            <v/>
          </cell>
        </row>
        <row r="178">
          <cell r="E178" t="str">
            <v/>
          </cell>
        </row>
        <row r="178">
          <cell r="H178" t="str">
            <v/>
          </cell>
        </row>
        <row r="179">
          <cell r="E179" t="str">
            <v/>
          </cell>
        </row>
        <row r="179">
          <cell r="H179" t="str">
            <v/>
          </cell>
        </row>
        <row r="180">
          <cell r="E180" t="str">
            <v/>
          </cell>
        </row>
        <row r="180">
          <cell r="H180" t="str">
            <v/>
          </cell>
        </row>
        <row r="181">
          <cell r="J181" t="str">
            <v/>
          </cell>
        </row>
        <row r="182">
          <cell r="E182" t="str">
            <v/>
          </cell>
        </row>
        <row r="182">
          <cell r="H182" t="str">
            <v/>
          </cell>
        </row>
        <row r="183">
          <cell r="E183" t="str">
            <v/>
          </cell>
        </row>
        <row r="183">
          <cell r="H183" t="str">
            <v/>
          </cell>
        </row>
        <row r="184">
          <cell r="E184" t="str">
            <v/>
          </cell>
        </row>
        <row r="184">
          <cell r="H184" t="str">
            <v/>
          </cell>
        </row>
        <row r="185">
          <cell r="E185" t="str">
            <v/>
          </cell>
        </row>
        <row r="185">
          <cell r="H185" t="str">
            <v/>
          </cell>
        </row>
        <row r="186">
          <cell r="E186" t="str">
            <v/>
          </cell>
        </row>
        <row r="186">
          <cell r="H186" t="str">
            <v/>
          </cell>
        </row>
        <row r="187">
          <cell r="E187" t="str">
            <v/>
          </cell>
        </row>
        <row r="187">
          <cell r="H187" t="str">
            <v/>
          </cell>
        </row>
        <row r="188">
          <cell r="J188" t="str">
            <v/>
          </cell>
        </row>
        <row r="189">
          <cell r="E189" t="str">
            <v/>
          </cell>
        </row>
        <row r="189">
          <cell r="H189" t="str">
            <v/>
          </cell>
        </row>
        <row r="190">
          <cell r="E190" t="str">
            <v/>
          </cell>
        </row>
        <row r="190">
          <cell r="H190" t="str">
            <v/>
          </cell>
        </row>
        <row r="191">
          <cell r="E191" t="str">
            <v/>
          </cell>
        </row>
        <row r="191">
          <cell r="H191" t="str">
            <v/>
          </cell>
        </row>
        <row r="192">
          <cell r="E192" t="str">
            <v/>
          </cell>
        </row>
        <row r="192">
          <cell r="H192" t="str">
            <v/>
          </cell>
        </row>
        <row r="193">
          <cell r="E193" t="str">
            <v/>
          </cell>
        </row>
        <row r="193">
          <cell r="H193" t="str">
            <v/>
          </cell>
        </row>
        <row r="194">
          <cell r="E194" t="str">
            <v/>
          </cell>
        </row>
        <row r="194">
          <cell r="H194" t="str">
            <v/>
          </cell>
        </row>
        <row r="195">
          <cell r="J195" t="str">
            <v/>
          </cell>
        </row>
        <row r="196">
          <cell r="E196" t="str">
            <v/>
          </cell>
        </row>
        <row r="196">
          <cell r="H196" t="str">
            <v/>
          </cell>
        </row>
        <row r="197">
          <cell r="E197" t="str">
            <v/>
          </cell>
        </row>
        <row r="197">
          <cell r="H197" t="str">
            <v/>
          </cell>
        </row>
        <row r="198">
          <cell r="E198" t="str">
            <v/>
          </cell>
        </row>
        <row r="198">
          <cell r="H198" t="str">
            <v/>
          </cell>
        </row>
        <row r="199">
          <cell r="E199" t="str">
            <v/>
          </cell>
        </row>
        <row r="199">
          <cell r="H199" t="str">
            <v/>
          </cell>
        </row>
        <row r="200">
          <cell r="E200" t="str">
            <v/>
          </cell>
        </row>
        <row r="200">
          <cell r="H200" t="str">
            <v/>
          </cell>
        </row>
        <row r="201">
          <cell r="E201" t="str">
            <v/>
          </cell>
        </row>
        <row r="201">
          <cell r="H201" t="str">
            <v/>
          </cell>
        </row>
        <row r="202">
          <cell r="J202" t="str">
            <v/>
          </cell>
        </row>
        <row r="203">
          <cell r="E203" t="str">
            <v/>
          </cell>
        </row>
        <row r="203">
          <cell r="H203" t="str">
            <v/>
          </cell>
        </row>
        <row r="204">
          <cell r="E204" t="str">
            <v/>
          </cell>
        </row>
        <row r="204">
          <cell r="H204" t="str">
            <v/>
          </cell>
        </row>
        <row r="205">
          <cell r="E205" t="str">
            <v/>
          </cell>
        </row>
        <row r="205">
          <cell r="H205" t="str">
            <v/>
          </cell>
        </row>
        <row r="206">
          <cell r="E206" t="str">
            <v/>
          </cell>
        </row>
        <row r="206">
          <cell r="H206" t="str">
            <v/>
          </cell>
        </row>
        <row r="207">
          <cell r="E207" t="str">
            <v/>
          </cell>
        </row>
        <row r="207">
          <cell r="H207" t="str">
            <v/>
          </cell>
        </row>
        <row r="208">
          <cell r="E208" t="str">
            <v/>
          </cell>
        </row>
        <row r="208">
          <cell r="H208" t="str">
            <v/>
          </cell>
        </row>
        <row r="209">
          <cell r="J209" t="str">
            <v/>
          </cell>
        </row>
      </sheetData>
      <sheetData sheetId="12">
        <row r="5">
          <cell r="E5" t="str">
            <v/>
          </cell>
        </row>
        <row r="5">
          <cell r="H5" t="str">
            <v/>
          </cell>
        </row>
        <row r="6">
          <cell r="E6" t="str">
            <v/>
          </cell>
        </row>
        <row r="6">
          <cell r="H6" t="str">
            <v/>
          </cell>
        </row>
        <row r="7">
          <cell r="E7" t="str">
            <v/>
          </cell>
        </row>
        <row r="7">
          <cell r="H7" t="str">
            <v/>
          </cell>
        </row>
        <row r="8">
          <cell r="E8" t="str">
            <v/>
          </cell>
        </row>
        <row r="8">
          <cell r="H8" t="str">
            <v/>
          </cell>
        </row>
        <row r="9">
          <cell r="E9" t="str">
            <v/>
          </cell>
        </row>
        <row r="9">
          <cell r="H9" t="str">
            <v/>
          </cell>
        </row>
        <row r="10">
          <cell r="E10" t="str">
            <v/>
          </cell>
        </row>
        <row r="10">
          <cell r="H10" t="str">
            <v/>
          </cell>
        </row>
        <row r="12">
          <cell r="E12" t="str">
            <v/>
          </cell>
        </row>
        <row r="12">
          <cell r="H12" t="str">
            <v/>
          </cell>
        </row>
        <row r="13">
          <cell r="E13" t="str">
            <v/>
          </cell>
        </row>
        <row r="13">
          <cell r="H13" t="str">
            <v/>
          </cell>
        </row>
        <row r="14">
          <cell r="E14" t="str">
            <v/>
          </cell>
        </row>
        <row r="14">
          <cell r="H14" t="str">
            <v/>
          </cell>
        </row>
        <row r="15">
          <cell r="E15" t="str">
            <v/>
          </cell>
        </row>
        <row r="15">
          <cell r="H15" t="str">
            <v/>
          </cell>
        </row>
        <row r="16">
          <cell r="E16" t="str">
            <v/>
          </cell>
        </row>
        <row r="16">
          <cell r="H16" t="str">
            <v/>
          </cell>
        </row>
        <row r="17">
          <cell r="E17" t="str">
            <v/>
          </cell>
        </row>
        <row r="17">
          <cell r="H17" t="str">
            <v/>
          </cell>
        </row>
        <row r="19">
          <cell r="E19" t="str">
            <v/>
          </cell>
        </row>
        <row r="19">
          <cell r="H19" t="str">
            <v/>
          </cell>
        </row>
        <row r="20">
          <cell r="E20" t="str">
            <v/>
          </cell>
        </row>
        <row r="20">
          <cell r="H20" t="str">
            <v/>
          </cell>
        </row>
        <row r="21">
          <cell r="E21" t="str">
            <v/>
          </cell>
        </row>
        <row r="21">
          <cell r="H21" t="str">
            <v/>
          </cell>
        </row>
        <row r="22">
          <cell r="E22" t="str">
            <v/>
          </cell>
        </row>
        <row r="22">
          <cell r="H22" t="str">
            <v/>
          </cell>
        </row>
        <row r="23">
          <cell r="E23" t="str">
            <v/>
          </cell>
        </row>
        <row r="23">
          <cell r="H23" t="str">
            <v/>
          </cell>
        </row>
        <row r="24">
          <cell r="E24" t="str">
            <v/>
          </cell>
        </row>
        <row r="24">
          <cell r="H24" t="str">
            <v/>
          </cell>
        </row>
        <row r="25">
          <cell r="J25" t="str">
            <v/>
          </cell>
        </row>
        <row r="26">
          <cell r="E26" t="str">
            <v/>
          </cell>
        </row>
        <row r="26">
          <cell r="H26" t="str">
            <v/>
          </cell>
        </row>
        <row r="27">
          <cell r="E27" t="str">
            <v/>
          </cell>
        </row>
        <row r="27">
          <cell r="H27" t="str">
            <v/>
          </cell>
        </row>
        <row r="28">
          <cell r="E28" t="str">
            <v/>
          </cell>
        </row>
        <row r="28">
          <cell r="H28" t="str">
            <v/>
          </cell>
        </row>
        <row r="29">
          <cell r="E29" t="str">
            <v/>
          </cell>
        </row>
        <row r="29">
          <cell r="H29" t="str">
            <v/>
          </cell>
        </row>
        <row r="30">
          <cell r="E30" t="str">
            <v/>
          </cell>
        </row>
        <row r="30">
          <cell r="H30" t="str">
            <v/>
          </cell>
        </row>
        <row r="31">
          <cell r="E31" t="str">
            <v/>
          </cell>
        </row>
        <row r="31">
          <cell r="H31" t="str">
            <v/>
          </cell>
        </row>
        <row r="32">
          <cell r="J32" t="str">
            <v/>
          </cell>
        </row>
        <row r="33">
          <cell r="E33" t="str">
            <v/>
          </cell>
        </row>
        <row r="33">
          <cell r="H33" t="str">
            <v/>
          </cell>
        </row>
        <row r="34">
          <cell r="E34" t="str">
            <v/>
          </cell>
        </row>
        <row r="34">
          <cell r="H34" t="str">
            <v/>
          </cell>
        </row>
        <row r="35">
          <cell r="E35" t="str">
            <v/>
          </cell>
        </row>
        <row r="35">
          <cell r="H35" t="str">
            <v/>
          </cell>
        </row>
        <row r="36">
          <cell r="E36" t="str">
            <v/>
          </cell>
        </row>
        <row r="36">
          <cell r="H36" t="str">
            <v/>
          </cell>
        </row>
        <row r="37">
          <cell r="E37" t="str">
            <v/>
          </cell>
        </row>
        <row r="37">
          <cell r="H37" t="str">
            <v/>
          </cell>
        </row>
        <row r="38">
          <cell r="E38" t="str">
            <v/>
          </cell>
        </row>
        <row r="38">
          <cell r="H38" t="str">
            <v/>
          </cell>
        </row>
        <row r="39">
          <cell r="J39" t="str">
            <v/>
          </cell>
        </row>
        <row r="40">
          <cell r="E40" t="str">
            <v/>
          </cell>
        </row>
        <row r="40">
          <cell r="H40" t="str">
            <v/>
          </cell>
        </row>
        <row r="41">
          <cell r="E41" t="str">
            <v/>
          </cell>
        </row>
        <row r="41">
          <cell r="H41" t="str">
            <v/>
          </cell>
        </row>
        <row r="42">
          <cell r="E42" t="str">
            <v/>
          </cell>
        </row>
        <row r="42">
          <cell r="H42" t="str">
            <v/>
          </cell>
        </row>
        <row r="43">
          <cell r="E43" t="str">
            <v/>
          </cell>
        </row>
        <row r="43">
          <cell r="H43" t="str">
            <v/>
          </cell>
        </row>
        <row r="44">
          <cell r="E44" t="str">
            <v/>
          </cell>
        </row>
        <row r="44">
          <cell r="H44" t="str">
            <v/>
          </cell>
        </row>
        <row r="45">
          <cell r="E45" t="str">
            <v/>
          </cell>
        </row>
        <row r="45">
          <cell r="H45" t="str">
            <v/>
          </cell>
        </row>
        <row r="46">
          <cell r="J46" t="str">
            <v/>
          </cell>
        </row>
        <row r="47">
          <cell r="E47" t="str">
            <v/>
          </cell>
        </row>
        <row r="47">
          <cell r="H47" t="str">
            <v/>
          </cell>
        </row>
        <row r="48">
          <cell r="E48" t="str">
            <v/>
          </cell>
        </row>
        <row r="48">
          <cell r="H48" t="str">
            <v/>
          </cell>
        </row>
        <row r="49">
          <cell r="E49" t="str">
            <v/>
          </cell>
        </row>
        <row r="49">
          <cell r="H49" t="str">
            <v/>
          </cell>
        </row>
        <row r="50">
          <cell r="E50" t="str">
            <v/>
          </cell>
        </row>
        <row r="50">
          <cell r="H50" t="str">
            <v/>
          </cell>
        </row>
        <row r="51">
          <cell r="E51" t="str">
            <v/>
          </cell>
        </row>
        <row r="51">
          <cell r="H51" t="str">
            <v/>
          </cell>
        </row>
        <row r="52">
          <cell r="E52" t="str">
            <v/>
          </cell>
        </row>
        <row r="52">
          <cell r="H52" t="str">
            <v/>
          </cell>
        </row>
        <row r="53">
          <cell r="J53" t="str">
            <v/>
          </cell>
        </row>
        <row r="54">
          <cell r="E54" t="str">
            <v/>
          </cell>
        </row>
        <row r="54">
          <cell r="H54" t="str">
            <v/>
          </cell>
        </row>
        <row r="55">
          <cell r="E55" t="str">
            <v/>
          </cell>
        </row>
        <row r="55">
          <cell r="H55" t="str">
            <v/>
          </cell>
        </row>
        <row r="56">
          <cell r="E56" t="str">
            <v/>
          </cell>
        </row>
        <row r="56">
          <cell r="H56" t="str">
            <v/>
          </cell>
        </row>
        <row r="57">
          <cell r="E57" t="str">
            <v/>
          </cell>
        </row>
        <row r="57">
          <cell r="H57" t="str">
            <v/>
          </cell>
        </row>
        <row r="58">
          <cell r="E58" t="str">
            <v/>
          </cell>
        </row>
        <row r="58">
          <cell r="H58" t="str">
            <v/>
          </cell>
        </row>
        <row r="59">
          <cell r="E59" t="str">
            <v/>
          </cell>
        </row>
        <row r="59">
          <cell r="H59" t="str">
            <v/>
          </cell>
        </row>
        <row r="60">
          <cell r="J60" t="str">
            <v/>
          </cell>
        </row>
        <row r="61">
          <cell r="E61" t="str">
            <v/>
          </cell>
        </row>
        <row r="61">
          <cell r="H61" t="str">
            <v/>
          </cell>
        </row>
        <row r="62">
          <cell r="E62" t="str">
            <v/>
          </cell>
        </row>
        <row r="62">
          <cell r="H62" t="str">
            <v/>
          </cell>
        </row>
        <row r="63">
          <cell r="E63" t="str">
            <v/>
          </cell>
        </row>
        <row r="63">
          <cell r="H63" t="str">
            <v/>
          </cell>
        </row>
        <row r="64">
          <cell r="E64" t="str">
            <v/>
          </cell>
        </row>
        <row r="64">
          <cell r="H64" t="str">
            <v/>
          </cell>
        </row>
        <row r="65">
          <cell r="E65" t="str">
            <v/>
          </cell>
        </row>
        <row r="65">
          <cell r="H65" t="str">
            <v/>
          </cell>
        </row>
        <row r="66">
          <cell r="E66" t="str">
            <v/>
          </cell>
        </row>
        <row r="66">
          <cell r="H66" t="str">
            <v/>
          </cell>
        </row>
        <row r="67">
          <cell r="J67" t="str">
            <v/>
          </cell>
        </row>
        <row r="68">
          <cell r="E68" t="str">
            <v/>
          </cell>
        </row>
        <row r="68">
          <cell r="H68" t="str">
            <v/>
          </cell>
        </row>
        <row r="69">
          <cell r="E69" t="str">
            <v/>
          </cell>
        </row>
        <row r="69">
          <cell r="H69" t="str">
            <v/>
          </cell>
        </row>
        <row r="70">
          <cell r="E70" t="str">
            <v/>
          </cell>
        </row>
        <row r="70">
          <cell r="H70" t="str">
            <v/>
          </cell>
        </row>
        <row r="71">
          <cell r="E71" t="str">
            <v/>
          </cell>
        </row>
        <row r="71">
          <cell r="H71" t="str">
            <v/>
          </cell>
        </row>
        <row r="72">
          <cell r="E72" t="str">
            <v/>
          </cell>
        </row>
        <row r="72">
          <cell r="H72" t="str">
            <v/>
          </cell>
        </row>
        <row r="73">
          <cell r="E73" t="str">
            <v/>
          </cell>
        </row>
        <row r="73">
          <cell r="H73" t="str">
            <v/>
          </cell>
        </row>
        <row r="74">
          <cell r="J74" t="str">
            <v/>
          </cell>
        </row>
        <row r="75">
          <cell r="E75" t="str">
            <v/>
          </cell>
        </row>
        <row r="75">
          <cell r="H75" t="str">
            <v/>
          </cell>
        </row>
        <row r="76">
          <cell r="E76" t="str">
            <v/>
          </cell>
        </row>
        <row r="76">
          <cell r="H76" t="str">
            <v/>
          </cell>
        </row>
        <row r="77">
          <cell r="E77" t="str">
            <v/>
          </cell>
        </row>
        <row r="77">
          <cell r="H77" t="str">
            <v/>
          </cell>
        </row>
        <row r="78">
          <cell r="E78" t="str">
            <v/>
          </cell>
        </row>
        <row r="78">
          <cell r="H78" t="str">
            <v/>
          </cell>
        </row>
        <row r="79">
          <cell r="E79" t="str">
            <v/>
          </cell>
        </row>
        <row r="79">
          <cell r="H79" t="str">
            <v/>
          </cell>
        </row>
        <row r="80">
          <cell r="E80" t="str">
            <v/>
          </cell>
        </row>
        <row r="80">
          <cell r="H80" t="str">
            <v/>
          </cell>
        </row>
        <row r="81">
          <cell r="J81" t="str">
            <v/>
          </cell>
        </row>
        <row r="82">
          <cell r="E82" t="str">
            <v/>
          </cell>
        </row>
        <row r="82">
          <cell r="H82" t="str">
            <v/>
          </cell>
        </row>
        <row r="83">
          <cell r="E83" t="str">
            <v/>
          </cell>
        </row>
        <row r="83">
          <cell r="H83" t="str">
            <v/>
          </cell>
        </row>
        <row r="84">
          <cell r="E84" t="str">
            <v/>
          </cell>
        </row>
        <row r="84">
          <cell r="H84" t="str">
            <v/>
          </cell>
        </row>
        <row r="85">
          <cell r="E85" t="str">
            <v/>
          </cell>
        </row>
        <row r="85">
          <cell r="H85" t="str">
            <v/>
          </cell>
        </row>
        <row r="86">
          <cell r="E86" t="str">
            <v/>
          </cell>
        </row>
        <row r="86">
          <cell r="H86" t="str">
            <v/>
          </cell>
        </row>
        <row r="87">
          <cell r="E87" t="str">
            <v/>
          </cell>
        </row>
        <row r="87">
          <cell r="H87" t="str">
            <v/>
          </cell>
        </row>
        <row r="88">
          <cell r="J88" t="str">
            <v/>
          </cell>
        </row>
        <row r="89">
          <cell r="E89" t="str">
            <v/>
          </cell>
        </row>
        <row r="89">
          <cell r="H89" t="str">
            <v/>
          </cell>
        </row>
        <row r="90">
          <cell r="E90" t="str">
            <v/>
          </cell>
        </row>
        <row r="90">
          <cell r="H90" t="str">
            <v/>
          </cell>
        </row>
        <row r="91">
          <cell r="E91" t="str">
            <v/>
          </cell>
        </row>
        <row r="91">
          <cell r="H91" t="str">
            <v/>
          </cell>
        </row>
        <row r="92">
          <cell r="E92" t="str">
            <v/>
          </cell>
        </row>
        <row r="92">
          <cell r="H92" t="str">
            <v/>
          </cell>
        </row>
        <row r="93">
          <cell r="E93" t="str">
            <v/>
          </cell>
        </row>
        <row r="93">
          <cell r="H93" t="str">
            <v/>
          </cell>
        </row>
        <row r="94">
          <cell r="E94" t="str">
            <v/>
          </cell>
        </row>
        <row r="94">
          <cell r="H94" t="str">
            <v/>
          </cell>
        </row>
        <row r="95">
          <cell r="J95" t="str">
            <v/>
          </cell>
        </row>
        <row r="96">
          <cell r="E96" t="str">
            <v/>
          </cell>
        </row>
        <row r="96">
          <cell r="H96" t="str">
            <v/>
          </cell>
        </row>
        <row r="97">
          <cell r="E97" t="str">
            <v/>
          </cell>
        </row>
        <row r="97">
          <cell r="H97" t="str">
            <v/>
          </cell>
        </row>
        <row r="98">
          <cell r="E98" t="str">
            <v/>
          </cell>
        </row>
        <row r="98">
          <cell r="H98" t="str">
            <v/>
          </cell>
        </row>
        <row r="99">
          <cell r="E99" t="str">
            <v/>
          </cell>
        </row>
        <row r="99">
          <cell r="H99" t="str">
            <v/>
          </cell>
        </row>
        <row r="100">
          <cell r="E100" t="str">
            <v/>
          </cell>
        </row>
        <row r="100">
          <cell r="H100" t="str">
            <v/>
          </cell>
        </row>
        <row r="101">
          <cell r="E101" t="str">
            <v/>
          </cell>
        </row>
        <row r="101">
          <cell r="H101" t="str">
            <v/>
          </cell>
        </row>
        <row r="102">
          <cell r="J102" t="str">
            <v/>
          </cell>
        </row>
        <row r="103">
          <cell r="E103" t="str">
            <v/>
          </cell>
        </row>
        <row r="103">
          <cell r="H103" t="str">
            <v/>
          </cell>
        </row>
        <row r="104">
          <cell r="E104" t="str">
            <v/>
          </cell>
        </row>
        <row r="104">
          <cell r="H104" t="str">
            <v/>
          </cell>
        </row>
        <row r="105">
          <cell r="E105" t="str">
            <v/>
          </cell>
        </row>
        <row r="105">
          <cell r="H105" t="str">
            <v/>
          </cell>
        </row>
        <row r="106">
          <cell r="E106" t="str">
            <v/>
          </cell>
        </row>
        <row r="106">
          <cell r="H106" t="str">
            <v/>
          </cell>
        </row>
        <row r="107">
          <cell r="E107" t="str">
            <v/>
          </cell>
        </row>
        <row r="107">
          <cell r="H107" t="str">
            <v/>
          </cell>
        </row>
        <row r="108">
          <cell r="E108" t="str">
            <v/>
          </cell>
        </row>
        <row r="108">
          <cell r="H108" t="str">
            <v/>
          </cell>
        </row>
        <row r="109">
          <cell r="J109" t="str">
            <v/>
          </cell>
        </row>
        <row r="110">
          <cell r="E110" t="str">
            <v/>
          </cell>
        </row>
        <row r="110">
          <cell r="H110" t="str">
            <v/>
          </cell>
        </row>
        <row r="111">
          <cell r="E111" t="str">
            <v/>
          </cell>
        </row>
        <row r="111">
          <cell r="H111" t="str">
            <v/>
          </cell>
        </row>
        <row r="112">
          <cell r="E112" t="str">
            <v/>
          </cell>
        </row>
        <row r="112">
          <cell r="H112" t="str">
            <v/>
          </cell>
        </row>
        <row r="113">
          <cell r="E113" t="str">
            <v/>
          </cell>
        </row>
        <row r="113">
          <cell r="H113" t="str">
            <v/>
          </cell>
        </row>
        <row r="114">
          <cell r="E114" t="str">
            <v/>
          </cell>
        </row>
        <row r="114">
          <cell r="H114" t="str">
            <v/>
          </cell>
        </row>
        <row r="115">
          <cell r="E115" t="str">
            <v/>
          </cell>
        </row>
        <row r="115">
          <cell r="H115" t="str">
            <v/>
          </cell>
        </row>
        <row r="116">
          <cell r="J116" t="str">
            <v/>
          </cell>
        </row>
        <row r="117">
          <cell r="E117" t="str">
            <v/>
          </cell>
        </row>
        <row r="117">
          <cell r="H117" t="str">
            <v/>
          </cell>
        </row>
        <row r="118">
          <cell r="E118" t="str">
            <v/>
          </cell>
        </row>
        <row r="118">
          <cell r="H118" t="str">
            <v/>
          </cell>
        </row>
        <row r="119">
          <cell r="E119" t="str">
            <v/>
          </cell>
        </row>
        <row r="119">
          <cell r="H119" t="str">
            <v/>
          </cell>
        </row>
        <row r="120">
          <cell r="E120" t="str">
            <v/>
          </cell>
        </row>
        <row r="120">
          <cell r="H120" t="str">
            <v/>
          </cell>
        </row>
        <row r="121">
          <cell r="E121" t="str">
            <v/>
          </cell>
        </row>
        <row r="121">
          <cell r="H121" t="str">
            <v/>
          </cell>
        </row>
        <row r="122">
          <cell r="E122" t="str">
            <v/>
          </cell>
        </row>
        <row r="122">
          <cell r="H122" t="str">
            <v/>
          </cell>
        </row>
        <row r="123">
          <cell r="J123" t="str">
            <v/>
          </cell>
        </row>
        <row r="124">
          <cell r="E124" t="str">
            <v/>
          </cell>
        </row>
        <row r="124">
          <cell r="H124" t="str">
            <v/>
          </cell>
        </row>
        <row r="125">
          <cell r="E125" t="str">
            <v/>
          </cell>
        </row>
        <row r="125">
          <cell r="H125" t="str">
            <v/>
          </cell>
        </row>
        <row r="126">
          <cell r="E126" t="str">
            <v/>
          </cell>
        </row>
        <row r="126">
          <cell r="H126" t="str">
            <v/>
          </cell>
        </row>
        <row r="127">
          <cell r="E127" t="str">
            <v/>
          </cell>
        </row>
        <row r="127">
          <cell r="H127" t="str">
            <v/>
          </cell>
        </row>
        <row r="128">
          <cell r="E128" t="str">
            <v/>
          </cell>
        </row>
        <row r="128">
          <cell r="H128" t="str">
            <v/>
          </cell>
        </row>
        <row r="129">
          <cell r="E129" t="str">
            <v/>
          </cell>
        </row>
        <row r="129">
          <cell r="H129" t="str">
            <v/>
          </cell>
        </row>
        <row r="130">
          <cell r="J130" t="str">
            <v/>
          </cell>
        </row>
        <row r="131">
          <cell r="E131" t="str">
            <v/>
          </cell>
        </row>
        <row r="131">
          <cell r="H131" t="str">
            <v/>
          </cell>
        </row>
        <row r="132">
          <cell r="E132" t="str">
            <v/>
          </cell>
        </row>
        <row r="132">
          <cell r="H132" t="str">
            <v/>
          </cell>
        </row>
        <row r="133">
          <cell r="E133" t="str">
            <v/>
          </cell>
        </row>
        <row r="133">
          <cell r="H133" t="str">
            <v/>
          </cell>
        </row>
        <row r="134">
          <cell r="E134" t="str">
            <v/>
          </cell>
        </row>
        <row r="134">
          <cell r="H134" t="str">
            <v/>
          </cell>
        </row>
        <row r="135">
          <cell r="E135" t="str">
            <v/>
          </cell>
        </row>
        <row r="135">
          <cell r="H135" t="str">
            <v/>
          </cell>
        </row>
        <row r="136">
          <cell r="E136" t="str">
            <v/>
          </cell>
        </row>
        <row r="136">
          <cell r="H136" t="str">
            <v/>
          </cell>
        </row>
        <row r="137">
          <cell r="J137" t="str">
            <v/>
          </cell>
        </row>
        <row r="138">
          <cell r="E138" t="str">
            <v/>
          </cell>
        </row>
        <row r="138">
          <cell r="H138" t="str">
            <v/>
          </cell>
        </row>
        <row r="139">
          <cell r="E139" t="str">
            <v/>
          </cell>
        </row>
        <row r="139">
          <cell r="H139" t="str">
            <v/>
          </cell>
        </row>
        <row r="140">
          <cell r="E140" t="str">
            <v/>
          </cell>
        </row>
        <row r="140">
          <cell r="H140" t="str">
            <v/>
          </cell>
        </row>
        <row r="141">
          <cell r="E141" t="str">
            <v/>
          </cell>
        </row>
        <row r="141">
          <cell r="H141" t="str">
            <v/>
          </cell>
        </row>
        <row r="142">
          <cell r="E142" t="str">
            <v/>
          </cell>
        </row>
        <row r="142">
          <cell r="H142" t="str">
            <v/>
          </cell>
        </row>
        <row r="143">
          <cell r="E143" t="str">
            <v/>
          </cell>
        </row>
        <row r="143">
          <cell r="H143" t="str">
            <v/>
          </cell>
        </row>
        <row r="144">
          <cell r="J144" t="str">
            <v/>
          </cell>
        </row>
        <row r="145">
          <cell r="E145" t="str">
            <v/>
          </cell>
        </row>
        <row r="145">
          <cell r="H145" t="str">
            <v/>
          </cell>
        </row>
        <row r="146">
          <cell r="E146" t="str">
            <v/>
          </cell>
        </row>
        <row r="146">
          <cell r="H146" t="str">
            <v/>
          </cell>
        </row>
        <row r="147">
          <cell r="E147" t="str">
            <v/>
          </cell>
        </row>
        <row r="147">
          <cell r="H147" t="str">
            <v/>
          </cell>
        </row>
        <row r="148">
          <cell r="E148" t="str">
            <v/>
          </cell>
        </row>
        <row r="148">
          <cell r="H148" t="str">
            <v/>
          </cell>
        </row>
        <row r="149">
          <cell r="E149" t="str">
            <v/>
          </cell>
        </row>
        <row r="149">
          <cell r="H149" t="str">
            <v/>
          </cell>
        </row>
        <row r="150">
          <cell r="E150" t="str">
            <v/>
          </cell>
        </row>
        <row r="150">
          <cell r="H150" t="str">
            <v/>
          </cell>
        </row>
        <row r="151">
          <cell r="J151" t="str">
            <v/>
          </cell>
        </row>
        <row r="152">
          <cell r="E152" t="str">
            <v/>
          </cell>
        </row>
        <row r="152">
          <cell r="H152" t="str">
            <v/>
          </cell>
        </row>
        <row r="153">
          <cell r="E153" t="str">
            <v/>
          </cell>
        </row>
        <row r="153">
          <cell r="H153" t="str">
            <v/>
          </cell>
        </row>
        <row r="154">
          <cell r="E154" t="str">
            <v/>
          </cell>
        </row>
        <row r="154">
          <cell r="H154" t="str">
            <v/>
          </cell>
        </row>
        <row r="155">
          <cell r="E155" t="str">
            <v/>
          </cell>
        </row>
        <row r="155">
          <cell r="H155" t="str">
            <v/>
          </cell>
        </row>
        <row r="156">
          <cell r="E156" t="str">
            <v/>
          </cell>
        </row>
        <row r="156">
          <cell r="H156" t="str">
            <v/>
          </cell>
        </row>
        <row r="157">
          <cell r="E157" t="str">
            <v/>
          </cell>
        </row>
        <row r="157">
          <cell r="H157" t="str">
            <v/>
          </cell>
        </row>
        <row r="158">
          <cell r="J158" t="str">
            <v/>
          </cell>
        </row>
        <row r="159">
          <cell r="E159" t="str">
            <v/>
          </cell>
        </row>
        <row r="159">
          <cell r="H159" t="str">
            <v/>
          </cell>
        </row>
        <row r="160">
          <cell r="E160" t="str">
            <v/>
          </cell>
        </row>
        <row r="160">
          <cell r="H160" t="str">
            <v/>
          </cell>
        </row>
        <row r="161">
          <cell r="E161" t="str">
            <v/>
          </cell>
        </row>
        <row r="161">
          <cell r="H161" t="str">
            <v/>
          </cell>
        </row>
        <row r="162">
          <cell r="E162" t="str">
            <v/>
          </cell>
        </row>
        <row r="162">
          <cell r="H162" t="str">
            <v/>
          </cell>
        </row>
        <row r="163">
          <cell r="E163" t="str">
            <v/>
          </cell>
        </row>
        <row r="163">
          <cell r="H163" t="str">
            <v/>
          </cell>
        </row>
        <row r="164">
          <cell r="E164" t="str">
            <v/>
          </cell>
        </row>
        <row r="164">
          <cell r="H164" t="str">
            <v/>
          </cell>
        </row>
        <row r="165">
          <cell r="J165" t="str">
            <v/>
          </cell>
        </row>
        <row r="166">
          <cell r="E166" t="str">
            <v/>
          </cell>
        </row>
        <row r="166">
          <cell r="H166" t="str">
            <v/>
          </cell>
        </row>
        <row r="167">
          <cell r="E167" t="str">
            <v/>
          </cell>
        </row>
        <row r="167">
          <cell r="H167" t="str">
            <v/>
          </cell>
        </row>
        <row r="168">
          <cell r="E168" t="str">
            <v/>
          </cell>
        </row>
        <row r="168">
          <cell r="H168" t="str">
            <v/>
          </cell>
        </row>
        <row r="169">
          <cell r="E169" t="str">
            <v/>
          </cell>
        </row>
        <row r="169">
          <cell r="H169" t="str">
            <v/>
          </cell>
        </row>
        <row r="170">
          <cell r="E170" t="str">
            <v/>
          </cell>
        </row>
        <row r="170">
          <cell r="H170" t="str">
            <v/>
          </cell>
        </row>
        <row r="171">
          <cell r="E171" t="str">
            <v/>
          </cell>
        </row>
        <row r="171">
          <cell r="H171" t="str">
            <v/>
          </cell>
        </row>
        <row r="172">
          <cell r="J172" t="str">
            <v/>
          </cell>
        </row>
        <row r="173">
          <cell r="E173" t="str">
            <v/>
          </cell>
        </row>
        <row r="173">
          <cell r="H173" t="str">
            <v/>
          </cell>
        </row>
        <row r="174">
          <cell r="E174" t="str">
            <v/>
          </cell>
        </row>
        <row r="174">
          <cell r="H174" t="str">
            <v/>
          </cell>
        </row>
        <row r="175">
          <cell r="E175" t="str">
            <v/>
          </cell>
        </row>
        <row r="175">
          <cell r="H175" t="str">
            <v/>
          </cell>
        </row>
        <row r="176">
          <cell r="E176" t="str">
            <v/>
          </cell>
        </row>
        <row r="176">
          <cell r="H176" t="str">
            <v/>
          </cell>
        </row>
        <row r="177">
          <cell r="E177" t="str">
            <v/>
          </cell>
        </row>
        <row r="177">
          <cell r="H177" t="str">
            <v/>
          </cell>
        </row>
        <row r="178">
          <cell r="E178" t="str">
            <v/>
          </cell>
        </row>
        <row r="178">
          <cell r="H178" t="str">
            <v/>
          </cell>
        </row>
        <row r="179">
          <cell r="J179" t="str">
            <v/>
          </cell>
        </row>
        <row r="180">
          <cell r="E180" t="str">
            <v/>
          </cell>
        </row>
        <row r="180">
          <cell r="H180" t="str">
            <v/>
          </cell>
        </row>
        <row r="181">
          <cell r="E181" t="str">
            <v/>
          </cell>
        </row>
        <row r="181">
          <cell r="H181" t="str">
            <v/>
          </cell>
        </row>
        <row r="182">
          <cell r="E182" t="str">
            <v/>
          </cell>
        </row>
        <row r="182">
          <cell r="H182" t="str">
            <v/>
          </cell>
        </row>
        <row r="183">
          <cell r="E183" t="str">
            <v/>
          </cell>
        </row>
        <row r="183">
          <cell r="H183" t="str">
            <v/>
          </cell>
        </row>
        <row r="184">
          <cell r="E184" t="str">
            <v/>
          </cell>
        </row>
        <row r="184">
          <cell r="H184" t="str">
            <v/>
          </cell>
        </row>
        <row r="185">
          <cell r="E185" t="str">
            <v/>
          </cell>
        </row>
        <row r="185">
          <cell r="H185" t="str">
            <v/>
          </cell>
        </row>
        <row r="186">
          <cell r="J186" t="str">
            <v/>
          </cell>
        </row>
        <row r="187">
          <cell r="E187" t="str">
            <v/>
          </cell>
        </row>
        <row r="187">
          <cell r="H187" t="str">
            <v/>
          </cell>
        </row>
        <row r="188">
          <cell r="E188" t="str">
            <v/>
          </cell>
        </row>
        <row r="188">
          <cell r="H188" t="str">
            <v/>
          </cell>
        </row>
        <row r="189">
          <cell r="E189" t="str">
            <v/>
          </cell>
        </row>
        <row r="189">
          <cell r="H189" t="str">
            <v/>
          </cell>
        </row>
        <row r="190">
          <cell r="E190" t="str">
            <v/>
          </cell>
        </row>
        <row r="190">
          <cell r="H190" t="str">
            <v/>
          </cell>
        </row>
        <row r="191">
          <cell r="E191" t="str">
            <v/>
          </cell>
        </row>
        <row r="191">
          <cell r="H191" t="str">
            <v/>
          </cell>
        </row>
        <row r="192">
          <cell r="E192" t="str">
            <v/>
          </cell>
        </row>
        <row r="192">
          <cell r="H192" t="str">
            <v/>
          </cell>
        </row>
        <row r="193">
          <cell r="J193" t="str">
            <v/>
          </cell>
        </row>
        <row r="194">
          <cell r="E194" t="str">
            <v/>
          </cell>
        </row>
        <row r="194">
          <cell r="H194" t="str">
            <v/>
          </cell>
        </row>
        <row r="195">
          <cell r="E195" t="str">
            <v/>
          </cell>
        </row>
        <row r="195">
          <cell r="H195" t="str">
            <v/>
          </cell>
        </row>
        <row r="196">
          <cell r="E196" t="str">
            <v/>
          </cell>
        </row>
        <row r="196">
          <cell r="H196" t="str">
            <v/>
          </cell>
        </row>
        <row r="197">
          <cell r="E197" t="str">
            <v/>
          </cell>
        </row>
        <row r="197">
          <cell r="H197" t="str">
            <v/>
          </cell>
        </row>
        <row r="198">
          <cell r="E198" t="str">
            <v/>
          </cell>
        </row>
        <row r="198">
          <cell r="H198" t="str">
            <v/>
          </cell>
        </row>
        <row r="199">
          <cell r="E199" t="str">
            <v/>
          </cell>
        </row>
        <row r="199">
          <cell r="H199" t="str">
            <v/>
          </cell>
        </row>
        <row r="200">
          <cell r="J200" t="str">
            <v/>
          </cell>
        </row>
        <row r="201">
          <cell r="E201" t="str">
            <v/>
          </cell>
        </row>
        <row r="201">
          <cell r="H201" t="str">
            <v/>
          </cell>
        </row>
        <row r="202">
          <cell r="E202" t="str">
            <v/>
          </cell>
        </row>
        <row r="202">
          <cell r="H202" t="str">
            <v/>
          </cell>
        </row>
        <row r="203">
          <cell r="E203" t="str">
            <v/>
          </cell>
        </row>
        <row r="203">
          <cell r="H203" t="str">
            <v/>
          </cell>
        </row>
        <row r="204">
          <cell r="E204" t="str">
            <v/>
          </cell>
        </row>
        <row r="204">
          <cell r="H204" t="str">
            <v/>
          </cell>
        </row>
        <row r="205">
          <cell r="E205" t="str">
            <v/>
          </cell>
        </row>
        <row r="205">
          <cell r="H205" t="str">
            <v/>
          </cell>
        </row>
        <row r="206">
          <cell r="E206" t="str">
            <v/>
          </cell>
        </row>
        <row r="206">
          <cell r="H206" t="str">
            <v/>
          </cell>
        </row>
        <row r="207">
          <cell r="J207" t="str">
            <v/>
          </cell>
        </row>
      </sheetData>
      <sheetData sheetId="13">
        <row r="5">
          <cell r="E5" t="str">
            <v/>
          </cell>
        </row>
        <row r="5">
          <cell r="H5" t="str">
            <v/>
          </cell>
        </row>
        <row r="6">
          <cell r="E6" t="str">
            <v/>
          </cell>
        </row>
        <row r="6">
          <cell r="H6" t="str">
            <v/>
          </cell>
        </row>
        <row r="7">
          <cell r="E7" t="str">
            <v/>
          </cell>
        </row>
        <row r="8">
          <cell r="H8" t="str">
            <v/>
          </cell>
        </row>
        <row r="9">
          <cell r="E9" t="str">
            <v/>
          </cell>
        </row>
        <row r="9">
          <cell r="H9" t="str">
            <v/>
          </cell>
        </row>
        <row r="10">
          <cell r="E10" t="str">
            <v/>
          </cell>
        </row>
        <row r="10">
          <cell r="H10" t="str">
            <v/>
          </cell>
        </row>
        <row r="11">
          <cell r="J11" t="str">
            <v/>
          </cell>
        </row>
        <row r="12">
          <cell r="E12" t="str">
            <v/>
          </cell>
        </row>
        <row r="12">
          <cell r="H12" t="str">
            <v/>
          </cell>
        </row>
        <row r="13">
          <cell r="E13" t="str">
            <v/>
          </cell>
        </row>
        <row r="13">
          <cell r="H13" t="str">
            <v/>
          </cell>
        </row>
        <row r="14">
          <cell r="E14" t="str">
            <v/>
          </cell>
        </row>
        <row r="14">
          <cell r="H14" t="str">
            <v/>
          </cell>
        </row>
        <row r="15">
          <cell r="E15" t="str">
            <v/>
          </cell>
        </row>
        <row r="15">
          <cell r="H15" t="str">
            <v/>
          </cell>
        </row>
        <row r="16">
          <cell r="E16" t="str">
            <v/>
          </cell>
        </row>
        <row r="16">
          <cell r="H16" t="str">
            <v/>
          </cell>
        </row>
        <row r="17">
          <cell r="E17" t="str">
            <v/>
          </cell>
        </row>
        <row r="17">
          <cell r="H17" t="str">
            <v/>
          </cell>
        </row>
        <row r="18">
          <cell r="J18" t="str">
            <v/>
          </cell>
        </row>
        <row r="19">
          <cell r="E19" t="str">
            <v/>
          </cell>
        </row>
        <row r="19">
          <cell r="H19" t="str">
            <v/>
          </cell>
        </row>
        <row r="20">
          <cell r="E20" t="str">
            <v/>
          </cell>
        </row>
        <row r="20">
          <cell r="H20" t="str">
            <v/>
          </cell>
        </row>
        <row r="21">
          <cell r="E21" t="str">
            <v/>
          </cell>
        </row>
        <row r="21">
          <cell r="H21" t="str">
            <v/>
          </cell>
        </row>
        <row r="22">
          <cell r="E22" t="str">
            <v/>
          </cell>
        </row>
        <row r="22">
          <cell r="H22" t="str">
            <v/>
          </cell>
        </row>
        <row r="23">
          <cell r="E23" t="str">
            <v/>
          </cell>
        </row>
        <row r="23">
          <cell r="H23" t="str">
            <v/>
          </cell>
        </row>
        <row r="24">
          <cell r="E24" t="str">
            <v/>
          </cell>
        </row>
        <row r="24">
          <cell r="H24" t="str">
            <v/>
          </cell>
        </row>
        <row r="25">
          <cell r="J25" t="str">
            <v/>
          </cell>
        </row>
        <row r="26">
          <cell r="E26" t="str">
            <v/>
          </cell>
        </row>
        <row r="26">
          <cell r="H26" t="str">
            <v/>
          </cell>
        </row>
        <row r="27">
          <cell r="E27" t="str">
            <v/>
          </cell>
        </row>
        <row r="27">
          <cell r="H27" t="str">
            <v/>
          </cell>
        </row>
        <row r="28">
          <cell r="E28" t="str">
            <v/>
          </cell>
        </row>
        <row r="28">
          <cell r="H28" t="str">
            <v/>
          </cell>
        </row>
        <row r="29">
          <cell r="E29" t="str">
            <v/>
          </cell>
        </row>
        <row r="29">
          <cell r="H29" t="str">
            <v/>
          </cell>
        </row>
        <row r="30">
          <cell r="E30" t="str">
            <v/>
          </cell>
        </row>
        <row r="30">
          <cell r="H30" t="str">
            <v/>
          </cell>
        </row>
        <row r="31">
          <cell r="E31" t="str">
            <v/>
          </cell>
        </row>
        <row r="31">
          <cell r="H31" t="str">
            <v/>
          </cell>
        </row>
        <row r="32">
          <cell r="J32" t="str">
            <v/>
          </cell>
        </row>
        <row r="33">
          <cell r="E33" t="str">
            <v/>
          </cell>
        </row>
        <row r="33">
          <cell r="H33" t="str">
            <v/>
          </cell>
        </row>
        <row r="34">
          <cell r="E34" t="str">
            <v/>
          </cell>
        </row>
        <row r="34">
          <cell r="H34" t="str">
            <v/>
          </cell>
        </row>
        <row r="35">
          <cell r="E35" t="str">
            <v/>
          </cell>
        </row>
        <row r="35">
          <cell r="H35" t="str">
            <v/>
          </cell>
        </row>
        <row r="36">
          <cell r="E36" t="str">
            <v/>
          </cell>
        </row>
        <row r="36">
          <cell r="H36" t="str">
            <v/>
          </cell>
        </row>
        <row r="37">
          <cell r="E37" t="str">
            <v/>
          </cell>
        </row>
        <row r="37">
          <cell r="H37" t="str">
            <v/>
          </cell>
        </row>
        <row r="38">
          <cell r="E38" t="str">
            <v/>
          </cell>
        </row>
        <row r="38">
          <cell r="H38" t="str">
            <v/>
          </cell>
        </row>
        <row r="39">
          <cell r="J39" t="str">
            <v/>
          </cell>
        </row>
        <row r="40">
          <cell r="E40" t="str">
            <v/>
          </cell>
        </row>
        <row r="40">
          <cell r="H40" t="str">
            <v/>
          </cell>
        </row>
        <row r="41">
          <cell r="E41" t="str">
            <v/>
          </cell>
        </row>
        <row r="41">
          <cell r="H41" t="str">
            <v/>
          </cell>
        </row>
        <row r="42">
          <cell r="E42" t="str">
            <v/>
          </cell>
        </row>
        <row r="42">
          <cell r="H42" t="str">
            <v/>
          </cell>
        </row>
        <row r="43">
          <cell r="E43" t="str">
            <v/>
          </cell>
        </row>
        <row r="43">
          <cell r="H43" t="str">
            <v/>
          </cell>
        </row>
        <row r="44">
          <cell r="E44" t="str">
            <v/>
          </cell>
        </row>
        <row r="44">
          <cell r="H44" t="str">
            <v/>
          </cell>
        </row>
        <row r="45">
          <cell r="E45" t="str">
            <v/>
          </cell>
        </row>
        <row r="45">
          <cell r="H45" t="str">
            <v/>
          </cell>
        </row>
        <row r="46">
          <cell r="J46" t="str">
            <v/>
          </cell>
        </row>
        <row r="47">
          <cell r="E47" t="str">
            <v/>
          </cell>
        </row>
        <row r="47">
          <cell r="H47" t="str">
            <v/>
          </cell>
        </row>
        <row r="48">
          <cell r="E48" t="str">
            <v/>
          </cell>
        </row>
        <row r="48">
          <cell r="H48" t="str">
            <v/>
          </cell>
        </row>
        <row r="49">
          <cell r="E49" t="str">
            <v/>
          </cell>
        </row>
        <row r="49">
          <cell r="H49" t="str">
            <v/>
          </cell>
        </row>
        <row r="50">
          <cell r="E50" t="str">
            <v/>
          </cell>
        </row>
        <row r="50">
          <cell r="H50" t="str">
            <v/>
          </cell>
        </row>
        <row r="51">
          <cell r="E51" t="str">
            <v/>
          </cell>
        </row>
        <row r="51">
          <cell r="H51" t="str">
            <v/>
          </cell>
        </row>
        <row r="52">
          <cell r="E52" t="str">
            <v/>
          </cell>
        </row>
        <row r="52">
          <cell r="H52" t="str">
            <v/>
          </cell>
        </row>
        <row r="53">
          <cell r="J53" t="str">
            <v/>
          </cell>
        </row>
        <row r="54">
          <cell r="E54" t="str">
            <v/>
          </cell>
        </row>
        <row r="54">
          <cell r="H54" t="str">
            <v/>
          </cell>
        </row>
        <row r="55">
          <cell r="E55" t="str">
            <v/>
          </cell>
        </row>
        <row r="55">
          <cell r="H55" t="str">
            <v/>
          </cell>
        </row>
        <row r="56">
          <cell r="E56" t="str">
            <v/>
          </cell>
        </row>
        <row r="56">
          <cell r="H56" t="str">
            <v/>
          </cell>
        </row>
        <row r="57">
          <cell r="E57" t="str">
            <v/>
          </cell>
        </row>
        <row r="57">
          <cell r="H57" t="str">
            <v/>
          </cell>
        </row>
        <row r="58">
          <cell r="E58" t="str">
            <v/>
          </cell>
        </row>
        <row r="58">
          <cell r="H58" t="str">
            <v/>
          </cell>
        </row>
        <row r="59">
          <cell r="E59" t="str">
            <v/>
          </cell>
        </row>
        <row r="59">
          <cell r="H59" t="str">
            <v/>
          </cell>
        </row>
        <row r="60">
          <cell r="J60" t="str">
            <v/>
          </cell>
        </row>
        <row r="61">
          <cell r="E61" t="str">
            <v/>
          </cell>
        </row>
        <row r="61">
          <cell r="H61" t="str">
            <v/>
          </cell>
        </row>
        <row r="62">
          <cell r="E62" t="str">
            <v/>
          </cell>
        </row>
        <row r="62">
          <cell r="H62" t="str">
            <v/>
          </cell>
        </row>
        <row r="63">
          <cell r="E63" t="str">
            <v/>
          </cell>
        </row>
        <row r="63">
          <cell r="H63" t="str">
            <v/>
          </cell>
        </row>
        <row r="64">
          <cell r="E64" t="str">
            <v/>
          </cell>
        </row>
        <row r="64">
          <cell r="H64" t="str">
            <v/>
          </cell>
        </row>
        <row r="65">
          <cell r="E65" t="str">
            <v/>
          </cell>
        </row>
        <row r="65">
          <cell r="H65" t="str">
            <v/>
          </cell>
        </row>
        <row r="66">
          <cell r="E66" t="str">
            <v/>
          </cell>
        </row>
        <row r="66">
          <cell r="H66" t="str">
            <v/>
          </cell>
        </row>
        <row r="67">
          <cell r="J67" t="str">
            <v/>
          </cell>
        </row>
        <row r="68">
          <cell r="E68" t="str">
            <v/>
          </cell>
        </row>
        <row r="68">
          <cell r="H68" t="str">
            <v/>
          </cell>
        </row>
        <row r="69">
          <cell r="E69" t="str">
            <v/>
          </cell>
        </row>
        <row r="69">
          <cell r="H69" t="str">
            <v/>
          </cell>
        </row>
        <row r="70">
          <cell r="E70" t="str">
            <v/>
          </cell>
        </row>
        <row r="70">
          <cell r="H70" t="str">
            <v/>
          </cell>
        </row>
        <row r="71">
          <cell r="E71" t="str">
            <v/>
          </cell>
        </row>
        <row r="71">
          <cell r="H71" t="str">
            <v/>
          </cell>
        </row>
        <row r="72">
          <cell r="E72" t="str">
            <v/>
          </cell>
        </row>
        <row r="72">
          <cell r="H72" t="str">
            <v/>
          </cell>
        </row>
        <row r="73">
          <cell r="E73" t="str">
            <v/>
          </cell>
        </row>
        <row r="73">
          <cell r="H73" t="str">
            <v/>
          </cell>
        </row>
        <row r="74">
          <cell r="J74" t="str">
            <v/>
          </cell>
        </row>
        <row r="75">
          <cell r="E75" t="str">
            <v/>
          </cell>
        </row>
        <row r="75">
          <cell r="H75" t="str">
            <v/>
          </cell>
        </row>
        <row r="76">
          <cell r="E76" t="str">
            <v/>
          </cell>
        </row>
        <row r="76">
          <cell r="H76" t="str">
            <v/>
          </cell>
        </row>
        <row r="77">
          <cell r="E77" t="str">
            <v/>
          </cell>
        </row>
        <row r="77">
          <cell r="H77" t="str">
            <v/>
          </cell>
        </row>
        <row r="78">
          <cell r="E78" t="str">
            <v/>
          </cell>
        </row>
        <row r="78">
          <cell r="H78" t="str">
            <v/>
          </cell>
        </row>
        <row r="79">
          <cell r="E79" t="str">
            <v/>
          </cell>
        </row>
        <row r="79">
          <cell r="H79" t="str">
            <v/>
          </cell>
        </row>
        <row r="80">
          <cell r="E80" t="str">
            <v/>
          </cell>
        </row>
        <row r="80">
          <cell r="H80" t="str">
            <v/>
          </cell>
        </row>
        <row r="81">
          <cell r="J81" t="str">
            <v/>
          </cell>
        </row>
        <row r="82">
          <cell r="E82" t="str">
            <v/>
          </cell>
        </row>
        <row r="82">
          <cell r="H82" t="str">
            <v/>
          </cell>
        </row>
        <row r="83">
          <cell r="E83" t="str">
            <v/>
          </cell>
        </row>
        <row r="83">
          <cell r="H83" t="str">
            <v/>
          </cell>
        </row>
        <row r="84">
          <cell r="E84" t="str">
            <v/>
          </cell>
        </row>
        <row r="84">
          <cell r="H84" t="str">
            <v/>
          </cell>
        </row>
        <row r="85">
          <cell r="E85" t="str">
            <v/>
          </cell>
        </row>
        <row r="85">
          <cell r="H85" t="str">
            <v/>
          </cell>
        </row>
        <row r="86">
          <cell r="E86" t="str">
            <v/>
          </cell>
        </row>
        <row r="86">
          <cell r="H86" t="str">
            <v/>
          </cell>
        </row>
        <row r="87">
          <cell r="E87" t="str">
            <v/>
          </cell>
        </row>
        <row r="87">
          <cell r="H87" t="str">
            <v/>
          </cell>
        </row>
        <row r="88">
          <cell r="J88" t="str">
            <v/>
          </cell>
        </row>
        <row r="89">
          <cell r="E89" t="str">
            <v/>
          </cell>
        </row>
        <row r="89">
          <cell r="H89" t="str">
            <v/>
          </cell>
        </row>
        <row r="90">
          <cell r="E90" t="str">
            <v/>
          </cell>
        </row>
        <row r="90">
          <cell r="H90" t="str">
            <v/>
          </cell>
        </row>
        <row r="91">
          <cell r="E91" t="str">
            <v/>
          </cell>
        </row>
        <row r="91">
          <cell r="H91" t="str">
            <v/>
          </cell>
        </row>
        <row r="92">
          <cell r="E92" t="str">
            <v/>
          </cell>
        </row>
        <row r="92">
          <cell r="H92" t="str">
            <v/>
          </cell>
        </row>
        <row r="93">
          <cell r="E93" t="str">
            <v/>
          </cell>
        </row>
        <row r="93">
          <cell r="H93" t="str">
            <v/>
          </cell>
        </row>
        <row r="94">
          <cell r="E94" t="str">
            <v/>
          </cell>
        </row>
        <row r="94">
          <cell r="H94" t="str">
            <v/>
          </cell>
        </row>
        <row r="95">
          <cell r="J95" t="str">
            <v/>
          </cell>
        </row>
        <row r="96">
          <cell r="E96" t="str">
            <v/>
          </cell>
        </row>
        <row r="96">
          <cell r="H96" t="str">
            <v/>
          </cell>
        </row>
        <row r="97">
          <cell r="E97" t="str">
            <v/>
          </cell>
        </row>
        <row r="97">
          <cell r="H97" t="str">
            <v/>
          </cell>
        </row>
        <row r="98">
          <cell r="E98" t="str">
            <v/>
          </cell>
        </row>
        <row r="98">
          <cell r="H98" t="str">
            <v/>
          </cell>
        </row>
        <row r="99">
          <cell r="E99" t="str">
            <v/>
          </cell>
        </row>
        <row r="99">
          <cell r="H99" t="str">
            <v/>
          </cell>
        </row>
        <row r="100">
          <cell r="E100" t="str">
            <v/>
          </cell>
        </row>
        <row r="100">
          <cell r="H100" t="str">
            <v/>
          </cell>
        </row>
        <row r="101">
          <cell r="E101" t="str">
            <v/>
          </cell>
        </row>
        <row r="101">
          <cell r="H101" t="str">
            <v/>
          </cell>
        </row>
        <row r="102">
          <cell r="J102" t="str">
            <v/>
          </cell>
        </row>
        <row r="103">
          <cell r="E103" t="str">
            <v/>
          </cell>
        </row>
        <row r="103">
          <cell r="H103" t="str">
            <v/>
          </cell>
        </row>
        <row r="104">
          <cell r="E104" t="str">
            <v/>
          </cell>
        </row>
        <row r="104">
          <cell r="H104" t="str">
            <v/>
          </cell>
        </row>
        <row r="105">
          <cell r="E105" t="str">
            <v/>
          </cell>
        </row>
        <row r="105">
          <cell r="H105" t="str">
            <v/>
          </cell>
        </row>
        <row r="106">
          <cell r="E106" t="str">
            <v/>
          </cell>
        </row>
        <row r="106">
          <cell r="H106" t="str">
            <v/>
          </cell>
        </row>
        <row r="107">
          <cell r="E107" t="str">
            <v/>
          </cell>
        </row>
        <row r="107">
          <cell r="H107" t="str">
            <v/>
          </cell>
        </row>
        <row r="108">
          <cell r="E108" t="str">
            <v/>
          </cell>
        </row>
        <row r="108">
          <cell r="H108" t="str">
            <v/>
          </cell>
        </row>
        <row r="109">
          <cell r="J109" t="str">
            <v/>
          </cell>
        </row>
        <row r="110">
          <cell r="E110" t="str">
            <v/>
          </cell>
        </row>
        <row r="110">
          <cell r="H110" t="str">
            <v/>
          </cell>
        </row>
        <row r="111">
          <cell r="E111" t="str">
            <v/>
          </cell>
        </row>
        <row r="111">
          <cell r="H111" t="str">
            <v/>
          </cell>
        </row>
        <row r="112">
          <cell r="E112" t="str">
            <v/>
          </cell>
        </row>
        <row r="112">
          <cell r="H112" t="str">
            <v/>
          </cell>
        </row>
        <row r="113">
          <cell r="E113" t="str">
            <v/>
          </cell>
        </row>
        <row r="113">
          <cell r="H113" t="str">
            <v/>
          </cell>
        </row>
        <row r="114">
          <cell r="E114" t="str">
            <v/>
          </cell>
        </row>
        <row r="114">
          <cell r="H114" t="str">
            <v/>
          </cell>
        </row>
        <row r="115">
          <cell r="E115" t="str">
            <v/>
          </cell>
        </row>
        <row r="115">
          <cell r="H115" t="str">
            <v/>
          </cell>
        </row>
        <row r="116">
          <cell r="J116" t="str">
            <v/>
          </cell>
        </row>
        <row r="117">
          <cell r="E117" t="str">
            <v/>
          </cell>
        </row>
        <row r="117">
          <cell r="H117" t="str">
            <v/>
          </cell>
        </row>
        <row r="118">
          <cell r="E118" t="str">
            <v/>
          </cell>
        </row>
        <row r="118">
          <cell r="H118" t="str">
            <v/>
          </cell>
        </row>
        <row r="119">
          <cell r="E119" t="str">
            <v/>
          </cell>
        </row>
        <row r="119">
          <cell r="H119" t="str">
            <v/>
          </cell>
        </row>
        <row r="120">
          <cell r="E120" t="str">
            <v/>
          </cell>
        </row>
        <row r="120">
          <cell r="H120" t="str">
            <v/>
          </cell>
        </row>
        <row r="121">
          <cell r="E121" t="str">
            <v/>
          </cell>
        </row>
        <row r="121">
          <cell r="H121" t="str">
            <v/>
          </cell>
        </row>
        <row r="122">
          <cell r="E122" t="str">
            <v/>
          </cell>
        </row>
        <row r="122">
          <cell r="H122" t="str">
            <v/>
          </cell>
        </row>
        <row r="123">
          <cell r="J123" t="str">
            <v/>
          </cell>
        </row>
        <row r="124">
          <cell r="E124" t="str">
            <v/>
          </cell>
        </row>
        <row r="124">
          <cell r="H124" t="str">
            <v/>
          </cell>
        </row>
        <row r="125">
          <cell r="E125" t="str">
            <v/>
          </cell>
        </row>
        <row r="125">
          <cell r="H125" t="str">
            <v/>
          </cell>
        </row>
        <row r="126">
          <cell r="E126" t="str">
            <v/>
          </cell>
        </row>
        <row r="126">
          <cell r="H126" t="str">
            <v/>
          </cell>
        </row>
        <row r="127">
          <cell r="E127" t="str">
            <v/>
          </cell>
        </row>
        <row r="127">
          <cell r="H127" t="str">
            <v/>
          </cell>
        </row>
        <row r="128">
          <cell r="E128" t="str">
            <v/>
          </cell>
        </row>
        <row r="128">
          <cell r="H128" t="str">
            <v/>
          </cell>
        </row>
        <row r="129">
          <cell r="E129" t="str">
            <v/>
          </cell>
        </row>
        <row r="129">
          <cell r="H129" t="str">
            <v/>
          </cell>
        </row>
        <row r="130">
          <cell r="J130" t="str">
            <v/>
          </cell>
        </row>
        <row r="131">
          <cell r="E131" t="str">
            <v/>
          </cell>
        </row>
        <row r="131">
          <cell r="H131" t="str">
            <v/>
          </cell>
        </row>
        <row r="132">
          <cell r="E132" t="str">
            <v/>
          </cell>
        </row>
        <row r="132">
          <cell r="H132" t="str">
            <v/>
          </cell>
        </row>
        <row r="133">
          <cell r="E133" t="str">
            <v/>
          </cell>
        </row>
        <row r="133">
          <cell r="H133" t="str">
            <v/>
          </cell>
        </row>
        <row r="134">
          <cell r="E134" t="str">
            <v/>
          </cell>
        </row>
        <row r="134">
          <cell r="H134" t="str">
            <v/>
          </cell>
        </row>
        <row r="135">
          <cell r="E135" t="str">
            <v/>
          </cell>
        </row>
        <row r="135">
          <cell r="H135" t="str">
            <v/>
          </cell>
        </row>
        <row r="136">
          <cell r="E136" t="str">
            <v/>
          </cell>
        </row>
        <row r="136">
          <cell r="H136" t="str">
            <v/>
          </cell>
        </row>
        <row r="137">
          <cell r="J137" t="str">
            <v/>
          </cell>
        </row>
        <row r="138">
          <cell r="E138" t="str">
            <v/>
          </cell>
        </row>
        <row r="138">
          <cell r="H138" t="str">
            <v/>
          </cell>
        </row>
        <row r="139">
          <cell r="E139" t="str">
            <v/>
          </cell>
        </row>
        <row r="139">
          <cell r="H139" t="str">
            <v/>
          </cell>
        </row>
        <row r="140">
          <cell r="E140" t="str">
            <v/>
          </cell>
        </row>
        <row r="140">
          <cell r="H140" t="str">
            <v/>
          </cell>
        </row>
        <row r="141">
          <cell r="E141" t="str">
            <v/>
          </cell>
        </row>
        <row r="141">
          <cell r="H141" t="str">
            <v/>
          </cell>
        </row>
        <row r="142">
          <cell r="E142" t="str">
            <v/>
          </cell>
        </row>
        <row r="142">
          <cell r="H142" t="str">
            <v/>
          </cell>
        </row>
        <row r="143">
          <cell r="E143" t="str">
            <v/>
          </cell>
        </row>
        <row r="143">
          <cell r="H143" t="str">
            <v/>
          </cell>
        </row>
        <row r="144">
          <cell r="J144" t="str">
            <v/>
          </cell>
        </row>
        <row r="145">
          <cell r="E145" t="str">
            <v/>
          </cell>
        </row>
        <row r="145">
          <cell r="H145" t="str">
            <v/>
          </cell>
        </row>
        <row r="146">
          <cell r="E146" t="str">
            <v/>
          </cell>
        </row>
        <row r="146">
          <cell r="H146" t="str">
            <v/>
          </cell>
        </row>
        <row r="147">
          <cell r="E147" t="str">
            <v/>
          </cell>
        </row>
        <row r="147">
          <cell r="H147" t="str">
            <v/>
          </cell>
        </row>
        <row r="148">
          <cell r="E148" t="str">
            <v/>
          </cell>
        </row>
        <row r="148">
          <cell r="H148" t="str">
            <v/>
          </cell>
        </row>
        <row r="149">
          <cell r="E149" t="str">
            <v/>
          </cell>
        </row>
        <row r="149">
          <cell r="H149" t="str">
            <v/>
          </cell>
        </row>
        <row r="150">
          <cell r="E150" t="str">
            <v/>
          </cell>
        </row>
        <row r="150">
          <cell r="H150" t="str">
            <v/>
          </cell>
        </row>
        <row r="151">
          <cell r="J151" t="str">
            <v/>
          </cell>
        </row>
        <row r="152">
          <cell r="E152" t="str">
            <v/>
          </cell>
        </row>
        <row r="152">
          <cell r="H152" t="str">
            <v/>
          </cell>
        </row>
        <row r="153">
          <cell r="E153" t="str">
            <v/>
          </cell>
        </row>
        <row r="153">
          <cell r="H153" t="str">
            <v/>
          </cell>
        </row>
        <row r="154">
          <cell r="E154" t="str">
            <v/>
          </cell>
        </row>
        <row r="154">
          <cell r="H154" t="str">
            <v/>
          </cell>
        </row>
        <row r="155">
          <cell r="E155" t="str">
            <v/>
          </cell>
        </row>
        <row r="155">
          <cell r="H155" t="str">
            <v/>
          </cell>
        </row>
        <row r="156">
          <cell r="E156" t="str">
            <v/>
          </cell>
        </row>
        <row r="156">
          <cell r="H156" t="str">
            <v/>
          </cell>
        </row>
        <row r="157">
          <cell r="E157" t="str">
            <v/>
          </cell>
        </row>
        <row r="157">
          <cell r="H157" t="str">
            <v/>
          </cell>
        </row>
        <row r="158">
          <cell r="J158" t="str">
            <v/>
          </cell>
        </row>
        <row r="159">
          <cell r="E159" t="str">
            <v/>
          </cell>
        </row>
        <row r="159">
          <cell r="H159" t="str">
            <v/>
          </cell>
        </row>
        <row r="160">
          <cell r="E160" t="str">
            <v/>
          </cell>
        </row>
        <row r="160">
          <cell r="H160" t="str">
            <v/>
          </cell>
        </row>
        <row r="161">
          <cell r="E161" t="str">
            <v/>
          </cell>
        </row>
        <row r="161">
          <cell r="H161" t="str">
            <v/>
          </cell>
        </row>
        <row r="162">
          <cell r="E162" t="str">
            <v/>
          </cell>
        </row>
        <row r="162">
          <cell r="H162" t="str">
            <v/>
          </cell>
        </row>
        <row r="163">
          <cell r="E163" t="str">
            <v/>
          </cell>
        </row>
        <row r="163">
          <cell r="H163" t="str">
            <v/>
          </cell>
        </row>
        <row r="164">
          <cell r="E164" t="str">
            <v/>
          </cell>
        </row>
        <row r="164">
          <cell r="H164" t="str">
            <v/>
          </cell>
        </row>
        <row r="165">
          <cell r="J165" t="str">
            <v/>
          </cell>
        </row>
        <row r="166">
          <cell r="E166" t="str">
            <v/>
          </cell>
        </row>
        <row r="166">
          <cell r="H166" t="str">
            <v/>
          </cell>
        </row>
        <row r="167">
          <cell r="E167" t="str">
            <v/>
          </cell>
        </row>
        <row r="167">
          <cell r="H167" t="str">
            <v/>
          </cell>
        </row>
        <row r="168">
          <cell r="E168" t="str">
            <v/>
          </cell>
        </row>
        <row r="168">
          <cell r="H168" t="str">
            <v/>
          </cell>
        </row>
        <row r="169">
          <cell r="E169" t="str">
            <v/>
          </cell>
        </row>
        <row r="169">
          <cell r="H169" t="str">
            <v/>
          </cell>
        </row>
        <row r="170">
          <cell r="E170" t="str">
            <v/>
          </cell>
        </row>
        <row r="170">
          <cell r="H170" t="str">
            <v/>
          </cell>
        </row>
        <row r="171">
          <cell r="E171" t="str">
            <v/>
          </cell>
        </row>
        <row r="171">
          <cell r="H171" t="str">
            <v/>
          </cell>
        </row>
        <row r="172">
          <cell r="J172" t="str">
            <v/>
          </cell>
        </row>
        <row r="173">
          <cell r="E173" t="str">
            <v/>
          </cell>
        </row>
        <row r="173">
          <cell r="H173" t="str">
            <v/>
          </cell>
        </row>
        <row r="174">
          <cell r="E174" t="str">
            <v/>
          </cell>
        </row>
        <row r="174">
          <cell r="H174" t="str">
            <v/>
          </cell>
        </row>
        <row r="175">
          <cell r="E175" t="str">
            <v/>
          </cell>
        </row>
        <row r="175">
          <cell r="H175" t="str">
            <v/>
          </cell>
        </row>
        <row r="176">
          <cell r="E176" t="str">
            <v/>
          </cell>
        </row>
        <row r="176">
          <cell r="H176" t="str">
            <v/>
          </cell>
        </row>
        <row r="177">
          <cell r="E177" t="str">
            <v/>
          </cell>
        </row>
        <row r="177">
          <cell r="H177" t="str">
            <v/>
          </cell>
        </row>
        <row r="178">
          <cell r="E178" t="str">
            <v/>
          </cell>
        </row>
        <row r="178">
          <cell r="H178" t="str">
            <v/>
          </cell>
        </row>
        <row r="179">
          <cell r="J179" t="str">
            <v/>
          </cell>
        </row>
        <row r="180">
          <cell r="E180" t="str">
            <v/>
          </cell>
        </row>
        <row r="180">
          <cell r="H180" t="str">
            <v/>
          </cell>
        </row>
        <row r="181">
          <cell r="E181" t="str">
            <v/>
          </cell>
        </row>
        <row r="181">
          <cell r="H181" t="str">
            <v/>
          </cell>
        </row>
        <row r="182">
          <cell r="E182" t="str">
            <v/>
          </cell>
        </row>
        <row r="182">
          <cell r="H182" t="str">
            <v/>
          </cell>
        </row>
        <row r="183">
          <cell r="E183" t="str">
            <v/>
          </cell>
        </row>
        <row r="183">
          <cell r="H183" t="str">
            <v/>
          </cell>
        </row>
        <row r="184">
          <cell r="E184" t="str">
            <v/>
          </cell>
        </row>
        <row r="184">
          <cell r="H184" t="str">
            <v/>
          </cell>
        </row>
        <row r="185">
          <cell r="E185" t="str">
            <v/>
          </cell>
        </row>
        <row r="185">
          <cell r="H185" t="str">
            <v/>
          </cell>
        </row>
        <row r="186">
          <cell r="J186" t="str">
            <v/>
          </cell>
        </row>
        <row r="187">
          <cell r="E187" t="str">
            <v/>
          </cell>
        </row>
        <row r="187">
          <cell r="H187" t="str">
            <v/>
          </cell>
        </row>
        <row r="188">
          <cell r="E188" t="str">
            <v/>
          </cell>
        </row>
        <row r="188">
          <cell r="H188" t="str">
            <v/>
          </cell>
        </row>
        <row r="189">
          <cell r="E189" t="str">
            <v/>
          </cell>
        </row>
        <row r="189">
          <cell r="H189" t="str">
            <v/>
          </cell>
        </row>
        <row r="190">
          <cell r="E190" t="str">
            <v/>
          </cell>
        </row>
        <row r="190">
          <cell r="H190" t="str">
            <v/>
          </cell>
        </row>
        <row r="191">
          <cell r="E191" t="str">
            <v/>
          </cell>
        </row>
        <row r="191">
          <cell r="H191" t="str">
            <v/>
          </cell>
        </row>
        <row r="192">
          <cell r="E192" t="str">
            <v/>
          </cell>
        </row>
        <row r="192">
          <cell r="H192" t="str">
            <v/>
          </cell>
        </row>
        <row r="193">
          <cell r="J193" t="str">
            <v/>
          </cell>
        </row>
        <row r="194">
          <cell r="E194" t="str">
            <v/>
          </cell>
        </row>
        <row r="194">
          <cell r="H194" t="str">
            <v/>
          </cell>
        </row>
        <row r="195">
          <cell r="E195" t="str">
            <v/>
          </cell>
        </row>
        <row r="195">
          <cell r="H195" t="str">
            <v/>
          </cell>
        </row>
        <row r="196">
          <cell r="E196" t="str">
            <v/>
          </cell>
        </row>
        <row r="196">
          <cell r="H196" t="str">
            <v/>
          </cell>
        </row>
        <row r="197">
          <cell r="E197" t="str">
            <v/>
          </cell>
        </row>
        <row r="197">
          <cell r="H197" t="str">
            <v/>
          </cell>
        </row>
        <row r="198">
          <cell r="E198" t="str">
            <v/>
          </cell>
        </row>
        <row r="198">
          <cell r="H198" t="str">
            <v/>
          </cell>
        </row>
        <row r="199">
          <cell r="E199" t="str">
            <v/>
          </cell>
        </row>
        <row r="199">
          <cell r="H199" t="str">
            <v/>
          </cell>
        </row>
        <row r="200">
          <cell r="J200" t="str">
            <v/>
          </cell>
        </row>
        <row r="201">
          <cell r="E201" t="str">
            <v/>
          </cell>
        </row>
        <row r="201">
          <cell r="H201" t="str">
            <v/>
          </cell>
        </row>
        <row r="202">
          <cell r="E202" t="str">
            <v/>
          </cell>
        </row>
        <row r="202">
          <cell r="H202" t="str">
            <v/>
          </cell>
        </row>
        <row r="203">
          <cell r="E203" t="str">
            <v/>
          </cell>
        </row>
        <row r="203">
          <cell r="H203" t="str">
            <v/>
          </cell>
        </row>
        <row r="204">
          <cell r="E204" t="str">
            <v/>
          </cell>
        </row>
        <row r="204">
          <cell r="H204" t="str">
            <v/>
          </cell>
        </row>
        <row r="205">
          <cell r="E205" t="str">
            <v/>
          </cell>
        </row>
        <row r="205">
          <cell r="H205" t="str">
            <v/>
          </cell>
        </row>
        <row r="206">
          <cell r="E206" t="str">
            <v/>
          </cell>
        </row>
        <row r="206">
          <cell r="H206" t="str">
            <v/>
          </cell>
        </row>
        <row r="207">
          <cell r="J207" t="str">
            <v/>
          </cell>
        </row>
      </sheetData>
      <sheetData sheetId="14">
        <row r="2">
          <cell r="K2" t="str">
            <v>索引：            </v>
          </cell>
        </row>
        <row r="3">
          <cell r="F3" t="str">
            <v>日期：</v>
          </cell>
        </row>
        <row r="3">
          <cell r="K3" t="str">
            <v>分页：           </v>
          </cell>
        </row>
        <row r="52">
          <cell r="K52">
            <v>0</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38"/>
    <pageSetUpPr fitToPage="1"/>
  </sheetPr>
  <dimension ref="A1:K99"/>
  <sheetViews>
    <sheetView showZeros="0" workbookViewId="0">
      <pane xSplit="2" ySplit="5" topLeftCell="C6" activePane="bottomRight" state="frozen"/>
      <selection/>
      <selection pane="topRight"/>
      <selection pane="bottomLeft"/>
      <selection pane="bottomRight" activeCell="B22" sqref="B22"/>
    </sheetView>
  </sheetViews>
  <sheetFormatPr defaultColWidth="7" defaultRowHeight="11.4"/>
  <cols>
    <col min="1" max="1" width="20.5" style="86" customWidth="1"/>
    <col min="2" max="2" width="11.625" style="3" customWidth="1"/>
    <col min="3" max="4" width="11" style="3" customWidth="1"/>
    <col min="5" max="5" width="10.375" style="3" customWidth="1"/>
    <col min="6" max="6" width="10" style="3" customWidth="1"/>
    <col min="7" max="7" width="11.625" style="3" customWidth="1" outlineLevel="1"/>
    <col min="8" max="8" width="9.125" style="3" customWidth="1"/>
    <col min="9" max="9" width="17.25" style="3" customWidth="1"/>
    <col min="10" max="10" width="6.75" style="3" customWidth="1"/>
    <col min="11" max="16384" width="7" style="3"/>
  </cols>
  <sheetData>
    <row r="1" s="1" customFormat="1" ht="19.5" customHeight="1" spans="1:11">
      <c r="A1" s="87" t="s">
        <v>0</v>
      </c>
      <c r="B1" s="5"/>
      <c r="C1" s="5"/>
      <c r="D1" s="5"/>
      <c r="E1" s="5"/>
      <c r="F1" s="5"/>
      <c r="G1" s="5"/>
      <c r="H1" s="3"/>
      <c r="I1" s="88"/>
      <c r="J1" s="89"/>
      <c r="K1" s="3"/>
    </row>
    <row r="2" s="1" customFormat="1" ht="15" customHeight="1" spans="1:11">
      <c r="A2" s="90" t="str">
        <f>CONCATENATE("客户名称：",[28]说明!E23)</f>
        <v>客户名称：</v>
      </c>
      <c r="D2" s="6" t="str">
        <f>CONCATENATE("复核：",[28]说明!E37)</f>
        <v>复核：</v>
      </c>
      <c r="G2" s="8" t="s">
        <v>1</v>
      </c>
      <c r="H2" s="3"/>
      <c r="I2" s="88"/>
      <c r="J2" s="89"/>
      <c r="K2" s="3"/>
    </row>
    <row r="3" s="1" customFormat="1" ht="17.25" customHeight="1" spans="1:11">
      <c r="A3" s="91" t="str">
        <f>CONCATENATE("会计时点：",TEXT([28]说明!E32,"yyyy.mm.dd"))</f>
        <v>会计时点：2019.12.31</v>
      </c>
      <c r="D3" s="8" t="s">
        <v>2</v>
      </c>
      <c r="G3" s="8" t="s">
        <v>3</v>
      </c>
      <c r="H3" s="3"/>
      <c r="I3" s="88"/>
      <c r="J3" s="89"/>
      <c r="K3" s="3"/>
    </row>
    <row r="4" s="1" customFormat="1" ht="12" spans="1:11">
      <c r="A4" s="92" t="s">
        <v>4</v>
      </c>
      <c r="B4" s="12" t="s">
        <v>5</v>
      </c>
      <c r="C4" s="55" t="s">
        <v>6</v>
      </c>
      <c r="D4" s="55"/>
      <c r="E4" s="55" t="s">
        <v>7</v>
      </c>
      <c r="F4" s="55"/>
      <c r="G4" s="93" t="s">
        <v>8</v>
      </c>
      <c r="H4" s="3"/>
      <c r="I4" s="88"/>
      <c r="J4" s="89"/>
      <c r="K4" s="3"/>
    </row>
    <row r="5" s="1" customFormat="1" ht="12" spans="1:11">
      <c r="A5" s="94"/>
      <c r="B5" s="16"/>
      <c r="C5" s="57" t="s">
        <v>9</v>
      </c>
      <c r="D5" s="57" t="s">
        <v>10</v>
      </c>
      <c r="E5" s="57" t="s">
        <v>9</v>
      </c>
      <c r="F5" s="57" t="s">
        <v>10</v>
      </c>
      <c r="G5" s="95"/>
      <c r="H5" s="3"/>
      <c r="I5" s="88"/>
      <c r="J5" s="89"/>
      <c r="K5" s="3"/>
    </row>
    <row r="6" ht="14.45" customHeight="1" spans="1:11">
      <c r="A6" s="96" t="str">
        <f>[28]报表格式!B5</f>
        <v>流动资产：</v>
      </c>
      <c r="B6" s="97"/>
      <c r="C6" s="97"/>
      <c r="D6" s="97"/>
      <c r="E6" s="97"/>
      <c r="F6" s="97"/>
      <c r="G6" s="97"/>
      <c r="I6" s="88"/>
      <c r="J6" s="89"/>
    </row>
    <row r="7" ht="14.45" customHeight="1" spans="1:11">
      <c r="A7" s="98" t="str">
        <f>[28]报表格式!B6</f>
        <v>货币资金</v>
      </c>
      <c r="B7" s="64"/>
      <c r="C7" s="64"/>
      <c r="D7" s="64"/>
      <c r="E7" s="64"/>
      <c r="F7" s="64"/>
      <c r="G7" s="64"/>
      <c r="I7" s="88"/>
      <c r="J7" s="89"/>
    </row>
    <row r="8" ht="14.45" customHeight="1" spans="1:11">
      <c r="A8" s="98" t="str">
        <f>[28]报表格式!B7</f>
        <v>交易性金融资产</v>
      </c>
      <c r="B8" s="64"/>
      <c r="C8" s="64"/>
      <c r="D8" s="64"/>
      <c r="E8" s="64"/>
      <c r="F8" s="64"/>
      <c r="G8" s="64"/>
      <c r="I8" s="88"/>
      <c r="J8" s="89"/>
    </row>
    <row r="9" ht="14.45" customHeight="1" spans="1:11">
      <c r="A9" s="98" t="str">
        <f>[28]报表格式!B8</f>
        <v>以公允价值计量且其变动计入当期损益的金融资产</v>
      </c>
      <c r="B9" s="64"/>
      <c r="C9" s="64"/>
      <c r="D9" s="64"/>
      <c r="E9" s="64"/>
      <c r="F9" s="64"/>
      <c r="G9" s="64"/>
      <c r="I9" s="88"/>
      <c r="J9" s="89"/>
    </row>
    <row r="10" ht="14.45" customHeight="1" spans="1:11">
      <c r="A10" s="98" t="str">
        <f>[28]报表格式!B9</f>
        <v>衍生金融资产</v>
      </c>
      <c r="B10" s="64"/>
      <c r="C10" s="64"/>
      <c r="D10" s="64"/>
      <c r="E10" s="64"/>
      <c r="F10" s="64"/>
      <c r="G10" s="64"/>
      <c r="I10" s="88"/>
      <c r="J10" s="89"/>
    </row>
    <row r="11" ht="14.45" customHeight="1" spans="1:11">
      <c r="A11" s="98" t="str">
        <f>[28]报表格式!B10</f>
        <v>应收票据</v>
      </c>
      <c r="B11" s="64"/>
      <c r="C11" s="64"/>
      <c r="D11" s="64"/>
      <c r="E11" s="64"/>
      <c r="F11" s="64"/>
      <c r="G11" s="64"/>
    </row>
    <row r="12" ht="14.45" customHeight="1" spans="1:11">
      <c r="A12" s="98" t="str">
        <f>[28]报表格式!B11</f>
        <v>应收账款</v>
      </c>
      <c r="B12" s="64"/>
      <c r="C12" s="64"/>
      <c r="D12" s="64"/>
      <c r="E12" s="64"/>
      <c r="F12" s="64"/>
      <c r="G12" s="64"/>
    </row>
    <row r="13" ht="14.45" customHeight="1" spans="1:11">
      <c r="A13" s="98" t="str">
        <f>[28]报表格式!B12</f>
        <v>应收款项融资</v>
      </c>
      <c r="B13" s="64"/>
      <c r="C13" s="64"/>
      <c r="D13" s="64"/>
      <c r="E13" s="64"/>
      <c r="F13" s="64"/>
      <c r="G13" s="64"/>
    </row>
    <row r="14" ht="14.45" customHeight="1" spans="1:11">
      <c r="A14" s="98" t="str">
        <f>[28]报表格式!B13</f>
        <v>预付款项</v>
      </c>
      <c r="B14" s="64"/>
      <c r="C14" s="64"/>
      <c r="D14" s="64"/>
      <c r="E14" s="64"/>
      <c r="F14" s="64"/>
      <c r="G14" s="64"/>
    </row>
    <row r="15" ht="14.45" customHeight="1" spans="1:11">
      <c r="A15" s="98" t="str">
        <f>[28]报表格式!B14</f>
        <v>其他应收款</v>
      </c>
      <c r="B15" s="64"/>
      <c r="C15" s="64"/>
      <c r="D15" s="64"/>
      <c r="E15" s="64"/>
      <c r="F15" s="64"/>
      <c r="G15" s="64"/>
    </row>
    <row r="16" ht="14.45" customHeight="1" spans="1:11">
      <c r="A16" s="98" t="str">
        <f>[28]报表格式!B15</f>
        <v>  其中：应收利息</v>
      </c>
      <c r="B16" s="64"/>
      <c r="C16" s="65"/>
      <c r="D16" s="65"/>
      <c r="E16" s="65"/>
      <c r="F16" s="65"/>
      <c r="G16" s="64"/>
    </row>
    <row r="17" ht="14.45" customHeight="1" spans="1:7">
      <c r="A17" s="98" t="str">
        <f>[28]报表格式!B16</f>
        <v>        应收股利</v>
      </c>
      <c r="B17" s="64"/>
      <c r="C17" s="64"/>
      <c r="D17" s="64"/>
      <c r="E17" s="64"/>
      <c r="F17" s="64"/>
      <c r="G17" s="64"/>
    </row>
    <row r="18" ht="14.45" customHeight="1" spans="1:7">
      <c r="A18" s="98" t="str">
        <f>[28]报表格式!B17</f>
        <v>存货</v>
      </c>
      <c r="B18" s="64"/>
      <c r="C18" s="64"/>
      <c r="D18" s="64"/>
      <c r="E18" s="64"/>
      <c r="F18" s="64"/>
      <c r="G18" s="64"/>
    </row>
    <row r="19" ht="14.45" customHeight="1" spans="1:7">
      <c r="A19" s="98" t="str">
        <f>[28]报表格式!B18</f>
        <v>合同资产</v>
      </c>
      <c r="B19" s="64"/>
      <c r="C19" s="64"/>
      <c r="D19" s="64"/>
      <c r="E19" s="64"/>
      <c r="F19" s="64"/>
      <c r="G19" s="64"/>
    </row>
    <row r="20" ht="14.45" customHeight="1" spans="1:7">
      <c r="A20" s="98" t="str">
        <f>[28]报表格式!B19</f>
        <v>持有待售资产</v>
      </c>
      <c r="B20" s="64"/>
      <c r="C20" s="64"/>
      <c r="D20" s="64"/>
      <c r="E20" s="64"/>
      <c r="F20" s="64"/>
      <c r="G20" s="64"/>
    </row>
    <row r="21" ht="14.45" customHeight="1" spans="1:7">
      <c r="A21" s="98" t="str">
        <f>[28]报表格式!B20</f>
        <v>一年内到期的非流动资产</v>
      </c>
      <c r="B21" s="64"/>
      <c r="C21" s="64"/>
      <c r="D21" s="64"/>
      <c r="E21" s="64"/>
      <c r="F21" s="64"/>
      <c r="G21" s="64"/>
    </row>
    <row r="22" ht="14.45" customHeight="1" spans="1:7">
      <c r="A22" s="98" t="str">
        <f>[28]报表格式!B21</f>
        <v>其他流动资产</v>
      </c>
      <c r="B22" s="64"/>
      <c r="C22" s="64"/>
      <c r="D22" s="64"/>
      <c r="E22" s="64"/>
      <c r="F22" s="64"/>
      <c r="G22" s="64"/>
    </row>
    <row r="23" ht="14.45" customHeight="1" spans="1:7">
      <c r="A23" s="98">
        <f>[28]报表格式!B22</f>
        <v>0</v>
      </c>
      <c r="B23" s="64"/>
      <c r="C23" s="64"/>
      <c r="D23" s="64"/>
      <c r="E23" s="64"/>
      <c r="F23" s="64"/>
      <c r="G23" s="64"/>
    </row>
    <row r="24" ht="14.45" customHeight="1" spans="1:7">
      <c r="A24" s="98">
        <f>[28]报表格式!B23</f>
        <v>0</v>
      </c>
      <c r="B24" s="64"/>
      <c r="C24" s="64"/>
      <c r="D24" s="64"/>
      <c r="E24" s="64"/>
      <c r="F24" s="64"/>
      <c r="G24" s="64"/>
    </row>
    <row r="25" s="2" customFormat="1" ht="14.45" customHeight="1" spans="1:7">
      <c r="A25" s="99" t="str">
        <f>[28]报表格式!B24</f>
        <v>流动资产合计</v>
      </c>
      <c r="B25" s="69"/>
      <c r="C25" s="69"/>
      <c r="D25" s="69"/>
      <c r="E25" s="69"/>
      <c r="F25" s="69"/>
      <c r="G25" s="69"/>
    </row>
    <row r="26" ht="14.45" customHeight="1" spans="1:7">
      <c r="A26" s="100" t="str">
        <f>[28]报表格式!B25</f>
        <v>非流动资产:</v>
      </c>
      <c r="B26" s="64"/>
      <c r="C26" s="64"/>
      <c r="D26" s="64"/>
      <c r="E26" s="64"/>
      <c r="F26" s="64"/>
      <c r="G26" s="64"/>
    </row>
    <row r="27" ht="14.45" customHeight="1" spans="1:7">
      <c r="A27" s="98" t="str">
        <f>[28]报表格式!B26</f>
        <v>债权投资</v>
      </c>
      <c r="B27" s="64"/>
      <c r="C27" s="64"/>
      <c r="D27" s="64"/>
      <c r="E27" s="64"/>
      <c r="F27" s="64"/>
      <c r="G27" s="64"/>
    </row>
    <row r="28" ht="14.45" customHeight="1" spans="1:7">
      <c r="A28" s="98" t="str">
        <f>[28]报表格式!B27</f>
        <v>可供出售金融资产</v>
      </c>
      <c r="B28" s="64"/>
      <c r="C28" s="64"/>
      <c r="D28" s="64"/>
      <c r="E28" s="64"/>
      <c r="F28" s="64"/>
      <c r="G28" s="64"/>
    </row>
    <row r="29" ht="14.45" customHeight="1" spans="1:7">
      <c r="A29" s="98" t="str">
        <f>[28]报表格式!B28</f>
        <v>其他债权投资</v>
      </c>
      <c r="B29" s="64"/>
      <c r="C29" s="64"/>
      <c r="D29" s="64"/>
      <c r="E29" s="64"/>
      <c r="F29" s="64"/>
      <c r="G29" s="64"/>
    </row>
    <row r="30" ht="14.45" customHeight="1" spans="1:7">
      <c r="A30" s="98" t="str">
        <f>[28]报表格式!B29</f>
        <v>持有至到期投资</v>
      </c>
      <c r="B30" s="64"/>
      <c r="C30" s="64"/>
      <c r="D30" s="64"/>
      <c r="E30" s="64"/>
      <c r="F30" s="64"/>
      <c r="G30" s="64"/>
    </row>
    <row r="31" ht="14.45" customHeight="1" spans="1:7">
      <c r="A31" s="98" t="str">
        <f>[28]报表格式!B30</f>
        <v>长期应收款</v>
      </c>
      <c r="B31" s="64"/>
      <c r="C31" s="64"/>
      <c r="D31" s="64"/>
      <c r="E31" s="64"/>
      <c r="F31" s="64"/>
      <c r="G31" s="64"/>
    </row>
    <row r="32" ht="14.45" customHeight="1" spans="1:7">
      <c r="A32" s="98" t="str">
        <f>[28]报表格式!B31</f>
        <v>设定受益计划净资产</v>
      </c>
      <c r="B32" s="64"/>
      <c r="C32" s="64"/>
      <c r="D32" s="64"/>
      <c r="E32" s="64"/>
      <c r="F32" s="64"/>
      <c r="G32" s="64"/>
    </row>
    <row r="33" ht="14.45" customHeight="1" spans="1:7">
      <c r="A33" s="98" t="str">
        <f>[28]报表格式!B32</f>
        <v>长期股权投资</v>
      </c>
      <c r="B33" s="64"/>
      <c r="C33" s="64"/>
      <c r="D33" s="64"/>
      <c r="E33" s="64"/>
      <c r="F33" s="64"/>
      <c r="G33" s="64"/>
    </row>
    <row r="34" ht="14.45" customHeight="1" spans="1:7">
      <c r="A34" s="98" t="str">
        <f>[28]报表格式!B33</f>
        <v>其他权益工具投资</v>
      </c>
      <c r="B34" s="64"/>
      <c r="C34" s="64"/>
      <c r="D34" s="64"/>
      <c r="E34" s="64"/>
      <c r="F34" s="64"/>
      <c r="G34" s="64"/>
    </row>
    <row r="35" ht="14.45" customHeight="1" spans="1:7">
      <c r="A35" s="98" t="str">
        <f>[28]报表格式!B34</f>
        <v>其他非流动金融资产</v>
      </c>
      <c r="B35" s="64"/>
      <c r="C35" s="64"/>
      <c r="D35" s="64"/>
      <c r="E35" s="64"/>
      <c r="F35" s="64"/>
      <c r="G35" s="64"/>
    </row>
    <row r="36" ht="14.45" customHeight="1" spans="1:7">
      <c r="A36" s="98" t="str">
        <f>[28]报表格式!B35</f>
        <v>投资性房地产</v>
      </c>
      <c r="B36" s="64"/>
      <c r="C36" s="64"/>
      <c r="D36" s="64"/>
      <c r="E36" s="64"/>
      <c r="F36" s="64"/>
      <c r="G36" s="64"/>
    </row>
    <row r="37" ht="14.45" customHeight="1" spans="1:7">
      <c r="A37" s="98" t="str">
        <f>[28]报表格式!B36</f>
        <v>固定资产</v>
      </c>
      <c r="B37" s="64"/>
      <c r="C37" s="64"/>
      <c r="D37" s="64"/>
      <c r="E37" s="64"/>
      <c r="F37" s="64"/>
      <c r="G37" s="64"/>
    </row>
    <row r="38" ht="14.45" customHeight="1" spans="1:7">
      <c r="A38" s="98" t="str">
        <f>[28]报表格式!B37</f>
        <v>在建工程</v>
      </c>
      <c r="B38" s="64"/>
      <c r="C38" s="64"/>
      <c r="D38" s="64"/>
      <c r="E38" s="64"/>
      <c r="F38" s="64"/>
      <c r="G38" s="64"/>
    </row>
    <row r="39" ht="14.45" customHeight="1" spans="1:7">
      <c r="A39" s="98" t="str">
        <f>[28]报表格式!B38</f>
        <v>生产性生物资产 </v>
      </c>
      <c r="B39" s="64"/>
      <c r="C39" s="64"/>
      <c r="D39" s="64"/>
      <c r="E39" s="64"/>
      <c r="F39" s="64"/>
      <c r="G39" s="64"/>
    </row>
    <row r="40" ht="14.45" customHeight="1" spans="1:7">
      <c r="A40" s="98" t="str">
        <f>[28]报表格式!B39</f>
        <v>油气资产</v>
      </c>
      <c r="B40" s="64"/>
      <c r="C40" s="64"/>
      <c r="D40" s="64"/>
      <c r="E40" s="64"/>
      <c r="F40" s="64"/>
      <c r="G40" s="64"/>
    </row>
    <row r="41" ht="14.45" customHeight="1" spans="1:7">
      <c r="A41" s="98" t="str">
        <f>[28]报表格式!B40</f>
        <v>使用权资产</v>
      </c>
      <c r="B41" s="64"/>
      <c r="C41" s="64"/>
      <c r="D41" s="64"/>
      <c r="E41" s="64"/>
      <c r="F41" s="64"/>
      <c r="G41" s="64"/>
    </row>
    <row r="42" ht="14.45" customHeight="1" spans="1:7">
      <c r="A42" s="98" t="str">
        <f>[28]报表格式!B41</f>
        <v>无形资产</v>
      </c>
      <c r="B42" s="64"/>
      <c r="C42" s="64"/>
      <c r="D42" s="64"/>
      <c r="E42" s="64"/>
      <c r="F42" s="64"/>
      <c r="G42" s="64"/>
    </row>
    <row r="43" ht="14.45" customHeight="1" spans="1:7">
      <c r="A43" s="98" t="str">
        <f>[28]报表格式!B42</f>
        <v>开发支出</v>
      </c>
      <c r="B43" s="64"/>
      <c r="C43" s="64"/>
      <c r="D43" s="64"/>
      <c r="E43" s="64"/>
      <c r="F43" s="64"/>
      <c r="G43" s="64"/>
    </row>
    <row r="44" ht="14.45" customHeight="1" spans="1:7">
      <c r="A44" s="98" t="str">
        <f>[28]报表格式!B43</f>
        <v>商誉</v>
      </c>
      <c r="B44" s="64"/>
      <c r="C44" s="64"/>
      <c r="D44" s="64"/>
      <c r="E44" s="64"/>
      <c r="F44" s="64"/>
      <c r="G44" s="64"/>
    </row>
    <row r="45" ht="14.45" customHeight="1" spans="1:7">
      <c r="A45" s="98" t="str">
        <f>[28]报表格式!B44</f>
        <v>长期待摊费用</v>
      </c>
      <c r="B45" s="64"/>
      <c r="C45" s="64"/>
      <c r="D45" s="64"/>
      <c r="E45" s="64"/>
      <c r="F45" s="64"/>
      <c r="G45" s="64"/>
    </row>
    <row r="46" ht="14.45" customHeight="1" spans="1:7">
      <c r="A46" s="98" t="str">
        <f>[28]报表格式!B45</f>
        <v>递延所得税资产</v>
      </c>
      <c r="B46" s="64"/>
      <c r="C46" s="64"/>
      <c r="D46" s="64"/>
      <c r="E46" s="64"/>
      <c r="F46" s="64"/>
      <c r="G46" s="64"/>
    </row>
    <row r="47" ht="14.45" customHeight="1" spans="1:7">
      <c r="A47" s="98" t="str">
        <f>[28]报表格式!B46</f>
        <v>其他非流动资产</v>
      </c>
      <c r="B47" s="64"/>
      <c r="C47" s="64"/>
      <c r="D47" s="64"/>
      <c r="E47" s="64"/>
      <c r="F47" s="64"/>
      <c r="G47" s="64"/>
    </row>
    <row r="48" ht="14.45" customHeight="1" spans="1:7">
      <c r="A48" s="98">
        <f>[28]报表格式!B47</f>
        <v>0</v>
      </c>
      <c r="B48" s="64"/>
      <c r="C48" s="64"/>
      <c r="D48" s="64"/>
      <c r="E48" s="64"/>
      <c r="F48" s="64"/>
      <c r="G48" s="64"/>
    </row>
    <row r="49" ht="14.45" customHeight="1" spans="1:7">
      <c r="A49" s="98">
        <f>[28]报表格式!B48</f>
        <v>0</v>
      </c>
      <c r="B49" s="64"/>
      <c r="C49" s="64"/>
      <c r="D49" s="64"/>
      <c r="E49" s="64"/>
      <c r="F49" s="64"/>
      <c r="G49" s="64"/>
    </row>
    <row r="50" ht="14.45" customHeight="1" spans="1:7">
      <c r="A50" s="98">
        <f>[28]报表格式!B49</f>
        <v>0</v>
      </c>
      <c r="B50" s="64"/>
      <c r="C50" s="64"/>
      <c r="D50" s="64"/>
      <c r="E50" s="64"/>
      <c r="F50" s="64"/>
      <c r="G50" s="64"/>
    </row>
    <row r="51" s="2" customFormat="1" ht="14.45" customHeight="1" spans="1:7">
      <c r="A51" s="101" t="str">
        <f>[28]报表格式!B50</f>
        <v>非流动资产合计</v>
      </c>
      <c r="B51" s="102"/>
      <c r="C51" s="102"/>
      <c r="D51" s="102"/>
      <c r="E51" s="102"/>
      <c r="F51" s="102"/>
      <c r="G51" s="102"/>
    </row>
    <row r="52" ht="14.45" customHeight="1" spans="1:7">
      <c r="A52" s="103" t="str">
        <f>[28]报表格式!B51</f>
        <v>资 产 总 计</v>
      </c>
      <c r="B52" s="104"/>
      <c r="C52" s="104"/>
      <c r="D52" s="104"/>
      <c r="E52" s="104"/>
      <c r="F52" s="104"/>
      <c r="G52" s="104"/>
    </row>
    <row r="53" s="47" customFormat="1" ht="12" spans="1:7">
      <c r="A53" s="96" t="s">
        <v>11</v>
      </c>
      <c r="B53" s="97"/>
      <c r="C53" s="97"/>
      <c r="D53" s="97"/>
      <c r="E53" s="97"/>
      <c r="F53" s="97"/>
      <c r="G53" s="97"/>
    </row>
    <row r="54" ht="13.2" spans="1:7">
      <c r="A54" s="98" t="s">
        <v>12</v>
      </c>
      <c r="B54" s="64"/>
      <c r="C54" s="64"/>
      <c r="D54" s="64"/>
      <c r="E54" s="64"/>
      <c r="F54" s="64"/>
      <c r="G54" s="64"/>
    </row>
    <row r="55" ht="13.2" spans="1:7">
      <c r="A55" s="98" t="s">
        <v>13</v>
      </c>
      <c r="B55" s="64"/>
      <c r="C55" s="64"/>
      <c r="D55" s="64"/>
      <c r="E55" s="64"/>
      <c r="F55" s="64"/>
      <c r="G55" s="64"/>
    </row>
    <row r="56" ht="13.2" spans="1:7">
      <c r="A56" s="98" t="s">
        <v>14</v>
      </c>
      <c r="B56" s="64"/>
      <c r="C56" s="64"/>
      <c r="D56" s="64"/>
      <c r="E56" s="64"/>
      <c r="F56" s="64"/>
      <c r="G56" s="64"/>
    </row>
    <row r="57" ht="13.2" spans="1:7">
      <c r="A57" s="98" t="s">
        <v>15</v>
      </c>
      <c r="B57" s="64"/>
      <c r="C57" s="64"/>
      <c r="D57" s="64"/>
      <c r="E57" s="64"/>
      <c r="F57" s="64"/>
      <c r="G57" s="64"/>
    </row>
    <row r="58" ht="13.2" spans="1:7">
      <c r="A58" s="98" t="s">
        <v>16</v>
      </c>
      <c r="B58" s="64"/>
      <c r="C58" s="64"/>
      <c r="D58" s="64"/>
      <c r="E58" s="64"/>
      <c r="F58" s="64"/>
      <c r="G58" s="64"/>
    </row>
    <row r="59" ht="13.2" spans="1:7">
      <c r="A59" s="98" t="s">
        <v>17</v>
      </c>
      <c r="B59" s="64"/>
      <c r="C59" s="64"/>
      <c r="D59" s="64"/>
      <c r="E59" s="64"/>
      <c r="F59" s="64"/>
      <c r="G59" s="64"/>
    </row>
    <row r="60" ht="13.2" spans="1:7">
      <c r="A60" s="98" t="s">
        <v>18</v>
      </c>
      <c r="B60" s="64"/>
      <c r="C60" s="64"/>
      <c r="D60" s="64"/>
      <c r="E60" s="64"/>
      <c r="F60" s="64"/>
      <c r="G60" s="64"/>
    </row>
    <row r="61" ht="13.2" spans="1:7">
      <c r="A61" s="98" t="s">
        <v>19</v>
      </c>
      <c r="B61" s="64"/>
      <c r="C61" s="64"/>
      <c r="D61" s="64"/>
      <c r="E61" s="64"/>
      <c r="F61" s="64"/>
      <c r="G61" s="64"/>
    </row>
    <row r="62" ht="13.2" spans="1:7">
      <c r="A62" s="98" t="s">
        <v>20</v>
      </c>
      <c r="B62" s="64"/>
      <c r="C62" s="64"/>
      <c r="D62" s="64"/>
      <c r="E62" s="64"/>
      <c r="F62" s="64"/>
      <c r="G62" s="64"/>
    </row>
    <row r="63" ht="13.2" spans="1:7">
      <c r="A63" s="98" t="s">
        <v>21</v>
      </c>
      <c r="B63" s="64"/>
      <c r="C63" s="64"/>
      <c r="D63" s="64"/>
      <c r="E63" s="64"/>
      <c r="F63" s="64"/>
      <c r="G63" s="64"/>
    </row>
    <row r="64" ht="13.2" spans="1:7">
      <c r="A64" s="98" t="s">
        <v>22</v>
      </c>
      <c r="B64" s="64"/>
      <c r="C64" s="64"/>
      <c r="D64" s="64"/>
      <c r="E64" s="64"/>
      <c r="F64" s="64"/>
      <c r="G64" s="64"/>
    </row>
    <row r="65" ht="13.2" spans="1:7">
      <c r="A65" s="98" t="s">
        <v>23</v>
      </c>
      <c r="B65" s="64"/>
      <c r="C65" s="65"/>
      <c r="D65" s="65"/>
      <c r="E65" s="65"/>
      <c r="F65" s="65"/>
      <c r="G65" s="64"/>
    </row>
    <row r="66" ht="13.2" spans="1:7">
      <c r="A66" s="98" t="s">
        <v>24</v>
      </c>
      <c r="B66" s="64"/>
      <c r="C66" s="64"/>
      <c r="D66" s="64"/>
      <c r="E66" s="64"/>
      <c r="F66" s="64"/>
      <c r="G66" s="64"/>
    </row>
    <row r="67" ht="13.2" spans="1:7">
      <c r="A67" s="98" t="s">
        <v>25</v>
      </c>
      <c r="B67" s="64"/>
      <c r="C67" s="64"/>
      <c r="D67" s="64"/>
      <c r="E67" s="64"/>
      <c r="F67" s="64"/>
      <c r="G67" s="64"/>
    </row>
    <row r="68" ht="13.2" spans="1:7">
      <c r="A68" s="98" t="s">
        <v>26</v>
      </c>
      <c r="B68" s="64"/>
      <c r="C68" s="64"/>
      <c r="D68" s="64"/>
      <c r="E68" s="64"/>
      <c r="F68" s="64"/>
      <c r="G68" s="64"/>
    </row>
    <row r="69" ht="13.2" spans="1:7">
      <c r="A69" s="98" t="s">
        <v>27</v>
      </c>
      <c r="B69" s="64"/>
      <c r="C69" s="64"/>
      <c r="D69" s="64"/>
      <c r="E69" s="64"/>
      <c r="F69" s="64"/>
      <c r="G69" s="64"/>
    </row>
    <row r="70" ht="13.2" spans="1:7">
      <c r="A70" s="99" t="s">
        <v>28</v>
      </c>
      <c r="B70" s="69"/>
      <c r="C70" s="69"/>
      <c r="D70" s="69"/>
      <c r="E70" s="69"/>
      <c r="F70" s="69"/>
      <c r="G70" s="69"/>
    </row>
    <row r="71" ht="13.2" spans="1:7">
      <c r="A71" s="100" t="s">
        <v>29</v>
      </c>
      <c r="B71" s="69"/>
      <c r="C71" s="69"/>
      <c r="D71" s="69"/>
      <c r="E71" s="69"/>
      <c r="F71" s="69"/>
      <c r="G71" s="69"/>
    </row>
    <row r="72" ht="13.2" spans="1:7">
      <c r="A72" s="98" t="s">
        <v>30</v>
      </c>
      <c r="B72" s="64"/>
      <c r="C72" s="64"/>
      <c r="D72" s="64"/>
      <c r="E72" s="64"/>
      <c r="F72" s="64"/>
      <c r="G72" s="64"/>
    </row>
    <row r="73" ht="13.2" spans="1:7">
      <c r="A73" s="98" t="s">
        <v>31</v>
      </c>
      <c r="B73" s="64"/>
      <c r="C73" s="64"/>
      <c r="D73" s="64"/>
      <c r="E73" s="64"/>
      <c r="F73" s="64"/>
      <c r="G73" s="64"/>
    </row>
    <row r="74" ht="13.2" spans="1:7">
      <c r="A74" s="98" t="s">
        <v>32</v>
      </c>
      <c r="B74" s="64"/>
      <c r="C74" s="65"/>
      <c r="D74" s="65"/>
      <c r="E74" s="65"/>
      <c r="F74" s="65"/>
      <c r="G74" s="64"/>
    </row>
    <row r="75" ht="13.2" spans="1:7">
      <c r="A75" s="98" t="s">
        <v>33</v>
      </c>
      <c r="B75" s="64"/>
      <c r="C75" s="64"/>
      <c r="D75" s="64"/>
      <c r="E75" s="64"/>
      <c r="F75" s="64"/>
      <c r="G75" s="64"/>
    </row>
    <row r="76" ht="13.2" spans="1:7">
      <c r="A76" s="98" t="s">
        <v>34</v>
      </c>
      <c r="B76" s="64"/>
      <c r="C76" s="64"/>
      <c r="D76" s="64"/>
      <c r="E76" s="64"/>
      <c r="F76" s="64"/>
      <c r="G76" s="64"/>
    </row>
    <row r="77" ht="13.2" spans="1:7">
      <c r="A77" s="98" t="s">
        <v>35</v>
      </c>
      <c r="B77" s="64"/>
      <c r="C77" s="64"/>
      <c r="D77" s="64"/>
      <c r="E77" s="64"/>
      <c r="F77" s="64"/>
      <c r="G77" s="64"/>
    </row>
    <row r="78" ht="13.2" spans="1:7">
      <c r="A78" s="98" t="s">
        <v>36</v>
      </c>
      <c r="B78" s="64"/>
      <c r="C78" s="64"/>
      <c r="D78" s="64"/>
      <c r="E78" s="64"/>
      <c r="F78" s="64"/>
      <c r="G78" s="64"/>
    </row>
    <row r="79" ht="13.2" spans="1:7">
      <c r="A79" s="98" t="s">
        <v>37</v>
      </c>
      <c r="B79" s="64"/>
      <c r="C79" s="64"/>
      <c r="D79" s="64"/>
      <c r="E79" s="64"/>
      <c r="F79" s="64"/>
      <c r="G79" s="64"/>
    </row>
    <row r="80" ht="13.2" spans="1:7">
      <c r="A80" s="98" t="s">
        <v>38</v>
      </c>
      <c r="B80" s="64"/>
      <c r="C80" s="64"/>
      <c r="D80" s="64"/>
      <c r="E80" s="64"/>
      <c r="F80" s="64"/>
      <c r="G80" s="64"/>
    </row>
    <row r="81" ht="13.2" spans="1:7">
      <c r="A81" s="98" t="s">
        <v>39</v>
      </c>
      <c r="B81" s="64"/>
      <c r="C81" s="64"/>
      <c r="D81" s="64"/>
      <c r="E81" s="64"/>
      <c r="F81" s="64"/>
      <c r="G81" s="64"/>
    </row>
    <row r="82" ht="13.2" spans="1:7">
      <c r="A82" s="98" t="s">
        <v>40</v>
      </c>
      <c r="B82" s="64"/>
      <c r="C82" s="64"/>
      <c r="D82" s="64"/>
      <c r="E82" s="64"/>
      <c r="F82" s="64"/>
      <c r="G82" s="64"/>
    </row>
    <row r="83" ht="13.2" spans="1:7">
      <c r="A83" s="99" t="s">
        <v>41</v>
      </c>
      <c r="B83" s="69"/>
      <c r="C83" s="69"/>
      <c r="D83" s="69"/>
      <c r="E83" s="69"/>
      <c r="F83" s="69"/>
      <c r="G83" s="69"/>
    </row>
    <row r="84" ht="13.2" spans="1:7">
      <c r="A84" s="99" t="s">
        <v>42</v>
      </c>
      <c r="B84" s="69"/>
      <c r="C84" s="69"/>
      <c r="D84" s="69"/>
      <c r="E84" s="69"/>
      <c r="F84" s="69"/>
      <c r="G84" s="69"/>
    </row>
    <row r="85" ht="13.2" spans="1:7">
      <c r="A85" s="100" t="s">
        <v>43</v>
      </c>
      <c r="B85" s="69"/>
      <c r="C85" s="69"/>
      <c r="D85" s="69"/>
      <c r="E85" s="69"/>
      <c r="F85" s="69"/>
      <c r="G85" s="69"/>
    </row>
    <row r="86" ht="13.2" spans="1:7">
      <c r="A86" s="98" t="s">
        <v>44</v>
      </c>
      <c r="B86" s="64"/>
      <c r="C86" s="64"/>
      <c r="D86" s="64"/>
      <c r="E86" s="64"/>
      <c r="F86" s="64"/>
      <c r="G86" s="64"/>
    </row>
    <row r="87" ht="13.2" spans="1:7">
      <c r="A87" s="98" t="s">
        <v>45</v>
      </c>
      <c r="B87" s="64"/>
      <c r="C87" s="64"/>
      <c r="D87" s="64"/>
      <c r="E87" s="64"/>
      <c r="F87" s="64"/>
      <c r="G87" s="64"/>
    </row>
    <row r="88" ht="13.2" spans="1:7">
      <c r="A88" s="98" t="s">
        <v>32</v>
      </c>
      <c r="B88" s="64"/>
      <c r="C88" s="65"/>
      <c r="D88" s="65"/>
      <c r="E88" s="65"/>
      <c r="F88" s="65"/>
      <c r="G88" s="64"/>
    </row>
    <row r="89" ht="13.2" spans="1:7">
      <c r="A89" s="98" t="s">
        <v>33</v>
      </c>
      <c r="B89" s="64"/>
      <c r="C89" s="64"/>
      <c r="D89" s="64"/>
      <c r="E89" s="64"/>
      <c r="F89" s="64"/>
      <c r="G89" s="64"/>
    </row>
    <row r="90" ht="13.2" spans="1:7">
      <c r="A90" s="98" t="s">
        <v>46</v>
      </c>
      <c r="B90" s="64"/>
      <c r="C90" s="64"/>
      <c r="D90" s="64"/>
      <c r="E90" s="64"/>
      <c r="F90" s="64"/>
      <c r="G90" s="64"/>
    </row>
    <row r="91" ht="13.2" spans="1:7">
      <c r="A91" s="98" t="s">
        <v>47</v>
      </c>
      <c r="B91" s="64"/>
      <c r="C91" s="64"/>
      <c r="D91" s="64"/>
      <c r="E91" s="64"/>
      <c r="F91" s="64"/>
      <c r="G91" s="64"/>
    </row>
    <row r="92" ht="13.2" spans="1:7">
      <c r="A92" s="98" t="s">
        <v>48</v>
      </c>
      <c r="B92" s="64"/>
      <c r="C92" s="64"/>
      <c r="D92" s="64"/>
      <c r="E92" s="64"/>
      <c r="F92" s="64"/>
      <c r="G92" s="64"/>
    </row>
    <row r="93" ht="13.2" spans="1:7">
      <c r="A93" s="98" t="s">
        <v>49</v>
      </c>
      <c r="B93" s="64"/>
      <c r="C93" s="64"/>
      <c r="D93" s="64"/>
      <c r="E93" s="64"/>
      <c r="F93" s="64"/>
      <c r="G93" s="64"/>
    </row>
    <row r="94" ht="13.2" spans="1:7">
      <c r="A94" s="98" t="s">
        <v>50</v>
      </c>
      <c r="B94" s="64"/>
      <c r="C94" s="64"/>
      <c r="D94" s="64"/>
      <c r="E94" s="64"/>
      <c r="F94" s="64"/>
      <c r="G94" s="64"/>
    </row>
    <row r="95" ht="13.2" spans="1:7">
      <c r="A95" s="98" t="s">
        <v>51</v>
      </c>
      <c r="B95" s="64"/>
      <c r="C95" s="65"/>
      <c r="D95" s="65"/>
      <c r="E95" s="65"/>
      <c r="F95" s="65"/>
      <c r="G95" s="65"/>
    </row>
    <row r="96" ht="13.2" spans="1:7">
      <c r="A96" s="98" t="s">
        <v>52</v>
      </c>
      <c r="B96" s="69"/>
      <c r="C96" s="69"/>
      <c r="D96" s="69"/>
      <c r="E96" s="69"/>
      <c r="F96" s="69"/>
      <c r="G96" s="69"/>
    </row>
    <row r="97" ht="13.2" spans="1:7">
      <c r="A97" s="98" t="s">
        <v>53</v>
      </c>
      <c r="B97" s="64"/>
      <c r="C97" s="64"/>
      <c r="D97" s="64"/>
      <c r="E97" s="64"/>
      <c r="F97" s="64"/>
      <c r="G97" s="64"/>
    </row>
    <row r="98" ht="13.2" spans="1:7">
      <c r="A98" s="101" t="s">
        <v>54</v>
      </c>
      <c r="B98" s="105"/>
      <c r="C98" s="105"/>
      <c r="D98" s="105"/>
      <c r="E98" s="105"/>
      <c r="F98" s="105"/>
      <c r="G98" s="105"/>
    </row>
    <row r="99" ht="13.2" spans="1:7">
      <c r="A99" s="103" t="s">
        <v>55</v>
      </c>
      <c r="B99" s="104"/>
      <c r="C99" s="104"/>
      <c r="D99" s="104"/>
      <c r="E99" s="104"/>
      <c r="F99" s="104"/>
      <c r="G99" s="104"/>
    </row>
  </sheetData>
  <sheetProtection formatCells="0" formatColumns="0" formatRows="0" insertRows="0" autoFilter="0" pivotTables="0"/>
  <mergeCells count="5">
    <mergeCell ref="C4:D4"/>
    <mergeCell ref="E4:F4"/>
    <mergeCell ref="A4:A5"/>
    <mergeCell ref="B4:B5"/>
    <mergeCell ref="G4:G5"/>
  </mergeCells>
  <conditionalFormatting sqref="A4:A5">
    <cfRule type="cellIs" dxfId="0" priority="1" stopIfTrue="1" operator="equal">
      <formula>"报表未调平!"</formula>
    </cfRule>
  </conditionalFormatting>
  <printOptions horizontalCentered="1" verticalCentered="1"/>
  <pageMargins left="0.551181102362205" right="0.354330708661417" top="0.433070866141732" bottom="0.236220472440945" header="0.236220472440945" footer="0.196850393700787"/>
  <pageSetup paperSize="9" scale="66"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38"/>
    <pageSetUpPr fitToPage="1"/>
  </sheetPr>
  <dimension ref="A1:O81"/>
  <sheetViews>
    <sheetView showZeros="0" workbookViewId="0">
      <pane xSplit="1" ySplit="5" topLeftCell="B45" activePane="bottomRight" state="frozen"/>
      <selection/>
      <selection pane="topRight"/>
      <selection pane="bottomLeft"/>
      <selection pane="bottomRight" activeCell="B62" sqref="B62"/>
    </sheetView>
  </sheetViews>
  <sheetFormatPr defaultColWidth="7" defaultRowHeight="11.4"/>
  <cols>
    <col min="1" max="1" width="39.5" style="3" customWidth="1"/>
    <col min="2" max="2" width="11.75" style="3" customWidth="1"/>
    <col min="3" max="3" width="14.75" style="3" customWidth="1"/>
    <col min="4" max="4" width="13.5" style="3" customWidth="1"/>
    <col min="5" max="5" width="11.5" style="3" customWidth="1"/>
    <col min="6" max="6" width="12.25" style="3" customWidth="1"/>
    <col min="7" max="7" width="8.625" style="3" customWidth="1"/>
    <col min="8" max="8" width="9.375" style="3" customWidth="1"/>
    <col min="9" max="9" width="11.5" style="3" customWidth="1" outlineLevel="1"/>
    <col min="10" max="10" width="8.5" style="3" customWidth="1" outlineLevel="1"/>
    <col min="11" max="11" width="12.625" style="3" customWidth="1"/>
    <col min="12" max="12" width="8.75" style="3" customWidth="1"/>
    <col min="13" max="13" width="12.25" style="3" customWidth="1"/>
    <col min="14" max="14" width="12.125" style="3" customWidth="1"/>
    <col min="15" max="16384" width="7" style="3"/>
  </cols>
  <sheetData>
    <row r="1" s="1" customFormat="1" ht="24" customHeight="1" spans="1:15">
      <c r="A1" s="48" t="s">
        <v>56</v>
      </c>
      <c r="B1" s="49"/>
      <c r="C1" s="49"/>
      <c r="D1" s="49"/>
      <c r="E1" s="49"/>
      <c r="F1" s="49"/>
      <c r="G1" s="49"/>
      <c r="H1" s="49"/>
      <c r="I1" s="49"/>
      <c r="J1" s="49"/>
      <c r="K1" s="49"/>
      <c r="L1" s="50"/>
      <c r="M1" s="3"/>
      <c r="N1" s="3"/>
      <c r="O1" s="3"/>
    </row>
    <row r="2" s="1" customFormat="1" ht="17.25" customHeight="1" spans="1:15">
      <c r="A2" s="9" t="str">
        <f>CONCATENATE("客户名称：",[28]说明!E23)</f>
        <v>客户名称：</v>
      </c>
      <c r="D2" s="8" t="str">
        <f>CONCATENATE("编制：",[28]说明!E36)</f>
        <v>编制：</v>
      </c>
      <c r="F2" s="51"/>
      <c r="G2" s="9" t="str">
        <f>CONCATENATE("复核：",[28]说明!E37)</f>
        <v>复核：</v>
      </c>
      <c r="I2" s="9"/>
      <c r="J2" s="52"/>
      <c r="K2" s="53" t="str">
        <f>[28]母公司TB资产!K2</f>
        <v>索引：            </v>
      </c>
      <c r="M2" s="3"/>
      <c r="N2" s="3"/>
      <c r="O2" s="3"/>
    </row>
    <row r="3" s="1" customFormat="1" ht="17.25" customHeight="1" spans="1:15">
      <c r="A3" s="9" t="str">
        <f>CONCATENATE("会计期间：",TEXT([28]说明!E30,"yyyy.mm.dd"))</f>
        <v>会计期间：2019年度</v>
      </c>
      <c r="D3" s="53" t="str">
        <f ca="1">CONCATENATE("日期：",TEXT(NOW(),"yyyy.mm.dd"))</f>
        <v>日期：2026.05.03</v>
      </c>
      <c r="F3" s="9"/>
      <c r="G3" s="9" t="str">
        <f>[28]母公司TB资产!F3</f>
        <v>日期：</v>
      </c>
      <c r="I3" s="9"/>
      <c r="J3" s="9"/>
      <c r="K3" s="53" t="str">
        <f>[28]母公司TB资产!K3</f>
        <v>分页：           </v>
      </c>
      <c r="M3" s="3"/>
      <c r="N3" s="3"/>
      <c r="O3" s="3"/>
    </row>
    <row r="4" s="1" customFormat="1" ht="13.2" spans="1:15">
      <c r="A4" s="54" t="e">
        <f>IF((ROUND([28]母公司TB资产!K52,2))=(ROUND(#REF!,2)),"项       目","报表未调平!")</f>
        <v>#REF!</v>
      </c>
      <c r="B4" s="12" t="s">
        <v>57</v>
      </c>
      <c r="C4" s="55" t="s">
        <v>58</v>
      </c>
      <c r="D4" s="55"/>
      <c r="E4" s="55" t="s">
        <v>6</v>
      </c>
      <c r="F4" s="55"/>
      <c r="G4" s="55" t="s">
        <v>7</v>
      </c>
      <c r="H4" s="55"/>
      <c r="I4" s="55" t="s">
        <v>59</v>
      </c>
      <c r="J4" s="55" t="s">
        <v>60</v>
      </c>
      <c r="K4" s="14" t="s">
        <v>61</v>
      </c>
      <c r="M4" s="3"/>
      <c r="N4" s="3"/>
      <c r="O4" s="3"/>
    </row>
    <row r="5" s="1" customFormat="1" ht="14.25" customHeight="1" spans="1:15">
      <c r="A5" s="56"/>
      <c r="B5" s="16"/>
      <c r="C5" s="57" t="s">
        <v>9</v>
      </c>
      <c r="D5" s="57" t="s">
        <v>10</v>
      </c>
      <c r="E5" s="57" t="s">
        <v>9</v>
      </c>
      <c r="F5" s="57" t="s">
        <v>10</v>
      </c>
      <c r="G5" s="57" t="s">
        <v>9</v>
      </c>
      <c r="H5" s="57" t="s">
        <v>10</v>
      </c>
      <c r="I5" s="57"/>
      <c r="J5" s="57"/>
      <c r="K5" s="18"/>
      <c r="M5" s="3"/>
      <c r="N5" s="3"/>
      <c r="O5" s="3"/>
    </row>
    <row r="6" ht="15" customHeight="1" spans="1:15">
      <c r="A6" s="58" t="str">
        <f>[28]报表格式!L5</f>
        <v>一、营业收入</v>
      </c>
      <c r="B6" s="59">
        <f>[28]母公司PL汇总!B6</f>
        <v>0</v>
      </c>
      <c r="C6" s="59">
        <f>SUMIF([28]母公司汇总抵销!$E$5:$E$65538,IF(OR(MID(TRIM($A6),2,1)="：",MID(TRIM($A6),2,1)="、"),REPLACEB(TRIM($A6),1,4,""),TRIM($A6)),[28]母公司汇总抵销!$J$5:$J$65538)</f>
        <v>0</v>
      </c>
      <c r="D6" s="59">
        <f>SUMIF([28]母公司汇总抵销!$H$5:$H$65538,IF(OR(MID(TRIM($A6),2,1)="：",MID(TRIM($A6),2,1)="、"),REPLACEB(TRIM($A6),1,4,""),TRIM($A6)),[28]母公司汇总抵销!$J$5:$J$65538)</f>
        <v>0</v>
      </c>
      <c r="E6" s="60">
        <f>SUMIF([28]母公司账项调整!$E$5:$E$65536,IF(OR(MID(TRIM($A6),2,1)="：",MID(TRIM($A6),2,1)="、"),REPLACEB(TRIM($A6),1,4,""),TRIM($A6)),[28]母公司账项调整!$J$5:$J$65536)</f>
        <v>0</v>
      </c>
      <c r="F6" s="59">
        <f>SUMIF([28]母公司账项调整!$H$5:$H$65536,IF(OR(MID(TRIM($A6),2,1)="：",MID(TRIM($A6),2,1)="、"),REPLACEB(TRIM($A6),1,4,""),TRIM($A6)),[28]母公司账项调整!$J$5:$J$65536)</f>
        <v>0</v>
      </c>
      <c r="G6" s="59">
        <f>SUMIF([28]母公司报表调整!$E$5:$E$65536,IF(OR(MID(TRIM($A6),2,1)="：",MID(TRIM($A6),2,1)="、"),REPLACEB(TRIM($A6),1,4,""),TRIM($A6)),[28]母公司报表调整!$J$5:$J$65536)</f>
        <v>0</v>
      </c>
      <c r="H6" s="59">
        <f>SUMIF([28]母公司报表调整!$H$5:$H$65536,IF(OR(MID(TRIM($A6),2,1)="：",MID(TRIM($A6),2,1)="、"),REPLACEB(TRIM($A6),1,4,""),TRIM($A6)),[28]母公司报表调整!$J$5:$J$65536)</f>
        <v>0</v>
      </c>
      <c r="I6" s="59">
        <f t="shared" ref="I6:I8" si="0">B6-E6-G6+F6+H6-C6+D6</f>
        <v>0</v>
      </c>
      <c r="J6" s="59"/>
      <c r="K6" s="61">
        <f t="shared" ref="K6:K27" si="1">SUM(I6:J6)</f>
        <v>0</v>
      </c>
    </row>
    <row r="7" ht="15" customHeight="1" spans="1:15">
      <c r="A7" s="62" t="str">
        <f>[28]报表格式!L6</f>
        <v>        其中：主营业务收入</v>
      </c>
      <c r="B7" s="59">
        <f>[28]母公司PL汇总!B7</f>
        <v>0</v>
      </c>
      <c r="C7" s="59">
        <f>SUMIF([28]母公司汇总抵销!$F$5:$F$65538,IF(OR(MID(TRIM($A7),3,1)="：",MID(TRIM($A7),2,1)="、"),REPLACEB(TRIM($A7),1,6,""),TRIM($A7)),[28]母公司汇总抵销!$J$5:$J$65538)</f>
        <v>0</v>
      </c>
      <c r="D7" s="59">
        <f>SUMIF([28]母公司汇总抵销!$I$5:$I$65538,IF(OR(MID(TRIM($A7),3,1)="：",MID(TRIM($A7),2,1)="、"),REPLACEB(TRIM($A7),1,6,""),TRIM($A7)),[28]母公司汇总抵销!$J$5:$J$65538)</f>
        <v>0</v>
      </c>
      <c r="E7" s="60">
        <f>SUMIF([28]母公司账项调整!$F$5:$F$65536,IF(OR(MID(TRIM($A7),3,1)="：",MID(TRIM($A7),2,1)="、"),REPLACEB(TRIM($A7),1,6,""),TRIM($A7)),[28]母公司账项调整!$J$5:$J$65536)</f>
        <v>0</v>
      </c>
      <c r="F7" s="59">
        <f>SUMIF([28]母公司账项调整!$I$5:$I$65536,IF(OR(MID(TRIM($A7),3,1)="：",MID(TRIM($A7),2,1)="、"),REPLACEB(TRIM($A7),1,6,""),TRIM($A7)),[28]母公司账项调整!$J$5:$J$65536)</f>
        <v>0</v>
      </c>
      <c r="G7" s="59">
        <f>SUMIF([28]母公司报表调整!$F$5:$F$65536,IF(OR(MID(TRIM($A7),3,1)="：",MID(TRIM($A7),2,1)="、"),REPLACEB(TRIM($A7),1,6,""),TRIM($A7)),[28]母公司报表调整!$J$5:$J$65536)</f>
        <v>0</v>
      </c>
      <c r="H7" s="59">
        <f>SUMIF([28]母公司报表调整!$I$5:$I$65536,IF(OR(MID(TRIM($A7),3,1)="：",MID(TRIM($A7),2,1)="、"),REPLACEB(TRIM($A7),1,6,""),TRIM($A7)),[28]母公司报表调整!$J$5:$J$65536)</f>
        <v>0</v>
      </c>
      <c r="I7" s="59">
        <f t="shared" si="0"/>
        <v>0</v>
      </c>
      <c r="J7" s="59"/>
      <c r="K7" s="61">
        <f t="shared" si="1"/>
        <v>0</v>
      </c>
    </row>
    <row r="8" ht="15" customHeight="1" spans="1:15">
      <c r="A8" s="62" t="str">
        <f>[28]报表格式!L7</f>
        <v>              其他业务收入</v>
      </c>
      <c r="B8" s="59">
        <f>[28]母公司PL汇总!B8</f>
        <v>0</v>
      </c>
      <c r="C8" s="59">
        <f>SUMIF([28]母公司汇总抵销!$F$5:$F$65538,IF(OR(MID(TRIM($A8),3,1)="：",MID(TRIM($A8),2,1)="、"),REPLACEB(TRIM($A8),1,6,""),TRIM($A8)),[28]母公司汇总抵销!$J$5:$J$65538)</f>
        <v>0</v>
      </c>
      <c r="D8" s="59">
        <f>SUMIF([28]母公司汇总抵销!$I$5:$I$65538,IF(OR(MID(TRIM($A8),3,1)="：",MID(TRIM($A8),2,1)="、"),REPLACEB(TRIM($A8),1,6,""),TRIM($A8)),[28]母公司汇总抵销!$J$5:$J$65538)</f>
        <v>0</v>
      </c>
      <c r="E8" s="60">
        <f>SUMIF([28]母公司账项调整!$F$5:$F$65536,IF(OR(MID(TRIM($A8),3,1)="：",MID(TRIM($A8),2,1)="、"),REPLACEB(TRIM($A8),1,6,""),TRIM($A8)),[28]母公司账项调整!$J$5:$J$65536)</f>
        <v>0</v>
      </c>
      <c r="F8" s="59">
        <f>SUMIF([28]母公司账项调整!$I$5:$I$65536,IF(OR(MID(TRIM($A8),3,1)="：",MID(TRIM($A8),2,1)="、"),REPLACEB(TRIM($A8),1,6,""),TRIM($A8)),[28]母公司账项调整!$J$5:$J$65536)</f>
        <v>0</v>
      </c>
      <c r="G8" s="59">
        <f>SUMIF([28]母公司报表调整!$F$5:$F$65536,IF(OR(MID(TRIM($A8),3,1)="：",MID(TRIM($A8),2,1)="、"),REPLACEB(TRIM($A8),1,6,""),TRIM($A8)),[28]母公司报表调整!$J$5:$J$65536)</f>
        <v>0</v>
      </c>
      <c r="H8" s="59">
        <f>SUMIF([28]母公司报表调整!$I$5:$I$65536,IF(OR(MID(TRIM($A8),3,1)="：",MID(TRIM($A8),2,1)="、"),REPLACEB(TRIM($A8),1,6,""),TRIM($A8)),[28]母公司报表调整!$J$5:$J$65536)</f>
        <v>0</v>
      </c>
      <c r="I8" s="59">
        <f t="shared" si="0"/>
        <v>0</v>
      </c>
      <c r="J8" s="59"/>
      <c r="K8" s="61">
        <f t="shared" si="1"/>
        <v>0</v>
      </c>
    </row>
    <row r="9" ht="15" customHeight="1" spans="1:15">
      <c r="A9" s="62" t="str">
        <f>[28]报表格式!L8</f>
        <v>    减：营业成本</v>
      </c>
      <c r="B9" s="59">
        <f>[28]母公司PL汇总!B9</f>
        <v>0</v>
      </c>
      <c r="C9" s="59">
        <f>SUMIF([28]母公司汇总抵销!$E$5:$E$65538,IF(OR(MID(TRIM($A9),2,1)="：",MID(TRIM($A9),2,1)="、"),REPLACEB(TRIM($A9),1,4,""),TRIM($A9)),[28]母公司汇总抵销!$J$5:$J$65538)</f>
        <v>0</v>
      </c>
      <c r="D9" s="59">
        <f>SUMIF([28]母公司汇总抵销!$H$5:$H$65538,IF(OR(MID(TRIM($A9),2,1)="：",MID(TRIM($A9),2,1)="、"),REPLACEB(TRIM($A9),1,4,""),TRIM($A9)),[28]母公司汇总抵销!$J$5:$J$65538)</f>
        <v>0</v>
      </c>
      <c r="E9" s="60">
        <f>SUMIF([28]母公司账项调整!$E$5:$E$65536,IF(OR(MID(TRIM($A9),2,1)="：",MID(TRIM($A9),2,1)="、"),REPLACEB(TRIM($A9),1,4,""),TRIM($A9)),[28]母公司账项调整!$J$5:$J$65536)</f>
        <v>0</v>
      </c>
      <c r="F9" s="59">
        <f>SUMIF([28]母公司账项调整!$H$5:$H$65536,IF(OR(MID(TRIM($A9),2,1)="：",MID(TRIM($A9),2,1)="、"),REPLACEB(TRIM($A9),1,4,""),TRIM($A9)),[28]母公司账项调整!$J$5:$J$65536)</f>
        <v>0</v>
      </c>
      <c r="G9" s="59">
        <f>SUMIF([28]母公司报表调整!$E$5:$E$65536,IF(OR(MID(TRIM($A9),2,1)="：",MID(TRIM($A9),2,1)="、"),REPLACEB(TRIM($A9),1,4,""),TRIM($A9)),[28]母公司报表调整!$J$5:$J$65536)</f>
        <v>0</v>
      </c>
      <c r="H9" s="59">
        <f>SUMIF([28]母公司报表调整!$H$5:$H$65536,IF(OR(MID(TRIM($A9),2,1)="：",MID(TRIM($A9),2,1)="、"),REPLACEB(TRIM($A9),1,4,""),TRIM($A9)),[28]母公司报表调整!$J$5:$J$65536)</f>
        <v>0</v>
      </c>
      <c r="I9" s="59">
        <f t="shared" ref="I9:I18" si="2">B9+E9+G9-F9-H9+C9-D9</f>
        <v>0</v>
      </c>
      <c r="J9" s="59"/>
      <c r="K9" s="61">
        <f t="shared" si="1"/>
        <v>0</v>
      </c>
    </row>
    <row r="10" ht="15" customHeight="1" spans="1:15">
      <c r="A10" s="62" t="str">
        <f>[28]报表格式!L9</f>
        <v>        其中：主营业务成本</v>
      </c>
      <c r="B10" s="59">
        <f>[28]母公司PL汇总!B10</f>
        <v>0</v>
      </c>
      <c r="C10" s="59">
        <f>SUMIF([28]母公司汇总抵销!$F$5:$F$65538,IF(OR(MID(TRIM($A10),3,1)="：",MID(TRIM($A10),2,1)="、"),REPLACEB(TRIM($A10),1,6,""),TRIM($A10)),[28]母公司汇总抵销!$J$5:$J$65538)</f>
        <v>0</v>
      </c>
      <c r="D10" s="59">
        <f>SUMIF([28]母公司汇总抵销!$I$5:$I$65538,IF(OR(MID(TRIM($A10),3,1)="：",MID(TRIM($A10),2,1)="、"),REPLACEB(TRIM($A10),1,6,""),TRIM($A10)),[28]母公司汇总抵销!$J$5:$J$65538)</f>
        <v>0</v>
      </c>
      <c r="E10" s="60">
        <f>SUMIF([28]母公司账项调整!$F$5:$F$65536,IF(OR(MID(TRIM($A10),3,1)="：",MID(TRIM($A10),2,1)="、"),REPLACEB(TRIM($A10),1,6,""),TRIM($A10)),[28]母公司账项调整!$J$5:$J$65536)</f>
        <v>0</v>
      </c>
      <c r="F10" s="59">
        <f>SUMIF([28]母公司账项调整!$I$5:$I$65536,IF(OR(MID(TRIM($A10),3,1)="：",MID(TRIM($A10),2,1)="、"),REPLACEB(TRIM($A10),1,6,""),TRIM($A10)),[28]母公司账项调整!$J$5:$J$65536)</f>
        <v>0</v>
      </c>
      <c r="G10" s="59">
        <f>SUMIF([28]母公司报表调整!$F$5:$F$65536,IF(OR(MID(TRIM($A10),3,1)="：",MID(TRIM($A10),2,1)="、"),REPLACEB(TRIM($A10),1,6,""),TRIM($A10)),[28]母公司报表调整!$J$5:$J$65536)</f>
        <v>0</v>
      </c>
      <c r="H10" s="59">
        <f>SUMIF([28]母公司报表调整!$I$5:$I$65536,IF(OR(MID(TRIM($A10),3,1)="：",MID(TRIM($A10),2,1)="、"),REPLACEB(TRIM($A10),1,6,""),TRIM($A10)),[28]母公司报表调整!$J$5:$J$65536)</f>
        <v>0</v>
      </c>
      <c r="I10" s="59">
        <f t="shared" si="2"/>
        <v>0</v>
      </c>
      <c r="J10" s="63"/>
      <c r="K10" s="61">
        <f t="shared" si="1"/>
        <v>0</v>
      </c>
    </row>
    <row r="11" ht="15" customHeight="1" spans="1:15">
      <c r="A11" s="62" t="str">
        <f>[28]报表格式!L10</f>
        <v>              其他业务成本</v>
      </c>
      <c r="B11" s="59">
        <f>[28]母公司PL汇总!B11</f>
        <v>0</v>
      </c>
      <c r="C11" s="59">
        <f>SUMIF([28]母公司汇总抵销!$F$5:$F$65538,IF(OR(MID(TRIM($A11),3,1)="：",MID(TRIM($A11),2,1)="、"),REPLACEB(TRIM($A11),1,6,""),TRIM($A11)),[28]母公司汇总抵销!$J$5:$J$65538)</f>
        <v>0</v>
      </c>
      <c r="D11" s="59">
        <f>SUMIF([28]母公司汇总抵销!$I$5:$I$65538,IF(OR(MID(TRIM($A11),3,1)="：",MID(TRIM($A11),2,1)="、"),REPLACEB(TRIM($A11),1,6,""),TRIM($A11)),[28]母公司汇总抵销!$J$5:$J$65538)</f>
        <v>0</v>
      </c>
      <c r="E11" s="60">
        <f>SUMIF([28]母公司账项调整!$F$5:$F$65536,IF(OR(MID(TRIM($A11),3,1)="：",MID(TRIM($A11),2,1)="、"),REPLACEB(TRIM($A11),1,6,""),TRIM($A11)),[28]母公司账项调整!$J$5:$J$65536)</f>
        <v>0</v>
      </c>
      <c r="F11" s="59">
        <f>SUMIF([28]母公司账项调整!$I$5:$I$65536,IF(OR(MID(TRIM($A11),3,1)="：",MID(TRIM($A11),2,1)="、"),REPLACEB(TRIM($A11),1,6,""),TRIM($A11)),[28]母公司账项调整!$J$5:$J$65536)</f>
        <v>0</v>
      </c>
      <c r="G11" s="59">
        <f>SUMIF([28]母公司报表调整!$F$5:$F$65536,IF(OR(MID(TRIM($A11),3,1)="：",MID(TRIM($A11),2,1)="、"),REPLACEB(TRIM($A11),1,6,""),TRIM($A11)),[28]母公司报表调整!$J$5:$J$65536)</f>
        <v>0</v>
      </c>
      <c r="H11" s="59">
        <f>SUMIF([28]母公司报表调整!$I$5:$I$65536,IF(OR(MID(TRIM($A11),3,1)="：",MID(TRIM($A11),2,1)="、"),REPLACEB(TRIM($A11),1,6,""),TRIM($A11)),[28]母公司报表调整!$J$5:$J$65536)</f>
        <v>0</v>
      </c>
      <c r="I11" s="59">
        <f t="shared" si="2"/>
        <v>0</v>
      </c>
      <c r="J11" s="64"/>
      <c r="K11" s="61">
        <f t="shared" si="1"/>
        <v>0</v>
      </c>
    </row>
    <row r="12" ht="15" customHeight="1" spans="1:15">
      <c r="A12" s="62" t="str">
        <f>[28]报表格式!L11</f>
        <v>        税金及附加</v>
      </c>
      <c r="B12" s="59">
        <f>[28]母公司PL汇总!B12</f>
        <v>0</v>
      </c>
      <c r="C12" s="59">
        <f>SUMIF([28]母公司汇总抵销!$E$5:$E$65538,IF(OR(MID(TRIM($A12),2,1)="：",MID(TRIM($A12),2,1)="、"),REPLACEB(TRIM($A12),1,4,""),TRIM($A12)),[28]母公司汇总抵销!$J$5:$J$65538)</f>
        <v>0</v>
      </c>
      <c r="D12" s="59">
        <f>SUMIF([28]母公司汇总抵销!$H$5:$H$65538,IF(OR(MID(TRIM($A12),2,1)="：",MID(TRIM($A12),2,1)="、"),REPLACEB(TRIM($A12),1,4,""),TRIM($A12)),[28]母公司汇总抵销!$J$5:$J$65538)</f>
        <v>0</v>
      </c>
      <c r="E12" s="60">
        <f>SUMIF([28]母公司账项调整!$E$5:$E$65536,IF(OR(MID(TRIM($A12),2,1)="：",MID(TRIM($A12),2,1)="、"),REPLACEB(TRIM($A12),1,4,""),TRIM($A12)),[28]母公司账项调整!$J$5:$J$65536)</f>
        <v>0</v>
      </c>
      <c r="F12" s="59">
        <f>SUMIF([28]母公司账项调整!$H$5:$H$65536,IF(OR(MID(TRIM($A12),2,1)="：",MID(TRIM($A12),2,1)="、"),REPLACEB(TRIM($A12),1,4,""),TRIM($A12)),[28]母公司账项调整!$J$5:$J$65536)</f>
        <v>0</v>
      </c>
      <c r="G12" s="59">
        <f>SUMIF([28]母公司报表调整!$E$5:$E$65536,IF(OR(MID(TRIM($A12),2,1)="：",MID(TRIM($A12),2,1)="、"),REPLACEB(TRIM($A12),1,4,""),TRIM($A12)),[28]母公司报表调整!$J$5:$J$65536)</f>
        <v>0</v>
      </c>
      <c r="H12" s="59">
        <f>SUMIF([28]母公司报表调整!$H$5:$H$65536,IF(OR(MID(TRIM($A12),2,1)="：",MID(TRIM($A12),2,1)="、"),REPLACEB(TRIM($A12),1,4,""),TRIM($A12)),[28]母公司报表调整!$J$5:$J$65536)</f>
        <v>0</v>
      </c>
      <c r="I12" s="59">
        <f t="shared" si="2"/>
        <v>0</v>
      </c>
      <c r="J12" s="64"/>
      <c r="K12" s="61">
        <f t="shared" si="1"/>
        <v>0</v>
      </c>
    </row>
    <row r="13" ht="15" customHeight="1" spans="1:15">
      <c r="A13" s="62" t="str">
        <f>[28]报表格式!L12</f>
        <v>        销售费用</v>
      </c>
      <c r="B13" s="59">
        <f>[28]母公司PL汇总!B13</f>
        <v>0</v>
      </c>
      <c r="C13" s="59">
        <f>SUMIF([28]母公司汇总抵销!$E$5:$E$65538,IF(OR(MID(TRIM($A13),2,1)="：",MID(TRIM($A13),2,1)="、"),REPLACEB(TRIM($A13),1,4,""),TRIM($A13)),[28]母公司汇总抵销!$J$5:$J$65538)</f>
        <v>0</v>
      </c>
      <c r="D13" s="59">
        <f>SUMIF([28]母公司汇总抵销!$H$5:$H$65538,IF(OR(MID(TRIM($A13),2,1)="：",MID(TRIM($A13),2,1)="、"),REPLACEB(TRIM($A13),1,4,""),TRIM($A13)),[28]母公司汇总抵销!$J$5:$J$65538)</f>
        <v>0</v>
      </c>
      <c r="E13" s="60">
        <f>SUMIF([28]母公司账项调整!$E$5:$E$65536,IF(OR(MID(TRIM($A13),2,1)="：",MID(TRIM($A13),2,1)="、"),REPLACEB(TRIM($A13),1,4,""),TRIM($A13)),[28]母公司账项调整!$J$5:$J$65536)</f>
        <v>0</v>
      </c>
      <c r="F13" s="59">
        <f>SUMIF([28]母公司账项调整!$H$5:$H$65536,IF(OR(MID(TRIM($A13),2,1)="：",MID(TRIM($A13),2,1)="、"),REPLACEB(TRIM($A13),1,4,""),TRIM($A13)),[28]母公司账项调整!$J$5:$J$65536)</f>
        <v>0</v>
      </c>
      <c r="G13" s="59">
        <f>SUMIF([28]母公司报表调整!$E$5:$E$65536,IF(OR(MID(TRIM($A13),2,1)="：",MID(TRIM($A13),2,1)="、"),REPLACEB(TRIM($A13),1,4,""),TRIM($A13)),[28]母公司报表调整!$J$5:$J$65536)</f>
        <v>0</v>
      </c>
      <c r="H13" s="59">
        <f>SUMIF([28]母公司报表调整!$H$5:$H$65536,IF(OR(MID(TRIM($A13),2,1)="：",MID(TRIM($A13),2,1)="、"),REPLACEB(TRIM($A13),1,4,""),TRIM($A13)),[28]母公司报表调整!$J$5:$J$65536)</f>
        <v>0</v>
      </c>
      <c r="I13" s="59">
        <f t="shared" si="2"/>
        <v>0</v>
      </c>
      <c r="J13" s="64"/>
      <c r="K13" s="61">
        <f t="shared" si="1"/>
        <v>0</v>
      </c>
    </row>
    <row r="14" ht="15" customHeight="1" spans="1:15">
      <c r="A14" s="62" t="str">
        <f>[28]报表格式!L13</f>
        <v>        管理费用</v>
      </c>
      <c r="B14" s="59">
        <f>[28]母公司PL汇总!B14</f>
        <v>0</v>
      </c>
      <c r="C14" s="59">
        <f>SUMIF([28]母公司汇总抵销!$E$5:$E$65538,IF(OR(MID(TRIM($A14),2,1)="：",MID(TRIM($A14),2,1)="、"),REPLACEB(TRIM($A14),1,4,""),TRIM($A14)),[28]母公司汇总抵销!$J$5:$J$65538)</f>
        <v>0</v>
      </c>
      <c r="D14" s="59">
        <f>SUMIF([28]母公司汇总抵销!$H$5:$H$65538,IF(OR(MID(TRIM($A14),2,1)="：",MID(TRIM($A14),2,1)="、"),REPLACEB(TRIM($A14),1,4,""),TRIM($A14)),[28]母公司汇总抵销!$J$5:$J$65538)</f>
        <v>0</v>
      </c>
      <c r="E14" s="60">
        <f>SUMIF([28]母公司账项调整!$E$5:$E$65536,IF(OR(MID(TRIM($A14),2,1)="：",MID(TRIM($A14),2,1)="、"),REPLACEB(TRIM($A14),1,4,""),TRIM($A14)),[28]母公司账项调整!$J$5:$J$65536)</f>
        <v>0</v>
      </c>
      <c r="F14" s="59">
        <f>SUMIF([28]母公司账项调整!$H$5:$H$65536,IF(OR(MID(TRIM($A14),2,1)="：",MID(TRIM($A14),2,1)="、"),REPLACEB(TRIM($A14),1,4,""),TRIM($A14)),[28]母公司账项调整!$J$5:$J$65536)</f>
        <v>0</v>
      </c>
      <c r="G14" s="59">
        <f>SUMIF([28]母公司报表调整!$E$5:$E$65536,IF(OR(MID(TRIM($A14),2,1)="：",MID(TRIM($A14),2,1)="、"),REPLACEB(TRIM($A14),1,4,""),TRIM($A14)),[28]母公司报表调整!$J$5:$J$65536)</f>
        <v>0</v>
      </c>
      <c r="H14" s="59">
        <f>SUMIF([28]母公司报表调整!$H$5:$H$65536,IF(OR(MID(TRIM($A14),2,1)="：",MID(TRIM($A14),2,1)="、"),REPLACEB(TRIM($A14),1,4,""),TRIM($A14)),[28]母公司报表调整!$J$5:$J$65536)</f>
        <v>0</v>
      </c>
      <c r="I14" s="59">
        <f t="shared" si="2"/>
        <v>0</v>
      </c>
      <c r="J14" s="64"/>
      <c r="K14" s="61">
        <f t="shared" si="1"/>
        <v>0</v>
      </c>
    </row>
    <row r="15" ht="15" customHeight="1" spans="1:15">
      <c r="A15" s="62" t="str">
        <f>[28]报表格式!L14</f>
        <v>        研发费用</v>
      </c>
      <c r="B15" s="59">
        <f>[28]母公司PL汇总!B15</f>
        <v>0</v>
      </c>
      <c r="C15" s="59">
        <f>SUMIF([28]母公司汇总抵销!$E$5:$E$65538,IF(OR(MID(TRIM($A15),2,1)="：",MID(TRIM($A15),2,1)="、"),REPLACEB(TRIM($A15),1,4,""),TRIM($A15)),[28]母公司汇总抵销!$J$5:$J$65538)</f>
        <v>0</v>
      </c>
      <c r="D15" s="59">
        <f>SUMIF([28]母公司汇总抵销!$H$5:$H$65538,IF(OR(MID(TRIM($A15),2,1)="：",MID(TRIM($A15),2,1)="、"),REPLACEB(TRIM($A15),1,4,""),TRIM($A15)),[28]母公司汇总抵销!$J$5:$J$65538)</f>
        <v>0</v>
      </c>
      <c r="E15" s="60">
        <f>SUMIF([28]母公司账项调整!$E$5:$E$65536,IF(OR(MID(TRIM($A15),2,1)="：",MID(TRIM($A15),2,1)="、"),REPLACEB(TRIM($A15),1,4,""),TRIM($A15)),[28]母公司账项调整!$J$5:$J$65536)</f>
        <v>0</v>
      </c>
      <c r="F15" s="59">
        <f>SUMIF([28]母公司账项调整!$H$5:$H$65536,IF(OR(MID(TRIM($A15),2,1)="：",MID(TRIM($A15),2,1)="、"),REPLACEB(TRIM($A15),1,4,""),TRIM($A15)),[28]母公司账项调整!$J$5:$J$65536)</f>
        <v>0</v>
      </c>
      <c r="G15" s="59">
        <f>SUMIF([28]母公司报表调整!$E$5:$E$65536,IF(OR(MID(TRIM($A15),2,1)="：",MID(TRIM($A15),2,1)="、"),REPLACEB(TRIM($A15),1,4,""),TRIM($A15)),[28]母公司报表调整!$J$5:$J$65536)</f>
        <v>0</v>
      </c>
      <c r="H15" s="59">
        <f>SUMIF([28]母公司报表调整!$H$5:$H$65536,IF(OR(MID(TRIM($A15),2,1)="：",MID(TRIM($A15),2,1)="、"),REPLACEB(TRIM($A15),1,4,""),TRIM($A15)),[28]母公司报表调整!$J$5:$J$65536)</f>
        <v>0</v>
      </c>
      <c r="I15" s="59">
        <f t="shared" si="2"/>
        <v>0</v>
      </c>
      <c r="J15" s="64"/>
      <c r="K15" s="61">
        <f t="shared" si="1"/>
        <v>0</v>
      </c>
    </row>
    <row r="16" ht="15" customHeight="1" spans="1:15">
      <c r="A16" s="62" t="str">
        <f>[28]报表格式!L15</f>
        <v>        财务费用</v>
      </c>
      <c r="B16" s="59">
        <f>[28]母公司PL汇总!B16</f>
        <v>0</v>
      </c>
      <c r="C16" s="59">
        <f>SUMIF([28]母公司汇总抵销!$E$5:$E$65538,IF(OR(MID(TRIM($A16),2,1)="：",MID(TRIM($A16),2,1)="、"),REPLACEB(TRIM($A16),1,4,""),TRIM($A16)),[28]母公司汇总抵销!$J$5:$J$65538)</f>
        <v>0</v>
      </c>
      <c r="D16" s="59">
        <f>SUMIF([28]母公司汇总抵销!$H$5:$H$65538,IF(OR(MID(TRIM($A16),2,1)="：",MID(TRIM($A16),2,1)="、"),REPLACEB(TRIM($A16),1,4,""),TRIM($A16)),[28]母公司汇总抵销!$J$5:$J$65538)</f>
        <v>0</v>
      </c>
      <c r="E16" s="60">
        <f>SUMIF([28]母公司账项调整!$E$5:$E$65536,IF(OR(MID(TRIM($A16),2,1)="：",MID(TRIM($A16),2,1)="、"),REPLACEB(TRIM($A16),1,4,""),TRIM($A16)),[28]母公司账项调整!$J$5:$J$65536)</f>
        <v>0</v>
      </c>
      <c r="F16" s="59">
        <f>SUMIF([28]母公司账项调整!$H$5:$H$65536,IF(OR(MID(TRIM($A16),2,1)="：",MID(TRIM($A16),2,1)="、"),REPLACEB(TRIM($A16),1,4,""),TRIM($A16)),[28]母公司账项调整!$J$5:$J$65536)</f>
        <v>0</v>
      </c>
      <c r="G16" s="59">
        <f>SUMIF([28]母公司报表调整!$E$5:$E$65536,IF(OR(MID(TRIM($A16),2,1)="：",MID(TRIM($A16),2,1)="、"),REPLACEB(TRIM($A16),1,4,""),TRIM($A16)),[28]母公司报表调整!$J$5:$J$65536)</f>
        <v>0</v>
      </c>
      <c r="H16" s="59">
        <f>SUMIF([28]母公司报表调整!$H$5:$H$65536,IF(OR(MID(TRIM($A16),2,1)="：",MID(TRIM($A16),2,1)="、"),REPLACEB(TRIM($A16),1,4,""),TRIM($A16)),[28]母公司报表调整!$J$5:$J$65536)</f>
        <v>0</v>
      </c>
      <c r="I16" s="59">
        <f t="shared" si="2"/>
        <v>0</v>
      </c>
      <c r="J16" s="64"/>
      <c r="K16" s="61">
        <f t="shared" si="1"/>
        <v>0</v>
      </c>
    </row>
    <row r="17" ht="15" customHeight="1" spans="1:14">
      <c r="A17" s="62" t="str">
        <f>[28]报表格式!L16</f>
        <v>        其中：利息费用</v>
      </c>
      <c r="B17" s="59">
        <f>[28]母公司PL汇总!B17</f>
        <v>0</v>
      </c>
      <c r="C17" s="59">
        <f>SUMIF([28]母公司汇总抵销!$F$5:$F$65538,IF(OR(MID(TRIM($A17),3,1)="：",MID(TRIM($A17),2,1)="、"),REPLACEB(TRIM($A17),1,6,""),TRIM($A17)),[28]母公司汇总抵销!$J$5:$J$65538)</f>
        <v>0</v>
      </c>
      <c r="D17" s="59">
        <f>SUMIF([28]母公司汇总抵销!$I$5:$I$65538,IF(OR(MID(TRIM($A17),3,1)="：",MID(TRIM($A17),2,1)="、"),REPLACEB(TRIM($A17),1,6,""),TRIM($A17)),[28]母公司汇总抵销!$J$5:$J$65538)</f>
        <v>0</v>
      </c>
      <c r="E17" s="60">
        <f>SUMIF([28]母公司账项调整!$F$5:$F$65536,IF(OR(MID(TRIM($A17),3,1)="：",MID(TRIM($A17),2,1)="、"),REPLACEB(TRIM($A17),1,6,""),TRIM($A17)),[28]母公司账项调整!$J$5:$J$65536)</f>
        <v>0</v>
      </c>
      <c r="F17" s="59">
        <f>SUMIF([28]母公司账项调整!$I$5:$I$65536,IF(OR(MID(TRIM($A17),3,1)="：",MID(TRIM($A17),2,1)="、"),REPLACEB(TRIM($A17),1,6,""),TRIM($A17)),[28]母公司账项调整!$J$5:$J$65536)</f>
        <v>0</v>
      </c>
      <c r="G17" s="59">
        <f>SUMIF([28]母公司报表调整!$F$5:$F$65536,IF(OR(MID(TRIM($A17),3,1)="：",MID(TRIM($A17),2,1)="、"),REPLACEB(TRIM($A17),1,6,""),TRIM($A17)),[28]母公司报表调整!$J$5:$J$65536)</f>
        <v>0</v>
      </c>
      <c r="H17" s="59">
        <f>SUMIF([28]母公司报表调整!$I$5:$I$65536,IF(OR(MID(TRIM($A17),3,1)="：",MID(TRIM($A17),2,1)="、"),REPLACEB(TRIM($A17),1,6,""),TRIM($A17)),[28]母公司报表调整!$J$5:$J$65536)</f>
        <v>0</v>
      </c>
      <c r="I17" s="59">
        <f t="shared" si="2"/>
        <v>0</v>
      </c>
      <c r="J17" s="64"/>
      <c r="K17" s="61">
        <f t="shared" si="1"/>
        <v>0</v>
      </c>
    </row>
    <row r="18" ht="15" customHeight="1" spans="1:14">
      <c r="A18" s="62" t="str">
        <f>[28]报表格式!L17</f>
        <v>              利息收入</v>
      </c>
      <c r="B18" s="59">
        <f>[28]母公司PL汇总!B18</f>
        <v>0</v>
      </c>
      <c r="C18" s="59">
        <f>SUMIF([28]母公司汇总抵销!$F$5:$F$65538,IF(OR(MID(TRIM($A18),3,1)="：",MID(TRIM($A18),2,1)="、"),REPLACEB(TRIM($A18),1,6,""),TRIM($A18)),[28]母公司汇总抵销!$J$5:$J$65538)</f>
        <v>0</v>
      </c>
      <c r="D18" s="59">
        <f>SUMIF([28]母公司汇总抵销!$I$5:$I$65538,IF(OR(MID(TRIM($A18),3,1)="：",MID(TRIM($A18),2,1)="、"),REPLACEB(TRIM($A18),1,6,""),TRIM($A18)),[28]母公司汇总抵销!$J$5:$J$65538)</f>
        <v>0</v>
      </c>
      <c r="E18" s="60">
        <f>SUMIF([28]母公司账项调整!$F$5:$F$65536,IF(OR(MID(TRIM($A18),3,1)="：",MID(TRIM($A18),2,1)="、"),REPLACEB(TRIM($A18),1,6,""),TRIM($A18)),[28]母公司账项调整!$J$5:$J$65536)</f>
        <v>0</v>
      </c>
      <c r="F18" s="59">
        <f>SUMIF([28]母公司账项调整!$I$5:$I$65536,IF(OR(MID(TRIM($A18),3,1)="：",MID(TRIM($A18),2,1)="、"),REPLACEB(TRIM($A18),1,6,""),TRIM($A18)),[28]母公司账项调整!$J$5:$J$65536)</f>
        <v>0</v>
      </c>
      <c r="G18" s="59">
        <f>SUMIF([28]母公司报表调整!$F$5:$F$65536,IF(OR(MID(TRIM($A18),3,1)="：",MID(TRIM($A18),2,1)="、"),REPLACEB(TRIM($A18),1,6,""),TRIM($A18)),[28]母公司报表调整!$J$5:$J$65536)</f>
        <v>0</v>
      </c>
      <c r="H18" s="59">
        <f>SUMIF([28]母公司报表调整!$I$5:$I$65536,IF(OR(MID(TRIM($A18),3,1)="：",MID(TRIM($A18),2,1)="、"),REPLACEB(TRIM($A18),1,6,""),TRIM($A18)),[28]母公司报表调整!$J$5:$J$65536)</f>
        <v>0</v>
      </c>
      <c r="I18" s="59">
        <f t="shared" si="2"/>
        <v>0</v>
      </c>
      <c r="J18" s="63"/>
      <c r="K18" s="61">
        <f t="shared" si="1"/>
        <v>0</v>
      </c>
    </row>
    <row r="19" ht="15" customHeight="1" spans="1:14">
      <c r="A19" s="62" t="str">
        <f>[28]报表格式!L18</f>
        <v>    加：其他收益</v>
      </c>
      <c r="B19" s="59">
        <f>[28]母公司PL汇总!B19</f>
        <v>0</v>
      </c>
      <c r="C19" s="59">
        <f>SUMIF([28]母公司汇总抵销!$E$5:$E$65538,IF(OR(MID(TRIM($A19),2,1)="：",MID(TRIM($A19),2,1)="、"),REPLACEB(TRIM($A19),1,4,""),TRIM($A19)),[28]母公司汇总抵销!$J$5:$J$65538)</f>
        <v>0</v>
      </c>
      <c r="D19" s="59">
        <f>SUMIF([28]母公司汇总抵销!$H$5:$H$65538,IF(OR(MID(TRIM($A19),2,1)="：",MID(TRIM($A19),2,1)="、"),REPLACEB(TRIM($A19),1,4,""),TRIM($A19)),[28]母公司汇总抵销!$J$5:$J$65538)</f>
        <v>0</v>
      </c>
      <c r="E19" s="60">
        <f>SUMIF([28]母公司账项调整!$E$5:$E$65536,IF(OR(MID(TRIM($A19),2,1)="：",MID(TRIM($A19),2,1)="、"),REPLACEB(TRIM($A19),1,4,""),TRIM($A19)),[28]母公司账项调整!$J$5:$J$65536)</f>
        <v>0</v>
      </c>
      <c r="F19" s="59">
        <f>SUMIF([28]母公司账项调整!$H$5:$H$65536,IF(OR(MID(TRIM($A19),2,1)="：",MID(TRIM($A19),2,1)="、"),REPLACEB(TRIM($A19),1,4,""),TRIM($A19)),[28]母公司账项调整!$J$5:$J$65536)</f>
        <v>0</v>
      </c>
      <c r="G19" s="59">
        <f>SUMIF([28]母公司报表调整!$E$5:$E$65536,IF(OR(MID(TRIM($A19),2,1)="：",MID(TRIM($A19),2,1)="、"),REPLACEB(TRIM($A19),1,4,""),TRIM($A19)),[28]母公司报表调整!$J$5:$J$65536)</f>
        <v>0</v>
      </c>
      <c r="H19" s="59">
        <f>SUMIF([28]母公司报表调整!$H$5:$H$65536,IF(OR(MID(TRIM($A19),2,1)="：",MID(TRIM($A19),2,1)="、"),REPLACEB(TRIM($A19),1,4,""),TRIM($A19)),[28]母公司报表调整!$J$5:$J$65536)</f>
        <v>0</v>
      </c>
      <c r="I19" s="59">
        <f t="shared" ref="I19:I27" si="3">B19-E19-G19+F19+H19-C19+D19</f>
        <v>0</v>
      </c>
      <c r="J19" s="64"/>
      <c r="K19" s="61">
        <f t="shared" si="1"/>
        <v>0</v>
      </c>
    </row>
    <row r="20" ht="15" customHeight="1" spans="1:14">
      <c r="A20" s="62" t="str">
        <f>[28]报表格式!L19</f>
        <v>        投资收益（损失以“－”号填列）</v>
      </c>
      <c r="B20" s="59">
        <f>[28]母公司PL汇总!B20</f>
        <v>0</v>
      </c>
      <c r="C20" s="59">
        <f>SUMIF([28]母公司汇总抵销!$E$5:$E$65538,LEFT(IF(OR(MID(TRIM($A20),2,1)="：",MID(TRIM($A20),2,1)="、"),REPLACEB(TRIM($A20),1,4,""),TRIM($A20)),4),[28]母公司汇总抵销!$J$5:$J$65538)</f>
        <v>0</v>
      </c>
      <c r="D20" s="59">
        <f>SUMIF([28]母公司汇总抵销!$H$5:$H$65538,LEFT(IF(OR(MID(TRIM($A20),2,1)="：",MID(TRIM($A20),2,1)="、"),REPLACEB(TRIM($A20),1,4,""),TRIM($A20)),4),[28]母公司汇总抵销!$J$5:$J$65538)</f>
        <v>0</v>
      </c>
      <c r="E20" s="65">
        <f>SUMIF([28]母公司账项调整!$E$5:$E$65536,LEFT(IF(OR(MID(TRIM($A20),2,1)="：",MID(TRIM($A20),2,1)="、"),REPLACEB(TRIM($A20),1,4,""),TRIM($A20)),4),[28]母公司账项调整!$J$5:$J$65536)</f>
        <v>0</v>
      </c>
      <c r="F20" s="64">
        <f>SUMIF([28]母公司账项调整!$H$5:$H$65536,LEFT(IF(OR(MID(TRIM($A20),2,1)="：",MID(TRIM($A20),2,1)="、"),REPLACEB(TRIM($A20),1,4,""),TRIM($A20)),4),[28]母公司账项调整!$J$5:$J$65536)</f>
        <v>0</v>
      </c>
      <c r="G20" s="64">
        <f>SUMIF([28]母公司报表调整!$E$5:$E$65536,LEFT(IF(OR(MID(TRIM($A20),2,1)="：",MID(TRIM($A20),2,1)="、"),REPLACEB(TRIM($A20),1,4,""),TRIM($A20)),4),[28]母公司报表调整!$J$5:$J$65536)</f>
        <v>0</v>
      </c>
      <c r="H20" s="64">
        <f>SUMIF([28]母公司报表调整!$H$5:$H$65536,LEFT(IF(OR(MID(TRIM($A20),2,1)="：",MID(TRIM($A20),2,1)="、"),REPLACEB(TRIM($A20),1,4,""),TRIM($A20)),4),[28]母公司报表调整!$J$5:$J$65536)</f>
        <v>0</v>
      </c>
      <c r="I20" s="59">
        <f t="shared" si="3"/>
        <v>0</v>
      </c>
      <c r="J20" s="64"/>
      <c r="K20" s="61">
        <f t="shared" si="1"/>
        <v>0</v>
      </c>
    </row>
    <row r="21" ht="15" customHeight="1" spans="1:14">
      <c r="A21" s="62" t="str">
        <f>[28]报表格式!L20</f>
        <v>        其中：对联营企业和合营企业的投资收益</v>
      </c>
      <c r="B21" s="59">
        <f>[28]母公司PL汇总!B21</f>
        <v>0</v>
      </c>
      <c r="C21" s="59">
        <f>SUMIF([28]母公司汇总抵销!$F$5:$F$65538,IF(OR(MID(TRIM($A21),3,1)="：",MID(TRIM($A21),2,1)="、"),REPLACEB(TRIM($A21),1,6,""),TRIM($A21)),[28]母公司汇总抵销!$J$5:$J$65538)</f>
        <v>0</v>
      </c>
      <c r="D21" s="59">
        <f>SUMIF([28]母公司汇总抵销!$I$5:$I$65538,IF(OR(MID(TRIM($A21),3,1)="：",MID(TRIM($A21),2,1)="、"),REPLACEB(TRIM($A21),1,6,""),TRIM($A21)),[28]母公司汇总抵销!$J$5:$J$65538)</f>
        <v>0</v>
      </c>
      <c r="E21" s="60">
        <f>SUMIF([28]母公司账项调整!$F$5:$F$65536,IF(OR(MID(TRIM($A21),3,1)="：",MID(TRIM($A21),2,1)="、"),REPLACEB(TRIM($A21),1,6,""),TRIM($A21)),[28]母公司账项调整!$J$5:$J$65536)</f>
        <v>0</v>
      </c>
      <c r="F21" s="59">
        <f>SUMIF([28]母公司账项调整!$I$5:$I$65536,IF(OR(MID(TRIM($A21),3,1)="：",MID(TRIM($A21),2,1)="、"),REPLACEB(TRIM($A21),1,6,""),TRIM($A21)),[28]母公司账项调整!$J$5:$J$65536)</f>
        <v>0</v>
      </c>
      <c r="G21" s="59">
        <f>SUMIF([28]母公司报表调整!$F$5:$F$65536,IF(OR(MID(TRIM($A21),3,1)="：",MID(TRIM($A21),2,1)="、"),REPLACEB(TRIM($A21),1,6,""),TRIM($A21)),[28]母公司报表调整!$J$5:$J$65536)</f>
        <v>0</v>
      </c>
      <c r="H21" s="59">
        <f>SUMIF([28]母公司报表调整!$I$5:$I$65536,IF(OR(MID(TRIM($A21),3,1)="：",MID(TRIM($A21),2,1)="、"),REPLACEB(TRIM($A21),1,6,""),TRIM($A21)),[28]母公司报表调整!$J$5:$J$65536)</f>
        <v>0</v>
      </c>
      <c r="I21" s="59">
        <f t="shared" si="3"/>
        <v>0</v>
      </c>
      <c r="J21" s="64"/>
      <c r="K21" s="61">
        <f t="shared" si="1"/>
        <v>0</v>
      </c>
    </row>
    <row r="22" ht="15" customHeight="1" spans="1:14">
      <c r="A22" s="62" t="str">
        <f>[28]报表格式!L21</f>
        <v>              以摊余成本计量的金融资产终止确认收益（损失以“-”号填列）</v>
      </c>
      <c r="B22" s="59">
        <f>[28]母公司PL汇总!B22</f>
        <v>0</v>
      </c>
      <c r="C22" s="59">
        <f>SUMIF([28]母公司汇总抵销!$F$5:$F$65538,LEFT(IF(OR(MID(TRIM($A22),3,1)="：",MID(TRIM($A22),2,1)="、"),REPLACEB(TRIM($A22),1,6,""),TRIM($A22)),18),[28]母公司汇总抵销!$J$5:$J$65538)</f>
        <v>0</v>
      </c>
      <c r="D22" s="59">
        <f>SUMIF([28]母公司汇总抵销!$I$5:$I$65538,LEFT(IF(OR(MID(TRIM($A22),3,1)="：",MID(TRIM($A22),2,1)="、"),REPLACEB(TRIM($A22),1,6,""),TRIM($A22)),18),[28]母公司汇总抵销!$J$5:$J$65538)</f>
        <v>0</v>
      </c>
      <c r="E22" s="60">
        <f>SUMIF([28]母公司账项调整!$F$5:$F$65536,LEFT(IF(OR(MID(TRIM($A22),3,1)="：",MID(TRIM($A22),2,1)="、"),REPLACEB(TRIM($A22),1,6,""),TRIM($A22)),18),[28]母公司账项调整!$J$5:$J$65536)</f>
        <v>0</v>
      </c>
      <c r="F22" s="59">
        <f>SUMIF([28]母公司账项调整!$I$5:$I$65536,LEFT(IF(OR(MID(TRIM($A22),3,1)="：",MID(TRIM($A22),2,1)="、"),REPLACEB(TRIM($A22),1,6,""),TRIM($A22)),18),[28]母公司账项调整!$J$5:$J$65536)</f>
        <v>0</v>
      </c>
      <c r="G22" s="59">
        <f>SUMIF([28]母公司报表调整!$F$5:$F$65536,LEFT(IF(OR(MID(TRIM($A22),3,1)="：",MID(TRIM($A22),2,1)="、"),REPLACEB(TRIM($A22),1,6,""),TRIM($A22)),18),[28]母公司报表调整!$J$5:$J$65536)</f>
        <v>0</v>
      </c>
      <c r="H22" s="59">
        <f>SUMIF([28]母公司报表调整!$I$5:$I$65536,LEFT(IF(OR(MID(TRIM($A22),3,1)="：",MID(TRIM($A22),2,1)="、"),REPLACEB(TRIM($A22),1,6,""),TRIM($A22)),18),[28]母公司报表调整!$J$5:$J$65536)</f>
        <v>0</v>
      </c>
      <c r="I22" s="59">
        <f t="shared" si="3"/>
        <v>0</v>
      </c>
      <c r="J22" s="64"/>
      <c r="K22" s="61">
        <f t="shared" si="1"/>
        <v>0</v>
      </c>
    </row>
    <row r="23" ht="15" customHeight="1" spans="1:14">
      <c r="A23" s="62" t="str">
        <f>[28]报表格式!L22</f>
        <v>        净敞口套期收益（损失以“-”号填列）</v>
      </c>
      <c r="B23" s="59">
        <f>[28]母公司PL汇总!B23</f>
        <v>0</v>
      </c>
      <c r="C23" s="59">
        <f>SUMIF([28]母公司汇总抵销!$E$5:$E$65538,LEFT(IF(OR(MID(TRIM($A23),2,1)="：",MID(TRIM($A23),2,1)="、"),REPLACEB(TRIM($A23),1,4,""),TRIM($A23)),7),[28]母公司汇总抵销!$J$5:$J$65538)</f>
        <v>0</v>
      </c>
      <c r="D23" s="59">
        <f>SUMIF([28]母公司汇总抵销!$H$5:$H$65538,LEFT(IF(OR(MID(TRIM($A23),2,1)="：",MID(TRIM($A23),2,1)="、"),REPLACEB(TRIM($A23),1,4,""),TRIM($A23)),7),[28]母公司汇总抵销!$J$5:$J$65538)</f>
        <v>0</v>
      </c>
      <c r="E23" s="65">
        <f>SUMIF([28]母公司账项调整!$E$5:$E$65536,LEFT(IF(OR(MID(TRIM($A23),2,1)="：",MID(TRIM($A23),2,1)="、"),REPLACEB(TRIM($A23),1,4,""),TRIM($A23)),7),[28]母公司账项调整!$J$5:$J$65536)</f>
        <v>0</v>
      </c>
      <c r="F23" s="64">
        <f>SUMIF([28]母公司账项调整!$H$5:$H$65536,LEFT(IF(OR(MID(TRIM($A23),2,1)="：",MID(TRIM($A23),2,1)="、"),REPLACEB(TRIM($A23),1,4,""),TRIM($A23)),7),[28]母公司账项调整!$J$5:$J$65536)</f>
        <v>0</v>
      </c>
      <c r="G23" s="64">
        <f>SUMIF([28]母公司报表调整!$E$5:$E$65536,LEFT(IF(OR(MID(TRIM($A23),2,1)="：",MID(TRIM($A23),2,1)="、"),REPLACEB(TRIM($A23),1,4,""),TRIM($A23)),7),[28]母公司报表调整!$J$5:$J$65536)</f>
        <v>0</v>
      </c>
      <c r="H23" s="64">
        <f>SUMIF([28]母公司报表调整!$H$5:$H$65536,LEFT(IF(OR(MID(TRIM($A23),2,1)="：",MID(TRIM($A23),2,1)="、"),REPLACEB(TRIM($A23),1,4,""),TRIM($A23)),7),[28]母公司报表调整!$J$5:$J$65536)</f>
        <v>0</v>
      </c>
      <c r="I23" s="59">
        <f t="shared" si="3"/>
        <v>0</v>
      </c>
      <c r="J23" s="64"/>
      <c r="K23" s="61">
        <f t="shared" si="1"/>
        <v>0</v>
      </c>
    </row>
    <row r="24" ht="15" customHeight="1" spans="1:14">
      <c r="A24" s="62" t="str">
        <f>[28]报表格式!L23</f>
        <v>        公允价值变动收益（损失以“－”号填列）</v>
      </c>
      <c r="B24" s="59">
        <f>[28]母公司PL汇总!B24</f>
        <v>0</v>
      </c>
      <c r="C24" s="59">
        <f>SUMIF([28]母公司汇总抵销!$E$5:$E$65538,LEFT(IF(OR(MID(TRIM($A24),2,1)="：",MID(TRIM($A24),2,1)="、"),REPLACEB(TRIM($A24),1,4,""),TRIM($A24)),8),[28]母公司汇总抵销!$J$5:$J$65538)</f>
        <v>0</v>
      </c>
      <c r="D24" s="59">
        <f>SUMIF([28]母公司汇总抵销!$H$5:$H$65538,LEFT(IF(OR(MID(TRIM($A24),2,1)="：",MID(TRIM($A24),2,1)="、"),REPLACEB(TRIM($A24),1,4,""),TRIM($A24)),8),[28]母公司汇总抵销!$J$5:$J$65538)</f>
        <v>0</v>
      </c>
      <c r="E24" s="65">
        <f>SUMIF([28]母公司账项调整!$E$5:$E$65536,LEFT(IF(OR(MID(TRIM($A24),2,1)="：",MID(TRIM($A24),2,1)="、"),REPLACEB(TRIM($A24),1,4,""),TRIM($A24)),8),[28]母公司账项调整!$J$5:$J$65536)</f>
        <v>0</v>
      </c>
      <c r="F24" s="64">
        <f>SUMIF([28]母公司账项调整!$H$5:$H$65536,LEFT(IF(OR(MID(TRIM($A24),2,1)="：",MID(TRIM($A24),2,1)="、"),REPLACEB(TRIM($A24),1,4,""),TRIM($A24)),8),[28]母公司账项调整!$J$5:$J$65536)</f>
        <v>0</v>
      </c>
      <c r="G24" s="64">
        <f>SUMIF([28]母公司报表调整!$E$5:$E$65536,LEFT(IF(OR(MID(TRIM($A24),2,1)="：",MID(TRIM($A24),2,1)="、"),REPLACEB(TRIM($A24),1,4,""),TRIM($A24)),8),[28]母公司报表调整!$J$5:$J$65536)</f>
        <v>0</v>
      </c>
      <c r="H24" s="64">
        <f>SUMIF([28]母公司报表调整!$H$5:$H$65536,LEFT(IF(OR(MID(TRIM($A24),2,1)="：",MID(TRIM($A24),2,1)="、"),REPLACEB(TRIM($A24),1,4,""),TRIM($A24)),8),[28]母公司报表调整!$J$5:$J$65536)</f>
        <v>0</v>
      </c>
      <c r="I24" s="59">
        <f t="shared" si="3"/>
        <v>0</v>
      </c>
      <c r="J24" s="64"/>
      <c r="K24" s="61">
        <f t="shared" si="1"/>
        <v>0</v>
      </c>
    </row>
    <row r="25" ht="15" customHeight="1" spans="1:14">
      <c r="A25" s="62" t="str">
        <f>[28]报表格式!L24</f>
        <v>         信用减值损失(损失以“-”号填列）</v>
      </c>
      <c r="B25" s="59">
        <f>[28]母公司PL汇总!B25</f>
        <v>0</v>
      </c>
      <c r="C25" s="59">
        <f>SUMIF([28]母公司汇总抵销!$E$5:$E$65538,LEFT(IF(OR(MID(TRIM($A25),2,1)="：",MID(TRIM($A25),2,1)="、"),REPLACEB(TRIM($A25),1,4,""),TRIM($A25)),6),[28]母公司汇总抵销!$J$5:$J$65538)</f>
        <v>0</v>
      </c>
      <c r="D25" s="59">
        <f>SUMIF([28]母公司汇总抵销!$H$5:$H$65538,LEFT(IF(OR(MID(TRIM($A25),2,1)="：",MID(TRIM($A25),2,1)="、"),REPLACEB(TRIM($A25),1,4,""),TRIM($A25)),6),[28]母公司汇总抵销!$J$5:$J$65538)</f>
        <v>0</v>
      </c>
      <c r="E25" s="65">
        <f>SUMIF([28]母公司账项调整!$E$5:$E$65536,LEFT(IF(OR(MID(TRIM($A25),2,1)="：",MID(TRIM($A25),2,1)="、"),REPLACEB(TRIM($A25),1,4,""),TRIM($A25)),6),[28]母公司账项调整!$J$5:$J$65536)</f>
        <v>0</v>
      </c>
      <c r="F25" s="64">
        <f>SUMIF([28]母公司账项调整!$H$5:$H$65536,LEFT(IF(OR(MID(TRIM($A25),2,1)="：",MID(TRIM($A25),2,1)="、"),REPLACEB(TRIM($A25),1,4,""),TRIM($A25)),6),[28]母公司账项调整!$J$5:$J$65536)</f>
        <v>0</v>
      </c>
      <c r="G25" s="64">
        <f>SUMIF([28]母公司报表调整!$E$5:$E$65536,LEFT(IF(OR(MID(TRIM($A25),2,1)="：",MID(TRIM($A25),2,1)="、"),REPLACEB(TRIM($A25),1,4,""),TRIM($A25)),6),[28]母公司报表调整!$J$5:$J$65536)</f>
        <v>0</v>
      </c>
      <c r="H25" s="64">
        <f>SUMIF([28]母公司报表调整!$H$5:$H$65536,LEFT(IF(OR(MID(TRIM($A25),2,1)="：",MID(TRIM($A25),2,1)="、"),REPLACEB(TRIM($A25),1,4,""),TRIM($A25)),6),[28]母公司报表调整!$J$5:$J$65536)</f>
        <v>0</v>
      </c>
      <c r="I25" s="59">
        <f t="shared" si="3"/>
        <v>0</v>
      </c>
      <c r="J25" s="64"/>
      <c r="K25" s="61">
        <f t="shared" si="1"/>
        <v>0</v>
      </c>
    </row>
    <row r="26" ht="15" customHeight="1" spans="1:14">
      <c r="A26" s="62" t="str">
        <f>[28]报表格式!L25</f>
        <v>         资产减值损失(损失以“-”号填列）</v>
      </c>
      <c r="B26" s="59">
        <f>[28]母公司PL汇总!B26</f>
        <v>0</v>
      </c>
      <c r="C26" s="59">
        <f>SUMIF([28]母公司汇总抵销!$E$5:$E$65538,LEFT(IF(OR(MID(TRIM($A26),2,1)="：",MID(TRIM($A26),2,1)="、"),REPLACEB(TRIM($A26),1,4,""),TRIM($A26)),6),[28]母公司汇总抵销!$J$5:$J$65538)</f>
        <v>0</v>
      </c>
      <c r="D26" s="59">
        <f>SUMIF([28]母公司汇总抵销!$H$5:$H$65538,LEFT(IF(OR(MID(TRIM($A26),2,1)="：",MID(TRIM($A26),2,1)="、"),REPLACEB(TRIM($A26),1,4,""),TRIM($A26)),6),[28]母公司汇总抵销!$J$5:$J$65538)</f>
        <v>0</v>
      </c>
      <c r="E26" s="65">
        <f>SUMIF([28]母公司账项调整!$E$5:$E$65536,LEFT(IF(OR(MID(TRIM($A26),2,1)="：",MID(TRIM($A26),2,1)="、"),REPLACEB(TRIM($A26),1,4,""),TRIM($A26)),6),[28]母公司账项调整!$J$5:$J$65536)</f>
        <v>0</v>
      </c>
      <c r="F26" s="64">
        <f>SUMIF([28]母公司账项调整!$H$5:$H$65536,LEFT(IF(OR(MID(TRIM($A26),2,1)="：",MID(TRIM($A26),2,1)="、"),REPLACEB(TRIM($A26),1,4,""),TRIM($A26)),6),[28]母公司账项调整!$J$5:$J$65536)</f>
        <v>0</v>
      </c>
      <c r="G26" s="64">
        <f>SUMIF([28]母公司报表调整!$E$5:$E$65536,LEFT(IF(OR(MID(TRIM($A26),2,1)="：",MID(TRIM($A26),2,1)="、"),REPLACEB(TRIM($A26),1,4,""),TRIM($A26)),6),[28]母公司报表调整!$J$5:$J$65536)</f>
        <v>0</v>
      </c>
      <c r="H26" s="64">
        <f>SUMIF([28]母公司报表调整!$H$5:$H$65536,LEFT(IF(OR(MID(TRIM($A26),2,1)="：",MID(TRIM($A26),2,1)="、"),REPLACEB(TRIM($A26),1,4,""),TRIM($A26)),6),[28]母公司报表调整!$J$5:$J$65536)</f>
        <v>0</v>
      </c>
      <c r="I26" s="59">
        <f t="shared" si="3"/>
        <v>0</v>
      </c>
      <c r="J26" s="64"/>
      <c r="K26" s="61">
        <f t="shared" si="1"/>
        <v>0</v>
      </c>
    </row>
    <row r="27" ht="15" customHeight="1" spans="1:14">
      <c r="A27" s="62" t="str">
        <f>[28]报表格式!L26</f>
        <v>        资产处置收益(损失以“-”号填列）</v>
      </c>
      <c r="B27" s="59">
        <f>[28]母公司PL汇总!B27</f>
        <v>0</v>
      </c>
      <c r="C27" s="59">
        <f>SUMIF([28]母公司汇总抵销!$E$5:$E$65538,LEFT(IF(OR(MID(TRIM($A27),2,1)="：",MID(TRIM($A27),2,1)="、"),REPLACEB(TRIM($A27),1,4,""),TRIM($A27)),6),[28]母公司汇总抵销!$J$5:$J$65538)</f>
        <v>0</v>
      </c>
      <c r="D27" s="59">
        <f>SUMIF([28]母公司汇总抵销!$H$5:$H$65538,LEFT(IF(OR(MID(TRIM($A27),2,1)="：",MID(TRIM($A27),2,1)="、"),REPLACEB(TRIM($A27),1,4,""),TRIM($A27)),6),[28]母公司汇总抵销!$J$5:$J$65538)</f>
        <v>0</v>
      </c>
      <c r="E27" s="65">
        <f>SUMIF([28]母公司账项调整!$E$5:$E$65536,LEFT(IF(OR(MID(TRIM($A27),2,1)="：",MID(TRIM($A27),2,1)="、"),REPLACEB(TRIM($A27),1,4,""),TRIM($A27)),6),[28]母公司账项调整!$J$5:$J$65536)</f>
        <v>0</v>
      </c>
      <c r="F27" s="64">
        <f>SUMIF([28]母公司账项调整!$H$5:$H$65536,LEFT(IF(OR(MID(TRIM($A27),2,1)="：",MID(TRIM($A27),2,1)="、"),REPLACEB(TRIM($A27),1,4,""),TRIM($A27)),6),[28]母公司账项调整!$J$5:$J$65536)</f>
        <v>0</v>
      </c>
      <c r="G27" s="64">
        <f>SUMIF([28]母公司报表调整!$E$5:$E$65536,LEFT(IF(OR(MID(TRIM($A27),2,1)="：",MID(TRIM($A27),2,1)="、"),REPLACEB(TRIM($A27),1,4,""),TRIM($A27)),6),[28]母公司报表调整!$J$5:$J$65536)</f>
        <v>0</v>
      </c>
      <c r="H27" s="64">
        <f>SUMIF([28]母公司报表调整!$H$5:$H$65536,LEFT(IF(OR(MID(TRIM($A27),2,1)="：",MID(TRIM($A27),2,1)="、"),REPLACEB(TRIM($A27),1,4,""),TRIM($A27)),6),[28]母公司报表调整!$J$5:$J$65536)</f>
        <v>0</v>
      </c>
      <c r="I27" s="59">
        <f t="shared" si="3"/>
        <v>0</v>
      </c>
      <c r="J27" s="64"/>
      <c r="K27" s="61">
        <f t="shared" si="1"/>
        <v>0</v>
      </c>
    </row>
    <row r="28" s="2" customFormat="1" ht="15" customHeight="1" spans="1:14">
      <c r="A28" s="58" t="str">
        <f>[28]报表格式!L27</f>
        <v>二、营业利润（亏损以“－”号填列）</v>
      </c>
      <c r="B28" s="66">
        <f t="shared" ref="B28:K28" si="4">SUM(B6)-SUM(B9,B12:B16)+SUM(B19:B20)+SUM(B23:B27)</f>
        <v>0</v>
      </c>
      <c r="C28" s="66">
        <f t="shared" si="4"/>
        <v>0</v>
      </c>
      <c r="D28" s="66">
        <f t="shared" si="4"/>
        <v>0</v>
      </c>
      <c r="E28" s="66">
        <f t="shared" si="4"/>
        <v>0</v>
      </c>
      <c r="F28" s="66">
        <f t="shared" si="4"/>
        <v>0</v>
      </c>
      <c r="G28" s="66">
        <f t="shared" si="4"/>
        <v>0</v>
      </c>
      <c r="H28" s="66">
        <f t="shared" si="4"/>
        <v>0</v>
      </c>
      <c r="I28" s="66">
        <f t="shared" si="4"/>
        <v>0</v>
      </c>
      <c r="J28" s="66">
        <f t="shared" si="4"/>
        <v>0</v>
      </c>
      <c r="K28" s="66">
        <f t="shared" si="4"/>
        <v>0</v>
      </c>
    </row>
    <row r="29" ht="15" customHeight="1" spans="1:14">
      <c r="A29" s="62" t="str">
        <f>[28]报表格式!L28</f>
        <v>    加：营业外收入</v>
      </c>
      <c r="B29" s="59">
        <f>[28]母公司PL汇总!B29</f>
        <v>0</v>
      </c>
      <c r="C29" s="59">
        <f>SUMIF([28]母公司汇总抵销!$E$5:$E$65538,IF(OR(MID(TRIM($A29),2,1)="：",MID(TRIM($A29),2,1)="、"),REPLACEB(TRIM($A29),1,4,""),TRIM($A29)),[28]母公司汇总抵销!$J$5:$J$65538)</f>
        <v>0</v>
      </c>
      <c r="D29" s="59">
        <f>SUMIF([28]母公司汇总抵销!$H$5:$H$65538,IF(OR(MID(TRIM($A29),2,1)="：",MID(TRIM($A29),2,1)="、"),REPLACEB(TRIM($A29),1,4,""),TRIM($A29)),[28]母公司汇总抵销!$J$5:$J$65538)</f>
        <v>0</v>
      </c>
      <c r="E29" s="60">
        <f>SUMIF([28]母公司账项调整!$E$5:$E$65536,IF(OR(MID(TRIM($A29),2,1)="：",MID(TRIM($A29),2,1)="、"),REPLACEB(TRIM($A29),1,4,""),TRIM($A29)),[28]母公司账项调整!$J$5:$J$65536)</f>
        <v>0</v>
      </c>
      <c r="F29" s="59">
        <f>SUMIF([28]母公司账项调整!$H$5:$H$65536,IF(OR(MID(TRIM($A29),2,1)="：",MID(TRIM($A29),2,1)="、"),REPLACEB(TRIM($A29),1,4,""),TRIM($A29)),[28]母公司账项调整!$J$5:$J$65536)</f>
        <v>0</v>
      </c>
      <c r="G29" s="59">
        <f>SUMIF([28]母公司报表调整!$E$5:$E$65536,IF(OR(MID(TRIM($A29),2,1)="：",MID(TRIM($A29),2,1)="、"),REPLACEB(TRIM($A29),1,4,""),TRIM($A29)),[28]母公司报表调整!$J$5:$J$65536)</f>
        <v>0</v>
      </c>
      <c r="H29" s="59">
        <f>SUMIF([28]母公司报表调整!$H$5:$H$65536,IF(OR(MID(TRIM($A29),2,1)="：",MID(TRIM($A29),2,1)="、"),REPLACEB(TRIM($A29),1,4,""),TRIM($A29)),[28]母公司报表调整!$J$5:$J$65536)</f>
        <v>0</v>
      </c>
      <c r="I29" s="59">
        <f>B29-E29-G29+F29+H29-C29+D29</f>
        <v>0</v>
      </c>
      <c r="J29" s="64"/>
      <c r="K29" s="61">
        <f t="shared" ref="K29:K34" si="5">SUM(I29:J29)</f>
        <v>0</v>
      </c>
      <c r="N29" s="67"/>
    </row>
    <row r="30" ht="15" customHeight="1" spans="1:14">
      <c r="A30" s="62" t="str">
        <f>[28]报表格式!L29</f>
        <v>    减：营业外支出</v>
      </c>
      <c r="B30" s="59">
        <f>[28]母公司PL汇总!B30</f>
        <v>0</v>
      </c>
      <c r="C30" s="59">
        <f>SUMIF([28]母公司汇总抵销!$E$5:$E$65538,IF(OR(MID(TRIM($A30),2,1)="：",MID(TRIM($A30),2,1)="、"),REPLACEB(TRIM($A30),1,4,""),TRIM($A30)),[28]母公司汇总抵销!$J$5:$J$65538)</f>
        <v>0</v>
      </c>
      <c r="D30" s="59">
        <f>SUMIF([28]母公司汇总抵销!$H$5:$H$65538,IF(OR(MID(TRIM($A30),2,1)="：",MID(TRIM($A30),2,1)="、"),REPLACEB(TRIM($A30),1,4,""),TRIM($A30)),[28]母公司汇总抵销!$J$5:$J$65538)</f>
        <v>0</v>
      </c>
      <c r="E30" s="60">
        <f>SUMIF([28]母公司账项调整!$E$5:$E$65536,IF(OR(MID(TRIM($A30),2,1)="：",MID(TRIM($A30),2,1)="、"),REPLACEB(TRIM($A30),1,4,""),TRIM($A30)),[28]母公司账项调整!$J$5:$J$65536)</f>
        <v>0</v>
      </c>
      <c r="F30" s="59">
        <f>SUMIF([28]母公司账项调整!$H$5:$H$65536,IF(OR(MID(TRIM($A30),2,1)="：",MID(TRIM($A30),2,1)="、"),REPLACEB(TRIM($A30),1,4,""),TRIM($A30)),[28]母公司账项调整!$J$5:$J$65536)</f>
        <v>0</v>
      </c>
      <c r="G30" s="59">
        <f>SUMIF([28]母公司报表调整!$E$5:$E$65536,IF(OR(MID(TRIM($A30),2,1)="：",MID(TRIM($A30),2,1)="、"),REPLACEB(TRIM($A30),1,4,""),TRIM($A30)),[28]母公司报表调整!$J$5:$J$65536)</f>
        <v>0</v>
      </c>
      <c r="H30" s="59">
        <f>SUMIF([28]母公司报表调整!$H$5:$H$65536,IF(OR(MID(TRIM($A30),2,1)="：",MID(TRIM($A30),2,1)="、"),REPLACEB(TRIM($A30),1,4,""),TRIM($A30)),[28]母公司报表调整!$J$5:$J$65536)</f>
        <v>0</v>
      </c>
      <c r="I30" s="59">
        <f t="shared" ref="I30:I33" si="6">B30+E30+G30-F30-H30+C30-D30</f>
        <v>0</v>
      </c>
      <c r="J30" s="64"/>
      <c r="K30" s="61">
        <f t="shared" si="5"/>
        <v>0</v>
      </c>
    </row>
    <row r="31" s="2" customFormat="1" ht="15" customHeight="1" spans="1:14">
      <c r="A31" s="58" t="str">
        <f>[28]报表格式!L30</f>
        <v>三、利润总额（亏损总额以“－”号填列）</v>
      </c>
      <c r="B31" s="66">
        <f t="shared" ref="B31:J31" si="7">SUM(B28)+SUM(B29)-SUM(B30)</f>
        <v>0</v>
      </c>
      <c r="C31" s="66">
        <f t="shared" si="7"/>
        <v>0</v>
      </c>
      <c r="D31" s="66">
        <f t="shared" si="7"/>
        <v>0</v>
      </c>
      <c r="E31" s="68">
        <f t="shared" si="7"/>
        <v>0</v>
      </c>
      <c r="F31" s="66">
        <f t="shared" si="7"/>
        <v>0</v>
      </c>
      <c r="G31" s="66">
        <f t="shared" si="7"/>
        <v>0</v>
      </c>
      <c r="H31" s="66">
        <f t="shared" si="7"/>
        <v>0</v>
      </c>
      <c r="I31" s="66">
        <f t="shared" si="7"/>
        <v>0</v>
      </c>
      <c r="J31" s="66">
        <f t="shared" si="7"/>
        <v>0</v>
      </c>
      <c r="K31" s="61">
        <f t="shared" si="5"/>
        <v>0</v>
      </c>
    </row>
    <row r="32" ht="15" customHeight="1" spans="1:14">
      <c r="A32" s="62" t="str">
        <f>[28]报表格式!L31</f>
        <v>    减：所得税费用</v>
      </c>
      <c r="B32" s="59">
        <f>[28]母公司PL汇总!B32</f>
        <v>0</v>
      </c>
      <c r="C32" s="59">
        <f>SUMIF([28]母公司汇总抵销!$E$5:$E$65538,IF(OR(MID(TRIM($A32),2,1)="：",MID(TRIM($A32),2,1)="、"),REPLACEB(TRIM($A32),1,4,""),TRIM($A32)),[28]母公司汇总抵销!$J$5:$J$65538)</f>
        <v>0</v>
      </c>
      <c r="D32" s="59">
        <f>SUMIF([28]母公司汇总抵销!$H$5:$H$65538,IF(OR(MID(TRIM($A32),2,1)="：",MID(TRIM($A32),2,1)="、"),REPLACEB(TRIM($A32),1,4,""),TRIM($A32)),[28]母公司汇总抵销!$J$5:$J$65538)</f>
        <v>0</v>
      </c>
      <c r="E32" s="60">
        <f>SUMIF([28]母公司账项调整!$E$5:$E$65536,IF(OR(MID(TRIM($A32),2,1)="：",MID(TRIM($A32),2,1)="、"),REPLACEB(TRIM($A32),1,4,""),TRIM($A32)),[28]母公司账项调整!$J$5:$J$65536)</f>
        <v>0</v>
      </c>
      <c r="F32" s="59">
        <f>SUMIF([28]母公司账项调整!$H$5:$H$65536,IF(OR(MID(TRIM($A32),2,1)="：",MID(TRIM($A32),2,1)="、"),REPLACEB(TRIM($A32),1,4,""),TRIM($A32)),[28]母公司账项调整!$J$5:$J$65536)</f>
        <v>0</v>
      </c>
      <c r="G32" s="59">
        <f>SUMIF([28]母公司报表调整!$E$5:$E$65536,IF(OR(MID(TRIM($A32),2,1)="：",MID(TRIM($A32),2,1)="、"),REPLACEB(TRIM($A32),1,4,""),TRIM($A32)),[28]母公司报表调整!$J$5:$J$65536)</f>
        <v>0</v>
      </c>
      <c r="H32" s="59">
        <f>SUMIF([28]母公司报表调整!$H$5:$H$65536,IF(OR(MID(TRIM($A32),2,1)="：",MID(TRIM($A32),2,1)="、"),REPLACEB(TRIM($A32),1,4,""),TRIM($A32)),[28]母公司报表调整!$J$5:$J$65536)</f>
        <v>0</v>
      </c>
      <c r="I32" s="59">
        <f t="shared" si="6"/>
        <v>0</v>
      </c>
      <c r="J32" s="64"/>
      <c r="K32" s="61">
        <f t="shared" si="5"/>
        <v>0</v>
      </c>
    </row>
    <row r="33" ht="15" customHeight="1" spans="1:11">
      <c r="A33" s="62">
        <f>[28]报表格式!L32</f>
        <v>0</v>
      </c>
      <c r="B33" s="59">
        <f>[28]母公司PL汇总!B33</f>
        <v>0</v>
      </c>
      <c r="C33" s="59">
        <f>SUMIF([28]母公司汇总抵销!$E$5:$E$65538,IF(OR(MID(TRIM($A33),2,1)="：",MID(TRIM($A33),2,1)="、"),REPLACEB(TRIM($A33),1,4,""),TRIM($A33)),[28]母公司汇总抵销!$J$5:$J$65538)</f>
        <v>0</v>
      </c>
      <c r="D33" s="59">
        <f>SUMIF([28]母公司汇总抵销!$H$5:$H$65538,IF(OR(MID(TRIM($A33),2,1)="：",MID(TRIM($A33),2,1)="、"),REPLACEB(TRIM($A33),1,4,""),TRIM($A33)),[28]母公司汇总抵销!$J$5:$J$65538)</f>
        <v>0</v>
      </c>
      <c r="E33" s="60">
        <f>SUMIF([28]母公司账项调整!$E$5:$E$65536,IF(OR(MID(TRIM($A33),2,1)="：",MID(TRIM($A33),2,1)="、"),REPLACEB(TRIM($A33),1,4,""),TRIM($A33)),[28]母公司账项调整!$J$5:$J$65536)</f>
        <v>0</v>
      </c>
      <c r="F33" s="59">
        <f>SUMIF([28]母公司账项调整!$H$5:$H$65536,IF(OR(MID(TRIM($A33),2,1)="：",MID(TRIM($A33),2,1)="、"),REPLACEB(TRIM($A33),1,4,""),TRIM($A33)),[28]母公司账项调整!$J$5:$J$65536)</f>
        <v>0</v>
      </c>
      <c r="G33" s="59">
        <f>SUMIF([28]母公司报表调整!$E$5:$E$65536,IF(OR(MID(TRIM($A33),2,1)="：",MID(TRIM($A33),2,1)="、"),REPLACEB(TRIM($A33),1,4,""),TRIM($A33)),[28]母公司报表调整!$J$5:$J$65536)</f>
        <v>0</v>
      </c>
      <c r="H33" s="59">
        <f>SUMIF([28]母公司报表调整!$H$5:$H$65536,IF(OR(MID(TRIM($A33),2,1)="：",MID(TRIM($A33),2,1)="、"),REPLACEB(TRIM($A33),1,4,""),TRIM($A33)),[28]母公司报表调整!$J$5:$J$65536)</f>
        <v>0</v>
      </c>
      <c r="I33" s="59">
        <f t="shared" si="6"/>
        <v>0</v>
      </c>
      <c r="J33" s="64"/>
      <c r="K33" s="61">
        <f t="shared" si="5"/>
        <v>0</v>
      </c>
    </row>
    <row r="34" s="2" customFormat="1" ht="15" customHeight="1" spans="1:11">
      <c r="A34" s="58" t="str">
        <f>[28]报表格式!L33</f>
        <v>四、净利润（净亏损以“－”号填列）</v>
      </c>
      <c r="B34" s="66">
        <f t="shared" ref="B34:J34" si="8">B31-B32-B33</f>
        <v>0</v>
      </c>
      <c r="C34" s="66">
        <f t="shared" si="8"/>
        <v>0</v>
      </c>
      <c r="D34" s="66">
        <f t="shared" si="8"/>
        <v>0</v>
      </c>
      <c r="E34" s="68">
        <f t="shared" si="8"/>
        <v>0</v>
      </c>
      <c r="F34" s="66">
        <f t="shared" si="8"/>
        <v>0</v>
      </c>
      <c r="G34" s="66">
        <f t="shared" si="8"/>
        <v>0</v>
      </c>
      <c r="H34" s="66">
        <f t="shared" si="8"/>
        <v>0</v>
      </c>
      <c r="I34" s="66">
        <f t="shared" si="8"/>
        <v>0</v>
      </c>
      <c r="J34" s="66">
        <f t="shared" si="8"/>
        <v>0</v>
      </c>
      <c r="K34" s="61">
        <f t="shared" si="5"/>
        <v>0</v>
      </c>
    </row>
    <row r="35" ht="15" customHeight="1" spans="1:11">
      <c r="A35" s="62" t="str">
        <f>[28]报表格式!L34</f>
        <v> （一）按经营持续性分类</v>
      </c>
      <c r="B35" s="59"/>
      <c r="C35" s="59"/>
      <c r="D35" s="59"/>
      <c r="E35" s="60"/>
      <c r="F35" s="59"/>
      <c r="G35" s="59"/>
      <c r="H35" s="59"/>
      <c r="I35" s="59"/>
      <c r="J35" s="64"/>
      <c r="K35" s="61"/>
    </row>
    <row r="36" ht="15" customHeight="1" spans="1:11">
      <c r="A36" s="62" t="str">
        <f>[28]报表格式!L35</f>
        <v>     其中：持续经营净利润（净亏损以“-”号填列）</v>
      </c>
      <c r="B36" s="59">
        <f>[28]母公司PL汇总!B36</f>
        <v>0</v>
      </c>
      <c r="C36" s="59"/>
      <c r="D36" s="59"/>
      <c r="E36" s="60"/>
      <c r="F36" s="59"/>
      <c r="G36" s="59"/>
      <c r="H36" s="59"/>
      <c r="I36" s="59">
        <f t="shared" ref="I36:I61" si="9">B36-E36-G36+F36+H36-C36+D36</f>
        <v>0</v>
      </c>
      <c r="J36" s="59">
        <f>J33-J34-J35</f>
        <v>0</v>
      </c>
      <c r="K36" s="61">
        <f t="shared" ref="K36:K64" si="10">SUM(I36:J36)</f>
        <v>0</v>
      </c>
    </row>
    <row r="37" ht="15" customHeight="1" spans="1:11">
      <c r="A37" s="62" t="str">
        <f>[28]报表格式!L36</f>
        <v>                 终止经营净利润（净亏损以“-”号填列）</v>
      </c>
      <c r="B37" s="59">
        <f>[28]母公司PL汇总!B37</f>
        <v>0</v>
      </c>
      <c r="C37" s="59"/>
      <c r="D37" s="59"/>
      <c r="E37" s="60"/>
      <c r="F37" s="59"/>
      <c r="G37" s="59"/>
      <c r="H37" s="59"/>
      <c r="I37" s="59">
        <f t="shared" si="9"/>
        <v>0</v>
      </c>
      <c r="J37" s="59">
        <f>J34-J35-J36</f>
        <v>0</v>
      </c>
      <c r="K37" s="61">
        <f t="shared" si="10"/>
        <v>0</v>
      </c>
    </row>
    <row r="38" ht="15" customHeight="1" spans="1:11">
      <c r="A38" s="62" t="str">
        <f>[28]报表格式!L37</f>
        <v> （二）按所有权归属分类</v>
      </c>
      <c r="B38" s="59"/>
      <c r="C38" s="59"/>
      <c r="D38" s="59"/>
      <c r="E38" s="60"/>
      <c r="F38" s="59"/>
      <c r="G38" s="59"/>
      <c r="H38" s="59"/>
      <c r="I38" s="59"/>
      <c r="J38" s="59"/>
      <c r="K38" s="61"/>
    </row>
    <row r="39" ht="15" customHeight="1" spans="1:11">
      <c r="A39" s="62" t="str">
        <f>[28]报表格式!L38</f>
        <v>     其中：归属于母公司股东的净利润（净亏损以“-”号填列）</v>
      </c>
      <c r="B39" s="59">
        <f>[28]母公司PL汇总!B39</f>
        <v>0</v>
      </c>
      <c r="C39" s="59">
        <f t="shared" ref="C39:J39" si="11">C34-C40</f>
        <v>0</v>
      </c>
      <c r="D39" s="59">
        <f t="shared" si="11"/>
        <v>0</v>
      </c>
      <c r="E39" s="60">
        <f t="shared" si="11"/>
        <v>0</v>
      </c>
      <c r="F39" s="59">
        <f t="shared" si="11"/>
        <v>0</v>
      </c>
      <c r="G39" s="59">
        <f t="shared" si="11"/>
        <v>0</v>
      </c>
      <c r="H39" s="59">
        <f t="shared" si="11"/>
        <v>0</v>
      </c>
      <c r="I39" s="59">
        <f t="shared" si="11"/>
        <v>0</v>
      </c>
      <c r="J39" s="59">
        <f t="shared" si="11"/>
        <v>0</v>
      </c>
      <c r="K39" s="61">
        <f t="shared" si="10"/>
        <v>0</v>
      </c>
    </row>
    <row r="40" s="2" customFormat="1" ht="15" customHeight="1" spans="1:11">
      <c r="A40" s="62" t="str">
        <f>[28]报表格式!L39</f>
        <v>                少数股东损益（净亏损以“-”号填列）</v>
      </c>
      <c r="B40" s="59">
        <f>[28]母公司PL汇总!B40</f>
        <v>0</v>
      </c>
      <c r="C40" s="59">
        <f>SUMIF([28]母公司汇总抵销!$E$5:$E$65538,LEFT(IF(OR(MID(TRIM($A40),2,1)="：",MID(TRIM($A40),2,1)="、"),REPLACEB(TRIM($A40),1,4,""),TRIM($A40)),6),[28]母公司汇总抵销!$J$5:$J$65538)</f>
        <v>0</v>
      </c>
      <c r="D40" s="59">
        <f>SUMIF([28]母公司汇总抵销!$H$5:$H$65538,LEFT(IF(OR(MID(TRIM($A40),2,1)="：",MID(TRIM($A40),2,1)="、"),REPLACEB(TRIM($A40),1,4,""),TRIM($A40)),6),[28]母公司汇总抵销!$J$5:$J$65538)</f>
        <v>0</v>
      </c>
      <c r="E40" s="65">
        <f>SUMIF([28]母公司账项调整!$E$5:$E$65536,LEFT(IF(OR(MID(TRIM($A40),2,1)="：",MID(TRIM($A40),2,1)="、"),REPLACEB(TRIM($A40),1,4,""),TRIM($A40)),6),[28]母公司账项调整!$J$5:$J$65536)</f>
        <v>0</v>
      </c>
      <c r="F40" s="64">
        <f>SUMIF([28]母公司账项调整!$H$5:$H$65536,LEFT(IF(OR(MID(TRIM($A40),2,1)="：",MID(TRIM($A40),2,1)="、"),REPLACEB(TRIM($A40),1,4,""),TRIM($A40)),6),[28]母公司账项调整!$J$5:$J$65536)</f>
        <v>0</v>
      </c>
      <c r="G40" s="64">
        <f>SUMIF([28]母公司报表调整!$E$5:$E$65536,LEFT(IF(OR(MID(TRIM($A40),2,1)="：",MID(TRIM($A40),2,1)="、"),REPLACEB(TRIM($A40),1,4,""),TRIM($A40)),6),[28]母公司报表调整!$J$5:$J$65536)</f>
        <v>0</v>
      </c>
      <c r="H40" s="64">
        <f>SUMIF([28]母公司报表调整!$H$5:$H$65536,LEFT(IF(OR(MID(TRIM($A40),2,1)="：",MID(TRIM($A40),2,1)="、"),REPLACEB(TRIM($A40),1,4,""),TRIM($A40)),6),[28]母公司报表调整!$J$5:$J$65536)</f>
        <v>0</v>
      </c>
      <c r="I40" s="59">
        <f t="shared" si="9"/>
        <v>0</v>
      </c>
      <c r="J40" s="69"/>
      <c r="K40" s="61">
        <f t="shared" si="10"/>
        <v>0</v>
      </c>
    </row>
    <row r="41" s="2" customFormat="1" ht="15" customHeight="1" spans="1:11">
      <c r="A41" s="58" t="str">
        <f>[28]报表格式!L40</f>
        <v>五、其他综合收益的税后净额</v>
      </c>
      <c r="B41" s="59">
        <f>[28]母公司PL汇总!B41</f>
        <v>0</v>
      </c>
      <c r="C41" s="59">
        <f t="shared" ref="C41:H41" si="12">C42+C61</f>
        <v>0</v>
      </c>
      <c r="D41" s="59">
        <f t="shared" si="12"/>
        <v>0</v>
      </c>
      <c r="E41" s="60">
        <f t="shared" si="12"/>
        <v>0</v>
      </c>
      <c r="F41" s="59">
        <f t="shared" si="12"/>
        <v>0</v>
      </c>
      <c r="G41" s="59">
        <f t="shared" si="12"/>
        <v>0</v>
      </c>
      <c r="H41" s="59">
        <f t="shared" si="12"/>
        <v>0</v>
      </c>
      <c r="I41" s="59">
        <f t="shared" si="9"/>
        <v>0</v>
      </c>
      <c r="J41" s="69"/>
      <c r="K41" s="61">
        <f t="shared" si="10"/>
        <v>0</v>
      </c>
    </row>
    <row r="42" ht="15" customHeight="1" spans="1:11">
      <c r="A42" s="62" t="str">
        <f>[28]报表格式!L41</f>
        <v>归属于母公司股东的其他综合收益的税后净额</v>
      </c>
      <c r="B42" s="59">
        <f>[28]母公司PL汇总!B42</f>
        <v>0</v>
      </c>
      <c r="C42" s="59">
        <f t="shared" ref="C42:H42" si="13">C43+C49</f>
        <v>0</v>
      </c>
      <c r="D42" s="59">
        <f t="shared" si="13"/>
        <v>0</v>
      </c>
      <c r="E42" s="60">
        <f t="shared" si="13"/>
        <v>0</v>
      </c>
      <c r="F42" s="59">
        <f t="shared" si="13"/>
        <v>0</v>
      </c>
      <c r="G42" s="59">
        <f t="shared" si="13"/>
        <v>0</v>
      </c>
      <c r="H42" s="59">
        <f t="shared" si="13"/>
        <v>0</v>
      </c>
      <c r="I42" s="59">
        <f t="shared" si="9"/>
        <v>0</v>
      </c>
      <c r="J42" s="69"/>
      <c r="K42" s="61">
        <f t="shared" si="10"/>
        <v>0</v>
      </c>
    </row>
    <row r="43" ht="15" customHeight="1" spans="1:11">
      <c r="A43" s="62" t="str">
        <f>[28]报表格式!L42</f>
        <v>  （一）不能重分类进损益的其他综合收益</v>
      </c>
      <c r="B43" s="59">
        <f>[28]母公司PL汇总!B43</f>
        <v>0</v>
      </c>
      <c r="C43" s="60">
        <f t="shared" ref="C43:H43" si="14">SUM(C44:C48)</f>
        <v>0</v>
      </c>
      <c r="D43" s="60">
        <f t="shared" si="14"/>
        <v>0</v>
      </c>
      <c r="E43" s="60">
        <f t="shared" si="14"/>
        <v>0</v>
      </c>
      <c r="F43" s="60">
        <f t="shared" si="14"/>
        <v>0</v>
      </c>
      <c r="G43" s="60">
        <f t="shared" si="14"/>
        <v>0</v>
      </c>
      <c r="H43" s="60">
        <f t="shared" si="14"/>
        <v>0</v>
      </c>
      <c r="I43" s="59">
        <f t="shared" si="9"/>
        <v>0</v>
      </c>
      <c r="J43" s="69"/>
      <c r="K43" s="61">
        <f t="shared" si="10"/>
        <v>0</v>
      </c>
    </row>
    <row r="44" ht="15" customHeight="1" spans="1:11">
      <c r="A44" s="70" t="str">
        <f>[28]报表格式!L43</f>
        <v>1.重新计量设定受益计划变动额</v>
      </c>
      <c r="B44" s="59">
        <f>[28]母公司PL汇总!B44</f>
        <v>0</v>
      </c>
      <c r="C44" s="60">
        <f>SUMIF([28]母公司汇总抵销!$E$5:$E$65538,IF(OR(MID(TRIM($A44),2,1)="：",MID(TRIM($A44),2,1)="、"),REPLACEB(TRIM($A44),1,4,""),TRIM($A44)),[28]母公司汇总抵销!$J$5:$J$65538)</f>
        <v>0</v>
      </c>
      <c r="D44" s="60">
        <f>SUMIF([28]母公司汇总抵销!$H$5:$H$65538,IF(OR(MID(TRIM($A44),2,1)="：",MID(TRIM($A44),2,1)="、"),REPLACEB(TRIM($A44),1,4,""),TRIM($A44)),[28]母公司汇总抵销!$J$5:$J$65538)</f>
        <v>0</v>
      </c>
      <c r="E44" s="60">
        <f>SUMIF([28]母公司账项调整!$E$5:$E$65536,IF(OR(MID(TRIM($A44),2,1)="：",MID(TRIM($A44),2,1)="、"),REPLACEB(TRIM($A44),1,4,""),TRIM($A44)),[28]母公司账项调整!$J$5:$J$65536)</f>
        <v>0</v>
      </c>
      <c r="F44" s="60">
        <f>SUMIF([28]母公司账项调整!$H$5:$H$65536,IF(OR(MID(TRIM($A44),2,1)="：",MID(TRIM($A44),2,1)="、"),REPLACEB(TRIM($A44),1,4,""),TRIM($A44)),[28]母公司账项调整!$J$5:$J$65536)</f>
        <v>0</v>
      </c>
      <c r="G44" s="60">
        <f>SUMIF([28]母公司报表调整!$E$5:$E$65536,IF(OR(MID(TRIM($A44),2,1)="：",MID(TRIM($A44),2,1)="、"),REPLACEB(TRIM($A44),1,4,""),TRIM($A44)),[28]母公司报表调整!$J$5:$J$65536)</f>
        <v>0</v>
      </c>
      <c r="H44" s="60">
        <f>SUMIF([28]母公司报表调整!$H$5:$H$65536,IF(OR(MID(TRIM($A44),2,1)="：",MID(TRIM($A44),2,1)="、"),REPLACEB(TRIM($A44),1,4,""),TRIM($A44)),[28]母公司报表调整!$J$5:$J$65536)</f>
        <v>0</v>
      </c>
      <c r="I44" s="59">
        <f t="shared" si="9"/>
        <v>0</v>
      </c>
      <c r="J44" s="69"/>
      <c r="K44" s="61">
        <f t="shared" si="10"/>
        <v>0</v>
      </c>
    </row>
    <row r="45" ht="15" customHeight="1" spans="1:11">
      <c r="A45" s="70" t="str">
        <f>[28]报表格式!L44</f>
        <v>2.权益法下不能转损益的其他综合收益</v>
      </c>
      <c r="B45" s="59">
        <f>[28]母公司PL汇总!B45</f>
        <v>0</v>
      </c>
      <c r="C45" s="60">
        <f>SUMIF([28]母公司汇总抵销!$E$5:$E$65538,IF(OR(MID(TRIM($A45),2,1)="：",MID(TRIM($A45),2,1)="、"),REPLACEB(TRIM($A45),1,4,""),TRIM($A45)),[28]母公司汇总抵销!$J$5:$J$65538)</f>
        <v>0</v>
      </c>
      <c r="D45" s="60">
        <f>SUMIF([28]母公司汇总抵销!$H$5:$H$65538,IF(OR(MID(TRIM($A45),2,1)="：",MID(TRIM($A45),2,1)="、"),REPLACEB(TRIM($A45),1,4,""),TRIM($A45)),[28]母公司汇总抵销!$J$5:$J$65538)</f>
        <v>0</v>
      </c>
      <c r="E45" s="60">
        <f>SUMIF([28]母公司账项调整!$E$5:$E$65536,IF(OR(MID(TRIM($A45),2,1)="：",MID(TRIM($A45),2,1)="、"),REPLACEB(TRIM($A45),1,4,""),TRIM($A45)),[28]母公司账项调整!$J$5:$J$65536)</f>
        <v>0</v>
      </c>
      <c r="F45" s="60">
        <f>SUMIF([28]母公司账项调整!$H$5:$H$65536,IF(OR(MID(TRIM($A45),2,1)="：",MID(TRIM($A45),2,1)="、"),REPLACEB(TRIM($A45),1,4,""),TRIM($A45)),[28]母公司账项调整!$J$5:$J$65536)</f>
        <v>0</v>
      </c>
      <c r="G45" s="60">
        <f>SUMIF([28]母公司报表调整!$E$5:$E$65536,IF(OR(MID(TRIM($A45),2,1)="：",MID(TRIM($A45),2,1)="、"),REPLACEB(TRIM($A45),1,4,""),TRIM($A45)),[28]母公司报表调整!$J$5:$J$65536)</f>
        <v>0</v>
      </c>
      <c r="H45" s="60">
        <f>SUMIF([28]母公司报表调整!$H$5:$H$65536,IF(OR(MID(TRIM($A45),2,1)="：",MID(TRIM($A45),2,1)="、"),REPLACEB(TRIM($A45),1,4,""),TRIM($A45)),[28]母公司报表调整!$J$5:$J$65536)</f>
        <v>0</v>
      </c>
      <c r="I45" s="59">
        <f t="shared" si="9"/>
        <v>0</v>
      </c>
      <c r="J45" s="69"/>
      <c r="K45" s="61">
        <f t="shared" si="10"/>
        <v>0</v>
      </c>
    </row>
    <row r="46" ht="15" customHeight="1" spans="1:11">
      <c r="A46" s="70" t="str">
        <f>[28]报表格式!L45</f>
        <v>3.其他权益工具投资公允价值变动 </v>
      </c>
      <c r="B46" s="59">
        <f>[28]母公司PL汇总!B46</f>
        <v>0</v>
      </c>
      <c r="C46" s="60">
        <f>SUMIF([28]母公司汇总抵销!$E$5:$E$65538,IF(OR(MID(TRIM($A46),2,1)="：",MID(TRIM($A46),2,1)="、"),REPLACEB(TRIM($A46),1,4,""),TRIM($A46)),[28]母公司汇总抵销!$J$5:$J$65538)</f>
        <v>0</v>
      </c>
      <c r="D46" s="60">
        <f>SUMIF([28]母公司汇总抵销!$H$5:$H$65538,IF(OR(MID(TRIM($A46),2,1)="：",MID(TRIM($A46),2,1)="、"),REPLACEB(TRIM($A46),1,4,""),TRIM($A46)),[28]母公司汇总抵销!$J$5:$J$65538)</f>
        <v>0</v>
      </c>
      <c r="E46" s="60">
        <f>SUMIF([28]母公司账项调整!$E$5:$E$65536,IF(OR(MID(TRIM($A46),2,1)="：",MID(TRIM($A46),2,1)="、"),REPLACEB(TRIM($A46),1,4,""),TRIM($A46)),[28]母公司账项调整!$J$5:$J$65536)</f>
        <v>0</v>
      </c>
      <c r="F46" s="60">
        <f>SUMIF([28]母公司账项调整!$H$5:$H$65536,IF(OR(MID(TRIM($A46),2,1)="：",MID(TRIM($A46),2,1)="、"),REPLACEB(TRIM($A46),1,4,""),TRIM($A46)),[28]母公司账项调整!$J$5:$J$65536)</f>
        <v>0</v>
      </c>
      <c r="G46" s="60">
        <f>SUMIF([28]母公司报表调整!$E$5:$E$65536,IF(OR(MID(TRIM($A46),2,1)="：",MID(TRIM($A46),2,1)="、"),REPLACEB(TRIM($A46),1,4,""),TRIM($A46)),[28]母公司报表调整!$J$5:$J$65536)</f>
        <v>0</v>
      </c>
      <c r="H46" s="60">
        <f>SUMIF([28]母公司报表调整!$H$5:$H$65536,IF(OR(MID(TRIM($A46),2,1)="：",MID(TRIM($A46),2,1)="、"),REPLACEB(TRIM($A46),1,4,""),TRIM($A46)),[28]母公司报表调整!$J$5:$J$65536)</f>
        <v>0</v>
      </c>
      <c r="I46" s="59">
        <f t="shared" si="9"/>
        <v>0</v>
      </c>
      <c r="J46" s="69"/>
      <c r="K46" s="61">
        <f t="shared" si="10"/>
        <v>0</v>
      </c>
    </row>
    <row r="47" ht="15" customHeight="1" spans="1:11">
      <c r="A47" s="70" t="str">
        <f>[28]报表格式!L46</f>
        <v>4.企业自身信用风险公允价值变动 </v>
      </c>
      <c r="B47" s="59">
        <f>[28]母公司PL汇总!B47</f>
        <v>0</v>
      </c>
      <c r="C47" s="60">
        <f>SUMIF([28]母公司汇总抵销!$E$5:$E$65538,IF(OR(MID(TRIM($A47),2,1)="：",MID(TRIM($A47),2,1)="、"),REPLACEB(TRIM($A47),1,4,""),TRIM($A47)),[28]母公司汇总抵销!$J$5:$J$65538)</f>
        <v>0</v>
      </c>
      <c r="D47" s="60">
        <f>SUMIF([28]母公司汇总抵销!$H$5:$H$65538,IF(OR(MID(TRIM($A47),2,1)="：",MID(TRIM($A47),2,1)="、"),REPLACEB(TRIM($A47),1,4,""),TRIM($A47)),[28]母公司汇总抵销!$J$5:$J$65538)</f>
        <v>0</v>
      </c>
      <c r="E47" s="60">
        <f>SUMIF([28]母公司账项调整!$E$5:$E$65536,IF(OR(MID(TRIM($A47),2,1)="：",MID(TRIM($A47),2,1)="、"),REPLACEB(TRIM($A47),1,4,""),TRIM($A47)),[28]母公司账项调整!$J$5:$J$65536)</f>
        <v>0</v>
      </c>
      <c r="F47" s="60">
        <f>SUMIF([28]母公司账项调整!$H$5:$H$65536,IF(OR(MID(TRIM($A47),2,1)="：",MID(TRIM($A47),2,1)="、"),REPLACEB(TRIM($A47),1,4,""),TRIM($A47)),[28]母公司账项调整!$J$5:$J$65536)</f>
        <v>0</v>
      </c>
      <c r="G47" s="60">
        <f>SUMIF([28]母公司报表调整!$E$5:$E$65536,IF(OR(MID(TRIM($A47),2,1)="：",MID(TRIM($A47),2,1)="、"),REPLACEB(TRIM($A47),1,4,""),TRIM($A47)),[28]母公司报表调整!$J$5:$J$65536)</f>
        <v>0</v>
      </c>
      <c r="H47" s="60">
        <f>SUMIF([28]母公司报表调整!$H$5:$H$65536,IF(OR(MID(TRIM($A47),2,1)="：",MID(TRIM($A47),2,1)="、"),REPLACEB(TRIM($A47),1,4,""),TRIM($A47)),[28]母公司报表调整!$J$5:$J$65536)</f>
        <v>0</v>
      </c>
      <c r="I47" s="59">
        <f t="shared" si="9"/>
        <v>0</v>
      </c>
      <c r="J47" s="69"/>
      <c r="K47" s="61">
        <f t="shared" si="10"/>
        <v>0</v>
      </c>
    </row>
    <row r="48" ht="15" customHeight="1" spans="1:11">
      <c r="A48" s="70" t="str">
        <f>[28]报表格式!L47</f>
        <v>5.其他</v>
      </c>
      <c r="B48" s="59">
        <f>[28]母公司PL汇总!B48</f>
        <v>0</v>
      </c>
      <c r="C48" s="60">
        <f>SUMIF([28]母公司汇总抵销!$E$5:$E$65538,IF(OR(MID(TRIM($A48),2,1)="：",MID(TRIM($A48),2,1)="、"),REPLACEB(TRIM($A48),1,4,""),TRIM($A48)),[28]母公司汇总抵销!$J$5:$J$65538)</f>
        <v>0</v>
      </c>
      <c r="D48" s="60">
        <f>SUMIF([28]母公司汇总抵销!$H$5:$H$65538,IF(OR(MID(TRIM($A48),2,1)="：",MID(TRIM($A48),2,1)="、"),REPLACEB(TRIM($A48),1,4,""),TRIM($A48)),[28]母公司汇总抵销!$J$5:$J$65538)</f>
        <v>0</v>
      </c>
      <c r="E48" s="60">
        <f>SUMIF([28]母公司账项调整!$E$5:$E$65536,IF(OR(MID(TRIM($A48),2,1)="：",MID(TRIM($A48),2,1)="、"),REPLACEB(TRIM($A48),1,4,""),TRIM($A48)),[28]母公司账项调整!$J$5:$J$65536)</f>
        <v>0</v>
      </c>
      <c r="F48" s="60">
        <f>SUMIF([28]母公司账项调整!$H$5:$H$65536,IF(OR(MID(TRIM($A48),2,1)="：",MID(TRIM($A48),2,1)="、"),REPLACEB(TRIM($A48),1,4,""),TRIM($A48)),[28]母公司账项调整!$J$5:$J$65536)</f>
        <v>0</v>
      </c>
      <c r="G48" s="60">
        <f>SUMIF([28]母公司报表调整!$E$5:$E$65536,IF(OR(MID(TRIM($A48),2,1)="：",MID(TRIM($A48),2,1)="、"),REPLACEB(TRIM($A48),1,4,""),TRIM($A48)),[28]母公司报表调整!$J$5:$J$65536)</f>
        <v>0</v>
      </c>
      <c r="H48" s="60">
        <f>SUMIF([28]母公司报表调整!$H$5:$H$65536,IF(OR(MID(TRIM($A48),2,1)="：",MID(TRIM($A48),2,1)="、"),REPLACEB(TRIM($A48),1,4,""),TRIM($A48)),[28]母公司报表调整!$J$5:$J$65536)</f>
        <v>0</v>
      </c>
      <c r="I48" s="59">
        <f t="shared" si="9"/>
        <v>0</v>
      </c>
      <c r="J48" s="69"/>
      <c r="K48" s="61">
        <f t="shared" si="10"/>
        <v>0</v>
      </c>
    </row>
    <row r="49" ht="15" customHeight="1" spans="1:11">
      <c r="A49" s="62" t="str">
        <f>[28]报表格式!L48</f>
        <v>  （二）将重分类进损益的其他综合收益</v>
      </c>
      <c r="B49" s="59">
        <f>[28]母公司PL汇总!B49</f>
        <v>0</v>
      </c>
      <c r="C49" s="60">
        <f t="shared" ref="C49:H49" si="15">SUM(C50:C60)</f>
        <v>0</v>
      </c>
      <c r="D49" s="60">
        <f t="shared" si="15"/>
        <v>0</v>
      </c>
      <c r="E49" s="60">
        <f t="shared" si="15"/>
        <v>0</v>
      </c>
      <c r="F49" s="60">
        <f t="shared" si="15"/>
        <v>0</v>
      </c>
      <c r="G49" s="60">
        <f t="shared" si="15"/>
        <v>0</v>
      </c>
      <c r="H49" s="60">
        <f t="shared" si="15"/>
        <v>0</v>
      </c>
      <c r="I49" s="59">
        <f t="shared" si="9"/>
        <v>0</v>
      </c>
      <c r="J49" s="69"/>
      <c r="K49" s="61">
        <f t="shared" si="10"/>
        <v>0</v>
      </c>
    </row>
    <row r="50" ht="15" customHeight="1" spans="1:11">
      <c r="A50" s="70" t="str">
        <f>[28]报表格式!L49</f>
        <v>1.权益法下可转损益的其他综合收益</v>
      </c>
      <c r="B50" s="59">
        <f>[28]母公司PL汇总!B50</f>
        <v>0</v>
      </c>
      <c r="C50" s="60">
        <f>SUMIF([28]母公司汇总抵销!$E$5:$E$65538,IF(OR(MID(TRIM($A50),2,1)="：",MID(TRIM($A50),2,1)="、"),REPLACEB(TRIM($A50),1,4,""),TRIM($A50)),[28]母公司汇总抵销!$J$5:$J$65538)</f>
        <v>0</v>
      </c>
      <c r="D50" s="60">
        <f>SUMIF([28]母公司汇总抵销!$H$5:$H$65538,IF(OR(MID(TRIM($A50),2,1)="：",MID(TRIM($A50),2,1)="、"),REPLACEB(TRIM($A50),1,4,""),TRIM($A50)),[28]母公司汇总抵销!$J$5:$J$65538)</f>
        <v>0</v>
      </c>
      <c r="E50" s="60">
        <f>SUMIF([28]母公司账项调整!$E$5:$E$65536,IF(OR(MID(TRIM($A50),2,1)="：",MID(TRIM($A50),2,1)="、"),REPLACEB(TRIM($A50),1,4,""),TRIM($A50)),[28]母公司账项调整!$J$5:$J$65536)</f>
        <v>0</v>
      </c>
      <c r="F50" s="60">
        <f>SUMIF([28]母公司账项调整!$H$5:$H$65536,IF(OR(MID(TRIM($A50),2,1)="：",MID(TRIM($A50),2,1)="、"),REPLACEB(TRIM($A50),1,4,""),TRIM($A50)),[28]母公司账项调整!$J$5:$J$65536)</f>
        <v>0</v>
      </c>
      <c r="G50" s="60">
        <f>SUMIF([28]母公司报表调整!$E$5:$E$65536,IF(OR(MID(TRIM($A50),2,1)="：",MID(TRIM($A50),2,1)="、"),REPLACEB(TRIM($A50),1,4,""),TRIM($A50)),[28]母公司报表调整!$J$5:$J$65536)</f>
        <v>0</v>
      </c>
      <c r="H50" s="60">
        <f>SUMIF([28]母公司报表调整!$H$5:$H$65536,IF(OR(MID(TRIM($A50),2,1)="：",MID(TRIM($A50),2,1)="、"),REPLACEB(TRIM($A50),1,4,""),TRIM($A50)),[28]母公司报表调整!$J$5:$J$65536)</f>
        <v>0</v>
      </c>
      <c r="I50" s="59">
        <f t="shared" si="9"/>
        <v>0</v>
      </c>
      <c r="J50" s="69"/>
      <c r="K50" s="61">
        <f t="shared" si="10"/>
        <v>0</v>
      </c>
    </row>
    <row r="51" ht="15" customHeight="1" spans="1:11">
      <c r="A51" s="70" t="str">
        <f>[28]报表格式!L50</f>
        <v>2.其他债权投资公允价值变动 </v>
      </c>
      <c r="B51" s="59">
        <f>[28]母公司PL汇总!B51</f>
        <v>0</v>
      </c>
      <c r="C51" s="60">
        <f>SUMIF([28]母公司汇总抵销!$E$5:$E$65538,IF(OR(MID(TRIM($A51),2,1)="：",MID(TRIM($A51),2,1)="、"),REPLACEB(TRIM($A51),1,4,""),TRIM($A51)),[28]母公司汇总抵销!$J$5:$J$65538)</f>
        <v>0</v>
      </c>
      <c r="D51" s="60">
        <f>SUMIF([28]母公司汇总抵销!$H$5:$H$65538,IF(OR(MID(TRIM($A51),2,1)="：",MID(TRIM($A51),2,1)="、"),REPLACEB(TRIM($A51),1,4,""),TRIM($A51)),[28]母公司汇总抵销!$J$5:$J$65538)</f>
        <v>0</v>
      </c>
      <c r="E51" s="60">
        <f>SUMIF([28]母公司账项调整!$E$5:$E$65536,IF(OR(MID(TRIM($A51),2,1)="：",MID(TRIM($A51),2,1)="、"),REPLACEB(TRIM($A51),1,4,""),TRIM($A51)),[28]母公司账项调整!$J$5:$J$65536)</f>
        <v>0</v>
      </c>
      <c r="F51" s="60">
        <f>SUMIF([28]母公司账项调整!$H$5:$H$65536,IF(OR(MID(TRIM($A51),2,1)="：",MID(TRIM($A51),2,1)="、"),REPLACEB(TRIM($A51),1,4,""),TRIM($A51)),[28]母公司账项调整!$J$5:$J$65536)</f>
        <v>0</v>
      </c>
      <c r="G51" s="60">
        <f>SUMIF([28]母公司报表调整!$E$5:$E$65536,IF(OR(MID(TRIM($A51),2,1)="：",MID(TRIM($A51),2,1)="、"),REPLACEB(TRIM($A51),1,4,""),TRIM($A51)),[28]母公司报表调整!$J$5:$J$65536)</f>
        <v>0</v>
      </c>
      <c r="H51" s="60">
        <f>SUMIF([28]母公司报表调整!$H$5:$H$65536,IF(OR(MID(TRIM($A51),2,1)="：",MID(TRIM($A51),2,1)="、"),REPLACEB(TRIM($A51),1,4,""),TRIM($A51)),[28]母公司报表调整!$J$5:$J$65536)</f>
        <v>0</v>
      </c>
      <c r="I51" s="59">
        <f t="shared" si="9"/>
        <v>0</v>
      </c>
      <c r="J51" s="69"/>
      <c r="K51" s="61">
        <f t="shared" si="10"/>
        <v>0</v>
      </c>
    </row>
    <row r="52" ht="15" customHeight="1" spans="1:11">
      <c r="A52" s="70" t="str">
        <f>[28]报表格式!L51</f>
        <v>3.可供出售金融资产公允价值变动损益</v>
      </c>
      <c r="B52" s="59">
        <f>[28]母公司PL汇总!B52</f>
        <v>0</v>
      </c>
      <c r="C52" s="60">
        <f>SUMIF([28]母公司汇总抵销!$E$5:$E$65538,IF(OR(MID(TRIM($A52),2,1)="：",MID(TRIM($A52),2,1)="、"),REPLACEB(TRIM($A52),1,4,""),TRIM($A52)),[28]母公司汇总抵销!$J$5:$J$65538)</f>
        <v>0</v>
      </c>
      <c r="D52" s="60">
        <f>SUMIF([28]母公司汇总抵销!$H$5:$H$65538,IF(OR(MID(TRIM($A52),2,1)="：",MID(TRIM($A52),2,1)="、"),REPLACEB(TRIM($A52),1,4,""),TRIM($A52)),[28]母公司汇总抵销!$J$5:$J$65538)</f>
        <v>0</v>
      </c>
      <c r="E52" s="60">
        <f>SUMIF([28]母公司账项调整!$E$5:$E$65536,IF(OR(MID(TRIM($A52),2,1)="：",MID(TRIM($A52),2,1)="、"),REPLACEB(TRIM($A52),1,4,""),TRIM($A52)),[28]母公司账项调整!$J$5:$J$65536)</f>
        <v>0</v>
      </c>
      <c r="F52" s="60">
        <f>SUMIF([28]母公司账项调整!$H$5:$H$65536,IF(OR(MID(TRIM($A52),2,1)="：",MID(TRIM($A52),2,1)="、"),REPLACEB(TRIM($A52),1,4,""),TRIM($A52)),[28]母公司账项调整!$J$5:$J$65536)</f>
        <v>0</v>
      </c>
      <c r="G52" s="60">
        <f>SUMIF([28]母公司报表调整!$E$5:$E$65536,IF(OR(MID(TRIM($A52),2,1)="：",MID(TRIM($A52),2,1)="、"),REPLACEB(TRIM($A52),1,4,""),TRIM($A52)),[28]母公司报表调整!$J$5:$J$65536)</f>
        <v>0</v>
      </c>
      <c r="H52" s="60">
        <f>SUMIF([28]母公司报表调整!$H$5:$H$65536,IF(OR(MID(TRIM($A52),2,1)="：",MID(TRIM($A52),2,1)="、"),REPLACEB(TRIM($A52),1,4,""),TRIM($A52)),[28]母公司报表调整!$J$5:$J$65536)</f>
        <v>0</v>
      </c>
      <c r="I52" s="59">
        <f t="shared" si="9"/>
        <v>0</v>
      </c>
      <c r="J52" s="69"/>
      <c r="K52" s="61">
        <f t="shared" si="10"/>
        <v>0</v>
      </c>
    </row>
    <row r="53" ht="15" customHeight="1" spans="1:11">
      <c r="A53" s="70" t="str">
        <f>[28]报表格式!L52</f>
        <v>4.金融资产重分类计入其他综合收益的金额 </v>
      </c>
      <c r="B53" s="59">
        <f>[28]母公司PL汇总!B53</f>
        <v>0</v>
      </c>
      <c r="C53" s="60">
        <f>SUMIF([28]母公司汇总抵销!$E$5:$E$65538,IF(OR(MID(TRIM($A53),2,1)="：",MID(TRIM($A53),2,1)="、"),REPLACEB(TRIM($A53),1,4,""),TRIM($A53)),[28]母公司汇总抵销!$J$5:$J$65538)</f>
        <v>0</v>
      </c>
      <c r="D53" s="60">
        <f>SUMIF([28]母公司汇总抵销!$H$5:$H$65538,IF(OR(MID(TRIM($A53),2,1)="：",MID(TRIM($A53),2,1)="、"),REPLACEB(TRIM($A53),1,4,""),TRIM($A53)),[28]母公司汇总抵销!$J$5:$J$65538)</f>
        <v>0</v>
      </c>
      <c r="E53" s="60">
        <f>SUMIF([28]母公司账项调整!$E$5:$E$65536,IF(OR(MID(TRIM($A53),2,1)="：",MID(TRIM($A53),2,1)="、"),REPLACEB(TRIM($A53),1,4,""),TRIM($A53)),[28]母公司账项调整!$J$5:$J$65536)</f>
        <v>0</v>
      </c>
      <c r="F53" s="60">
        <f>SUMIF([28]母公司账项调整!$H$5:$H$65536,IF(OR(MID(TRIM($A53),2,1)="：",MID(TRIM($A53),2,1)="、"),REPLACEB(TRIM($A53),1,4,""),TRIM($A53)),[28]母公司账项调整!$J$5:$J$65536)</f>
        <v>0</v>
      </c>
      <c r="G53" s="60">
        <f>SUMIF([28]母公司报表调整!$E$5:$E$65536,IF(OR(MID(TRIM($A53),2,1)="：",MID(TRIM($A53),2,1)="、"),REPLACEB(TRIM($A53),1,4,""),TRIM($A53)),[28]母公司报表调整!$J$5:$J$65536)</f>
        <v>0</v>
      </c>
      <c r="H53" s="60">
        <f>SUMIF([28]母公司报表调整!$H$5:$H$65536,IF(OR(MID(TRIM($A53),2,1)="：",MID(TRIM($A53),2,1)="、"),REPLACEB(TRIM($A53),1,4,""),TRIM($A53)),[28]母公司报表调整!$J$5:$J$65536)</f>
        <v>0</v>
      </c>
      <c r="I53" s="59">
        <f t="shared" si="9"/>
        <v>0</v>
      </c>
      <c r="J53" s="69"/>
      <c r="K53" s="61">
        <f t="shared" si="10"/>
        <v>0</v>
      </c>
    </row>
    <row r="54" ht="15" customHeight="1" spans="1:11">
      <c r="A54" s="70" t="str">
        <f>[28]报表格式!L53</f>
        <v>5.持有至到期投资重分类为可供出售金融资产损益</v>
      </c>
      <c r="B54" s="59">
        <f>[28]母公司PL汇总!B54</f>
        <v>0</v>
      </c>
      <c r="C54" s="60">
        <f>SUMIF([28]母公司汇总抵销!$E$5:$E$65538,IF(OR(MID(TRIM($A54),2,1)="：",MID(TRIM($A54),2,1)="、"),REPLACEB(TRIM($A54),1,4,""),TRIM($A54)),[28]母公司汇总抵销!$J$5:$J$65538)</f>
        <v>0</v>
      </c>
      <c r="D54" s="60">
        <f>SUMIF([28]母公司汇总抵销!$H$5:$H$65538,IF(OR(MID(TRIM($A54),2,1)="：",MID(TRIM($A54),2,1)="、"),REPLACEB(TRIM($A54),1,4,""),TRIM($A54)),[28]母公司汇总抵销!$J$5:$J$65538)</f>
        <v>0</v>
      </c>
      <c r="E54" s="60">
        <f>SUMIF([28]母公司账项调整!$E$5:$E$65536,IF(OR(MID(TRIM($A54),2,1)="：",MID(TRIM($A54),2,1)="、"),REPLACEB(TRIM($A54),1,4,""),TRIM($A54)),[28]母公司账项调整!$J$5:$J$65536)</f>
        <v>0</v>
      </c>
      <c r="F54" s="60">
        <f>SUMIF([28]母公司账项调整!$H$5:$H$65536,IF(OR(MID(TRIM($A54),2,1)="：",MID(TRIM($A54),2,1)="、"),REPLACEB(TRIM($A54),1,4,""),TRIM($A54)),[28]母公司账项调整!$J$5:$J$65536)</f>
        <v>0</v>
      </c>
      <c r="G54" s="60">
        <f>SUMIF([28]母公司报表调整!$E$5:$E$65536,IF(OR(MID(TRIM($A54),2,1)="：",MID(TRIM($A54),2,1)="、"),REPLACEB(TRIM($A54),1,4,""),TRIM($A54)),[28]母公司报表调整!$J$5:$J$65536)</f>
        <v>0</v>
      </c>
      <c r="H54" s="60">
        <f>SUMIF([28]母公司报表调整!$H$5:$H$65536,IF(OR(MID(TRIM($A54),2,1)="：",MID(TRIM($A54),2,1)="、"),REPLACEB(TRIM($A54),1,4,""),TRIM($A54)),[28]母公司报表调整!$J$5:$J$65536)</f>
        <v>0</v>
      </c>
      <c r="I54" s="59">
        <f t="shared" si="9"/>
        <v>0</v>
      </c>
      <c r="J54" s="69"/>
      <c r="K54" s="61">
        <f t="shared" si="10"/>
        <v>0</v>
      </c>
    </row>
    <row r="55" ht="15" customHeight="1" spans="1:11">
      <c r="A55" s="70" t="str">
        <f>[28]报表格式!L54</f>
        <v>6.其他债权投资信用减值准备</v>
      </c>
      <c r="B55" s="59">
        <f>[28]母公司PL汇总!B55</f>
        <v>0</v>
      </c>
      <c r="C55" s="60">
        <f>SUMIF([28]母公司汇总抵销!$E$5:$E$65538,IF(OR(MID(TRIM($A55),2,1)="：",MID(TRIM($A55),2,1)="、"),REPLACEB(TRIM($A55),1,4,""),TRIM($A55)),[28]母公司汇总抵销!$J$5:$J$65538)</f>
        <v>0</v>
      </c>
      <c r="D55" s="60">
        <f>SUMIF([28]母公司汇总抵销!$H$5:$H$65538,IF(OR(MID(TRIM($A55),2,1)="：",MID(TRIM($A55),2,1)="、"),REPLACEB(TRIM($A55),1,4,""),TRIM($A55)),[28]母公司汇总抵销!$J$5:$J$65538)</f>
        <v>0</v>
      </c>
      <c r="E55" s="60">
        <f>SUMIF([28]母公司账项调整!$E$5:$E$65536,IF(OR(MID(TRIM($A55),2,1)="：",MID(TRIM($A55),2,1)="、"),REPLACEB(TRIM($A55),1,4,""),TRIM($A55)),[28]母公司账项调整!$J$5:$J$65536)</f>
        <v>0</v>
      </c>
      <c r="F55" s="60">
        <f>SUMIF([28]母公司账项调整!$H$5:$H$65536,IF(OR(MID(TRIM($A55),2,1)="：",MID(TRIM($A55),2,1)="、"),REPLACEB(TRIM($A55),1,4,""),TRIM($A55)),[28]母公司账项调整!$J$5:$J$65536)</f>
        <v>0</v>
      </c>
      <c r="G55" s="60">
        <f>SUMIF([28]母公司报表调整!$E$5:$E$65536,IF(OR(MID(TRIM($A55),2,1)="：",MID(TRIM($A55),2,1)="、"),REPLACEB(TRIM($A55),1,4,""),TRIM($A55)),[28]母公司报表调整!$J$5:$J$65536)</f>
        <v>0</v>
      </c>
      <c r="H55" s="60">
        <f>SUMIF([28]母公司报表调整!$H$5:$H$65536,IF(OR(MID(TRIM($A55),2,1)="：",MID(TRIM($A55),2,1)="、"),REPLACEB(TRIM($A55),1,4,""),TRIM($A55)),[28]母公司报表调整!$J$5:$J$65536)</f>
        <v>0</v>
      </c>
      <c r="I55" s="59">
        <f t="shared" si="9"/>
        <v>0</v>
      </c>
      <c r="J55" s="69"/>
      <c r="K55" s="61">
        <f t="shared" si="10"/>
        <v>0</v>
      </c>
    </row>
    <row r="56" ht="15" customHeight="1" spans="1:11">
      <c r="A56" s="70" t="str">
        <f>[28]报表格式!L55</f>
        <v>7.现金流量套期储备</v>
      </c>
      <c r="B56" s="59">
        <f>[28]母公司PL汇总!B56</f>
        <v>0</v>
      </c>
      <c r="C56" s="60">
        <f>SUMIF([28]母公司汇总抵销!$E$5:$E$65538,IF(OR(MID(TRIM($A56),2,1)="：",MID(TRIM($A56),2,1)="、"),REPLACEB(TRIM($A56),1,4,""),TRIM($A56)),[28]母公司汇总抵销!$J$5:$J$65538)</f>
        <v>0</v>
      </c>
      <c r="D56" s="60">
        <f>SUMIF([28]母公司汇总抵销!$H$5:$H$65538,IF(OR(MID(TRIM($A56),2,1)="：",MID(TRIM($A56),2,1)="、"),REPLACEB(TRIM($A56),1,4,""),TRIM($A56)),[28]母公司汇总抵销!$J$5:$J$65538)</f>
        <v>0</v>
      </c>
      <c r="E56" s="60">
        <f>SUMIF([28]母公司账项调整!$E$5:$E$65536,IF(OR(MID(TRIM($A56),2,1)="：",MID(TRIM($A56),2,1)="、"),REPLACEB(TRIM($A56),1,4,""),TRIM($A56)),[28]母公司账项调整!$J$5:$J$65536)</f>
        <v>0</v>
      </c>
      <c r="F56" s="60">
        <f>SUMIF([28]母公司账项调整!$H$5:$H$65536,IF(OR(MID(TRIM($A56),2,1)="：",MID(TRIM($A56),2,1)="、"),REPLACEB(TRIM($A56),1,4,""),TRIM($A56)),[28]母公司账项调整!$J$5:$J$65536)</f>
        <v>0</v>
      </c>
      <c r="G56" s="60">
        <f>SUMIF([28]母公司报表调整!$E$5:$E$65536,IF(OR(MID(TRIM($A56),2,1)="：",MID(TRIM($A56),2,1)="、"),REPLACEB(TRIM($A56),1,4,""),TRIM($A56)),[28]母公司报表调整!$J$5:$J$65536)</f>
        <v>0</v>
      </c>
      <c r="H56" s="60">
        <f>SUMIF([28]母公司报表调整!$H$5:$H$65536,IF(OR(MID(TRIM($A56),2,1)="：",MID(TRIM($A56),2,1)="、"),REPLACEB(TRIM($A56),1,4,""),TRIM($A56)),[28]母公司报表调整!$J$5:$J$65536)</f>
        <v>0</v>
      </c>
      <c r="I56" s="59">
        <f t="shared" si="9"/>
        <v>0</v>
      </c>
      <c r="J56" s="69"/>
      <c r="K56" s="61">
        <f t="shared" si="10"/>
        <v>0</v>
      </c>
    </row>
    <row r="57" ht="15" customHeight="1" spans="1:11">
      <c r="A57" s="70" t="str">
        <f>[28]报表格式!L56</f>
        <v>8.外币财务报表折算差额</v>
      </c>
      <c r="B57" s="59">
        <f>[28]母公司PL汇总!B57</f>
        <v>0</v>
      </c>
      <c r="C57" s="60">
        <f>SUMIF([28]母公司汇总抵销!$E$5:$E$65538,IF(OR(MID(TRIM($A57),2,1)="：",MID(TRIM($A57),2,1)="、"),REPLACEB(TRIM($A57),1,4,""),TRIM($A57)),[28]母公司汇总抵销!$J$5:$J$65538)</f>
        <v>0</v>
      </c>
      <c r="D57" s="60">
        <f>SUMIF([28]母公司汇总抵销!$H$5:$H$65538,IF(OR(MID(TRIM($A57),2,1)="：",MID(TRIM($A57),2,1)="、"),REPLACEB(TRIM($A57),1,4,""),TRIM($A57)),[28]母公司汇总抵销!$J$5:$J$65538)</f>
        <v>0</v>
      </c>
      <c r="E57" s="60">
        <f>SUMIF([28]母公司账项调整!$E$5:$E$65536,IF(OR(MID(TRIM($A57),2,1)="：",MID(TRIM($A57),2,1)="、"),REPLACEB(TRIM($A57),1,4,""),TRIM($A57)),[28]母公司账项调整!$J$5:$J$65536)</f>
        <v>0</v>
      </c>
      <c r="F57" s="60">
        <f>SUMIF([28]母公司账项调整!$H$5:$H$65536,IF(OR(MID(TRIM($A57),2,1)="：",MID(TRIM($A57),2,1)="、"),REPLACEB(TRIM($A57),1,4,""),TRIM($A57)),[28]母公司账项调整!$J$5:$J$65536)</f>
        <v>0</v>
      </c>
      <c r="G57" s="60">
        <f>SUMIF([28]母公司报表调整!$E$5:$E$65536,IF(OR(MID(TRIM($A57),2,1)="：",MID(TRIM($A57),2,1)="、"),REPLACEB(TRIM($A57),1,4,""),TRIM($A57)),[28]母公司报表调整!$J$5:$J$65536)</f>
        <v>0</v>
      </c>
      <c r="H57" s="60">
        <f>SUMIF([28]母公司报表调整!$H$5:$H$65536,IF(OR(MID(TRIM($A57),2,1)="：",MID(TRIM($A57),2,1)="、"),REPLACEB(TRIM($A57),1,4,""),TRIM($A57)),[28]母公司报表调整!$J$5:$J$65536)</f>
        <v>0</v>
      </c>
      <c r="I57" s="59">
        <f t="shared" si="9"/>
        <v>0</v>
      </c>
      <c r="J57" s="69"/>
      <c r="K57" s="61">
        <f t="shared" si="10"/>
        <v>0</v>
      </c>
    </row>
    <row r="58" ht="15" customHeight="1" spans="1:11">
      <c r="A58" s="70" t="str">
        <f>[28]报表格式!L57</f>
        <v>9.自用房地产或作为存货的房地产转换为以公允价值计量的投资性房地产在转换日公允价值大于账面价值部分</v>
      </c>
      <c r="B58" s="59">
        <f>[28]母公司PL汇总!B58</f>
        <v>0</v>
      </c>
      <c r="C58" s="60">
        <f>SUMIF([28]母公司汇总抵销!$E$5:$E$65538,IF(OR(MID(TRIM($A58),2,1)="：",MID(TRIM($A58),2,1)="、"),REPLACEB(TRIM($A58),1,4,""),TRIM($A58)),[28]母公司汇总抵销!$J$5:$J$65538)</f>
        <v>0</v>
      </c>
      <c r="D58" s="60">
        <f>SUMIF([28]母公司汇总抵销!$H$5:$H$65538,IF(OR(MID(TRIM($A58),2,1)="：",MID(TRIM($A58),2,1)="、"),REPLACEB(TRIM($A58),1,4,""),TRIM($A58)),[28]母公司汇总抵销!$J$5:$J$65538)</f>
        <v>0</v>
      </c>
      <c r="E58" s="60">
        <f>SUMIF([28]母公司账项调整!$E$5:$E$65536,IF(OR(MID(TRIM($A58),2,1)="：",MID(TRIM($A58),2,1)="、"),REPLACEB(TRIM($A58),1,4,""),TRIM($A58)),[28]母公司账项调整!$J$5:$J$65536)</f>
        <v>0</v>
      </c>
      <c r="F58" s="60">
        <f>SUMIF([28]母公司账项调整!$H$5:$H$65536,IF(OR(MID(TRIM($A58),2,1)="：",MID(TRIM($A58),2,1)="、"),REPLACEB(TRIM($A58),1,4,""),TRIM($A58)),[28]母公司账项调整!$J$5:$J$65536)</f>
        <v>0</v>
      </c>
      <c r="G58" s="60">
        <f>SUMIF([28]母公司报表调整!$E$5:$E$65536,IF(OR(MID(TRIM($A58),2,1)="：",MID(TRIM($A58),2,1)="、"),REPLACEB(TRIM($A58),1,4,""),TRIM($A58)),[28]母公司报表调整!$J$5:$J$65536)</f>
        <v>0</v>
      </c>
      <c r="H58" s="60">
        <f>SUMIF([28]母公司报表调整!$H$5:$H$65536,IF(OR(MID(TRIM($A58),2,1)="：",MID(TRIM($A58),2,1)="、"),REPLACEB(TRIM($A58),1,4,""),TRIM($A58)),[28]母公司报表调整!$J$5:$J$65536)</f>
        <v>0</v>
      </c>
      <c r="I58" s="59">
        <f t="shared" si="9"/>
        <v>0</v>
      </c>
      <c r="J58" s="69"/>
      <c r="K58" s="61">
        <f t="shared" si="10"/>
        <v>0</v>
      </c>
    </row>
    <row r="59" ht="15" customHeight="1" spans="1:11">
      <c r="A59" s="70" t="str">
        <f>[28]报表格式!L58</f>
        <v>10.多次交易分步处置子公司股权构成一揽子交易的，丧失控制权之前各次交易处置价款与对应净资产账面价值份额的差额</v>
      </c>
      <c r="B59" s="59">
        <f>[28]母公司PL汇总!B59</f>
        <v>0</v>
      </c>
      <c r="C59" s="60">
        <f>SUMIF([28]母公司汇总抵销!$E$5:$E$65538,IF(OR(MID(TRIM($A59),2,1)="：",MID(TRIM($A59),2,1)="、"),REPLACEB(TRIM($A59),1,4,""),TRIM($A59)),[28]母公司汇总抵销!$J$5:$J$65538)</f>
        <v>0</v>
      </c>
      <c r="D59" s="60">
        <f>SUMIF([28]母公司汇总抵销!$H$5:$H$65538,IF(OR(MID(TRIM($A59),2,1)="：",MID(TRIM($A59),2,1)="、"),REPLACEB(TRIM($A59),1,4,""),TRIM($A59)),[28]母公司汇总抵销!$J$5:$J$65538)</f>
        <v>0</v>
      </c>
      <c r="E59" s="60">
        <f>SUMIF([28]母公司账项调整!$E$5:$E$65536,IF(OR(MID(TRIM($A59),2,1)="：",MID(TRIM($A59),2,1)="、"),REPLACEB(TRIM($A59),1,4,""),TRIM($A59)),[28]母公司账项调整!$J$5:$J$65536)</f>
        <v>0</v>
      </c>
      <c r="F59" s="60">
        <f>SUMIF([28]母公司账项调整!$H$5:$H$65536,IF(OR(MID(TRIM($A59),2,1)="：",MID(TRIM($A59),2,1)="、"),REPLACEB(TRIM($A59),1,4,""),TRIM($A59)),[28]母公司账项调整!$J$5:$J$65536)</f>
        <v>0</v>
      </c>
      <c r="G59" s="60">
        <f>SUMIF([28]母公司报表调整!$E$5:$E$65536,IF(OR(MID(TRIM($A59),2,1)="：",MID(TRIM($A59),2,1)="、"),REPLACEB(TRIM($A59),1,4,""),TRIM($A59)),[28]母公司报表调整!$J$5:$J$65536)</f>
        <v>0</v>
      </c>
      <c r="H59" s="60">
        <f>SUMIF([28]母公司报表调整!$H$5:$H$65536,IF(OR(MID(TRIM($A59),2,1)="：",MID(TRIM($A59),2,1)="、"),REPLACEB(TRIM($A59),1,4,""),TRIM($A59)),[28]母公司报表调整!$J$5:$J$65536)</f>
        <v>0</v>
      </c>
      <c r="I59" s="59">
        <f t="shared" si="9"/>
        <v>0</v>
      </c>
      <c r="J59" s="69"/>
      <c r="K59" s="61">
        <f t="shared" si="10"/>
        <v>0</v>
      </c>
    </row>
    <row r="60" ht="15" customHeight="1" spans="1:11">
      <c r="A60" s="70" t="str">
        <f>[28]报表格式!L59</f>
        <v>11.其他</v>
      </c>
      <c r="B60" s="59">
        <f>[28]母公司PL汇总!B60</f>
        <v>0</v>
      </c>
      <c r="C60" s="60">
        <f>SUMIF([28]母公司汇总抵销!$E$5:$E$65538,IF(OR(MID(TRIM($A60),2,1)="：",MID(TRIM($A60),2,1)="、"),REPLACEB(TRIM($A60),1,4,""),TRIM($A60)),[28]母公司汇总抵销!$J$5:$J$65538)</f>
        <v>0</v>
      </c>
      <c r="D60" s="60">
        <f>SUMIF([28]母公司汇总抵销!$H$5:$H$65538,IF(OR(MID(TRIM($A60),2,1)="：",MID(TRIM($A60),2,1)="、"),REPLACEB(TRIM($A60),1,4,""),TRIM($A60)),[28]母公司汇总抵销!$J$5:$J$65538)</f>
        <v>0</v>
      </c>
      <c r="E60" s="60">
        <f>SUMIF([28]母公司账项调整!$E$5:$E$65536,IF(OR(MID(TRIM($A60),2,1)="：",MID(TRIM($A60),2,1)="、"),REPLACEB(TRIM($A60),1,4,""),TRIM($A60)),[28]母公司账项调整!$J$5:$J$65536)</f>
        <v>0</v>
      </c>
      <c r="F60" s="60">
        <f>SUMIF([28]母公司账项调整!$H$5:$H$65536,IF(OR(MID(TRIM($A60),2,1)="：",MID(TRIM($A60),2,1)="、"),REPLACEB(TRIM($A60),1,4,""),TRIM($A60)),[28]母公司账项调整!$J$5:$J$65536)</f>
        <v>0</v>
      </c>
      <c r="G60" s="60">
        <f>SUMIF([28]母公司报表调整!$E$5:$E$65536,IF(OR(MID(TRIM($A60),2,1)="：",MID(TRIM($A60),2,1)="、"),REPLACEB(TRIM($A60),1,4,""),TRIM($A60)),[28]母公司报表调整!$J$5:$J$65536)</f>
        <v>0</v>
      </c>
      <c r="H60" s="60">
        <f>SUMIF([28]母公司报表调整!$H$5:$H$65536,IF(OR(MID(TRIM($A60),2,1)="：",MID(TRIM($A60),2,1)="、"),REPLACEB(TRIM($A60),1,4,""),TRIM($A60)),[28]母公司报表调整!$J$5:$J$65536)</f>
        <v>0</v>
      </c>
      <c r="I60" s="60">
        <f t="shared" si="9"/>
        <v>0</v>
      </c>
      <c r="J60" s="69"/>
      <c r="K60" s="61">
        <f t="shared" si="10"/>
        <v>0</v>
      </c>
    </row>
    <row r="61" ht="15" customHeight="1" spans="1:11">
      <c r="A61" s="62" t="str">
        <f>[28]报表格式!L60</f>
        <v>归属于少数股东的其他综合收益的税后净额</v>
      </c>
      <c r="B61" s="59">
        <f>[28]母公司PL汇总!B61</f>
        <v>0</v>
      </c>
      <c r="C61" s="59">
        <f>SUMIF([28]母公司汇总抵销!$E$5:$E$65538,IF(OR(MID(TRIM($A61),2,1)="：",MID(TRIM($A61),2,1)="、"),REPLACEB(TRIM($A61),1,4,""),TRIM($A61)),[28]母公司汇总抵销!$J$5:$J$65538)</f>
        <v>0</v>
      </c>
      <c r="D61" s="59">
        <f>SUMIF([28]母公司汇总抵销!$H$5:$H$65538,IF(OR(MID(TRIM($A61),2,1)="：",MID(TRIM($A61),2,1)="、"),REPLACEB(TRIM($A61),1,4,""),TRIM($A61)),[28]母公司汇总抵销!$J$5:$J$65538)</f>
        <v>0</v>
      </c>
      <c r="E61" s="60">
        <f>SUMIF([28]母公司账项调整!$E$5:$E$65536,IF(OR(MID(TRIM($A61),2,1)="：",MID(TRIM($A61),2,1)="、"),REPLACEB(TRIM($A61),1,4,""),TRIM($A61)),[28]母公司账项调整!$J$5:$J$65536)</f>
        <v>0</v>
      </c>
      <c r="F61" s="59">
        <f>SUMIF([28]母公司账项调整!$H$5:$H$65536,IF(OR(MID(TRIM($A61),2,1)="：",MID(TRIM($A61),2,1)="、"),REPLACEB(TRIM($A61),1,4,""),TRIM($A61)),[28]母公司账项调整!$J$5:$J$65536)</f>
        <v>0</v>
      </c>
      <c r="G61" s="59">
        <f>SUMIF([28]母公司报表调整!$E$5:$E$65536,IF(OR(MID(TRIM($A61),2,1)="：",MID(TRIM($A61),2,1)="、"),REPLACEB(TRIM($A61),1,4,""),TRIM($A61)),[28]母公司报表调整!$J$5:$J$65536)</f>
        <v>0</v>
      </c>
      <c r="H61" s="59">
        <f>SUMIF([28]母公司报表调整!$H$5:$H$65536,IF(OR(MID(TRIM($A61),2,1)="：",MID(TRIM($A61),2,1)="、"),REPLACEB(TRIM($A61),1,4,""),TRIM($A61)),[28]母公司报表调整!$J$5:$J$65536)</f>
        <v>0</v>
      </c>
      <c r="I61" s="60">
        <f t="shared" si="9"/>
        <v>0</v>
      </c>
      <c r="J61" s="69"/>
      <c r="K61" s="61">
        <f t="shared" si="10"/>
        <v>0</v>
      </c>
    </row>
    <row r="62" ht="15" customHeight="1" spans="1:11">
      <c r="A62" s="58" t="str">
        <f>[28]报表格式!L61</f>
        <v>六、综合收益总额</v>
      </c>
      <c r="B62" s="66">
        <f>[28]母公司PL汇总!B62</f>
        <v>0</v>
      </c>
      <c r="C62" s="66">
        <f t="shared" ref="C62:J62" si="16">C34+C41</f>
        <v>0</v>
      </c>
      <c r="D62" s="66">
        <f t="shared" si="16"/>
        <v>0</v>
      </c>
      <c r="E62" s="68">
        <f t="shared" si="16"/>
        <v>0</v>
      </c>
      <c r="F62" s="66">
        <f t="shared" si="16"/>
        <v>0</v>
      </c>
      <c r="G62" s="66">
        <f t="shared" si="16"/>
        <v>0</v>
      </c>
      <c r="H62" s="66">
        <f t="shared" si="16"/>
        <v>0</v>
      </c>
      <c r="I62" s="68">
        <f t="shared" si="16"/>
        <v>0</v>
      </c>
      <c r="J62" s="66">
        <f t="shared" si="16"/>
        <v>0</v>
      </c>
      <c r="K62" s="71">
        <f t="shared" si="10"/>
        <v>0</v>
      </c>
    </row>
    <row r="63" ht="15" customHeight="1" spans="1:11">
      <c r="A63" s="62" t="str">
        <f>[28]报表格式!L62</f>
        <v>     归属于母公司股东的综合收益总额</v>
      </c>
      <c r="B63" s="59">
        <f>[28]母公司PL汇总!B63</f>
        <v>0</v>
      </c>
      <c r="C63" s="59">
        <f t="shared" ref="C63:J63" si="17">C39+C42</f>
        <v>0</v>
      </c>
      <c r="D63" s="59">
        <f t="shared" si="17"/>
        <v>0</v>
      </c>
      <c r="E63" s="60">
        <f t="shared" si="17"/>
        <v>0</v>
      </c>
      <c r="F63" s="59">
        <f t="shared" si="17"/>
        <v>0</v>
      </c>
      <c r="G63" s="59">
        <f t="shared" si="17"/>
        <v>0</v>
      </c>
      <c r="H63" s="59">
        <f t="shared" si="17"/>
        <v>0</v>
      </c>
      <c r="I63" s="60">
        <f t="shared" si="17"/>
        <v>0</v>
      </c>
      <c r="J63" s="59">
        <f t="shared" si="17"/>
        <v>0</v>
      </c>
      <c r="K63" s="61">
        <f t="shared" si="10"/>
        <v>0</v>
      </c>
    </row>
    <row r="64" ht="15" customHeight="1" spans="1:11">
      <c r="A64" s="62" t="str">
        <f>[28]报表格式!L63</f>
        <v>     归属于少数股东的综合收益总额</v>
      </c>
      <c r="B64" s="59">
        <f>[28]母公司PL汇总!B64</f>
        <v>0</v>
      </c>
      <c r="C64" s="59">
        <f t="shared" ref="C64:H64" si="18">C40+C61</f>
        <v>0</v>
      </c>
      <c r="D64" s="59">
        <f t="shared" si="18"/>
        <v>0</v>
      </c>
      <c r="E64" s="60">
        <f t="shared" si="18"/>
        <v>0</v>
      </c>
      <c r="F64" s="59">
        <f t="shared" si="18"/>
        <v>0</v>
      </c>
      <c r="G64" s="59">
        <f t="shared" si="18"/>
        <v>0</v>
      </c>
      <c r="H64" s="59">
        <f t="shared" si="18"/>
        <v>0</v>
      </c>
      <c r="I64" s="60">
        <f t="shared" ref="I64:I67" si="19">B64-E64-G64+F64+H64-C64+D64</f>
        <v>0</v>
      </c>
      <c r="J64" s="69"/>
      <c r="K64" s="61">
        <f t="shared" si="10"/>
        <v>0</v>
      </c>
    </row>
    <row r="65" ht="15" customHeight="1" spans="1:11">
      <c r="A65" s="58" t="str">
        <f>[28]报表格式!L64</f>
        <v>七、每股收益</v>
      </c>
      <c r="B65" s="59"/>
      <c r="C65" s="59"/>
      <c r="D65" s="59"/>
      <c r="E65" s="60"/>
      <c r="F65" s="59"/>
      <c r="G65" s="59"/>
      <c r="H65" s="59"/>
      <c r="I65" s="60"/>
      <c r="J65" s="69"/>
      <c r="K65" s="61"/>
    </row>
    <row r="66" ht="15" customHeight="1" spans="1:11">
      <c r="A66" s="62" t="str">
        <f>[28]报表格式!L65</f>
        <v>   （一）基本每股收益</v>
      </c>
      <c r="B66" s="59">
        <f>[28]母公司PL汇总!B66</f>
        <v>0</v>
      </c>
      <c r="C66" s="59">
        <f>SUMIF([28]母公司汇总抵销!$E$5:$E$65538,IF(OR(MID(TRIM($A66),2,1)="：",MID(TRIM($A66),2,1)="、"),REPLACEB(TRIM($A66),1,4,""),TRIM($A66)),[28]母公司汇总抵销!$J$5:$J$65538)</f>
        <v>0</v>
      </c>
      <c r="D66" s="59">
        <f>SUMIF([28]母公司汇总抵销!$H$5:$H$65538,IF(OR(MID(TRIM($A66),2,1)="：",MID(TRIM($A66),2,1)="、"),REPLACEB(TRIM($A66),1,4,""),TRIM($A66)),[28]母公司汇总抵销!$J$5:$J$65538)</f>
        <v>0</v>
      </c>
      <c r="E66" s="60">
        <f>SUMIF([28]母公司账项调整!$E$5:$E$65536,IF(OR(MID(TRIM($A66),2,1)="：",MID(TRIM($A66),2,1)="、"),REPLACEB(TRIM($A66),1,4,""),TRIM($A66)),[28]母公司账项调整!$J$5:$J$65536)</f>
        <v>0</v>
      </c>
      <c r="F66" s="59">
        <f>SUMIF([28]母公司账项调整!$H$5:$H$65536,IF(OR(MID(TRIM($A66),2,1)="：",MID(TRIM($A66),2,1)="、"),REPLACEB(TRIM($A66),1,4,""),TRIM($A66)),[28]母公司账项调整!$J$5:$J$65536)</f>
        <v>0</v>
      </c>
      <c r="G66" s="59">
        <f>SUMIF([28]母公司报表调整!$E$5:$E$65536,IF(OR(MID(TRIM($A66),2,1)="：",MID(TRIM($A66),2,1)="、"),REPLACEB(TRIM($A66),1,4,""),TRIM($A66)),[28]母公司报表调整!$J$5:$J$65536)</f>
        <v>0</v>
      </c>
      <c r="H66" s="59">
        <f>SUMIF([28]母公司报表调整!$H$5:$H$65536,IF(OR(MID(TRIM($A66),2,1)="：",MID(TRIM($A66),2,1)="、"),REPLACEB(TRIM($A66),1,4,""),TRIM($A66)),[28]母公司报表调整!$J$5:$J$65536)</f>
        <v>0</v>
      </c>
      <c r="I66" s="60">
        <f t="shared" si="19"/>
        <v>0</v>
      </c>
      <c r="J66" s="69"/>
      <c r="K66" s="61">
        <f t="shared" ref="K66:K79" si="20">SUM(I66:J66)</f>
        <v>0</v>
      </c>
    </row>
    <row r="67" ht="15" customHeight="1" spans="1:11">
      <c r="A67" s="72" t="str">
        <f>[28]报表格式!L66</f>
        <v>   （二）稀释每股收益</v>
      </c>
      <c r="B67" s="64">
        <f>[28]母公司PL汇总!B67</f>
        <v>0</v>
      </c>
      <c r="C67" s="64">
        <f>SUMIF([28]母公司汇总抵销!$E$5:$E$65538,IF(OR(MID(TRIM($A67),2,1)="：",MID(TRIM($A67),2,1)="、"),REPLACEB(TRIM($A67),1,4,""),TRIM($A67)),[28]母公司汇总抵销!$J$5:$J$65538)</f>
        <v>0</v>
      </c>
      <c r="D67" s="64">
        <f>SUMIF([28]母公司汇总抵销!$H$5:$H$65538,IF(OR(MID(TRIM($A67),2,1)="：",MID(TRIM($A67),2,1)="、"),REPLACEB(TRIM($A67),1,4,""),TRIM($A67)),[28]母公司汇总抵销!$J$5:$J$65538)</f>
        <v>0</v>
      </c>
      <c r="E67" s="65">
        <f>SUMIF([28]母公司账项调整!$E$5:$E$65536,IF(OR(MID(TRIM($A67),2,1)="：",MID(TRIM($A67),2,1)="、"),REPLACEB(TRIM($A67),1,4,""),TRIM($A67)),[28]母公司账项调整!$J$5:$J$65536)</f>
        <v>0</v>
      </c>
      <c r="F67" s="64">
        <f>SUMIF([28]母公司账项调整!$H$5:$H$65536,IF(OR(MID(TRIM($A67),2,1)="：",MID(TRIM($A67),2,1)="、"),REPLACEB(TRIM($A67),1,4,""),TRIM($A67)),[28]母公司账项调整!$J$5:$J$65536)</f>
        <v>0</v>
      </c>
      <c r="G67" s="64">
        <f>SUMIF([28]母公司报表调整!$E$5:$E$65536,IF(OR(MID(TRIM($A67),2,1)="：",MID(TRIM($A67),2,1)="、"),REPLACEB(TRIM($A67),1,4,""),TRIM($A67)),[28]母公司报表调整!$J$5:$J$65536)</f>
        <v>0</v>
      </c>
      <c r="H67" s="64">
        <f>SUMIF([28]母公司报表调整!$H$5:$H$65536,IF(OR(MID(TRIM($A67),2,1)="：",MID(TRIM($A67),2,1)="、"),REPLACEB(TRIM($A67),1,4,""),TRIM($A67)),[28]母公司报表调整!$J$5:$J$65536)</f>
        <v>0</v>
      </c>
      <c r="I67" s="60">
        <f t="shared" si="19"/>
        <v>0</v>
      </c>
      <c r="J67" s="69"/>
      <c r="K67" s="73">
        <f t="shared" si="20"/>
        <v>0</v>
      </c>
    </row>
    <row r="68" ht="15" customHeight="1" spans="1:11">
      <c r="A68" s="74" t="str">
        <f>[28]报表格式!L67</f>
        <v>八、利润分配</v>
      </c>
      <c r="B68" s="64"/>
      <c r="C68" s="64"/>
      <c r="D68" s="64"/>
      <c r="E68" s="65"/>
      <c r="F68" s="64"/>
      <c r="G68" s="64"/>
      <c r="H68" s="64"/>
      <c r="I68" s="65"/>
      <c r="J68" s="69"/>
      <c r="K68" s="69"/>
    </row>
    <row r="69" ht="15" customHeight="1" spans="1:11">
      <c r="A69" s="72" t="str">
        <f>[28]报表格式!L68</f>
        <v>   （一）年初未分配利润</v>
      </c>
      <c r="B69" s="64">
        <f>[28]母公司PL汇总!B69</f>
        <v>0</v>
      </c>
      <c r="C69" s="64">
        <f>SUMIF([28]母公司汇总抵销!$E$5:$E$65538,IF(OR(MID(TRIM($A69),1,1)="（",MID(TRIM($A69),2,1)="、"),REPLACEB(TRIM($A69),1,6,""),TRIM($A69)),[28]母公司汇总抵销!$J$5:$J$65538)</f>
        <v>0</v>
      </c>
      <c r="D69" s="64">
        <f>SUMIF([28]母公司汇总抵销!$H$5:$H$65538,IF(OR(MID(TRIM($A69),1,1)="（",MID(TRIM($A69),2,1)="、"),REPLACEB(TRIM($A69),1,6,""),TRIM($A69)),[28]母公司汇总抵销!$J$5:$J$65538)</f>
        <v>0</v>
      </c>
      <c r="E69" s="65">
        <f>SUMIF([28]母公司账项调整!$E$5:$E$65536,IF(OR(MID(TRIM($A69),1,1)="（",MID(TRIM($A69),2,1)="、"),REPLACEB(TRIM($A69),1,6,""),TRIM($A69)),[28]母公司账项调整!$J$5:$J$65536)</f>
        <v>0</v>
      </c>
      <c r="F69" s="64">
        <f>SUMIF([28]母公司账项调整!$H$5:$H$65536,IF(OR(MID(TRIM($A69),1,1)="（",MID(TRIM($A69),2,1)="、"),REPLACEB(TRIM($A69),1,6,""),TRIM($A69)),[28]母公司账项调整!$J$5:$J$65536)</f>
        <v>0</v>
      </c>
      <c r="G69" s="64">
        <f>SUMIF([28]母公司报表调整!$E$5:$E$65536,IF(OR(MID(TRIM($A69),1,1)="（",MID(TRIM($A69),2,1)="、"),REPLACEB(TRIM($A69),1,6,""),TRIM($A69)),[28]母公司报表调整!$J$5:$J$65536)</f>
        <v>0</v>
      </c>
      <c r="H69" s="64">
        <f>SUMIF([28]母公司报表调整!$H$5:$H$65536,IF(OR(MID(TRIM($A69),1,1)="（",MID(TRIM($A69),2,1)="、"),REPLACEB(TRIM($A69),1,6,""),TRIM($A69)),[28]母公司报表调整!$J$5:$J$65536)</f>
        <v>0</v>
      </c>
      <c r="I69" s="60">
        <f t="shared" ref="I69:I72" si="21">B69-E69-G69+F69+H69-C69+D69</f>
        <v>0</v>
      </c>
      <c r="J69" s="69"/>
      <c r="K69" s="73">
        <f t="shared" si="20"/>
        <v>0</v>
      </c>
    </row>
    <row r="70" ht="15" customHeight="1" spans="1:11">
      <c r="A70" s="72" t="str">
        <f>[28]报表格式!L69</f>
        <v>   （二）可供分配的利润</v>
      </c>
      <c r="B70" s="64">
        <f>[28]母公司PL汇总!B70</f>
        <v>0</v>
      </c>
      <c r="C70" s="64">
        <f t="shared" ref="C70:J70" si="22">C39+C69</f>
        <v>0</v>
      </c>
      <c r="D70" s="64">
        <f t="shared" si="22"/>
        <v>0</v>
      </c>
      <c r="E70" s="65">
        <f t="shared" si="22"/>
        <v>0</v>
      </c>
      <c r="F70" s="64">
        <f t="shared" si="22"/>
        <v>0</v>
      </c>
      <c r="G70" s="64">
        <f t="shared" si="22"/>
        <v>0</v>
      </c>
      <c r="H70" s="64">
        <f t="shared" si="22"/>
        <v>0</v>
      </c>
      <c r="I70" s="65">
        <f t="shared" si="22"/>
        <v>0</v>
      </c>
      <c r="J70" s="64">
        <f t="shared" si="22"/>
        <v>0</v>
      </c>
      <c r="K70" s="73">
        <f t="shared" si="20"/>
        <v>0</v>
      </c>
    </row>
    <row r="71" ht="15" customHeight="1" spans="1:11">
      <c r="A71" s="72" t="str">
        <f>[28]报表格式!L70</f>
        <v>    1、提取法定盈余公积</v>
      </c>
      <c r="B71" s="64">
        <f>[28]母公司PL汇总!B71</f>
        <v>0</v>
      </c>
      <c r="C71" s="59">
        <f>SUMIF([28]母公司汇总抵销!$E$5:$E$65538,IF(OR(MID(TRIM($A71),2,1)="：",MID(TRIM($A71),2,1)="."),REPLACEB(TRIM($A71),1,4,""),TRIM($A71)),[28]母公司汇总抵销!$J$5:$J$65538)</f>
        <v>0</v>
      </c>
      <c r="D71" s="59">
        <f>SUMIF([28]母公司汇总抵销!$H$5:$H$65538,IF(OR(MID(TRIM($A71),2,1)="：",MID(TRIM($A71),2,1)="."),REPLACEB(TRIM($A71),1,4,""),TRIM($A71)),[28]母公司汇总抵销!$J$5:$J$65538)</f>
        <v>0</v>
      </c>
      <c r="E71" s="60">
        <f>SUMIF([28]母公司账项调整!$E$5:$E$65536,IF(OR(MID(TRIM($A71),2,1)="：",MID(TRIM($A71),2,1)="."),REPLACEB(TRIM($A71),1,4,""),TRIM($A71)),[28]母公司账项调整!$J$5:$J$65536)</f>
        <v>0</v>
      </c>
      <c r="F71" s="59">
        <f>SUMIF([28]母公司账项调整!$H$5:$H$65536,IF(OR(MID(TRIM($A71),2,1)="：",MID(TRIM($A71),2,1)="."),REPLACEB(TRIM($A71),1,4,""),TRIM($A71)),[28]母公司账项调整!$J$5:$J$65536)</f>
        <v>0</v>
      </c>
      <c r="G71" s="59">
        <f>SUMIF([28]母公司报表调整!$E$5:$E$65536,IF(OR(MID(TRIM($A71),2,1)="：",MID(TRIM($A71),2,1)="."),REPLACEB(TRIM($A71),1,4,""),TRIM($A71)),[28]母公司报表调整!$J$5:$J$65536)</f>
        <v>0</v>
      </c>
      <c r="H71" s="59">
        <f>SUMIF([28]母公司报表调整!$H$5:$H$65536,IF(OR(MID(TRIM($A71),2,1)="：",MID(TRIM($A71),2,1)="."),REPLACEB(TRIM($A71),1,4,""),TRIM($A71)),[28]母公司报表调整!$J$5:$J$65536)</f>
        <v>0</v>
      </c>
      <c r="I71" s="60">
        <f t="shared" si="21"/>
        <v>0</v>
      </c>
      <c r="J71" s="69"/>
      <c r="K71" s="73">
        <f t="shared" si="20"/>
        <v>0</v>
      </c>
    </row>
    <row r="72" ht="15" customHeight="1" spans="1:11">
      <c r="A72" s="72" t="str">
        <f>[28]报表格式!L71</f>
        <v>    2、其他</v>
      </c>
      <c r="B72" s="64">
        <f>[28]母公司PL汇总!B72</f>
        <v>0</v>
      </c>
      <c r="C72" s="59">
        <f>SUMIF([28]母公司汇总抵销!$E$5:$E$65538,IF(OR(MID(TRIM($A72),2,1)="：",MID(TRIM($A72),2,1)="."),REPLACEB(TRIM($A72),1,4,""),TRIM($A72)),[28]母公司汇总抵销!$J$5:$J$65538)</f>
        <v>0</v>
      </c>
      <c r="D72" s="59">
        <f>SUMIF([28]母公司汇总抵销!$H$5:$H$65538,IF(OR(MID(TRIM($A72),2,1)="：",MID(TRIM($A72),2,1)="."),REPLACEB(TRIM($A72),1,4,""),TRIM($A72)),[28]母公司汇总抵销!$J$5:$J$65538)</f>
        <v>0</v>
      </c>
      <c r="E72" s="60">
        <f>SUMIF([28]母公司账项调整!$E$5:$E$65536,IF(OR(MID(TRIM($A72),2,1)="：",MID(TRIM($A72),2,1)="."),REPLACEB(TRIM($A72),1,4,""),TRIM($A72)),[28]母公司账项调整!$J$5:$J$65536)</f>
        <v>0</v>
      </c>
      <c r="F72" s="59">
        <f>SUMIF([28]母公司账项调整!$H$5:$H$65536,IF(OR(MID(TRIM($A72),2,1)="：",MID(TRIM($A72),2,1)="."),REPLACEB(TRIM($A72),1,4,""),TRIM($A72)),[28]母公司账项调整!$J$5:$J$65536)</f>
        <v>0</v>
      </c>
      <c r="G72" s="59">
        <f>SUMIF([28]母公司报表调整!$E$5:$E$65536,IF(OR(MID(TRIM($A72),2,1)="：",MID(TRIM($A72),2,1)="."),REPLACEB(TRIM($A72),1,4,""),TRIM($A72)),[28]母公司报表调整!$J$5:$J$65536)</f>
        <v>0</v>
      </c>
      <c r="H72" s="59">
        <f>SUMIF([28]母公司报表调整!$H$5:$H$65536,IF(OR(MID(TRIM($A72),2,1)="：",MID(TRIM($A72),2,1)="."),REPLACEB(TRIM($A72),1,4,""),TRIM($A72)),[28]母公司报表调整!$J$5:$J$65536)</f>
        <v>0</v>
      </c>
      <c r="I72" s="60">
        <f t="shared" si="21"/>
        <v>0</v>
      </c>
      <c r="J72" s="69"/>
      <c r="K72" s="73">
        <f t="shared" si="20"/>
        <v>0</v>
      </c>
    </row>
    <row r="73" ht="15" customHeight="1" spans="1:11">
      <c r="A73" s="72" t="str">
        <f>[28]报表格式!L72</f>
        <v>   （三）可供投资者分配的利润</v>
      </c>
      <c r="B73" s="64">
        <f>[28]母公司PL汇总!B73</f>
        <v>0</v>
      </c>
      <c r="C73" s="64">
        <f t="shared" ref="C73:J73" si="23">C70-C71-C72</f>
        <v>0</v>
      </c>
      <c r="D73" s="64">
        <f t="shared" si="23"/>
        <v>0</v>
      </c>
      <c r="E73" s="65">
        <f t="shared" si="23"/>
        <v>0</v>
      </c>
      <c r="F73" s="64">
        <f t="shared" si="23"/>
        <v>0</v>
      </c>
      <c r="G73" s="64">
        <f t="shared" si="23"/>
        <v>0</v>
      </c>
      <c r="H73" s="64">
        <f t="shared" si="23"/>
        <v>0</v>
      </c>
      <c r="I73" s="65">
        <f t="shared" si="23"/>
        <v>0</v>
      </c>
      <c r="J73" s="64">
        <f t="shared" si="23"/>
        <v>0</v>
      </c>
      <c r="K73" s="73">
        <f t="shared" si="20"/>
        <v>0</v>
      </c>
    </row>
    <row r="74" ht="15" customHeight="1" spans="1:11">
      <c r="A74" s="72" t="str">
        <f>[28]报表格式!L73</f>
        <v>    1、应付优先股股利</v>
      </c>
      <c r="B74" s="64">
        <f>[28]母公司PL汇总!B74</f>
        <v>0</v>
      </c>
      <c r="C74" s="59">
        <f>SUMIF([28]母公司汇总抵销!$E$5:$E$65538,IF(OR(MID(TRIM($A74),2,1)="：",MID(TRIM($A74),2,1)="."),REPLACEB(TRIM($A74),1,4,""),TRIM($A74)),[28]母公司汇总抵销!$J$5:$J$65538)</f>
        <v>0</v>
      </c>
      <c r="D74" s="59">
        <f>SUMIF([28]母公司汇总抵销!$H$5:$H$65538,IF(OR(MID(TRIM($A74),2,1)="：",MID(TRIM($A74),2,1)="."),REPLACEB(TRIM($A74),1,4,""),TRIM($A74)),[28]母公司汇总抵销!$J$5:$J$65538)</f>
        <v>0</v>
      </c>
      <c r="E74" s="60">
        <f>SUMIF([28]母公司账项调整!$E$5:$E$65536,IF(OR(MID(TRIM($A74),2,1)="：",MID(TRIM($A74),2,1)="."),REPLACEB(TRIM($A74),1,4,""),TRIM($A74)),[28]母公司账项调整!$J$5:$J$65536)</f>
        <v>0</v>
      </c>
      <c r="F74" s="59">
        <f>SUMIF([28]母公司账项调整!$H$5:$H$65536,IF(OR(MID(TRIM($A74),2,1)="：",MID(TRIM($A74),2,1)="."),REPLACEB(TRIM($A74),1,4,""),TRIM($A74)),[28]母公司账项调整!$J$5:$J$65536)</f>
        <v>0</v>
      </c>
      <c r="G74" s="59">
        <f>SUMIF([28]母公司报表调整!$E$5:$E$65536,IF(OR(MID(TRIM($A74),2,1)="：",MID(TRIM($A74),2,1)="."),REPLACEB(TRIM($A74),1,4,""),TRIM($A74)),[28]母公司报表调整!$J$5:$J$65536)</f>
        <v>0</v>
      </c>
      <c r="H74" s="59">
        <f>SUMIF([28]母公司报表调整!$H$5:$H$65536,IF(OR(MID(TRIM($A74),2,1)="：",MID(TRIM($A74),2,1)="."),REPLACEB(TRIM($A74),1,4,""),TRIM($A74)),[28]母公司报表调整!$J$5:$J$65536)</f>
        <v>0</v>
      </c>
      <c r="I74" s="60">
        <f t="shared" ref="I74:I78" si="24">B74-E74-G74+F74+H74-C74+D74</f>
        <v>0</v>
      </c>
      <c r="J74" s="69"/>
      <c r="K74" s="73">
        <f t="shared" si="20"/>
        <v>0</v>
      </c>
    </row>
    <row r="75" ht="15" customHeight="1" spans="1:11">
      <c r="A75" s="72" t="str">
        <f>[28]报表格式!L74</f>
        <v>    2、提取任意盈余公积</v>
      </c>
      <c r="B75" s="64">
        <f>[28]母公司PL汇总!B75</f>
        <v>0</v>
      </c>
      <c r="C75" s="59">
        <f>SUMIF([28]母公司汇总抵销!$E$5:$E$65538,IF(OR(MID(TRIM($A75),2,1)="：",MID(TRIM($A75),2,1)="."),REPLACEB(TRIM($A75),1,4,""),TRIM($A75)),[28]母公司汇总抵销!$J$5:$J$65538)</f>
        <v>0</v>
      </c>
      <c r="D75" s="59">
        <f>SUMIF([28]母公司汇总抵销!$H$5:$H$65538,IF(OR(MID(TRIM($A75),2,1)="：",MID(TRIM($A75),2,1)="."),REPLACEB(TRIM($A75),1,4,""),TRIM($A75)),[28]母公司汇总抵销!$J$5:$J$65538)</f>
        <v>0</v>
      </c>
      <c r="E75" s="60">
        <f>SUMIF([28]母公司账项调整!$E$5:$E$65536,IF(OR(MID(TRIM($A75),2,1)="：",MID(TRIM($A75),2,1)="."),REPLACEB(TRIM($A75),1,4,""),TRIM($A75)),[28]母公司账项调整!$J$5:$J$65536)</f>
        <v>0</v>
      </c>
      <c r="F75" s="59">
        <f>SUMIF([28]母公司账项调整!$H$5:$H$65536,IF(OR(MID(TRIM($A75),2,1)="：",MID(TRIM($A75),2,1)="."),REPLACEB(TRIM($A75),1,4,""),TRIM($A75)),[28]母公司账项调整!$J$5:$J$65536)</f>
        <v>0</v>
      </c>
      <c r="G75" s="59">
        <f>SUMIF([28]母公司报表调整!$E$5:$E$65536,IF(OR(MID(TRIM($A75),2,1)="：",MID(TRIM($A75),2,1)="."),REPLACEB(TRIM($A75),1,4,""),TRIM($A75)),[28]母公司报表调整!$J$5:$J$65536)</f>
        <v>0</v>
      </c>
      <c r="H75" s="59">
        <f>SUMIF([28]母公司报表调整!$H$5:$H$65536,IF(OR(MID(TRIM($A75),2,1)="：",MID(TRIM($A75),2,1)="."),REPLACEB(TRIM($A75),1,4,""),TRIM($A75)),[28]母公司报表调整!$J$5:$J$65536)</f>
        <v>0</v>
      </c>
      <c r="I75" s="60">
        <f t="shared" si="24"/>
        <v>0</v>
      </c>
      <c r="J75" s="69"/>
      <c r="K75" s="73">
        <f t="shared" si="20"/>
        <v>0</v>
      </c>
    </row>
    <row r="76" ht="15" customHeight="1" spans="1:11">
      <c r="A76" s="72" t="str">
        <f>[28]报表格式!L75</f>
        <v>    3、应付普通股股利（应付利润）</v>
      </c>
      <c r="B76" s="64">
        <f>[28]母公司PL汇总!B76</f>
        <v>0</v>
      </c>
      <c r="C76" s="59">
        <f>SUMIF([28]母公司汇总抵销!$E$5:$E$65538,IF(OR(MID(TRIM($A76),2,1)="：",MID(TRIM($A76),2,1)="."),REPLACEB(TRIM($A76),1,4,""),TRIM($A76)),[28]母公司汇总抵销!$J$5:$J$65538)</f>
        <v>0</v>
      </c>
      <c r="D76" s="59">
        <f>SUMIF([28]母公司汇总抵销!$H$5:$H$65538,IF(OR(MID(TRIM($A76),2,1)="：",MID(TRIM($A76),2,1)="."),REPLACEB(TRIM($A76),1,4,""),TRIM($A76)),[28]母公司汇总抵销!$J$5:$J$65538)</f>
        <v>0</v>
      </c>
      <c r="E76" s="60">
        <f>SUMIF([28]母公司账项调整!$E$5:$E$65536,IF(OR(MID(TRIM($A76),2,1)="：",MID(TRIM($A76),2,1)="."),REPLACEB(TRIM($A76),1,4,""),TRIM($A76)),[28]母公司账项调整!$J$5:$J$65536)</f>
        <v>0</v>
      </c>
      <c r="F76" s="59">
        <f>SUMIF([28]母公司账项调整!$H$5:$H$65536,IF(OR(MID(TRIM($A76),2,1)="：",MID(TRIM($A76),2,1)="."),REPLACEB(TRIM($A76),1,4,""),TRIM($A76)),[28]母公司账项调整!$J$5:$J$65536)</f>
        <v>0</v>
      </c>
      <c r="G76" s="59">
        <f>SUMIF([28]母公司报表调整!$E$5:$E$65536,IF(OR(MID(TRIM($A76),2,1)="：",MID(TRIM($A76),2,1)="."),REPLACEB(TRIM($A76),1,4,""),TRIM($A76)),[28]母公司报表调整!$J$5:$J$65536)</f>
        <v>0</v>
      </c>
      <c r="H76" s="59">
        <f>SUMIF([28]母公司报表调整!$H$5:$H$65536,IF(OR(MID(TRIM($A76),2,1)="：",MID(TRIM($A76),2,1)="."),REPLACEB(TRIM($A76),1,4,""),TRIM($A76)),[28]母公司报表调整!$J$5:$J$65536)</f>
        <v>0</v>
      </c>
      <c r="I76" s="60">
        <f t="shared" si="24"/>
        <v>0</v>
      </c>
      <c r="J76" s="69"/>
      <c r="K76" s="73">
        <f t="shared" si="20"/>
        <v>0</v>
      </c>
    </row>
    <row r="77" ht="15" customHeight="1" spans="1:11">
      <c r="A77" s="72" t="str">
        <f>[28]报表格式!L76</f>
        <v>    4、转作资本（或股本）的普通股股利</v>
      </c>
      <c r="B77" s="64">
        <f>[28]母公司PL汇总!B77</f>
        <v>0</v>
      </c>
      <c r="C77" s="59">
        <f>SUMIF([28]母公司汇总抵销!$E$5:$E$65538,IF(OR(MID(TRIM($A77),2,1)="：",MID(TRIM($A77),2,1)="."),REPLACEB(TRIM($A77),1,4,""),TRIM($A77)),[28]母公司汇总抵销!$J$5:$J$65538)</f>
        <v>0</v>
      </c>
      <c r="D77" s="59">
        <f>SUMIF([28]母公司汇总抵销!$H$5:$H$65538,IF(OR(MID(TRIM($A77),2,1)="：",MID(TRIM($A77),2,1)="."),REPLACEB(TRIM($A77),1,4,""),TRIM($A77)),[28]母公司汇总抵销!$J$5:$J$65538)</f>
        <v>0</v>
      </c>
      <c r="E77" s="60">
        <f>SUMIF([28]母公司账项调整!$E$5:$E$65536,IF(OR(MID(TRIM($A77),2,1)="：",MID(TRIM($A77),2,1)="."),REPLACEB(TRIM($A77),1,4,""),TRIM($A77)),[28]母公司账项调整!$J$5:$J$65536)</f>
        <v>0</v>
      </c>
      <c r="F77" s="59">
        <f>SUMIF([28]母公司账项调整!$H$5:$H$65536,IF(OR(MID(TRIM($A77),2,1)="：",MID(TRIM($A77),2,1)="."),REPLACEB(TRIM($A77),1,4,""),TRIM($A77)),[28]母公司账项调整!$J$5:$J$65536)</f>
        <v>0</v>
      </c>
      <c r="G77" s="59">
        <f>SUMIF([28]母公司报表调整!$E$5:$E$65536,IF(OR(MID(TRIM($A77),2,1)="：",MID(TRIM($A77),2,1)="."),REPLACEB(TRIM($A77),1,4,""),TRIM($A77)),[28]母公司报表调整!$J$5:$J$65536)</f>
        <v>0</v>
      </c>
      <c r="H77" s="59">
        <f>SUMIF([28]母公司报表调整!$H$5:$H$65536,IF(OR(MID(TRIM($A77),2,1)="：",MID(TRIM($A77),2,1)="."),REPLACEB(TRIM($A77),1,4,""),TRIM($A77)),[28]母公司报表调整!$J$5:$J$65536)</f>
        <v>0</v>
      </c>
      <c r="I77" s="60">
        <f t="shared" si="24"/>
        <v>0</v>
      </c>
      <c r="J77" s="69"/>
      <c r="K77" s="73">
        <f t="shared" si="20"/>
        <v>0</v>
      </c>
    </row>
    <row r="78" ht="15" customHeight="1" spans="1:11">
      <c r="A78" s="72" t="str">
        <f>[28]报表格式!L77</f>
        <v>    5、其他</v>
      </c>
      <c r="B78" s="64">
        <f>[28]母公司PL汇总!B78</f>
        <v>0</v>
      </c>
      <c r="C78" s="59">
        <f>SUMIF([28]母公司汇总抵销!$E$5:$E$65538,IF(OR(MID(TRIM($A78),2,1)="：",MID(TRIM($A78),2,1)="."),REPLACEB(TRIM($A78),1,4,""),TRIM($A78)),[28]母公司汇总抵销!$J$5:$J$65538)</f>
        <v>0</v>
      </c>
      <c r="D78" s="59">
        <f>SUMIF([28]母公司汇总抵销!$H$5:$H$65538,IF(OR(MID(TRIM($A78),2,1)="：",MID(TRIM($A78),2,1)="."),REPLACEB(TRIM($A78),1,4,""),TRIM($A78)),[28]母公司汇总抵销!$J$5:$J$65538)</f>
        <v>0</v>
      </c>
      <c r="E78" s="60">
        <f>SUMIF([28]母公司账项调整!$E$5:$E$65536,IF(OR(MID(TRIM($A78),2,1)="：",MID(TRIM($A78),2,1)="."),REPLACEB(TRIM($A78),1,4,""),TRIM($A78)),[28]母公司账项调整!$J$5:$J$65536)</f>
        <v>0</v>
      </c>
      <c r="F78" s="59">
        <f>SUMIF([28]母公司账项调整!$H$5:$H$65536,IF(OR(MID(TRIM($A78),2,1)="：",MID(TRIM($A78),2,1)="."),REPLACEB(TRIM($A78),1,4,""),TRIM($A78)),[28]母公司账项调整!$J$5:$J$65536)</f>
        <v>0</v>
      </c>
      <c r="G78" s="59">
        <f>SUMIF([28]母公司报表调整!$E$5:$E$65536,IF(OR(MID(TRIM($A78),2,1)="：",MID(TRIM($A78),2,1)="."),REPLACEB(TRIM($A78),1,4,""),TRIM($A78)),[28]母公司报表调整!$J$5:$J$65536)</f>
        <v>0</v>
      </c>
      <c r="H78" s="59">
        <f>SUMIF([28]母公司报表调整!$H$5:$H$65536,IF(OR(MID(TRIM($A78),2,1)="：",MID(TRIM($A78),2,1)="."),REPLACEB(TRIM($A78),1,4,""),TRIM($A78)),[28]母公司报表调整!$J$5:$J$65536)</f>
        <v>0</v>
      </c>
      <c r="I78" s="60">
        <f t="shared" si="24"/>
        <v>0</v>
      </c>
      <c r="J78" s="69"/>
      <c r="K78" s="73">
        <f t="shared" si="20"/>
        <v>0</v>
      </c>
    </row>
    <row r="79" s="2" customFormat="1" ht="15" customHeight="1" spans="1:11">
      <c r="A79" s="75" t="str">
        <f>[28]报表格式!L78</f>
        <v>九、未分配利润</v>
      </c>
      <c r="B79" s="76">
        <f>[28]母公司PL汇总!B79</f>
        <v>0</v>
      </c>
      <c r="C79" s="76">
        <f t="shared" ref="C79:J79" si="25">C73-SUM(C74:C78)</f>
        <v>0</v>
      </c>
      <c r="D79" s="76">
        <f t="shared" si="25"/>
        <v>0</v>
      </c>
      <c r="E79" s="76">
        <f t="shared" si="25"/>
        <v>0</v>
      </c>
      <c r="F79" s="76">
        <f t="shared" si="25"/>
        <v>0</v>
      </c>
      <c r="G79" s="76">
        <f t="shared" si="25"/>
        <v>0</v>
      </c>
      <c r="H79" s="76">
        <f t="shared" si="25"/>
        <v>0</v>
      </c>
      <c r="I79" s="76">
        <f t="shared" si="25"/>
        <v>0</v>
      </c>
      <c r="J79" s="76">
        <f t="shared" si="25"/>
        <v>0</v>
      </c>
      <c r="K79" s="77">
        <f t="shared" si="20"/>
        <v>0</v>
      </c>
    </row>
    <row r="80" s="47" customFormat="1" spans="1:11">
      <c r="A80" s="78"/>
      <c r="B80" s="79" t="e">
        <f>#REF!</f>
        <v>#REF!</v>
      </c>
      <c r="C80" s="80">
        <f t="shared" ref="C80:H80" si="26">SUM(C6,C9,C12:C16,C19:C20,C23:C27,C29:C30,C32:C33,C40,C44:C48,C50:C61,C66:C67,C69,C71:C72,C74:C78)</f>
        <v>0</v>
      </c>
      <c r="D80" s="80">
        <f t="shared" si="26"/>
        <v>0</v>
      </c>
      <c r="E80" s="80">
        <f t="shared" si="26"/>
        <v>0</v>
      </c>
      <c r="F80" s="80">
        <f t="shared" si="26"/>
        <v>0</v>
      </c>
      <c r="G80" s="80">
        <f t="shared" si="26"/>
        <v>0</v>
      </c>
      <c r="H80" s="80">
        <f t="shared" si="26"/>
        <v>0</v>
      </c>
      <c r="I80" s="80"/>
      <c r="J80" s="80">
        <f>SUM(J6,J9,J12:J14,J16,J20,J21,J22:J23,J29,J30,J32:J33,J40,J44:J48,J50:J60,J61,J69,J71:J72,J74:J78)</f>
        <v>0</v>
      </c>
      <c r="K80" s="81" t="e">
        <f>#REF!</f>
        <v>#REF!</v>
      </c>
    </row>
    <row r="81" spans="1:11">
      <c r="A81" s="82"/>
      <c r="B81" s="83" t="e">
        <f>B80-B79</f>
        <v>#REF!</v>
      </c>
      <c r="C81" s="84"/>
      <c r="D81" s="84"/>
      <c r="E81" s="85"/>
      <c r="F81" s="85"/>
      <c r="G81" s="85"/>
      <c r="H81" s="85"/>
      <c r="I81" s="84"/>
      <c r="J81" s="85"/>
      <c r="K81" s="83" t="e">
        <f>K80-K79</f>
        <v>#REF!</v>
      </c>
    </row>
  </sheetData>
  <sheetProtection formatCells="0" formatColumns="0" formatRows="0" insertRows="0" autoFilter="0" pivotTables="0"/>
  <mergeCells count="6">
    <mergeCell ref="C4:D4"/>
    <mergeCell ref="E4:F4"/>
    <mergeCell ref="G4:H4"/>
    <mergeCell ref="A4:A5"/>
    <mergeCell ref="B4:B5"/>
    <mergeCell ref="K4:K5"/>
  </mergeCells>
  <conditionalFormatting sqref="A4:A5">
    <cfRule type="cellIs" dxfId="0" priority="1" stopIfTrue="1" operator="equal">
      <formula>"报表未调平!"</formula>
    </cfRule>
  </conditionalFormatting>
  <printOptions horizontalCentered="1" verticalCentered="1"/>
  <pageMargins left="0.354330708661417" right="0.354330708661417" top="0.433070866141732" bottom="0.31" header="0.196850393700787" footer="0.196850393700787"/>
  <pageSetup paperSize="9" scale="58"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38"/>
    <pageSetUpPr fitToPage="1"/>
  </sheetPr>
  <dimension ref="A1:E82"/>
  <sheetViews>
    <sheetView showZeros="0" tabSelected="1" workbookViewId="0">
      <pane xSplit="2" ySplit="5" topLeftCell="C6" activePane="bottomRight" state="frozen"/>
      <selection/>
      <selection pane="topRight"/>
      <selection pane="bottomLeft"/>
      <selection pane="bottomRight" activeCell="C15" sqref="C15"/>
    </sheetView>
  </sheetViews>
  <sheetFormatPr defaultColWidth="7" defaultRowHeight="11.4" outlineLevelCol="4"/>
  <cols>
    <col min="1" max="1" width="45.625" style="3" customWidth="1"/>
    <col min="2" max="2" width="14.375" style="3" customWidth="1"/>
    <col min="3" max="3" width="15.25" style="3" customWidth="1"/>
    <col min="4" max="4" width="14.875" style="3" customWidth="1"/>
    <col min="5" max="5" width="14.75" style="3" customWidth="1"/>
    <col min="6" max="6" width="9.125" style="3" customWidth="1"/>
    <col min="7" max="7" width="8" style="3" customWidth="1"/>
    <col min="8" max="8" width="6.75" style="3" customWidth="1"/>
    <col min="9" max="16384" width="7" style="3"/>
  </cols>
  <sheetData>
    <row r="1" s="1" customFormat="1" ht="19.5" customHeight="1" spans="1:5">
      <c r="A1" s="4" t="s">
        <v>62</v>
      </c>
      <c r="B1" s="5"/>
      <c r="C1" s="5"/>
      <c r="D1" s="5"/>
      <c r="E1" s="5"/>
    </row>
    <row r="2" s="1" customFormat="1" ht="15" customHeight="1" spans="1:5">
      <c r="A2" s="6" t="str">
        <f>CONCATENATE("客户名称：",[28]说明!E23)</f>
        <v>客户名称：</v>
      </c>
      <c r="B2" s="7" t="str">
        <f>CONCATENATE("编制：",[28]说明!E36)</f>
        <v>编制：</v>
      </c>
      <c r="D2" s="6" t="str">
        <f>CONCATENATE("复核：",[28]说明!E37)</f>
        <v>复核：</v>
      </c>
      <c r="E2" s="8" t="s">
        <v>1</v>
      </c>
    </row>
    <row r="3" s="1" customFormat="1" ht="17.25" customHeight="1" spans="1:5">
      <c r="A3" s="9" t="str">
        <f>CONCATENATE("会计时点：",TEXT([28]说明!E32,"yyyy.mm.dd"))</f>
        <v>会计时点：2019.12.31</v>
      </c>
      <c r="B3" s="10" t="str">
        <f ca="1">CONCATENATE("日期：",TEXT(NOW(),"yyyy.mm.dd"))</f>
        <v>日期：2026.05.03</v>
      </c>
      <c r="D3" s="8" t="s">
        <v>2</v>
      </c>
      <c r="E3" s="8" t="s">
        <v>3</v>
      </c>
    </row>
    <row r="4" s="1" customFormat="1" ht="13.2" spans="1:5">
      <c r="A4" s="11" t="s">
        <v>4</v>
      </c>
      <c r="B4" s="12" t="s">
        <v>5</v>
      </c>
      <c r="C4" s="13" t="s">
        <v>58</v>
      </c>
      <c r="D4" s="13" t="s">
        <v>7</v>
      </c>
      <c r="E4" s="14" t="s">
        <v>8</v>
      </c>
    </row>
    <row r="5" s="1" customFormat="1" ht="14.25" customHeight="1" spans="1:5">
      <c r="A5" s="15"/>
      <c r="B5" s="16"/>
      <c r="C5" s="17"/>
      <c r="D5" s="17"/>
      <c r="E5" s="18"/>
    </row>
    <row r="6" ht="13.2" spans="1:5">
      <c r="A6" s="19" t="str">
        <f>[28]报表格式!Q5</f>
        <v>一、经营活动产生的现金流量</v>
      </c>
      <c r="B6" s="20"/>
      <c r="C6" s="21"/>
      <c r="D6" s="21"/>
      <c r="E6" s="22"/>
    </row>
    <row r="7" ht="13.2" spans="1:5">
      <c r="A7" s="23" t="str">
        <f>[28]报表格式!Q6</f>
        <v>     销售商品、提供劳务收到的现金</v>
      </c>
      <c r="B7" s="24"/>
      <c r="C7" s="25"/>
      <c r="D7" s="25"/>
      <c r="E7" s="26"/>
    </row>
    <row r="8" ht="13.2" spans="1:5">
      <c r="A8" s="23" t="str">
        <f>[28]报表格式!Q7</f>
        <v>     收到的税费返还</v>
      </c>
      <c r="B8" s="24"/>
      <c r="C8" s="25"/>
      <c r="D8" s="25"/>
      <c r="E8" s="26"/>
    </row>
    <row r="9" ht="13.2" spans="1:5">
      <c r="A9" s="23" t="str">
        <f>[28]报表格式!Q8</f>
        <v>     收到的其他与经营活动有关的现金</v>
      </c>
      <c r="B9" s="24"/>
      <c r="C9" s="25"/>
      <c r="D9" s="25"/>
      <c r="E9" s="26"/>
    </row>
    <row r="10" ht="13.2" spans="1:5">
      <c r="A10" s="27" t="str">
        <f>[28]报表格式!Q10</f>
        <v>     经营活动现金流入小计</v>
      </c>
      <c r="B10" s="24"/>
      <c r="C10" s="24"/>
      <c r="D10" s="24"/>
      <c r="E10" s="26"/>
    </row>
    <row r="11" ht="13.2" spans="1:5">
      <c r="A11" s="23" t="str">
        <f>[28]报表格式!Q11</f>
        <v>     购买商品、接受劳务支付的现金</v>
      </c>
      <c r="B11" s="24"/>
      <c r="C11" s="25"/>
      <c r="D11" s="25"/>
      <c r="E11" s="26"/>
    </row>
    <row r="12" ht="13.2" spans="1:5">
      <c r="A12" s="23" t="str">
        <f>[28]报表格式!Q12</f>
        <v>     支付给职工以及为职工支付的现金</v>
      </c>
      <c r="B12" s="24"/>
      <c r="C12" s="25"/>
      <c r="D12" s="25"/>
      <c r="E12" s="26"/>
    </row>
    <row r="13" ht="13.2" spans="1:5">
      <c r="A13" s="23" t="str">
        <f>[28]报表格式!Q13</f>
        <v>     支付各项税费</v>
      </c>
      <c r="B13" s="24"/>
      <c r="C13" s="25"/>
      <c r="D13" s="25"/>
      <c r="E13" s="26"/>
    </row>
    <row r="14" ht="13.2" spans="1:5">
      <c r="A14" s="23" t="str">
        <f>[28]报表格式!Q14</f>
        <v>     支付的其他与经营活动有关的现金</v>
      </c>
      <c r="B14" s="24"/>
      <c r="C14" s="25"/>
      <c r="D14" s="25"/>
      <c r="E14" s="26"/>
    </row>
    <row r="15" ht="13.2" spans="1:5">
      <c r="A15" s="27" t="str">
        <f>[28]报表格式!Q16</f>
        <v>     经营活动现金流出小计</v>
      </c>
      <c r="B15" s="24"/>
      <c r="C15" s="24"/>
      <c r="D15" s="24"/>
      <c r="E15" s="26"/>
    </row>
    <row r="16" s="2" customFormat="1" ht="13.2" spans="1:5">
      <c r="A16" s="27" t="str">
        <f>[28]报表格式!Q17</f>
        <v>     经营活动产生的现金流量净额</v>
      </c>
      <c r="B16" s="28"/>
      <c r="C16" s="28"/>
      <c r="D16" s="28"/>
      <c r="E16" s="29"/>
    </row>
    <row r="17" ht="13.2" spans="1:5">
      <c r="A17" s="30" t="str">
        <f>[28]报表格式!Q18</f>
        <v>二、投资活动产生的现金流量</v>
      </c>
      <c r="B17" s="24"/>
      <c r="C17" s="25"/>
      <c r="D17" s="25"/>
      <c r="E17" s="26"/>
    </row>
    <row r="18" ht="13.2" spans="1:5">
      <c r="A18" s="23" t="str">
        <f>[28]报表格式!Q19</f>
        <v>     收回投资所收到的现金</v>
      </c>
      <c r="B18" s="24"/>
      <c r="C18" s="25"/>
      <c r="D18" s="25"/>
      <c r="E18" s="26"/>
    </row>
    <row r="19" ht="13.2" spans="1:5">
      <c r="A19" s="23" t="str">
        <f>[28]报表格式!Q20</f>
        <v>     取得投资收益所收到的现金</v>
      </c>
      <c r="B19" s="24"/>
      <c r="C19" s="25"/>
      <c r="D19" s="25"/>
      <c r="E19" s="26"/>
    </row>
    <row r="20" ht="13.2" spans="1:5">
      <c r="A20" s="23" t="str">
        <f>[28]报表格式!Q21</f>
        <v>     处置固定资产、无形资产和其他长期资产而收到的现金净额</v>
      </c>
      <c r="B20" s="24"/>
      <c r="C20" s="25"/>
      <c r="D20" s="25"/>
      <c r="E20" s="26"/>
    </row>
    <row r="21" ht="13.2" spans="1:5">
      <c r="A21" s="23" t="str">
        <f>[28]报表格式!Q22</f>
        <v>     处置子公司及其他营业单位收到的现金净额</v>
      </c>
      <c r="B21" s="24"/>
      <c r="C21" s="25"/>
      <c r="D21" s="25"/>
      <c r="E21" s="26"/>
    </row>
    <row r="22" ht="13.2" spans="1:5">
      <c r="A22" s="23" t="str">
        <f>[28]报表格式!Q23</f>
        <v>     收到其他与投资活动有关的现金</v>
      </c>
      <c r="B22" s="24"/>
      <c r="C22" s="25"/>
      <c r="D22" s="25"/>
      <c r="E22" s="26"/>
    </row>
    <row r="23" ht="13.2" spans="1:5">
      <c r="A23" s="27" t="str">
        <f>[28]报表格式!Q25</f>
        <v>     投资活动现金流入小计</v>
      </c>
      <c r="B23" s="24"/>
      <c r="C23" s="24"/>
      <c r="D23" s="24"/>
      <c r="E23" s="26"/>
    </row>
    <row r="24" ht="13.2" spans="1:5">
      <c r="A24" s="23" t="str">
        <f>[28]报表格式!Q26</f>
        <v>     购置固定资产、无形资产和其他长期资产所支付现金 </v>
      </c>
      <c r="B24" s="24"/>
      <c r="C24" s="25"/>
      <c r="D24" s="25"/>
      <c r="E24" s="26"/>
    </row>
    <row r="25" ht="13.2" spans="1:5">
      <c r="A25" s="23" t="str">
        <f>[28]报表格式!Q27</f>
        <v>     投资所支付的现金</v>
      </c>
      <c r="B25" s="24"/>
      <c r="C25" s="25"/>
      <c r="D25" s="25"/>
      <c r="E25" s="26"/>
    </row>
    <row r="26" ht="13.2" spans="1:5">
      <c r="A26" s="23" t="str">
        <f>[28]报表格式!Q28</f>
        <v>     取得子公司及其他营业单位支付的现金净额</v>
      </c>
      <c r="B26" s="24"/>
      <c r="C26" s="25"/>
      <c r="D26" s="25"/>
      <c r="E26" s="26"/>
    </row>
    <row r="27" ht="13.2" spans="1:5">
      <c r="A27" s="23" t="str">
        <f>[28]报表格式!Q29</f>
        <v>     支付其他与投资活动有关的现金</v>
      </c>
      <c r="B27" s="24"/>
      <c r="C27" s="25"/>
      <c r="D27" s="25"/>
      <c r="E27" s="26"/>
    </row>
    <row r="28" ht="13.2" spans="1:5">
      <c r="A28" s="27" t="str">
        <f>[28]报表格式!Q31</f>
        <v>      投资活动现金流出小计</v>
      </c>
      <c r="B28" s="24"/>
      <c r="C28" s="24"/>
      <c r="D28" s="24"/>
      <c r="E28" s="26"/>
    </row>
    <row r="29" s="2" customFormat="1" ht="13.2" spans="1:5">
      <c r="A29" s="27" t="str">
        <f>[28]报表格式!Q32</f>
        <v>     投资活动产生的现金流量净额</v>
      </c>
      <c r="B29" s="28"/>
      <c r="C29" s="28"/>
      <c r="D29" s="28"/>
      <c r="E29" s="29"/>
    </row>
    <row r="30" ht="13.2" spans="1:5">
      <c r="A30" s="30" t="str">
        <f>[28]报表格式!Q33</f>
        <v>三、筹资活动产生的现金流量</v>
      </c>
      <c r="B30" s="24"/>
      <c r="C30" s="25"/>
      <c r="D30" s="25"/>
      <c r="E30" s="26"/>
    </row>
    <row r="31" ht="13.2" spans="1:5">
      <c r="A31" s="23" t="str">
        <f>[28]报表格式!Q34</f>
        <v>     吸收投资所收到的现金</v>
      </c>
      <c r="B31" s="24"/>
      <c r="C31" s="25"/>
      <c r="D31" s="25"/>
      <c r="E31" s="26"/>
    </row>
    <row r="32" ht="13.2" spans="1:5">
      <c r="A32" s="31" t="str">
        <f>[28]报表格式!Q35</f>
        <v>     其中:子公司吸收少数股东权益性投资收到的现金</v>
      </c>
      <c r="B32" s="24"/>
      <c r="C32" s="25"/>
      <c r="D32" s="25"/>
      <c r="E32" s="26"/>
    </row>
    <row r="33" ht="13.2" spans="1:5">
      <c r="A33" s="23" t="str">
        <f>[28]报表格式!Q36</f>
        <v>     取得借款收到的现金</v>
      </c>
      <c r="B33" s="24"/>
      <c r="C33" s="25"/>
      <c r="D33" s="25"/>
      <c r="E33" s="26"/>
    </row>
    <row r="34" ht="13.2" spans="1:5">
      <c r="A34" s="23" t="str">
        <f>[28]报表格式!Q37</f>
        <v>     收到的其他与筹资活动有关的现金</v>
      </c>
      <c r="B34" s="24"/>
      <c r="C34" s="25"/>
      <c r="D34" s="25"/>
      <c r="E34" s="26"/>
    </row>
    <row r="35" ht="13.2" spans="1:5">
      <c r="A35" s="23">
        <f>[28]报表格式!Q38</f>
        <v>0</v>
      </c>
      <c r="B35" s="24"/>
      <c r="C35" s="25"/>
      <c r="D35" s="25"/>
      <c r="E35" s="26"/>
    </row>
    <row r="36" ht="13.2" spans="1:5">
      <c r="A36" s="27" t="str">
        <f>[28]报表格式!Q39</f>
        <v>     筹资活动现金流入小计</v>
      </c>
      <c r="B36" s="24"/>
      <c r="C36" s="24"/>
      <c r="D36" s="24"/>
      <c r="E36" s="26"/>
    </row>
    <row r="37" ht="13.2" spans="1:5">
      <c r="A37" s="23" t="str">
        <f>[28]报表格式!Q40</f>
        <v>     偿还债务支付的现金</v>
      </c>
      <c r="B37" s="24"/>
      <c r="C37" s="25"/>
      <c r="D37" s="25"/>
      <c r="E37" s="26"/>
    </row>
    <row r="38" ht="13.2" spans="1:5">
      <c r="A38" s="23" t="str">
        <f>[28]报表格式!Q41</f>
        <v>     分配股利、利润或偿付利息支付的现金</v>
      </c>
      <c r="B38" s="24"/>
      <c r="C38" s="25"/>
      <c r="D38" s="25"/>
      <c r="E38" s="26"/>
    </row>
    <row r="39" ht="13.2" spans="1:5">
      <c r="A39" s="31" t="str">
        <f>[28]报表格式!Q42</f>
        <v>      其中:子公司支付少数股东的现金股利</v>
      </c>
      <c r="B39" s="24"/>
      <c r="C39" s="25"/>
      <c r="D39" s="25"/>
      <c r="E39" s="26"/>
    </row>
    <row r="40" ht="13.2" spans="1:5">
      <c r="A40" s="23" t="str">
        <f>[28]报表格式!Q43</f>
        <v>     支付其他与筹资活动有关的现金</v>
      </c>
      <c r="B40" s="24"/>
      <c r="C40" s="25"/>
      <c r="D40" s="25"/>
      <c r="E40" s="26"/>
    </row>
    <row r="41" ht="13.2" spans="1:5">
      <c r="A41" s="31" t="str">
        <f>[28]报表格式!Q44</f>
        <v>      其中:子公司减资支付给少数股东的现金</v>
      </c>
      <c r="B41" s="24"/>
      <c r="C41" s="25"/>
      <c r="D41" s="25"/>
      <c r="E41" s="26"/>
    </row>
    <row r="42" ht="13.2" spans="1:5">
      <c r="A42" s="27" t="str">
        <f>[28]报表格式!Q45</f>
        <v>     筹资活动现金流出小计</v>
      </c>
      <c r="B42" s="24"/>
      <c r="C42" s="24"/>
      <c r="D42" s="24"/>
      <c r="E42" s="26"/>
    </row>
    <row r="43" s="2" customFormat="1" ht="13.2" spans="1:5">
      <c r="A43" s="27" t="str">
        <f>[28]报表格式!Q46</f>
        <v>     筹资活动产生的现金流量净额</v>
      </c>
      <c r="B43" s="28"/>
      <c r="C43" s="28"/>
      <c r="D43" s="28"/>
      <c r="E43" s="29"/>
    </row>
    <row r="44" ht="13.2" spans="1:5">
      <c r="A44" s="23"/>
      <c r="B44" s="24"/>
      <c r="C44" s="25"/>
      <c r="D44" s="25"/>
      <c r="E44" s="26"/>
    </row>
    <row r="45" ht="13.2" spans="1:5">
      <c r="A45" s="32" t="str">
        <f>[28]报表格式!Q47</f>
        <v>四、汇率变动对现金及现金等价物的影响</v>
      </c>
      <c r="B45" s="24"/>
      <c r="C45" s="25"/>
      <c r="D45" s="25"/>
      <c r="E45" s="26"/>
    </row>
    <row r="46" s="2" customFormat="1" ht="13.2" spans="1:5">
      <c r="A46" s="32" t="str">
        <f>[28]报表格式!Q48</f>
        <v>五、现金及现金等价物净增加额</v>
      </c>
      <c r="B46" s="28"/>
      <c r="C46" s="28"/>
      <c r="D46" s="28"/>
      <c r="E46" s="29"/>
    </row>
    <row r="47" ht="13.2" spans="1:5">
      <c r="A47" s="23" t="str">
        <f>[28]报表格式!Q49</f>
        <v>    加：期初现金及现金等价物余额</v>
      </c>
      <c r="B47" s="24"/>
      <c r="C47" s="25"/>
      <c r="D47" s="25"/>
      <c r="E47" s="26"/>
    </row>
    <row r="48" ht="13.2" spans="1:5">
      <c r="A48" s="33" t="str">
        <f>[28]报表格式!Q50</f>
        <v>六、期末现金及现金等价物余额</v>
      </c>
      <c r="B48" s="34"/>
      <c r="C48" s="34"/>
      <c r="D48" s="34"/>
      <c r="E48" s="35"/>
    </row>
    <row r="49" ht="13.2" spans="1:5">
      <c r="A49" s="36"/>
      <c r="B49" s="37"/>
      <c r="C49" s="38"/>
      <c r="D49" s="38"/>
      <c r="E49" s="38"/>
    </row>
    <row r="50" ht="13.2" spans="1:5">
      <c r="A50" s="39"/>
      <c r="B50" s="40"/>
      <c r="C50" s="41"/>
      <c r="D50" s="41"/>
      <c r="E50" s="41"/>
    </row>
    <row r="51" ht="13.2" spans="1:5">
      <c r="A51" s="42" t="str">
        <f>[28]报表格式!U4</f>
        <v>补充资料</v>
      </c>
      <c r="B51" s="43"/>
      <c r="C51" s="44"/>
      <c r="D51" s="44"/>
      <c r="E51" s="44"/>
    </row>
    <row r="52" ht="13.2" spans="1:5">
      <c r="A52" s="45" t="str">
        <f>[28]报表格式!U5</f>
        <v>1、将净利润调节为经营活动现金流量：</v>
      </c>
      <c r="B52" s="20"/>
      <c r="C52" s="21"/>
      <c r="D52" s="21"/>
      <c r="E52" s="22"/>
    </row>
    <row r="53" ht="13.2" spans="1:5">
      <c r="A53" s="23" t="str">
        <f>[28]报表格式!U6</f>
        <v>     净利润</v>
      </c>
      <c r="B53" s="24"/>
      <c r="C53" s="25"/>
      <c r="D53" s="25"/>
      <c r="E53" s="26"/>
    </row>
    <row r="54" ht="13.2" spans="1:5">
      <c r="A54" s="23" t="str">
        <f>[28]报表格式!U9</f>
        <v>加：资产减值损失</v>
      </c>
      <c r="B54" s="24"/>
      <c r="C54" s="25"/>
      <c r="D54" s="25"/>
      <c r="E54" s="26"/>
    </row>
    <row r="55" ht="13.2" spans="1:5">
      <c r="A55" s="23" t="str">
        <f>[28]报表格式!U10</f>
        <v>    信用减值损失</v>
      </c>
      <c r="B55" s="24"/>
      <c r="C55" s="25"/>
      <c r="D55" s="25"/>
      <c r="E55" s="26"/>
    </row>
    <row r="56" ht="13.2" spans="1:5">
      <c r="A56" s="23" t="str">
        <f>[28]报表格式!U11</f>
        <v>     固定资产折旧、油气资产折耗、生产性生物资产折旧</v>
      </c>
      <c r="B56" s="24"/>
      <c r="C56" s="25"/>
      <c r="D56" s="25"/>
      <c r="E56" s="26"/>
    </row>
    <row r="57" ht="13.2" spans="1:5">
      <c r="A57" s="23" t="str">
        <f>[28]报表格式!U12</f>
        <v>     无形资产摊销</v>
      </c>
      <c r="B57" s="24"/>
      <c r="C57" s="25"/>
      <c r="D57" s="25"/>
      <c r="E57" s="26"/>
    </row>
    <row r="58" ht="13.2" spans="1:5">
      <c r="A58" s="23" t="str">
        <f>[28]报表格式!U13</f>
        <v>     长期待摊费用摊销</v>
      </c>
      <c r="B58" s="24"/>
      <c r="C58" s="25"/>
      <c r="D58" s="25"/>
      <c r="E58" s="26"/>
    </row>
    <row r="59" ht="13.2" spans="1:5">
      <c r="A59" s="23" t="str">
        <f>[28]报表格式!U14</f>
        <v>     处置固定资产、无形资产和其他长期资产的损失（收益以“－”号填列）</v>
      </c>
      <c r="B59" s="24"/>
      <c r="C59" s="25"/>
      <c r="D59" s="25"/>
      <c r="E59" s="26"/>
    </row>
    <row r="60" ht="13.2" spans="1:5">
      <c r="A60" s="23" t="str">
        <f>[28]报表格式!U15</f>
        <v>     固定资产报废损失（收益以“－”号填列）</v>
      </c>
      <c r="B60" s="24"/>
      <c r="C60" s="25"/>
      <c r="D60" s="25"/>
      <c r="E60" s="26"/>
    </row>
    <row r="61" ht="13.2" spans="1:5">
      <c r="A61" s="23" t="str">
        <f>[28]报表格式!U16</f>
        <v>     公允价值变动损失（收益以“－”号填列）</v>
      </c>
      <c r="B61" s="24"/>
      <c r="C61" s="25"/>
      <c r="D61" s="25"/>
      <c r="E61" s="26"/>
    </row>
    <row r="62" ht="13.2" spans="1:5">
      <c r="A62" s="23" t="str">
        <f>[28]报表格式!U17</f>
        <v>     财务费用（收益以“－”号填列）</v>
      </c>
      <c r="B62" s="24"/>
      <c r="C62" s="25"/>
      <c r="D62" s="25"/>
      <c r="E62" s="26"/>
    </row>
    <row r="63" ht="13.2" spans="1:5">
      <c r="A63" s="23" t="str">
        <f>[28]报表格式!U18</f>
        <v>     投资损失（收益以“－”号填列）</v>
      </c>
      <c r="B63" s="24"/>
      <c r="C63" s="25"/>
      <c r="D63" s="25"/>
      <c r="E63" s="26"/>
    </row>
    <row r="64" ht="13.2" spans="1:5">
      <c r="A64" s="23" t="str">
        <f>[28]报表格式!U19</f>
        <v>     递延所得税资产减少（增加以“－”号填列）</v>
      </c>
      <c r="B64" s="24"/>
      <c r="C64" s="25"/>
      <c r="D64" s="25"/>
      <c r="E64" s="26"/>
    </row>
    <row r="65" ht="13.2" spans="1:5">
      <c r="A65" s="23" t="str">
        <f>[28]报表格式!U20</f>
        <v>     递延所得税负债增加（减少以“－”号填列）</v>
      </c>
      <c r="B65" s="24"/>
      <c r="C65" s="25"/>
      <c r="D65" s="25"/>
      <c r="E65" s="26"/>
    </row>
    <row r="66" ht="13.2" spans="1:5">
      <c r="A66" s="23" t="str">
        <f>[28]报表格式!U21</f>
        <v>     存货的减少（增加以“－”号填列）</v>
      </c>
      <c r="B66" s="24"/>
      <c r="C66" s="25"/>
      <c r="D66" s="25"/>
      <c r="E66" s="26"/>
    </row>
    <row r="67" ht="13.2" spans="1:5">
      <c r="A67" s="23" t="str">
        <f>[28]报表格式!U22</f>
        <v>     经营性应收项目的减少（增加以“－”号填列）</v>
      </c>
      <c r="B67" s="24"/>
      <c r="C67" s="25"/>
      <c r="D67" s="25"/>
      <c r="E67" s="26"/>
    </row>
    <row r="68" ht="13.2" spans="1:5">
      <c r="A68" s="23" t="str">
        <f>[28]报表格式!U23</f>
        <v>     经营性应付项目的增加（减少以“－”号填列）</v>
      </c>
      <c r="B68" s="24"/>
      <c r="C68" s="25"/>
      <c r="D68" s="25"/>
      <c r="E68" s="26"/>
    </row>
    <row r="69" s="2" customFormat="1" ht="13.2" spans="1:5">
      <c r="A69" s="32" t="str">
        <f>[28]报表格式!U26</f>
        <v>     经营活动产生的现金流量净额</v>
      </c>
      <c r="B69" s="28"/>
      <c r="C69" s="28"/>
      <c r="D69" s="28"/>
      <c r="E69" s="29"/>
    </row>
    <row r="70" ht="13.2" spans="1:5">
      <c r="A70" s="23">
        <f>[28]报表格式!U27</f>
        <v>0</v>
      </c>
      <c r="B70" s="24"/>
      <c r="C70" s="25"/>
      <c r="D70" s="25"/>
      <c r="E70" s="26"/>
    </row>
    <row r="71" ht="13.2" spans="1:5">
      <c r="A71" s="32" t="str">
        <f>[28]报表格式!U28</f>
        <v>2、不涉及现金收支的投资和筹资活动：</v>
      </c>
      <c r="B71" s="24"/>
      <c r="C71" s="25"/>
      <c r="D71" s="25"/>
      <c r="E71" s="26"/>
    </row>
    <row r="72" ht="13.2" spans="1:5">
      <c r="A72" s="23" t="str">
        <f>[28]报表格式!U29</f>
        <v>     债务转为资本</v>
      </c>
      <c r="B72" s="24"/>
      <c r="C72" s="25"/>
      <c r="D72" s="25"/>
      <c r="E72" s="26"/>
    </row>
    <row r="73" ht="13.2" spans="1:5">
      <c r="A73" s="23" t="str">
        <f>[28]报表格式!U30</f>
        <v>     一年内到期的可转换公司债券</v>
      </c>
      <c r="B73" s="24"/>
      <c r="C73" s="25"/>
      <c r="D73" s="25"/>
      <c r="E73" s="26"/>
    </row>
    <row r="74" ht="13.2" spans="1:5">
      <c r="A74" s="23" t="str">
        <f>[28]报表格式!U31</f>
        <v>     融资租入固定资产</v>
      </c>
      <c r="B74" s="24"/>
      <c r="C74" s="25"/>
      <c r="D74" s="25"/>
      <c r="E74" s="26"/>
    </row>
    <row r="75" ht="13.2" spans="1:5">
      <c r="A75" s="23" t="str">
        <f>[28]报表格式!U32</f>
        <v>     其他</v>
      </c>
      <c r="B75" s="24"/>
      <c r="C75" s="25"/>
      <c r="D75" s="25"/>
      <c r="E75" s="26"/>
    </row>
    <row r="76" ht="13.2" spans="1:5">
      <c r="A76" s="23">
        <f>[28]报表格式!U34</f>
        <v>0</v>
      </c>
      <c r="B76" s="24"/>
      <c r="C76" s="25"/>
      <c r="D76" s="25"/>
      <c r="E76" s="26"/>
    </row>
    <row r="77" ht="13.2" spans="1:5">
      <c r="A77" s="32" t="str">
        <f>[28]报表格式!U35</f>
        <v>3、现金及现金等价物净变动情况：</v>
      </c>
      <c r="B77" s="24"/>
      <c r="C77" s="25"/>
      <c r="D77" s="25"/>
      <c r="E77" s="26"/>
    </row>
    <row r="78" ht="13.2" spans="1:5">
      <c r="A78" s="23" t="str">
        <f>[28]报表格式!U36</f>
        <v>     现金的期末余额</v>
      </c>
      <c r="B78" s="24"/>
      <c r="C78" s="25"/>
      <c r="D78" s="25"/>
      <c r="E78" s="26"/>
    </row>
    <row r="79" ht="13.2" spans="1:5">
      <c r="A79" s="23" t="str">
        <f>[28]报表格式!U37</f>
        <v>     减：现金的期初余额</v>
      </c>
      <c r="B79" s="24"/>
      <c r="C79" s="25"/>
      <c r="D79" s="25"/>
      <c r="E79" s="26"/>
    </row>
    <row r="80" ht="13.2" spans="1:5">
      <c r="A80" s="23" t="str">
        <f>[28]报表格式!U38</f>
        <v>     加：现金等价物的期末余额</v>
      </c>
      <c r="B80" s="24"/>
      <c r="C80" s="25"/>
      <c r="D80" s="25"/>
      <c r="E80" s="26"/>
    </row>
    <row r="81" ht="13.2" spans="1:5">
      <c r="A81" s="23" t="str">
        <f>[28]报表格式!U39</f>
        <v>     减：现金等价物的期初余额</v>
      </c>
      <c r="B81" s="24"/>
      <c r="C81" s="25"/>
      <c r="D81" s="25"/>
      <c r="E81" s="26"/>
    </row>
    <row r="82" ht="13.2" spans="1:5">
      <c r="A82" s="46" t="str">
        <f>[28]报表格式!U50</f>
        <v>     现金及现金等价物净增加额</v>
      </c>
      <c r="B82" s="34"/>
      <c r="C82" s="34"/>
      <c r="D82" s="34"/>
      <c r="E82" s="35"/>
    </row>
  </sheetData>
  <sheetProtection formatCells="0" formatColumns="0" formatRows="0" insertRows="0" autoFilter="0" pivotTables="0"/>
  <mergeCells count="5">
    <mergeCell ref="A4:A5"/>
    <mergeCell ref="B4:B5"/>
    <mergeCell ref="C4:C5"/>
    <mergeCell ref="D4:D5"/>
    <mergeCell ref="E4:E5"/>
  </mergeCells>
  <conditionalFormatting sqref="A4:A5">
    <cfRule type="cellIs" dxfId="0" priority="1" stopIfTrue="1" operator="equal">
      <formula>"现金流量表未调平!"</formula>
    </cfRule>
  </conditionalFormatting>
  <printOptions horizontalCentered="1" verticalCentered="1"/>
  <pageMargins left="0.551181102362205" right="0.354330708661417" top="0.433070866141732" bottom="0.236220472440945" header="0.236220472440945" footer="0.196850393700787"/>
  <pageSetup paperSize="9" scale="65" orientation="portrait"/>
  <headerFooter alignWithMargins="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TB资产负债</vt:lpstr>
      <vt:lpstr>TB损益</vt:lpstr>
      <vt:lpstr>TB现金流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杨志</dc:creator>
  <cp:lastModifiedBy>杨志</cp:lastModifiedBy>
  <dcterms:created xsi:type="dcterms:W3CDTF">2026-05-03T12:53:51Z</dcterms:created>
  <dcterms:modified xsi:type="dcterms:W3CDTF">2026-05-03T12:58:47Z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2A27D06E6A7549FBAE8E7622CBFAD644_11</vt:lpwstr>
  </property>
  <property fmtid="{D5CDD505-2E9C-101B-9397-08002B2CF9AE}" pid="3" name="KSOProductBuildVer">
    <vt:lpwstr>2052-12.1.0.25865</vt:lpwstr>
  </property>
  <property fmtid="{D5CDD505-2E9C-101B-9397-08002B2CF9AE}" pid="4" name="CalculationRule">
    <vt:i4>1</vt:i4>
  </property>
</Properties>
</file>