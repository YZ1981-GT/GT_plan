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901"/>
  </bookViews>
  <sheets>
    <sheet name="底稿目录" sheetId="11" r:id="rId1"/>
    <sheet name="其他权益工具投资实质性程序表G8A" sheetId="27" r:id="rId2"/>
    <sheet name="审定表G8-1" sheetId="16" r:id="rId3"/>
    <sheet name="附注披露信息（上市公司）" sheetId="2" r:id="rId4"/>
    <sheet name="附注披露信息（国企）" sheetId="24" r:id="rId5"/>
    <sheet name="明细表G8-2" sheetId="4" r:id="rId6"/>
    <sheet name="调整分录汇总G8-3" sheetId="29" r:id="rId7"/>
    <sheet name="公允价值测试表G8-4" sheetId="26" r:id="rId8"/>
    <sheet name="指定的适当性检查表G8-5" sheetId="25" r:id="rId9"/>
    <sheet name="凭证检查表G8-6" sheetId="9" r:id="rId10"/>
    <sheet name="参考中证协《非上市公司股权估值指引》" sheetId="23" r:id="rId11"/>
  </sheets>
  <definedNames>
    <definedName name="_xlnm.Print_Area" localSheetId="6">'调整分录汇总G8-3'!$A$1:$J$24</definedName>
    <definedName name="_xlnm.Print_Area" localSheetId="4">'附注披露信息（国企）'!$A$1:$G$21</definedName>
    <definedName name="_xlnm.Print_Area" localSheetId="3">'附注披露信息（上市公司）'!$A$1:$G$18</definedName>
    <definedName name="_xlnm.Print_Area" localSheetId="7">'公允价值测试表G8-4'!$A$1:$S$25</definedName>
    <definedName name="_xlnm.Print_Area" localSheetId="5">'明细表G8-2'!$A$1:$W$27</definedName>
    <definedName name="_xlnm.Print_Area" localSheetId="9">'凭证检查表G8-6'!$A$1:$Q$44</definedName>
    <definedName name="_xlnm.Print_Area" localSheetId="2">'审定表G8-1'!$A$1:$J$28</definedName>
    <definedName name="_xlnm.Print_Area" localSheetId="8">'指定的适当性检查表G8-5'!$A$1:$H$29</definedName>
    <definedName name="_xlnm.Print_Titles" localSheetId="1">其他权益工具投资实质性程序表G8A!$15:$16</definedName>
    <definedName name="_xlnm.Print_Titles" localSheetId="2">'审定表G8-1'!$2:$6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9" l="1"/>
  <c r="F30" i="9"/>
  <c r="G39" i="9" l="1"/>
  <c r="F39" i="9"/>
  <c r="Q3" i="9" l="1"/>
  <c r="G28" i="9"/>
  <c r="N26" i="4"/>
  <c r="N22" i="4"/>
  <c r="N6" i="4"/>
  <c r="N5" i="4"/>
  <c r="N7" i="4"/>
  <c r="N8" i="4"/>
  <c r="W4" i="4"/>
  <c r="V4" i="4"/>
  <c r="V3" i="4"/>
  <c r="M11" i="4"/>
  <c r="I18" i="26" l="1"/>
  <c r="K18" i="26" s="1"/>
  <c r="I17" i="26"/>
  <c r="K17" i="26" s="1"/>
  <c r="I16" i="26"/>
  <c r="K16" i="26" s="1"/>
  <c r="I15" i="26"/>
  <c r="K15" i="26" s="1"/>
  <c r="I14" i="26"/>
  <c r="K14" i="26" s="1"/>
  <c r="I13" i="26"/>
  <c r="K13" i="26" s="1"/>
  <c r="I12" i="26"/>
  <c r="K12" i="26" s="1"/>
  <c r="I11" i="26"/>
  <c r="K11" i="26" s="1"/>
  <c r="I10" i="26"/>
  <c r="E10" i="26"/>
  <c r="I9" i="26"/>
  <c r="I19" i="26" s="1"/>
  <c r="E9" i="26"/>
  <c r="E19" i="26" s="1"/>
  <c r="K9" i="26" l="1"/>
  <c r="K10" i="26"/>
  <c r="K19" i="26"/>
  <c r="F28" i="9" l="1"/>
  <c r="H3" i="25" l="1"/>
  <c r="S3" i="26"/>
  <c r="J3" i="29"/>
  <c r="M3" i="4"/>
  <c r="W3" i="4" s="1"/>
  <c r="G3" i="24"/>
  <c r="G3" i="2"/>
  <c r="J3" i="16"/>
  <c r="I3" i="27"/>
  <c r="C12" i="2" l="1"/>
  <c r="B12" i="2"/>
  <c r="E4" i="24" l="1"/>
  <c r="C4" i="24"/>
  <c r="E4" i="2"/>
  <c r="C4" i="2"/>
  <c r="E20" i="24" l="1"/>
  <c r="D20" i="24"/>
  <c r="C20" i="24"/>
  <c r="B20" i="24"/>
  <c r="C12" i="24"/>
  <c r="B12" i="24"/>
  <c r="F9" i="16" l="1"/>
  <c r="F10" i="16"/>
  <c r="F11" i="16"/>
  <c r="F12" i="16"/>
  <c r="F13" i="16"/>
  <c r="F14" i="16"/>
  <c r="F15" i="16"/>
  <c r="F16" i="16"/>
  <c r="F17" i="16"/>
  <c r="F8" i="16"/>
  <c r="C9" i="16"/>
  <c r="C10" i="16"/>
  <c r="C11" i="16"/>
  <c r="C12" i="16"/>
  <c r="C13" i="16"/>
  <c r="C14" i="16"/>
  <c r="C15" i="16"/>
  <c r="C16" i="16"/>
  <c r="C17" i="16"/>
  <c r="C8" i="16"/>
  <c r="J4" i="9"/>
  <c r="E4" i="9"/>
  <c r="F4" i="25"/>
  <c r="D4" i="25"/>
  <c r="J4" i="26"/>
  <c r="F4" i="26"/>
  <c r="G4" i="29"/>
  <c r="G3" i="29"/>
  <c r="D4" i="29"/>
  <c r="D3" i="29"/>
  <c r="A4" i="29"/>
  <c r="A3" i="29"/>
  <c r="F21" i="4" l="1"/>
  <c r="G21" i="4"/>
  <c r="A9" i="16"/>
  <c r="A8" i="16"/>
  <c r="G4" i="16"/>
  <c r="D4" i="16"/>
  <c r="A9" i="26" l="1"/>
  <c r="F4" i="4"/>
  <c r="S4" i="4" s="1"/>
  <c r="D4" i="4"/>
  <c r="Q4" i="4" s="1"/>
  <c r="F4" i="27"/>
  <c r="C4" i="27"/>
  <c r="F3" i="27" l="1"/>
  <c r="C3" i="27"/>
  <c r="A4" i="27"/>
  <c r="A3" i="27"/>
  <c r="S21" i="4" l="1"/>
  <c r="A15" i="25" l="1"/>
  <c r="A16" i="25"/>
  <c r="A17" i="25"/>
  <c r="A18" i="25"/>
  <c r="A19" i="25"/>
  <c r="A20" i="25"/>
  <c r="A21" i="25"/>
  <c r="A22" i="25"/>
  <c r="A23" i="25"/>
  <c r="A14" i="25"/>
  <c r="A11" i="26"/>
  <c r="A12" i="26"/>
  <c r="A13" i="26"/>
  <c r="A14" i="26"/>
  <c r="A15" i="26"/>
  <c r="A16" i="26"/>
  <c r="A17" i="26"/>
  <c r="A18" i="26"/>
  <c r="A10" i="26"/>
  <c r="A4" i="26"/>
  <c r="J3" i="26"/>
  <c r="F3" i="26"/>
  <c r="A3" i="26"/>
  <c r="R12" i="4"/>
  <c r="R11" i="4"/>
  <c r="M12" i="4"/>
  <c r="M13" i="4"/>
  <c r="M14" i="4"/>
  <c r="M15" i="4"/>
  <c r="M16" i="4"/>
  <c r="M17" i="4"/>
  <c r="M18" i="4"/>
  <c r="M19" i="4"/>
  <c r="M20" i="4"/>
  <c r="F3" i="25"/>
  <c r="D3" i="25"/>
  <c r="A4" i="25"/>
  <c r="A3" i="25"/>
  <c r="P12" i="4" l="1"/>
  <c r="O12" i="4"/>
  <c r="E12" i="4"/>
  <c r="N21" i="4"/>
  <c r="P13" i="4"/>
  <c r="P14" i="4"/>
  <c r="P15" i="4"/>
  <c r="P16" i="4"/>
  <c r="P17" i="4"/>
  <c r="P18" i="4"/>
  <c r="P19" i="4"/>
  <c r="P20" i="4"/>
  <c r="P11" i="4"/>
  <c r="A4" i="24"/>
  <c r="E3" i="24"/>
  <c r="C3" i="24"/>
  <c r="A3" i="24"/>
  <c r="C18" i="16"/>
  <c r="F18" i="16"/>
  <c r="B9" i="16" l="1"/>
  <c r="D9" i="16" s="1"/>
  <c r="H12" i="4"/>
  <c r="Q12" i="4"/>
  <c r="E9" i="16" s="1"/>
  <c r="G9" i="16" s="1"/>
  <c r="H9" i="16" l="1"/>
  <c r="B15" i="25"/>
  <c r="I9" i="16" l="1"/>
  <c r="O13" i="4" l="1"/>
  <c r="O14" i="4"/>
  <c r="O15" i="4"/>
  <c r="O16" i="4"/>
  <c r="O17" i="4"/>
  <c r="O18" i="4"/>
  <c r="O19" i="4"/>
  <c r="O20" i="4"/>
  <c r="O11" i="4"/>
  <c r="Q11" i="4" s="1"/>
  <c r="E8" i="16" s="1"/>
  <c r="I21" i="4"/>
  <c r="E13" i="4"/>
  <c r="E14" i="4"/>
  <c r="E15" i="4"/>
  <c r="E16" i="4"/>
  <c r="E17" i="4"/>
  <c r="E18" i="4"/>
  <c r="E19" i="4"/>
  <c r="E20" i="4"/>
  <c r="E11" i="4"/>
  <c r="D21" i="4"/>
  <c r="C21" i="4"/>
  <c r="G3" i="16"/>
  <c r="D3" i="16"/>
  <c r="A4" i="16"/>
  <c r="A3" i="16"/>
  <c r="B13" i="16" l="1"/>
  <c r="D13" i="16" s="1"/>
  <c r="H16" i="4"/>
  <c r="B12" i="16"/>
  <c r="D12" i="16" s="1"/>
  <c r="H15" i="4"/>
  <c r="B15" i="16"/>
  <c r="D15" i="16" s="1"/>
  <c r="H18" i="4"/>
  <c r="B14" i="16"/>
  <c r="D14" i="16" s="1"/>
  <c r="H17" i="4"/>
  <c r="B11" i="16"/>
  <c r="D11" i="16" s="1"/>
  <c r="H14" i="4"/>
  <c r="B8" i="16"/>
  <c r="H11" i="4"/>
  <c r="E21" i="4"/>
  <c r="B10" i="16"/>
  <c r="D10" i="16" s="1"/>
  <c r="H13" i="4"/>
  <c r="B17" i="16"/>
  <c r="D17" i="16" s="1"/>
  <c r="H20" i="4"/>
  <c r="B16" i="16"/>
  <c r="D16" i="16" s="1"/>
  <c r="H19" i="4"/>
  <c r="G8" i="16"/>
  <c r="B14" i="25"/>
  <c r="T11" i="4"/>
  <c r="P21" i="4"/>
  <c r="J21" i="4"/>
  <c r="Q20" i="4"/>
  <c r="E17" i="16" s="1"/>
  <c r="G17" i="16" s="1"/>
  <c r="Q16" i="4"/>
  <c r="E13" i="16" s="1"/>
  <c r="G13" i="16" s="1"/>
  <c r="H13" i="16" s="1"/>
  <c r="Q19" i="4"/>
  <c r="E16" i="16" s="1"/>
  <c r="G16" i="16" s="1"/>
  <c r="H16" i="16" s="1"/>
  <c r="Q15" i="4"/>
  <c r="E12" i="16" s="1"/>
  <c r="G12" i="16" s="1"/>
  <c r="H12" i="16" s="1"/>
  <c r="O21" i="4"/>
  <c r="M21" i="4"/>
  <c r="Q18" i="4"/>
  <c r="E15" i="16" s="1"/>
  <c r="G15" i="16" s="1"/>
  <c r="Q17" i="4"/>
  <c r="E14" i="16" s="1"/>
  <c r="G14" i="16" s="1"/>
  <c r="H14" i="16" s="1"/>
  <c r="Q14" i="4"/>
  <c r="E11" i="16" s="1"/>
  <c r="G11" i="16" s="1"/>
  <c r="Q13" i="4"/>
  <c r="E10" i="16" s="1"/>
  <c r="G10" i="16" s="1"/>
  <c r="I12" i="16" l="1"/>
  <c r="I10" i="16"/>
  <c r="I11" i="16"/>
  <c r="I13" i="16"/>
  <c r="H15" i="16"/>
  <c r="H10" i="16"/>
  <c r="H17" i="16"/>
  <c r="I17" i="16"/>
  <c r="I14" i="16"/>
  <c r="E18" i="16"/>
  <c r="I15" i="16"/>
  <c r="G18" i="16"/>
  <c r="G20" i="16" s="1"/>
  <c r="H21" i="4"/>
  <c r="D8" i="16"/>
  <c r="H8" i="16" s="1"/>
  <c r="B18" i="16"/>
  <c r="I16" i="16"/>
  <c r="H11" i="16"/>
  <c r="B17" i="25"/>
  <c r="T14" i="4"/>
  <c r="B18" i="25"/>
  <c r="T15" i="4"/>
  <c r="B19" i="25"/>
  <c r="T16" i="4"/>
  <c r="B22" i="25"/>
  <c r="T19" i="4"/>
  <c r="B16" i="25"/>
  <c r="T13" i="4"/>
  <c r="B23" i="25"/>
  <c r="T20" i="4"/>
  <c r="B20" i="25"/>
  <c r="T17" i="4"/>
  <c r="B21" i="25"/>
  <c r="T18" i="4"/>
  <c r="Q21" i="4"/>
  <c r="H18" i="16" l="1"/>
  <c r="D18" i="16"/>
  <c r="I8" i="16"/>
  <c r="T21" i="4"/>
  <c r="B24" i="25"/>
  <c r="A4" i="9"/>
  <c r="J3" i="9"/>
  <c r="E3" i="9"/>
  <c r="A3" i="9"/>
  <c r="A4" i="4"/>
  <c r="N4" i="4" s="1"/>
  <c r="F3" i="4"/>
  <c r="S3" i="4" s="1"/>
  <c r="D3" i="4"/>
  <c r="Q3" i="4" s="1"/>
  <c r="A3" i="4"/>
  <c r="N3" i="4" s="1"/>
  <c r="A4" i="2"/>
  <c r="E3" i="2"/>
  <c r="C3" i="2"/>
  <c r="A3" i="2"/>
  <c r="D20" i="16" l="1"/>
  <c r="I18" i="16"/>
  <c r="D22" i="16"/>
</calcChain>
</file>

<file path=xl/comments1.xml><?xml version="1.0" encoding="utf-8"?>
<comments xmlns="http://schemas.openxmlformats.org/spreadsheetml/2006/main">
  <authors>
    <author>Windows 用户</author>
    <author>1</author>
  </authors>
  <commentList>
    <comment ref="B5" authorId="0" shapeId="0">
      <text>
        <r>
          <rPr>
            <b/>
            <sz val="9"/>
            <color indexed="81"/>
            <rFont val="宋体"/>
            <family val="3"/>
            <charset val="134"/>
          </rPr>
          <t>技术部:</t>
        </r>
        <r>
          <rPr>
            <sz val="9"/>
            <color indexed="81"/>
            <rFont val="宋体"/>
            <family val="3"/>
            <charset val="134"/>
          </rPr>
          <t xml:space="preserve">
若系首次执行新金融工具准则，则无期初数。</t>
        </r>
      </text>
    </comment>
    <comment ref="D20" authorId="1"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G20" authorId="1"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2.xml><?xml version="1.0" encoding="utf-8"?>
<comments xmlns="http://schemas.openxmlformats.org/spreadsheetml/2006/main">
  <authors>
    <author>Windows 用户</author>
  </authors>
  <commentList>
    <comment ref="C10" authorId="0" shapeId="0">
      <text>
        <r>
          <rPr>
            <b/>
            <sz val="9"/>
            <color indexed="81"/>
            <rFont val="宋体"/>
            <family val="3"/>
            <charset val="134"/>
          </rPr>
          <t>技术部:</t>
        </r>
        <r>
          <rPr>
            <sz val="9"/>
            <color indexed="81"/>
            <rFont val="宋体"/>
            <family val="3"/>
            <charset val="134"/>
          </rPr>
          <t xml:space="preserve">
含交易费用</t>
        </r>
      </text>
    </comment>
    <comment ref="L10" authorId="0" shapeId="0">
      <text>
        <r>
          <rPr>
            <b/>
            <sz val="9"/>
            <color indexed="81"/>
            <rFont val="宋体"/>
            <family val="3"/>
            <charset val="134"/>
          </rPr>
          <t>技术部:</t>
        </r>
        <r>
          <rPr>
            <sz val="9"/>
            <color indexed="81"/>
            <rFont val="宋体"/>
            <family val="3"/>
            <charset val="134"/>
          </rPr>
          <t xml:space="preserve">
仅适用于处置时（此处贷方发生填正数）</t>
        </r>
      </text>
    </comment>
  </commentList>
</comments>
</file>

<file path=xl/comments3.xml><?xml version="1.0" encoding="utf-8"?>
<comments xmlns="http://schemas.openxmlformats.org/spreadsheetml/2006/main">
  <authors>
    <author>Windows 用户</author>
  </authors>
  <commentList>
    <comment ref="F13" authorId="0" shapeId="0">
      <text>
        <r>
          <rPr>
            <b/>
            <sz val="9"/>
            <color indexed="81"/>
            <rFont val="宋体"/>
            <family val="3"/>
            <charset val="134"/>
          </rPr>
          <t>技术部:</t>
        </r>
        <r>
          <rPr>
            <sz val="9"/>
            <color indexed="81"/>
            <rFont val="宋体"/>
            <family val="3"/>
            <charset val="134"/>
          </rPr>
          <t xml:space="preserve">
满足权益工具定义与在权益工具列报不同，后者可能包含满足条件的特殊金融工具</t>
        </r>
      </text>
    </comment>
  </commentList>
</comments>
</file>

<file path=xl/sharedStrings.xml><?xml version="1.0" encoding="utf-8"?>
<sst xmlns="http://schemas.openxmlformats.org/spreadsheetml/2006/main" count="503" uniqueCount="419">
  <si>
    <t>索引号：</t>
  </si>
  <si>
    <t>复核人：</t>
    <phoneticPr fontId="6" type="noConversion"/>
  </si>
  <si>
    <t>编制说明：</t>
    <phoneticPr fontId="6" type="noConversion"/>
  </si>
  <si>
    <t>（2）拟调整事项及其调整分录、未调整事项及其影响，审计范围受到限制情况及其影响。</t>
  </si>
  <si>
    <r>
      <t>参考结论：</t>
    </r>
    <r>
      <rPr>
        <sz val="12"/>
        <rFont val="Arial Narrow"/>
        <family val="2"/>
      </rPr>
      <t/>
    </r>
    <phoneticPr fontId="6" type="noConversion"/>
  </si>
  <si>
    <r>
      <t>A</t>
    </r>
    <r>
      <rPr>
        <sz val="10"/>
        <color indexed="12"/>
        <rFont val="宋体"/>
        <family val="3"/>
        <charset val="134"/>
      </rPr>
      <t>、</t>
    </r>
    <phoneticPr fontId="6" type="noConversion"/>
  </si>
  <si>
    <t>未见异常。</t>
    <phoneticPr fontId="6" type="noConversion"/>
  </si>
  <si>
    <r>
      <t>B</t>
    </r>
    <r>
      <rPr>
        <sz val="10"/>
        <color indexed="12"/>
        <rFont val="宋体"/>
        <family val="3"/>
        <charset val="134"/>
      </rPr>
      <t>、</t>
    </r>
    <phoneticPr fontId="6" type="noConversion"/>
  </si>
  <si>
    <t>除以下重大不符事项应当作为调整事项予以调整外，其余未见异常。</t>
    <phoneticPr fontId="6" type="noConversion"/>
  </si>
  <si>
    <r>
      <t>C</t>
    </r>
    <r>
      <rPr>
        <sz val="10"/>
        <color indexed="12"/>
        <rFont val="宋体"/>
        <family val="3"/>
        <charset val="134"/>
      </rPr>
      <t>、</t>
    </r>
    <phoneticPr fontId="6" type="noConversion"/>
  </si>
  <si>
    <t>由于存在以下重大未调整事项（或审计范围受到限制无法获取充分、适当证据），不可确认。</t>
    <phoneticPr fontId="6" type="noConversion"/>
  </si>
  <si>
    <t>1、概述：（1）程序的测试情况、结果；</t>
  </si>
  <si>
    <t>2、选取测试项目的方法：包括选取全部项目、选取特定项目和审计抽样。</t>
  </si>
  <si>
    <t>底稿开列时，可先在以下单元格填写有关内容，以便其他底稿引用有关数据：</t>
    <phoneticPr fontId="6" type="noConversion"/>
  </si>
  <si>
    <t>编制人：</t>
    <phoneticPr fontId="6" type="noConversion"/>
  </si>
  <si>
    <t>三、审计说明：</t>
    <phoneticPr fontId="6" type="noConversion"/>
  </si>
  <si>
    <t>四、审计结论：</t>
    <phoneticPr fontId="6" type="noConversion"/>
  </si>
  <si>
    <t>致同会计师事务所</t>
    <phoneticPr fontId="3" type="noConversion"/>
  </si>
  <si>
    <r>
      <rPr>
        <b/>
        <sz val="10"/>
        <color theme="1"/>
        <rFont val="宋体"/>
        <family val="3"/>
        <charset val="134"/>
      </rPr>
      <t>一、审计目标</t>
    </r>
    <phoneticPr fontId="3" type="noConversion"/>
  </si>
  <si>
    <r>
      <rPr>
        <b/>
        <sz val="10"/>
        <color theme="1"/>
        <rFont val="宋体"/>
        <family val="3"/>
        <charset val="134"/>
      </rPr>
      <t>二、审计过程</t>
    </r>
    <phoneticPr fontId="3" type="noConversion"/>
  </si>
  <si>
    <t>页  次：</t>
    <phoneticPr fontId="3" type="noConversion"/>
  </si>
  <si>
    <t>合计</t>
    <phoneticPr fontId="3"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</si>
  <si>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</si>
  <si>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</si>
  <si>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选取的特定项目可能包括：</t>
    </r>
  </si>
  <si>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</si>
  <si>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</si>
  <si>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统计抽样是指同时具备下列特征的抽样方法：</t>
    </r>
  </si>
  <si>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</si>
  <si>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</si>
  <si>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r>
      <rPr>
        <b/>
        <sz val="10"/>
        <rFont val="宋体"/>
        <family val="3"/>
        <charset val="134"/>
      </rPr>
      <t>二、样本选取标准与规模：</t>
    </r>
    <phoneticPr fontId="58" type="noConversion"/>
  </si>
  <si>
    <r>
      <rPr>
        <b/>
        <sz val="10"/>
        <rFont val="宋体"/>
        <family val="3"/>
        <charset val="134"/>
      </rPr>
      <t>三、测试：</t>
    </r>
    <phoneticPr fontId="58" type="noConversion"/>
  </si>
  <si>
    <r>
      <rPr>
        <b/>
        <sz val="10"/>
        <rFont val="宋体"/>
        <family val="3"/>
        <charset val="134"/>
      </rPr>
      <t>四、审计说明：</t>
    </r>
    <phoneticPr fontId="58" type="noConversion"/>
  </si>
  <si>
    <r>
      <rPr>
        <b/>
        <sz val="10"/>
        <rFont val="宋体"/>
        <family val="3"/>
        <charset val="134"/>
      </rPr>
      <t>五、审计结论：</t>
    </r>
    <phoneticPr fontId="6" type="noConversion"/>
  </si>
  <si>
    <r>
      <rPr>
        <i/>
        <sz val="10"/>
        <color indexed="12"/>
        <rFont val="宋体"/>
        <family val="3"/>
        <charset val="134"/>
      </rPr>
      <t>编制说明：</t>
    </r>
    <phoneticPr fontId="6" type="noConversion"/>
  </si>
  <si>
    <r>
      <rPr>
        <b/>
        <sz val="10"/>
        <color indexed="12"/>
        <rFont val="宋体"/>
        <family val="3"/>
        <charset val="134"/>
      </rPr>
      <t>参考结论：</t>
    </r>
    <r>
      <rPr>
        <sz val="12"/>
        <rFont val="Arial Narrow"/>
        <family val="2"/>
      </rPr>
      <t/>
    </r>
    <phoneticPr fontId="6" type="noConversion"/>
  </si>
  <si>
    <r>
      <rPr>
        <sz val="10"/>
        <color indexed="12"/>
        <rFont val="宋体"/>
        <family val="3"/>
        <charset val="134"/>
      </rPr>
      <t>未见异常。</t>
    </r>
    <phoneticPr fontId="6" type="noConversion"/>
  </si>
  <si>
    <r>
      <rPr>
        <sz val="10"/>
        <color indexed="12"/>
        <rFont val="宋体"/>
        <family val="3"/>
        <charset val="134"/>
      </rPr>
      <t>除以下重大不符事项应当作为调整事项予以调整外，其余未见异常。</t>
    </r>
    <phoneticPr fontId="6" type="noConversion"/>
  </si>
  <si>
    <r>
      <rPr>
        <sz val="10"/>
        <color indexed="12"/>
        <rFont val="宋体"/>
        <family val="3"/>
        <charset val="134"/>
      </rPr>
      <t>由于存在以下重大未调整事项（或审计范围受到限制无法获取充分、适当证据），不可确认。</t>
    </r>
    <phoneticPr fontId="6" type="noConversion"/>
  </si>
  <si>
    <r>
      <rPr>
        <sz val="10"/>
        <color indexed="12"/>
        <rFont val="宋体"/>
        <family val="3"/>
        <charset val="134"/>
      </rPr>
      <t>（</t>
    </r>
    <r>
      <rPr>
        <sz val="10"/>
        <color indexed="12"/>
        <rFont val="Arial Narrow"/>
        <family val="2"/>
      </rPr>
      <t>1</t>
    </r>
    <r>
      <rPr>
        <sz val="10"/>
        <color indexed="12"/>
        <rFont val="宋体"/>
        <family val="3"/>
        <charset val="134"/>
      </rPr>
      <t>）</t>
    </r>
    <phoneticPr fontId="6" type="noConversion"/>
  </si>
  <si>
    <r>
      <rPr>
        <sz val="10"/>
        <color indexed="12"/>
        <rFont val="宋体"/>
        <family val="3"/>
        <charset val="134"/>
      </rPr>
      <t>当存在下列情形之一时，注册会计师应当考虑选取全部项目进行测试：</t>
    </r>
    <phoneticPr fontId="6" type="noConversion"/>
  </si>
  <si>
    <r>
      <rPr>
        <sz val="10"/>
        <color indexed="12"/>
        <rFont val="宋体"/>
        <family val="3"/>
        <charset val="134"/>
      </rPr>
      <t>（一）总体由少量的大额项目构成；</t>
    </r>
    <phoneticPr fontId="6" type="noConversion"/>
  </si>
  <si>
    <r>
      <rPr>
        <sz val="10"/>
        <color indexed="12"/>
        <rFont val="宋体"/>
        <family val="3"/>
        <charset val="134"/>
      </rPr>
      <t>（二）存在特别风险且其他方法未提供充分、适当的审计证据；</t>
    </r>
    <phoneticPr fontId="6" type="noConversion"/>
  </si>
  <si>
    <r>
      <rPr>
        <sz val="10"/>
        <color indexed="12"/>
        <rFont val="宋体"/>
        <family val="3"/>
        <charset val="134"/>
      </rPr>
      <t>（三）由于信息系统自动执行的计算或其他程序具有重复性，对全部项目进行检查符合成本效益原则。</t>
    </r>
    <phoneticPr fontId="6" type="noConversion"/>
  </si>
  <si>
    <r>
      <rPr>
        <b/>
        <sz val="10"/>
        <color indexed="12"/>
        <rFont val="宋体"/>
        <family val="3"/>
        <charset val="134"/>
      </rPr>
      <t>特别风险涉及的事项包括但不限于：</t>
    </r>
    <r>
      <rPr>
        <sz val="10"/>
        <color indexed="12"/>
        <rFont val="Arial Narrow"/>
        <family val="2"/>
      </rPr>
      <t/>
    </r>
    <phoneticPr fontId="6"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</si>
  <si>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6" type="noConversion"/>
  </si>
  <si>
    <r>
      <rPr>
        <sz val="10"/>
        <color indexed="12"/>
        <rFont val="宋体"/>
        <family val="3"/>
        <charset val="134"/>
      </rPr>
      <t>高度自动化处理）等等。</t>
    </r>
    <phoneticPr fontId="6"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</si>
  <si>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6" type="noConversion"/>
  </si>
  <si>
    <r>
      <rPr>
        <sz val="10"/>
        <color indexed="12"/>
        <rFont val="宋体"/>
        <family val="3"/>
        <charset val="134"/>
      </rPr>
      <t>（一）大额或关键项目；</t>
    </r>
    <phoneticPr fontId="6" type="noConversion"/>
  </si>
  <si>
    <r>
      <rPr>
        <sz val="10"/>
        <color indexed="12"/>
        <rFont val="宋体"/>
        <family val="3"/>
        <charset val="134"/>
      </rPr>
      <t>（二）超过某一金额的全部项目；</t>
    </r>
    <phoneticPr fontId="6" type="noConversion"/>
  </si>
  <si>
    <r>
      <rPr>
        <sz val="10"/>
        <color indexed="12"/>
        <rFont val="宋体"/>
        <family val="3"/>
        <charset val="134"/>
      </rPr>
      <t>（三）被用于获取某些信息的项目；</t>
    </r>
    <phoneticPr fontId="6" type="noConversion"/>
  </si>
  <si>
    <r>
      <rPr>
        <sz val="10"/>
        <color indexed="12"/>
        <rFont val="宋体"/>
        <family val="3"/>
        <charset val="134"/>
      </rPr>
      <t>（四）被用于测试控制活动的项目。</t>
    </r>
    <phoneticPr fontId="6" type="noConversion"/>
  </si>
  <si>
    <r>
      <rPr>
        <sz val="10"/>
        <color indexed="12"/>
        <rFont val="宋体"/>
        <family val="3"/>
        <charset val="134"/>
      </rPr>
      <t>根据判断选取特定项目，容易产生非抽样风险。</t>
    </r>
    <phoneticPr fontId="6" type="noConversion"/>
  </si>
  <si>
    <r>
      <rPr>
        <sz val="10"/>
        <color indexed="12"/>
        <rFont val="宋体"/>
        <family val="3"/>
        <charset val="134"/>
      </rPr>
      <t>选取特定项目实施检查，通常是获取审计证据的有效手段，但并不构成审计抽样。</t>
    </r>
    <phoneticPr fontId="6"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</si>
  <si>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6" type="noConversion"/>
  </si>
  <si>
    <r>
      <rPr>
        <sz val="10"/>
        <color indexed="12"/>
        <rFont val="宋体"/>
        <family val="3"/>
        <charset val="134"/>
      </rPr>
      <t>（</t>
    </r>
    <r>
      <rPr>
        <sz val="10"/>
        <color indexed="12"/>
        <rFont val="Arial Narrow"/>
        <family val="2"/>
      </rPr>
      <t>3</t>
    </r>
    <r>
      <rPr>
        <sz val="10"/>
        <color indexed="12"/>
        <rFont val="宋体"/>
        <family val="3"/>
        <charset val="134"/>
      </rPr>
      <t>）</t>
    </r>
    <phoneticPr fontId="6"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</si>
  <si>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6" type="noConversion"/>
  </si>
  <si>
    <r>
      <rPr>
        <sz val="10"/>
        <color indexed="12"/>
        <rFont val="宋体"/>
        <family val="3"/>
        <charset val="134"/>
      </rPr>
      <t>（一）随机选取样本；</t>
    </r>
    <phoneticPr fontId="6" type="noConversion"/>
  </si>
  <si>
    <r>
      <rPr>
        <sz val="10"/>
        <color indexed="12"/>
        <rFont val="宋体"/>
        <family val="3"/>
        <charset val="134"/>
      </rPr>
      <t>（二）运用概率论评价样本结果，包括计量抽样风险。</t>
    </r>
    <phoneticPr fontId="6" type="noConversion"/>
  </si>
  <si>
    <r>
      <rPr>
        <sz val="10"/>
        <color indexed="12"/>
        <rFont val="宋体"/>
        <family val="3"/>
        <charset val="134"/>
      </rPr>
      <t>不同时具备上述两个特征的抽样方法为非统计抽样。</t>
    </r>
    <phoneticPr fontId="6"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</si>
  <si>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6" type="noConversion"/>
  </si>
  <si>
    <r>
      <rPr>
        <sz val="10"/>
        <color indexed="12"/>
        <rFont val="宋体"/>
        <family val="3"/>
        <charset val="134"/>
      </rPr>
      <t>即在测试存在性时，选择大额项目的效率较高。</t>
    </r>
    <phoneticPr fontId="6"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</si>
  <si>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6"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</si>
  <si>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6" type="noConversion"/>
  </si>
  <si>
    <r>
      <rPr>
        <sz val="10"/>
        <color indexed="12"/>
        <rFont val="宋体"/>
        <family val="3"/>
        <charset val="134"/>
      </rPr>
      <t>在统计抽样中，注册会计师应当随机选取样本项目，以使每一抽样单元以已知的机会被选中。</t>
    </r>
    <phoneticPr fontId="6" type="noConversion"/>
  </si>
  <si>
    <r>
      <rPr>
        <sz val="10"/>
        <color indexed="12"/>
        <rFont val="宋体"/>
        <family val="3"/>
        <charset val="134"/>
      </rPr>
      <t>在非统计抽样中，注册会计师应当运用职业判断选取样本项目。</t>
    </r>
    <phoneticPr fontId="6" type="noConversion"/>
  </si>
  <si>
    <r>
      <rPr>
        <sz val="10"/>
        <color indexed="12"/>
        <rFont val="宋体"/>
        <family val="3"/>
        <charset val="134"/>
      </rPr>
      <t>注册会计师可以使用统计学公式或运用职业判断，确定样本规模。</t>
    </r>
    <phoneticPr fontId="6"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</si>
  <si>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6"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</si>
  <si>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6" type="noConversion"/>
  </si>
  <si>
    <r>
      <rPr>
        <b/>
        <sz val="10"/>
        <color indexed="12"/>
        <rFont val="宋体"/>
        <family val="3"/>
        <charset val="134"/>
      </rPr>
      <t>预计错报的扩展系数</t>
    </r>
    <phoneticPr fontId="6" type="noConversion"/>
  </si>
  <si>
    <t>页  次：</t>
    <phoneticPr fontId="3" type="noConversion"/>
  </si>
  <si>
    <t>项  目</t>
  </si>
  <si>
    <t>合  计</t>
  </si>
  <si>
    <r>
      <rPr>
        <sz val="12"/>
        <color theme="1"/>
        <rFont val="仿宋_GB2312"/>
        <family val="3"/>
        <charset val="134"/>
      </rPr>
      <t>附注披露信息</t>
    </r>
    <phoneticPr fontId="6" type="noConversion"/>
  </si>
  <si>
    <t>项目</t>
    <phoneticPr fontId="6" type="noConversion"/>
  </si>
  <si>
    <r>
      <rPr>
        <b/>
        <sz val="10"/>
        <rFont val="宋体"/>
        <family val="3"/>
        <charset val="134"/>
      </rPr>
      <t>期初数</t>
    </r>
    <phoneticPr fontId="6" type="noConversion"/>
  </si>
  <si>
    <r>
      <rPr>
        <b/>
        <sz val="10"/>
        <rFont val="宋体"/>
        <family val="3"/>
        <charset val="134"/>
      </rPr>
      <t>期末数</t>
    </r>
    <phoneticPr fontId="6" type="noConversion"/>
  </si>
  <si>
    <t>本期与上期审定数比较</t>
    <phoneticPr fontId="6" type="noConversion"/>
  </si>
  <si>
    <r>
      <rPr>
        <b/>
        <sz val="10"/>
        <color indexed="8"/>
        <rFont val="宋体"/>
        <family val="3"/>
        <charset val="134"/>
      </rPr>
      <t>原因分析</t>
    </r>
    <phoneticPr fontId="6" type="noConversion"/>
  </si>
  <si>
    <r>
      <rPr>
        <b/>
        <sz val="10"/>
        <rFont val="宋体"/>
        <family val="3"/>
        <charset val="134"/>
      </rPr>
      <t>未审数</t>
    </r>
    <phoneticPr fontId="6" type="noConversion"/>
  </si>
  <si>
    <r>
      <rPr>
        <b/>
        <sz val="10"/>
        <rFont val="宋体"/>
        <family val="3"/>
        <charset val="134"/>
      </rPr>
      <t>账项调整</t>
    </r>
    <phoneticPr fontId="6" type="noConversion"/>
  </si>
  <si>
    <r>
      <rPr>
        <b/>
        <sz val="10"/>
        <rFont val="宋体"/>
        <family val="3"/>
        <charset val="134"/>
      </rPr>
      <t>审定数</t>
    </r>
    <phoneticPr fontId="6" type="noConversion"/>
  </si>
  <si>
    <r>
      <rPr>
        <b/>
        <sz val="10"/>
        <rFont val="宋体"/>
        <family val="3"/>
        <charset val="134"/>
      </rPr>
      <t>变动额</t>
    </r>
    <phoneticPr fontId="6" type="noConversion"/>
  </si>
  <si>
    <r>
      <rPr>
        <b/>
        <sz val="10"/>
        <color indexed="8"/>
        <rFont val="宋体"/>
        <family val="3"/>
        <charset val="134"/>
      </rPr>
      <t>变动率</t>
    </r>
    <phoneticPr fontId="6" type="noConversion"/>
  </si>
  <si>
    <r>
      <t>1</t>
    </r>
    <r>
      <rPr>
        <b/>
        <sz val="10"/>
        <rFont val="宋体"/>
        <family val="3"/>
        <charset val="134"/>
      </rPr>
      <t>、审计说明</t>
    </r>
    <r>
      <rPr>
        <sz val="10"/>
        <color indexed="12"/>
        <rFont val="宋体"/>
        <family val="3"/>
        <charset val="134"/>
      </rPr>
      <t/>
    </r>
    <phoneticPr fontId="6"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</si>
  <si>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6" type="noConversion"/>
  </si>
  <si>
    <r>
      <t>2</t>
    </r>
    <r>
      <rPr>
        <b/>
        <sz val="10"/>
        <rFont val="宋体"/>
        <family val="3"/>
        <charset val="134"/>
      </rPr>
      <t>、审计结论</t>
    </r>
    <phoneticPr fontId="6" type="noConversion"/>
  </si>
  <si>
    <r>
      <rPr>
        <sz val="10"/>
        <rFont val="宋体"/>
        <family val="3"/>
        <charset val="134"/>
      </rPr>
      <t>（</t>
    </r>
    <r>
      <rPr>
        <sz val="10"/>
        <rFont val="Arial Narrow"/>
        <family val="2"/>
      </rPr>
      <t>2</t>
    </r>
    <r>
      <rPr>
        <sz val="10"/>
        <rFont val="宋体"/>
        <family val="3"/>
        <charset val="134"/>
      </rPr>
      <t>）情况说明</t>
    </r>
    <phoneticPr fontId="6" type="noConversion"/>
  </si>
  <si>
    <t>发函情况</t>
    <phoneticPr fontId="14" type="noConversion"/>
  </si>
  <si>
    <t>合计</t>
    <phoneticPr fontId="14" type="noConversion"/>
  </si>
  <si>
    <t>成本</t>
    <phoneticPr fontId="3" type="noConversion"/>
  </si>
  <si>
    <t>成本</t>
    <phoneticPr fontId="3" type="noConversion"/>
  </si>
  <si>
    <t>否</t>
    <phoneticPr fontId="3" type="noConversion"/>
  </si>
  <si>
    <t>无需打印</t>
    <phoneticPr fontId="3" type="noConversion"/>
  </si>
  <si>
    <t>其他权益工具投资审定表</t>
    <phoneticPr fontId="6" type="noConversion"/>
  </si>
  <si>
    <r>
      <rPr>
        <sz val="10"/>
        <rFont val="宋体"/>
        <family val="3"/>
        <charset val="134"/>
      </rPr>
      <t>（</t>
    </r>
    <r>
      <rPr>
        <sz val="10"/>
        <rFont val="Arial Narrow"/>
        <family val="2"/>
      </rPr>
      <t>1</t>
    </r>
    <r>
      <rPr>
        <sz val="10"/>
        <rFont val="宋体"/>
        <family val="3"/>
        <charset val="134"/>
      </rPr>
      <t>）其他权益工具投资本期较上期增加（负数为减少）：</t>
    </r>
    <phoneticPr fontId="6" type="noConversion"/>
  </si>
  <si>
    <t>公允价值</t>
    <phoneticPr fontId="6" type="noConversion"/>
  </si>
  <si>
    <t>其他权益工具投资</t>
    <phoneticPr fontId="3" type="noConversion"/>
  </si>
  <si>
    <t>本期确认的股利收入</t>
  </si>
  <si>
    <t>其他综合收益转入留存收益的金额</t>
  </si>
  <si>
    <t>附注披露信息（国企）</t>
    <phoneticPr fontId="6" type="noConversion"/>
  </si>
  <si>
    <t>其他权益工具投资明细表</t>
    <phoneticPr fontId="6" type="noConversion"/>
  </si>
  <si>
    <t>累计公允价值变动</t>
    <phoneticPr fontId="3" type="noConversion"/>
  </si>
  <si>
    <t>本期公允价值变动</t>
    <phoneticPr fontId="3" type="noConversion"/>
  </si>
  <si>
    <t>合计</t>
    <phoneticPr fontId="3" type="noConversion"/>
  </si>
  <si>
    <t>本期确认的股利收入</t>
    <phoneticPr fontId="3" type="noConversion"/>
  </si>
  <si>
    <t>公司出于战略目的而计划长期持有</t>
    <phoneticPr fontId="3" type="noConversion"/>
  </si>
  <si>
    <t>指定为以公允价值计量且其变动计入其他综合收益的原因</t>
    <phoneticPr fontId="3" type="noConversion"/>
  </si>
  <si>
    <t>被投资单位名称</t>
    <phoneticPr fontId="6" type="noConversion"/>
  </si>
  <si>
    <t>投资比例</t>
    <phoneticPr fontId="6" type="noConversion"/>
  </si>
  <si>
    <t>其他综合收益转入留存收益</t>
    <phoneticPr fontId="3" type="noConversion"/>
  </si>
  <si>
    <t>处置时公允价值变动结转</t>
    <phoneticPr fontId="3" type="noConversion"/>
  </si>
  <si>
    <r>
      <rPr>
        <b/>
        <sz val="10"/>
        <rFont val="宋体"/>
        <family val="3"/>
        <charset val="134"/>
      </rPr>
      <t>三、审计说明：</t>
    </r>
    <phoneticPr fontId="6" type="noConversion"/>
  </si>
  <si>
    <r>
      <rPr>
        <b/>
        <sz val="10"/>
        <rFont val="宋体"/>
        <family val="3"/>
        <charset val="134"/>
      </rPr>
      <t>四、审计结论</t>
    </r>
    <phoneticPr fontId="3" type="noConversion"/>
  </si>
  <si>
    <t>页  次：</t>
    <phoneticPr fontId="3" type="noConversion"/>
  </si>
  <si>
    <t>注1：权益工具投资一般不符合本金加利息的合同现金流量特征，因此应当分类为以公允价值计量且其变动计入当期损益的金融资产。然而在初始确认时，企业可以将非交易性权益工具投资指定为以公允价值计量且其变动计入其他综合收益的金融资产。该指定一经作出，不得撤销。</t>
    <phoneticPr fontId="3" type="noConversion"/>
  </si>
  <si>
    <t>注2：股利收入的确认条件：（1）企业收取股利的权利已经确立——权益工具发行方宣布股利时；（2）与股利相关的经济利益很可能流入企业；（3）股利的金额能够可靠计量。</t>
    <phoneticPr fontId="3" type="noConversion"/>
  </si>
  <si>
    <t>计入其他综合收益的累计利得或损失</t>
    <phoneticPr fontId="3" type="noConversion"/>
  </si>
  <si>
    <t>期初余额</t>
    <phoneticPr fontId="3" type="noConversion"/>
  </si>
  <si>
    <t>本期变动</t>
    <phoneticPr fontId="3" type="noConversion"/>
  </si>
  <si>
    <t>期末余额</t>
    <phoneticPr fontId="3" type="noConversion"/>
  </si>
  <si>
    <r>
      <rPr>
        <b/>
        <sz val="10"/>
        <color theme="1"/>
        <rFont val="宋体"/>
        <family val="3"/>
        <charset val="134"/>
      </rPr>
      <t>估值技术</t>
    </r>
    <phoneticPr fontId="3" type="noConversion"/>
  </si>
  <si>
    <r>
      <rPr>
        <b/>
        <sz val="10"/>
        <color theme="1"/>
        <rFont val="宋体"/>
        <family val="3"/>
        <charset val="134"/>
      </rPr>
      <t>不可观察输入值</t>
    </r>
    <phoneticPr fontId="3" type="noConversion"/>
  </si>
  <si>
    <t>10
17%</t>
    <phoneticPr fontId="3" type="noConversion"/>
  </si>
  <si>
    <t>16% 
2%
10.3%
20%</t>
    <phoneticPr fontId="3" type="noConversion"/>
  </si>
  <si>
    <r>
      <t xml:space="preserve">1. </t>
    </r>
    <r>
      <rPr>
        <sz val="10"/>
        <color theme="1"/>
        <rFont val="宋体"/>
        <family val="3"/>
        <charset val="134"/>
      </rPr>
      <t>其他权益工具投资的指定是否符合准则要求、会计处理是否合理并与前期一致。</t>
    </r>
    <phoneticPr fontId="3" type="noConversion"/>
  </si>
  <si>
    <r>
      <t xml:space="preserve">2. </t>
    </r>
    <r>
      <rPr>
        <sz val="10"/>
        <color theme="1"/>
        <rFont val="宋体"/>
        <family val="3"/>
        <charset val="134"/>
      </rPr>
      <t>就管理层将投资确定为非交易性的目的获取书面声明，询问管理层持有相关资产的目的，实施以下程序印证管理层的答复，确定相关资产的分类是否正确：</t>
    </r>
    <phoneticPr fontId="3" type="noConversion"/>
  </si>
  <si>
    <r>
      <t xml:space="preserve">2.1 </t>
    </r>
    <r>
      <rPr>
        <sz val="10"/>
        <color theme="1"/>
        <rFont val="宋体"/>
        <family val="3"/>
        <charset val="134"/>
      </rPr>
      <t>考虑管理层以前所述的对于投资持有目的的实际实施情况；</t>
    </r>
    <phoneticPr fontId="3" type="noConversion"/>
  </si>
  <si>
    <r>
      <t xml:space="preserve">2.2 </t>
    </r>
    <r>
      <rPr>
        <sz val="10"/>
        <color theme="1"/>
        <rFont val="宋体"/>
        <family val="3"/>
        <charset val="134"/>
      </rPr>
      <t>复核包括预算、管理层会议纪要等在内的文件和报告记录，检查管理层是否对投资的持有目的进行了明确的书面指定；</t>
    </r>
    <phoneticPr fontId="3" type="noConversion"/>
  </si>
  <si>
    <r>
      <t xml:space="preserve">2.3 </t>
    </r>
    <r>
      <rPr>
        <sz val="10"/>
        <color theme="1"/>
        <rFont val="宋体"/>
        <family val="3"/>
        <charset val="134"/>
      </rPr>
      <t>考虑管理层选择指定为其他权益工具投资的理由。</t>
    </r>
    <phoneticPr fontId="3" type="noConversion"/>
  </si>
  <si>
    <r>
      <t xml:space="preserve">3. </t>
    </r>
    <r>
      <rPr>
        <sz val="10"/>
        <color theme="1"/>
        <rFont val="宋体"/>
        <family val="3"/>
        <charset val="134"/>
      </rPr>
      <t>与管理层讨论金融资产分类是否符合企业会计准则，是否根据确定的分类选用了正确的核算方法。</t>
    </r>
    <phoneticPr fontId="3" type="noConversion"/>
  </si>
  <si>
    <r>
      <t xml:space="preserve">4. </t>
    </r>
    <r>
      <rPr>
        <sz val="10"/>
        <color theme="1"/>
        <rFont val="宋体"/>
        <family val="3"/>
        <charset val="134"/>
      </rPr>
      <t>是否发现管理层在以前年度运用的重大判断和估计存在不合理的情形。如果存在，记录管理层是否在当年进行了恰当的会计处理和披露，并选用了更为准确的判断和假设。</t>
    </r>
    <phoneticPr fontId="3" type="noConversion"/>
  </si>
  <si>
    <t>合计</t>
    <phoneticPr fontId="14" type="noConversion"/>
  </si>
  <si>
    <t>指定为其他权益工具投资的适当性检查表</t>
    <phoneticPr fontId="6" type="noConversion"/>
  </si>
  <si>
    <t>取得相关金融资产的目的，主要是为了近期出售或回购</t>
    <phoneticPr fontId="3" type="noConversion"/>
  </si>
  <si>
    <t>相关金融资产在初始确认时属于集中管理的可辨认金融工具组合的一部分，且有客观证据表明近期实际存在短期获利模式</t>
    <phoneticPr fontId="3" type="noConversion"/>
  </si>
  <si>
    <t>相关金融资产属于衍生工具（但符合财务担保合同定义的衍生工具以及被指定为有效套期工具的衍生工具除外）</t>
    <phoneticPr fontId="3" type="noConversion"/>
  </si>
  <si>
    <t>书面文件索引号</t>
    <phoneticPr fontId="3" type="noConversion"/>
  </si>
  <si>
    <r>
      <t>“</t>
    </r>
    <r>
      <rPr>
        <b/>
        <sz val="10"/>
        <color theme="1"/>
        <rFont val="宋体"/>
        <family val="3"/>
        <charset val="134"/>
      </rPr>
      <t>权益工具投资</t>
    </r>
    <r>
      <rPr>
        <b/>
        <sz val="10"/>
        <color theme="1"/>
        <rFont val="Arial Narrow"/>
        <family val="2"/>
      </rPr>
      <t>”[</t>
    </r>
    <r>
      <rPr>
        <b/>
        <sz val="10"/>
        <color theme="1"/>
        <rFont val="宋体"/>
        <family val="3"/>
        <charset val="134"/>
      </rPr>
      <t>需满足】</t>
    </r>
    <phoneticPr fontId="3" type="noConversion"/>
  </si>
  <si>
    <r>
      <t>“</t>
    </r>
    <r>
      <rPr>
        <b/>
        <sz val="10"/>
        <color theme="1"/>
        <rFont val="宋体"/>
        <family val="3"/>
        <charset val="134"/>
      </rPr>
      <t>非交易性</t>
    </r>
    <r>
      <rPr>
        <b/>
        <sz val="10"/>
        <color theme="1"/>
        <rFont val="Arial Narrow"/>
        <family val="2"/>
      </rPr>
      <t>”[</t>
    </r>
    <r>
      <rPr>
        <b/>
        <sz val="10"/>
        <color theme="1"/>
        <rFont val="宋体"/>
        <family val="3"/>
        <charset val="134"/>
      </rPr>
      <t>需不属于下列任一情形之一</t>
    </r>
    <r>
      <rPr>
        <b/>
        <sz val="10"/>
        <color theme="1"/>
        <rFont val="Arial Narrow"/>
        <family val="2"/>
      </rPr>
      <t>]</t>
    </r>
    <phoneticPr fontId="3" type="noConversion"/>
  </si>
  <si>
    <t>满足</t>
    <phoneticPr fontId="3" type="noConversion"/>
  </si>
  <si>
    <t>注1：权益工具，是指能证明拥有某个企业在扣除所有负债后的资产中的剩余权益的合同。</t>
    <phoneticPr fontId="3" type="noConversion"/>
  </si>
  <si>
    <t>中证协《非上市公司股权估值指引》</t>
    <phoneticPr fontId="3" type="noConversion"/>
  </si>
  <si>
    <t>被投资单位名称</t>
    <phoneticPr fontId="3" type="noConversion"/>
  </si>
  <si>
    <t>期末账面价值</t>
    <phoneticPr fontId="3" type="noConversion"/>
  </si>
  <si>
    <t>注3：终止确认时（包括处置、转为长期股权投资），之前计入其他综合收益的累计利得或损失应当从其他综合收益中转出，计入留存收益（盈余公积、未分配利润）。</t>
    <phoneticPr fontId="3" type="noConversion"/>
  </si>
  <si>
    <t>注4：发行方仅在清算时才有义务向另一方按比例交付其净资产的金融工具，产生上述合同义务的清算确定将会发生并且不受发行方的控制（如发行方本身是有限寿命主体），或者发生与否取决于该工具的持有方。</t>
    <phoneticPr fontId="3" type="noConversion"/>
  </si>
  <si>
    <t>不属于：可回售工具（如开放式基金）或发行方仅在清算时才有义务向另一方按比例交付其净资产的金融工具（如合伙企业约定了固定期限、封闭式基金、理财产品的份额、信托计划等寿命固定的结构化主体的份额，实务中也称有限寿命工具）</t>
    <phoneticPr fontId="3" type="noConversion"/>
  </si>
  <si>
    <r>
      <rPr>
        <sz val="10"/>
        <color theme="1"/>
        <rFont val="宋体"/>
        <family val="3"/>
        <charset val="134"/>
      </rPr>
      <t>对于工具发行方来说，满足《企业会计准则第</t>
    </r>
    <r>
      <rPr>
        <sz val="10"/>
        <color theme="1"/>
        <rFont val="Arial Narrow"/>
        <family val="2"/>
      </rPr>
      <t>37</t>
    </r>
    <r>
      <rPr>
        <sz val="10"/>
        <color theme="1"/>
        <rFont val="宋体"/>
        <family val="3"/>
        <charset val="134"/>
      </rPr>
      <t>号</t>
    </r>
    <r>
      <rPr>
        <sz val="10"/>
        <color theme="1"/>
        <rFont val="Arial Narrow"/>
        <family val="2"/>
      </rPr>
      <t>——</t>
    </r>
    <r>
      <rPr>
        <sz val="10"/>
        <color theme="1"/>
        <rFont val="宋体"/>
        <family val="3"/>
        <charset val="134"/>
      </rPr>
      <t>金融工具列报》中</t>
    </r>
    <r>
      <rPr>
        <b/>
        <sz val="10"/>
        <color theme="1"/>
        <rFont val="宋体"/>
        <family val="3"/>
        <charset val="134"/>
      </rPr>
      <t>权益工具定义</t>
    </r>
    <phoneticPr fontId="3" type="noConversion"/>
  </si>
  <si>
    <t>指定为以公允价值计量且其变动计入其他综合收益的金融资产的条件。</t>
    <phoneticPr fontId="3" type="noConversion"/>
  </si>
  <si>
    <t>注2：符合金融负债定义但是被分类为权益工具的特殊金融工具（包括可回售工具和发行方仅在清算时才有义务向另一方按比例交付其净资产的金融工具）本身并不符合权益工具的定义，因此从投资方的角度也就不符合</t>
    <phoneticPr fontId="3" type="noConversion"/>
  </si>
  <si>
    <t>注3：可回售工具，是指根据合同约定，持有方有权将该工具回售给发行方以获取现金或其他金融资产的权利，或者在未来某一不确定事项发生或者持有方死亡或退休时，自动回售给发行方的金融工具。例如某些合作制法人的</t>
    <phoneticPr fontId="3" type="noConversion"/>
  </si>
  <si>
    <t>可随时回售的“权益”或者某些开放式基金的可随时赎回的基金份额。</t>
    <phoneticPr fontId="3" type="noConversion"/>
  </si>
  <si>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</si>
  <si>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</si>
  <si>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</si>
  <si>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</si>
  <si>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</si>
  <si>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</si>
  <si>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</si>
  <si>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6" type="noConversion"/>
  </si>
  <si>
    <t>调整数</t>
    <phoneticPr fontId="3" type="noConversion"/>
  </si>
  <si>
    <t>审定数</t>
    <phoneticPr fontId="3" type="noConversion"/>
  </si>
  <si>
    <r>
      <rPr>
        <b/>
        <sz val="10"/>
        <rFont val="宋体"/>
        <family val="3"/>
        <charset val="134"/>
      </rPr>
      <t>一、本账户涉及的科目</t>
    </r>
    <phoneticPr fontId="6" type="noConversion"/>
  </si>
  <si>
    <r>
      <rPr>
        <b/>
        <sz val="10"/>
        <rFont val="宋体"/>
        <family val="3"/>
        <charset val="134"/>
      </rPr>
      <t>财务报表的认定　</t>
    </r>
  </si>
  <si>
    <r>
      <rPr>
        <b/>
        <sz val="10"/>
        <rFont val="宋体"/>
        <family val="3"/>
        <charset val="134"/>
      </rPr>
      <t>审计程序</t>
    </r>
  </si>
  <si>
    <t>常规★</t>
    <phoneticPr fontId="3" type="noConversion"/>
  </si>
  <si>
    <t>3</t>
  </si>
  <si>
    <t>4</t>
  </si>
  <si>
    <t>5</t>
  </si>
  <si>
    <t>6</t>
  </si>
  <si>
    <t>7</t>
  </si>
  <si>
    <t>8</t>
  </si>
  <si>
    <t>9</t>
  </si>
  <si>
    <t>10</t>
  </si>
  <si>
    <t>11</t>
  </si>
  <si>
    <t>12</t>
  </si>
  <si>
    <t>常规★</t>
  </si>
  <si>
    <t>其他权益工具投资实质性程序表</t>
    <phoneticPr fontId="3" type="noConversion"/>
  </si>
  <si>
    <t>其他权益工具投资</t>
  </si>
  <si>
    <t>期初调整数</t>
    <phoneticPr fontId="3" type="noConversion"/>
  </si>
  <si>
    <t>期初审定数</t>
    <phoneticPr fontId="3" type="noConversion"/>
  </si>
  <si>
    <t>编制日期：</t>
    <phoneticPr fontId="6" type="noConversion"/>
  </si>
  <si>
    <t>复核日期：</t>
    <phoneticPr fontId="6" type="noConversion"/>
  </si>
  <si>
    <t>试算平衡表数</t>
    <phoneticPr fontId="6" type="noConversion"/>
  </si>
  <si>
    <t>差异数</t>
    <phoneticPr fontId="6" type="noConversion"/>
  </si>
  <si>
    <t>调整事项说明</t>
    <phoneticPr fontId="6" type="noConversion"/>
  </si>
  <si>
    <t>类别（报表调整/账项调整/其他）</t>
    <phoneticPr fontId="6" type="noConversion"/>
  </si>
  <si>
    <t>科目名称</t>
    <phoneticPr fontId="6" type="noConversion"/>
  </si>
  <si>
    <t>附注项目</t>
    <phoneticPr fontId="6" type="noConversion"/>
  </si>
  <si>
    <t>……</t>
    <phoneticPr fontId="6" type="noConversion"/>
  </si>
  <si>
    <t>借方调整金额</t>
    <phoneticPr fontId="6" type="noConversion"/>
  </si>
  <si>
    <t>贷方调整金额</t>
    <phoneticPr fontId="6" type="noConversion"/>
  </si>
  <si>
    <t>索引</t>
    <phoneticPr fontId="6" type="noConversion"/>
  </si>
  <si>
    <t>备注</t>
    <phoneticPr fontId="6" type="noConversion"/>
  </si>
  <si>
    <t>其他权益工具投资调整分录汇总表</t>
    <phoneticPr fontId="6" type="noConversion"/>
  </si>
  <si>
    <t>其他权益工具投资凭证检查表</t>
    <phoneticPr fontId="6" type="noConversion"/>
  </si>
  <si>
    <t>其他综合收益转入留存收益的原因</t>
  </si>
  <si>
    <t>（1）其他权益工具投资情况</t>
  </si>
  <si>
    <t>（2）期末其他权益工具投资情况</t>
  </si>
  <si>
    <t>期末余额</t>
  </si>
  <si>
    <t>期初余额</t>
  </si>
  <si>
    <t>项目名称</t>
  </si>
  <si>
    <t>其他综合收益转入留存收益的原因</t>
    <phoneticPr fontId="3" type="noConversion"/>
  </si>
  <si>
    <t>[披露企业将上述各项目指定为以公允价值计量且其变动计入其他综合收益的原因。例如： 由于[项目名称1]是本公司出于战略目的而计划长期持有的投资，因此本公司将其指定为以公允价值计量且其变动计入其他综合收益的金融资产。]</t>
    <phoneticPr fontId="3" type="noConversion"/>
  </si>
  <si>
    <t>上年年末余额</t>
  </si>
  <si>
    <r>
      <t>项</t>
    </r>
    <r>
      <rPr>
        <b/>
        <sz val="10.5"/>
        <color theme="1"/>
        <rFont val="Arial Narrow"/>
        <family val="2"/>
      </rPr>
      <t xml:space="preserve">  </t>
    </r>
    <r>
      <rPr>
        <b/>
        <sz val="10.5"/>
        <color theme="1"/>
        <rFont val="仿宋_GB2312"/>
        <family val="3"/>
        <charset val="134"/>
      </rPr>
      <t>目</t>
    </r>
  </si>
  <si>
    <t>本期计入其他综合收益的利得和损失</t>
  </si>
  <si>
    <t>本期末累计计入其他综合收益的利得和损失</t>
  </si>
  <si>
    <t>因终止确认转入留存收益的累计利得和损失</t>
  </si>
  <si>
    <t>终止确认的原因</t>
  </si>
  <si>
    <r>
      <t>合</t>
    </r>
    <r>
      <rPr>
        <b/>
        <sz val="10.5"/>
        <color theme="1"/>
        <rFont val="Arial Narrow"/>
        <family val="2"/>
      </rPr>
      <t xml:space="preserve">  </t>
    </r>
    <r>
      <rPr>
        <b/>
        <sz val="10.5"/>
        <color theme="1"/>
        <rFont val="仿宋_GB2312"/>
        <family val="3"/>
        <charset val="134"/>
      </rPr>
      <t>计</t>
    </r>
  </si>
  <si>
    <t>G8A</t>
  </si>
  <si>
    <t>G8-2</t>
  </si>
  <si>
    <t>G8-4</t>
  </si>
  <si>
    <t>G8-6</t>
  </si>
  <si>
    <t>被审计单位：</t>
    <phoneticPr fontId="6" type="noConversion"/>
  </si>
  <si>
    <t>索引号：</t>
    <phoneticPr fontId="3" type="noConversion"/>
  </si>
  <si>
    <t>索引号：</t>
    <phoneticPr fontId="6" type="noConversion"/>
  </si>
  <si>
    <t>（15号文第十九条（九）分项列示其他权益工具投资期初余额、期末余额、本期计入其他综合收益的利得和损失、本期末累计计入其他综合收益的利得和损失、本期确认的股利收入以及指定为以公允价值计量且其变动计入其他综合收益的原因。本期存在终止确认的，应分项披露终止确认的原因，以及因终止确认转入留存收益的累计利得和损失。）</t>
    <phoneticPr fontId="3" type="noConversion"/>
  </si>
  <si>
    <r>
      <t>【披露企业将上述各项目指定为以公允价值计量且其变动计入其他综合收益的原因。例如：</t>
    </r>
    <r>
      <rPr>
        <sz val="12"/>
        <color rgb="FF0000FF"/>
        <rFont val="Arial Narrow"/>
        <family val="2"/>
      </rPr>
      <t xml:space="preserve"> </t>
    </r>
    <phoneticPr fontId="3" type="noConversion"/>
  </si>
  <si>
    <r>
      <t>项</t>
    </r>
    <r>
      <rPr>
        <b/>
        <sz val="10.5"/>
        <color theme="1"/>
        <rFont val="Arial Narrow"/>
        <family val="2"/>
      </rPr>
      <t xml:space="preserve">  </t>
    </r>
    <r>
      <rPr>
        <b/>
        <sz val="10.5"/>
        <color theme="1"/>
        <rFont val="仿宋_GB2312"/>
        <family val="3"/>
        <charset val="134"/>
      </rPr>
      <t>目</t>
    </r>
    <phoneticPr fontId="3" type="noConversion"/>
  </si>
  <si>
    <r>
      <t>由于</t>
    </r>
    <r>
      <rPr>
        <sz val="12"/>
        <color rgb="FFFF0000"/>
        <rFont val="Arial Narrow"/>
        <family val="2"/>
      </rPr>
      <t>[</t>
    </r>
    <r>
      <rPr>
        <sz val="12"/>
        <color rgb="FFFF0000"/>
        <rFont val="仿宋_GB2312"/>
        <family val="3"/>
        <charset val="134"/>
      </rPr>
      <t>项目名称</t>
    </r>
    <r>
      <rPr>
        <sz val="12"/>
        <color rgb="FFFF0000"/>
        <rFont val="Arial Narrow"/>
        <family val="2"/>
      </rPr>
      <t>1]</t>
    </r>
    <r>
      <rPr>
        <sz val="12"/>
        <color rgb="FFFF0000"/>
        <rFont val="仿宋_GB2312"/>
        <family val="3"/>
        <charset val="134"/>
      </rPr>
      <t>是本公司出于战略目的而计划长期持有的投资，因此本公司将其指定为以公允价值计量且其变动计入其他综合收益的金融资产。】</t>
    </r>
    <r>
      <rPr>
        <sz val="12"/>
        <color rgb="FFFF0000"/>
        <rFont val="Arial Narrow"/>
        <family val="2"/>
      </rPr>
      <t xml:space="preserve"> </t>
    </r>
    <phoneticPr fontId="3" type="noConversion"/>
  </si>
  <si>
    <t>本期计入其他综合收益的利得或损失</t>
  </si>
  <si>
    <t>截至期末累计计入其他综合收益的利得或损失</t>
  </si>
  <si>
    <t>记账凭证</t>
    <phoneticPr fontId="6" type="noConversion"/>
  </si>
  <si>
    <t>索引号</t>
    <phoneticPr fontId="6" type="noConversion"/>
  </si>
  <si>
    <t>是否异常</t>
    <phoneticPr fontId="6" type="noConversion"/>
  </si>
  <si>
    <t>日期</t>
  </si>
  <si>
    <t>凭证编号</t>
  </si>
  <si>
    <t>业务内容</t>
    <phoneticPr fontId="6" type="noConversion"/>
  </si>
  <si>
    <t>对方科目</t>
    <phoneticPr fontId="6" type="noConversion"/>
  </si>
  <si>
    <t>明细科目</t>
  </si>
  <si>
    <t>借方金额</t>
    <phoneticPr fontId="6" type="noConversion"/>
  </si>
  <si>
    <t>贷方金额</t>
    <phoneticPr fontId="6" type="noConversion"/>
  </si>
  <si>
    <t>二、审计目标与认定的对应关系</t>
    <phoneticPr fontId="6" type="noConversion"/>
  </si>
  <si>
    <t>审计目标</t>
    <phoneticPr fontId="6" type="noConversion"/>
  </si>
  <si>
    <t>存在</t>
    <phoneticPr fontId="6" type="noConversion"/>
  </si>
  <si>
    <t>完整性</t>
    <phoneticPr fontId="6" type="noConversion"/>
  </si>
  <si>
    <t>权利和义务</t>
    <phoneticPr fontId="6" type="noConversion"/>
  </si>
  <si>
    <t>准确性、计价和分摊</t>
    <phoneticPr fontId="6" type="noConversion"/>
  </si>
  <si>
    <t>列报</t>
    <phoneticPr fontId="6" type="noConversion"/>
  </si>
  <si>
    <r>
      <rPr>
        <b/>
        <sz val="10"/>
        <rFont val="宋体"/>
        <family val="3"/>
        <charset val="134"/>
      </rPr>
      <t>序号</t>
    </r>
    <phoneticPr fontId="6" type="noConversion"/>
  </si>
  <si>
    <r>
      <rPr>
        <b/>
        <sz val="10"/>
        <rFont val="宋体"/>
        <family val="3"/>
        <charset val="134"/>
      </rPr>
      <t>程序分类</t>
    </r>
    <phoneticPr fontId="6" type="noConversion"/>
  </si>
  <si>
    <t>财务报表的认定</t>
    <phoneticPr fontId="6" type="noConversion"/>
  </si>
  <si>
    <t>底稿索引号</t>
    <phoneticPr fontId="6" type="noConversion"/>
  </si>
  <si>
    <t>权利和
义务</t>
    <phoneticPr fontId="6" type="noConversion"/>
  </si>
  <si>
    <t>1</t>
    <phoneticPr fontId="3" type="noConversion"/>
  </si>
  <si>
    <t>常规★</t>
    <phoneticPr fontId="3" type="noConversion"/>
  </si>
  <si>
    <t>√</t>
    <phoneticPr fontId="6" type="noConversion"/>
  </si>
  <si>
    <t>√</t>
    <phoneticPr fontId="6" type="noConversion"/>
  </si>
  <si>
    <t>2</t>
    <phoneticPr fontId="6"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</si>
  <si>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</si>
  <si>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t>√</t>
    <phoneticPr fontId="6" type="noConversion"/>
  </si>
  <si>
    <t>常规★</t>
    <phoneticPr fontId="3" type="noConversion"/>
  </si>
  <si>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3" type="noConversion"/>
  </si>
  <si>
    <t>常规★</t>
    <phoneticPr fontId="3" type="noConversion"/>
  </si>
  <si>
    <t>√</t>
    <phoneticPr fontId="6" type="noConversion"/>
  </si>
  <si>
    <t>√</t>
  </si>
  <si>
    <t>常规★</t>
    <phoneticPr fontId="3" type="noConversion"/>
  </si>
  <si>
    <r>
      <rPr>
        <sz val="10"/>
        <color theme="1"/>
        <rFont val="宋体"/>
        <family val="3"/>
        <charset val="134"/>
      </rPr>
      <t>询问各项投资是否存在任何限制、抵押或留置权。</t>
    </r>
    <r>
      <rPr>
        <sz val="10"/>
        <color theme="1"/>
        <rFont val="Arial Narrow"/>
        <family val="2"/>
      </rPr>
      <t xml:space="preserve"> </t>
    </r>
    <r>
      <rPr>
        <sz val="10"/>
        <color theme="1"/>
        <rFont val="宋体"/>
        <family val="3"/>
        <charset val="134"/>
      </rPr>
      <t>检查有无变现存在重大限制的资产，如有，则查明情况，作出记录。</t>
    </r>
    <phoneticPr fontId="3" type="noConversion"/>
  </si>
  <si>
    <t>14</t>
  </si>
  <si>
    <t>√</t>
    <phoneticPr fontId="6" type="noConversion"/>
  </si>
  <si>
    <t>13</t>
  </si>
  <si>
    <t>一、审计目标</t>
    <phoneticPr fontId="3" type="noConversion"/>
  </si>
  <si>
    <t>二、审计过程</t>
    <phoneticPr fontId="3" type="noConversion"/>
  </si>
  <si>
    <t>一、审计目标</t>
    <phoneticPr fontId="3" type="noConversion"/>
  </si>
  <si>
    <t>二、审计过程</t>
    <phoneticPr fontId="3" type="noConversion"/>
  </si>
  <si>
    <t>资产负债表日至审计工作日间，新增、售出、兑换、处置或偿付的大额出售或购买交易，确认是否被记录在恰当时期内；检查报表日后的证券处置是否出现亏损，如果确认亏损，确定这些亏损是否应该记录在报表期。</t>
    <phoneticPr fontId="3" type="noConversion"/>
  </si>
  <si>
    <t>针对公允价值计量的投资，复核其他权益工具投资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</si>
  <si>
    <t>报表项目</t>
    <phoneticPr fontId="3" type="noConversion"/>
  </si>
  <si>
    <t>确定被审计单位其他权益工具投资以公允价值计量。</t>
    <phoneticPr fontId="6" type="noConversion"/>
  </si>
  <si>
    <t>债权投资以恰当的金额包括在财务报表中，与之相关的计价或分摊调整已恰当记录，相关披露已得到恰当计量和描述</t>
    <phoneticPr fontId="3" type="noConversion"/>
  </si>
  <si>
    <t>关注单独的重大其他权益工具投资转移或处置，考虑实施以下程序：
（1）获取本期减少的其他权益工具投资投资的合约、协议、中介机构报告等（若适用），查验其他权益工具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（2）对本期减少中的特定项目进行以下测试：检查非货币性资产交换、债务重组、企业合并、投资等发生其他权益工具投资转移的会计处理是否正确；
（3）重新计算相关的利得或损失；
（4）关注处置日期是否记录恰当，会计处理是否恰当。</t>
  </si>
  <si>
    <t>确认其他权益工具投资会计政策、会计处理是否合理并与前期一致，会计估计是否合理，实施以下程序：
（1）关注被审计单位管理金融工具的业务模式，并结合合同现金流量特征，分析管理层对金融资产分类是否合理；
（2）与管理层讨论其他权益工具投资分类是否符合企业会计准则，是否根据确定的分类选用了正确的核算方法；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phoneticPr fontId="3" type="noConversion"/>
  </si>
  <si>
    <t>A. 资产负债表中记录的其他权益工具投资是存在的，且已记录于恰当的账户</t>
  </si>
  <si>
    <t>B. 所有应记录的其他权益工具投资均已记录，所有应当包括在财务报表中的相关披露均已包括</t>
  </si>
  <si>
    <t>C. 记录的其他权益工具投资由被审计单位拥有或控制</t>
  </si>
  <si>
    <t xml:space="preserve">D. 其他权益工具投资以恰当的金额包括在财务报表中，与之相关的计价或分摊调整已恰当记录，相关披露已得到恰当计量和描述 </t>
  </si>
  <si>
    <t>E. 其他权益工具投资已被恰当地汇总或分解且表述清楚，相关披露在按照企业会计准则的编制基础下是相关的、可理解的</t>
  </si>
  <si>
    <t>根据实际情况，实施以下分析程序：
（1）获取增、减分析表，确定增加内容及减少方式、对损益的影响；
（2）复核年度其他权益工具投资的总体合理性；对变化较大的项目或没有变动的项目进行复核，与被审计单位适当人员讨论原因，判断其存在的合理性，是否存在减值；
（3）结合其他权益工具投资循环中投资收益的审计，计算年度其他权益工具投资循环收益占利润总额的比例，分析公司对投资循环收益的依赖程度，判断其盈利能力和稳定性。</t>
  </si>
  <si>
    <r>
      <rPr>
        <sz val="10"/>
        <color theme="1"/>
        <rFont val="宋体"/>
        <family val="3"/>
        <charset val="134"/>
      </rPr>
      <t>根据评估的舞弊风险等因素增加的审计程序。</t>
    </r>
    <phoneticPr fontId="3"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</si>
  <si>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3" type="noConversion"/>
  </si>
  <si>
    <t>G8-1</t>
    <phoneticPr fontId="3" type="noConversion"/>
  </si>
  <si>
    <t>G8-3</t>
  </si>
  <si>
    <t>G8-5</t>
  </si>
  <si>
    <t>G0</t>
    <phoneticPr fontId="3" type="noConversion"/>
  </si>
  <si>
    <t>G8-2</t>
    <phoneticPr fontId="3" type="noConversion"/>
  </si>
  <si>
    <t>G8-4</t>
    <phoneticPr fontId="3" type="noConversion"/>
  </si>
  <si>
    <t>G8-2</t>
    <phoneticPr fontId="3" type="noConversion"/>
  </si>
  <si>
    <t>公允价值测试表</t>
    <phoneticPr fontId="6" type="noConversion"/>
  </si>
  <si>
    <t>致同会计师事务所</t>
    <phoneticPr fontId="3" type="noConversion"/>
  </si>
  <si>
    <t>致同会计师事务所</t>
  </si>
  <si>
    <t>附注披露信息（上市公司）</t>
    <phoneticPr fontId="6" type="noConversion"/>
  </si>
  <si>
    <t>测试总体：</t>
    <phoneticPr fontId="6" type="noConversion"/>
  </si>
  <si>
    <t>特定样本：</t>
    <phoneticPr fontId="6" type="noConversion"/>
  </si>
  <si>
    <t>XX金额以上（大额）、关联方/关联交易形成的款项、XX异常款项全部测试，共XX笔；</t>
    <phoneticPr fontId="6" type="noConversion"/>
  </si>
  <si>
    <t>抽样总体：</t>
    <phoneticPr fontId="6" type="noConversion"/>
  </si>
  <si>
    <t>测试总体扣除特定样本以外的样本，共XX笔、金额XX</t>
    <phoneticPr fontId="6" type="noConversion"/>
  </si>
  <si>
    <t>确定的抽样样本量：</t>
    <phoneticPr fontId="6" type="noConversion"/>
  </si>
  <si>
    <t>抽样方法：</t>
    <phoneticPr fontId="6" type="noConversion"/>
  </si>
  <si>
    <t>抽样过程：</t>
    <phoneticPr fontId="6" type="noConversion"/>
  </si>
  <si>
    <t>使用IDEA（XX抽样工具）选择XX数量、金额XX的样本进行测试，抽样工具中的样本选择过程和结果见&lt;XX&gt;底稿</t>
    <phoneticPr fontId="6" type="noConversion"/>
  </si>
  <si>
    <t>如借方发生额所有凭证共XX笔金额XX、贷方发生额所有凭证共XX笔金额XX</t>
    <phoneticPr fontId="6" type="noConversion"/>
  </si>
  <si>
    <t>页  次：</t>
    <phoneticPr fontId="3" type="noConversion"/>
  </si>
  <si>
    <t>页次：</t>
  </si>
  <si>
    <t>页 次：</t>
    <phoneticPr fontId="3" type="noConversion"/>
  </si>
  <si>
    <t>1.资产负债表中记录的其他权益工具投资是存在的，且已经记录在恰当的账户中；2.所有应记录的其他权益工具投资均已记录，所有应当包括在财务报表中的相关披露均已包括；</t>
    <phoneticPr fontId="3" type="noConversion"/>
  </si>
  <si>
    <t>3.其他权益工具投资以恰当的金额包括在财务报表中，与之相关的计价或分摊调整已恰当记录，相关披露已得到恰当计量和描述</t>
    <phoneticPr fontId="3" type="noConversion"/>
  </si>
  <si>
    <t>页 次：1</t>
    <phoneticPr fontId="3" type="noConversion"/>
  </si>
  <si>
    <r>
      <t>EBITDA</t>
    </r>
    <r>
      <rPr>
        <sz val="10"/>
        <rFont val="宋体"/>
        <family val="3"/>
        <charset val="134"/>
      </rPr>
      <t>乘数
非流通折价</t>
    </r>
    <phoneticPr fontId="3" type="noConversion"/>
  </si>
  <si>
    <r>
      <rPr>
        <b/>
        <sz val="10"/>
        <rFont val="宋体"/>
        <family val="3"/>
        <charset val="134"/>
      </rPr>
      <t>被投资单位名称</t>
    </r>
    <phoneticPr fontId="6" type="noConversion"/>
  </si>
  <si>
    <r>
      <rPr>
        <b/>
        <sz val="10"/>
        <color theme="1"/>
        <rFont val="宋体"/>
        <family val="3"/>
        <charset val="134"/>
      </rPr>
      <t>初始投资日期</t>
    </r>
    <phoneticPr fontId="3" type="noConversion"/>
  </si>
  <si>
    <r>
      <rPr>
        <b/>
        <sz val="10"/>
        <rFont val="宋体"/>
        <family val="3"/>
        <charset val="134"/>
      </rPr>
      <t>期末未审数</t>
    </r>
    <phoneticPr fontId="14" type="noConversion"/>
  </si>
  <si>
    <r>
      <rPr>
        <b/>
        <sz val="10"/>
        <rFont val="宋体"/>
        <family val="3"/>
        <charset val="134"/>
      </rPr>
      <t>期末审定数</t>
    </r>
    <phoneticPr fontId="14" type="noConversion"/>
  </si>
  <si>
    <r>
      <rPr>
        <b/>
        <sz val="10"/>
        <rFont val="宋体"/>
        <family val="3"/>
        <charset val="134"/>
      </rPr>
      <t>差异</t>
    </r>
    <phoneticPr fontId="3" type="noConversion"/>
  </si>
  <si>
    <r>
      <rPr>
        <b/>
        <sz val="10"/>
        <rFont val="宋体"/>
        <family val="3"/>
        <charset val="134"/>
      </rPr>
      <t>估值方法</t>
    </r>
    <phoneticPr fontId="3" type="noConversion"/>
  </si>
  <si>
    <r>
      <rPr>
        <b/>
        <sz val="10"/>
        <rFont val="宋体"/>
        <family val="3"/>
        <charset val="134"/>
      </rPr>
      <t>估值方法与上期是否一致</t>
    </r>
    <phoneticPr fontId="3" type="noConversion"/>
  </si>
  <si>
    <r>
      <rPr>
        <b/>
        <sz val="10"/>
        <rFont val="宋体"/>
        <family val="3"/>
        <charset val="134"/>
      </rPr>
      <t>第一层次</t>
    </r>
    <phoneticPr fontId="3" type="noConversion"/>
  </si>
  <si>
    <r>
      <rPr>
        <b/>
        <sz val="10"/>
        <rFont val="宋体"/>
        <family val="3"/>
        <charset val="134"/>
      </rPr>
      <t>第二层次</t>
    </r>
    <phoneticPr fontId="3" type="noConversion"/>
  </si>
  <si>
    <r>
      <rPr>
        <b/>
        <sz val="10"/>
        <rFont val="宋体"/>
        <family val="3"/>
        <charset val="134"/>
      </rPr>
      <t>第三层次</t>
    </r>
    <phoneticPr fontId="3" type="noConversion"/>
  </si>
  <si>
    <r>
      <rPr>
        <b/>
        <sz val="10"/>
        <rFont val="宋体"/>
        <family val="3"/>
        <charset val="134"/>
      </rPr>
      <t>估值文件索引号</t>
    </r>
    <phoneticPr fontId="3" type="noConversion"/>
  </si>
  <si>
    <r>
      <rPr>
        <b/>
        <sz val="10"/>
        <rFont val="宋体"/>
        <family val="3"/>
        <charset val="134"/>
      </rPr>
      <t>数量（张</t>
    </r>
    <r>
      <rPr>
        <b/>
        <sz val="10"/>
        <rFont val="Arial Narrow"/>
        <family val="2"/>
      </rPr>
      <t>/</t>
    </r>
    <r>
      <rPr>
        <b/>
        <sz val="10"/>
        <rFont val="宋体"/>
        <family val="3"/>
        <charset val="134"/>
      </rPr>
      <t>股）</t>
    </r>
    <phoneticPr fontId="3" type="noConversion"/>
  </si>
  <si>
    <r>
      <rPr>
        <b/>
        <sz val="10"/>
        <rFont val="宋体"/>
        <family val="3"/>
        <charset val="134"/>
      </rPr>
      <t>单位公允价值</t>
    </r>
    <phoneticPr fontId="3" type="noConversion"/>
  </si>
  <si>
    <r>
      <rPr>
        <b/>
        <sz val="10"/>
        <rFont val="宋体"/>
        <family val="3"/>
        <charset val="134"/>
      </rPr>
      <t>公允价值</t>
    </r>
    <phoneticPr fontId="3" type="noConversion"/>
  </si>
  <si>
    <r>
      <rPr>
        <b/>
        <sz val="10"/>
        <rFont val="宋体"/>
        <family val="3"/>
        <charset val="134"/>
      </rPr>
      <t>公允价值层次</t>
    </r>
    <phoneticPr fontId="3" type="noConversion"/>
  </si>
  <si>
    <r>
      <rPr>
        <b/>
        <sz val="10"/>
        <rFont val="宋体"/>
        <family val="3"/>
        <charset val="134"/>
      </rPr>
      <t>公允价值来源机构</t>
    </r>
    <phoneticPr fontId="3" type="noConversion"/>
  </si>
  <si>
    <r>
      <rPr>
        <b/>
        <sz val="10"/>
        <rFont val="宋体"/>
        <family val="3"/>
        <charset val="134"/>
      </rPr>
      <t>输入值来源及调整考虑因素</t>
    </r>
    <phoneticPr fontId="3" type="noConversion"/>
  </si>
  <si>
    <r>
      <rPr>
        <b/>
        <sz val="10"/>
        <color theme="1"/>
        <rFont val="宋体"/>
        <family val="3"/>
        <charset val="134"/>
      </rPr>
      <t>数值</t>
    </r>
    <phoneticPr fontId="3" type="noConversion"/>
  </si>
  <si>
    <r>
      <rPr>
        <sz val="10"/>
        <rFont val="宋体"/>
        <family val="3"/>
        <charset val="134"/>
      </rPr>
      <t>第二层次</t>
    </r>
    <phoneticPr fontId="3" type="noConversion"/>
  </si>
  <si>
    <r>
      <rPr>
        <sz val="10"/>
        <rFont val="宋体"/>
        <family val="3"/>
        <charset val="134"/>
      </rPr>
      <t>市场法（可比公司法）</t>
    </r>
    <phoneticPr fontId="3" type="noConversion"/>
  </si>
  <si>
    <r>
      <rPr>
        <sz val="10"/>
        <rFont val="宋体"/>
        <family val="3"/>
        <charset val="134"/>
      </rPr>
      <t>第三层次</t>
    </r>
    <phoneticPr fontId="3" type="noConversion"/>
  </si>
  <si>
    <r>
      <rPr>
        <sz val="10"/>
        <rFont val="宋体"/>
        <family val="3"/>
        <charset val="134"/>
      </rPr>
      <t>收益法（折现现金流量法）</t>
    </r>
    <phoneticPr fontId="3" type="noConversion"/>
  </si>
  <si>
    <r>
      <rPr>
        <sz val="10"/>
        <rFont val="宋体"/>
        <family val="3"/>
        <charset val="134"/>
      </rPr>
      <t>加权平均资本成本
长期收入增长率
长期税前营业利润率
非流通折价</t>
    </r>
    <phoneticPr fontId="3" type="noConversion"/>
  </si>
  <si>
    <r>
      <rPr>
        <b/>
        <sz val="10"/>
        <rFont val="宋体"/>
        <family val="3"/>
        <charset val="134"/>
      </rPr>
      <t>合计</t>
    </r>
    <phoneticPr fontId="14" type="noConversion"/>
  </si>
  <si>
    <r>
      <rPr>
        <sz val="10"/>
        <rFont val="宋体"/>
        <family val="3"/>
        <charset val="134"/>
      </rPr>
      <t>了解专家资质及利用估值专家的工作详见：</t>
    </r>
    <r>
      <rPr>
        <sz val="10"/>
        <color rgb="FFFF0000"/>
        <rFont val="Arial Narrow"/>
        <family val="2"/>
      </rPr>
      <t>B21</t>
    </r>
    <r>
      <rPr>
        <sz val="10"/>
        <color rgb="FFFF0000"/>
        <rFont val="宋体"/>
        <family val="3"/>
        <charset val="134"/>
      </rPr>
      <t>、</t>
    </r>
    <r>
      <rPr>
        <sz val="10"/>
        <color rgb="FFFF0000"/>
        <rFont val="Arial Narrow"/>
        <family val="2"/>
      </rPr>
      <t>C25</t>
    </r>
    <r>
      <rPr>
        <sz val="10"/>
        <color rgb="FFFF0000"/>
        <rFont val="宋体"/>
        <family val="3"/>
        <charset val="134"/>
      </rPr>
      <t>、</t>
    </r>
    <r>
      <rPr>
        <sz val="10"/>
        <color rgb="FFFF0000"/>
        <rFont val="Arial Narrow"/>
        <family val="2"/>
      </rPr>
      <t>S12</t>
    </r>
    <r>
      <rPr>
        <sz val="10"/>
        <color rgb="FFFF0000"/>
        <rFont val="宋体"/>
        <family val="3"/>
        <charset val="134"/>
      </rPr>
      <t>、</t>
    </r>
    <r>
      <rPr>
        <sz val="10"/>
        <color rgb="FFFF0000"/>
        <rFont val="Arial Narrow"/>
        <family val="2"/>
      </rPr>
      <t>S13</t>
    </r>
    <phoneticPr fontId="3" type="noConversion"/>
  </si>
  <si>
    <r>
      <rPr>
        <b/>
        <sz val="10"/>
        <rFont val="宋体"/>
        <family val="3"/>
        <charset val="134"/>
      </rPr>
      <t>四、审计结论：</t>
    </r>
    <phoneticPr fontId="6" type="noConversion"/>
  </si>
  <si>
    <t>1.资产负债表中记录的交易性金融资产是存在的，且已经记录在恰当的账户中；2.记录的交易性金融资产由被审计单位拥有或控制；</t>
    <phoneticPr fontId="3" type="noConversion"/>
  </si>
  <si>
    <t>3.交易性金融资产以恰当的金额包括在财务报表中，与之相关的计价或分摊调整已恰当记录，相关披露已得到恰当计量和描述</t>
    <phoneticPr fontId="3" type="noConversion"/>
  </si>
  <si>
    <t>一、审计目标</t>
    <phoneticPr fontId="6" type="noConversion"/>
  </si>
  <si>
    <t>支持性文件</t>
    <phoneticPr fontId="6" type="noConversion"/>
  </si>
  <si>
    <r>
      <rPr>
        <b/>
        <sz val="10"/>
        <rFont val="宋体"/>
        <family val="3"/>
        <charset val="134"/>
      </rPr>
      <t>核对内容</t>
    </r>
  </si>
  <si>
    <t>付款审批单、银行回单、投资协议、交易确认单、……</t>
    <phoneticPr fontId="3" type="noConversion"/>
  </si>
  <si>
    <t>备注说明</t>
    <phoneticPr fontId="6" type="noConversion"/>
  </si>
  <si>
    <r>
      <t>1.</t>
    </r>
    <r>
      <rPr>
        <b/>
        <sz val="10"/>
        <rFont val="宋体"/>
        <family val="3"/>
        <charset val="134"/>
      </rPr>
      <t>本期发生额检查</t>
    </r>
    <phoneticPr fontId="6" type="noConversion"/>
  </si>
  <si>
    <r>
      <rPr>
        <b/>
        <sz val="10"/>
        <rFont val="宋体"/>
        <family val="3"/>
        <charset val="134"/>
      </rPr>
      <t>内容</t>
    </r>
  </si>
  <si>
    <r>
      <rPr>
        <b/>
        <sz val="10"/>
        <rFont val="宋体"/>
        <family val="3"/>
        <charset val="134"/>
      </rPr>
      <t>索引号</t>
    </r>
    <phoneticPr fontId="3" type="noConversion"/>
  </si>
  <si>
    <r>
      <rPr>
        <u/>
        <sz val="10"/>
        <color theme="10"/>
        <rFont val="宋体"/>
        <family val="3"/>
        <charset val="134"/>
      </rPr>
      <t>其他权益工具投资实质性程序表</t>
    </r>
  </si>
  <si>
    <r>
      <rPr>
        <u/>
        <sz val="10"/>
        <color theme="10"/>
        <rFont val="宋体"/>
        <family val="3"/>
        <charset val="134"/>
      </rPr>
      <t>附注披露信息（上市公司）</t>
    </r>
    <phoneticPr fontId="3" type="noConversion"/>
  </si>
  <si>
    <r>
      <rPr>
        <u/>
        <sz val="10"/>
        <color theme="10"/>
        <rFont val="宋体"/>
        <family val="3"/>
        <charset val="134"/>
      </rPr>
      <t>调整分录汇总</t>
    </r>
  </si>
  <si>
    <r>
      <rPr>
        <u/>
        <sz val="10"/>
        <color theme="10"/>
        <rFont val="宋体"/>
        <family val="3"/>
        <charset val="134"/>
      </rPr>
      <t>公允价值测试表</t>
    </r>
    <phoneticPr fontId="3" type="noConversion"/>
  </si>
  <si>
    <r>
      <rPr>
        <u/>
        <sz val="10"/>
        <color theme="10"/>
        <rFont val="宋体"/>
        <family val="3"/>
        <charset val="134"/>
      </rPr>
      <t>凭证检查表</t>
    </r>
  </si>
  <si>
    <r>
      <rPr>
        <u/>
        <sz val="10"/>
        <color theme="10"/>
        <rFont val="宋体"/>
        <family val="3"/>
        <charset val="134"/>
      </rPr>
      <t>附注披露信息（国企）</t>
    </r>
    <phoneticPr fontId="3" type="noConversion"/>
  </si>
  <si>
    <r>
      <rPr>
        <b/>
        <sz val="10"/>
        <rFont val="宋体"/>
        <family val="3"/>
        <charset val="134"/>
      </rPr>
      <t>序号</t>
    </r>
    <phoneticPr fontId="6" type="noConversion"/>
  </si>
  <si>
    <r>
      <rPr>
        <u/>
        <sz val="10"/>
        <color theme="10"/>
        <rFont val="宋体"/>
        <family val="3"/>
        <charset val="134"/>
      </rPr>
      <t>审定表</t>
    </r>
    <phoneticPr fontId="3" type="noConversion"/>
  </si>
  <si>
    <r>
      <rPr>
        <u/>
        <sz val="10"/>
        <color theme="10"/>
        <rFont val="宋体"/>
        <family val="3"/>
        <charset val="134"/>
      </rPr>
      <t>明细表</t>
    </r>
    <phoneticPr fontId="3" type="noConversion"/>
  </si>
  <si>
    <r>
      <rPr>
        <u/>
        <sz val="10"/>
        <color theme="10"/>
        <rFont val="宋体"/>
        <family val="3"/>
        <charset val="134"/>
      </rPr>
      <t>指定的适当性检查表</t>
    </r>
    <phoneticPr fontId="3" type="noConversion"/>
  </si>
  <si>
    <r>
      <t>2.</t>
    </r>
    <r>
      <rPr>
        <b/>
        <sz val="10"/>
        <rFont val="宋体"/>
        <family val="3"/>
        <charset val="134"/>
      </rPr>
      <t>期后处置、新增检查表</t>
    </r>
    <r>
      <rPr>
        <b/>
        <sz val="10"/>
        <rFont val="Arial Narrow"/>
        <family val="2"/>
      </rPr>
      <t/>
    </r>
    <phoneticPr fontId="6" type="noConversion"/>
  </si>
  <si>
    <t>记账凭证</t>
    <phoneticPr fontId="6" type="noConversion"/>
  </si>
  <si>
    <t>支持性文件</t>
    <phoneticPr fontId="6" type="noConversion"/>
  </si>
  <si>
    <t>索引号</t>
  </si>
  <si>
    <t>是否异常</t>
    <phoneticPr fontId="6" type="noConversion"/>
  </si>
  <si>
    <t>备注说明</t>
    <phoneticPr fontId="6" type="noConversion"/>
  </si>
  <si>
    <t>业务内容</t>
    <phoneticPr fontId="6" type="noConversion"/>
  </si>
  <si>
    <t>对方科目</t>
    <phoneticPr fontId="6" type="noConversion"/>
  </si>
  <si>
    <t>对方明细科目</t>
    <phoneticPr fontId="6" type="noConversion"/>
  </si>
  <si>
    <t>借方金额</t>
    <phoneticPr fontId="6" type="noConversion"/>
  </si>
  <si>
    <t>123</t>
    <phoneticPr fontId="6" type="noConversion"/>
  </si>
  <si>
    <t>K1-17-1</t>
    <phoneticPr fontId="6" type="noConversion"/>
  </si>
  <si>
    <t>合计</t>
    <phoneticPr fontId="6" type="noConversion"/>
  </si>
  <si>
    <r>
      <rPr>
        <sz val="10"/>
        <color rgb="FFFF0000"/>
        <rFont val="宋体"/>
        <family val="3"/>
        <charset val="134"/>
      </rPr>
      <t>测试内容说明</t>
    </r>
    <r>
      <rPr>
        <sz val="10"/>
        <color rgb="FFFF0000"/>
        <rFont val="宋体"/>
        <family val="2"/>
        <charset val="134"/>
      </rPr>
      <t>：</t>
    </r>
    <r>
      <rPr>
        <sz val="10"/>
        <color rgb="FFFF0000"/>
        <rFont val="Arial Narrow"/>
        <family val="2"/>
      </rPr>
      <t>1.</t>
    </r>
    <r>
      <rPr>
        <sz val="10"/>
        <color rgb="FFFF0000"/>
        <rFont val="宋体"/>
        <family val="2"/>
        <charset val="134"/>
      </rPr>
      <t>原始凭证内容完整；</t>
    </r>
    <r>
      <rPr>
        <sz val="10"/>
        <color rgb="FFFF0000"/>
        <rFont val="Arial Narrow"/>
        <family val="2"/>
      </rPr>
      <t>2</t>
    </r>
    <r>
      <rPr>
        <sz val="10"/>
        <color rgb="FFFF0000"/>
        <rFont val="Arial Narrow"/>
        <family val="3"/>
        <charset val="134"/>
      </rPr>
      <t>.</t>
    </r>
    <r>
      <rPr>
        <sz val="10"/>
        <color rgb="FFFF0000"/>
        <rFont val="宋体"/>
        <family val="3"/>
        <charset val="134"/>
      </rPr>
      <t>有授权批准；</t>
    </r>
    <r>
      <rPr>
        <sz val="10"/>
        <color rgb="FFFF0000"/>
        <rFont val="Arial Narrow"/>
        <family val="3"/>
        <charset val="134"/>
      </rPr>
      <t>3.</t>
    </r>
    <r>
      <rPr>
        <sz val="10"/>
        <color rgb="FFFF0000"/>
        <rFont val="宋体"/>
        <family val="3"/>
        <charset val="134"/>
      </rPr>
      <t>账务处理正确；</t>
    </r>
    <r>
      <rPr>
        <sz val="10"/>
        <color rgb="FFFF0000"/>
        <rFont val="Arial Narrow"/>
        <family val="3"/>
        <charset val="134"/>
      </rPr>
      <t>4.</t>
    </r>
    <r>
      <rPr>
        <sz val="10"/>
        <color rgb="FFFF0000"/>
        <rFont val="宋体"/>
        <family val="3"/>
        <charset val="134"/>
      </rPr>
      <t>初始成本计算正确；</t>
    </r>
    <r>
      <rPr>
        <sz val="10"/>
        <color rgb="FFFF0000"/>
        <rFont val="Arial Narrow"/>
        <family val="3"/>
        <charset val="134"/>
      </rPr>
      <t>5.</t>
    </r>
    <r>
      <rPr>
        <sz val="10"/>
        <color rgb="FFFF0000"/>
        <rFont val="宋体"/>
        <family val="3"/>
        <charset val="134"/>
      </rPr>
      <t>股利收入处理正确；</t>
    </r>
    <r>
      <rPr>
        <sz val="10"/>
        <color rgb="FFFF0000"/>
        <rFont val="Arial Narrow"/>
        <family val="3"/>
        <charset val="134"/>
      </rPr>
      <t>6.</t>
    </r>
    <r>
      <rPr>
        <sz val="10"/>
        <color rgb="FFFF0000"/>
        <rFont val="宋体"/>
        <family val="3"/>
        <charset val="134"/>
      </rPr>
      <t>公允价值符合准则要求。</t>
    </r>
    <phoneticPr fontId="6" type="noConversion"/>
  </si>
  <si>
    <t>G8-6</t>
    <phoneticPr fontId="3" type="noConversion"/>
  </si>
  <si>
    <t>三、计划实施的实质性程序</t>
    <phoneticPr fontId="6" type="noConversion"/>
  </si>
  <si>
    <t>获取或编制其他权益工具投资的明细表，完成以下工作，并编制审定表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（6）检查非记账本位币计量的其他权益工具投资的折算汇率及折算是否正确。</t>
    <phoneticPr fontId="3" type="noConversion"/>
  </si>
  <si>
    <t>备选</t>
    <phoneticPr fontId="3" type="noConversion"/>
  </si>
  <si>
    <r>
      <t>对期初余额的审计，取得其他权益工具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t>
    </r>
    <r>
      <rPr>
        <sz val="10"/>
        <color rgb="FFFF0000"/>
        <rFont val="宋体"/>
        <family val="3"/>
        <charset val="134"/>
      </rPr>
      <t>（适用于首次承接）</t>
    </r>
    <phoneticPr fontId="3" type="noConversion"/>
  </si>
  <si>
    <t>对于本期新增的其他权益工具投资，执行以下程序：
（1）获取本期增加的其他权益工具投资的合约、协议、中介机构报告等（若适用），查验其他权益工具投资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（2）对本期增加中的特定项目（如金额重大或性质特殊的）进行以下测试：检查非货币性资产交换、债务重组、企业合并、投资等发生取得其他权益工具的会计处理是否正确；</t>
    <phoneticPr fontId="3" type="noConversion"/>
  </si>
  <si>
    <t>检查其他权益工具投资是否已按企业会计准则或其他适用的规定在财务报表中做出恰当列报和披露。</t>
    <phoneticPr fontId="3" type="noConversion"/>
  </si>
  <si>
    <t>IPO/上市/新三板/重组/舞弊应对</t>
    <phoneticPr fontId="3" type="noConversion"/>
  </si>
  <si>
    <t>√</t>
    <phoneticPr fontId="6" type="noConversion"/>
  </si>
  <si>
    <t>G8-1
/G8-2</t>
    <phoneticPr fontId="3" type="noConversion"/>
  </si>
  <si>
    <t>G8-1
/G8-2</t>
    <phoneticPr fontId="3" type="noConversion"/>
  </si>
  <si>
    <t>G8-2
/G8-6</t>
    <phoneticPr fontId="3" type="noConversion"/>
  </si>
  <si>
    <t>√</t>
    <phoneticPr fontId="6" type="noConversion"/>
  </si>
  <si>
    <t>G8-2
/G8-6</t>
    <phoneticPr fontId="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</si>
  <si>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</si>
  <si>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6"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</si>
  <si>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</si>
  <si>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6"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</si>
  <si>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6" type="noConversion"/>
  </si>
  <si>
    <t>G0-1</t>
  </si>
  <si>
    <t>G0-2</t>
  </si>
  <si>
    <t>G0-3</t>
  </si>
  <si>
    <t>G0-4</t>
  </si>
  <si>
    <t>G0-5</t>
  </si>
  <si>
    <t>G0-6</t>
  </si>
  <si>
    <t>G0-7</t>
  </si>
  <si>
    <t>G0-8</t>
  </si>
  <si>
    <t>函证结果汇总表</t>
    <phoneticPr fontId="3" type="noConversion"/>
  </si>
  <si>
    <t>核实被函证单位信息</t>
    <phoneticPr fontId="3" type="noConversion"/>
  </si>
  <si>
    <t>跟函函证过程控制</t>
    <phoneticPr fontId="3" type="noConversion"/>
  </si>
  <si>
    <t>函证差异核对表（证券投资）</t>
    <phoneticPr fontId="3" type="noConversion"/>
  </si>
  <si>
    <t>函证差异核对表(非证券投资)</t>
    <phoneticPr fontId="3" type="noConversion"/>
  </si>
  <si>
    <t>替代程序检查表</t>
    <phoneticPr fontId="3" type="noConversion"/>
  </si>
  <si>
    <t>邮件传真回函可靠性验证</t>
    <phoneticPr fontId="3" type="noConversion"/>
  </si>
  <si>
    <t>函证程序舞弊风险评价表</t>
    <phoneticPr fontId="3" type="noConversion"/>
  </si>
  <si>
    <t>G8-1
/G8-2</t>
    <phoneticPr fontId="3" type="noConversion"/>
  </si>
  <si>
    <t>T1
/G0-2</t>
    <phoneticPr fontId="3" type="noConversion"/>
  </si>
  <si>
    <r>
      <t>A1-1/</t>
    </r>
    <r>
      <rPr>
        <sz val="10"/>
        <color rgb="FFFF0000"/>
        <rFont val="Arial Narrow"/>
        <family val="2"/>
      </rPr>
      <t>A1-15 /A1-16</t>
    </r>
    <phoneticPr fontId="6" type="noConversion"/>
  </si>
  <si>
    <t>随机选样/系统选样/货币单元抽样/随意选样（非统计抽样适用）</t>
    <phoneticPr fontId="6" type="noConversion"/>
  </si>
  <si>
    <t>抽取XX笔（如果使用了样本计算器计算样本量，样本量计算过程见&lt;XX&gt;底稿）</t>
    <phoneticPr fontId="3" type="noConversion"/>
  </si>
  <si>
    <t>合计</t>
    <phoneticPr fontId="6" type="noConversion"/>
  </si>
  <si>
    <t>本期发生额</t>
    <phoneticPr fontId="6" type="noConversion"/>
  </si>
  <si>
    <t>检查比例</t>
    <phoneticPr fontId="6" type="noConversion"/>
  </si>
  <si>
    <t>提示：</t>
    <phoneticPr fontId="6" type="noConversion"/>
  </si>
  <si>
    <t>再从被投资单位套取资金（如投资私募基金后，在私募基金配合下将投资款从私募基金转出），如果还识别出被审计单位存在可能导致关联方资金占用以及其他套取资金行为的舞弊风险因素，则很可能表面存在第三方配合舞弊，应采取恰当的措施应对。</t>
    <phoneticPr fontId="6" type="noConversion"/>
  </si>
  <si>
    <r>
      <rPr>
        <sz val="10"/>
        <color indexed="12"/>
        <rFont val="Arial Narrow"/>
        <family val="2"/>
      </rP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3" type="noConversion"/>
  </si>
  <si>
    <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3" type="noConversion"/>
  </si>
  <si>
    <r>
      <t>1.</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号——识别和应对第三方配合实施财务舞弊》：当期存在大额对外投资时，需考虑是否存在通过被审计单位将资金投入被投资单位，</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</si>
</sst>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 numFmtId="227" formatCode="yyyy\-mm\-dd;@"/>
    <numFmt numFmtId="228" formatCode="_(* #,##0.00_);_(* \(#,##0.00\);_(* &quot;-&quot;??_);_(@_)"/>
  </numFmts>
  <fonts count="148">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sz val="9"/>
      <name val="宋体"/>
      <family val="3"/>
      <charset val="134"/>
    </font>
    <font>
      <sz val="12"/>
      <name val="Arial Narrow"/>
      <family val="2"/>
    </font>
    <font>
      <sz val="10"/>
      <name val="宋体"/>
      <family val="3"/>
      <charset val="134"/>
    </font>
    <font>
      <b/>
      <sz val="10"/>
      <color indexed="12"/>
      <name val="宋体"/>
      <family val="3"/>
      <charset val="134"/>
    </font>
    <font>
      <i/>
      <sz val="10"/>
      <color indexed="12"/>
      <name val="宋体"/>
      <family val="3"/>
      <charset val="134"/>
    </font>
    <font>
      <sz val="10"/>
      <color indexed="12"/>
      <name val="Arial Narrow"/>
      <family val="2"/>
    </font>
    <font>
      <sz val="10"/>
      <color indexed="12"/>
      <name val="宋体"/>
      <family val="3"/>
      <charset val="134"/>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sz val="10"/>
      <color indexed="8"/>
      <name val="Arial Narrow"/>
      <family val="2"/>
    </font>
    <font>
      <sz val="10"/>
      <color indexed="8"/>
      <name val="宋体"/>
      <family val="3"/>
      <charset val="134"/>
    </font>
    <font>
      <sz val="10"/>
      <color indexed="10"/>
      <name val="宋体"/>
      <family val="3"/>
      <charset val="134"/>
    </font>
    <font>
      <b/>
      <sz val="10"/>
      <color indexed="8"/>
      <name val="宋体"/>
      <family val="3"/>
      <charset val="134"/>
    </font>
    <font>
      <sz val="18"/>
      <color indexed="48"/>
      <name val="魏碑"/>
      <family val="3"/>
      <charset val="134"/>
    </font>
    <font>
      <sz val="12"/>
      <name val="Arial"/>
      <family val="2"/>
    </font>
    <font>
      <u/>
      <sz val="11"/>
      <color theme="10"/>
      <name val="宋体"/>
      <family val="3"/>
      <charset val="134"/>
    </font>
    <font>
      <sz val="12"/>
      <color theme="1"/>
      <name val="仿宋_GB2312"/>
      <family val="3"/>
      <charset val="134"/>
    </font>
    <font>
      <sz val="12"/>
      <color theme="1"/>
      <name val="Arial Narrow"/>
      <family val="2"/>
    </font>
    <font>
      <sz val="11"/>
      <color theme="1"/>
      <name val="宋体"/>
      <family val="2"/>
      <charset val="134"/>
      <scheme val="minor"/>
    </font>
    <font>
      <sz val="10"/>
      <color rgb="FFFF0000"/>
      <name val="宋体"/>
      <family val="3"/>
      <charset val="134"/>
    </font>
    <font>
      <sz val="10"/>
      <color theme="1"/>
      <name val="Arial Narrow"/>
      <family val="2"/>
    </font>
    <font>
      <b/>
      <sz val="10"/>
      <color theme="1"/>
      <name val="Arial Narrow"/>
      <family val="2"/>
    </font>
    <font>
      <b/>
      <sz val="10"/>
      <color theme="1"/>
      <name val="宋体"/>
      <family val="3"/>
      <charset val="134"/>
    </font>
    <font>
      <sz val="10"/>
      <color theme="1"/>
      <name val="宋体"/>
      <family val="3"/>
      <charset val="134"/>
    </font>
    <font>
      <sz val="11"/>
      <color theme="1"/>
      <name val="宋体"/>
      <family val="3"/>
      <charset val="134"/>
      <scheme val="minor"/>
    </font>
    <font>
      <b/>
      <sz val="10"/>
      <color indexed="8"/>
      <name val="Arial Narrow"/>
      <family val="2"/>
    </font>
    <font>
      <sz val="10"/>
      <color indexed="10"/>
      <name val="Arial Narrow"/>
      <family val="2"/>
    </font>
    <font>
      <b/>
      <sz val="10"/>
      <color indexed="12"/>
      <name val="Arial Narrow"/>
      <family val="2"/>
    </font>
    <font>
      <i/>
      <sz val="10"/>
      <color indexed="12"/>
      <name val="Arial Narrow"/>
      <family val="2"/>
    </font>
    <font>
      <sz val="12"/>
      <name val="???"/>
      <family val="1"/>
    </font>
    <font>
      <sz val="8"/>
      <name val="Times New Roman"/>
      <family val="1"/>
    </font>
    <font>
      <sz val="10"/>
      <name val="MS Serif"/>
      <family val="1"/>
    </font>
    <font>
      <sz val="12"/>
      <name val="Tms Rmn"/>
      <family val="1"/>
    </font>
    <font>
      <sz val="10"/>
      <color indexed="16"/>
      <name val="MS Serif"/>
      <family val="1"/>
    </font>
    <font>
      <sz val="10"/>
      <name val="Tms Rmn"/>
      <family val="1"/>
    </font>
    <font>
      <sz val="9"/>
      <color indexed="8"/>
      <name val="宋体"/>
      <family val="3"/>
      <charset val="134"/>
    </font>
    <font>
      <b/>
      <sz val="8"/>
      <color indexed="8"/>
      <name val="Helv"/>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sz val="12"/>
      <color rgb="FF000000"/>
      <name val="仿宋_GB2312"/>
      <family val="3"/>
      <charset val="134"/>
    </font>
    <font>
      <sz val="9"/>
      <color indexed="81"/>
      <name val="宋体"/>
      <family val="3"/>
      <charset val="134"/>
    </font>
    <font>
      <b/>
      <sz val="9"/>
      <color indexed="81"/>
      <name val="宋体"/>
      <family val="3"/>
      <charset val="134"/>
    </font>
    <font>
      <i/>
      <u/>
      <sz val="10"/>
      <color indexed="12"/>
      <name val="Arial Narrow"/>
      <family val="2"/>
    </font>
    <font>
      <u/>
      <sz val="10"/>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9"/>
      <name val="宋体"/>
      <family val="3"/>
      <charset val="134"/>
    </font>
    <font>
      <sz val="11"/>
      <name val="宋体"/>
      <family val="3"/>
      <charset val="134"/>
    </font>
    <font>
      <b/>
      <sz val="11"/>
      <color theme="1"/>
      <name val="宋体"/>
      <family val="3"/>
      <charset val="134"/>
      <scheme val="minor"/>
    </font>
    <font>
      <b/>
      <sz val="10"/>
      <color theme="1"/>
      <name val="宋体"/>
      <family val="3"/>
      <charset val="134"/>
      <scheme val="minor"/>
    </font>
    <font>
      <sz val="11"/>
      <color indexed="9"/>
      <name val="宋体"/>
      <family val="3"/>
      <charset val="134"/>
    </font>
    <font>
      <sz val="11"/>
      <color theme="1"/>
      <name val="宋体"/>
      <family val="2"/>
      <scheme val="minor"/>
    </font>
    <font>
      <b/>
      <sz val="10"/>
      <color rgb="FFE92841"/>
      <name val="Arial Narrow"/>
      <family val="2"/>
    </font>
    <font>
      <sz val="10.5"/>
      <name val="仿宋_GB2312"/>
      <family val="3"/>
      <charset val="134"/>
    </font>
    <font>
      <b/>
      <sz val="10.5"/>
      <name val="仿宋_GB2312"/>
      <family val="3"/>
      <charset val="134"/>
    </font>
    <font>
      <b/>
      <sz val="10.5"/>
      <color rgb="FF000000"/>
      <name val="仿宋_GB2312"/>
      <family val="3"/>
      <charset val="134"/>
    </font>
    <font>
      <sz val="10.5"/>
      <color rgb="FF0000FF"/>
      <name val="宋体"/>
      <family val="3"/>
      <charset val="134"/>
      <scheme val="minor"/>
    </font>
    <font>
      <b/>
      <sz val="10.5"/>
      <color theme="1"/>
      <name val="仿宋_GB2312"/>
      <family val="3"/>
      <charset val="134"/>
    </font>
    <font>
      <b/>
      <sz val="10.5"/>
      <color theme="1"/>
      <name val="Arial Narrow"/>
      <family val="2"/>
    </font>
    <font>
      <sz val="10"/>
      <color rgb="FF000000"/>
      <name val="Arial Narrow"/>
      <family val="2"/>
    </font>
    <font>
      <sz val="12"/>
      <color rgb="FF0000FF"/>
      <name val="Arial Narrow"/>
      <family val="2"/>
    </font>
    <font>
      <sz val="12"/>
      <color rgb="FFFF0000"/>
      <name val="仿宋_GB2312"/>
      <family val="3"/>
      <charset val="134"/>
    </font>
    <font>
      <sz val="12"/>
      <color rgb="FFFF0000"/>
      <name val="Arial Narrow"/>
      <family val="2"/>
    </font>
    <font>
      <sz val="10.5"/>
      <color theme="1"/>
      <name val="Arial Narrow"/>
      <family val="2"/>
    </font>
    <font>
      <sz val="10.5"/>
      <color rgb="FFFF0000"/>
      <name val="宋体"/>
      <family val="3"/>
      <charset val="134"/>
      <scheme val="minor"/>
    </font>
    <font>
      <sz val="10"/>
      <name val="宋体"/>
      <family val="3"/>
      <charset val="134"/>
      <scheme val="minor"/>
    </font>
    <font>
      <sz val="10"/>
      <color rgb="FF0000FF"/>
      <name val="宋体"/>
      <family val="3"/>
      <charset val="134"/>
    </font>
    <font>
      <sz val="10"/>
      <color rgb="FF0000FF"/>
      <name val="Arial Narrow"/>
      <family val="2"/>
    </font>
    <font>
      <sz val="12"/>
      <name val="宋体"/>
      <family val="3"/>
      <charset val="134"/>
      <scheme val="minor"/>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u/>
      <sz val="10"/>
      <color theme="10"/>
      <name val="宋体"/>
      <family val="3"/>
      <charset val="134"/>
    </font>
    <font>
      <sz val="10"/>
      <color theme="1"/>
      <name val="宋体"/>
      <family val="3"/>
      <charset val="134"/>
      <scheme val="minor"/>
    </font>
    <font>
      <sz val="10"/>
      <color rgb="FFFF0000"/>
      <name val="Arial Narrow"/>
      <family val="2"/>
    </font>
    <font>
      <u/>
      <sz val="10"/>
      <color theme="10"/>
      <name val="Arial Narrow"/>
      <family val="2"/>
    </font>
    <font>
      <sz val="10"/>
      <color rgb="FFFF0000"/>
      <name val="Arial Narrow"/>
      <family val="3"/>
      <charset val="134"/>
    </font>
    <font>
      <sz val="10"/>
      <color rgb="FFFF0000"/>
      <name val="宋体"/>
      <family val="2"/>
      <charset val="134"/>
    </font>
    <font>
      <sz val="10"/>
      <color theme="10"/>
      <name val="Arial Narrow"/>
      <family val="2"/>
    </font>
    <font>
      <b/>
      <sz val="14"/>
      <name val="宋体"/>
      <family val="3"/>
      <charset val="134"/>
    </font>
    <font>
      <b/>
      <sz val="12"/>
      <name val="Arial Narrow"/>
      <family val="2"/>
    </font>
    <font>
      <b/>
      <sz val="12"/>
      <name val="宋体"/>
      <family val="3"/>
      <charset val="134"/>
    </font>
  </fonts>
  <fills count="41">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15"/>
      </patternFill>
    </fill>
    <fill>
      <patternFill patternType="solid">
        <fgColor indexed="12"/>
      </patternFill>
    </fill>
    <fill>
      <patternFill patternType="solid">
        <fgColor indexed="9"/>
      </patternFill>
    </fill>
    <fill>
      <patternFill patternType="solid">
        <fgColor indexed="46"/>
      </patternFill>
    </fill>
    <fill>
      <patternFill patternType="solid">
        <fgColor indexed="27"/>
      </patternFill>
    </fill>
    <fill>
      <patternFill patternType="solid">
        <fgColor indexed="31"/>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rgb="FFE4DFEC"/>
        <bgColor indexed="64"/>
      </patternFill>
    </fill>
    <fill>
      <patternFill patternType="solid">
        <fgColor rgb="FFFF0000"/>
        <bgColor indexed="64"/>
      </patternFill>
    </fill>
    <fill>
      <patternFill patternType="solid">
        <fgColor rgb="FFE4DFEC"/>
        <bgColor rgb="FFB7DEE8"/>
      </patternFill>
    </fill>
  </fills>
  <borders count="26">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rgb="FF000000"/>
      </bottom>
      <diagonal/>
    </border>
    <border>
      <left/>
      <right/>
      <top/>
      <bottom style="hair">
        <color indexed="64"/>
      </bottom>
      <diagonal/>
    </border>
  </borders>
  <cellStyleXfs count="397">
    <xf numFmtId="0" fontId="0" fillId="0" borderId="0">
      <alignment vertical="center"/>
    </xf>
    <xf numFmtId="0" fontId="1" fillId="0" borderId="0">
      <alignment vertical="center"/>
    </xf>
    <xf numFmtId="0" fontId="1" fillId="0" borderId="0">
      <alignment vertical="center"/>
    </xf>
    <xf numFmtId="0" fontId="1" fillId="0" borderId="0" applyFill="0" applyBorder="0"/>
    <xf numFmtId="0" fontId="13" fillId="0" borderId="0"/>
    <xf numFmtId="0" fontId="13" fillId="0" borderId="0"/>
    <xf numFmtId="0" fontId="13" fillId="0" borderId="0"/>
    <xf numFmtId="0" fontId="13" fillId="0" borderId="0"/>
    <xf numFmtId="0" fontId="13" fillId="0" borderId="0"/>
    <xf numFmtId="49" fontId="14" fillId="0" borderId="0" applyProtection="0">
      <alignment horizontal="left"/>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6" fillId="0" borderId="0"/>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protection locked="0"/>
    </xf>
    <xf numFmtId="176" fontId="14" fillId="0" borderId="0" applyFill="0" applyBorder="0" applyProtection="0">
      <alignment horizontal="right"/>
    </xf>
    <xf numFmtId="177" fontId="14" fillId="0" borderId="0" applyFill="0" applyBorder="0" applyProtection="0">
      <alignment horizontal="right"/>
    </xf>
    <xf numFmtId="178" fontId="17" fillId="0" borderId="0" applyFill="0" applyBorder="0" applyProtection="0">
      <alignment horizontal="center"/>
    </xf>
    <xf numFmtId="179" fontId="17" fillId="0" borderId="0" applyFill="0" applyBorder="0" applyProtection="0">
      <alignment horizontal="center"/>
    </xf>
    <xf numFmtId="180" fontId="18" fillId="0" borderId="0" applyFill="0" applyBorder="0" applyProtection="0">
      <alignment horizontal="right"/>
    </xf>
    <xf numFmtId="181" fontId="14" fillId="0" borderId="0" applyFill="0" applyBorder="0" applyProtection="0">
      <alignment horizontal="right"/>
    </xf>
    <xf numFmtId="182" fontId="14" fillId="0" borderId="0" applyFill="0" applyBorder="0" applyProtection="0">
      <alignment horizontal="right"/>
    </xf>
    <xf numFmtId="183" fontId="14" fillId="0" borderId="0" applyFill="0" applyBorder="0" applyProtection="0">
      <alignment horizontal="right"/>
    </xf>
    <xf numFmtId="184" fontId="14" fillId="0" borderId="0" applyFill="0" applyBorder="0" applyProtection="0">
      <alignment horizontal="right"/>
    </xf>
    <xf numFmtId="185" fontId="19" fillId="0" borderId="0" applyFont="0" applyFill="0" applyBorder="0" applyAlignment="0" applyProtection="0"/>
    <xf numFmtId="0" fontId="16" fillId="0" borderId="0"/>
    <xf numFmtId="186" fontId="19" fillId="0" borderId="0" applyFont="0" applyFill="0" applyBorder="0" applyAlignment="0" applyProtection="0"/>
    <xf numFmtId="10" fontId="19" fillId="0" borderId="0" applyFont="0" applyFill="0" applyBorder="0" applyAlignment="0" applyProtection="0"/>
    <xf numFmtId="3" fontId="20" fillId="0" borderId="0"/>
    <xf numFmtId="187" fontId="21" fillId="0" borderId="3" applyAlignment="0" applyProtection="0"/>
    <xf numFmtId="188" fontId="15" fillId="0" borderId="0" applyFill="0" applyBorder="0" applyAlignment="0"/>
    <xf numFmtId="189" fontId="13" fillId="0" borderId="0" applyFill="0" applyBorder="0" applyAlignment="0"/>
    <xf numFmtId="190" fontId="13" fillId="0" borderId="0" applyFill="0" applyBorder="0" applyAlignment="0"/>
    <xf numFmtId="191" fontId="13" fillId="0" borderId="0" applyFill="0" applyBorder="0" applyAlignment="0"/>
    <xf numFmtId="192"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0" fontId="22" fillId="0" borderId="0"/>
    <xf numFmtId="0" fontId="23" fillId="0" borderId="4" applyNumberFormat="0" applyFill="0" applyProtection="0">
      <alignment horizontal="center"/>
    </xf>
    <xf numFmtId="0" fontId="24" fillId="0" borderId="5">
      <alignment horizontal="center"/>
    </xf>
    <xf numFmtId="195" fontId="13" fillId="0" borderId="0"/>
    <xf numFmtId="195" fontId="13" fillId="0" borderId="0"/>
    <xf numFmtId="195" fontId="13" fillId="0" borderId="0"/>
    <xf numFmtId="195" fontId="13" fillId="0" borderId="0"/>
    <xf numFmtId="195" fontId="13" fillId="0" borderId="0"/>
    <xf numFmtId="195" fontId="13" fillId="0" borderId="0"/>
    <xf numFmtId="195" fontId="13" fillId="0" borderId="0"/>
    <xf numFmtId="195" fontId="13" fillId="0" borderId="0"/>
    <xf numFmtId="38" fontId="25" fillId="0" borderId="0" applyFont="0" applyFill="0" applyBorder="0" applyAlignment="0" applyProtection="0"/>
    <xf numFmtId="193" fontId="13" fillId="0" borderId="0" applyFont="0" applyFill="0" applyBorder="0" applyAlignment="0" applyProtection="0"/>
    <xf numFmtId="43" fontId="1" fillId="0" borderId="0" applyFont="0" applyFill="0" applyBorder="0" applyAlignment="0" applyProtection="0"/>
    <xf numFmtId="196" fontId="14" fillId="0" borderId="0"/>
    <xf numFmtId="37" fontId="19" fillId="0" borderId="0" applyFont="0" applyFill="0" applyBorder="0" applyAlignment="0" applyProtection="0"/>
    <xf numFmtId="197" fontId="19" fillId="0" borderId="0" applyFont="0" applyFill="0" applyBorder="0" applyAlignment="0" applyProtection="0"/>
    <xf numFmtId="39" fontId="19" fillId="0" borderId="0" applyFont="0" applyFill="0" applyBorder="0" applyAlignment="0" applyProtection="0"/>
    <xf numFmtId="40" fontId="25" fillId="0" borderId="0" applyFont="0" applyFill="0" applyBorder="0" applyAlignment="0" applyProtection="0"/>
    <xf numFmtId="198" fontId="1" fillId="0" borderId="0" applyFont="0" applyFill="0" applyBorder="0" applyAlignment="0" applyProtection="0"/>
    <xf numFmtId="189" fontId="13" fillId="0" borderId="0" applyFont="0" applyFill="0" applyBorder="0" applyAlignment="0" applyProtection="0"/>
    <xf numFmtId="187" fontId="19" fillId="0" borderId="0" applyFont="0" applyFill="0" applyBorder="0" applyAlignment="0" applyProtection="0"/>
    <xf numFmtId="199" fontId="19" fillId="0" borderId="0" applyFont="0" applyFill="0" applyBorder="0" applyAlignment="0" applyProtection="0"/>
    <xf numFmtId="200" fontId="1" fillId="0" borderId="0" applyFont="0" applyFill="0" applyBorder="0" applyAlignment="0" applyProtection="0"/>
    <xf numFmtId="201" fontId="14" fillId="0" borderId="0"/>
    <xf numFmtId="14" fontId="15" fillId="0" borderId="0" applyFill="0" applyBorder="0" applyAlignment="0"/>
    <xf numFmtId="41" fontId="13" fillId="0" borderId="0" applyFont="0" applyFill="0" applyBorder="0" applyAlignment="0" applyProtection="0"/>
    <xf numFmtId="43" fontId="13" fillId="0" borderId="0" applyFont="0" applyFill="0" applyBorder="0" applyAlignment="0" applyProtection="0"/>
    <xf numFmtId="202" fontId="14" fillId="0" borderId="0"/>
    <xf numFmtId="193" fontId="13" fillId="0" borderId="0" applyFill="0" applyBorder="0" applyAlignment="0"/>
    <xf numFmtId="189"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0" fontId="26" fillId="0" borderId="0">
      <alignment horizontal="left"/>
    </xf>
    <xf numFmtId="0" fontId="27" fillId="2" borderId="6"/>
    <xf numFmtId="203" fontId="14" fillId="0" borderId="0" applyFont="0" applyFill="0" applyBorder="0" applyAlignment="0" applyProtection="0"/>
    <xf numFmtId="0" fontId="28" fillId="0" borderId="0" applyNumberFormat="0" applyFill="0" applyBorder="0" applyAlignment="0" applyProtection="0">
      <alignment vertical="top"/>
      <protection locked="0"/>
    </xf>
    <xf numFmtId="38" fontId="27" fillId="3" borderId="0" applyNumberFormat="0" applyBorder="0" applyAlignment="0" applyProtection="0"/>
    <xf numFmtId="0" fontId="29" fillId="0" borderId="0">
      <alignment horizontal="left"/>
    </xf>
    <xf numFmtId="0" fontId="30" fillId="0" borderId="7" applyNumberFormat="0" applyAlignment="0" applyProtection="0">
      <alignment horizontal="left" vertical="center"/>
    </xf>
    <xf numFmtId="0" fontId="30" fillId="0" borderId="8">
      <alignment horizontal="left" vertical="center"/>
    </xf>
    <xf numFmtId="14" fontId="31" fillId="4" borderId="9">
      <alignment horizontal="center" vertical="center" wrapText="1"/>
    </xf>
    <xf numFmtId="0" fontId="32" fillId="0" borderId="0" applyNumberFormat="0" applyFill="0" applyBorder="0" applyAlignment="0" applyProtection="0">
      <alignment vertical="top"/>
      <protection locked="0"/>
    </xf>
    <xf numFmtId="10" fontId="27" fillId="5" borderId="6" applyNumberFormat="0" applyBorder="0" applyAlignment="0" applyProtection="0"/>
    <xf numFmtId="0" fontId="14" fillId="0" borderId="0" applyNumberFormat="0" applyFont="0" applyFill="0" applyBorder="0" applyProtection="0">
      <alignment horizontal="left" vertical="center"/>
    </xf>
    <xf numFmtId="193" fontId="13" fillId="0" borderId="0" applyFill="0" applyBorder="0" applyAlignment="0"/>
    <xf numFmtId="189"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41" fontId="13" fillId="0" borderId="0" applyFont="0" applyFill="0" applyBorder="0" applyAlignment="0" applyProtection="0"/>
    <xf numFmtId="43" fontId="13" fillId="0" borderId="0" applyFont="0" applyFill="0" applyBorder="0" applyAlignment="0" applyProtection="0"/>
    <xf numFmtId="0" fontId="33" fillId="0" borderId="9"/>
    <xf numFmtId="205" fontId="13"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208" fontId="1" fillId="0" borderId="0" applyFont="0" applyFill="0" applyBorder="0" applyAlignment="0" applyProtection="0"/>
    <xf numFmtId="37" fontId="34" fillId="0" borderId="0"/>
    <xf numFmtId="0" fontId="35" fillId="0" borderId="0"/>
    <xf numFmtId="209" fontId="1" fillId="0" borderId="0"/>
    <xf numFmtId="0" fontId="1" fillId="0" borderId="0"/>
    <xf numFmtId="0" fontId="25" fillId="0" borderId="0"/>
    <xf numFmtId="0" fontId="36" fillId="0" borderId="0"/>
    <xf numFmtId="210" fontId="13" fillId="0" borderId="0" applyFont="0" applyFill="0" applyBorder="0" applyAlignment="0" applyProtection="0"/>
    <xf numFmtId="192" fontId="13" fillId="0" borderId="0" applyFont="0" applyFill="0" applyBorder="0" applyAlignment="0" applyProtection="0"/>
    <xf numFmtId="185" fontId="13" fillId="0" borderId="0" applyFont="0" applyFill="0" applyBorder="0" applyAlignment="0" applyProtection="0"/>
    <xf numFmtId="10" fontId="13" fillId="0" borderId="0" applyFont="0" applyFill="0" applyBorder="0" applyAlignment="0" applyProtection="0"/>
    <xf numFmtId="0" fontId="27" fillId="3" borderId="6"/>
    <xf numFmtId="193" fontId="13" fillId="0" borderId="0" applyFill="0" applyBorder="0" applyAlignment="0"/>
    <xf numFmtId="189"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4" fontId="26" fillId="0" borderId="0">
      <alignment horizontal="right"/>
    </xf>
    <xf numFmtId="3" fontId="37" fillId="0" borderId="0"/>
    <xf numFmtId="4" fontId="38" fillId="0" borderId="0">
      <alignment horizontal="right"/>
    </xf>
    <xf numFmtId="0" fontId="39" fillId="0" borderId="0">
      <alignment horizontal="left"/>
    </xf>
    <xf numFmtId="43" fontId="27" fillId="0" borderId="1"/>
    <xf numFmtId="0" fontId="40" fillId="0" borderId="6">
      <alignment horizontal="center"/>
    </xf>
    <xf numFmtId="0" fontId="40" fillId="0" borderId="0">
      <alignment horizontal="center" vertical="center"/>
    </xf>
    <xf numFmtId="0" fontId="41" fillId="6" borderId="0" applyNumberFormat="0" applyFill="0">
      <alignment horizontal="left" vertical="center"/>
    </xf>
    <xf numFmtId="0" fontId="33" fillId="0" borderId="0"/>
    <xf numFmtId="49" fontId="15" fillId="0" borderId="0" applyFill="0" applyBorder="0" applyAlignment="0"/>
    <xf numFmtId="211" fontId="15" fillId="0" borderId="0" applyFill="0" applyBorder="0" applyAlignment="0"/>
    <xf numFmtId="212" fontId="13" fillId="0" borderId="0" applyFill="0" applyBorder="0" applyAlignment="0"/>
    <xf numFmtId="0" fontId="42" fillId="0" borderId="0" applyFill="0" applyBorder="0" applyProtection="0">
      <alignment horizontal="left" vertical="top"/>
    </xf>
    <xf numFmtId="0" fontId="43" fillId="0" borderId="0">
      <alignment horizontal="center"/>
    </xf>
    <xf numFmtId="0" fontId="44" fillId="0" borderId="0" applyNumberFormat="0" applyFont="0" applyFill="0" applyBorder="0" applyProtection="0">
      <alignment horizontal="center" vertical="center" wrapText="1"/>
    </xf>
    <xf numFmtId="9" fontId="45" fillId="0" borderId="0" applyFont="0" applyFill="0" applyBorder="0" applyAlignment="0" applyProtection="0"/>
    <xf numFmtId="0" fontId="16" fillId="0" borderId="0"/>
    <xf numFmtId="213" fontId="16" fillId="0" borderId="0" applyFont="0" applyFill="0" applyBorder="0" applyAlignment="0" applyProtection="0"/>
    <xf numFmtId="214" fontId="16" fillId="0" borderId="0" applyFont="0" applyFill="0" applyBorder="0" applyAlignment="0" applyProtection="0"/>
    <xf numFmtId="41" fontId="13"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46" fillId="0" borderId="0">
      <alignment horizontal="right"/>
    </xf>
    <xf numFmtId="0" fontId="47" fillId="7" borderId="0" applyNumberFormat="0" applyBorder="0" applyAlignment="0" applyProtection="0">
      <alignment vertical="center"/>
    </xf>
    <xf numFmtId="0" fontId="1" fillId="0" borderId="0">
      <protection locked="0"/>
    </xf>
    <xf numFmtId="0" fontId="1" fillId="0" borderId="0">
      <alignment vertical="center"/>
      <protection locked="0"/>
    </xf>
    <xf numFmtId="0" fontId="1" fillId="0" borderId="0">
      <protection locked="0"/>
    </xf>
    <xf numFmtId="0" fontId="48" fillId="0" borderId="0">
      <alignment vertical="center"/>
    </xf>
    <xf numFmtId="0" fontId="13" fillId="0" borderId="0"/>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21" fillId="0" borderId="0" applyNumberFormat="0" applyFill="0" applyBorder="0" applyAlignment="0" applyProtection="0"/>
    <xf numFmtId="0" fontId="51" fillId="8" borderId="0" applyNumberFormat="0" applyBorder="0" applyAlignment="0" applyProtection="0">
      <alignment vertical="center"/>
    </xf>
    <xf numFmtId="4" fontId="44" fillId="0" borderId="0" applyFont="0" applyFill="0" applyBorder="0" applyAlignment="0" applyProtection="0"/>
    <xf numFmtId="41" fontId="13" fillId="0" borderId="0" applyFont="0" applyFill="0" applyBorder="0" applyAlignment="0" applyProtection="0"/>
    <xf numFmtId="215" fontId="16" fillId="0" borderId="0" applyFont="0" applyFill="0" applyBorder="0" applyAlignment="0" applyProtection="0"/>
    <xf numFmtId="216" fontId="16" fillId="0" borderId="0" applyFont="0" applyFill="0" applyBorder="0" applyAlignment="0" applyProtection="0"/>
    <xf numFmtId="0" fontId="14" fillId="0" borderId="0"/>
    <xf numFmtId="41" fontId="14" fillId="0" borderId="0" applyFont="0" applyFill="0" applyBorder="0" applyAlignment="0" applyProtection="0"/>
    <xf numFmtId="43" fontId="14"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alignment vertical="center"/>
    </xf>
    <xf numFmtId="206" fontId="13" fillId="0" borderId="0" applyFont="0" applyFill="0" applyBorder="0" applyAlignment="0" applyProtection="0"/>
    <xf numFmtId="217" fontId="44" fillId="0" borderId="0" applyFont="0" applyFill="0" applyBorder="0" applyAlignment="0" applyProtection="0"/>
    <xf numFmtId="0" fontId="15" fillId="0" borderId="0">
      <alignment vertical="top"/>
    </xf>
    <xf numFmtId="38" fontId="52" fillId="0" borderId="0" applyFont="0" applyFill="0" applyBorder="0" applyAlignment="0" applyProtection="0"/>
    <xf numFmtId="40"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53" fillId="0" borderId="0"/>
    <xf numFmtId="0" fontId="16" fillId="0" borderId="0"/>
    <xf numFmtId="0" fontId="16" fillId="0" borderId="0"/>
    <xf numFmtId="0" fontId="1" fillId="0" borderId="0"/>
    <xf numFmtId="0" fontId="60" fillId="0" borderId="0" applyNumberFormat="0" applyFill="0" applyBorder="0" applyAlignment="0" applyProtection="0">
      <alignment vertical="top"/>
      <protection locked="0"/>
    </xf>
    <xf numFmtId="0" fontId="69" fillId="0" borderId="0">
      <alignment vertical="center"/>
    </xf>
    <xf numFmtId="43" fontId="1" fillId="0" borderId="0" applyFont="0" applyFill="0" applyBorder="0" applyAlignment="0" applyProtection="0"/>
    <xf numFmtId="43" fontId="1" fillId="0" borderId="0" applyFont="0" applyFill="0" applyBorder="0" applyAlignment="0" applyProtection="0">
      <alignment vertical="center"/>
    </xf>
    <xf numFmtId="0" fontId="1" fillId="0" borderId="0" applyNumberForma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74" fillId="0" borderId="0"/>
    <xf numFmtId="49" fontId="14" fillId="0" borderId="0" applyProtection="0">
      <alignment horizontal="left"/>
    </xf>
    <xf numFmtId="0" fontId="15" fillId="0" borderId="0">
      <alignment vertical="top"/>
      <protection locked="0"/>
    </xf>
    <xf numFmtId="0" fontId="15" fillId="0" borderId="0">
      <alignment vertical="top"/>
    </xf>
    <xf numFmtId="0" fontId="13" fillId="0" borderId="0" applyNumberFormat="0" applyFill="0" applyBorder="0" applyAlignment="0">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3" fillId="0" borderId="0" applyNumberFormat="0" applyFill="0" applyBorder="0" applyAlignment="0">
      <protection locked="0"/>
    </xf>
    <xf numFmtId="0" fontId="15" fillId="0" borderId="0">
      <alignment vertical="top"/>
    </xf>
    <xf numFmtId="0" fontId="15" fillId="0" borderId="0">
      <alignment vertical="top"/>
    </xf>
    <xf numFmtId="0" fontId="13" fillId="0" borderId="0" applyNumberFormat="0" applyFill="0" applyBorder="0" applyAlignment="0" applyProtection="0"/>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protection locked="0"/>
    </xf>
    <xf numFmtId="218" fontId="1" fillId="0" borderId="0" applyFont="0" applyFill="0" applyBorder="0" applyAlignment="0" applyProtection="0"/>
    <xf numFmtId="0" fontId="75" fillId="0" borderId="0">
      <alignment horizontal="center" wrapText="1"/>
      <protection locked="0"/>
    </xf>
    <xf numFmtId="0" fontId="76" fillId="0" borderId="0" applyNumberFormat="0" applyAlignment="0">
      <alignment horizontal="left"/>
    </xf>
    <xf numFmtId="0" fontId="35" fillId="0" borderId="0" applyNumberFormat="0" applyAlignment="0"/>
    <xf numFmtId="15" fontId="25" fillId="0" borderId="0"/>
    <xf numFmtId="0" fontId="77" fillId="0" borderId="0" applyNumberFormat="0" applyFill="0" applyBorder="0" applyAlignment="0" applyProtection="0"/>
    <xf numFmtId="0" fontId="78" fillId="0" borderId="0" applyNumberFormat="0" applyAlignment="0">
      <alignment horizontal="left"/>
    </xf>
    <xf numFmtId="219" fontId="1" fillId="14" borderId="0"/>
    <xf numFmtId="219" fontId="1" fillId="15" borderId="0"/>
    <xf numFmtId="220"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186" fontId="1" fillId="0" borderId="0" applyFont="0" applyFill="0" applyBorder="0" applyAlignment="0" applyProtection="0"/>
    <xf numFmtId="0" fontId="14" fillId="0" borderId="0"/>
    <xf numFmtId="214" fontId="13" fillId="0" borderId="0" applyFont="0" applyFill="0" applyBorder="0" applyAlignment="0" applyProtection="0"/>
    <xf numFmtId="213" fontId="13" fillId="0" borderId="0" applyFont="0" applyFill="0" applyBorder="0" applyAlignment="0" applyProtection="0"/>
    <xf numFmtId="14" fontId="75" fillId="0" borderId="0">
      <alignment horizontal="center" wrapText="1"/>
      <protection locked="0"/>
    </xf>
    <xf numFmtId="218" fontId="79" fillId="0" borderId="0"/>
    <xf numFmtId="0" fontId="25" fillId="0" borderId="0" applyNumberFormat="0" applyFont="0" applyFill="0" applyBorder="0" applyAlignment="0" applyProtection="0">
      <alignment horizontal="left"/>
    </xf>
    <xf numFmtId="223" fontId="1" fillId="0" borderId="0" applyNumberFormat="0" applyFill="0" applyBorder="0" applyAlignment="0" applyProtection="0">
      <alignment horizontal="left"/>
    </xf>
    <xf numFmtId="41" fontId="14" fillId="0" borderId="0" applyFont="0" applyFill="0" applyBorder="0" applyAlignment="0" applyProtection="0"/>
    <xf numFmtId="0" fontId="80" fillId="16" borderId="0">
      <alignment horizontal="left" vertical="center"/>
    </xf>
    <xf numFmtId="0" fontId="80" fillId="16" borderId="0">
      <alignment horizontal="right" vertical="center"/>
    </xf>
    <xf numFmtId="40" fontId="81" fillId="0" borderId="0" applyBorder="0">
      <alignment horizontal="right"/>
    </xf>
    <xf numFmtId="0" fontId="5" fillId="0" borderId="0"/>
    <xf numFmtId="9" fontId="16"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3" fillId="13" borderId="0" applyNumberFormat="0" applyBorder="0" applyAlignment="0" applyProtection="0">
      <alignment vertical="center"/>
    </xf>
    <xf numFmtId="0" fontId="84" fillId="17" borderId="0" applyNumberFormat="0" applyBorder="0" applyAlignment="0" applyProtection="0">
      <alignment vertical="center"/>
    </xf>
    <xf numFmtId="0" fontId="69" fillId="0" borderId="0">
      <alignment vertical="center"/>
    </xf>
    <xf numFmtId="0" fontId="1" fillId="0" borderId="0" applyNumberFormat="0" applyFill="0" applyBorder="0" applyAlignment="0" applyProtection="0"/>
    <xf numFmtId="0" fontId="63" fillId="0" borderId="0">
      <alignment vertical="center"/>
    </xf>
    <xf numFmtId="0" fontId="85" fillId="12" borderId="0" applyNumberFormat="0" applyBorder="0" applyAlignment="0" applyProtection="0">
      <alignment vertical="center"/>
    </xf>
    <xf numFmtId="0" fontId="51" fillId="18" borderId="0" applyNumberFormat="0" applyBorder="0" applyAlignment="0" applyProtection="0">
      <alignment vertical="center"/>
    </xf>
    <xf numFmtId="204" fontId="13" fillId="0" borderId="0" applyFont="0" applyFill="0" applyBorder="0" applyAlignment="0" applyProtection="0"/>
    <xf numFmtId="224" fontId="13" fillId="0" borderId="0" applyFont="0" applyFill="0" applyBorder="0" applyAlignment="0" applyProtection="0"/>
    <xf numFmtId="225" fontId="86" fillId="0" borderId="0" applyFont="0" applyFill="0" applyBorder="0" applyAlignment="0" applyProtection="0"/>
    <xf numFmtId="226" fontId="86" fillId="0" borderId="0" applyFont="0" applyFill="0" applyBorder="0" applyAlignment="0" applyProtection="0"/>
    <xf numFmtId="41" fontId="1" fillId="0" borderId="0" applyFont="0" applyFill="0" applyBorder="0" applyAlignment="0" applyProtection="0"/>
    <xf numFmtId="0" fontId="87" fillId="0" borderId="0"/>
    <xf numFmtId="0" fontId="88" fillId="0" borderId="0"/>
    <xf numFmtId="40" fontId="82" fillId="0" borderId="0" applyFont="0" applyFill="0" applyBorder="0" applyAlignment="0" applyProtection="0"/>
    <xf numFmtId="38" fontId="82" fillId="0" borderId="0" applyFont="0" applyFill="0" applyBorder="0" applyAlignment="0" applyProtection="0"/>
    <xf numFmtId="214" fontId="13" fillId="0" borderId="6" applyNumberFormat="0"/>
    <xf numFmtId="0" fontId="1" fillId="0" borderId="0">
      <protection locked="0"/>
    </xf>
    <xf numFmtId="203" fontId="1" fillId="0" borderId="0"/>
    <xf numFmtId="0" fontId="1" fillId="0" borderId="0">
      <protection locked="0"/>
    </xf>
    <xf numFmtId="203" fontId="94" fillId="19" borderId="0" applyNumberFormat="0" applyBorder="0" applyAlignment="0" applyProtection="0"/>
    <xf numFmtId="203" fontId="94" fillId="7" borderId="0" applyNumberFormat="0" applyBorder="0" applyAlignment="0" applyProtection="0"/>
    <xf numFmtId="203" fontId="94" fillId="8" borderId="0" applyNumberFormat="0" applyBorder="0" applyAlignment="0" applyProtection="0"/>
    <xf numFmtId="203" fontId="94" fillId="17" borderId="0" applyNumberFormat="0" applyBorder="0" applyAlignment="0" applyProtection="0"/>
    <xf numFmtId="203" fontId="94" fillId="18" borderId="0" applyNumberFormat="0" applyBorder="0" applyAlignment="0" applyProtection="0"/>
    <xf numFmtId="203" fontId="94" fillId="20" borderId="0" applyNumberFormat="0" applyBorder="0" applyAlignment="0" applyProtection="0"/>
    <xf numFmtId="203" fontId="94" fillId="21" borderId="0" applyNumberFormat="0" applyBorder="0" applyAlignment="0" applyProtection="0"/>
    <xf numFmtId="203" fontId="94" fillId="22" borderId="0" applyNumberFormat="0" applyBorder="0" applyAlignment="0" applyProtection="0"/>
    <xf numFmtId="203" fontId="94" fillId="23" borderId="0" applyNumberFormat="0" applyBorder="0" applyAlignment="0" applyProtection="0"/>
    <xf numFmtId="203" fontId="94" fillId="17" borderId="0" applyNumberFormat="0" applyBorder="0" applyAlignment="0" applyProtection="0"/>
    <xf numFmtId="203" fontId="94" fillId="21" borderId="0" applyNumberFormat="0" applyBorder="0" applyAlignment="0" applyProtection="0"/>
    <xf numFmtId="203" fontId="94" fillId="24" borderId="0" applyNumberFormat="0" applyBorder="0" applyAlignment="0" applyProtection="0"/>
    <xf numFmtId="203" fontId="95" fillId="25" borderId="0" applyNumberFormat="0" applyBorder="0" applyAlignment="0" applyProtection="0"/>
    <xf numFmtId="203" fontId="95" fillId="22" borderId="0" applyNumberFormat="0" applyBorder="0" applyAlignment="0" applyProtection="0"/>
    <xf numFmtId="203" fontId="95" fillId="23" borderId="0" applyNumberFormat="0" applyBorder="0" applyAlignment="0" applyProtection="0"/>
    <xf numFmtId="203" fontId="95" fillId="26" borderId="0" applyNumberFormat="0" applyBorder="0" applyAlignment="0" applyProtection="0"/>
    <xf numFmtId="203" fontId="95" fillId="27" borderId="0" applyNumberFormat="0" applyBorder="0" applyAlignment="0" applyProtection="0"/>
    <xf numFmtId="203" fontId="95" fillId="28" borderId="0" applyNumberFormat="0" applyBorder="0" applyAlignment="0" applyProtection="0"/>
    <xf numFmtId="203" fontId="95" fillId="29" borderId="0" applyNumberFormat="0" applyBorder="0" applyAlignment="0" applyProtection="0"/>
    <xf numFmtId="203" fontId="95" fillId="30" borderId="0" applyNumberFormat="0" applyBorder="0" applyAlignment="0" applyProtection="0"/>
    <xf numFmtId="203" fontId="95" fillId="31" borderId="0" applyNumberFormat="0" applyBorder="0" applyAlignment="0" applyProtection="0"/>
    <xf numFmtId="203" fontId="95" fillId="26" borderId="0" applyNumberFormat="0" applyBorder="0" applyAlignment="0" applyProtection="0"/>
    <xf numFmtId="203" fontId="95" fillId="27" borderId="0" applyNumberFormat="0" applyBorder="0" applyAlignment="0" applyProtection="0"/>
    <xf numFmtId="203" fontId="95" fillId="32" borderId="0" applyNumberFormat="0" applyBorder="0" applyAlignment="0" applyProtection="0"/>
    <xf numFmtId="203" fontId="96" fillId="7" borderId="0" applyNumberFormat="0" applyBorder="0" applyAlignment="0" applyProtection="0"/>
    <xf numFmtId="203" fontId="97" fillId="33" borderId="15" applyNumberFormat="0" applyAlignment="0" applyProtection="0"/>
    <xf numFmtId="203" fontId="98" fillId="34" borderId="16" applyNumberFormat="0" applyAlignment="0" applyProtection="0"/>
    <xf numFmtId="203" fontId="99" fillId="0" borderId="0" applyNumberFormat="0" applyFill="0" applyBorder="0" applyAlignment="0" applyProtection="0"/>
    <xf numFmtId="203" fontId="100" fillId="8" borderId="0" applyNumberFormat="0" applyBorder="0" applyAlignment="0" applyProtection="0"/>
    <xf numFmtId="203" fontId="101" fillId="0" borderId="17" applyNumberFormat="0" applyFill="0" applyAlignment="0" applyProtection="0"/>
    <xf numFmtId="203" fontId="102" fillId="0" borderId="18" applyNumberFormat="0" applyFill="0" applyAlignment="0" applyProtection="0"/>
    <xf numFmtId="203" fontId="103" fillId="0" borderId="19" applyNumberFormat="0" applyFill="0" applyAlignment="0" applyProtection="0"/>
    <xf numFmtId="203" fontId="103" fillId="0" borderId="0" applyNumberFormat="0" applyFill="0" applyBorder="0" applyAlignment="0" applyProtection="0"/>
    <xf numFmtId="203" fontId="104" fillId="20" borderId="15" applyNumberFormat="0" applyAlignment="0" applyProtection="0"/>
    <xf numFmtId="203" fontId="105" fillId="0" borderId="20" applyNumberFormat="0" applyFill="0" applyAlignment="0" applyProtection="0"/>
    <xf numFmtId="203" fontId="106" fillId="35" borderId="0" applyNumberFormat="0" applyBorder="0" applyAlignment="0" applyProtection="0"/>
    <xf numFmtId="0" fontId="13" fillId="0" borderId="0"/>
    <xf numFmtId="0" fontId="13" fillId="0" borderId="0"/>
    <xf numFmtId="0" fontId="1" fillId="0" borderId="0">
      <alignment vertical="center"/>
    </xf>
    <xf numFmtId="203" fontId="13" fillId="36" borderId="21" applyNumberFormat="0" applyFont="0" applyAlignment="0" applyProtection="0"/>
    <xf numFmtId="203" fontId="107" fillId="33" borderId="22" applyNumberFormat="0" applyAlignment="0" applyProtection="0"/>
    <xf numFmtId="203" fontId="108" fillId="0" borderId="23" applyNumberFormat="0" applyFill="0" applyAlignment="0" applyProtection="0"/>
    <xf numFmtId="203" fontId="109" fillId="0" borderId="0" applyNumberFormat="0" applyFill="0" applyBorder="0" applyAlignment="0" applyProtection="0"/>
    <xf numFmtId="0" fontId="13" fillId="0" borderId="0"/>
    <xf numFmtId="203" fontId="1" fillId="0" borderId="0">
      <protection locked="0"/>
    </xf>
    <xf numFmtId="0" fontId="1" fillId="0" borderId="0">
      <protection locked="0"/>
    </xf>
    <xf numFmtId="0" fontId="69" fillId="0" borderId="0">
      <alignment vertical="center"/>
    </xf>
    <xf numFmtId="203" fontId="5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14" fillId="0" borderId="0">
      <protection locked="0"/>
    </xf>
    <xf numFmtId="0" fontId="15" fillId="0" borderId="0">
      <alignment vertical="top"/>
      <protection locked="0"/>
    </xf>
    <xf numFmtId="0" fontId="1" fillId="0" borderId="0"/>
    <xf numFmtId="0" fontId="15" fillId="0" borderId="0">
      <alignment vertical="top"/>
      <protection locked="0"/>
    </xf>
    <xf numFmtId="0" fontId="1" fillId="0" borderId="0">
      <protection locked="0"/>
    </xf>
    <xf numFmtId="203" fontId="1" fillId="0" borderId="0">
      <alignment vertical="center"/>
    </xf>
    <xf numFmtId="203" fontId="1" fillId="0" borderId="0">
      <alignment vertical="center"/>
      <protection locked="0"/>
    </xf>
    <xf numFmtId="203" fontId="1" fillId="0" borderId="0">
      <alignment vertical="center"/>
    </xf>
    <xf numFmtId="0" fontId="114" fillId="25" borderId="0" applyNumberFormat="0" applyBorder="0" applyAlignment="0" applyProtection="0">
      <alignment vertical="center"/>
    </xf>
    <xf numFmtId="9" fontId="1" fillId="0" borderId="0" applyFont="0" applyFill="0" applyBorder="0" applyAlignment="0" applyProtection="0"/>
    <xf numFmtId="9" fontId="63" fillId="0" borderId="0" applyFont="0" applyFill="0" applyBorder="0" applyAlignment="0" applyProtection="0">
      <alignment vertical="center"/>
    </xf>
    <xf numFmtId="9" fontId="63" fillId="0" borderId="0" applyFont="0" applyFill="0" applyBorder="0" applyAlignment="0" applyProtection="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alignment vertical="center"/>
    </xf>
    <xf numFmtId="0" fontId="1" fillId="0" borderId="0">
      <alignment vertical="center"/>
    </xf>
    <xf numFmtId="0" fontId="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xf numFmtId="0" fontId="1" fillId="0" borderId="0"/>
    <xf numFmtId="0" fontId="1" fillId="0" borderId="0">
      <protection locked="0"/>
    </xf>
    <xf numFmtId="0" fontId="115" fillId="0" borderId="0"/>
    <xf numFmtId="0" fontId="1" fillId="0" borderId="0"/>
    <xf numFmtId="0" fontId="63" fillId="0" borderId="0">
      <alignment vertical="center"/>
    </xf>
    <xf numFmtId="203" fontId="1" fillId="0" borderId="0">
      <protection locked="0"/>
    </xf>
    <xf numFmtId="0" fontId="1" fillId="0" borderId="0">
      <alignment vertical="center"/>
    </xf>
    <xf numFmtId="0" fontId="48" fillId="0" borderId="0" applyNumberFormat="0" applyBorder="0" applyProtection="0">
      <alignment vertical="center"/>
    </xf>
    <xf numFmtId="0" fontId="1" fillId="0" borderId="0">
      <alignment vertical="center"/>
    </xf>
    <xf numFmtId="0" fontId="1" fillId="0" borderId="0">
      <alignment vertical="center"/>
    </xf>
    <xf numFmtId="203" fontId="1" fillId="0" borderId="0"/>
    <xf numFmtId="203" fontId="69" fillId="0" borderId="0">
      <alignment vertical="center"/>
    </xf>
    <xf numFmtId="0" fontId="1" fillId="0" borderId="0">
      <alignment vertical="center"/>
    </xf>
    <xf numFmtId="0" fontId="1" fillId="0" borderId="0">
      <alignment vertical="center"/>
    </xf>
    <xf numFmtId="0" fontId="69" fillId="0" borderId="0">
      <alignment vertical="center"/>
    </xf>
    <xf numFmtId="0" fontId="63" fillId="0" borderId="0">
      <alignment vertical="center"/>
    </xf>
    <xf numFmtId="0" fontId="1" fillId="0" borderId="0">
      <protection locked="0"/>
    </xf>
    <xf numFmtId="0" fontId="63"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43" fontId="1" fillId="0" borderId="0" applyFont="0" applyFill="0" applyBorder="0" applyAlignment="0" applyProtection="0">
      <alignment vertical="center"/>
    </xf>
    <xf numFmtId="43" fontId="63" fillId="0" borderId="0" applyFont="0" applyFill="0" applyBorder="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alignment vertical="center"/>
    </xf>
    <xf numFmtId="203" fontId="1" fillId="0" borderId="0">
      <alignment vertical="center"/>
      <protection locked="0"/>
    </xf>
    <xf numFmtId="203" fontId="1" fillId="0" borderId="0">
      <protection locked="0"/>
    </xf>
    <xf numFmtId="203" fontId="1" fillId="0" borderId="0"/>
    <xf numFmtId="203" fontId="115" fillId="0" borderId="0"/>
    <xf numFmtId="43" fontId="1" fillId="0" borderId="0" applyFont="0" applyFill="0" applyBorder="0" applyAlignment="0" applyProtection="0">
      <alignment vertical="center"/>
    </xf>
    <xf numFmtId="9" fontId="63" fillId="0" borderId="0" applyFont="0" applyFill="0" applyBorder="0" applyAlignment="0" applyProtection="0">
      <alignment vertical="center"/>
    </xf>
  </cellStyleXfs>
  <cellXfs count="423">
    <xf numFmtId="0" fontId="0" fillId="0" borderId="0" xfId="0">
      <alignment vertical="center"/>
    </xf>
    <xf numFmtId="0" fontId="5" fillId="0" borderId="0" xfId="2" applyFont="1">
      <alignment vertical="center"/>
    </xf>
    <xf numFmtId="43" fontId="11" fillId="0" borderId="0" xfId="3" applyNumberFormat="1" applyFont="1" applyBorder="1" applyAlignment="1">
      <alignment vertical="center"/>
    </xf>
    <xf numFmtId="43" fontId="5" fillId="0" borderId="0" xfId="3" applyNumberFormat="1" applyFont="1" applyBorder="1" applyAlignment="1">
      <alignment vertical="center"/>
    </xf>
    <xf numFmtId="0" fontId="4" fillId="0" borderId="0" xfId="162" applyFont="1" applyAlignment="1">
      <alignment vertical="center"/>
      <protection locked="0"/>
    </xf>
    <xf numFmtId="0" fontId="5" fillId="0" borderId="0" xfId="162" applyFont="1" applyAlignment="1">
      <alignment vertical="center"/>
      <protection locked="0"/>
    </xf>
    <xf numFmtId="0" fontId="5" fillId="0" borderId="0" xfId="162" applyFont="1" applyAlignment="1">
      <alignment horizontal="left" vertical="center"/>
      <protection locked="0"/>
    </xf>
    <xf numFmtId="0" fontId="8" fillId="0" borderId="0" xfId="162" applyFont="1" applyAlignment="1">
      <alignment horizontal="left" vertical="center"/>
      <protection locked="0"/>
    </xf>
    <xf numFmtId="0" fontId="5" fillId="0" borderId="0" xfId="162" applyFont="1" applyAlignment="1">
      <alignment horizontal="center" vertical="center"/>
      <protection locked="0"/>
    </xf>
    <xf numFmtId="0" fontId="5" fillId="0" borderId="2" xfId="162" applyFont="1" applyBorder="1" applyAlignment="1">
      <alignment vertical="center"/>
      <protection locked="0"/>
    </xf>
    <xf numFmtId="0" fontId="10" fillId="0" borderId="0" xfId="162" applyFont="1" applyAlignment="1">
      <alignment vertical="center"/>
      <protection locked="0"/>
    </xf>
    <xf numFmtId="0" fontId="11" fillId="0" borderId="0" xfId="162" applyFont="1" applyAlignment="1">
      <alignment vertical="center"/>
      <protection locked="0"/>
    </xf>
    <xf numFmtId="0" fontId="11" fillId="0" borderId="0" xfId="162" applyFont="1">
      <protection locked="0"/>
    </xf>
    <xf numFmtId="0" fontId="9" fillId="0" borderId="0" xfId="162" applyFont="1" applyAlignment="1">
      <alignment horizontal="right"/>
      <protection locked="0"/>
    </xf>
    <xf numFmtId="0" fontId="11" fillId="0" borderId="0" xfId="162" applyFont="1" applyAlignment="1">
      <alignment horizontal="right"/>
      <protection locked="0"/>
    </xf>
    <xf numFmtId="0" fontId="12" fillId="0" borderId="0" xfId="162" applyFont="1">
      <protection locked="0"/>
    </xf>
    <xf numFmtId="0" fontId="5" fillId="0" borderId="0" xfId="191" applyFont="1" applyAlignment="1" applyProtection="1">
      <alignment vertical="center"/>
      <protection locked="0"/>
    </xf>
    <xf numFmtId="0" fontId="11" fillId="0" borderId="0" xfId="191" applyFont="1" applyAlignment="1" applyProtection="1">
      <alignment horizontal="center" vertical="center"/>
      <protection hidden="1"/>
    </xf>
    <xf numFmtId="0" fontId="5" fillId="0" borderId="0" xfId="191" applyFont="1" applyAlignment="1" applyProtection="1">
      <alignment horizontal="left" vertical="center"/>
      <protection hidden="1"/>
    </xf>
    <xf numFmtId="0" fontId="11" fillId="0" borderId="0" xfId="191" applyFont="1" applyAlignment="1" applyProtection="1">
      <alignment horizontal="left" vertical="center"/>
      <protection locked="0"/>
    </xf>
    <xf numFmtId="0" fontId="12" fillId="0" borderId="0" xfId="162" applyFont="1" applyAlignment="1">
      <alignment vertical="center"/>
      <protection locked="0"/>
    </xf>
    <xf numFmtId="0" fontId="8" fillId="9" borderId="0" xfId="162" applyFont="1" applyFill="1" applyAlignment="1">
      <alignment horizontal="justify" vertical="center" wrapText="1"/>
      <protection locked="0"/>
    </xf>
    <xf numFmtId="0" fontId="13" fillId="0" borderId="0" xfId="162" applyFont="1">
      <protection locked="0"/>
    </xf>
    <xf numFmtId="0" fontId="1" fillId="0" borderId="0" xfId="162">
      <protection locked="0"/>
    </xf>
    <xf numFmtId="0" fontId="59" fillId="0" borderId="0" xfId="162" applyFont="1">
      <protection locked="0"/>
    </xf>
    <xf numFmtId="0" fontId="50" fillId="0" borderId="0" xfId="168" quotePrefix="1" applyAlignment="1">
      <protection locked="0"/>
    </xf>
    <xf numFmtId="0" fontId="61" fillId="0" borderId="0" xfId="0" applyFont="1" applyAlignment="1">
      <alignment horizontal="justify" vertical="center"/>
    </xf>
    <xf numFmtId="0" fontId="2" fillId="0" borderId="0" xfId="2" applyFont="1" applyAlignment="1">
      <alignment horizontal="left" vertical="center"/>
    </xf>
    <xf numFmtId="0" fontId="5" fillId="0" borderId="0" xfId="164" applyFont="1" applyAlignment="1">
      <alignment vertical="center"/>
      <protection locked="0"/>
    </xf>
    <xf numFmtId="0" fontId="2" fillId="0" borderId="0" xfId="162" applyFont="1" applyAlignment="1">
      <alignment vertical="center"/>
      <protection locked="0"/>
    </xf>
    <xf numFmtId="0" fontId="65" fillId="0" borderId="0" xfId="0" applyFont="1">
      <alignment vertical="center"/>
    </xf>
    <xf numFmtId="0" fontId="66" fillId="0" borderId="0" xfId="0" applyFont="1">
      <alignment vertical="center"/>
    </xf>
    <xf numFmtId="0" fontId="4" fillId="0" borderId="0" xfId="191" applyFont="1" applyAlignment="1">
      <alignment vertical="center"/>
    </xf>
    <xf numFmtId="0" fontId="73" fillId="0" borderId="0" xfId="162" applyFont="1" applyAlignment="1">
      <alignment vertical="center"/>
      <protection locked="0"/>
    </xf>
    <xf numFmtId="0" fontId="72" fillId="0" borderId="0" xfId="162" applyFont="1" applyAlignment="1">
      <alignment horizontal="left"/>
      <protection locked="0"/>
    </xf>
    <xf numFmtId="43" fontId="72" fillId="0" borderId="0" xfId="3" applyNumberFormat="1" applyFont="1" applyBorder="1" applyAlignment="1">
      <alignment vertical="center"/>
    </xf>
    <xf numFmtId="0" fontId="7" fillId="0" borderId="0" xfId="162" applyFont="1">
      <protection locked="0"/>
    </xf>
    <xf numFmtId="0" fontId="5" fillId="0" borderId="0" xfId="162" applyFont="1">
      <protection locked="0"/>
    </xf>
    <xf numFmtId="49" fontId="11" fillId="0" borderId="0" xfId="162" applyNumberFormat="1" applyFont="1" applyAlignment="1">
      <alignment horizontal="right" vertical="center"/>
      <protection locked="0"/>
    </xf>
    <xf numFmtId="0" fontId="11" fillId="0" borderId="0" xfId="162" applyFont="1" applyAlignment="1">
      <alignment horizontal="right" vertical="center"/>
      <protection locked="0"/>
    </xf>
    <xf numFmtId="0" fontId="72" fillId="0" borderId="0" xfId="162" applyFont="1" applyAlignment="1">
      <alignment vertical="center"/>
      <protection locked="0"/>
    </xf>
    <xf numFmtId="0" fontId="72" fillId="0" borderId="0" xfId="162" applyFont="1" applyAlignment="1">
      <alignment horizontal="center" vertical="center" wrapText="1"/>
      <protection locked="0"/>
    </xf>
    <xf numFmtId="0" fontId="11" fillId="0" borderId="0" xfId="162" applyFont="1" applyAlignment="1">
      <alignment horizontal="center" wrapText="1"/>
      <protection locked="0"/>
    </xf>
    <xf numFmtId="0" fontId="62" fillId="0" borderId="0" xfId="0" applyFont="1" applyAlignment="1">
      <alignment horizontal="justify" vertical="center"/>
    </xf>
    <xf numFmtId="0" fontId="62" fillId="0" borderId="0" xfId="0" applyFont="1">
      <alignment vertical="center"/>
    </xf>
    <xf numFmtId="203" fontId="4" fillId="10" borderId="1" xfId="280" applyFont="1" applyFill="1" applyBorder="1" applyAlignment="1" applyProtection="1">
      <alignment horizontal="center" vertical="center" wrapText="1"/>
      <protection locked="0"/>
    </xf>
    <xf numFmtId="203" fontId="4" fillId="10" borderId="1" xfId="281" applyNumberFormat="1" applyFont="1" applyFill="1" applyBorder="1" applyAlignment="1">
      <alignment horizontal="center" vertical="center"/>
      <protection locked="0"/>
    </xf>
    <xf numFmtId="203" fontId="70" fillId="10" borderId="1" xfId="281" applyNumberFormat="1" applyFont="1" applyFill="1" applyBorder="1" applyAlignment="1">
      <alignment horizontal="center" vertical="center" wrapText="1"/>
      <protection locked="0"/>
    </xf>
    <xf numFmtId="0" fontId="57" fillId="10" borderId="1" xfId="279" applyFont="1" applyFill="1" applyBorder="1" applyAlignment="1" applyProtection="1">
      <alignment vertical="center"/>
    </xf>
    <xf numFmtId="43" fontId="54" fillId="10" borderId="1" xfId="194" applyFont="1" applyFill="1" applyBorder="1" applyAlignment="1">
      <alignment horizontal="right" vertical="center"/>
    </xf>
    <xf numFmtId="43" fontId="5" fillId="10" borderId="1" xfId="194" applyFont="1" applyFill="1" applyBorder="1" applyAlignment="1">
      <alignment horizontal="right" vertical="center" wrapText="1"/>
    </xf>
    <xf numFmtId="10" fontId="5" fillId="10" borderId="1" xfId="159" applyNumberFormat="1" applyFont="1" applyFill="1" applyBorder="1" applyAlignment="1">
      <alignment horizontal="right" vertical="center" wrapText="1"/>
    </xf>
    <xf numFmtId="43" fontId="4" fillId="0" borderId="0" xfId="3" applyNumberFormat="1" applyFont="1" applyBorder="1" applyAlignment="1">
      <alignment vertical="center"/>
    </xf>
    <xf numFmtId="43" fontId="54" fillId="0" borderId="1" xfId="194" applyFont="1" applyFill="1" applyBorder="1" applyAlignment="1">
      <alignment horizontal="right" vertical="center"/>
    </xf>
    <xf numFmtId="0" fontId="64" fillId="0" borderId="1" xfId="279" applyFont="1" applyBorder="1" applyAlignment="1" applyProtection="1">
      <alignment horizontal="left" vertical="center" indent="1"/>
    </xf>
    <xf numFmtId="43" fontId="4" fillId="0" borderId="2" xfId="3" applyNumberFormat="1" applyFont="1" applyBorder="1" applyAlignment="1">
      <alignment horizontal="left" vertical="center"/>
    </xf>
    <xf numFmtId="43" fontId="5" fillId="0" borderId="2" xfId="3" applyNumberFormat="1" applyFont="1" applyBorder="1" applyAlignment="1">
      <alignment horizontal="left" vertical="center"/>
    </xf>
    <xf numFmtId="43" fontId="92" fillId="0" borderId="2" xfId="168" applyNumberFormat="1" applyFont="1" applyBorder="1" applyAlignment="1" applyProtection="1">
      <alignment horizontal="center" vertical="center"/>
    </xf>
    <xf numFmtId="43" fontId="5" fillId="0" borderId="2" xfId="3" applyNumberFormat="1" applyFont="1" applyBorder="1" applyAlignment="1">
      <alignment vertical="center"/>
    </xf>
    <xf numFmtId="43" fontId="4" fillId="0" borderId="0" xfId="3" applyNumberFormat="1" applyFont="1" applyFill="1" applyBorder="1" applyAlignment="1">
      <alignment vertical="center"/>
    </xf>
    <xf numFmtId="0" fontId="5" fillId="0" borderId="0" xfId="189" applyFont="1" applyAlignment="1">
      <alignment vertical="center"/>
    </xf>
    <xf numFmtId="10" fontId="93" fillId="0" borderId="0" xfId="159" applyNumberFormat="1" applyFont="1" applyBorder="1" applyAlignment="1">
      <alignment horizontal="left" vertical="center"/>
    </xf>
    <xf numFmtId="0" fontId="5" fillId="0" borderId="0" xfId="189" applyFont="1" applyAlignment="1">
      <alignment horizontal="left" vertical="center"/>
    </xf>
    <xf numFmtId="43" fontId="5" fillId="0" borderId="0" xfId="3" applyNumberFormat="1" applyFont="1" applyFill="1" applyBorder="1" applyAlignment="1">
      <alignment vertical="center"/>
    </xf>
    <xf numFmtId="0" fontId="4" fillId="0" borderId="0" xfId="189" applyFont="1" applyAlignment="1">
      <alignment vertical="center"/>
    </xf>
    <xf numFmtId="0" fontId="5" fillId="0" borderId="0" xfId="331" applyFont="1">
      <protection locked="0"/>
    </xf>
    <xf numFmtId="0" fontId="4" fillId="0" borderId="0" xfId="331" applyFont="1">
      <protection locked="0"/>
    </xf>
    <xf numFmtId="0" fontId="5" fillId="11" borderId="0" xfId="331" applyFont="1" applyFill="1">
      <protection locked="0"/>
    </xf>
    <xf numFmtId="0" fontId="2" fillId="10" borderId="1" xfId="279" applyFont="1" applyFill="1" applyBorder="1" applyAlignment="1">
      <alignment horizontal="center" vertical="center" wrapText="1"/>
      <protection locked="0"/>
    </xf>
    <xf numFmtId="0" fontId="5" fillId="0" borderId="2" xfId="2" applyFont="1" applyBorder="1">
      <alignment vertical="center"/>
    </xf>
    <xf numFmtId="0" fontId="8" fillId="0" borderId="2" xfId="162" applyFont="1" applyBorder="1" applyAlignment="1">
      <alignment horizontal="left" vertical="center"/>
      <protection locked="0"/>
    </xf>
    <xf numFmtId="0" fontId="111" fillId="0" borderId="0" xfId="162" applyFont="1">
      <protection locked="0"/>
    </xf>
    <xf numFmtId="0" fontId="112" fillId="0" borderId="0" xfId="0" applyFont="1">
      <alignment vertical="center"/>
    </xf>
    <xf numFmtId="0" fontId="8" fillId="0" borderId="0" xfId="164" applyFont="1" applyAlignment="1">
      <alignment horizontal="left" vertical="center"/>
      <protection locked="0"/>
    </xf>
    <xf numFmtId="0" fontId="8" fillId="0" borderId="2" xfId="164" applyFont="1" applyBorder="1" applyAlignment="1">
      <alignment horizontal="left" vertical="center"/>
      <protection locked="0"/>
    </xf>
    <xf numFmtId="0" fontId="5" fillId="0" borderId="0" xfId="164" applyFont="1" applyAlignment="1">
      <alignment horizontal="left" vertical="center" indent="1"/>
      <protection locked="0"/>
    </xf>
    <xf numFmtId="0" fontId="65" fillId="10" borderId="1" xfId="0" applyFont="1" applyFill="1" applyBorder="1" applyAlignment="1">
      <alignment horizontal="center" vertical="center" wrapText="1"/>
    </xf>
    <xf numFmtId="0" fontId="65" fillId="0" borderId="0" xfId="0" applyFont="1" applyAlignment="1">
      <alignment horizontal="center" vertical="center"/>
    </xf>
    <xf numFmtId="0" fontId="4" fillId="0" borderId="0" xfId="164" applyFont="1" applyAlignment="1">
      <alignment vertical="center"/>
      <protection locked="0"/>
    </xf>
    <xf numFmtId="0" fontId="68" fillId="10" borderId="1" xfId="0" applyFont="1" applyFill="1" applyBorder="1" applyAlignment="1">
      <alignment horizontal="center" vertical="center" wrapText="1"/>
    </xf>
    <xf numFmtId="0" fontId="8" fillId="0" borderId="0" xfId="162" applyFont="1" applyAlignment="1">
      <alignment vertical="center"/>
      <protection locked="0"/>
    </xf>
    <xf numFmtId="0" fontId="65" fillId="0" borderId="0" xfId="0" applyFont="1" applyAlignment="1">
      <alignment horizontal="left" vertical="center" indent="1"/>
    </xf>
    <xf numFmtId="0" fontId="68" fillId="0" borderId="0" xfId="0" applyFont="1" applyAlignment="1">
      <alignment horizontal="left" vertical="center" indent="1"/>
    </xf>
    <xf numFmtId="0" fontId="8" fillId="0" borderId="0" xfId="335" applyFont="1" applyAlignment="1">
      <alignment vertical="center"/>
      <protection locked="0"/>
    </xf>
    <xf numFmtId="203" fontId="13" fillId="0" borderId="0" xfId="337" applyFont="1">
      <alignment vertical="center"/>
      <protection locked="0"/>
    </xf>
    <xf numFmtId="203" fontId="13" fillId="0" borderId="0" xfId="338" applyFont="1">
      <alignment vertical="center"/>
    </xf>
    <xf numFmtId="0" fontId="65" fillId="0" borderId="1" xfId="0" applyFont="1" applyBorder="1" applyAlignment="1">
      <alignment vertical="center" wrapText="1"/>
    </xf>
    <xf numFmtId="0" fontId="65" fillId="0" borderId="1" xfId="0" applyFont="1" applyBorder="1" applyAlignment="1">
      <alignment horizontal="center" vertical="center" wrapText="1"/>
    </xf>
    <xf numFmtId="0" fontId="68" fillId="0" borderId="1" xfId="0" applyFont="1" applyBorder="1" applyAlignment="1">
      <alignment vertical="center" wrapText="1"/>
    </xf>
    <xf numFmtId="49" fontId="31" fillId="0" borderId="0" xfId="338" applyNumberFormat="1" applyFont="1" applyAlignment="1">
      <alignment horizontal="left" vertical="center"/>
    </xf>
    <xf numFmtId="43" fontId="4" fillId="37" borderId="0" xfId="3" applyNumberFormat="1" applyFont="1" applyFill="1" applyBorder="1" applyAlignment="1">
      <alignment vertical="center"/>
    </xf>
    <xf numFmtId="43" fontId="2" fillId="0" borderId="0" xfId="3" applyNumberFormat="1" applyFont="1" applyFill="1" applyBorder="1" applyAlignment="1">
      <alignment vertical="center"/>
    </xf>
    <xf numFmtId="0" fontId="5" fillId="0" borderId="2" xfId="189" applyFont="1" applyBorder="1" applyAlignment="1">
      <alignment vertical="center"/>
    </xf>
    <xf numFmtId="43" fontId="55" fillId="0" borderId="1" xfId="279" applyNumberFormat="1" applyFont="1" applyBorder="1" applyAlignment="1" applyProtection="1">
      <alignment vertical="center"/>
    </xf>
    <xf numFmtId="0" fontId="1" fillId="0" borderId="0" xfId="358">
      <protection locked="0"/>
    </xf>
    <xf numFmtId="0" fontId="57" fillId="10" borderId="1" xfId="358" applyFont="1" applyFill="1" applyBorder="1" applyAlignment="1" applyProtection="1">
      <alignment vertical="center"/>
    </xf>
    <xf numFmtId="203" fontId="2" fillId="10" borderId="1" xfId="280" applyFont="1" applyFill="1" applyBorder="1" applyAlignment="1" applyProtection="1">
      <alignment horizontal="center" vertical="center" wrapText="1"/>
      <protection locked="0"/>
    </xf>
    <xf numFmtId="203" fontId="116" fillId="10" borderId="1" xfId="280" applyFont="1" applyFill="1" applyBorder="1" applyAlignment="1" applyProtection="1">
      <alignment horizontal="center" vertical="center" wrapText="1"/>
      <protection locked="0"/>
    </xf>
    <xf numFmtId="0" fontId="55" fillId="0" borderId="1" xfId="358" applyFont="1" applyBorder="1" applyAlignment="1" applyProtection="1">
      <alignment vertical="center"/>
    </xf>
    <xf numFmtId="0" fontId="8" fillId="0" borderId="1" xfId="358" applyFont="1" applyBorder="1" applyAlignment="1" applyProtection="1">
      <alignment vertical="center"/>
    </xf>
    <xf numFmtId="0" fontId="64" fillId="0" borderId="1" xfId="358" applyFont="1" applyBorder="1" applyAlignment="1" applyProtection="1">
      <alignment horizontal="left" vertical="center" indent="1"/>
    </xf>
    <xf numFmtId="0" fontId="70" fillId="0" borderId="1" xfId="358" applyFont="1" applyBorder="1" applyAlignment="1" applyProtection="1">
      <alignment horizontal="center" vertical="center"/>
    </xf>
    <xf numFmtId="9" fontId="93" fillId="0" borderId="0" xfId="340" applyFont="1" applyBorder="1" applyAlignment="1">
      <alignment horizontal="left" vertical="center"/>
    </xf>
    <xf numFmtId="10" fontId="93" fillId="0" borderId="0" xfId="340" applyNumberFormat="1" applyFont="1" applyBorder="1" applyAlignment="1">
      <alignment horizontal="left" vertical="center"/>
    </xf>
    <xf numFmtId="43" fontId="117" fillId="0" borderId="0" xfId="0" applyNumberFormat="1" applyFont="1">
      <alignment vertical="center"/>
    </xf>
    <xf numFmtId="43" fontId="0" fillId="0" borderId="0" xfId="0" applyNumberFormat="1">
      <alignment vertical="center"/>
    </xf>
    <xf numFmtId="43" fontId="117" fillId="0" borderId="0" xfId="0" applyNumberFormat="1" applyFont="1" applyAlignment="1">
      <alignment horizontal="justify" vertical="center" wrapText="1"/>
    </xf>
    <xf numFmtId="43" fontId="117" fillId="0" borderId="0" xfId="0" applyNumberFormat="1" applyFont="1" applyAlignment="1">
      <alignment horizontal="right" vertical="center" wrapText="1"/>
    </xf>
    <xf numFmtId="43" fontId="117" fillId="0" borderId="9" xfId="0" applyNumberFormat="1" applyFont="1" applyBorder="1" applyAlignment="1">
      <alignment horizontal="justify" vertical="center" wrapText="1"/>
    </xf>
    <xf numFmtId="43" fontId="117" fillId="0" borderId="24" xfId="0" applyNumberFormat="1" applyFont="1" applyBorder="1" applyAlignment="1">
      <alignment horizontal="justify" vertical="center" wrapText="1"/>
    </xf>
    <xf numFmtId="43" fontId="117" fillId="0" borderId="24" xfId="0" applyNumberFormat="1" applyFont="1" applyBorder="1" applyAlignment="1">
      <alignment horizontal="right" vertical="center" wrapText="1"/>
    </xf>
    <xf numFmtId="43" fontId="118" fillId="0" borderId="24" xfId="0" applyNumberFormat="1" applyFont="1" applyBorder="1" applyAlignment="1">
      <alignment horizontal="right" vertical="center" wrapText="1"/>
    </xf>
    <xf numFmtId="43" fontId="118" fillId="0" borderId="7" xfId="0" applyNumberFormat="1" applyFont="1" applyBorder="1" applyAlignment="1">
      <alignment horizontal="center" vertical="center" wrapText="1"/>
    </xf>
    <xf numFmtId="43" fontId="89" fillId="0" borderId="0" xfId="0" applyNumberFormat="1" applyFont="1">
      <alignment vertical="center"/>
    </xf>
    <xf numFmtId="43" fontId="119" fillId="0" borderId="7" xfId="0" applyNumberFormat="1" applyFont="1" applyBorder="1" applyAlignment="1">
      <alignment horizontal="center" vertical="center" wrapText="1"/>
    </xf>
    <xf numFmtId="43" fontId="118" fillId="0" borderId="9" xfId="0" applyNumberFormat="1" applyFont="1" applyBorder="1" applyAlignment="1">
      <alignment horizontal="center" vertical="center" wrapText="1"/>
    </xf>
    <xf numFmtId="43" fontId="117" fillId="0" borderId="9" xfId="0" applyNumberFormat="1" applyFont="1" applyBorder="1">
      <alignment vertical="center"/>
    </xf>
    <xf numFmtId="43" fontId="118" fillId="0" borderId="9" xfId="0" applyNumberFormat="1" applyFont="1" applyBorder="1">
      <alignment vertical="center"/>
    </xf>
    <xf numFmtId="43" fontId="118" fillId="0" borderId="24" xfId="0" applyNumberFormat="1" applyFont="1" applyBorder="1" applyAlignment="1">
      <alignment horizontal="center" vertical="center" wrapText="1"/>
    </xf>
    <xf numFmtId="43" fontId="117" fillId="0" borderId="24" xfId="0" applyNumberFormat="1" applyFont="1" applyBorder="1">
      <alignment vertical="center"/>
    </xf>
    <xf numFmtId="43" fontId="118" fillId="0" borderId="24" xfId="0" applyNumberFormat="1" applyFont="1" applyBorder="1">
      <alignment vertical="center"/>
    </xf>
    <xf numFmtId="0" fontId="119" fillId="0" borderId="7" xfId="0" applyFont="1" applyBorder="1" applyAlignment="1">
      <alignment horizontal="right" vertical="center" wrapText="1"/>
    </xf>
    <xf numFmtId="0" fontId="121" fillId="0" borderId="7" xfId="0" applyFont="1" applyBorder="1" applyAlignment="1">
      <alignment horizontal="justify" vertical="center" wrapText="1"/>
    </xf>
    <xf numFmtId="0" fontId="121" fillId="0" borderId="7" xfId="0" applyFont="1" applyBorder="1" applyAlignment="1">
      <alignment horizontal="right" vertical="center" wrapText="1"/>
    </xf>
    <xf numFmtId="43" fontId="122" fillId="0" borderId="7" xfId="0" applyNumberFormat="1" applyFont="1" applyBorder="1" applyAlignment="1">
      <alignment horizontal="right" vertical="center" wrapText="1"/>
    </xf>
    <xf numFmtId="43" fontId="54" fillId="38" borderId="1" xfId="194" applyFont="1" applyFill="1" applyBorder="1" applyAlignment="1">
      <alignment horizontal="right" vertical="center"/>
    </xf>
    <xf numFmtId="43" fontId="54" fillId="38" borderId="1" xfId="194" applyFont="1" applyFill="1" applyBorder="1" applyAlignment="1" applyProtection="1">
      <alignment horizontal="right" vertical="center"/>
    </xf>
    <xf numFmtId="43" fontId="54" fillId="38" borderId="1" xfId="388" applyFont="1" applyFill="1" applyBorder="1" applyAlignment="1" applyProtection="1">
      <alignment horizontal="right" vertical="center"/>
    </xf>
    <xf numFmtId="43" fontId="5" fillId="38" borderId="1" xfId="194" applyFont="1" applyFill="1" applyBorder="1" applyAlignment="1">
      <alignment horizontal="right" vertical="center" wrapText="1"/>
    </xf>
    <xf numFmtId="10" fontId="5" fillId="38" borderId="1" xfId="159" applyNumberFormat="1" applyFont="1" applyFill="1" applyBorder="1" applyAlignment="1">
      <alignment horizontal="right" vertical="center" wrapText="1"/>
    </xf>
    <xf numFmtId="0" fontId="57" fillId="38" borderId="1" xfId="279" applyFont="1" applyFill="1" applyBorder="1" applyAlignment="1" applyProtection="1">
      <alignment horizontal="center" vertical="center"/>
    </xf>
    <xf numFmtId="10" fontId="93" fillId="38" borderId="0" xfId="159" applyNumberFormat="1" applyFont="1" applyFill="1" applyBorder="1" applyAlignment="1">
      <alignment horizontal="center" vertical="center"/>
    </xf>
    <xf numFmtId="43" fontId="123" fillId="38" borderId="1" xfId="194" applyFont="1" applyFill="1" applyBorder="1" applyAlignment="1" applyProtection="1">
      <alignment horizontal="right" vertical="center"/>
    </xf>
    <xf numFmtId="0" fontId="110" fillId="38" borderId="10" xfId="279" applyFont="1" applyFill="1" applyBorder="1" applyAlignment="1" applyProtection="1">
      <alignment horizontal="center" vertical="center" wrapText="1"/>
    </xf>
    <xf numFmtId="0" fontId="121" fillId="39" borderId="7" xfId="0" applyFont="1" applyFill="1" applyBorder="1" applyAlignment="1">
      <alignment horizontal="left" vertical="center" wrapText="1"/>
    </xf>
    <xf numFmtId="0" fontId="121" fillId="39" borderId="7" xfId="0" applyFont="1" applyFill="1" applyBorder="1" applyAlignment="1">
      <alignment horizontal="right" vertical="center" wrapText="1"/>
    </xf>
    <xf numFmtId="0" fontId="7" fillId="39" borderId="0" xfId="162" applyFont="1" applyFill="1">
      <protection locked="0"/>
    </xf>
    <xf numFmtId="0" fontId="127" fillId="39" borderId="0" xfId="0" applyFont="1" applyFill="1" applyAlignment="1">
      <alignment horizontal="justify" vertical="center" wrapText="1"/>
    </xf>
    <xf numFmtId="0" fontId="127" fillId="39" borderId="0" xfId="0" applyFont="1" applyFill="1" applyAlignment="1">
      <alignment horizontal="right" vertical="center" wrapText="1"/>
    </xf>
    <xf numFmtId="0" fontId="62" fillId="39" borderId="0" xfId="0" applyFont="1" applyFill="1" applyAlignment="1">
      <alignment horizontal="justify" vertical="center" wrapText="1"/>
    </xf>
    <xf numFmtId="0" fontId="127" fillId="39" borderId="9" xfId="0" applyFont="1" applyFill="1" applyBorder="1" applyAlignment="1">
      <alignment horizontal="justify" vertical="center" wrapText="1"/>
    </xf>
    <xf numFmtId="0" fontId="127" fillId="39" borderId="9" xfId="0" applyFont="1" applyFill="1" applyBorder="1" applyAlignment="1">
      <alignment horizontal="right" vertical="center" wrapText="1"/>
    </xf>
    <xf numFmtId="43" fontId="70" fillId="38" borderId="1" xfId="194" applyFont="1" applyFill="1" applyBorder="1" applyAlignment="1" applyProtection="1">
      <alignment horizontal="right" vertical="center"/>
    </xf>
    <xf numFmtId="10" fontId="4" fillId="38" borderId="1" xfId="159" applyNumberFormat="1" applyFont="1" applyFill="1" applyBorder="1" applyAlignment="1">
      <alignment horizontal="right" vertical="center" wrapText="1"/>
    </xf>
    <xf numFmtId="43" fontId="70" fillId="38" borderId="1" xfId="194" applyFont="1" applyFill="1" applyBorder="1" applyAlignment="1">
      <alignment vertical="center" wrapText="1"/>
    </xf>
    <xf numFmtId="0" fontId="4" fillId="38" borderId="1" xfId="331" applyFont="1" applyFill="1" applyBorder="1">
      <protection locked="0"/>
    </xf>
    <xf numFmtId="0" fontId="2" fillId="10" borderId="1" xfId="358" applyFont="1" applyFill="1" applyBorder="1" applyAlignment="1">
      <alignment horizontal="center" vertical="center"/>
      <protection locked="0"/>
    </xf>
    <xf numFmtId="0" fontId="2" fillId="10" borderId="1" xfId="358" applyFont="1" applyFill="1" applyBorder="1" applyAlignment="1">
      <alignment horizontal="center" vertical="center" wrapText="1"/>
      <protection locked="0"/>
    </xf>
    <xf numFmtId="0" fontId="0" fillId="0" borderId="0" xfId="0" applyAlignment="1" applyProtection="1">
      <protection locked="0"/>
    </xf>
    <xf numFmtId="0" fontId="8" fillId="0" borderId="0" xfId="0" applyFont="1" applyAlignment="1" applyProtection="1">
      <protection locked="0"/>
    </xf>
    <xf numFmtId="0" fontId="8" fillId="0" borderId="0" xfId="0" applyFont="1" applyAlignment="1" applyProtection="1">
      <alignment horizontal="center"/>
      <protection locked="0"/>
    </xf>
    <xf numFmtId="43" fontId="5" fillId="0" borderId="1" xfId="180" applyFont="1" applyBorder="1" applyAlignment="1" applyProtection="1">
      <protection locked="0"/>
    </xf>
    <xf numFmtId="49" fontId="5" fillId="0" borderId="1" xfId="338" applyNumberFormat="1" applyFont="1" applyBorder="1" applyAlignment="1">
      <alignment horizontal="center" vertical="center"/>
    </xf>
    <xf numFmtId="0" fontId="68" fillId="0" borderId="1" xfId="266" applyFont="1" applyBorder="1" applyAlignment="1">
      <alignment vertical="center" wrapText="1"/>
    </xf>
    <xf numFmtId="0" fontId="68" fillId="0" borderId="1" xfId="266" applyFont="1" applyBorder="1" applyAlignment="1">
      <alignment horizontal="center" vertical="center" wrapText="1"/>
    </xf>
    <xf numFmtId="0" fontId="65" fillId="0" borderId="1" xfId="266" applyFont="1" applyBorder="1" applyAlignment="1">
      <alignment horizontal="center" vertical="center" wrapText="1"/>
    </xf>
    <xf numFmtId="0" fontId="67" fillId="0" borderId="1" xfId="266" applyFont="1" applyBorder="1" applyAlignment="1">
      <alignment horizontal="center" vertical="center" wrapText="1"/>
    </xf>
    <xf numFmtId="0" fontId="8" fillId="0" borderId="1" xfId="0" applyFont="1" applyBorder="1" applyAlignment="1">
      <alignment vertical="center" wrapText="1"/>
    </xf>
    <xf numFmtId="0" fontId="68" fillId="0" borderId="1" xfId="0" applyFont="1" applyBorder="1" applyAlignment="1">
      <alignment horizontal="center" vertical="center" wrapText="1"/>
    </xf>
    <xf numFmtId="0" fontId="8" fillId="0" borderId="0" xfId="2" applyFont="1" applyAlignment="1">
      <alignment horizontal="left" vertical="center"/>
    </xf>
    <xf numFmtId="0" fontId="8" fillId="0" borderId="0" xfId="2" applyFont="1">
      <alignment vertical="center"/>
    </xf>
    <xf numFmtId="0" fontId="130" fillId="0" borderId="0" xfId="164" applyFont="1" applyAlignment="1">
      <alignment vertical="center"/>
      <protection locked="0"/>
    </xf>
    <xf numFmtId="0" fontId="131" fillId="0" borderId="0" xfId="0" applyFont="1">
      <alignment vertical="center"/>
    </xf>
    <xf numFmtId="0" fontId="8" fillId="0" borderId="0" xfId="191" applyFont="1" applyAlignment="1">
      <alignment horizontal="left" vertical="center"/>
    </xf>
    <xf numFmtId="0" fontId="130" fillId="0" borderId="0" xfId="191" applyFont="1" applyAlignment="1">
      <alignment horizontal="left" vertical="center"/>
    </xf>
    <xf numFmtId="0" fontId="57" fillId="10" borderId="1" xfId="335" applyFont="1" applyFill="1" applyBorder="1" applyAlignment="1" applyProtection="1">
      <alignment horizontal="center" vertical="center" wrapText="1"/>
    </xf>
    <xf numFmtId="0" fontId="55" fillId="0" borderId="1" xfId="335" applyFont="1" applyBorder="1" applyAlignment="1" applyProtection="1">
      <alignment vertical="center"/>
    </xf>
    <xf numFmtId="0" fontId="1" fillId="0" borderId="0" xfId="335">
      <protection locked="0"/>
    </xf>
    <xf numFmtId="43" fontId="70" fillId="38" borderId="1" xfId="194" applyFont="1" applyFill="1" applyBorder="1" applyAlignment="1">
      <alignment horizontal="right" vertical="center"/>
    </xf>
    <xf numFmtId="0" fontId="132" fillId="0" borderId="0" xfId="358" applyFont="1">
      <protection locked="0"/>
    </xf>
    <xf numFmtId="43" fontId="132" fillId="0" borderId="0" xfId="3" applyNumberFormat="1" applyFont="1" applyBorder="1" applyAlignment="1">
      <alignment vertical="center"/>
    </xf>
    <xf numFmtId="203" fontId="132" fillId="0" borderId="0" xfId="336" applyFont="1">
      <alignment vertical="center"/>
    </xf>
    <xf numFmtId="0" fontId="132" fillId="0" borderId="0" xfId="1" applyFont="1">
      <alignment vertical="center"/>
    </xf>
    <xf numFmtId="0" fontId="133" fillId="0" borderId="0" xfId="1" applyFont="1">
      <alignment vertical="center"/>
    </xf>
    <xf numFmtId="0" fontId="134" fillId="0" borderId="0" xfId="0" applyFont="1">
      <alignment vertical="center"/>
    </xf>
    <xf numFmtId="0" fontId="133" fillId="0" borderId="0" xfId="162" applyFont="1" applyAlignment="1">
      <alignment vertical="center"/>
      <protection locked="0"/>
    </xf>
    <xf numFmtId="203" fontId="136" fillId="0" borderId="0" xfId="336" applyFont="1">
      <alignment vertical="center"/>
    </xf>
    <xf numFmtId="0" fontId="136" fillId="0" borderId="0" xfId="1" applyFont="1">
      <alignment vertical="center"/>
    </xf>
    <xf numFmtId="0" fontId="135" fillId="0" borderId="0" xfId="1" applyFont="1">
      <alignment vertical="center"/>
    </xf>
    <xf numFmtId="0" fontId="137" fillId="0" borderId="0" xfId="0" applyFont="1">
      <alignment vertical="center"/>
    </xf>
    <xf numFmtId="0" fontId="136" fillId="0" borderId="0" xfId="358" applyFont="1">
      <protection locked="0"/>
    </xf>
    <xf numFmtId="0" fontId="135" fillId="0" borderId="0" xfId="162" applyFont="1" applyAlignment="1">
      <alignment vertical="center"/>
      <protection locked="0"/>
    </xf>
    <xf numFmtId="43" fontId="136" fillId="0" borderId="0" xfId="3" applyNumberFormat="1" applyFont="1" applyBorder="1" applyAlignment="1">
      <alignment vertical="center"/>
    </xf>
    <xf numFmtId="14" fontId="5" fillId="0" borderId="1" xfId="0" applyNumberFormat="1"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0" xfId="0" applyFont="1" applyProtection="1">
      <alignment vertical="center"/>
      <protection locked="0"/>
    </xf>
    <xf numFmtId="0" fontId="5" fillId="0" borderId="1" xfId="0" applyFont="1" applyBorder="1" applyAlignment="1" applyProtection="1">
      <protection locked="0"/>
    </xf>
    <xf numFmtId="0" fontId="5" fillId="0" borderId="0" xfId="0" applyFont="1" applyAlignment="1" applyProtection="1">
      <protection locked="0"/>
    </xf>
    <xf numFmtId="14" fontId="5" fillId="0" borderId="1" xfId="0" applyNumberFormat="1" applyFont="1" applyBorder="1" applyAlignment="1" applyProtection="1">
      <alignment horizontal="center"/>
      <protection locked="0"/>
    </xf>
    <xf numFmtId="14" fontId="5" fillId="0" borderId="1" xfId="0" applyNumberFormat="1" applyFont="1" applyBorder="1" applyAlignment="1" applyProtection="1">
      <protection locked="0"/>
    </xf>
    <xf numFmtId="43" fontId="5" fillId="0" borderId="1" xfId="0" applyNumberFormat="1" applyFont="1" applyBorder="1" applyProtection="1">
      <alignment vertical="center"/>
      <protection locked="0"/>
    </xf>
    <xf numFmtId="43" fontId="5" fillId="0" borderId="1" xfId="0" applyNumberFormat="1" applyFont="1" applyBorder="1" applyAlignment="1" applyProtection="1">
      <protection locked="0"/>
    </xf>
    <xf numFmtId="0" fontId="13" fillId="0" borderId="0" xfId="162" applyFont="1" applyAlignment="1">
      <alignment vertical="center"/>
      <protection locked="0"/>
    </xf>
    <xf numFmtId="0" fontId="13" fillId="0" borderId="0" xfId="162" applyFont="1" applyAlignment="1">
      <alignment horizontal="justify" wrapText="1"/>
      <protection locked="0"/>
    </xf>
    <xf numFmtId="0" fontId="8" fillId="0" borderId="0" xfId="162" applyFont="1" applyAlignment="1">
      <alignment horizontal="justify" wrapText="1"/>
      <protection locked="0"/>
    </xf>
    <xf numFmtId="0" fontId="8" fillId="0" borderId="0" xfId="162" applyFont="1">
      <protection locked="0"/>
    </xf>
    <xf numFmtId="0" fontId="8" fillId="0" borderId="0" xfId="162" applyFont="1" applyAlignment="1">
      <alignment horizontal="justify" vertical="top" wrapText="1"/>
      <protection locked="0"/>
    </xf>
    <xf numFmtId="0" fontId="14" fillId="0" borderId="0" xfId="162" applyFont="1" applyAlignment="1">
      <alignment horizontal="justify" wrapText="1"/>
      <protection locked="0"/>
    </xf>
    <xf numFmtId="203" fontId="129" fillId="0" borderId="0" xfId="337" applyFont="1">
      <alignment vertical="center"/>
      <protection locked="0"/>
    </xf>
    <xf numFmtId="203" fontId="129" fillId="0" borderId="0" xfId="337" applyFont="1" applyAlignment="1">
      <alignment horizontal="left" vertical="center"/>
      <protection locked="0"/>
    </xf>
    <xf numFmtId="0" fontId="130" fillId="0" borderId="0" xfId="162" applyFont="1" applyAlignment="1">
      <alignment horizontal="left" vertical="center"/>
      <protection locked="0"/>
    </xf>
    <xf numFmtId="0" fontId="131" fillId="0" borderId="0" xfId="162" applyFont="1" applyAlignment="1">
      <alignment horizontal="center" vertical="center"/>
      <protection locked="0"/>
    </xf>
    <xf numFmtId="0" fontId="8" fillId="0" borderId="0" xfId="191" applyFont="1" applyAlignment="1">
      <alignment horizontal="left" vertical="center" wrapText="1"/>
    </xf>
    <xf numFmtId="0" fontId="129" fillId="0" borderId="0" xfId="162" applyFont="1" applyAlignment="1">
      <alignment vertical="center"/>
      <protection locked="0"/>
    </xf>
    <xf numFmtId="0" fontId="129" fillId="0" borderId="0" xfId="190" applyFont="1" applyAlignment="1">
      <alignment vertical="center"/>
    </xf>
    <xf numFmtId="0" fontId="129" fillId="0" borderId="0" xfId="162" applyFont="1" applyAlignment="1">
      <alignment horizontal="left" vertical="center"/>
      <protection locked="0"/>
    </xf>
    <xf numFmtId="14" fontId="129" fillId="0" borderId="0" xfId="162" applyNumberFormat="1" applyFont="1" applyAlignment="1">
      <alignment horizontal="left" vertical="center"/>
      <protection locked="0"/>
    </xf>
    <xf numFmtId="14" fontId="129" fillId="0" borderId="0" xfId="162" applyNumberFormat="1" applyFont="1" applyAlignment="1">
      <alignment vertical="center"/>
      <protection locked="0"/>
    </xf>
    <xf numFmtId="0" fontId="129" fillId="0" borderId="0" xfId="2" applyFont="1" applyAlignment="1">
      <alignment horizontal="left" vertical="center"/>
    </xf>
    <xf numFmtId="0" fontId="139" fillId="0" borderId="0" xfId="0" applyFont="1">
      <alignment vertical="center"/>
    </xf>
    <xf numFmtId="0" fontId="129" fillId="0" borderId="0" xfId="2" applyFont="1" applyAlignment="1">
      <alignment horizontal="justify" vertical="center" wrapText="1"/>
    </xf>
    <xf numFmtId="0" fontId="129" fillId="0" borderId="0" xfId="2" applyFont="1">
      <alignment vertical="center"/>
    </xf>
    <xf numFmtId="14" fontId="129" fillId="0" borderId="0" xfId="2" applyNumberFormat="1" applyFont="1" applyAlignment="1">
      <alignment horizontal="justify" vertical="center" wrapText="1"/>
    </xf>
    <xf numFmtId="0" fontId="129" fillId="0" borderId="0" xfId="2" applyFont="1" applyAlignment="1">
      <alignment horizontal="right" vertical="center" wrapText="1"/>
    </xf>
    <xf numFmtId="0" fontId="129" fillId="0" borderId="0" xfId="164" applyFont="1" applyAlignment="1">
      <alignment vertical="center"/>
      <protection locked="0"/>
    </xf>
    <xf numFmtId="0" fontId="129" fillId="0" borderId="0" xfId="162" applyFont="1" applyAlignment="1">
      <alignment horizontal="right" vertical="center"/>
      <protection locked="0"/>
    </xf>
    <xf numFmtId="0" fontId="129" fillId="0" borderId="0" xfId="162" applyFont="1" applyAlignment="1">
      <alignment horizontal="center" vertical="center"/>
      <protection locked="0"/>
    </xf>
    <xf numFmtId="43" fontId="129" fillId="0" borderId="0" xfId="3" applyNumberFormat="1" applyFont="1" applyBorder="1" applyAlignment="1">
      <alignment vertical="center"/>
    </xf>
    <xf numFmtId="43" fontId="129" fillId="0" borderId="0" xfId="3" applyNumberFormat="1" applyFont="1" applyBorder="1" applyAlignment="1">
      <alignment horizontal="left" vertical="center"/>
    </xf>
    <xf numFmtId="49" fontId="129" fillId="0" borderId="0" xfId="3" applyNumberFormat="1" applyFont="1" applyBorder="1" applyAlignment="1">
      <alignment vertical="center"/>
    </xf>
    <xf numFmtId="0" fontId="8" fillId="0" borderId="0" xfId="191" applyFont="1" applyAlignment="1">
      <alignment horizontal="left" vertical="center" wrapText="1"/>
    </xf>
    <xf numFmtId="203" fontId="13" fillId="0" borderId="0" xfId="338" applyFont="1" applyBorder="1">
      <alignment vertical="center"/>
    </xf>
    <xf numFmtId="49" fontId="2" fillId="0" borderId="0" xfId="266" applyNumberFormat="1" applyFont="1" applyBorder="1" applyAlignment="1" applyProtection="1">
      <alignment horizontal="left" vertical="center"/>
      <protection locked="0"/>
    </xf>
    <xf numFmtId="203" fontId="31" fillId="0" borderId="0" xfId="337" applyFont="1" applyBorder="1" applyAlignment="1">
      <alignment horizontal="left" vertical="center"/>
      <protection locked="0"/>
    </xf>
    <xf numFmtId="203" fontId="31" fillId="0" borderId="0" xfId="337" applyFont="1" applyBorder="1" applyAlignment="1">
      <alignment horizontal="justify" vertical="center"/>
      <protection locked="0"/>
    </xf>
    <xf numFmtId="203" fontId="13" fillId="0" borderId="0" xfId="337" applyFont="1" applyBorder="1">
      <alignment vertical="center"/>
      <protection locked="0"/>
    </xf>
    <xf numFmtId="203" fontId="13" fillId="0" borderId="0" xfId="337" applyFont="1" applyBorder="1" applyAlignment="1">
      <alignment horizontal="center" vertical="center" wrapText="1"/>
      <protection locked="0"/>
    </xf>
    <xf numFmtId="203" fontId="13" fillId="0" borderId="0" xfId="337" applyFont="1" applyBorder="1" applyAlignment="1">
      <alignment horizontal="left" vertical="center" wrapText="1"/>
      <protection locked="0"/>
    </xf>
    <xf numFmtId="0" fontId="5" fillId="0" borderId="1" xfId="266" applyFont="1" applyBorder="1" applyAlignment="1">
      <alignment horizontal="center" vertical="center" wrapText="1"/>
    </xf>
    <xf numFmtId="0" fontId="5" fillId="0" borderId="1" xfId="194" applyNumberFormat="1" applyFont="1" applyFill="1" applyBorder="1" applyAlignment="1">
      <alignment horizontal="right" vertical="center" wrapText="1"/>
    </xf>
    <xf numFmtId="0" fontId="129" fillId="0" borderId="0" xfId="162" applyFont="1" applyAlignment="1">
      <alignment horizontal="left" vertical="center" wrapText="1"/>
      <protection locked="0"/>
    </xf>
    <xf numFmtId="0" fontId="129" fillId="0" borderId="0" xfId="2" applyFont="1" applyAlignment="1">
      <alignment horizontal="left" vertical="center" wrapText="1"/>
    </xf>
    <xf numFmtId="10" fontId="5" fillId="0" borderId="1" xfId="279" quotePrefix="1" applyNumberFormat="1" applyFont="1" applyBorder="1" applyAlignment="1" applyProtection="1">
      <alignment horizontal="center" vertical="center" shrinkToFit="1"/>
    </xf>
    <xf numFmtId="43" fontId="5" fillId="0" borderId="1" xfId="279" applyNumberFormat="1" applyFont="1" applyBorder="1" applyAlignment="1" applyProtection="1">
      <alignment horizontal="right" vertical="center" shrinkToFit="1"/>
    </xf>
    <xf numFmtId="0" fontId="2" fillId="38" borderId="10" xfId="279" applyFont="1" applyFill="1" applyBorder="1" applyAlignment="1" applyProtection="1">
      <alignment horizontal="center" vertical="center" wrapText="1"/>
    </xf>
    <xf numFmtId="0" fontId="5" fillId="0" borderId="1" xfId="279" quotePrefix="1" applyNumberFormat="1" applyFont="1" applyBorder="1" applyAlignment="1" applyProtection="1">
      <alignment horizontal="left" vertical="center" shrinkToFit="1"/>
    </xf>
    <xf numFmtId="0" fontId="5" fillId="0" borderId="1" xfId="279" applyNumberFormat="1" applyFont="1" applyBorder="1" applyAlignment="1" applyProtection="1">
      <alignment horizontal="center" vertical="center" wrapText="1"/>
    </xf>
    <xf numFmtId="0" fontId="64" fillId="0" borderId="1" xfId="279" applyNumberFormat="1" applyFont="1" applyBorder="1" applyAlignment="1" applyProtection="1">
      <alignment vertical="center" wrapText="1" shrinkToFit="1"/>
    </xf>
    <xf numFmtId="0" fontId="5" fillId="0" borderId="1" xfId="331" applyNumberFormat="1" applyFont="1" applyBorder="1">
      <protection locked="0"/>
    </xf>
    <xf numFmtId="0" fontId="5" fillId="0" borderId="1" xfId="279" applyNumberFormat="1" applyFont="1" applyBorder="1" applyAlignment="1" applyProtection="1">
      <alignment vertical="center" wrapText="1" shrinkToFit="1"/>
    </xf>
    <xf numFmtId="0" fontId="4" fillId="0" borderId="1" xfId="331" applyNumberFormat="1" applyFont="1" applyBorder="1">
      <protection locked="0"/>
    </xf>
    <xf numFmtId="0" fontId="129" fillId="0" borderId="0" xfId="358" applyFont="1" applyAlignment="1">
      <alignment vertical="center"/>
      <protection locked="0"/>
    </xf>
    <xf numFmtId="14" fontId="5" fillId="0" borderId="1" xfId="279" quotePrefix="1" applyNumberFormat="1" applyFont="1" applyBorder="1" applyAlignment="1" applyProtection="1">
      <alignment horizontal="left" vertical="center" shrinkToFit="1"/>
    </xf>
    <xf numFmtId="43" fontId="5" fillId="0" borderId="1" xfId="279" applyNumberFormat="1" applyFont="1" applyBorder="1" applyAlignment="1" applyProtection="1">
      <alignment horizontal="center" vertical="center" wrapText="1" shrinkToFit="1"/>
    </xf>
    <xf numFmtId="43" fontId="5" fillId="0" borderId="1" xfId="279" applyNumberFormat="1" applyFont="1" applyBorder="1" applyAlignment="1" applyProtection="1">
      <alignment horizontal="center" vertical="center" shrinkToFit="1"/>
    </xf>
    <xf numFmtId="0" fontId="4" fillId="38" borderId="10" xfId="279" applyFont="1" applyFill="1" applyBorder="1" applyAlignment="1" applyProtection="1">
      <alignment horizontal="center" vertical="center" wrapText="1"/>
    </xf>
    <xf numFmtId="0" fontId="5" fillId="0" borderId="1" xfId="279" applyNumberFormat="1" applyFont="1" applyBorder="1" applyAlignment="1" applyProtection="1">
      <alignment horizontal="center" vertical="center" shrinkToFit="1"/>
    </xf>
    <xf numFmtId="0" fontId="54" fillId="0" borderId="1" xfId="194" applyNumberFormat="1" applyFont="1" applyFill="1" applyBorder="1" applyAlignment="1">
      <alignment horizontal="right" vertical="center"/>
    </xf>
    <xf numFmtId="0" fontId="5" fillId="0" borderId="0" xfId="331" applyNumberFormat="1" applyFont="1">
      <protection locked="0"/>
    </xf>
    <xf numFmtId="0" fontId="5" fillId="0" borderId="1" xfId="279" applyNumberFormat="1" applyFont="1" applyBorder="1" applyAlignment="1" applyProtection="1">
      <alignment vertical="center" wrapText="1"/>
    </xf>
    <xf numFmtId="0" fontId="5" fillId="0" borderId="1" xfId="279" applyNumberFormat="1" applyFont="1" applyBorder="1" applyAlignment="1" applyProtection="1">
      <alignment horizontal="center" vertical="center" wrapText="1" shrinkToFit="1"/>
    </xf>
    <xf numFmtId="0" fontId="5" fillId="0" borderId="1" xfId="2" applyNumberFormat="1" applyFont="1" applyBorder="1" applyAlignment="1">
      <alignment horizontal="left" vertical="center"/>
    </xf>
    <xf numFmtId="0" fontId="68" fillId="0" borderId="1" xfId="0" applyNumberFormat="1" applyFont="1" applyBorder="1" applyAlignment="1">
      <alignment horizontal="center" vertical="center"/>
    </xf>
    <xf numFmtId="0" fontId="65" fillId="0" borderId="1" xfId="0" applyNumberFormat="1" applyFont="1" applyBorder="1">
      <alignment vertical="center"/>
    </xf>
    <xf numFmtId="0" fontId="65" fillId="0" borderId="1" xfId="0" applyNumberFormat="1" applyFont="1" applyBorder="1" applyAlignment="1">
      <alignment horizontal="center" vertical="center"/>
    </xf>
    <xf numFmtId="0" fontId="4" fillId="10" borderId="1" xfId="362" applyNumberFormat="1" applyFont="1" applyFill="1" applyBorder="1" applyAlignment="1">
      <alignment horizontal="center" vertical="center"/>
      <protection locked="0"/>
    </xf>
    <xf numFmtId="49" fontId="64" fillId="0" borderId="1" xfId="392" applyNumberFormat="1" applyFont="1" applyBorder="1" applyAlignment="1">
      <alignment horizontal="left" vertical="center"/>
      <protection locked="0"/>
    </xf>
    <xf numFmtId="203" fontId="5" fillId="0" borderId="1" xfId="362" applyFont="1" applyBorder="1" applyAlignment="1">
      <alignment horizontal="center" vertical="center"/>
      <protection locked="0"/>
    </xf>
    <xf numFmtId="49" fontId="5" fillId="0" borderId="1" xfId="392" applyNumberFormat="1" applyFont="1" applyBorder="1" applyAlignment="1">
      <alignment horizontal="center" vertical="center"/>
      <protection locked="0"/>
    </xf>
    <xf numFmtId="0" fontId="5" fillId="0" borderId="0" xfId="0" applyFont="1" applyAlignment="1" applyProtection="1">
      <alignment vertical="center"/>
      <protection locked="0"/>
    </xf>
    <xf numFmtId="203" fontId="4" fillId="0" borderId="25" xfId="393" applyFont="1" applyBorder="1" applyAlignment="1">
      <alignment vertical="center"/>
    </xf>
    <xf numFmtId="49" fontId="5" fillId="0" borderId="1" xfId="0" applyNumberFormat="1" applyFont="1" applyBorder="1" applyAlignment="1" applyProtection="1">
      <alignment horizontal="center" vertical="center"/>
      <protection locked="0"/>
    </xf>
    <xf numFmtId="49" fontId="5" fillId="0" borderId="1" xfId="0" applyNumberFormat="1" applyFont="1" applyBorder="1" applyAlignment="1" applyProtection="1">
      <protection locked="0"/>
    </xf>
    <xf numFmtId="0" fontId="5" fillId="0" borderId="1" xfId="0" applyNumberFormat="1" applyFont="1" applyBorder="1" applyProtection="1">
      <alignment vertical="center"/>
      <protection locked="0"/>
    </xf>
    <xf numFmtId="0" fontId="5" fillId="0" borderId="1" xfId="0" applyNumberFormat="1" applyFont="1" applyBorder="1" applyAlignment="1" applyProtection="1">
      <alignment horizontal="center" vertical="center"/>
      <protection locked="0"/>
    </xf>
    <xf numFmtId="0" fontId="5" fillId="0" borderId="1" xfId="392" applyNumberFormat="1" applyFont="1" applyBorder="1" applyAlignment="1">
      <alignment vertical="center"/>
      <protection locked="0"/>
    </xf>
    <xf numFmtId="0" fontId="5" fillId="0" borderId="1" xfId="0" applyNumberFormat="1" applyFont="1" applyBorder="1" applyAlignment="1" applyProtection="1">
      <protection locked="0"/>
    </xf>
    <xf numFmtId="0" fontId="4" fillId="0" borderId="0" xfId="162" applyFont="1" applyAlignment="1">
      <alignment horizontal="center" vertical="center"/>
      <protection locked="0"/>
    </xf>
    <xf numFmtId="0" fontId="5" fillId="0" borderId="6" xfId="162" applyFont="1" applyBorder="1" applyAlignment="1">
      <alignment horizontal="center" vertical="center" wrapText="1"/>
      <protection locked="0"/>
    </xf>
    <xf numFmtId="0" fontId="141" fillId="0" borderId="6" xfId="192" applyFont="1" applyBorder="1" applyAlignment="1">
      <alignment vertical="center"/>
      <protection locked="0"/>
    </xf>
    <xf numFmtId="0" fontId="141" fillId="0" borderId="6" xfId="192" quotePrefix="1" applyFont="1" applyBorder="1" applyAlignment="1">
      <alignment vertical="center"/>
      <protection locked="0"/>
    </xf>
    <xf numFmtId="0" fontId="5" fillId="0" borderId="6" xfId="162" applyFont="1" applyBorder="1" applyAlignment="1">
      <alignment horizontal="center" vertical="center"/>
      <protection locked="0"/>
    </xf>
    <xf numFmtId="0" fontId="5" fillId="10" borderId="0" xfId="0" applyFont="1" applyFill="1" applyBorder="1" applyAlignment="1" applyProtection="1">
      <alignment vertical="center"/>
      <protection locked="0"/>
    </xf>
    <xf numFmtId="203" fontId="1" fillId="0" borderId="0" xfId="392">
      <protection locked="0"/>
    </xf>
    <xf numFmtId="49" fontId="5" fillId="0" borderId="1" xfId="392" applyNumberFormat="1" applyFont="1" applyBorder="1" applyAlignment="1">
      <alignment vertical="center"/>
      <protection locked="0"/>
    </xf>
    <xf numFmtId="203" fontId="2" fillId="10" borderId="1" xfId="392" applyFont="1" applyFill="1" applyBorder="1" applyAlignment="1">
      <alignment vertical="center"/>
      <protection locked="0"/>
    </xf>
    <xf numFmtId="43" fontId="4" fillId="10" borderId="1" xfId="395" applyFont="1" applyFill="1" applyBorder="1" applyAlignment="1" applyProtection="1">
      <alignment vertical="center"/>
      <protection locked="0"/>
    </xf>
    <xf numFmtId="0" fontId="142" fillId="0" borderId="0" xfId="162" applyFont="1" applyAlignment="1">
      <alignment vertical="center"/>
      <protection locked="0"/>
    </xf>
    <xf numFmtId="0" fontId="8" fillId="0" borderId="1" xfId="0" applyFont="1" applyBorder="1" applyProtection="1">
      <alignment vertical="center"/>
      <protection locked="0"/>
    </xf>
    <xf numFmtId="0" fontId="68" fillId="0" borderId="1" xfId="377" applyFont="1" applyFill="1" applyBorder="1" applyAlignment="1">
      <alignment vertical="center" wrapText="1"/>
    </xf>
    <xf numFmtId="0" fontId="68" fillId="0" borderId="1" xfId="375" applyFont="1" applyFill="1" applyBorder="1" applyAlignment="1">
      <alignment horizontal="center" vertical="center" wrapText="1"/>
    </xf>
    <xf numFmtId="0" fontId="65" fillId="0" borderId="1" xfId="375" applyFont="1" applyFill="1" applyBorder="1" applyAlignment="1">
      <alignment horizontal="center" vertical="center" wrapText="1"/>
    </xf>
    <xf numFmtId="0" fontId="67" fillId="0" borderId="1" xfId="375" applyFont="1" applyFill="1" applyBorder="1" applyAlignment="1">
      <alignment horizontal="center" vertical="center" wrapText="1"/>
    </xf>
    <xf numFmtId="203" fontId="13" fillId="0" borderId="1" xfId="337" applyFont="1" applyFill="1" applyBorder="1" applyAlignment="1">
      <alignment horizontal="center" vertical="center" wrapText="1"/>
      <protection locked="0"/>
    </xf>
    <xf numFmtId="0" fontId="140" fillId="0" borderId="1" xfId="266" applyFont="1" applyBorder="1" applyAlignment="1">
      <alignment horizontal="center" vertical="center" wrapText="1"/>
    </xf>
    <xf numFmtId="0" fontId="5" fillId="0" borderId="1" xfId="0" applyFont="1" applyFill="1" applyBorder="1" applyAlignment="1" applyProtection="1">
      <alignment vertical="center" wrapText="1"/>
    </xf>
    <xf numFmtId="43" fontId="4" fillId="0" borderId="0" xfId="3" applyNumberFormat="1" applyFont="1" applyBorder="1" applyAlignment="1">
      <alignment horizontal="left" vertical="center"/>
    </xf>
    <xf numFmtId="43" fontId="5" fillId="0" borderId="0" xfId="3" applyNumberFormat="1" applyFont="1" applyBorder="1" applyAlignment="1">
      <alignment horizontal="left" vertical="center"/>
    </xf>
    <xf numFmtId="43" fontId="92" fillId="0" borderId="0" xfId="168" applyNumberFormat="1" applyFont="1" applyBorder="1" applyAlignment="1" applyProtection="1">
      <alignment horizontal="center" vertical="center"/>
    </xf>
    <xf numFmtId="0" fontId="5" fillId="0" borderId="0" xfId="189" applyFont="1" applyBorder="1" applyAlignment="1">
      <alignment vertical="center"/>
    </xf>
    <xf numFmtId="43" fontId="2" fillId="0" borderId="2" xfId="3" applyNumberFormat="1" applyFont="1" applyFill="1" applyBorder="1" applyAlignment="1">
      <alignment vertical="center"/>
    </xf>
    <xf numFmtId="43" fontId="4" fillId="0" borderId="2" xfId="3" applyNumberFormat="1" applyFont="1" applyFill="1" applyBorder="1" applyAlignment="1">
      <alignment vertical="center"/>
    </xf>
    <xf numFmtId="43" fontId="54" fillId="38" borderId="2" xfId="388" applyFont="1" applyFill="1" applyBorder="1" applyAlignment="1" applyProtection="1">
      <alignment horizontal="right" vertical="center"/>
    </xf>
    <xf numFmtId="0" fontId="57" fillId="10" borderId="1" xfId="358" applyFont="1" applyFill="1" applyBorder="1" applyAlignment="1" applyProtection="1">
      <alignment vertical="center" wrapText="1"/>
    </xf>
    <xf numFmtId="203" fontId="144" fillId="0" borderId="0" xfId="192" applyNumberFormat="1" applyFont="1" applyAlignment="1">
      <alignment vertical="center"/>
      <protection locked="0"/>
    </xf>
    <xf numFmtId="0" fontId="129" fillId="0" borderId="0" xfId="2" applyFont="1" applyAlignment="1">
      <alignment horizontal="right" vertical="center"/>
    </xf>
    <xf numFmtId="43" fontId="5" fillId="38" borderId="1" xfId="279" applyNumberFormat="1" applyFont="1" applyFill="1" applyBorder="1" applyAlignment="1" applyProtection="1">
      <alignment horizontal="right" vertical="center" shrinkToFit="1"/>
    </xf>
    <xf numFmtId="0" fontId="4" fillId="38" borderId="1" xfId="279" applyFont="1" applyFill="1" applyBorder="1" applyAlignment="1">
      <alignment horizontal="center" vertical="center" wrapText="1"/>
      <protection locked="0"/>
    </xf>
    <xf numFmtId="0" fontId="4" fillId="38" borderId="10" xfId="279" applyFont="1" applyFill="1" applyBorder="1" applyAlignment="1">
      <alignment horizontal="center" vertical="center" wrapText="1"/>
      <protection locked="0"/>
    </xf>
    <xf numFmtId="0" fontId="4" fillId="38" borderId="14" xfId="279" applyFont="1" applyFill="1" applyBorder="1" applyAlignment="1">
      <alignment horizontal="center" vertical="center" wrapText="1"/>
      <protection locked="0"/>
    </xf>
    <xf numFmtId="0" fontId="66" fillId="38" borderId="1" xfId="0" applyFont="1" applyFill="1" applyBorder="1" applyAlignment="1">
      <alignment horizontal="center" vertical="center" wrapText="1"/>
    </xf>
    <xf numFmtId="203" fontId="2" fillId="38" borderId="11" xfId="392" applyFont="1" applyFill="1" applyBorder="1" applyAlignment="1">
      <alignment vertical="center"/>
      <protection locked="0"/>
    </xf>
    <xf numFmtId="203" fontId="2" fillId="38" borderId="10" xfId="392" applyFont="1" applyFill="1" applyBorder="1" applyAlignment="1">
      <alignment vertical="center"/>
      <protection locked="0"/>
    </xf>
    <xf numFmtId="203" fontId="2" fillId="38" borderId="12" xfId="392" applyFont="1" applyFill="1" applyBorder="1" applyAlignment="1">
      <alignment vertical="center"/>
      <protection locked="0"/>
    </xf>
    <xf numFmtId="203" fontId="2" fillId="38" borderId="1" xfId="392" applyFont="1" applyFill="1" applyBorder="1" applyAlignment="1">
      <alignment horizontal="center" vertical="center"/>
      <protection locked="0"/>
    </xf>
    <xf numFmtId="203" fontId="2" fillId="38" borderId="1" xfId="392" applyFont="1" applyFill="1" applyBorder="1" applyAlignment="1">
      <alignment horizontal="center" vertical="center" wrapText="1"/>
      <protection locked="0"/>
    </xf>
    <xf numFmtId="0" fontId="4" fillId="38" borderId="1" xfId="362" applyNumberFormat="1" applyFont="1" applyFill="1" applyBorder="1" applyAlignment="1">
      <alignment horizontal="center" vertical="center"/>
      <protection locked="0"/>
    </xf>
    <xf numFmtId="49" fontId="4" fillId="38" borderId="1" xfId="392" applyNumberFormat="1" applyFont="1" applyFill="1" applyBorder="1" applyAlignment="1">
      <alignment horizontal="center" vertical="center"/>
      <protection locked="0"/>
    </xf>
    <xf numFmtId="203" fontId="4" fillId="38" borderId="1" xfId="392" applyFont="1" applyFill="1" applyBorder="1" applyAlignment="1">
      <alignment vertical="center"/>
      <protection locked="0"/>
    </xf>
    <xf numFmtId="228" fontId="4" fillId="38" borderId="1" xfId="392" applyNumberFormat="1" applyFont="1" applyFill="1" applyBorder="1" applyAlignment="1">
      <alignment horizontal="right" vertical="center" shrinkToFit="1"/>
      <protection locked="0"/>
    </xf>
    <xf numFmtId="227" fontId="5" fillId="0" borderId="1" xfId="392" applyNumberFormat="1" applyFont="1" applyFill="1" applyBorder="1" applyAlignment="1">
      <alignment horizontal="center" vertical="center" wrapText="1"/>
      <protection locked="0"/>
    </xf>
    <xf numFmtId="49" fontId="5" fillId="0" borderId="1" xfId="392" applyNumberFormat="1" applyFont="1" applyFill="1" applyBorder="1" applyAlignment="1">
      <alignment horizontal="center" vertical="center"/>
      <protection locked="0"/>
    </xf>
    <xf numFmtId="203" fontId="8" fillId="0" borderId="1" xfId="392" applyFont="1" applyFill="1" applyBorder="1" applyAlignment="1">
      <alignment horizontal="center" vertical="center"/>
      <protection locked="0"/>
    </xf>
    <xf numFmtId="203" fontId="5" fillId="0" borderId="1" xfId="392" applyFont="1" applyFill="1" applyBorder="1" applyAlignment="1">
      <alignment horizontal="center" vertical="center"/>
      <protection locked="0"/>
    </xf>
    <xf numFmtId="228" fontId="5" fillId="0" borderId="1" xfId="392" applyNumberFormat="1" applyFont="1" applyFill="1" applyBorder="1" applyAlignment="1">
      <alignment horizontal="right" vertical="center" shrinkToFit="1"/>
      <protection locked="0"/>
    </xf>
    <xf numFmtId="203" fontId="4" fillId="0" borderId="25" xfId="393" applyFont="1" applyFill="1" applyBorder="1" applyAlignment="1">
      <alignment vertical="center"/>
    </xf>
    <xf numFmtId="0" fontId="2" fillId="10" borderId="1" xfId="266" applyFont="1" applyFill="1" applyBorder="1" applyAlignment="1" applyProtection="1">
      <alignment horizontal="center" vertical="center" wrapText="1"/>
      <protection locked="0"/>
    </xf>
    <xf numFmtId="0" fontId="2" fillId="10" borderId="1" xfId="266" applyFont="1" applyFill="1" applyBorder="1" applyAlignment="1" applyProtection="1">
      <alignment horizontal="center" vertical="center"/>
      <protection locked="0"/>
    </xf>
    <xf numFmtId="203" fontId="13" fillId="0" borderId="1" xfId="337" applyFont="1" applyBorder="1" applyAlignment="1">
      <alignment horizontal="center" vertical="center" wrapText="1"/>
      <protection locked="0"/>
    </xf>
    <xf numFmtId="0" fontId="5" fillId="9" borderId="0" xfId="162" applyFont="1" applyFill="1" applyBorder="1" applyAlignment="1">
      <alignment horizontal="justify" vertical="center" wrapText="1"/>
      <protection locked="0"/>
    </xf>
    <xf numFmtId="0" fontId="145" fillId="0" borderId="0" xfId="0" applyFont="1" applyAlignment="1" applyProtection="1">
      <alignment horizontal="center" vertical="center"/>
      <protection locked="0"/>
    </xf>
    <xf numFmtId="0" fontId="8" fillId="0" borderId="6" xfId="192" applyFont="1" applyBorder="1" applyAlignment="1">
      <alignment vertical="center"/>
      <protection locked="0"/>
    </xf>
    <xf numFmtId="0" fontId="5" fillId="0" borderId="1" xfId="279" applyFont="1" applyBorder="1" applyAlignment="1">
      <alignment horizontal="center" vertical="center" wrapText="1"/>
      <protection locked="0"/>
    </xf>
    <xf numFmtId="0" fontId="5" fillId="0" borderId="1" xfId="0" applyFont="1" applyFill="1" applyBorder="1" applyAlignment="1" applyProtection="1">
      <alignment horizontal="center" vertical="center" wrapText="1"/>
    </xf>
    <xf numFmtId="0" fontId="5" fillId="0" borderId="1" xfId="0" applyFont="1" applyBorder="1" applyAlignment="1">
      <alignment horizontal="center" vertical="center" wrapText="1"/>
    </xf>
    <xf numFmtId="0" fontId="4" fillId="10" borderId="1" xfId="0" applyFont="1" applyFill="1" applyBorder="1" applyAlignment="1" applyProtection="1">
      <alignment vertical="center"/>
      <protection locked="0"/>
    </xf>
    <xf numFmtId="43" fontId="4" fillId="10" borderId="1" xfId="180" applyFont="1" applyFill="1" applyBorder="1" applyAlignment="1" applyProtection="1">
      <alignment vertical="center"/>
      <protection locked="0"/>
    </xf>
    <xf numFmtId="14" fontId="4" fillId="10" borderId="1" xfId="0" applyNumberFormat="1" applyFont="1" applyFill="1" applyBorder="1" applyAlignment="1" applyProtection="1">
      <alignment vertical="center"/>
      <protection locked="0"/>
    </xf>
    <xf numFmtId="0" fontId="4" fillId="0" borderId="0" xfId="0" applyFont="1" applyAlignment="1" applyProtection="1">
      <alignment vertical="center"/>
      <protection locked="0"/>
    </xf>
    <xf numFmtId="203" fontId="1" fillId="0" borderId="0" xfId="392" applyBorder="1">
      <protection locked="0"/>
    </xf>
    <xf numFmtId="43" fontId="4" fillId="0" borderId="1" xfId="180" applyFont="1" applyFill="1" applyBorder="1" applyAlignment="1" applyProtection="1">
      <alignment vertical="center"/>
      <protection locked="0"/>
    </xf>
    <xf numFmtId="10" fontId="4" fillId="10" borderId="1" xfId="396" applyNumberFormat="1" applyFont="1" applyFill="1" applyBorder="1" applyAlignment="1" applyProtection="1">
      <alignment horizontal="right" vertical="center"/>
      <protection locked="0"/>
    </xf>
    <xf numFmtId="49" fontId="131" fillId="0" borderId="0" xfId="393" applyNumberFormat="1" applyFont="1" applyAlignment="1">
      <alignment horizontal="left" vertical="center"/>
    </xf>
    <xf numFmtId="49" fontId="130" fillId="0" borderId="0" xfId="393" applyNumberFormat="1" applyFont="1" applyAlignment="1">
      <alignment horizontal="left" vertical="center"/>
    </xf>
    <xf numFmtId="0" fontId="146" fillId="0" borderId="0" xfId="0" applyFont="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2" fillId="10" borderId="1" xfId="266" applyFont="1" applyFill="1" applyBorder="1" applyAlignment="1" applyProtection="1">
      <alignment horizontal="center" vertical="center" wrapText="1"/>
      <protection locked="0"/>
    </xf>
    <xf numFmtId="0" fontId="129" fillId="0" borderId="1" xfId="266" applyFont="1" applyBorder="1" applyAlignment="1" applyProtection="1">
      <alignment horizontal="left" vertical="center" wrapText="1"/>
      <protection locked="0"/>
    </xf>
    <xf numFmtId="0" fontId="31" fillId="10" borderId="1" xfId="266" applyFont="1" applyFill="1" applyBorder="1" applyAlignment="1" applyProtection="1">
      <alignment horizontal="center" vertical="center"/>
      <protection locked="0"/>
    </xf>
    <xf numFmtId="0" fontId="8" fillId="0" borderId="1" xfId="266" applyFont="1" applyBorder="1" applyAlignment="1" applyProtection="1">
      <alignment horizontal="center" vertical="center" wrapText="1"/>
      <protection locked="0"/>
    </xf>
    <xf numFmtId="203" fontId="31" fillId="10" borderId="1" xfId="337" applyFont="1" applyFill="1" applyBorder="1" applyAlignment="1">
      <alignment horizontal="center" vertical="center" wrapText="1"/>
      <protection locked="0"/>
    </xf>
    <xf numFmtId="0" fontId="2" fillId="10" borderId="1" xfId="266" applyFont="1" applyFill="1" applyBorder="1" applyAlignment="1" applyProtection="1">
      <alignment horizontal="center" vertical="center"/>
      <protection locked="0"/>
    </xf>
    <xf numFmtId="0" fontId="4" fillId="10" borderId="1" xfId="266" applyFont="1" applyFill="1" applyBorder="1" applyAlignment="1" applyProtection="1">
      <alignment horizontal="center" vertical="center"/>
      <protection locked="0"/>
    </xf>
    <xf numFmtId="0" fontId="2" fillId="0" borderId="0" xfId="279" applyFont="1" applyAlignment="1">
      <alignment horizontal="left" vertical="center"/>
      <protection locked="0"/>
    </xf>
    <xf numFmtId="0" fontId="4" fillId="0" borderId="0" xfId="279" applyFont="1" applyAlignment="1">
      <alignment horizontal="left" vertical="center"/>
      <protection locked="0"/>
    </xf>
    <xf numFmtId="49" fontId="31" fillId="10" borderId="1" xfId="337" applyNumberFormat="1" applyFont="1" applyFill="1" applyBorder="1" applyAlignment="1">
      <alignment horizontal="center" vertical="center"/>
      <protection locked="0"/>
    </xf>
    <xf numFmtId="203" fontId="8" fillId="0" borderId="0" xfId="337" applyFont="1" applyBorder="1" applyAlignment="1">
      <alignment horizontal="left" vertical="center" wrapText="1"/>
      <protection locked="0"/>
    </xf>
    <xf numFmtId="203" fontId="13" fillId="0" borderId="0" xfId="337" applyFont="1" applyBorder="1" applyAlignment="1">
      <alignment horizontal="left" vertical="center" wrapText="1"/>
      <protection locked="0"/>
    </xf>
    <xf numFmtId="203" fontId="133" fillId="0" borderId="0" xfId="336" applyFont="1" applyAlignment="1">
      <alignment horizontal="center" vertical="center"/>
    </xf>
    <xf numFmtId="203" fontId="135" fillId="0" borderId="0" xfId="336" applyFont="1" applyAlignment="1">
      <alignment horizontal="center" vertical="center"/>
    </xf>
    <xf numFmtId="203" fontId="129" fillId="0" borderId="0" xfId="337" applyFont="1" applyAlignment="1">
      <alignment horizontal="left" vertical="center"/>
      <protection locked="0"/>
    </xf>
    <xf numFmtId="203" fontId="31" fillId="0" borderId="0" xfId="337" applyFont="1" applyBorder="1" applyAlignment="1">
      <alignment horizontal="left" vertical="center"/>
      <protection locked="0"/>
    </xf>
    <xf numFmtId="43" fontId="133" fillId="0" borderId="0" xfId="3" applyNumberFormat="1" applyFont="1" applyBorder="1" applyAlignment="1">
      <alignment horizontal="center" vertical="center"/>
    </xf>
    <xf numFmtId="43" fontId="135" fillId="0" borderId="0" xfId="3" applyNumberFormat="1" applyFont="1" applyBorder="1" applyAlignment="1">
      <alignment horizontal="center" vertical="center"/>
    </xf>
    <xf numFmtId="0" fontId="57" fillId="10" borderId="13" xfId="279" applyFont="1" applyFill="1" applyBorder="1" applyAlignment="1" applyProtection="1">
      <alignment horizontal="center" vertical="center" wrapText="1"/>
    </xf>
    <xf numFmtId="0" fontId="70" fillId="10" borderId="14" xfId="279" applyFont="1" applyFill="1" applyBorder="1" applyAlignment="1" applyProtection="1">
      <alignment vertical="center" wrapText="1"/>
    </xf>
    <xf numFmtId="203" fontId="4" fillId="10" borderId="10" xfId="280" applyFont="1" applyFill="1" applyBorder="1" applyAlignment="1" applyProtection="1">
      <alignment horizontal="center" vertical="center" wrapText="1"/>
      <protection locked="0"/>
    </xf>
    <xf numFmtId="203" fontId="4" fillId="10" borderId="11" xfId="280" applyFont="1" applyFill="1" applyBorder="1" applyAlignment="1" applyProtection="1">
      <alignment horizontal="center" vertical="center" wrapText="1"/>
      <protection locked="0"/>
    </xf>
    <xf numFmtId="203" fontId="4" fillId="10" borderId="12" xfId="280" applyFont="1" applyFill="1" applyBorder="1" applyAlignment="1" applyProtection="1">
      <alignment horizontal="center" vertical="center" wrapText="1"/>
      <protection locked="0"/>
    </xf>
    <xf numFmtId="203" fontId="57" fillId="10" borderId="1" xfId="281" applyNumberFormat="1" applyFont="1" applyFill="1" applyBorder="1" applyAlignment="1">
      <alignment horizontal="center" vertical="center" wrapText="1"/>
      <protection locked="0"/>
    </xf>
    <xf numFmtId="0" fontId="4" fillId="10" borderId="1" xfId="281" applyFont="1" applyFill="1" applyBorder="1" applyAlignment="1">
      <alignment horizontal="center" vertical="center" wrapText="1"/>
      <protection locked="0"/>
    </xf>
    <xf numFmtId="0" fontId="70" fillId="10" borderId="1" xfId="279" applyFont="1" applyFill="1" applyBorder="1" applyAlignment="1" applyProtection="1">
      <alignment horizontal="center" vertical="center"/>
    </xf>
    <xf numFmtId="0" fontId="54" fillId="10" borderId="1" xfId="279" applyFont="1" applyFill="1" applyBorder="1" applyAlignment="1" applyProtection="1">
      <alignment vertical="center"/>
    </xf>
    <xf numFmtId="43" fontId="128" fillId="39" borderId="0" xfId="0" applyNumberFormat="1" applyFont="1" applyFill="1" applyAlignment="1">
      <alignment horizontal="left" vertical="center" wrapText="1"/>
    </xf>
    <xf numFmtId="0" fontId="133" fillId="0" borderId="0" xfId="162" applyFont="1" applyAlignment="1">
      <alignment horizontal="center" vertical="center"/>
      <protection locked="0"/>
    </xf>
    <xf numFmtId="0" fontId="135" fillId="0" borderId="0" xfId="162" applyFont="1" applyAlignment="1">
      <alignment horizontal="center" vertical="center"/>
      <protection locked="0"/>
    </xf>
    <xf numFmtId="43" fontId="120" fillId="39" borderId="0" xfId="0" applyNumberFormat="1" applyFont="1" applyFill="1" applyAlignment="1">
      <alignment horizontal="left" vertical="center" wrapText="1"/>
    </xf>
    <xf numFmtId="43" fontId="120" fillId="0" borderId="0" xfId="0" applyNumberFormat="1" applyFont="1" applyAlignment="1">
      <alignment horizontal="left" vertical="center" wrapText="1"/>
    </xf>
    <xf numFmtId="0" fontId="133" fillId="0" borderId="0" xfId="1" applyFont="1" applyAlignment="1">
      <alignment horizontal="center" vertical="center"/>
    </xf>
    <xf numFmtId="0" fontId="135" fillId="0" borderId="0" xfId="1" applyFont="1" applyAlignment="1">
      <alignment horizontal="center" vertical="center"/>
    </xf>
    <xf numFmtId="0" fontId="2" fillId="10" borderId="13" xfId="279" applyFont="1" applyFill="1" applyBorder="1" applyAlignment="1">
      <alignment horizontal="center" vertical="center" wrapText="1"/>
      <protection locked="0"/>
    </xf>
    <xf numFmtId="0" fontId="2" fillId="10" borderId="14" xfId="279" applyFont="1" applyFill="1" applyBorder="1" applyAlignment="1">
      <alignment horizontal="center" vertical="center" wrapText="1"/>
      <protection locked="0"/>
    </xf>
    <xf numFmtId="0" fontId="0" fillId="0" borderId="14" xfId="0" applyBorder="1" applyAlignment="1">
      <alignment horizontal="center" vertical="center" wrapText="1"/>
    </xf>
    <xf numFmtId="0" fontId="113" fillId="10" borderId="11" xfId="0" applyFont="1" applyFill="1" applyBorder="1" applyAlignment="1">
      <alignment horizontal="center" vertical="center" wrapText="1"/>
    </xf>
    <xf numFmtId="0" fontId="113" fillId="10" borderId="10" xfId="0" applyFont="1" applyFill="1" applyBorder="1" applyAlignment="1">
      <alignment horizontal="center" vertical="center" wrapText="1"/>
    </xf>
    <xf numFmtId="0" fontId="113" fillId="10" borderId="12" xfId="0" applyFont="1" applyFill="1" applyBorder="1" applyAlignment="1">
      <alignment horizontal="center" vertical="center" wrapText="1"/>
    </xf>
    <xf numFmtId="0" fontId="2" fillId="10" borderId="13" xfId="162" applyFont="1" applyFill="1" applyBorder="1" applyAlignment="1">
      <alignment horizontal="center" vertical="center" wrapText="1"/>
      <protection locked="0"/>
    </xf>
    <xf numFmtId="0" fontId="113" fillId="10" borderId="13" xfId="0" applyFont="1" applyFill="1" applyBorder="1" applyAlignment="1">
      <alignment horizontal="center" vertical="center" wrapText="1"/>
    </xf>
    <xf numFmtId="0" fontId="113" fillId="10" borderId="14" xfId="0" applyFont="1" applyFill="1" applyBorder="1" applyAlignment="1">
      <alignment horizontal="center" vertical="center" wrapText="1"/>
    </xf>
    <xf numFmtId="0" fontId="4" fillId="38" borderId="1" xfId="279" applyFont="1" applyFill="1" applyBorder="1" applyAlignment="1">
      <alignment horizontal="center" vertical="center" wrapText="1"/>
      <protection locked="0"/>
    </xf>
    <xf numFmtId="0" fontId="65" fillId="38" borderId="1" xfId="0" applyFont="1" applyFill="1" applyBorder="1" applyAlignment="1">
      <alignment horizontal="center" vertical="center" wrapText="1"/>
    </xf>
    <xf numFmtId="0" fontId="4" fillId="38" borderId="13" xfId="162" applyFont="1" applyFill="1" applyBorder="1" applyAlignment="1">
      <alignment horizontal="center" vertical="center" wrapText="1"/>
      <protection locked="0"/>
    </xf>
    <xf numFmtId="0" fontId="65" fillId="38" borderId="14" xfId="0" applyFont="1" applyFill="1" applyBorder="1" applyAlignment="1">
      <alignment horizontal="center" vertical="center" wrapText="1"/>
    </xf>
    <xf numFmtId="0" fontId="4" fillId="38" borderId="10" xfId="279" applyFont="1" applyFill="1" applyBorder="1" applyAlignment="1">
      <alignment horizontal="center" vertical="center" wrapText="1"/>
      <protection locked="0"/>
    </xf>
    <xf numFmtId="0" fontId="65" fillId="38" borderId="11" xfId="0" applyFont="1" applyFill="1" applyBorder="1" applyAlignment="1">
      <alignment horizontal="center" vertical="center" wrapText="1"/>
    </xf>
    <xf numFmtId="0" fontId="65" fillId="38" borderId="12" xfId="0" applyFont="1" applyFill="1" applyBorder="1" applyAlignment="1">
      <alignment horizontal="center" vertical="center" wrapText="1"/>
    </xf>
    <xf numFmtId="0" fontId="4" fillId="38" borderId="11" xfId="279" applyFont="1" applyFill="1" applyBorder="1" applyAlignment="1">
      <alignment horizontal="center" vertical="center" wrapText="1"/>
      <protection locked="0"/>
    </xf>
    <xf numFmtId="0" fontId="4" fillId="10" borderId="13" xfId="279" applyFont="1" applyFill="1" applyBorder="1" applyAlignment="1">
      <alignment horizontal="center" vertical="center" wrapText="1"/>
      <protection locked="0"/>
    </xf>
    <xf numFmtId="0" fontId="4" fillId="10" borderId="14" xfId="279" applyFont="1" applyFill="1" applyBorder="1" applyAlignment="1">
      <alignment horizontal="center" vertical="center" wrapText="1"/>
      <protection locked="0"/>
    </xf>
    <xf numFmtId="0" fontId="66" fillId="38" borderId="13" xfId="0" applyFont="1" applyFill="1" applyBorder="1" applyAlignment="1">
      <alignment horizontal="center" vertical="center" wrapText="1"/>
    </xf>
    <xf numFmtId="0" fontId="4" fillId="38" borderId="13" xfId="279" applyFont="1" applyFill="1" applyBorder="1" applyAlignment="1">
      <alignment horizontal="center" vertical="center" wrapText="1"/>
      <protection locked="0"/>
    </xf>
    <xf numFmtId="0" fontId="4" fillId="38" borderId="14" xfId="279" applyFont="1" applyFill="1" applyBorder="1" applyAlignment="1">
      <alignment horizontal="center" vertical="center" wrapText="1"/>
      <protection locked="0"/>
    </xf>
    <xf numFmtId="0" fontId="66" fillId="10" borderId="10" xfId="0" applyFont="1" applyFill="1" applyBorder="1" applyAlignment="1">
      <alignment horizontal="center" vertical="center" wrapText="1"/>
    </xf>
    <xf numFmtId="0" fontId="0" fillId="0" borderId="12" xfId="0" applyBorder="1" applyAlignment="1">
      <alignment horizontal="center" vertical="center" wrapText="1"/>
    </xf>
    <xf numFmtId="0" fontId="2" fillId="10" borderId="1" xfId="164" applyFont="1" applyFill="1" applyBorder="1" applyAlignment="1">
      <alignment horizontal="center" vertical="center" wrapText="1"/>
      <protection locked="0"/>
    </xf>
    <xf numFmtId="0" fontId="4" fillId="10" borderId="1" xfId="164" applyFont="1" applyFill="1" applyBorder="1" applyAlignment="1">
      <alignment horizontal="center" vertical="center" wrapText="1"/>
      <protection locked="0"/>
    </xf>
    <xf numFmtId="0" fontId="2" fillId="10" borderId="13" xfId="164" applyFont="1" applyFill="1" applyBorder="1" applyAlignment="1">
      <alignment horizontal="center" vertical="center" wrapText="1"/>
      <protection locked="0"/>
    </xf>
    <xf numFmtId="0" fontId="4" fillId="10" borderId="14" xfId="164" applyFont="1" applyFill="1" applyBorder="1" applyAlignment="1">
      <alignment horizontal="center" vertical="center" wrapText="1"/>
      <protection locked="0"/>
    </xf>
    <xf numFmtId="0" fontId="67" fillId="10" borderId="1" xfId="0" applyFont="1" applyFill="1" applyBorder="1" applyAlignment="1">
      <alignment horizontal="center" vertical="center" wrapText="1"/>
    </xf>
    <xf numFmtId="0" fontId="66" fillId="10" borderId="1" xfId="0" applyFont="1" applyFill="1" applyBorder="1" applyAlignment="1">
      <alignment horizontal="center" vertical="center" wrapText="1"/>
    </xf>
    <xf numFmtId="0" fontId="0" fillId="0" borderId="11" xfId="0" applyBorder="1" applyAlignment="1">
      <alignment horizontal="center" vertical="center" wrapText="1"/>
    </xf>
    <xf numFmtId="203" fontId="2" fillId="38" borderId="1" xfId="391" applyFont="1" applyFill="1" applyBorder="1" applyAlignment="1">
      <alignment horizontal="center" vertical="center" wrapText="1"/>
      <protection locked="0"/>
    </xf>
    <xf numFmtId="203" fontId="4" fillId="38" borderId="1" xfId="391" applyFont="1" applyFill="1" applyBorder="1" applyAlignment="1">
      <alignment horizontal="center" vertical="center" wrapText="1"/>
      <protection locked="0"/>
    </xf>
    <xf numFmtId="203" fontId="2" fillId="40" borderId="1" xfId="394" applyFont="1" applyFill="1" applyBorder="1" applyAlignment="1" applyProtection="1">
      <alignment horizontal="center" vertical="center" wrapText="1"/>
    </xf>
    <xf numFmtId="203" fontId="2" fillId="40" borderId="13" xfId="394" applyFont="1" applyFill="1" applyBorder="1" applyAlignment="1" applyProtection="1">
      <alignment horizontal="center" vertical="center" wrapText="1"/>
    </xf>
    <xf numFmtId="203" fontId="2" fillId="40" borderId="14" xfId="394" applyFont="1" applyFill="1" applyBorder="1" applyAlignment="1" applyProtection="1">
      <alignment horizontal="center" vertical="center" wrapText="1"/>
    </xf>
    <xf numFmtId="203" fontId="2" fillId="38" borderId="1" xfId="391" applyFont="1" applyFill="1" applyBorder="1" applyAlignment="1">
      <alignment horizontal="center" vertical="center"/>
      <protection locked="0"/>
    </xf>
    <xf numFmtId="203" fontId="4" fillId="38" borderId="1" xfId="391" applyFont="1" applyFill="1" applyBorder="1" applyAlignment="1">
      <alignment horizontal="center" vertical="center"/>
      <protection locked="0"/>
    </xf>
    <xf numFmtId="203" fontId="4" fillId="38" borderId="10" xfId="362" applyFont="1" applyFill="1" applyBorder="1" applyAlignment="1">
      <alignment horizontal="center" vertical="center"/>
      <protection locked="0"/>
    </xf>
    <xf numFmtId="203" fontId="4" fillId="38" borderId="11" xfId="362" applyFont="1" applyFill="1" applyBorder="1" applyAlignment="1">
      <alignment horizontal="center" vertical="center"/>
      <protection locked="0"/>
    </xf>
    <xf numFmtId="14" fontId="2" fillId="38" borderId="1" xfId="362" applyNumberFormat="1" applyFont="1" applyFill="1" applyBorder="1" applyAlignment="1">
      <alignment horizontal="center" vertical="center"/>
      <protection locked="0"/>
    </xf>
    <xf numFmtId="203" fontId="2" fillId="10" borderId="1" xfId="391" applyFont="1" applyFill="1" applyBorder="1" applyAlignment="1">
      <alignment horizontal="center" vertical="center"/>
      <protection locked="0"/>
    </xf>
    <xf numFmtId="203" fontId="4" fillId="10" borderId="1" xfId="391" applyFont="1" applyFill="1" applyBorder="1" applyAlignment="1">
      <alignment horizontal="center" vertical="center"/>
      <protection locked="0"/>
    </xf>
    <xf numFmtId="0" fontId="4" fillId="0" borderId="0" xfId="191" applyFont="1" applyAlignment="1">
      <alignment horizontal="left" vertical="center"/>
    </xf>
    <xf numFmtId="0" fontId="2" fillId="0" borderId="0" xfId="191" applyFont="1" applyAlignment="1">
      <alignment horizontal="left" vertical="center" wrapText="1"/>
    </xf>
    <xf numFmtId="0" fontId="8" fillId="0" borderId="0" xfId="191" applyFont="1" applyAlignment="1">
      <alignment horizontal="left" vertical="center" wrapText="1"/>
    </xf>
    <xf numFmtId="0" fontId="2" fillId="40" borderId="1" xfId="358" applyFont="1" applyFill="1" applyBorder="1" applyAlignment="1" applyProtection="1">
      <alignment horizontal="center" vertical="center" wrapText="1"/>
    </xf>
    <xf numFmtId="0" fontId="2" fillId="10" borderId="10" xfId="358" applyFont="1" applyFill="1" applyBorder="1" applyAlignment="1">
      <alignment horizontal="center" vertical="center"/>
      <protection locked="0"/>
    </xf>
    <xf numFmtId="0" fontId="2" fillId="10" borderId="11" xfId="358" applyFont="1" applyFill="1" applyBorder="1" applyAlignment="1">
      <alignment horizontal="center" vertical="center"/>
      <protection locked="0"/>
    </xf>
    <xf numFmtId="0" fontId="2" fillId="10" borderId="12" xfId="358" applyFont="1" applyFill="1" applyBorder="1" applyAlignment="1">
      <alignment horizontal="center" vertical="center"/>
      <protection locked="0"/>
    </xf>
    <xf numFmtId="203" fontId="4" fillId="10" borderId="10" xfId="362" applyFont="1" applyFill="1" applyBorder="1" applyAlignment="1">
      <alignment horizontal="center" vertical="center"/>
      <protection locked="0"/>
    </xf>
    <xf numFmtId="203" fontId="4" fillId="10" borderId="11" xfId="362" applyFont="1" applyFill="1" applyBorder="1" applyAlignment="1">
      <alignment horizontal="center" vertical="center"/>
      <protection locked="0"/>
    </xf>
    <xf numFmtId="203" fontId="4" fillId="10" borderId="12" xfId="362" applyFont="1" applyFill="1" applyBorder="1" applyAlignment="1">
      <alignment horizontal="center" vertical="center"/>
      <protection locked="0"/>
    </xf>
  </cellXfs>
  <cellStyles count="397">
    <cellStyle name="%" xfId="4"/>
    <cellStyle name="% 2" xfId="196"/>
    <cellStyle name="?" xfId="5"/>
    <cellStyle name="? 2" xfId="339"/>
    <cellStyle name="??" xfId="197"/>
    <cellStyle name="?? [0]" xfId="198"/>
    <cellStyle name="??_0N-HANDLING " xfId="199"/>
    <cellStyle name="?餡_x000c_k" xfId="6"/>
    <cellStyle name="?餡_x000c_k?_x000d_^" xfId="7"/>
    <cellStyle name="?餡_x000c_k?_x000d_^黇_x0001_??_x0007__x0001__x0001_" xfId="8"/>
    <cellStyle name="@_text" xfId="9"/>
    <cellStyle name="@_text_子公司附注汇总(房开公司)" xfId="200"/>
    <cellStyle name="_(本部)2006年年报审计PBC表" xfId="201"/>
    <cellStyle name="_07930建造合同" xfId="202"/>
    <cellStyle name="_12月项目部访问及审计-德勤" xfId="203"/>
    <cellStyle name="_2005-08-31审计底稿－李" xfId="204"/>
    <cellStyle name="_2005审计报表及附注-中国建材股份模板（房屋）" xfId="10"/>
    <cellStyle name="_2006年年报审计PBC表（合并）" xfId="205"/>
    <cellStyle name="_2006年年报审计PBC表-XX" xfId="206"/>
    <cellStyle name="_2006年年报审计PBC表-XXX" xfId="11"/>
    <cellStyle name="_2006年年报审计PBC表-福州分公司" xfId="207"/>
    <cellStyle name="_2006年年报审计PBC表-云南分公司" xfId="208"/>
    <cellStyle name="_2006年年报审计填报资料" xfId="12"/>
    <cellStyle name="_2007调整分录-鲁佳" xfId="209"/>
    <cellStyle name="_Book1" xfId="13"/>
    <cellStyle name="_CREC(Huo" xfId="210"/>
    <cellStyle name="_ET_STYLE_NoName_00_" xfId="211"/>
    <cellStyle name="_ET_STYLE_NoName_00__2007调整分录-鲁佳" xfId="212"/>
    <cellStyle name="_ET_STYLE_NoName_00__股份本部" xfId="213"/>
    <cellStyle name="_ET_STYLE_NoName_00__股份本部_1" xfId="214"/>
    <cellStyle name="_ET_STYLE_NoName_00__股份本部_3" xfId="215"/>
    <cellStyle name="_ET_STYLE_NoName_00__股份本部_6_股份本部_2" xfId="216"/>
    <cellStyle name="_ET_STYLE_NoName_00__股份本部_7_股份本部_3" xfId="217"/>
    <cellStyle name="_J1000-存货-ZHHG"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本部其他应收应付年审底稿--鲁佳pb" xfId="218"/>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调整模板(CREC)" xfId="219"/>
    <cellStyle name="_合并公司2006年度科目明细表(定稿)" xfId="220"/>
    <cellStyle name="_建造合同-宜万指（正式版）" xfId="32"/>
    <cellStyle name="_科目核对表" xfId="33"/>
    <cellStyle name="_刘青分工填列信息统计" xfId="221"/>
    <cellStyle name="_刘青分工－子公司审计模板-电务" xfId="222"/>
    <cellStyle name="_刘青分工－子公司审计模板－铁达本部" xfId="223"/>
    <cellStyle name="_母PL" xfId="34"/>
    <cellStyle name="_母公司底稿-鲁佳" xfId="224"/>
    <cellStyle name="_年审筹资循环资料清单" xfId="225"/>
    <cellStyle name="_人员分工备忘录" xfId="35"/>
    <cellStyle name="_审计底稿-轩" xfId="226"/>
    <cellStyle name="_审计所需资料清单－子公司" xfId="36"/>
    <cellStyle name="_审计提示模版" xfId="227"/>
    <cellStyle name="_审计提示模版-母公司部分" xfId="228"/>
    <cellStyle name="_铁鸿源－刘青分工－子公司审计模板" xfId="229"/>
    <cellStyle name="_兴华审计成本" xfId="230"/>
    <cellStyle name="_岩土长投--急0121报王占学" xfId="231"/>
    <cellStyle name="_一公司建造合同前5名" xfId="37"/>
    <cellStyle name="_一公司－刘丰收" xfId="38"/>
    <cellStyle name="_银行询证函统计－大表" xfId="232"/>
    <cellStyle name="_长期借款－江阴" xfId="39"/>
    <cellStyle name="_子公司筹资循环－刘青" xfId="233"/>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_x000d__x000a_NA_x000d__x000a_" xfId="51"/>
    <cellStyle name="0,0_x000d__x000a_NA_x000d__x000a_ 2" xfId="332"/>
    <cellStyle name="0.0%" xfId="52"/>
    <cellStyle name="0.00%" xfId="53"/>
    <cellStyle name="00" xfId="234"/>
    <cellStyle name="20% - Accent1" xfId="282"/>
    <cellStyle name="20% - Accent2" xfId="283"/>
    <cellStyle name="20% - Accent3" xfId="284"/>
    <cellStyle name="20% - Accent4" xfId="285"/>
    <cellStyle name="20% - Accent5" xfId="286"/>
    <cellStyle name="20% - Accent6" xfId="287"/>
    <cellStyle name="40% - Accent1" xfId="288"/>
    <cellStyle name="40% - Accent2" xfId="289"/>
    <cellStyle name="40% - Accent3" xfId="290"/>
    <cellStyle name="40% - Accent4" xfId="291"/>
    <cellStyle name="40% - Accent5" xfId="292"/>
    <cellStyle name="40% - Accent6" xfId="293"/>
    <cellStyle name="60% - Accent1" xfId="294"/>
    <cellStyle name="60% - Accent2" xfId="295"/>
    <cellStyle name="60% - Accent3" xfId="296"/>
    <cellStyle name="60% - Accent4" xfId="297"/>
    <cellStyle name="60% - Accent5" xfId="298"/>
    <cellStyle name="60% - Accent6" xfId="299"/>
    <cellStyle name="Accent1" xfId="300"/>
    <cellStyle name="Accent2" xfId="301"/>
    <cellStyle name="Accent3" xfId="302"/>
    <cellStyle name="Accent4" xfId="303"/>
    <cellStyle name="Accent5" xfId="304"/>
    <cellStyle name="Accent6" xfId="305"/>
    <cellStyle name="args.style" xfId="235"/>
    <cellStyle name="Bad" xfId="306"/>
    <cellStyle name="Black" xfId="54"/>
    <cellStyle name="Border" xfId="55"/>
    <cellStyle name="Calc Currency (0)" xfId="56"/>
    <cellStyle name="Calc Currency (2)" xfId="57"/>
    <cellStyle name="Calc Percent (0)" xfId="58"/>
    <cellStyle name="Calc Percent (1)" xfId="59"/>
    <cellStyle name="Calc Percent (2)" xfId="60"/>
    <cellStyle name="Calc Units (0)" xfId="61"/>
    <cellStyle name="Calc Units (1)" xfId="62"/>
    <cellStyle name="Calc Units (2)" xfId="63"/>
    <cellStyle name="Calculation" xfId="307"/>
    <cellStyle name="category" xfId="64"/>
    <cellStyle name="Check Cell" xfId="308"/>
    <cellStyle name="Col Heads" xfId="65"/>
    <cellStyle name="Column_Title" xfId="66"/>
    <cellStyle name="Comma  - Style1" xfId="67"/>
    <cellStyle name="Comma  - Style2" xfId="68"/>
    <cellStyle name="Comma  - Style3" xfId="69"/>
    <cellStyle name="Comma  - Style4" xfId="70"/>
    <cellStyle name="Comma  - Style5" xfId="71"/>
    <cellStyle name="Comma  - Style6" xfId="72"/>
    <cellStyle name="Comma  - Style7" xfId="73"/>
    <cellStyle name="Comma  - Style8" xfId="74"/>
    <cellStyle name="Comma [0]_ rislugp" xfId="75"/>
    <cellStyle name="Comma [00]" xfId="76"/>
    <cellStyle name="Comma 28" xfId="77"/>
    <cellStyle name="comma zerodec" xfId="78"/>
    <cellStyle name="Comma,0" xfId="79"/>
    <cellStyle name="Comma,1" xfId="80"/>
    <cellStyle name="Comma,2" xfId="81"/>
    <cellStyle name="Comma_ rislugp" xfId="82"/>
    <cellStyle name="Copied" xfId="236"/>
    <cellStyle name="COST1" xfId="237"/>
    <cellStyle name="Currency [0]_ rislugp" xfId="83"/>
    <cellStyle name="Currency [00]" xfId="84"/>
    <cellStyle name="Currency,0" xfId="85"/>
    <cellStyle name="Currency,2" xfId="86"/>
    <cellStyle name="Currency_ rislugp" xfId="87"/>
    <cellStyle name="Currency1" xfId="88"/>
    <cellStyle name="Date" xfId="238"/>
    <cellStyle name="Date Short" xfId="89"/>
    <cellStyle name="Dezimal [0]_laroux" xfId="90"/>
    <cellStyle name="Dezimal_laroux" xfId="91"/>
    <cellStyle name="Dollar (zero dec)" xfId="92"/>
    <cellStyle name="E&amp;Y House" xfId="239"/>
    <cellStyle name="Enter Currency (0)" xfId="93"/>
    <cellStyle name="Enter Currency (2)" xfId="94"/>
    <cellStyle name="Enter Units (0)" xfId="95"/>
    <cellStyle name="Enter Units (1)" xfId="96"/>
    <cellStyle name="Enter Units (2)" xfId="97"/>
    <cellStyle name="Entered" xfId="240"/>
    <cellStyle name="entry" xfId="98"/>
    <cellStyle name="entry box" xfId="99"/>
    <cellStyle name="Euro" xfId="100"/>
    <cellStyle name="Explanatory Text" xfId="309"/>
    <cellStyle name="Followed Hyperlink_AheadBehind.xls Chart 23" xfId="101"/>
    <cellStyle name="Good" xfId="310"/>
    <cellStyle name="Grey" xfId="102"/>
    <cellStyle name="HEADER" xfId="103"/>
    <cellStyle name="Header1" xfId="104"/>
    <cellStyle name="Header2" xfId="105"/>
    <cellStyle name="Heading" xfId="106"/>
    <cellStyle name="Heading 1" xfId="311"/>
    <cellStyle name="Heading 2" xfId="312"/>
    <cellStyle name="Heading 3" xfId="313"/>
    <cellStyle name="Heading 4" xfId="314"/>
    <cellStyle name="Hyperlink_AheadBehind.xls Chart 23" xfId="107"/>
    <cellStyle name="Input" xfId="315"/>
    <cellStyle name="Input [yellow]" xfId="108"/>
    <cellStyle name="Input Cells" xfId="241"/>
    <cellStyle name="left" xfId="109"/>
    <cellStyle name="Link Currency (0)" xfId="110"/>
    <cellStyle name="Link Currency (2)" xfId="111"/>
    <cellStyle name="Link Units (0)" xfId="112"/>
    <cellStyle name="Link Units (1)" xfId="113"/>
    <cellStyle name="Link Units (2)" xfId="114"/>
    <cellStyle name="Linked Cell" xfId="316"/>
    <cellStyle name="Linked Cells" xfId="242"/>
    <cellStyle name="Millares [0]_laroux" xfId="115"/>
    <cellStyle name="Millares_laroux" xfId="116"/>
    <cellStyle name="Milliers [0]_!!!GO" xfId="243"/>
    <cellStyle name="Milliers_!!!GO" xfId="244"/>
    <cellStyle name="Model" xfId="117"/>
    <cellStyle name="Moneda [0]_laroux" xfId="118"/>
    <cellStyle name="Moneda_laroux" xfId="119"/>
    <cellStyle name="Monétaire [0]_!!!GO" xfId="245"/>
    <cellStyle name="Monétaire_!!!GO" xfId="246"/>
    <cellStyle name="Mon閠aire [0]_laroux" xfId="120"/>
    <cellStyle name="Mon閠aire_laroux" xfId="121"/>
    <cellStyle name="Neutral" xfId="317"/>
    <cellStyle name="New Times Roman" xfId="247"/>
    <cellStyle name="no dec" xfId="122"/>
    <cellStyle name="Non défini" xfId="123"/>
    <cellStyle name="Normal - Style1" xfId="124"/>
    <cellStyle name="Normal 2" xfId="318"/>
    <cellStyle name="Normal 2 2" xfId="319"/>
    <cellStyle name="Normal 21" xfId="125"/>
    <cellStyle name="Normal 3 2" xfId="320"/>
    <cellStyle name="Normal_ rislugp" xfId="126"/>
    <cellStyle name="Normalny_Arkusz1" xfId="127"/>
    <cellStyle name="Note" xfId="321"/>
    <cellStyle name="Œ…‹æØ‚è [0.00]_Region Orders (2)" xfId="248"/>
    <cellStyle name="Œ…‹æØ‚è_Region Orders (2)" xfId="249"/>
    <cellStyle name="Output" xfId="322"/>
    <cellStyle name="per.style" xfId="250"/>
    <cellStyle name="Percent (0)" xfId="128"/>
    <cellStyle name="Percent [0]" xfId="129"/>
    <cellStyle name="Percent [00]" xfId="130"/>
    <cellStyle name="Percent [2]" xfId="131"/>
    <cellStyle name="Prefilled" xfId="132"/>
    <cellStyle name="PrePop Currency (0)" xfId="133"/>
    <cellStyle name="PrePop Currency (2)" xfId="134"/>
    <cellStyle name="PrePop Units (0)" xfId="135"/>
    <cellStyle name="PrePop Units (1)" xfId="136"/>
    <cellStyle name="PrePop Units (2)" xfId="137"/>
    <cellStyle name="price" xfId="138"/>
    <cellStyle name="pricing" xfId="251"/>
    <cellStyle name="PSChar" xfId="252"/>
    <cellStyle name="Red" xfId="139"/>
    <cellStyle name="revised" xfId="140"/>
    <cellStyle name="RevList" xfId="253"/>
    <cellStyle name="row_def_array" xfId="254"/>
    <cellStyle name="S4" xfId="255"/>
    <cellStyle name="S5" xfId="256"/>
    <cellStyle name="section" xfId="141"/>
    <cellStyle name="SOR" xfId="142"/>
    <cellStyle name="style" xfId="143"/>
    <cellStyle name="style1" xfId="144"/>
    <cellStyle name="style2" xfId="145"/>
    <cellStyle name="subhead" xfId="146"/>
    <cellStyle name="Subtotal" xfId="257"/>
    <cellStyle name="Text Indent A" xfId="147"/>
    <cellStyle name="Text Indent B" xfId="148"/>
    <cellStyle name="Text Indent C" xfId="149"/>
    <cellStyle name="Tickmark" xfId="150"/>
    <cellStyle name="title" xfId="151"/>
    <cellStyle name="Total" xfId="323"/>
    <cellStyle name="Warning Text" xfId="324"/>
    <cellStyle name="wrap" xfId="152"/>
    <cellStyle name="パーセント_laroux" xfId="153"/>
    <cellStyle name="_PLDT" xfId="154"/>
    <cellStyle name="_laroux" xfId="258"/>
    <cellStyle name="だ[0]_PLDT" xfId="155"/>
    <cellStyle name="だ_PLDT" xfId="156"/>
    <cellStyle name="だ[0]_Total (2)" xfId="157"/>
    <cellStyle name="だ_laroux" xfId="259"/>
    <cellStyle name="百分比" xfId="396" builtinId="5"/>
    <cellStyle name="百分比 2" xfId="158"/>
    <cellStyle name="百分比 2 2" xfId="340"/>
    <cellStyle name="百分比 2 3" xfId="341"/>
    <cellStyle name="百分比 3" xfId="159"/>
    <cellStyle name="百分比 3 2" xfId="342"/>
    <cellStyle name="捠壿 [0.00]_PRODUCT DETAIL Q1" xfId="260"/>
    <cellStyle name="捠壿_PRODUCT DETAIL Q1" xfId="261"/>
    <cellStyle name="標準_１１月価格表" xfId="160"/>
    <cellStyle name="差_StartUp" xfId="262"/>
    <cellStyle name="差_T1000-主营业务收入-LJCH" xfId="161"/>
    <cellStyle name="差_子公司附注汇总(房开公司)" xfId="263"/>
    <cellStyle name="常规" xfId="0" builtinId="0"/>
    <cellStyle name="常规 10" xfId="343"/>
    <cellStyle name="常规 10 2" xfId="344"/>
    <cellStyle name="常规 10 3" xfId="345"/>
    <cellStyle name="常规 10 4" xfId="346"/>
    <cellStyle name="常规 11 2" xfId="347"/>
    <cellStyle name="常规 11 3" xfId="348"/>
    <cellStyle name="常规 11 4" xfId="349"/>
    <cellStyle name="常规 12 2" xfId="350"/>
    <cellStyle name="常规 12 3" xfId="351"/>
    <cellStyle name="常规 12 4" xfId="352"/>
    <cellStyle name="常规 13 2" xfId="353"/>
    <cellStyle name="常规 13 3" xfId="354"/>
    <cellStyle name="常规 13 4" xfId="355"/>
    <cellStyle name="常规 2" xfId="162"/>
    <cellStyle name="常规 2 2" xfId="193"/>
    <cellStyle name="常规 2 2 2" xfId="325"/>
    <cellStyle name="常规 2 2 2 2" xfId="356"/>
    <cellStyle name="常规 2 2 3" xfId="333"/>
    <cellStyle name="常规 2 2 3 2" xfId="357"/>
    <cellStyle name="常规 2 2 3 3" xfId="358"/>
    <cellStyle name="常规 2 2 4" xfId="335"/>
    <cellStyle name="常规 2 2 5" xfId="391"/>
    <cellStyle name="常规 2 3" xfId="264"/>
    <cellStyle name="常规 2 3 2" xfId="359"/>
    <cellStyle name="常规 2 3 3" xfId="360"/>
    <cellStyle name="常规 2 3 4" xfId="337"/>
    <cellStyle name="常规 2 4" xfId="361"/>
    <cellStyle name="常规 2 5" xfId="362"/>
    <cellStyle name="常规 2 6" xfId="363"/>
    <cellStyle name="常规 2 7" xfId="364"/>
    <cellStyle name="常规 2 8" xfId="279"/>
    <cellStyle name="常规 2 8 2" xfId="392"/>
    <cellStyle name="常规 2 9" xfId="394"/>
    <cellStyle name="常规 2_经销商信息-1-原始表" xfId="365"/>
    <cellStyle name="常规 3" xfId="163"/>
    <cellStyle name="常规 3 2" xfId="326"/>
    <cellStyle name="常规 3 2 2" xfId="281"/>
    <cellStyle name="常规 3 2 2 2" xfId="366"/>
    <cellStyle name="常规 3 3" xfId="327"/>
    <cellStyle name="常规 3 4" xfId="367"/>
    <cellStyle name="常规 4" xfId="164"/>
    <cellStyle name="常规 4 2" xfId="280"/>
    <cellStyle name="常规 4 3" xfId="368"/>
    <cellStyle name="常规 4 4" xfId="369"/>
    <cellStyle name="常规 5" xfId="165"/>
    <cellStyle name="常规 5 2" xfId="328"/>
    <cellStyle name="常规 5 3" xfId="370"/>
    <cellStyle name="常规 5 4" xfId="371"/>
    <cellStyle name="常规 6" xfId="166"/>
    <cellStyle name="常规 6 2" xfId="265"/>
    <cellStyle name="常规 6 3" xfId="372"/>
    <cellStyle name="常规 6 4" xfId="373"/>
    <cellStyle name="常规 6 5" xfId="374"/>
    <cellStyle name="常规 7" xfId="266"/>
    <cellStyle name="常规 7 2" xfId="375"/>
    <cellStyle name="常规 7 3" xfId="376"/>
    <cellStyle name="常规 7 4" xfId="377"/>
    <cellStyle name="常规 8" xfId="378"/>
    <cellStyle name="常规 8 2" xfId="379"/>
    <cellStyle name="常规 8 3" xfId="380"/>
    <cellStyle name="常规 8 4" xfId="381"/>
    <cellStyle name="常规 9" xfId="382"/>
    <cellStyle name="常规 9 2" xfId="383"/>
    <cellStyle name="常规 9 3" xfId="384"/>
    <cellStyle name="常规 9 4" xfId="385"/>
    <cellStyle name="常规_2-1项目审定表－模板" xfId="2"/>
    <cellStyle name="常规_Book1" xfId="1"/>
    <cellStyle name="常规_Book1 2" xfId="336"/>
    <cellStyle name="常规_c-资产类" xfId="189"/>
    <cellStyle name="常规_F1短期投资及跌价准备" xfId="190"/>
    <cellStyle name="常规_sheet" xfId="331"/>
    <cellStyle name="常规_进一步审计程序--销售与收款循环" xfId="191"/>
    <cellStyle name="常规_进一步审计程序--销售与收款循环 2" xfId="393"/>
    <cellStyle name="常规_新审定表" xfId="3"/>
    <cellStyle name="常规_制造费用 2" xfId="338"/>
    <cellStyle name="超级链接_B4-1审计项目工时预算与控制表(集团)" xfId="167"/>
    <cellStyle name="超链接" xfId="192" builtinId="8"/>
    <cellStyle name="超链接 2" xfId="168"/>
    <cellStyle name="超链接 2 2" xfId="329"/>
    <cellStyle name="超链接 3" xfId="330"/>
    <cellStyle name="分级显示行_1_4附件二凯旋评估表" xfId="169"/>
    <cellStyle name="好_StartUp" xfId="267"/>
    <cellStyle name="好_T1000-主营业务收入" xfId="170"/>
    <cellStyle name="好_子公司附注汇总(房开公司)" xfId="268"/>
    <cellStyle name="桁区切り [0.00]_１１月価格表" xfId="171"/>
    <cellStyle name="桁区切り_１１月価格表" xfId="172"/>
    <cellStyle name="霓付 [0]_1202" xfId="269"/>
    <cellStyle name="霓付_1202" xfId="270"/>
    <cellStyle name="烹拳 [0]_1202" xfId="271"/>
    <cellStyle name="烹拳_1202" xfId="272"/>
    <cellStyle name="砯刽 [0]_PLDT" xfId="173"/>
    <cellStyle name="砯刽_PLDT" xfId="174"/>
    <cellStyle name="普通_ 白土" xfId="175"/>
    <cellStyle name="千分位[0]_ 白土" xfId="176"/>
    <cellStyle name="千分位_ 白土" xfId="177"/>
    <cellStyle name="千位[0]_ 应交税金审定表" xfId="178"/>
    <cellStyle name="千位_ 应交税金审定表" xfId="179"/>
    <cellStyle name="千位分隔 2" xfId="180"/>
    <cellStyle name="千位分隔 2 2" xfId="386"/>
    <cellStyle name="千位分隔 2 3" xfId="195"/>
    <cellStyle name="千位分隔 2 3 2" xfId="387"/>
    <cellStyle name="千位分隔 2 4" xfId="388"/>
    <cellStyle name="千位分隔 3" xfId="194"/>
    <cellStyle name="千位分隔 3 2" xfId="389"/>
    <cellStyle name="千位分隔 3 3" xfId="390"/>
    <cellStyle name="千位分隔 6" xfId="395"/>
    <cellStyle name="千位分隔[0] 2" xfId="273"/>
    <cellStyle name="钎霖_(沥焊何巩)岿喊牢盔拌裙" xfId="274"/>
    <cellStyle name="通貨 [0.00]_１１月価格表" xfId="181"/>
    <cellStyle name="通貨_１１月価格表" xfId="182"/>
    <cellStyle name="样式 1" xfId="183"/>
    <cellStyle name="样式 1 2" xfId="334"/>
    <cellStyle name="昗弨_BOOKSHIP" xfId="275"/>
    <cellStyle name="寘嬫愗傝 [0.00]_PRODUCT DETAIL Q1" xfId="276"/>
    <cellStyle name="寘嬫愗傝_PRODUCT DETAIL Q1" xfId="277"/>
    <cellStyle name="资产" xfId="278"/>
    <cellStyle name="콤마 [0]_BOILER-CO1" xfId="184"/>
    <cellStyle name="콤마_BOILER-CO1" xfId="185"/>
    <cellStyle name="통화 [0]_BOILER-CO1" xfId="186"/>
    <cellStyle name="통화_BOILER-CO1" xfId="187"/>
    <cellStyle name="표준_0N-HANDLING " xfId="188"/>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10</xdr:col>
      <xdr:colOff>666750</xdr:colOff>
      <xdr:row>173</xdr:row>
      <xdr:rowOff>153706</xdr:rowOff>
    </xdr:to>
    <xdr:pic>
      <xdr:nvPicPr>
        <xdr:cNvPr id="10" name="图片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1" cstate="print"/>
        <a:stretch>
          <a:fillRect/>
        </a:stretch>
      </xdr:blipFill>
      <xdr:spPr>
        <a:xfrm>
          <a:off x="123825" y="26231850"/>
          <a:ext cx="6838950" cy="3582706"/>
        </a:xfrm>
        <a:prstGeom prst="rect">
          <a:avLst/>
        </a:prstGeom>
      </xdr:spPr>
    </xdr:pic>
    <xdr:clientData/>
  </xdr:twoCellAnchor>
  <xdr:twoCellAnchor editAs="oneCell">
    <xdr:from>
      <xdr:col>1</xdr:col>
      <xdr:colOff>1</xdr:colOff>
      <xdr:row>3</xdr:row>
      <xdr:rowOff>1</xdr:rowOff>
    </xdr:from>
    <xdr:to>
      <xdr:col>10</xdr:col>
      <xdr:colOff>666751</xdr:colOff>
      <xdr:row>17</xdr:row>
      <xdr:rowOff>103043</xdr:rowOff>
    </xdr:to>
    <xdr:pic>
      <xdr:nvPicPr>
        <xdr:cNvPr id="13" name="图片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2" cstate="print"/>
        <a:stretch>
          <a:fillRect/>
        </a:stretch>
      </xdr:blipFill>
      <xdr:spPr>
        <a:xfrm>
          <a:off x="123826" y="514351"/>
          <a:ext cx="6838950" cy="2503342"/>
        </a:xfrm>
        <a:prstGeom prst="rect">
          <a:avLst/>
        </a:prstGeom>
      </xdr:spPr>
    </xdr:pic>
    <xdr:clientData/>
  </xdr:twoCellAnchor>
  <xdr:twoCellAnchor editAs="oneCell">
    <xdr:from>
      <xdr:col>1</xdr:col>
      <xdr:colOff>0</xdr:colOff>
      <xdr:row>19</xdr:row>
      <xdr:rowOff>0</xdr:rowOff>
    </xdr:from>
    <xdr:to>
      <xdr:col>10</xdr:col>
      <xdr:colOff>654314</xdr:colOff>
      <xdr:row>38</xdr:row>
      <xdr:rowOff>133349</xdr:rowOff>
    </xdr:to>
    <xdr:pic>
      <xdr:nvPicPr>
        <xdr:cNvPr id="14" name="图片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3" cstate="print"/>
        <a:stretch>
          <a:fillRect/>
        </a:stretch>
      </xdr:blipFill>
      <xdr:spPr>
        <a:xfrm>
          <a:off x="123825" y="3257550"/>
          <a:ext cx="6826514" cy="3390899"/>
        </a:xfrm>
        <a:prstGeom prst="rect">
          <a:avLst/>
        </a:prstGeom>
      </xdr:spPr>
    </xdr:pic>
    <xdr:clientData/>
  </xdr:twoCellAnchor>
  <xdr:twoCellAnchor editAs="oneCell">
    <xdr:from>
      <xdr:col>1</xdr:col>
      <xdr:colOff>0</xdr:colOff>
      <xdr:row>40</xdr:row>
      <xdr:rowOff>0</xdr:rowOff>
    </xdr:from>
    <xdr:to>
      <xdr:col>10</xdr:col>
      <xdr:colOff>647700</xdr:colOff>
      <xdr:row>47</xdr:row>
      <xdr:rowOff>147627</xdr:rowOff>
    </xdr:to>
    <xdr:pic>
      <xdr:nvPicPr>
        <xdr:cNvPr id="15" name="图片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4" cstate="print"/>
        <a:stretch>
          <a:fillRect/>
        </a:stretch>
      </xdr:blipFill>
      <xdr:spPr>
        <a:xfrm>
          <a:off x="123825" y="6858000"/>
          <a:ext cx="6819900" cy="1347777"/>
        </a:xfrm>
        <a:prstGeom prst="rect">
          <a:avLst/>
        </a:prstGeom>
      </xdr:spPr>
    </xdr:pic>
    <xdr:clientData/>
  </xdr:twoCellAnchor>
  <xdr:twoCellAnchor editAs="oneCell">
    <xdr:from>
      <xdr:col>1</xdr:col>
      <xdr:colOff>0</xdr:colOff>
      <xdr:row>49</xdr:row>
      <xdr:rowOff>0</xdr:rowOff>
    </xdr:from>
    <xdr:to>
      <xdr:col>10</xdr:col>
      <xdr:colOff>657225</xdr:colOff>
      <xdr:row>59</xdr:row>
      <xdr:rowOff>160244</xdr:rowOff>
    </xdr:to>
    <xdr:pic>
      <xdr:nvPicPr>
        <xdr:cNvPr id="16" name="图片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5" cstate="print"/>
        <a:stretch>
          <a:fillRect/>
        </a:stretch>
      </xdr:blipFill>
      <xdr:spPr>
        <a:xfrm>
          <a:off x="123825" y="8401050"/>
          <a:ext cx="6829425" cy="187474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21"/>
  <sheetViews>
    <sheetView tabSelected="1" workbookViewId="0"/>
  </sheetViews>
  <sheetFormatPr defaultColWidth="9" defaultRowHeight="20.25" customHeight="1"/>
  <cols>
    <col min="1" max="1" width="83.44140625" style="24" customWidth="1"/>
    <col min="2" max="2" width="2" style="24" customWidth="1"/>
    <col min="3" max="3" width="2.109375" style="24" customWidth="1"/>
    <col min="4" max="4" width="6.109375" style="22" customWidth="1"/>
    <col min="5" max="5" width="33.33203125" style="22" customWidth="1"/>
    <col min="6" max="6" width="20.44140625" style="22" bestFit="1" customWidth="1"/>
    <col min="7" max="16384" width="9" style="23"/>
  </cols>
  <sheetData>
    <row r="1" spans="1:8" s="80" customFormat="1" ht="20.25" customHeight="1">
      <c r="A1" s="29" t="s">
        <v>13</v>
      </c>
      <c r="B1" s="192"/>
      <c r="C1" s="192"/>
    </row>
    <row r="2" spans="1:8" s="195" customFormat="1" ht="20.25" customHeight="1">
      <c r="A2" s="21" t="s">
        <v>216</v>
      </c>
      <c r="B2" s="193"/>
      <c r="C2" s="193"/>
      <c r="D2" s="22"/>
      <c r="E2" s="22"/>
      <c r="F2" s="22"/>
      <c r="G2" s="194"/>
      <c r="H2" s="194"/>
    </row>
    <row r="3" spans="1:8" s="195" customFormat="1" ht="20.25" customHeight="1">
      <c r="A3" s="319" t="s">
        <v>385</v>
      </c>
      <c r="B3" s="193"/>
      <c r="C3" s="193"/>
      <c r="D3" s="267" t="s">
        <v>353</v>
      </c>
      <c r="E3" s="267" t="s">
        <v>345</v>
      </c>
      <c r="F3" s="267" t="s">
        <v>346</v>
      </c>
      <c r="G3" s="194"/>
      <c r="H3" s="196"/>
    </row>
    <row r="4" spans="1:8" s="195" customFormat="1" ht="20.25" customHeight="1">
      <c r="A4" s="21" t="s">
        <v>14</v>
      </c>
      <c r="B4" s="22"/>
      <c r="C4" s="22"/>
      <c r="D4" s="268"/>
      <c r="E4" s="269" t="s">
        <v>347</v>
      </c>
      <c r="F4" s="271" t="s">
        <v>212</v>
      </c>
      <c r="G4" s="194"/>
      <c r="H4" s="197"/>
    </row>
    <row r="5" spans="1:8" s="195" customFormat="1" ht="20.25" customHeight="1">
      <c r="A5" s="21" t="s">
        <v>182</v>
      </c>
      <c r="B5" s="22"/>
      <c r="C5" s="22"/>
      <c r="D5" s="268">
        <v>1</v>
      </c>
      <c r="E5" s="269" t="s">
        <v>354</v>
      </c>
      <c r="F5" s="271" t="s">
        <v>283</v>
      </c>
      <c r="G5" s="195" t="s">
        <v>93</v>
      </c>
    </row>
    <row r="6" spans="1:8" s="195" customFormat="1" ht="20.25" customHeight="1">
      <c r="A6" s="21" t="s">
        <v>1</v>
      </c>
      <c r="B6" s="22"/>
      <c r="C6" s="22"/>
      <c r="D6" s="268">
        <v>2</v>
      </c>
      <c r="E6" s="270" t="s">
        <v>348</v>
      </c>
      <c r="F6" s="271"/>
      <c r="G6" s="195" t="s">
        <v>93</v>
      </c>
    </row>
    <row r="7" spans="1:8" s="195" customFormat="1" ht="20.25" customHeight="1">
      <c r="A7" s="21" t="s">
        <v>183</v>
      </c>
      <c r="B7" s="22"/>
      <c r="C7" s="22"/>
      <c r="D7" s="268">
        <v>3</v>
      </c>
      <c r="E7" s="270" t="s">
        <v>352</v>
      </c>
      <c r="F7" s="271"/>
    </row>
    <row r="8" spans="1:8" s="195" customFormat="1" ht="20.25" customHeight="1">
      <c r="A8" s="22"/>
      <c r="B8" s="22"/>
      <c r="C8" s="22"/>
      <c r="D8" s="268">
        <v>4</v>
      </c>
      <c r="E8" s="270" t="s">
        <v>355</v>
      </c>
      <c r="F8" s="271" t="s">
        <v>213</v>
      </c>
    </row>
    <row r="9" spans="1:8" s="195" customFormat="1" ht="19.95" customHeight="1">
      <c r="A9" s="320" t="s">
        <v>386</v>
      </c>
      <c r="B9" s="22"/>
      <c r="C9" s="22"/>
      <c r="D9" s="268">
        <v>5</v>
      </c>
      <c r="E9" s="270" t="s">
        <v>349</v>
      </c>
      <c r="F9" s="271" t="s">
        <v>284</v>
      </c>
    </row>
    <row r="10" spans="1:8" s="195" customFormat="1" ht="19.95" customHeight="1">
      <c r="A10" s="334" t="s">
        <v>387</v>
      </c>
      <c r="B10" s="22"/>
      <c r="C10" s="22"/>
      <c r="D10" s="268">
        <v>6</v>
      </c>
      <c r="E10" s="270" t="s">
        <v>350</v>
      </c>
      <c r="F10" s="271" t="s">
        <v>214</v>
      </c>
    </row>
    <row r="11" spans="1:8" s="195" customFormat="1" ht="19.95" customHeight="1">
      <c r="A11" s="334"/>
      <c r="B11" s="22"/>
      <c r="C11" s="22"/>
      <c r="D11" s="268">
        <v>7</v>
      </c>
      <c r="E11" s="269" t="s">
        <v>356</v>
      </c>
      <c r="F11" s="271" t="s">
        <v>285</v>
      </c>
    </row>
    <row r="12" spans="1:8" s="195" customFormat="1" ht="19.95" customHeight="1">
      <c r="A12" s="334"/>
      <c r="B12" s="22"/>
      <c r="C12" s="22"/>
      <c r="D12" s="268">
        <v>8</v>
      </c>
      <c r="E12" s="321" t="s">
        <v>398</v>
      </c>
      <c r="F12" s="271" t="s">
        <v>390</v>
      </c>
    </row>
    <row r="13" spans="1:8" ht="19.95" customHeight="1">
      <c r="A13" s="334"/>
      <c r="D13" s="268">
        <v>9</v>
      </c>
      <c r="E13" s="321" t="s">
        <v>399</v>
      </c>
      <c r="F13" s="271" t="s">
        <v>391</v>
      </c>
      <c r="G13" s="71"/>
    </row>
    <row r="14" spans="1:8" ht="19.95" customHeight="1">
      <c r="A14" s="334" t="s">
        <v>388</v>
      </c>
      <c r="D14" s="268">
        <v>10</v>
      </c>
      <c r="E14" s="321" t="s">
        <v>400</v>
      </c>
      <c r="F14" s="271" t="s">
        <v>392</v>
      </c>
    </row>
    <row r="15" spans="1:8" ht="19.95" customHeight="1">
      <c r="A15" s="334"/>
      <c r="D15" s="268">
        <v>11</v>
      </c>
      <c r="E15" s="321" t="s">
        <v>401</v>
      </c>
      <c r="F15" s="271" t="s">
        <v>393</v>
      </c>
    </row>
    <row r="16" spans="1:8" ht="19.95" customHeight="1">
      <c r="A16" s="334"/>
      <c r="D16" s="268">
        <v>12</v>
      </c>
      <c r="E16" s="321" t="s">
        <v>402</v>
      </c>
      <c r="F16" s="271" t="s">
        <v>394</v>
      </c>
    </row>
    <row r="17" spans="1:6" ht="19.95" customHeight="1">
      <c r="A17" s="335" t="s">
        <v>389</v>
      </c>
      <c r="D17" s="268">
        <v>13</v>
      </c>
      <c r="E17" s="321" t="s">
        <v>403</v>
      </c>
      <c r="F17" s="271" t="s">
        <v>395</v>
      </c>
    </row>
    <row r="18" spans="1:6" ht="19.95" customHeight="1">
      <c r="A18" s="335"/>
      <c r="D18" s="268">
        <v>14</v>
      </c>
      <c r="E18" s="321" t="s">
        <v>404</v>
      </c>
      <c r="F18" s="271" t="s">
        <v>396</v>
      </c>
    </row>
    <row r="19" spans="1:6" ht="19.95" customHeight="1">
      <c r="A19" s="335"/>
      <c r="D19" s="268">
        <v>15</v>
      </c>
      <c r="E19" s="321" t="s">
        <v>405</v>
      </c>
      <c r="F19" s="271" t="s">
        <v>397</v>
      </c>
    </row>
    <row r="20" spans="1:6" ht="20.25" customHeight="1">
      <c r="D20" s="268">
        <v>16</v>
      </c>
      <c r="E20" s="270" t="s">
        <v>351</v>
      </c>
      <c r="F20" s="271" t="s">
        <v>215</v>
      </c>
    </row>
    <row r="21" spans="1:6" ht="20.25" customHeight="1">
      <c r="E21" s="25"/>
    </row>
  </sheetData>
  <mergeCells count="3">
    <mergeCell ref="A10:A13"/>
    <mergeCell ref="A14:A16"/>
    <mergeCell ref="A17:A19"/>
  </mergeCells>
  <phoneticPr fontId="3" type="noConversion"/>
  <hyperlinks>
    <hyperlink ref="E5" location="'审定表G8-1'!A1" display="审定表"/>
    <hyperlink ref="E6" location="'附注披露信息（上市公司）'!A1" display="附注披露信息（上市公司）"/>
    <hyperlink ref="E7" location="'附注披露信息（国企）'!A1" display="附注披露信息（国企）"/>
    <hyperlink ref="E8" location="'明细表G8-2'!A1" display="明细表"/>
    <hyperlink ref="E10" location="'公允价值测试表G8-4'!A1" display="公允价值测试表"/>
    <hyperlink ref="E11" location="'指定的适当性检查表G8-5'!A1" display="指定的适当性检查表"/>
    <hyperlink ref="E20" location="'凭证检查表G8-6'!A1" display="凭证检查表"/>
    <hyperlink ref="E4" location="其他权益工具投资实质性程序表G8A!A1" display="其他权益工具投资实质性程序表"/>
    <hyperlink ref="E9" location="'调整分录汇总G8-3'!A1" display="调整分录汇总"/>
  </hyperlinks>
  <printOptions horizontalCentered="1"/>
  <pageMargins left="0.47244094488188981" right="0.23622047244094491" top="0.35433070866141736" bottom="0.35433070866141736" header="0.31496062992125984" footer="0.19685039370078741"/>
  <pageSetup paperSize="9" scale="95" fitToHeight="0" orientation="landscape" blackAndWhite="1"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30"/>
  <sheetViews>
    <sheetView view="pageBreakPreview" zoomScaleNormal="100" zoomScaleSheetLayoutView="100" workbookViewId="0">
      <selection sqref="A1:I1"/>
    </sheetView>
  </sheetViews>
  <sheetFormatPr defaultColWidth="9" defaultRowHeight="13.2"/>
  <cols>
    <col min="1" max="1" width="4.88671875" style="89" customWidth="1"/>
    <col min="2" max="2" width="75.33203125" style="85" customWidth="1"/>
    <col min="3" max="3" width="11.21875" style="85" customWidth="1"/>
    <col min="4" max="4" width="6.21875" style="85" customWidth="1"/>
    <col min="5" max="5" width="6.33203125" style="85" customWidth="1"/>
    <col min="6" max="6" width="6.44140625" style="85" customWidth="1"/>
    <col min="7" max="7" width="7.44140625" style="85" customWidth="1"/>
    <col min="8" max="8" width="5.21875" style="85" customWidth="1"/>
    <col min="9" max="9" width="7.44140625" style="85" customWidth="1"/>
    <col min="10" max="16384" width="9" style="85"/>
  </cols>
  <sheetData>
    <row r="1" spans="1:9" s="171" customFormat="1" ht="19.95" customHeight="1">
      <c r="A1" s="348" t="s">
        <v>291</v>
      </c>
      <c r="B1" s="348"/>
      <c r="C1" s="348"/>
      <c r="D1" s="348"/>
      <c r="E1" s="348"/>
      <c r="F1" s="348"/>
      <c r="G1" s="348"/>
      <c r="H1" s="348"/>
      <c r="I1" s="348"/>
    </row>
    <row r="2" spans="1:9" s="176" customFormat="1" ht="19.95" customHeight="1">
      <c r="A2" s="349" t="s">
        <v>178</v>
      </c>
      <c r="B2" s="349"/>
      <c r="C2" s="349"/>
      <c r="D2" s="349"/>
      <c r="E2" s="349"/>
      <c r="F2" s="349"/>
      <c r="G2" s="349"/>
      <c r="H2" s="349"/>
      <c r="I2" s="349"/>
    </row>
    <row r="3" spans="1:9" s="198" customFormat="1" ht="19.95" customHeight="1">
      <c r="A3" s="350" t="str">
        <f>底稿目录!A2</f>
        <v>被审计单位：</v>
      </c>
      <c r="B3" s="350"/>
      <c r="C3" s="198" t="str">
        <f>底稿目录!A4</f>
        <v>编制人：</v>
      </c>
      <c r="F3" s="198" t="str">
        <f>底稿目录!A5</f>
        <v>编制日期：</v>
      </c>
      <c r="H3" s="198" t="s">
        <v>217</v>
      </c>
      <c r="I3" s="294" t="str">
        <f>底稿目录!F4</f>
        <v>G8A</v>
      </c>
    </row>
    <row r="4" spans="1:9" s="198" customFormat="1" ht="19.95" customHeight="1">
      <c r="A4" s="350" t="str">
        <f>底稿目录!A3</f>
        <v>截止日：202X年12月31日</v>
      </c>
      <c r="B4" s="350"/>
      <c r="C4" s="198" t="str">
        <f>底稿目录!A6</f>
        <v>复核人：</v>
      </c>
      <c r="F4" s="198" t="str">
        <f>底稿目录!A7</f>
        <v>复核日期：</v>
      </c>
      <c r="H4" s="199" t="s">
        <v>304</v>
      </c>
    </row>
    <row r="5" spans="1:9" ht="19.95" customHeight="1">
      <c r="A5" s="351" t="s">
        <v>163</v>
      </c>
      <c r="B5" s="351"/>
      <c r="C5" s="221"/>
      <c r="D5" s="221"/>
      <c r="E5" s="221"/>
      <c r="F5" s="221"/>
      <c r="G5" s="221"/>
      <c r="H5" s="221"/>
      <c r="I5" s="221"/>
    </row>
    <row r="6" spans="1:9" ht="19.95" customHeight="1">
      <c r="A6" s="346" t="s">
        <v>179</v>
      </c>
      <c r="B6" s="347"/>
      <c r="C6" s="347"/>
      <c r="D6" s="347"/>
      <c r="E6" s="347"/>
      <c r="F6" s="347"/>
      <c r="G6" s="347"/>
      <c r="H6" s="347"/>
      <c r="I6" s="347"/>
    </row>
    <row r="7" spans="1:9" s="84" customFormat="1" ht="19.95" customHeight="1">
      <c r="A7" s="222" t="s">
        <v>235</v>
      </c>
      <c r="B7" s="223"/>
      <c r="C7" s="224"/>
      <c r="D7" s="225"/>
      <c r="E7" s="225"/>
      <c r="F7" s="225"/>
      <c r="G7" s="225"/>
      <c r="H7" s="225"/>
      <c r="I7" s="225"/>
    </row>
    <row r="8" spans="1:9" s="84" customFormat="1" ht="19.95" customHeight="1">
      <c r="A8" s="336" t="s">
        <v>236</v>
      </c>
      <c r="B8" s="336"/>
      <c r="C8" s="336"/>
      <c r="D8" s="336"/>
      <c r="E8" s="336"/>
      <c r="F8" s="336"/>
      <c r="G8" s="338" t="s">
        <v>164</v>
      </c>
      <c r="H8" s="338"/>
      <c r="I8" s="338"/>
    </row>
    <row r="9" spans="1:9" s="84" customFormat="1" ht="19.95" customHeight="1">
      <c r="A9" s="337" t="s">
        <v>275</v>
      </c>
      <c r="B9" s="337"/>
      <c r="C9" s="337"/>
      <c r="D9" s="337"/>
      <c r="E9" s="337"/>
      <c r="F9" s="337"/>
      <c r="G9" s="339" t="s">
        <v>237</v>
      </c>
      <c r="H9" s="339"/>
      <c r="I9" s="339"/>
    </row>
    <row r="10" spans="1:9" s="84" customFormat="1" ht="19.95" customHeight="1">
      <c r="A10" s="337" t="s">
        <v>276</v>
      </c>
      <c r="B10" s="337"/>
      <c r="C10" s="337"/>
      <c r="D10" s="337"/>
      <c r="E10" s="337"/>
      <c r="F10" s="337"/>
      <c r="G10" s="339" t="s">
        <v>238</v>
      </c>
      <c r="H10" s="339"/>
      <c r="I10" s="339"/>
    </row>
    <row r="11" spans="1:9" s="84" customFormat="1" ht="19.95" customHeight="1">
      <c r="A11" s="337" t="s">
        <v>277</v>
      </c>
      <c r="B11" s="337"/>
      <c r="C11" s="337"/>
      <c r="D11" s="337"/>
      <c r="E11" s="337"/>
      <c r="F11" s="337"/>
      <c r="G11" s="339" t="s">
        <v>239</v>
      </c>
      <c r="H11" s="339"/>
      <c r="I11" s="339"/>
    </row>
    <row r="12" spans="1:9" s="84" customFormat="1" ht="19.95" customHeight="1">
      <c r="A12" s="337" t="s">
        <v>278</v>
      </c>
      <c r="B12" s="337"/>
      <c r="C12" s="337"/>
      <c r="D12" s="337"/>
      <c r="E12" s="337"/>
      <c r="F12" s="337"/>
      <c r="G12" s="339" t="s">
        <v>240</v>
      </c>
      <c r="H12" s="339"/>
      <c r="I12" s="339"/>
    </row>
    <row r="13" spans="1:9" s="84" customFormat="1" ht="19.95" customHeight="1">
      <c r="A13" s="337" t="s">
        <v>279</v>
      </c>
      <c r="B13" s="337"/>
      <c r="C13" s="337"/>
      <c r="D13" s="337"/>
      <c r="E13" s="337"/>
      <c r="F13" s="337"/>
      <c r="G13" s="339" t="s">
        <v>241</v>
      </c>
      <c r="H13" s="339"/>
      <c r="I13" s="339"/>
    </row>
    <row r="14" spans="1:9" s="84" customFormat="1" ht="19.95" customHeight="1">
      <c r="A14" s="343" t="s">
        <v>372</v>
      </c>
      <c r="B14" s="344"/>
      <c r="C14" s="227"/>
      <c r="D14" s="226"/>
      <c r="E14" s="226"/>
      <c r="F14" s="226"/>
      <c r="G14" s="226"/>
      <c r="H14" s="226"/>
      <c r="I14" s="226"/>
    </row>
    <row r="15" spans="1:9" s="84" customFormat="1" ht="19.95" customHeight="1">
      <c r="A15" s="345" t="s">
        <v>242</v>
      </c>
      <c r="B15" s="340" t="s">
        <v>165</v>
      </c>
      <c r="C15" s="340" t="s">
        <v>243</v>
      </c>
      <c r="D15" s="341" t="s">
        <v>244</v>
      </c>
      <c r="E15" s="342"/>
      <c r="F15" s="342"/>
      <c r="G15" s="342"/>
      <c r="H15" s="342"/>
      <c r="I15" s="336" t="s">
        <v>245</v>
      </c>
    </row>
    <row r="16" spans="1:9" s="84" customFormat="1" ht="36">
      <c r="A16" s="345"/>
      <c r="B16" s="340"/>
      <c r="C16" s="340"/>
      <c r="D16" s="317" t="s">
        <v>237</v>
      </c>
      <c r="E16" s="317" t="s">
        <v>238</v>
      </c>
      <c r="F16" s="316" t="s">
        <v>246</v>
      </c>
      <c r="G16" s="316" t="s">
        <v>240</v>
      </c>
      <c r="H16" s="316" t="s">
        <v>241</v>
      </c>
      <c r="I16" s="336"/>
    </row>
    <row r="17" spans="1:9" ht="142.80000000000001" customHeight="1">
      <c r="A17" s="152" t="s">
        <v>247</v>
      </c>
      <c r="B17" s="153" t="s">
        <v>373</v>
      </c>
      <c r="C17" s="158" t="s">
        <v>248</v>
      </c>
      <c r="D17" s="280" t="s">
        <v>258</v>
      </c>
      <c r="E17" s="280" t="s">
        <v>258</v>
      </c>
      <c r="F17" s="281"/>
      <c r="G17" s="282" t="s">
        <v>258</v>
      </c>
      <c r="H17" s="283"/>
      <c r="I17" s="228" t="s">
        <v>406</v>
      </c>
    </row>
    <row r="18" spans="1:9" ht="50.4" customHeight="1">
      <c r="A18" s="152" t="s">
        <v>251</v>
      </c>
      <c r="B18" s="153" t="s">
        <v>252</v>
      </c>
      <c r="C18" s="158" t="s">
        <v>166</v>
      </c>
      <c r="D18" s="318"/>
      <c r="E18" s="156" t="s">
        <v>250</v>
      </c>
      <c r="F18" s="154"/>
      <c r="G18" s="154" t="s">
        <v>249</v>
      </c>
      <c r="H18" s="156"/>
      <c r="I18" s="284" t="s">
        <v>407</v>
      </c>
    </row>
    <row r="19" spans="1:9" ht="60" collapsed="1">
      <c r="A19" s="152" t="s">
        <v>167</v>
      </c>
      <c r="B19" s="88" t="s">
        <v>375</v>
      </c>
      <c r="C19" s="158" t="s">
        <v>374</v>
      </c>
      <c r="D19" s="282" t="s">
        <v>258</v>
      </c>
      <c r="E19" s="280" t="s">
        <v>258</v>
      </c>
      <c r="F19" s="280" t="s">
        <v>258</v>
      </c>
      <c r="G19" s="280" t="s">
        <v>258</v>
      </c>
      <c r="H19" s="323"/>
      <c r="I19" s="228"/>
    </row>
    <row r="20" spans="1:9" ht="79.2" customHeight="1">
      <c r="A20" s="152" t="s">
        <v>168</v>
      </c>
      <c r="B20" s="88" t="s">
        <v>280</v>
      </c>
      <c r="C20" s="158" t="s">
        <v>248</v>
      </c>
      <c r="D20" s="282" t="s">
        <v>379</v>
      </c>
      <c r="E20" s="281"/>
      <c r="F20" s="281"/>
      <c r="G20" s="280" t="s">
        <v>379</v>
      </c>
      <c r="H20" s="281"/>
      <c r="I20" s="228" t="s">
        <v>380</v>
      </c>
    </row>
    <row r="21" spans="1:9" ht="147.6" customHeight="1">
      <c r="A21" s="152" t="s">
        <v>169</v>
      </c>
      <c r="B21" s="88" t="s">
        <v>274</v>
      </c>
      <c r="C21" s="158" t="s">
        <v>254</v>
      </c>
      <c r="D21" s="280" t="s">
        <v>258</v>
      </c>
      <c r="E21" s="280" t="s">
        <v>258</v>
      </c>
      <c r="F21" s="281"/>
      <c r="G21" s="280" t="s">
        <v>258</v>
      </c>
      <c r="H21" s="285"/>
      <c r="I21" s="228" t="s">
        <v>381</v>
      </c>
    </row>
    <row r="22" spans="1:9" ht="108" customHeight="1">
      <c r="A22" s="152" t="s">
        <v>170</v>
      </c>
      <c r="B22" s="88" t="s">
        <v>376</v>
      </c>
      <c r="C22" s="158" t="s">
        <v>166</v>
      </c>
      <c r="D22" s="154" t="s">
        <v>253</v>
      </c>
      <c r="E22" s="154" t="s">
        <v>257</v>
      </c>
      <c r="F22" s="155"/>
      <c r="G22" s="156" t="s">
        <v>257</v>
      </c>
      <c r="H22" s="324"/>
      <c r="I22" s="324" t="s">
        <v>384</v>
      </c>
    </row>
    <row r="23" spans="1:9" ht="106.8" customHeight="1">
      <c r="A23" s="152" t="s">
        <v>171</v>
      </c>
      <c r="B23" s="88" t="s">
        <v>273</v>
      </c>
      <c r="C23" s="158" t="s">
        <v>166</v>
      </c>
      <c r="D23" s="282" t="s">
        <v>258</v>
      </c>
      <c r="E23" s="280"/>
      <c r="F23" s="282" t="s">
        <v>258</v>
      </c>
      <c r="G23" s="280" t="s">
        <v>258</v>
      </c>
      <c r="H23" s="285"/>
      <c r="I23" s="324" t="s">
        <v>382</v>
      </c>
    </row>
    <row r="24" spans="1:9" ht="152.4" customHeight="1">
      <c r="A24" s="152" t="s">
        <v>172</v>
      </c>
      <c r="B24" s="157" t="s">
        <v>255</v>
      </c>
      <c r="C24" s="158" t="s">
        <v>256</v>
      </c>
      <c r="D24" s="282" t="s">
        <v>258</v>
      </c>
      <c r="E24" s="280" t="s">
        <v>258</v>
      </c>
      <c r="F24" s="280" t="s">
        <v>258</v>
      </c>
      <c r="G24" s="282" t="s">
        <v>258</v>
      </c>
      <c r="H24" s="285"/>
      <c r="I24" s="324" t="s">
        <v>286</v>
      </c>
    </row>
    <row r="25" spans="1:9" ht="42.6" customHeight="1">
      <c r="A25" s="152" t="s">
        <v>173</v>
      </c>
      <c r="B25" s="88" t="s">
        <v>268</v>
      </c>
      <c r="C25" s="158" t="s">
        <v>166</v>
      </c>
      <c r="D25" s="282" t="s">
        <v>383</v>
      </c>
      <c r="E25" s="280" t="s">
        <v>383</v>
      </c>
      <c r="F25" s="281"/>
      <c r="G25" s="280" t="s">
        <v>383</v>
      </c>
      <c r="H25" s="280"/>
      <c r="I25" s="324" t="s">
        <v>287</v>
      </c>
    </row>
    <row r="26" spans="1:9" ht="72" customHeight="1">
      <c r="A26" s="152" t="s">
        <v>174</v>
      </c>
      <c r="B26" s="88" t="s">
        <v>269</v>
      </c>
      <c r="C26" s="158" t="s">
        <v>259</v>
      </c>
      <c r="D26" s="87"/>
      <c r="E26" s="87"/>
      <c r="F26" s="87"/>
      <c r="G26" s="156" t="s">
        <v>253</v>
      </c>
      <c r="H26" s="154"/>
      <c r="I26" s="324" t="s">
        <v>288</v>
      </c>
    </row>
    <row r="27" spans="1:9" ht="33.6" customHeight="1">
      <c r="A27" s="152" t="s">
        <v>175</v>
      </c>
      <c r="B27" s="86" t="s">
        <v>260</v>
      </c>
      <c r="C27" s="158" t="s">
        <v>259</v>
      </c>
      <c r="D27" s="87"/>
      <c r="E27" s="87"/>
      <c r="F27" s="156" t="s">
        <v>253</v>
      </c>
      <c r="G27" s="87"/>
      <c r="H27" s="324"/>
      <c r="I27" s="324" t="s">
        <v>289</v>
      </c>
    </row>
    <row r="28" spans="1:9" ht="121.2" customHeight="1">
      <c r="A28" s="152" t="s">
        <v>176</v>
      </c>
      <c r="B28" s="88" t="s">
        <v>282</v>
      </c>
      <c r="C28" s="158" t="s">
        <v>166</v>
      </c>
      <c r="D28" s="156" t="s">
        <v>258</v>
      </c>
      <c r="E28" s="154" t="s">
        <v>258</v>
      </c>
      <c r="F28" s="154" t="s">
        <v>258</v>
      </c>
      <c r="G28" s="156" t="s">
        <v>258</v>
      </c>
      <c r="H28" s="154" t="s">
        <v>258</v>
      </c>
      <c r="I28" s="324" t="s">
        <v>371</v>
      </c>
    </row>
    <row r="29" spans="1:9" ht="39.6" customHeight="1">
      <c r="A29" s="152" t="s">
        <v>263</v>
      </c>
      <c r="B29" s="86" t="s">
        <v>281</v>
      </c>
      <c r="C29" s="280" t="s">
        <v>378</v>
      </c>
      <c r="D29" s="156"/>
      <c r="E29" s="154"/>
      <c r="F29" s="156"/>
      <c r="G29" s="154"/>
      <c r="H29" s="324"/>
      <c r="I29" s="324"/>
    </row>
    <row r="30" spans="1:9" ht="28.2" customHeight="1">
      <c r="A30" s="152" t="s">
        <v>261</v>
      </c>
      <c r="B30" s="279" t="s">
        <v>377</v>
      </c>
      <c r="C30" s="158" t="s">
        <v>177</v>
      </c>
      <c r="D30" s="87"/>
      <c r="E30" s="87"/>
      <c r="F30" s="87"/>
      <c r="G30" s="87"/>
      <c r="H30" s="156" t="s">
        <v>262</v>
      </c>
      <c r="I30" s="322" t="s">
        <v>408</v>
      </c>
    </row>
  </sheetData>
  <mergeCells count="24">
    <mergeCell ref="A6:I6"/>
    <mergeCell ref="A1:I1"/>
    <mergeCell ref="A2:I2"/>
    <mergeCell ref="A3:B3"/>
    <mergeCell ref="A4:B4"/>
    <mergeCell ref="A5:B5"/>
    <mergeCell ref="G13:I13"/>
    <mergeCell ref="C15:C16"/>
    <mergeCell ref="D15:H15"/>
    <mergeCell ref="I15:I16"/>
    <mergeCell ref="A14:B14"/>
    <mergeCell ref="A15:A16"/>
    <mergeCell ref="B15:B16"/>
    <mergeCell ref="A13:F13"/>
    <mergeCell ref="G8:I8"/>
    <mergeCell ref="G9:I9"/>
    <mergeCell ref="G10:I10"/>
    <mergeCell ref="G11:I11"/>
    <mergeCell ref="G12:I12"/>
    <mergeCell ref="A8:F8"/>
    <mergeCell ref="A9:F9"/>
    <mergeCell ref="A10:F10"/>
    <mergeCell ref="A11:F11"/>
    <mergeCell ref="A12:F12"/>
  </mergeCells>
  <phoneticPr fontId="3" type="noConversion"/>
  <hyperlinks>
    <hyperlink ref="I3" location="底稿目录!F4" display="底稿目录!F4"/>
  </hyperlinks>
  <printOptions horizontalCentered="1"/>
  <pageMargins left="0.47244094488188981" right="0.23622047244094491" top="0.35433070866141736" bottom="0.35433070866141736" header="0.31496062992125984" footer="0.19685039370078741"/>
  <pageSetup paperSize="9" scale="70" fitToWidth="0" fitToHeight="0" orientation="portrait" blackAndWhite="1"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K29"/>
  <sheetViews>
    <sheetView view="pageBreakPreview" zoomScaleSheetLayoutView="100" workbookViewId="0">
      <pane xSplit="1" ySplit="6" topLeftCell="B7" activePane="bottomRight" state="frozen"/>
      <selection activeCell="A14" sqref="A14:B14"/>
      <selection pane="topRight" activeCell="A14" sqref="A14:B14"/>
      <selection pane="bottomLeft" activeCell="A14" sqref="A14:B14"/>
      <selection pane="bottomRight" sqref="A1:J1"/>
    </sheetView>
  </sheetViews>
  <sheetFormatPr defaultColWidth="9" defaultRowHeight="23.25" customHeight="1"/>
  <cols>
    <col min="1" max="1" width="25.77734375" style="3" customWidth="1"/>
    <col min="2" max="2" width="14.21875" style="3" customWidth="1"/>
    <col min="3" max="3" width="11.33203125" style="3" customWidth="1"/>
    <col min="4" max="4" width="14.33203125" style="3" bestFit="1" customWidth="1"/>
    <col min="5" max="6" width="13" style="3" customWidth="1"/>
    <col min="7" max="7" width="14.33203125" style="3" bestFit="1" customWidth="1"/>
    <col min="8" max="8" width="14.44140625" style="3" customWidth="1"/>
    <col min="9" max="9" width="9.77734375" style="3" customWidth="1"/>
    <col min="10" max="11" width="13.44140625" style="3" customWidth="1"/>
    <col min="12" max="16384" width="9" style="3"/>
  </cols>
  <sheetData>
    <row r="1" spans="1:10" s="170" customFormat="1" ht="19.95" customHeight="1">
      <c r="A1" s="352" t="s">
        <v>292</v>
      </c>
      <c r="B1" s="352"/>
      <c r="C1" s="352"/>
      <c r="D1" s="352"/>
      <c r="E1" s="352"/>
      <c r="F1" s="352"/>
      <c r="G1" s="352"/>
      <c r="H1" s="352"/>
      <c r="I1" s="352"/>
      <c r="J1" s="352"/>
    </row>
    <row r="2" spans="1:10" s="182" customFormat="1" ht="19.95" customHeight="1">
      <c r="A2" s="353" t="s">
        <v>94</v>
      </c>
      <c r="B2" s="353"/>
      <c r="C2" s="353"/>
      <c r="D2" s="353"/>
      <c r="E2" s="353"/>
      <c r="F2" s="353"/>
      <c r="G2" s="353"/>
      <c r="H2" s="353"/>
      <c r="I2" s="353"/>
      <c r="J2" s="353"/>
    </row>
    <row r="3" spans="1:10" s="217" customFormat="1" ht="19.95" customHeight="1">
      <c r="A3" s="217" t="str">
        <f>底稿目录!A2</f>
        <v>被审计单位：</v>
      </c>
      <c r="D3" s="218" t="str">
        <f>底稿目录!A4</f>
        <v>编制人：</v>
      </c>
      <c r="G3" s="218" t="str">
        <f>底稿目录!A5</f>
        <v>编制日期：</v>
      </c>
      <c r="I3" s="218" t="s">
        <v>217</v>
      </c>
      <c r="J3" s="294" t="str">
        <f>底稿目录!F5</f>
        <v>G8-1</v>
      </c>
    </row>
    <row r="4" spans="1:10" s="217" customFormat="1" ht="19.95" customHeight="1">
      <c r="A4" s="217" t="str">
        <f>底稿目录!A3</f>
        <v>截止日：202X年12月31日</v>
      </c>
      <c r="B4" s="219"/>
      <c r="D4" s="218" t="str">
        <f>底稿目录!A6</f>
        <v>复核人：</v>
      </c>
      <c r="G4" s="218" t="str">
        <f>底稿目录!A7</f>
        <v>复核日期：</v>
      </c>
      <c r="I4" s="218" t="s">
        <v>306</v>
      </c>
    </row>
    <row r="5" spans="1:10" ht="19.95" customHeight="1">
      <c r="A5" s="354" t="s">
        <v>74</v>
      </c>
      <c r="B5" s="356" t="s">
        <v>75</v>
      </c>
      <c r="C5" s="357"/>
      <c r="D5" s="358"/>
      <c r="E5" s="356" t="s">
        <v>76</v>
      </c>
      <c r="F5" s="357"/>
      <c r="G5" s="358"/>
      <c r="H5" s="359" t="s">
        <v>77</v>
      </c>
      <c r="I5" s="360"/>
      <c r="J5" s="361" t="s">
        <v>78</v>
      </c>
    </row>
    <row r="6" spans="1:10" ht="19.95" customHeight="1">
      <c r="A6" s="355"/>
      <c r="B6" s="45" t="s">
        <v>79</v>
      </c>
      <c r="C6" s="45" t="s">
        <v>80</v>
      </c>
      <c r="D6" s="45" t="s">
        <v>81</v>
      </c>
      <c r="E6" s="45" t="s">
        <v>79</v>
      </c>
      <c r="F6" s="45" t="s">
        <v>80</v>
      </c>
      <c r="G6" s="45" t="s">
        <v>81</v>
      </c>
      <c r="H6" s="46" t="s">
        <v>82</v>
      </c>
      <c r="I6" s="47" t="s">
        <v>83</v>
      </c>
      <c r="J6" s="362"/>
    </row>
    <row r="7" spans="1:10" s="52" customFormat="1" ht="19.95" customHeight="1">
      <c r="A7" s="48" t="s">
        <v>96</v>
      </c>
      <c r="B7" s="125"/>
      <c r="C7" s="49"/>
      <c r="D7" s="49"/>
      <c r="E7" s="49"/>
      <c r="F7" s="49"/>
      <c r="G7" s="49"/>
      <c r="H7" s="50"/>
      <c r="I7" s="51"/>
      <c r="J7" s="50"/>
    </row>
    <row r="8" spans="1:10" s="52" customFormat="1" ht="19.95" customHeight="1">
      <c r="A8" s="93">
        <f>'明细表G8-2'!A11</f>
        <v>0</v>
      </c>
      <c r="B8" s="125">
        <f>'明细表G8-2'!E11</f>
        <v>0</v>
      </c>
      <c r="C8" s="126">
        <f>'明细表G8-2'!G11</f>
        <v>0</v>
      </c>
      <c r="D8" s="126">
        <f t="shared" ref="D8:D17" si="0">B8+C8</f>
        <v>0</v>
      </c>
      <c r="E8" s="126">
        <f>'明细表G8-2'!Q11</f>
        <v>0</v>
      </c>
      <c r="F8" s="126">
        <f>'明细表G8-2'!S11</f>
        <v>0</v>
      </c>
      <c r="G8" s="126">
        <f>E8+F8</f>
        <v>0</v>
      </c>
      <c r="H8" s="128">
        <f>G8-D8</f>
        <v>0</v>
      </c>
      <c r="I8" s="129" t="str">
        <f>IF(AND(D8=0,G8=0),"",IF(AND(D8=0,G8&gt;0),1,H8/D8))</f>
        <v/>
      </c>
      <c r="J8" s="229"/>
    </row>
    <row r="9" spans="1:10" s="52" customFormat="1" ht="19.95" customHeight="1">
      <c r="A9" s="93">
        <f>'明细表G8-2'!A12</f>
        <v>0</v>
      </c>
      <c r="B9" s="126">
        <f>'明细表G8-2'!E12</f>
        <v>0</v>
      </c>
      <c r="C9" s="126">
        <f>'明细表G8-2'!G12</f>
        <v>0</v>
      </c>
      <c r="D9" s="126">
        <f t="shared" si="0"/>
        <v>0</v>
      </c>
      <c r="E9" s="126">
        <f>'明细表G8-2'!Q12</f>
        <v>0</v>
      </c>
      <c r="F9" s="126">
        <f>'明细表G8-2'!S12</f>
        <v>0</v>
      </c>
      <c r="G9" s="126">
        <f t="shared" ref="G9:G17" si="1">E9+F9</f>
        <v>0</v>
      </c>
      <c r="H9" s="128">
        <f t="shared" ref="H9:H17" si="2">G9-D9</f>
        <v>0</v>
      </c>
      <c r="I9" s="129" t="str">
        <f>IF(AND(D9=0,G9=0),"",IF(AND(D9=0,G9&gt;0),1,H9/D9))</f>
        <v/>
      </c>
      <c r="J9" s="229"/>
    </row>
    <row r="10" spans="1:10" s="52" customFormat="1" ht="19.95" customHeight="1">
      <c r="A10" s="54"/>
      <c r="B10" s="126">
        <f>'明细表G8-2'!E13</f>
        <v>0</v>
      </c>
      <c r="C10" s="126">
        <f>'明细表G8-2'!G13</f>
        <v>0</v>
      </c>
      <c r="D10" s="126">
        <f t="shared" si="0"/>
        <v>0</v>
      </c>
      <c r="E10" s="126">
        <f>'明细表G8-2'!Q13</f>
        <v>0</v>
      </c>
      <c r="F10" s="126">
        <f>'明细表G8-2'!S13</f>
        <v>0</v>
      </c>
      <c r="G10" s="126">
        <f t="shared" si="1"/>
        <v>0</v>
      </c>
      <c r="H10" s="128">
        <f t="shared" si="2"/>
        <v>0</v>
      </c>
      <c r="I10" s="129" t="str">
        <f t="shared" ref="I10:I13" si="3">IF(AND(D10=0,G10=0),"",IF(AND(D10=0,G10&gt;0),1,H10/D10))</f>
        <v/>
      </c>
      <c r="J10" s="229"/>
    </row>
    <row r="11" spans="1:10" s="52" customFormat="1" ht="19.95" customHeight="1">
      <c r="A11" s="54"/>
      <c r="B11" s="126">
        <f>'明细表G8-2'!E14</f>
        <v>0</v>
      </c>
      <c r="C11" s="126">
        <f>'明细表G8-2'!G14</f>
        <v>0</v>
      </c>
      <c r="D11" s="126">
        <f t="shared" si="0"/>
        <v>0</v>
      </c>
      <c r="E11" s="126">
        <f>'明细表G8-2'!Q14</f>
        <v>0</v>
      </c>
      <c r="F11" s="126">
        <f>'明细表G8-2'!S14</f>
        <v>0</v>
      </c>
      <c r="G11" s="126">
        <f t="shared" si="1"/>
        <v>0</v>
      </c>
      <c r="H11" s="128">
        <f t="shared" si="2"/>
        <v>0</v>
      </c>
      <c r="I11" s="129" t="str">
        <f t="shared" si="3"/>
        <v/>
      </c>
      <c r="J11" s="229"/>
    </row>
    <row r="12" spans="1:10" s="52" customFormat="1" ht="19.95" customHeight="1">
      <c r="A12" s="54"/>
      <c r="B12" s="126">
        <f>'明细表G8-2'!E15</f>
        <v>0</v>
      </c>
      <c r="C12" s="126">
        <f>'明细表G8-2'!G15</f>
        <v>0</v>
      </c>
      <c r="D12" s="126">
        <f t="shared" si="0"/>
        <v>0</v>
      </c>
      <c r="E12" s="126">
        <f>'明细表G8-2'!Q15</f>
        <v>0</v>
      </c>
      <c r="F12" s="126">
        <f>'明细表G8-2'!S15</f>
        <v>0</v>
      </c>
      <c r="G12" s="126">
        <f t="shared" si="1"/>
        <v>0</v>
      </c>
      <c r="H12" s="128">
        <f t="shared" si="2"/>
        <v>0</v>
      </c>
      <c r="I12" s="129" t="str">
        <f t="shared" si="3"/>
        <v/>
      </c>
      <c r="J12" s="229"/>
    </row>
    <row r="13" spans="1:10" s="52" customFormat="1" ht="19.95" customHeight="1">
      <c r="A13" s="54"/>
      <c r="B13" s="126">
        <f>'明细表G8-2'!E16</f>
        <v>0</v>
      </c>
      <c r="C13" s="126">
        <f>'明细表G8-2'!G16</f>
        <v>0</v>
      </c>
      <c r="D13" s="126">
        <f t="shared" si="0"/>
        <v>0</v>
      </c>
      <c r="E13" s="126">
        <f>'明细表G8-2'!Q16</f>
        <v>0</v>
      </c>
      <c r="F13" s="126">
        <f>'明细表G8-2'!S16</f>
        <v>0</v>
      </c>
      <c r="G13" s="126">
        <f t="shared" si="1"/>
        <v>0</v>
      </c>
      <c r="H13" s="128">
        <f t="shared" si="2"/>
        <v>0</v>
      </c>
      <c r="I13" s="129" t="str">
        <f t="shared" si="3"/>
        <v/>
      </c>
      <c r="J13" s="229"/>
    </row>
    <row r="14" spans="1:10" s="52" customFormat="1" ht="19.95" customHeight="1">
      <c r="A14" s="54"/>
      <c r="B14" s="126">
        <f>'明细表G8-2'!E17</f>
        <v>0</v>
      </c>
      <c r="C14" s="126">
        <f>'明细表G8-2'!G17</f>
        <v>0</v>
      </c>
      <c r="D14" s="126">
        <f t="shared" si="0"/>
        <v>0</v>
      </c>
      <c r="E14" s="126">
        <f>'明细表G8-2'!Q17</f>
        <v>0</v>
      </c>
      <c r="F14" s="126">
        <f>'明细表G8-2'!S17</f>
        <v>0</v>
      </c>
      <c r="G14" s="126">
        <f t="shared" si="1"/>
        <v>0</v>
      </c>
      <c r="H14" s="128">
        <f t="shared" si="2"/>
        <v>0</v>
      </c>
      <c r="I14" s="129" t="str">
        <f t="shared" ref="I14:I18" si="4">IF(AND(D14=0,G14=0),"",IF(AND(D14=0,G14&gt;0),1,H14/D14))</f>
        <v/>
      </c>
      <c r="J14" s="229"/>
    </row>
    <row r="15" spans="1:10" s="52" customFormat="1" ht="19.95" customHeight="1">
      <c r="A15" s="54"/>
      <c r="B15" s="126">
        <f>'明细表G8-2'!E18</f>
        <v>0</v>
      </c>
      <c r="C15" s="126">
        <f>'明细表G8-2'!G18</f>
        <v>0</v>
      </c>
      <c r="D15" s="126">
        <f t="shared" si="0"/>
        <v>0</v>
      </c>
      <c r="E15" s="126">
        <f>'明细表G8-2'!Q18</f>
        <v>0</v>
      </c>
      <c r="F15" s="126">
        <f>'明细表G8-2'!S18</f>
        <v>0</v>
      </c>
      <c r="G15" s="126">
        <f t="shared" si="1"/>
        <v>0</v>
      </c>
      <c r="H15" s="128">
        <f t="shared" si="2"/>
        <v>0</v>
      </c>
      <c r="I15" s="129" t="str">
        <f t="shared" si="4"/>
        <v/>
      </c>
      <c r="J15" s="229"/>
    </row>
    <row r="16" spans="1:10" s="52" customFormat="1" ht="19.95" customHeight="1">
      <c r="A16" s="54"/>
      <c r="B16" s="126">
        <f>'明细表G8-2'!E19</f>
        <v>0</v>
      </c>
      <c r="C16" s="126">
        <f>'明细表G8-2'!G19</f>
        <v>0</v>
      </c>
      <c r="D16" s="126">
        <f t="shared" si="0"/>
        <v>0</v>
      </c>
      <c r="E16" s="126">
        <f>'明细表G8-2'!Q19</f>
        <v>0</v>
      </c>
      <c r="F16" s="126">
        <f>'明细表G8-2'!S19</f>
        <v>0</v>
      </c>
      <c r="G16" s="126">
        <f t="shared" si="1"/>
        <v>0</v>
      </c>
      <c r="H16" s="128">
        <f t="shared" si="2"/>
        <v>0</v>
      </c>
      <c r="I16" s="129" t="str">
        <f t="shared" si="4"/>
        <v/>
      </c>
      <c r="J16" s="229"/>
    </row>
    <row r="17" spans="1:11" s="52" customFormat="1" ht="19.95" customHeight="1">
      <c r="A17" s="54"/>
      <c r="B17" s="126">
        <f>'明细表G8-2'!E20</f>
        <v>0</v>
      </c>
      <c r="C17" s="126">
        <f>'明细表G8-2'!G20</f>
        <v>0</v>
      </c>
      <c r="D17" s="126">
        <f t="shared" si="0"/>
        <v>0</v>
      </c>
      <c r="E17" s="126">
        <f>'明细表G8-2'!Q20</f>
        <v>0</v>
      </c>
      <c r="F17" s="126">
        <f>'明细表G8-2'!S20</f>
        <v>0</v>
      </c>
      <c r="G17" s="126">
        <f t="shared" si="1"/>
        <v>0</v>
      </c>
      <c r="H17" s="128">
        <f t="shared" si="2"/>
        <v>0</v>
      </c>
      <c r="I17" s="129" t="str">
        <f t="shared" si="4"/>
        <v/>
      </c>
      <c r="J17" s="229"/>
    </row>
    <row r="18" spans="1:11" s="52" customFormat="1" ht="19.95" customHeight="1">
      <c r="A18" s="130" t="s">
        <v>21</v>
      </c>
      <c r="B18" s="142">
        <f>SUM(B8:B17)</f>
        <v>0</v>
      </c>
      <c r="C18" s="142">
        <f t="shared" ref="C18:H18" si="5">SUM(C8:C17)</f>
        <v>0</v>
      </c>
      <c r="D18" s="142">
        <f t="shared" si="5"/>
        <v>0</v>
      </c>
      <c r="E18" s="142">
        <f t="shared" si="5"/>
        <v>0</v>
      </c>
      <c r="F18" s="142">
        <f t="shared" si="5"/>
        <v>0</v>
      </c>
      <c r="G18" s="142">
        <f t="shared" si="5"/>
        <v>0</v>
      </c>
      <c r="H18" s="142">
        <f t="shared" si="5"/>
        <v>0</v>
      </c>
      <c r="I18" s="143" t="str">
        <f t="shared" si="4"/>
        <v/>
      </c>
      <c r="J18" s="229"/>
    </row>
    <row r="19" spans="1:11" s="90" customFormat="1" ht="19.95" customHeight="1">
      <c r="A19" s="290" t="s">
        <v>184</v>
      </c>
      <c r="B19" s="291"/>
      <c r="C19" s="291"/>
      <c r="D19" s="292"/>
      <c r="E19" s="291"/>
      <c r="F19" s="291"/>
      <c r="G19" s="292"/>
      <c r="H19" s="92"/>
      <c r="I19" s="92"/>
      <c r="J19" s="58"/>
    </row>
    <row r="20" spans="1:11" s="90" customFormat="1" ht="19.95" customHeight="1">
      <c r="A20" s="91" t="s">
        <v>185</v>
      </c>
      <c r="B20" s="59"/>
      <c r="C20" s="59"/>
      <c r="D20" s="127">
        <f>D18-D19</f>
        <v>0</v>
      </c>
      <c r="E20" s="59"/>
      <c r="F20" s="59"/>
      <c r="G20" s="127">
        <f>G18-G19</f>
        <v>0</v>
      </c>
      <c r="H20" s="289"/>
      <c r="I20" s="289"/>
      <c r="J20" s="3"/>
    </row>
    <row r="21" spans="1:11" s="59" customFormat="1" ht="19.95" customHeight="1">
      <c r="A21" s="286" t="s">
        <v>84</v>
      </c>
      <c r="B21" s="287"/>
      <c r="C21" s="287"/>
      <c r="D21" s="287"/>
      <c r="E21" s="288"/>
      <c r="F21" s="288"/>
      <c r="G21" s="64" t="s">
        <v>86</v>
      </c>
      <c r="H21" s="3"/>
      <c r="I21" s="3"/>
      <c r="J21" s="3"/>
      <c r="K21" s="3"/>
    </row>
    <row r="22" spans="1:11" s="63" customFormat="1" ht="19.95" customHeight="1">
      <c r="A22" s="60" t="s">
        <v>95</v>
      </c>
      <c r="B22" s="60"/>
      <c r="C22" s="60"/>
      <c r="D22" s="131">
        <f>IF(AND(D18=0,G18=0),0,IF(AND(D18=0,G18&gt;0),1,(G18-D18)/D18))</f>
        <v>0</v>
      </c>
      <c r="E22" s="61"/>
      <c r="F22" s="61"/>
      <c r="G22" s="61"/>
      <c r="H22" s="61"/>
      <c r="I22" s="61"/>
      <c r="J22" s="3"/>
      <c r="K22" s="3"/>
    </row>
    <row r="23" spans="1:11" s="59" customFormat="1" ht="19.95" customHeight="1">
      <c r="A23" s="60" t="s">
        <v>85</v>
      </c>
      <c r="B23" s="60"/>
      <c r="C23" s="60"/>
      <c r="D23" s="60"/>
      <c r="E23" s="60"/>
      <c r="F23" s="60"/>
      <c r="G23" s="60"/>
      <c r="H23" s="60"/>
      <c r="I23" s="60"/>
      <c r="J23" s="3"/>
      <c r="K23" s="3"/>
    </row>
    <row r="24" spans="1:11" s="63" customFormat="1" ht="19.95" customHeight="1">
      <c r="A24" s="60"/>
      <c r="B24" s="60"/>
      <c r="C24" s="60"/>
      <c r="D24" s="60"/>
      <c r="E24" s="60"/>
      <c r="F24" s="60"/>
      <c r="G24" s="60"/>
      <c r="H24" s="60"/>
      <c r="I24" s="60"/>
      <c r="J24" s="3"/>
      <c r="K24" s="3"/>
    </row>
    <row r="25" spans="1:11" s="63" customFormat="1" ht="19.95" customHeight="1">
      <c r="A25" s="62" t="s">
        <v>87</v>
      </c>
      <c r="B25" s="60"/>
      <c r="C25" s="60"/>
      <c r="D25" s="60"/>
      <c r="E25" s="60"/>
      <c r="F25" s="60"/>
      <c r="G25" s="60"/>
      <c r="H25" s="60"/>
      <c r="I25" s="60"/>
      <c r="J25" s="3"/>
      <c r="K25" s="3"/>
    </row>
    <row r="26" spans="1:11" s="63" customFormat="1" ht="19.95" customHeight="1">
      <c r="B26" s="62"/>
      <c r="C26" s="62"/>
      <c r="D26" s="62"/>
      <c r="E26" s="62"/>
      <c r="F26" s="62"/>
      <c r="G26" s="62"/>
      <c r="H26" s="62"/>
      <c r="I26" s="62"/>
      <c r="J26" s="3"/>
      <c r="K26" s="3"/>
    </row>
    <row r="27" spans="1:11" s="63" customFormat="1" ht="19.95" customHeight="1">
      <c r="B27" s="62"/>
      <c r="C27" s="62"/>
      <c r="D27" s="62"/>
      <c r="E27" s="62"/>
      <c r="F27" s="62"/>
      <c r="G27" s="62"/>
      <c r="H27" s="62"/>
      <c r="I27" s="62"/>
      <c r="J27" s="3"/>
      <c r="K27" s="3"/>
    </row>
    <row r="28" spans="1:11" s="63" customFormat="1" ht="19.95" customHeight="1">
      <c r="A28" s="64"/>
      <c r="B28" s="62"/>
      <c r="C28" s="62"/>
      <c r="D28" s="62"/>
      <c r="E28" s="62"/>
      <c r="F28" s="62"/>
      <c r="G28" s="62"/>
      <c r="H28" s="62"/>
      <c r="I28" s="62"/>
      <c r="J28" s="3"/>
      <c r="K28" s="3"/>
    </row>
    <row r="29" spans="1:11" ht="20.25" customHeight="1">
      <c r="A29" s="64"/>
      <c r="B29" s="60"/>
      <c r="C29" s="60"/>
      <c r="D29" s="60"/>
      <c r="E29" s="60"/>
      <c r="F29" s="60"/>
      <c r="G29" s="60"/>
      <c r="H29" s="60"/>
      <c r="I29" s="60"/>
    </row>
  </sheetData>
  <mergeCells count="7">
    <mergeCell ref="A1:J1"/>
    <mergeCell ref="A2:J2"/>
    <mergeCell ref="A5:A6"/>
    <mergeCell ref="B5:D5"/>
    <mergeCell ref="E5:G5"/>
    <mergeCell ref="H5:I5"/>
    <mergeCell ref="J5:J6"/>
  </mergeCells>
  <phoneticPr fontId="3" type="noConversion"/>
  <hyperlinks>
    <hyperlink ref="J3" location="底稿目录!F5" display="底稿目录!F5"/>
  </hyperlinks>
  <printOptions horizontalCentered="1"/>
  <pageMargins left="0.47244094488188981" right="0.23622047244094491" top="0.35433070866141736" bottom="0.35433070866141736" header="0.31496062992125984" footer="0.19685039370078741"/>
  <pageSetup paperSize="9" scale="99" fitToHeight="0"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G18"/>
  <sheetViews>
    <sheetView view="pageBreakPreview" zoomScaleSheetLayoutView="100" workbookViewId="0">
      <selection sqref="A1:G1"/>
    </sheetView>
  </sheetViews>
  <sheetFormatPr defaultColWidth="9" defaultRowHeight="13.8"/>
  <cols>
    <col min="1" max="1" width="27.21875" style="37" customWidth="1"/>
    <col min="2" max="2" width="14" style="37" customWidth="1"/>
    <col min="3" max="3" width="14.77734375" style="37" customWidth="1"/>
    <col min="4" max="4" width="12.88671875" style="37" customWidth="1"/>
    <col min="5" max="5" width="14.109375" style="37" customWidth="1"/>
    <col min="6" max="6" width="13.109375" style="37" customWidth="1"/>
    <col min="7" max="7" width="12.109375" style="37" customWidth="1"/>
    <col min="8" max="16384" width="9" style="37"/>
  </cols>
  <sheetData>
    <row r="1" spans="1:7" s="175" customFormat="1" ht="20.25" customHeight="1">
      <c r="A1" s="364" t="s">
        <v>292</v>
      </c>
      <c r="B1" s="364"/>
      <c r="C1" s="364"/>
      <c r="D1" s="364"/>
      <c r="E1" s="364"/>
      <c r="F1" s="364"/>
      <c r="G1" s="364"/>
    </row>
    <row r="2" spans="1:7" s="181" customFormat="1" ht="25.2" customHeight="1">
      <c r="A2" s="365" t="s">
        <v>293</v>
      </c>
      <c r="B2" s="365"/>
      <c r="C2" s="365"/>
      <c r="D2" s="365"/>
      <c r="E2" s="365"/>
      <c r="F2" s="365"/>
      <c r="G2" s="365"/>
    </row>
    <row r="3" spans="1:7" s="203" customFormat="1" ht="20.25" customHeight="1">
      <c r="A3" s="203" t="str">
        <f>底稿目录!A2</f>
        <v>被审计单位：</v>
      </c>
      <c r="C3" s="205" t="str">
        <f>底稿目录!A4</f>
        <v>编制人：</v>
      </c>
      <c r="E3" s="206" t="str">
        <f>底稿目录!A5</f>
        <v>编制日期：</v>
      </c>
      <c r="F3" s="205" t="s">
        <v>217</v>
      </c>
      <c r="G3" s="203">
        <f>底稿目录!F6</f>
        <v>0</v>
      </c>
    </row>
    <row r="4" spans="1:7" s="203" customFormat="1" ht="20.25" customHeight="1">
      <c r="A4" s="210" t="str">
        <f>底稿目录!A3</f>
        <v>截止日：202X年12月31日</v>
      </c>
      <c r="C4" s="205" t="str">
        <f>底稿目录!A6</f>
        <v>复核人：</v>
      </c>
      <c r="E4" s="206" t="str">
        <f>底稿目录!A7</f>
        <v>复核日期：</v>
      </c>
      <c r="F4" s="205" t="s">
        <v>305</v>
      </c>
    </row>
    <row r="5" spans="1:7" s="36" customFormat="1" ht="20.25" customHeight="1">
      <c r="A5" s="43" t="s">
        <v>73</v>
      </c>
    </row>
    <row r="6" spans="1:7" s="36" customFormat="1" ht="20.25" customHeight="1">
      <c r="A6" s="26" t="s">
        <v>97</v>
      </c>
      <c r="B6" s="44"/>
      <c r="C6" s="44"/>
      <c r="D6" s="44"/>
      <c r="E6" s="44"/>
      <c r="F6" s="44"/>
    </row>
    <row r="7" spans="1:7" s="36" customFormat="1" ht="38.549999999999997" customHeight="1" thickBot="1">
      <c r="A7" s="366" t="s">
        <v>219</v>
      </c>
      <c r="B7" s="366"/>
      <c r="C7" s="366"/>
      <c r="D7" s="366"/>
      <c r="E7" s="366"/>
      <c r="F7" s="366"/>
      <c r="G7" s="366"/>
    </row>
    <row r="8" spans="1:7" s="36" customFormat="1" ht="20.25" customHeight="1" thickBot="1">
      <c r="A8" s="122" t="s">
        <v>206</v>
      </c>
      <c r="B8" s="121" t="s">
        <v>200</v>
      </c>
      <c r="C8" s="121" t="s">
        <v>205</v>
      </c>
    </row>
    <row r="9" spans="1:7" s="36" customFormat="1" ht="20.25" customHeight="1">
      <c r="A9" s="26"/>
      <c r="B9" s="113"/>
      <c r="C9" s="113"/>
    </row>
    <row r="10" spans="1:7" s="36" customFormat="1" ht="20.25" customHeight="1">
      <c r="A10" s="26"/>
      <c r="B10" s="113"/>
      <c r="C10" s="113"/>
    </row>
    <row r="11" spans="1:7" s="36" customFormat="1" ht="20.25" customHeight="1" thickBot="1">
      <c r="A11" s="26"/>
      <c r="B11" s="113"/>
      <c r="C11" s="113"/>
    </row>
    <row r="12" spans="1:7" s="36" customFormat="1" ht="20.25" customHeight="1" thickBot="1">
      <c r="A12" s="122" t="s">
        <v>211</v>
      </c>
      <c r="B12" s="124">
        <f>SUM(B9:B11)</f>
        <v>0</v>
      </c>
      <c r="C12" s="124">
        <f>SUM(C9:C11)</f>
        <v>0</v>
      </c>
    </row>
    <row r="13" spans="1:7" s="36" customFormat="1" ht="20.25" customHeight="1">
      <c r="A13" s="366" t="s">
        <v>220</v>
      </c>
      <c r="B13" s="366"/>
      <c r="C13" s="366"/>
      <c r="D13" s="366"/>
      <c r="E13" s="366"/>
      <c r="F13" s="366"/>
      <c r="G13" s="366"/>
    </row>
    <row r="14" spans="1:7" s="36" customFormat="1" ht="39" customHeight="1" thickBot="1">
      <c r="A14" s="363" t="s">
        <v>222</v>
      </c>
      <c r="B14" s="363"/>
      <c r="C14" s="363"/>
      <c r="D14" s="363"/>
      <c r="E14" s="363"/>
      <c r="F14" s="363"/>
      <c r="G14" s="363"/>
    </row>
    <row r="15" spans="1:7" s="36" customFormat="1" ht="20.25" customHeight="1" thickBot="1">
      <c r="A15" s="134" t="s">
        <v>221</v>
      </c>
      <c r="B15" s="135" t="s">
        <v>207</v>
      </c>
      <c r="C15" s="135" t="s">
        <v>208</v>
      </c>
      <c r="D15" s="135" t="s">
        <v>98</v>
      </c>
      <c r="E15" s="135" t="s">
        <v>209</v>
      </c>
      <c r="F15" s="135" t="s">
        <v>210</v>
      </c>
      <c r="G15" s="136"/>
    </row>
    <row r="16" spans="1:7" s="36" customFormat="1" ht="20.25" customHeight="1">
      <c r="A16" s="137"/>
      <c r="B16" s="138"/>
      <c r="C16" s="138"/>
      <c r="D16" s="138"/>
      <c r="E16" s="138"/>
      <c r="F16" s="138"/>
      <c r="G16" s="136"/>
    </row>
    <row r="17" spans="1:7" s="36" customFormat="1" ht="20.25" customHeight="1">
      <c r="A17" s="137"/>
      <c r="B17" s="138"/>
      <c r="C17" s="138"/>
      <c r="D17" s="138"/>
      <c r="E17" s="138"/>
      <c r="F17" s="138"/>
      <c r="G17" s="139"/>
    </row>
    <row r="18" spans="1:7" s="36" customFormat="1" ht="20.25" customHeight="1" thickBot="1">
      <c r="A18" s="140"/>
      <c r="B18" s="141"/>
      <c r="C18" s="141"/>
      <c r="D18" s="141"/>
      <c r="E18" s="141"/>
      <c r="F18" s="141"/>
      <c r="G18" s="136"/>
    </row>
  </sheetData>
  <mergeCells count="5">
    <mergeCell ref="A14:G14"/>
    <mergeCell ref="A1:G1"/>
    <mergeCell ref="A2:G2"/>
    <mergeCell ref="A7:G7"/>
    <mergeCell ref="A13:G13"/>
  </mergeCells>
  <phoneticPr fontId="3" type="noConversion"/>
  <printOptions horizontalCentered="1"/>
  <pageMargins left="0.47244094488188981" right="0.23622047244094491" top="0.35433070866141736" bottom="0.35433070866141736" header="0.31496062992125984" footer="0.19685039370078741"/>
  <pageSetup paperSize="9" fitToHeight="0" orientation="landscape" blackAndWhite="1"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G20"/>
  <sheetViews>
    <sheetView view="pageBreakPreview" zoomScaleSheetLayoutView="100" workbookViewId="0">
      <selection sqref="A1:G1"/>
    </sheetView>
  </sheetViews>
  <sheetFormatPr defaultColWidth="9" defaultRowHeight="13.8"/>
  <cols>
    <col min="1" max="1" width="27.21875" style="37" customWidth="1"/>
    <col min="2" max="2" width="13.21875" style="37" customWidth="1"/>
    <col min="3" max="3" width="12.33203125" style="37" customWidth="1"/>
    <col min="4" max="4" width="12.88671875" style="37" customWidth="1"/>
    <col min="5" max="5" width="14.109375" style="37" customWidth="1"/>
    <col min="6" max="6" width="21.44140625" style="37" customWidth="1"/>
    <col min="7" max="7" width="13.21875" style="37" customWidth="1"/>
    <col min="8" max="16384" width="9" style="37"/>
  </cols>
  <sheetData>
    <row r="1" spans="1:7" s="175" customFormat="1" ht="20.25" customHeight="1">
      <c r="A1" s="364" t="s">
        <v>292</v>
      </c>
      <c r="B1" s="364"/>
      <c r="C1" s="364"/>
      <c r="D1" s="364"/>
      <c r="E1" s="364"/>
      <c r="F1" s="364"/>
      <c r="G1" s="364"/>
    </row>
    <row r="2" spans="1:7" s="181" customFormat="1" ht="25.2" customHeight="1">
      <c r="A2" s="365" t="s">
        <v>100</v>
      </c>
      <c r="B2" s="365"/>
      <c r="C2" s="365"/>
      <c r="D2" s="365"/>
      <c r="E2" s="365"/>
      <c r="F2" s="365"/>
      <c r="G2" s="365"/>
    </row>
    <row r="3" spans="1:7" s="203" customFormat="1" ht="20.25" customHeight="1">
      <c r="A3" s="203" t="str">
        <f>底稿目录!A2</f>
        <v>被审计单位：</v>
      </c>
      <c r="C3" s="205" t="str">
        <f>底稿目录!A4</f>
        <v>编制人：</v>
      </c>
      <c r="E3" s="206" t="str">
        <f>底稿目录!A5</f>
        <v>编制日期：</v>
      </c>
      <c r="F3" s="205" t="s">
        <v>217</v>
      </c>
      <c r="G3" s="203">
        <f>底稿目录!F7</f>
        <v>0</v>
      </c>
    </row>
    <row r="4" spans="1:7" s="203" customFormat="1" ht="20.25" customHeight="1">
      <c r="A4" s="210" t="str">
        <f>底稿目录!A3</f>
        <v>截止日：202X年12月31日</v>
      </c>
      <c r="C4" s="205" t="str">
        <f>底稿目录!A6</f>
        <v>复核人：</v>
      </c>
      <c r="E4" s="206" t="str">
        <f>底稿目录!A7</f>
        <v>复核日期：</v>
      </c>
      <c r="F4" s="205" t="s">
        <v>305</v>
      </c>
    </row>
    <row r="5" spans="1:7" s="36" customFormat="1" ht="20.25" customHeight="1">
      <c r="A5" s="43" t="s">
        <v>73</v>
      </c>
    </row>
    <row r="6" spans="1:7" s="36" customFormat="1" ht="20.25" customHeight="1">
      <c r="A6" s="26" t="s">
        <v>97</v>
      </c>
      <c r="B6" s="44"/>
      <c r="C6" s="44"/>
      <c r="D6" s="44"/>
      <c r="E6" s="44"/>
      <c r="F6" s="44"/>
    </row>
    <row r="7" spans="1:7" s="105" customFormat="1" ht="15" thickBot="1">
      <c r="A7" s="104" t="s">
        <v>198</v>
      </c>
      <c r="B7" s="104"/>
      <c r="C7" s="104"/>
      <c r="D7" s="104"/>
      <c r="E7" s="104"/>
      <c r="F7" s="104"/>
      <c r="G7" s="104"/>
    </row>
    <row r="8" spans="1:7" s="105" customFormat="1" ht="15" thickBot="1">
      <c r="A8" s="112" t="s">
        <v>71</v>
      </c>
      <c r="B8" s="114" t="s">
        <v>200</v>
      </c>
      <c r="C8" s="114" t="s">
        <v>201</v>
      </c>
      <c r="D8" s="104"/>
      <c r="E8" s="104"/>
      <c r="F8" s="104"/>
      <c r="G8" s="104"/>
    </row>
    <row r="9" spans="1:7" s="105" customFormat="1" ht="14.4">
      <c r="A9" s="106"/>
      <c r="B9" s="104"/>
      <c r="C9" s="104"/>
      <c r="D9" s="104"/>
      <c r="E9" s="104"/>
      <c r="F9" s="104"/>
      <c r="G9" s="104"/>
    </row>
    <row r="10" spans="1:7" s="105" customFormat="1" ht="14.4">
      <c r="A10" s="106"/>
      <c r="B10" s="104"/>
      <c r="C10" s="104"/>
      <c r="D10" s="104"/>
      <c r="E10" s="104"/>
      <c r="F10" s="104"/>
      <c r="G10" s="104"/>
    </row>
    <row r="11" spans="1:7" s="105" customFormat="1" ht="15" thickBot="1">
      <c r="A11" s="108"/>
      <c r="B11" s="116"/>
      <c r="C11" s="116"/>
      <c r="D11" s="104"/>
      <c r="E11" s="104"/>
      <c r="F11" s="104"/>
      <c r="G11" s="104"/>
    </row>
    <row r="12" spans="1:7" s="105" customFormat="1" ht="15" thickBot="1">
      <c r="A12" s="115" t="s">
        <v>72</v>
      </c>
      <c r="B12" s="117">
        <f>SUM(B9:B11)</f>
        <v>0</v>
      </c>
      <c r="C12" s="117">
        <f>SUM(C9:C11)</f>
        <v>0</v>
      </c>
      <c r="D12" s="104"/>
      <c r="E12" s="104"/>
      <c r="F12" s="104"/>
      <c r="G12" s="104"/>
    </row>
    <row r="13" spans="1:7" s="105" customFormat="1" ht="42.45" customHeight="1">
      <c r="A13" s="367" t="s">
        <v>204</v>
      </c>
      <c r="B13" s="367"/>
      <c r="C13" s="367"/>
      <c r="D13" s="367"/>
      <c r="E13" s="367"/>
      <c r="F13" s="367"/>
      <c r="G13" s="367"/>
    </row>
    <row r="14" spans="1:7" s="105" customFormat="1" ht="15" thickBot="1">
      <c r="A14" s="104" t="s">
        <v>199</v>
      </c>
      <c r="B14" s="104"/>
      <c r="C14" s="104"/>
      <c r="D14" s="104"/>
      <c r="E14" s="104"/>
      <c r="F14" s="104"/>
      <c r="G14" s="104"/>
    </row>
    <row r="15" spans="1:7" s="105" customFormat="1" ht="66.75" customHeight="1" thickBot="1">
      <c r="A15" s="122" t="s">
        <v>202</v>
      </c>
      <c r="B15" s="135" t="s">
        <v>98</v>
      </c>
      <c r="C15" s="135" t="s">
        <v>223</v>
      </c>
      <c r="D15" s="135" t="s">
        <v>224</v>
      </c>
      <c r="E15" s="135" t="s">
        <v>99</v>
      </c>
      <c r="F15" s="135" t="s">
        <v>197</v>
      </c>
      <c r="G15" s="123"/>
    </row>
    <row r="16" spans="1:7" s="105" customFormat="1" ht="14.4">
      <c r="A16" s="106"/>
      <c r="B16" s="104"/>
      <c r="C16" s="104"/>
      <c r="D16" s="104"/>
      <c r="E16" s="104"/>
      <c r="F16" s="107"/>
      <c r="G16" s="107"/>
    </row>
    <row r="17" spans="1:7" s="105" customFormat="1" ht="14.4">
      <c r="A17" s="106"/>
      <c r="B17" s="104"/>
      <c r="C17" s="104"/>
      <c r="D17" s="104"/>
      <c r="E17" s="104"/>
      <c r="F17" s="107"/>
      <c r="G17" s="107"/>
    </row>
    <row r="18" spans="1:7" s="105" customFormat="1" ht="14.4">
      <c r="A18" s="106"/>
      <c r="B18" s="104"/>
      <c r="C18" s="104"/>
      <c r="D18" s="104"/>
      <c r="E18" s="104"/>
      <c r="F18" s="107"/>
      <c r="G18" s="107"/>
    </row>
    <row r="19" spans="1:7" s="105" customFormat="1" ht="15" thickBot="1">
      <c r="A19" s="109"/>
      <c r="B19" s="119"/>
      <c r="C19" s="119"/>
      <c r="D19" s="119"/>
      <c r="E19" s="119"/>
      <c r="F19" s="110"/>
      <c r="G19" s="110"/>
    </row>
    <row r="20" spans="1:7" s="105" customFormat="1" ht="15" thickBot="1">
      <c r="A20" s="118" t="s">
        <v>72</v>
      </c>
      <c r="B20" s="120">
        <f>SUM(B16:B19)</f>
        <v>0</v>
      </c>
      <c r="C20" s="120">
        <f>SUM(C16:C19)</f>
        <v>0</v>
      </c>
      <c r="D20" s="120">
        <f>SUM(D16:D19)</f>
        <v>0</v>
      </c>
      <c r="E20" s="120">
        <f>SUM(E16:E19)</f>
        <v>0</v>
      </c>
      <c r="F20" s="111"/>
      <c r="G20" s="111"/>
    </row>
  </sheetData>
  <mergeCells count="3">
    <mergeCell ref="A13:G13"/>
    <mergeCell ref="A1:G1"/>
    <mergeCell ref="A2:G2"/>
  </mergeCells>
  <phoneticPr fontId="3" type="noConversion"/>
  <printOptions horizontalCentered="1"/>
  <pageMargins left="0.47244094488188981" right="0.23622047244094491" top="0.35433070866141736" bottom="0.35433070866141736" header="0.31496062992125984" footer="0.19685039370078741"/>
  <pageSetup paperSize="9" fitToHeight="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X39"/>
  <sheetViews>
    <sheetView view="pageBreakPreview" zoomScaleNormal="115" zoomScaleSheetLayoutView="100" workbookViewId="0">
      <selection sqref="A1:M1"/>
    </sheetView>
  </sheetViews>
  <sheetFormatPr defaultColWidth="9" defaultRowHeight="13.8"/>
  <cols>
    <col min="1" max="1" width="20.5546875" style="5" customWidth="1"/>
    <col min="2" max="2" width="8.77734375" style="5" customWidth="1"/>
    <col min="3" max="3" width="12.77734375" style="5" customWidth="1"/>
    <col min="4" max="4" width="10.33203125" style="5" customWidth="1"/>
    <col min="5" max="5" width="13.44140625" style="5" customWidth="1"/>
    <col min="6" max="6" width="17.5546875" style="5" customWidth="1"/>
    <col min="7" max="8" width="15" style="5" customWidth="1"/>
    <col min="9" max="9" width="12.88671875" style="5" customWidth="1"/>
    <col min="10" max="10" width="9.109375" style="5" customWidth="1"/>
    <col min="11" max="11" width="15.109375" style="5" customWidth="1"/>
    <col min="12" max="12" width="12" style="5" customWidth="1"/>
    <col min="13" max="13" width="12.21875" style="5" customWidth="1"/>
    <col min="14" max="15" width="11.77734375" style="5" customWidth="1"/>
    <col min="16" max="16" width="10.44140625" style="5" customWidth="1"/>
    <col min="17" max="17" width="11.5546875" style="5" customWidth="1"/>
    <col min="18" max="18" width="18.6640625" style="5" customWidth="1"/>
    <col min="19" max="20" width="14.5546875" style="5" customWidth="1"/>
    <col min="21" max="21" width="22" style="5" customWidth="1"/>
    <col min="22" max="22" width="16.21875" style="5" customWidth="1"/>
    <col min="23" max="23" width="9.21875" style="5" customWidth="1"/>
    <col min="24" max="16384" width="9" style="5"/>
  </cols>
  <sheetData>
    <row r="1" spans="1:24" s="172" customFormat="1" ht="19.95" customHeight="1">
      <c r="A1" s="368" t="s">
        <v>17</v>
      </c>
      <c r="B1" s="368"/>
      <c r="C1" s="368"/>
      <c r="D1" s="368"/>
      <c r="E1" s="368"/>
      <c r="F1" s="368"/>
      <c r="G1" s="368"/>
      <c r="H1" s="368"/>
      <c r="I1" s="368"/>
      <c r="J1" s="368"/>
      <c r="K1" s="368"/>
      <c r="L1" s="368"/>
      <c r="M1" s="368"/>
      <c r="N1" s="368" t="s">
        <v>17</v>
      </c>
      <c r="O1" s="368"/>
      <c r="P1" s="368"/>
      <c r="Q1" s="368"/>
      <c r="R1" s="368"/>
      <c r="S1" s="368"/>
      <c r="T1" s="368"/>
      <c r="U1" s="368"/>
      <c r="V1" s="368"/>
      <c r="W1" s="368"/>
    </row>
    <row r="2" spans="1:24" s="177" customFormat="1" ht="19.95" customHeight="1">
      <c r="A2" s="369" t="s">
        <v>101</v>
      </c>
      <c r="B2" s="369"/>
      <c r="C2" s="369"/>
      <c r="D2" s="369"/>
      <c r="E2" s="369"/>
      <c r="F2" s="369"/>
      <c r="G2" s="369"/>
      <c r="H2" s="369"/>
      <c r="I2" s="369"/>
      <c r="J2" s="369"/>
      <c r="K2" s="369"/>
      <c r="L2" s="369"/>
      <c r="M2" s="369"/>
      <c r="N2" s="369" t="s">
        <v>101</v>
      </c>
      <c r="O2" s="369"/>
      <c r="P2" s="369"/>
      <c r="Q2" s="369"/>
      <c r="R2" s="369"/>
      <c r="S2" s="369"/>
      <c r="T2" s="369"/>
      <c r="U2" s="369"/>
      <c r="V2" s="369"/>
      <c r="W2" s="369"/>
    </row>
    <row r="3" spans="1:24" s="205" customFormat="1" ht="19.95" customHeight="1">
      <c r="A3" s="205" t="str">
        <f>底稿目录!A2</f>
        <v>被审计单位：</v>
      </c>
      <c r="D3" s="205" t="str">
        <f>底稿目录!A4</f>
        <v>编制人：</v>
      </c>
      <c r="F3" s="205" t="str">
        <f>底稿目录!A5</f>
        <v>编制日期：</v>
      </c>
      <c r="L3" s="230" t="s">
        <v>0</v>
      </c>
      <c r="M3" s="294" t="str">
        <f>底稿目录!F8</f>
        <v>G8-2</v>
      </c>
      <c r="N3" s="205" t="str">
        <f>A3</f>
        <v>被审计单位：</v>
      </c>
      <c r="Q3" s="205" t="str">
        <f>D3</f>
        <v>编制人：</v>
      </c>
      <c r="S3" s="205" t="str">
        <f>F3</f>
        <v>编制日期：</v>
      </c>
      <c r="V3" s="205" t="str">
        <f>L3</f>
        <v>索引号：</v>
      </c>
      <c r="W3" s="294" t="str">
        <f>M3</f>
        <v>G8-2</v>
      </c>
    </row>
    <row r="4" spans="1:24" s="205" customFormat="1" ht="19.95" customHeight="1">
      <c r="A4" s="208" t="str">
        <f>底稿目录!A3</f>
        <v>截止日：202X年12月31日</v>
      </c>
      <c r="B4" s="208"/>
      <c r="C4" s="231"/>
      <c r="D4" s="205" t="str">
        <f>底稿目录!A6</f>
        <v>复核人：</v>
      </c>
      <c r="F4" s="205" t="str">
        <f>底稿目录!A7</f>
        <v>复核日期：</v>
      </c>
      <c r="L4" s="230" t="s">
        <v>70</v>
      </c>
      <c r="M4" s="230"/>
      <c r="N4" s="205" t="str">
        <f>A4</f>
        <v>截止日：202X年12月31日</v>
      </c>
      <c r="Q4" s="205" t="str">
        <f>D4</f>
        <v>复核人：</v>
      </c>
      <c r="S4" s="205" t="str">
        <f>F4</f>
        <v>复核日期：</v>
      </c>
      <c r="V4" s="205" t="str">
        <f>L4</f>
        <v>页  次：</v>
      </c>
      <c r="W4" s="205">
        <f>M4</f>
        <v>0</v>
      </c>
    </row>
    <row r="5" spans="1:24" ht="19.95" customHeight="1">
      <c r="A5" s="27" t="s">
        <v>264</v>
      </c>
      <c r="B5" s="27"/>
      <c r="C5" s="159"/>
      <c r="D5" s="27"/>
      <c r="E5" s="27"/>
      <c r="F5" s="27"/>
      <c r="G5" s="28"/>
      <c r="H5" s="28"/>
      <c r="I5" s="28"/>
      <c r="J5" s="28"/>
      <c r="K5" s="28"/>
      <c r="L5" s="28"/>
      <c r="M5" s="28"/>
      <c r="N5" s="214" t="str">
        <f>A5</f>
        <v>一、审计目标</v>
      </c>
      <c r="O5" s="28"/>
      <c r="P5" s="28"/>
      <c r="Q5" s="28"/>
      <c r="R5" s="28"/>
      <c r="S5" s="28"/>
      <c r="T5" s="7"/>
      <c r="W5" s="7"/>
      <c r="X5" s="7"/>
    </row>
    <row r="6" spans="1:24" ht="19.95" customHeight="1">
      <c r="A6" s="159" t="s">
        <v>307</v>
      </c>
      <c r="B6" s="27"/>
      <c r="C6" s="159"/>
      <c r="D6" s="27"/>
      <c r="E6" s="27"/>
      <c r="F6" s="27"/>
      <c r="G6" s="28"/>
      <c r="H6" s="28"/>
      <c r="I6" s="28"/>
      <c r="J6" s="28"/>
      <c r="K6" s="28"/>
      <c r="L6" s="28"/>
      <c r="M6" s="28"/>
      <c r="N6" s="214" t="str">
        <f>A6</f>
        <v>1.资产负债表中记录的其他权益工具投资是存在的，且已经记录在恰当的账户中；2.所有应记录的其他权益工具投资均已记录，所有应当包括在财务报表中的相关披露均已包括；</v>
      </c>
      <c r="O6" s="28"/>
      <c r="P6" s="28"/>
      <c r="Q6" s="28"/>
      <c r="R6" s="28"/>
      <c r="S6" s="28"/>
      <c r="T6" s="7"/>
      <c r="W6" s="7"/>
      <c r="X6" s="7"/>
    </row>
    <row r="7" spans="1:24" ht="19.95" customHeight="1">
      <c r="A7" s="159" t="s">
        <v>308</v>
      </c>
      <c r="B7" s="27"/>
      <c r="C7" s="159"/>
      <c r="D7" s="27"/>
      <c r="E7" s="27"/>
      <c r="F7" s="27"/>
      <c r="G7" s="28"/>
      <c r="H7" s="28"/>
      <c r="I7" s="28"/>
      <c r="J7" s="28"/>
      <c r="K7" s="28"/>
      <c r="L7" s="28"/>
      <c r="M7" s="28"/>
      <c r="N7" s="214" t="str">
        <f t="shared" ref="N7:N8" si="0">A7</f>
        <v>3.其他权益工具投资以恰当的金额包括在财务报表中，与之相关的计价或分摊调整已恰当记录，相关披露已得到恰当计量和描述</v>
      </c>
      <c r="O7" s="28"/>
      <c r="P7" s="28"/>
      <c r="Q7" s="28"/>
      <c r="R7" s="28"/>
      <c r="S7" s="28"/>
      <c r="T7" s="7"/>
      <c r="W7" s="7"/>
      <c r="X7" s="7"/>
    </row>
    <row r="8" spans="1:24" ht="19.95" customHeight="1">
      <c r="A8" s="27" t="s">
        <v>265</v>
      </c>
      <c r="B8" s="27"/>
      <c r="C8" s="160"/>
      <c r="D8" s="27"/>
      <c r="E8" s="27"/>
      <c r="F8" s="27"/>
      <c r="G8" s="28"/>
      <c r="H8" s="28"/>
      <c r="I8" s="28"/>
      <c r="J8" s="28"/>
      <c r="K8" s="28"/>
      <c r="L8" s="28"/>
      <c r="M8" s="28"/>
      <c r="N8" s="214" t="str">
        <f t="shared" si="0"/>
        <v>二、审计过程</v>
      </c>
      <c r="O8" s="28"/>
      <c r="P8" s="28"/>
      <c r="Q8" s="28"/>
      <c r="R8" s="28"/>
      <c r="S8" s="28"/>
      <c r="W8" s="7"/>
      <c r="X8" s="7"/>
    </row>
    <row r="9" spans="1:24" s="65" customFormat="1" ht="19.95" customHeight="1">
      <c r="A9" s="376" t="s">
        <v>108</v>
      </c>
      <c r="B9" s="376" t="s">
        <v>109</v>
      </c>
      <c r="C9" s="373" t="s">
        <v>118</v>
      </c>
      <c r="D9" s="373"/>
      <c r="E9" s="373"/>
      <c r="F9" s="375"/>
      <c r="G9" s="377" t="s">
        <v>180</v>
      </c>
      <c r="H9" s="377" t="s">
        <v>181</v>
      </c>
      <c r="I9" s="373" t="s">
        <v>119</v>
      </c>
      <c r="J9" s="373"/>
      <c r="K9" s="373"/>
      <c r="L9" s="373"/>
      <c r="M9" s="373"/>
      <c r="N9" s="373"/>
      <c r="O9" s="374" t="s">
        <v>120</v>
      </c>
      <c r="P9" s="373"/>
      <c r="Q9" s="373"/>
      <c r="R9" s="375"/>
      <c r="S9" s="377" t="s">
        <v>161</v>
      </c>
      <c r="T9" s="377" t="s">
        <v>162</v>
      </c>
      <c r="U9" s="370" t="s">
        <v>107</v>
      </c>
      <c r="V9" s="370" t="s">
        <v>203</v>
      </c>
      <c r="W9" s="370" t="s">
        <v>88</v>
      </c>
    </row>
    <row r="10" spans="1:24" s="65" customFormat="1" ht="36">
      <c r="A10" s="372"/>
      <c r="B10" s="372"/>
      <c r="C10" s="68" t="s">
        <v>90</v>
      </c>
      <c r="D10" s="68" t="s">
        <v>102</v>
      </c>
      <c r="E10" s="68" t="s">
        <v>104</v>
      </c>
      <c r="F10" s="68" t="s">
        <v>117</v>
      </c>
      <c r="G10" s="378"/>
      <c r="H10" s="378"/>
      <c r="I10" s="68" t="s">
        <v>91</v>
      </c>
      <c r="J10" s="68" t="s">
        <v>103</v>
      </c>
      <c r="K10" s="68" t="s">
        <v>111</v>
      </c>
      <c r="L10" s="68" t="s">
        <v>110</v>
      </c>
      <c r="M10" s="68" t="s">
        <v>104</v>
      </c>
      <c r="N10" s="68" t="s">
        <v>105</v>
      </c>
      <c r="O10" s="68" t="s">
        <v>91</v>
      </c>
      <c r="P10" s="68" t="s">
        <v>102</v>
      </c>
      <c r="Q10" s="68" t="s">
        <v>104</v>
      </c>
      <c r="R10" s="68" t="s">
        <v>117</v>
      </c>
      <c r="S10" s="378"/>
      <c r="T10" s="378"/>
      <c r="U10" s="372"/>
      <c r="V10" s="372"/>
      <c r="W10" s="371"/>
    </row>
    <row r="11" spans="1:24" s="65" customFormat="1" ht="19.95" customHeight="1">
      <c r="A11" s="235"/>
      <c r="B11" s="232"/>
      <c r="C11" s="233"/>
      <c r="D11" s="233"/>
      <c r="E11" s="126">
        <f t="shared" ref="E11:E20" si="1">SUM(C11:D11)</f>
        <v>0</v>
      </c>
      <c r="F11" s="233"/>
      <c r="G11" s="233"/>
      <c r="H11" s="126">
        <f>E11+G11</f>
        <v>0</v>
      </c>
      <c r="I11" s="233"/>
      <c r="J11" s="233"/>
      <c r="K11" s="233"/>
      <c r="L11" s="233"/>
      <c r="M11" s="126">
        <f>SUM(I11:K11)</f>
        <v>0</v>
      </c>
      <c r="N11" s="233"/>
      <c r="O11" s="126">
        <f>C11+I11</f>
        <v>0</v>
      </c>
      <c r="P11" s="126">
        <f>D11+J11+K11</f>
        <v>0</v>
      </c>
      <c r="Q11" s="126">
        <f t="shared" ref="Q11:Q20" si="2">SUM(O11:P11)</f>
        <v>0</v>
      </c>
      <c r="R11" s="296">
        <f>F11+J11+L11</f>
        <v>0</v>
      </c>
      <c r="S11" s="233"/>
      <c r="T11" s="126">
        <f>Q11+S11</f>
        <v>0</v>
      </c>
      <c r="U11" s="237" t="s">
        <v>106</v>
      </c>
      <c r="V11" s="237"/>
      <c r="W11" s="238"/>
    </row>
    <row r="12" spans="1:24" s="65" customFormat="1" ht="19.95" customHeight="1">
      <c r="A12" s="235"/>
      <c r="B12" s="232"/>
      <c r="C12" s="233"/>
      <c r="D12" s="233"/>
      <c r="E12" s="126">
        <f t="shared" si="1"/>
        <v>0</v>
      </c>
      <c r="F12" s="233"/>
      <c r="G12" s="233"/>
      <c r="H12" s="126">
        <f t="shared" ref="H12:H20" si="3">E12+G12</f>
        <v>0</v>
      </c>
      <c r="I12" s="233"/>
      <c r="J12" s="233"/>
      <c r="K12" s="233"/>
      <c r="L12" s="233"/>
      <c r="M12" s="126">
        <f t="shared" ref="M12:M20" si="4">SUM(I12:K12)</f>
        <v>0</v>
      </c>
      <c r="N12" s="233"/>
      <c r="O12" s="126">
        <f t="shared" ref="O12:O20" si="5">C12+I12</f>
        <v>0</v>
      </c>
      <c r="P12" s="126">
        <f>D12+J12+K12</f>
        <v>0</v>
      </c>
      <c r="Q12" s="126">
        <f t="shared" si="2"/>
        <v>0</v>
      </c>
      <c r="R12" s="296">
        <f>F12+J12+L12</f>
        <v>0</v>
      </c>
      <c r="S12" s="233"/>
      <c r="T12" s="126">
        <f>Q12+S12</f>
      </c>
      <c r="U12" s="239"/>
      <c r="V12" s="239"/>
      <c r="W12" s="238"/>
    </row>
    <row r="13" spans="1:24" s="65" customFormat="1" ht="19.95" customHeight="1">
      <c r="A13" s="236"/>
      <c r="B13" s="232"/>
      <c r="C13" s="233"/>
      <c r="D13" s="233"/>
      <c r="E13" s="126">
        <f t="shared" si="1"/>
        <v>0</v>
      </c>
      <c r="F13" s="233"/>
      <c r="G13" s="233"/>
      <c r="H13" s="126">
        <f t="shared" si="3"/>
        <v>0</v>
      </c>
      <c r="I13" s="233"/>
      <c r="J13" s="233"/>
      <c r="K13" s="233"/>
      <c r="L13" s="233"/>
      <c r="M13" s="126">
        <f t="shared" si="4"/>
        <v>0</v>
      </c>
      <c r="N13" s="233"/>
      <c r="O13" s="126">
        <f t="shared" si="5"/>
        <v>0</v>
      </c>
      <c r="P13" s="126">
        <f t="shared" ref="P13:P20" si="6">D13+J13+K13</f>
        <v>0</v>
      </c>
      <c r="Q13" s="126">
        <f t="shared" si="2"/>
        <v>0</v>
      </c>
      <c r="R13" s="233">
        <f>F13+J13+L13</f>
      </c>
      <c r="S13" s="233"/>
      <c r="T13" s="126">
        <f t="shared" ref="T13:T20" si="7">Q13+S13</f>
        <v>0</v>
      </c>
      <c r="U13" s="239"/>
      <c r="V13" s="239"/>
      <c r="W13" s="238"/>
    </row>
    <row r="14" spans="1:24" s="65" customFormat="1" ht="19.95" customHeight="1">
      <c r="A14" s="236"/>
      <c r="B14" s="232"/>
      <c r="C14" s="233"/>
      <c r="D14" s="233"/>
      <c r="E14" s="126">
        <f t="shared" si="1"/>
        <v>0</v>
      </c>
      <c r="F14" s="233"/>
      <c r="G14" s="233"/>
      <c r="H14" s="126">
        <f t="shared" si="3"/>
        <v>0</v>
      </c>
      <c r="I14" s="233"/>
      <c r="J14" s="233"/>
      <c r="K14" s="233"/>
      <c r="L14" s="233"/>
      <c r="M14" s="126">
        <f t="shared" si="4"/>
        <v>0</v>
      </c>
      <c r="N14" s="233"/>
      <c r="O14" s="126">
        <f t="shared" si="5"/>
        <v>0</v>
      </c>
      <c r="P14" s="126">
        <f t="shared" si="6"/>
        <v>0</v>
      </c>
      <c r="Q14" s="126">
        <f t="shared" si="2"/>
        <v>0</v>
      </c>
      <c r="R14" s="233">
        <f>F14+J14+L14</f>
      </c>
      <c r="S14" s="233"/>
      <c r="T14" s="126">
        <f t="shared" si="7"/>
        <v>0</v>
      </c>
      <c r="U14" s="239"/>
      <c r="V14" s="239"/>
      <c r="W14" s="238"/>
    </row>
    <row r="15" spans="1:24" s="65" customFormat="1" ht="19.95" customHeight="1">
      <c r="A15" s="236"/>
      <c r="B15" s="232"/>
      <c r="C15" s="233"/>
      <c r="D15" s="233"/>
      <c r="E15" s="126">
        <f t="shared" si="1"/>
        <v>0</v>
      </c>
      <c r="F15" s="233"/>
      <c r="G15" s="233"/>
      <c r="H15" s="126">
        <f t="shared" si="3"/>
        <v>0</v>
      </c>
      <c r="I15" s="233"/>
      <c r="J15" s="233"/>
      <c r="K15" s="233"/>
      <c r="L15" s="233"/>
      <c r="M15" s="126">
        <f t="shared" si="4"/>
        <v>0</v>
      </c>
      <c r="N15" s="233"/>
      <c r="O15" s="126">
        <f t="shared" si="5"/>
        <v>0</v>
      </c>
      <c r="P15" s="126">
        <f t="shared" si="6"/>
        <v>0</v>
      </c>
      <c r="Q15" s="126">
        <f t="shared" si="2"/>
        <v>0</v>
      </c>
      <c r="R15" s="233">
        <f>F15+J15+L15</f>
      </c>
      <c r="S15" s="233"/>
      <c r="T15" s="126">
        <f t="shared" si="7"/>
        <v>0</v>
      </c>
      <c r="U15" s="239"/>
      <c r="V15" s="239"/>
      <c r="W15" s="238"/>
    </row>
    <row r="16" spans="1:24" s="65" customFormat="1" ht="19.95" customHeight="1">
      <c r="A16" s="236"/>
      <c r="B16" s="232"/>
      <c r="C16" s="233"/>
      <c r="D16" s="233"/>
      <c r="E16" s="126">
        <f t="shared" si="1"/>
        <v>0</v>
      </c>
      <c r="F16" s="233"/>
      <c r="G16" s="233"/>
      <c r="H16" s="126">
        <f t="shared" si="3"/>
        <v>0</v>
      </c>
      <c r="I16" s="233"/>
      <c r="J16" s="233"/>
      <c r="K16" s="233"/>
      <c r="L16" s="233"/>
      <c r="M16" s="126">
        <f t="shared" si="4"/>
        <v>0</v>
      </c>
      <c r="N16" s="233"/>
      <c r="O16" s="126">
        <f t="shared" si="5"/>
        <v>0</v>
      </c>
      <c r="P16" s="126">
        <f t="shared" si="6"/>
        <v>0</v>
      </c>
      <c r="Q16" s="126">
        <f t="shared" si="2"/>
        <v>0</v>
      </c>
      <c r="R16" s="233">
        <f>F16+J16+L16</f>
      </c>
      <c r="S16" s="233"/>
      <c r="T16" s="126">
        <f t="shared" si="7"/>
        <v>0</v>
      </c>
      <c r="U16" s="239"/>
      <c r="V16" s="239"/>
      <c r="W16" s="238"/>
    </row>
    <row r="17" spans="1:23" s="65" customFormat="1" ht="19.95" customHeight="1">
      <c r="A17" s="236"/>
      <c r="B17" s="232"/>
      <c r="C17" s="233"/>
      <c r="D17" s="233"/>
      <c r="E17" s="126">
        <f t="shared" si="1"/>
        <v>0</v>
      </c>
      <c r="F17" s="233"/>
      <c r="G17" s="233"/>
      <c r="H17" s="126">
        <f t="shared" si="3"/>
        <v>0</v>
      </c>
      <c r="I17" s="233"/>
      <c r="J17" s="233"/>
      <c r="K17" s="233"/>
      <c r="L17" s="233"/>
      <c r="M17" s="126">
        <f t="shared" si="4"/>
        <v>0</v>
      </c>
      <c r="N17" s="233"/>
      <c r="O17" s="126">
        <f t="shared" si="5"/>
        <v>0</v>
      </c>
      <c r="P17" s="126">
        <f t="shared" si="6"/>
        <v>0</v>
      </c>
      <c r="Q17" s="126">
        <f t="shared" si="2"/>
        <v>0</v>
      </c>
      <c r="R17" s="233">
        <f>F17+J17+L17</f>
      </c>
      <c r="S17" s="233"/>
      <c r="T17" s="126">
        <f t="shared" si="7"/>
        <v>0</v>
      </c>
      <c r="U17" s="239"/>
      <c r="V17" s="239"/>
      <c r="W17" s="238"/>
    </row>
    <row r="18" spans="1:23" s="66" customFormat="1" ht="19.95" customHeight="1">
      <c r="A18" s="236"/>
      <c r="B18" s="232"/>
      <c r="C18" s="233"/>
      <c r="D18" s="233"/>
      <c r="E18" s="132">
        <f t="shared" si="1"/>
        <v>0</v>
      </c>
      <c r="F18" s="233"/>
      <c r="G18" s="233"/>
      <c r="H18" s="126">
        <f t="shared" si="3"/>
        <v>0</v>
      </c>
      <c r="I18" s="233"/>
      <c r="J18" s="233"/>
      <c r="K18" s="233"/>
      <c r="L18" s="233"/>
      <c r="M18" s="126">
        <f t="shared" si="4"/>
        <v>0</v>
      </c>
      <c r="N18" s="233"/>
      <c r="O18" s="126">
        <f t="shared" si="5"/>
        <v>0</v>
      </c>
      <c r="P18" s="126">
        <f t="shared" si="6"/>
        <v>0</v>
      </c>
      <c r="Q18" s="126">
        <f t="shared" si="2"/>
        <v>0</v>
      </c>
      <c r="R18" s="233">
        <f>F18+J18+L18</f>
      </c>
      <c r="S18" s="233"/>
      <c r="T18" s="126">
        <f t="shared" si="7"/>
        <v>0</v>
      </c>
      <c r="U18" s="239"/>
      <c r="V18" s="239"/>
      <c r="W18" s="240"/>
    </row>
    <row r="19" spans="1:23" s="65" customFormat="1" ht="19.95" customHeight="1">
      <c r="A19" s="236"/>
      <c r="B19" s="232"/>
      <c r="C19" s="233"/>
      <c r="D19" s="233"/>
      <c r="E19" s="126">
        <f t="shared" si="1"/>
        <v>0</v>
      </c>
      <c r="F19" s="233"/>
      <c r="G19" s="233"/>
      <c r="H19" s="126">
        <f t="shared" si="3"/>
        <v>0</v>
      </c>
      <c r="I19" s="233"/>
      <c r="J19" s="233"/>
      <c r="K19" s="233"/>
      <c r="L19" s="233"/>
      <c r="M19" s="126">
        <f t="shared" si="4"/>
        <v>0</v>
      </c>
      <c r="N19" s="233"/>
      <c r="O19" s="126">
        <f t="shared" si="5"/>
        <v>0</v>
      </c>
      <c r="P19" s="126">
        <f t="shared" si="6"/>
        <v>0</v>
      </c>
      <c r="Q19" s="126">
        <f t="shared" si="2"/>
        <v>0</v>
      </c>
      <c r="R19" s="233">
        <f>F19+J19+L19</f>
      </c>
      <c r="S19" s="233"/>
      <c r="T19" s="126">
        <f t="shared" si="7"/>
        <v>0</v>
      </c>
      <c r="U19" s="239"/>
      <c r="V19" s="239"/>
      <c r="W19" s="238"/>
    </row>
    <row r="20" spans="1:23" s="65" customFormat="1" ht="19.95" customHeight="1">
      <c r="A20" s="236"/>
      <c r="B20" s="232"/>
      <c r="C20" s="233"/>
      <c r="D20" s="233"/>
      <c r="E20" s="126">
        <f t="shared" si="1"/>
        <v>0</v>
      </c>
      <c r="F20" s="233"/>
      <c r="G20" s="233"/>
      <c r="H20" s="126">
        <f t="shared" si="3"/>
        <v>0</v>
      </c>
      <c r="I20" s="233"/>
      <c r="J20" s="233"/>
      <c r="K20" s="233"/>
      <c r="L20" s="233"/>
      <c r="M20" s="126">
        <f t="shared" si="4"/>
        <v>0</v>
      </c>
      <c r="N20" s="233"/>
      <c r="O20" s="126">
        <f t="shared" si="5"/>
        <v>0</v>
      </c>
      <c r="P20" s="126">
        <f t="shared" si="6"/>
        <v>0</v>
      </c>
      <c r="Q20" s="126">
        <f t="shared" si="2"/>
        <v>0</v>
      </c>
      <c r="R20" s="233">
        <f>F20+J20+L20</f>
      </c>
      <c r="S20" s="233"/>
      <c r="T20" s="126">
        <f t="shared" si="7"/>
        <v>0</v>
      </c>
      <c r="U20" s="239"/>
      <c r="V20" s="239"/>
      <c r="W20" s="238"/>
    </row>
    <row r="21" spans="1:23" s="67" customFormat="1" ht="19.95" customHeight="1">
      <c r="A21" s="234" t="s">
        <v>89</v>
      </c>
      <c r="B21" s="234"/>
      <c r="C21" s="142">
        <f t="shared" ref="C21:D21" si="8">SUM(C11:C20)</f>
        <v>0</v>
      </c>
      <c r="D21" s="142">
        <f t="shared" si="8"/>
        <v>0</v>
      </c>
      <c r="E21" s="142">
        <f>SUM(E11:E20)</f>
        <v>0</v>
      </c>
      <c r="F21" s="142">
        <f t="shared" ref="F21:H21" si="9">SUM(F11:F20)</f>
        <v>0</v>
      </c>
      <c r="G21" s="142">
        <f t="shared" si="9"/>
        <v>0</v>
      </c>
      <c r="H21" s="142">
        <f t="shared" si="9"/>
        <v>0</v>
      </c>
      <c r="I21" s="142">
        <f t="shared" ref="I21:J21" si="10">SUM(I11:I20)</f>
        <v>0</v>
      </c>
      <c r="J21" s="142">
        <f t="shared" si="10"/>
        <v>0</v>
      </c>
      <c r="K21" s="142">
        <f>SUM(K11:K20)</f>
      </c>
      <c r="L21" s="142">
        <f>SUM(L11:L20)</f>
      </c>
      <c r="M21" s="142">
        <f t="shared" ref="M21:N21" si="11">SUM(M11:M20)</f>
        <v>0</v>
      </c>
      <c r="N21" s="142">
        <f t="shared" si="11"/>
        <v>0</v>
      </c>
      <c r="O21" s="142">
        <f t="shared" ref="O21:P21" si="12">SUM(O11:O20)</f>
        <v>0</v>
      </c>
      <c r="P21" s="142">
        <f t="shared" si="12"/>
        <v>0</v>
      </c>
      <c r="Q21" s="142">
        <f t="shared" ref="Q21:T21" si="13">SUM(Q11:Q20)</f>
        <v>0</v>
      </c>
      <c r="R21" s="142">
        <f>SUM(R11:R20)</f>
      </c>
      <c r="S21" s="142">
        <f t="shared" si="13"/>
        <v>0</v>
      </c>
      <c r="T21" s="142">
        <f t="shared" si="13"/>
        <v>0</v>
      </c>
      <c r="U21" s="144"/>
      <c r="V21" s="144"/>
      <c r="W21" s="145"/>
    </row>
    <row r="22" spans="1:23" ht="19.95" customHeight="1">
      <c r="A22" s="29" t="s">
        <v>15</v>
      </c>
      <c r="B22" s="29"/>
      <c r="C22" s="29"/>
      <c r="N22" s="203" t="str">
        <f>A22</f>
        <v>三、审计说明：</v>
      </c>
      <c r="O22" s="29"/>
    </row>
    <row r="23" spans="1:23" ht="19.95" customHeight="1">
      <c r="A23" s="4"/>
      <c r="B23" s="4"/>
      <c r="C23" s="4"/>
      <c r="N23" s="203"/>
    </row>
    <row r="24" spans="1:23" ht="19.95" customHeight="1">
      <c r="A24" s="4"/>
      <c r="B24" s="4"/>
      <c r="C24" s="4"/>
      <c r="N24" s="203"/>
    </row>
    <row r="25" spans="1:23" ht="19.95" customHeight="1">
      <c r="B25" s="29"/>
      <c r="C25" s="4"/>
      <c r="N25" s="203"/>
    </row>
    <row r="26" spans="1:23" ht="19.95" customHeight="1">
      <c r="A26" s="29" t="s">
        <v>16</v>
      </c>
      <c r="B26" s="4"/>
      <c r="C26" s="4"/>
      <c r="N26" s="203" t="str">
        <f>A26</f>
        <v>四、审计结论：</v>
      </c>
    </row>
    <row r="27" spans="1:23" ht="19.95" customHeight="1">
      <c r="A27" s="4"/>
      <c r="B27" s="4"/>
      <c r="C27" s="4"/>
    </row>
    <row r="28" spans="1:23" ht="20.25" customHeight="1">
      <c r="A28" s="74" t="s">
        <v>115</v>
      </c>
      <c r="B28" s="74"/>
      <c r="C28" s="69"/>
      <c r="D28" s="9"/>
      <c r="E28" s="9"/>
      <c r="F28" s="9"/>
      <c r="G28" s="9"/>
      <c r="H28" s="9"/>
      <c r="I28" s="9"/>
      <c r="J28" s="9"/>
      <c r="K28" s="9"/>
      <c r="L28" s="9"/>
      <c r="M28" s="70"/>
      <c r="N28" s="70"/>
      <c r="O28" s="9"/>
      <c r="P28" s="9"/>
      <c r="Q28" s="70"/>
      <c r="R28" s="9"/>
      <c r="S28" s="9"/>
      <c r="T28" s="9"/>
      <c r="U28" s="9"/>
      <c r="V28" s="9"/>
      <c r="W28" s="9"/>
    </row>
    <row r="29" spans="1:23" ht="20.25" customHeight="1">
      <c r="A29" s="73" t="s">
        <v>116</v>
      </c>
      <c r="B29" s="73"/>
      <c r="C29" s="1"/>
      <c r="M29" s="7"/>
      <c r="N29" s="7"/>
      <c r="Q29" s="7"/>
    </row>
    <row r="30" spans="1:23" ht="20.25" customHeight="1">
      <c r="A30" s="73" t="s">
        <v>145</v>
      </c>
      <c r="B30" s="73"/>
      <c r="C30" s="1"/>
      <c r="M30" s="7"/>
      <c r="N30" s="7"/>
      <c r="Q30" s="7"/>
    </row>
    <row r="31" spans="1:23" ht="18" customHeight="1">
      <c r="A31" s="20" t="s">
        <v>414</v>
      </c>
      <c r="B31" s="20"/>
      <c r="C31" s="10"/>
    </row>
    <row r="32" spans="1:23" ht="18" customHeight="1">
      <c r="A32" s="332" t="s">
        <v>418</v>
      </c>
      <c r="B32" s="20"/>
      <c r="C32" s="10"/>
    </row>
    <row r="33" spans="1:12" ht="18" customHeight="1">
      <c r="A33" s="333" t="s">
        <v>415</v>
      </c>
      <c r="B33" s="20"/>
      <c r="C33" s="10"/>
    </row>
    <row r="34" spans="1:12" ht="18" customHeight="1">
      <c r="A34" s="20" t="s">
        <v>416</v>
      </c>
      <c r="B34" s="11"/>
      <c r="C34" s="11"/>
      <c r="D34" s="11"/>
      <c r="E34" s="11"/>
      <c r="F34" s="11"/>
      <c r="G34" s="11"/>
      <c r="H34" s="11"/>
      <c r="I34" s="11"/>
      <c r="J34" s="11"/>
      <c r="K34" s="11"/>
      <c r="L34" s="11"/>
    </row>
    <row r="35" spans="1:12" ht="18" customHeight="1">
      <c r="A35" s="12" t="s">
        <v>417</v>
      </c>
      <c r="B35" s="12"/>
      <c r="C35" s="12"/>
      <c r="D35" s="12"/>
      <c r="E35" s="12"/>
      <c r="F35" s="12"/>
      <c r="G35" s="12"/>
      <c r="H35" s="12"/>
      <c r="I35" s="12"/>
      <c r="J35" s="12"/>
      <c r="K35" s="12"/>
      <c r="L35" s="12"/>
    </row>
    <row r="36" spans="1:12" ht="18" customHeight="1">
      <c r="A36" s="13"/>
      <c r="B36" s="13"/>
      <c r="C36" s="13"/>
      <c r="D36" s="12"/>
      <c r="E36" s="12"/>
      <c r="F36" s="12"/>
      <c r="G36" s="12"/>
      <c r="H36" s="12"/>
      <c r="I36" s="12"/>
      <c r="J36" s="12"/>
      <c r="K36" s="12"/>
      <c r="L36" s="12"/>
    </row>
    <row r="37" spans="1:12" ht="18" customHeight="1">
      <c r="A37" s="14"/>
      <c r="B37" s="15"/>
      <c r="C37" s="14"/>
      <c r="E37" s="15"/>
      <c r="F37" s="15"/>
      <c r="G37" s="15"/>
      <c r="H37" s="15"/>
      <c r="I37" s="15"/>
      <c r="J37" s="15"/>
      <c r="K37" s="15"/>
      <c r="L37" s="15"/>
    </row>
    <row r="38" spans="1:12" ht="18" customHeight="1">
      <c r="A38" s="14"/>
      <c r="B38" s="15"/>
      <c r="C38" s="14"/>
      <c r="E38" s="15"/>
      <c r="F38" s="15"/>
      <c r="G38" s="15"/>
      <c r="H38" s="15"/>
      <c r="I38" s="15"/>
      <c r="J38" s="15"/>
      <c r="K38" s="15"/>
      <c r="L38" s="15"/>
    </row>
    <row r="39" spans="1:12" ht="18" customHeight="1">
      <c r="A39" s="14"/>
      <c r="B39" s="15"/>
      <c r="C39" s="14"/>
      <c r="E39" s="15"/>
      <c r="F39" s="15"/>
      <c r="G39" s="15"/>
      <c r="H39" s="15"/>
      <c r="I39" s="15"/>
      <c r="J39" s="15"/>
      <c r="K39" s="15"/>
      <c r="L39" s="15"/>
    </row>
  </sheetData>
  <mergeCells count="16">
    <mergeCell ref="A1:M1"/>
    <mergeCell ref="A2:M2"/>
    <mergeCell ref="W9:W10"/>
    <mergeCell ref="U9:U10"/>
    <mergeCell ref="I9:N9"/>
    <mergeCell ref="O9:R9"/>
    <mergeCell ref="C9:F9"/>
    <mergeCell ref="A9:A10"/>
    <mergeCell ref="B9:B10"/>
    <mergeCell ref="S9:S10"/>
    <mergeCell ref="T9:T10"/>
    <mergeCell ref="G9:G10"/>
    <mergeCell ref="H9:H10"/>
    <mergeCell ref="V9:V10"/>
    <mergeCell ref="N1:W1"/>
    <mergeCell ref="N2:W2"/>
  </mergeCells>
  <phoneticPr fontId="3" type="noConversion"/>
  <hyperlinks>
    <hyperlink ref="M3" location="底稿目录!F8" display="底稿目录!F8"/>
    <hyperlink ref="W3" location="底稿目录!F8" display="底稿目录!F8"/>
  </hyperlinks>
  <printOptions horizontalCentered="1"/>
  <pageMargins left="0.47244094488188981" right="0.23622047244094491" top="0.35433070866141736" bottom="0.35433070866141736" header="0.31496062992125984" footer="0.19685039370078741"/>
  <pageSetup paperSize="9" scale="75" fitToWidth="0" fitToHeight="0" orientation="landscape" blackAndWhite="1" r:id="rId1"/>
  <headerFooter alignWithMargins="0">
    <oddFooter>&amp;C&amp;P/&amp;N</oddFooter>
  </headerFooter>
  <colBreaks count="1" manualBreakCount="1">
    <brk id="13" max="24"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4"/>
  <sheetViews>
    <sheetView view="pageBreakPreview" zoomScaleNormal="100" zoomScaleSheetLayoutView="100" workbookViewId="0">
      <selection sqref="A1:J1"/>
    </sheetView>
  </sheetViews>
  <sheetFormatPr defaultColWidth="8.88671875" defaultRowHeight="15.6"/>
  <cols>
    <col min="1" max="1" width="23" style="94" customWidth="1"/>
    <col min="2" max="2" width="17.44140625" style="94" customWidth="1"/>
    <col min="3" max="3" width="13.6640625" style="167" customWidth="1"/>
    <col min="4" max="4" width="16.21875" style="94" customWidth="1"/>
    <col min="5" max="5" width="15.44140625" style="94" customWidth="1"/>
    <col min="6" max="6" width="12" style="94" customWidth="1"/>
    <col min="7" max="7" width="11.33203125" style="94" customWidth="1"/>
    <col min="8" max="8" width="11.6640625" style="94" customWidth="1"/>
    <col min="9" max="9" width="9.77734375" style="94" customWidth="1"/>
    <col min="10" max="10" width="14.6640625" style="94" customWidth="1"/>
    <col min="11" max="16384" width="8.88671875" style="94"/>
  </cols>
  <sheetData>
    <row r="1" spans="1:10" s="169" customFormat="1" ht="19.95" customHeight="1">
      <c r="A1" s="352" t="s">
        <v>292</v>
      </c>
      <c r="B1" s="352"/>
      <c r="C1" s="352"/>
      <c r="D1" s="352"/>
      <c r="E1" s="352"/>
      <c r="F1" s="352"/>
      <c r="G1" s="352"/>
      <c r="H1" s="352"/>
      <c r="I1" s="352"/>
      <c r="J1" s="352"/>
    </row>
    <row r="2" spans="1:10" s="180" customFormat="1" ht="19.95" customHeight="1">
      <c r="A2" s="353" t="s">
        <v>195</v>
      </c>
      <c r="B2" s="353"/>
      <c r="C2" s="353"/>
      <c r="D2" s="353"/>
      <c r="E2" s="353"/>
      <c r="F2" s="353"/>
      <c r="G2" s="353"/>
      <c r="H2" s="353"/>
      <c r="I2" s="353"/>
      <c r="J2" s="353"/>
    </row>
    <row r="3" spans="1:10" s="241" customFormat="1" ht="19.95" customHeight="1">
      <c r="A3" s="217" t="str">
        <f>底稿目录!A2</f>
        <v>被审计单位：</v>
      </c>
      <c r="B3" s="217"/>
      <c r="C3" s="217"/>
      <c r="D3" s="217" t="str">
        <f>底稿目录!A4</f>
        <v>编制人：</v>
      </c>
      <c r="E3" s="217"/>
      <c r="F3" s="217"/>
      <c r="G3" s="217" t="str">
        <f>底稿目录!A5</f>
        <v>编制日期：</v>
      </c>
      <c r="H3" s="217"/>
      <c r="I3" s="217" t="s">
        <v>218</v>
      </c>
      <c r="J3" s="294" t="str">
        <f>底稿目录!F9</f>
        <v>G8-3</v>
      </c>
    </row>
    <row r="4" spans="1:10" s="241" customFormat="1" ht="19.95" customHeight="1">
      <c r="A4" s="217" t="str">
        <f>底稿目录!A3</f>
        <v>截止日：202X年12月31日</v>
      </c>
      <c r="B4" s="217"/>
      <c r="C4" s="217"/>
      <c r="D4" s="217" t="str">
        <f>底稿目录!A6</f>
        <v>复核人：</v>
      </c>
      <c r="E4" s="217"/>
      <c r="F4" s="217"/>
      <c r="G4" s="217" t="str">
        <f>底稿目录!A7</f>
        <v>复核日期：</v>
      </c>
      <c r="H4" s="217"/>
      <c r="I4" s="217" t="s">
        <v>309</v>
      </c>
    </row>
    <row r="5" spans="1:10" ht="31.2" customHeight="1">
      <c r="A5" s="95" t="s">
        <v>186</v>
      </c>
      <c r="B5" s="293" t="s">
        <v>187</v>
      </c>
      <c r="C5" s="165" t="s">
        <v>270</v>
      </c>
      <c r="D5" s="96" t="s">
        <v>188</v>
      </c>
      <c r="E5" s="96" t="s">
        <v>189</v>
      </c>
      <c r="F5" s="97" t="s">
        <v>190</v>
      </c>
      <c r="G5" s="96" t="s">
        <v>191</v>
      </c>
      <c r="H5" s="96" t="s">
        <v>192</v>
      </c>
      <c r="I5" s="96" t="s">
        <v>193</v>
      </c>
      <c r="J5" s="96" t="s">
        <v>194</v>
      </c>
    </row>
    <row r="6" spans="1:10" ht="19.95" customHeight="1">
      <c r="A6" s="98"/>
      <c r="B6" s="98"/>
      <c r="C6" s="166"/>
      <c r="D6" s="98"/>
      <c r="E6" s="98"/>
      <c r="F6" s="98"/>
      <c r="G6" s="98"/>
      <c r="H6" s="98"/>
      <c r="I6" s="98"/>
      <c r="J6" s="98"/>
    </row>
    <row r="7" spans="1:10" ht="19.95" customHeight="1">
      <c r="A7" s="99"/>
      <c r="B7" s="98"/>
      <c r="C7" s="166"/>
      <c r="D7" s="98"/>
      <c r="E7" s="98"/>
      <c r="F7" s="98"/>
      <c r="G7" s="98"/>
      <c r="H7" s="98"/>
      <c r="I7" s="98"/>
      <c r="J7" s="98"/>
    </row>
    <row r="8" spans="1:10" ht="19.95" customHeight="1">
      <c r="A8" s="100"/>
      <c r="B8" s="98"/>
      <c r="C8" s="166"/>
      <c r="D8" s="98"/>
      <c r="E8" s="98"/>
      <c r="F8" s="98"/>
      <c r="G8" s="98"/>
      <c r="H8" s="98"/>
      <c r="I8" s="98"/>
      <c r="J8" s="98"/>
    </row>
    <row r="9" spans="1:10" ht="19.95" customHeight="1">
      <c r="A9" s="100"/>
      <c r="B9" s="98"/>
      <c r="C9" s="166"/>
      <c r="D9" s="98"/>
      <c r="E9" s="98"/>
      <c r="F9" s="98"/>
      <c r="G9" s="98"/>
      <c r="H9" s="98"/>
      <c r="I9" s="98"/>
      <c r="J9" s="98"/>
    </row>
    <row r="10" spans="1:10" ht="19.95" customHeight="1">
      <c r="A10" s="100"/>
      <c r="B10" s="98"/>
      <c r="C10" s="166"/>
      <c r="D10" s="98"/>
      <c r="E10" s="98"/>
      <c r="F10" s="98"/>
      <c r="G10" s="98"/>
      <c r="H10" s="98"/>
      <c r="I10" s="98"/>
      <c r="J10" s="98"/>
    </row>
    <row r="11" spans="1:10" ht="19.95" customHeight="1">
      <c r="A11" s="101"/>
      <c r="B11" s="98"/>
      <c r="C11" s="166"/>
      <c r="D11" s="98"/>
      <c r="E11" s="98"/>
      <c r="F11" s="98"/>
      <c r="G11" s="98"/>
      <c r="H11" s="98"/>
      <c r="I11" s="98"/>
      <c r="J11" s="98"/>
    </row>
    <row r="12" spans="1:10" ht="19.95" customHeight="1">
      <c r="A12" s="100"/>
      <c r="B12" s="98"/>
      <c r="C12" s="166"/>
      <c r="D12" s="98"/>
      <c r="E12" s="98"/>
      <c r="F12" s="98"/>
      <c r="G12" s="98"/>
      <c r="H12" s="98"/>
      <c r="I12" s="98"/>
      <c r="J12" s="98"/>
    </row>
    <row r="13" spans="1:10" ht="19.95" customHeight="1">
      <c r="A13" s="100"/>
      <c r="B13" s="98"/>
      <c r="C13" s="166"/>
      <c r="D13" s="98"/>
      <c r="E13" s="98"/>
      <c r="F13" s="98"/>
      <c r="G13" s="98"/>
      <c r="H13" s="98"/>
      <c r="I13" s="98"/>
      <c r="J13" s="98"/>
    </row>
    <row r="14" spans="1:10" ht="19.95" customHeight="1">
      <c r="A14" s="100"/>
      <c r="B14" s="98"/>
      <c r="C14" s="166"/>
      <c r="D14" s="98"/>
      <c r="E14" s="98"/>
      <c r="F14" s="98"/>
      <c r="G14" s="98"/>
      <c r="H14" s="98"/>
      <c r="I14" s="98"/>
      <c r="J14" s="98"/>
    </row>
    <row r="15" spans="1:10" ht="19.95" customHeight="1">
      <c r="A15" s="100"/>
      <c r="B15" s="98"/>
      <c r="C15" s="166"/>
      <c r="D15" s="98"/>
      <c r="E15" s="98"/>
      <c r="F15" s="98"/>
      <c r="G15" s="98"/>
      <c r="H15" s="98"/>
      <c r="I15" s="98"/>
      <c r="J15" s="98"/>
    </row>
    <row r="16" spans="1:10" ht="19.95" customHeight="1">
      <c r="A16" s="100"/>
      <c r="B16" s="98"/>
      <c r="C16" s="166"/>
      <c r="D16" s="98"/>
      <c r="E16" s="98"/>
      <c r="F16" s="98"/>
      <c r="G16" s="98"/>
      <c r="H16" s="98"/>
      <c r="I16" s="98"/>
      <c r="J16" s="98"/>
    </row>
    <row r="17" spans="1:10" ht="19.95" customHeight="1">
      <c r="A17" s="100"/>
      <c r="B17" s="98"/>
      <c r="C17" s="166"/>
      <c r="D17" s="98"/>
      <c r="E17" s="98"/>
      <c r="F17" s="98"/>
      <c r="G17" s="98"/>
      <c r="H17" s="98"/>
      <c r="I17" s="98"/>
      <c r="J17" s="98"/>
    </row>
    <row r="18" spans="1:10" ht="19.95" customHeight="1">
      <c r="A18" s="100"/>
      <c r="B18" s="98"/>
      <c r="C18" s="166"/>
      <c r="D18" s="98"/>
      <c r="E18" s="98"/>
      <c r="F18" s="98"/>
      <c r="G18" s="98"/>
      <c r="H18" s="98"/>
      <c r="I18" s="98"/>
      <c r="J18" s="98"/>
    </row>
    <row r="19" spans="1:10" ht="19.95" customHeight="1">
      <c r="A19" s="100"/>
      <c r="B19" s="98"/>
      <c r="C19" s="166"/>
      <c r="D19" s="98"/>
      <c r="E19" s="98"/>
      <c r="F19" s="98"/>
      <c r="G19" s="98"/>
      <c r="H19" s="98"/>
      <c r="I19" s="98"/>
      <c r="J19" s="98"/>
    </row>
    <row r="20" spans="1:10" ht="19.95" customHeight="1">
      <c r="A20" s="100"/>
      <c r="B20" s="98"/>
      <c r="C20" s="166"/>
      <c r="D20" s="98"/>
      <c r="E20" s="98"/>
      <c r="F20" s="98"/>
      <c r="G20" s="98"/>
      <c r="H20" s="98"/>
      <c r="I20" s="98"/>
      <c r="J20" s="98"/>
    </row>
    <row r="21" spans="1:10" ht="19.95" customHeight="1">
      <c r="A21" s="55"/>
      <c r="B21" s="55"/>
      <c r="C21" s="55"/>
      <c r="D21" s="56"/>
      <c r="E21" s="56"/>
      <c r="F21" s="56"/>
      <c r="G21" s="57"/>
      <c r="H21" s="57"/>
      <c r="I21" s="56"/>
      <c r="J21" s="64"/>
    </row>
    <row r="22" spans="1:10" ht="19.95" customHeight="1">
      <c r="A22" s="60"/>
      <c r="B22" s="60"/>
      <c r="C22" s="60"/>
      <c r="D22" s="60"/>
      <c r="E22" s="102"/>
      <c r="F22" s="62"/>
      <c r="G22" s="103"/>
      <c r="H22" s="103"/>
      <c r="I22" s="103"/>
      <c r="J22" s="103"/>
    </row>
    <row r="23" spans="1:10" ht="19.95" customHeight="1"/>
    <row r="24" spans="1:10" ht="19.95" customHeight="1"/>
  </sheetData>
  <mergeCells count="2">
    <mergeCell ref="A1:J1"/>
    <mergeCell ref="A2:J2"/>
  </mergeCells>
  <phoneticPr fontId="3"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47244094488188981" right="0.23622047244094491" top="0.35433070866141736" bottom="0.35433070866141736" header="0.31496062992125984" footer="0.19685039370078741"/>
  <pageSetup paperSize="9" scale="95" fitToHeight="0"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40"/>
  <sheetViews>
    <sheetView view="pageBreakPreview" zoomScaleNormal="115" zoomScaleSheetLayoutView="100" workbookViewId="0">
      <selection sqref="A1:S1"/>
    </sheetView>
  </sheetViews>
  <sheetFormatPr defaultColWidth="9" defaultRowHeight="13.8"/>
  <cols>
    <col min="1" max="1" width="16.109375" style="5" customWidth="1"/>
    <col min="2" max="3" width="9.33203125" style="5" customWidth="1"/>
    <col min="4" max="4" width="8.6640625" style="5" customWidth="1"/>
    <col min="5" max="5" width="11.88671875" style="5" customWidth="1"/>
    <col min="6" max="6" width="8.88671875" style="5" customWidth="1"/>
    <col min="7" max="7" width="10.77734375" style="5" customWidth="1"/>
    <col min="8" max="8" width="7.88671875" style="5" customWidth="1"/>
    <col min="9" max="9" width="11.5546875" style="5" customWidth="1"/>
    <col min="10" max="13" width="8.77734375" style="5" customWidth="1"/>
    <col min="14" max="14" width="13.44140625" style="5" customWidth="1"/>
    <col min="15" max="15" width="13.21875" style="5" customWidth="1"/>
    <col min="16" max="16" width="10.5546875" style="5" customWidth="1"/>
    <col min="17" max="17" width="14.21875" style="5" customWidth="1"/>
    <col min="18" max="18" width="8.21875" style="5" customWidth="1"/>
    <col min="19" max="19" width="9.21875" style="5" customWidth="1"/>
    <col min="20" max="16384" width="9" style="5"/>
  </cols>
  <sheetData>
    <row r="1" spans="1:19" s="172" customFormat="1" ht="19.95" customHeight="1">
      <c r="A1" s="368" t="s">
        <v>17</v>
      </c>
      <c r="B1" s="368"/>
      <c r="C1" s="368"/>
      <c r="D1" s="368"/>
      <c r="E1" s="368"/>
      <c r="F1" s="368"/>
      <c r="G1" s="368"/>
      <c r="H1" s="368"/>
      <c r="I1" s="368"/>
      <c r="J1" s="368"/>
      <c r="K1" s="368"/>
      <c r="L1" s="368"/>
      <c r="M1" s="368"/>
      <c r="N1" s="368"/>
      <c r="O1" s="368"/>
      <c r="P1" s="368"/>
      <c r="Q1" s="368"/>
      <c r="R1" s="368"/>
      <c r="S1" s="368"/>
    </row>
    <row r="2" spans="1:19" s="177" customFormat="1" ht="19.95" customHeight="1">
      <c r="A2" s="369" t="s">
        <v>290</v>
      </c>
      <c r="B2" s="369"/>
      <c r="C2" s="369"/>
      <c r="D2" s="369"/>
      <c r="E2" s="369"/>
      <c r="F2" s="369"/>
      <c r="G2" s="369"/>
      <c r="H2" s="369"/>
      <c r="I2" s="369"/>
      <c r="J2" s="369"/>
      <c r="K2" s="369"/>
      <c r="L2" s="369"/>
      <c r="M2" s="369"/>
      <c r="N2" s="369"/>
      <c r="O2" s="369"/>
      <c r="P2" s="369"/>
      <c r="Q2" s="369"/>
      <c r="R2" s="369"/>
      <c r="S2" s="369"/>
    </row>
    <row r="3" spans="1:19" s="203" customFormat="1" ht="19.95" customHeight="1">
      <c r="A3" s="203" t="str">
        <f>底稿目录!A2</f>
        <v>被审计单位：</v>
      </c>
      <c r="F3" s="205" t="str">
        <f>底稿目录!A4</f>
        <v>编制人：</v>
      </c>
      <c r="J3" s="205" t="str">
        <f>底稿目录!A5</f>
        <v>编制日期：</v>
      </c>
      <c r="K3" s="205"/>
      <c r="L3" s="205"/>
      <c r="M3" s="205"/>
      <c r="N3" s="205"/>
      <c r="R3" s="215" t="s">
        <v>0</v>
      </c>
      <c r="S3" s="294" t="str">
        <f>底稿目录!F10</f>
        <v>G8-4</v>
      </c>
    </row>
    <row r="4" spans="1:19" s="203" customFormat="1" ht="19.95" customHeight="1">
      <c r="A4" s="208" t="str">
        <f>底稿目录!A3</f>
        <v>截止日：202X年12月31日</v>
      </c>
      <c r="B4" s="208"/>
      <c r="C4" s="208"/>
      <c r="F4" s="205" t="str">
        <f>底稿目录!A6</f>
        <v>复核人：</v>
      </c>
      <c r="J4" s="205" t="str">
        <f>底稿目录!A7</f>
        <v>复核日期：</v>
      </c>
      <c r="K4" s="205"/>
      <c r="L4" s="205"/>
      <c r="M4" s="205"/>
      <c r="N4" s="205"/>
      <c r="R4" s="215" t="s">
        <v>20</v>
      </c>
      <c r="S4" s="216"/>
    </row>
    <row r="5" spans="1:19" ht="19.95" customHeight="1">
      <c r="A5" s="27" t="s">
        <v>266</v>
      </c>
      <c r="B5" s="27"/>
      <c r="C5" s="160" t="s">
        <v>271</v>
      </c>
      <c r="D5" s="28"/>
      <c r="E5" s="28"/>
      <c r="F5" s="28"/>
      <c r="H5" s="7"/>
    </row>
    <row r="6" spans="1:19" ht="19.95" customHeight="1">
      <c r="A6" s="27" t="s">
        <v>267</v>
      </c>
      <c r="B6" s="27"/>
      <c r="C6" s="75"/>
      <c r="D6" s="75"/>
      <c r="H6" s="75"/>
    </row>
    <row r="7" spans="1:19" s="65" customFormat="1" ht="19.95" customHeight="1">
      <c r="A7" s="381" t="s">
        <v>311</v>
      </c>
      <c r="B7" s="389" t="s">
        <v>312</v>
      </c>
      <c r="C7" s="383" t="s">
        <v>313</v>
      </c>
      <c r="D7" s="384"/>
      <c r="E7" s="384"/>
      <c r="F7" s="385"/>
      <c r="G7" s="383" t="s">
        <v>314</v>
      </c>
      <c r="H7" s="386"/>
      <c r="I7" s="386"/>
      <c r="J7" s="386"/>
      <c r="K7" s="390" t="s">
        <v>315</v>
      </c>
      <c r="L7" s="390" t="s">
        <v>316</v>
      </c>
      <c r="M7" s="390" t="s">
        <v>317</v>
      </c>
      <c r="N7" s="297" t="s">
        <v>318</v>
      </c>
      <c r="O7" s="297" t="s">
        <v>319</v>
      </c>
      <c r="P7" s="379" t="s">
        <v>320</v>
      </c>
      <c r="Q7" s="380"/>
      <c r="R7" s="380"/>
      <c r="S7" s="387" t="s">
        <v>321</v>
      </c>
    </row>
    <row r="8" spans="1:19" s="65" customFormat="1" ht="25.8">
      <c r="A8" s="382"/>
      <c r="B8" s="382"/>
      <c r="C8" s="297" t="s">
        <v>322</v>
      </c>
      <c r="D8" s="297" t="s">
        <v>323</v>
      </c>
      <c r="E8" s="297" t="s">
        <v>324</v>
      </c>
      <c r="F8" s="297" t="s">
        <v>325</v>
      </c>
      <c r="G8" s="297" t="s">
        <v>322</v>
      </c>
      <c r="H8" s="297" t="s">
        <v>323</v>
      </c>
      <c r="I8" s="297" t="s">
        <v>324</v>
      </c>
      <c r="J8" s="298" t="s">
        <v>325</v>
      </c>
      <c r="K8" s="391"/>
      <c r="L8" s="391"/>
      <c r="M8" s="391"/>
      <c r="N8" s="299" t="s">
        <v>326</v>
      </c>
      <c r="O8" s="299" t="s">
        <v>327</v>
      </c>
      <c r="P8" s="300" t="s">
        <v>121</v>
      </c>
      <c r="Q8" s="300" t="s">
        <v>122</v>
      </c>
      <c r="R8" s="300" t="s">
        <v>328</v>
      </c>
      <c r="S8" s="388"/>
    </row>
    <row r="9" spans="1:19" s="65" customFormat="1" ht="27.6">
      <c r="A9" s="235">
        <f>'明细表G8-2'!A11</f>
        <v>0</v>
      </c>
      <c r="B9" s="242"/>
      <c r="C9" s="233"/>
      <c r="D9" s="233"/>
      <c r="E9" s="125">
        <f>C9*D9</f>
        <v>0</v>
      </c>
      <c r="F9" s="246" t="s">
        <v>329</v>
      </c>
      <c r="G9" s="53"/>
      <c r="H9" s="53"/>
      <c r="I9" s="125">
        <f>G9*H9</f>
        <v>0</v>
      </c>
      <c r="J9" s="246" t="s">
        <v>329</v>
      </c>
      <c r="K9" s="125">
        <f>I9-E9</f>
        <v>0</v>
      </c>
      <c r="L9" s="247"/>
      <c r="M9" s="248"/>
      <c r="N9" s="246"/>
      <c r="O9" s="249"/>
      <c r="P9" s="250" t="s">
        <v>330</v>
      </c>
      <c r="Q9" s="250" t="s">
        <v>310</v>
      </c>
      <c r="R9" s="243" t="s">
        <v>123</v>
      </c>
      <c r="S9" s="238"/>
    </row>
    <row r="10" spans="1:19" s="65" customFormat="1" ht="72">
      <c r="A10" s="235">
        <f>'明细表G8-2'!A12</f>
        <v>0</v>
      </c>
      <c r="B10" s="242"/>
      <c r="C10" s="233"/>
      <c r="D10" s="233"/>
      <c r="E10" s="125">
        <f>C10*D10</f>
        <v>0</v>
      </c>
      <c r="F10" s="246"/>
      <c r="G10" s="53"/>
      <c r="H10" s="53"/>
      <c r="I10" s="125">
        <f t="shared" ref="I10:I18" si="0">G10*H10</f>
        <v>0</v>
      </c>
      <c r="J10" s="246" t="s">
        <v>331</v>
      </c>
      <c r="K10" s="125">
        <f t="shared" ref="K10:K18" si="1">I10-E10</f>
        <v>0</v>
      </c>
      <c r="L10" s="247"/>
      <c r="M10" s="248"/>
      <c r="N10" s="246"/>
      <c r="O10" s="249"/>
      <c r="P10" s="250" t="s">
        <v>332</v>
      </c>
      <c r="Q10" s="250" t="s">
        <v>333</v>
      </c>
      <c r="R10" s="243" t="s">
        <v>124</v>
      </c>
      <c r="S10" s="238"/>
    </row>
    <row r="11" spans="1:19" s="65" customFormat="1" ht="19.95" customHeight="1">
      <c r="A11" s="235">
        <f>'明细表G8-2'!A13</f>
        <v>0</v>
      </c>
      <c r="B11" s="242"/>
      <c r="C11" s="233"/>
      <c r="D11" s="233"/>
      <c r="E11" s="125"/>
      <c r="F11" s="246"/>
      <c r="G11" s="53"/>
      <c r="H11" s="53"/>
      <c r="I11" s="125">
        <f t="shared" si="0"/>
        <v>0</v>
      </c>
      <c r="J11" s="247"/>
      <c r="K11" s="125">
        <f t="shared" si="1"/>
        <v>0</v>
      </c>
      <c r="L11" s="247"/>
      <c r="M11" s="246"/>
      <c r="N11" s="246"/>
      <c r="O11" s="249"/>
      <c r="P11" s="250"/>
      <c r="Q11" s="246"/>
      <c r="R11" s="244"/>
      <c r="S11" s="238"/>
    </row>
    <row r="12" spans="1:19" s="65" customFormat="1" ht="19.95" customHeight="1">
      <c r="A12" s="235">
        <f>'明细表G8-2'!A14</f>
        <v>0</v>
      </c>
      <c r="B12" s="242"/>
      <c r="C12" s="233"/>
      <c r="D12" s="233"/>
      <c r="E12" s="125"/>
      <c r="F12" s="246"/>
      <c r="G12" s="53"/>
      <c r="H12" s="53"/>
      <c r="I12" s="125">
        <f t="shared" si="0"/>
        <v>0</v>
      </c>
      <c r="J12" s="247"/>
      <c r="K12" s="125">
        <f t="shared" si="1"/>
        <v>0</v>
      </c>
      <c r="L12" s="247"/>
      <c r="M12" s="246"/>
      <c r="N12" s="246"/>
      <c r="O12" s="249"/>
      <c r="P12" s="250"/>
      <c r="Q12" s="246"/>
      <c r="R12" s="244"/>
      <c r="S12" s="238"/>
    </row>
    <row r="13" spans="1:19" s="65" customFormat="1" ht="19.95" customHeight="1">
      <c r="A13" s="235">
        <f>'明细表G8-2'!A15</f>
        <v>0</v>
      </c>
      <c r="B13" s="242"/>
      <c r="C13" s="233"/>
      <c r="D13" s="233"/>
      <c r="E13" s="125"/>
      <c r="F13" s="246"/>
      <c r="G13" s="53"/>
      <c r="H13" s="53"/>
      <c r="I13" s="125">
        <f t="shared" si="0"/>
        <v>0</v>
      </c>
      <c r="J13" s="247"/>
      <c r="K13" s="125">
        <f t="shared" si="1"/>
        <v>0</v>
      </c>
      <c r="L13" s="247"/>
      <c r="M13" s="246"/>
      <c r="N13" s="246"/>
      <c r="O13" s="249"/>
      <c r="P13" s="250"/>
      <c r="Q13" s="246"/>
      <c r="R13" s="244"/>
      <c r="S13" s="238"/>
    </row>
    <row r="14" spans="1:19" s="65" customFormat="1" ht="19.95" customHeight="1">
      <c r="A14" s="235">
        <f>'明细表G8-2'!A16</f>
        <v>0</v>
      </c>
      <c r="B14" s="242"/>
      <c r="C14" s="233"/>
      <c r="D14" s="233"/>
      <c r="E14" s="125"/>
      <c r="F14" s="246"/>
      <c r="G14" s="53"/>
      <c r="H14" s="53"/>
      <c r="I14" s="125">
        <f t="shared" si="0"/>
        <v>0</v>
      </c>
      <c r="J14" s="247"/>
      <c r="K14" s="125">
        <f t="shared" si="1"/>
        <v>0</v>
      </c>
      <c r="L14" s="247"/>
      <c r="M14" s="246"/>
      <c r="N14" s="246"/>
      <c r="O14" s="249"/>
      <c r="P14" s="250"/>
      <c r="Q14" s="246"/>
      <c r="R14" s="244"/>
      <c r="S14" s="238"/>
    </row>
    <row r="15" spans="1:19" s="65" customFormat="1" ht="19.95" customHeight="1">
      <c r="A15" s="235">
        <f>'明细表G8-2'!A17</f>
        <v>0</v>
      </c>
      <c r="B15" s="242"/>
      <c r="C15" s="233"/>
      <c r="D15" s="233"/>
      <c r="E15" s="125"/>
      <c r="F15" s="246"/>
      <c r="G15" s="53"/>
      <c r="H15" s="53"/>
      <c r="I15" s="125">
        <f t="shared" si="0"/>
        <v>0</v>
      </c>
      <c r="J15" s="247"/>
      <c r="K15" s="125">
        <f t="shared" si="1"/>
        <v>0</v>
      </c>
      <c r="L15" s="247"/>
      <c r="M15" s="246"/>
      <c r="N15" s="246"/>
      <c r="O15" s="249"/>
      <c r="P15" s="250"/>
      <c r="Q15" s="246"/>
      <c r="R15" s="244"/>
      <c r="S15" s="238"/>
    </row>
    <row r="16" spans="1:19" s="66" customFormat="1" ht="19.95" customHeight="1">
      <c r="A16" s="235">
        <f>'明细表G8-2'!A18</f>
        <v>0</v>
      </c>
      <c r="B16" s="242"/>
      <c r="C16" s="233"/>
      <c r="D16" s="233"/>
      <c r="E16" s="125"/>
      <c r="F16" s="246"/>
      <c r="G16" s="53"/>
      <c r="H16" s="53"/>
      <c r="I16" s="125">
        <f t="shared" si="0"/>
        <v>0</v>
      </c>
      <c r="J16" s="247"/>
      <c r="K16" s="125">
        <f t="shared" si="1"/>
        <v>0</v>
      </c>
      <c r="L16" s="247"/>
      <c r="M16" s="246"/>
      <c r="N16" s="246"/>
      <c r="O16" s="249"/>
      <c r="P16" s="250"/>
      <c r="Q16" s="246"/>
      <c r="R16" s="244"/>
      <c r="S16" s="240"/>
    </row>
    <row r="17" spans="1:19" s="65" customFormat="1" ht="19.95" customHeight="1">
      <c r="A17" s="235">
        <f>'明细表G8-2'!A19</f>
        <v>0</v>
      </c>
      <c r="B17" s="242"/>
      <c r="C17" s="233"/>
      <c r="D17" s="233"/>
      <c r="E17" s="125"/>
      <c r="F17" s="246"/>
      <c r="G17" s="53"/>
      <c r="H17" s="53"/>
      <c r="I17" s="125">
        <f t="shared" si="0"/>
        <v>0</v>
      </c>
      <c r="J17" s="247"/>
      <c r="K17" s="125">
        <f t="shared" si="1"/>
        <v>0</v>
      </c>
      <c r="L17" s="247"/>
      <c r="M17" s="246"/>
      <c r="N17" s="246"/>
      <c r="O17" s="249"/>
      <c r="P17" s="250"/>
      <c r="Q17" s="246"/>
      <c r="R17" s="244"/>
      <c r="S17" s="238"/>
    </row>
    <row r="18" spans="1:19" s="65" customFormat="1" ht="19.95" customHeight="1">
      <c r="A18" s="235">
        <f>'明细表G8-2'!A20</f>
        <v>0</v>
      </c>
      <c r="B18" s="242"/>
      <c r="C18" s="233"/>
      <c r="D18" s="233"/>
      <c r="E18" s="125"/>
      <c r="F18" s="246"/>
      <c r="G18" s="53"/>
      <c r="H18" s="53"/>
      <c r="I18" s="125">
        <f t="shared" si="0"/>
        <v>0</v>
      </c>
      <c r="J18" s="247"/>
      <c r="K18" s="125">
        <f t="shared" si="1"/>
        <v>0</v>
      </c>
      <c r="L18" s="247"/>
      <c r="M18" s="246"/>
      <c r="N18" s="246"/>
      <c r="O18" s="249"/>
      <c r="P18" s="250"/>
      <c r="Q18" s="246"/>
      <c r="R18" s="244"/>
      <c r="S18" s="238"/>
    </row>
    <row r="19" spans="1:19" s="67" customFormat="1" ht="19.95" customHeight="1">
      <c r="A19" s="245" t="s">
        <v>334</v>
      </c>
      <c r="B19" s="245"/>
      <c r="C19" s="168"/>
      <c r="D19" s="168"/>
      <c r="E19" s="168">
        <f>SUM(E9:E18)</f>
        <v>0</v>
      </c>
      <c r="F19" s="168"/>
      <c r="G19" s="168"/>
      <c r="H19" s="168"/>
      <c r="I19" s="168">
        <f>SUM(I9:I18)</f>
        <v>0</v>
      </c>
      <c r="J19" s="168"/>
      <c r="K19" s="168">
        <f>SUM(K9:K18)</f>
        <v>0</v>
      </c>
      <c r="L19" s="168"/>
      <c r="M19" s="168"/>
      <c r="N19" s="142"/>
      <c r="O19" s="142"/>
      <c r="P19" s="142"/>
      <c r="Q19" s="142"/>
      <c r="R19" s="142"/>
      <c r="S19" s="145"/>
    </row>
    <row r="20" spans="1:19" ht="19.95" customHeight="1">
      <c r="A20" s="4" t="s">
        <v>112</v>
      </c>
      <c r="B20" s="4"/>
      <c r="C20" s="4"/>
      <c r="I20" s="4"/>
    </row>
    <row r="21" spans="1:19" ht="19.95" customHeight="1">
      <c r="A21" s="5" t="s">
        <v>335</v>
      </c>
    </row>
    <row r="22" spans="1:19" ht="19.95" customHeight="1"/>
    <row r="23" spans="1:19" ht="19.95" customHeight="1"/>
    <row r="24" spans="1:19" ht="19.95" customHeight="1">
      <c r="A24" s="4" t="s">
        <v>336</v>
      </c>
      <c r="B24" s="4"/>
    </row>
    <row r="25" spans="1:19" ht="19.95" customHeight="1"/>
    <row r="26" spans="1:19" ht="18" customHeight="1">
      <c r="A26" s="20" t="s">
        <v>2</v>
      </c>
      <c r="B26" s="20"/>
      <c r="C26" s="20"/>
    </row>
    <row r="27" spans="1:19" ht="18" customHeight="1">
      <c r="A27" s="83" t="s">
        <v>153</v>
      </c>
      <c r="B27" s="83"/>
      <c r="C27" s="20"/>
    </row>
    <row r="28" spans="1:19" ht="18" customHeight="1">
      <c r="A28" s="83" t="s">
        <v>154</v>
      </c>
      <c r="B28" s="83"/>
      <c r="C28" s="20"/>
    </row>
    <row r="29" spans="1:19" ht="18" customHeight="1">
      <c r="A29" s="83" t="s">
        <v>155</v>
      </c>
      <c r="B29" s="83"/>
      <c r="C29" s="20"/>
    </row>
    <row r="30" spans="1:19" ht="18" customHeight="1">
      <c r="A30" s="83" t="s">
        <v>156</v>
      </c>
      <c r="B30" s="83"/>
      <c r="C30" s="20"/>
    </row>
    <row r="31" spans="1:19" ht="18" customHeight="1">
      <c r="A31" s="83" t="s">
        <v>157</v>
      </c>
      <c r="B31" s="83"/>
      <c r="C31" s="20"/>
    </row>
    <row r="32" spans="1:19" ht="18" customHeight="1">
      <c r="A32" s="83" t="s">
        <v>158</v>
      </c>
      <c r="B32" s="83"/>
      <c r="C32" s="20"/>
    </row>
    <row r="33" spans="1:6" ht="18" customHeight="1">
      <c r="A33" s="83" t="s">
        <v>159</v>
      </c>
      <c r="B33" s="83"/>
      <c r="C33" s="20"/>
    </row>
    <row r="34" spans="1:6" ht="18" customHeight="1">
      <c r="A34" s="20"/>
      <c r="B34" s="20"/>
      <c r="C34" s="20"/>
    </row>
    <row r="35" spans="1:6" ht="18" customHeight="1">
      <c r="A35" s="11" t="s">
        <v>160</v>
      </c>
      <c r="B35" s="11"/>
      <c r="C35" s="11"/>
      <c r="D35" s="11"/>
      <c r="E35" s="11"/>
      <c r="F35" s="11"/>
    </row>
    <row r="36" spans="1:6" ht="18" customHeight="1">
      <c r="A36" s="12" t="s">
        <v>3</v>
      </c>
      <c r="B36" s="12"/>
      <c r="C36" s="12"/>
      <c r="D36" s="12"/>
      <c r="E36" s="12"/>
      <c r="F36" s="12"/>
    </row>
    <row r="37" spans="1:6" ht="18" customHeight="1">
      <c r="A37" s="13" t="s">
        <v>4</v>
      </c>
      <c r="B37" s="13"/>
      <c r="C37" s="13"/>
      <c r="D37" s="12"/>
      <c r="E37" s="12"/>
      <c r="F37" s="12"/>
    </row>
    <row r="38" spans="1:6" ht="18" customHeight="1">
      <c r="A38" s="14" t="s">
        <v>5</v>
      </c>
      <c r="B38" s="14"/>
      <c r="C38" s="15" t="s">
        <v>6</v>
      </c>
      <c r="D38" s="15"/>
      <c r="E38" s="15"/>
      <c r="F38" s="15"/>
    </row>
    <row r="39" spans="1:6" ht="18" customHeight="1">
      <c r="A39" s="14" t="s">
        <v>7</v>
      </c>
      <c r="B39" s="14"/>
      <c r="C39" s="15" t="s">
        <v>8</v>
      </c>
      <c r="D39" s="15"/>
      <c r="E39" s="15"/>
      <c r="F39" s="15"/>
    </row>
    <row r="40" spans="1:6" ht="18" customHeight="1">
      <c r="A40" s="14" t="s">
        <v>9</v>
      </c>
      <c r="B40" s="14"/>
      <c r="C40" s="15" t="s">
        <v>10</v>
      </c>
      <c r="D40" s="15"/>
      <c r="E40" s="15"/>
      <c r="F40" s="15"/>
    </row>
  </sheetData>
  <mergeCells count="11">
    <mergeCell ref="P7:R7"/>
    <mergeCell ref="A1:S1"/>
    <mergeCell ref="A2:S2"/>
    <mergeCell ref="A7:A8"/>
    <mergeCell ref="C7:F7"/>
    <mergeCell ref="G7:J7"/>
    <mergeCell ref="S7:S8"/>
    <mergeCell ref="B7:B8"/>
    <mergeCell ref="K7:K8"/>
    <mergeCell ref="L7:L8"/>
    <mergeCell ref="M7:M8"/>
  </mergeCells>
  <phoneticPr fontId="6" type="noConversion"/>
  <hyperlinks>
    <hyperlink ref="S3" location="底稿目录!F10" display="底稿目录!F10"/>
  </hyperlinks>
  <printOptions horizontalCentered="1"/>
  <pageMargins left="0.47244094488188981" right="0.23622047244094491" top="0.35433070866141736" bottom="0.35433070866141736" header="0.31496062992125984" footer="0.19685039370078741"/>
  <pageSetup paperSize="9" scale="68" fitToHeight="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S36"/>
  <sheetViews>
    <sheetView view="pageBreakPreview" zoomScaleSheetLayoutView="100" workbookViewId="0">
      <selection sqref="A1:H1"/>
    </sheetView>
  </sheetViews>
  <sheetFormatPr defaultColWidth="9" defaultRowHeight="13.8"/>
  <cols>
    <col min="1" max="1" width="20.5546875" style="30" customWidth="1"/>
    <col min="2" max="2" width="11" style="30" bestFit="1" customWidth="1"/>
    <col min="3" max="3" width="14.33203125" style="30" customWidth="1"/>
    <col min="4" max="4" width="30.33203125" style="30" customWidth="1"/>
    <col min="5" max="5" width="22.33203125" style="30" customWidth="1"/>
    <col min="6" max="6" width="17.77734375" style="30" customWidth="1"/>
    <col min="7" max="7" width="37.5546875" style="30" customWidth="1"/>
    <col min="8" max="8" width="9.21875" style="30" customWidth="1"/>
    <col min="9" max="16384" width="9" style="30"/>
  </cols>
  <sheetData>
    <row r="1" spans="1:19" s="174" customFormat="1" ht="19.95" customHeight="1">
      <c r="A1" s="368" t="s">
        <v>292</v>
      </c>
      <c r="B1" s="368"/>
      <c r="C1" s="368"/>
      <c r="D1" s="368"/>
      <c r="E1" s="368"/>
      <c r="F1" s="368"/>
      <c r="G1" s="368"/>
      <c r="H1" s="368"/>
      <c r="I1" s="173"/>
      <c r="J1" s="173"/>
      <c r="K1" s="173"/>
      <c r="L1" s="173"/>
      <c r="M1" s="173"/>
      <c r="N1" s="173"/>
      <c r="O1" s="173"/>
      <c r="P1" s="173"/>
      <c r="Q1" s="173"/>
      <c r="R1" s="173"/>
      <c r="S1" s="173"/>
    </row>
    <row r="2" spans="1:19" s="179" customFormat="1" ht="19.95" customHeight="1">
      <c r="A2" s="369" t="s">
        <v>133</v>
      </c>
      <c r="B2" s="369"/>
      <c r="C2" s="369"/>
      <c r="D2" s="369"/>
      <c r="E2" s="369"/>
      <c r="F2" s="369"/>
      <c r="G2" s="369"/>
      <c r="H2" s="369"/>
      <c r="I2" s="178"/>
      <c r="J2" s="178"/>
      <c r="K2" s="178"/>
      <c r="L2" s="178"/>
      <c r="M2" s="178"/>
      <c r="N2" s="178"/>
      <c r="O2" s="178"/>
      <c r="P2" s="178"/>
      <c r="Q2" s="178"/>
      <c r="R2" s="178"/>
      <c r="S2" s="178"/>
    </row>
    <row r="3" spans="1:19" s="209" customFormat="1" ht="19.95" customHeight="1">
      <c r="A3" s="208" t="str">
        <f>底稿目录!A2</f>
        <v>被审计单位：</v>
      </c>
      <c r="D3" s="210" t="str">
        <f>底稿目录!A4</f>
        <v>编制人：</v>
      </c>
      <c r="E3" s="211"/>
      <c r="F3" s="212" t="str">
        <f>底稿目录!A5</f>
        <v>编制日期：</v>
      </c>
      <c r="G3" s="213" t="s">
        <v>0</v>
      </c>
      <c r="H3" s="294" t="str">
        <f>底稿目录!F11</f>
        <v>G8-5</v>
      </c>
      <c r="I3" s="211"/>
      <c r="J3" s="211"/>
      <c r="L3" s="211"/>
      <c r="M3" s="211"/>
      <c r="N3" s="214"/>
      <c r="O3" s="214"/>
      <c r="P3" s="214"/>
      <c r="Q3" s="214"/>
    </row>
    <row r="4" spans="1:19" s="209" customFormat="1" ht="19.95" customHeight="1">
      <c r="A4" s="208" t="str">
        <f>底稿目录!A3</f>
        <v>截止日：202X年12月31日</v>
      </c>
      <c r="D4" s="210" t="str">
        <f>底稿目录!A6</f>
        <v>复核人：</v>
      </c>
      <c r="E4" s="211"/>
      <c r="F4" s="212" t="str">
        <f>底稿目录!A7</f>
        <v>复核日期：</v>
      </c>
      <c r="G4" s="213" t="s">
        <v>114</v>
      </c>
      <c r="H4" s="214"/>
      <c r="I4" s="211"/>
      <c r="J4" s="211"/>
      <c r="L4" s="211"/>
      <c r="M4" s="211"/>
      <c r="N4" s="214"/>
      <c r="O4" s="214"/>
      <c r="P4" s="214"/>
      <c r="Q4" s="214"/>
    </row>
    <row r="5" spans="1:19" ht="19.95" customHeight="1">
      <c r="A5" s="31" t="s">
        <v>18</v>
      </c>
      <c r="B5" s="82" t="s">
        <v>272</v>
      </c>
    </row>
    <row r="6" spans="1:19" ht="19.95" customHeight="1">
      <c r="A6" s="31" t="s">
        <v>19</v>
      </c>
      <c r="B6" s="81" t="s">
        <v>125</v>
      </c>
    </row>
    <row r="7" spans="1:19" ht="19.95" customHeight="1">
      <c r="B7" s="81" t="s">
        <v>126</v>
      </c>
    </row>
    <row r="8" spans="1:19" ht="19.95" customHeight="1">
      <c r="B8" s="81" t="s">
        <v>127</v>
      </c>
    </row>
    <row r="9" spans="1:19" ht="19.95" customHeight="1">
      <c r="B9" s="81" t="s">
        <v>128</v>
      </c>
    </row>
    <row r="10" spans="1:19" ht="19.95" customHeight="1">
      <c r="B10" s="81" t="s">
        <v>130</v>
      </c>
      <c r="F10" s="81" t="s">
        <v>129</v>
      </c>
    </row>
    <row r="11" spans="1:19" ht="19.95" customHeight="1">
      <c r="B11" s="81" t="s">
        <v>131</v>
      </c>
    </row>
    <row r="12" spans="1:19" ht="19.95" customHeight="1">
      <c r="A12" s="394" t="s">
        <v>143</v>
      </c>
      <c r="B12" s="396" t="s">
        <v>144</v>
      </c>
      <c r="C12" s="392" t="s">
        <v>139</v>
      </c>
      <c r="D12" s="400"/>
      <c r="E12" s="393"/>
      <c r="F12" s="392" t="s">
        <v>138</v>
      </c>
      <c r="G12" s="393"/>
      <c r="H12" s="398" t="s">
        <v>137</v>
      </c>
    </row>
    <row r="13" spans="1:19" s="77" customFormat="1" ht="63" customHeight="1">
      <c r="A13" s="395"/>
      <c r="B13" s="397"/>
      <c r="C13" s="79" t="s">
        <v>134</v>
      </c>
      <c r="D13" s="79" t="s">
        <v>135</v>
      </c>
      <c r="E13" s="79" t="s">
        <v>136</v>
      </c>
      <c r="F13" s="76" t="s">
        <v>148</v>
      </c>
      <c r="G13" s="79" t="s">
        <v>147</v>
      </c>
      <c r="H13" s="399"/>
    </row>
    <row r="14" spans="1:19" ht="19.95" customHeight="1">
      <c r="A14" s="251">
        <f>'明细表G8-2'!A11</f>
        <v>0</v>
      </c>
      <c r="B14" s="126">
        <f>'明细表G8-2'!Q11</f>
        <v>0</v>
      </c>
      <c r="C14" s="252" t="s">
        <v>92</v>
      </c>
      <c r="D14" s="252" t="s">
        <v>92</v>
      </c>
      <c r="E14" s="252" t="s">
        <v>92</v>
      </c>
      <c r="F14" s="252" t="s">
        <v>140</v>
      </c>
      <c r="G14" s="252" t="s">
        <v>140</v>
      </c>
      <c r="H14" s="253"/>
    </row>
    <row r="15" spans="1:19" ht="19.95" customHeight="1">
      <c r="A15" s="251">
        <f>'明细表G8-2'!A12</f>
        <v>0</v>
      </c>
      <c r="B15" s="126">
        <f>'明细表G8-2'!Q12</f>
        <v>0</v>
      </c>
      <c r="C15" s="254"/>
      <c r="D15" s="254"/>
      <c r="E15" s="254"/>
      <c r="F15" s="254"/>
      <c r="G15" s="254"/>
      <c r="H15" s="253"/>
    </row>
    <row r="16" spans="1:19" ht="19.95" customHeight="1">
      <c r="A16" s="251">
        <f>'明细表G8-2'!A13</f>
        <v>0</v>
      </c>
      <c r="B16" s="126">
        <f>'明细表G8-2'!Q13</f>
        <v>0</v>
      </c>
      <c r="C16" s="254"/>
      <c r="D16" s="254"/>
      <c r="E16" s="254"/>
      <c r="F16" s="254"/>
      <c r="G16" s="254"/>
      <c r="H16" s="253"/>
    </row>
    <row r="17" spans="1:8" ht="19.95" customHeight="1">
      <c r="A17" s="251">
        <f>'明细表G8-2'!A14</f>
        <v>0</v>
      </c>
      <c r="B17" s="126">
        <f>'明细表G8-2'!Q14</f>
        <v>0</v>
      </c>
      <c r="C17" s="254"/>
      <c r="D17" s="254"/>
      <c r="E17" s="254"/>
      <c r="F17" s="254"/>
      <c r="G17" s="254"/>
      <c r="H17" s="253"/>
    </row>
    <row r="18" spans="1:8" ht="19.95" customHeight="1">
      <c r="A18" s="251">
        <f>'明细表G8-2'!A15</f>
        <v>0</v>
      </c>
      <c r="B18" s="126">
        <f>'明细表G8-2'!Q15</f>
        <v>0</v>
      </c>
      <c r="C18" s="254"/>
      <c r="D18" s="254"/>
      <c r="E18" s="254"/>
      <c r="F18" s="254"/>
      <c r="G18" s="254"/>
      <c r="H18" s="253"/>
    </row>
    <row r="19" spans="1:8" ht="19.95" customHeight="1">
      <c r="A19" s="251">
        <f>'明细表G8-2'!A16</f>
        <v>0</v>
      </c>
      <c r="B19" s="126">
        <f>'明细表G8-2'!Q16</f>
        <v>0</v>
      </c>
      <c r="C19" s="254"/>
      <c r="D19" s="254"/>
      <c r="E19" s="254"/>
      <c r="F19" s="254"/>
      <c r="G19" s="254"/>
      <c r="H19" s="253"/>
    </row>
    <row r="20" spans="1:8" ht="19.95" customHeight="1">
      <c r="A20" s="251">
        <f>'明细表G8-2'!A17</f>
        <v>0</v>
      </c>
      <c r="B20" s="126">
        <f>'明细表G8-2'!Q17</f>
        <v>0</v>
      </c>
      <c r="C20" s="254"/>
      <c r="D20" s="254"/>
      <c r="E20" s="254"/>
      <c r="F20" s="254"/>
      <c r="G20" s="254"/>
      <c r="H20" s="253"/>
    </row>
    <row r="21" spans="1:8" ht="19.95" customHeight="1">
      <c r="A21" s="251">
        <f>'明细表G8-2'!A18</f>
        <v>0</v>
      </c>
      <c r="B21" s="126">
        <f>'明细表G8-2'!Q18</f>
        <v>0</v>
      </c>
      <c r="C21" s="254"/>
      <c r="D21" s="254"/>
      <c r="E21" s="254"/>
      <c r="F21" s="254"/>
      <c r="G21" s="254"/>
      <c r="H21" s="253"/>
    </row>
    <row r="22" spans="1:8" ht="19.95" customHeight="1">
      <c r="A22" s="251">
        <f>'明细表G8-2'!A19</f>
        <v>0</v>
      </c>
      <c r="B22" s="126">
        <f>'明细表G8-2'!Q19</f>
        <v>0</v>
      </c>
      <c r="C22" s="254"/>
      <c r="D22" s="254"/>
      <c r="E22" s="254"/>
      <c r="F22" s="254"/>
      <c r="G22" s="254"/>
      <c r="H22" s="253"/>
    </row>
    <row r="23" spans="1:8" ht="19.95" customHeight="1">
      <c r="A23" s="251">
        <f>'明细表G8-2'!A20</f>
        <v>0</v>
      </c>
      <c r="B23" s="126">
        <f>'明细表G8-2'!Q20</f>
        <v>0</v>
      </c>
      <c r="C23" s="254"/>
      <c r="D23" s="254"/>
      <c r="E23" s="254"/>
      <c r="F23" s="254"/>
      <c r="G23" s="254"/>
      <c r="H23" s="253"/>
    </row>
    <row r="24" spans="1:8" ht="19.95" customHeight="1">
      <c r="A24" s="133" t="s">
        <v>132</v>
      </c>
      <c r="B24" s="142">
        <f>SUM(B14:B23)</f>
        <v>0</v>
      </c>
      <c r="C24" s="142"/>
      <c r="D24" s="142"/>
      <c r="E24" s="142"/>
      <c r="F24" s="142"/>
      <c r="G24" s="142"/>
      <c r="H24" s="126"/>
    </row>
    <row r="25" spans="1:8" ht="19.95" customHeight="1">
      <c r="A25" s="78" t="s">
        <v>112</v>
      </c>
    </row>
    <row r="26" spans="1:8" ht="19.95" customHeight="1">
      <c r="A26" s="28"/>
    </row>
    <row r="27" spans="1:8" ht="19.95" customHeight="1">
      <c r="A27" s="78" t="s">
        <v>113</v>
      </c>
    </row>
    <row r="28" spans="1:8" ht="19.95" customHeight="1"/>
    <row r="29" spans="1:8" ht="19.95" customHeight="1"/>
    <row r="31" spans="1:8" s="162" customFormat="1" ht="20.25" customHeight="1">
      <c r="A31" s="161" t="s">
        <v>141</v>
      </c>
    </row>
    <row r="32" spans="1:8" s="162" customFormat="1" ht="20.25" customHeight="1">
      <c r="A32" s="161" t="s">
        <v>150</v>
      </c>
    </row>
    <row r="33" spans="1:1" s="162" customFormat="1" ht="20.25" customHeight="1">
      <c r="A33" s="161" t="s">
        <v>149</v>
      </c>
    </row>
    <row r="34" spans="1:1" s="162" customFormat="1" ht="20.25" customHeight="1">
      <c r="A34" s="161" t="s">
        <v>151</v>
      </c>
    </row>
    <row r="35" spans="1:1" s="162" customFormat="1" ht="20.25" customHeight="1">
      <c r="A35" s="161" t="s">
        <v>152</v>
      </c>
    </row>
    <row r="36" spans="1:1" s="162" customFormat="1" ht="20.25" customHeight="1">
      <c r="A36" s="161" t="s">
        <v>146</v>
      </c>
    </row>
  </sheetData>
  <mergeCells count="7">
    <mergeCell ref="F12:G12"/>
    <mergeCell ref="A1:H1"/>
    <mergeCell ref="A2:H2"/>
    <mergeCell ref="A12:A13"/>
    <mergeCell ref="B12:B13"/>
    <mergeCell ref="H12:H13"/>
    <mergeCell ref="C12:E12"/>
  </mergeCells>
  <phoneticPr fontId="3" type="noConversion"/>
  <hyperlinks>
    <hyperlink ref="H3" location="底稿目录!F11" display="底稿目录!F11"/>
  </hyperlinks>
  <printOptions horizontalCentered="1"/>
  <pageMargins left="0.47244094488188981" right="0.23622047244094491" top="0.35433070866141736" bottom="0.35433070866141736" header="0.31496062992125984" footer="0.19685039370078741"/>
  <pageSetup paperSize="9" scale="87" fitToHeight="0" orientation="landscape"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102"/>
  <sheetViews>
    <sheetView view="pageBreakPreview" zoomScaleSheetLayoutView="100" workbookViewId="0">
      <selection activeCell="Q3" sqref="Q3"/>
    </sheetView>
  </sheetViews>
  <sheetFormatPr defaultColWidth="9" defaultRowHeight="13.8"/>
  <cols>
    <col min="1" max="1" width="10.44140625" style="5" customWidth="1"/>
    <col min="2" max="2" width="14.33203125" style="5" customWidth="1"/>
    <col min="3" max="3" width="12.88671875" style="5" customWidth="1"/>
    <col min="4" max="4" width="9.33203125" style="5" customWidth="1"/>
    <col min="5" max="5" width="11.21875" style="5" customWidth="1"/>
    <col min="6" max="6" width="12.77734375" style="5" customWidth="1"/>
    <col min="7" max="7" width="11.77734375" style="5" customWidth="1"/>
    <col min="8" max="8" width="29.33203125" style="5" customWidth="1"/>
    <col min="9" max="14" width="4.5546875" style="5" customWidth="1"/>
    <col min="15" max="15" width="9.88671875" style="5" customWidth="1"/>
    <col min="16" max="16" width="7.21875" style="5" customWidth="1"/>
    <col min="17" max="17" width="17.109375" style="5" customWidth="1"/>
    <col min="18" max="16384" width="9" style="5"/>
  </cols>
  <sheetData>
    <row r="1" spans="1:17" s="172" customFormat="1" ht="19.95" customHeight="1">
      <c r="A1" s="368" t="s">
        <v>292</v>
      </c>
      <c r="B1" s="368"/>
      <c r="C1" s="368"/>
      <c r="D1" s="368"/>
      <c r="E1" s="368"/>
      <c r="F1" s="368"/>
      <c r="G1" s="368"/>
      <c r="H1" s="368"/>
      <c r="I1" s="368"/>
      <c r="J1" s="368"/>
      <c r="K1" s="368"/>
      <c r="L1" s="368"/>
      <c r="M1" s="368"/>
      <c r="N1" s="368"/>
      <c r="O1" s="368"/>
      <c r="P1" s="368"/>
      <c r="Q1" s="368"/>
    </row>
    <row r="2" spans="1:17" s="177" customFormat="1" ht="19.95" customHeight="1">
      <c r="A2" s="369" t="s">
        <v>196</v>
      </c>
      <c r="B2" s="369"/>
      <c r="C2" s="369"/>
      <c r="D2" s="369"/>
      <c r="E2" s="369"/>
      <c r="F2" s="369"/>
      <c r="G2" s="369"/>
      <c r="H2" s="369"/>
      <c r="I2" s="369"/>
      <c r="J2" s="369"/>
      <c r="K2" s="369"/>
      <c r="L2" s="369"/>
      <c r="M2" s="369"/>
      <c r="N2" s="369"/>
      <c r="O2" s="369"/>
      <c r="P2" s="369"/>
      <c r="Q2" s="369"/>
    </row>
    <row r="3" spans="1:17" s="203" customFormat="1" ht="19.95" customHeight="1">
      <c r="A3" s="203" t="str">
        <f>底稿目录!A2</f>
        <v>被审计单位：</v>
      </c>
      <c r="B3" s="204"/>
      <c r="E3" s="205" t="str">
        <f>底稿目录!A4</f>
        <v>编制人：</v>
      </c>
      <c r="G3" s="204"/>
      <c r="H3" s="204"/>
      <c r="J3" s="206" t="str">
        <f>底稿目录!A5</f>
        <v>编制日期：</v>
      </c>
      <c r="K3" s="207"/>
      <c r="P3" s="295" t="s">
        <v>0</v>
      </c>
      <c r="Q3" s="294" t="str">
        <f>底稿目录!F20</f>
        <v>G8-6</v>
      </c>
    </row>
    <row r="4" spans="1:17" s="203" customFormat="1" ht="19.95" customHeight="1">
      <c r="A4" s="208" t="str">
        <f>底稿目录!A3</f>
        <v>截止日：202X年12月31日</v>
      </c>
      <c r="B4" s="204"/>
      <c r="E4" s="205" t="str">
        <f>底稿目录!A6</f>
        <v>复核人：</v>
      </c>
      <c r="G4" s="204"/>
      <c r="H4" s="204"/>
      <c r="J4" s="206" t="str">
        <f>底稿目录!A7</f>
        <v>复核日期：</v>
      </c>
      <c r="K4" s="207"/>
      <c r="P4" s="295" t="s">
        <v>20</v>
      </c>
      <c r="Q4" s="214"/>
    </row>
    <row r="5" spans="1:17" s="16" customFormat="1" ht="19.95" customHeight="1">
      <c r="A5" s="414" t="s">
        <v>339</v>
      </c>
      <c r="B5" s="415"/>
      <c r="C5" s="415"/>
      <c r="D5" s="415"/>
      <c r="E5" s="415"/>
      <c r="F5" s="415"/>
      <c r="G5" s="415"/>
      <c r="H5" s="415"/>
      <c r="I5" s="415"/>
      <c r="J5" s="415"/>
      <c r="K5" s="415"/>
      <c r="L5" s="415"/>
      <c r="M5" s="415"/>
      <c r="N5" s="415"/>
      <c r="O5" s="415"/>
      <c r="P5" s="415"/>
    </row>
    <row r="6" spans="1:17" s="16" customFormat="1" ht="19.95" customHeight="1">
      <c r="A6" s="163" t="s">
        <v>337</v>
      </c>
      <c r="B6" s="202"/>
      <c r="C6" s="202"/>
      <c r="D6" s="202"/>
      <c r="E6" s="202"/>
      <c r="F6" s="202"/>
      <c r="G6" s="202"/>
      <c r="H6" s="202"/>
      <c r="I6" s="202"/>
      <c r="J6" s="202"/>
      <c r="K6" s="202"/>
      <c r="L6" s="202"/>
      <c r="M6" s="202"/>
      <c r="N6" s="220"/>
      <c r="O6" s="202"/>
      <c r="P6" s="202"/>
    </row>
    <row r="7" spans="1:17" s="16" customFormat="1" ht="19.95" customHeight="1">
      <c r="A7" s="163" t="s">
        <v>338</v>
      </c>
      <c r="B7" s="202"/>
      <c r="C7" s="202"/>
      <c r="D7" s="202"/>
      <c r="E7" s="202"/>
      <c r="F7" s="202"/>
      <c r="G7" s="202"/>
      <c r="H7" s="202"/>
      <c r="I7" s="202"/>
      <c r="J7" s="202"/>
      <c r="K7" s="202"/>
      <c r="L7" s="202"/>
      <c r="M7" s="202"/>
      <c r="N7" s="220"/>
      <c r="O7" s="202"/>
      <c r="P7" s="202"/>
    </row>
    <row r="8" spans="1:17" s="16" customFormat="1" ht="19.95" customHeight="1">
      <c r="A8" s="413" t="s">
        <v>30</v>
      </c>
      <c r="B8" s="413"/>
      <c r="C8" s="413"/>
      <c r="D8" s="413"/>
      <c r="E8" s="413"/>
      <c r="F8" s="413"/>
      <c r="G8" s="413"/>
      <c r="H8" s="413"/>
      <c r="I8" s="413"/>
      <c r="J8" s="413"/>
      <c r="K8" s="413"/>
    </row>
    <row r="9" spans="1:17" s="148" customFormat="1" ht="19.95" customHeight="1">
      <c r="A9" s="163" t="s">
        <v>294</v>
      </c>
      <c r="B9" s="164" t="s">
        <v>303</v>
      </c>
      <c r="F9" s="163"/>
      <c r="G9" s="163" t="s">
        <v>295</v>
      </c>
      <c r="H9" s="164" t="s">
        <v>296</v>
      </c>
    </row>
    <row r="10" spans="1:17" s="148" customFormat="1" ht="19.95" customHeight="1">
      <c r="A10" s="163" t="s">
        <v>297</v>
      </c>
      <c r="B10" s="164" t="s">
        <v>298</v>
      </c>
      <c r="F10" s="163"/>
      <c r="G10" s="163" t="s">
        <v>299</v>
      </c>
      <c r="H10" s="164" t="s">
        <v>410</v>
      </c>
      <c r="I10" s="164"/>
      <c r="J10" s="164"/>
    </row>
    <row r="11" spans="1:17" s="148" customFormat="1" ht="19.95" customHeight="1">
      <c r="A11" s="163" t="s">
        <v>300</v>
      </c>
      <c r="B11" s="164" t="s">
        <v>409</v>
      </c>
      <c r="F11" s="163"/>
      <c r="G11" s="163" t="s">
        <v>301</v>
      </c>
      <c r="H11" s="164" t="s">
        <v>302</v>
      </c>
    </row>
    <row r="12" spans="1:17" ht="19.95" customHeight="1">
      <c r="A12" s="32" t="s">
        <v>31</v>
      </c>
      <c r="B12" s="17"/>
      <c r="C12" s="17"/>
      <c r="D12" s="17"/>
      <c r="E12" s="18"/>
      <c r="F12" s="19"/>
      <c r="G12" s="16"/>
      <c r="H12" s="16"/>
      <c r="I12" s="16"/>
      <c r="J12" s="16"/>
      <c r="K12" s="16"/>
      <c r="L12" s="16"/>
      <c r="M12" s="16"/>
      <c r="N12" s="16"/>
    </row>
    <row r="13" spans="1:17" ht="19.95" customHeight="1">
      <c r="A13" s="277" t="s">
        <v>370</v>
      </c>
      <c r="B13" s="17"/>
      <c r="C13" s="17"/>
      <c r="D13" s="17"/>
      <c r="E13" s="18"/>
      <c r="F13" s="19"/>
      <c r="G13" s="16"/>
      <c r="H13" s="16"/>
      <c r="I13" s="16"/>
      <c r="J13" s="16"/>
      <c r="K13" s="16"/>
      <c r="L13" s="16"/>
      <c r="M13" s="16"/>
      <c r="N13" s="16"/>
    </row>
    <row r="14" spans="1:17" s="148" customFormat="1" ht="19.95" customHeight="1">
      <c r="A14" s="260" t="s">
        <v>344</v>
      </c>
    </row>
    <row r="15" spans="1:17" s="149" customFormat="1" ht="19.95" customHeight="1">
      <c r="A15" s="417" t="s">
        <v>225</v>
      </c>
      <c r="B15" s="418"/>
      <c r="C15" s="418"/>
      <c r="D15" s="418"/>
      <c r="E15" s="418"/>
      <c r="F15" s="418"/>
      <c r="G15" s="419"/>
      <c r="H15" s="401" t="s">
        <v>340</v>
      </c>
      <c r="I15" s="420" t="s">
        <v>341</v>
      </c>
      <c r="J15" s="421"/>
      <c r="K15" s="421"/>
      <c r="L15" s="421"/>
      <c r="M15" s="421"/>
      <c r="N15" s="422"/>
      <c r="O15" s="416" t="s">
        <v>226</v>
      </c>
      <c r="P15" s="416" t="s">
        <v>227</v>
      </c>
      <c r="Q15" s="411" t="s">
        <v>343</v>
      </c>
    </row>
    <row r="16" spans="1:17" s="150" customFormat="1" ht="19.95" customHeight="1">
      <c r="A16" s="146" t="s">
        <v>228</v>
      </c>
      <c r="B16" s="146" t="s">
        <v>229</v>
      </c>
      <c r="C16" s="146" t="s">
        <v>230</v>
      </c>
      <c r="D16" s="146" t="s">
        <v>231</v>
      </c>
      <c r="E16" s="146" t="s">
        <v>232</v>
      </c>
      <c r="F16" s="147" t="s">
        <v>233</v>
      </c>
      <c r="G16" s="147" t="s">
        <v>234</v>
      </c>
      <c r="H16" s="402"/>
      <c r="I16" s="255">
        <v>1</v>
      </c>
      <c r="J16" s="255">
        <v>2</v>
      </c>
      <c r="K16" s="255">
        <v>3</v>
      </c>
      <c r="L16" s="255">
        <v>4</v>
      </c>
      <c r="M16" s="255">
        <v>5</v>
      </c>
      <c r="N16" s="255">
        <v>6</v>
      </c>
      <c r="O16" s="416"/>
      <c r="P16" s="416"/>
      <c r="Q16" s="412"/>
    </row>
    <row r="17" spans="1:18" s="185" customFormat="1" ht="19.95" customHeight="1">
      <c r="A17" s="183"/>
      <c r="B17" s="261"/>
      <c r="C17" s="184"/>
      <c r="D17" s="278"/>
      <c r="E17" s="278"/>
      <c r="F17" s="190"/>
      <c r="G17" s="190"/>
      <c r="H17" s="256" t="s">
        <v>342</v>
      </c>
      <c r="I17" s="257"/>
      <c r="J17" s="257"/>
      <c r="K17" s="257"/>
      <c r="L17" s="257"/>
      <c r="M17" s="257"/>
      <c r="N17" s="257"/>
      <c r="O17" s="263"/>
      <c r="P17" s="264"/>
      <c r="Q17" s="265"/>
    </row>
    <row r="18" spans="1:18" s="187" customFormat="1" ht="19.95" customHeight="1">
      <c r="A18" s="188"/>
      <c r="B18" s="261"/>
      <c r="C18" s="184"/>
      <c r="D18" s="186"/>
      <c r="E18" s="186"/>
      <c r="F18" s="191"/>
      <c r="G18" s="191"/>
      <c r="H18" s="258"/>
      <c r="I18" s="257"/>
      <c r="J18" s="257"/>
      <c r="K18" s="257"/>
      <c r="L18" s="257"/>
      <c r="M18" s="257"/>
      <c r="N18" s="257"/>
      <c r="O18" s="266"/>
      <c r="P18" s="264"/>
      <c r="Q18" s="265"/>
    </row>
    <row r="19" spans="1:18" s="187" customFormat="1" ht="19.95" customHeight="1">
      <c r="A19" s="188"/>
      <c r="B19" s="261"/>
      <c r="C19" s="184"/>
      <c r="D19" s="186"/>
      <c r="E19" s="186"/>
      <c r="F19" s="191"/>
      <c r="G19" s="191"/>
      <c r="H19" s="258"/>
      <c r="I19" s="257"/>
      <c r="J19" s="257"/>
      <c r="K19" s="257"/>
      <c r="L19" s="257"/>
      <c r="M19" s="257"/>
      <c r="N19" s="257"/>
      <c r="O19" s="266"/>
      <c r="P19" s="264"/>
      <c r="Q19" s="265"/>
    </row>
    <row r="20" spans="1:18" s="187" customFormat="1" ht="19.95" customHeight="1">
      <c r="A20" s="188"/>
      <c r="B20" s="261"/>
      <c r="C20" s="184"/>
      <c r="D20" s="186"/>
      <c r="E20" s="186"/>
      <c r="F20" s="191"/>
      <c r="G20" s="191"/>
      <c r="H20" s="258"/>
      <c r="I20" s="257"/>
      <c r="J20" s="257"/>
      <c r="K20" s="257"/>
      <c r="L20" s="257"/>
      <c r="M20" s="257"/>
      <c r="N20" s="257"/>
      <c r="O20" s="266"/>
      <c r="P20" s="264"/>
      <c r="Q20" s="265"/>
    </row>
    <row r="21" spans="1:18" s="187" customFormat="1" ht="19.95" customHeight="1">
      <c r="A21" s="188"/>
      <c r="B21" s="261"/>
      <c r="C21" s="184"/>
      <c r="D21" s="186"/>
      <c r="E21" s="186"/>
      <c r="F21" s="191"/>
      <c r="G21" s="191"/>
      <c r="H21" s="258"/>
      <c r="I21" s="257"/>
      <c r="J21" s="257"/>
      <c r="K21" s="257"/>
      <c r="L21" s="257"/>
      <c r="M21" s="257"/>
      <c r="N21" s="257"/>
      <c r="O21" s="266"/>
      <c r="P21" s="264"/>
      <c r="Q21" s="265"/>
    </row>
    <row r="22" spans="1:18" s="187" customFormat="1" ht="19.95" customHeight="1">
      <c r="A22" s="188"/>
      <c r="B22" s="261"/>
      <c r="C22" s="184"/>
      <c r="D22" s="186"/>
      <c r="E22" s="186"/>
      <c r="F22" s="191"/>
      <c r="G22" s="191"/>
      <c r="H22" s="258"/>
      <c r="I22" s="257"/>
      <c r="J22" s="257"/>
      <c r="K22" s="257"/>
      <c r="L22" s="257"/>
      <c r="M22" s="257"/>
      <c r="N22" s="257"/>
      <c r="O22" s="266"/>
      <c r="P22" s="264"/>
      <c r="Q22" s="265"/>
    </row>
    <row r="23" spans="1:18" s="187" customFormat="1" ht="19.95" customHeight="1">
      <c r="A23" s="188"/>
      <c r="B23" s="261"/>
      <c r="C23" s="184"/>
      <c r="D23" s="186"/>
      <c r="E23" s="186"/>
      <c r="F23" s="191"/>
      <c r="G23" s="191"/>
      <c r="H23" s="258"/>
      <c r="I23" s="257"/>
      <c r="J23" s="257"/>
      <c r="K23" s="257"/>
      <c r="L23" s="257"/>
      <c r="M23" s="257"/>
      <c r="N23" s="257"/>
      <c r="O23" s="266"/>
      <c r="P23" s="264"/>
      <c r="Q23" s="265"/>
    </row>
    <row r="24" spans="1:18" s="187" customFormat="1" ht="19.95" customHeight="1">
      <c r="A24" s="188"/>
      <c r="B24" s="261"/>
      <c r="C24" s="184"/>
      <c r="D24" s="186"/>
      <c r="E24" s="186"/>
      <c r="F24" s="191"/>
      <c r="G24" s="191"/>
      <c r="H24" s="258"/>
      <c r="I24" s="257"/>
      <c r="J24" s="257"/>
      <c r="K24" s="257"/>
      <c r="L24" s="257"/>
      <c r="M24" s="257"/>
      <c r="N24" s="257"/>
      <c r="O24" s="266"/>
      <c r="P24" s="264"/>
      <c r="Q24" s="265"/>
    </row>
    <row r="25" spans="1:18" s="187" customFormat="1" ht="19.95" customHeight="1">
      <c r="A25" s="188"/>
      <c r="B25" s="261"/>
      <c r="C25" s="184"/>
      <c r="D25" s="186"/>
      <c r="E25" s="186"/>
      <c r="F25" s="191"/>
      <c r="G25" s="191"/>
      <c r="H25" s="258"/>
      <c r="I25" s="257"/>
      <c r="J25" s="257"/>
      <c r="K25" s="257"/>
      <c r="L25" s="257"/>
      <c r="M25" s="257"/>
      <c r="N25" s="257"/>
      <c r="O25" s="266"/>
      <c r="P25" s="264"/>
      <c r="Q25" s="265"/>
    </row>
    <row r="26" spans="1:18" s="187" customFormat="1" ht="19.95" customHeight="1">
      <c r="A26" s="189"/>
      <c r="B26" s="262"/>
      <c r="C26" s="186"/>
      <c r="D26" s="186"/>
      <c r="E26" s="186"/>
      <c r="F26" s="151"/>
      <c r="G26" s="151"/>
      <c r="H26" s="258"/>
      <c r="I26" s="257"/>
      <c r="J26" s="257"/>
      <c r="K26" s="257"/>
      <c r="L26" s="257"/>
      <c r="M26" s="257"/>
      <c r="N26" s="257"/>
      <c r="O26" s="266"/>
      <c r="P26" s="266"/>
      <c r="Q26" s="265"/>
    </row>
    <row r="27" spans="1:18" s="187" customFormat="1" ht="19.95" customHeight="1">
      <c r="A27" s="189"/>
      <c r="B27" s="262"/>
      <c r="C27" s="186"/>
      <c r="D27" s="186"/>
      <c r="E27" s="186"/>
      <c r="F27" s="151"/>
      <c r="G27" s="151"/>
      <c r="H27" s="258"/>
      <c r="I27" s="257"/>
      <c r="J27" s="257"/>
      <c r="K27" s="257"/>
      <c r="L27" s="257"/>
      <c r="M27" s="257"/>
      <c r="N27" s="257"/>
      <c r="O27" s="266"/>
      <c r="P27" s="266"/>
      <c r="Q27" s="266"/>
    </row>
    <row r="28" spans="1:18" s="328" customFormat="1" ht="19.95" customHeight="1">
      <c r="A28" s="410" t="s">
        <v>411</v>
      </c>
      <c r="B28" s="410"/>
      <c r="C28" s="410"/>
      <c r="D28" s="410"/>
      <c r="E28" s="325"/>
      <c r="F28" s="326">
        <f>SUM(F17:F27)</f>
        <v>0</v>
      </c>
      <c r="G28" s="326">
        <f>SUM(G17:G27)</f>
        <v>0</v>
      </c>
      <c r="H28" s="325"/>
      <c r="I28" s="327"/>
      <c r="J28" s="325"/>
      <c r="K28" s="326"/>
      <c r="L28" s="325"/>
      <c r="M28" s="325"/>
      <c r="N28" s="325"/>
      <c r="O28" s="325"/>
      <c r="P28" s="325"/>
      <c r="Q28" s="325"/>
    </row>
    <row r="29" spans="1:18" s="328" customFormat="1" ht="19.95" customHeight="1">
      <c r="A29" s="410" t="s">
        <v>412</v>
      </c>
      <c r="B29" s="410"/>
      <c r="C29" s="410"/>
      <c r="D29" s="410"/>
      <c r="E29" s="325"/>
      <c r="F29" s="330"/>
      <c r="G29" s="330"/>
      <c r="H29" s="325"/>
      <c r="I29" s="327"/>
      <c r="J29" s="325"/>
      <c r="K29" s="326"/>
      <c r="L29" s="325"/>
      <c r="M29" s="325"/>
      <c r="N29" s="325"/>
      <c r="O29" s="325"/>
      <c r="P29" s="325"/>
      <c r="Q29" s="325"/>
    </row>
    <row r="30" spans="1:18" s="328" customFormat="1" ht="19.95" customHeight="1">
      <c r="A30" s="410" t="s">
        <v>413</v>
      </c>
      <c r="B30" s="410"/>
      <c r="C30" s="410"/>
      <c r="D30" s="410"/>
      <c r="E30" s="325"/>
      <c r="F30" s="331" t="e">
        <f>F28/F29</f>
        <v>#DIV/0!</v>
      </c>
      <c r="G30" s="331" t="e">
        <f>G28/G29</f>
        <v>#DIV/0!</v>
      </c>
      <c r="H30" s="325"/>
      <c r="I30" s="327"/>
      <c r="J30" s="325"/>
      <c r="K30" s="326"/>
      <c r="L30" s="325"/>
      <c r="M30" s="325"/>
      <c r="N30" s="325"/>
      <c r="O30" s="325"/>
      <c r="P30" s="325"/>
      <c r="Q30" s="325"/>
    </row>
    <row r="31" spans="1:18" s="259" customFormat="1" ht="19.95" customHeight="1">
      <c r="A31" s="315" t="s">
        <v>357</v>
      </c>
      <c r="B31" s="329"/>
      <c r="C31" s="329"/>
      <c r="D31" s="329"/>
      <c r="E31" s="329"/>
      <c r="F31" s="329"/>
      <c r="G31" s="329"/>
      <c r="H31" s="329"/>
      <c r="I31" s="329"/>
      <c r="J31" s="329"/>
      <c r="K31" s="329"/>
      <c r="L31" s="329"/>
      <c r="M31" s="329"/>
      <c r="N31" s="329"/>
      <c r="O31" s="329"/>
      <c r="P31" s="273"/>
      <c r="Q31" s="273"/>
    </row>
    <row r="32" spans="1:18" s="259" customFormat="1" ht="19.95" customHeight="1">
      <c r="A32" s="301"/>
      <c r="B32" s="301"/>
      <c r="C32" s="302" t="s">
        <v>358</v>
      </c>
      <c r="D32" s="301"/>
      <c r="E32" s="301"/>
      <c r="F32" s="301"/>
      <c r="G32" s="303"/>
      <c r="H32" s="401" t="s">
        <v>359</v>
      </c>
      <c r="I32" s="408" t="s">
        <v>341</v>
      </c>
      <c r="J32" s="409"/>
      <c r="K32" s="409"/>
      <c r="L32" s="409"/>
      <c r="M32" s="409"/>
      <c r="N32" s="409"/>
      <c r="O32" s="403" t="s">
        <v>360</v>
      </c>
      <c r="P32" s="404" t="s">
        <v>361</v>
      </c>
      <c r="Q32" s="406" t="s">
        <v>362</v>
      </c>
      <c r="R32" s="272"/>
    </row>
    <row r="33" spans="1:18" s="259" customFormat="1" ht="19.95" customHeight="1">
      <c r="A33" s="304" t="s">
        <v>228</v>
      </c>
      <c r="B33" s="304" t="s">
        <v>229</v>
      </c>
      <c r="C33" s="304" t="s">
        <v>363</v>
      </c>
      <c r="D33" s="304" t="s">
        <v>364</v>
      </c>
      <c r="E33" s="304" t="s">
        <v>365</v>
      </c>
      <c r="F33" s="305" t="s">
        <v>366</v>
      </c>
      <c r="G33" s="305" t="s">
        <v>234</v>
      </c>
      <c r="H33" s="402"/>
      <c r="I33" s="306">
        <v>1</v>
      </c>
      <c r="J33" s="306">
        <v>2</v>
      </c>
      <c r="K33" s="306">
        <v>3</v>
      </c>
      <c r="L33" s="306">
        <v>4</v>
      </c>
      <c r="M33" s="306">
        <v>5</v>
      </c>
      <c r="N33" s="306">
        <v>6</v>
      </c>
      <c r="O33" s="403"/>
      <c r="P33" s="405"/>
      <c r="Q33" s="407"/>
      <c r="R33" s="272"/>
    </row>
    <row r="34" spans="1:18" s="259" customFormat="1" ht="19.95" customHeight="1">
      <c r="A34" s="310"/>
      <c r="B34" s="311"/>
      <c r="C34" s="312"/>
      <c r="D34" s="313"/>
      <c r="E34" s="313"/>
      <c r="F34" s="314"/>
      <c r="G34" s="314"/>
      <c r="H34" s="258"/>
      <c r="I34" s="257"/>
      <c r="J34" s="257"/>
      <c r="K34" s="257"/>
      <c r="L34" s="257"/>
      <c r="M34" s="257"/>
      <c r="N34" s="257"/>
      <c r="O34" s="258" t="s">
        <v>367</v>
      </c>
      <c r="P34" s="274"/>
      <c r="Q34" s="274" t="s">
        <v>368</v>
      </c>
      <c r="R34" s="272"/>
    </row>
    <row r="35" spans="1:18" s="259" customFormat="1" ht="19.95" customHeight="1">
      <c r="A35" s="310"/>
      <c r="B35" s="311"/>
      <c r="C35" s="313"/>
      <c r="D35" s="313"/>
      <c r="E35" s="313"/>
      <c r="F35" s="314"/>
      <c r="G35" s="314"/>
      <c r="H35" s="258"/>
      <c r="I35" s="257"/>
      <c r="J35" s="257"/>
      <c r="K35" s="257"/>
      <c r="L35" s="257"/>
      <c r="M35" s="257"/>
      <c r="N35" s="257"/>
      <c r="O35" s="258"/>
      <c r="P35" s="274"/>
      <c r="Q35" s="274"/>
      <c r="R35" s="272"/>
    </row>
    <row r="36" spans="1:18" s="259" customFormat="1" ht="19.95" customHeight="1">
      <c r="A36" s="310"/>
      <c r="B36" s="311"/>
      <c r="C36" s="313"/>
      <c r="D36" s="313"/>
      <c r="E36" s="313"/>
      <c r="F36" s="314"/>
      <c r="G36" s="314"/>
      <c r="H36" s="258"/>
      <c r="I36" s="257"/>
      <c r="J36" s="257"/>
      <c r="K36" s="257"/>
      <c r="L36" s="257"/>
      <c r="M36" s="257"/>
      <c r="N36" s="257"/>
      <c r="O36" s="258"/>
      <c r="P36" s="274"/>
      <c r="Q36" s="274"/>
      <c r="R36" s="272"/>
    </row>
    <row r="37" spans="1:18" s="259" customFormat="1" ht="19.95" customHeight="1">
      <c r="A37" s="310"/>
      <c r="B37" s="311"/>
      <c r="C37" s="313"/>
      <c r="D37" s="313"/>
      <c r="E37" s="313"/>
      <c r="F37" s="314"/>
      <c r="G37" s="314"/>
      <c r="H37" s="258"/>
      <c r="I37" s="257"/>
      <c r="J37" s="257"/>
      <c r="K37" s="257"/>
      <c r="L37" s="257"/>
      <c r="M37" s="257"/>
      <c r="N37" s="257"/>
      <c r="O37" s="258"/>
      <c r="P37" s="274"/>
      <c r="Q37" s="274"/>
      <c r="R37" s="272"/>
    </row>
    <row r="38" spans="1:18" s="259" customFormat="1" ht="19.95" customHeight="1">
      <c r="A38" s="310"/>
      <c r="B38" s="311"/>
      <c r="C38" s="313"/>
      <c r="D38" s="313"/>
      <c r="E38" s="313"/>
      <c r="F38" s="314"/>
      <c r="G38" s="314"/>
      <c r="H38" s="258"/>
      <c r="I38" s="257"/>
      <c r="J38" s="257"/>
      <c r="K38" s="257"/>
      <c r="L38" s="257"/>
      <c r="M38" s="257"/>
      <c r="N38" s="257"/>
      <c r="O38" s="258"/>
      <c r="P38" s="274"/>
      <c r="Q38" s="274"/>
      <c r="R38" s="272"/>
    </row>
    <row r="39" spans="1:18" s="259" customFormat="1" ht="19.95" customHeight="1">
      <c r="A39" s="304" t="s">
        <v>369</v>
      </c>
      <c r="B39" s="307"/>
      <c r="C39" s="308"/>
      <c r="D39" s="308"/>
      <c r="E39" s="308"/>
      <c r="F39" s="309">
        <f>SUM(F34:F38)</f>
        <v>0</v>
      </c>
      <c r="G39" s="309">
        <f>SUM(G34:G38)</f>
        <v>0</v>
      </c>
      <c r="H39" s="275"/>
      <c r="I39" s="275"/>
      <c r="J39" s="275"/>
      <c r="K39" s="276"/>
      <c r="L39" s="275"/>
      <c r="M39" s="275"/>
      <c r="N39" s="275"/>
      <c r="O39" s="276"/>
      <c r="P39" s="275"/>
      <c r="Q39" s="275"/>
      <c r="R39" s="272"/>
    </row>
    <row r="40" spans="1:18" ht="19.95" customHeight="1">
      <c r="A40" s="32" t="s">
        <v>32</v>
      </c>
      <c r="I40" s="8"/>
      <c r="J40" s="8"/>
      <c r="K40" s="8"/>
      <c r="L40" s="8"/>
      <c r="M40" s="8"/>
      <c r="N40" s="8"/>
    </row>
    <row r="41" spans="1:18" ht="19.95" customHeight="1">
      <c r="H41" s="200"/>
      <c r="I41" s="201"/>
      <c r="J41" s="200"/>
      <c r="K41" s="201"/>
      <c r="L41" s="200"/>
      <c r="M41" s="8"/>
      <c r="N41" s="8"/>
    </row>
    <row r="42" spans="1:18" ht="19.95" customHeight="1">
      <c r="I42" s="6"/>
      <c r="J42" s="6"/>
      <c r="K42" s="6"/>
      <c r="L42" s="6"/>
      <c r="M42" s="6"/>
      <c r="N42" s="6"/>
    </row>
    <row r="43" spans="1:18" ht="19.95" customHeight="1">
      <c r="A43" s="4" t="s">
        <v>33</v>
      </c>
      <c r="I43" s="6"/>
      <c r="J43" s="6"/>
      <c r="K43" s="6"/>
      <c r="L43" s="6"/>
      <c r="M43" s="6"/>
      <c r="N43" s="6"/>
    </row>
    <row r="44" spans="1:18" ht="19.95" customHeight="1">
      <c r="I44" s="6"/>
      <c r="J44" s="6"/>
      <c r="K44" s="6"/>
      <c r="L44" s="6"/>
      <c r="M44" s="6"/>
      <c r="N44" s="6"/>
    </row>
    <row r="45" spans="1:18" ht="24.75" customHeight="1">
      <c r="A45" s="6"/>
      <c r="B45" s="6"/>
      <c r="C45" s="6"/>
      <c r="D45" s="6"/>
      <c r="E45" s="6"/>
      <c r="F45" s="6"/>
      <c r="G45" s="6"/>
      <c r="H45" s="6"/>
      <c r="I45" s="6"/>
      <c r="J45" s="6"/>
      <c r="K45" s="6"/>
      <c r="L45" s="6"/>
      <c r="M45" s="6"/>
      <c r="N45" s="6"/>
    </row>
    <row r="46" spans="1:18" ht="24.75" customHeight="1">
      <c r="A46" s="6"/>
      <c r="B46" s="6"/>
      <c r="C46" s="6"/>
      <c r="D46" s="6"/>
      <c r="E46" s="6"/>
      <c r="F46" s="6"/>
      <c r="G46" s="6"/>
      <c r="H46" s="6"/>
      <c r="I46" s="6"/>
      <c r="J46" s="6"/>
      <c r="K46" s="6"/>
      <c r="L46" s="6"/>
      <c r="M46" s="6"/>
      <c r="N46" s="6"/>
    </row>
    <row r="47" spans="1:18" ht="18" customHeight="1">
      <c r="A47" s="33" t="s">
        <v>34</v>
      </c>
      <c r="C47" s="6"/>
      <c r="D47" s="6"/>
      <c r="E47" s="6"/>
      <c r="F47" s="6"/>
      <c r="G47" s="6"/>
      <c r="H47" s="6"/>
      <c r="I47" s="6"/>
      <c r="J47" s="6"/>
      <c r="K47" s="6"/>
      <c r="L47" s="6"/>
      <c r="M47" s="6"/>
      <c r="N47" s="6"/>
    </row>
    <row r="48" spans="1:18" ht="18" customHeight="1">
      <c r="A48" s="11" t="s">
        <v>11</v>
      </c>
      <c r="B48" s="11"/>
      <c r="C48" s="6"/>
      <c r="D48" s="6"/>
      <c r="E48" s="6"/>
      <c r="F48" s="6"/>
      <c r="G48" s="6"/>
      <c r="H48" s="6"/>
      <c r="I48" s="6"/>
      <c r="J48" s="6"/>
      <c r="K48" s="6"/>
      <c r="L48" s="6"/>
      <c r="M48" s="6"/>
      <c r="N48" s="6"/>
    </row>
    <row r="49" spans="1:14" ht="18" customHeight="1">
      <c r="A49" s="12" t="s">
        <v>3</v>
      </c>
      <c r="B49" s="12"/>
      <c r="C49" s="6"/>
      <c r="D49" s="6"/>
      <c r="E49" s="6"/>
      <c r="F49" s="6"/>
      <c r="G49" s="6"/>
      <c r="H49" s="6"/>
      <c r="I49" s="6"/>
      <c r="J49" s="6"/>
      <c r="K49" s="6"/>
      <c r="L49" s="6"/>
      <c r="M49" s="6"/>
      <c r="N49" s="6"/>
    </row>
    <row r="50" spans="1:14" ht="18" customHeight="1">
      <c r="A50" s="34" t="s">
        <v>35</v>
      </c>
      <c r="B50" s="12"/>
      <c r="C50" s="6"/>
      <c r="D50" s="6"/>
      <c r="E50" s="6"/>
      <c r="F50" s="6"/>
      <c r="G50" s="6"/>
      <c r="H50" s="6"/>
      <c r="I50" s="6"/>
      <c r="J50" s="6"/>
      <c r="K50" s="6"/>
      <c r="L50" s="6"/>
      <c r="M50" s="6"/>
      <c r="N50" s="6"/>
    </row>
    <row r="51" spans="1:14" ht="18" customHeight="1">
      <c r="A51" s="14" t="s">
        <v>5</v>
      </c>
      <c r="B51" s="12" t="s">
        <v>36</v>
      </c>
    </row>
    <row r="52" spans="1:14" ht="18" customHeight="1">
      <c r="A52" s="14" t="s">
        <v>7</v>
      </c>
      <c r="B52" s="12" t="s">
        <v>37</v>
      </c>
    </row>
    <row r="53" spans="1:14" ht="18" customHeight="1">
      <c r="A53" s="14" t="s">
        <v>9</v>
      </c>
      <c r="B53" s="12" t="s">
        <v>38</v>
      </c>
    </row>
    <row r="54" spans="1:14" ht="15.75" customHeight="1"/>
    <row r="55" spans="1:14">
      <c r="A55" s="11" t="s">
        <v>12</v>
      </c>
    </row>
    <row r="56" spans="1:14" s="11" customFormat="1">
      <c r="A56" s="38" t="s">
        <v>39</v>
      </c>
      <c r="B56" s="11" t="s">
        <v>40</v>
      </c>
    </row>
    <row r="57" spans="1:14" s="11" customFormat="1">
      <c r="A57" s="38"/>
      <c r="B57" s="11" t="s">
        <v>41</v>
      </c>
    </row>
    <row r="58" spans="1:14" s="11" customFormat="1">
      <c r="A58" s="38"/>
      <c r="B58" s="11" t="s">
        <v>42</v>
      </c>
    </row>
    <row r="59" spans="1:14" s="11" customFormat="1">
      <c r="A59" s="38"/>
      <c r="B59" s="11" t="s">
        <v>43</v>
      </c>
    </row>
    <row r="60" spans="1:14" s="11" customFormat="1">
      <c r="A60" s="38"/>
    </row>
    <row r="61" spans="1:14" s="11" customFormat="1">
      <c r="A61" s="38"/>
      <c r="B61" s="35" t="s">
        <v>44</v>
      </c>
      <c r="C61" s="2"/>
      <c r="D61" s="2"/>
    </row>
    <row r="62" spans="1:14" s="11" customFormat="1">
      <c r="A62" s="38"/>
      <c r="B62" s="2" t="s">
        <v>45</v>
      </c>
      <c r="C62" s="2"/>
      <c r="D62" s="2"/>
    </row>
    <row r="63" spans="1:14" s="11" customFormat="1">
      <c r="A63" s="38"/>
      <c r="B63" s="2" t="s">
        <v>22</v>
      </c>
      <c r="C63" s="2"/>
      <c r="D63" s="2"/>
    </row>
    <row r="64" spans="1:14" s="11" customFormat="1">
      <c r="A64" s="39"/>
      <c r="B64" s="2" t="s">
        <v>23</v>
      </c>
      <c r="C64" s="3"/>
      <c r="D64" s="3"/>
    </row>
    <row r="65" spans="1:4" s="11" customFormat="1">
      <c r="B65" s="2" t="s">
        <v>46</v>
      </c>
      <c r="C65" s="3"/>
      <c r="D65" s="3"/>
    </row>
    <row r="66" spans="1:4" s="11" customFormat="1"/>
    <row r="67" spans="1:4">
      <c r="A67" s="38" t="s">
        <v>47</v>
      </c>
      <c r="B67" s="11" t="s">
        <v>24</v>
      </c>
    </row>
    <row r="68" spans="1:4">
      <c r="B68" s="11" t="s">
        <v>48</v>
      </c>
    </row>
    <row r="69" spans="1:4">
      <c r="B69" s="11" t="s">
        <v>49</v>
      </c>
    </row>
    <row r="70" spans="1:4">
      <c r="B70" s="11" t="s">
        <v>50</v>
      </c>
    </row>
    <row r="71" spans="1:4">
      <c r="B71" s="11" t="s">
        <v>51</v>
      </c>
    </row>
    <row r="72" spans="1:4">
      <c r="B72" s="11" t="s">
        <v>52</v>
      </c>
    </row>
    <row r="73" spans="1:4">
      <c r="B73" s="11" t="s">
        <v>53</v>
      </c>
    </row>
    <row r="75" spans="1:4">
      <c r="B75" s="40" t="s">
        <v>54</v>
      </c>
    </row>
    <row r="76" spans="1:4">
      <c r="B76" s="11" t="s">
        <v>25</v>
      </c>
    </row>
    <row r="77" spans="1:4">
      <c r="B77" s="11" t="s">
        <v>26</v>
      </c>
    </row>
    <row r="79" spans="1:4">
      <c r="A79" s="38" t="s">
        <v>55</v>
      </c>
      <c r="B79" s="11" t="s">
        <v>56</v>
      </c>
      <c r="C79" s="11"/>
      <c r="D79" s="11"/>
    </row>
    <row r="80" spans="1:4">
      <c r="B80" s="11" t="s">
        <v>27</v>
      </c>
      <c r="C80" s="11"/>
      <c r="D80" s="11"/>
    </row>
    <row r="81" spans="2:4">
      <c r="B81" s="11" t="s">
        <v>57</v>
      </c>
      <c r="C81" s="11"/>
      <c r="D81" s="11"/>
    </row>
    <row r="82" spans="2:4">
      <c r="B82" s="11" t="s">
        <v>58</v>
      </c>
      <c r="C82" s="11"/>
      <c r="D82" s="11"/>
    </row>
    <row r="83" spans="2:4">
      <c r="B83" s="11" t="s">
        <v>59</v>
      </c>
      <c r="C83" s="11"/>
      <c r="D83" s="11"/>
    </row>
    <row r="84" spans="2:4">
      <c r="B84" s="11"/>
      <c r="C84" s="11"/>
      <c r="D84" s="11"/>
    </row>
    <row r="85" spans="2:4">
      <c r="B85" s="11" t="s">
        <v>60</v>
      </c>
    </row>
    <row r="86" spans="2:4">
      <c r="B86" s="11" t="s">
        <v>61</v>
      </c>
    </row>
    <row r="87" spans="2:4">
      <c r="B87" s="11"/>
    </row>
    <row r="88" spans="2:4">
      <c r="B88" s="40" t="s">
        <v>62</v>
      </c>
      <c r="C88" s="11"/>
      <c r="D88" s="11"/>
    </row>
    <row r="89" spans="2:4">
      <c r="B89" s="11" t="s">
        <v>63</v>
      </c>
      <c r="C89" s="11"/>
      <c r="D89" s="11"/>
    </row>
    <row r="90" spans="2:4">
      <c r="B90" s="11"/>
      <c r="C90" s="11"/>
      <c r="D90" s="11"/>
    </row>
    <row r="91" spans="2:4">
      <c r="B91" s="11" t="s">
        <v>64</v>
      </c>
      <c r="C91" s="11"/>
      <c r="D91" s="11"/>
    </row>
    <row r="92" spans="2:4">
      <c r="B92" s="11" t="s">
        <v>65</v>
      </c>
      <c r="C92" s="11"/>
      <c r="D92" s="11"/>
    </row>
    <row r="93" spans="2:4">
      <c r="B93" s="11"/>
      <c r="C93" s="11"/>
      <c r="D93" s="11"/>
    </row>
    <row r="94" spans="2:4">
      <c r="B94" s="11" t="s">
        <v>66</v>
      </c>
      <c r="C94" s="11"/>
      <c r="D94" s="11"/>
    </row>
    <row r="95" spans="2:4">
      <c r="B95" s="11" t="s">
        <v>67</v>
      </c>
      <c r="C95" s="11"/>
      <c r="D95" s="11"/>
    </row>
    <row r="96" spans="2:4">
      <c r="B96" s="11" t="s">
        <v>68</v>
      </c>
      <c r="C96" s="11"/>
      <c r="D96" s="11"/>
    </row>
    <row r="97" spans="2:4">
      <c r="B97" s="11"/>
      <c r="C97" s="11"/>
      <c r="D97" s="11"/>
    </row>
    <row r="98" spans="2:4">
      <c r="B98" s="40" t="s">
        <v>69</v>
      </c>
      <c r="C98" s="11"/>
      <c r="D98" s="11"/>
    </row>
    <row r="99" spans="2:4">
      <c r="B99" s="41" t="s">
        <v>28</v>
      </c>
      <c r="C99" s="41" t="s">
        <v>29</v>
      </c>
      <c r="D99" s="41"/>
    </row>
    <row r="100" spans="2:4">
      <c r="B100" s="42">
        <v>1</v>
      </c>
      <c r="C100" s="42">
        <v>1.9</v>
      </c>
      <c r="D100" s="42"/>
    </row>
    <row r="101" spans="2:4">
      <c r="B101" s="42">
        <v>5</v>
      </c>
      <c r="C101" s="42">
        <v>1.6</v>
      </c>
      <c r="D101" s="42"/>
    </row>
    <row r="102" spans="2:4">
      <c r="B102" s="42">
        <v>10</v>
      </c>
      <c r="C102" s="42">
        <v>1.5</v>
      </c>
      <c r="D102" s="42"/>
    </row>
  </sheetData>
  <mergeCells count="18">
    <mergeCell ref="A28:D28"/>
    <mergeCell ref="A29:D29"/>
    <mergeCell ref="A30:D30"/>
    <mergeCell ref="A1:Q1"/>
    <mergeCell ref="A2:Q2"/>
    <mergeCell ref="Q15:Q16"/>
    <mergeCell ref="A8:K8"/>
    <mergeCell ref="A5:P5"/>
    <mergeCell ref="O15:O16"/>
    <mergeCell ref="P15:P16"/>
    <mergeCell ref="A15:G15"/>
    <mergeCell ref="H15:H16"/>
    <mergeCell ref="I15:N15"/>
    <mergeCell ref="H32:H33"/>
    <mergeCell ref="O32:O33"/>
    <mergeCell ref="P32:P33"/>
    <mergeCell ref="Q32:Q33"/>
    <mergeCell ref="I32:N32"/>
  </mergeCells>
  <phoneticPr fontId="3" type="noConversion"/>
  <dataValidations count="1">
    <dataValidation type="list" allowBlank="1" showInputMessage="1" showErrorMessage="1" sqref="I17:N27 I34:N38">
      <formula1>"√,X"</formula1>
    </dataValidation>
  </dataValidations>
  <hyperlinks>
    <hyperlink ref="Q3" location="底稿目录!F11" display="底稿目录!F11"/>
  </hyperlinks>
  <printOptions horizontalCentered="1"/>
  <pageMargins left="0.47244094488188981" right="0.23622047244094491" top="0.35433070866141736" bottom="0.35433070866141736" header="0.31496062992125984" footer="0.19685039370078741"/>
  <pageSetup paperSize="9" scale="82" fitToHeight="0" orientation="landscape"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92D050"/>
    <pageSetUpPr fitToPage="1"/>
  </sheetPr>
  <dimension ref="B2:M4"/>
  <sheetViews>
    <sheetView workbookViewId="0">
      <selection activeCell="S25" sqref="S25"/>
    </sheetView>
  </sheetViews>
  <sheetFormatPr defaultRowHeight="14.4"/>
  <cols>
    <col min="1" max="1" width="1.5546875" customWidth="1"/>
    <col min="12" max="12" width="1.33203125" customWidth="1"/>
  </cols>
  <sheetData>
    <row r="2" spans="2:13">
      <c r="B2" s="72" t="s">
        <v>142</v>
      </c>
    </row>
    <row r="4" spans="2:13">
      <c r="B4" s="72"/>
      <c r="M4" s="72"/>
    </row>
  </sheetData>
  <phoneticPr fontId="3" type="noConversion"/>
  <printOptions horizontalCentered="1"/>
  <pageMargins left="0.47244094488188981" right="0.23622047244094491" top="0.35433070866141736" bottom="0.35433070866141736" header="0.31496062992125984" footer="0.19685039370078741"/>
  <pageSetup paperSize="9" fitToHeight="0" orientation="landscape" blackAndWhite="1" r:id="rId1"/>
  <headerFooter alignWithMargins="0">
    <oddFooter>&amp;C&amp;P/&amp;N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其他权益工具投资实质性程序表G8A</vt:lpstr>
      <vt:lpstr>审定表G8-1</vt:lpstr>
      <vt:lpstr>附注披露信息（上市公司）</vt:lpstr>
      <vt:lpstr>附注披露信息（国企）</vt:lpstr>
      <vt:lpstr>明细表G8-2</vt:lpstr>
      <vt:lpstr>调整分录汇总G8-3</vt:lpstr>
      <vt:lpstr>公允价值测试表G8-4</vt:lpstr>
      <vt:lpstr>指定的适当性检查表G8-5</vt:lpstr>
      <vt:lpstr>凭证检查表G8-6</vt:lpstr>
      <vt:lpstr>参考中证协《非上市公司股权估值指引》</vt:lpstr>
      <vt:lpstr>'调整分录汇总G8-3'!Print_Area</vt:lpstr>
      <vt:lpstr>'附注披露信息（国企）'!Print_Area</vt:lpstr>
      <vt:lpstr>'附注披露信息（上市公司）'!Print_Area</vt:lpstr>
      <vt:lpstr>'公允价值测试表G8-4'!Print_Area</vt:lpstr>
      <vt:lpstr>'明细表G8-2'!Print_Area</vt:lpstr>
      <vt:lpstr>'凭证检查表G8-6'!Print_Area</vt:lpstr>
      <vt:lpstr>'审定表G8-1'!Print_Area</vt:lpstr>
      <vt:lpstr>'指定的适当性检查表G8-5'!Print_Area</vt:lpstr>
      <vt:lpstr>其他权益工具投资实质性程序表G8A!Print_Titles</vt:lpstr>
      <vt:lpstr>'审定表G8-1'!Print_Titles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2025-10-27T03:20:11Z</cp:lastPrinted>
  <dcterms:created xsi:type="dcterms:W3CDTF">2014-10-22T07:44:54Z</dcterms:created>
  <dcterms:modified xsi:type="dcterms:W3CDTF">2025-11-04T08:49:35Z</dcterms:modified>
</cp:coreProperties>
</file>