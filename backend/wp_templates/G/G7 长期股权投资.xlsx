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3.xml" ContentType="application/vnd.openxmlformats-officedocument.spreadsheetml.comments+xml"/>
  <Override PartName="/xl/worksheets/sheet16.xml" ContentType="application/vnd.openxmlformats-officedocument.spreadsheetml.worksheet+xml"/>
  <Override PartName="/xl/comments/comment4.xml" ContentType="application/vnd.openxmlformats-officedocument.spreadsheetml.comments+xml"/>
  <Override PartName="/xl/worksheets/sheet17.xml" ContentType="application/vnd.openxmlformats-officedocument.spreadsheetml.worksheet+xml"/>
  <Override PartName="/xl/comments/comment5.xml" ContentType="application/vnd.openxmlformats-officedocument.spreadsheetml.comments+xml"/>
  <Override PartName="/xl/worksheets/sheet18.xml" ContentType="application/vnd.openxmlformats-officedocument.spreadsheetml.worksheet+xml"/>
  <Override PartName="/xl/comments/comment6.xml" ContentType="application/vnd.openxmlformats-officedocument.spreadsheetml.comments+xml"/>
  <Override PartName="/xl/worksheets/sheet19.xml" ContentType="application/vnd.openxmlformats-officedocument.spreadsheetml.worksheet+xml"/>
  <Override PartName="/xl/comments/comment7.xml" ContentType="application/vnd.openxmlformats-officedocument.spreadsheetml.comments+xml"/>
  <Override PartName="/xl/worksheets/sheet20.xml" ContentType="application/vnd.openxmlformats-officedocument.spreadsheetml.worksheet+xml"/>
  <Override PartName="/xl/comments/comment8.xml" ContentType="application/vnd.openxmlformats-officedocument.spreadsheetml.comments+xml"/>
  <Override PartName="/xl/worksheets/sheet21.xml" ContentType="application/vnd.openxmlformats-officedocument.spreadsheetml.worksheet+xml"/>
  <Override PartName="/xl/comments/comment9.xml" ContentType="application/vnd.openxmlformats-officedocument.spreadsheetml.comments+xml"/>
  <Override PartName="/xl/worksheets/sheet2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6" yWindow="-96" windowWidth="19092" windowHeight="12072" tabRatio="906" firstSheet="0" activeTab="0" autoFilterDateGrouping="1"/>
  </bookViews>
  <sheets>
    <sheet xmlns:r="http://schemas.openxmlformats.org/officeDocument/2006/relationships" name="底稿目录" sheetId="1" state="visible" r:id="rId1"/>
    <sheet xmlns:r="http://schemas.openxmlformats.org/officeDocument/2006/relationships" name="长期股权投资实质性程序表G7A" sheetId="2" state="visible" r:id="rId2"/>
    <sheet xmlns:r="http://schemas.openxmlformats.org/officeDocument/2006/relationships" name="长期股权投资审定表G7-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明细表G7-2" sheetId="6" state="visible" r:id="rId6"/>
    <sheet xmlns:r="http://schemas.openxmlformats.org/officeDocument/2006/relationships" name="调整分录汇总G7-3" sheetId="7" state="visible" r:id="rId7"/>
    <sheet xmlns:r="http://schemas.openxmlformats.org/officeDocument/2006/relationships" name="被投资单位基本信息G7-4" sheetId="8" state="visible" r:id="rId8"/>
    <sheet xmlns:r="http://schemas.openxmlformats.org/officeDocument/2006/relationships" name="被投资单位财务信息（合营、联营）G7-5" sheetId="9" state="visible" r:id="rId9"/>
    <sheet xmlns:r="http://schemas.openxmlformats.org/officeDocument/2006/relationships" name="被投资公司会计政策G7-6" sheetId="10" state="visible" r:id="rId10"/>
    <sheet xmlns:r="http://schemas.openxmlformats.org/officeDocument/2006/relationships" name="长期股权投资初始判断G7-7" sheetId="11" state="visible" r:id="rId11"/>
    <sheet xmlns:r="http://schemas.openxmlformats.org/officeDocument/2006/relationships" name="子公司初始计量测试（同控）G7-8" sheetId="12" state="visible" r:id="rId12"/>
    <sheet xmlns:r="http://schemas.openxmlformats.org/officeDocument/2006/relationships" name="子公司初始计量测试（非同控）G7-9" sheetId="13" state="visible" r:id="rId13"/>
    <sheet xmlns:r="http://schemas.openxmlformats.org/officeDocument/2006/relationships" name="子公司后续计量测试表G7-10" sheetId="14" state="visible" r:id="rId14"/>
    <sheet xmlns:r="http://schemas.openxmlformats.org/officeDocument/2006/relationships" name="处置子公司测试表（不包含一揽子交易）G7-11" sheetId="15" state="visible" r:id="rId15"/>
    <sheet xmlns:r="http://schemas.openxmlformats.org/officeDocument/2006/relationships" name="处置子公司测试表（一揽子交易）G7-12" sheetId="16" state="visible" r:id="rId16"/>
    <sheet xmlns:r="http://schemas.openxmlformats.org/officeDocument/2006/relationships" name="合营、联营企业投资成本测试表G7-13" sheetId="17" state="visible" r:id="rId17"/>
    <sheet xmlns:r="http://schemas.openxmlformats.org/officeDocument/2006/relationships" name="权益法测算表G7-14" sheetId="18" state="visible" r:id="rId18"/>
    <sheet xmlns:r="http://schemas.openxmlformats.org/officeDocument/2006/relationships" name="权益法未实现内部交易抵销测算表G7-15" sheetId="19" state="visible" r:id="rId19"/>
    <sheet xmlns:r="http://schemas.openxmlformats.org/officeDocument/2006/relationships" name="未确认投资损失测试表G7-16" sheetId="20" state="visible" r:id="rId20"/>
    <sheet xmlns:r="http://schemas.openxmlformats.org/officeDocument/2006/relationships" name="减值测试表G7-17" sheetId="21" state="visible" r:id="rId21"/>
    <sheet xmlns:r="http://schemas.openxmlformats.org/officeDocument/2006/relationships" name="凭证检查表G7-18" sheetId="22" state="visible" r:id="rId22"/>
  </sheets>
  <definedNames>
    <definedName name="_xlnm.Print_Titles" localSheetId="1">'长期股权投资实质性程序表G7A'!$15:$16</definedName>
    <definedName name="_xlnm.Print_Area" localSheetId="1">'长期股权投资实质性程序表G7A'!$A$1:$I$32</definedName>
    <definedName name="_xlnm.Print_Area" localSheetId="2">'长期股权投资审定表G7-1'!$A$1:$G$72</definedName>
    <definedName name="_xlnm.Print_Area" localSheetId="5">'明细表G7-2'!$A$1:$BB$88</definedName>
    <definedName name="_xlnm.Print_Area" localSheetId="6">'调整分录汇总G7-3'!$A$1:$J$23</definedName>
    <definedName name="_xlnm.Print_Area" localSheetId="7">'被投资单位基本信息G7-4'!$A$1:$T$43</definedName>
    <definedName name="_xlnm.Print_Area" localSheetId="8">'被投资单位财务信息（合营、联营）G7-5'!$A$1:$J$57</definedName>
    <definedName name="_xlnm.Print_Area" localSheetId="9">'被投资公司会计政策G7-6'!$A$1:$F$31</definedName>
    <definedName name="_xlnm.Print_Area" localSheetId="10">'长期股权投资初始判断G7-7'!$A$1:$I$39</definedName>
    <definedName name="_xlnm.Print_Area" localSheetId="11">'子公司初始计量测试（同控）G7-8'!$A$1:$I$44</definedName>
    <definedName name="_xlnm.Print_Area" localSheetId="12">'子公司初始计量测试（非同控）G7-9'!$A$1:$I$46</definedName>
    <definedName name="_xlnm.Print_Area" localSheetId="13">'子公司后续计量测试表G7-10'!$A$1:$I$44</definedName>
    <definedName name="_xlnm.Print_Area" localSheetId="14">'处置子公司测试表（不包含一揽子交易）G7-11'!$A$1:$P$70</definedName>
    <definedName name="_xlnm.Print_Area" localSheetId="15">'处置子公司测试表（一揽子交易）G7-12'!$A$1:$M$51</definedName>
    <definedName name="_xlnm.Print_Area" localSheetId="16">'合营、联营企业投资成本测试表G7-13'!$A$1:$M$63</definedName>
    <definedName name="_xlnm.Print_Area" localSheetId="17">'权益法测算表G7-14'!$A$1:$X$56</definedName>
    <definedName name="_xlnm.Print_Area" localSheetId="18">'权益法未实现内部交易抵销测算表G7-15'!$A$1:$L$26</definedName>
    <definedName name="_xlnm.Print_Area" localSheetId="19">'未确认投资损失测试表G7-16'!$A$1:$K$27</definedName>
    <definedName name="_xlnm.Print_Area" localSheetId="20">'减值测试表G7-17'!$A$1:$I$33</definedName>
    <definedName name="_xlnm.Print_Area" localSheetId="21">'凭证检查表G7-18'!$A$1:$Q$41</definedName>
  </definedNames>
  <calcPr calcId="162913" calcMode="auto" fullCalcOnLoad="1" forceFullCalc="1"/>
</workbook>
</file>

<file path=xl/styles.xml><?xml version="1.0" encoding="utf-8"?>
<styleSheet xmlns="http://schemas.openxmlformats.org/spreadsheetml/2006/main">
  <numFmts count="55">
    <numFmt numFmtId="164" formatCode="_ * #,##0.00_ ;_ * \-#,##0.00_ ;_ * &quot;-&quot;??_ ;_ @_ "/>
    <numFmt numFmtId="165" formatCode="#,##0.00_ "/>
    <numFmt numFmtId="166" formatCode="0.0000%"/>
    <numFmt numFmtId="167" formatCode="[$-F800]dddd\,\ mmmm\ dd\,\ yyyy"/>
    <numFmt numFmtId="168" formatCode="_([$€-2]* #,##0.00_);_([$€-2]* \(#,##0.00\);_([$€-2]* &quot;-&quot;??_)"/>
    <numFmt numFmtId="169" formatCode="yyyy/mm/dd;@"/>
    <numFmt numFmtId="170" formatCode="_-#,##0_-;\(#,##0\);_-\ \ &quot;-&quot;_-;_-@_-"/>
    <numFmt numFmtId="171" formatCode="_-#,##0.00_-;\(#,##0.00\);_-\ \ &quot;-&quot;_-;_-@_-"/>
    <numFmt numFmtId="172" formatCode="mmm/dd/yyyy;_-\ &quot;N/A&quot;_-;_-\ &quot;-&quot;_-"/>
    <numFmt numFmtId="173" formatCode="mmm/yyyy;_-\ &quot;N/A&quot;_-;_-\ &quot;-&quot;_-"/>
    <numFmt numFmtId="174" formatCode="_-#,##0%_-;\(#,##0%\);_-\ &quot;-&quot;_-"/>
    <numFmt numFmtId="175" formatCode="_-#,###,_-;\(#,###,\);_-\ \ &quot;-&quot;_-;_-@_-"/>
    <numFmt numFmtId="176" formatCode="_-#,###.00,_-;\(#,###.00,\);_-\ \ &quot;-&quot;_-;_-@_-"/>
    <numFmt numFmtId="177" formatCode="_-#0&quot;.&quot;0,_-;\(#0&quot;.&quot;0,\);_-\ \ &quot;-&quot;_-;_-@_-"/>
    <numFmt numFmtId="178" formatCode="_-#0&quot;.&quot;0000_-;\(#0&quot;.&quot;0000\);_-\ \ &quot;-&quot;_-;_-@_-"/>
    <numFmt numFmtId="179" formatCode="0%;\(0%\)"/>
    <numFmt numFmtId="180" formatCode="0.0%"/>
    <numFmt numFmtId="181" formatCode="&quot;¥&quot;#,##0;\-&quot;¥&quot;#,##0"/>
    <numFmt numFmtId="182" formatCode="&quot;$&quot;#,##0_);\(&quot;$&quot;#,##0\)"/>
    <numFmt numFmtId="183" formatCode="#,##0;\-#,##0;&quot;-&quot;"/>
    <numFmt numFmtId="184" formatCode="\(#,##0\)\ "/>
    <numFmt numFmtId="185" formatCode="[Blue]0.0%;[Blue]\(0.0%\)"/>
    <numFmt numFmtId="186" formatCode="0.0%;\(0.0%\)"/>
    <numFmt numFmtId="187" formatCode="[Red]0.0%;[Red]\(0.0%\)"/>
    <numFmt numFmtId="188" formatCode="[Blue]#,##0_);[Blue]\(#,##0\)"/>
    <numFmt numFmtId="189" formatCode="#,##0_);[Blue]\(#,##0\)"/>
    <numFmt numFmtId="190" formatCode="&quot;$&quot;#,##0;[Red]&quot;$&quot;&quot;$&quot;&quot;$&quot;&quot;$&quot;&quot;$&quot;&quot;$&quot;&quot;$&quot;\-#,##0"/>
    <numFmt numFmtId="191" formatCode="#,##0;\(#,##0\)"/>
    <numFmt numFmtId="192" formatCode="#,##0.0_);\(#,##0.0\)"/>
    <numFmt numFmtId="193" formatCode="hh:mm\ AM/PM_)"/>
    <numFmt numFmtId="194" formatCode="&quot;$&quot;#,##0.00_);\(&quot;$&quot;#,##0.00\)"/>
    <numFmt numFmtId="195" formatCode=";;;"/>
    <numFmt numFmtId="196" formatCode="\$#,##0.00;\(\$#,##0.00\)"/>
    <numFmt numFmtId="197" formatCode="\$#,##0;\(\$#,##0\)"/>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 \ @"/>
    <numFmt numFmtId="204" formatCode="#,##0_);\(#,##0_)"/>
    <numFmt numFmtId="205" formatCode="_-* #,##0_-;\-* #,##0_-;_-* &quot;-&quot;_-;_-@_-"/>
    <numFmt numFmtId="206" formatCode="_-* #,##0.00_-;\-* #,##0.00_-;_-* &quot;-&quot;??_-;_-@_-"/>
    <numFmt numFmtId="207" formatCode="&quot;\&quot;#,##0;[Red]&quot;\&quot;&quot;\&quot;\-#,##0"/>
    <numFmt numFmtId="208" formatCode="&quot;\&quot;#,##0.00;[Red]&quot;\&quot;&quot;\&quot;&quot;\&quot;&quot;\&quot;&quot;\&quot;&quot;\&quot;\-#,##0.00"/>
    <numFmt numFmtId="209" formatCode="&quot;\&quot;#,##0.00;[Red]&quot;\&quot;\-#,##0.00"/>
    <numFmt numFmtId="210" formatCode="&quot;\&quot;#,##0;[Red]&quot;\&quot;\-#,##0"/>
    <numFmt numFmtId="211" formatCode="_-&quot;$&quot;* #,##0_-;\-&quot;$&quot;* #,##0_-;_-&quot;$&quot;* &quot;-&quot;_-;_-@_-"/>
    <numFmt numFmtId="212" formatCode="_-&quot;$&quot;* #,##0.00_-;\-&quot;$&quot;* #,##0.00_-;_-&quot;$&quot;* &quot;-&quot;??_-;_-@_-"/>
    <numFmt numFmtId="21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4" formatCode="#,##0.00&quot;¥&quot;;\-#,##0.00&quot;¥&quot;"/>
    <numFmt numFmtId="215" formatCode="_-* #,##0.00&quot;¥&quot;_-;\-* #,##0.00&quot;¥&quot;_-;_-* &quot;-&quot;??&quot;¥&quot;_-;_-@_-"/>
    <numFmt numFmtId="216" formatCode="0.000%"/>
    <numFmt numFmtId="217" formatCode="_-* #,##0&quot;¥&quot;_-;\-* #,##0&quot;¥&quot;_-;_-* &quot;-&quot;&quot;¥&quot;_-;_-@_-"/>
    <numFmt numFmtId="218" formatCode="#,##0.00&quot;¥&quot;;[Red]\-#,##0.00&quot;¥&quot;"/>
  </numFmts>
  <fonts count="182">
    <font>
      <name val="宋体"/>
      <charset val="134"/>
      <family val="3"/>
      <sz val="12"/>
    </font>
    <font>
      <name val="宋体"/>
      <charset val="134"/>
      <family val="2"/>
      <color theme="1"/>
      <sz val="11"/>
      <scheme val="minor"/>
    </font>
    <font>
      <name val="宋体"/>
      <charset val="134"/>
      <family val="2"/>
      <color theme="1"/>
      <sz val="10"/>
      <scheme val="minor"/>
    </font>
    <font>
      <name val="宋体"/>
      <charset val="134"/>
      <family val="2"/>
      <color theme="1"/>
      <sz val="11"/>
      <scheme val="minor"/>
    </font>
    <font>
      <name val="Times New Roman"/>
      <family val="1"/>
      <sz val="12"/>
    </font>
    <font>
      <name val="宋体"/>
      <charset val="134"/>
      <family val="3"/>
      <b val="1"/>
      <sz val="10"/>
    </font>
    <font>
      <name val="宋体"/>
      <charset val="134"/>
      <family val="2"/>
      <sz val="9"/>
      <scheme val="minor"/>
    </font>
    <font>
      <name val="Arial Narrow"/>
      <family val="2"/>
      <b val="1"/>
      <sz val="10"/>
    </font>
    <font>
      <name val="宋体"/>
      <charset val="134"/>
      <family val="3"/>
      <sz val="12"/>
    </font>
    <font>
      <name val="Arial Narrow"/>
      <family val="2"/>
      <sz val="10"/>
    </font>
    <font>
      <name val="宋体"/>
      <charset val="134"/>
      <family val="3"/>
      <b val="1"/>
      <sz val="12"/>
    </font>
    <font>
      <name val="宋体"/>
      <charset val="134"/>
      <family val="3"/>
      <sz val="9"/>
    </font>
    <font>
      <name val="Arial Narrow"/>
      <family val="2"/>
      <sz val="12"/>
    </font>
    <font>
      <name val="宋体"/>
      <charset val="134"/>
      <family val="3"/>
      <sz val="10"/>
    </font>
    <font>
      <name val="Times New Roman"/>
      <family val="1"/>
      <sz val="10"/>
    </font>
    <font>
      <name val="Arial Narrow"/>
      <family val="2"/>
      <sz val="10"/>
      <u val="single"/>
    </font>
    <font>
      <name val="宋体"/>
      <charset val="134"/>
      <family val="3"/>
      <color indexed="10"/>
      <sz val="10"/>
    </font>
    <font>
      <name val="宋体"/>
      <charset val="134"/>
      <family val="3"/>
      <i val="1"/>
      <color indexed="12"/>
      <sz val="10"/>
    </font>
    <font>
      <name val="Arial Narrow"/>
      <family val="2"/>
      <color indexed="12"/>
      <sz val="10"/>
    </font>
    <font>
      <name val="Arial Narrow"/>
      <family val="2"/>
      <b val="1"/>
      <color indexed="12"/>
      <sz val="10"/>
    </font>
    <font>
      <name val="宋体"/>
      <charset val="134"/>
      <family val="3"/>
      <b val="1"/>
      <color indexed="12"/>
      <sz val="10"/>
    </font>
    <font>
      <name val="宋体"/>
      <charset val="134"/>
      <family val="3"/>
      <color indexed="12"/>
      <sz val="10"/>
    </font>
    <font>
      <name val="Arial"/>
      <family val="2"/>
      <sz val="10"/>
    </font>
    <font>
      <name val="Arial"/>
      <family val="2"/>
      <color indexed="8"/>
      <sz val="10"/>
    </font>
    <font>
      <name val="Times New Roman"/>
      <family val="1"/>
      <sz val="10"/>
      <u val="singleAccounting"/>
      <vertAlign val="subscript"/>
    </font>
    <font>
      <name val="Times New Roman"/>
      <family val="1"/>
      <i val="1"/>
      <sz val="9"/>
    </font>
    <font>
      <name val="Tms Rmn"/>
      <family val="1"/>
      <sz val="13"/>
    </font>
    <font>
      <name val="Helv"/>
      <family val="2"/>
      <sz val="7"/>
    </font>
    <font>
      <name val="MS Sans Serif"/>
      <family val="2"/>
      <b val="1"/>
      <sz val="10"/>
    </font>
    <font>
      <name val="Helv"/>
      <family val="2"/>
      <b val="1"/>
      <sz val="10"/>
    </font>
    <font>
      <name val="Tms Rmn"/>
      <family val="1"/>
      <b val="1"/>
      <sz val="13"/>
    </font>
    <font>
      <name val="Arial"/>
      <family val="2"/>
      <b val="1"/>
      <sz val="8"/>
    </font>
    <font>
      <name val="MS Sans Serif"/>
      <family val="2"/>
      <sz val="10"/>
    </font>
    <font>
      <name val="Times New Roman"/>
      <family val="1"/>
      <sz val="9"/>
    </font>
    <font>
      <name val="Arial"/>
      <family val="2"/>
      <sz val="8"/>
    </font>
    <font>
      <name val="Arial"/>
      <family val="2"/>
      <color indexed="36"/>
      <sz val="7.5"/>
      <u val="single"/>
    </font>
    <font>
      <name val="Helv"/>
      <family val="2"/>
      <b val="1"/>
      <sz val="12"/>
    </font>
    <font>
      <name val="Arial"/>
      <family val="2"/>
      <b val="1"/>
      <sz val="12"/>
    </font>
    <font>
      <name val="Arial"/>
      <family val="2"/>
      <b val="1"/>
      <sz val="10"/>
    </font>
    <font>
      <name val="Arial"/>
      <family val="2"/>
      <color indexed="12"/>
      <sz val="7.5"/>
      <u val="single"/>
    </font>
    <font>
      <name val="Helv"/>
      <family val="2"/>
      <b val="1"/>
      <sz val="11"/>
    </font>
    <font>
      <name val="Small Fonts"/>
      <family val="2"/>
      <sz val="7"/>
    </font>
    <font>
      <name val="Courier"/>
      <family val="3"/>
      <sz val="10"/>
    </font>
    <font>
      <name val="MS Sans Serif"/>
      <family val="2"/>
      <color indexed="8"/>
      <sz val="10"/>
    </font>
    <font>
      <name val="Helv"/>
      <family val="2"/>
      <color indexed="10"/>
      <sz val="7"/>
    </font>
    <font>
      <name val="Century Schoolbook"/>
      <family val="1"/>
      <color indexed="16"/>
      <sz val="8"/>
    </font>
    <font>
      <name val="宋体"/>
      <charset val="134"/>
      <family val="3"/>
      <color indexed="8"/>
      <sz val="9"/>
    </font>
    <font>
      <name val="Times New Roman"/>
      <family val="1"/>
      <b val="1"/>
      <i val="1"/>
      <sz val="10"/>
    </font>
    <font>
      <name val="MS Sans Serif"/>
      <family val="2"/>
      <b val="1"/>
      <sz val="12"/>
    </font>
    <font>
      <name val="MS Sans Serif"/>
      <family val="2"/>
      <sz val="12"/>
    </font>
    <font>
      <name val="Arial"/>
      <family val="2"/>
      <b val="1"/>
      <color indexed="10"/>
      <sz val="10"/>
    </font>
    <font>
      <name val="Times New Roman"/>
      <family val="1"/>
      <b val="1"/>
      <sz val="9"/>
    </font>
    <font>
      <name val="Geneva"/>
      <family val="2"/>
      <sz val="10"/>
    </font>
    <font>
      <name val="明朝"/>
      <family val="2"/>
      <sz val="11"/>
    </font>
    <font>
      <name val="柧挬"/>
      <family val="2"/>
      <sz val="14"/>
    </font>
    <font>
      <name val="Century Schoolbook"/>
      <family val="1"/>
      <sz val="8"/>
    </font>
    <font>
      <name val="宋体"/>
      <charset val="134"/>
      <family val="3"/>
      <color indexed="20"/>
      <sz val="12"/>
    </font>
    <font>
      <name val="Times New Roman"/>
      <family val="1"/>
      <color indexed="20"/>
      <sz val="10"/>
    </font>
    <font>
      <name val="宋体"/>
      <charset val="134"/>
      <family val="3"/>
      <color indexed="8"/>
      <sz val="11"/>
    </font>
    <font>
      <name val="宋体"/>
      <charset val="134"/>
      <family val="3"/>
      <color indexed="12"/>
      <sz val="10"/>
      <u val="single"/>
    </font>
    <font>
      <name val="宋体"/>
      <charset val="134"/>
      <family val="3"/>
      <color indexed="12"/>
      <sz val="12"/>
      <u val="single"/>
    </font>
    <font>
      <name val="Times New Roman"/>
      <family val="1"/>
      <color indexed="17"/>
      <sz val="10"/>
    </font>
    <font>
      <name val="官帕眉"/>
      <family val="2"/>
      <sz val="12"/>
    </font>
    <font>
      <name val="奔覆眉"/>
      <family val="2"/>
      <sz val="10"/>
    </font>
    <font>
      <name val="柧挬"/>
      <family val="2"/>
      <sz val="12"/>
    </font>
    <font>
      <name val="ＭＳ Ｐゴシック"/>
      <charset val="134"/>
      <family val="2"/>
      <sz val="11"/>
    </font>
    <font>
      <name val="바탕체"/>
      <family val="3"/>
      <sz val="12"/>
    </font>
    <font>
      <name val="Times New Roman"/>
      <family val="1"/>
      <sz val="10.5"/>
    </font>
    <font>
      <name val="宋体"/>
      <charset val="134"/>
      <family val="3"/>
      <color rgb="FFFF0000"/>
      <sz val="10"/>
    </font>
    <font>
      <name val="Arial Narrow"/>
      <family val="2"/>
      <color rgb="FFFF0000"/>
      <sz val="10"/>
    </font>
    <font>
      <name val="Arial Narrow"/>
      <family val="2"/>
      <b val="1"/>
      <color indexed="8"/>
      <sz val="10"/>
    </font>
    <font>
      <name val="宋体"/>
      <charset val="134"/>
      <family val="3"/>
      <b val="1"/>
      <color indexed="8"/>
      <sz val="10"/>
    </font>
    <font>
      <name val="Arial Narrow"/>
      <family val="2"/>
      <color indexed="8"/>
      <sz val="10"/>
    </font>
    <font>
      <name val="魏碑"/>
      <charset val="134"/>
      <family val="3"/>
      <color indexed="48"/>
      <sz val="18"/>
    </font>
    <font>
      <name val="Times New Roman"/>
      <family val="1"/>
      <b val="1"/>
      <sz val="10"/>
    </font>
    <font>
      <name val="Arial"/>
      <family val="2"/>
      <sz val="12"/>
    </font>
    <font>
      <name val="宋体"/>
      <charset val="134"/>
      <family val="3"/>
      <color theme="10"/>
      <sz val="11"/>
      <u val="single"/>
    </font>
    <font>
      <name val="Arial Narrow"/>
      <family val="2"/>
      <color theme="1"/>
      <sz val="10"/>
    </font>
    <font>
      <name val="Arial Narrow"/>
      <family val="2"/>
      <b val="1"/>
      <color theme="1"/>
      <sz val="10"/>
    </font>
    <font>
      <name val="Arial Narrow"/>
      <family val="2"/>
      <color rgb="FF000000"/>
      <sz val="10"/>
    </font>
    <font>
      <name val="Arial Narrow"/>
      <family val="2"/>
      <color rgb="FF0000FF"/>
      <sz val="10"/>
    </font>
    <font>
      <name val="Arial Narrow"/>
      <family val="2"/>
      <b val="1"/>
      <color rgb="FFFF0000"/>
      <sz val="10"/>
    </font>
    <font>
      <name val="Arial Narrow"/>
      <family val="2"/>
      <b val="1"/>
      <color rgb="FF0000FF"/>
      <sz val="10"/>
    </font>
    <font>
      <name val="宋体"/>
      <charset val="134"/>
      <family val="3"/>
      <color theme="1"/>
      <sz val="10"/>
    </font>
    <font>
      <name val="Arial Narrow"/>
      <family val="2"/>
      <color theme="1"/>
      <sz val="12"/>
    </font>
    <font>
      <name val="宋体"/>
      <charset val="134"/>
      <family val="3"/>
      <b val="1"/>
      <color theme="1"/>
      <sz val="10"/>
    </font>
    <font>
      <name val="Times New Roman"/>
      <family val="1"/>
      <color indexed="10"/>
      <sz val="9"/>
    </font>
    <font>
      <name val="Arial Narrow"/>
      <family val="2"/>
      <sz val="9"/>
    </font>
    <font>
      <name val="宋体"/>
      <charset val="134"/>
      <family val="3"/>
      <color rgb="FF0000FF"/>
      <sz val="10"/>
    </font>
    <font>
      <name val="Arial Narrow"/>
      <family val="2"/>
      <color rgb="FF0000FF"/>
      <sz val="9"/>
    </font>
    <font>
      <name val="宋体"/>
      <charset val="134"/>
      <family val="3"/>
      <color rgb="FF0000FF"/>
      <sz val="9"/>
    </font>
    <font>
      <name val="Arial Narrow"/>
      <family val="2"/>
      <b val="1"/>
      <color indexed="10"/>
      <sz val="10"/>
      <u val="single"/>
    </font>
    <font>
      <name val="宋体"/>
      <charset val="134"/>
      <family val="3"/>
      <b val="1"/>
      <color rgb="FFFF0000"/>
      <sz val="10"/>
    </font>
    <font>
      <name val="Arial Narrow"/>
      <family val="2"/>
      <color rgb="FF0000FF"/>
      <sz val="12"/>
    </font>
    <font>
      <name val="仿宋_GB2312"/>
      <charset val="134"/>
      <family val="3"/>
      <b val="1"/>
      <sz val="10"/>
    </font>
    <font>
      <name val="仿宋_GB2312"/>
      <charset val="134"/>
      <family val="3"/>
      <b val="1"/>
      <sz val="12"/>
    </font>
    <font>
      <name val="仿宋_GB2312"/>
      <charset val="134"/>
      <family val="3"/>
      <sz val="12"/>
    </font>
    <font>
      <name val="Times New Roman"/>
      <family val="1"/>
      <color rgb="FFFF0000"/>
      <sz val="10"/>
    </font>
    <font>
      <name val="MS Gothic"/>
      <charset val="128"/>
      <family val="3"/>
      <b val="1"/>
      <sz val="10"/>
    </font>
    <font>
      <name val="宋体"/>
      <charset val="134"/>
      <family val="3"/>
      <b val="1"/>
      <color rgb="FF0000FF"/>
      <sz val="10"/>
    </font>
    <font>
      <name val="ＭＳ Ｐゴシック"/>
      <family val="2"/>
      <sz val="11"/>
    </font>
    <font>
      <name val="???"/>
      <family val="1"/>
      <sz val="12"/>
    </font>
    <font>
      <name val="Times New Roman"/>
      <family val="1"/>
      <sz val="8"/>
    </font>
    <font>
      <name val="MS Serif"/>
      <family val="1"/>
      <sz val="10"/>
    </font>
    <font>
      <name val="Tms Rmn"/>
      <family val="1"/>
      <sz val="12"/>
    </font>
    <font>
      <name val="MS Serif"/>
      <family val="1"/>
      <color indexed="16"/>
      <sz val="10"/>
    </font>
    <font>
      <name val="Tms Rmn"/>
      <family val="1"/>
      <sz val="10"/>
    </font>
    <font>
      <name val="Helv"/>
      <family val="2"/>
      <b val="1"/>
      <color indexed="8"/>
      <sz val="8"/>
    </font>
    <font>
      <name val="宋体"/>
      <charset val="134"/>
      <family val="3"/>
      <color rgb="FF9C0006"/>
      <sz val="11"/>
      <scheme val="minor"/>
    </font>
    <font>
      <name val="宋体"/>
      <charset val="134"/>
      <family val="3"/>
      <color rgb="FF006100"/>
      <sz val="11"/>
      <scheme val="minor"/>
    </font>
    <font>
      <name val="Arial Narrow"/>
      <family val="2"/>
      <i val="1"/>
      <color indexed="12"/>
      <sz val="10"/>
    </font>
    <font>
      <name val="仿宋_GB2312"/>
      <charset val="134"/>
      <family val="3"/>
      <b val="1"/>
      <color rgb="FF000000"/>
      <sz val="12"/>
    </font>
    <font>
      <name val="仿宋_GB2312"/>
      <charset val="134"/>
      <family val="3"/>
      <color rgb="FF000000"/>
      <sz val="12"/>
    </font>
    <font>
      <name val="仿宋_GB2312"/>
      <charset val="134"/>
      <family val="3"/>
      <color theme="1"/>
      <sz val="12"/>
    </font>
    <font>
      <name val="仿宋_GB2312"/>
      <charset val="134"/>
      <family val="3"/>
      <b val="1"/>
      <color theme="1"/>
      <sz val="12"/>
    </font>
    <font>
      <name val="仿宋_GB2312"/>
      <charset val="134"/>
      <family val="3"/>
      <color rgb="FF0000FF"/>
      <sz val="12"/>
    </font>
    <font>
      <name val="仿宋_GB2312"/>
      <charset val="134"/>
      <family val="3"/>
      <b val="1"/>
      <color rgb="FF0000FF"/>
      <sz val="12"/>
    </font>
    <font>
      <name val="仿宋_GB2312"/>
      <charset val="134"/>
      <family val="3"/>
      <color rgb="FF0000CC"/>
      <sz val="12"/>
    </font>
    <font>
      <name val="宋体"/>
      <charset val="134"/>
      <family val="3"/>
      <color rgb="FF000000"/>
      <sz val="10"/>
    </font>
    <font>
      <name val="宋体"/>
      <charset val="134"/>
      <family val="3"/>
      <sz val="10"/>
      <scheme val="minor"/>
    </font>
    <font>
      <name val="宋体"/>
      <charset val="134"/>
      <family val="3"/>
      <b val="1"/>
      <sz val="10"/>
      <scheme val="minor"/>
    </font>
    <font>
      <name val="宋体"/>
      <charset val="134"/>
      <family val="3"/>
      <b val="1"/>
      <sz val="12"/>
      <scheme val="minor"/>
    </font>
    <font>
      <name val="仿宋_GB2312"/>
      <charset val="134"/>
      <family val="3"/>
      <color rgb="FFFF0000"/>
      <sz val="12"/>
    </font>
    <font>
      <name val="仿宋_GB2312"/>
      <charset val="134"/>
      <family val="3"/>
      <b val="1"/>
      <color rgb="FFFF0000"/>
      <sz val="12"/>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libri"/>
      <family val="2"/>
      <b val="1"/>
      <color indexed="8"/>
      <sz val="11"/>
    </font>
    <font>
      <name val="Calibri"/>
      <family val="2"/>
      <color indexed="10"/>
      <sz val="11"/>
    </font>
    <font>
      <name val="宋体"/>
      <charset val="134"/>
      <family val="3"/>
      <color theme="1"/>
      <sz val="11"/>
      <scheme val="minor"/>
    </font>
    <font>
      <name val="宋体"/>
      <charset val="134"/>
      <family val="3"/>
      <color indexed="8"/>
      <sz val="12"/>
    </font>
    <font>
      <name val="Arial Narrow"/>
      <family val="2"/>
      <b val="1"/>
      <color rgb="FFE92841"/>
      <sz val="10"/>
    </font>
    <font>
      <name val="宋体"/>
      <charset val="134"/>
      <family val="3"/>
      <color indexed="8"/>
      <sz val="10"/>
    </font>
    <font>
      <name val="Arial Narrow"/>
      <family val="2"/>
      <i val="1"/>
      <color indexed="12"/>
      <sz val="10"/>
      <u val="single"/>
    </font>
    <font>
      <name val="仿宋_GB2312"/>
      <charset val="134"/>
      <family val="3"/>
      <b val="1"/>
      <sz val="10.5"/>
    </font>
    <font>
      <name val="Arial Narrow"/>
      <family val="2"/>
      <b val="1"/>
      <sz val="10.5"/>
    </font>
    <font>
      <name val="仿宋_GB2312"/>
      <charset val="134"/>
      <family val="3"/>
      <b val="1"/>
      <color rgb="FF000000"/>
      <sz val="10.5"/>
    </font>
    <font>
      <name val="Arial Narrow"/>
      <family val="2"/>
      <b val="1"/>
      <color rgb="FF000000"/>
      <sz val="10.5"/>
    </font>
    <font>
      <name val="仿宋_GB2312"/>
      <charset val="134"/>
      <family val="3"/>
      <sz val="10.5"/>
    </font>
    <font>
      <name val="Arial Narrow"/>
      <family val="2"/>
      <sz val="10.5"/>
    </font>
    <font>
      <name val="仿宋_GB2312"/>
      <charset val="134"/>
      <family val="3"/>
      <b val="1"/>
      <sz val="9"/>
    </font>
    <font>
      <name val="仿宋_GB2312"/>
      <charset val="134"/>
      <family val="3"/>
      <color rgb="FF000000"/>
      <sz val="10.5"/>
    </font>
    <font>
      <name val="Arial Narrow"/>
      <family val="2"/>
      <color rgb="FF000000"/>
      <sz val="10.5"/>
    </font>
    <font>
      <name val="Arial Narrow"/>
      <family val="2"/>
      <color rgb="FFFF0000"/>
      <sz val="12"/>
    </font>
    <font>
      <name val="Arial Narrow"/>
      <family val="2"/>
      <b val="1"/>
      <color theme="0" tint="-0.499984740745262"/>
      <sz val="10"/>
    </font>
    <font>
      <name val="Arial Narrow"/>
      <family val="2"/>
      <color theme="1"/>
      <sz val="11"/>
    </font>
    <font>
      <name val="宋体"/>
      <charset val="134"/>
      <family val="3"/>
      <sz val="12"/>
      <scheme val="minor"/>
    </font>
    <font>
      <name val="宋体"/>
      <charset val="134"/>
      <family val="3"/>
      <b val="1"/>
      <sz val="14"/>
      <scheme val="minor"/>
    </font>
    <font>
      <name val="宋体"/>
      <charset val="134"/>
      <family val="3"/>
      <sz val="14"/>
      <scheme val="minor"/>
    </font>
    <font>
      <name val="宋体"/>
      <charset val="134"/>
      <family val="3"/>
      <color theme="10"/>
      <sz val="10"/>
      <u val="single"/>
    </font>
    <font>
      <name val="Arial Narrow"/>
      <family val="2"/>
      <color theme="10"/>
      <sz val="10"/>
    </font>
    <font>
      <name val="宋体"/>
      <charset val="134"/>
      <family val="3"/>
      <b val="1"/>
      <color rgb="FF000000"/>
      <sz val="10"/>
    </font>
    <font>
      <name val="宋体"/>
      <charset val="134"/>
      <family val="3"/>
      <b val="1"/>
      <sz val="14"/>
    </font>
    <font>
      <name val="Arial Narrow"/>
      <family val="2"/>
      <b val="1"/>
      <sz val="12"/>
    </font>
    <font>
      <name val="宋体"/>
      <charset val="134"/>
      <family val="3"/>
      <b val="1"/>
      <color indexed="81"/>
      <sz val="9"/>
    </font>
    <font>
      <name val="宋体"/>
      <charset val="134"/>
      <family val="3"/>
      <color indexed="81"/>
      <sz val="9"/>
    </font>
    <font>
      <b val="1"/>
    </font>
    <font>
      <b val="1"/>
      <sz val="10"/>
    </font>
    <font>
      <b val="1"/>
      <color rgb="00C00000"/>
      <sz val="9"/>
    </font>
    <font>
      <sz val="10"/>
    </font>
    <font>
      <color rgb="001F4E79"/>
      <sz val="10"/>
    </font>
    <font>
      <b val="1"/>
      <sz val="14"/>
    </font>
    <font>
      <name val="宋体"/>
      <b val="1"/>
      <sz val="10"/>
    </font>
    <font>
      <b val="1"/>
      <sz val="9"/>
    </font>
    <font>
      <sz val="8"/>
    </font>
    <font>
      <name val="宋体"/>
      <b val="1"/>
      <color rgb="001F4E79"/>
      <sz val="10"/>
    </font>
    <font>
      <color rgb="00375623"/>
      <sz val="9"/>
    </font>
    <font>
      <i val="1"/>
      <color rgb="00548235"/>
      <sz val="8"/>
    </font>
    <font>
      <name val="宋体"/>
      <b val="1"/>
      <sz val="12"/>
    </font>
    <font>
      <name val="宋体"/>
      <b val="1"/>
      <sz val="14"/>
    </font>
    <font>
      <i val="1"/>
      <color rgb="00666666"/>
      <sz val="9"/>
    </font>
  </fonts>
  <fills count="50">
    <fill>
      <patternFill/>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indexed="45"/>
      </patternFill>
    </fill>
    <fill>
      <patternFill patternType="solid">
        <fgColor indexed="46"/>
      </patternFill>
    </fill>
    <fill>
      <patternFill patternType="solid">
        <fgColor indexed="42"/>
      </patternFill>
    </fill>
    <fill>
      <patternFill patternType="solid">
        <fgColor indexed="27"/>
      </patternFill>
    </fill>
    <fill>
      <patternFill patternType="solid">
        <fgColor indexed="14"/>
        <bgColor indexed="64"/>
      </patternFill>
    </fill>
    <fill>
      <patternFill patternType="solid">
        <fgColor theme="7" tint="0.7999816888943144"/>
        <bgColor indexed="64"/>
      </patternFill>
    </fill>
    <fill>
      <patternFill patternType="solid">
        <fgColor rgb="FFC6EFCE"/>
      </patternFill>
    </fill>
    <fill>
      <patternFill patternType="solid">
        <fgColor rgb="FFFFC7CE"/>
      </patternFill>
    </fill>
    <fill>
      <patternFill patternType="solid">
        <fgColor indexed="15"/>
      </patternFill>
    </fill>
    <fill>
      <patternFill patternType="solid">
        <fgColor indexed="12"/>
      </patternFill>
    </fill>
    <fill>
      <patternFill patternType="solid">
        <fgColor indexed="31"/>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E4DFEC"/>
        <bgColor indexed="64"/>
      </patternFill>
    </fill>
    <fill>
      <patternFill patternType="solid">
        <fgColor theme="0" tint="-0.1499984740745262"/>
        <bgColor indexed="64"/>
      </patternFill>
    </fill>
    <fill>
      <patternFill patternType="solid">
        <fgColor rgb="FFFFFF00"/>
        <bgColor indexed="64"/>
      </patternFill>
    </fill>
    <fill>
      <patternFill patternType="solid">
        <fgColor theme="7" tint="0.7999511703848384"/>
        <bgColor indexed="64"/>
      </patternFill>
    </fill>
    <fill>
      <patternFill patternType="solid">
        <fgColor rgb="FFE4DFEC"/>
        <bgColor rgb="FFB7DEE8"/>
      </patternFill>
    </fill>
    <fill>
      <patternFill patternType="solid">
        <fgColor rgb="FFDDEBF7"/>
      </patternFill>
    </fill>
    <fill>
      <patternFill patternType="solid">
        <fgColor rgb="FFFFF2CC"/>
      </patternFill>
    </fill>
    <fill>
      <patternFill patternType="solid">
        <fgColor rgb="FFE4DFEC"/>
      </patternFill>
    </fill>
    <fill>
      <patternFill patternType="solid">
        <fgColor rgb="00D9E2F3"/>
      </patternFill>
    </fill>
    <fill>
      <patternFill patternType="solid">
        <fgColor rgb="00FCE4D6"/>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F0D9"/>
      </patternFill>
    </fill>
  </fills>
  <borders count="63">
    <border>
      <left/>
      <right/>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style="medium">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dotted">
        <color indexed="64"/>
      </bottom>
      <diagonal/>
    </border>
    <border>
      <left/>
      <right/>
      <top style="dotted">
        <color indexed="64"/>
      </top>
      <bottom style="medium">
        <color indexed="64"/>
      </bottom>
      <diagonal/>
    </border>
    <border>
      <left/>
      <right/>
      <top style="hair">
        <color auto="1"/>
      </top>
      <bottom/>
      <diagonal/>
    </border>
    <border>
      <left/>
      <right style="hair">
        <color auto="1"/>
      </right>
      <top style="hair">
        <color auto="1"/>
      </top>
      <bottom/>
      <diagonal/>
    </border>
    <border>
      <left/>
      <right/>
      <top style="hair">
        <color auto="1"/>
      </top>
      <bottom style="hair">
        <color auto="1"/>
      </bottom>
      <diagonal/>
    </border>
    <border>
      <left style="hair">
        <color auto="1"/>
      </left>
      <right/>
      <top/>
      <bottom/>
      <diagonal/>
    </border>
    <border>
      <left style="hair">
        <color auto="1"/>
      </left>
      <right style="hair">
        <color auto="1"/>
      </right>
      <top/>
      <bottom/>
      <diagonal/>
    </border>
    <border>
      <left style="hair">
        <color auto="1"/>
      </left>
      <right style="hair">
        <color auto="1"/>
      </right>
      <top/>
      <bottom style="hair">
        <color auto="1"/>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style="hair">
        <color indexed="64"/>
      </left>
      <right/>
      <top/>
      <bottom/>
      <diagonal/>
    </border>
    <border>
      <left style="hair">
        <color indexed="64"/>
      </left>
      <right style="hair">
        <color indexed="64"/>
      </right>
      <top/>
      <bottom/>
      <diagonal/>
    </border>
    <border>
      <left/>
      <right style="hair">
        <color indexed="64"/>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style="thin">
        <color rgb="00B4B4B4"/>
      </right>
      <top style="thin">
        <color rgb="00B4B4B4"/>
      </top>
      <bottom style="thin">
        <color rgb="00B4B4B4"/>
      </bottom>
      <diagonal/>
    </border>
    <border>
      <left style="thin">
        <color rgb="00B4B4B4"/>
      </left>
      <right/>
      <top/>
      <bottom/>
      <diagonal/>
    </border>
    <border>
      <left style="thin">
        <color rgb="00B4B4B4"/>
      </left>
      <right style="thin">
        <color rgb="00B4B4B4"/>
      </right>
      <top/>
      <bottom/>
      <diagonal/>
    </border>
    <border>
      <left style="thin">
        <color rgb="00B4B4B4"/>
      </left>
      <right style="thin">
        <color rgb="00B4B4B4"/>
      </right>
      <top/>
      <bottom style="thin">
        <color rgb="00B4B4B4"/>
      </bottom>
      <diagonal/>
    </border>
    <border>
      <left/>
      <right style="thin">
        <color rgb="00B4B4B4"/>
      </right>
      <top/>
      <bottom/>
      <diagonal/>
    </border>
    <border>
      <left style="thin">
        <color rgb="00B4B4B4"/>
      </left>
      <right/>
      <top/>
      <bottom style="thin">
        <color rgb="00B4B4B4"/>
      </bottom>
      <diagonal/>
    </border>
    <border>
      <left/>
      <right style="thin">
        <color rgb="00B4B4B4"/>
      </right>
      <top/>
      <bottom style="thin">
        <color rgb="00B4B4B4"/>
      </bottom>
      <diagonal/>
    </border>
    <border>
      <left/>
      <right/>
      <top style="thin">
        <color rgb="00B4B4B4"/>
      </top>
      <bottom style="thin">
        <color rgb="00B4B4B4"/>
      </bottom>
      <diagonal/>
    </border>
    <border/>
    <border>
      <right/>
      <bottom/>
    </border>
  </borders>
  <cellStyleXfs count="393">
    <xf numFmtId="0" fontId="8" fillId="0" borderId="0" applyProtection="1">
      <protection locked="0" hidden="0"/>
    </xf>
    <xf numFmtId="43" fontId="8" fillId="0" borderId="0"/>
    <xf numFmtId="9" fontId="8" fillId="0" borderId="0"/>
    <xf numFmtId="0" fontId="4" fillId="0" borderId="0"/>
    <xf numFmtId="0" fontId="8" fillId="0" borderId="0"/>
    <xf numFmtId="0" fontId="22" fillId="0" borderId="0"/>
    <xf numFmtId="0" fontId="8" fillId="0" borderId="0"/>
    <xf numFmtId="0" fontId="22" fillId="0" borderId="0"/>
    <xf numFmtId="0" fontId="22" fillId="0" borderId="0"/>
    <xf numFmtId="0" fontId="22" fillId="0" borderId="0"/>
    <xf numFmtId="0" fontId="22" fillId="0" borderId="0"/>
    <xf numFmtId="49" fontId="14" fillId="0" borderId="0" applyAlignment="1">
      <alignment horizontal="left"/>
    </xf>
    <xf numFmtId="49" fontId="14" fillId="0" borderId="0" applyAlignment="1">
      <alignment horizontal="left"/>
    </xf>
    <xf numFmtId="0" fontId="23" fillId="0" borderId="0" applyAlignment="1" applyProtection="1">
      <alignment vertical="top"/>
      <protection locked="0" hidden="0"/>
    </xf>
    <xf numFmtId="0" fontId="23" fillId="0" borderId="0" applyAlignment="1">
      <alignment vertical="top"/>
    </xf>
    <xf numFmtId="0" fontId="22" fillId="0" borderId="0" applyProtection="1">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2" fillId="0" borderId="0" applyProtection="1">
      <protection locked="0" hidden="0"/>
    </xf>
    <xf numFmtId="0" fontId="23" fillId="0" borderId="0" applyAlignment="1">
      <alignment vertical="top"/>
    </xf>
    <xf numFmtId="0" fontId="23" fillId="0" borderId="0" applyAlignment="1">
      <alignment vertical="top"/>
    </xf>
    <xf numFmtId="0" fontId="23" fillId="0" borderId="0" applyAlignment="1">
      <alignment vertical="top"/>
    </xf>
    <xf numFmtId="0" fontId="22" fillId="0" borderId="0"/>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lignment vertical="top"/>
    </xf>
    <xf numFmtId="0" fontId="23" fillId="0" borderId="0" applyAlignment="1">
      <alignment vertical="top"/>
    </xf>
    <xf numFmtId="0" fontId="4" fillId="0" borderId="0"/>
    <xf numFmtId="0" fontId="23" fillId="0" borderId="0" applyAlignment="1">
      <alignment vertical="top"/>
    </xf>
    <xf numFmtId="0" fontId="23" fillId="0" borderId="0" applyAlignment="1" applyProtection="1">
      <alignment vertical="top"/>
      <protection locked="0" hidden="0"/>
    </xf>
    <xf numFmtId="0" fontId="23" fillId="0" borderId="0" applyAlignment="1">
      <alignment vertical="top"/>
    </xf>
    <xf numFmtId="0" fontId="23" fillId="0" borderId="0" applyAlignment="1">
      <alignment vertical="top"/>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lignment vertical="top"/>
    </xf>
    <xf numFmtId="0" fontId="23" fillId="0" borderId="0" applyAlignment="1">
      <alignment vertical="top"/>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lignment vertical="top"/>
    </xf>
    <xf numFmtId="0" fontId="23" fillId="0" borderId="0" applyAlignment="1">
      <alignment vertical="top"/>
    </xf>
    <xf numFmtId="0" fontId="23" fillId="0" borderId="0" applyAlignment="1">
      <alignment vertical="top"/>
    </xf>
    <xf numFmtId="0" fontId="23" fillId="0" borderId="0" applyAlignment="1" applyProtection="1">
      <alignment vertical="top"/>
      <protection locked="0" hidden="0"/>
    </xf>
    <xf numFmtId="0" fontId="23" fillId="0" borderId="0" applyAlignment="1">
      <alignment vertical="top"/>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lignment vertical="top"/>
    </xf>
    <xf numFmtId="0" fontId="23" fillId="0" borderId="0" applyAlignment="1">
      <alignment vertical="top"/>
    </xf>
    <xf numFmtId="0" fontId="23" fillId="0" borderId="0" applyAlignment="1">
      <alignment vertical="top"/>
    </xf>
    <xf numFmtId="0" fontId="23" fillId="0" borderId="0" applyAlignment="1">
      <alignment vertical="top"/>
    </xf>
    <xf numFmtId="0" fontId="23" fillId="0" borderId="0" applyAlignment="1">
      <alignment vertical="top"/>
    </xf>
    <xf numFmtId="0" fontId="23" fillId="0" borderId="0" applyAlignment="1">
      <alignment vertical="top"/>
    </xf>
    <xf numFmtId="0" fontId="23" fillId="0" borderId="0" applyAlignment="1" applyProtection="1">
      <alignment vertical="top"/>
      <protection locked="0" hidden="0"/>
    </xf>
    <xf numFmtId="0" fontId="23" fillId="0" borderId="0" applyAlignment="1">
      <alignment vertical="top"/>
    </xf>
    <xf numFmtId="0" fontId="23" fillId="0" borderId="0" applyAlignment="1" applyProtection="1">
      <alignment vertical="top"/>
      <protection locked="0" hidden="0"/>
    </xf>
    <xf numFmtId="0" fontId="23" fillId="0" borderId="0" applyAlignment="1">
      <alignment vertical="top"/>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lignment vertical="top"/>
    </xf>
    <xf numFmtId="0" fontId="23" fillId="0" borderId="0" applyAlignment="1" applyProtection="1">
      <alignment vertical="top"/>
      <protection locked="0" hidden="0"/>
    </xf>
    <xf numFmtId="0" fontId="23" fillId="0" borderId="0" applyAlignment="1">
      <alignment vertical="top"/>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pplyProtection="1">
      <alignment vertical="top"/>
      <protection locked="0" hidden="0"/>
    </xf>
    <xf numFmtId="0" fontId="23" fillId="0" borderId="0" applyAlignment="1">
      <alignment vertical="top"/>
    </xf>
    <xf numFmtId="0" fontId="23" fillId="0" borderId="0" applyAlignment="1" applyProtection="1">
      <alignment vertical="top"/>
      <protection locked="0" hidden="0"/>
    </xf>
    <xf numFmtId="0" fontId="23" fillId="0" borderId="0" applyAlignment="1" applyProtection="1">
      <alignment vertical="top"/>
      <protection locked="0" hidden="0"/>
    </xf>
    <xf numFmtId="170" fontId="14" fillId="0" borderId="0" applyAlignment="1">
      <alignment horizontal="right"/>
    </xf>
    <xf numFmtId="171" fontId="14" fillId="0" borderId="0" applyAlignment="1">
      <alignment horizontal="right"/>
    </xf>
    <xf numFmtId="172" fontId="24" fillId="0" borderId="0" applyAlignment="1">
      <alignment horizontal="center"/>
    </xf>
    <xf numFmtId="173" fontId="24" fillId="0" borderId="0" applyAlignment="1">
      <alignment horizontal="center"/>
    </xf>
    <xf numFmtId="174" fontId="25" fillId="0" borderId="0" applyAlignment="1">
      <alignment horizontal="right"/>
    </xf>
    <xf numFmtId="175" fontId="14" fillId="0" borderId="0" applyAlignment="1">
      <alignment horizontal="right"/>
    </xf>
    <xf numFmtId="176" fontId="14" fillId="0" borderId="0" applyAlignment="1">
      <alignment horizontal="right"/>
    </xf>
    <xf numFmtId="177" fontId="14" fillId="0" borderId="0" applyAlignment="1">
      <alignment horizontal="right"/>
    </xf>
    <xf numFmtId="178" fontId="14" fillId="0" borderId="0" applyAlignment="1">
      <alignment horizontal="right"/>
    </xf>
    <xf numFmtId="179" fontId="26" fillId="0" borderId="0"/>
    <xf numFmtId="0" fontId="23" fillId="0" borderId="0" applyAlignment="1" applyProtection="1">
      <alignment vertical="top"/>
      <protection locked="0" hidden="0"/>
    </xf>
    <xf numFmtId="180" fontId="26" fillId="0" borderId="0"/>
    <xf numFmtId="10" fontId="26" fillId="0" borderId="0"/>
    <xf numFmtId="181" fontId="8" fillId="0" borderId="0"/>
    <xf numFmtId="3" fontId="27" fillId="0" borderId="0"/>
    <xf numFmtId="182" fontId="28" fillId="0" borderId="7"/>
    <xf numFmtId="183" fontId="23" fillId="0" borderId="0"/>
    <xf numFmtId="184" fontId="22" fillId="0" borderId="0"/>
    <xf numFmtId="185" fontId="22" fillId="0" borderId="0"/>
    <xf numFmtId="186" fontId="22" fillId="0" borderId="0"/>
    <xf numFmtId="187" fontId="22" fillId="0" borderId="0"/>
    <xf numFmtId="188" fontId="22" fillId="0" borderId="0"/>
    <xf numFmtId="189" fontId="22" fillId="0" borderId="0"/>
    <xf numFmtId="184" fontId="22" fillId="0" borderId="0"/>
    <xf numFmtId="0" fontId="29" fillId="0" borderId="0"/>
    <xf numFmtId="0" fontId="30" fillId="0" borderId="8" applyAlignment="1">
      <alignment horizontal="center"/>
    </xf>
    <xf numFmtId="0" fontId="31" fillId="0" borderId="9" applyAlignment="1">
      <alignment horizontal="center"/>
    </xf>
    <xf numFmtId="190" fontId="22" fillId="0" borderId="0"/>
    <xf numFmtId="190" fontId="22" fillId="0" borderId="0"/>
    <xf numFmtId="190" fontId="22" fillId="0" borderId="0"/>
    <xf numFmtId="190" fontId="22" fillId="0" borderId="0"/>
    <xf numFmtId="190" fontId="22" fillId="0" borderId="0"/>
    <xf numFmtId="190" fontId="22" fillId="0" borderId="0"/>
    <xf numFmtId="190" fontId="22" fillId="0" borderId="0"/>
    <xf numFmtId="190" fontId="22" fillId="0" borderId="0"/>
    <xf numFmtId="38" fontId="32" fillId="0" borderId="0"/>
    <xf numFmtId="188" fontId="22" fillId="0" borderId="0"/>
    <xf numFmtId="43" fontId="8" fillId="0" borderId="0"/>
    <xf numFmtId="191" fontId="14" fillId="0" borderId="0"/>
    <xf numFmtId="37" fontId="26" fillId="0" borderId="0"/>
    <xf numFmtId="192" fontId="26" fillId="0" borderId="0"/>
    <xf numFmtId="39" fontId="26" fillId="0" borderId="0"/>
    <xf numFmtId="40" fontId="32" fillId="0" borderId="0"/>
    <xf numFmtId="193" fontId="8" fillId="0" borderId="0"/>
    <xf numFmtId="184" fontId="22" fillId="0" borderId="0"/>
    <xf numFmtId="182" fontId="26" fillId="0" borderId="0"/>
    <xf numFmtId="194" fontId="26" fillId="0" borderId="0"/>
    <xf numFmtId="195" fontId="8" fillId="0" borderId="0"/>
    <xf numFmtId="196" fontId="14" fillId="0" borderId="0"/>
    <xf numFmtId="14" fontId="23" fillId="0" borderId="0"/>
    <xf numFmtId="41" fontId="22" fillId="0" borderId="0"/>
    <xf numFmtId="43" fontId="22" fillId="0" borderId="0"/>
    <xf numFmtId="197" fontId="14" fillId="0" borderId="0"/>
    <xf numFmtId="188" fontId="22" fillId="0" borderId="0"/>
    <xf numFmtId="184" fontId="22" fillId="0" borderId="0"/>
    <xf numFmtId="188" fontId="22" fillId="0" borderId="0"/>
    <xf numFmtId="189" fontId="22" fillId="0" borderId="0"/>
    <xf numFmtId="184" fontId="22" fillId="0" borderId="0"/>
    <xf numFmtId="0" fontId="33" fillId="0" borderId="0" applyAlignment="1">
      <alignment horizontal="left"/>
    </xf>
    <xf numFmtId="0" fontId="34" fillId="2" borderId="10"/>
    <xf numFmtId="168" fontId="14" fillId="0" borderId="0"/>
    <xf numFmtId="0" fontId="35" fillId="0" borderId="0" applyAlignment="1" applyProtection="1">
      <alignment vertical="top"/>
      <protection locked="0" hidden="0"/>
    </xf>
    <xf numFmtId="38" fontId="34" fillId="3" borderId="0"/>
    <xf numFmtId="0" fontId="36" fillId="0" borderId="0" applyAlignment="1">
      <alignment horizontal="left"/>
    </xf>
    <xf numFmtId="0" fontId="37" fillId="0" borderId="11" applyAlignment="1">
      <alignment horizontal="left" vertical="center"/>
    </xf>
    <xf numFmtId="0" fontId="37" fillId="0" borderId="12" applyAlignment="1">
      <alignment horizontal="left" vertical="center"/>
    </xf>
    <xf numFmtId="14" fontId="38" fillId="4" borderId="13" applyAlignment="1">
      <alignment horizontal="center" vertical="center" wrapText="1"/>
    </xf>
    <xf numFmtId="0" fontId="39" fillId="0" borderId="0" applyAlignment="1" applyProtection="1">
      <alignment vertical="top"/>
      <protection locked="0" hidden="0"/>
    </xf>
    <xf numFmtId="10" fontId="34" fillId="5" borderId="10"/>
    <xf numFmtId="0" fontId="14" fillId="0" borderId="0" applyAlignment="1">
      <alignment horizontal="left" vertical="center"/>
    </xf>
    <xf numFmtId="188" fontId="22" fillId="0" borderId="0"/>
    <xf numFmtId="184" fontId="22" fillId="0" borderId="0"/>
    <xf numFmtId="188" fontId="22" fillId="0" borderId="0"/>
    <xf numFmtId="189" fontId="22" fillId="0" borderId="0"/>
    <xf numFmtId="184" fontId="22" fillId="0" borderId="0"/>
    <xf numFmtId="41" fontId="22" fillId="0" borderId="0"/>
    <xf numFmtId="43" fontId="22" fillId="0" borderId="0"/>
    <xf numFmtId="0" fontId="40" fillId="0" borderId="13"/>
    <xf numFmtId="42" fontId="22" fillId="0" borderId="0"/>
    <xf numFmtId="198" fontId="22" fillId="0" borderId="0"/>
    <xf numFmtId="199" fontId="22" fillId="0" borderId="0"/>
    <xf numFmtId="200" fontId="8" fillId="0" borderId="0"/>
    <xf numFmtId="37" fontId="41" fillId="0" borderId="0"/>
    <xf numFmtId="0" fontId="42" fillId="0" borderId="0"/>
    <xf numFmtId="201" fontId="8" fillId="0" borderId="0"/>
    <xf numFmtId="0" fontId="8" fillId="0" borderId="0"/>
    <xf numFmtId="0" fontId="32" fillId="0" borderId="0"/>
    <xf numFmtId="0" fontId="43" fillId="0" borderId="0"/>
    <xf numFmtId="202" fontId="22" fillId="0" borderId="0"/>
    <xf numFmtId="187" fontId="22" fillId="0" borderId="0"/>
    <xf numFmtId="179" fontId="22" fillId="0" borderId="0"/>
    <xf numFmtId="10" fontId="22" fillId="0" borderId="0"/>
    <xf numFmtId="0" fontId="34" fillId="3" borderId="10"/>
    <xf numFmtId="188" fontId="22" fillId="0" borderId="0"/>
    <xf numFmtId="184" fontId="22" fillId="0" borderId="0"/>
    <xf numFmtId="188" fontId="22" fillId="0" borderId="0"/>
    <xf numFmtId="189" fontId="22" fillId="0" borderId="0"/>
    <xf numFmtId="184" fontId="22" fillId="0" borderId="0"/>
    <xf numFmtId="4" fontId="33" fillId="0" borderId="0" applyAlignment="1">
      <alignment horizontal="right"/>
    </xf>
    <xf numFmtId="3" fontId="44" fillId="0" borderId="0"/>
    <xf numFmtId="4" fontId="45" fillId="0" borderId="0" applyAlignment="1">
      <alignment horizontal="right"/>
    </xf>
    <xf numFmtId="41" fontId="14" fillId="0" borderId="0"/>
    <xf numFmtId="0" fontId="46" fillId="6" borderId="0" applyAlignment="1">
      <alignment horizontal="left" vertical="center"/>
    </xf>
    <xf numFmtId="0" fontId="46" fillId="6" borderId="0" applyAlignment="1">
      <alignment horizontal="right" vertical="center"/>
    </xf>
    <xf numFmtId="0" fontId="47" fillId="0" borderId="0" applyAlignment="1">
      <alignment horizontal="left"/>
    </xf>
    <xf numFmtId="43" fontId="34" fillId="0" borderId="14"/>
    <xf numFmtId="0" fontId="48" fillId="0" borderId="10" applyAlignment="1">
      <alignment horizontal="center"/>
    </xf>
    <xf numFmtId="0" fontId="48" fillId="0" borderId="0" applyAlignment="1">
      <alignment horizontal="center" vertical="center"/>
    </xf>
    <xf numFmtId="0" fontId="49" fillId="7" borderId="0" applyAlignment="1">
      <alignment horizontal="left" vertical="center"/>
    </xf>
    <xf numFmtId="0" fontId="40" fillId="0" borderId="0"/>
    <xf numFmtId="49" fontId="23" fillId="0" borderId="0"/>
    <xf numFmtId="203" fontId="23" fillId="0" borderId="0"/>
    <xf numFmtId="204" fontId="22" fillId="0" borderId="0"/>
    <xf numFmtId="0" fontId="50" fillId="0" borderId="0" applyAlignment="1">
      <alignment horizontal="left" vertical="top"/>
    </xf>
    <xf numFmtId="0" fontId="51" fillId="0" borderId="0" applyAlignment="1">
      <alignment horizontal="center"/>
    </xf>
    <xf numFmtId="0" fontId="52" fillId="0" borderId="0" applyAlignment="1">
      <alignment horizontal="center" vertical="center" wrapText="1"/>
    </xf>
    <xf numFmtId="9" fontId="53" fillId="0" borderId="0"/>
    <xf numFmtId="0" fontId="4" fillId="0" borderId="0"/>
    <xf numFmtId="0" fontId="9" fillId="0" borderId="0"/>
    <xf numFmtId="205" fontId="4" fillId="0" borderId="0"/>
    <xf numFmtId="206" fontId="4" fillId="0" borderId="0"/>
    <xf numFmtId="41" fontId="22" fillId="0" borderId="0"/>
    <xf numFmtId="9" fontId="4" fillId="0" borderId="0"/>
    <xf numFmtId="9" fontId="8" fillId="0" borderId="0" applyAlignment="1">
      <alignment vertical="center"/>
    </xf>
    <xf numFmtId="9" fontId="8" fillId="0" borderId="0"/>
    <xf numFmtId="0" fontId="54" fillId="0" borderId="0"/>
    <xf numFmtId="0" fontId="54" fillId="0" borderId="0"/>
    <xf numFmtId="4" fontId="55" fillId="0" borderId="0" applyAlignment="1">
      <alignment horizontal="right"/>
    </xf>
    <xf numFmtId="0" fontId="56" fillId="8" borderId="0" applyAlignment="1">
      <alignment vertical="center"/>
    </xf>
    <xf numFmtId="0" fontId="57" fillId="9" borderId="0" applyAlignment="1">
      <alignment vertical="center"/>
    </xf>
    <xf numFmtId="0" fontId="8" fillId="0" borderId="0" applyProtection="1">
      <protection locked="0" hidden="0"/>
    </xf>
    <xf numFmtId="0" fontId="8" fillId="0" borderId="0"/>
    <xf numFmtId="0" fontId="8" fillId="0" borderId="0" applyAlignment="1" applyProtection="1">
      <alignment vertical="center"/>
      <protection locked="0" hidden="0"/>
    </xf>
    <xf numFmtId="0" fontId="8" fillId="0" borderId="0" applyProtection="1">
      <protection locked="0" hidden="0"/>
    </xf>
    <xf numFmtId="0" fontId="58" fillId="0" borderId="0" applyAlignment="1">
      <alignment vertical="center"/>
    </xf>
    <xf numFmtId="0" fontId="8" fillId="0" borderId="0"/>
    <xf numFmtId="0" fontId="59" fillId="0" borderId="0" applyAlignment="1" applyProtection="1">
      <alignment vertical="top"/>
      <protection locked="0" hidden="0"/>
    </xf>
    <xf numFmtId="0" fontId="60" fillId="0" borderId="0" applyAlignment="1" applyProtection="1">
      <alignment vertical="top"/>
      <protection locked="0" hidden="0"/>
    </xf>
    <xf numFmtId="0" fontId="28" fillId="0" borderId="0"/>
    <xf numFmtId="0" fontId="61" fillId="10" borderId="0" applyAlignment="1">
      <alignment vertical="center"/>
    </xf>
    <xf numFmtId="0" fontId="61" fillId="11" borderId="0" applyAlignment="1">
      <alignment vertical="center"/>
    </xf>
    <xf numFmtId="4" fontId="52" fillId="0" borderId="0"/>
    <xf numFmtId="41" fontId="22" fillId="0" borderId="0"/>
    <xf numFmtId="207" fontId="22" fillId="0" borderId="0"/>
    <xf numFmtId="208" fontId="22" fillId="0" borderId="0"/>
    <xf numFmtId="209" fontId="62" fillId="0" borderId="0"/>
    <xf numFmtId="210" fontId="62" fillId="0" borderId="0"/>
    <xf numFmtId="211" fontId="4" fillId="0" borderId="0"/>
    <xf numFmtId="212" fontId="4" fillId="0" borderId="0"/>
    <xf numFmtId="0" fontId="14" fillId="0" borderId="0"/>
    <xf numFmtId="0" fontId="14" fillId="0" borderId="0"/>
    <xf numFmtId="0" fontId="14" fillId="0" borderId="0"/>
    <xf numFmtId="41" fontId="4" fillId="0" borderId="0"/>
    <xf numFmtId="43" fontId="4" fillId="0" borderId="0"/>
    <xf numFmtId="43" fontId="8" fillId="0" borderId="0" applyAlignment="1">
      <alignment vertical="center"/>
    </xf>
    <xf numFmtId="0" fontId="63" fillId="0" borderId="0"/>
    <xf numFmtId="198" fontId="22" fillId="0" borderId="0"/>
    <xf numFmtId="213" fontId="52" fillId="0" borderId="0"/>
    <xf numFmtId="0" fontId="23" fillId="0" borderId="0" applyAlignment="1" applyProtection="1">
      <alignment vertical="top"/>
      <protection locked="0" hidden="0"/>
    </xf>
    <xf numFmtId="0" fontId="64" fillId="0" borderId="0"/>
    <xf numFmtId="40" fontId="54" fillId="0" borderId="0"/>
    <xf numFmtId="38" fontId="54" fillId="0" borderId="0"/>
    <xf numFmtId="38" fontId="65" fillId="0" borderId="0"/>
    <xf numFmtId="40" fontId="65" fillId="0" borderId="0"/>
    <xf numFmtId="0" fontId="65" fillId="0" borderId="0"/>
    <xf numFmtId="0" fontId="65" fillId="0" borderId="0"/>
    <xf numFmtId="0" fontId="66" fillId="0" borderId="0"/>
    <xf numFmtId="0" fontId="8" fillId="0" borderId="0" applyAlignment="1">
      <alignment vertical="center"/>
    </xf>
    <xf numFmtId="0" fontId="14" fillId="0" borderId="0" applyProtection="1">
      <protection locked="0" hidden="0"/>
    </xf>
    <xf numFmtId="0" fontId="22" fillId="0" borderId="0"/>
    <xf numFmtId="0" fontId="8" fillId="0" borderId="0" applyAlignment="1">
      <alignment vertical="center"/>
    </xf>
    <xf numFmtId="0" fontId="8" fillId="0" borderId="0" applyAlignment="1">
      <alignment vertical="center"/>
    </xf>
    <xf numFmtId="43" fontId="8" fillId="0" borderId="0"/>
    <xf numFmtId="41" fontId="8" fillId="0" borderId="0"/>
    <xf numFmtId="0" fontId="3" fillId="0" borderId="0" applyAlignment="1">
      <alignment vertical="center"/>
    </xf>
    <xf numFmtId="0" fontId="76" fillId="0" borderId="0" applyAlignment="1" applyProtection="1">
      <alignment vertical="top"/>
      <protection locked="0" hidden="0"/>
    </xf>
    <xf numFmtId="0" fontId="8" fillId="0" borderId="0" applyAlignment="1">
      <alignment vertical="center"/>
    </xf>
    <xf numFmtId="0" fontId="8" fillId="0" borderId="0"/>
    <xf numFmtId="0" fontId="8" fillId="0" borderId="0" applyAlignment="1">
      <alignment vertical="center"/>
    </xf>
    <xf numFmtId="0" fontId="100" fillId="0" borderId="0"/>
    <xf numFmtId="0" fontId="100" fillId="0" borderId="0"/>
    <xf numFmtId="0" fontId="101" fillId="0" borderId="0"/>
    <xf numFmtId="0" fontId="102" fillId="0" borderId="0" applyAlignment="1" applyProtection="1">
      <alignment horizontal="center" wrapText="1"/>
      <protection locked="0" hidden="0"/>
    </xf>
    <xf numFmtId="0" fontId="103" fillId="0" borderId="0" applyAlignment="1">
      <alignment horizontal="left"/>
    </xf>
    <xf numFmtId="0" fontId="42" fillId="0" borderId="0"/>
    <xf numFmtId="15" fontId="32" fillId="0" borderId="0"/>
    <xf numFmtId="0" fontId="104" fillId="0" borderId="0"/>
    <xf numFmtId="0" fontId="105" fillId="0" borderId="0" applyAlignment="1">
      <alignment horizontal="left"/>
    </xf>
    <xf numFmtId="214" fontId="8" fillId="16" borderId="0"/>
    <xf numFmtId="214" fontId="8" fillId="17" borderId="0"/>
    <xf numFmtId="215" fontId="8" fillId="0" borderId="0"/>
    <xf numFmtId="216" fontId="8" fillId="0" borderId="0"/>
    <xf numFmtId="217" fontId="8" fillId="0" borderId="0"/>
    <xf numFmtId="180" fontId="8" fillId="0" borderId="0"/>
    <xf numFmtId="0" fontId="14" fillId="0" borderId="0"/>
    <xf numFmtId="206" fontId="22" fillId="0" borderId="0"/>
    <xf numFmtId="205" fontId="22" fillId="0" borderId="0"/>
    <xf numFmtId="14" fontId="102" fillId="0" borderId="0" applyAlignment="1" applyProtection="1">
      <alignment horizontal="center" wrapText="1"/>
      <protection locked="0" hidden="0"/>
    </xf>
    <xf numFmtId="181" fontId="106" fillId="0" borderId="0"/>
    <xf numFmtId="0" fontId="32" fillId="0" borderId="0" applyAlignment="1">
      <alignment horizontal="left"/>
    </xf>
    <xf numFmtId="218" fontId="8" fillId="0" borderId="0" applyAlignment="1">
      <alignment horizontal="left"/>
    </xf>
    <xf numFmtId="40" fontId="107" fillId="0" borderId="0" applyAlignment="1">
      <alignment horizontal="right"/>
    </xf>
    <xf numFmtId="0" fontId="108" fillId="15" borderId="0" applyAlignment="1">
      <alignment vertical="center"/>
    </xf>
    <xf numFmtId="0" fontId="109" fillId="14" borderId="0" applyAlignment="1">
      <alignment vertical="center"/>
    </xf>
    <xf numFmtId="206" fontId="22" fillId="0" borderId="10"/>
    <xf numFmtId="168" fontId="8" fillId="0" borderId="0" applyAlignment="1">
      <alignment vertical="center"/>
    </xf>
    <xf numFmtId="168" fontId="8" fillId="0" borderId="0" applyAlignment="1" applyProtection="1">
      <alignment vertical="center"/>
      <protection locked="0" hidden="0"/>
    </xf>
    <xf numFmtId="168" fontId="8" fillId="0" borderId="0" applyAlignment="1">
      <alignment vertical="center"/>
    </xf>
    <xf numFmtId="168" fontId="124" fillId="18" borderId="0"/>
    <xf numFmtId="168" fontId="124" fillId="8" borderId="0"/>
    <xf numFmtId="168" fontId="124" fillId="10" borderId="0"/>
    <xf numFmtId="168" fontId="124" fillId="9" borderId="0"/>
    <xf numFmtId="168" fontId="124" fillId="11" borderId="0"/>
    <xf numFmtId="168" fontId="124" fillId="19" borderId="0"/>
    <xf numFmtId="168" fontId="124" fillId="20" borderId="0"/>
    <xf numFmtId="168" fontId="124" fillId="21" borderId="0"/>
    <xf numFmtId="168" fontId="124" fillId="22" borderId="0"/>
    <xf numFmtId="168" fontId="124" fillId="9" borderId="0"/>
    <xf numFmtId="168" fontId="124" fillId="20" borderId="0"/>
    <xf numFmtId="168" fontId="124" fillId="23" borderId="0"/>
    <xf numFmtId="168" fontId="125" fillId="24" borderId="0"/>
    <xf numFmtId="168" fontId="125" fillId="21" borderId="0"/>
    <xf numFmtId="168" fontId="125" fillId="22" borderId="0"/>
    <xf numFmtId="168" fontId="125" fillId="25" borderId="0"/>
    <xf numFmtId="168" fontId="125" fillId="26" borderId="0"/>
    <xf numFmtId="168" fontId="125" fillId="27" borderId="0"/>
    <xf numFmtId="168" fontId="125" fillId="28" borderId="0"/>
    <xf numFmtId="168" fontId="125" fillId="29" borderId="0"/>
    <xf numFmtId="168" fontId="125" fillId="30" borderId="0"/>
    <xf numFmtId="168" fontId="125" fillId="25" borderId="0"/>
    <xf numFmtId="168" fontId="125" fillId="26" borderId="0"/>
    <xf numFmtId="168" fontId="125" fillId="31" borderId="0"/>
    <xf numFmtId="168" fontId="126" fillId="8" borderId="0"/>
    <xf numFmtId="168" fontId="127" fillId="32" borderId="26"/>
    <xf numFmtId="168" fontId="128" fillId="33" borderId="27"/>
    <xf numFmtId="168" fontId="129" fillId="0" borderId="0"/>
    <xf numFmtId="168" fontId="130" fillId="10" borderId="0"/>
    <xf numFmtId="168" fontId="131" fillId="0" borderId="28"/>
    <xf numFmtId="168" fontId="132" fillId="0" borderId="29"/>
    <xf numFmtId="168" fontId="133" fillId="0" borderId="30"/>
    <xf numFmtId="168" fontId="133" fillId="0" borderId="0"/>
    <xf numFmtId="168" fontId="134" fillId="19" borderId="26"/>
    <xf numFmtId="168" fontId="135" fillId="0" borderId="31"/>
    <xf numFmtId="168" fontId="136" fillId="34" borderId="0"/>
    <xf numFmtId="0" fontId="22" fillId="0" borderId="0"/>
    <xf numFmtId="0" fontId="22" fillId="0" borderId="0"/>
    <xf numFmtId="0" fontId="8" fillId="0" borderId="0" applyAlignment="1">
      <alignment vertical="center"/>
    </xf>
    <xf numFmtId="168" fontId="22" fillId="35" borderId="32"/>
    <xf numFmtId="168" fontId="137" fillId="32" borderId="33"/>
    <xf numFmtId="168" fontId="138" fillId="0" borderId="34"/>
    <xf numFmtId="168" fontId="139" fillId="0" borderId="0"/>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8" fillId="0" borderId="0" applyAlignment="1">
      <alignment vertical="center"/>
    </xf>
    <xf numFmtId="0" fontId="8" fillId="0" borderId="0" applyAlignment="1">
      <alignment vertical="center"/>
    </xf>
    <xf numFmtId="0" fontId="8"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1" fillId="0" borderId="0" applyAlignment="1" applyProtection="1">
      <alignment vertical="center"/>
      <protection locked="0" hidden="0"/>
    </xf>
    <xf numFmtId="0" fontId="8" fillId="0" borderId="0" applyProtection="1">
      <protection locked="0" hidden="0"/>
    </xf>
    <xf numFmtId="0" fontId="8" fillId="0" borderId="0" applyAlignment="1">
      <alignment vertical="center"/>
    </xf>
    <xf numFmtId="0" fontId="8" fillId="0" borderId="0" applyAlignment="1">
      <alignment vertical="center"/>
    </xf>
    <xf numFmtId="0" fontId="8" fillId="0" borderId="0" applyAlignment="1">
      <alignment vertical="center"/>
    </xf>
    <xf numFmtId="0" fontId="58" fillId="0" borderId="0" applyAlignment="1">
      <alignment vertical="center"/>
    </xf>
    <xf numFmtId="0" fontId="8" fillId="0" borderId="0" applyProtection="1">
      <protection locked="0" hidden="0"/>
    </xf>
    <xf numFmtId="0" fontId="8" fillId="0" borderId="0" applyAlignment="1">
      <alignment vertical="center"/>
    </xf>
    <xf numFmtId="0" fontId="8" fillId="0" borderId="0" applyProtection="1">
      <protection locked="0" hidden="0"/>
    </xf>
    <xf numFmtId="0" fontId="22" fillId="0" borderId="0"/>
    <xf numFmtId="0" fontId="8" fillId="0" borderId="0" applyAlignment="1">
      <alignment vertical="center"/>
    </xf>
    <xf numFmtId="168" fontId="3" fillId="0" borderId="0" applyAlignment="1">
      <alignment vertical="center"/>
    </xf>
    <xf numFmtId="0" fontId="8" fillId="0" borderId="0" applyAlignment="1">
      <alignment vertical="center"/>
    </xf>
    <xf numFmtId="0" fontId="8"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8" fillId="0" borderId="0"/>
    <xf numFmtId="0" fontId="141" fillId="0" borderId="0" applyAlignment="1">
      <alignment vertical="center"/>
    </xf>
    <xf numFmtId="0" fontId="140" fillId="0" borderId="0" applyAlignment="1">
      <alignment vertical="center"/>
    </xf>
    <xf numFmtId="0" fontId="3"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0" fontId="140" fillId="0" borderId="0" applyAlignment="1">
      <alignment vertical="center"/>
    </xf>
    <xf numFmtId="168" fontId="60" fillId="0" borderId="0" applyAlignment="1" applyProtection="1">
      <alignment vertical="top"/>
      <protection locked="0" hidden="0"/>
    </xf>
    <xf numFmtId="168" fontId="8" fillId="0" borderId="0" applyAlignment="1" applyProtection="1">
      <alignment vertical="center"/>
      <protection locked="0" hidden="0"/>
    </xf>
    <xf numFmtId="0" fontId="8" fillId="0" borderId="0" applyProtection="1">
      <protection locked="0" hidden="0"/>
    </xf>
    <xf numFmtId="168" fontId="8" fillId="0" borderId="0"/>
    <xf numFmtId="9" fontId="8" fillId="0" borderId="0"/>
    <xf numFmtId="43" fontId="8" fillId="0" borderId="0"/>
    <xf numFmtId="168" fontId="8" fillId="0" borderId="0" applyAlignment="1">
      <alignment vertical="center"/>
    </xf>
    <xf numFmtId="0" fontId="58" fillId="0" borderId="0" applyAlignment="1">
      <alignment vertical="center"/>
    </xf>
    <xf numFmtId="0" fontId="4" fillId="0" borderId="0"/>
    <xf numFmtId="0" fontId="8" fillId="0" borderId="0" applyAlignment="1">
      <alignment vertical="center"/>
    </xf>
    <xf numFmtId="0" fontId="8" fillId="0" borderId="0"/>
    <xf numFmtId="168" fontId="8" fillId="0" borderId="0"/>
    <xf numFmtId="0" fontId="8" fillId="0" borderId="0" applyProtection="1">
      <protection locked="0" hidden="0"/>
    </xf>
    <xf numFmtId="168" fontId="8" fillId="0" borderId="0" applyProtection="1">
      <protection locked="0" hidden="0"/>
    </xf>
    <xf numFmtId="168" fontId="8" fillId="0" borderId="0" applyAlignment="1" applyProtection="1">
      <alignment vertical="center"/>
      <protection locked="0" hidden="0"/>
    </xf>
    <xf numFmtId="168" fontId="8" fillId="0" borderId="0" applyProtection="1">
      <protection locked="0" hidden="0"/>
    </xf>
    <xf numFmtId="168" fontId="140" fillId="0" borderId="0"/>
    <xf numFmtId="43" fontId="8" fillId="0" borderId="0" applyAlignment="1">
      <alignment vertical="center"/>
    </xf>
    <xf numFmtId="168" fontId="3" fillId="0" borderId="0" applyAlignment="1">
      <alignment vertical="center"/>
    </xf>
  </cellStyleXfs>
  <cellXfs count="1869">
    <xf numFmtId="0" fontId="0" fillId="0" borderId="0" applyProtection="1" pivotButton="0" quotePrefix="0" xfId="0">
      <protection locked="0" hidden="0"/>
    </xf>
    <xf numFmtId="164" fontId="9" fillId="0" borderId="0" applyAlignment="1" pivotButton="0" quotePrefix="0" xfId="4">
      <alignment vertical="center"/>
    </xf>
    <xf numFmtId="0" fontId="9" fillId="0" borderId="0" applyAlignment="1" applyProtection="1" pivotButton="0" quotePrefix="0" xfId="0">
      <alignment vertical="center"/>
      <protection locked="0" hidden="0"/>
    </xf>
    <xf numFmtId="0" fontId="13" fillId="0" borderId="0" applyAlignment="1" applyProtection="1" pivotButton="0" quotePrefix="0" xfId="0">
      <alignment horizontal="right" vertical="center"/>
      <protection locked="0" hidden="0"/>
    </xf>
    <xf numFmtId="0" fontId="13" fillId="0" borderId="0" applyAlignment="1" applyProtection="1" pivotButton="0" quotePrefix="0" xfId="0">
      <alignment vertical="center"/>
      <protection locked="0" hidden="0"/>
    </xf>
    <xf numFmtId="164" fontId="7" fillId="0" borderId="0" applyAlignment="1" pivotButton="0" quotePrefix="0" xfId="4">
      <alignment vertical="center"/>
    </xf>
    <xf numFmtId="164" fontId="17" fillId="0" borderId="0" applyAlignment="1" pivotButton="0" quotePrefix="0" xfId="4">
      <alignment vertical="center"/>
    </xf>
    <xf numFmtId="164" fontId="18" fillId="0" borderId="0" applyAlignment="1" pivotButton="0" quotePrefix="0" xfId="4">
      <alignment vertical="center"/>
    </xf>
    <xf numFmtId="164" fontId="19" fillId="0" borderId="0" applyAlignment="1" pivotButton="0" quotePrefix="0" xfId="4">
      <alignment vertical="center"/>
    </xf>
    <xf numFmtId="164" fontId="21" fillId="0" borderId="0" applyAlignment="1" pivotButton="0" quotePrefix="0" xfId="4">
      <alignment vertical="center"/>
    </xf>
    <xf numFmtId="164" fontId="20" fillId="0" borderId="0" applyAlignment="1" pivotButton="0" quotePrefix="0" xfId="4">
      <alignment vertical="center"/>
    </xf>
    <xf numFmtId="164" fontId="21" fillId="0" borderId="0" applyAlignment="1" pivotButton="0" quotePrefix="0" xfId="4">
      <alignment horizontal="right" vertical="center"/>
    </xf>
    <xf numFmtId="0" fontId="5" fillId="0" borderId="0" applyAlignment="1" applyProtection="1" pivotButton="0" quotePrefix="0" xfId="0">
      <alignment vertical="center"/>
      <protection locked="0" hidden="0"/>
    </xf>
    <xf numFmtId="164" fontId="9" fillId="0" borderId="14" applyAlignment="1" applyProtection="1" pivotButton="0" quotePrefix="0" xfId="0">
      <alignment horizontal="justify" vertical="center" wrapText="1"/>
      <protection locked="0" hidden="0"/>
    </xf>
    <xf numFmtId="164" fontId="9" fillId="0" borderId="14" applyAlignment="1" applyProtection="1" pivotButton="0" quotePrefix="0" xfId="0">
      <alignment horizontal="center" vertical="center" shrinkToFit="1"/>
      <protection locked="0" hidden="0"/>
    </xf>
    <xf numFmtId="164" fontId="9" fillId="0" borderId="14" applyAlignment="1" applyProtection="1" pivotButton="0" quotePrefix="0" xfId="0">
      <alignment horizontal="center" vertical="center" wrapText="1"/>
      <protection locked="0" hidden="0"/>
    </xf>
    <xf numFmtId="164" fontId="9" fillId="0" borderId="16" applyAlignment="1" applyProtection="1" pivotButton="0" quotePrefix="0" xfId="0">
      <alignment horizontal="justify" vertical="center" wrapText="1"/>
      <protection locked="0" hidden="0"/>
    </xf>
    <xf numFmtId="0" fontId="9" fillId="0" borderId="14" applyAlignment="1" applyProtection="1" pivotButton="0" quotePrefix="0" xfId="0">
      <alignment horizontal="justify" vertical="center" wrapText="1"/>
      <protection locked="0" hidden="0"/>
    </xf>
    <xf numFmtId="0" fontId="18" fillId="0" borderId="0" applyAlignment="1" applyProtection="1" pivotButton="0" quotePrefix="0" xfId="0">
      <alignment vertical="center"/>
      <protection locked="0" hidden="0"/>
    </xf>
    <xf numFmtId="0" fontId="9" fillId="0" borderId="0" applyProtection="1" pivotButton="0" quotePrefix="0" xfId="245">
      <protection locked="0" hidden="0"/>
    </xf>
    <xf numFmtId="0" fontId="19" fillId="0" borderId="0" applyAlignment="1" applyProtection="1" pivotButton="0" quotePrefix="0" xfId="0">
      <alignment horizontal="right" vertical="center"/>
      <protection locked="0" hidden="0"/>
    </xf>
    <xf numFmtId="0" fontId="18" fillId="0" borderId="0" applyAlignment="1" applyProtection="1" pivotButton="0" quotePrefix="0" xfId="0">
      <alignment horizontal="right" vertical="center"/>
      <protection locked="0" hidden="0"/>
    </xf>
    <xf numFmtId="0" fontId="21"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9" fillId="0" borderId="0"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10" fontId="9" fillId="0" borderId="14" applyAlignment="1" applyProtection="1" pivotButton="0" quotePrefix="0" xfId="2">
      <alignment horizontal="center" vertical="center" wrapText="1"/>
      <protection locked="0" hidden="0"/>
    </xf>
    <xf numFmtId="0" fontId="9" fillId="0" borderId="14" applyAlignment="1" applyProtection="1" pivotButton="0" quotePrefix="0" xfId="0">
      <alignment vertical="center"/>
      <protection locked="0" hidden="0"/>
    </xf>
    <xf numFmtId="0" fontId="69" fillId="0" borderId="0" applyAlignment="1" applyProtection="1" pivotButton="0" quotePrefix="0" xfId="0">
      <alignment vertical="center"/>
      <protection locked="0" hidden="0"/>
    </xf>
    <xf numFmtId="0" fontId="9" fillId="0" borderId="0" applyAlignment="1" applyProtection="1" pivotButton="0" quotePrefix="0" xfId="0">
      <alignment wrapText="1"/>
      <protection locked="0" hidden="0"/>
    </xf>
    <xf numFmtId="0" fontId="7" fillId="0" borderId="0" applyAlignment="1" applyProtection="1" pivotButton="0" quotePrefix="0" xfId="0">
      <alignment horizontal="justify" vertical="center" wrapText="1"/>
      <protection locked="0" hidden="0"/>
    </xf>
    <xf numFmtId="0" fontId="17" fillId="0" borderId="0" applyAlignment="1" applyProtection="1" pivotButton="0" quotePrefix="0" xfId="0">
      <alignment horizontal="left" vertical="center" wrapText="1"/>
      <protection locked="0" hidden="0"/>
    </xf>
    <xf numFmtId="0" fontId="18" fillId="0" borderId="0" applyAlignment="1" applyProtection="1" pivotButton="0" quotePrefix="0" xfId="0">
      <alignment horizontal="left" vertical="center" wrapText="1"/>
      <protection locked="0" hidden="0"/>
    </xf>
    <xf numFmtId="0" fontId="18" fillId="0" borderId="0" applyAlignment="1" applyProtection="1" pivotButton="0" quotePrefix="0" xfId="0">
      <alignment horizontal="left" wrapText="1"/>
      <protection locked="0" hidden="0"/>
    </xf>
    <xf numFmtId="0" fontId="9" fillId="0" borderId="0" applyProtection="1" pivotButton="0" quotePrefix="0" xfId="0">
      <protection locked="0" hidden="0"/>
    </xf>
    <xf numFmtId="0" fontId="12" fillId="0" borderId="0" applyProtection="1" pivotButton="0" quotePrefix="0" xfId="0">
      <protection locked="0" hidden="0"/>
    </xf>
    <xf numFmtId="0" fontId="9" fillId="0" borderId="0" applyAlignment="1" applyProtection="1" pivotButton="0" quotePrefix="0" xfId="0">
      <alignment horizontal="right" vertical="center"/>
      <protection locked="0" hidden="0"/>
    </xf>
    <xf numFmtId="0" fontId="70" fillId="0" borderId="0" applyAlignment="1" pivotButton="0" quotePrefix="0" xfId="0">
      <alignment vertical="center"/>
    </xf>
    <xf numFmtId="0" fontId="9" fillId="0" borderId="14" applyAlignment="1" applyProtection="1" pivotButton="0" quotePrefix="0" xfId="0">
      <alignmen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justify" vertical="center" wrapText="1"/>
      <protection locked="0" hidden="0"/>
    </xf>
    <xf numFmtId="0" fontId="9" fillId="0" borderId="16" applyAlignment="1" applyProtection="1" pivotButton="0" quotePrefix="0" xfId="0">
      <alignment horizontal="justify" vertical="center" wrapText="1"/>
      <protection locked="0" hidden="0"/>
    </xf>
    <xf numFmtId="0" fontId="9" fillId="0" borderId="18" applyAlignment="1" applyProtection="1" pivotButton="0" quotePrefix="0" xfId="0">
      <alignment horizontal="justify" vertical="center" wrapText="1"/>
      <protection locked="0" hidden="0"/>
    </xf>
    <xf numFmtId="0" fontId="75" fillId="0" borderId="0" applyAlignment="1" applyProtection="1" pivotButton="0" quotePrefix="0" xfId="251">
      <alignment vertical="center"/>
      <protection locked="0" hidden="0"/>
    </xf>
    <xf numFmtId="0" fontId="3" fillId="0" borderId="0" applyAlignment="1" applyProtection="1" pivotButton="0" quotePrefix="0" xfId="251">
      <alignment vertical="center"/>
      <protection locked="0" hidden="0"/>
    </xf>
    <xf numFmtId="0" fontId="13" fillId="12" borderId="0" applyAlignment="1" applyProtection="1" pivotButton="0" quotePrefix="0" xfId="251">
      <alignment horizontal="justify" vertical="center" wrapText="1"/>
      <protection locked="0" hidden="0"/>
    </xf>
    <xf numFmtId="0" fontId="7" fillId="0" borderId="14" applyAlignment="1" applyProtection="1" pivotButton="0" quotePrefix="0" xfId="0">
      <alignment horizontal="center" vertical="center" wrapText="1"/>
      <protection locked="0" hidden="0"/>
    </xf>
    <xf numFmtId="0" fontId="9" fillId="0" borderId="14" applyAlignment="1" applyProtection="1" pivotButton="0" quotePrefix="0" xfId="0">
      <alignment horizontal="center" vertical="center" wrapText="1"/>
      <protection locked="0" hidden="0"/>
    </xf>
    <xf numFmtId="0" fontId="7" fillId="13" borderId="14" applyAlignment="1" applyProtection="1" pivotButton="0" quotePrefix="0" xfId="0">
      <alignment horizontal="center" vertical="center" wrapText="1"/>
      <protection locked="0" hidden="0"/>
    </xf>
    <xf numFmtId="0" fontId="7" fillId="13" borderId="14" applyAlignment="1" applyProtection="1" pivotButton="0" quotePrefix="0" xfId="0">
      <alignment horizontal="center" vertical="center"/>
      <protection locked="0" hidden="0"/>
    </xf>
    <xf numFmtId="9" fontId="9" fillId="0" borderId="14" applyAlignment="1" applyProtection="1" pivotButton="0" quotePrefix="0" xfId="2">
      <alignment horizontal="right" vertical="center" wrapText="1"/>
      <protection locked="0" hidden="0"/>
    </xf>
    <xf numFmtId="164" fontId="9" fillId="0" borderId="14" applyAlignment="1" applyProtection="1" pivotButton="0" quotePrefix="0" xfId="1">
      <alignment horizontal="right" vertical="center" wrapText="1"/>
      <protection locked="0" hidden="0"/>
    </xf>
    <xf numFmtId="164" fontId="9" fillId="0" borderId="14" applyAlignment="1" applyProtection="1" pivotButton="0" quotePrefix="0" xfId="1">
      <alignment vertical="center"/>
      <protection locked="0" hidden="0"/>
    </xf>
    <xf numFmtId="9" fontId="9" fillId="0" borderId="14" applyAlignment="1" applyProtection="1" pivotButton="0" quotePrefix="0" xfId="2">
      <alignment horizontal="center" vertical="center" wrapText="1"/>
      <protection locked="0" hidden="0"/>
    </xf>
    <xf numFmtId="0" fontId="7" fillId="0" borderId="0" applyAlignment="1" pivotButton="0" quotePrefix="0" xfId="0">
      <alignment vertical="center"/>
    </xf>
    <xf numFmtId="0" fontId="9" fillId="0" borderId="0" applyAlignment="1" pivotButton="0" quotePrefix="0" xfId="0">
      <alignment horizontal="left" vertical="center" wrapText="1"/>
    </xf>
    <xf numFmtId="0" fontId="9" fillId="0" borderId="0" applyAlignment="1" pivotButton="0" quotePrefix="0" xfId="0">
      <alignment vertical="center"/>
    </xf>
    <xf numFmtId="0" fontId="80" fillId="0" borderId="0" applyAlignment="1" pivotButton="0" quotePrefix="0" xfId="0">
      <alignment vertical="center"/>
    </xf>
    <xf numFmtId="0" fontId="89" fillId="0" borderId="0" applyAlignment="1" pivotButton="0" quotePrefix="0" xfId="0">
      <alignment horizontal="left" vertical="center" wrapText="1"/>
    </xf>
    <xf numFmtId="0" fontId="80" fillId="0" borderId="0" applyAlignment="1" pivotButton="0" quotePrefix="0" xfId="0">
      <alignment vertical="center" wrapText="1"/>
    </xf>
    <xf numFmtId="165" fontId="80" fillId="0" borderId="0" applyAlignment="1" pivotButton="0" quotePrefix="0" xfId="0">
      <alignment horizontal="center" vertical="center" wrapText="1"/>
    </xf>
    <xf numFmtId="0" fontId="9" fillId="0" borderId="14" applyAlignment="1" pivotButton="0" quotePrefix="0" xfId="0">
      <alignment vertical="center" wrapText="1"/>
    </xf>
    <xf numFmtId="165" fontId="9" fillId="0" borderId="14" applyAlignment="1" pivotButton="0" quotePrefix="0" xfId="0">
      <alignment vertical="center"/>
    </xf>
    <xf numFmtId="0" fontId="87" fillId="0" borderId="14" applyAlignment="1" pivotButton="0" quotePrefix="0" xfId="0">
      <alignment vertical="center" wrapText="1"/>
    </xf>
    <xf numFmtId="0" fontId="9" fillId="0" borderId="0" applyAlignment="1" pivotButton="0" quotePrefix="0" xfId="0">
      <alignment horizontal="center" vertical="center"/>
    </xf>
    <xf numFmtId="0" fontId="7" fillId="13" borderId="14" applyAlignment="1" pivotButton="0" quotePrefix="0" xfId="0">
      <alignment horizontal="center" vertical="center"/>
    </xf>
    <xf numFmtId="164" fontId="87" fillId="0" borderId="14" applyAlignment="1" pivotButton="0" quotePrefix="0" xfId="1">
      <alignment vertical="center" wrapText="1"/>
    </xf>
    <xf numFmtId="164" fontId="9" fillId="0" borderId="14" applyAlignment="1" pivotButton="0" quotePrefix="0" xfId="1">
      <alignment vertical="center" wrapText="1"/>
    </xf>
    <xf numFmtId="164" fontId="9" fillId="0" borderId="14" applyAlignment="1" pivotButton="0" quotePrefix="0" xfId="1">
      <alignment vertical="center"/>
    </xf>
    <xf numFmtId="0" fontId="13" fillId="13" borderId="16" applyAlignment="1" applyProtection="1" pivotButton="0" quotePrefix="0" xfId="0">
      <alignment vertical="center"/>
      <protection locked="0" hidden="0"/>
    </xf>
    <xf numFmtId="0" fontId="9" fillId="0" borderId="14" applyAlignment="1" pivotButton="0" quotePrefix="0" xfId="0">
      <alignment vertical="center"/>
    </xf>
    <xf numFmtId="0" fontId="9" fillId="0" borderId="14" applyAlignment="1" pivotButton="0" quotePrefix="0" xfId="0">
      <alignment horizontal="center" vertical="center"/>
    </xf>
    <xf numFmtId="0" fontId="7" fillId="0" borderId="0" applyAlignment="1" pivotButton="0" quotePrefix="0" xfId="0">
      <alignment horizontal="left" vertical="center"/>
    </xf>
    <xf numFmtId="0" fontId="7" fillId="13" borderId="14" applyAlignment="1" pivotButton="0" quotePrefix="0" xfId="0">
      <alignment horizontal="center" vertical="center" wrapText="1"/>
    </xf>
    <xf numFmtId="0" fontId="70" fillId="0" borderId="0" applyAlignment="1" pivotButton="0" quotePrefix="0" xfId="207">
      <alignment vertical="center"/>
    </xf>
    <xf numFmtId="0" fontId="7" fillId="0" borderId="0" applyAlignment="1" pivotButton="0" quotePrefix="0" xfId="207">
      <alignment horizontal="left" vertical="center"/>
    </xf>
    <xf numFmtId="0" fontId="9" fillId="0" borderId="18" applyAlignment="1" applyProtection="1" pivotButton="0" quotePrefix="0" xfId="0">
      <alignment vertical="center"/>
      <protection locked="0" hidden="0"/>
    </xf>
    <xf numFmtId="0" fontId="9" fillId="0" borderId="0" applyAlignment="1" pivotButton="0" quotePrefix="0" xfId="0">
      <alignment horizontal="left" vertical="center"/>
    </xf>
    <xf numFmtId="0" fontId="9" fillId="0" borderId="14" applyAlignment="1" pivotButton="0" quotePrefix="0" xfId="0">
      <alignment horizontal="center" vertical="center" wrapText="1"/>
    </xf>
    <xf numFmtId="0" fontId="9" fillId="13" borderId="14" applyAlignment="1" pivotButton="0" quotePrefix="0" xfId="0">
      <alignment horizontal="center" vertical="center" wrapText="1"/>
    </xf>
    <xf numFmtId="0" fontId="9" fillId="0" borderId="0" applyAlignment="1" pivotButton="0" quotePrefix="0" xfId="207">
      <alignment vertical="center"/>
    </xf>
    <xf numFmtId="0" fontId="9" fillId="0" borderId="14" applyAlignment="1" pivotButton="0" quotePrefix="0" xfId="0">
      <alignment horizontal="right" vertical="center"/>
    </xf>
    <xf numFmtId="164" fontId="9" fillId="0" borderId="14" applyAlignment="1" pivotButton="0" quotePrefix="0" xfId="1">
      <alignment horizontal="right" vertical="center"/>
    </xf>
    <xf numFmtId="0" fontId="81" fillId="13" borderId="14" applyAlignment="1" pivotButton="0" quotePrefix="0" xfId="0">
      <alignment horizontal="center" vertical="center"/>
    </xf>
    <xf numFmtId="0" fontId="13" fillId="13" borderId="16" applyAlignment="1" applyProtection="1" pivotButton="0" quotePrefix="0" xfId="0">
      <alignment horizontal="left" vertical="center"/>
      <protection locked="0" hidden="0"/>
    </xf>
    <xf numFmtId="9" fontId="9" fillId="0" borderId="14" applyAlignment="1" pivotButton="0" quotePrefix="0" xfId="0">
      <alignment vertical="center"/>
    </xf>
    <xf numFmtId="0" fontId="9" fillId="13" borderId="14" applyAlignment="1" pivotButton="0" quotePrefix="0" xfId="0">
      <alignment horizontal="center" vertical="center"/>
    </xf>
    <xf numFmtId="0" fontId="9" fillId="0" borderId="16" applyAlignment="1" pivotButton="0" quotePrefix="0" xfId="0">
      <alignment vertical="center"/>
    </xf>
    <xf numFmtId="0" fontId="12" fillId="0" borderId="0" applyAlignment="1" applyProtection="1" pivotButton="0" quotePrefix="0" xfId="0">
      <alignment horizontal="center" vertical="center"/>
      <protection locked="0" hidden="0"/>
    </xf>
    <xf numFmtId="0" fontId="12" fillId="0" borderId="0" applyAlignment="1" applyProtection="1" pivotButton="0" quotePrefix="0" xfId="0">
      <alignment horizontal="left" vertical="center"/>
      <protection locked="0" hidden="0"/>
    </xf>
    <xf numFmtId="0" fontId="12" fillId="0" borderId="0" applyAlignment="1" applyProtection="1" pivotButton="0" quotePrefix="0" xfId="0">
      <alignment vertical="center"/>
      <protection locked="0" hidden="0"/>
    </xf>
    <xf numFmtId="0" fontId="9" fillId="0" borderId="17" applyAlignment="1" pivotButton="0" quotePrefix="0" xfId="0">
      <alignment vertical="center" wrapText="1"/>
    </xf>
    <xf numFmtId="0" fontId="7" fillId="0" borderId="14" applyAlignment="1" pivotButton="0" quotePrefix="0" xfId="0">
      <alignment horizontal="center" vertical="center"/>
    </xf>
    <xf numFmtId="0" fontId="7" fillId="13" borderId="14" applyAlignment="1" applyProtection="1" pivotButton="0" quotePrefix="0" xfId="207">
      <alignment horizontal="center" vertical="center"/>
      <protection locked="0" hidden="0"/>
    </xf>
    <xf numFmtId="0" fontId="9" fillId="0" borderId="14" applyAlignment="1" applyProtection="1" pivotButton="0" quotePrefix="0" xfId="207">
      <alignment horizontal="center" vertical="center"/>
      <protection locked="0" hidden="0"/>
    </xf>
    <xf numFmtId="0" fontId="9" fillId="0" borderId="16" applyAlignment="1" applyProtection="1" pivotButton="0" quotePrefix="0" xfId="207">
      <alignment vertical="center"/>
      <protection locked="0" hidden="0"/>
    </xf>
    <xf numFmtId="0" fontId="9" fillId="0" borderId="18" applyAlignment="1" applyProtection="1" pivotButton="0" quotePrefix="0" xfId="207">
      <alignment vertical="center"/>
      <protection locked="0" hidden="0"/>
    </xf>
    <xf numFmtId="164" fontId="9" fillId="0" borderId="16" applyAlignment="1" pivotButton="0" quotePrefix="0" xfId="1">
      <alignment vertical="center"/>
    </xf>
    <xf numFmtId="164" fontId="9" fillId="0" borderId="18" applyAlignment="1" pivotButton="0" quotePrefix="0" xfId="1">
      <alignment vertical="center"/>
    </xf>
    <xf numFmtId="0" fontId="9" fillId="0" borderId="18" applyAlignment="1" applyProtection="1" pivotButton="0" quotePrefix="0" xfId="0">
      <alignment vertical="center" wrapText="1"/>
      <protection locked="0" hidden="0"/>
    </xf>
    <xf numFmtId="164" fontId="9" fillId="0" borderId="14" applyAlignment="1" pivotButton="0" quotePrefix="0" xfId="1">
      <alignment vertical="center"/>
    </xf>
    <xf numFmtId="0" fontId="9" fillId="0" borderId="16" applyAlignment="1" applyProtection="1" pivotButton="0" quotePrefix="0" xfId="0">
      <alignment vertical="center"/>
      <protection locked="0" hidden="0"/>
    </xf>
    <xf numFmtId="0" fontId="84" fillId="0" borderId="0" applyAlignment="1" applyProtection="1" pivotButton="0" quotePrefix="0" xfId="0">
      <alignment vertical="center"/>
      <protection locked="0" hidden="0"/>
    </xf>
    <xf numFmtId="0" fontId="78" fillId="13" borderId="14" applyAlignment="1" pivotButton="0" quotePrefix="0" xfId="0">
      <alignment horizontal="center" vertical="center" wrapText="1"/>
    </xf>
    <xf numFmtId="0" fontId="9" fillId="13" borderId="14" applyAlignment="1" applyProtection="1" pivotButton="0" quotePrefix="0" xfId="0">
      <alignment horizontal="center" vertical="center" wrapText="1"/>
      <protection locked="0" hidden="0"/>
    </xf>
    <xf numFmtId="0" fontId="9" fillId="13" borderId="16" applyAlignment="1" applyProtection="1" pivotButton="0" quotePrefix="0" xfId="0">
      <alignment vertical="center" wrapText="1"/>
      <protection locked="0" hidden="0"/>
    </xf>
    <xf numFmtId="0" fontId="7" fillId="0" borderId="0" applyAlignment="1" applyProtection="1" pivotButton="0" quotePrefix="0" xfId="0">
      <alignment horizontal="left" vertical="center"/>
      <protection locked="0" hidden="0"/>
    </xf>
    <xf numFmtId="164" fontId="9" fillId="0" borderId="14" applyAlignment="1" applyProtection="1" pivotButton="0" quotePrefix="0" xfId="1">
      <alignment horizontal="center" vertical="center" wrapText="1"/>
      <protection locked="0" hidden="0"/>
    </xf>
    <xf numFmtId="9" fontId="69" fillId="0" borderId="14" applyAlignment="1" applyProtection="1" pivotButton="0" quotePrefix="0" xfId="2">
      <alignment horizontal="center" vertical="center" wrapText="1"/>
      <protection locked="0" hidden="0"/>
    </xf>
    <xf numFmtId="0" fontId="9" fillId="0" borderId="14" applyAlignment="1" applyProtection="1" pivotButton="0" quotePrefix="0" xfId="0">
      <alignment horizontal="right" vertical="center" wrapText="1"/>
      <protection locked="0" hidden="0"/>
    </xf>
    <xf numFmtId="49" fontId="9" fillId="0" borderId="14" applyAlignment="1" applyProtection="1" pivotButton="0" quotePrefix="0" xfId="0">
      <alignment horizontal="justify" vertical="center" wrapText="1"/>
      <protection locked="0" hidden="0"/>
    </xf>
    <xf numFmtId="0" fontId="69" fillId="0" borderId="14" applyAlignment="1" applyProtection="1" pivotButton="0" quotePrefix="0" xfId="0">
      <alignment vertical="center" wrapText="1"/>
      <protection locked="0" hidden="0"/>
    </xf>
    <xf numFmtId="0" fontId="9" fillId="0" borderId="0" applyAlignment="1" applyProtection="1" pivotButton="0" quotePrefix="0" xfId="0">
      <alignment horizontal="right" vertical="center" wrapText="1"/>
      <protection locked="0" hidden="0"/>
    </xf>
    <xf numFmtId="0" fontId="77" fillId="0" borderId="0" applyAlignment="1" pivotButton="0" quotePrefix="0" xfId="0">
      <alignment horizontal="left" vertical="center" wrapText="1"/>
    </xf>
    <xf numFmtId="0" fontId="78" fillId="0" borderId="0" applyAlignment="1" pivotButton="0" quotePrefix="0" xfId="0">
      <alignment horizontal="left" vertical="center"/>
    </xf>
    <xf numFmtId="0" fontId="77" fillId="0" borderId="0" applyAlignment="1" applyProtection="1" pivotButton="0" quotePrefix="0" xfId="0">
      <alignment vertical="center"/>
      <protection locked="0" hidden="0"/>
    </xf>
    <xf numFmtId="0" fontId="7" fillId="0" borderId="14" applyAlignment="1" applyProtection="1" pivotButton="0" quotePrefix="0" xfId="0">
      <alignment vertical="center" wrapText="1"/>
      <protection locked="0" hidden="0"/>
    </xf>
    <xf numFmtId="0" fontId="77" fillId="0" borderId="14" applyAlignment="1" pivotButton="0" quotePrefix="0" xfId="0">
      <alignment horizontal="left" vertical="center" wrapText="1"/>
    </xf>
    <xf numFmtId="0" fontId="78" fillId="0" borderId="16" applyAlignment="1" applyProtection="1" pivotButton="0" quotePrefix="0" xfId="0">
      <alignment vertical="center"/>
      <protection locked="0" hidden="0"/>
    </xf>
    <xf numFmtId="0" fontId="7" fillId="0" borderId="18" applyAlignment="1" applyProtection="1" pivotButton="0" quotePrefix="0" xfId="0">
      <alignment vertical="center" wrapText="1"/>
      <protection locked="0" hidden="0"/>
    </xf>
    <xf numFmtId="0" fontId="9" fillId="0" borderId="16" applyAlignment="1" applyProtection="1" pivotButton="0" quotePrefix="0" xfId="0">
      <alignment vertical="center" wrapText="1"/>
      <protection locked="0" hidden="0"/>
    </xf>
    <xf numFmtId="0" fontId="77" fillId="0" borderId="0" applyAlignment="1" applyProtection="1" pivotButton="0" quotePrefix="0" xfId="0">
      <alignment horizontal="center" vertical="center"/>
      <protection locked="0" hidden="0"/>
    </xf>
    <xf numFmtId="0" fontId="78" fillId="13" borderId="14" applyAlignment="1" applyProtection="1" pivotButton="0" quotePrefix="0" xfId="0">
      <alignment horizontal="center" vertical="center" wrapText="1"/>
      <protection locked="0" hidden="0"/>
    </xf>
    <xf numFmtId="0" fontId="91" fillId="0" borderId="0" applyAlignment="1" pivotButton="0" quotePrefix="0" xfId="207">
      <alignment horizontal="center" vertical="center"/>
    </xf>
    <xf numFmtId="0" fontId="9" fillId="0" borderId="0" applyAlignment="1" pivotButton="0" quotePrefix="0" xfId="211">
      <alignment vertical="center"/>
    </xf>
    <xf numFmtId="0" fontId="70" fillId="0" borderId="0" applyAlignment="1" pivotButton="0" quotePrefix="0" xfId="0">
      <alignment horizontal="center" vertical="center"/>
    </xf>
    <xf numFmtId="0" fontId="13" fillId="0" borderId="0" applyAlignment="1" pivotButton="0" quotePrefix="0" xfId="212">
      <alignment vertical="center"/>
    </xf>
    <xf numFmtId="0" fontId="9" fillId="0" borderId="0" applyAlignment="1" pivotButton="0" quotePrefix="0" xfId="212">
      <alignment vertical="center"/>
    </xf>
    <xf numFmtId="0" fontId="9" fillId="0" borderId="0" applyAlignment="1" pivotButton="0" quotePrefix="0" xfId="246">
      <alignment vertical="center"/>
    </xf>
    <xf numFmtId="0" fontId="9" fillId="0" borderId="0" applyAlignment="1" pivotButton="0" quotePrefix="0" xfId="247">
      <alignment vertical="center"/>
    </xf>
    <xf numFmtId="0" fontId="9" fillId="0" borderId="0" applyAlignment="1" pivotButton="0" quotePrefix="0" xfId="212">
      <alignment vertical="center"/>
    </xf>
    <xf numFmtId="0" fontId="19" fillId="0" borderId="0" applyAlignment="1" pivotButton="0" quotePrefix="0" xfId="212">
      <alignment horizontal="left" vertical="center"/>
    </xf>
    <xf numFmtId="0" fontId="78" fillId="0" borderId="0" applyAlignment="1" pivotButton="0" quotePrefix="0" xfId="212">
      <alignment horizontal="left" vertical="center"/>
    </xf>
    <xf numFmtId="0" fontId="7" fillId="13" borderId="14" applyAlignment="1" pivotButton="0" quotePrefix="0" xfId="212">
      <alignment horizontal="center" vertical="center" wrapText="1"/>
    </xf>
    <xf numFmtId="0" fontId="69" fillId="0" borderId="14" applyAlignment="1" pivotButton="0" quotePrefix="0" xfId="212">
      <alignment horizontal="center" vertical="center"/>
    </xf>
    <xf numFmtId="0" fontId="81" fillId="0" borderId="0" applyAlignment="1" pivotButton="0" quotePrefix="0" xfId="212">
      <alignment horizontal="right" vertical="center"/>
    </xf>
    <xf numFmtId="0" fontId="69" fillId="0" borderId="0" applyAlignment="1" pivotButton="0" quotePrefix="0" xfId="6">
      <alignment vertical="center"/>
    </xf>
    <xf numFmtId="0" fontId="69" fillId="0" borderId="0" applyAlignment="1" pivotButton="0" quotePrefix="0" xfId="212">
      <alignment vertical="center"/>
    </xf>
    <xf numFmtId="0" fontId="69" fillId="0" borderId="0" applyAlignment="1" pivotButton="0" quotePrefix="0" xfId="6">
      <alignment vertical="center"/>
    </xf>
    <xf numFmtId="0" fontId="69" fillId="0" borderId="0" applyAlignment="1" pivotButton="0" quotePrefix="0" xfId="212">
      <alignment vertical="center"/>
    </xf>
    <xf numFmtId="0" fontId="69" fillId="0" borderId="0" applyAlignment="1" pivotButton="0" quotePrefix="0" xfId="212">
      <alignment vertical="center"/>
    </xf>
    <xf numFmtId="0" fontId="69" fillId="0" borderId="0" applyAlignment="1" pivotButton="0" quotePrefix="0" xfId="212">
      <alignment vertical="center"/>
    </xf>
    <xf numFmtId="0" fontId="69" fillId="0" borderId="0" applyAlignment="1" pivotButton="0" quotePrefix="0" xfId="248">
      <alignment vertical="center"/>
    </xf>
    <xf numFmtId="0" fontId="9" fillId="0" borderId="0" applyAlignment="1" pivotButton="0" quotePrefix="0" xfId="253">
      <alignment vertical="center"/>
    </xf>
    <xf numFmtId="0" fontId="9" fillId="0" borderId="14" applyAlignment="1" pivotButton="0" quotePrefix="0" xfId="253">
      <alignment horizontal="center" vertical="center" wrapText="1"/>
    </xf>
    <xf numFmtId="0" fontId="9" fillId="0" borderId="14" applyAlignment="1" pivotButton="0" quotePrefix="0" xfId="253">
      <alignment vertical="center" wrapText="1"/>
    </xf>
    <xf numFmtId="165" fontId="9" fillId="0" borderId="14" applyAlignment="1" pivotButton="0" quotePrefix="0" xfId="253">
      <alignment vertical="center"/>
    </xf>
    <xf numFmtId="165" fontId="9" fillId="0" borderId="14" applyAlignment="1" pivotButton="0" quotePrefix="0" xfId="253">
      <alignment horizontal="center" vertical="center" wrapText="1"/>
    </xf>
    <xf numFmtId="0" fontId="9" fillId="0" borderId="8" applyAlignment="1" pivotButton="0" quotePrefix="0" xfId="253">
      <alignment vertical="center"/>
    </xf>
    <xf numFmtId="0" fontId="9" fillId="0" borderId="8" applyAlignment="1" pivotButton="0" quotePrefix="0" xfId="253">
      <alignment horizontal="right" vertical="center"/>
    </xf>
    <xf numFmtId="10" fontId="9" fillId="0" borderId="8" applyAlignment="1" pivotButton="0" quotePrefix="0" xfId="200">
      <alignment vertical="center"/>
    </xf>
    <xf numFmtId="0" fontId="9" fillId="0" borderId="14" applyAlignment="1" pivotButton="0" quotePrefix="0" xfId="253">
      <alignment vertical="center"/>
    </xf>
    <xf numFmtId="0" fontId="80" fillId="0" borderId="0" applyAlignment="1" applyProtection="1" pivotButton="0" quotePrefix="0" xfId="0">
      <alignment vertical="center"/>
      <protection locked="0" hidden="0"/>
    </xf>
    <xf numFmtId="0" fontId="9" fillId="0" borderId="0" applyAlignment="1" pivotButton="0" quotePrefix="0" xfId="254">
      <alignment vertical="center"/>
    </xf>
    <xf numFmtId="0" fontId="7" fillId="0" borderId="0" applyAlignment="1" pivotButton="0" quotePrefix="0" xfId="254">
      <alignment vertical="center"/>
    </xf>
    <xf numFmtId="0" fontId="9" fillId="0" borderId="14" applyAlignment="1" pivotButton="0" quotePrefix="0" xfId="254">
      <alignment vertical="center"/>
    </xf>
    <xf numFmtId="0" fontId="9" fillId="0" borderId="0" applyAlignment="1" pivotButton="0" quotePrefix="0" xfId="254">
      <alignment horizontal="center" vertical="center"/>
    </xf>
    <xf numFmtId="165" fontId="9" fillId="0" borderId="0" applyAlignment="1" pivotButton="0" quotePrefix="0" xfId="254">
      <alignment horizontal="right" vertical="center"/>
    </xf>
    <xf numFmtId="10" fontId="9" fillId="0" borderId="0" applyAlignment="1" pivotButton="0" quotePrefix="0" xfId="200">
      <alignment horizontal="right" vertical="center"/>
    </xf>
    <xf numFmtId="0" fontId="7" fillId="0" borderId="0" applyAlignment="1" pivotButton="0" quotePrefix="0" xfId="254">
      <alignment horizontal="left" vertical="center"/>
    </xf>
    <xf numFmtId="164" fontId="9" fillId="0" borderId="0" applyAlignment="1" pivotButton="0" quotePrefix="0" xfId="254">
      <alignment vertical="center"/>
    </xf>
    <xf numFmtId="0" fontId="9" fillId="0" borderId="0" applyAlignment="1" pivotButton="0" quotePrefix="0" xfId="254">
      <alignment horizontal="left" vertical="center"/>
    </xf>
    <xf numFmtId="0" fontId="12" fillId="0" borderId="0" applyAlignment="1" pivotButton="0" quotePrefix="0" xfId="254">
      <alignment vertical="center"/>
    </xf>
    <xf numFmtId="0" fontId="9" fillId="0" borderId="18" applyAlignment="1" pivotButton="0" quotePrefix="0" xfId="254">
      <alignment vertical="center"/>
    </xf>
    <xf numFmtId="0" fontId="9" fillId="0" borderId="20" applyAlignment="1" pivotButton="0" quotePrefix="0" xfId="254">
      <alignment vertical="center"/>
    </xf>
    <xf numFmtId="0" fontId="69" fillId="0" borderId="0" applyAlignment="1" pivotButton="0" quotePrefix="0" xfId="254">
      <alignment vertical="center"/>
    </xf>
    <xf numFmtId="0" fontId="69" fillId="0" borderId="16" applyAlignment="1" pivotButton="0" quotePrefix="0" xfId="254">
      <alignment vertical="center"/>
    </xf>
    <xf numFmtId="165" fontId="9" fillId="0" borderId="14" applyAlignment="1" pivotButton="0" quotePrefix="0" xfId="254">
      <alignment horizontal="right" vertical="center"/>
    </xf>
    <xf numFmtId="10" fontId="9" fillId="0" borderId="14" applyAlignment="1" pivotButton="0" quotePrefix="0" xfId="200">
      <alignment horizontal="right" vertical="center"/>
    </xf>
    <xf numFmtId="10" fontId="9" fillId="0" borderId="14" applyAlignment="1" pivotButton="0" quotePrefix="0" xfId="2">
      <alignment horizontal="right" vertical="center"/>
    </xf>
    <xf numFmtId="165" fontId="7" fillId="13" borderId="14" applyAlignment="1" pivotButton="0" quotePrefix="0" xfId="254">
      <alignment horizontal="center" vertical="center" wrapText="1"/>
    </xf>
    <xf numFmtId="164" fontId="7" fillId="13" borderId="14" applyAlignment="1" pivotButton="0" quotePrefix="0" xfId="1">
      <alignment horizontal="center" vertical="center"/>
    </xf>
    <xf numFmtId="0" fontId="110" fillId="0" borderId="0" applyAlignment="1" applyProtection="1" pivotButton="0" quotePrefix="0" xfId="0">
      <alignment vertical="center"/>
      <protection locked="0" hidden="0"/>
    </xf>
    <xf numFmtId="164" fontId="9" fillId="0" borderId="21" applyAlignment="1" applyProtection="1" pivotButton="0" quotePrefix="0" xfId="0">
      <alignment horizontal="center" vertical="center" shrinkToFit="1"/>
      <protection locked="0" hidden="0"/>
    </xf>
    <xf numFmtId="164" fontId="9" fillId="0" borderId="22" applyAlignment="1" applyProtection="1" pivotButton="0" quotePrefix="0" xfId="0">
      <alignment horizontal="justify" vertical="center" wrapText="1"/>
      <protection locked="0" hidden="0"/>
    </xf>
    <xf numFmtId="164" fontId="9" fillId="0" borderId="21" applyAlignment="1" applyProtection="1" pivotButton="0" quotePrefix="0" xfId="0">
      <alignment horizontal="justify" vertical="center" wrapText="1"/>
      <protection locked="0" hidden="0"/>
    </xf>
    <xf numFmtId="164" fontId="7" fillId="0" borderId="0" applyAlignment="1" applyProtection="1" pivotButton="0" quotePrefix="0" xfId="0">
      <alignment horizontal="center" vertical="center" wrapText="1"/>
      <protection locked="0" hidden="0"/>
    </xf>
    <xf numFmtId="164" fontId="9" fillId="0" borderId="14" applyAlignment="1" applyProtection="1" pivotButton="0" quotePrefix="0" xfId="1">
      <alignment vertical="center"/>
      <protection locked="0" hidden="0"/>
    </xf>
    <xf numFmtId="0" fontId="7" fillId="0" borderId="14" applyAlignment="1" applyProtection="1" pivotButton="0" quotePrefix="0" xfId="0">
      <alignment horizontal="left" vertical="center"/>
      <protection locked="0" hidden="0"/>
    </xf>
    <xf numFmtId="0" fontId="9" fillId="13" borderId="14" applyAlignment="1" applyProtection="1" pivotButton="0" quotePrefix="0" xfId="0">
      <alignment horizontal="justify" vertical="center" wrapText="1"/>
      <protection locked="0" hidden="0"/>
    </xf>
    <xf numFmtId="164" fontId="9" fillId="13" borderId="14" applyAlignment="1" applyProtection="1" pivotButton="0" quotePrefix="0" xfId="0">
      <alignment horizontal="justify" vertical="center" wrapText="1"/>
      <protection locked="0" hidden="0"/>
    </xf>
    <xf numFmtId="0" fontId="9" fillId="13" borderId="0" applyAlignment="1" applyProtection="1" pivotButton="0" quotePrefix="0" xfId="0">
      <alignment vertical="center"/>
      <protection locked="0" hidden="0"/>
    </xf>
    <xf numFmtId="0" fontId="7" fillId="0" borderId="14" applyAlignment="1" applyProtection="1" pivotButton="0" quotePrefix="0" xfId="0">
      <alignment vertical="center"/>
      <protection locked="0" hidden="0"/>
    </xf>
    <xf numFmtId="0" fontId="69" fillId="0" borderId="14" applyAlignment="1" applyProtection="1" pivotButton="0" quotePrefix="0" xfId="0">
      <alignment horizontal="justify" vertical="center" wrapText="1"/>
      <protection locked="0" hidden="0"/>
    </xf>
    <xf numFmtId="0" fontId="9" fillId="0" borderId="0" applyProtection="1" pivotButton="0" quotePrefix="0" xfId="207">
      <protection locked="0" hidden="0"/>
    </xf>
    <xf numFmtId="0" fontId="12" fillId="0" borderId="0" applyProtection="1" pivotButton="0" quotePrefix="0" xfId="207">
      <protection locked="0" hidden="0"/>
    </xf>
    <xf numFmtId="0" fontId="9" fillId="13" borderId="18" applyAlignment="1" applyProtection="1" pivotButton="0" quotePrefix="0" xfId="0">
      <alignment horizontal="justify" vertical="center" wrapText="1"/>
      <protection locked="0" hidden="0"/>
    </xf>
    <xf numFmtId="10" fontId="9" fillId="13" borderId="14" applyAlignment="1" applyProtection="1" pivotButton="0" quotePrefix="0" xfId="2">
      <alignment horizontal="center" vertical="center" wrapText="1"/>
      <protection locked="0" hidden="0"/>
    </xf>
    <xf numFmtId="0" fontId="80" fillId="0" borderId="14" applyAlignment="1" applyProtection="1" pivotButton="0" quotePrefix="0" xfId="0">
      <alignment horizontal="right" vertical="center" wrapText="1"/>
      <protection locked="0" hidden="0"/>
    </xf>
    <xf numFmtId="0" fontId="79" fillId="0" borderId="14" applyAlignment="1" applyProtection="1" pivotButton="0" quotePrefix="0" xfId="0">
      <alignment horizontal="right" vertical="center" wrapText="1"/>
      <protection locked="0" hidden="0"/>
    </xf>
    <xf numFmtId="0" fontId="12" fillId="0" borderId="0" applyAlignment="1" applyProtection="1" pivotButton="0" quotePrefix="0" xfId="207">
      <alignment vertical="center"/>
      <protection locked="0" hidden="0"/>
    </xf>
    <xf numFmtId="0" fontId="93" fillId="0" borderId="0" applyAlignment="1" applyProtection="1" pivotButton="0" quotePrefix="0" xfId="0">
      <alignment horizontal="left" vertical="center"/>
      <protection locked="0" hidden="0"/>
    </xf>
    <xf numFmtId="0" fontId="95" fillId="0" borderId="11" applyAlignment="1" applyProtection="1" pivotButton="0" quotePrefix="0" xfId="0">
      <alignment horizontal="right" vertical="center" wrapText="1"/>
      <protection locked="0" hidden="0"/>
    </xf>
    <xf numFmtId="0" fontId="9" fillId="0" borderId="14" applyAlignment="1" applyProtection="1" pivotButton="0" quotePrefix="1" xfId="0">
      <alignment horizontal="center" vertical="center" wrapText="1"/>
      <protection locked="0" hidden="0"/>
    </xf>
    <xf numFmtId="0" fontId="9" fillId="0" borderId="18" applyAlignment="1" applyProtection="1" pivotButton="0" quotePrefix="0" xfId="0">
      <alignment horizontal="right" vertical="center" wrapText="1"/>
      <protection locked="0" hidden="0"/>
    </xf>
    <xf numFmtId="0" fontId="9" fillId="0" borderId="16" applyAlignment="1" applyProtection="1" pivotButton="0" quotePrefix="0" xfId="0">
      <alignment horizontal="right" vertical="center" wrapText="1"/>
      <protection locked="0" hidden="0"/>
    </xf>
    <xf numFmtId="0" fontId="81" fillId="0" borderId="14" applyAlignment="1" pivotButton="0" quotePrefix="0" xfId="0">
      <alignment horizontal="center" vertical="center"/>
    </xf>
    <xf numFmtId="0" fontId="7" fillId="13" borderId="6" applyAlignment="1" applyProtection="1" pivotButton="0" quotePrefix="0" xfId="0">
      <alignment horizontal="center" vertical="center" wrapText="1"/>
      <protection locked="0" hidden="0"/>
    </xf>
    <xf numFmtId="0" fontId="9" fillId="13" borderId="16" applyAlignment="1" applyProtection="1" pivotButton="0" quotePrefix="0" xfId="0">
      <alignment horizontal="center" vertical="center" wrapText="1"/>
      <protection locked="0" hidden="0"/>
    </xf>
    <xf numFmtId="164" fontId="9" fillId="0" borderId="14" applyAlignment="1" pivotButton="0" quotePrefix="0" xfId="1">
      <alignment horizontal="right" vertical="center"/>
    </xf>
    <xf numFmtId="0" fontId="9" fillId="13" borderId="14" applyAlignment="1" pivotButton="0" quotePrefix="0" xfId="254">
      <alignment horizontal="center" vertical="center"/>
    </xf>
    <xf numFmtId="164" fontId="9" fillId="0" borderId="14" applyAlignment="1" pivotButton="0" quotePrefix="0" xfId="1">
      <alignment horizontal="center" vertical="center"/>
    </xf>
    <xf numFmtId="0" fontId="7" fillId="13" borderId="14" applyAlignment="1" pivotButton="0" quotePrefix="0" xfId="254">
      <alignment horizontal="center" vertical="center" wrapText="1"/>
    </xf>
    <xf numFmtId="0" fontId="7" fillId="13" borderId="14" applyAlignment="1" pivotButton="0" quotePrefix="0" xfId="254">
      <alignment horizontal="center" vertical="center"/>
    </xf>
    <xf numFmtId="0" fontId="9" fillId="13" borderId="14" applyAlignment="1" pivotButton="0" quotePrefix="0" xfId="254">
      <alignment horizontal="center" vertical="center" wrapText="1"/>
    </xf>
    <xf numFmtId="10" fontId="7" fillId="13" borderId="14" applyAlignment="1" pivotButton="0" quotePrefix="0" xfId="200">
      <alignment horizontal="center" vertical="center" wrapText="1"/>
    </xf>
    <xf numFmtId="0" fontId="7" fillId="13" borderId="14" applyAlignment="1" applyProtection="1" pivotButton="0" quotePrefix="0" xfId="0">
      <alignment vertical="center" wrapText="1"/>
      <protection locked="0" hidden="0"/>
    </xf>
    <xf numFmtId="0" fontId="119" fillId="0" borderId="0" applyAlignment="1" applyProtection="1" pivotButton="0" quotePrefix="0" xfId="0">
      <alignment vertical="center"/>
      <protection locked="0" hidden="0"/>
    </xf>
    <xf numFmtId="0" fontId="119" fillId="0" borderId="0" applyAlignment="1" applyProtection="1" pivotButton="0" quotePrefix="0" xfId="207">
      <alignment vertical="center"/>
      <protection locked="0" hidden="0"/>
    </xf>
    <xf numFmtId="0" fontId="96" fillId="0" borderId="0" applyAlignment="1" applyProtection="1" pivotButton="0" quotePrefix="0" xfId="0">
      <alignment horizontal="left" vertical="center"/>
      <protection locked="0" hidden="0"/>
    </xf>
    <xf numFmtId="0" fontId="95" fillId="0" borderId="13" applyAlignment="1" applyProtection="1" pivotButton="0" quotePrefix="0" xfId="0">
      <alignment horizontal="center" vertical="center" wrapText="1"/>
      <protection locked="0" hidden="0"/>
    </xf>
    <xf numFmtId="0" fontId="9" fillId="0" borderId="14" applyAlignment="1" pivotButton="0" quotePrefix="0" xfId="254">
      <alignment horizontal="center" vertical="center"/>
    </xf>
    <xf numFmtId="0" fontId="5" fillId="13" borderId="14" applyAlignment="1" applyProtection="1" pivotButton="0" quotePrefix="0" xfId="0">
      <alignment horizontal="center" vertical="center" wrapText="1"/>
      <protection locked="0" hidden="0"/>
    </xf>
    <xf numFmtId="164" fontId="5" fillId="0" borderId="0" applyAlignment="1" pivotButton="0" quotePrefix="0" xfId="4">
      <alignment vertical="center"/>
    </xf>
    <xf numFmtId="0" fontId="13" fillId="0" borderId="0" applyAlignment="1" pivotButton="0" quotePrefix="0" xfId="3">
      <alignment vertical="center"/>
    </xf>
    <xf numFmtId="166" fontId="15" fillId="0" borderId="0" applyAlignment="1" pivotButton="0" quotePrefix="0" xfId="2">
      <alignment horizontal="left" vertical="center"/>
    </xf>
    <xf numFmtId="164" fontId="13" fillId="0" borderId="0" applyAlignment="1" pivotButton="0" quotePrefix="0" xfId="4">
      <alignment vertical="center"/>
    </xf>
    <xf numFmtId="164" fontId="5" fillId="13" borderId="23" applyAlignment="1" pivotButton="0" quotePrefix="0" xfId="1">
      <alignment horizontal="center" vertical="center"/>
    </xf>
    <xf numFmtId="164" fontId="5" fillId="13" borderId="23" applyAlignment="1" pivotButton="0" quotePrefix="0" xfId="1">
      <alignment horizontal="center" vertical="center" shrinkToFit="1"/>
    </xf>
    <xf numFmtId="164" fontId="13" fillId="13" borderId="23" applyAlignment="1" pivotButton="0" quotePrefix="0" xfId="1">
      <alignment horizontal="centerContinuous" vertical="center"/>
    </xf>
    <xf numFmtId="164" fontId="9" fillId="13" borderId="23" applyAlignment="1" pivotButton="0" quotePrefix="0" xfId="1">
      <alignment horizontal="centerContinuous" vertical="center"/>
    </xf>
    <xf numFmtId="164" fontId="7" fillId="0" borderId="23" applyAlignment="1" pivotButton="0" quotePrefix="0" xfId="1">
      <alignment vertical="center" shrinkToFit="1"/>
    </xf>
    <xf numFmtId="164" fontId="14" fillId="0" borderId="23" applyAlignment="1" pivotButton="0" quotePrefix="0" xfId="1">
      <alignment vertical="center"/>
    </xf>
    <xf numFmtId="164" fontId="9" fillId="0" borderId="23" applyAlignment="1" pivotButton="0" quotePrefix="0" xfId="1">
      <alignment vertical="center"/>
    </xf>
    <xf numFmtId="164" fontId="9" fillId="0" borderId="23" applyAlignment="1" pivotButton="0" quotePrefix="0" xfId="1">
      <alignment horizontal="center" vertical="center" shrinkToFit="1"/>
    </xf>
    <xf numFmtId="164" fontId="9" fillId="0" borderId="23" applyAlignment="1" pivotButton="0" quotePrefix="0" xfId="1">
      <alignment horizontal="center" vertical="center"/>
    </xf>
    <xf numFmtId="164" fontId="9" fillId="0" borderId="23" applyAlignment="1" pivotButton="0" quotePrefix="0" xfId="1">
      <alignment horizontal="left" vertical="center"/>
    </xf>
    <xf numFmtId="164" fontId="9" fillId="0" borderId="23" applyAlignment="1" pivotButton="0" quotePrefix="0" xfId="1">
      <alignment horizontal="center" vertical="center"/>
    </xf>
    <xf numFmtId="14" fontId="9" fillId="0" borderId="0" applyAlignment="1" applyProtection="1" pivotButton="0" quotePrefix="0" xfId="0">
      <alignment vertical="center"/>
      <protection locked="0" hidden="0"/>
    </xf>
    <xf numFmtId="14" fontId="119" fillId="0" borderId="0" applyAlignment="1" applyProtection="1" pivotButton="0" quotePrefix="0" xfId="0">
      <alignment vertical="center"/>
      <protection locked="0" hidden="0"/>
    </xf>
    <xf numFmtId="0" fontId="113" fillId="0" borderId="0" applyAlignment="1" pivotButton="0" quotePrefix="0" xfId="0">
      <alignment horizontal="justify" vertical="center" wrapText="1"/>
    </xf>
    <xf numFmtId="0" fontId="96" fillId="0" borderId="0" applyProtection="1" pivotButton="0" quotePrefix="0" xfId="207">
      <protection locked="0" hidden="0"/>
    </xf>
    <xf numFmtId="0" fontId="113" fillId="0" borderId="0" applyAlignment="1" pivotButton="0" quotePrefix="0" xfId="0">
      <alignment horizontal="justify" vertical="center"/>
    </xf>
    <xf numFmtId="0" fontId="113" fillId="0" borderId="0" applyAlignment="1" pivotButton="0" quotePrefix="0" xfId="0">
      <alignment vertical="center"/>
    </xf>
    <xf numFmtId="0" fontId="112" fillId="0" borderId="0" applyAlignment="1" applyProtection="1" pivotButton="0" quotePrefix="0" xfId="0">
      <alignment horizontal="justify" vertical="center" wrapText="1"/>
      <protection locked="0" hidden="0"/>
    </xf>
    <xf numFmtId="164" fontId="112" fillId="0" borderId="0" applyAlignment="1" applyProtection="1" pivotButton="0" quotePrefix="0" xfId="1">
      <alignment horizontal="right" vertical="center" wrapText="1"/>
      <protection locked="0" hidden="0"/>
    </xf>
    <xf numFmtId="0" fontId="96" fillId="0" borderId="0" applyAlignment="1" applyProtection="1" pivotButton="0" quotePrefix="0" xfId="0">
      <alignment horizontal="justify" vertical="center"/>
      <protection locked="0" hidden="0"/>
    </xf>
    <xf numFmtId="0" fontId="96" fillId="0" borderId="0" applyProtection="1" pivotButton="0" quotePrefix="0" xfId="0">
      <protection locked="0" hidden="0"/>
    </xf>
    <xf numFmtId="0" fontId="96" fillId="0" borderId="0" applyAlignment="1" applyProtection="1" pivotButton="0" quotePrefix="0" xfId="0">
      <alignment horizontal="justify" vertical="center" wrapText="1"/>
      <protection locked="0" hidden="0"/>
    </xf>
    <xf numFmtId="0" fontId="95" fillId="0" borderId="11" applyAlignment="1" applyProtection="1" pivotButton="0" quotePrefix="0" xfId="0">
      <alignment horizontal="justify" vertical="center" wrapText="1"/>
      <protection locked="0" hidden="0"/>
    </xf>
    <xf numFmtId="0" fontId="113" fillId="0" borderId="0" applyAlignment="1" pivotButton="0" quotePrefix="0" xfId="0">
      <alignment horizontal="right" vertical="center" wrapText="1"/>
    </xf>
    <xf numFmtId="164" fontId="113" fillId="0" borderId="0" applyAlignment="1" pivotButton="0" quotePrefix="0" xfId="0">
      <alignment horizontal="justify" vertical="center" wrapText="1"/>
    </xf>
    <xf numFmtId="164" fontId="113" fillId="0" borderId="0" applyAlignment="1" pivotButton="0" quotePrefix="0" xfId="0">
      <alignment horizontal="right" vertical="center" wrapText="1"/>
    </xf>
    <xf numFmtId="0" fontId="113" fillId="0" borderId="13" applyAlignment="1" pivotButton="0" quotePrefix="0" xfId="0">
      <alignment horizontal="justify" vertical="center" wrapText="1"/>
    </xf>
    <xf numFmtId="0" fontId="122" fillId="0" borderId="0" applyAlignment="1" applyProtection="1" pivotButton="0" quotePrefix="0" xfId="0">
      <alignment horizontal="justify" vertical="center" wrapText="1"/>
      <protection locked="0" hidden="0"/>
    </xf>
    <xf numFmtId="0" fontId="96" fillId="0" borderId="15" applyAlignment="1" applyProtection="1" pivotButton="0" quotePrefix="0" xfId="0">
      <alignment horizontal="right" vertical="center" wrapText="1"/>
      <protection locked="0" hidden="0"/>
    </xf>
    <xf numFmtId="0" fontId="96" fillId="0" borderId="0" applyAlignment="1" applyProtection="1" pivotButton="0" quotePrefix="0" xfId="0">
      <alignment horizontal="right" vertical="center" wrapText="1"/>
      <protection locked="0" hidden="0"/>
    </xf>
    <xf numFmtId="0" fontId="122" fillId="0" borderId="13" applyAlignment="1" applyProtection="1" pivotButton="0" quotePrefix="0" xfId="0">
      <alignment horizontal="justify" vertical="center" wrapText="1"/>
      <protection locked="0" hidden="0"/>
    </xf>
    <xf numFmtId="0" fontId="96" fillId="0" borderId="13" applyAlignment="1" applyProtection="1" pivotButton="0" quotePrefix="0" xfId="0">
      <alignment horizontal="right" vertical="center" wrapText="1"/>
      <protection locked="0" hidden="0"/>
    </xf>
    <xf numFmtId="0" fontId="115" fillId="0" borderId="0" applyAlignment="1" applyProtection="1" pivotButton="0" quotePrefix="0" xfId="0">
      <alignment horizontal="left" vertical="center"/>
      <protection locked="0" hidden="0"/>
    </xf>
    <xf numFmtId="9" fontId="96" fillId="0" borderId="0" applyAlignment="1" applyProtection="1" pivotButton="0" quotePrefix="0" xfId="0">
      <alignment horizontal="right" vertical="center" wrapText="1"/>
      <protection locked="0" hidden="0"/>
    </xf>
    <xf numFmtId="164" fontId="96" fillId="0" borderId="0" applyAlignment="1" applyProtection="1" pivotButton="0" quotePrefix="0" xfId="0">
      <alignment horizontal="right" vertical="center" wrapText="1"/>
      <protection locked="0" hidden="0"/>
    </xf>
    <xf numFmtId="0" fontId="96" fillId="0" borderId="13" applyAlignment="1" applyProtection="1" pivotButton="0" quotePrefix="0" xfId="0">
      <alignment horizontal="justify" vertical="center" wrapText="1"/>
      <protection locked="0" hidden="0"/>
    </xf>
    <xf numFmtId="9" fontId="96" fillId="0" borderId="13" applyAlignment="1" applyProtection="1" pivotButton="0" quotePrefix="0" xfId="0">
      <alignment horizontal="right" vertical="center" wrapText="1"/>
      <protection locked="0" hidden="0"/>
    </xf>
    <xf numFmtId="164" fontId="96" fillId="0" borderId="13" applyAlignment="1" applyProtection="1" pivotButton="0" quotePrefix="0" xfId="0">
      <alignment horizontal="right" vertical="center" wrapText="1"/>
      <protection locked="0" hidden="0"/>
    </xf>
    <xf numFmtId="0" fontId="96" fillId="0" borderId="0" applyAlignment="1" applyProtection="1" pivotButton="0" quotePrefix="0" xfId="0">
      <alignment vertical="center"/>
      <protection locked="0" hidden="0"/>
    </xf>
    <xf numFmtId="0" fontId="111" fillId="0" borderId="0" applyAlignment="1" applyProtection="1" pivotButton="0" quotePrefix="0" xfId="0">
      <alignment horizontal="justify" vertical="center" wrapText="1"/>
      <protection locked="0" hidden="0"/>
    </xf>
    <xf numFmtId="0" fontId="112" fillId="0" borderId="0" applyAlignment="1" applyProtection="1" pivotButton="0" quotePrefix="0" xfId="0">
      <alignment horizontal="right" vertical="center" wrapText="1"/>
      <protection locked="0" hidden="0"/>
    </xf>
    <xf numFmtId="164" fontId="96" fillId="0" borderId="0" applyAlignment="1" applyProtection="1" pivotButton="0" quotePrefix="0" xfId="1">
      <alignment vertical="center"/>
      <protection locked="0" hidden="0"/>
    </xf>
    <xf numFmtId="164" fontId="111" fillId="0" borderId="0" applyAlignment="1" applyProtection="1" pivotButton="0" quotePrefix="0" xfId="1">
      <alignment horizontal="right" vertical="center" wrapText="1"/>
      <protection locked="0" hidden="0"/>
    </xf>
    <xf numFmtId="164" fontId="112" fillId="0" borderId="0" applyAlignment="1" applyProtection="1" pivotButton="0" quotePrefix="0" xfId="0">
      <alignment horizontal="right" vertical="center" wrapText="1"/>
      <protection locked="0" hidden="0"/>
    </xf>
    <xf numFmtId="164" fontId="96" fillId="0" borderId="0" applyAlignment="1" applyProtection="1" pivotButton="0" quotePrefix="0" xfId="0">
      <alignment vertical="center"/>
      <protection locked="0" hidden="0"/>
    </xf>
    <xf numFmtId="164" fontId="111" fillId="0" borderId="0" applyAlignment="1" applyProtection="1" pivotButton="0" quotePrefix="0" xfId="0">
      <alignment horizontal="right" vertical="center" wrapText="1"/>
      <protection locked="0" hidden="0"/>
    </xf>
    <xf numFmtId="0" fontId="112" fillId="0" borderId="13" applyAlignment="1" applyProtection="1" pivotButton="0" quotePrefix="0" xfId="0">
      <alignment horizontal="justify" vertical="center" wrapText="1"/>
      <protection locked="0" hidden="0"/>
    </xf>
    <xf numFmtId="164" fontId="112" fillId="0" borderId="13" applyAlignment="1" applyProtection="1" pivotButton="0" quotePrefix="0" xfId="1">
      <alignment horizontal="right" vertical="center" wrapText="1"/>
      <protection locked="0" hidden="0"/>
    </xf>
    <xf numFmtId="164" fontId="96" fillId="0" borderId="13" applyAlignment="1" applyProtection="1" pivotButton="0" quotePrefix="0" xfId="1">
      <alignment vertical="center"/>
      <protection locked="0" hidden="0"/>
    </xf>
    <xf numFmtId="0" fontId="112" fillId="0" borderId="0" applyAlignment="1" pivotButton="0" quotePrefix="0" xfId="0">
      <alignment horizontal="center" vertical="center" wrapText="1"/>
    </xf>
    <xf numFmtId="0" fontId="112" fillId="0" borderId="0" applyAlignment="1" pivotButton="0" quotePrefix="0" xfId="0">
      <alignment horizontal="justify" vertical="center" wrapText="1"/>
    </xf>
    <xf numFmtId="0" fontId="113" fillId="0" borderId="13" applyAlignment="1" pivotButton="0" quotePrefix="0" xfId="0">
      <alignment horizontal="center" vertical="center" wrapText="1"/>
    </xf>
    <xf numFmtId="0" fontId="114" fillId="0" borderId="0" applyAlignment="1" pivotButton="0" quotePrefix="0" xfId="0">
      <alignment horizontal="justify" vertical="center" wrapText="1"/>
    </xf>
    <xf numFmtId="164" fontId="114" fillId="0" borderId="0" applyAlignment="1" pivotButton="0" quotePrefix="0" xfId="0">
      <alignment horizontal="right" vertical="center" wrapText="1"/>
    </xf>
    <xf numFmtId="164" fontId="113" fillId="0" borderId="13" applyAlignment="1" pivotButton="0" quotePrefix="0" xfId="0">
      <alignment horizontal="right" vertical="center" wrapText="1"/>
    </xf>
    <xf numFmtId="0" fontId="113" fillId="0" borderId="0" applyAlignment="1" pivotButton="0" quotePrefix="0" xfId="0">
      <alignment horizontal="left" vertical="center"/>
    </xf>
    <xf numFmtId="0" fontId="113" fillId="0" borderId="15" applyAlignment="1" pivotButton="0" quotePrefix="0" xfId="0">
      <alignment vertical="center" wrapText="1"/>
    </xf>
    <xf numFmtId="164" fontId="113" fillId="0" borderId="0" applyAlignment="1" pivotButton="0" quotePrefix="0" xfId="1">
      <alignment vertical="center" wrapText="1"/>
    </xf>
    <xf numFmtId="0" fontId="114" fillId="0" borderId="0" applyAlignment="1" pivotButton="0" quotePrefix="0" xfId="0">
      <alignment vertical="center" wrapText="1"/>
    </xf>
    <xf numFmtId="164" fontId="114" fillId="0" borderId="0" applyAlignment="1" pivotButton="0" quotePrefix="0" xfId="1">
      <alignment vertical="center" wrapText="1"/>
    </xf>
    <xf numFmtId="164" fontId="113" fillId="0" borderId="0" applyAlignment="1" pivotButton="0" quotePrefix="0" xfId="1">
      <alignment horizontal="right" vertical="center" wrapText="1"/>
    </xf>
    <xf numFmtId="0" fontId="113" fillId="0" borderId="0" applyAlignment="1" pivotButton="0" quotePrefix="0" xfId="0">
      <alignment vertical="center" wrapText="1"/>
    </xf>
    <xf numFmtId="0" fontId="113" fillId="0" borderId="13" applyAlignment="1" pivotButton="0" quotePrefix="0" xfId="0">
      <alignment vertical="center" wrapText="1"/>
    </xf>
    <xf numFmtId="164" fontId="113" fillId="0" borderId="13" applyAlignment="1" pivotButton="0" quotePrefix="0" xfId="1">
      <alignment vertical="center" wrapText="1"/>
    </xf>
    <xf numFmtId="164" fontId="113" fillId="0" borderId="13" applyAlignment="1" pivotButton="0" quotePrefix="0" xfId="1">
      <alignment horizontal="right" vertical="center" wrapText="1"/>
    </xf>
    <xf numFmtId="164" fontId="114" fillId="0" borderId="0" applyAlignment="1" pivotButton="0" quotePrefix="0" xfId="1">
      <alignment horizontal="right" vertical="center" wrapText="1"/>
    </xf>
    <xf numFmtId="0" fontId="111" fillId="0" borderId="0" applyAlignment="1" pivotButton="0" quotePrefix="0" xfId="0">
      <alignment horizontal="justify" vertical="center" wrapText="1"/>
    </xf>
    <xf numFmtId="164" fontId="111" fillId="0" borderId="0" applyAlignment="1" pivotButton="0" quotePrefix="0" xfId="0">
      <alignment horizontal="right" vertical="center" wrapText="1"/>
    </xf>
    <xf numFmtId="0" fontId="111" fillId="0" borderId="11" applyAlignment="1" pivotButton="0" quotePrefix="0" xfId="0">
      <alignment horizontal="justify" vertical="center" wrapText="1"/>
    </xf>
    <xf numFmtId="164" fontId="111" fillId="0" borderId="11" applyAlignment="1" pivotButton="0" quotePrefix="0" xfId="0">
      <alignment horizontal="right" vertical="center" wrapText="1"/>
    </xf>
    <xf numFmtId="0" fontId="112" fillId="0" borderId="13" applyAlignment="1" pivotButton="0" quotePrefix="0" xfId="0">
      <alignment horizontal="justify" vertical="center" wrapText="1"/>
    </xf>
    <xf numFmtId="0" fontId="112" fillId="0" borderId="0" applyAlignment="1" pivotButton="0" quotePrefix="0" xfId="0">
      <alignment horizontal="justify" vertical="center"/>
    </xf>
    <xf numFmtId="0" fontId="9" fillId="0" borderId="23" applyAlignment="1" applyProtection="1" pivotButton="0" quotePrefix="0" xfId="0">
      <alignment vertical="center"/>
      <protection locked="0" hidden="0"/>
    </xf>
    <xf numFmtId="0" fontId="9" fillId="0" borderId="23" applyAlignment="1" applyProtection="1" pivotButton="0" quotePrefix="0" xfId="0">
      <alignment horizontal="justify" vertical="center" wrapText="1"/>
      <protection locked="0" hidden="0"/>
    </xf>
    <xf numFmtId="0" fontId="9" fillId="0" borderId="23" applyAlignment="1" applyProtection="1" pivotButton="0" quotePrefix="1" xfId="0">
      <alignment horizontal="center" vertical="center" wrapText="1"/>
      <protection locked="0" hidden="0"/>
    </xf>
    <xf numFmtId="0" fontId="9" fillId="0" borderId="23" applyAlignment="1" applyProtection="1" pivotButton="0" quotePrefix="0" xfId="0">
      <alignment horizontal="right" vertical="center" wrapText="1"/>
      <protection locked="0" hidden="0"/>
    </xf>
    <xf numFmtId="164" fontId="9" fillId="0" borderId="23" applyAlignment="1" applyProtection="1" pivotButton="0" quotePrefix="0" xfId="1">
      <alignment horizontal="right" vertical="center" wrapText="1"/>
      <protection locked="0" hidden="0"/>
    </xf>
    <xf numFmtId="9" fontId="9" fillId="0" borderId="23" applyAlignment="1" applyProtection="1" pivotButton="0" quotePrefix="0" xfId="2">
      <alignment horizontal="right" vertical="center" wrapText="1"/>
      <protection locked="0" hidden="0"/>
    </xf>
    <xf numFmtId="0" fontId="69" fillId="0" borderId="23" applyAlignment="1" applyProtection="1" pivotButton="0" quotePrefix="0" xfId="0">
      <alignment vertical="center"/>
      <protection locked="0" hidden="0"/>
    </xf>
    <xf numFmtId="0" fontId="9" fillId="0" borderId="23" applyProtection="1" pivotButton="0" quotePrefix="0" xfId="0">
      <protection locked="0" hidden="0"/>
    </xf>
    <xf numFmtId="0" fontId="7" fillId="13" borderId="23" applyAlignment="1" applyProtection="1" pivotButton="0" quotePrefix="0" xfId="0">
      <alignment horizontal="center" vertical="center" wrapText="1"/>
      <protection locked="0" hidden="0"/>
    </xf>
    <xf numFmtId="164" fontId="9" fillId="0" borderId="23" applyAlignment="1" applyProtection="1" pivotButton="0" quotePrefix="0" xfId="1">
      <alignment horizontal="right" vertical="center"/>
      <protection locked="0" hidden="0"/>
    </xf>
    <xf numFmtId="0" fontId="7" fillId="0" borderId="23" applyAlignment="1" applyProtection="1" pivotButton="0" quotePrefix="0" xfId="0">
      <alignment vertical="center"/>
      <protection locked="0" hidden="0"/>
    </xf>
    <xf numFmtId="0" fontId="9" fillId="0" borderId="23" applyAlignment="1" applyProtection="1" pivotButton="0" quotePrefix="0" xfId="0">
      <alignment horizontal="left" vertical="center"/>
      <protection locked="0" hidden="0"/>
    </xf>
    <xf numFmtId="9" fontId="9" fillId="0" borderId="23" applyAlignment="1" applyProtection="1" pivotButton="0" quotePrefix="0" xfId="2">
      <alignment horizontal="right" vertical="center"/>
      <protection locked="0" hidden="0"/>
    </xf>
    <xf numFmtId="0" fontId="78" fillId="13" borderId="23" applyAlignment="1" pivotButton="0" quotePrefix="0" xfId="0">
      <alignment horizontal="center" vertical="center" wrapText="1"/>
    </xf>
    <xf numFmtId="0" fontId="77" fillId="0" borderId="23" applyAlignment="1" pivotButton="0" quotePrefix="0" xfId="0">
      <alignment horizontal="left" vertical="center"/>
    </xf>
    <xf numFmtId="0" fontId="9" fillId="0" borderId="0" applyAlignment="1" pivotButton="0" quotePrefix="0" xfId="212">
      <alignment vertical="center"/>
    </xf>
    <xf numFmtId="0" fontId="9" fillId="0" borderId="14" applyAlignment="1" pivotButton="0" quotePrefix="0" xfId="212">
      <alignment vertical="center"/>
    </xf>
    <xf numFmtId="0" fontId="9" fillId="13" borderId="23" applyAlignment="1" pivotButton="0" quotePrefix="0" xfId="0">
      <alignment horizontal="center" vertical="center" wrapText="1"/>
    </xf>
    <xf numFmtId="0" fontId="9" fillId="13" borderId="23" applyAlignment="1" pivotButton="0" quotePrefix="0" xfId="0">
      <alignment horizontal="center" vertical="center"/>
    </xf>
    <xf numFmtId="167" fontId="9" fillId="0" borderId="23" applyAlignment="1" pivotButton="0" quotePrefix="0" xfId="0">
      <alignment horizontal="right" vertical="center" wrapText="1"/>
    </xf>
    <xf numFmtId="9" fontId="9" fillId="0" borderId="23" applyAlignment="1" pivotButton="0" quotePrefix="0" xfId="2">
      <alignment horizontal="right" vertical="center" wrapText="1"/>
    </xf>
    <xf numFmtId="164" fontId="9" fillId="0" borderId="23" applyAlignment="1" pivotButton="0" quotePrefix="0" xfId="1">
      <alignment horizontal="left" vertical="center" wrapText="1"/>
    </xf>
    <xf numFmtId="164" fontId="9" fillId="0" borderId="23" applyAlignment="1" pivotButton="0" quotePrefix="0" xfId="1">
      <alignment horizontal="center" vertical="center" wrapText="1"/>
    </xf>
    <xf numFmtId="0" fontId="9" fillId="0" borderId="17" applyAlignment="1" applyProtection="1" pivotButton="0" quotePrefix="0" xfId="0">
      <alignment vertical="center"/>
      <protection locked="0" hidden="0"/>
    </xf>
    <xf numFmtId="0" fontId="7" fillId="0" borderId="16" applyAlignment="1" pivotButton="0" quotePrefix="0" xfId="254">
      <alignment vertical="center"/>
    </xf>
    <xf numFmtId="0" fontId="7" fillId="0" borderId="17" applyAlignment="1" pivotButton="0" quotePrefix="0" xfId="254">
      <alignment vertical="center"/>
    </xf>
    <xf numFmtId="0" fontId="7" fillId="0" borderId="16" applyAlignment="1" pivotButton="0" quotePrefix="0" xfId="254">
      <alignment horizontal="left" vertical="center"/>
    </xf>
    <xf numFmtId="0" fontId="9" fillId="0" borderId="18" applyAlignment="1" pivotButton="0" quotePrefix="0" xfId="254">
      <alignment horizontal="left" vertical="center"/>
    </xf>
    <xf numFmtId="0" fontId="7" fillId="0" borderId="23" applyAlignment="1" applyProtection="1" pivotButton="0" quotePrefix="0" xfId="0">
      <alignment horizontal="justify" vertical="center" wrapText="1"/>
      <protection locked="0" hidden="0"/>
    </xf>
    <xf numFmtId="10" fontId="9" fillId="0" borderId="14" applyAlignment="1" applyProtection="1" pivotButton="0" quotePrefix="0" xfId="2">
      <alignment horizontal="center" vertical="center" shrinkToFit="1"/>
      <protection locked="0" hidden="0"/>
    </xf>
    <xf numFmtId="0" fontId="7" fillId="13" borderId="14" applyAlignment="1" pivotButton="0" quotePrefix="0" xfId="253">
      <alignment horizontal="center" vertical="center" wrapText="1"/>
    </xf>
    <xf numFmtId="10" fontId="9" fillId="0" borderId="14" applyAlignment="1" applyProtection="1" pivotButton="0" quotePrefix="1" xfId="2">
      <alignment horizontal="center" vertical="center" wrapText="1"/>
      <protection locked="0" hidden="0"/>
    </xf>
    <xf numFmtId="10" fontId="9" fillId="0" borderId="23" applyAlignment="1" applyProtection="1" pivotButton="0" quotePrefix="0" xfId="2">
      <alignment horizontal="center" vertical="center" wrapText="1"/>
      <protection locked="0" hidden="0"/>
    </xf>
    <xf numFmtId="168" fontId="22" fillId="0" borderId="0" applyAlignment="1" applyProtection="1" pivotButton="0" quotePrefix="0" xfId="283">
      <alignment vertical="center"/>
      <protection locked="0" hidden="0"/>
    </xf>
    <xf numFmtId="168" fontId="22" fillId="0" borderId="0" applyAlignment="1" pivotButton="0" quotePrefix="0" xfId="284">
      <alignment vertical="center"/>
    </xf>
    <xf numFmtId="168" fontId="38" fillId="0" borderId="0" applyAlignment="1" applyProtection="1" pivotButton="0" quotePrefix="0" xfId="283">
      <alignment horizontal="justify" vertical="center"/>
      <protection locked="0" hidden="0"/>
    </xf>
    <xf numFmtId="49" fontId="38" fillId="0" borderId="0" applyAlignment="1" pivotButton="0" quotePrefix="0" xfId="284">
      <alignment horizontal="left" vertical="center"/>
    </xf>
    <xf numFmtId="0" fontId="114" fillId="0" borderId="13" applyAlignment="1" pivotButton="0" quotePrefix="0" xfId="0">
      <alignment horizontal="center" vertical="center" wrapText="1"/>
    </xf>
    <xf numFmtId="0" fontId="114" fillId="0" borderId="11" applyAlignment="1" pivotButton="0" quotePrefix="0" xfId="0">
      <alignment horizontal="center" vertical="center" wrapText="1"/>
    </xf>
    <xf numFmtId="0" fontId="95" fillId="0" borderId="11" applyAlignment="1" applyProtection="1" pivotButton="0" quotePrefix="0" xfId="0">
      <alignment horizontal="center" vertical="center" wrapText="1"/>
      <protection locked="0" hidden="0"/>
    </xf>
    <xf numFmtId="0" fontId="13" fillId="12" borderId="0" applyAlignment="1" applyProtection="1" pivotButton="0" quotePrefix="0" xfId="0">
      <alignment horizontal="justify" vertical="center" wrapText="1"/>
      <protection locked="0" hidden="0"/>
    </xf>
    <xf numFmtId="0" fontId="95" fillId="0" borderId="0" applyAlignment="1" applyProtection="1" pivotButton="0" quotePrefix="0" xfId="0">
      <alignment horizontal="center" vertical="center" wrapText="1"/>
      <protection locked="0" hidden="0"/>
    </xf>
    <xf numFmtId="0" fontId="8" fillId="0" borderId="0" applyProtection="1" pivotButton="0" quotePrefix="0" xfId="376">
      <protection locked="0" hidden="0"/>
    </xf>
    <xf numFmtId="0" fontId="71" fillId="13" borderId="23" applyAlignment="1" pivotButton="0" quotePrefix="0" xfId="376">
      <alignment horizontal="center" vertical="center"/>
    </xf>
    <xf numFmtId="0" fontId="71" fillId="13" borderId="23" applyAlignment="1" pivotButton="0" quotePrefix="0" xfId="376">
      <alignment horizontal="center" vertical="center" wrapText="1"/>
    </xf>
    <xf numFmtId="168" fontId="5" fillId="13" borderId="23" applyAlignment="1" applyProtection="1" pivotButton="0" quotePrefix="0" xfId="377">
      <alignment horizontal="center" vertical="center" wrapText="1"/>
      <protection locked="0" hidden="0"/>
    </xf>
    <xf numFmtId="168" fontId="142" fillId="13" borderId="23" applyAlignment="1" applyProtection="1" pivotButton="0" quotePrefix="0" xfId="377">
      <alignment horizontal="center" vertical="center" wrapText="1"/>
      <protection locked="0" hidden="0"/>
    </xf>
    <xf numFmtId="0" fontId="143" fillId="0" borderId="23" applyAlignment="1" pivotButton="0" quotePrefix="0" xfId="376">
      <alignment vertical="center"/>
    </xf>
    <xf numFmtId="0" fontId="13" fillId="0" borderId="23" applyAlignment="1" pivotButton="0" quotePrefix="0" xfId="376">
      <alignment vertical="center"/>
    </xf>
    <xf numFmtId="0" fontId="68" fillId="0" borderId="23" applyAlignment="1" pivotButton="0" quotePrefix="0" xfId="376">
      <alignment horizontal="left" vertical="center" indent="1"/>
    </xf>
    <xf numFmtId="0" fontId="70" fillId="0" borderId="23" applyAlignment="1" pivotButton="0" quotePrefix="0" xfId="376">
      <alignment horizontal="center" vertical="center"/>
    </xf>
    <xf numFmtId="164" fontId="7" fillId="0" borderId="19" applyAlignment="1" pivotButton="0" quotePrefix="0" xfId="4">
      <alignment horizontal="left" vertical="center"/>
    </xf>
    <xf numFmtId="164" fontId="9" fillId="0" borderId="19" applyAlignment="1" pivotButton="0" quotePrefix="0" xfId="4">
      <alignment horizontal="left" vertical="center"/>
    </xf>
    <xf numFmtId="164" fontId="144" fillId="0" borderId="19" applyAlignment="1" pivotButton="0" quotePrefix="0" xfId="214">
      <alignment horizontal="center" vertical="center"/>
    </xf>
    <xf numFmtId="0" fontId="7" fillId="0" borderId="0" applyAlignment="1" pivotButton="0" quotePrefix="0" xfId="3">
      <alignment vertical="center"/>
    </xf>
    <xf numFmtId="0" fontId="9" fillId="0" borderId="0" applyAlignment="1" pivotButton="0" quotePrefix="0" xfId="3">
      <alignment vertical="center"/>
    </xf>
    <xf numFmtId="9" fontId="15" fillId="0" borderId="0" applyAlignment="1" pivotButton="0" quotePrefix="0" xfId="378">
      <alignment horizontal="left" vertical="center"/>
    </xf>
    <xf numFmtId="0" fontId="9" fillId="0" borderId="0" applyAlignment="1" pivotButton="0" quotePrefix="0" xfId="3">
      <alignment horizontal="left" vertical="center"/>
    </xf>
    <xf numFmtId="10" fontId="15" fillId="0" borderId="0" applyAlignment="1" pivotButton="0" quotePrefix="0" xfId="378">
      <alignment horizontal="left" vertical="center"/>
    </xf>
    <xf numFmtId="164" fontId="9" fillId="0" borderId="0" applyAlignment="1" pivotButton="0" quotePrefix="0" xfId="1">
      <alignment horizontal="left" vertical="center"/>
    </xf>
    <xf numFmtId="164" fontId="9" fillId="0" borderId="0" applyAlignment="1" pivotButton="0" quotePrefix="0" xfId="1">
      <alignment horizontal="center" vertical="center" shrinkToFit="1"/>
    </xf>
    <xf numFmtId="164" fontId="5" fillId="0" borderId="0" applyAlignment="1" pivotButton="0" quotePrefix="0" xfId="4">
      <alignment vertical="center"/>
    </xf>
    <xf numFmtId="0" fontId="9" fillId="0" borderId="19" applyAlignment="1" pivotButton="0" quotePrefix="0" xfId="3">
      <alignment vertical="center"/>
    </xf>
    <xf numFmtId="0" fontId="112" fillId="0" borderId="0" applyAlignment="1" pivotButton="0" quotePrefix="0" xfId="0">
      <alignment vertical="center" wrapText="1"/>
    </xf>
    <xf numFmtId="9" fontId="112" fillId="0" borderId="0" applyAlignment="1" pivotButton="0" quotePrefix="0" xfId="2">
      <alignment vertical="center" wrapText="1"/>
    </xf>
    <xf numFmtId="9" fontId="113" fillId="0" borderId="13" applyAlignment="1" pivotButton="0" quotePrefix="0" xfId="2">
      <alignment vertical="center" wrapText="1"/>
    </xf>
    <xf numFmtId="0" fontId="112" fillId="0" borderId="13" applyAlignment="1" pivotButton="0" quotePrefix="0" xfId="0">
      <alignment vertical="center" wrapText="1"/>
    </xf>
    <xf numFmtId="0" fontId="7" fillId="0" borderId="23" applyAlignment="1" applyProtection="1" pivotButton="0" quotePrefix="0" xfId="0">
      <alignment horizontal="center" vertical="center" wrapText="1"/>
      <protection locked="0" hidden="0"/>
    </xf>
    <xf numFmtId="164" fontId="9" fillId="0" borderId="23" applyAlignment="1" applyProtection="1" pivotButton="0" quotePrefix="0" xfId="0">
      <alignment horizontal="justify" vertical="center" wrapText="1"/>
      <protection locked="0" hidden="0"/>
    </xf>
    <xf numFmtId="0" fontId="7" fillId="13" borderId="23" applyAlignment="1" applyProtection="1" pivotButton="0" quotePrefix="0" xfId="0">
      <alignment horizontal="centerContinuous" vertical="center"/>
      <protection locked="0" hidden="0"/>
    </xf>
    <xf numFmtId="164" fontId="5" fillId="36" borderId="23" applyAlignment="1" pivotButton="0" quotePrefix="0" xfId="1">
      <alignment horizontal="center" vertical="center"/>
    </xf>
    <xf numFmtId="164" fontId="7" fillId="36" borderId="23" applyAlignment="1" pivotButton="0" quotePrefix="0" xfId="1">
      <alignment horizontal="center" vertical="center"/>
    </xf>
    <xf numFmtId="164" fontId="7" fillId="36" borderId="23" applyAlignment="1" pivotButton="0" quotePrefix="0" xfId="379">
      <alignment horizontal="center" vertical="center"/>
    </xf>
    <xf numFmtId="164" fontId="9" fillId="36" borderId="23" applyAlignment="1" pivotButton="0" quotePrefix="0" xfId="1">
      <alignment horizontal="center" vertical="center"/>
    </xf>
    <xf numFmtId="164" fontId="9" fillId="36" borderId="14" applyAlignment="1" applyProtection="1" pivotButton="0" quotePrefix="0" xfId="0">
      <alignment horizontal="justify" vertical="center" wrapText="1"/>
      <protection locked="0" hidden="0"/>
    </xf>
    <xf numFmtId="164" fontId="9" fillId="36" borderId="14" applyAlignment="1" applyProtection="1" pivotButton="0" quotePrefix="1" xfId="0">
      <alignment horizontal="center" vertical="center" wrapText="1"/>
      <protection locked="0" hidden="0"/>
    </xf>
    <xf numFmtId="164" fontId="9" fillId="36" borderId="23" applyAlignment="1" applyProtection="1" pivotButton="0" quotePrefix="0" xfId="0">
      <alignment horizontal="justify" vertical="center" wrapText="1"/>
      <protection locked="0" hidden="0"/>
    </xf>
    <xf numFmtId="164" fontId="7" fillId="36" borderId="14" applyAlignment="1" applyProtection="1" pivotButton="0" quotePrefix="0" xfId="0">
      <alignment horizontal="justify" vertical="center" wrapText="1"/>
      <protection locked="0" hidden="0"/>
    </xf>
    <xf numFmtId="164" fontId="9" fillId="36" borderId="14" applyAlignment="1" applyProtection="1" pivotButton="0" quotePrefix="0" xfId="1">
      <alignment vertical="center"/>
      <protection locked="0" hidden="0"/>
    </xf>
    <xf numFmtId="0" fontId="9" fillId="36" borderId="14" applyAlignment="1" applyProtection="1" pivotButton="0" quotePrefix="0" xfId="0">
      <alignment horizontal="justify" vertical="center" wrapText="1"/>
      <protection locked="0" hidden="0"/>
    </xf>
    <xf numFmtId="164" fontId="9" fillId="36" borderId="23" applyAlignment="1" pivotButton="0" quotePrefix="0" xfId="1">
      <alignment vertical="center"/>
    </xf>
    <xf numFmtId="164" fontId="9" fillId="36" borderId="14" applyAlignment="1" pivotButton="0" quotePrefix="0" xfId="0">
      <alignment vertical="center" wrapText="1"/>
    </xf>
    <xf numFmtId="164" fontId="9" fillId="36" borderId="14" applyAlignment="1" pivotButton="0" quotePrefix="0" xfId="1">
      <alignment vertical="center" wrapText="1"/>
    </xf>
    <xf numFmtId="164" fontId="9" fillId="36" borderId="14" applyAlignment="1" applyProtection="1" pivotButton="0" quotePrefix="0" xfId="0">
      <alignment vertical="center"/>
      <protection locked="0" hidden="0"/>
    </xf>
    <xf numFmtId="164" fontId="87" fillId="36" borderId="14" applyAlignment="1" pivotButton="0" quotePrefix="0" xfId="0">
      <alignment vertical="center" wrapText="1"/>
    </xf>
    <xf numFmtId="164" fontId="9" fillId="36" borderId="14" applyAlignment="1" pivotButton="0" quotePrefix="0" xfId="1">
      <alignment vertical="center"/>
    </xf>
    <xf numFmtId="164" fontId="9" fillId="36" borderId="14" applyAlignment="1" pivotButton="0" quotePrefix="0" xfId="1">
      <alignment horizontal="center" vertical="center"/>
    </xf>
    <xf numFmtId="164" fontId="9" fillId="36" borderId="23" applyAlignment="1" pivotButton="0" quotePrefix="1" xfId="1">
      <alignment horizontal="right" vertical="center"/>
    </xf>
    <xf numFmtId="9" fontId="9" fillId="36" borderId="23" applyAlignment="1" pivotButton="0" quotePrefix="0" xfId="0">
      <alignment horizontal="right" vertical="center"/>
    </xf>
    <xf numFmtId="164" fontId="9" fillId="36" borderId="23" applyAlignment="1" pivotButton="0" quotePrefix="0" xfId="1">
      <alignment horizontal="center" vertical="center"/>
    </xf>
    <xf numFmtId="0" fontId="9" fillId="36" borderId="14" applyAlignment="1" pivotButton="0" quotePrefix="1" xfId="0">
      <alignment horizontal="right" vertical="center"/>
    </xf>
    <xf numFmtId="10" fontId="9" fillId="36" borderId="14" applyAlignment="1" pivotButton="0" quotePrefix="0" xfId="2">
      <alignment vertical="center"/>
    </xf>
    <xf numFmtId="164" fontId="9" fillId="36" borderId="14" applyAlignment="1" pivotButton="0" quotePrefix="0" xfId="0">
      <alignment vertical="center"/>
    </xf>
    <xf numFmtId="164" fontId="9" fillId="36" borderId="14" applyAlignment="1" applyProtection="1" pivotButton="0" quotePrefix="0" xfId="1">
      <alignment horizontal="right" vertical="center" wrapText="1"/>
      <protection locked="0" hidden="0"/>
    </xf>
    <xf numFmtId="164" fontId="9" fillId="36" borderId="14" applyAlignment="1" pivotButton="0" quotePrefix="0" xfId="1">
      <alignment vertical="center"/>
    </xf>
    <xf numFmtId="164" fontId="9" fillId="36" borderId="14" applyAlignment="1" applyProtection="1" pivotButton="0" quotePrefix="0" xfId="0">
      <alignment horizontal="right" vertical="center" wrapText="1"/>
      <protection locked="0" hidden="0"/>
    </xf>
    <xf numFmtId="164" fontId="79" fillId="36" borderId="14" applyAlignment="1" applyProtection="1" pivotButton="0" quotePrefix="0" xfId="1">
      <alignment horizontal="right" vertical="center" wrapText="1"/>
      <protection locked="0" hidden="0"/>
    </xf>
    <xf numFmtId="10" fontId="9" fillId="36" borderId="14" applyAlignment="1" applyProtection="1" pivotButton="0" quotePrefix="0" xfId="2">
      <alignment horizontal="center" vertical="center" wrapText="1"/>
      <protection locked="0" hidden="0"/>
    </xf>
    <xf numFmtId="164" fontId="79" fillId="36" borderId="14" applyAlignment="1" applyProtection="1" pivotButton="0" quotePrefix="0" xfId="0">
      <alignment vertical="center"/>
      <protection locked="0" hidden="0"/>
    </xf>
    <xf numFmtId="164" fontId="9" fillId="36" borderId="14" applyAlignment="1" pivotButton="0" quotePrefix="1" xfId="1">
      <alignment horizontal="right" vertical="center"/>
    </xf>
    <xf numFmtId="164" fontId="9" fillId="36" borderId="14" applyAlignment="1" pivotButton="0" quotePrefix="0" xfId="1">
      <alignment horizontal="right" vertical="center"/>
    </xf>
    <xf numFmtId="164" fontId="9" fillId="36" borderId="23" applyAlignment="1" applyProtection="1" pivotButton="0" quotePrefix="1" xfId="0">
      <alignment horizontal="center" vertical="center" wrapText="1"/>
      <protection locked="0" hidden="0"/>
    </xf>
    <xf numFmtId="164" fontId="7" fillId="36" borderId="23" applyAlignment="1" applyProtection="1" pivotButton="0" quotePrefix="0" xfId="0">
      <alignment horizontal="justify" vertical="center" wrapText="1"/>
      <protection locked="0" hidden="0"/>
    </xf>
    <xf numFmtId="9" fontId="9" fillId="0" borderId="14" applyAlignment="1" applyProtection="1" pivotButton="0" quotePrefix="1" xfId="2">
      <alignment horizontal="right" vertical="center" wrapText="1"/>
      <protection locked="0" hidden="0"/>
    </xf>
    <xf numFmtId="0" fontId="9" fillId="0" borderId="14" applyAlignment="1" applyProtection="1" pivotButton="0" quotePrefix="1" xfId="0">
      <alignment horizontal="right" vertical="center" wrapText="1"/>
      <protection locked="0" hidden="0"/>
    </xf>
    <xf numFmtId="9" fontId="9" fillId="0" borderId="23" applyAlignment="1" applyProtection="1" pivotButton="0" quotePrefix="1" xfId="2">
      <alignment horizontal="right" vertical="center" wrapText="1"/>
      <protection locked="0" hidden="0"/>
    </xf>
    <xf numFmtId="0" fontId="9" fillId="0" borderId="23" applyAlignment="1" applyProtection="1" pivotButton="0" quotePrefix="1" xfId="0">
      <alignment horizontal="right" vertical="center" wrapText="1"/>
      <protection locked="0" hidden="0"/>
    </xf>
    <xf numFmtId="0" fontId="9" fillId="0" borderId="23" applyAlignment="1" applyProtection="1" pivotButton="0" quotePrefix="0" xfId="0">
      <alignment vertical="center" wrapText="1"/>
      <protection locked="0" hidden="0"/>
    </xf>
    <xf numFmtId="0" fontId="9" fillId="13" borderId="14" applyAlignment="1" pivotButton="0" quotePrefix="0" xfId="254">
      <alignment vertical="center" wrapText="1"/>
    </xf>
    <xf numFmtId="9" fontId="9" fillId="0" borderId="14" applyAlignment="1" pivotButton="0" quotePrefix="0" xfId="2">
      <alignment vertical="center"/>
    </xf>
    <xf numFmtId="0" fontId="67" fillId="0" borderId="0" applyAlignment="1" applyProtection="1" pivotButton="0" quotePrefix="0" xfId="0">
      <alignment horizontal="justify" vertical="center"/>
      <protection locked="0" hidden="0"/>
    </xf>
    <xf numFmtId="164" fontId="7" fillId="36" borderId="23" applyAlignment="1" pivotButton="0" quotePrefix="0" xfId="1">
      <alignment vertical="center"/>
    </xf>
    <xf numFmtId="0" fontId="7" fillId="0" borderId="14" applyAlignment="1" pivotButton="0" quotePrefix="0" xfId="253">
      <alignment vertical="center"/>
    </xf>
    <xf numFmtId="164" fontId="7" fillId="36" borderId="14" applyAlignment="1" pivotButton="0" quotePrefix="0" xfId="1">
      <alignment vertical="center"/>
    </xf>
    <xf numFmtId="0" fontId="7" fillId="0" borderId="14" applyAlignment="1" pivotButton="0" quotePrefix="0" xfId="253">
      <alignment horizontal="center" vertical="center" wrapText="1"/>
    </xf>
    <xf numFmtId="0" fontId="7" fillId="13" borderId="23" applyAlignment="1" applyProtection="1" pivotButton="0" quotePrefix="0" xfId="0">
      <alignment vertical="center" wrapText="1"/>
      <protection locked="0" hidden="0"/>
    </xf>
    <xf numFmtId="0" fontId="7" fillId="0" borderId="23" applyAlignment="1" applyProtection="1" pivotButton="0" quotePrefix="0" xfId="0">
      <alignment vertical="center" wrapText="1"/>
      <protection locked="0" hidden="0"/>
    </xf>
    <xf numFmtId="168" fontId="38" fillId="0" borderId="0" applyAlignment="1" applyProtection="1" pivotButton="0" quotePrefix="0" xfId="283">
      <alignment horizontal="left" vertical="center"/>
      <protection locked="0" hidden="0"/>
    </xf>
    <xf numFmtId="0" fontId="22" fillId="0" borderId="0" applyAlignment="1" applyProtection="1" pivotButton="0" quotePrefix="0" xfId="251">
      <alignment vertical="center"/>
      <protection locked="0" hidden="0"/>
    </xf>
    <xf numFmtId="0" fontId="83" fillId="0" borderId="23" applyAlignment="1" pivotButton="0" quotePrefix="0" xfId="251">
      <alignment horizontal="center" vertical="center" wrapText="1"/>
    </xf>
    <xf numFmtId="0" fontId="77" fillId="0" borderId="23" applyAlignment="1" pivotButton="0" quotePrefix="0" xfId="251">
      <alignment horizontal="center" vertical="center" wrapText="1"/>
    </xf>
    <xf numFmtId="0" fontId="85" fillId="0" borderId="23" applyAlignment="1" pivotButton="0" quotePrefix="0" xfId="251">
      <alignment horizontal="center" vertical="center" wrapText="1"/>
    </xf>
    <xf numFmtId="49" fontId="9" fillId="0" borderId="23" applyAlignment="1" applyProtection="1" pivotButton="0" quotePrefix="0" xfId="251">
      <alignment horizontal="center" vertical="center"/>
      <protection locked="0" hidden="0"/>
    </xf>
    <xf numFmtId="0" fontId="81" fillId="0" borderId="0" applyAlignment="1" applyProtection="1" pivotButton="0" quotePrefix="0" xfId="251">
      <alignment horizontal="center" vertical="center"/>
      <protection locked="0" hidden="0"/>
    </xf>
    <xf numFmtId="0" fontId="155" fillId="37" borderId="0" applyAlignment="1" applyProtection="1" pivotButton="0" quotePrefix="0" xfId="251">
      <alignment horizontal="left" vertical="center"/>
      <protection locked="0" hidden="0"/>
    </xf>
    <xf numFmtId="0" fontId="155" fillId="37" borderId="0" applyAlignment="1" applyProtection="1" pivotButton="0" quotePrefix="0" xfId="251">
      <alignment horizontal="center" vertical="center"/>
      <protection locked="0" hidden="0"/>
    </xf>
    <xf numFmtId="0" fontId="156" fillId="0" borderId="0" applyAlignment="1" pivotButton="0" quotePrefix="0" xfId="251">
      <alignment vertical="center"/>
    </xf>
    <xf numFmtId="0" fontId="83" fillId="0" borderId="23" applyAlignment="1" pivotButton="0" quotePrefix="0" xfId="251">
      <alignment vertical="center" wrapText="1"/>
    </xf>
    <xf numFmtId="0" fontId="9" fillId="0" borderId="0" applyAlignment="1" pivotButton="0" quotePrefix="0" xfId="251">
      <alignment vertical="center" wrapText="1"/>
    </xf>
    <xf numFmtId="0" fontId="120" fillId="0" borderId="0" applyAlignment="1" applyProtection="1" pivotButton="0" quotePrefix="0" xfId="0">
      <alignment vertical="center"/>
      <protection locked="0" hidden="0"/>
    </xf>
    <xf numFmtId="0" fontId="146" fillId="0" borderId="15" applyAlignment="1" applyProtection="1" pivotButton="0" quotePrefix="0" xfId="0">
      <alignment horizontal="center" vertical="center" wrapText="1"/>
      <protection locked="0" hidden="0"/>
    </xf>
    <xf numFmtId="0" fontId="145" fillId="0" borderId="0" applyAlignment="1" applyProtection="1" pivotButton="0" quotePrefix="0" xfId="0">
      <alignment horizontal="right" vertical="center" wrapText="1"/>
      <protection locked="0" hidden="0"/>
    </xf>
    <xf numFmtId="0" fontId="145" fillId="0" borderId="13" applyAlignment="1" applyProtection="1" pivotButton="0" quotePrefix="0" xfId="0">
      <alignment horizontal="right" vertical="center" wrapText="1"/>
      <protection locked="0" hidden="0"/>
    </xf>
    <xf numFmtId="0" fontId="0" fillId="0" borderId="13" applyAlignment="1" applyProtection="1" pivotButton="0" quotePrefix="0" xfId="0">
      <alignment vertical="center" wrapText="1"/>
      <protection locked="0" hidden="0"/>
    </xf>
    <xf numFmtId="0" fontId="149" fillId="0" borderId="0" applyAlignment="1" applyProtection="1" pivotButton="0" quotePrefix="0" xfId="0">
      <alignment horizontal="justify" vertical="center" wrapText="1"/>
      <protection locked="0" hidden="0"/>
    </xf>
    <xf numFmtId="0" fontId="150" fillId="0" borderId="0" applyAlignment="1" applyProtection="1" pivotButton="0" quotePrefix="0" xfId="0">
      <alignment horizontal="right" vertical="center" wrapText="1"/>
      <protection locked="0" hidden="0"/>
    </xf>
    <xf numFmtId="0" fontId="150" fillId="0" borderId="0" applyAlignment="1" applyProtection="1" pivotButton="0" quotePrefix="0" xfId="0">
      <alignment horizontal="justify" vertical="center" wrapText="1"/>
      <protection locked="0" hidden="0"/>
    </xf>
    <xf numFmtId="0" fontId="149" fillId="0" borderId="13" applyAlignment="1" applyProtection="1" pivotButton="0" quotePrefix="0" xfId="0">
      <alignment horizontal="justify" vertical="center" wrapText="1"/>
      <protection locked="0" hidden="0"/>
    </xf>
    <xf numFmtId="0" fontId="150" fillId="0" borderId="13" applyAlignment="1" applyProtection="1" pivotButton="0" quotePrefix="0" xfId="0">
      <alignment horizontal="right" vertical="center" wrapText="1"/>
      <protection locked="0" hidden="0"/>
    </xf>
    <xf numFmtId="0" fontId="145" fillId="0" borderId="13" applyAlignment="1" applyProtection="1" pivotButton="0" quotePrefix="0" xfId="0">
      <alignment horizontal="justify" vertical="center" wrapText="1"/>
      <protection locked="0" hidden="0"/>
    </xf>
    <xf numFmtId="0" fontId="146" fillId="0" borderId="13" applyAlignment="1" applyProtection="1" pivotButton="0" quotePrefix="0" xfId="0">
      <alignment horizontal="right" vertical="center" wrapText="1"/>
      <protection locked="0" hidden="0"/>
    </xf>
    <xf numFmtId="0" fontId="115" fillId="0" borderId="0" applyProtection="1" pivotButton="0" quotePrefix="0" xfId="0">
      <protection locked="0" hidden="0"/>
    </xf>
    <xf numFmtId="0" fontId="13" fillId="0" borderId="0" applyAlignment="1" pivotButton="0" quotePrefix="0" xfId="254">
      <alignment vertical="center"/>
    </xf>
    <xf numFmtId="0" fontId="83" fillId="0" borderId="23" applyAlignment="1" pivotButton="0" quotePrefix="0" xfId="0">
      <alignment vertical="center" wrapText="1"/>
    </xf>
    <xf numFmtId="0" fontId="77" fillId="0" borderId="23" applyAlignment="1" pivotButton="0" quotePrefix="0" xfId="0">
      <alignment horizontal="center" vertical="center" wrapText="1"/>
    </xf>
    <xf numFmtId="168" fontId="22" fillId="0" borderId="0" applyAlignment="1" pivotButton="0" quotePrefix="0" xfId="380">
      <alignment vertical="center"/>
    </xf>
    <xf numFmtId="0" fontId="145" fillId="0" borderId="15" applyAlignment="1" applyProtection="1" pivotButton="0" quotePrefix="0" xfId="0">
      <alignment horizontal="justify" vertical="center" wrapText="1"/>
      <protection locked="0" hidden="0"/>
    </xf>
    <xf numFmtId="0" fontId="145" fillId="0" borderId="15" applyAlignment="1" applyProtection="1" pivotButton="0" quotePrefix="0" xfId="0">
      <alignment horizontal="right" vertical="center" wrapText="1"/>
      <protection locked="0" hidden="0"/>
    </xf>
    <xf numFmtId="0" fontId="147" fillId="0" borderId="13" applyAlignment="1" applyProtection="1" pivotButton="0" quotePrefix="0" xfId="0">
      <alignment horizontal="right" vertical="center" wrapText="1"/>
      <protection locked="0" hidden="0"/>
    </xf>
    <xf numFmtId="0" fontId="80" fillId="0" borderId="0" applyAlignment="1" pivotButton="0" quotePrefix="0" xfId="0">
      <alignment horizontal="left" vertical="center" wrapText="1"/>
    </xf>
    <xf numFmtId="0" fontId="9" fillId="0" borderId="0" applyAlignment="1" applyProtection="1" pivotButton="0" quotePrefix="0" xfId="207">
      <alignment vertical="center"/>
      <protection locked="0" hidden="0"/>
    </xf>
    <xf numFmtId="0" fontId="96" fillId="0" borderId="0" applyAlignment="1" applyProtection="1" pivotButton="0" quotePrefix="0" xfId="207">
      <alignment vertical="center"/>
      <protection locked="0" hidden="0"/>
    </xf>
    <xf numFmtId="0" fontId="95" fillId="0" borderId="0" applyAlignment="1" applyProtection="1" pivotButton="0" quotePrefix="0" xfId="0">
      <alignment horizontal="left" vertical="center"/>
      <protection locked="0" hidden="0"/>
    </xf>
    <xf numFmtId="0" fontId="111" fillId="0" borderId="15" applyAlignment="1" applyProtection="1" pivotButton="0" quotePrefix="0" xfId="0">
      <alignment horizontal="center" vertical="center" wrapText="1"/>
      <protection locked="0" hidden="0"/>
    </xf>
    <xf numFmtId="0" fontId="12" fillId="0" borderId="0" applyAlignment="1" applyProtection="1" pivotButton="0" quotePrefix="0" xfId="207">
      <alignment vertical="center" wrapText="1"/>
      <protection locked="0" hidden="0"/>
    </xf>
    <xf numFmtId="0" fontId="96" fillId="0" borderId="15" applyAlignment="1" applyProtection="1" pivotButton="0" quotePrefix="0" xfId="0">
      <alignment horizontal="center" vertical="center" wrapText="1"/>
      <protection locked="0" hidden="0"/>
    </xf>
    <xf numFmtId="0" fontId="96" fillId="0" borderId="15" applyAlignment="1" applyProtection="1" pivotButton="0" quotePrefix="0" xfId="0">
      <alignment horizontal="justify" vertical="center" wrapText="1"/>
      <protection locked="0" hidden="0"/>
    </xf>
    <xf numFmtId="9" fontId="96" fillId="0" borderId="15" applyAlignment="1" applyProtection="1" pivotButton="0" quotePrefix="0" xfId="0">
      <alignment horizontal="right" vertical="center" wrapText="1"/>
      <protection locked="0" hidden="0"/>
    </xf>
    <xf numFmtId="164" fontId="96" fillId="0" borderId="15" applyAlignment="1" applyProtection="1" pivotButton="0" quotePrefix="0" xfId="0">
      <alignment horizontal="right" vertical="center" wrapText="1"/>
      <protection locked="0" hidden="0"/>
    </xf>
    <xf numFmtId="0" fontId="96" fillId="0" borderId="0" applyAlignment="1" applyProtection="1" pivotButton="0" quotePrefix="0" xfId="0">
      <alignment horizontal="center" vertical="center" wrapText="1"/>
      <protection locked="0" hidden="0"/>
    </xf>
    <xf numFmtId="0" fontId="96" fillId="0" borderId="13" applyAlignment="1" applyProtection="1" pivotButton="0" quotePrefix="0" xfId="0">
      <alignment horizontal="center" vertical="center" wrapText="1"/>
      <protection locked="0" hidden="0"/>
    </xf>
    <xf numFmtId="0" fontId="96" fillId="0" borderId="8" applyAlignment="1" applyProtection="1" pivotButton="0" quotePrefix="0" xfId="0">
      <alignment horizontal="right" vertical="center" wrapText="1"/>
      <protection locked="0" hidden="0"/>
    </xf>
    <xf numFmtId="0" fontId="12" fillId="0" borderId="8" applyAlignment="1" applyProtection="1" pivotButton="0" quotePrefix="0" xfId="207">
      <alignment vertical="center"/>
      <protection locked="0" hidden="0"/>
    </xf>
    <xf numFmtId="9" fontId="96" fillId="0" borderId="8" applyAlignment="1" applyProtection="1" pivotButton="0" quotePrefix="0" xfId="0">
      <alignment horizontal="right" vertical="center" wrapText="1"/>
      <protection locked="0" hidden="0"/>
    </xf>
    <xf numFmtId="10" fontId="96" fillId="0" borderId="0" applyAlignment="1" applyProtection="1" pivotButton="0" quotePrefix="0" xfId="2">
      <alignment horizontal="right" vertical="center" wrapText="1"/>
      <protection locked="0" hidden="0"/>
    </xf>
    <xf numFmtId="10" fontId="96" fillId="0" borderId="13" applyAlignment="1" applyProtection="1" pivotButton="0" quotePrefix="0" xfId="2">
      <alignment horizontal="right" vertical="center" wrapText="1"/>
      <protection locked="0" hidden="0"/>
    </xf>
    <xf numFmtId="0" fontId="111" fillId="0" borderId="11" applyAlignment="1" applyProtection="1" pivotButton="0" quotePrefix="0" xfId="0">
      <alignment horizontal="center" vertical="center" wrapText="1"/>
      <protection locked="0" hidden="0"/>
    </xf>
    <xf numFmtId="0" fontId="111" fillId="0" borderId="0" applyAlignment="1" applyProtection="1" pivotButton="0" quotePrefix="0" xfId="0">
      <alignment horizontal="right" vertical="center" wrapText="1"/>
      <protection locked="0" hidden="0"/>
    </xf>
    <xf numFmtId="10" fontId="111" fillId="0" borderId="0" applyAlignment="1" applyProtection="1" pivotButton="0" quotePrefix="0" xfId="2">
      <alignment horizontal="right" vertical="center" wrapText="1"/>
      <protection locked="0" hidden="0"/>
    </xf>
    <xf numFmtId="0" fontId="123" fillId="0" borderId="0" applyAlignment="1" applyProtection="1" pivotButton="0" quotePrefix="0" xfId="0">
      <alignment horizontal="left" vertical="center"/>
      <protection locked="0" hidden="0"/>
    </xf>
    <xf numFmtId="0" fontId="111" fillId="0" borderId="13" applyAlignment="1" applyProtection="1" pivotButton="0" quotePrefix="0" xfId="0">
      <alignment horizontal="justify" vertical="center" wrapText="1"/>
      <protection locked="0" hidden="0"/>
    </xf>
    <xf numFmtId="0" fontId="123" fillId="0" borderId="13" applyAlignment="1" applyProtection="1" pivotButton="0" quotePrefix="0" xfId="0">
      <alignment horizontal="left" vertical="center"/>
      <protection locked="0" hidden="0"/>
    </xf>
    <xf numFmtId="0" fontId="111" fillId="0" borderId="13" applyAlignment="1" applyProtection="1" pivotButton="0" quotePrefix="0" xfId="0">
      <alignment horizontal="right" vertical="center" wrapText="1"/>
      <protection locked="0" hidden="0"/>
    </xf>
    <xf numFmtId="9" fontId="96" fillId="0" borderId="15" applyAlignment="1" applyProtection="1" pivotButton="0" quotePrefix="0" xfId="0">
      <alignment horizontal="justify" vertical="center" wrapText="1"/>
      <protection locked="0" hidden="0"/>
    </xf>
    <xf numFmtId="9" fontId="96" fillId="0" borderId="0" applyAlignment="1" applyProtection="1" pivotButton="0" quotePrefix="0" xfId="0">
      <alignment horizontal="justify" vertical="center" wrapText="1"/>
      <protection locked="0" hidden="0"/>
    </xf>
    <xf numFmtId="9" fontId="96" fillId="0" borderId="13" applyAlignment="1" applyProtection="1" pivotButton="0" quotePrefix="0" xfId="0">
      <alignment horizontal="justify" vertical="center" wrapText="1"/>
      <protection locked="0" hidden="0"/>
    </xf>
    <xf numFmtId="0" fontId="145" fillId="0" borderId="13" applyAlignment="1" applyProtection="1" pivotButton="0" quotePrefix="0" xfId="0">
      <alignment horizontal="right" vertical="center"/>
      <protection locked="0" hidden="0"/>
    </xf>
    <xf numFmtId="164" fontId="96" fillId="0" borderId="0" applyAlignment="1" applyProtection="1" pivotButton="0" quotePrefix="0" xfId="207">
      <alignment vertical="center"/>
      <protection locked="0" hidden="0"/>
    </xf>
    <xf numFmtId="164" fontId="96" fillId="0" borderId="13" applyAlignment="1" applyProtection="1" pivotButton="0" quotePrefix="0" xfId="207">
      <alignment vertical="center"/>
      <protection locked="0" hidden="0"/>
    </xf>
    <xf numFmtId="0" fontId="95" fillId="0" borderId="15" applyAlignment="1" applyProtection="1" pivotButton="0" quotePrefix="0" xfId="0">
      <alignment horizontal="center" vertical="center" wrapText="1"/>
      <protection locked="0" hidden="0"/>
    </xf>
    <xf numFmtId="0" fontId="115" fillId="0" borderId="0" applyAlignment="1" applyProtection="1" pivotButton="0" quotePrefix="0" xfId="0">
      <alignment horizontal="left" vertical="center" indent="1"/>
      <protection locked="0" hidden="0"/>
    </xf>
    <xf numFmtId="164" fontId="96" fillId="0" borderId="0" applyAlignment="1" applyProtection="1" pivotButton="0" quotePrefix="0" xfId="1">
      <alignment horizontal="right" vertical="center" wrapText="1"/>
      <protection locked="0" hidden="0"/>
    </xf>
    <xf numFmtId="164" fontId="96" fillId="0" borderId="13" applyAlignment="1" applyProtection="1" pivotButton="0" quotePrefix="0" xfId="1">
      <alignment horizontal="right" vertical="center" wrapText="1"/>
      <protection locked="0" hidden="0"/>
    </xf>
    <xf numFmtId="164" fontId="96" fillId="0" borderId="0" applyAlignment="1" applyProtection="1" pivotButton="0" quotePrefix="0" xfId="1">
      <alignment horizontal="justify" vertical="center" wrapText="1"/>
      <protection locked="0" hidden="0"/>
    </xf>
    <xf numFmtId="164" fontId="96" fillId="0" borderId="13" applyAlignment="1" applyProtection="1" pivotButton="0" quotePrefix="0" xfId="1">
      <alignment horizontal="justify" vertical="center" wrapText="1"/>
      <protection locked="0" hidden="0"/>
    </xf>
    <xf numFmtId="0" fontId="12" fillId="0" borderId="0" applyAlignment="1" applyProtection="1" pivotButton="0" quotePrefix="0" xfId="0">
      <alignment horizontal="right" vertical="center" wrapText="1"/>
      <protection locked="0" hidden="0"/>
    </xf>
    <xf numFmtId="0" fontId="96" fillId="0" borderId="15" applyAlignment="1" applyProtection="1" pivotButton="0" quotePrefix="0" xfId="0">
      <alignment horizontal="left" vertical="center"/>
      <protection locked="0" hidden="0"/>
    </xf>
    <xf numFmtId="164" fontId="96" fillId="0" borderId="15" applyAlignment="1" applyProtection="1" pivotButton="0" quotePrefix="0" xfId="1">
      <alignment horizontal="right" vertical="center" wrapText="1"/>
      <protection locked="0" hidden="0"/>
    </xf>
    <xf numFmtId="164" fontId="96" fillId="0" borderId="0" applyAlignment="1" applyProtection="1" pivotButton="0" quotePrefix="0" xfId="1">
      <alignment horizontal="right" vertical="center" wrapText="1"/>
      <protection locked="0" hidden="0"/>
    </xf>
    <xf numFmtId="0" fontId="151" fillId="0" borderId="13" applyAlignment="1" applyProtection="1" pivotButton="0" quotePrefix="0" xfId="0">
      <alignment horizontal="center" vertical="center" wrapText="1"/>
      <protection locked="0" hidden="0"/>
    </xf>
    <xf numFmtId="0" fontId="151" fillId="0" borderId="36" applyAlignment="1" applyProtection="1" pivotButton="0" quotePrefix="0" xfId="0">
      <alignment horizontal="center" vertical="center" wrapText="1"/>
      <protection locked="0" hidden="0"/>
    </xf>
    <xf numFmtId="0" fontId="150" fillId="0" borderId="13" applyAlignment="1" applyProtection="1" pivotButton="0" quotePrefix="0" xfId="0">
      <alignment horizontal="justify" vertical="center" wrapText="1"/>
      <protection locked="0" hidden="0"/>
    </xf>
    <xf numFmtId="0" fontId="115" fillId="0" borderId="0" applyAlignment="1" applyProtection="1" pivotButton="0" quotePrefix="0" xfId="0">
      <alignment horizontal="justify" vertical="center" wrapText="1"/>
      <protection locked="0" hidden="0"/>
    </xf>
    <xf numFmtId="0" fontId="115" fillId="0" borderId="0" applyAlignment="1" applyProtection="1" pivotButton="0" quotePrefix="0" xfId="0">
      <alignment horizontal="right" vertical="center" wrapText="1"/>
      <protection locked="0" hidden="0"/>
    </xf>
    <xf numFmtId="164" fontId="115" fillId="0" borderId="0" applyAlignment="1" applyProtection="1" pivotButton="0" quotePrefix="0" xfId="1">
      <alignment horizontal="right" vertical="center" wrapText="1"/>
      <protection locked="0" hidden="0"/>
    </xf>
    <xf numFmtId="0" fontId="115" fillId="0" borderId="0" applyAlignment="1" applyProtection="1" pivotButton="0" quotePrefix="0" xfId="0">
      <alignment horizontal="left" vertical="center" wrapText="1"/>
      <protection locked="0" hidden="0"/>
    </xf>
    <xf numFmtId="164" fontId="115" fillId="0" borderId="0" applyAlignment="1" applyProtection="1" pivotButton="0" quotePrefix="0" xfId="1">
      <alignment horizontal="left" vertical="center" wrapText="1"/>
      <protection locked="0" hidden="0"/>
    </xf>
    <xf numFmtId="0" fontId="96" fillId="0" borderId="13" applyAlignment="1" applyProtection="1" pivotButton="0" quotePrefix="0" xfId="0">
      <alignment horizontal="left" vertical="center"/>
      <protection locked="0" hidden="0"/>
    </xf>
    <xf numFmtId="0" fontId="115" fillId="0" borderId="13" applyAlignment="1" applyProtection="1" pivotButton="0" quotePrefix="0" xfId="0">
      <alignment horizontal="justify" vertical="center" wrapText="1"/>
      <protection locked="0" hidden="0"/>
    </xf>
    <xf numFmtId="164" fontId="115" fillId="0" borderId="13" applyAlignment="1" applyProtection="1" pivotButton="0" quotePrefix="0" xfId="1">
      <alignment horizontal="right" vertical="center" wrapText="1"/>
      <protection locked="0" hidden="0"/>
    </xf>
    <xf numFmtId="0" fontId="115" fillId="0" borderId="13" applyAlignment="1" applyProtection="1" pivotButton="0" quotePrefix="0" xfId="0">
      <alignment horizontal="left" vertical="center" wrapText="1"/>
      <protection locked="0" hidden="0"/>
    </xf>
    <xf numFmtId="164" fontId="115" fillId="0" borderId="13" applyAlignment="1" applyProtection="1" pivotButton="0" quotePrefix="0" xfId="1">
      <alignment horizontal="left" vertical="center" wrapText="1"/>
      <protection locked="0" hidden="0"/>
    </xf>
    <xf numFmtId="164" fontId="112" fillId="0" borderId="0" applyAlignment="1" applyProtection="1" pivotButton="0" quotePrefix="0" xfId="1">
      <alignment horizontal="right" vertical="center" wrapText="1"/>
      <protection locked="0" hidden="0"/>
    </xf>
    <xf numFmtId="164" fontId="96" fillId="0" borderId="0" applyAlignment="1" applyProtection="1" pivotButton="0" quotePrefix="0" xfId="1">
      <alignment vertical="center"/>
      <protection locked="0" hidden="0"/>
    </xf>
    <xf numFmtId="164" fontId="111" fillId="0" borderId="0" applyAlignment="1" applyProtection="1" pivotButton="0" quotePrefix="0" xfId="1">
      <alignment horizontal="right" vertical="center" wrapText="1"/>
      <protection locked="0" hidden="0"/>
    </xf>
    <xf numFmtId="164" fontId="112" fillId="0" borderId="13" applyAlignment="1" applyProtection="1" pivotButton="0" quotePrefix="0" xfId="1">
      <alignment horizontal="right" vertical="center" wrapText="1"/>
      <protection locked="0" hidden="0"/>
    </xf>
    <xf numFmtId="164" fontId="96" fillId="0" borderId="13" applyAlignment="1" applyProtection="1" pivotButton="0" quotePrefix="0" xfId="1">
      <alignment vertical="center"/>
      <protection locked="0" hidden="0"/>
    </xf>
    <xf numFmtId="0" fontId="84" fillId="0" borderId="0" applyAlignment="1" pivotButton="0" quotePrefix="0" xfId="0">
      <alignment vertical="center"/>
    </xf>
    <xf numFmtId="0" fontId="111" fillId="0" borderId="11" applyAlignment="1" pivotButton="0" quotePrefix="0" xfId="0">
      <alignment horizontal="center" vertical="center" wrapText="1"/>
    </xf>
    <xf numFmtId="164" fontId="114" fillId="0" borderId="0" applyAlignment="1" pivotButton="0" quotePrefix="0" xfId="1">
      <alignment horizontal="right" vertical="center" wrapText="1"/>
    </xf>
    <xf numFmtId="164" fontId="111" fillId="0" borderId="0" applyAlignment="1" pivotButton="0" quotePrefix="0" xfId="1">
      <alignment horizontal="right" vertical="center" wrapText="1"/>
    </xf>
    <xf numFmtId="164" fontId="113" fillId="0" borderId="0" applyAlignment="1" pivotButton="0" quotePrefix="0" xfId="1">
      <alignment horizontal="right" vertical="center" wrapText="1"/>
    </xf>
    <xf numFmtId="164" fontId="112" fillId="0" borderId="15" applyAlignment="1" pivotButton="0" quotePrefix="0" xfId="1">
      <alignment horizontal="right" vertical="center" wrapText="1"/>
    </xf>
    <xf numFmtId="164" fontId="112" fillId="0" borderId="13" applyAlignment="1" pivotButton="0" quotePrefix="0" xfId="1">
      <alignment horizontal="right" vertical="center" wrapText="1"/>
    </xf>
    <xf numFmtId="0" fontId="12" fillId="0" borderId="0" applyAlignment="1" applyProtection="1" pivotButton="0" quotePrefix="0" xfId="0">
      <alignment horizontal="justify" vertical="center"/>
      <protection locked="0" hidden="0"/>
    </xf>
    <xf numFmtId="0" fontId="152" fillId="0" borderId="0" applyAlignment="1" applyProtection="1" pivotButton="0" quotePrefix="0" xfId="0">
      <alignment horizontal="justify" vertical="center" wrapText="1"/>
      <protection locked="0" hidden="0"/>
    </xf>
    <xf numFmtId="0" fontId="153" fillId="0" borderId="0" applyAlignment="1" applyProtection="1" pivotButton="0" quotePrefix="0" xfId="0">
      <alignment horizontal="justify" vertical="center" wrapText="1"/>
      <protection locked="0" hidden="0"/>
    </xf>
    <xf numFmtId="0" fontId="148" fillId="0" borderId="0" applyAlignment="1" applyProtection="1" pivotButton="0" quotePrefix="0" xfId="0">
      <alignment horizontal="justify" vertical="center" wrapText="1"/>
      <protection locked="0" hidden="0"/>
    </xf>
    <xf numFmtId="0" fontId="148" fillId="0" borderId="13" applyAlignment="1" applyProtection="1" pivotButton="0" quotePrefix="0" xfId="0">
      <alignment horizontal="justify" vertical="center" wrapText="1"/>
      <protection locked="0" hidden="0"/>
    </xf>
    <xf numFmtId="0" fontId="147" fillId="0" borderId="13" applyAlignment="1" applyProtection="1" pivotButton="0" quotePrefix="0" xfId="0">
      <alignment horizontal="justify" vertical="center" wrapText="1"/>
      <protection locked="0" hidden="0"/>
    </xf>
    <xf numFmtId="0" fontId="115" fillId="0" borderId="0" applyAlignment="1" applyProtection="1" pivotButton="0" quotePrefix="0" xfId="0">
      <alignment horizontal="justify" vertical="center"/>
      <protection locked="0" hidden="0"/>
    </xf>
    <xf numFmtId="164" fontId="115" fillId="0" borderId="0" applyAlignment="1" pivotButton="0" quotePrefix="0" xfId="0">
      <alignment horizontal="center" vertical="center"/>
    </xf>
    <xf numFmtId="164" fontId="116" fillId="0" borderId="0" applyAlignment="1" pivotButton="0" quotePrefix="0" xfId="0">
      <alignment horizontal="center" vertical="center"/>
    </xf>
    <xf numFmtId="164" fontId="115" fillId="0" borderId="13" applyAlignment="1" pivotButton="0" quotePrefix="0" xfId="0">
      <alignment horizontal="center" vertical="center"/>
    </xf>
    <xf numFmtId="0" fontId="115" fillId="0" borderId="0" applyAlignment="1" pivotButton="0" quotePrefix="0" xfId="0">
      <alignment horizontal="left" vertical="center"/>
    </xf>
    <xf numFmtId="0" fontId="115" fillId="0" borderId="0" applyAlignment="1" pivotButton="0" quotePrefix="0" xfId="0">
      <alignment horizontal="justify" vertical="center"/>
    </xf>
    <xf numFmtId="164" fontId="115" fillId="0" borderId="15" applyAlignment="1" pivotButton="0" quotePrefix="0" xfId="1">
      <alignment vertical="center" wrapText="1"/>
    </xf>
    <xf numFmtId="164" fontId="115" fillId="0" borderId="0" applyAlignment="1" pivotButton="0" quotePrefix="0" xfId="1">
      <alignment vertical="center" wrapText="1"/>
    </xf>
    <xf numFmtId="164" fontId="115" fillId="0" borderId="13" applyAlignment="1" pivotButton="0" quotePrefix="0" xfId="1">
      <alignment vertical="center" wrapText="1"/>
    </xf>
    <xf numFmtId="164" fontId="115" fillId="0" borderId="15" applyAlignment="1" pivotButton="0" quotePrefix="0" xfId="0">
      <alignment vertical="center" wrapText="1"/>
    </xf>
    <xf numFmtId="164" fontId="115" fillId="0" borderId="0" applyAlignment="1" pivotButton="0" quotePrefix="0" xfId="0">
      <alignment vertical="center" wrapText="1"/>
    </xf>
    <xf numFmtId="164" fontId="116" fillId="0" borderId="0" applyAlignment="1" pivotButton="0" quotePrefix="0" xfId="0">
      <alignment vertical="center" wrapText="1"/>
    </xf>
    <xf numFmtId="164" fontId="115" fillId="0" borderId="13" applyAlignment="1" pivotButton="0" quotePrefix="0" xfId="0">
      <alignment vertical="center" wrapText="1"/>
    </xf>
    <xf numFmtId="0" fontId="116" fillId="0" borderId="11" applyAlignment="1" pivotButton="0" quotePrefix="0" xfId="0">
      <alignment horizontal="center" vertical="center" wrapText="1"/>
    </xf>
    <xf numFmtId="0" fontId="115" fillId="0" borderId="0" applyAlignment="1" pivotButton="0" quotePrefix="0" xfId="0">
      <alignment horizontal="justify" vertical="center" wrapText="1"/>
    </xf>
    <xf numFmtId="164" fontId="115" fillId="0" borderId="0" applyAlignment="1" pivotButton="0" quotePrefix="0" xfId="0">
      <alignment horizontal="justify" vertical="center" wrapText="1"/>
    </xf>
    <xf numFmtId="164" fontId="115" fillId="0" borderId="0" applyAlignment="1" pivotButton="0" quotePrefix="0" xfId="1">
      <alignment horizontal="justify" vertical="center" wrapText="1"/>
    </xf>
    <xf numFmtId="164" fontId="115" fillId="0" borderId="13" applyAlignment="1" pivotButton="0" quotePrefix="0" xfId="0">
      <alignment horizontal="justify" vertical="center" wrapText="1"/>
    </xf>
    <xf numFmtId="164" fontId="115" fillId="0" borderId="13" applyAlignment="1" pivotButton="0" quotePrefix="0" xfId="1">
      <alignment horizontal="justify" vertical="center" wrapText="1"/>
    </xf>
    <xf numFmtId="0" fontId="115" fillId="0" borderId="0" applyAlignment="1" pivotButton="0" quotePrefix="0" xfId="0">
      <alignment vertical="center"/>
    </xf>
    <xf numFmtId="164" fontId="114" fillId="0" borderId="0" applyAlignment="1" pivotButton="0" quotePrefix="0" xfId="1">
      <alignment horizontal="right" vertical="center" wrapText="1"/>
    </xf>
    <xf numFmtId="0" fontId="69" fillId="0" borderId="14" applyAlignment="1" pivotButton="0" quotePrefix="0" xfId="212">
      <alignment horizontal="left" vertical="center"/>
    </xf>
    <xf numFmtId="0" fontId="7" fillId="13" borderId="14" applyAlignment="1" pivotButton="0" quotePrefix="0" xfId="212">
      <alignment horizontal="center" vertical="center"/>
    </xf>
    <xf numFmtId="0" fontId="69" fillId="0" borderId="14" applyAlignment="1" pivotButton="0" quotePrefix="0" xfId="212">
      <alignment horizontal="left" vertical="center" wrapText="1"/>
    </xf>
    <xf numFmtId="0" fontId="13" fillId="0" borderId="14" applyAlignment="1" pivotButton="0" quotePrefix="0" xfId="212">
      <alignment vertical="center"/>
    </xf>
    <xf numFmtId="0" fontId="82" fillId="0" borderId="0" applyAlignment="1" pivotButton="0" quotePrefix="0" xfId="0">
      <alignment vertical="center"/>
    </xf>
    <xf numFmtId="0" fontId="82" fillId="0" borderId="0" applyAlignment="1" pivotButton="0" quotePrefix="0" xfId="0">
      <alignment vertical="center" wrapText="1"/>
    </xf>
    <xf numFmtId="164" fontId="9" fillId="0" borderId="14" applyAlignment="1" pivotButton="0" quotePrefix="0" xfId="0">
      <alignment vertical="center" wrapText="1"/>
    </xf>
    <xf numFmtId="0" fontId="80" fillId="0" borderId="0" applyAlignment="1" pivotButton="0" quotePrefix="0" xfId="0">
      <alignment horizontal="left" vertical="center"/>
    </xf>
    <xf numFmtId="164" fontId="87" fillId="0" borderId="14" applyAlignment="1" pivotButton="0" quotePrefix="0" xfId="0">
      <alignment vertical="center" wrapText="1"/>
    </xf>
    <xf numFmtId="0" fontId="13" fillId="0" borderId="1" applyAlignment="1" applyProtection="1" pivotButton="0" quotePrefix="0" xfId="0">
      <alignment vertical="center" wrapText="1"/>
      <protection locked="0" hidden="0"/>
    </xf>
    <xf numFmtId="0" fontId="13" fillId="0" borderId="2" applyAlignment="1" applyProtection="1" pivotButton="0" quotePrefix="0" xfId="0">
      <alignment vertical="center" wrapText="1"/>
      <protection locked="0" hidden="0"/>
    </xf>
    <xf numFmtId="0" fontId="13" fillId="0" borderId="4" applyAlignment="1" applyProtection="1" pivotButton="0" quotePrefix="0" xfId="0">
      <alignment vertical="center" wrapText="1"/>
      <protection locked="0" hidden="0"/>
    </xf>
    <xf numFmtId="0" fontId="13" fillId="0" borderId="5" applyAlignment="1" applyProtection="1" pivotButton="0" quotePrefix="0" xfId="0">
      <alignment vertical="center" wrapText="1"/>
      <protection locked="0" hidden="0"/>
    </xf>
    <xf numFmtId="0" fontId="79" fillId="0" borderId="3" applyAlignment="1" applyProtection="1" pivotButton="0" quotePrefix="0" xfId="0">
      <alignment vertical="center" wrapText="1"/>
      <protection locked="0" hidden="0"/>
    </xf>
    <xf numFmtId="0" fontId="79" fillId="0" borderId="6" applyAlignment="1" applyProtection="1" pivotButton="0" quotePrefix="0" xfId="0">
      <alignment vertical="center" wrapText="1"/>
      <protection locked="0" hidden="0"/>
    </xf>
    <xf numFmtId="0" fontId="79" fillId="0" borderId="14" applyAlignment="1" applyProtection="1" pivotButton="0" quotePrefix="0" xfId="0">
      <alignment vertical="center" wrapText="1"/>
      <protection locked="0" hidden="0"/>
    </xf>
    <xf numFmtId="0" fontId="7" fillId="0" borderId="20" applyAlignment="1" pivotButton="0" quotePrefix="0" xfId="254">
      <alignment vertical="center"/>
    </xf>
    <xf numFmtId="0" fontId="88" fillId="0" borderId="19" applyAlignment="1" pivotButton="0" quotePrefix="0" xfId="254">
      <alignment vertical="center"/>
    </xf>
    <xf numFmtId="0" fontId="80" fillId="0" borderId="0" applyAlignment="1" pivotButton="0" quotePrefix="0" xfId="254">
      <alignment vertical="center" wrapText="1"/>
    </xf>
    <xf numFmtId="0" fontId="80" fillId="0" borderId="0" applyAlignment="1" pivotButton="0" quotePrefix="0" xfId="254">
      <alignment vertical="center"/>
    </xf>
    <xf numFmtId="0" fontId="80" fillId="0" borderId="0" applyAlignment="1" pivotButton="0" quotePrefix="0" xfId="254">
      <alignment horizontal="left" vertical="center"/>
    </xf>
    <xf numFmtId="164" fontId="7" fillId="0" borderId="0" applyAlignment="1" applyProtection="1" pivotButton="0" quotePrefix="0" xfId="0">
      <alignment horizontal="justify" vertical="center" wrapText="1"/>
      <protection locked="0" hidden="0"/>
    </xf>
    <xf numFmtId="0" fontId="7" fillId="0" borderId="0" applyAlignment="1" applyProtection="1" pivotButton="0" quotePrefix="0" xfId="0">
      <alignment horizontal="center" vertical="center" wrapText="1"/>
      <protection locked="0" hidden="0"/>
    </xf>
    <xf numFmtId="10" fontId="9" fillId="0" borderId="0" applyAlignment="1" applyProtection="1" pivotButton="0" quotePrefix="0" xfId="2">
      <alignment horizontal="center" vertical="center" wrapText="1"/>
      <protection locked="0" hidden="0"/>
    </xf>
    <xf numFmtId="164" fontId="7" fillId="0" borderId="23" applyAlignment="1" applyProtection="1" pivotButton="0" quotePrefix="0" xfId="0">
      <alignment horizontal="justify" vertical="center" wrapText="1"/>
      <protection locked="0" hidden="0"/>
    </xf>
    <xf numFmtId="0" fontId="9" fillId="0" borderId="23" applyAlignment="1" pivotButton="0" quotePrefix="0" xfId="254">
      <alignment vertical="center"/>
    </xf>
    <xf numFmtId="165" fontId="7" fillId="36" borderId="23" applyAlignment="1" pivotButton="0" quotePrefix="0" xfId="381">
      <alignment horizontal="center" vertical="center" wrapText="1"/>
    </xf>
    <xf numFmtId="164" fontId="9" fillId="0" borderId="23" applyAlignment="1" pivotButton="0" quotePrefix="0" xfId="254">
      <alignment vertical="center"/>
    </xf>
    <xf numFmtId="164" fontId="9" fillId="36" borderId="14" applyAlignment="1" applyProtection="1" pivotButton="0" quotePrefix="0" xfId="2">
      <alignment horizontal="center" vertical="center" wrapText="1"/>
      <protection locked="0" hidden="0"/>
    </xf>
    <xf numFmtId="164" fontId="7" fillId="0" borderId="14" applyAlignment="1" applyProtection="1" pivotButton="0" quotePrefix="0" xfId="0">
      <alignment horizontal="justify" vertical="center" wrapText="1"/>
      <protection locked="0" hidden="0"/>
    </xf>
    <xf numFmtId="0" fontId="92" fillId="13" borderId="14" applyAlignment="1" applyProtection="1" pivotButton="0" quotePrefix="0" xfId="0">
      <alignment horizontal="center" vertical="center" wrapText="1"/>
      <protection locked="0" hidden="0"/>
    </xf>
    <xf numFmtId="0" fontId="13" fillId="0" borderId="14" applyAlignment="1" applyProtection="1" pivotButton="0" quotePrefix="0" xfId="0">
      <alignment vertical="center" wrapText="1"/>
      <protection locked="0" hidden="0"/>
    </xf>
    <xf numFmtId="0" fontId="13" fillId="0" borderId="16" applyAlignment="1" applyProtection="1" pivotButton="0" quotePrefix="0" xfId="0">
      <alignment horizontal="right" vertical="center" wrapText="1"/>
      <protection locked="0" hidden="0"/>
    </xf>
    <xf numFmtId="0" fontId="5" fillId="0" borderId="0" applyAlignment="1" pivotButton="0" quotePrefix="0" xfId="254">
      <alignment vertical="center"/>
    </xf>
    <xf numFmtId="0" fontId="82" fillId="0" borderId="0" applyAlignment="1" pivotButton="0" quotePrefix="0" xfId="253">
      <alignment vertical="center"/>
    </xf>
    <xf numFmtId="0" fontId="80" fillId="0" borderId="0" applyAlignment="1" pivotButton="0" quotePrefix="0" xfId="253">
      <alignment vertical="center"/>
    </xf>
    <xf numFmtId="165" fontId="80" fillId="0" borderId="0" applyAlignment="1" pivotButton="0" quotePrefix="0" xfId="253">
      <alignment vertical="center"/>
    </xf>
    <xf numFmtId="0" fontId="9" fillId="38" borderId="0" applyAlignment="1" applyProtection="1" pivotButton="0" quotePrefix="0" xfId="0">
      <alignment vertical="center"/>
      <protection locked="0" hidden="0"/>
    </xf>
    <xf numFmtId="0" fontId="82" fillId="38" borderId="0" applyAlignment="1" pivotButton="0" quotePrefix="0" xfId="253">
      <alignment vertical="center"/>
    </xf>
    <xf numFmtId="0" fontId="80" fillId="38" borderId="0" applyAlignment="1" applyProtection="1" pivotButton="0" quotePrefix="0" xfId="0">
      <alignment vertical="center"/>
      <protection locked="0" hidden="0"/>
    </xf>
    <xf numFmtId="0" fontId="7" fillId="38" borderId="0" applyAlignment="1" pivotButton="0" quotePrefix="0" xfId="253">
      <alignment vertical="center"/>
    </xf>
    <xf numFmtId="0" fontId="80" fillId="38" borderId="0" applyAlignment="1" pivotButton="0" quotePrefix="0" xfId="253">
      <alignment vertical="center"/>
    </xf>
    <xf numFmtId="164" fontId="79" fillId="0" borderId="23" applyAlignment="1" applyProtection="1" pivotButton="0" quotePrefix="0" xfId="1">
      <alignment vertical="center"/>
      <protection locked="0" hidden="0"/>
    </xf>
    <xf numFmtId="164" fontId="79" fillId="36" borderId="23" applyAlignment="1" applyProtection="1" pivotButton="0" quotePrefix="0" xfId="1">
      <alignment vertical="center"/>
      <protection locked="0" hidden="0"/>
    </xf>
    <xf numFmtId="0" fontId="5" fillId="0" borderId="0" applyAlignment="1" pivotButton="0" quotePrefix="0" xfId="0">
      <alignment vertical="center"/>
    </xf>
    <xf numFmtId="0" fontId="68" fillId="0" borderId="0" applyAlignment="1" pivotButton="0" quotePrefix="0" xfId="211">
      <alignment vertical="center"/>
    </xf>
    <xf numFmtId="0" fontId="69" fillId="0" borderId="0" applyAlignment="1" pivotButton="0" quotePrefix="0" xfId="211">
      <alignment vertical="center" wrapText="1"/>
    </xf>
    <xf numFmtId="0" fontId="0" fillId="0" borderId="0" applyAlignment="1" applyProtection="1" pivotButton="0" quotePrefix="0" xfId="0">
      <alignment vertical="center"/>
      <protection locked="0" hidden="0"/>
    </xf>
    <xf numFmtId="0" fontId="9" fillId="0" borderId="20" applyAlignment="1" pivotButton="0" quotePrefix="0" xfId="0">
      <alignment vertical="center"/>
    </xf>
    <xf numFmtId="0" fontId="7" fillId="13" borderId="23" applyAlignment="1" pivotButton="0" quotePrefix="0" xfId="254">
      <alignment vertical="center"/>
    </xf>
    <xf numFmtId="0" fontId="7" fillId="13" borderId="23" applyAlignment="1" pivotButton="0" quotePrefix="0" xfId="254">
      <alignment horizontal="center" vertical="center"/>
    </xf>
    <xf numFmtId="9" fontId="9" fillId="36" borderId="23" applyAlignment="1" pivotButton="0" quotePrefix="0" xfId="2">
      <alignment horizontal="right" vertical="center" wrapText="1"/>
    </xf>
    <xf numFmtId="0" fontId="13" fillId="13" borderId="23" applyAlignment="1" pivotButton="0" quotePrefix="0" xfId="0">
      <alignment vertical="center" wrapText="1"/>
    </xf>
    <xf numFmtId="164" fontId="9" fillId="13" borderId="23" applyAlignment="1" pivotButton="0" quotePrefix="0" xfId="1">
      <alignment vertical="center" wrapText="1"/>
    </xf>
    <xf numFmtId="0" fontId="12" fillId="0" borderId="23" applyAlignment="1" applyProtection="1" pivotButton="0" quotePrefix="0" xfId="0">
      <alignment vertical="center"/>
      <protection locked="0" hidden="0"/>
    </xf>
    <xf numFmtId="164" fontId="9" fillId="0" borderId="23" applyAlignment="1" pivotButton="0" quotePrefix="0" xfId="1">
      <alignment vertical="center" wrapText="1"/>
    </xf>
    <xf numFmtId="164" fontId="9" fillId="36" borderId="23" applyAlignment="1" pivotButton="0" quotePrefix="0" xfId="0">
      <alignment vertical="center" wrapText="1"/>
    </xf>
    <xf numFmtId="164" fontId="9" fillId="36" borderId="23" applyAlignment="1" pivotButton="0" quotePrefix="0" xfId="1">
      <alignment vertical="center" wrapText="1"/>
    </xf>
    <xf numFmtId="164" fontId="9" fillId="0" borderId="23" applyAlignment="1" pivotButton="0" quotePrefix="0" xfId="1">
      <alignment horizontal="right" vertical="center" wrapText="1"/>
    </xf>
    <xf numFmtId="0" fontId="7" fillId="36" borderId="14" applyAlignment="1" pivotButton="0" quotePrefix="0" xfId="0">
      <alignment vertical="center"/>
    </xf>
    <xf numFmtId="0" fontId="5" fillId="36" borderId="14" applyAlignment="1" pivotButton="0" quotePrefix="0" xfId="0">
      <alignment vertical="center"/>
    </xf>
    <xf numFmtId="0" fontId="81" fillId="0" borderId="14" applyAlignment="1" applyProtection="1" pivotButton="0" quotePrefix="0" xfId="0">
      <alignment horizontal="center" vertical="center" wrapText="1"/>
      <protection locked="0" hidden="0"/>
    </xf>
    <xf numFmtId="0" fontId="9" fillId="0" borderId="3" applyAlignment="1" applyProtection="1" pivotButton="0" quotePrefix="0" xfId="0">
      <alignment vertical="center" wrapText="1"/>
      <protection locked="0" hidden="0"/>
    </xf>
    <xf numFmtId="0" fontId="9" fillId="0" borderId="6" applyAlignment="1" applyProtection="1" pivotButton="0" quotePrefix="0" xfId="0">
      <alignment vertical="center" wrapText="1"/>
      <protection locked="0" hidden="0"/>
    </xf>
    <xf numFmtId="0" fontId="69" fillId="13" borderId="14" applyAlignment="1" applyProtection="1" pivotButton="0" quotePrefix="0" xfId="0">
      <alignment horizontal="center" vertical="center" wrapText="1"/>
      <protection locked="0" hidden="0"/>
    </xf>
    <xf numFmtId="0" fontId="7" fillId="0" borderId="0" applyAlignment="1" pivotButton="0" quotePrefix="0" xfId="253">
      <alignment vertical="center"/>
    </xf>
    <xf numFmtId="164" fontId="7" fillId="36" borderId="0" applyAlignment="1" pivotButton="0" quotePrefix="0" xfId="1">
      <alignment vertical="center"/>
    </xf>
    <xf numFmtId="0" fontId="7" fillId="0" borderId="0" applyAlignment="1" pivotButton="0" quotePrefix="0" xfId="253">
      <alignment horizontal="center" vertical="center" wrapText="1"/>
    </xf>
    <xf numFmtId="0" fontId="88" fillId="0" borderId="0" applyAlignment="1" pivotButton="0" quotePrefix="0" xfId="253">
      <alignment vertical="center"/>
    </xf>
    <xf numFmtId="0" fontId="7" fillId="0" borderId="0" applyAlignment="1" pivotButton="0" quotePrefix="0" xfId="253">
      <alignment horizontal="center" vertical="center"/>
    </xf>
    <xf numFmtId="0" fontId="88" fillId="0" borderId="0" applyAlignment="1" applyProtection="1" pivotButton="0" quotePrefix="0" xfId="0">
      <alignment vertical="center"/>
      <protection locked="0" hidden="0"/>
    </xf>
    <xf numFmtId="0" fontId="80" fillId="0" borderId="0" applyAlignment="1" pivotButton="0" quotePrefix="0" xfId="253">
      <alignment vertical="center" wrapText="1"/>
    </xf>
    <xf numFmtId="0" fontId="82" fillId="0" borderId="0" applyAlignment="1" pivotButton="0" quotePrefix="0" xfId="253">
      <alignment vertical="center" wrapText="1"/>
    </xf>
    <xf numFmtId="0" fontId="5" fillId="13" borderId="14" applyAlignment="1" pivotButton="0" quotePrefix="0" xfId="253">
      <alignment horizontal="center" vertical="center" wrapText="1"/>
    </xf>
    <xf numFmtId="0" fontId="9" fillId="36" borderId="24" applyAlignment="1" pivotButton="0" quotePrefix="0" xfId="254">
      <alignment vertical="center"/>
    </xf>
    <xf numFmtId="0" fontId="9" fillId="36" borderId="0" applyAlignment="1" pivotButton="0" quotePrefix="0" xfId="0">
      <alignment vertical="center"/>
    </xf>
    <xf numFmtId="0" fontId="5" fillId="36" borderId="0" applyAlignment="1" pivotButton="0" quotePrefix="0" xfId="0">
      <alignment vertical="center"/>
    </xf>
    <xf numFmtId="0" fontId="5" fillId="36" borderId="14" applyAlignment="1" pivotButton="0" quotePrefix="0" xfId="0">
      <alignment horizontal="center" vertical="center" wrapText="1"/>
    </xf>
    <xf numFmtId="0" fontId="5" fillId="36" borderId="16" applyAlignment="1" pivotButton="0" quotePrefix="0" xfId="0">
      <alignment horizontal="center" vertical="center" wrapText="1"/>
    </xf>
    <xf numFmtId="0" fontId="13" fillId="0" borderId="23" applyAlignment="1" pivotButton="0" quotePrefix="0" xfId="0">
      <alignment vertical="center" wrapText="1"/>
    </xf>
    <xf numFmtId="164" fontId="9" fillId="0" borderId="23" applyAlignment="1" applyProtection="1" pivotButton="0" quotePrefix="0" xfId="1">
      <alignment vertical="center"/>
      <protection locked="0" hidden="0"/>
    </xf>
    <xf numFmtId="0" fontId="72" fillId="0" borderId="0" applyAlignment="1" pivotButton="0" quotePrefix="0" xfId="0">
      <alignment vertical="center"/>
    </xf>
    <xf numFmtId="0" fontId="9" fillId="0" borderId="23" applyAlignment="1" applyProtection="1" pivotButton="0" quotePrefix="0" xfId="0">
      <alignment horizontal="left" vertical="center" wrapText="1"/>
      <protection locked="0" hidden="0"/>
    </xf>
    <xf numFmtId="0" fontId="9" fillId="0" borderId="23" applyAlignment="1" pivotButton="0" quotePrefix="0" xfId="0">
      <alignment horizontal="center" vertical="center" wrapText="1"/>
    </xf>
    <xf numFmtId="0" fontId="9" fillId="0" borderId="14" applyAlignment="1" pivotButton="0" quotePrefix="0" xfId="254">
      <alignment horizontal="left" vertical="center"/>
    </xf>
    <xf numFmtId="0" fontId="7" fillId="36" borderId="23" applyAlignment="1" applyProtection="1" pivotButton="0" quotePrefix="0" xfId="0">
      <alignment horizontal="center" vertical="center" wrapText="1"/>
      <protection locked="0" hidden="0"/>
    </xf>
    <xf numFmtId="0" fontId="157" fillId="0" borderId="0" applyProtection="1" pivotButton="0" quotePrefix="0" xfId="0">
      <protection locked="0" hidden="0"/>
    </xf>
    <xf numFmtId="0" fontId="157" fillId="0" borderId="0" applyAlignment="1" applyProtection="1" pivotButton="0" quotePrefix="0" xfId="0">
      <alignment vertical="center"/>
      <protection locked="0" hidden="0"/>
    </xf>
    <xf numFmtId="0" fontId="157" fillId="0" borderId="0" applyProtection="1" pivotButton="0" quotePrefix="0" xfId="376">
      <protection locked="0" hidden="0"/>
    </xf>
    <xf numFmtId="168" fontId="157" fillId="0" borderId="0" applyAlignment="1" pivotButton="0" quotePrefix="0" xfId="282">
      <alignment vertical="center"/>
    </xf>
    <xf numFmtId="0" fontId="157" fillId="0" borderId="0" applyAlignment="1" pivotButton="0" quotePrefix="0" xfId="244">
      <alignment vertical="center" wrapText="1"/>
    </xf>
    <xf numFmtId="0" fontId="157" fillId="0" borderId="0" applyAlignment="1" pivotButton="0" quotePrefix="0" xfId="254">
      <alignment vertical="center"/>
    </xf>
    <xf numFmtId="0" fontId="121" fillId="0" borderId="0" applyAlignment="1" applyProtection="1" pivotButton="0" quotePrefix="0" xfId="0">
      <alignment vertical="center"/>
      <protection locked="0" hidden="0"/>
    </xf>
    <xf numFmtId="0" fontId="121" fillId="0" borderId="0" applyAlignment="1" pivotButton="0" quotePrefix="0" xfId="244">
      <alignment vertical="center"/>
    </xf>
    <xf numFmtId="0" fontId="121" fillId="0" borderId="0" applyAlignment="1" pivotButton="0" quotePrefix="0" xfId="244">
      <alignment horizontal="center" vertical="center"/>
    </xf>
    <xf numFmtId="0" fontId="157" fillId="0" borderId="0" applyAlignment="1" pivotButton="0" quotePrefix="0" xfId="244">
      <alignment vertical="center"/>
    </xf>
    <xf numFmtId="0" fontId="121" fillId="0" borderId="0" applyAlignment="1" applyProtection="1" pivotButton="0" quotePrefix="0" xfId="207">
      <alignment vertical="center"/>
      <protection locked="0" hidden="0"/>
    </xf>
    <xf numFmtId="164" fontId="157" fillId="0" borderId="0" applyAlignment="1" pivotButton="0" quotePrefix="0" xfId="4">
      <alignment vertical="center"/>
    </xf>
    <xf numFmtId="168" fontId="159" fillId="0" borderId="0" applyAlignment="1" pivotButton="0" quotePrefix="0" xfId="282">
      <alignment vertical="center"/>
    </xf>
    <xf numFmtId="0" fontId="159" fillId="0" borderId="0" applyProtection="1" pivotButton="0" quotePrefix="0" xfId="0">
      <protection locked="0" hidden="0"/>
    </xf>
    <xf numFmtId="0" fontId="159" fillId="0" borderId="0" applyAlignment="1" applyProtection="1" pivotButton="0" quotePrefix="0" xfId="0">
      <alignment vertical="center"/>
      <protection locked="0" hidden="0"/>
    </xf>
    <xf numFmtId="0" fontId="159" fillId="0" borderId="0" applyAlignment="1" pivotButton="0" quotePrefix="0" xfId="244">
      <alignment vertical="center" wrapText="1"/>
    </xf>
    <xf numFmtId="0" fontId="159" fillId="0" borderId="0" applyAlignment="1" pivotButton="0" quotePrefix="0" xfId="254">
      <alignment vertical="center"/>
    </xf>
    <xf numFmtId="0" fontId="158" fillId="0" borderId="0" applyAlignment="1" applyProtection="1" pivotButton="0" quotePrefix="0" xfId="0">
      <alignment vertical="center"/>
      <protection locked="0" hidden="0"/>
    </xf>
    <xf numFmtId="0" fontId="158" fillId="0" borderId="0" applyAlignment="1" pivotButton="0" quotePrefix="0" xfId="244">
      <alignment vertical="center"/>
    </xf>
    <xf numFmtId="0" fontId="158" fillId="0" borderId="0" applyAlignment="1" pivotButton="0" quotePrefix="0" xfId="244">
      <alignment horizontal="center" vertical="center"/>
    </xf>
    <xf numFmtId="0" fontId="159" fillId="0" borderId="0" applyAlignment="1" pivotButton="0" quotePrefix="0" xfId="244">
      <alignment vertical="center"/>
    </xf>
    <xf numFmtId="0" fontId="159" fillId="0" borderId="0" applyProtection="1" pivotButton="0" quotePrefix="0" xfId="376">
      <protection locked="0" hidden="0"/>
    </xf>
    <xf numFmtId="0" fontId="158" fillId="0" borderId="0" applyAlignment="1" applyProtection="1" pivotButton="0" quotePrefix="0" xfId="207">
      <alignment vertical="center"/>
      <protection locked="0" hidden="0"/>
    </xf>
    <xf numFmtId="164" fontId="159" fillId="0" borderId="0" applyAlignment="1" pivotButton="0" quotePrefix="0" xfId="4">
      <alignment vertical="center"/>
    </xf>
    <xf numFmtId="0" fontId="83" fillId="0" borderId="23" applyAlignment="1" pivotButton="0" quotePrefix="0" xfId="0">
      <alignment horizontal="left" vertical="center"/>
    </xf>
    <xf numFmtId="10" fontId="9" fillId="0" borderId="14" applyAlignment="1" pivotButton="0" quotePrefix="0" xfId="0">
      <alignment vertical="center" wrapText="1"/>
    </xf>
    <xf numFmtId="10" fontId="9" fillId="0" borderId="14" applyAlignment="1" pivotButton="0" quotePrefix="0" xfId="0">
      <alignment vertical="center"/>
    </xf>
    <xf numFmtId="10" fontId="9" fillId="0" borderId="14" applyAlignment="1" pivotButton="0" quotePrefix="0" xfId="2">
      <alignment vertical="center" wrapText="1"/>
    </xf>
    <xf numFmtId="14" fontId="9" fillId="0" borderId="14" applyAlignment="1" pivotButton="0" quotePrefix="0" xfId="0">
      <alignment vertical="center"/>
    </xf>
    <xf numFmtId="14" fontId="9" fillId="36" borderId="14" applyAlignment="1" pivotButton="0" quotePrefix="1" xfId="0">
      <alignment horizontal="right" vertical="center"/>
    </xf>
    <xf numFmtId="14" fontId="9" fillId="0" borderId="14" applyAlignment="1" pivotButton="0" quotePrefix="0" xfId="0">
      <alignment horizontal="right" vertical="center"/>
    </xf>
    <xf numFmtId="14" fontId="9" fillId="0" borderId="14" applyAlignment="1" pivotButton="0" quotePrefix="0" xfId="0">
      <alignment horizontal="center" vertical="center" wrapText="1"/>
    </xf>
    <xf numFmtId="10" fontId="9" fillId="0" borderId="14" applyAlignment="1" applyProtection="1" pivotButton="0" quotePrefix="0" xfId="0">
      <alignment horizontal="right" vertical="center" wrapText="1"/>
      <protection locked="0" hidden="0"/>
    </xf>
    <xf numFmtId="14" fontId="9" fillId="0" borderId="14" applyAlignment="1" applyProtection="1" pivotButton="0" quotePrefix="0" xfId="0">
      <alignment horizontal="right" vertical="center" wrapText="1"/>
      <protection locked="0" hidden="0"/>
    </xf>
    <xf numFmtId="10" fontId="9" fillId="0" borderId="14" applyAlignment="1" applyProtection="1" pivotButton="0" quotePrefix="0" xfId="0">
      <alignment vertical="center"/>
      <protection locked="0" hidden="0"/>
    </xf>
    <xf numFmtId="14" fontId="9" fillId="0" borderId="14" applyAlignment="1" pivotButton="0" quotePrefix="0" xfId="254">
      <alignment vertical="center"/>
    </xf>
    <xf numFmtId="10" fontId="9" fillId="0" borderId="14" applyAlignment="1" pivotButton="0" quotePrefix="0" xfId="1">
      <alignment horizontal="right" vertical="center"/>
    </xf>
    <xf numFmtId="10" fontId="9" fillId="36" borderId="14" applyAlignment="1" pivotButton="0" quotePrefix="1" xfId="1">
      <alignment horizontal="right" vertical="center"/>
    </xf>
    <xf numFmtId="164" fontId="9" fillId="36" borderId="23" applyAlignment="1" pivotButton="0" quotePrefix="0" xfId="381">
      <alignment horizontal="center" vertical="center" wrapText="1"/>
    </xf>
    <xf numFmtId="164" fontId="9" fillId="0" borderId="23" applyAlignment="1" pivotButton="0" quotePrefix="0" xfId="381">
      <alignment horizontal="center" vertical="center" wrapText="1"/>
    </xf>
    <xf numFmtId="10" fontId="9" fillId="0" borderId="23" applyAlignment="1" pivotButton="0" quotePrefix="0" xfId="1">
      <alignment horizontal="center" vertical="center" wrapText="1"/>
    </xf>
    <xf numFmtId="0" fontId="21" fillId="0" borderId="0" applyAlignment="1" applyProtection="1" pivotButton="0" quotePrefix="0" xfId="207">
      <alignment vertical="center"/>
      <protection locked="0" hidden="0"/>
    </xf>
    <xf numFmtId="0" fontId="18" fillId="0" borderId="0" applyProtection="1" pivotButton="0" quotePrefix="0" xfId="207">
      <protection locked="0" hidden="0"/>
    </xf>
    <xf numFmtId="0" fontId="5" fillId="0" borderId="0" applyAlignment="1" applyProtection="1" pivotButton="0" quotePrefix="0" xfId="251">
      <alignment vertical="center"/>
      <protection locked="0" hidden="0"/>
    </xf>
    <xf numFmtId="0" fontId="2" fillId="0" borderId="0" applyAlignment="1" applyProtection="1" pivotButton="0" quotePrefix="0" xfId="251">
      <alignment vertical="center"/>
      <protection locked="0" hidden="0"/>
    </xf>
    <xf numFmtId="0" fontId="22" fillId="0" borderId="0" applyAlignment="1" applyProtection="1" pivotButton="0" quotePrefix="0" xfId="251">
      <alignment horizontal="justify" vertical="center" wrapText="1"/>
      <protection locked="0" hidden="0"/>
    </xf>
    <xf numFmtId="0" fontId="13" fillId="0" borderId="0" applyAlignment="1" applyProtection="1" pivotButton="0" quotePrefix="0" xfId="251">
      <alignment horizontal="justify" vertical="center" wrapText="1"/>
      <protection locked="0" hidden="0"/>
    </xf>
    <xf numFmtId="0" fontId="13" fillId="0" borderId="0" applyAlignment="1" applyProtection="1" pivotButton="0" quotePrefix="0" xfId="251">
      <alignment horizontal="center" vertical="center"/>
      <protection locked="0" hidden="0"/>
    </xf>
    <xf numFmtId="0" fontId="22" fillId="0" borderId="10" applyAlignment="1" applyProtection="1" pivotButton="0" quotePrefix="0" xfId="251">
      <alignment horizontal="center" vertical="center" wrapText="1"/>
      <protection locked="0" hidden="0"/>
    </xf>
    <xf numFmtId="0" fontId="160" fillId="0" borderId="10" applyAlignment="1" applyProtection="1" pivotButton="0" quotePrefix="0" xfId="252">
      <alignment vertical="center"/>
      <protection locked="0" hidden="0"/>
    </xf>
    <xf numFmtId="0" fontId="14" fillId="0" borderId="0" applyAlignment="1" applyProtection="1" pivotButton="0" quotePrefix="0" xfId="251">
      <alignment horizontal="justify" vertical="center" wrapText="1"/>
      <protection locked="0" hidden="0"/>
    </xf>
    <xf numFmtId="0" fontId="160" fillId="0" borderId="10" applyAlignment="1" applyProtection="1" pivotButton="0" quotePrefix="1" xfId="252">
      <alignment vertical="center"/>
      <protection locked="0" hidden="0"/>
    </xf>
    <xf numFmtId="0" fontId="38" fillId="0" borderId="0" applyAlignment="1" applyProtection="1" pivotButton="0" quotePrefix="0" xfId="251">
      <alignment horizontal="justify" vertical="center"/>
      <protection locked="0" hidden="0"/>
    </xf>
    <xf numFmtId="0" fontId="160" fillId="0" borderId="10" applyAlignment="1" applyProtection="1" pivotButton="0" quotePrefix="0" xfId="252">
      <alignment vertical="center"/>
      <protection locked="0" hidden="0"/>
    </xf>
    <xf numFmtId="168" fontId="119" fillId="0" borderId="0" applyAlignment="1" applyProtection="1" pivotButton="0" quotePrefix="0" xfId="283">
      <alignment vertical="center"/>
      <protection locked="0" hidden="0"/>
    </xf>
    <xf numFmtId="0" fontId="119" fillId="0" borderId="0" applyAlignment="1" applyProtection="1" pivotButton="0" quotePrefix="0" xfId="0">
      <alignment vertical="center" wrapText="1"/>
      <protection locked="0" hidden="0"/>
    </xf>
    <xf numFmtId="0" fontId="119" fillId="0" borderId="0" applyAlignment="1" applyProtection="1" pivotButton="0" quotePrefix="0" xfId="0">
      <alignment horizontal="right" vertical="center"/>
      <protection locked="0" hidden="0"/>
    </xf>
    <xf numFmtId="0" fontId="119" fillId="0" borderId="0" applyAlignment="1" applyProtection="1" pivotButton="0" quotePrefix="0" xfId="0">
      <alignment horizontal="left" vertical="center"/>
      <protection locked="0" hidden="0"/>
    </xf>
    <xf numFmtId="0" fontId="119" fillId="0" borderId="0" applyAlignment="1" pivotButton="0" quotePrefix="0" xfId="255">
      <alignment vertical="center"/>
    </xf>
    <xf numFmtId="14" fontId="119" fillId="0" borderId="0" applyAlignment="1" pivotButton="0" quotePrefix="0" xfId="255">
      <alignment vertical="center"/>
    </xf>
    <xf numFmtId="0" fontId="119" fillId="0" borderId="0" applyProtection="1" pivotButton="0" quotePrefix="0" xfId="0">
      <protection locked="0" hidden="0"/>
    </xf>
    <xf numFmtId="164" fontId="119" fillId="0" borderId="0" applyAlignment="1" pivotButton="0" quotePrefix="0" xfId="4">
      <alignment horizontal="left" vertical="center"/>
    </xf>
    <xf numFmtId="0" fontId="119" fillId="0" borderId="0" applyAlignment="1" applyProtection="1" pivotButton="0" quotePrefix="0" xfId="207">
      <alignment horizontal="left" vertical="center"/>
      <protection locked="0" hidden="0"/>
    </xf>
    <xf numFmtId="49" fontId="5" fillId="0" borderId="0" applyAlignment="1" applyProtection="1" pivotButton="0" quotePrefix="0" xfId="251">
      <alignment horizontal="left" vertical="center"/>
      <protection locked="0" hidden="0"/>
    </xf>
    <xf numFmtId="0" fontId="9" fillId="0" borderId="23" applyAlignment="1" pivotButton="0" quotePrefix="0" xfId="251">
      <alignment horizontal="center" vertical="center" wrapText="1"/>
    </xf>
    <xf numFmtId="14" fontId="119" fillId="0" borderId="0" applyAlignment="1" applyProtection="1" pivotButton="0" quotePrefix="0" xfId="0">
      <alignment horizontal="left" vertical="center"/>
      <protection locked="0" hidden="0"/>
    </xf>
    <xf numFmtId="0" fontId="70" fillId="0" borderId="0" applyAlignment="1" pivotButton="0" quotePrefix="0" xfId="0">
      <alignment vertical="center" wrapText="1"/>
    </xf>
    <xf numFmtId="0" fontId="76" fillId="0" borderId="0" applyAlignment="1" applyProtection="1" pivotButton="0" quotePrefix="0" xfId="252">
      <alignment vertical="center"/>
      <protection locked="0" hidden="0"/>
    </xf>
    <xf numFmtId="0" fontId="119" fillId="0" borderId="0" applyAlignment="1" applyProtection="1" pivotButton="0" quotePrefix="0" xfId="376">
      <alignment horizontal="left"/>
      <protection locked="0" hidden="0"/>
    </xf>
    <xf numFmtId="164" fontId="9" fillId="36" borderId="24" applyAlignment="1" pivotButton="0" quotePrefix="0" xfId="1">
      <alignment vertical="center"/>
    </xf>
    <xf numFmtId="0" fontId="9" fillId="0" borderId="0" applyAlignment="1" pivotButton="0" quotePrefix="0" xfId="254">
      <alignment vertical="center"/>
    </xf>
    <xf numFmtId="0" fontId="9" fillId="0" borderId="0" applyAlignment="1" pivotButton="0" quotePrefix="0" xfId="254">
      <alignment vertical="center" wrapText="1"/>
    </xf>
    <xf numFmtId="164" fontId="7" fillId="0" borderId="0" applyAlignment="1" pivotButton="0" quotePrefix="0" xfId="1">
      <alignment vertical="center"/>
    </xf>
    <xf numFmtId="164" fontId="9" fillId="0" borderId="0" applyAlignment="1" pivotButton="0" quotePrefix="0" xfId="1">
      <alignment vertical="center"/>
    </xf>
    <xf numFmtId="9" fontId="9" fillId="0" borderId="0" applyAlignment="1" pivotButton="0" quotePrefix="0" xfId="2">
      <alignment vertical="center"/>
    </xf>
    <xf numFmtId="164" fontId="9" fillId="0" borderId="24" applyAlignment="1" pivotButton="0" quotePrefix="0" xfId="1">
      <alignment vertical="center"/>
    </xf>
    <xf numFmtId="9" fontId="9" fillId="0" borderId="24" applyAlignment="1" pivotButton="0" quotePrefix="0" xfId="2">
      <alignment vertical="center"/>
    </xf>
    <xf numFmtId="0" fontId="9" fillId="36" borderId="23" applyAlignment="1" pivotButton="0" quotePrefix="0" xfId="254">
      <alignment vertical="center" wrapText="1"/>
    </xf>
    <xf numFmtId="0" fontId="119" fillId="0" borderId="0" applyAlignment="1" applyProtection="1" pivotButton="0" quotePrefix="0" xfId="0">
      <alignment horizontal="left" vertical="center" wrapText="1"/>
      <protection locked="0" hidden="0"/>
    </xf>
    <xf numFmtId="0" fontId="5" fillId="13" borderId="23" applyAlignment="1" applyProtection="1" pivotButton="0" quotePrefix="0" xfId="251">
      <alignment horizontal="center" vertical="center" wrapText="1"/>
      <protection locked="0" hidden="0"/>
    </xf>
    <xf numFmtId="0" fontId="5" fillId="13" borderId="23" applyAlignment="1" applyProtection="1" pivotButton="0" quotePrefix="0" xfId="251">
      <alignment horizontal="center" vertical="center"/>
      <protection locked="0" hidden="0"/>
    </xf>
    <xf numFmtId="0" fontId="7" fillId="13" borderId="23" applyAlignment="1" applyProtection="1" pivotButton="0" quotePrefix="0" xfId="0">
      <alignment horizontal="center" vertical="center" wrapText="1"/>
      <protection locked="0" hidden="0"/>
    </xf>
    <xf numFmtId="168" fontId="22" fillId="0" borderId="0" applyAlignment="1" applyProtection="1" pivotButton="0" quotePrefix="0" xfId="283">
      <alignment vertical="center" wrapText="1"/>
      <protection locked="0" hidden="0"/>
    </xf>
    <xf numFmtId="168" fontId="13" fillId="0" borderId="0" applyAlignment="1" applyProtection="1" pivotButton="0" quotePrefix="0" xfId="283">
      <alignment vertical="center"/>
      <protection locked="0" hidden="0"/>
    </xf>
    <xf numFmtId="0" fontId="83" fillId="0" borderId="23" applyAlignment="1" pivotButton="0" quotePrefix="0" xfId="363">
      <alignment horizontal="center" vertical="center" wrapText="1"/>
    </xf>
    <xf numFmtId="0" fontId="77" fillId="0" borderId="23" applyAlignment="1" pivotButton="0" quotePrefix="0" xfId="363">
      <alignment horizontal="center" vertical="center" wrapText="1"/>
    </xf>
    <xf numFmtId="0" fontId="85" fillId="0" borderId="23" applyAlignment="1" pivotButton="0" quotePrefix="0" xfId="363">
      <alignment horizontal="center" vertical="center" wrapText="1"/>
    </xf>
    <xf numFmtId="0" fontId="83" fillId="0" borderId="23" applyAlignment="1" pivotButton="0" quotePrefix="0" xfId="0">
      <alignment horizontal="center" vertical="center" wrapText="1"/>
    </xf>
    <xf numFmtId="0" fontId="156" fillId="0" borderId="23" applyAlignment="1" pivotButton="0" quotePrefix="0" xfId="251">
      <alignment horizontal="center" vertical="center"/>
    </xf>
    <xf numFmtId="0" fontId="69" fillId="0" borderId="23" applyAlignment="1" pivotButton="0" quotePrefix="0" xfId="251">
      <alignment horizontal="center" vertical="center" wrapText="1"/>
    </xf>
    <xf numFmtId="0" fontId="9" fillId="0" borderId="23" applyAlignment="1" pivotButton="0" quotePrefix="0" xfId="0">
      <alignment vertical="center" wrapText="1"/>
    </xf>
    <xf numFmtId="0" fontId="9" fillId="0" borderId="24" applyAlignment="1" pivotButton="0" quotePrefix="0" xfId="0">
      <alignment horizontal="center" vertical="center" wrapText="1"/>
    </xf>
    <xf numFmtId="0" fontId="9" fillId="0" borderId="23" applyAlignment="1" applyProtection="1" pivotButton="0" quotePrefix="0" xfId="348">
      <alignment horizontal="center" vertical="center" wrapText="1"/>
      <protection locked="0" hidden="0"/>
    </xf>
    <xf numFmtId="0" fontId="5" fillId="13" borderId="23"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10" fontId="9" fillId="0" borderId="23" applyAlignment="1" applyProtection="1" pivotButton="0" quotePrefix="0" xfId="0">
      <alignment horizontal="center" vertical="center" shrinkToFit="1"/>
      <protection locked="0" hidden="0"/>
    </xf>
    <xf numFmtId="14" fontId="9" fillId="0" borderId="23" applyAlignment="1" applyProtection="1" pivotButton="0" quotePrefix="0" xfId="0">
      <alignment horizontal="center" vertical="center" wrapText="1"/>
      <protection locked="0" hidden="0"/>
    </xf>
    <xf numFmtId="164" fontId="9" fillId="0" borderId="23" applyAlignment="1" applyProtection="1" pivotButton="0" quotePrefix="0" xfId="0">
      <alignment horizontal="center" vertical="center" wrapText="1"/>
      <protection locked="0" hidden="0"/>
    </xf>
    <xf numFmtId="9" fontId="9" fillId="0" borderId="23" applyAlignment="1" applyProtection="1" pivotButton="0" quotePrefix="0" xfId="2">
      <alignment horizontal="center" vertical="center" shrinkToFit="1"/>
      <protection locked="0" hidden="0"/>
    </xf>
    <xf numFmtId="9" fontId="9" fillId="0" borderId="23" applyAlignment="1" applyProtection="1" pivotButton="0" quotePrefix="0" xfId="2">
      <alignment horizontal="center" vertical="center" wrapText="1"/>
      <protection locked="0" hidden="0"/>
    </xf>
    <xf numFmtId="164" fontId="9" fillId="0" borderId="23" applyAlignment="1" applyProtection="1" pivotButton="0" quotePrefix="0" xfId="0">
      <alignment horizontal="center" vertical="center" shrinkToFit="1"/>
      <protection locked="0" hidden="0"/>
    </xf>
    <xf numFmtId="10" fontId="9" fillId="36" borderId="23" applyAlignment="1" applyProtection="1" pivotButton="0" quotePrefix="0" xfId="2">
      <alignment horizontal="center" vertical="center" shrinkToFit="1"/>
      <protection locked="0" hidden="0"/>
    </xf>
    <xf numFmtId="164" fontId="9" fillId="36" borderId="23" applyAlignment="1" applyProtection="1" pivotButton="0" quotePrefix="0" xfId="0">
      <alignment horizontal="center" vertical="center" wrapText="1"/>
      <protection locked="0" hidden="0"/>
    </xf>
    <xf numFmtId="0" fontId="7" fillId="36" borderId="23" applyAlignment="1" applyProtection="1" pivotButton="0" quotePrefix="0" xfId="0">
      <alignment horizontal="centerContinuous" vertical="center"/>
      <protection locked="0" hidden="0"/>
    </xf>
    <xf numFmtId="164" fontId="7" fillId="36" borderId="23" applyAlignment="1" applyProtection="1" pivotButton="0" quotePrefix="1" xfId="0">
      <alignment horizontal="center" vertical="center" shrinkToFit="1"/>
      <protection locked="0" hidden="0"/>
    </xf>
    <xf numFmtId="164" fontId="7" fillId="36" borderId="23" applyAlignment="1" applyProtection="1" pivotButton="0" quotePrefix="0" xfId="0">
      <alignment horizontal="center" vertical="center" shrinkToFit="1"/>
      <protection locked="0" hidden="0"/>
    </xf>
    <xf numFmtId="0" fontId="7" fillId="0" borderId="23" applyAlignment="1" applyProtection="1" pivotButton="0" quotePrefix="0" xfId="0">
      <alignment horizontal="left" vertical="center"/>
      <protection locked="0" hidden="0"/>
    </xf>
    <xf numFmtId="10" fontId="9" fillId="0" borderId="23" applyAlignment="1" applyProtection="1" pivotButton="0" quotePrefix="0" xfId="0">
      <alignment horizontal="justify" vertical="center" wrapText="1"/>
      <protection locked="0" hidden="0"/>
    </xf>
    <xf numFmtId="10" fontId="9" fillId="36" borderId="23" applyAlignment="1" applyProtection="1" pivotButton="0" quotePrefix="0" xfId="0">
      <alignment horizontal="center" vertical="center" wrapText="1"/>
      <protection locked="0" hidden="0"/>
    </xf>
    <xf numFmtId="164" fontId="9" fillId="36" borderId="23" applyAlignment="1" applyProtection="1" pivotButton="0" quotePrefix="1" xfId="0">
      <alignment horizontal="center" vertical="center" shrinkToFit="1"/>
      <protection locked="0" hidden="0"/>
    </xf>
    <xf numFmtId="10" fontId="9" fillId="36" borderId="23" applyAlignment="1" applyProtection="1" pivotButton="0" quotePrefix="1" xfId="2">
      <alignment horizontal="center" vertical="center" shrinkToFit="1"/>
      <protection locked="0" hidden="0"/>
    </xf>
    <xf numFmtId="0" fontId="5" fillId="13" borderId="23" applyAlignment="1" applyProtection="1" pivotButton="0" quotePrefix="0" xfId="0">
      <alignment vertical="center"/>
      <protection locked="0" hidden="0"/>
    </xf>
    <xf numFmtId="164" fontId="9" fillId="0" borderId="23" applyAlignment="1" applyProtection="1" pivotButton="0" quotePrefix="1" xfId="0">
      <alignment horizontal="center" vertical="center" shrinkToFit="1"/>
      <protection locked="0" hidden="0"/>
    </xf>
    <xf numFmtId="9" fontId="9" fillId="36" borderId="23" applyAlignment="1" applyProtection="1" pivotButton="0" quotePrefix="1" xfId="2">
      <alignment horizontal="center" vertical="center" shrinkToFit="1"/>
      <protection locked="0" hidden="0"/>
    </xf>
    <xf numFmtId="164" fontId="7" fillId="0" borderId="23" applyAlignment="1" applyProtection="1" pivotButton="0" quotePrefix="1" xfId="0">
      <alignment horizontal="center" vertical="center" wrapText="1"/>
      <protection locked="0" hidden="0"/>
    </xf>
    <xf numFmtId="164" fontId="7" fillId="36" borderId="23" applyAlignment="1" applyProtection="1" pivotButton="0" quotePrefix="1" xfId="0">
      <alignment horizontal="center" vertical="center" wrapText="1"/>
      <protection locked="0" hidden="0"/>
    </xf>
    <xf numFmtId="164" fontId="7" fillId="36" borderId="23" applyAlignment="1" applyProtection="1" pivotButton="0" quotePrefix="0" xfId="0">
      <alignment horizontal="center" vertical="center" wrapText="1"/>
      <protection locked="0" hidden="0"/>
    </xf>
    <xf numFmtId="164" fontId="9" fillId="36" borderId="23" applyAlignment="1" applyProtection="1" pivotButton="0" quotePrefix="0" xfId="0">
      <alignment vertical="center"/>
      <protection locked="0" hidden="0"/>
    </xf>
    <xf numFmtId="0" fontId="7" fillId="13" borderId="23" applyAlignment="1" applyProtection="1" pivotButton="0" quotePrefix="0" xfId="0">
      <alignment horizontal="left" vertical="center"/>
      <protection locked="0" hidden="0"/>
    </xf>
    <xf numFmtId="164" fontId="9" fillId="13" borderId="23" applyAlignment="1" applyProtection="1" pivotButton="0" quotePrefix="0" xfId="1">
      <alignment horizontal="centerContinuous" vertical="center" wrapText="1"/>
      <protection locked="0" hidden="0"/>
    </xf>
    <xf numFmtId="164" fontId="9" fillId="13" borderId="23" applyAlignment="1" applyProtection="1" pivotButton="0" quotePrefix="0" xfId="1">
      <alignment horizontal="center" vertical="center" wrapText="1"/>
      <protection locked="0" hidden="0"/>
    </xf>
    <xf numFmtId="164" fontId="9" fillId="13" borderId="23" applyAlignment="1" applyProtection="1" pivotButton="0" quotePrefix="0" xfId="1">
      <alignment vertical="center"/>
      <protection locked="0" hidden="0"/>
    </xf>
    <xf numFmtId="14" fontId="9" fillId="0" borderId="23" applyAlignment="1" applyProtection="1" pivotButton="0" quotePrefix="0" xfId="0">
      <alignment horizontal="center" vertical="center" shrinkToFit="1"/>
      <protection locked="0" hidden="0"/>
    </xf>
    <xf numFmtId="164" fontId="9" fillId="0" borderId="23" applyAlignment="1" applyProtection="1" pivotButton="0" quotePrefix="0" xfId="1">
      <alignment horizontal="justify" vertical="center" wrapText="1"/>
      <protection locked="0" hidden="0"/>
    </xf>
    <xf numFmtId="164" fontId="9" fillId="0" borderId="23" applyAlignment="1" applyProtection="1" pivotButton="0" quotePrefix="0" xfId="1">
      <alignment horizontal="center" vertical="center" shrinkToFit="1"/>
      <protection locked="0" hidden="0"/>
    </xf>
    <xf numFmtId="164" fontId="9" fillId="36" borderId="23" applyAlignment="1" applyProtection="1" pivotButton="0" quotePrefix="0" xfId="1">
      <alignment horizontal="center" vertical="center" wrapText="1"/>
      <protection locked="0" hidden="0"/>
    </xf>
    <xf numFmtId="164" fontId="9" fillId="36" borderId="23" applyAlignment="1" applyProtection="1" pivotButton="0" quotePrefix="0" xfId="1">
      <alignment horizontal="justify" vertical="center" wrapText="1"/>
      <protection locked="0" hidden="0"/>
    </xf>
    <xf numFmtId="164" fontId="9" fillId="36" borderId="23" applyAlignment="1" applyProtection="1" pivotButton="0" quotePrefix="1" xfId="1">
      <alignment horizontal="center" vertical="center"/>
      <protection locked="0" hidden="0"/>
    </xf>
    <xf numFmtId="164" fontId="9" fillId="36" borderId="23" applyAlignment="1" applyProtection="1" pivotButton="0" quotePrefix="0" xfId="1">
      <alignment vertical="center"/>
      <protection locked="0" hidden="0"/>
    </xf>
    <xf numFmtId="0" fontId="9" fillId="13" borderId="23" applyAlignment="1" applyProtection="1" pivotButton="0" quotePrefix="0" xfId="0">
      <alignment horizontal="justify" vertical="center" wrapText="1"/>
      <protection locked="0" hidden="0"/>
    </xf>
    <xf numFmtId="164" fontId="9" fillId="13" borderId="23" applyAlignment="1" applyProtection="1" pivotButton="0" quotePrefix="0" xfId="0">
      <alignment horizontal="justify" vertical="center" wrapText="1"/>
      <protection locked="0" hidden="0"/>
    </xf>
    <xf numFmtId="164" fontId="9" fillId="13" borderId="23" applyAlignment="1" applyProtection="1" pivotButton="0" quotePrefix="0" xfId="0">
      <alignment horizontal="center" vertical="center" shrinkToFit="1"/>
      <protection locked="0" hidden="0"/>
    </xf>
    <xf numFmtId="164" fontId="9" fillId="13" borderId="23" applyAlignment="1" applyProtection="1" pivotButton="0" quotePrefix="0" xfId="0">
      <alignment horizontal="center" vertical="center" wrapText="1"/>
      <protection locked="0" hidden="0"/>
    </xf>
    <xf numFmtId="164" fontId="9" fillId="13" borderId="23" applyAlignment="1" applyProtection="1" pivotButton="0" quotePrefix="0" xfId="1">
      <alignment horizontal="justify" vertical="center" wrapText="1"/>
      <protection locked="0" hidden="0"/>
    </xf>
    <xf numFmtId="164" fontId="9" fillId="13" borderId="23" applyAlignment="1" applyProtection="1" pivotButton="0" quotePrefix="0" xfId="1">
      <alignment horizontal="center" vertical="center" shrinkToFit="1"/>
      <protection locked="0" hidden="0"/>
    </xf>
    <xf numFmtId="164" fontId="9" fillId="13" borderId="23" applyAlignment="1" applyProtection="1" pivotButton="0" quotePrefix="1" xfId="1">
      <alignment horizontal="center" vertical="center" wrapText="1"/>
      <protection locked="0" hidden="0"/>
    </xf>
    <xf numFmtId="164" fontId="9" fillId="0" borderId="23" applyAlignment="1" applyProtection="1" pivotButton="0" quotePrefix="1" xfId="1">
      <alignment horizontal="center" vertical="center" wrapText="1"/>
      <protection locked="0" hidden="0"/>
    </xf>
    <xf numFmtId="164" fontId="9" fillId="0" borderId="23" applyAlignment="1" applyProtection="1" pivotButton="0" quotePrefix="0" xfId="1">
      <alignment vertical="center"/>
      <protection locked="0" hidden="0"/>
    </xf>
    <xf numFmtId="164" fontId="9" fillId="0" borderId="23" applyAlignment="1" applyProtection="1" pivotButton="0" quotePrefix="1" xfId="0">
      <alignment horizontal="center" vertical="center" wrapText="1"/>
      <protection locked="0" hidden="0"/>
    </xf>
    <xf numFmtId="164" fontId="9" fillId="0" borderId="23" applyAlignment="1" applyProtection="1" pivotButton="0" quotePrefix="1" xfId="1">
      <alignment horizontal="center" vertical="center"/>
      <protection locked="0" hidden="0"/>
    </xf>
    <xf numFmtId="164" fontId="7" fillId="36" borderId="23" applyAlignment="1" applyProtection="1" pivotButton="0" quotePrefix="0" xfId="1">
      <alignment horizontal="justify" vertical="center" wrapText="1"/>
      <protection locked="0" hidden="0"/>
    </xf>
    <xf numFmtId="164" fontId="7" fillId="36" borderId="23" applyAlignment="1" applyProtection="1" pivotButton="0" quotePrefix="0" xfId="1">
      <alignment horizontal="center" vertical="center" shrinkToFit="1"/>
      <protection locked="0" hidden="0"/>
    </xf>
    <xf numFmtId="164" fontId="7" fillId="0" borderId="23" applyAlignment="1" applyProtection="1" pivotButton="0" quotePrefix="1" xfId="1">
      <alignment horizontal="center" vertical="center"/>
      <protection locked="0" hidden="0"/>
    </xf>
    <xf numFmtId="164" fontId="7" fillId="36" borderId="23" applyAlignment="1" applyProtection="1" pivotButton="0" quotePrefix="0" xfId="1">
      <alignment vertical="center"/>
      <protection locked="0" hidden="0"/>
    </xf>
    <xf numFmtId="0" fontId="69" fillId="0" borderId="14" applyAlignment="1" applyProtection="1" pivotButton="0" quotePrefix="0" xfId="207">
      <alignment horizontal="center" vertical="center"/>
      <protection locked="0" hidden="0"/>
    </xf>
    <xf numFmtId="0" fontId="119" fillId="0" borderId="0" applyAlignment="1" pivotButton="0" quotePrefix="0" xfId="382">
      <alignment horizontal="left" vertical="center"/>
    </xf>
    <xf numFmtId="14" fontId="119" fillId="0" borderId="0" applyAlignment="1" applyProtection="1" pivotButton="0" quotePrefix="0" xfId="207">
      <alignment horizontal="left" vertical="center"/>
      <protection locked="0" hidden="0"/>
    </xf>
    <xf numFmtId="168" fontId="161" fillId="0" borderId="0" applyAlignment="1" applyProtection="1" pivotButton="0" quotePrefix="0" xfId="252">
      <alignment vertical="center"/>
      <protection locked="0" hidden="0"/>
    </xf>
    <xf numFmtId="0" fontId="119" fillId="0" borderId="0" applyAlignment="1" pivotButton="0" quotePrefix="0" xfId="383">
      <alignment horizontal="left" vertical="center"/>
    </xf>
    <xf numFmtId="0" fontId="5" fillId="0" borderId="0" applyAlignment="1" pivotButton="0" quotePrefix="0" xfId="384">
      <alignment horizontal="left" vertical="center"/>
    </xf>
    <xf numFmtId="0" fontId="7" fillId="0" borderId="0" applyAlignment="1" pivotButton="0" quotePrefix="0" xfId="384">
      <alignment vertical="center" wrapText="1"/>
    </xf>
    <xf numFmtId="0" fontId="9" fillId="0" borderId="0" applyAlignment="1" applyProtection="1" pivotButton="0" quotePrefix="0" xfId="384">
      <alignment vertical="center"/>
      <protection locked="0" hidden="0"/>
    </xf>
    <xf numFmtId="0" fontId="9" fillId="0" borderId="0" applyAlignment="1" pivotButton="0" quotePrefix="0" xfId="384">
      <alignment horizontal="left" vertical="center"/>
    </xf>
    <xf numFmtId="0" fontId="13" fillId="0" borderId="0" applyAlignment="1" pivotButton="0" quotePrefix="0" xfId="384">
      <alignment horizontal="left" vertical="center"/>
    </xf>
    <xf numFmtId="0" fontId="88" fillId="0" borderId="0" applyAlignment="1" pivotButton="0" quotePrefix="0" xfId="384">
      <alignment horizontal="left" vertical="center"/>
    </xf>
    <xf numFmtId="0" fontId="140" fillId="0" borderId="0" applyProtection="1" pivotButton="0" quotePrefix="0" xfId="328">
      <protection locked="0" hidden="0"/>
    </xf>
    <xf numFmtId="0" fontId="7" fillId="0" borderId="0" applyAlignment="1" pivotButton="0" quotePrefix="0" xfId="384">
      <alignment horizontal="left" vertical="center"/>
    </xf>
    <xf numFmtId="0" fontId="9" fillId="0" borderId="0" applyAlignment="1" applyProtection="1" pivotButton="0" quotePrefix="0" xfId="384">
      <alignment vertical="center"/>
      <protection locked="0" hidden="0"/>
    </xf>
    <xf numFmtId="0" fontId="9" fillId="0" borderId="0" applyAlignment="1" pivotButton="0" quotePrefix="0" xfId="384">
      <alignment vertical="center"/>
    </xf>
    <xf numFmtId="0" fontId="144" fillId="0" borderId="0" applyAlignment="1" applyProtection="1" pivotButton="0" quotePrefix="0" xfId="214">
      <alignment vertical="center"/>
      <protection locked="0" hidden="0"/>
    </xf>
    <xf numFmtId="0" fontId="7" fillId="0" borderId="0" applyAlignment="1" pivotButton="0" quotePrefix="0" xfId="384">
      <alignment vertical="center"/>
    </xf>
    <xf numFmtId="0" fontId="18" fillId="0" borderId="0" applyAlignment="1" applyProtection="1" pivotButton="0" quotePrefix="0" xfId="384">
      <alignment horizontal="center" vertical="center"/>
      <protection locked="1" hidden="1"/>
    </xf>
    <xf numFmtId="0" fontId="9" fillId="0" borderId="0" applyAlignment="1" applyProtection="1" pivotButton="0" quotePrefix="0" xfId="384">
      <alignment horizontal="left" vertical="center"/>
      <protection locked="1" hidden="1"/>
    </xf>
    <xf numFmtId="0" fontId="18" fillId="0" borderId="0" applyAlignment="1" applyProtection="1" pivotButton="0" quotePrefix="0" xfId="384">
      <alignment horizontal="left" vertical="center"/>
      <protection locked="0" hidden="0"/>
    </xf>
    <xf numFmtId="0" fontId="68" fillId="0" borderId="0" applyAlignment="1" applyProtection="1" pivotButton="0" quotePrefix="0" xfId="207">
      <alignment vertical="center"/>
      <protection locked="0" hidden="0"/>
    </xf>
    <xf numFmtId="168" fontId="7" fillId="0" borderId="20" applyAlignment="1" pivotButton="0" quotePrefix="0" xfId="385">
      <alignment vertical="center"/>
    </xf>
    <xf numFmtId="0" fontId="13" fillId="0" borderId="0" applyProtection="1" pivotButton="0" quotePrefix="0" xfId="328">
      <protection locked="0" hidden="0"/>
    </xf>
    <xf numFmtId="0" fontId="5" fillId="39" borderId="23" applyAlignment="1" applyProtection="1" pivotButton="0" quotePrefix="0" xfId="386">
      <alignment horizontal="center" vertical="center"/>
      <protection locked="0" hidden="0"/>
    </xf>
    <xf numFmtId="0" fontId="5" fillId="39" borderId="23" applyAlignment="1" applyProtection="1" pivotButton="0" quotePrefix="0" xfId="386">
      <alignment horizontal="center" vertical="center" wrapText="1"/>
      <protection locked="0" hidden="0"/>
    </xf>
    <xf numFmtId="0" fontId="7" fillId="39" borderId="23" applyAlignment="1" applyProtection="1" pivotButton="0" quotePrefix="0" xfId="387">
      <alignment horizontal="center" vertical="center"/>
      <protection locked="0" hidden="0"/>
    </xf>
    <xf numFmtId="0" fontId="13" fillId="0" borderId="0" applyAlignment="1" applyProtection="1" pivotButton="0" quotePrefix="0" xfId="328">
      <alignment horizontal="center"/>
      <protection locked="0" hidden="0"/>
    </xf>
    <xf numFmtId="14" fontId="9" fillId="0" borderId="23" applyAlignment="1" applyProtection="1" pivotButton="0" quotePrefix="0" xfId="328">
      <alignment vertical="center"/>
      <protection locked="0" hidden="0"/>
    </xf>
    <xf numFmtId="49" fontId="9" fillId="0" borderId="23" applyAlignment="1" applyProtection="1" pivotButton="0" quotePrefix="0" xfId="328">
      <alignment vertical="center"/>
      <protection locked="0" hidden="0"/>
    </xf>
    <xf numFmtId="0" fontId="9" fillId="0" borderId="23" applyAlignment="1" applyProtection="1" pivotButton="0" quotePrefix="0" xfId="328">
      <alignment vertical="center"/>
      <protection locked="0" hidden="0"/>
    </xf>
    <xf numFmtId="0" fontId="13" fillId="0" borderId="23" applyAlignment="1" applyProtection="1" pivotButton="0" quotePrefix="0" xfId="328">
      <alignment vertical="center"/>
      <protection locked="0" hidden="0"/>
    </xf>
    <xf numFmtId="164" fontId="9" fillId="0" borderId="23" applyAlignment="1" applyProtection="1" pivotButton="0" quotePrefix="0" xfId="231">
      <alignment vertical="center"/>
      <protection locked="0" hidden="0"/>
    </xf>
    <xf numFmtId="0" fontId="68" fillId="0" borderId="23" applyAlignment="1" applyProtection="1" pivotButton="0" quotePrefix="0" xfId="328">
      <alignment vertical="center"/>
      <protection locked="0" hidden="0"/>
    </xf>
    <xf numFmtId="168" fontId="9" fillId="0" borderId="23" applyAlignment="1" applyProtection="1" pivotButton="0" quotePrefix="0" xfId="387">
      <alignment horizontal="center" vertical="center"/>
      <protection locked="0" hidden="0"/>
    </xf>
    <xf numFmtId="49" fontId="9" fillId="0" borderId="23" applyAlignment="1" applyProtection="1" pivotButton="0" quotePrefix="0" xfId="389">
      <alignment vertical="center"/>
      <protection locked="0" hidden="0"/>
    </xf>
    <xf numFmtId="0" fontId="9" fillId="0" borderId="0" applyAlignment="1" applyProtection="1" pivotButton="0" quotePrefix="0" xfId="328">
      <alignment vertical="center"/>
      <protection locked="0" hidden="0"/>
    </xf>
    <xf numFmtId="49" fontId="5" fillId="0" borderId="23" applyAlignment="1" applyProtection="1" pivotButton="0" quotePrefix="0" xfId="389">
      <alignment vertical="center"/>
      <protection locked="0" hidden="0"/>
    </xf>
    <xf numFmtId="168" fontId="7" fillId="0" borderId="20" applyAlignment="1" pivotButton="0" quotePrefix="0" xfId="385">
      <alignment vertical="center"/>
    </xf>
    <xf numFmtId="168" fontId="8" fillId="0" borderId="0" applyProtection="1" pivotButton="0" quotePrefix="0" xfId="389">
      <protection locked="0" hidden="0"/>
    </xf>
    <xf numFmtId="168" fontId="5" fillId="36" borderId="17" applyAlignment="1" applyProtection="1" pivotButton="0" quotePrefix="0" xfId="389">
      <alignment vertical="center"/>
      <protection locked="0" hidden="0"/>
    </xf>
    <xf numFmtId="168" fontId="5" fillId="36" borderId="24" applyAlignment="1" applyProtection="1" pivotButton="0" quotePrefix="0" xfId="389">
      <alignment vertical="center"/>
      <protection locked="0" hidden="0"/>
    </xf>
    <xf numFmtId="168" fontId="5" fillId="36" borderId="25" applyAlignment="1" applyProtection="1" pivotButton="0" quotePrefix="0" xfId="389">
      <alignment vertical="center"/>
      <protection locked="0" hidden="0"/>
    </xf>
    <xf numFmtId="0" fontId="9" fillId="36" borderId="0" applyAlignment="1" applyProtection="1" pivotButton="0" quotePrefix="0" xfId="328">
      <alignment vertical="center"/>
      <protection locked="0" hidden="0"/>
    </xf>
    <xf numFmtId="168" fontId="5" fillId="36" borderId="23" applyAlignment="1" applyProtection="1" pivotButton="0" quotePrefix="0" xfId="389">
      <alignment horizontal="center" vertical="center"/>
      <protection locked="0" hidden="0"/>
    </xf>
    <xf numFmtId="168" fontId="5" fillId="36" borderId="23" applyAlignment="1" applyProtection="1" pivotButton="0" quotePrefix="0" xfId="389">
      <alignment horizontal="center" vertical="center" wrapText="1"/>
      <protection locked="0" hidden="0"/>
    </xf>
    <xf numFmtId="0" fontId="7" fillId="36" borderId="23" applyAlignment="1" applyProtection="1" pivotButton="0" quotePrefix="0" xfId="387">
      <alignment horizontal="center" vertical="center"/>
      <protection locked="0" hidden="0"/>
    </xf>
    <xf numFmtId="169" fontId="9" fillId="0" borderId="23" applyAlignment="1" applyProtection="1" pivotButton="0" quotePrefix="0" xfId="389">
      <alignment horizontal="center" vertical="center" wrapText="1"/>
      <protection locked="0" hidden="0"/>
    </xf>
    <xf numFmtId="49" fontId="9" fillId="0" borderId="23" applyAlignment="1" applyProtection="1" pivotButton="0" quotePrefix="0" xfId="389">
      <alignment horizontal="center" vertical="center"/>
      <protection locked="0" hidden="0"/>
    </xf>
    <xf numFmtId="168" fontId="13" fillId="0" borderId="23" applyAlignment="1" applyProtection="1" pivotButton="0" quotePrefix="0" xfId="389">
      <alignment horizontal="center" vertical="center"/>
      <protection locked="0" hidden="0"/>
    </xf>
    <xf numFmtId="168" fontId="9" fillId="0" borderId="23" applyAlignment="1" applyProtection="1" pivotButton="0" quotePrefix="0" xfId="389">
      <alignment horizontal="center" vertical="center"/>
      <protection locked="0" hidden="0"/>
    </xf>
    <xf numFmtId="43" fontId="9" fillId="0" borderId="23" applyAlignment="1" applyProtection="1" pivotButton="0" quotePrefix="0" xfId="389">
      <alignment horizontal="right" vertical="center" shrinkToFit="1"/>
      <protection locked="0" hidden="0"/>
    </xf>
    <xf numFmtId="49" fontId="9" fillId="0" borderId="23" applyAlignment="1" applyProtection="1" pivotButton="0" quotePrefix="0" xfId="389">
      <alignment horizontal="center" vertical="center"/>
      <protection locked="0" hidden="0"/>
    </xf>
    <xf numFmtId="49" fontId="7" fillId="36" borderId="23" applyAlignment="1" applyProtection="1" pivotButton="0" quotePrefix="0" xfId="389">
      <alignment horizontal="center" vertical="center"/>
      <protection locked="0" hidden="0"/>
    </xf>
    <xf numFmtId="168" fontId="7" fillId="36" borderId="23" applyAlignment="1" applyProtection="1" pivotButton="0" quotePrefix="0" xfId="389">
      <alignment vertical="center"/>
      <protection locked="0" hidden="0"/>
    </xf>
    <xf numFmtId="43" fontId="7" fillId="36" borderId="23" applyAlignment="1" applyProtection="1" pivotButton="0" quotePrefix="0" xfId="389">
      <alignment horizontal="right" vertical="center" shrinkToFit="1"/>
      <protection locked="0" hidden="0"/>
    </xf>
    <xf numFmtId="168" fontId="5" fillId="36" borderId="23" applyAlignment="1" applyProtection="1" pivotButton="0" quotePrefix="0" xfId="389">
      <alignment vertical="center"/>
      <protection locked="0" hidden="0"/>
    </xf>
    <xf numFmtId="164" fontId="7" fillId="36" borderId="23" applyAlignment="1" applyProtection="1" pivotButton="0" quotePrefix="0" xfId="391">
      <alignment vertical="center"/>
      <protection locked="0" hidden="0"/>
    </xf>
    <xf numFmtId="0" fontId="9" fillId="36" borderId="0" applyAlignment="1" applyProtection="1" pivotButton="0" quotePrefix="0" xfId="207">
      <alignment vertical="center"/>
      <protection locked="0" hidden="0"/>
    </xf>
    <xf numFmtId="0" fontId="5" fillId="0" borderId="0" applyAlignment="1" applyProtection="1" pivotButton="0" quotePrefix="0" xfId="348">
      <alignment vertical="center"/>
      <protection locked="0" hidden="0"/>
    </xf>
    <xf numFmtId="0" fontId="7" fillId="0" borderId="0" applyAlignment="1" applyProtection="1" pivotButton="0" quotePrefix="0" xfId="207">
      <alignment vertical="center"/>
      <protection locked="0" hidden="0"/>
    </xf>
    <xf numFmtId="0" fontId="88" fillId="0" borderId="0" applyAlignment="1" applyProtection="1" pivotButton="0" quotePrefix="0" xfId="207">
      <alignment horizontal="left" vertical="center"/>
      <protection locked="0" hidden="0"/>
    </xf>
    <xf numFmtId="0" fontId="82" fillId="0" borderId="0" applyAlignment="1" applyProtection="1" pivotButton="0" quotePrefix="0" xfId="207">
      <alignment vertical="center"/>
      <protection locked="0" hidden="0"/>
    </xf>
    <xf numFmtId="0" fontId="82" fillId="0" borderId="0" applyAlignment="1" applyProtection="1" pivotButton="0" quotePrefix="0" xfId="207">
      <alignment horizontal="left" vertical="center"/>
      <protection locked="0" hidden="0"/>
    </xf>
    <xf numFmtId="0" fontId="7" fillId="0" borderId="0" applyAlignment="1" applyProtection="1" pivotButton="0" quotePrefix="0" xfId="207">
      <alignment horizontal="left" vertical="center"/>
      <protection locked="0" hidden="0"/>
    </xf>
    <xf numFmtId="0" fontId="9" fillId="0" borderId="0" applyAlignment="1" applyProtection="1" pivotButton="0" quotePrefix="0" xfId="207">
      <alignment horizontal="left" vertical="center"/>
      <protection locked="0" hidden="0"/>
    </xf>
    <xf numFmtId="0" fontId="110" fillId="0" borderId="0" applyAlignment="1" applyProtection="1" pivotButton="0" quotePrefix="0" xfId="207">
      <alignment vertical="center"/>
      <protection locked="0" hidden="0"/>
    </xf>
    <xf numFmtId="0" fontId="18" fillId="0" borderId="0" applyAlignment="1" applyProtection="1" pivotButton="0" quotePrefix="0" xfId="207">
      <alignment vertical="center"/>
      <protection locked="0" hidden="0"/>
    </xf>
    <xf numFmtId="0" fontId="19" fillId="0" borderId="0" applyAlignment="1" applyProtection="1" pivotButton="0" quotePrefix="0" xfId="207">
      <alignment horizontal="left"/>
      <protection locked="0" hidden="0"/>
    </xf>
    <xf numFmtId="0" fontId="18" fillId="0" borderId="0" applyAlignment="1" applyProtection="1" pivotButton="0" quotePrefix="0" xfId="207">
      <alignment horizontal="right"/>
      <protection locked="0" hidden="0"/>
    </xf>
    <xf numFmtId="49" fontId="18" fillId="0" borderId="0" applyAlignment="1" applyProtection="1" pivotButton="0" quotePrefix="0" xfId="207">
      <alignment horizontal="right" vertical="center"/>
      <protection locked="0" hidden="0"/>
    </xf>
    <xf numFmtId="0" fontId="18" fillId="0" borderId="0" applyAlignment="1" applyProtection="1" pivotButton="0" quotePrefix="0" xfId="207">
      <alignment horizontal="right" vertical="center"/>
      <protection locked="0" hidden="0"/>
    </xf>
    <xf numFmtId="0" fontId="19" fillId="0" borderId="0" applyAlignment="1" applyProtection="1" pivotButton="0" quotePrefix="0" xfId="207">
      <alignment vertical="center"/>
      <protection locked="0" hidden="0"/>
    </xf>
    <xf numFmtId="0" fontId="19" fillId="0" borderId="0" applyAlignment="1" applyProtection="1" pivotButton="0" quotePrefix="0" xfId="207">
      <alignment horizontal="center" vertical="center" wrapText="1"/>
      <protection locked="0" hidden="0"/>
    </xf>
    <xf numFmtId="0" fontId="18" fillId="0" borderId="0" applyAlignment="1" applyProtection="1" pivotButton="0" quotePrefix="0" xfId="207">
      <alignment horizontal="center" wrapText="1"/>
      <protection locked="0" hidden="0"/>
    </xf>
    <xf numFmtId="0" fontId="7" fillId="13" borderId="23" applyAlignment="1" applyProtection="1" pivotButton="0" quotePrefix="0" xfId="0">
      <alignment horizontal="center" vertical="center" wrapText="1"/>
      <protection locked="0" hidden="0"/>
    </xf>
    <xf numFmtId="0" fontId="163" fillId="0" borderId="0" applyAlignment="1" applyProtection="1" pivotButton="0" quotePrefix="0" xfId="0">
      <alignment horizontal="center" vertical="center"/>
      <protection locked="0" hidden="0"/>
    </xf>
    <xf numFmtId="0" fontId="9" fillId="12" borderId="0" applyAlignment="1" applyProtection="1" pivotButton="0" quotePrefix="0" xfId="0">
      <alignment horizontal="justify" vertical="center" wrapText="1"/>
      <protection locked="0" hidden="0"/>
    </xf>
    <xf numFmtId="0" fontId="2" fillId="0" borderId="0" applyAlignment="1" applyProtection="1" pivotButton="0" quotePrefix="0" xfId="251">
      <alignment horizontal="center" vertical="center"/>
      <protection locked="0" hidden="0"/>
    </xf>
    <xf numFmtId="0" fontId="22" fillId="0" borderId="0" applyAlignment="1" applyProtection="1" pivotButton="0" quotePrefix="0" xfId="251">
      <alignment horizontal="center" vertical="center"/>
      <protection locked="0" hidden="0"/>
    </xf>
    <xf numFmtId="0" fontId="22" fillId="0" borderId="10" applyAlignment="1" applyProtection="1" pivotButton="0" quotePrefix="0" xfId="251">
      <alignment horizontal="center" vertical="center"/>
      <protection locked="0" hidden="0"/>
    </xf>
    <xf numFmtId="0" fontId="75" fillId="0" borderId="0" applyAlignment="1" applyProtection="1" pivotButton="0" quotePrefix="0" xfId="251">
      <alignment horizontal="center" vertical="center"/>
      <protection locked="0" hidden="0"/>
    </xf>
    <xf numFmtId="0" fontId="18" fillId="0" borderId="0" applyAlignment="1" applyProtection="1" pivotButton="0" quotePrefix="0" xfId="0">
      <alignment vertical="center" wrapText="1"/>
      <protection locked="0" hidden="0"/>
    </xf>
    <xf numFmtId="168" fontId="8" fillId="0" borderId="0" applyProtection="1" pivotButton="0" quotePrefix="0" xfId="389">
      <protection locked="0" hidden="0"/>
    </xf>
    <xf numFmtId="0" fontId="7" fillId="39" borderId="23" applyAlignment="1" applyProtection="1" pivotButton="0" quotePrefix="0" xfId="328">
      <alignment vertical="center"/>
      <protection locked="0" hidden="0"/>
    </xf>
    <xf numFmtId="164" fontId="7" fillId="39" borderId="23" applyAlignment="1" applyProtection="1" pivotButton="0" quotePrefix="0" xfId="231">
      <alignment vertical="center"/>
      <protection locked="0" hidden="0"/>
    </xf>
    <xf numFmtId="14" fontId="7" fillId="39" borderId="23" applyAlignment="1" applyProtection="1" pivotButton="0" quotePrefix="0" xfId="328">
      <alignment vertical="center"/>
      <protection locked="0" hidden="0"/>
    </xf>
    <xf numFmtId="0" fontId="7" fillId="0" borderId="0" applyAlignment="1" applyProtection="1" pivotButton="0" quotePrefix="0" xfId="328">
      <alignment vertical="center"/>
      <protection locked="0" hidden="0"/>
    </xf>
    <xf numFmtId="10" fontId="7" fillId="39" borderId="23" applyAlignment="1" applyProtection="1" pivotButton="0" quotePrefix="0" xfId="2">
      <alignment horizontal="right" vertical="center"/>
      <protection locked="0" hidden="0"/>
    </xf>
    <xf numFmtId="164" fontId="119" fillId="0" borderId="0" applyAlignment="1" pivotButton="0" quotePrefix="0" xfId="4">
      <alignment horizontal="right" vertical="center"/>
    </xf>
    <xf numFmtId="49" fontId="80" fillId="0" borderId="0" applyAlignment="1" pivotButton="0" quotePrefix="0" xfId="385">
      <alignment horizontal="left" vertical="center"/>
    </xf>
    <xf numFmtId="49" fontId="88" fillId="0" borderId="0" applyAlignment="1" pivotButton="0" quotePrefix="0" xfId="385">
      <alignment horizontal="left" vertical="center"/>
    </xf>
    <xf numFmtId="0" fontId="164" fillId="0" borderId="0" applyAlignment="1" applyProtection="1" pivotButton="0" quotePrefix="0" xfId="0">
      <alignment horizontal="left" vertical="center" wrapText="1"/>
      <protection locked="0" hidden="0"/>
    </xf>
    <xf numFmtId="0" fontId="12" fillId="0" borderId="0" applyAlignment="1" applyProtection="1" pivotButton="0" quotePrefix="0" xfId="0">
      <alignment horizontal="left" vertical="center" wrapText="1"/>
      <protection locked="0" hidden="0"/>
    </xf>
    <xf numFmtId="168" fontId="38" fillId="13" borderId="23" applyAlignment="1" applyProtection="1" pivotButton="0" quotePrefix="0" xfId="283">
      <alignment horizontal="center" vertical="center" wrapText="1"/>
      <protection locked="0" hidden="0"/>
    </xf>
    <xf numFmtId="49" fontId="38" fillId="13" borderId="23" applyAlignment="1" applyProtection="1" pivotButton="0" quotePrefix="0" xfId="283">
      <alignment horizontal="center" vertical="center"/>
      <protection locked="0" hidden="0"/>
    </xf>
    <xf numFmtId="0" fontId="5" fillId="13" borderId="23" applyAlignment="1" applyProtection="1" pivotButton="0" quotePrefix="0" xfId="251">
      <alignment horizontal="center" vertical="center" wrapText="1"/>
      <protection locked="0" hidden="0"/>
    </xf>
    <xf numFmtId="0" fontId="5" fillId="0" borderId="0" applyAlignment="1" applyProtection="1" pivotButton="0" quotePrefix="0" xfId="348">
      <alignment horizontal="left" vertical="center"/>
      <protection locked="0" hidden="0"/>
    </xf>
    <xf numFmtId="0" fontId="7" fillId="0" borderId="0" applyAlignment="1" applyProtection="1" pivotButton="0" quotePrefix="0" xfId="348">
      <alignment horizontal="left" vertical="center"/>
      <protection locked="0" hidden="0"/>
    </xf>
    <xf numFmtId="0" fontId="5" fillId="13" borderId="23" applyAlignment="1" applyProtection="1" pivotButton="0" quotePrefix="0" xfId="251">
      <alignment horizontal="center" vertical="center"/>
      <protection locked="0" hidden="0"/>
    </xf>
    <xf numFmtId="0" fontId="7" fillId="13" borderId="23" applyAlignment="1" applyProtection="1" pivotButton="0" quotePrefix="0" xfId="251">
      <alignment horizontal="center" vertical="center"/>
      <protection locked="0" hidden="0"/>
    </xf>
    <xf numFmtId="168" fontId="121" fillId="0" borderId="0" applyAlignment="1" pivotButton="0" quotePrefix="0" xfId="282">
      <alignment horizontal="center" vertical="center"/>
    </xf>
    <xf numFmtId="168" fontId="158" fillId="0" borderId="0" applyAlignment="1" pivotButton="0" quotePrefix="0" xfId="282">
      <alignment horizontal="center" vertical="center"/>
    </xf>
    <xf numFmtId="168" fontId="119" fillId="0" borderId="0" applyAlignment="1" applyProtection="1" pivotButton="0" quotePrefix="0" xfId="283">
      <alignment vertical="center"/>
      <protection locked="0" hidden="0"/>
    </xf>
    <xf numFmtId="168" fontId="38" fillId="0" borderId="0" applyAlignment="1" applyProtection="1" pivotButton="0" quotePrefix="0" xfId="283">
      <alignment horizontal="left" vertical="center"/>
      <protection locked="0" hidden="0"/>
    </xf>
    <xf numFmtId="0" fontId="13" fillId="0" borderId="23" applyAlignment="1" applyProtection="1" pivotButton="0" quotePrefix="0" xfId="251">
      <alignment horizontal="center" vertical="center" wrapText="1"/>
      <protection locked="0" hidden="0"/>
    </xf>
    <xf numFmtId="0" fontId="5" fillId="36" borderId="23" applyAlignment="1" applyProtection="1" pivotButton="0" quotePrefix="0" xfId="251">
      <alignment horizontal="center" vertical="center" wrapText="1"/>
      <protection locked="0" hidden="0"/>
    </xf>
    <xf numFmtId="0" fontId="22" fillId="0" borderId="23" applyAlignment="1" applyProtection="1" pivotButton="0" quotePrefix="0" xfId="251">
      <alignment horizontal="left" vertical="center" wrapText="1"/>
      <protection locked="0" hidden="0"/>
    </xf>
    <xf numFmtId="0" fontId="38" fillId="36" borderId="23" applyAlignment="1" applyProtection="1" pivotButton="0" quotePrefix="0" xfId="251">
      <alignment horizontal="center" vertical="center"/>
      <protection locked="0" hidden="0"/>
    </xf>
    <xf numFmtId="164" fontId="5" fillId="0" borderId="23" applyAlignment="1" pivotButton="0" quotePrefix="0" xfId="1">
      <alignment horizontal="center" vertical="center"/>
    </xf>
    <xf numFmtId="164" fontId="7" fillId="0" borderId="23" applyAlignment="1" pivotButton="0" quotePrefix="0" xfId="1">
      <alignment horizontal="center" vertical="center"/>
    </xf>
    <xf numFmtId="0" fontId="121" fillId="0" borderId="0" applyAlignment="1" pivotButton="0" quotePrefix="0" xfId="3">
      <alignment horizontal="center" vertical="center"/>
    </xf>
    <xf numFmtId="164" fontId="158" fillId="0" borderId="0" applyAlignment="1" pivotButton="0" quotePrefix="0" xfId="4">
      <alignment horizontal="center" vertical="center"/>
    </xf>
    <xf numFmtId="164" fontId="5" fillId="13" borderId="23" applyAlignment="1" pivotButton="0" quotePrefix="0" xfId="1">
      <alignment horizontal="center" vertical="center"/>
    </xf>
    <xf numFmtId="164" fontId="7" fillId="13" borderId="23" applyAlignment="1" pivotButton="0" quotePrefix="0" xfId="1">
      <alignment horizontal="center" vertical="center"/>
    </xf>
    <xf numFmtId="164" fontId="14" fillId="0" borderId="24" applyAlignment="1" pivotButton="0" quotePrefix="0" xfId="1">
      <alignment vertical="center"/>
    </xf>
    <xf numFmtId="164" fontId="14" fillId="0" borderId="25" applyAlignment="1" pivotButton="0" quotePrefix="0" xfId="1">
      <alignment vertical="center"/>
    </xf>
    <xf numFmtId="164" fontId="9" fillId="0" borderId="24" applyAlignment="1" pivotButton="0" quotePrefix="0" xfId="1">
      <alignment horizontal="left" vertical="center"/>
    </xf>
    <xf numFmtId="164" fontId="9" fillId="0" borderId="25" applyAlignment="1" pivotButton="0" quotePrefix="0" xfId="1">
      <alignment horizontal="left" vertical="center"/>
    </xf>
    <xf numFmtId="0" fontId="145" fillId="0" borderId="15" applyAlignment="1" applyProtection="1" pivotButton="0" quotePrefix="0" xfId="0">
      <alignment horizontal="right" vertical="center" wrapText="1"/>
      <protection locked="0" hidden="0"/>
    </xf>
    <xf numFmtId="0" fontId="145" fillId="0" borderId="0" applyAlignment="1" applyProtection="1" pivotButton="0" quotePrefix="0" xfId="0">
      <alignment horizontal="right" vertical="center" wrapText="1"/>
      <protection locked="0" hidden="0"/>
    </xf>
    <xf numFmtId="0" fontId="145" fillId="0" borderId="13" applyAlignment="1" applyProtection="1" pivotButton="0" quotePrefix="0" xfId="0">
      <alignment horizontal="right" vertical="center" wrapText="1"/>
      <protection locked="0" hidden="0"/>
    </xf>
    <xf numFmtId="0" fontId="147" fillId="0" borderId="0" applyAlignment="1" applyProtection="1" pivotButton="0" quotePrefix="0" xfId="0">
      <alignment horizontal="right" vertical="center" wrapText="1"/>
      <protection locked="0" hidden="0"/>
    </xf>
    <xf numFmtId="0" fontId="147" fillId="0" borderId="13" applyAlignment="1" applyProtection="1" pivotButton="0" quotePrefix="0" xfId="0">
      <alignment horizontal="right" vertical="center" wrapText="1"/>
      <protection locked="0" hidden="0"/>
    </xf>
    <xf numFmtId="0" fontId="145" fillId="0" borderId="15" applyAlignment="1" applyProtection="1" pivotButton="0" quotePrefix="0" xfId="0">
      <alignment horizontal="center" vertical="center" wrapText="1"/>
      <protection locked="0" hidden="0"/>
    </xf>
    <xf numFmtId="0" fontId="96" fillId="0" borderId="0" applyAlignment="1" applyProtection="1" pivotButton="0" quotePrefix="0" xfId="0">
      <alignment horizontal="left" vertical="center" wrapText="1"/>
      <protection locked="0" hidden="0"/>
    </xf>
    <xf numFmtId="0" fontId="115" fillId="0" borderId="0" applyAlignment="1" applyProtection="1" pivotButton="0" quotePrefix="0" xfId="0">
      <alignment horizontal="left" vertical="center" wrapText="1"/>
      <protection locked="0" hidden="0"/>
    </xf>
    <xf numFmtId="0" fontId="95" fillId="0" borderId="15" applyAlignment="1" applyProtection="1" pivotButton="0" quotePrefix="0" xfId="0">
      <alignment horizontal="center" vertical="center" wrapText="1"/>
      <protection locked="0" hidden="0"/>
    </xf>
    <xf numFmtId="0" fontId="95" fillId="0" borderId="13" applyAlignment="1" applyProtection="1" pivotButton="0" quotePrefix="0" xfId="0">
      <alignment horizontal="center" vertical="center" wrapText="1"/>
      <protection locked="0" hidden="0"/>
    </xf>
    <xf numFmtId="0" fontId="121" fillId="0" borderId="0" applyAlignment="1" applyProtection="1" pivotButton="0" quotePrefix="0" xfId="207">
      <alignment horizontal="center" vertical="center"/>
      <protection locked="0" hidden="0"/>
    </xf>
    <xf numFmtId="0" fontId="158" fillId="0" borderId="0" applyAlignment="1" applyProtection="1" pivotButton="0" quotePrefix="0" xfId="207">
      <alignment horizontal="center" vertical="center"/>
      <protection locked="0" hidden="0"/>
    </xf>
    <xf numFmtId="0" fontId="114" fillId="0" borderId="15" applyAlignment="1" pivotButton="0" quotePrefix="0" xfId="0">
      <alignment horizontal="center" vertical="center" wrapText="1"/>
    </xf>
    <xf numFmtId="0" fontId="114" fillId="0" borderId="13" applyAlignment="1" pivotButton="0" quotePrefix="0" xfId="0">
      <alignment horizontal="center" vertical="center" wrapText="1"/>
    </xf>
    <xf numFmtId="0" fontId="115" fillId="0" borderId="0" applyAlignment="1" pivotButton="0" quotePrefix="0" xfId="0">
      <alignment horizontal="left" vertical="center"/>
    </xf>
    <xf numFmtId="0" fontId="115" fillId="0" borderId="0" applyAlignment="1" pivotButton="0" quotePrefix="0" xfId="0">
      <alignment horizontal="left" vertical="center" wrapText="1"/>
    </xf>
    <xf numFmtId="0" fontId="113" fillId="0" borderId="0" applyAlignment="1" pivotButton="0" quotePrefix="0" xfId="0">
      <alignment horizontal="left" vertical="center"/>
    </xf>
    <xf numFmtId="0" fontId="145" fillId="0" borderId="15" applyAlignment="1" applyProtection="1" pivotButton="0" quotePrefix="0" xfId="0">
      <alignment horizontal="justify" vertical="center" wrapText="1"/>
      <protection locked="0" hidden="0"/>
    </xf>
    <xf numFmtId="0" fontId="145" fillId="0" borderId="0" applyAlignment="1" applyProtection="1" pivotButton="0" quotePrefix="0" xfId="0">
      <alignment horizontal="justify" vertical="center" wrapText="1"/>
      <protection locked="0" hidden="0"/>
    </xf>
    <xf numFmtId="0" fontId="145" fillId="0" borderId="13" applyAlignment="1" applyProtection="1" pivotButton="0" quotePrefix="0" xfId="0">
      <alignment horizontal="justify" vertical="center" wrapText="1"/>
      <protection locked="0" hidden="0"/>
    </xf>
    <xf numFmtId="0" fontId="145" fillId="0" borderId="0" applyAlignment="1" applyProtection="1" pivotButton="0" quotePrefix="0" xfId="0">
      <alignment horizontal="center" vertical="center" wrapText="1"/>
      <protection locked="0" hidden="0"/>
    </xf>
    <xf numFmtId="0" fontId="145" fillId="0" borderId="13" applyAlignment="1" applyProtection="1" pivotButton="0" quotePrefix="0" xfId="0">
      <alignment horizontal="center" vertical="center" wrapText="1"/>
      <protection locked="0" hidden="0"/>
    </xf>
    <xf numFmtId="0" fontId="115" fillId="0" borderId="13" applyAlignment="1" pivotButton="0" quotePrefix="0" xfId="0">
      <alignment horizontal="left" vertical="center"/>
    </xf>
    <xf numFmtId="0" fontId="123" fillId="0" borderId="15" applyAlignment="1" pivotButton="0" quotePrefix="0" xfId="0">
      <alignment horizontal="center" vertical="center" wrapText="1"/>
    </xf>
    <xf numFmtId="0" fontId="115" fillId="0" borderId="15" applyAlignment="1" pivotButton="0" quotePrefix="0" xfId="0">
      <alignment horizontal="left" vertical="center"/>
    </xf>
    <xf numFmtId="0" fontId="112" fillId="0" borderId="0" applyAlignment="1" pivotButton="0" quotePrefix="0" xfId="0">
      <alignment horizontal="left" vertical="center"/>
    </xf>
    <xf numFmtId="0" fontId="151" fillId="0" borderId="15" applyAlignment="1" applyProtection="1" pivotButton="0" quotePrefix="0" xfId="0">
      <alignment horizontal="center" vertical="center" wrapText="1"/>
      <protection locked="0" hidden="0"/>
    </xf>
    <xf numFmtId="0" fontId="151" fillId="0" borderId="0" applyAlignment="1" applyProtection="1" pivotButton="0" quotePrefix="0" xfId="0">
      <alignment horizontal="center" vertical="center" wrapText="1"/>
      <protection locked="0" hidden="0"/>
    </xf>
    <xf numFmtId="0" fontId="151" fillId="0" borderId="13" applyAlignment="1" applyProtection="1" pivotButton="0" quotePrefix="0" xfId="0">
      <alignment horizontal="center" vertical="center" wrapText="1"/>
      <protection locked="0" hidden="0"/>
    </xf>
    <xf numFmtId="0" fontId="151" fillId="0" borderId="15" applyAlignment="1" applyProtection="1" pivotButton="0" quotePrefix="0" xfId="0">
      <alignment horizontal="right" vertical="center" wrapText="1"/>
      <protection locked="0" hidden="0"/>
    </xf>
    <xf numFmtId="0" fontId="151" fillId="0" borderId="13" applyAlignment="1" applyProtection="1" pivotButton="0" quotePrefix="0" xfId="0">
      <alignment horizontal="right" vertical="center" wrapText="1"/>
      <protection locked="0" hidden="0"/>
    </xf>
    <xf numFmtId="0" fontId="151" fillId="0" borderId="35" applyAlignment="1" applyProtection="1" pivotButton="0" quotePrefix="0" xfId="0">
      <alignment horizontal="right" vertical="center" wrapText="1"/>
      <protection locked="0" hidden="0"/>
    </xf>
    <xf numFmtId="0" fontId="147" fillId="0" borderId="15" applyAlignment="1" applyProtection="1" pivotButton="0" quotePrefix="0" xfId="0">
      <alignment horizontal="center" vertical="center" wrapText="1"/>
      <protection locked="0" hidden="0"/>
    </xf>
    <xf numFmtId="0" fontId="147" fillId="0" borderId="15" applyAlignment="1" applyProtection="1" pivotButton="0" quotePrefix="0" xfId="0">
      <alignment horizontal="right" vertical="center" wrapText="1"/>
      <protection locked="0" hidden="0"/>
    </xf>
    <xf numFmtId="0" fontId="112" fillId="0" borderId="0" applyAlignment="1" applyProtection="1" pivotButton="0" quotePrefix="0" xfId="0">
      <alignment horizontal="left" vertical="center" wrapText="1"/>
      <protection locked="0" hidden="0"/>
    </xf>
    <xf numFmtId="0" fontId="115" fillId="0" borderId="13" applyAlignment="1" pivotButton="0" quotePrefix="0" xfId="0">
      <alignment horizontal="left" vertical="center" wrapText="1"/>
    </xf>
    <xf numFmtId="0" fontId="114" fillId="0" borderId="11" applyAlignment="1" pivotButton="0" quotePrefix="0" xfId="0">
      <alignment horizontal="center" vertical="center" wrapText="1"/>
    </xf>
    <xf numFmtId="0" fontId="113" fillId="0" borderId="15" applyAlignment="1" pivotButton="0" quotePrefix="0" xfId="0">
      <alignment horizontal="left" vertical="center" wrapText="1"/>
    </xf>
    <xf numFmtId="0" fontId="114" fillId="0" borderId="0" applyAlignment="1" pivotButton="0" quotePrefix="0" xfId="0">
      <alignment horizontal="center" vertical="center" wrapText="1"/>
    </xf>
    <xf numFmtId="0" fontId="95" fillId="0" borderId="11" applyAlignment="1" applyProtection="1" pivotButton="0" quotePrefix="0" xfId="0">
      <alignment horizontal="center" vertical="center" wrapText="1"/>
      <protection locked="0" hidden="0"/>
    </xf>
    <xf numFmtId="0" fontId="111" fillId="0" borderId="0" applyAlignment="1" applyProtection="1" pivotButton="0" quotePrefix="0" xfId="0">
      <alignment horizontal="left" vertical="center" wrapText="1"/>
      <protection locked="0" hidden="0"/>
    </xf>
    <xf numFmtId="0" fontId="123" fillId="0" borderId="15" applyAlignment="1" applyProtection="1" pivotButton="0" quotePrefix="0" xfId="0">
      <alignment horizontal="center" vertical="center" wrapText="1"/>
      <protection locked="0" hidden="0"/>
    </xf>
    <xf numFmtId="0" fontId="96" fillId="0" borderId="15" applyAlignment="1" applyProtection="1" pivotButton="0" quotePrefix="0" xfId="0">
      <alignment horizontal="left" vertical="center" wrapText="1"/>
      <protection locked="0" hidden="0"/>
    </xf>
    <xf numFmtId="0" fontId="95" fillId="0" borderId="15" applyAlignment="1" applyProtection="1" pivotButton="0" quotePrefix="0" xfId="0">
      <alignment horizontal="center" vertical="center"/>
      <protection locked="0" hidden="0"/>
    </xf>
    <xf numFmtId="0" fontId="95" fillId="0" borderId="13" applyAlignment="1" applyProtection="1" pivotButton="0" quotePrefix="0" xfId="0">
      <alignment horizontal="center" vertical="center"/>
      <protection locked="0" hidden="0"/>
    </xf>
    <xf numFmtId="0" fontId="111" fillId="0" borderId="13" applyAlignment="1" pivotButton="0" quotePrefix="0" xfId="0">
      <alignment horizontal="center" vertical="center" wrapText="1"/>
    </xf>
    <xf numFmtId="0" fontId="113" fillId="0" borderId="0" applyAlignment="1" pivotButton="0" quotePrefix="0" xfId="0">
      <alignment horizontal="left" vertical="center" wrapText="1"/>
    </xf>
    <xf numFmtId="0" fontId="111" fillId="0" borderId="11" applyAlignment="1" pivotButton="0" quotePrefix="0" xfId="0">
      <alignment horizontal="center" vertical="center" wrapText="1"/>
    </xf>
    <xf numFmtId="0" fontId="95" fillId="0" borderId="0" applyAlignment="1" applyProtection="1" pivotButton="0" quotePrefix="0" xfId="0">
      <alignment horizontal="left" vertical="center" wrapText="1"/>
      <protection locked="0" hidden="0"/>
    </xf>
    <xf numFmtId="0" fontId="96" fillId="0" borderId="13" applyAlignment="1" applyProtection="1" pivotButton="0" quotePrefix="0" xfId="0">
      <alignment horizontal="left" vertical="center" wrapText="1"/>
      <protection locked="0" hidden="0"/>
    </xf>
    <xf numFmtId="0" fontId="115" fillId="0" borderId="13" applyAlignment="1" applyProtection="1" pivotButton="0" quotePrefix="0" xfId="0">
      <alignment horizontal="left" vertical="center" wrapText="1"/>
      <protection locked="0" hidden="0"/>
    </xf>
    <xf numFmtId="0" fontId="115" fillId="0" borderId="15" applyAlignment="1" pivotButton="0" quotePrefix="0" xfId="0">
      <alignment horizontal="left" vertical="center" wrapText="1"/>
    </xf>
    <xf numFmtId="0" fontId="115" fillId="0" borderId="15" applyAlignment="1" applyProtection="1" pivotButton="0" quotePrefix="0" xfId="0">
      <alignment horizontal="left" vertical="center" wrapText="1"/>
      <protection locked="0" hidden="0"/>
    </xf>
    <xf numFmtId="0" fontId="116" fillId="0" borderId="0" applyAlignment="1" applyProtection="1" pivotButton="0" quotePrefix="0" xfId="0">
      <alignment horizontal="left" vertical="center" wrapText="1"/>
      <protection locked="0" hidden="0"/>
    </xf>
    <xf numFmtId="0" fontId="116" fillId="0" borderId="11" applyAlignment="1" pivotButton="0" quotePrefix="0" xfId="0">
      <alignment horizontal="center" vertical="center" wrapText="1"/>
    </xf>
    <xf numFmtId="0" fontId="151" fillId="0" borderId="11" applyAlignment="1" applyProtection="1" pivotButton="0" quotePrefix="0" xfId="0">
      <alignment horizontal="center" vertical="center" wrapText="1"/>
      <protection locked="0" hidden="0"/>
    </xf>
    <xf numFmtId="0" fontId="113" fillId="0" borderId="13" applyAlignment="1" pivotButton="0" quotePrefix="0" xfId="0">
      <alignment horizontal="left" vertical="center" wrapText="1"/>
    </xf>
    <xf numFmtId="0" fontId="112" fillId="0" borderId="15" applyAlignment="1" pivotButton="0" quotePrefix="0" xfId="0">
      <alignment horizontal="left" vertical="center" wrapText="1"/>
    </xf>
    <xf numFmtId="0" fontId="111" fillId="0" borderId="15" applyAlignment="1" pivotButton="0" quotePrefix="0" xfId="0">
      <alignment horizontal="center" vertical="center" wrapText="1"/>
    </xf>
    <xf numFmtId="0" fontId="112" fillId="0" borderId="13" applyAlignment="1" applyProtection="1" pivotButton="0" quotePrefix="0" xfId="0">
      <alignment horizontal="left" vertical="center" wrapText="1"/>
      <protection locked="0" hidden="0"/>
    </xf>
    <xf numFmtId="0" fontId="147" fillId="0" borderId="15" applyAlignment="1" applyProtection="1" pivotButton="0" quotePrefix="0" xfId="0">
      <alignment horizontal="justify" vertical="center" wrapText="1"/>
      <protection locked="0" hidden="0"/>
    </xf>
    <xf numFmtId="0" fontId="147" fillId="0" borderId="13" applyAlignment="1" applyProtection="1" pivotButton="0" quotePrefix="0" xfId="0">
      <alignment horizontal="justify" vertical="center" wrapText="1"/>
      <protection locked="0" hidden="0"/>
    </xf>
    <xf numFmtId="0" fontId="18" fillId="0" borderId="0" applyAlignment="1" applyProtection="1" pivotButton="0" quotePrefix="0" xfId="0">
      <alignment horizontal="left" vertical="center" wrapText="1"/>
      <protection locked="0" hidden="0"/>
    </xf>
    <xf numFmtId="0" fontId="9" fillId="0" borderId="0" applyAlignment="1" applyProtection="1" pivotButton="0" quotePrefix="0" xfId="0">
      <alignment horizontal="left" vertical="center" wrapText="1"/>
      <protection locked="0" hidden="0"/>
    </xf>
    <xf numFmtId="0" fontId="121" fillId="0" borderId="0" applyAlignment="1" pivotButton="0" quotePrefix="0" xfId="244">
      <alignment horizontal="center" vertical="center"/>
    </xf>
    <xf numFmtId="0" fontId="158" fillId="0" borderId="0" applyAlignment="1" pivotButton="0" quotePrefix="0" xfId="244">
      <alignment horizontal="center" vertical="center"/>
    </xf>
    <xf numFmtId="0" fontId="7" fillId="13" borderId="23" applyAlignment="1" applyProtection="1" pivotButton="0" quotePrefix="0" xfId="0">
      <alignment horizontal="center" vertical="center" wrapText="1"/>
      <protection locked="0" hidden="0"/>
    </xf>
    <xf numFmtId="0" fontId="5" fillId="13" borderId="23" applyAlignment="1" applyProtection="1" pivotButton="0" quotePrefix="0" xfId="0">
      <alignment horizontal="center" vertical="center"/>
      <protection locked="0" hidden="0"/>
    </xf>
    <xf numFmtId="0" fontId="7" fillId="36" borderId="23" applyAlignment="1" applyProtection="1" pivotButton="0" quotePrefix="0" xfId="0">
      <alignment horizontal="center" vertical="center" wrapText="1"/>
      <protection locked="0" hidden="0"/>
    </xf>
    <xf numFmtId="0" fontId="5" fillId="13" borderId="23" applyAlignment="1" applyProtection="1" pivotButton="0" quotePrefix="0" xfId="0">
      <alignment horizontal="center" vertical="center" wrapText="1"/>
      <protection locked="0" hidden="0"/>
    </xf>
    <xf numFmtId="0" fontId="7" fillId="13" borderId="23" applyAlignment="1" applyProtection="1" pivotButton="0" quotePrefix="0" xfId="0">
      <alignment horizontal="center" vertical="center"/>
      <protection locked="0" hidden="0"/>
    </xf>
    <xf numFmtId="164" fontId="121" fillId="0" borderId="0" applyAlignment="1" pivotButton="0" quotePrefix="0" xfId="4">
      <alignment horizontal="center" vertical="center"/>
    </xf>
    <xf numFmtId="0" fontId="5" fillId="13" borderId="14" applyAlignment="1" applyProtection="1" pivotButton="0" quotePrefix="0" xfId="0">
      <alignment horizontal="center" vertical="center" wrapText="1"/>
      <protection locked="0" hidden="0"/>
    </xf>
    <xf numFmtId="0" fontId="7" fillId="13" borderId="14" applyAlignment="1" applyProtection="1" pivotButton="0" quotePrefix="0" xfId="0">
      <alignment horizontal="center" vertical="center" wrapText="1"/>
      <protection locked="0" hidden="0"/>
    </xf>
    <xf numFmtId="0" fontId="5" fillId="13" borderId="1" applyAlignment="1" applyProtection="1" pivotButton="0" quotePrefix="0" xfId="0">
      <alignment horizontal="center" vertical="center" wrapText="1"/>
      <protection locked="0" hidden="0"/>
    </xf>
    <xf numFmtId="0" fontId="5" fillId="13" borderId="2" applyAlignment="1" applyProtection="1" pivotButton="0" quotePrefix="0" xfId="0">
      <alignment horizontal="center" vertical="center" wrapText="1"/>
      <protection locked="0" hidden="0"/>
    </xf>
    <xf numFmtId="0" fontId="5" fillId="13" borderId="4" applyAlignment="1" applyProtection="1" pivotButton="0" quotePrefix="0" xfId="0">
      <alignment horizontal="center" vertical="center" wrapText="1"/>
      <protection locked="0" hidden="0"/>
    </xf>
    <xf numFmtId="0" fontId="5" fillId="13" borderId="5" applyAlignment="1" applyProtection="1" pivotButton="0" quotePrefix="0" xfId="0">
      <alignment horizontal="center" vertical="center" wrapText="1"/>
      <protection locked="0" hidden="0"/>
    </xf>
    <xf numFmtId="0" fontId="92" fillId="13" borderId="14" applyAlignment="1" applyProtection="1" pivotButton="0" quotePrefix="0" xfId="0">
      <alignment horizontal="center" vertical="center" wrapText="1"/>
      <protection locked="0" hidden="0"/>
    </xf>
    <xf numFmtId="0" fontId="81" fillId="13" borderId="14" applyAlignment="1" applyProtection="1" pivotButton="0" quotePrefix="0" xfId="0">
      <alignment horizontal="center" vertical="center" wrapText="1"/>
      <protection locked="0" hidden="0"/>
    </xf>
    <xf numFmtId="0" fontId="7" fillId="13" borderId="3" applyAlignment="1" applyProtection="1" pivotButton="0" quotePrefix="0" xfId="0">
      <alignment horizontal="center" vertical="center" wrapText="1"/>
      <protection locked="0" hidden="0"/>
    </xf>
    <xf numFmtId="0" fontId="7" fillId="13" borderId="6" applyAlignment="1" applyProtection="1" pivotButton="0" quotePrefix="0" xfId="0">
      <alignment horizontal="center" vertical="center" wrapText="1"/>
      <protection locked="0" hidden="0"/>
    </xf>
    <xf numFmtId="0" fontId="78" fillId="13" borderId="23" applyAlignment="1" applyProtection="1" pivotButton="0" quotePrefix="0" xfId="0">
      <alignment horizontal="center" vertical="center"/>
      <protection locked="0" hidden="0"/>
    </xf>
    <xf numFmtId="0" fontId="85" fillId="13" borderId="23" applyAlignment="1" applyProtection="1" pivotButton="0" quotePrefix="0" xfId="0">
      <alignment horizontal="center" vertical="center" wrapText="1"/>
      <protection locked="0" hidden="0"/>
    </xf>
    <xf numFmtId="0" fontId="78" fillId="13" borderId="23" applyAlignment="1" applyProtection="1" pivotButton="0" quotePrefix="0" xfId="0">
      <alignment horizontal="center" vertical="center" wrapText="1"/>
      <protection locked="0" hidden="0"/>
    </xf>
    <xf numFmtId="0" fontId="7" fillId="13" borderId="1" applyAlignment="1" applyProtection="1" pivotButton="0" quotePrefix="0" xfId="0">
      <alignment horizontal="center" vertical="center" wrapText="1"/>
      <protection locked="0" hidden="0"/>
    </xf>
    <xf numFmtId="0" fontId="7" fillId="13" borderId="19" applyAlignment="1" applyProtection="1" pivotButton="0" quotePrefix="0" xfId="0">
      <alignment horizontal="center" vertical="center" wrapText="1"/>
      <protection locked="0" hidden="0"/>
    </xf>
    <xf numFmtId="0" fontId="7" fillId="13" borderId="2" applyAlignment="1" applyProtection="1" pivotButton="0" quotePrefix="0" xfId="0">
      <alignment horizontal="center" vertical="center" wrapText="1"/>
      <protection locked="0" hidden="0"/>
    </xf>
    <xf numFmtId="0" fontId="7" fillId="13" borderId="4" applyAlignment="1" applyProtection="1" pivotButton="0" quotePrefix="0" xfId="0">
      <alignment horizontal="center" vertical="center" wrapText="1"/>
      <protection locked="0" hidden="0"/>
    </xf>
    <xf numFmtId="0" fontId="7" fillId="13" borderId="20" applyAlignment="1" applyProtection="1" pivotButton="0" quotePrefix="0" xfId="0">
      <alignment horizontal="center" vertical="center" wrapText="1"/>
      <protection locked="0" hidden="0"/>
    </xf>
    <xf numFmtId="0" fontId="7" fillId="13" borderId="5" applyAlignment="1" applyProtection="1" pivotButton="0" quotePrefix="0" xfId="0">
      <alignment horizontal="center" vertical="center" wrapText="1"/>
      <protection locked="0" hidden="0"/>
    </xf>
    <xf numFmtId="0" fontId="69" fillId="13" borderId="16" applyAlignment="1" applyProtection="1" pivotButton="0" quotePrefix="0" xfId="0">
      <alignment horizontal="center" vertical="center"/>
      <protection locked="0" hidden="0"/>
    </xf>
    <xf numFmtId="0" fontId="69" fillId="13" borderId="18" applyAlignment="1" applyProtection="1" pivotButton="0" quotePrefix="0" xfId="0">
      <alignment horizontal="center" vertical="center"/>
      <protection locked="0" hidden="0"/>
    </xf>
    <xf numFmtId="0" fontId="81" fillId="13" borderId="16" applyAlignment="1" applyProtection="1" pivotButton="0" quotePrefix="0" xfId="0">
      <alignment horizontal="center" vertical="center"/>
      <protection locked="0" hidden="0"/>
    </xf>
    <xf numFmtId="0" fontId="81" fillId="13" borderId="18" applyAlignment="1" applyProtection="1" pivotButton="0" quotePrefix="0" xfId="0">
      <alignment horizontal="center" vertical="center"/>
      <protection locked="0" hidden="0"/>
    </xf>
    <xf numFmtId="0" fontId="9" fillId="0" borderId="16" applyAlignment="1" applyProtection="1" pivotButton="0" quotePrefix="0" xfId="0">
      <alignment horizontal="left" vertical="center" wrapText="1"/>
      <protection locked="0" hidden="0"/>
    </xf>
    <xf numFmtId="0" fontId="9" fillId="0" borderId="17" applyAlignment="1" applyProtection="1" pivotButton="0" quotePrefix="0" xfId="0">
      <alignment horizontal="left" vertical="center" wrapText="1"/>
      <protection locked="0" hidden="0"/>
    </xf>
    <xf numFmtId="0" fontId="9" fillId="0" borderId="18" applyAlignment="1" applyProtection="1" pivotButton="0" quotePrefix="0" xfId="0">
      <alignment horizontal="left" vertical="center" wrapText="1"/>
      <protection locked="0" hidden="0"/>
    </xf>
    <xf numFmtId="0" fontId="7" fillId="0" borderId="14" applyAlignment="1" pivotButton="0" quotePrefix="0" xfId="0">
      <alignment horizontal="left" vertical="center" wrapText="1"/>
    </xf>
    <xf numFmtId="0" fontId="9" fillId="0" borderId="14" applyAlignment="1" pivotButton="0" quotePrefix="0" xfId="0">
      <alignment horizontal="left" vertical="center" wrapText="1"/>
    </xf>
    <xf numFmtId="0" fontId="7" fillId="13" borderId="16" applyAlignment="1" pivotButton="0" quotePrefix="0" xfId="0">
      <alignment horizontal="left" vertical="center"/>
    </xf>
    <xf numFmtId="0" fontId="7" fillId="13" borderId="17" applyAlignment="1" pivotButton="0" quotePrefix="0" xfId="0">
      <alignment horizontal="left" vertical="center"/>
    </xf>
    <xf numFmtId="0" fontId="7" fillId="13" borderId="18" applyAlignment="1" pivotButton="0" quotePrefix="0" xfId="0">
      <alignment horizontal="left" vertical="center"/>
    </xf>
    <xf numFmtId="0" fontId="7" fillId="0" borderId="16" applyAlignment="1" applyProtection="1" pivotButton="0" quotePrefix="0" xfId="0">
      <alignment horizontal="left" vertical="center" wrapText="1"/>
      <protection locked="0" hidden="0"/>
    </xf>
    <xf numFmtId="0" fontId="7" fillId="0" borderId="17" applyAlignment="1" applyProtection="1" pivotButton="0" quotePrefix="0" xfId="0">
      <alignment horizontal="left" vertical="center" wrapText="1"/>
      <protection locked="0" hidden="0"/>
    </xf>
    <xf numFmtId="0" fontId="7" fillId="0" borderId="18" applyAlignment="1" applyProtection="1" pivotButton="0" quotePrefix="0" xfId="0">
      <alignment horizontal="left" vertical="center" wrapText="1"/>
      <protection locked="0" hidden="0"/>
    </xf>
    <xf numFmtId="0" fontId="9" fillId="0" borderId="14" applyAlignment="1" pivotButton="0" quotePrefix="0" xfId="254">
      <alignment horizontal="center" vertical="center"/>
    </xf>
    <xf numFmtId="0" fontId="9" fillId="0" borderId="23" applyAlignment="1" pivotButton="0" quotePrefix="0" xfId="254">
      <alignment horizontal="left" vertical="center" wrapText="1"/>
    </xf>
    <xf numFmtId="0" fontId="78" fillId="13" borderId="16" applyAlignment="1" applyProtection="1" pivotButton="0" quotePrefix="0" xfId="0">
      <alignment horizontal="center" vertical="center"/>
      <protection locked="0" hidden="0"/>
    </xf>
    <xf numFmtId="0" fontId="78" fillId="13" borderId="18" applyAlignment="1" applyProtection="1" pivotButton="0" quotePrefix="0" xfId="0">
      <alignment horizontal="center" vertical="center"/>
      <protection locked="0" hidden="0"/>
    </xf>
    <xf numFmtId="0" fontId="9" fillId="13" borderId="23" applyAlignment="1" pivotButton="0" quotePrefix="0" xfId="0">
      <alignment horizontal="center" vertical="center" wrapText="1"/>
    </xf>
    <xf numFmtId="0" fontId="69" fillId="0" borderId="23" applyAlignment="1" pivotButton="0" quotePrefix="0" xfId="0">
      <alignment horizontal="center" vertical="center" wrapText="1"/>
    </xf>
    <xf numFmtId="0" fontId="81" fillId="13" borderId="23" applyAlignment="1" pivotButton="0" quotePrefix="0" xfId="0">
      <alignment horizontal="center" vertical="center"/>
    </xf>
    <xf numFmtId="0" fontId="13" fillId="0" borderId="23" applyAlignment="1" pivotButton="0" quotePrefix="0" xfId="0">
      <alignment horizontal="left" vertical="center" wrapText="1"/>
    </xf>
    <xf numFmtId="0" fontId="9" fillId="0" borderId="23" applyAlignment="1" pivotButton="0" quotePrefix="0" xfId="0">
      <alignment horizontal="left" vertical="center" wrapText="1"/>
    </xf>
    <xf numFmtId="0" fontId="13" fillId="13" borderId="23" applyAlignment="1" pivotButton="0" quotePrefix="0" xfId="0">
      <alignment horizontal="left" vertical="center" wrapText="1"/>
    </xf>
    <xf numFmtId="0" fontId="9" fillId="13" borderId="23" applyAlignment="1" pivotButton="0" quotePrefix="0" xfId="0">
      <alignment horizontal="left" vertical="center" wrapText="1"/>
    </xf>
    <xf numFmtId="0" fontId="13" fillId="0" borderId="14" applyAlignment="1" pivotButton="0" quotePrefix="0" xfId="0">
      <alignment horizontal="left" vertical="center" wrapText="1"/>
    </xf>
    <xf numFmtId="0" fontId="7" fillId="13" borderId="23" applyAlignment="1" pivotButton="0" quotePrefix="0" xfId="0">
      <alignment horizontal="center" vertical="center"/>
    </xf>
    <xf numFmtId="0" fontId="7" fillId="13" borderId="14" applyAlignment="1" pivotButton="0" quotePrefix="0" xfId="0">
      <alignment horizontal="left" vertical="center"/>
    </xf>
    <xf numFmtId="0" fontId="81" fillId="13" borderId="14" applyAlignment="1" pivotButton="0" quotePrefix="0" xfId="0">
      <alignment horizontal="center" vertical="center"/>
    </xf>
    <xf numFmtId="0" fontId="13" fillId="36" borderId="14" applyAlignment="1" pivotButton="0" quotePrefix="0" xfId="0">
      <alignment horizontal="left" vertical="center" wrapText="1"/>
    </xf>
    <xf numFmtId="0" fontId="9" fillId="36" borderId="14" applyAlignment="1" pivotButton="0" quotePrefix="0" xfId="0">
      <alignment horizontal="left" vertical="center" wrapText="1"/>
    </xf>
    <xf numFmtId="0" fontId="7" fillId="13" borderId="14" applyAlignment="1" pivotButton="0" quotePrefix="0" xfId="0">
      <alignment horizontal="center" vertical="center"/>
    </xf>
    <xf numFmtId="0" fontId="9" fillId="0" borderId="14" applyAlignment="1" applyProtection="1" pivotButton="0" quotePrefix="0" xfId="0">
      <alignment horizontal="left" vertical="center" wrapText="1"/>
      <protection locked="0" hidden="0"/>
    </xf>
    <xf numFmtId="0" fontId="79" fillId="0" borderId="14" applyAlignment="1" applyProtection="1" pivotButton="0" quotePrefix="0" xfId="0">
      <alignment horizontal="left" vertical="center" wrapText="1" indent="1"/>
      <protection locked="0" hidden="0"/>
    </xf>
    <xf numFmtId="0" fontId="13" fillId="0" borderId="14" applyAlignment="1" applyProtection="1" pivotButton="0" quotePrefix="0" xfId="0">
      <alignment horizontal="left" vertical="center" wrapText="1"/>
      <protection locked="0" hidden="0"/>
    </xf>
    <xf numFmtId="0" fontId="9" fillId="0" borderId="14" applyAlignment="1" applyProtection="1" pivotButton="0" quotePrefix="0" xfId="0">
      <alignment horizontal="left" vertical="center" wrapText="1" indent="1"/>
      <protection locked="0" hidden="0"/>
    </xf>
    <xf numFmtId="0" fontId="9" fillId="0" borderId="16" applyAlignment="1" applyProtection="1" pivotButton="0" quotePrefix="0" xfId="0">
      <alignment horizontal="left" vertical="center" wrapText="1" indent="1"/>
      <protection locked="0" hidden="0"/>
    </xf>
    <xf numFmtId="0" fontId="9" fillId="0" borderId="18" applyAlignment="1" applyProtection="1" pivotButton="0" quotePrefix="0" xfId="0">
      <alignment horizontal="left" vertical="center" wrapText="1" indent="1"/>
      <protection locked="0" hidden="0"/>
    </xf>
    <xf numFmtId="0" fontId="78" fillId="13" borderId="14" applyAlignment="1" applyProtection="1" pivotButton="0" quotePrefix="0" xfId="0">
      <alignment horizontal="center" vertical="center" wrapText="1"/>
      <protection locked="0" hidden="0"/>
    </xf>
    <xf numFmtId="0" fontId="121" fillId="0" borderId="0" applyAlignment="1" applyProtection="1" pivotButton="0" quotePrefix="0" xfId="0">
      <alignment horizontal="center" vertical="center"/>
      <protection locked="0" hidden="0"/>
    </xf>
    <xf numFmtId="0" fontId="158" fillId="0" borderId="0" applyAlignment="1" applyProtection="1" pivotButton="0" quotePrefix="0" xfId="0">
      <alignment horizontal="center" vertical="center"/>
      <protection locked="0" hidden="0"/>
    </xf>
    <xf numFmtId="0" fontId="7" fillId="13" borderId="24" applyAlignment="1" applyProtection="1" pivotButton="0" quotePrefix="0" xfId="0">
      <alignment horizontal="center" vertical="center" wrapText="1"/>
      <protection locked="0" hidden="0"/>
    </xf>
    <xf numFmtId="0" fontId="7" fillId="13" borderId="25" applyAlignment="1" applyProtection="1" pivotButton="0" quotePrefix="0" xfId="0">
      <alignment horizontal="center" vertical="center" wrapText="1"/>
      <protection locked="0" hidden="0"/>
    </xf>
    <xf numFmtId="0" fontId="7" fillId="13" borderId="16" applyAlignment="1" applyProtection="1" pivotButton="0" quotePrefix="0" xfId="0">
      <alignment horizontal="center" vertical="center" wrapText="1"/>
      <protection locked="0" hidden="0"/>
    </xf>
    <xf numFmtId="0" fontId="7" fillId="13" borderId="17" applyAlignment="1" applyProtection="1" pivotButton="0" quotePrefix="0" xfId="0">
      <alignment horizontal="center" vertical="center" wrapText="1"/>
      <protection locked="0" hidden="0"/>
    </xf>
    <xf numFmtId="0" fontId="7" fillId="13" borderId="18" applyAlignment="1" applyProtection="1" pivotButton="0" quotePrefix="0" xfId="0">
      <alignment horizontal="center" vertical="center" wrapText="1"/>
      <protection locked="0" hidden="0"/>
    </xf>
    <xf numFmtId="0" fontId="7" fillId="13" borderId="16" applyAlignment="1" applyProtection="1" pivotButton="0" quotePrefix="0" xfId="0">
      <alignment horizontal="center" vertical="center"/>
      <protection locked="0" hidden="0"/>
    </xf>
    <xf numFmtId="0" fontId="7" fillId="13" borderId="17" applyAlignment="1" applyProtection="1" pivotButton="0" quotePrefix="0" xfId="0">
      <alignment horizontal="center" vertical="center"/>
      <protection locked="0" hidden="0"/>
    </xf>
    <xf numFmtId="0" fontId="7" fillId="13" borderId="18" applyAlignment="1" applyProtection="1" pivotButton="0" quotePrefix="0" xfId="0">
      <alignment horizontal="center" vertical="center"/>
      <protection locked="0" hidden="0"/>
    </xf>
    <xf numFmtId="0" fontId="7" fillId="13" borderId="14" applyAlignment="1" pivotButton="0" quotePrefix="0" xfId="254">
      <alignment horizontal="center" vertical="center" wrapText="1"/>
    </xf>
    <xf numFmtId="0" fontId="7" fillId="0" borderId="20" applyAlignment="1" pivotButton="0" quotePrefix="0" xfId="254">
      <alignment horizontal="left" vertical="center" wrapText="1"/>
    </xf>
    <xf numFmtId="10" fontId="7" fillId="13" borderId="14" applyAlignment="1" pivotButton="0" quotePrefix="0" xfId="200">
      <alignment horizontal="center" vertical="center" wrapText="1"/>
    </xf>
    <xf numFmtId="0" fontId="7" fillId="13" borderId="14" applyAlignment="1" pivotButton="0" quotePrefix="0" xfId="254">
      <alignment horizontal="center" vertical="center"/>
    </xf>
    <xf numFmtId="0" fontId="9" fillId="0" borderId="14" applyAlignment="1" pivotButton="0" quotePrefix="0" xfId="254">
      <alignment horizontal="left" vertical="center"/>
    </xf>
    <xf numFmtId="0" fontId="9" fillId="13" borderId="14" applyAlignment="1" pivotButton="0" quotePrefix="0" xfId="254">
      <alignment horizontal="center" vertical="center"/>
    </xf>
    <xf numFmtId="0" fontId="7" fillId="0" borderId="14" applyAlignment="1" pivotButton="0" quotePrefix="0" xfId="254">
      <alignment horizontal="center" vertical="center"/>
    </xf>
    <xf numFmtId="0" fontId="9" fillId="13" borderId="16" applyAlignment="1" pivotButton="0" quotePrefix="0" xfId="254">
      <alignment horizontal="center" vertical="center"/>
    </xf>
    <xf numFmtId="0" fontId="9" fillId="13" borderId="17" applyAlignment="1" pivotButton="0" quotePrefix="0" xfId="254">
      <alignment horizontal="center" vertical="center"/>
    </xf>
    <xf numFmtId="0" fontId="9" fillId="13" borderId="18" applyAlignment="1" pivotButton="0" quotePrefix="0" xfId="254">
      <alignment horizontal="center" vertical="center"/>
    </xf>
    <xf numFmtId="0" fontId="7" fillId="0" borderId="14" applyAlignment="1" pivotButton="0" quotePrefix="0" xfId="254">
      <alignment horizontal="left" vertical="center"/>
    </xf>
    <xf numFmtId="0" fontId="9" fillId="0" borderId="14" applyAlignment="1" pivotButton="0" quotePrefix="0" xfId="254">
      <alignment horizontal="left" vertical="center" wrapText="1"/>
    </xf>
    <xf numFmtId="10" fontId="7" fillId="36" borderId="23" applyAlignment="1" applyProtection="1" pivotButton="0" quotePrefix="0" xfId="2">
      <alignment horizontal="center" vertical="center" wrapText="1"/>
      <protection locked="0" hidden="0"/>
    </xf>
    <xf numFmtId="164" fontId="5" fillId="36" borderId="3" applyAlignment="1" applyProtection="1" pivotButton="0" quotePrefix="0" xfId="0">
      <alignment horizontal="center" vertical="center" wrapText="1"/>
      <protection locked="0" hidden="0"/>
    </xf>
    <xf numFmtId="164" fontId="5" fillId="36" borderId="6" applyAlignment="1" applyProtection="1" pivotButton="0" quotePrefix="0" xfId="0">
      <alignment horizontal="center" vertical="center" wrapText="1"/>
      <protection locked="0" hidden="0"/>
    </xf>
    <xf numFmtId="165" fontId="7" fillId="36" borderId="23" applyAlignment="1" pivotButton="0" quotePrefix="0" xfId="381">
      <alignment horizontal="center" vertical="center" wrapText="1"/>
    </xf>
    <xf numFmtId="0" fontId="9" fillId="0" borderId="14" applyAlignment="1" pivotButton="0" quotePrefix="0" xfId="253">
      <alignment horizontal="center" vertical="center"/>
    </xf>
    <xf numFmtId="0" fontId="7" fillId="0" borderId="14" applyAlignment="1" pivotButton="0" quotePrefix="0" xfId="253">
      <alignment horizontal="center" vertical="center"/>
    </xf>
    <xf numFmtId="0" fontId="7" fillId="13" borderId="3" applyAlignment="1" pivotButton="0" quotePrefix="0" xfId="253">
      <alignment horizontal="center" vertical="center" wrapText="1"/>
    </xf>
    <xf numFmtId="0" fontId="7" fillId="13" borderId="6" applyAlignment="1" pivotButton="0" quotePrefix="0" xfId="253">
      <alignment horizontal="center" vertical="center" wrapText="1"/>
    </xf>
    <xf numFmtId="0" fontId="5" fillId="0" borderId="0" applyAlignment="1" pivotButton="0" quotePrefix="0" xfId="253">
      <alignment horizontal="left" vertical="center" wrapText="1"/>
    </xf>
    <xf numFmtId="0" fontId="7" fillId="0" borderId="0" applyAlignment="1" pivotButton="0" quotePrefix="0" xfId="253">
      <alignment horizontal="left" vertical="center" wrapText="1"/>
    </xf>
    <xf numFmtId="0" fontId="7" fillId="13" borderId="14" applyAlignment="1" pivotButton="0" quotePrefix="0" xfId="253">
      <alignment horizontal="center" vertical="center"/>
    </xf>
    <xf numFmtId="0" fontId="7" fillId="13" borderId="14" applyAlignment="1" pivotButton="0" quotePrefix="0" xfId="253">
      <alignment horizontal="center" vertical="center" wrapText="1"/>
    </xf>
    <xf numFmtId="0" fontId="5" fillId="13" borderId="14" applyAlignment="1" pivotButton="0" quotePrefix="0" xfId="253">
      <alignment horizontal="center" vertical="center"/>
    </xf>
    <xf numFmtId="0" fontId="5" fillId="13" borderId="14" applyAlignment="1" pivotButton="0" quotePrefix="0" xfId="253">
      <alignment horizontal="center" vertical="center" wrapText="1"/>
    </xf>
    <xf numFmtId="0" fontId="9" fillId="0" borderId="14" applyAlignment="1" pivotButton="0" quotePrefix="0" xfId="253">
      <alignment horizontal="left" vertical="center"/>
    </xf>
    <xf numFmtId="0" fontId="5" fillId="13" borderId="16" applyAlignment="1" applyProtection="1" pivotButton="0" quotePrefix="0" xfId="0">
      <alignment horizontal="center" vertical="center" wrapText="1"/>
      <protection locked="0" hidden="0"/>
    </xf>
    <xf numFmtId="0" fontId="5" fillId="13" borderId="18" applyAlignment="1" applyProtection="1" pivotButton="0" quotePrefix="0" xfId="0">
      <alignment horizontal="center" vertical="center" wrapText="1"/>
      <protection locked="0" hidden="0"/>
    </xf>
    <xf numFmtId="0" fontId="5" fillId="13" borderId="24" applyAlignment="1" applyProtection="1" pivotButton="0" quotePrefix="0" xfId="0">
      <alignment horizontal="center" vertical="center" wrapText="1"/>
      <protection locked="0" hidden="0"/>
    </xf>
    <xf numFmtId="0" fontId="5" fillId="13" borderId="25" applyAlignment="1" applyProtection="1" pivotButton="0" quotePrefix="0" xfId="0">
      <alignment horizontal="center" vertical="center" wrapText="1"/>
      <protection locked="0" hidden="0"/>
    </xf>
    <xf numFmtId="0" fontId="121" fillId="0" borderId="0" applyAlignment="1" pivotButton="0" quotePrefix="0" xfId="244">
      <alignment horizontal="center" vertical="center" wrapText="1"/>
    </xf>
    <xf numFmtId="0" fontId="158" fillId="0" borderId="0" applyAlignment="1" pivotButton="0" quotePrefix="0" xfId="244">
      <alignment horizontal="center" vertical="center" wrapText="1"/>
    </xf>
    <xf numFmtId="0" fontId="5" fillId="13" borderId="3" applyAlignment="1" applyProtection="1" pivotButton="0" quotePrefix="0" xfId="0">
      <alignment horizontal="center" vertical="center" wrapText="1"/>
      <protection locked="0" hidden="0"/>
    </xf>
    <xf numFmtId="0" fontId="5" fillId="13" borderId="6" applyAlignment="1" applyProtection="1" pivotButton="0" quotePrefix="0" xfId="0">
      <alignment horizontal="center" vertical="center" wrapText="1"/>
      <protection locked="0" hidden="0"/>
    </xf>
    <xf numFmtId="0" fontId="7" fillId="13" borderId="14" applyAlignment="1" applyProtection="1" pivotButton="0" quotePrefix="0" xfId="0">
      <alignment horizontal="center" vertical="center"/>
      <protection locked="0" hidden="0"/>
    </xf>
    <xf numFmtId="0" fontId="7" fillId="13" borderId="16" applyAlignment="1" applyProtection="1" pivotButton="0" quotePrefix="0" xfId="207">
      <alignment horizontal="center" vertical="center"/>
      <protection locked="0" hidden="0"/>
    </xf>
    <xf numFmtId="0" fontId="7" fillId="13" borderId="18" applyAlignment="1" applyProtection="1" pivotButton="0" quotePrefix="0" xfId="207">
      <alignment horizontal="center" vertical="center"/>
      <protection locked="0" hidden="0"/>
    </xf>
    <xf numFmtId="0" fontId="5" fillId="36" borderId="24" applyAlignment="1" pivotButton="0" quotePrefix="0" xfId="0">
      <alignment horizontal="center" vertical="center"/>
    </xf>
    <xf numFmtId="0" fontId="7" fillId="36" borderId="17" applyAlignment="1" pivotButton="0" quotePrefix="0" xfId="0">
      <alignment horizontal="center" vertical="center"/>
    </xf>
    <xf numFmtId="0" fontId="7" fillId="36" borderId="25" applyAlignment="1" pivotButton="0" quotePrefix="0" xfId="0">
      <alignment horizontal="center" vertical="center"/>
    </xf>
    <xf numFmtId="0" fontId="5" fillId="13" borderId="3" applyAlignment="1" pivotButton="0" quotePrefix="0" xfId="0">
      <alignment horizontal="center" vertical="center" wrapText="1"/>
    </xf>
    <xf numFmtId="0" fontId="5" fillId="13" borderId="6" applyAlignment="1" pivotButton="0" quotePrefix="0" xfId="0">
      <alignment horizontal="center" vertical="center" wrapText="1"/>
    </xf>
    <xf numFmtId="0" fontId="5" fillId="36" borderId="3" applyAlignment="1" pivotButton="0" quotePrefix="0" xfId="0">
      <alignment horizontal="center" vertical="center" wrapText="1"/>
    </xf>
    <xf numFmtId="0" fontId="7" fillId="36" borderId="6" applyAlignment="1" pivotButton="0" quotePrefix="0" xfId="0">
      <alignment horizontal="center" vertical="center" wrapText="1"/>
    </xf>
    <xf numFmtId="0" fontId="7" fillId="13" borderId="3" applyAlignment="1" pivotButton="0" quotePrefix="0" xfId="0">
      <alignment horizontal="center" vertical="center"/>
    </xf>
    <xf numFmtId="0" fontId="7" fillId="13" borderId="6" applyAlignment="1" pivotButton="0" quotePrefix="0" xfId="0">
      <alignment horizontal="center" vertical="center"/>
    </xf>
    <xf numFmtId="0" fontId="7" fillId="13" borderId="3" applyAlignment="1" pivotButton="0" quotePrefix="0" xfId="0">
      <alignment horizontal="center" vertical="center" wrapText="1"/>
    </xf>
    <xf numFmtId="0" fontId="7" fillId="13" borderId="6" applyAlignment="1" pivotButton="0" quotePrefix="0" xfId="0">
      <alignment horizontal="center" vertical="center" wrapText="1"/>
    </xf>
    <xf numFmtId="14" fontId="5" fillId="36" borderId="23" applyAlignment="1" applyProtection="1" pivotButton="0" quotePrefix="0" xfId="387">
      <alignment horizontal="center" vertical="center"/>
      <protection locked="0" hidden="0"/>
    </xf>
    <xf numFmtId="0" fontId="7" fillId="0" borderId="0" applyAlignment="1" pivotButton="0" quotePrefix="0" xfId="384">
      <alignment horizontal="left" vertical="center"/>
    </xf>
    <xf numFmtId="0" fontId="5" fillId="39" borderId="23" applyAlignment="1" applyProtection="1" pivotButton="0" quotePrefix="0" xfId="386">
      <alignment horizontal="center" vertical="center"/>
      <protection locked="0" hidden="0"/>
    </xf>
    <xf numFmtId="0" fontId="162" fillId="40" borderId="23" applyAlignment="1" pivotButton="0" quotePrefix="0" xfId="386">
      <alignment horizontal="center" vertical="center" wrapText="1"/>
    </xf>
    <xf numFmtId="168" fontId="7" fillId="39" borderId="24" applyAlignment="1" applyProtection="1" pivotButton="0" quotePrefix="0" xfId="387">
      <alignment horizontal="center" vertical="center"/>
      <protection locked="0" hidden="0"/>
    </xf>
    <xf numFmtId="168" fontId="7" fillId="39" borderId="17" applyAlignment="1" applyProtection="1" pivotButton="0" quotePrefix="0" xfId="387">
      <alignment horizontal="center" vertical="center"/>
      <protection locked="0" hidden="0"/>
    </xf>
    <xf numFmtId="168" fontId="7" fillId="39" borderId="25" applyAlignment="1" applyProtection="1" pivotButton="0" quotePrefix="0" xfId="387">
      <alignment horizontal="center" vertical="center"/>
      <protection locked="0" hidden="0"/>
    </xf>
    <xf numFmtId="0" fontId="5" fillId="40" borderId="23" applyAlignment="1" pivotButton="0" quotePrefix="0" xfId="386">
      <alignment horizontal="center" vertical="center" wrapText="1"/>
    </xf>
    <xf numFmtId="168" fontId="5" fillId="39" borderId="23" applyAlignment="1" applyProtection="1" pivotButton="0" quotePrefix="0" xfId="388">
      <alignment horizontal="center" vertical="center"/>
      <protection locked="0" hidden="0"/>
    </xf>
    <xf numFmtId="168" fontId="7" fillId="39" borderId="23" applyAlignment="1" applyProtection="1" pivotButton="0" quotePrefix="0" xfId="388">
      <alignment horizontal="center" vertical="center"/>
      <protection locked="0" hidden="0"/>
    </xf>
    <xf numFmtId="168" fontId="5" fillId="36" borderId="23" applyAlignment="1" applyProtection="1" pivotButton="0" quotePrefix="0" xfId="388">
      <alignment horizontal="center" vertical="center" wrapText="1"/>
      <protection locked="0" hidden="0"/>
    </xf>
    <xf numFmtId="168" fontId="7" fillId="36" borderId="23" applyAlignment="1" applyProtection="1" pivotButton="0" quotePrefix="0" xfId="388">
      <alignment horizontal="center" vertical="center" wrapText="1"/>
      <protection locked="0" hidden="0"/>
    </xf>
    <xf numFmtId="168" fontId="7" fillId="36" borderId="24" applyAlignment="1" applyProtection="1" pivotButton="0" quotePrefix="0" xfId="387">
      <alignment horizontal="center" vertical="center"/>
      <protection locked="0" hidden="0"/>
    </xf>
    <xf numFmtId="168" fontId="7" fillId="36" borderId="17" applyAlignment="1" applyProtection="1" pivotButton="0" quotePrefix="0" xfId="387">
      <alignment horizontal="center" vertical="center"/>
      <protection locked="0" hidden="0"/>
    </xf>
    <xf numFmtId="168" fontId="7" fillId="36" borderId="25" applyAlignment="1" applyProtection="1" pivotButton="0" quotePrefix="0" xfId="387">
      <alignment horizontal="center" vertical="center"/>
      <protection locked="0" hidden="0"/>
    </xf>
    <xf numFmtId="168" fontId="5" fillId="40" borderId="23" applyAlignment="1" pivotButton="0" quotePrefix="0" xfId="390">
      <alignment horizontal="center" vertical="center" wrapText="1"/>
    </xf>
    <xf numFmtId="168" fontId="5" fillId="40" borderId="3" applyAlignment="1" pivotButton="0" quotePrefix="0" xfId="390">
      <alignment horizontal="center" vertical="center" wrapText="1"/>
    </xf>
    <xf numFmtId="168" fontId="5" fillId="40" borderId="6" applyAlignment="1" pivotButton="0" quotePrefix="0" xfId="390">
      <alignment horizontal="center" vertical="center" wrapText="1"/>
    </xf>
    <xf numFmtId="168" fontId="5" fillId="36" borderId="23" applyAlignment="1" applyProtection="1" pivotButton="0" quotePrefix="0" xfId="388">
      <alignment horizontal="center" vertical="center"/>
      <protection locked="0" hidden="0"/>
    </xf>
    <xf numFmtId="168" fontId="7" fillId="36" borderId="23" applyAlignment="1" applyProtection="1" pivotButton="0" quotePrefix="0" xfId="388">
      <alignment horizontal="center" vertical="center"/>
      <protection locked="0" hidden="0"/>
    </xf>
    <xf numFmtId="168" fontId="88" fillId="0" borderId="0" applyAlignment="1" pivotButton="0" quotePrefix="0" xfId="392">
      <alignment horizontal="left" vertical="center"/>
    </xf>
    <xf numFmtId="0" fontId="5" fillId="13" borderId="23" applyAlignment="1" applyProtection="1" pivotButton="0" quotePrefix="0" xfId="363">
      <alignment horizontal="center" vertical="center" wrapText="1"/>
      <protection locked="0" hidden="0"/>
    </xf>
    <xf numFmtId="168" fontId="22" fillId="0" borderId="0" applyAlignment="1" pivotButton="0" quotePrefix="0" xfId="284">
      <alignment vertical="center"/>
    </xf>
    <xf numFmtId="168" fontId="157" fillId="0" borderId="0" applyAlignment="1" pivotButton="0" quotePrefix="0" xfId="282">
      <alignment vertical="center"/>
    </xf>
    <xf numFmtId="168" fontId="121" fillId="0" borderId="0" applyAlignment="1" pivotButton="0" quotePrefix="0" xfId="282">
      <alignment horizontal="center" vertical="center"/>
    </xf>
    <xf numFmtId="168" fontId="159" fillId="0" borderId="0" applyAlignment="1" pivotButton="0" quotePrefix="0" xfId="282">
      <alignment vertical="center"/>
    </xf>
    <xf numFmtId="168" fontId="158" fillId="0" borderId="0" applyAlignment="1" pivotButton="0" quotePrefix="0" xfId="282">
      <alignment horizontal="center" vertical="center"/>
    </xf>
    <xf numFmtId="168" fontId="119" fillId="0" borderId="0" applyAlignment="1" applyProtection="1" pivotButton="0" quotePrefix="0" xfId="283">
      <alignment vertical="center"/>
      <protection locked="0" hidden="0"/>
    </xf>
    <xf numFmtId="168" fontId="161" fillId="0" borderId="0" applyAlignment="1" applyProtection="1" pivotButton="0" quotePrefix="0" xfId="252">
      <alignment vertical="center"/>
      <protection locked="0" hidden="0"/>
    </xf>
    <xf numFmtId="0" fontId="0" fillId="0" borderId="0" pivotButton="0" quotePrefix="0" xfId="0"/>
    <xf numFmtId="168" fontId="38" fillId="0" borderId="0" applyAlignment="1" applyProtection="1" pivotButton="0" quotePrefix="0" xfId="283">
      <alignment horizontal="left" vertical="center"/>
      <protection locked="0" hidden="0"/>
    </xf>
    <xf numFmtId="168" fontId="13" fillId="0" borderId="0" applyAlignment="1" applyProtection="1" pivotButton="0" quotePrefix="0" xfId="283">
      <alignment vertical="center"/>
      <protection locked="0" hidden="0"/>
    </xf>
    <xf numFmtId="168" fontId="22" fillId="0" borderId="0" applyAlignment="1" applyProtection="1" pivotButton="0" quotePrefix="0" xfId="283">
      <alignment vertical="center" wrapText="1"/>
      <protection locked="0" hidden="0"/>
    </xf>
    <xf numFmtId="168" fontId="22" fillId="0" borderId="0" applyAlignment="1" applyProtection="1" pivotButton="0" quotePrefix="0" xfId="283">
      <alignment vertical="center"/>
      <protection locked="0" hidden="0"/>
    </xf>
    <xf numFmtId="168" fontId="38" fillId="0" borderId="0" applyAlignment="1" applyProtection="1" pivotButton="0" quotePrefix="0" xfId="283">
      <alignment horizontal="justify" vertical="center"/>
      <protection locked="0" hidden="0"/>
    </xf>
    <xf numFmtId="0" fontId="0" fillId="0" borderId="39" applyProtection="1" pivotButton="0" quotePrefix="0" xfId="0">
      <protection locked="0" hidden="0"/>
    </xf>
    <xf numFmtId="0" fontId="0" fillId="0" borderId="25" applyProtection="1" pivotButton="0" quotePrefix="0" xfId="0">
      <protection locked="0" hidden="0"/>
    </xf>
    <xf numFmtId="168" fontId="38" fillId="13" borderId="23" applyAlignment="1" applyProtection="1" pivotButton="0" quotePrefix="0" xfId="283">
      <alignment horizontal="center" vertical="center" wrapText="1"/>
      <protection locked="0" hidden="0"/>
    </xf>
    <xf numFmtId="0" fontId="0" fillId="0" borderId="42" applyProtection="1" pivotButton="0" quotePrefix="0" xfId="0">
      <protection locked="0" hidden="0"/>
    </xf>
    <xf numFmtId="168" fontId="88" fillId="0" borderId="0" applyAlignment="1" pivotButton="0" quotePrefix="0" xfId="392">
      <alignment horizontal="left" vertical="center"/>
    </xf>
    <xf numFmtId="168" fontId="22" fillId="0" borderId="0" applyAlignment="1" pivotButton="0" quotePrefix="0" xfId="380">
      <alignment vertical="center"/>
    </xf>
    <xf numFmtId="164" fontId="9" fillId="0" borderId="0" applyAlignment="1" pivotButton="0" quotePrefix="0" xfId="4">
      <alignment vertical="center"/>
    </xf>
    <xf numFmtId="164" fontId="157" fillId="0" borderId="0" applyAlignment="1" pivotButton="0" quotePrefix="0" xfId="4">
      <alignment vertical="center"/>
    </xf>
    <xf numFmtId="164" fontId="159" fillId="0" borderId="0" applyAlignment="1" pivotButton="0" quotePrefix="0" xfId="4">
      <alignment vertical="center"/>
    </xf>
    <xf numFmtId="164" fontId="158" fillId="0" borderId="0" applyAlignment="1" pivotButton="0" quotePrefix="0" xfId="4">
      <alignment horizontal="center" vertical="center"/>
    </xf>
    <xf numFmtId="164" fontId="119" fillId="0" borderId="0" applyAlignment="1" pivotButton="0" quotePrefix="0" xfId="4">
      <alignment horizontal="left" vertical="center"/>
    </xf>
    <xf numFmtId="164" fontId="5" fillId="13" borderId="23" applyAlignment="1" pivotButton="0" quotePrefix="0" xfId="1">
      <alignment horizontal="center" vertical="center"/>
    </xf>
    <xf numFmtId="0" fontId="0" fillId="0" borderId="25" pivotButton="0" quotePrefix="0" xfId="0"/>
    <xf numFmtId="164" fontId="5" fillId="36" borderId="23" applyAlignment="1" pivotButton="0" quotePrefix="0" xfId="1">
      <alignment horizontal="center" vertical="center"/>
    </xf>
    <xf numFmtId="164" fontId="5" fillId="13" borderId="23" applyAlignment="1" pivotButton="0" quotePrefix="0" xfId="1">
      <alignment horizontal="center" vertical="center" shrinkToFit="1"/>
    </xf>
    <xf numFmtId="164" fontId="13" fillId="13" borderId="23" applyAlignment="1" pivotButton="0" quotePrefix="0" xfId="1">
      <alignment horizontal="centerContinuous" vertical="center"/>
    </xf>
    <xf numFmtId="164" fontId="9" fillId="13" borderId="23" applyAlignment="1" pivotButton="0" quotePrefix="0" xfId="1">
      <alignment horizontal="centerContinuous" vertical="center"/>
    </xf>
    <xf numFmtId="164" fontId="5" fillId="0" borderId="23" applyAlignment="1" pivotButton="0" quotePrefix="0" xfId="1">
      <alignment horizontal="center" vertical="center"/>
    </xf>
    <xf numFmtId="164" fontId="7" fillId="36" borderId="23" applyAlignment="1" pivotButton="0" quotePrefix="0" xfId="1">
      <alignment horizontal="center" vertical="center"/>
    </xf>
    <xf numFmtId="164" fontId="7" fillId="0" borderId="23" applyAlignment="1" pivotButton="0" quotePrefix="0" xfId="1">
      <alignment vertical="center" shrinkToFit="1"/>
    </xf>
    <xf numFmtId="164" fontId="14" fillId="0" borderId="23" applyAlignment="1" pivotButton="0" quotePrefix="0" xfId="1">
      <alignment vertical="center"/>
    </xf>
    <xf numFmtId="164" fontId="9" fillId="0" borderId="23" applyAlignment="1" pivotButton="0" quotePrefix="0" xfId="1">
      <alignment vertical="center"/>
    </xf>
    <xf numFmtId="164" fontId="9" fillId="36" borderId="23" applyAlignment="1" pivotButton="0" quotePrefix="0" xfId="1">
      <alignment horizontal="center" vertical="center"/>
    </xf>
    <xf numFmtId="164" fontId="9" fillId="0" borderId="23" applyAlignment="1" pivotButton="0" quotePrefix="0" xfId="1">
      <alignment horizontal="center" vertical="center" shrinkToFit="1"/>
    </xf>
    <xf numFmtId="164" fontId="9" fillId="0" borderId="23" applyAlignment="1" pivotButton="0" quotePrefix="0" xfId="1">
      <alignment horizontal="center" vertical="center"/>
    </xf>
    <xf numFmtId="164" fontId="9" fillId="0" borderId="23" applyAlignment="1" pivotButton="0" quotePrefix="0" xfId="1">
      <alignment horizontal="left" vertical="center"/>
    </xf>
    <xf numFmtId="164" fontId="7" fillId="0" borderId="0" applyAlignment="1" pivotButton="0" quotePrefix="0" xfId="4">
      <alignment vertical="center"/>
    </xf>
    <xf numFmtId="164" fontId="5" fillId="0" borderId="0" applyAlignment="1" pivotButton="0" quotePrefix="0" xfId="4">
      <alignment vertical="center"/>
    </xf>
    <xf numFmtId="164" fontId="9" fillId="0" borderId="0" applyAlignment="1" pivotButton="0" quotePrefix="0" xfId="1">
      <alignment horizontal="left" vertical="center"/>
    </xf>
    <xf numFmtId="164" fontId="9" fillId="0" borderId="0" applyAlignment="1" pivotButton="0" quotePrefix="0" xfId="1">
      <alignment horizontal="center" vertical="center" shrinkToFit="1"/>
    </xf>
    <xf numFmtId="164" fontId="7" fillId="36" borderId="23" applyAlignment="1" pivotButton="0" quotePrefix="0" xfId="379">
      <alignment horizontal="center" vertical="center"/>
    </xf>
    <xf numFmtId="166" fontId="15" fillId="0" borderId="0" applyAlignment="1" pivotButton="0" quotePrefix="0" xfId="2">
      <alignment horizontal="left" vertical="center"/>
    </xf>
    <xf numFmtId="164" fontId="13" fillId="0" borderId="0" applyAlignment="1" pivotButton="0" quotePrefix="0" xfId="4">
      <alignment vertical="center"/>
    </xf>
    <xf numFmtId="164" fontId="18" fillId="0" borderId="0" applyAlignment="1" pivotButton="0" quotePrefix="0" xfId="4">
      <alignment vertical="center"/>
    </xf>
    <xf numFmtId="164" fontId="17" fillId="0" borderId="0" applyAlignment="1" pivotButton="0" quotePrefix="0" xfId="4">
      <alignment vertical="center"/>
    </xf>
    <xf numFmtId="164" fontId="19" fillId="0" borderId="0" applyAlignment="1" pivotButton="0" quotePrefix="0" xfId="4">
      <alignment vertical="center"/>
    </xf>
    <xf numFmtId="164" fontId="21" fillId="0" borderId="0" applyAlignment="1" pivotButton="0" quotePrefix="0" xfId="4">
      <alignment vertical="center"/>
    </xf>
    <xf numFmtId="164" fontId="20" fillId="0" borderId="0" applyAlignment="1" pivotButton="0" quotePrefix="0" xfId="4">
      <alignment vertical="center"/>
    </xf>
    <xf numFmtId="164" fontId="21" fillId="0" borderId="0" applyAlignment="1" pivotButton="0" quotePrefix="0" xfId="4">
      <alignment horizontal="right" vertical="center"/>
    </xf>
    <xf numFmtId="0" fontId="145" fillId="0" borderId="11" applyAlignment="1" applyProtection="1" pivotButton="0" quotePrefix="0" xfId="0">
      <alignment horizontal="justify" vertical="center" wrapText="1"/>
      <protection locked="0" hidden="0"/>
    </xf>
    <xf numFmtId="0" fontId="145" fillId="0" borderId="11" applyAlignment="1" applyProtection="1" pivotButton="0" quotePrefix="0" xfId="0">
      <alignment horizontal="center" vertical="center" wrapText="1"/>
      <protection locked="0" hidden="0"/>
    </xf>
    <xf numFmtId="0" fontId="0" fillId="0" borderId="15" applyProtection="1" pivotButton="0" quotePrefix="0" xfId="0">
      <protection locked="0" hidden="0"/>
    </xf>
    <xf numFmtId="0" fontId="145" fillId="0" borderId="11" applyAlignment="1" applyProtection="1" pivotButton="0" quotePrefix="0" xfId="0">
      <alignment horizontal="right" vertical="center" wrapText="1"/>
      <protection locked="0" hidden="0"/>
    </xf>
    <xf numFmtId="0" fontId="0" fillId="0" borderId="13" applyProtection="1" pivotButton="0" quotePrefix="0" xfId="0">
      <protection locked="0" hidden="0"/>
    </xf>
    <xf numFmtId="164" fontId="96" fillId="0" borderId="0" applyAlignment="1" applyProtection="1" pivotButton="0" quotePrefix="0" xfId="0">
      <alignment horizontal="right" vertical="center" wrapText="1"/>
      <protection locked="0" hidden="0"/>
    </xf>
    <xf numFmtId="164" fontId="96" fillId="0" borderId="13" applyAlignment="1" applyProtection="1" pivotButton="0" quotePrefix="0" xfId="0">
      <alignment horizontal="right" vertical="center" wrapText="1"/>
      <protection locked="0" hidden="0"/>
    </xf>
    <xf numFmtId="164" fontId="112" fillId="0" borderId="0" applyAlignment="1" applyProtection="1" pivotButton="0" quotePrefix="0" xfId="1">
      <alignment horizontal="right" vertical="center" wrapText="1"/>
      <protection locked="0" hidden="0"/>
    </xf>
    <xf numFmtId="164" fontId="96" fillId="0" borderId="0" applyAlignment="1" applyProtection="1" pivotButton="0" quotePrefix="0" xfId="1">
      <alignment vertical="center"/>
      <protection locked="0" hidden="0"/>
    </xf>
    <xf numFmtId="164" fontId="111" fillId="0" borderId="0" applyAlignment="1" applyProtection="1" pivotButton="0" quotePrefix="0" xfId="1">
      <alignment horizontal="right" vertical="center" wrapText="1"/>
      <protection locked="0" hidden="0"/>
    </xf>
    <xf numFmtId="164" fontId="112" fillId="0" borderId="0" applyAlignment="1" applyProtection="1" pivotButton="0" quotePrefix="0" xfId="0">
      <alignment horizontal="right" vertical="center" wrapText="1"/>
      <protection locked="0" hidden="0"/>
    </xf>
    <xf numFmtId="164" fontId="96" fillId="0" borderId="0" applyAlignment="1" applyProtection="1" pivotButton="0" quotePrefix="0" xfId="0">
      <alignment vertical="center"/>
      <protection locked="0" hidden="0"/>
    </xf>
    <xf numFmtId="164" fontId="111" fillId="0" borderId="0" applyAlignment="1" applyProtection="1" pivotButton="0" quotePrefix="0" xfId="0">
      <alignment horizontal="right" vertical="center" wrapText="1"/>
      <protection locked="0" hidden="0"/>
    </xf>
    <xf numFmtId="164" fontId="112" fillId="0" borderId="13" applyAlignment="1" applyProtection="1" pivotButton="0" quotePrefix="0" xfId="1">
      <alignment horizontal="right" vertical="center" wrapText="1"/>
      <protection locked="0" hidden="0"/>
    </xf>
    <xf numFmtId="164" fontId="96" fillId="0" borderId="13" applyAlignment="1" applyProtection="1" pivotButton="0" quotePrefix="0" xfId="1">
      <alignment vertical="center"/>
      <protection locked="0" hidden="0"/>
    </xf>
    <xf numFmtId="0" fontId="0" fillId="0" borderId="15" pivotButton="0" quotePrefix="0" xfId="0"/>
    <xf numFmtId="0" fontId="0" fillId="0" borderId="13" pivotButton="0" quotePrefix="0" xfId="0"/>
    <xf numFmtId="164" fontId="113" fillId="0" borderId="0" applyAlignment="1" pivotButton="0" quotePrefix="0" xfId="0">
      <alignment horizontal="right" vertical="center" wrapText="1"/>
    </xf>
    <xf numFmtId="164" fontId="114" fillId="0" borderId="0" applyAlignment="1" pivotButton="0" quotePrefix="0" xfId="0">
      <alignment horizontal="right" vertical="center" wrapText="1"/>
    </xf>
    <xf numFmtId="164" fontId="113" fillId="0" borderId="0" applyAlignment="1" pivotButton="0" quotePrefix="0" xfId="0">
      <alignment horizontal="justify" vertical="center" wrapText="1"/>
    </xf>
    <xf numFmtId="164" fontId="113" fillId="0" borderId="13" applyAlignment="1" pivotButton="0" quotePrefix="0" xfId="0">
      <alignment horizontal="right" vertical="center" wrapText="1"/>
    </xf>
    <xf numFmtId="164" fontId="113" fillId="0" borderId="0" applyAlignment="1" pivotButton="0" quotePrefix="0" xfId="1">
      <alignment vertical="center" wrapText="1"/>
    </xf>
    <xf numFmtId="164" fontId="114" fillId="0" borderId="0" applyAlignment="1" pivotButton="0" quotePrefix="0" xfId="1">
      <alignment vertical="center" wrapText="1"/>
    </xf>
    <xf numFmtId="164" fontId="113" fillId="0" borderId="0" applyAlignment="1" pivotButton="0" quotePrefix="0" xfId="1">
      <alignment horizontal="right" vertical="center" wrapText="1"/>
    </xf>
    <xf numFmtId="164" fontId="113" fillId="0" borderId="13" applyAlignment="1" pivotButton="0" quotePrefix="0" xfId="1">
      <alignment vertical="center" wrapText="1"/>
    </xf>
    <xf numFmtId="164" fontId="113" fillId="0" borderId="13" applyAlignment="1" pivotButton="0" quotePrefix="0" xfId="1">
      <alignment horizontal="right" vertical="center" wrapText="1"/>
    </xf>
    <xf numFmtId="164" fontId="114" fillId="0" borderId="0" applyAlignment="1" pivotButton="0" quotePrefix="0" xfId="1">
      <alignment horizontal="right" vertical="center" wrapText="1"/>
    </xf>
    <xf numFmtId="164" fontId="111" fillId="0" borderId="0" applyAlignment="1" pivotButton="0" quotePrefix="0" xfId="0">
      <alignment horizontal="right" vertical="center" wrapText="1"/>
    </xf>
    <xf numFmtId="164" fontId="111" fillId="0" borderId="11" applyAlignment="1" pivotButton="0" quotePrefix="0" xfId="0">
      <alignment horizontal="right" vertical="center" wrapText="1"/>
    </xf>
    <xf numFmtId="164" fontId="96" fillId="0" borderId="15" applyAlignment="1" applyProtection="1" pivotButton="0" quotePrefix="0" xfId="0">
      <alignment horizontal="right" vertical="center" wrapText="1"/>
      <protection locked="0" hidden="0"/>
    </xf>
    <xf numFmtId="0" fontId="95" fillId="0" borderId="11" applyAlignment="1" applyProtection="1" pivotButton="0" quotePrefix="0" xfId="0">
      <alignment horizontal="center" vertical="center"/>
      <protection locked="0" hidden="0"/>
    </xf>
    <xf numFmtId="164" fontId="96" fillId="0" borderId="0" applyAlignment="1" applyProtection="1" pivotButton="0" quotePrefix="0" xfId="207">
      <alignment vertical="center"/>
      <protection locked="0" hidden="0"/>
    </xf>
    <xf numFmtId="164" fontId="96" fillId="0" borderId="13" applyAlignment="1" applyProtection="1" pivotButton="0" quotePrefix="0" xfId="207">
      <alignment vertical="center"/>
      <protection locked="0" hidden="0"/>
    </xf>
    <xf numFmtId="0" fontId="0" fillId="0" borderId="11" applyProtection="1" pivotButton="0" quotePrefix="0" xfId="0">
      <protection locked="0" hidden="0"/>
    </xf>
    <xf numFmtId="164" fontId="96" fillId="0" borderId="0" applyAlignment="1" applyProtection="1" pivotButton="0" quotePrefix="0" xfId="1">
      <alignment horizontal="right" vertical="center" wrapText="1"/>
      <protection locked="0" hidden="0"/>
    </xf>
    <xf numFmtId="164" fontId="96" fillId="0" borderId="13" applyAlignment="1" applyProtection="1" pivotButton="0" quotePrefix="0" xfId="1">
      <alignment horizontal="right" vertical="center" wrapText="1"/>
      <protection locked="0" hidden="0"/>
    </xf>
    <xf numFmtId="164" fontId="96" fillId="0" borderId="0" applyAlignment="1" applyProtection="1" pivotButton="0" quotePrefix="0" xfId="1">
      <alignment horizontal="justify" vertical="center" wrapText="1"/>
      <protection locked="0" hidden="0"/>
    </xf>
    <xf numFmtId="164" fontId="96" fillId="0" borderId="13" applyAlignment="1" applyProtection="1" pivotButton="0" quotePrefix="0" xfId="1">
      <alignment horizontal="justify" vertical="center" wrapText="1"/>
      <protection locked="0" hidden="0"/>
    </xf>
    <xf numFmtId="164" fontId="96" fillId="0" borderId="15" applyAlignment="1" applyProtection="1" pivotButton="0" quotePrefix="0" xfId="1">
      <alignment horizontal="right" vertical="center" wrapText="1"/>
      <protection locked="0" hidden="0"/>
    </xf>
    <xf numFmtId="0" fontId="151" fillId="0" borderId="11" applyAlignment="1" applyProtection="1" pivotButton="0" quotePrefix="0" xfId="0">
      <alignment horizontal="right" vertical="center" wrapText="1"/>
      <protection locked="0" hidden="0"/>
    </xf>
    <xf numFmtId="0" fontId="0" fillId="0" borderId="35" applyProtection="1" pivotButton="0" quotePrefix="0" xfId="0">
      <protection locked="0" hidden="0"/>
    </xf>
    <xf numFmtId="164" fontId="115" fillId="0" borderId="0" applyAlignment="1" applyProtection="1" pivotButton="0" quotePrefix="0" xfId="1">
      <alignment horizontal="right" vertical="center" wrapText="1"/>
      <protection locked="0" hidden="0"/>
    </xf>
    <xf numFmtId="164" fontId="115" fillId="0" borderId="0" applyAlignment="1" applyProtection="1" pivotButton="0" quotePrefix="0" xfId="1">
      <alignment horizontal="left" vertical="center" wrapText="1"/>
      <protection locked="0" hidden="0"/>
    </xf>
    <xf numFmtId="164" fontId="115" fillId="0" borderId="13" applyAlignment="1" applyProtection="1" pivotButton="0" quotePrefix="0" xfId="1">
      <alignment horizontal="right" vertical="center" wrapText="1"/>
      <protection locked="0" hidden="0"/>
    </xf>
    <xf numFmtId="164" fontId="115" fillId="0" borderId="13" applyAlignment="1" applyProtection="1" pivotButton="0" quotePrefix="0" xfId="1">
      <alignment horizontal="left" vertical="center" wrapText="1"/>
      <protection locked="0" hidden="0"/>
    </xf>
    <xf numFmtId="0" fontId="0" fillId="0" borderId="11" pivotButton="0" quotePrefix="0" xfId="0"/>
    <xf numFmtId="164" fontId="111" fillId="0" borderId="0" applyAlignment="1" pivotButton="0" quotePrefix="0" xfId="1">
      <alignment horizontal="right" vertical="center" wrapText="1"/>
    </xf>
    <xf numFmtId="164" fontId="112" fillId="0" borderId="15" applyAlignment="1" pivotButton="0" quotePrefix="0" xfId="1">
      <alignment horizontal="right" vertical="center" wrapText="1"/>
    </xf>
    <xf numFmtId="164" fontId="112" fillId="0" borderId="13" applyAlignment="1" pivotButton="0" quotePrefix="0" xfId="1">
      <alignment horizontal="right" vertical="center" wrapText="1"/>
    </xf>
    <xf numFmtId="0" fontId="147" fillId="0" borderId="11" applyAlignment="1" applyProtection="1" pivotButton="0" quotePrefix="0" xfId="0">
      <alignment horizontal="justify" vertical="center" wrapText="1"/>
      <protection locked="0" hidden="0"/>
    </xf>
    <xf numFmtId="0" fontId="147" fillId="0" borderId="11" applyAlignment="1" applyProtection="1" pivotButton="0" quotePrefix="0" xfId="0">
      <alignment horizontal="right" vertical="center" wrapText="1"/>
      <protection locked="0" hidden="0"/>
    </xf>
    <xf numFmtId="164" fontId="115" fillId="0" borderId="0" applyAlignment="1" pivotButton="0" quotePrefix="0" xfId="0">
      <alignment horizontal="center" vertical="center"/>
    </xf>
    <xf numFmtId="164" fontId="116" fillId="0" borderId="0" applyAlignment="1" pivotButton="0" quotePrefix="0" xfId="0">
      <alignment horizontal="center" vertical="center"/>
    </xf>
    <xf numFmtId="164" fontId="115" fillId="0" borderId="13" applyAlignment="1" pivotButton="0" quotePrefix="0" xfId="0">
      <alignment horizontal="center" vertical="center"/>
    </xf>
    <xf numFmtId="164" fontId="115" fillId="0" borderId="15" applyAlignment="1" pivotButton="0" quotePrefix="0" xfId="1">
      <alignment vertical="center" wrapText="1"/>
    </xf>
    <xf numFmtId="164" fontId="115" fillId="0" borderId="0" applyAlignment="1" pivotButton="0" quotePrefix="0" xfId="1">
      <alignment vertical="center" wrapText="1"/>
    </xf>
    <xf numFmtId="164" fontId="115" fillId="0" borderId="13" applyAlignment="1" pivotButton="0" quotePrefix="0" xfId="1">
      <alignment vertical="center" wrapText="1"/>
    </xf>
    <xf numFmtId="164" fontId="115" fillId="0" borderId="15" applyAlignment="1" pivotButton="0" quotePrefix="0" xfId="0">
      <alignment vertical="center" wrapText="1"/>
    </xf>
    <xf numFmtId="164" fontId="115" fillId="0" borderId="0" applyAlignment="1" pivotButton="0" quotePrefix="0" xfId="0">
      <alignment vertical="center" wrapText="1"/>
    </xf>
    <xf numFmtId="164" fontId="116" fillId="0" borderId="0" applyAlignment="1" pivotButton="0" quotePrefix="0" xfId="0">
      <alignment vertical="center" wrapText="1"/>
    </xf>
    <xf numFmtId="164" fontId="115" fillId="0" borderId="13" applyAlignment="1" pivotButton="0" quotePrefix="0" xfId="0">
      <alignment vertical="center" wrapText="1"/>
    </xf>
    <xf numFmtId="164" fontId="115" fillId="0" borderId="0" applyAlignment="1" pivotButton="0" quotePrefix="0" xfId="0">
      <alignment horizontal="justify" vertical="center" wrapText="1"/>
    </xf>
    <xf numFmtId="164" fontId="115" fillId="0" borderId="0" applyAlignment="1" pivotButton="0" quotePrefix="0" xfId="1">
      <alignment horizontal="justify" vertical="center" wrapText="1"/>
    </xf>
    <xf numFmtId="164" fontId="115" fillId="0" borderId="13" applyAlignment="1" pivotButton="0" quotePrefix="0" xfId="0">
      <alignment horizontal="justify" vertical="center" wrapText="1"/>
    </xf>
    <xf numFmtId="164" fontId="115" fillId="0" borderId="13" applyAlignment="1" pivotButton="0" quotePrefix="0" xfId="1">
      <alignment horizontal="justify" vertical="center" wrapText="1"/>
    </xf>
    <xf numFmtId="0" fontId="0" fillId="0" borderId="37" applyProtection="1" pivotButton="0" quotePrefix="0" xfId="0">
      <protection locked="0" hidden="0"/>
    </xf>
    <xf numFmtId="0" fontId="0" fillId="0" borderId="38" applyProtection="1" pivotButton="0" quotePrefix="0" xfId="0">
      <protection locked="0" hidden="0"/>
    </xf>
    <xf numFmtId="0" fontId="0" fillId="0" borderId="41" applyProtection="1" pivotButton="0" quotePrefix="0" xfId="0">
      <protection locked="0" hidden="0"/>
    </xf>
    <xf numFmtId="0" fontId="0" fillId="0" borderId="40"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0" fontId="0" fillId="0" borderId="46" applyProtection="1" pivotButton="0" quotePrefix="0" xfId="0">
      <protection locked="0" hidden="0"/>
    </xf>
    <xf numFmtId="0" fontId="0" fillId="0" borderId="45" applyProtection="1" pivotButton="0" quotePrefix="0" xfId="0">
      <protection locked="0" hidden="0"/>
    </xf>
    <xf numFmtId="164" fontId="9" fillId="0" borderId="23" applyAlignment="1" applyProtection="1" pivotButton="0" quotePrefix="0" xfId="0">
      <alignment horizontal="justify" vertical="center" wrapText="1"/>
      <protection locked="0" hidden="0"/>
    </xf>
    <xf numFmtId="164" fontId="9" fillId="0" borderId="23" applyAlignment="1" applyProtection="1" pivotButton="0" quotePrefix="0" xfId="0">
      <alignment horizontal="center" vertical="center" wrapText="1"/>
      <protection locked="0" hidden="0"/>
    </xf>
    <xf numFmtId="164" fontId="9" fillId="0" borderId="23" applyAlignment="1" applyProtection="1" pivotButton="0" quotePrefix="0" xfId="0">
      <alignment horizontal="center" vertical="center" shrinkToFit="1"/>
      <protection locked="0" hidden="0"/>
    </xf>
    <xf numFmtId="164" fontId="9" fillId="36" borderId="23" applyAlignment="1" applyProtection="1" pivotButton="0" quotePrefix="0" xfId="0">
      <alignment horizontal="center" vertical="center" wrapText="1"/>
      <protection locked="0" hidden="0"/>
    </xf>
    <xf numFmtId="164" fontId="7" fillId="36" borderId="23" applyAlignment="1" applyProtection="1" pivotButton="0" quotePrefix="0" xfId="0">
      <alignment horizontal="justify" vertical="center" wrapText="1"/>
      <protection locked="0" hidden="0"/>
    </xf>
    <xf numFmtId="164" fontId="7" fillId="36" borderId="23" applyAlignment="1" applyProtection="1" pivotButton="0" quotePrefix="1" xfId="0">
      <alignment horizontal="center" vertical="center" shrinkToFit="1"/>
      <protection locked="0" hidden="0"/>
    </xf>
    <xf numFmtId="164" fontId="7" fillId="36" borderId="23" applyAlignment="1" applyProtection="1" pivotButton="0" quotePrefix="0" xfId="0">
      <alignment horizontal="center" vertical="center" shrinkToFit="1"/>
      <protection locked="0" hidden="0"/>
    </xf>
    <xf numFmtId="164" fontId="9" fillId="36" borderId="23" applyAlignment="1" applyProtection="1" pivotButton="0" quotePrefix="0" xfId="0">
      <alignment horizontal="justify" vertical="center" wrapText="1"/>
      <protection locked="0" hidden="0"/>
    </xf>
    <xf numFmtId="164" fontId="9" fillId="36" borderId="23" applyAlignment="1" applyProtection="1" pivotButton="0" quotePrefix="1" xfId="0">
      <alignment horizontal="center" vertical="center" shrinkToFit="1"/>
      <protection locked="0" hidden="0"/>
    </xf>
    <xf numFmtId="164" fontId="9" fillId="36" borderId="23" applyAlignment="1" applyProtection="1" pivotButton="0" quotePrefix="1" xfId="0">
      <alignment horizontal="center" vertical="center" wrapText="1"/>
      <protection locked="0" hidden="0"/>
    </xf>
    <xf numFmtId="164" fontId="9" fillId="0" borderId="14" applyAlignment="1" applyProtection="1" pivotButton="0" quotePrefix="0" xfId="0">
      <alignment horizontal="justify" vertical="center" wrapText="1"/>
      <protection locked="0" hidden="0"/>
    </xf>
    <xf numFmtId="164" fontId="9" fillId="0" borderId="14" applyAlignment="1" applyProtection="1" pivotButton="0" quotePrefix="0" xfId="0">
      <alignment horizontal="center" vertical="center" shrinkToFit="1"/>
      <protection locked="0" hidden="0"/>
    </xf>
    <xf numFmtId="164" fontId="9" fillId="0" borderId="14" applyAlignment="1" applyProtection="1" pivotButton="0" quotePrefix="0" xfId="0">
      <alignment horizontal="center" vertical="center" wrapText="1"/>
      <protection locked="0" hidden="0"/>
    </xf>
    <xf numFmtId="164" fontId="9" fillId="0" borderId="16" applyAlignment="1" applyProtection="1" pivotButton="0" quotePrefix="0" xfId="0">
      <alignment horizontal="justify" vertical="center" wrapText="1"/>
      <protection locked="0" hidden="0"/>
    </xf>
    <xf numFmtId="164" fontId="9" fillId="0" borderId="21" applyAlignment="1" applyProtection="1" pivotButton="0" quotePrefix="0" xfId="0">
      <alignment horizontal="center" vertical="center" shrinkToFit="1"/>
      <protection locked="0" hidden="0"/>
    </xf>
    <xf numFmtId="164" fontId="9" fillId="36" borderId="14" applyAlignment="1" applyProtection="1" pivotButton="0" quotePrefix="0" xfId="0">
      <alignment horizontal="justify" vertical="center" wrapText="1"/>
      <protection locked="0" hidden="0"/>
    </xf>
    <xf numFmtId="164" fontId="9" fillId="0" borderId="21" applyAlignment="1" applyProtection="1" pivotButton="0" quotePrefix="0" xfId="0">
      <alignment horizontal="justify" vertical="center" wrapText="1"/>
      <protection locked="0" hidden="0"/>
    </xf>
    <xf numFmtId="164" fontId="9" fillId="0" borderId="22" applyAlignment="1" applyProtection="1" pivotButton="0" quotePrefix="0" xfId="0">
      <alignment horizontal="justify" vertical="center" wrapText="1"/>
      <protection locked="0" hidden="0"/>
    </xf>
    <xf numFmtId="164" fontId="9" fillId="0" borderId="23" applyAlignment="1" applyProtection="1" pivotButton="0" quotePrefix="1" xfId="0">
      <alignment horizontal="center" vertical="center" shrinkToFit="1"/>
      <protection locked="0" hidden="0"/>
    </xf>
    <xf numFmtId="164" fontId="7" fillId="0" borderId="23" applyAlignment="1" applyProtection="1" pivotButton="0" quotePrefix="1" xfId="0">
      <alignment horizontal="center" vertical="center" wrapText="1"/>
      <protection locked="0" hidden="0"/>
    </xf>
    <xf numFmtId="164" fontId="7" fillId="36" borderId="23" applyAlignment="1" applyProtection="1" pivotButton="0" quotePrefix="1" xfId="0">
      <alignment horizontal="center" vertical="center" wrapText="1"/>
      <protection locked="0" hidden="0"/>
    </xf>
    <xf numFmtId="164" fontId="7" fillId="36" borderId="23" applyAlignment="1" applyProtection="1" pivotButton="0" quotePrefix="0" xfId="0">
      <alignment horizontal="center" vertical="center" wrapText="1"/>
      <protection locked="0" hidden="0"/>
    </xf>
    <xf numFmtId="164" fontId="9" fillId="36" borderId="23" applyAlignment="1" applyProtection="1" pivotButton="0" quotePrefix="0" xfId="0">
      <alignment vertical="center"/>
      <protection locked="0" hidden="0"/>
    </xf>
    <xf numFmtId="164" fontId="7" fillId="0" borderId="0" applyAlignment="1" applyProtection="1" pivotButton="0" quotePrefix="0" xfId="0">
      <alignment horizontal="center" vertical="center" wrapText="1"/>
      <protection locked="0" hidden="0"/>
    </xf>
    <xf numFmtId="164" fontId="9" fillId="13" borderId="23" applyAlignment="1" applyProtection="1" pivotButton="0" quotePrefix="0" xfId="1">
      <alignment horizontal="centerContinuous" vertical="center" wrapText="1"/>
      <protection locked="0" hidden="0"/>
    </xf>
    <xf numFmtId="164" fontId="9" fillId="13" borderId="23" applyAlignment="1" applyProtection="1" pivotButton="0" quotePrefix="0" xfId="1">
      <alignment horizontal="center" vertical="center" wrapText="1"/>
      <protection locked="0" hidden="0"/>
    </xf>
    <xf numFmtId="164" fontId="9" fillId="13" borderId="23" applyAlignment="1" applyProtection="1" pivotButton="0" quotePrefix="0" xfId="1">
      <alignment vertical="center"/>
      <protection locked="0" hidden="0"/>
    </xf>
    <xf numFmtId="164" fontId="9" fillId="0" borderId="23" applyAlignment="1" applyProtection="1" pivotButton="0" quotePrefix="0" xfId="1">
      <alignment horizontal="justify" vertical="center" wrapText="1"/>
      <protection locked="0" hidden="0"/>
    </xf>
    <xf numFmtId="164" fontId="9" fillId="0" borderId="23" applyAlignment="1" applyProtection="1" pivotButton="0" quotePrefix="0" xfId="1">
      <alignment horizontal="center" vertical="center" shrinkToFit="1"/>
      <protection locked="0" hidden="0"/>
    </xf>
    <xf numFmtId="164" fontId="9" fillId="36" borderId="23" applyAlignment="1" applyProtection="1" pivotButton="0" quotePrefix="0" xfId="1">
      <alignment horizontal="center" vertical="center" wrapText="1"/>
      <protection locked="0" hidden="0"/>
    </xf>
    <xf numFmtId="164" fontId="9" fillId="0" borderId="23" applyAlignment="1" applyProtection="1" pivotButton="0" quotePrefix="0" xfId="1">
      <alignment vertical="center"/>
      <protection locked="0" hidden="0"/>
    </xf>
    <xf numFmtId="164" fontId="9" fillId="36" borderId="23" applyAlignment="1" applyProtection="1" pivotButton="0" quotePrefix="0" xfId="1">
      <alignment horizontal="justify" vertical="center" wrapText="1"/>
      <protection locked="0" hidden="0"/>
    </xf>
    <xf numFmtId="164" fontId="9" fillId="36" borderId="23" applyAlignment="1" applyProtection="1" pivotButton="0" quotePrefix="1" xfId="1">
      <alignment horizontal="center" vertical="center"/>
      <protection locked="0" hidden="0"/>
    </xf>
    <xf numFmtId="164" fontId="9" fillId="36" borderId="23" applyAlignment="1" applyProtection="1" pivotButton="0" quotePrefix="0" xfId="1">
      <alignment vertical="center"/>
      <protection locked="0" hidden="0"/>
    </xf>
    <xf numFmtId="164" fontId="9" fillId="13" borderId="23" applyAlignment="1" applyProtection="1" pivotButton="0" quotePrefix="0" xfId="0">
      <alignment horizontal="justify" vertical="center" wrapText="1"/>
      <protection locked="0" hidden="0"/>
    </xf>
    <xf numFmtId="164" fontId="9" fillId="13" borderId="23" applyAlignment="1" applyProtection="1" pivotButton="0" quotePrefix="0" xfId="0">
      <alignment horizontal="center" vertical="center" shrinkToFit="1"/>
      <protection locked="0" hidden="0"/>
    </xf>
    <xf numFmtId="164" fontId="9" fillId="13" borderId="23" applyAlignment="1" applyProtection="1" pivotButton="0" quotePrefix="0" xfId="0">
      <alignment horizontal="center" vertical="center" wrapText="1"/>
      <protection locked="0" hidden="0"/>
    </xf>
    <xf numFmtId="164" fontId="9" fillId="13" borderId="23" applyAlignment="1" applyProtection="1" pivotButton="0" quotePrefix="0" xfId="1">
      <alignment horizontal="justify" vertical="center" wrapText="1"/>
      <protection locked="0" hidden="0"/>
    </xf>
    <xf numFmtId="164" fontId="9" fillId="13" borderId="23" applyAlignment="1" applyProtection="1" pivotButton="0" quotePrefix="0" xfId="1">
      <alignment horizontal="center" vertical="center" shrinkToFit="1"/>
      <protection locked="0" hidden="0"/>
    </xf>
    <xf numFmtId="164" fontId="9" fillId="13" borderId="23" applyAlignment="1" applyProtection="1" pivotButton="0" quotePrefix="1" xfId="1">
      <alignment horizontal="center" vertical="center" wrapText="1"/>
      <protection locked="0" hidden="0"/>
    </xf>
    <xf numFmtId="164" fontId="9" fillId="0" borderId="23" applyAlignment="1" applyProtection="1" pivotButton="0" quotePrefix="1" xfId="1">
      <alignment horizontal="center" vertical="center" wrapText="1"/>
      <protection locked="0" hidden="0"/>
    </xf>
    <xf numFmtId="164" fontId="9" fillId="0" borderId="23" applyAlignment="1" applyProtection="1" pivotButton="0" quotePrefix="1" xfId="0">
      <alignment horizontal="center" vertical="center" wrapText="1"/>
      <protection locked="0" hidden="0"/>
    </xf>
    <xf numFmtId="164" fontId="9" fillId="0" borderId="23" applyAlignment="1" applyProtection="1" pivotButton="0" quotePrefix="1" xfId="1">
      <alignment horizontal="center" vertical="center"/>
      <protection locked="0" hidden="0"/>
    </xf>
    <xf numFmtId="164" fontId="7" fillId="36" borderId="23" applyAlignment="1" applyProtection="1" pivotButton="0" quotePrefix="0" xfId="1">
      <alignment horizontal="justify" vertical="center" wrapText="1"/>
      <protection locked="0" hidden="0"/>
    </xf>
    <xf numFmtId="164" fontId="7" fillId="36" borderId="23" applyAlignment="1" applyProtection="1" pivotButton="0" quotePrefix="0" xfId="1">
      <alignment horizontal="center" vertical="center" shrinkToFit="1"/>
      <protection locked="0" hidden="0"/>
    </xf>
    <xf numFmtId="164" fontId="7" fillId="0" borderId="23" applyAlignment="1" applyProtection="1" pivotButton="0" quotePrefix="1" xfId="1">
      <alignment horizontal="center" vertical="center"/>
      <protection locked="0" hidden="0"/>
    </xf>
    <xf numFmtId="164" fontId="7" fillId="36" borderId="23" applyAlignment="1" applyProtection="1" pivotButton="0" quotePrefix="0" xfId="1">
      <alignment vertical="center"/>
      <protection locked="0" hidden="0"/>
    </xf>
    <xf numFmtId="164" fontId="121" fillId="0" borderId="0" applyAlignment="1" pivotButton="0" quotePrefix="0" xfId="4">
      <alignment horizontal="center" vertical="center"/>
    </xf>
    <xf numFmtId="164" fontId="119" fillId="0" borderId="0" applyAlignment="1" pivotButton="0" quotePrefix="0" xfId="4">
      <alignment horizontal="right" vertical="center"/>
    </xf>
    <xf numFmtId="168" fontId="5" fillId="13" borderId="23" applyAlignment="1" applyProtection="1" pivotButton="0" quotePrefix="0" xfId="377">
      <alignment horizontal="center" vertical="center" wrapText="1"/>
      <protection locked="0" hidden="0"/>
    </xf>
    <xf numFmtId="168" fontId="142" fillId="13" borderId="23" applyAlignment="1" applyProtection="1" pivotButton="0" quotePrefix="0" xfId="377">
      <alignment horizontal="center" vertical="center" wrapText="1"/>
      <protection locked="0" hidden="0"/>
    </xf>
    <xf numFmtId="164" fontId="7" fillId="0" borderId="19" applyAlignment="1" pivotButton="0" quotePrefix="0" xfId="4">
      <alignment horizontal="left" vertical="center"/>
    </xf>
    <xf numFmtId="164" fontId="9" fillId="0" borderId="19" applyAlignment="1" pivotButton="0" quotePrefix="0" xfId="4">
      <alignment horizontal="left" vertical="center"/>
    </xf>
    <xf numFmtId="164" fontId="144" fillId="0" borderId="19" applyAlignment="1" pivotButton="0" quotePrefix="0" xfId="214">
      <alignment horizontal="center" vertical="center"/>
    </xf>
    <xf numFmtId="0" fontId="0" fillId="0" borderId="2" applyProtection="1" pivotButton="0" quotePrefix="0" xfId="0">
      <protection locked="0" hidden="0"/>
    </xf>
    <xf numFmtId="0" fontId="0" fillId="0" borderId="18"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0" fillId="0" borderId="6" applyProtection="1" pivotButton="0" quotePrefix="0" xfId="0">
      <protection locked="0" hidden="0"/>
    </xf>
    <xf numFmtId="164" fontId="9" fillId="0" borderId="14" applyAlignment="1" applyProtection="1" pivotButton="0" quotePrefix="0" xfId="1">
      <alignment horizontal="right" vertical="center" wrapText="1"/>
      <protection locked="0" hidden="0"/>
    </xf>
    <xf numFmtId="164" fontId="9" fillId="0" borderId="23" applyAlignment="1" applyProtection="1" pivotButton="0" quotePrefix="0" xfId="1">
      <alignment horizontal="right" vertical="center" wrapText="1"/>
      <protection locked="0" hidden="0"/>
    </xf>
    <xf numFmtId="164" fontId="9" fillId="0" borderId="23" applyAlignment="1" applyProtection="1" pivotButton="0" quotePrefix="0" xfId="1">
      <alignment horizontal="right" vertical="center"/>
      <protection locked="0" hidden="0"/>
    </xf>
    <xf numFmtId="164" fontId="7" fillId="36" borderId="23" applyAlignment="1" pivotButton="0" quotePrefix="0" xfId="1">
      <alignment vertical="center"/>
    </xf>
    <xf numFmtId="164" fontId="9" fillId="36" borderId="23" applyAlignment="1" pivotButton="0" quotePrefix="0" xfId="1">
      <alignment vertical="center"/>
    </xf>
    <xf numFmtId="164" fontId="79" fillId="36" borderId="23" applyAlignment="1" applyProtection="1" pivotButton="0" quotePrefix="0" xfId="1">
      <alignment vertical="center"/>
      <protection locked="0" hidden="0"/>
    </xf>
    <xf numFmtId="164" fontId="79" fillId="0" borderId="23" applyAlignment="1" applyProtection="1" pivotButton="0" quotePrefix="0" xfId="1">
      <alignment vertical="center"/>
      <protection locked="0" hidden="0"/>
    </xf>
    <xf numFmtId="0" fontId="0" fillId="0" borderId="19" applyProtection="1" pivotButton="0" quotePrefix="0" xfId="0">
      <protection locked="0" hidden="0"/>
    </xf>
    <xf numFmtId="0" fontId="69" fillId="13" borderId="14" applyAlignment="1" applyProtection="1" pivotButton="0" quotePrefix="0" xfId="0">
      <alignment horizontal="center" vertical="center"/>
      <protection locked="0" hidden="0"/>
    </xf>
    <xf numFmtId="0" fontId="81" fillId="13" borderId="14" applyAlignment="1" applyProtection="1" pivotButton="0" quotePrefix="0" xfId="0">
      <alignment horizontal="center" vertical="center"/>
      <protection locked="0" hidden="0"/>
    </xf>
    <xf numFmtId="0" fontId="0" fillId="0" borderId="20" applyProtection="1" pivotButton="0" quotePrefix="0" xfId="0">
      <protection locked="0" hidden="0"/>
    </xf>
    <xf numFmtId="0" fontId="0" fillId="0" borderId="17" applyProtection="1" pivotButton="0" quotePrefix="0" xfId="0">
      <protection locked="0" hidden="0"/>
    </xf>
    <xf numFmtId="0" fontId="7" fillId="0" borderId="14" applyAlignment="1" applyProtection="1" pivotButton="0" quotePrefix="0" xfId="0">
      <alignment horizontal="left" vertical="center" wrapText="1"/>
      <protection locked="0" hidden="0"/>
    </xf>
    <xf numFmtId="0" fontId="0" fillId="0" borderId="37" pivotButton="0" quotePrefix="0" xfId="0"/>
    <xf numFmtId="0" fontId="0" fillId="0" borderId="38" pivotButton="0" quotePrefix="0" xfId="0"/>
    <xf numFmtId="0" fontId="0" fillId="0" borderId="44" pivotButton="0" quotePrefix="0" xfId="0"/>
    <xf numFmtId="0" fontId="0" fillId="0" borderId="46" pivotButton="0" quotePrefix="0" xfId="0"/>
    <xf numFmtId="0" fontId="0" fillId="0" borderId="45" pivotButton="0" quotePrefix="0" xfId="0"/>
    <xf numFmtId="0" fontId="0" fillId="0" borderId="6" pivotButton="0" quotePrefix="0" xfId="0"/>
    <xf numFmtId="0" fontId="0" fillId="0" borderId="17" pivotButton="0" quotePrefix="0" xfId="0"/>
    <xf numFmtId="0" fontId="0" fillId="0" borderId="18" pivotButton="0" quotePrefix="0" xfId="0"/>
    <xf numFmtId="164" fontId="9" fillId="0" borderId="14" applyAlignment="1" pivotButton="0" quotePrefix="0" xfId="0">
      <alignment vertical="center" wrapText="1"/>
    </xf>
    <xf numFmtId="164" fontId="9" fillId="36" borderId="14" applyAlignment="1" pivotButton="0" quotePrefix="0" xfId="1">
      <alignment vertical="center" wrapText="1"/>
    </xf>
    <xf numFmtId="164" fontId="9" fillId="36" borderId="14" applyAlignment="1" pivotButton="0" quotePrefix="0" xfId="0">
      <alignment vertical="center" wrapText="1"/>
    </xf>
    <xf numFmtId="0" fontId="0" fillId="0" borderId="39" pivotButton="0" quotePrefix="0" xfId="0"/>
    <xf numFmtId="167" fontId="9" fillId="0" borderId="23" applyAlignment="1" pivotButton="0" quotePrefix="0" xfId="0">
      <alignment horizontal="right" vertical="center" wrapText="1"/>
    </xf>
    <xf numFmtId="164" fontId="9" fillId="36" borderId="23" applyAlignment="1" pivotButton="0" quotePrefix="1" xfId="1">
      <alignment horizontal="right" vertical="center"/>
    </xf>
    <xf numFmtId="164" fontId="9" fillId="0" borderId="23" applyAlignment="1" pivotButton="0" quotePrefix="0" xfId="1">
      <alignment horizontal="left" vertical="center" wrapText="1"/>
    </xf>
    <xf numFmtId="164" fontId="9" fillId="0" borderId="23" applyAlignment="1" pivotButton="0" quotePrefix="0" xfId="1">
      <alignment horizontal="right" vertical="center" wrapText="1"/>
    </xf>
    <xf numFmtId="164" fontId="9" fillId="13" borderId="23" applyAlignment="1" pivotButton="0" quotePrefix="0" xfId="1">
      <alignment vertical="center" wrapText="1"/>
    </xf>
    <xf numFmtId="164" fontId="9" fillId="0" borderId="23" applyAlignment="1" pivotButton="0" quotePrefix="0" xfId="1">
      <alignment vertical="center" wrapText="1"/>
    </xf>
    <xf numFmtId="164" fontId="9" fillId="36" borderId="23" applyAlignment="1" pivotButton="0" quotePrefix="0" xfId="0">
      <alignment vertical="center" wrapText="1"/>
    </xf>
    <xf numFmtId="164" fontId="9" fillId="36" borderId="23" applyAlignment="1" pivotButton="0" quotePrefix="0" xfId="1">
      <alignment vertical="center" wrapText="1"/>
    </xf>
    <xf numFmtId="164" fontId="9" fillId="0" borderId="23" applyAlignment="1" pivotButton="0" quotePrefix="0" xfId="1">
      <alignment horizontal="center" vertical="center" wrapText="1"/>
    </xf>
    <xf numFmtId="0" fontId="78" fillId="13" borderId="14" applyAlignment="1" applyProtection="1" pivotButton="0" quotePrefix="0" xfId="0">
      <alignment horizontal="center" vertical="center"/>
      <protection locked="0" hidden="0"/>
    </xf>
    <xf numFmtId="165" fontId="80" fillId="0" borderId="0" applyAlignment="1" pivotButton="0" quotePrefix="0" xfId="0">
      <alignment horizontal="center" vertical="center" wrapText="1"/>
    </xf>
    <xf numFmtId="165" fontId="9" fillId="0" borderId="14" applyAlignment="1" pivotButton="0" quotePrefix="0" xfId="0">
      <alignment vertical="center"/>
    </xf>
    <xf numFmtId="164" fontId="87" fillId="36" borderId="14" applyAlignment="1" pivotButton="0" quotePrefix="0" xfId="0">
      <alignment vertical="center" wrapText="1"/>
    </xf>
    <xf numFmtId="164" fontId="87" fillId="0" borderId="14" applyAlignment="1" pivotButton="0" quotePrefix="0" xfId="1">
      <alignment vertical="center" wrapText="1"/>
    </xf>
    <xf numFmtId="164" fontId="9" fillId="0" borderId="14" applyAlignment="1" pivotButton="0" quotePrefix="0" xfId="1">
      <alignment vertical="center" wrapText="1"/>
    </xf>
    <xf numFmtId="164" fontId="9" fillId="0" borderId="14" applyAlignment="1" pivotButton="0" quotePrefix="0" xfId="1">
      <alignment vertical="center"/>
    </xf>
    <xf numFmtId="164" fontId="87" fillId="0" borderId="14" applyAlignment="1" pivotButton="0" quotePrefix="0" xfId="0">
      <alignment vertical="center" wrapText="1"/>
    </xf>
    <xf numFmtId="164" fontId="9" fillId="36" borderId="14" applyAlignment="1" pivotButton="0" quotePrefix="0" xfId="1">
      <alignment vertical="center"/>
    </xf>
    <xf numFmtId="164" fontId="9" fillId="0" borderId="14" applyAlignment="1" pivotButton="0" quotePrefix="0" xfId="1">
      <alignment horizontal="right" vertical="center"/>
    </xf>
    <xf numFmtId="164" fontId="9" fillId="36" borderId="14" applyAlignment="1" pivotButton="0" quotePrefix="0" xfId="0">
      <alignment vertical="center"/>
    </xf>
    <xf numFmtId="164" fontId="9" fillId="36" borderId="14" applyAlignment="1" pivotButton="0" quotePrefix="0" xfId="1">
      <alignment horizontal="center" vertical="center"/>
    </xf>
    <xf numFmtId="164" fontId="9" fillId="36" borderId="14" applyAlignment="1" applyProtection="1" pivotButton="0" quotePrefix="0" xfId="1">
      <alignment horizontal="right" vertical="center" wrapText="1"/>
      <protection locked="0" hidden="0"/>
    </xf>
    <xf numFmtId="164" fontId="9" fillId="36" borderId="14" applyAlignment="1" applyProtection="1" pivotButton="0" quotePrefix="0" xfId="0">
      <alignment horizontal="right" vertical="center" wrapText="1"/>
      <protection locked="0" hidden="0"/>
    </xf>
    <xf numFmtId="164" fontId="79" fillId="36" borderId="14" applyAlignment="1" applyProtection="1" pivotButton="0" quotePrefix="0" xfId="1">
      <alignment horizontal="right" vertical="center" wrapText="1"/>
      <protection locked="0" hidden="0"/>
    </xf>
    <xf numFmtId="164" fontId="9" fillId="0" borderId="14" applyAlignment="1" applyProtection="1" pivotButton="0" quotePrefix="0" xfId="1">
      <alignment horizontal="center" vertical="center" wrapText="1"/>
      <protection locked="0" hidden="0"/>
    </xf>
    <xf numFmtId="164" fontId="9" fillId="0" borderId="14" applyAlignment="1" applyProtection="1" pivotButton="0" quotePrefix="0" xfId="1">
      <alignment vertical="center"/>
      <protection locked="0" hidden="0"/>
    </xf>
    <xf numFmtId="164" fontId="9" fillId="36" borderId="14" applyAlignment="1" applyProtection="1" pivotButton="0" quotePrefix="0" xfId="1">
      <alignment vertical="center"/>
      <protection locked="0" hidden="0"/>
    </xf>
    <xf numFmtId="164" fontId="9" fillId="36" borderId="14" applyAlignment="1" applyProtection="1" pivotButton="0" quotePrefix="0" xfId="0">
      <alignment vertical="center"/>
      <protection locked="0" hidden="0"/>
    </xf>
    <xf numFmtId="164" fontId="79" fillId="36" borderId="14" applyAlignment="1" applyProtection="1" pivotButton="0" quotePrefix="0" xfId="0">
      <alignment vertical="center"/>
      <protection locked="0" hidden="0"/>
    </xf>
    <xf numFmtId="0" fontId="0" fillId="0" borderId="2" pivotButton="0" quotePrefix="0" xfId="0"/>
    <xf numFmtId="0" fontId="0" fillId="0" borderId="4" pivotButton="0" quotePrefix="0" xfId="0"/>
    <xf numFmtId="0" fontId="0" fillId="0" borderId="5" pivotButton="0" quotePrefix="0" xfId="0"/>
    <xf numFmtId="165" fontId="9" fillId="0" borderId="14" applyAlignment="1" pivotButton="0" quotePrefix="0" xfId="254">
      <alignment horizontal="right" vertical="center"/>
    </xf>
    <xf numFmtId="164" fontId="9" fillId="36" borderId="14" applyAlignment="1" pivotButton="0" quotePrefix="0" xfId="1">
      <alignment horizontal="right" vertical="center"/>
    </xf>
    <xf numFmtId="0" fontId="0" fillId="0" borderId="20" pivotButton="0" quotePrefix="0" xfId="0"/>
    <xf numFmtId="165" fontId="7" fillId="13" borderId="14" applyAlignment="1" pivotButton="0" quotePrefix="0" xfId="254">
      <alignment horizontal="center" vertical="center" wrapText="1"/>
    </xf>
    <xf numFmtId="164" fontId="9" fillId="0" borderId="14" applyAlignment="1" pivotButton="0" quotePrefix="0" xfId="1">
      <alignment horizontal="center" vertical="center"/>
    </xf>
    <xf numFmtId="164" fontId="7" fillId="13" borderId="14" applyAlignment="1" pivotButton="0" quotePrefix="0" xfId="1">
      <alignment horizontal="center" vertical="center"/>
    </xf>
    <xf numFmtId="164" fontId="9" fillId="36" borderId="14" applyAlignment="1" pivotButton="0" quotePrefix="1" xfId="1">
      <alignment horizontal="right" vertical="center"/>
    </xf>
    <xf numFmtId="165" fontId="9" fillId="0" borderId="0" applyAlignment="1" pivotButton="0" quotePrefix="0" xfId="254">
      <alignment horizontal="right" vertical="center"/>
    </xf>
    <xf numFmtId="164" fontId="9" fillId="0" borderId="0" applyAlignment="1" pivotButton="0" quotePrefix="0" xfId="254">
      <alignment vertical="center"/>
    </xf>
    <xf numFmtId="164" fontId="9" fillId="36" borderId="14" applyAlignment="1" applyProtection="1" pivotButton="0" quotePrefix="0" xfId="2">
      <alignment horizontal="center" vertical="center" wrapText="1"/>
      <protection locked="0" hidden="0"/>
    </xf>
    <xf numFmtId="164" fontId="7" fillId="36" borderId="14" applyAlignment="1" applyProtection="1" pivotButton="0" quotePrefix="0" xfId="0">
      <alignment horizontal="justify" vertical="center" wrapText="1"/>
      <protection locked="0" hidden="0"/>
    </xf>
    <xf numFmtId="164" fontId="7" fillId="0" borderId="14" applyAlignment="1" applyProtection="1" pivotButton="0" quotePrefix="0" xfId="0">
      <alignment horizontal="justify" vertical="center" wrapText="1"/>
      <protection locked="0" hidden="0"/>
    </xf>
    <xf numFmtId="164" fontId="7" fillId="0" borderId="0" applyAlignment="1" applyProtection="1" pivotButton="0" quotePrefix="0" xfId="0">
      <alignment horizontal="justify" vertical="center" wrapText="1"/>
      <protection locked="0" hidden="0"/>
    </xf>
    <xf numFmtId="165" fontId="7" fillId="36" borderId="23" applyAlignment="1" pivotButton="0" quotePrefix="0" xfId="381">
      <alignment horizontal="center" vertical="center" wrapText="1"/>
    </xf>
    <xf numFmtId="164" fontId="5" fillId="36" borderId="14" applyAlignment="1" applyProtection="1" pivotButton="0" quotePrefix="0" xfId="0">
      <alignment horizontal="center" vertical="center" wrapText="1"/>
      <protection locked="0" hidden="0"/>
    </xf>
    <xf numFmtId="164" fontId="9" fillId="36" borderId="23" applyAlignment="1" pivotButton="0" quotePrefix="0" xfId="381">
      <alignment horizontal="center" vertical="center" wrapText="1"/>
    </xf>
    <xf numFmtId="164" fontId="9" fillId="0" borderId="23" applyAlignment="1" pivotButton="0" quotePrefix="0" xfId="381">
      <alignment horizontal="center" vertical="center" wrapText="1"/>
    </xf>
    <xf numFmtId="164" fontId="7" fillId="0" borderId="23" applyAlignment="1" applyProtection="1" pivotButton="0" quotePrefix="0" xfId="0">
      <alignment horizontal="justify" vertical="center" wrapText="1"/>
      <protection locked="0" hidden="0"/>
    </xf>
    <xf numFmtId="164" fontId="9" fillId="0" borderId="23" applyAlignment="1" pivotButton="0" quotePrefix="0" xfId="254">
      <alignment vertical="center"/>
    </xf>
    <xf numFmtId="164" fontId="9" fillId="0" borderId="24" applyAlignment="1" pivotButton="0" quotePrefix="0" xfId="1">
      <alignment vertical="center"/>
    </xf>
    <xf numFmtId="164" fontId="7" fillId="0" borderId="0" applyAlignment="1" pivotButton="0" quotePrefix="0" xfId="1">
      <alignment vertical="center"/>
    </xf>
    <xf numFmtId="164" fontId="9" fillId="0" borderId="0" applyAlignment="1" pivotButton="0" quotePrefix="0" xfId="1">
      <alignment vertical="center"/>
    </xf>
    <xf numFmtId="164" fontId="9" fillId="36" borderId="24" applyAlignment="1" pivotButton="0" quotePrefix="0" xfId="1">
      <alignment vertical="center"/>
    </xf>
    <xf numFmtId="165" fontId="9" fillId="0" borderId="14" applyAlignment="1" pivotButton="0" quotePrefix="0" xfId="253">
      <alignment vertical="center"/>
    </xf>
    <xf numFmtId="165" fontId="9" fillId="0" borderId="14" applyAlignment="1" pivotButton="0" quotePrefix="0" xfId="253">
      <alignment horizontal="center" vertical="center" wrapText="1"/>
    </xf>
    <xf numFmtId="164" fontId="7" fillId="36" borderId="14" applyAlignment="1" pivotButton="0" quotePrefix="0" xfId="1">
      <alignment vertical="center"/>
    </xf>
    <xf numFmtId="164" fontId="7" fillId="36" borderId="0" applyAlignment="1" pivotButton="0" quotePrefix="0" xfId="1">
      <alignment vertical="center"/>
    </xf>
    <xf numFmtId="165" fontId="80" fillId="0" borderId="0" applyAlignment="1" pivotButton="0" quotePrefix="0" xfId="253">
      <alignment vertical="center"/>
    </xf>
    <xf numFmtId="164" fontId="9" fillId="13" borderId="14" applyAlignment="1" applyProtection="1" pivotButton="0" quotePrefix="0" xfId="0">
      <alignment horizontal="justify" vertical="center" wrapText="1"/>
      <protection locked="0" hidden="0"/>
    </xf>
    <xf numFmtId="164" fontId="9" fillId="36" borderId="14" applyAlignment="1" applyProtection="1" pivotButton="0" quotePrefix="1" xfId="0">
      <alignment horizontal="center" vertical="center" wrapText="1"/>
      <protection locked="0" hidden="0"/>
    </xf>
    <xf numFmtId="0" fontId="5" fillId="36" borderId="23" applyAlignment="1" pivotButton="0" quotePrefix="0" xfId="0">
      <alignment horizontal="center" vertical="center"/>
    </xf>
    <xf numFmtId="0" fontId="5" fillId="13" borderId="14" applyAlignment="1" pivotButton="0" quotePrefix="0" xfId="0">
      <alignment horizontal="center" vertical="center" wrapText="1"/>
    </xf>
    <xf numFmtId="164" fontId="9" fillId="0" borderId="16" applyAlignment="1" pivotButton="0" quotePrefix="0" xfId="1">
      <alignment vertical="center"/>
    </xf>
    <xf numFmtId="164" fontId="9" fillId="0" borderId="18" applyAlignment="1" pivotButton="0" quotePrefix="0" xfId="1">
      <alignment vertical="center"/>
    </xf>
    <xf numFmtId="168" fontId="7" fillId="0" borderId="20" applyAlignment="1" pivotButton="0" quotePrefix="0" xfId="385">
      <alignment vertical="center"/>
    </xf>
    <xf numFmtId="168" fontId="7" fillId="39" borderId="23" applyAlignment="1" applyProtection="1" pivotButton="0" quotePrefix="0" xfId="387">
      <alignment horizontal="center" vertical="center"/>
      <protection locked="0" hidden="0"/>
    </xf>
    <xf numFmtId="168" fontId="5" fillId="39" borderId="23" applyAlignment="1" applyProtection="1" pivotButton="0" quotePrefix="0" xfId="388">
      <alignment horizontal="center" vertical="center"/>
      <protection locked="0" hidden="0"/>
    </xf>
    <xf numFmtId="0" fontId="0" fillId="0" borderId="42" pivotButton="0" quotePrefix="0" xfId="0"/>
    <xf numFmtId="164" fontId="9" fillId="0" borderId="23" applyAlignment="1" applyProtection="1" pivotButton="0" quotePrefix="0" xfId="231">
      <alignment vertical="center"/>
      <protection locked="0" hidden="0"/>
    </xf>
    <xf numFmtId="168" fontId="9" fillId="0" borderId="23" applyAlignment="1" applyProtection="1" pivotButton="0" quotePrefix="0" xfId="387">
      <alignment horizontal="center" vertical="center"/>
      <protection locked="0" hidden="0"/>
    </xf>
    <xf numFmtId="164" fontId="7" fillId="39" borderId="23" applyAlignment="1" applyProtection="1" pivotButton="0" quotePrefix="0" xfId="231">
      <alignment vertical="center"/>
      <protection locked="0" hidden="0"/>
    </xf>
    <xf numFmtId="168" fontId="8" fillId="0" borderId="0" applyProtection="1" pivotButton="0" quotePrefix="0" xfId="389">
      <protection locked="0" hidden="0"/>
    </xf>
    <xf numFmtId="168" fontId="5" fillId="36" borderId="17" applyAlignment="1" applyProtection="1" pivotButton="0" quotePrefix="0" xfId="389">
      <alignment vertical="center"/>
      <protection locked="0" hidden="0"/>
    </xf>
    <xf numFmtId="168" fontId="5" fillId="36" borderId="24" applyAlignment="1" applyProtection="1" pivotButton="0" quotePrefix="0" xfId="389">
      <alignment vertical="center"/>
      <protection locked="0" hidden="0"/>
    </xf>
    <xf numFmtId="168" fontId="5" fillId="36" borderId="25" applyAlignment="1" applyProtection="1" pivotButton="0" quotePrefix="0" xfId="389">
      <alignment vertical="center"/>
      <protection locked="0" hidden="0"/>
    </xf>
    <xf numFmtId="168" fontId="5" fillId="36" borderId="23" applyAlignment="1" applyProtection="1" pivotButton="0" quotePrefix="0" xfId="388">
      <alignment horizontal="center" vertical="center" wrapText="1"/>
      <protection locked="0" hidden="0"/>
    </xf>
    <xf numFmtId="168" fontId="7" fillId="36" borderId="23" applyAlignment="1" applyProtection="1" pivotButton="0" quotePrefix="0" xfId="387">
      <alignment horizontal="center" vertical="center"/>
      <protection locked="0" hidden="0"/>
    </xf>
    <xf numFmtId="168" fontId="5" fillId="40" borderId="23" applyAlignment="1" pivotButton="0" quotePrefix="0" xfId="390">
      <alignment horizontal="center" vertical="center" wrapText="1"/>
    </xf>
    <xf numFmtId="168" fontId="5" fillId="40" borderId="14" applyAlignment="1" pivotButton="0" quotePrefix="0" xfId="390">
      <alignment horizontal="center" vertical="center" wrapText="1"/>
    </xf>
    <xf numFmtId="168" fontId="5" fillId="36" borderId="23" applyAlignment="1" applyProtection="1" pivotButton="0" quotePrefix="0" xfId="388">
      <alignment horizontal="center" vertical="center"/>
      <protection locked="0" hidden="0"/>
    </xf>
    <xf numFmtId="168" fontId="5" fillId="36" borderId="23" applyAlignment="1" applyProtection="1" pivotButton="0" quotePrefix="0" xfId="389">
      <alignment horizontal="center" vertical="center"/>
      <protection locked="0" hidden="0"/>
    </xf>
    <xf numFmtId="168" fontId="5" fillId="36" borderId="23" applyAlignment="1" applyProtection="1" pivotButton="0" quotePrefix="0" xfId="389">
      <alignment horizontal="center" vertical="center" wrapText="1"/>
      <protection locked="0" hidden="0"/>
    </xf>
    <xf numFmtId="169" fontId="9" fillId="0" borderId="23" applyAlignment="1" applyProtection="1" pivotButton="0" quotePrefix="0" xfId="389">
      <alignment horizontal="center" vertical="center" wrapText="1"/>
      <protection locked="0" hidden="0"/>
    </xf>
    <xf numFmtId="168" fontId="13" fillId="0" borderId="23" applyAlignment="1" applyProtection="1" pivotButton="0" quotePrefix="0" xfId="389">
      <alignment horizontal="center" vertical="center"/>
      <protection locked="0" hidden="0"/>
    </xf>
    <xf numFmtId="168" fontId="9" fillId="0" borderId="23" applyAlignment="1" applyProtection="1" pivotButton="0" quotePrefix="0" xfId="389">
      <alignment horizontal="center" vertical="center"/>
      <protection locked="0" hidden="0"/>
    </xf>
    <xf numFmtId="43" fontId="9" fillId="0" borderId="23" applyAlignment="1" applyProtection="1" pivotButton="0" quotePrefix="0" xfId="389">
      <alignment horizontal="right" vertical="center" shrinkToFit="1"/>
      <protection locked="0" hidden="0"/>
    </xf>
    <xf numFmtId="168" fontId="7" fillId="36" borderId="23" applyAlignment="1" applyProtection="1" pivotButton="0" quotePrefix="0" xfId="389">
      <alignment vertical="center"/>
      <protection locked="0" hidden="0"/>
    </xf>
    <xf numFmtId="43" fontId="7" fillId="36" borderId="23" applyAlignment="1" applyProtection="1" pivotButton="0" quotePrefix="0" xfId="389">
      <alignment horizontal="right" vertical="center" shrinkToFit="1"/>
      <protection locked="0" hidden="0"/>
    </xf>
    <xf numFmtId="168" fontId="5" fillId="36" borderId="23" applyAlignment="1" applyProtection="1" pivotButton="0" quotePrefix="0" xfId="389">
      <alignment vertical="center"/>
      <protection locked="0" hidden="0"/>
    </xf>
    <xf numFmtId="164" fontId="7" fillId="36" borderId="23" applyAlignment="1" applyProtection="1" pivotButton="0" quotePrefix="0" xfId="391">
      <alignment vertical="center"/>
      <protection locked="0" hidden="0"/>
    </xf>
    <xf numFmtId="0" fontId="167" fillId="41" borderId="14" applyAlignment="1" applyProtection="1" pivotButton="0" quotePrefix="0" xfId="0">
      <alignment vertical="center" wrapText="1"/>
      <protection locked="0" hidden="0"/>
    </xf>
    <xf numFmtId="0" fontId="167" fillId="41" borderId="23" applyAlignment="1" applyProtection="1" pivotButton="0" quotePrefix="0" xfId="0">
      <alignment vertical="center" wrapText="1"/>
      <protection locked="0" hidden="0"/>
    </xf>
    <xf numFmtId="0" fontId="167" fillId="41" borderId="0" applyAlignment="1" pivotButton="0" quotePrefix="0" xfId="0">
      <alignment vertical="center" wrapText="1"/>
    </xf>
    <xf numFmtId="0" fontId="9" fillId="42" borderId="14" applyAlignment="1" applyProtection="1" pivotButton="0" quotePrefix="0" xfId="0">
      <alignment horizontal="justify" vertical="center" wrapText="1"/>
      <protection locked="0" hidden="0"/>
    </xf>
    <xf numFmtId="0" fontId="9" fillId="42" borderId="14" applyAlignment="1" applyProtection="1" pivotButton="0" quotePrefix="0" xfId="0">
      <alignment horizontal="right" vertical="center" wrapText="1"/>
      <protection locked="0" hidden="0"/>
    </xf>
    <xf numFmtId="10" fontId="9" fillId="42" borderId="14" applyAlignment="1" applyProtection="1" pivotButton="0" quotePrefix="0" xfId="0">
      <alignment horizontal="right" vertical="center" wrapText="1"/>
      <protection locked="0" hidden="0"/>
    </xf>
    <xf numFmtId="0" fontId="13" fillId="42" borderId="16" applyAlignment="1" applyProtection="1" pivotButton="0" quotePrefix="0" xfId="0">
      <alignment horizontal="right" vertical="center" wrapText="1"/>
      <protection locked="0" hidden="0"/>
    </xf>
    <xf numFmtId="0" fontId="9" fillId="42" borderId="16" applyAlignment="1" applyProtection="1" pivotButton="0" quotePrefix="0" xfId="0">
      <alignment horizontal="right" vertical="center" wrapText="1"/>
      <protection locked="0" hidden="0"/>
    </xf>
    <xf numFmtId="0" fontId="9" fillId="41" borderId="14" applyAlignment="1" applyProtection="1" pivotButton="0" quotePrefix="0" xfId="0">
      <alignment vertical="center" wrapText="1"/>
      <protection locked="0" hidden="0"/>
    </xf>
    <xf numFmtId="164" fontId="9" fillId="41" borderId="14" applyAlignment="1" applyProtection="1" pivotButton="0" quotePrefix="0" xfId="1">
      <alignment vertical="center" wrapText="1"/>
      <protection locked="0" hidden="0"/>
    </xf>
    <xf numFmtId="9" fontId="9" fillId="41" borderId="14" applyAlignment="1" applyProtection="1" pivotButton="0" quotePrefix="0" xfId="2">
      <alignment vertical="center" wrapText="1"/>
      <protection locked="0" hidden="0"/>
    </xf>
    <xf numFmtId="10" fontId="9" fillId="41" borderId="14" applyAlignment="1" applyProtection="1" pivotButton="0" quotePrefix="0" xfId="2">
      <alignment vertical="center" wrapText="1"/>
      <protection locked="0" hidden="0"/>
    </xf>
    <xf numFmtId="9" fontId="69" fillId="41" borderId="14" applyAlignment="1" applyProtection="1" pivotButton="0" quotePrefix="0" xfId="2">
      <alignment vertical="center" wrapText="1"/>
      <protection locked="0" hidden="0"/>
    </xf>
    <xf numFmtId="14" fontId="9" fillId="41" borderId="14" applyAlignment="1" applyProtection="1" pivotButton="0" quotePrefix="0" xfId="0">
      <alignment vertical="center" wrapText="1"/>
      <protection locked="0" hidden="0"/>
    </xf>
    <xf numFmtId="0" fontId="69" fillId="41" borderId="14" applyAlignment="1" applyProtection="1" pivotButton="0" quotePrefix="0" xfId="0">
      <alignment vertical="center" wrapText="1"/>
      <protection locked="0" hidden="0"/>
    </xf>
    <xf numFmtId="0" fontId="0" fillId="41" borderId="0" applyAlignment="1" applyProtection="1" pivotButton="0" quotePrefix="0" xfId="0">
      <alignment vertical="center" wrapText="1"/>
      <protection locked="0" hidden="0"/>
    </xf>
    <xf numFmtId="0" fontId="9" fillId="43" borderId="14" applyAlignment="1" applyProtection="1" pivotButton="0" quotePrefix="0" xfId="0">
      <alignment horizontal="justify" vertical="center" wrapText="1"/>
      <protection locked="0" hidden="0"/>
    </xf>
    <xf numFmtId="164" fontId="9" fillId="42" borderId="14" applyAlignment="1" applyProtection="1" pivotButton="0" quotePrefix="0" xfId="1">
      <alignment horizontal="center" vertical="center" wrapText="1"/>
      <protection locked="0" hidden="0"/>
    </xf>
    <xf numFmtId="10" fontId="9" fillId="43" borderId="14" applyAlignment="1" applyProtection="1" pivotButton="0" quotePrefix="0" xfId="2">
      <alignment horizontal="center" vertical="center" wrapText="1"/>
      <protection locked="0" hidden="0"/>
    </xf>
    <xf numFmtId="10" fontId="9" fillId="42" borderId="14" applyAlignment="1" applyProtection="1" pivotButton="0" quotePrefix="0" xfId="2">
      <alignment horizontal="center" vertical="center" wrapText="1"/>
      <protection locked="0" hidden="0"/>
    </xf>
    <xf numFmtId="9" fontId="69" fillId="42" borderId="14" applyAlignment="1" applyProtection="1" pivotButton="0" quotePrefix="0" xfId="2">
      <alignment horizontal="center" vertical="center" wrapText="1"/>
      <protection locked="0" hidden="0"/>
    </xf>
    <xf numFmtId="14" fontId="9" fillId="42" borderId="14" applyAlignment="1" applyProtection="1" pivotButton="0" quotePrefix="0" xfId="0">
      <alignment horizontal="right" vertical="center" wrapText="1"/>
      <protection locked="0" hidden="0"/>
    </xf>
    <xf numFmtId="0" fontId="9" fillId="42" borderId="14" applyAlignment="1" applyProtection="1" pivotButton="0" quotePrefix="0" xfId="0">
      <alignment vertical="center"/>
      <protection locked="0" hidden="0"/>
    </xf>
    <xf numFmtId="0" fontId="0" fillId="43" borderId="0" pivotButton="0" quotePrefix="0" xfId="0"/>
    <xf numFmtId="164" fontId="0" fillId="42" borderId="0" pivotButton="0" quotePrefix="0" xfId="0"/>
    <xf numFmtId="10" fontId="0" fillId="43" borderId="0" pivotButton="0" quotePrefix="0" xfId="0"/>
    <xf numFmtId="10" fontId="0" fillId="42" borderId="0" pivotButton="0" quotePrefix="0" xfId="0"/>
    <xf numFmtId="0" fontId="0" fillId="42" borderId="0" pivotButton="0" quotePrefix="0" xfId="0"/>
    <xf numFmtId="0" fontId="7" fillId="43" borderId="14" applyAlignment="1" applyProtection="1" pivotButton="0" quotePrefix="0" xfId="0">
      <alignment horizontal="center" vertical="center" wrapText="1"/>
      <protection locked="0" hidden="0"/>
    </xf>
    <xf numFmtId="164" fontId="7" fillId="42" borderId="14" applyAlignment="1" applyProtection="1" pivotButton="0" quotePrefix="0" xfId="0">
      <alignment horizontal="center" vertical="center" wrapText="1"/>
      <protection locked="0" hidden="0"/>
    </xf>
    <xf numFmtId="10" fontId="7" fillId="43" borderId="14" applyAlignment="1" applyProtection="1" pivotButton="0" quotePrefix="0" xfId="0">
      <alignment horizontal="center" vertical="center" wrapText="1"/>
      <protection locked="0" hidden="0"/>
    </xf>
    <xf numFmtId="10" fontId="5" fillId="42" borderId="14" applyAlignment="1" applyProtection="1" pivotButton="0" quotePrefix="0" xfId="0">
      <alignment horizontal="center" vertical="center" wrapText="1"/>
      <protection locked="0" hidden="0"/>
    </xf>
    <xf numFmtId="0" fontId="7" fillId="42" borderId="14" applyAlignment="1" applyProtection="1" pivotButton="0" quotePrefix="0" xfId="0">
      <alignment horizontal="center" vertical="center" wrapText="1"/>
      <protection locked="0" hidden="0"/>
    </xf>
    <xf numFmtId="0" fontId="5" fillId="42" borderId="14" applyAlignment="1" applyProtection="1" pivotButton="0" quotePrefix="0" xfId="0">
      <alignment horizontal="center" vertical="center" wrapText="1"/>
      <protection locked="0" hidden="0"/>
    </xf>
    <xf numFmtId="49" fontId="9" fillId="41" borderId="14" applyAlignment="1" applyProtection="1" pivotButton="0" quotePrefix="0" xfId="0">
      <alignment vertical="center" wrapText="1"/>
      <protection locked="0" hidden="0"/>
    </xf>
    <xf numFmtId="164" fontId="9" fillId="41" borderId="14" applyAlignment="1" applyProtection="1" pivotButton="0" quotePrefix="0" xfId="0">
      <alignment vertical="center" wrapText="1"/>
      <protection locked="0" hidden="0"/>
    </xf>
    <xf numFmtId="49" fontId="9" fillId="43" borderId="14" applyAlignment="1" applyProtection="1" pivotButton="0" quotePrefix="0" xfId="0">
      <alignment horizontal="justify" vertical="center" wrapText="1"/>
      <protection locked="0" hidden="0"/>
    </xf>
    <xf numFmtId="164" fontId="9" fillId="42" borderId="14" applyAlignment="1" applyProtection="1" pivotButton="0" quotePrefix="0" xfId="1">
      <alignment vertical="center"/>
      <protection locked="0" hidden="0"/>
    </xf>
    <xf numFmtId="164" fontId="9" fillId="43" borderId="14" applyAlignment="1" applyProtection="1" pivotButton="0" quotePrefix="0" xfId="1">
      <alignment vertical="center"/>
      <protection locked="0" hidden="0"/>
    </xf>
    <xf numFmtId="164" fontId="9" fillId="43" borderId="14" applyAlignment="1" applyProtection="1" pivotButton="0" quotePrefix="0" xfId="0">
      <alignment vertical="center"/>
      <protection locked="0" hidden="0"/>
    </xf>
    <xf numFmtId="164" fontId="0" fillId="43" borderId="0" pivotButton="0" quotePrefix="0" xfId="0"/>
    <xf numFmtId="164" fontId="7" fillId="43" borderId="14" applyAlignment="1" applyProtection="1" pivotButton="0" quotePrefix="0" xfId="0">
      <alignment horizontal="center" vertical="center" wrapText="1"/>
      <protection locked="0" hidden="0"/>
    </xf>
    <xf numFmtId="164" fontId="5" fillId="42" borderId="14" applyAlignment="1" applyProtection="1" pivotButton="0" quotePrefix="0" xfId="0">
      <alignment horizontal="center" vertical="center" wrapText="1"/>
      <protection locked="0" hidden="0"/>
    </xf>
    <xf numFmtId="164" fontId="7" fillId="43" borderId="14" applyAlignment="1" applyProtection="1" pivotButton="0" quotePrefix="0" xfId="0">
      <alignment horizontal="center" vertical="center"/>
      <protection locked="0" hidden="0"/>
    </xf>
    <xf numFmtId="164" fontId="9" fillId="42" borderId="14" applyAlignment="1" applyProtection="1" pivotButton="0" quotePrefix="0" xfId="0">
      <alignment horizontal="right" vertical="center" wrapText="1"/>
      <protection locked="0" hidden="0"/>
    </xf>
    <xf numFmtId="164" fontId="9" fillId="42" borderId="14" applyAlignment="1" applyProtection="1" pivotButton="0" quotePrefix="0" xfId="0">
      <alignment vertical="center"/>
      <protection locked="0" hidden="0"/>
    </xf>
    <xf numFmtId="164" fontId="79" fillId="42" borderId="14" applyAlignment="1" applyProtection="1" pivotButton="0" quotePrefix="0" xfId="0">
      <alignment vertical="center"/>
      <protection locked="0" hidden="0"/>
    </xf>
    <xf numFmtId="164" fontId="79" fillId="43" borderId="14" applyAlignment="1" applyProtection="1" pivotButton="0" quotePrefix="0" xfId="0">
      <alignment vertical="center"/>
      <protection locked="0" hidden="0"/>
    </xf>
    <xf numFmtId="0" fontId="0" fillId="41" borderId="0" applyAlignment="1" pivotButton="0" quotePrefix="0" xfId="0">
      <alignment vertical="center" wrapText="1"/>
    </xf>
    <xf numFmtId="164" fontId="0" fillId="42" borderId="18" applyProtection="1" pivotButton="0" quotePrefix="0" xfId="0">
      <protection locked="0" hidden="0"/>
    </xf>
    <xf numFmtId="164" fontId="7" fillId="43" borderId="6" applyAlignment="1" applyProtection="1" pivotButton="0" quotePrefix="0" xfId="0">
      <alignment horizontal="center" vertical="center" wrapText="1"/>
      <protection locked="0" hidden="0"/>
    </xf>
    <xf numFmtId="164" fontId="7" fillId="42" borderId="6" applyAlignment="1" applyProtection="1" pivotButton="0" quotePrefix="0" xfId="0">
      <alignment horizontal="center" vertical="center" wrapText="1"/>
      <protection locked="0" hidden="0"/>
    </xf>
    <xf numFmtId="0" fontId="9" fillId="43" borderId="16" applyAlignment="1" applyProtection="1" pivotButton="0" quotePrefix="0" xfId="0">
      <alignment vertical="center" wrapText="1"/>
      <protection locked="0" hidden="0"/>
    </xf>
    <xf numFmtId="164" fontId="9" fillId="42" borderId="16" applyAlignment="1" applyProtection="1" pivotButton="0" quotePrefix="0" xfId="0">
      <alignment horizontal="center" vertical="center" wrapText="1"/>
      <protection locked="0" hidden="0"/>
    </xf>
    <xf numFmtId="164" fontId="9" fillId="43" borderId="14" applyAlignment="1" applyProtection="1" pivotButton="0" quotePrefix="0" xfId="0">
      <alignment horizontal="center" vertical="center" wrapText="1"/>
      <protection locked="0" hidden="0"/>
    </xf>
    <xf numFmtId="164" fontId="9" fillId="42" borderId="14" applyAlignment="1" applyProtection="1" pivotButton="0" quotePrefix="0" xfId="0">
      <alignment horizontal="center" vertical="center" wrapText="1"/>
      <protection locked="0" hidden="0"/>
    </xf>
    <xf numFmtId="0" fontId="9" fillId="42" borderId="14" applyAlignment="1" applyProtection="1" pivotButton="0" quotePrefix="0" xfId="0">
      <alignment horizontal="center" vertical="center" wrapText="1"/>
      <protection locked="0" hidden="0"/>
    </xf>
    <xf numFmtId="0" fontId="9" fillId="43" borderId="16" applyAlignment="1" applyProtection="1" pivotButton="0" quotePrefix="0" xfId="0">
      <alignment horizontal="justify" vertical="center" wrapText="1"/>
      <protection locked="0" hidden="0"/>
    </xf>
    <xf numFmtId="164" fontId="9" fillId="43" borderId="14" applyAlignment="1" applyProtection="1" pivotButton="0" quotePrefix="0" xfId="0">
      <alignment horizontal="justify" vertical="center" wrapText="1"/>
      <protection locked="0" hidden="0"/>
    </xf>
    <xf numFmtId="164" fontId="9" fillId="42" borderId="14" applyAlignment="1" applyProtection="1" pivotButton="0" quotePrefix="0" xfId="0">
      <alignment horizontal="justify" vertical="center" wrapText="1"/>
      <protection locked="0" hidden="0"/>
    </xf>
    <xf numFmtId="0" fontId="9" fillId="41" borderId="16" applyAlignment="1" applyProtection="1" pivotButton="0" quotePrefix="0" xfId="0">
      <alignment horizontal="justify" vertical="center" wrapText="1"/>
      <protection locked="0" hidden="0"/>
    </xf>
    <xf numFmtId="10" fontId="9" fillId="41" borderId="14" applyAlignment="1" applyProtection="1" pivotButton="0" quotePrefix="0" xfId="0">
      <alignment vertical="center"/>
      <protection locked="0" hidden="0"/>
    </xf>
    <xf numFmtId="0" fontId="9" fillId="41" borderId="14" applyAlignment="1" applyProtection="1" pivotButton="0" quotePrefix="0" xfId="0">
      <alignment vertical="center"/>
      <protection locked="0" hidden="0"/>
    </xf>
    <xf numFmtId="164" fontId="9" fillId="41" borderId="14" applyAlignment="1" applyProtection="1" pivotButton="0" quotePrefix="0" xfId="0">
      <alignment horizontal="justify" vertical="center" wrapText="1"/>
      <protection locked="0" hidden="0"/>
    </xf>
    <xf numFmtId="0" fontId="0" fillId="41" borderId="0" pivotButton="0" quotePrefix="0" xfId="0"/>
    <xf numFmtId="0" fontId="0" fillId="0" borderId="0" applyAlignment="1" pivotButton="0" quotePrefix="0" xfId="0">
      <alignment vertical="top" wrapText="1"/>
    </xf>
    <xf numFmtId="0" fontId="0" fillId="42" borderId="0" applyAlignment="1" pivotButton="0" quotePrefix="0" xfId="0">
      <alignment vertical="top" wrapText="1"/>
    </xf>
    <xf numFmtId="0" fontId="7" fillId="0" borderId="0" applyAlignment="1" pivotButton="0" quotePrefix="0" xfId="207">
      <alignment vertical="center" wrapText="1"/>
    </xf>
    <xf numFmtId="0" fontId="167" fillId="44" borderId="14" applyAlignment="1" applyProtection="1" pivotButton="0" quotePrefix="0" xfId="0">
      <alignment vertical="center" wrapText="1"/>
      <protection locked="0" hidden="0"/>
    </xf>
    <xf numFmtId="0" fontId="9" fillId="45" borderId="14" applyAlignment="1" applyProtection="1" pivotButton="0" quotePrefix="0" xfId="0">
      <alignment horizontal="justify" vertical="center" wrapText="1"/>
      <protection locked="0" hidden="0"/>
    </xf>
    <xf numFmtId="0" fontId="13" fillId="45" borderId="16" applyAlignment="1" applyProtection="1" pivotButton="0" quotePrefix="0" xfId="0">
      <alignment horizontal="right" vertical="center" wrapText="1"/>
      <protection locked="0" hidden="0"/>
    </xf>
    <xf numFmtId="0" fontId="9" fillId="45" borderId="16" applyAlignment="1" applyProtection="1" pivotButton="0" quotePrefix="0" xfId="0">
      <alignment horizontal="right" vertical="center" wrapText="1"/>
      <protection locked="0" hidden="0"/>
    </xf>
    <xf numFmtId="9" fontId="167" fillId="44" borderId="14" applyAlignment="1" applyProtection="1" pivotButton="0" quotePrefix="0" xfId="2">
      <alignment vertical="center" wrapText="1"/>
      <protection locked="0" hidden="0"/>
    </xf>
    <xf numFmtId="10" fontId="167" fillId="44" borderId="14" applyAlignment="1" applyProtection="1" pivotButton="0" quotePrefix="0" xfId="2">
      <alignment vertical="center" wrapText="1"/>
      <protection locked="0" hidden="0"/>
    </xf>
    <xf numFmtId="164" fontId="9" fillId="45" borderId="14" applyAlignment="1" applyProtection="1" pivotButton="0" quotePrefix="0" xfId="1">
      <alignment horizontal="center" vertical="center" wrapText="1"/>
      <protection locked="0" hidden="0"/>
    </xf>
    <xf numFmtId="10" fontId="9" fillId="45" borderId="14" applyAlignment="1" applyProtection="1" pivotButton="0" quotePrefix="0" xfId="2">
      <alignment horizontal="center" vertical="center" wrapText="1"/>
      <protection locked="0" hidden="0"/>
    </xf>
    <xf numFmtId="9" fontId="69" fillId="45" borderId="14" applyAlignment="1" applyProtection="1" pivotButton="0" quotePrefix="0" xfId="2">
      <alignment horizontal="center" vertical="center" wrapText="1"/>
      <protection locked="0" hidden="0"/>
    </xf>
    <xf numFmtId="0" fontId="9" fillId="45" borderId="14" applyAlignment="1" applyProtection="1" pivotButton="0" quotePrefix="0" xfId="0">
      <alignment horizontal="right" vertical="center" wrapText="1"/>
      <protection locked="0" hidden="0"/>
    </xf>
    <xf numFmtId="14" fontId="9" fillId="45" borderId="14" applyAlignment="1" applyProtection="1" pivotButton="0" quotePrefix="0" xfId="0">
      <alignment horizontal="right" vertical="center" wrapText="1"/>
      <protection locked="0" hidden="0"/>
    </xf>
    <xf numFmtId="0" fontId="9" fillId="45" borderId="14" applyAlignment="1" applyProtection="1" pivotButton="0" quotePrefix="0" xfId="0">
      <alignment vertical="center"/>
      <protection locked="0" hidden="0"/>
    </xf>
    <xf numFmtId="0" fontId="0" fillId="0" borderId="0" applyAlignment="1" applyProtection="1" pivotButton="0" quotePrefix="0" xfId="0">
      <alignment vertical="center" wrapText="1"/>
      <protection locked="0" hidden="0"/>
    </xf>
    <xf numFmtId="164" fontId="0" fillId="45" borderId="0" pivotButton="0" quotePrefix="0" xfId="0"/>
    <xf numFmtId="10" fontId="0" fillId="45" borderId="0" pivotButton="0" quotePrefix="0" xfId="0"/>
    <xf numFmtId="0" fontId="0" fillId="45" borderId="0" pivotButton="0" quotePrefix="0" xfId="0"/>
    <xf numFmtId="164" fontId="7" fillId="45" borderId="14" applyAlignment="1" applyProtection="1" pivotButton="0" quotePrefix="0" xfId="0">
      <alignment horizontal="center" vertical="center" wrapText="1"/>
      <protection locked="0" hidden="0"/>
    </xf>
    <xf numFmtId="10" fontId="5" fillId="45" borderId="14" applyAlignment="1" applyProtection="1" pivotButton="0" quotePrefix="0" xfId="0">
      <alignment horizontal="center" vertical="center" wrapText="1"/>
      <protection locked="0" hidden="0"/>
    </xf>
    <xf numFmtId="0" fontId="7" fillId="45" borderId="14" applyAlignment="1" applyProtection="1" pivotButton="0" quotePrefix="0" xfId="0">
      <alignment horizontal="center" vertical="center" wrapText="1"/>
      <protection locked="0" hidden="0"/>
    </xf>
    <xf numFmtId="0" fontId="5" fillId="45" borderId="14" applyAlignment="1" applyProtection="1" pivotButton="0" quotePrefix="0" xfId="0">
      <alignment horizontal="center" vertical="center" wrapText="1"/>
      <protection locked="0" hidden="0"/>
    </xf>
    <xf numFmtId="4" fontId="9" fillId="45" borderId="14" applyAlignment="1" applyProtection="1" pivotButton="0" quotePrefix="0" xfId="1">
      <alignment vertical="center"/>
      <protection locked="0" hidden="0"/>
    </xf>
    <xf numFmtId="4" fontId="9" fillId="43" borderId="14" applyAlignment="1" applyProtection="1" pivotButton="0" quotePrefix="0" xfId="1">
      <alignment vertical="center"/>
      <protection locked="0" hidden="0"/>
    </xf>
    <xf numFmtId="4" fontId="9" fillId="43" borderId="14" applyAlignment="1" applyProtection="1" pivotButton="0" quotePrefix="0" xfId="0">
      <alignment vertical="center"/>
      <protection locked="0" hidden="0"/>
    </xf>
    <xf numFmtId="4" fontId="0" fillId="45" borderId="0" pivotButton="0" quotePrefix="0" xfId="0"/>
    <xf numFmtId="4" fontId="0" fillId="43" borderId="0" pivotButton="0" quotePrefix="0" xfId="0"/>
    <xf numFmtId="4" fontId="7" fillId="45" borderId="14" applyAlignment="1" applyProtection="1" pivotButton="0" quotePrefix="0" xfId="0">
      <alignment horizontal="center" vertical="center" wrapText="1"/>
      <protection locked="0" hidden="0"/>
    </xf>
    <xf numFmtId="4" fontId="7" fillId="43" borderId="14" applyAlignment="1" applyProtection="1" pivotButton="0" quotePrefix="0" xfId="0">
      <alignment horizontal="center" vertical="center" wrapText="1"/>
      <protection locked="0" hidden="0"/>
    </xf>
    <xf numFmtId="4" fontId="5" fillId="45" borderId="14" applyAlignment="1" applyProtection="1" pivotButton="0" quotePrefix="0" xfId="0">
      <alignment horizontal="center" vertical="center" wrapText="1"/>
      <protection locked="0" hidden="0"/>
    </xf>
    <xf numFmtId="4" fontId="7" fillId="43" borderId="14" applyAlignment="1" applyProtection="1" pivotButton="0" quotePrefix="0" xfId="0">
      <alignment horizontal="center" vertical="center"/>
      <protection locked="0" hidden="0"/>
    </xf>
    <xf numFmtId="4" fontId="9" fillId="45" borderId="14" applyAlignment="1" applyProtection="1" pivotButton="0" quotePrefix="0" xfId="0">
      <alignment horizontal="right" vertical="center" wrapText="1"/>
      <protection locked="0" hidden="0"/>
    </xf>
    <xf numFmtId="4" fontId="9" fillId="45" borderId="14" applyAlignment="1" applyProtection="1" pivotButton="0" quotePrefix="0" xfId="0">
      <alignment vertical="center"/>
      <protection locked="0" hidden="0"/>
    </xf>
    <xf numFmtId="4" fontId="79" fillId="45" borderId="14" applyAlignment="1" applyProtection="1" pivotButton="0" quotePrefix="0" xfId="0">
      <alignment vertical="center"/>
      <protection locked="0" hidden="0"/>
    </xf>
    <xf numFmtId="4" fontId="79" fillId="43" borderId="14" applyAlignment="1" applyProtection="1" pivotButton="0" quotePrefix="0" xfId="0">
      <alignment vertical="center"/>
      <protection locked="0" hidden="0"/>
    </xf>
    <xf numFmtId="4" fontId="0" fillId="45" borderId="18" applyProtection="1" pivotButton="0" quotePrefix="0" xfId="0">
      <protection locked="0" hidden="0"/>
    </xf>
    <xf numFmtId="4" fontId="7" fillId="43" borderId="6" applyAlignment="1" applyProtection="1" pivotButton="0" quotePrefix="0" xfId="0">
      <alignment horizontal="center" vertical="center" wrapText="1"/>
      <protection locked="0" hidden="0"/>
    </xf>
    <xf numFmtId="4" fontId="7" fillId="45" borderId="6" applyAlignment="1" applyProtection="1" pivotButton="0" quotePrefix="0" xfId="0">
      <alignment horizontal="center" vertical="center" wrapText="1"/>
      <protection locked="0" hidden="0"/>
    </xf>
    <xf numFmtId="4" fontId="9" fillId="45" borderId="16" applyAlignment="1" applyProtection="1" pivotButton="0" quotePrefix="0" xfId="0">
      <alignment horizontal="center" vertical="center" wrapText="1"/>
      <protection locked="0" hidden="0"/>
    </xf>
    <xf numFmtId="4" fontId="9" fillId="43" borderId="14" applyAlignment="1" applyProtection="1" pivotButton="0" quotePrefix="0" xfId="0">
      <alignment horizontal="center" vertical="center" wrapText="1"/>
      <protection locked="0" hidden="0"/>
    </xf>
    <xf numFmtId="4" fontId="9" fillId="45" borderId="14" applyAlignment="1" applyProtection="1" pivotButton="0" quotePrefix="0" xfId="0">
      <alignment horizontal="center" vertical="center" wrapText="1"/>
      <protection locked="0" hidden="0"/>
    </xf>
    <xf numFmtId="0" fontId="9" fillId="45" borderId="14" applyAlignment="1" applyProtection="1" pivotButton="0" quotePrefix="0" xfId="0">
      <alignment horizontal="center" vertical="center" wrapText="1"/>
      <protection locked="0" hidden="0"/>
    </xf>
    <xf numFmtId="4" fontId="9" fillId="43" borderId="14" applyAlignment="1" applyProtection="1" pivotButton="0" quotePrefix="0" xfId="0">
      <alignment horizontal="justify" vertical="center" wrapText="1"/>
      <protection locked="0" hidden="0"/>
    </xf>
    <xf numFmtId="4" fontId="9" fillId="45" borderId="14" applyAlignment="1" applyProtection="1" pivotButton="0" quotePrefix="0" xfId="0">
      <alignment horizontal="justify" vertical="center" wrapText="1"/>
      <protection locked="0" hidden="0"/>
    </xf>
    <xf numFmtId="164" fontId="9" fillId="45" borderId="14" applyAlignment="1" applyProtection="1" pivotButton="0" quotePrefix="0" xfId="0">
      <alignment horizontal="justify" vertical="center" wrapText="1"/>
      <protection locked="0" hidden="0"/>
    </xf>
    <xf numFmtId="0" fontId="167" fillId="41" borderId="0" pivotButton="0" quotePrefix="0" xfId="0"/>
    <xf numFmtId="0" fontId="167" fillId="44" borderId="50" applyAlignment="1" pivotButton="0" quotePrefix="0" xfId="0">
      <alignment vertical="center" wrapText="1"/>
    </xf>
    <xf numFmtId="4" fontId="0" fillId="0" borderId="0" pivotButton="0" quotePrefix="0" xfId="0"/>
    <xf numFmtId="0" fontId="0" fillId="0" borderId="0" applyAlignment="1" pivotButton="0" quotePrefix="0" xfId="0">
      <alignment vertical="center" wrapText="1"/>
    </xf>
    <xf numFmtId="0" fontId="0" fillId="42" borderId="0" applyAlignment="1" pivotButton="0" quotePrefix="0" xfId="0">
      <alignment vertical="center" wrapText="1"/>
    </xf>
    <xf numFmtId="0" fontId="172" fillId="0" borderId="0" applyAlignment="1" pivotButton="0" quotePrefix="0" xfId="244">
      <alignment horizontal="center" vertical="center"/>
    </xf>
    <xf numFmtId="0" fontId="168" fillId="0" borderId="0" applyAlignment="1" pivotButton="0" quotePrefix="0" xfId="207">
      <alignment vertical="center"/>
    </xf>
    <xf numFmtId="0" fontId="13" fillId="0" borderId="0" applyAlignment="1" applyProtection="1" pivotButton="0" quotePrefix="0" xfId="0">
      <alignment horizontal="left" vertical="center" wrapText="1"/>
      <protection locked="0" hidden="0"/>
    </xf>
    <xf numFmtId="0" fontId="168" fillId="0" borderId="0" applyAlignment="1" pivotButton="0" quotePrefix="0" xfId="207">
      <alignment horizontal="left" vertical="center"/>
    </xf>
    <xf numFmtId="0" fontId="168" fillId="44" borderId="50" applyAlignment="1" applyProtection="1" pivotButton="0" quotePrefix="0" xfId="0">
      <alignment horizontal="center" vertical="center" wrapText="1"/>
      <protection locked="0" hidden="0"/>
    </xf>
    <xf numFmtId="0" fontId="168" fillId="44" borderId="50" applyAlignment="1" pivotButton="0" quotePrefix="0" xfId="0">
      <alignment horizontal="center" vertical="center" wrapText="1"/>
    </xf>
    <xf numFmtId="0" fontId="169" fillId="44" borderId="50" applyAlignment="1" applyProtection="1" pivotButton="0" quotePrefix="0" xfId="0">
      <alignment horizontal="center" vertical="center" wrapText="1"/>
      <protection locked="0" hidden="0"/>
    </xf>
    <xf numFmtId="0" fontId="169" fillId="44" borderId="50" applyAlignment="1" pivotButton="0" quotePrefix="0" xfId="0">
      <alignment horizontal="center" vertical="center" wrapText="1"/>
    </xf>
    <xf numFmtId="0" fontId="168" fillId="46" borderId="50" applyAlignment="1" applyProtection="1" pivotButton="0" quotePrefix="0" xfId="0">
      <alignment horizontal="left" vertical="center"/>
      <protection locked="0" hidden="0"/>
    </xf>
    <xf numFmtId="0" fontId="0" fillId="0" borderId="53" applyProtection="1" pivotButton="0" quotePrefix="0" xfId="0">
      <protection locked="0" hidden="0"/>
    </xf>
    <xf numFmtId="10" fontId="9" fillId="46" borderId="50" applyAlignment="1" applyProtection="1" pivotButton="0" quotePrefix="0" xfId="2">
      <alignment horizontal="center" vertical="center" wrapText="1"/>
      <protection locked="0" hidden="0"/>
    </xf>
    <xf numFmtId="164" fontId="9" fillId="46" borderId="50" applyAlignment="1" applyProtection="1" pivotButton="0" quotePrefix="0" xfId="0">
      <alignment horizontal="justify" vertical="center" wrapText="1"/>
      <protection locked="0" hidden="0"/>
    </xf>
    <xf numFmtId="0" fontId="9" fillId="46" borderId="50" applyAlignment="1" applyProtection="1" pivotButton="0" quotePrefix="0" xfId="0">
      <alignment horizontal="center" vertical="center" wrapText="1"/>
      <protection locked="0" hidden="0"/>
    </xf>
    <xf numFmtId="0" fontId="0" fillId="46" borderId="50" pivotButton="0" quotePrefix="0" xfId="0"/>
    <xf numFmtId="0" fontId="9" fillId="45" borderId="50" applyAlignment="1" applyProtection="1" pivotButton="0" quotePrefix="0" xfId="0">
      <alignment horizontal="justify" vertical="center" wrapText="1"/>
      <protection locked="0" hidden="0"/>
    </xf>
    <xf numFmtId="10" fontId="9" fillId="45" borderId="50" applyAlignment="1" applyProtection="1" pivotButton="0" quotePrefix="0" xfId="2">
      <alignment horizontal="center" vertical="center" wrapText="1"/>
      <protection locked="0" hidden="0"/>
    </xf>
    <xf numFmtId="4" fontId="9" fillId="45" borderId="50" applyAlignment="1" applyProtection="1" pivotButton="0" quotePrefix="0" xfId="0">
      <alignment horizontal="justify" vertical="center" wrapText="1"/>
      <protection locked="0" hidden="0"/>
    </xf>
    <xf numFmtId="4" fontId="9" fillId="47" borderId="50" applyAlignment="1" applyProtection="1" pivotButton="0" quotePrefix="0" xfId="0">
      <alignment horizontal="justify" vertical="center" wrapText="1"/>
      <protection locked="0" hidden="0"/>
    </xf>
    <xf numFmtId="4" fontId="0" fillId="47" borderId="50" pivotButton="0" quotePrefix="0" xfId="0"/>
    <xf numFmtId="0" fontId="0" fillId="45" borderId="50" pivotButton="0" quotePrefix="0" xfId="0"/>
    <xf numFmtId="4" fontId="0" fillId="45" borderId="50" pivotButton="0" quotePrefix="0" xfId="0"/>
    <xf numFmtId="0" fontId="0" fillId="47" borderId="50" applyAlignment="1" pivotButton="0" quotePrefix="0" xfId="0">
      <alignment horizontal="left" vertical="center" wrapText="1"/>
    </xf>
    <xf numFmtId="0" fontId="168" fillId="48" borderId="50" applyAlignment="1" applyProtection="1" pivotButton="0" quotePrefix="0" xfId="0">
      <alignment horizontal="center" vertical="center" wrapText="1"/>
      <protection locked="0" hidden="0"/>
    </xf>
    <xf numFmtId="10" fontId="168" fillId="48" borderId="50" applyAlignment="1" applyProtection="1" pivotButton="0" quotePrefix="1" xfId="2">
      <alignment horizontal="center" vertical="center" wrapText="1"/>
      <protection locked="0" hidden="0"/>
    </xf>
    <xf numFmtId="4" fontId="168" fillId="48" borderId="50" applyAlignment="1" applyProtection="1" pivotButton="0" quotePrefix="0" xfId="0">
      <alignment horizontal="justify" vertical="center" wrapText="1"/>
      <protection locked="0" hidden="0"/>
    </xf>
    <xf numFmtId="164" fontId="168" fillId="48" borderId="50" applyAlignment="1" applyProtection="1" pivotButton="0" quotePrefix="0" xfId="0">
      <alignment horizontal="justify" vertical="center" wrapText="1"/>
      <protection locked="0" hidden="0"/>
    </xf>
    <xf numFmtId="4" fontId="168" fillId="48" borderId="50" applyAlignment="1" applyProtection="1" pivotButton="0" quotePrefix="1" xfId="0">
      <alignment horizontal="center" vertical="center" wrapText="1"/>
      <protection locked="0" hidden="0"/>
    </xf>
    <xf numFmtId="0" fontId="168" fillId="48" borderId="50" applyAlignment="1" applyProtection="1" pivotButton="0" quotePrefix="0" xfId="0">
      <alignment horizontal="justify" vertical="center" wrapText="1"/>
      <protection locked="0" hidden="0"/>
    </xf>
    <xf numFmtId="4" fontId="168" fillId="48" borderId="50" pivotButton="0" quotePrefix="0" xfId="0"/>
    <xf numFmtId="0" fontId="168" fillId="48" borderId="50" pivotButton="0" quotePrefix="0" xfId="0"/>
    <xf numFmtId="0" fontId="168" fillId="46" borderId="50" applyAlignment="1" applyProtection="1" pivotButton="0" quotePrefix="0" xfId="0">
      <alignment vertical="center"/>
      <protection locked="0" hidden="0"/>
    </xf>
    <xf numFmtId="0" fontId="9" fillId="46" borderId="50" applyAlignment="1" applyProtection="1" pivotButton="0" quotePrefix="0" xfId="0">
      <alignment horizontal="justify" vertical="center" wrapText="1"/>
      <protection locked="0" hidden="0"/>
    </xf>
    <xf numFmtId="10" fontId="168" fillId="48" borderId="50" applyAlignment="1" applyProtection="1" pivotButton="0" quotePrefix="0" xfId="2">
      <alignment horizontal="center" vertical="center" wrapText="1"/>
      <protection locked="0" hidden="0"/>
    </xf>
    <xf numFmtId="0" fontId="168" fillId="0" borderId="0" applyAlignment="1" applyProtection="1" pivotButton="0" quotePrefix="0" xfId="0">
      <alignment vertical="center"/>
      <protection locked="0" hidden="0"/>
    </xf>
    <xf numFmtId="0" fontId="9" fillId="45" borderId="0" applyAlignment="1" applyProtection="1" pivotButton="0" quotePrefix="0" xfId="0">
      <alignment horizontal="left" vertical="center" wrapText="1"/>
      <protection locked="0" hidden="0"/>
    </xf>
    <xf numFmtId="0" fontId="9" fillId="45" borderId="50" applyAlignment="1" applyProtection="1" pivotButton="0" quotePrefix="0" xfId="0">
      <alignment vertical="center"/>
      <protection locked="0" hidden="0"/>
    </xf>
    <xf numFmtId="0" fontId="168" fillId="0" borderId="0" applyAlignment="1" applyProtection="1" pivotButton="0" quotePrefix="0" xfId="0">
      <alignment horizontal="justify" vertical="center" wrapText="1"/>
      <protection locked="0" hidden="0"/>
    </xf>
    <xf numFmtId="0" fontId="170" fillId="0" borderId="0" applyAlignment="1" applyProtection="1" pivotButton="0" quotePrefix="0" xfId="0">
      <alignment horizontal="left" vertical="center" wrapText="1"/>
      <protection locked="0" hidden="0"/>
    </xf>
    <xf numFmtId="0" fontId="171" fillId="0" borderId="0" applyAlignment="1" applyProtection="1" pivotButton="0" quotePrefix="0" xfId="0">
      <alignment horizontal="left" vertical="center" wrapText="1"/>
      <protection locked="0" hidden="0"/>
    </xf>
    <xf numFmtId="0" fontId="0" fillId="0" borderId="52" applyProtection="1" pivotButton="0" quotePrefix="0" xfId="0">
      <protection locked="0" hidden="0"/>
    </xf>
    <xf numFmtId="0" fontId="0" fillId="0" borderId="60" applyProtection="1" pivotButton="0" quotePrefix="0" xfId="0">
      <protection locked="0" hidden="0"/>
    </xf>
    <xf numFmtId="0" fontId="0" fillId="0" borderId="58" applyProtection="1" pivotButton="0" quotePrefix="0" xfId="0">
      <protection locked="0" hidden="0"/>
    </xf>
    <xf numFmtId="0" fontId="0" fillId="0" borderId="59" applyProtection="1" pivotButton="0" quotePrefix="0" xfId="0">
      <protection locked="0" hidden="0"/>
    </xf>
    <xf numFmtId="0" fontId="0" fillId="0" borderId="56" applyProtection="1" pivotButton="0" quotePrefix="0" xfId="0">
      <protection locked="0" hidden="0"/>
    </xf>
    <xf numFmtId="0" fontId="0" fillId="0" borderId="56" pivotButton="0" quotePrefix="0" xfId="0"/>
    <xf numFmtId="0" fontId="13" fillId="0" borderId="0" applyAlignment="1" applyProtection="1" pivotButton="0" quotePrefix="0" xfId="0">
      <alignment vertical="center" wrapText="1"/>
      <protection locked="0" hidden="0"/>
    </xf>
    <xf numFmtId="0" fontId="9" fillId="45" borderId="50" applyAlignment="1" pivotButton="0" quotePrefix="0" xfId="254">
      <alignment vertical="center"/>
    </xf>
    <xf numFmtId="0" fontId="173" fillId="44" borderId="50" applyAlignment="1" pivotButton="0" quotePrefix="0" xfId="0">
      <alignment vertical="center" wrapText="1"/>
    </xf>
    <xf numFmtId="0" fontId="69" fillId="45" borderId="50" applyAlignment="1" pivotButton="0" quotePrefix="0" xfId="254">
      <alignment vertical="center"/>
    </xf>
    <xf numFmtId="4" fontId="9" fillId="45" borderId="50" applyAlignment="1" pivotButton="0" quotePrefix="0" xfId="1">
      <alignment vertical="center"/>
    </xf>
    <xf numFmtId="4" fontId="9" fillId="47" borderId="50" applyAlignment="1" pivotButton="0" quotePrefix="0" xfId="1">
      <alignment vertical="center"/>
    </xf>
    <xf numFmtId="0" fontId="0" fillId="47" borderId="50" pivotButton="0" quotePrefix="0" xfId="0"/>
    <xf numFmtId="14" fontId="9" fillId="45" borderId="50" applyAlignment="1" pivotButton="0" quotePrefix="0" xfId="254">
      <alignment vertical="center"/>
    </xf>
    <xf numFmtId="4" fontId="9" fillId="45" borderId="50" applyAlignment="1" pivotButton="0" quotePrefix="0" xfId="254">
      <alignment horizontal="right" vertical="center"/>
    </xf>
    <xf numFmtId="10" fontId="9" fillId="45" borderId="50" applyAlignment="1" pivotButton="0" quotePrefix="0" xfId="200">
      <alignment horizontal="right" vertical="center"/>
    </xf>
    <xf numFmtId="4" fontId="9" fillId="47" borderId="50" applyAlignment="1" pivotButton="0" quotePrefix="0" xfId="1">
      <alignment horizontal="right" vertical="center"/>
    </xf>
    <xf numFmtId="4" fontId="9" fillId="47" borderId="50" applyAlignment="1" pivotButton="0" quotePrefix="0" xfId="254">
      <alignment horizontal="right" vertical="center"/>
    </xf>
    <xf numFmtId="0" fontId="7" fillId="0" borderId="20" applyAlignment="1" pivotButton="0" quotePrefix="0" xfId="254">
      <alignment vertical="center" wrapText="1"/>
    </xf>
    <xf numFmtId="164" fontId="9" fillId="45" borderId="50" applyAlignment="1" pivotButton="0" quotePrefix="0" xfId="1">
      <alignment vertical="center"/>
    </xf>
    <xf numFmtId="4" fontId="9" fillId="45" borderId="50" applyAlignment="1" pivotButton="0" quotePrefix="0" xfId="1">
      <alignment horizontal="center" vertical="center"/>
    </xf>
    <xf numFmtId="10" fontId="9" fillId="45" borderId="50" applyAlignment="1" pivotButton="0" quotePrefix="0" xfId="2">
      <alignment horizontal="right" vertical="center"/>
    </xf>
    <xf numFmtId="4" fontId="9" fillId="45" borderId="50" applyAlignment="1" pivotButton="0" quotePrefix="0" xfId="1">
      <alignment horizontal="right" vertical="center"/>
    </xf>
    <xf numFmtId="164" fontId="9" fillId="45" borderId="50" applyAlignment="1" pivotButton="0" quotePrefix="0" xfId="1">
      <alignment horizontal="center" vertical="center"/>
    </xf>
    <xf numFmtId="4" fontId="9" fillId="47" borderId="50" applyAlignment="1" pivotButton="0" quotePrefix="1" xfId="1">
      <alignment horizontal="right" vertical="center"/>
    </xf>
    <xf numFmtId="0" fontId="7" fillId="0" borderId="0" applyAlignment="1" pivotButton="0" quotePrefix="0" xfId="254">
      <alignment vertical="center" wrapText="1"/>
    </xf>
    <xf numFmtId="0" fontId="173" fillId="44" borderId="50" applyAlignment="1" pivotButton="0" quotePrefix="0" xfId="254">
      <alignment vertical="center" wrapText="1"/>
    </xf>
    <xf numFmtId="165" fontId="173" fillId="44" borderId="50" applyAlignment="1" pivotButton="0" quotePrefix="0" xfId="254">
      <alignment vertical="center" wrapText="1"/>
    </xf>
    <xf numFmtId="10" fontId="173" fillId="44" borderId="50" applyAlignment="1" pivotButton="0" quotePrefix="0" xfId="200">
      <alignment vertical="center" wrapText="1"/>
    </xf>
    <xf numFmtId="10" fontId="9" fillId="45" borderId="50" applyAlignment="1" pivotButton="0" quotePrefix="0" xfId="1">
      <alignment horizontal="right" vertical="center"/>
    </xf>
    <xf numFmtId="0" fontId="5" fillId="0" borderId="0" applyAlignment="1" pivotButton="0" quotePrefix="0" xfId="254">
      <alignment vertical="center" wrapText="1"/>
    </xf>
    <xf numFmtId="4" fontId="9" fillId="45" borderId="50" applyAlignment="1" pivotButton="0" quotePrefix="0" xfId="254">
      <alignment vertical="center"/>
    </xf>
    <xf numFmtId="4" fontId="9" fillId="47" borderId="50" applyAlignment="1" pivotButton="0" quotePrefix="0" xfId="254">
      <alignment vertical="center"/>
    </xf>
    <xf numFmtId="0" fontId="9" fillId="45" borderId="50" applyAlignment="1" pivotButton="0" quotePrefix="0" xfId="254">
      <alignment vertical="center" wrapText="1"/>
    </xf>
    <xf numFmtId="0" fontId="173" fillId="44" borderId="50" applyAlignment="1" applyProtection="1" pivotButton="0" quotePrefix="0" xfId="0">
      <alignment vertical="center" wrapText="1"/>
      <protection locked="0" hidden="0"/>
    </xf>
    <xf numFmtId="0" fontId="88" fillId="0" borderId="19" applyAlignment="1" pivotButton="0" quotePrefix="0" xfId="254">
      <alignment vertical="center" wrapText="1"/>
    </xf>
    <xf numFmtId="0" fontId="0" fillId="0" borderId="19" pivotButton="0" quotePrefix="0" xfId="0"/>
    <xf numFmtId="0" fontId="0" fillId="0" borderId="60" pivotButton="0" quotePrefix="0" xfId="0"/>
    <xf numFmtId="0" fontId="0" fillId="0" borderId="53" pivotButton="0" quotePrefix="0" xfId="0"/>
    <xf numFmtId="0" fontId="174" fillId="0" borderId="0" pivotButton="0" quotePrefix="0" xfId="0"/>
    <xf numFmtId="0" fontId="175" fillId="0" borderId="0" pivotButton="0" quotePrefix="0" xfId="0"/>
    <xf numFmtId="0" fontId="9" fillId="0" borderId="0" applyAlignment="1" pivotButton="0" quotePrefix="0" xfId="212">
      <alignment horizontal="left" vertical="center" wrapText="1"/>
    </xf>
    <xf numFmtId="0" fontId="13" fillId="0" borderId="0" applyAlignment="1" pivotButton="0" quotePrefix="0" xfId="212">
      <alignment horizontal="left" vertical="center" wrapText="1"/>
    </xf>
    <xf numFmtId="0" fontId="9" fillId="45" borderId="50" applyAlignment="1" pivotButton="0" quotePrefix="0" xfId="253">
      <alignment vertical="center"/>
    </xf>
    <xf numFmtId="10" fontId="9" fillId="45" borderId="50" applyAlignment="1" pivotButton="0" quotePrefix="0" xfId="253">
      <alignment vertical="center"/>
    </xf>
    <xf numFmtId="0" fontId="9" fillId="47" borderId="50" applyAlignment="1" pivotButton="0" quotePrefix="0" xfId="253">
      <alignment vertical="center"/>
    </xf>
    <xf numFmtId="4" fontId="9" fillId="45" borderId="50" applyAlignment="1" pivotButton="0" quotePrefix="0" xfId="253">
      <alignment vertical="center"/>
    </xf>
    <xf numFmtId="0" fontId="176" fillId="48" borderId="0" applyAlignment="1" pivotButton="0" quotePrefix="0" xfId="253">
      <alignment horizontal="left" vertical="center" wrapText="1"/>
    </xf>
    <xf numFmtId="0" fontId="173" fillId="44" borderId="50" applyAlignment="1" pivotButton="0" quotePrefix="0" xfId="253">
      <alignment horizontal="center" vertical="center" wrapText="1"/>
    </xf>
    <xf numFmtId="0" fontId="0" fillId="0" borderId="52" pivotButton="0" quotePrefix="0" xfId="0"/>
    <xf numFmtId="0" fontId="173" fillId="44" borderId="50" applyAlignment="1" applyProtection="1" pivotButton="0" quotePrefix="0" xfId="0">
      <alignment horizontal="center" vertical="center" wrapText="1"/>
      <protection locked="0" hidden="0"/>
    </xf>
    <xf numFmtId="0" fontId="173" fillId="44" borderId="50" applyAlignment="1" pivotButton="0" quotePrefix="0" xfId="0">
      <alignment horizontal="center" vertical="center" wrapText="1"/>
    </xf>
    <xf numFmtId="0" fontId="0" fillId="0" borderId="58" pivotButton="0" quotePrefix="0" xfId="0"/>
    <xf numFmtId="0" fontId="0" fillId="0" borderId="59" pivotButton="0" quotePrefix="0" xfId="0"/>
    <xf numFmtId="0" fontId="9" fillId="45" borderId="50" applyAlignment="1" pivotButton="0" quotePrefix="0" xfId="253">
      <alignment horizontal="left" vertical="center"/>
    </xf>
    <xf numFmtId="0" fontId="9" fillId="45" borderId="50" applyAlignment="1" pivotButton="0" quotePrefix="0" xfId="253">
      <alignment vertical="center" wrapText="1"/>
    </xf>
    <xf numFmtId="4" fontId="9" fillId="45" borderId="50" applyAlignment="1" pivotButton="0" quotePrefix="0" xfId="253">
      <alignment horizontal="center" vertical="center" wrapText="1"/>
    </xf>
    <xf numFmtId="0" fontId="9" fillId="45" borderId="50" applyAlignment="1" pivotButton="0" quotePrefix="0" xfId="253">
      <alignment horizontal="center" vertical="center" wrapText="1"/>
    </xf>
    <xf numFmtId="4" fontId="0" fillId="47" borderId="50" applyProtection="1" pivotButton="0" quotePrefix="0" xfId="0">
      <protection locked="0" hidden="0"/>
    </xf>
    <xf numFmtId="0" fontId="9" fillId="45" borderId="50" applyAlignment="1" pivotButton="0" quotePrefix="0" xfId="253">
      <alignment horizontal="center" vertical="center"/>
    </xf>
    <xf numFmtId="0" fontId="173" fillId="0" borderId="14" applyAlignment="1" pivotButton="0" quotePrefix="0" xfId="253">
      <alignment horizontal="center" vertical="center"/>
    </xf>
    <xf numFmtId="4" fontId="7" fillId="47" borderId="50" applyAlignment="1" pivotButton="0" quotePrefix="0" xfId="1">
      <alignment vertical="center"/>
    </xf>
    <xf numFmtId="0" fontId="176" fillId="48" borderId="0" applyAlignment="1" pivotButton="0" quotePrefix="0" xfId="253">
      <alignment vertical="center"/>
    </xf>
    <xf numFmtId="0" fontId="88" fillId="47" borderId="50" applyAlignment="1" applyProtection="1" pivotButton="0" quotePrefix="0" xfId="0">
      <alignment vertical="center"/>
      <protection locked="0" hidden="0"/>
    </xf>
    <xf numFmtId="4" fontId="80" fillId="47" borderId="50" applyAlignment="1" applyProtection="1" pivotButton="0" quotePrefix="0" xfId="0">
      <alignment vertical="center"/>
      <protection locked="0" hidden="0"/>
    </xf>
    <xf numFmtId="4" fontId="82" fillId="47" borderId="50" applyAlignment="1" pivotButton="0" quotePrefix="0" xfId="253">
      <alignment vertical="center"/>
    </xf>
    <xf numFmtId="0" fontId="82" fillId="47" borderId="50" applyAlignment="1" pivotButton="0" quotePrefix="0" xfId="253">
      <alignment vertical="center"/>
    </xf>
    <xf numFmtId="0" fontId="88" fillId="47" borderId="50" applyAlignment="1" pivotButton="0" quotePrefix="0" xfId="253">
      <alignment vertical="center"/>
    </xf>
    <xf numFmtId="0" fontId="173" fillId="38" borderId="0" applyAlignment="1" applyProtection="1" pivotButton="0" quotePrefix="0" xfId="0">
      <alignment vertical="center"/>
      <protection locked="0" hidden="0"/>
    </xf>
    <xf numFmtId="0" fontId="80" fillId="38" borderId="0" applyAlignment="1" applyProtection="1" pivotButton="0" quotePrefix="0" xfId="0">
      <alignment horizontal="left" vertical="center" wrapText="1"/>
      <protection locked="0" hidden="0"/>
    </xf>
    <xf numFmtId="0" fontId="88" fillId="0" borderId="0" applyAlignment="1" pivotButton="0" quotePrefix="0" xfId="253">
      <alignment horizontal="left" vertical="center" wrapText="1"/>
    </xf>
    <xf numFmtId="0" fontId="0" fillId="0" borderId="0" applyAlignment="1" pivotButton="0" quotePrefix="0" xfId="0">
      <alignment horizontal="left" vertical="center" wrapText="1"/>
    </xf>
    <xf numFmtId="0" fontId="0" fillId="0" borderId="0" applyAlignment="1" applyProtection="1" pivotButton="0" quotePrefix="0" xfId="0">
      <alignment horizontal="left" vertical="center" wrapText="1"/>
      <protection locked="0" hidden="0"/>
    </xf>
    <xf numFmtId="0" fontId="173" fillId="0" borderId="0" pivotButton="0" quotePrefix="0" xfId="0"/>
    <xf numFmtId="0" fontId="168" fillId="46" borderId="50" applyProtection="1" pivotButton="0" quotePrefix="0" xfId="0">
      <protection locked="0" hidden="0"/>
    </xf>
    <xf numFmtId="0" fontId="170" fillId="46" borderId="50" applyProtection="1" pivotButton="0" quotePrefix="0" xfId="2">
      <protection locked="0" hidden="0"/>
    </xf>
    <xf numFmtId="0" fontId="170" fillId="46" borderId="50" applyProtection="1" pivotButton="0" quotePrefix="0" xfId="0">
      <protection locked="0" hidden="0"/>
    </xf>
    <xf numFmtId="0" fontId="170" fillId="46" borderId="50" pivotButton="0" quotePrefix="0" xfId="0"/>
    <xf numFmtId="0" fontId="170" fillId="45" borderId="50" applyProtection="1" pivotButton="0" quotePrefix="0" xfId="0">
      <protection locked="0" hidden="0"/>
    </xf>
    <xf numFmtId="10" fontId="170" fillId="45" borderId="50" applyProtection="1" pivotButton="0" quotePrefix="0" xfId="2">
      <protection locked="0" hidden="0"/>
    </xf>
    <xf numFmtId="4" fontId="170" fillId="45" borderId="50" applyProtection="1" pivotButton="0" quotePrefix="0" xfId="0">
      <protection locked="0" hidden="0"/>
    </xf>
    <xf numFmtId="4" fontId="170" fillId="47" borderId="50" applyProtection="1" pivotButton="0" quotePrefix="0" xfId="0">
      <protection locked="0" hidden="0"/>
    </xf>
    <xf numFmtId="4" fontId="170" fillId="47" borderId="50" pivotButton="0" quotePrefix="0" xfId="0"/>
    <xf numFmtId="0" fontId="170" fillId="45" borderId="50" pivotButton="0" quotePrefix="0" xfId="0"/>
    <xf numFmtId="4" fontId="170" fillId="45" borderId="50" pivotButton="0" quotePrefix="0" xfId="0"/>
    <xf numFmtId="0" fontId="170" fillId="47" borderId="50" applyAlignment="1" pivotButton="0" quotePrefix="0" xfId="0">
      <alignment horizontal="left" vertical="center" wrapText="1"/>
    </xf>
    <xf numFmtId="10" fontId="170" fillId="45" borderId="50" applyProtection="1" pivotButton="0" quotePrefix="1" xfId="2">
      <protection locked="0" hidden="0"/>
    </xf>
    <xf numFmtId="4" fontId="170" fillId="47" borderId="50" applyProtection="1" pivotButton="0" quotePrefix="1" xfId="0">
      <protection locked="0" hidden="0"/>
    </xf>
    <xf numFmtId="0" fontId="168" fillId="48" borderId="50" applyProtection="1" pivotButton="0" quotePrefix="0" xfId="0">
      <protection locked="0" hidden="0"/>
    </xf>
    <xf numFmtId="0" fontId="168" fillId="48" borderId="50" applyProtection="1" pivotButton="0" quotePrefix="0" xfId="2">
      <protection locked="0" hidden="0"/>
    </xf>
    <xf numFmtId="4" fontId="168" fillId="48" borderId="50" applyProtection="1" pivotButton="0" quotePrefix="0" xfId="0">
      <protection locked="0" hidden="0"/>
    </xf>
    <xf numFmtId="10" fontId="170" fillId="45" borderId="50" applyProtection="1" pivotButton="0" quotePrefix="0" xfId="0">
      <protection locked="0" hidden="0"/>
    </xf>
    <xf numFmtId="10" fontId="170" fillId="45" borderId="50" pivotButton="0" quotePrefix="0" xfId="0"/>
    <xf numFmtId="0" fontId="177" fillId="49" borderId="61" applyAlignment="1" applyProtection="1" pivotButton="0" quotePrefix="0" xfId="0">
      <alignment horizontal="left" vertical="center" wrapText="1"/>
      <protection locked="0" hidden="0"/>
    </xf>
    <xf numFmtId="0" fontId="168" fillId="0" borderId="61" applyProtection="1" pivotButton="0" quotePrefix="0" xfId="0">
      <protection locked="0" hidden="0"/>
    </xf>
    <xf numFmtId="0" fontId="170" fillId="0" borderId="61" applyProtection="1" pivotButton="0" quotePrefix="0" xfId="0">
      <protection locked="0" hidden="0"/>
    </xf>
    <xf numFmtId="0" fontId="170" fillId="0" borderId="61" pivotButton="0" quotePrefix="0" xfId="0"/>
    <xf numFmtId="0" fontId="170" fillId="45" borderId="61" applyAlignment="1" applyProtection="1" pivotButton="0" quotePrefix="0" xfId="0">
      <alignment horizontal="left" vertical="center" wrapText="1"/>
      <protection locked="0" hidden="0"/>
    </xf>
    <xf numFmtId="0" fontId="170" fillId="45" borderId="61" pivotButton="0" quotePrefix="0" xfId="0"/>
    <xf numFmtId="0" fontId="170" fillId="0" borderId="61" applyAlignment="1" applyProtection="1" pivotButton="0" quotePrefix="0" xfId="0">
      <alignment horizontal="left" vertical="center" wrapText="1"/>
      <protection locked="0" hidden="0"/>
    </xf>
    <xf numFmtId="0" fontId="168" fillId="0" borderId="61" applyAlignment="1" applyProtection="1" pivotButton="0" quotePrefix="0" xfId="0">
      <alignment horizontal="left" vertical="center" wrapText="1"/>
      <protection locked="0" hidden="0"/>
    </xf>
    <xf numFmtId="0" fontId="171" fillId="0" borderId="61" applyAlignment="1" applyProtection="1" pivotButton="0" quotePrefix="0" xfId="0">
      <alignment horizontal="left" vertical="center" wrapText="1"/>
      <protection locked="0" hidden="0"/>
    </xf>
    <xf numFmtId="0" fontId="171" fillId="0" borderId="61" applyAlignment="1" pivotButton="0" quotePrefix="0" xfId="0">
      <alignment horizontal="left" vertical="center" wrapText="1"/>
    </xf>
    <xf numFmtId="0" fontId="177" fillId="49" borderId="62" applyAlignment="1" applyProtection="1" pivotButton="0" quotePrefix="0" xfId="0">
      <alignment horizontal="left" vertical="center" wrapText="1"/>
      <protection locked="0" hidden="0"/>
    </xf>
    <xf numFmtId="0" fontId="170" fillId="45" borderId="62" applyAlignment="1" applyProtection="1" pivotButton="0" quotePrefix="0" xfId="0">
      <alignment horizontal="left" vertical="center" wrapText="1"/>
      <protection locked="0" hidden="0"/>
    </xf>
    <xf numFmtId="0" fontId="170" fillId="0" borderId="62" applyAlignment="1" applyProtection="1" pivotButton="0" quotePrefix="0" xfId="0">
      <alignment horizontal="left" vertical="center" wrapText="1"/>
      <protection locked="0" hidden="0"/>
    </xf>
    <xf numFmtId="0" fontId="168" fillId="0" borderId="62" applyAlignment="1" applyProtection="1" pivotButton="0" quotePrefix="0" xfId="0">
      <alignment horizontal="left" vertical="center" wrapText="1"/>
      <protection locked="0" hidden="0"/>
    </xf>
    <xf numFmtId="0" fontId="171" fillId="0" borderId="62" applyAlignment="1" applyProtection="1" pivotButton="0" quotePrefix="0" xfId="0">
      <alignment horizontal="left" vertical="center" wrapText="1"/>
      <protection locked="0" hidden="0"/>
    </xf>
    <xf numFmtId="0" fontId="170" fillId="47" borderId="50" applyProtection="1" pivotButton="0" quotePrefix="0" xfId="0">
      <protection locked="0" hidden="0"/>
    </xf>
    <xf numFmtId="10" fontId="170" fillId="47" borderId="50" applyProtection="1" pivotButton="0" quotePrefix="0" xfId="2">
      <protection locked="0" hidden="0"/>
    </xf>
    <xf numFmtId="0" fontId="170" fillId="0" borderId="61" pivotButton="0" quotePrefix="0" xfId="254"/>
    <xf numFmtId="4" fontId="170" fillId="45" borderId="50" pivotButton="0" quotePrefix="0" xfId="381"/>
    <xf numFmtId="4" fontId="170" fillId="47" borderId="50" pivotButton="0" quotePrefix="0" xfId="381"/>
    <xf numFmtId="0" fontId="170" fillId="47" borderId="50" pivotButton="0" quotePrefix="0" xfId="0"/>
    <xf numFmtId="10" fontId="170" fillId="47" borderId="50" pivotButton="0" quotePrefix="0" xfId="0"/>
    <xf numFmtId="10" fontId="170" fillId="47" borderId="50" applyProtection="1" pivotButton="0" quotePrefix="0" xfId="0">
      <protection locked="0" hidden="0"/>
    </xf>
    <xf numFmtId="0" fontId="178" fillId="48" borderId="50" pivotButton="0" quotePrefix="0" xfId="0"/>
    <xf numFmtId="4" fontId="168" fillId="48" borderId="50" pivotButton="0" quotePrefix="0" xfId="381"/>
    <xf numFmtId="4" fontId="168" fillId="48" borderId="50" pivotButton="0" quotePrefix="0" xfId="254"/>
    <xf numFmtId="0" fontId="168" fillId="0" borderId="61" pivotButton="0" quotePrefix="0" xfId="0"/>
    <xf numFmtId="0" fontId="170" fillId="0" borderId="61" pivotButton="0" quotePrefix="0" xfId="381"/>
    <xf numFmtId="0" fontId="168" fillId="46" borderId="61" applyProtection="1" pivotButton="0" quotePrefix="0" xfId="0">
      <protection locked="0" hidden="0"/>
    </xf>
    <xf numFmtId="0" fontId="168" fillId="46" borderId="61" applyProtection="1" pivotButton="0" quotePrefix="0" xfId="2">
      <protection locked="0" hidden="0"/>
    </xf>
    <xf numFmtId="0" fontId="168" fillId="46" borderId="61" pivotButton="0" quotePrefix="0" xfId="381"/>
    <xf numFmtId="0" fontId="168" fillId="46" borderId="61" pivotButton="0" quotePrefix="0" xfId="254"/>
    <xf numFmtId="0" fontId="174" fillId="46" borderId="61" pivotButton="0" quotePrefix="0" xfId="0"/>
    <xf numFmtId="0" fontId="170" fillId="47" borderId="50" pivotButton="0" quotePrefix="0" xfId="254"/>
    <xf numFmtId="4" fontId="170" fillId="47" borderId="50" pivotButton="0" quotePrefix="0" xfId="254"/>
    <xf numFmtId="4" fontId="170" fillId="45" borderId="50" pivotButton="0" quotePrefix="0" xfId="254"/>
    <xf numFmtId="4" fontId="170" fillId="47" borderId="50" pivotButton="0" quotePrefix="0" xfId="1"/>
    <xf numFmtId="4" fontId="170" fillId="45" borderId="50" pivotButton="0" quotePrefix="0" xfId="1"/>
    <xf numFmtId="0" fontId="168" fillId="48" borderId="50" pivotButton="0" quotePrefix="0" xfId="254"/>
    <xf numFmtId="4" fontId="168" fillId="48" borderId="50" pivotButton="0" quotePrefix="0" xfId="1"/>
    <xf numFmtId="0" fontId="8" fillId="0" borderId="0" pivotButton="0" quotePrefix="0" xfId="254"/>
    <xf numFmtId="0" fontId="8" fillId="0" borderId="0" pivotButton="0" quotePrefix="0" xfId="1"/>
    <xf numFmtId="0" fontId="8" fillId="0" borderId="0" pivotButton="0" quotePrefix="0" xfId="0"/>
    <xf numFmtId="0" fontId="9" fillId="13" borderId="14" applyAlignment="1" pivotButton="0" quotePrefix="0" xfId="1">
      <alignment vertical="center" wrapText="1"/>
    </xf>
    <xf numFmtId="0" fontId="9" fillId="36" borderId="24" applyAlignment="1" pivotButton="0" quotePrefix="0" xfId="1">
      <alignment vertical="center"/>
    </xf>
    <xf numFmtId="0" fontId="9" fillId="36" borderId="23" applyAlignment="1" pivotButton="0" quotePrefix="0" xfId="1">
      <alignment vertical="center" wrapText="1"/>
    </xf>
    <xf numFmtId="0" fontId="9" fillId="0" borderId="0" applyAlignment="1" pivotButton="0" quotePrefix="0" xfId="1">
      <alignment vertical="center"/>
    </xf>
    <xf numFmtId="0" fontId="9" fillId="0" borderId="0" applyAlignment="1" pivotButton="0" quotePrefix="0" xfId="1">
      <alignment vertical="center" wrapText="1"/>
    </xf>
    <xf numFmtId="164" fontId="9" fillId="0" borderId="14" applyAlignment="1" pivotButton="0" quotePrefix="0" xfId="2">
      <alignment vertical="center"/>
    </xf>
    <xf numFmtId="164" fontId="9" fillId="0" borderId="24" applyAlignment="1" pivotButton="0" quotePrefix="0" xfId="2">
      <alignment vertical="center"/>
    </xf>
    <xf numFmtId="164" fontId="9" fillId="0" borderId="0" applyAlignment="1" pivotButton="0" quotePrefix="0" xfId="2">
      <alignment vertical="center"/>
    </xf>
    <xf numFmtId="164" fontId="9" fillId="0" borderId="14" applyAlignment="1" pivotButton="0" quotePrefix="0" xfId="0">
      <alignment vertical="center"/>
    </xf>
    <xf numFmtId="164" fontId="9" fillId="0" borderId="24" applyAlignment="1" pivotButton="0" quotePrefix="0" xfId="254">
      <alignment vertical="center"/>
    </xf>
    <xf numFmtId="164" fontId="9" fillId="36" borderId="23" applyAlignment="1" pivotButton="0" quotePrefix="0" xfId="254">
      <alignment vertical="center"/>
    </xf>
    <xf numFmtId="0" fontId="8" fillId="0" borderId="18" pivotButton="0" quotePrefix="0" xfId="0"/>
    <xf numFmtId="164" fontId="9" fillId="36" borderId="24" applyAlignment="1" pivotButton="0" quotePrefix="0" xfId="0">
      <alignment vertical="center"/>
    </xf>
    <xf numFmtId="164" fontId="9" fillId="36" borderId="23" applyAlignment="1" pivotButton="0" quotePrefix="0" xfId="0">
      <alignment vertical="center"/>
    </xf>
    <xf numFmtId="164" fontId="9" fillId="0" borderId="0" applyAlignment="1" pivotButton="0" quotePrefix="0" xfId="0">
      <alignment vertical="center"/>
    </xf>
    <xf numFmtId="0" fontId="7" fillId="0" borderId="16" applyAlignment="1" applyProtection="1" pivotButton="0" quotePrefix="0" xfId="0">
      <alignment vertical="center"/>
      <protection locked="0" hidden="0"/>
    </xf>
    <xf numFmtId="164" fontId="9" fillId="0" borderId="24" applyAlignment="1" pivotButton="0" quotePrefix="0" xfId="0">
      <alignment vertical="center"/>
    </xf>
    <xf numFmtId="0" fontId="9" fillId="0" borderId="0" applyAlignment="1" pivotButton="0" quotePrefix="0" xfId="0">
      <alignment vertical="center" wrapText="1"/>
    </xf>
    <xf numFmtId="0" fontId="9" fillId="0" borderId="14" applyAlignment="1" applyProtection="1" pivotButton="0" quotePrefix="0" xfId="0">
      <alignment horizontal="left" vertical="center"/>
      <protection locked="0" hidden="0"/>
    </xf>
    <xf numFmtId="0" fontId="8" fillId="0" borderId="0" applyProtection="1" pivotButton="0" quotePrefix="0" xfId="0">
      <protection locked="0" hidden="0"/>
    </xf>
    <xf numFmtId="0" fontId="7" fillId="0" borderId="16" applyAlignment="1" applyProtection="1" pivotButton="0" quotePrefix="0" xfId="0">
      <alignment horizontal="left" vertical="center"/>
      <protection locked="0" hidden="0"/>
    </xf>
    <xf numFmtId="0" fontId="9" fillId="0" borderId="18" applyAlignment="1" pivotButton="0" quotePrefix="0" xfId="0">
      <alignment horizontal="left" vertical="center"/>
    </xf>
    <xf numFmtId="0" fontId="9" fillId="0" borderId="14" applyAlignment="1" applyProtection="1" pivotButton="0" quotePrefix="0" xfId="0">
      <alignment horizontal="center" vertical="center"/>
      <protection locked="0" hidden="0"/>
    </xf>
    <xf numFmtId="0" fontId="9" fillId="0" borderId="14" applyAlignment="1" pivotButton="0" quotePrefix="0" xfId="0">
      <alignment horizontal="left" vertical="center"/>
    </xf>
    <xf numFmtId="9" fontId="9" fillId="0" borderId="24" applyAlignment="1" pivotButton="0" quotePrefix="0" xfId="0">
      <alignment vertical="center"/>
    </xf>
    <xf numFmtId="9" fontId="9" fillId="0" borderId="0" applyAlignment="1" pivotButton="0" quotePrefix="0" xfId="0">
      <alignment vertical="center"/>
    </xf>
    <xf numFmtId="10" fontId="170" fillId="47" borderId="50" applyProtection="1" pivotButton="0" quotePrefix="1" xfId="2">
      <protection locked="0" hidden="0"/>
    </xf>
    <xf numFmtId="0" fontId="179" fillId="0" borderId="0" applyAlignment="1" pivotButton="0" quotePrefix="0" xfId="244">
      <alignment horizontal="center"/>
    </xf>
    <xf numFmtId="0" fontId="180" fillId="0" borderId="0" applyAlignment="1" pivotButton="0" quotePrefix="0" xfId="244">
      <alignment horizontal="center"/>
    </xf>
    <xf numFmtId="0" fontId="176" fillId="48" borderId="14" applyAlignment="1" pivotButton="0" quotePrefix="0" xfId="0">
      <alignment horizontal="left" vertical="center" wrapText="1"/>
    </xf>
    <xf numFmtId="0" fontId="9" fillId="45" borderId="50" applyAlignment="1" pivotButton="0" quotePrefix="0" xfId="0">
      <alignment horizontal="left" vertical="center" wrapText="1"/>
    </xf>
    <xf numFmtId="0" fontId="0" fillId="45" borderId="50" applyAlignment="1" pivotButton="0" quotePrefix="0" xfId="0">
      <alignment horizontal="left" vertical="center" wrapText="1"/>
    </xf>
    <xf numFmtId="0" fontId="9" fillId="0" borderId="50" applyAlignment="1" pivotButton="0" quotePrefix="0" xfId="0">
      <alignment horizontal="left" vertical="center" wrapText="1"/>
    </xf>
    <xf numFmtId="0" fontId="5" fillId="36" borderId="50" applyAlignment="1" pivotButton="0" quotePrefix="0" xfId="0">
      <alignment horizontal="left" vertical="center" wrapText="1"/>
    </xf>
    <xf numFmtId="0" fontId="7" fillId="0" borderId="50" applyAlignment="1" pivotButton="0" quotePrefix="0" xfId="0">
      <alignment horizontal="left" vertical="center" wrapText="1"/>
    </xf>
    <xf numFmtId="0" fontId="173" fillId="44" borderId="50" applyAlignment="1" applyProtection="1" pivotButton="0" quotePrefix="0" xfId="207">
      <alignment horizontal="center" vertical="center"/>
      <protection locked="0" hidden="0"/>
    </xf>
    <xf numFmtId="0" fontId="9" fillId="47" borderId="50" applyAlignment="1" pivotButton="0" quotePrefix="0" xfId="0">
      <alignment vertical="center"/>
    </xf>
    <xf numFmtId="0" fontId="9" fillId="0" borderId="50" applyAlignment="1" applyProtection="1" pivotButton="0" quotePrefix="0" xfId="207">
      <alignment horizontal="center" vertical="center"/>
      <protection locked="0" hidden="0"/>
    </xf>
    <xf numFmtId="0" fontId="176" fillId="48" borderId="0" applyAlignment="1" pivotButton="0" quotePrefix="0" xfId="0">
      <alignment horizontal="left" vertical="center" wrapText="1"/>
    </xf>
    <xf numFmtId="164" fontId="9" fillId="0" borderId="50" applyAlignment="1" pivotButton="0" quotePrefix="0" xfId="1">
      <alignment horizontal="left" vertical="center" wrapText="1"/>
    </xf>
    <xf numFmtId="164" fontId="9" fillId="45" borderId="50" applyAlignment="1" pivotButton="0" quotePrefix="0" xfId="1">
      <alignment horizontal="left" vertical="center" wrapText="1"/>
    </xf>
    <xf numFmtId="0" fontId="9" fillId="45" borderId="50" applyAlignment="1" applyProtection="1" pivotButton="0" quotePrefix="0" xfId="0">
      <alignment horizontal="left" vertical="center" wrapText="1"/>
      <protection locked="0" hidden="0"/>
    </xf>
    <xf numFmtId="4" fontId="0" fillId="45" borderId="50" applyAlignment="1" pivotButton="0" quotePrefix="0" xfId="0">
      <alignment vertical="center"/>
    </xf>
    <xf numFmtId="10" fontId="0" fillId="45" borderId="50" applyAlignment="1" pivotButton="0" quotePrefix="0" xfId="0">
      <alignment vertical="center"/>
    </xf>
    <xf numFmtId="0" fontId="176" fillId="48" borderId="0" pivotButton="0" quotePrefix="0" xfId="0"/>
    <xf numFmtId="10" fontId="0" fillId="47" borderId="50" pivotButton="0" quotePrefix="0" xfId="0"/>
    <xf numFmtId="0" fontId="174" fillId="44" borderId="50" applyAlignment="1" applyProtection="1" pivotButton="0" quotePrefix="0" xfId="0">
      <alignment horizontal="center" vertical="center" wrapText="1"/>
      <protection locked="0" hidden="0"/>
    </xf>
    <xf numFmtId="0" fontId="170" fillId="44" borderId="50" pivotButton="0" quotePrefix="0" xfId="0"/>
    <xf numFmtId="0" fontId="174" fillId="44" borderId="50" applyAlignment="1" pivotButton="0" quotePrefix="0" xfId="0">
      <alignment horizontal="center" vertical="center" wrapText="1"/>
    </xf>
    <xf numFmtId="0" fontId="169" fillId="44" borderId="50" pivotButton="0" quotePrefix="0" xfId="0"/>
    <xf numFmtId="0" fontId="168" fillId="48" borderId="50" applyAlignment="1" pivotButton="0" quotePrefix="0" xfId="0">
      <alignment horizontal="left" vertical="center" wrapText="1"/>
    </xf>
    <xf numFmtId="4" fontId="9" fillId="47" borderId="14" applyAlignment="1" pivotButton="0" quotePrefix="0" xfId="0">
      <alignment vertical="center"/>
    </xf>
    <xf numFmtId="4" fontId="9" fillId="47" borderId="50" applyAlignment="1" pivotButton="0" quotePrefix="0" xfId="0">
      <alignment vertical="center"/>
    </xf>
    <xf numFmtId="4" fontId="9" fillId="47" borderId="24" applyAlignment="1" pivotButton="0" quotePrefix="0" xfId="0">
      <alignment vertical="center"/>
    </xf>
    <xf numFmtId="4" fontId="9" fillId="47" borderId="23" applyAlignment="1" pivotButton="0" quotePrefix="0" xfId="0">
      <alignment vertical="center"/>
    </xf>
    <xf numFmtId="10" fontId="9" fillId="47" borderId="50" applyAlignment="1" pivotButton="0" quotePrefix="0" xfId="253">
      <alignment vertical="center"/>
    </xf>
    <xf numFmtId="0" fontId="9" fillId="47" borderId="50" applyAlignment="1" pivotButton="0" quotePrefix="0" xfId="253">
      <alignment horizontal="left" vertical="center" wrapText="1"/>
    </xf>
    <xf numFmtId="0" fontId="168" fillId="48" borderId="0" applyAlignment="1" pivotButton="0" quotePrefix="0" xfId="253">
      <alignment vertical="center"/>
    </xf>
    <xf numFmtId="0" fontId="173" fillId="0" borderId="0" applyAlignment="1" pivotButton="0" quotePrefix="0" xfId="384">
      <alignment horizontal="left" vertical="center"/>
    </xf>
    <xf numFmtId="0" fontId="9" fillId="0" borderId="0" applyAlignment="1" pivotButton="0" quotePrefix="0" xfId="384">
      <alignment horizontal="left" vertical="center" wrapText="1"/>
    </xf>
    <xf numFmtId="0" fontId="176" fillId="48" borderId="0" applyAlignment="1" pivotButton="0" quotePrefix="0" xfId="384">
      <alignment horizontal="left" vertical="center" wrapText="1"/>
    </xf>
    <xf numFmtId="0" fontId="173" fillId="44" borderId="50" applyAlignment="1" pivotButton="0" quotePrefix="0" xfId="384">
      <alignment horizontal="center" vertical="center" wrapText="1"/>
    </xf>
    <xf numFmtId="0" fontId="173" fillId="44" borderId="50" applyAlignment="1" applyProtection="1" pivotButton="0" quotePrefix="0" xfId="328">
      <alignment horizontal="center" vertical="center" wrapText="1"/>
      <protection locked="0" hidden="0"/>
    </xf>
    <xf numFmtId="0" fontId="88" fillId="45" borderId="50" applyAlignment="1" pivotButton="0" quotePrefix="0" xfId="384">
      <alignment horizontal="left" vertical="center"/>
    </xf>
    <xf numFmtId="4" fontId="140" fillId="47" borderId="50" applyProtection="1" pivotButton="0" quotePrefix="0" xfId="328">
      <protection locked="0" hidden="0"/>
    </xf>
    <xf numFmtId="0" fontId="13" fillId="45" borderId="50" applyAlignment="1" pivotButton="0" quotePrefix="0" xfId="384">
      <alignment horizontal="left" vertical="center"/>
    </xf>
    <xf numFmtId="4" fontId="88" fillId="47" borderId="50" applyAlignment="1" pivotButton="0" quotePrefix="0" xfId="384">
      <alignment horizontal="left" vertical="center"/>
    </xf>
    <xf numFmtId="0" fontId="140" fillId="45" borderId="50" applyProtection="1" pivotButton="0" quotePrefix="0" xfId="328">
      <protection locked="0" hidden="0"/>
    </xf>
    <xf numFmtId="0" fontId="88" fillId="0" borderId="50" applyAlignment="1" pivotButton="0" quotePrefix="0" xfId="384">
      <alignment horizontal="left" vertical="center"/>
    </xf>
    <xf numFmtId="4" fontId="88" fillId="45" borderId="50" applyAlignment="1" pivotButton="0" quotePrefix="0" xfId="384">
      <alignment horizontal="left" vertical="center"/>
    </xf>
    <xf numFmtId="0" fontId="88" fillId="0" borderId="0" applyAlignment="1" pivotButton="0" quotePrefix="0" xfId="384">
      <alignment horizontal="left" vertical="center" wrapText="1"/>
    </xf>
    <xf numFmtId="4" fontId="9" fillId="45" borderId="50" applyAlignment="1" pivotButton="0" quotePrefix="0" xfId="384">
      <alignment vertical="center"/>
    </xf>
    <xf numFmtId="4" fontId="140" fillId="45" borderId="50" applyProtection="1" pivotButton="0" quotePrefix="0" xfId="328">
      <protection locked="0" hidden="0"/>
    </xf>
    <xf numFmtId="4" fontId="7" fillId="45" borderId="50" applyAlignment="1" pivotButton="0" quotePrefix="0" xfId="384">
      <alignment horizontal="left" vertical="center"/>
    </xf>
    <xf numFmtId="0" fontId="7" fillId="0" borderId="0" applyAlignment="1" pivotButton="0" quotePrefix="0" xfId="384">
      <alignment horizontal="left" vertical="center" wrapText="1"/>
    </xf>
    <xf numFmtId="0" fontId="9" fillId="45" borderId="50" applyAlignment="1" pivotButton="0" quotePrefix="0" xfId="384">
      <alignment vertical="center"/>
    </xf>
    <xf numFmtId="4" fontId="18" fillId="47" borderId="50" applyAlignment="1" applyProtection="1" pivotButton="0" quotePrefix="0" xfId="384">
      <alignment horizontal="center" vertical="center"/>
      <protection locked="1" hidden="1"/>
    </xf>
    <xf numFmtId="4" fontId="18" fillId="47" borderId="50" applyAlignment="1" applyProtection="1" pivotButton="0" quotePrefix="0" xfId="384">
      <alignment horizontal="left" vertical="center"/>
      <protection locked="0" hidden="0"/>
    </xf>
    <xf numFmtId="0" fontId="18" fillId="47" borderId="50" applyAlignment="1" applyProtection="1" pivotButton="0" quotePrefix="0" xfId="384">
      <alignment horizontal="left" vertical="center"/>
      <protection locked="0" hidden="0"/>
    </xf>
    <xf numFmtId="0" fontId="9" fillId="0" borderId="50" applyAlignment="1" applyProtection="1" pivotButton="0" quotePrefix="0" xfId="384">
      <alignment vertical="center"/>
      <protection locked="0" hidden="0"/>
    </xf>
    <xf numFmtId="4" fontId="9" fillId="45" borderId="50" applyAlignment="1" applyProtection="1" pivotButton="0" quotePrefix="0" xfId="384">
      <alignment vertical="center"/>
      <protection locked="0" hidden="0"/>
    </xf>
    <xf numFmtId="0" fontId="9" fillId="0" borderId="0" applyAlignment="1" applyProtection="1" pivotButton="0" quotePrefix="0" xfId="384">
      <alignment horizontal="left" vertical="center" wrapText="1"/>
      <protection locked="0" hidden="0"/>
    </xf>
    <xf numFmtId="0" fontId="9" fillId="45" borderId="50" applyAlignment="1" applyProtection="1" pivotButton="0" quotePrefix="0" xfId="384">
      <alignment vertical="center"/>
      <protection locked="0" hidden="0"/>
    </xf>
    <xf numFmtId="0" fontId="18" fillId="45" borderId="50" applyAlignment="1" applyProtection="1" pivotButton="0" quotePrefix="0" xfId="384">
      <alignment horizontal="center" vertical="center"/>
      <protection locked="1" hidden="1"/>
    </xf>
    <xf numFmtId="4" fontId="18" fillId="45" borderId="50" applyAlignment="1" applyProtection="1" pivotButton="0" quotePrefix="0" xfId="384">
      <alignment horizontal="center" vertical="center"/>
      <protection locked="1" hidden="1"/>
    </xf>
    <xf numFmtId="0" fontId="9" fillId="45" borderId="50" applyAlignment="1" applyProtection="1" pivotButton="0" quotePrefix="0" xfId="384">
      <alignment horizontal="left" vertical="center"/>
      <protection locked="1" hidden="1"/>
    </xf>
    <xf numFmtId="4" fontId="18" fillId="45" borderId="50" applyAlignment="1" applyProtection="1" pivotButton="0" quotePrefix="0" xfId="384">
      <alignment horizontal="left" vertical="center"/>
      <protection locked="0" hidden="0"/>
    </xf>
    <xf numFmtId="0" fontId="18" fillId="45" borderId="50" applyAlignment="1" applyProtection="1" pivotButton="0" quotePrefix="0" xfId="384">
      <alignment horizontal="left" vertical="center"/>
      <protection locked="0" hidden="0"/>
    </xf>
    <xf numFmtId="2" fontId="9" fillId="45" borderId="50" applyAlignment="1" applyProtection="1" pivotButton="0" quotePrefix="0" xfId="384">
      <alignment vertical="center"/>
      <protection locked="0" hidden="0"/>
    </xf>
    <xf numFmtId="0" fontId="0" fillId="0" borderId="50" pivotButton="0" quotePrefix="0" xfId="0"/>
    <xf numFmtId="0" fontId="162" fillId="40" borderId="50" applyAlignment="1" pivotButton="0" quotePrefix="0" xfId="386">
      <alignment horizontal="center" vertical="center" wrapText="1"/>
    </xf>
    <xf numFmtId="4" fontId="7" fillId="45" borderId="50" applyAlignment="1" applyProtection="1" pivotButton="0" quotePrefix="0" xfId="387">
      <alignment horizontal="center" vertical="center"/>
      <protection locked="0" hidden="0"/>
    </xf>
    <xf numFmtId="0" fontId="7" fillId="47" borderId="50" applyAlignment="1" applyProtection="1" pivotButton="0" quotePrefix="0" xfId="387">
      <alignment horizontal="center" vertical="center"/>
      <protection locked="0" hidden="0"/>
    </xf>
    <xf numFmtId="168" fontId="9" fillId="45" borderId="50" applyAlignment="1" applyProtection="1" pivotButton="0" quotePrefix="0" xfId="387">
      <alignment horizontal="center" vertical="center"/>
      <protection locked="0" hidden="0"/>
    </xf>
    <xf numFmtId="168" fontId="9" fillId="47" borderId="50" applyAlignment="1" applyProtection="1" pivotButton="0" quotePrefix="0" xfId="387">
      <alignment horizontal="center" vertical="center"/>
      <protection locked="0" hidden="0"/>
    </xf>
    <xf numFmtId="14" fontId="176" fillId="48" borderId="23" applyAlignment="1" applyProtection="1" pivotButton="0" quotePrefix="0" xfId="328">
      <alignment horizontal="left" vertical="center" wrapText="1"/>
      <protection locked="0" hidden="0"/>
    </xf>
    <xf numFmtId="14" fontId="9" fillId="0" borderId="23" applyAlignment="1" applyProtection="1" pivotButton="0" quotePrefix="0" xfId="328">
      <alignment horizontal="left" vertical="center" wrapText="1"/>
      <protection locked="0" hidden="0"/>
    </xf>
    <xf numFmtId="14" fontId="173" fillId="44" borderId="50" applyAlignment="1" applyProtection="1" pivotButton="0" quotePrefix="0" xfId="328">
      <alignment horizontal="center" vertical="center" wrapText="1"/>
      <protection locked="0" hidden="0"/>
    </xf>
    <xf numFmtId="49" fontId="173" fillId="44" borderId="50" applyAlignment="1" applyProtection="1" pivotButton="0" quotePrefix="0" xfId="328">
      <alignment horizontal="center" vertical="center" wrapText="1"/>
      <protection locked="0" hidden="0"/>
    </xf>
    <xf numFmtId="164" fontId="173" fillId="44" borderId="50" applyAlignment="1" applyProtection="1" pivotButton="0" quotePrefix="0" xfId="231">
      <alignment horizontal="center" vertical="center" wrapText="1"/>
      <protection locked="0" hidden="0"/>
    </xf>
    <xf numFmtId="168" fontId="173" fillId="44" borderId="50" applyAlignment="1" applyProtection="1" pivotButton="0" quotePrefix="0" xfId="387">
      <alignment horizontal="center" vertical="center" wrapText="1"/>
      <protection locked="0" hidden="0"/>
    </xf>
    <xf numFmtId="49" fontId="173" fillId="44" borderId="50" applyAlignment="1" applyProtection="1" pivotButton="0" quotePrefix="0" xfId="389">
      <alignment horizontal="center" vertical="center" wrapText="1"/>
      <protection locked="0" hidden="0"/>
    </xf>
    <xf numFmtId="14" fontId="9" fillId="45" borderId="50" applyAlignment="1" applyProtection="1" pivotButton="0" quotePrefix="0" xfId="328">
      <alignment vertical="center"/>
      <protection locked="0" hidden="0"/>
    </xf>
    <xf numFmtId="49" fontId="9" fillId="45" borderId="50" applyAlignment="1" applyProtection="1" pivotButton="0" quotePrefix="0" xfId="328">
      <alignment vertical="center"/>
      <protection locked="0" hidden="0"/>
    </xf>
    <xf numFmtId="0" fontId="9" fillId="45" borderId="50" applyAlignment="1" applyProtection="1" pivotButton="0" quotePrefix="0" xfId="328">
      <alignment vertical="center"/>
      <protection locked="0" hidden="0"/>
    </xf>
    <xf numFmtId="4" fontId="9" fillId="45" borderId="50" applyAlignment="1" applyProtection="1" pivotButton="0" quotePrefix="0" xfId="231">
      <alignment vertical="center"/>
      <protection locked="0" hidden="0"/>
    </xf>
    <xf numFmtId="4" fontId="9" fillId="45" borderId="50" applyAlignment="1" applyProtection="1" pivotButton="0" quotePrefix="0" xfId="328">
      <alignment vertical="center"/>
      <protection locked="0" hidden="0"/>
    </xf>
    <xf numFmtId="4" fontId="9" fillId="47" borderId="50" applyAlignment="1" applyProtection="1" pivotButton="0" quotePrefix="0" xfId="328">
      <alignment vertical="center"/>
      <protection locked="0" hidden="0"/>
    </xf>
    <xf numFmtId="49" fontId="9" fillId="47" borderId="50" applyAlignment="1" applyProtection="1" pivotButton="0" quotePrefix="0" xfId="389">
      <alignment vertical="center"/>
      <protection locked="0" hidden="0"/>
    </xf>
    <xf numFmtId="164" fontId="9" fillId="45" borderId="50" applyAlignment="1" applyProtection="1" pivotButton="0" quotePrefix="0" xfId="231">
      <alignment vertical="center"/>
      <protection locked="0" hidden="0"/>
    </xf>
    <xf numFmtId="49" fontId="5" fillId="47" borderId="50" applyAlignment="1" applyProtection="1" pivotButton="0" quotePrefix="0" xfId="389">
      <alignment vertical="center"/>
      <protection locked="0" hidden="0"/>
    </xf>
    <xf numFmtId="14" fontId="5" fillId="45" borderId="50" applyAlignment="1" applyProtection="1" pivotButton="0" quotePrefix="0" xfId="387">
      <alignment horizontal="center" vertical="center"/>
      <protection locked="0" hidden="0"/>
    </xf>
    <xf numFmtId="0" fontId="7" fillId="45" borderId="50" applyAlignment="1" applyProtection="1" pivotButton="0" quotePrefix="0" xfId="328">
      <alignment vertical="center"/>
      <protection locked="0" hidden="0"/>
    </xf>
    <xf numFmtId="4" fontId="7" fillId="45" borderId="50" applyAlignment="1" applyProtection="1" pivotButton="0" quotePrefix="0" xfId="231">
      <alignment vertical="center"/>
      <protection locked="0" hidden="0"/>
    </xf>
    <xf numFmtId="14" fontId="7" fillId="45" borderId="50" applyAlignment="1" applyProtection="1" pivotButton="0" quotePrefix="0" xfId="328">
      <alignment vertical="center"/>
      <protection locked="0" hidden="0"/>
    </xf>
    <xf numFmtId="164" fontId="7" fillId="45" borderId="50" applyAlignment="1" applyProtection="1" pivotButton="0" quotePrefix="0" xfId="231">
      <alignment vertical="center"/>
      <protection locked="0" hidden="0"/>
    </xf>
    <xf numFmtId="4" fontId="7" fillId="45" borderId="50" applyAlignment="1" applyProtection="1" pivotButton="0" quotePrefix="0" xfId="328">
      <alignment vertical="center"/>
      <protection locked="0" hidden="0"/>
    </xf>
    <xf numFmtId="4" fontId="7" fillId="47" borderId="50" applyAlignment="1" applyProtection="1" pivotButton="0" quotePrefix="0" xfId="231">
      <alignment vertical="center"/>
      <protection locked="0" hidden="0"/>
    </xf>
    <xf numFmtId="0" fontId="7" fillId="47" borderId="50" applyAlignment="1" applyProtection="1" pivotButton="0" quotePrefix="0" xfId="328">
      <alignment vertical="center"/>
      <protection locked="0" hidden="0"/>
    </xf>
    <xf numFmtId="4" fontId="7" fillId="45" borderId="50" applyAlignment="1" applyProtection="1" pivotButton="0" quotePrefix="0" xfId="2">
      <alignment horizontal="right" vertical="center"/>
      <protection locked="0" hidden="0"/>
    </xf>
    <xf numFmtId="168" fontId="7" fillId="45" borderId="50" applyAlignment="1" pivotButton="0" quotePrefix="0" xfId="385">
      <alignment vertical="center"/>
    </xf>
    <xf numFmtId="168" fontId="8" fillId="45" borderId="50" applyProtection="1" pivotButton="0" quotePrefix="0" xfId="389">
      <protection locked="0" hidden="0"/>
    </xf>
    <xf numFmtId="4" fontId="8" fillId="45" borderId="50" applyProtection="1" pivotButton="0" quotePrefix="0" xfId="389">
      <protection locked="0" hidden="0"/>
    </xf>
    <xf numFmtId="4" fontId="8" fillId="47" borderId="50" applyProtection="1" pivotButton="0" quotePrefix="0" xfId="389">
      <protection locked="0" hidden="0"/>
    </xf>
    <xf numFmtId="168" fontId="8" fillId="47" borderId="50" applyProtection="1" pivotButton="0" quotePrefix="0" xfId="389">
      <protection locked="0" hidden="0"/>
    </xf>
    <xf numFmtId="168" fontId="5" fillId="45" borderId="50" applyAlignment="1" applyProtection="1" pivotButton="0" quotePrefix="0" xfId="389">
      <alignment vertical="center"/>
      <protection locked="0" hidden="0"/>
    </xf>
    <xf numFmtId="4" fontId="5" fillId="45" borderId="50" applyAlignment="1" applyProtection="1" pivotButton="0" quotePrefix="0" xfId="389">
      <alignment vertical="center"/>
      <protection locked="0" hidden="0"/>
    </xf>
    <xf numFmtId="168" fontId="5" fillId="45" borderId="50" applyAlignment="1" applyProtection="1" pivotButton="0" quotePrefix="0" xfId="388">
      <alignment horizontal="center" vertical="center" wrapText="1"/>
      <protection locked="0" hidden="0"/>
    </xf>
    <xf numFmtId="168" fontId="7" fillId="45" borderId="50" applyAlignment="1" applyProtection="1" pivotButton="0" quotePrefix="0" xfId="387">
      <alignment horizontal="center" vertical="center"/>
      <protection locked="0" hidden="0"/>
    </xf>
    <xf numFmtId="4" fontId="5" fillId="45" borderId="50" applyAlignment="1" pivotButton="0" quotePrefix="0" xfId="390">
      <alignment horizontal="center" vertical="center" wrapText="1"/>
    </xf>
    <xf numFmtId="4" fontId="5" fillId="47" borderId="50" applyAlignment="1" pivotButton="0" quotePrefix="0" xfId="390">
      <alignment horizontal="center" vertical="center" wrapText="1"/>
    </xf>
    <xf numFmtId="168" fontId="5" fillId="47" borderId="50" applyAlignment="1" applyProtection="1" pivotButton="0" quotePrefix="0" xfId="388">
      <alignment horizontal="center" vertical="center"/>
      <protection locked="0" hidden="0"/>
    </xf>
    <xf numFmtId="168" fontId="5" fillId="45" borderId="50" applyAlignment="1" applyProtection="1" pivotButton="0" quotePrefix="0" xfId="389">
      <alignment horizontal="center" vertical="center"/>
      <protection locked="0" hidden="0"/>
    </xf>
    <xf numFmtId="4" fontId="5" fillId="45" borderId="50" applyAlignment="1" applyProtection="1" pivotButton="0" quotePrefix="0" xfId="389">
      <alignment horizontal="center" vertical="center" wrapText="1"/>
      <protection locked="0" hidden="0"/>
    </xf>
    <xf numFmtId="0" fontId="7" fillId="45" borderId="50" applyAlignment="1" applyProtection="1" pivotButton="0" quotePrefix="0" xfId="387">
      <alignment horizontal="center" vertical="center"/>
      <protection locked="0" hidden="0"/>
    </xf>
    <xf numFmtId="169" fontId="9" fillId="45" borderId="50" applyAlignment="1" applyProtection="1" pivotButton="0" quotePrefix="0" xfId="389">
      <alignment horizontal="center" vertical="center" wrapText="1"/>
      <protection locked="0" hidden="0"/>
    </xf>
    <xf numFmtId="49" fontId="9" fillId="45" borderId="50" applyAlignment="1" applyProtection="1" pivotButton="0" quotePrefix="0" xfId="389">
      <alignment horizontal="center" vertical="center"/>
      <protection locked="0" hidden="0"/>
    </xf>
    <xf numFmtId="168" fontId="13" fillId="45" borderId="50" applyAlignment="1" applyProtection="1" pivotButton="0" quotePrefix="0" xfId="389">
      <alignment horizontal="center" vertical="center"/>
      <protection locked="0" hidden="0"/>
    </xf>
    <xf numFmtId="168" fontId="9" fillId="45" borderId="50" applyAlignment="1" applyProtection="1" pivotButton="0" quotePrefix="0" xfId="389">
      <alignment horizontal="center" vertical="center"/>
      <protection locked="0" hidden="0"/>
    </xf>
    <xf numFmtId="4" fontId="9" fillId="45" borderId="50" applyAlignment="1" applyProtection="1" pivotButton="0" quotePrefix="0" xfId="389">
      <alignment horizontal="right" vertical="center" shrinkToFit="1"/>
      <protection locked="0" hidden="0"/>
    </xf>
    <xf numFmtId="4" fontId="9" fillId="45" borderId="50" applyAlignment="1" applyProtection="1" pivotButton="0" quotePrefix="0" xfId="389">
      <alignment horizontal="center" vertical="center"/>
      <protection locked="0" hidden="0"/>
    </xf>
    <xf numFmtId="4" fontId="9" fillId="47" borderId="50" applyAlignment="1" applyProtection="1" pivotButton="0" quotePrefix="0" xfId="389">
      <alignment vertical="center"/>
      <protection locked="0" hidden="0"/>
    </xf>
    <xf numFmtId="169" fontId="173" fillId="0" borderId="23" applyAlignment="1" applyProtection="1" pivotButton="0" quotePrefix="0" xfId="389">
      <alignment horizontal="center" vertical="center" wrapText="1"/>
      <protection locked="0" hidden="0"/>
    </xf>
    <xf numFmtId="4" fontId="9" fillId="47" borderId="50" applyAlignment="1" applyProtection="1" pivotButton="0" quotePrefix="0" xfId="389">
      <alignment horizontal="right" vertical="center" shrinkToFit="1"/>
      <protection locked="0" hidden="0"/>
    </xf>
    <xf numFmtId="4" fontId="9" fillId="47" borderId="50" applyAlignment="1" applyProtection="1" pivotButton="0" quotePrefix="0" xfId="389">
      <alignment horizontal="center" vertical="center"/>
      <protection locked="0" hidden="0"/>
    </xf>
    <xf numFmtId="49" fontId="9" fillId="47" borderId="50" applyAlignment="1" applyProtection="1" pivotButton="0" quotePrefix="0" xfId="389">
      <alignment horizontal="center" vertical="center"/>
      <protection locked="0" hidden="0"/>
    </xf>
    <xf numFmtId="168" fontId="9" fillId="47" borderId="50" applyAlignment="1" applyProtection="1" pivotButton="0" quotePrefix="0" xfId="389">
      <alignment horizontal="center" vertical="center"/>
      <protection locked="0" hidden="0"/>
    </xf>
    <xf numFmtId="43" fontId="9" fillId="47" borderId="50" applyAlignment="1" applyProtection="1" pivotButton="0" quotePrefix="0" xfId="389">
      <alignment horizontal="right" vertical="center" shrinkToFit="1"/>
      <protection locked="0" hidden="0"/>
    </xf>
    <xf numFmtId="10" fontId="9" fillId="47" borderId="50" applyAlignment="1" applyProtection="1" pivotButton="0" quotePrefix="0" xfId="389">
      <alignment horizontal="center" vertical="center"/>
      <protection locked="0" hidden="0"/>
    </xf>
    <xf numFmtId="10" fontId="9" fillId="47" borderId="50" applyAlignment="1" applyProtection="1" pivotButton="0" quotePrefix="0" xfId="389">
      <alignment horizontal="right" vertical="center" shrinkToFit="1"/>
      <protection locked="0" hidden="0"/>
    </xf>
    <xf numFmtId="0" fontId="176" fillId="48" borderId="0" applyAlignment="1" applyProtection="1" pivotButton="0" quotePrefix="0" xfId="348">
      <alignment horizontal="left" vertical="center" wrapText="1"/>
      <protection locked="0" hidden="0"/>
    </xf>
    <xf numFmtId="0" fontId="173" fillId="44" borderId="50" applyAlignment="1" applyProtection="1" pivotButton="0" quotePrefix="0" xfId="207">
      <alignment horizontal="center" vertical="center" wrapText="1"/>
      <protection locked="0" hidden="0"/>
    </xf>
    <xf numFmtId="0" fontId="9" fillId="45" borderId="50" applyAlignment="1" applyProtection="1" pivotButton="0" quotePrefix="0" xfId="207">
      <alignment horizontal="left" vertical="center"/>
      <protection locked="0" hidden="0"/>
    </xf>
    <xf numFmtId="4" fontId="9" fillId="45" borderId="50" applyAlignment="1" applyProtection="1" pivotButton="0" quotePrefix="0" xfId="207">
      <alignment horizontal="left" vertical="center"/>
      <protection locked="0" hidden="0"/>
    </xf>
    <xf numFmtId="0" fontId="110" fillId="45" borderId="50" applyAlignment="1" applyProtection="1" pivotButton="0" quotePrefix="0" xfId="207">
      <alignment vertical="center"/>
      <protection locked="0" hidden="0"/>
    </xf>
    <xf numFmtId="0" fontId="18" fillId="45" borderId="50" applyAlignment="1" applyProtection="1" pivotButton="0" quotePrefix="0" xfId="207">
      <alignment vertical="center"/>
      <protection locked="0" hidden="0"/>
    </xf>
    <xf numFmtId="0" fontId="18" fillId="45" borderId="50" applyProtection="1" pivotButton="0" quotePrefix="0" xfId="207">
      <protection locked="0" hidden="0"/>
    </xf>
    <xf numFmtId="4" fontId="9" fillId="47" borderId="50" applyAlignment="1" applyProtection="1" pivotButton="0" quotePrefix="0" xfId="207">
      <alignment horizontal="left" vertical="center"/>
      <protection locked="0" hidden="0"/>
    </xf>
    <xf numFmtId="0" fontId="18" fillId="47" borderId="50" applyProtection="1" pivotButton="0" quotePrefix="0" xfId="207">
      <protection locked="0" hidden="0"/>
    </xf>
    <xf numFmtId="0" fontId="176" fillId="48" borderId="0" applyAlignment="1" applyProtection="1" pivotButton="0" quotePrefix="0" xfId="207">
      <alignment horizontal="left" vertical="center" wrapText="1"/>
      <protection locked="0" hidden="0"/>
    </xf>
    <xf numFmtId="0" fontId="18" fillId="0" borderId="50" applyAlignment="1" applyProtection="1" pivotButton="0" quotePrefix="0" xfId="207">
      <alignment vertical="center"/>
      <protection locked="0" hidden="0"/>
    </xf>
    <xf numFmtId="49" fontId="18" fillId="0" borderId="50" applyAlignment="1" applyProtection="1" pivotButton="0" quotePrefix="0" xfId="207">
      <alignment horizontal="right" vertical="center"/>
      <protection locked="0" hidden="0"/>
    </xf>
    <xf numFmtId="164" fontId="18" fillId="45" borderId="50" applyAlignment="1" pivotButton="0" quotePrefix="0" xfId="4">
      <alignment vertical="center"/>
    </xf>
    <xf numFmtId="49" fontId="173" fillId="0" borderId="0" applyAlignment="1" applyProtection="1" pivotButton="0" quotePrefix="0" xfId="207">
      <alignment horizontal="right" vertical="center"/>
      <protection locked="0" hidden="0"/>
    </xf>
    <xf numFmtId="0" fontId="19" fillId="45" borderId="50" applyAlignment="1" applyProtection="1" pivotButton="0" quotePrefix="0" xfId="207">
      <alignment vertical="center"/>
      <protection locked="0" hidden="0"/>
    </xf>
    <xf numFmtId="49" fontId="18" fillId="0" borderId="0" applyAlignment="1" applyProtection="1" pivotButton="0" quotePrefix="0" xfId="207">
      <alignment horizontal="left" vertical="center" wrapText="1"/>
      <protection locked="0" hidden="0"/>
    </xf>
    <xf numFmtId="0" fontId="19" fillId="47" borderId="50" applyAlignment="1" applyProtection="1" pivotButton="0" quotePrefix="0" xfId="207">
      <alignment vertical="center"/>
      <protection locked="0" hidden="0"/>
    </xf>
    <xf numFmtId="0" fontId="18" fillId="47" borderId="50" applyAlignment="1" applyProtection="1" pivotButton="0" quotePrefix="0" xfId="207">
      <alignment vertical="center"/>
      <protection locked="0" hidden="0"/>
    </xf>
    <xf numFmtId="0" fontId="177" fillId="49" borderId="0" applyAlignment="1" pivotButton="0" quotePrefix="0" xfId="0">
      <alignment horizontal="left" vertical="center" wrapText="1"/>
    </xf>
    <xf numFmtId="0" fontId="174" fillId="44" borderId="0" pivotButton="0" quotePrefix="0" xfId="0"/>
    <xf numFmtId="0" fontId="9" fillId="47" borderId="50" applyAlignment="1" pivotButton="0" quotePrefix="0" xfId="0">
      <alignment horizontal="left" vertical="center" wrapText="1"/>
    </xf>
    <xf numFmtId="4" fontId="0" fillId="47" borderId="50" applyAlignment="1" pivotButton="0" quotePrefix="0" xfId="0">
      <alignment vertical="center"/>
    </xf>
    <xf numFmtId="10" fontId="0" fillId="47" borderId="50" applyAlignment="1" pivotButton="0" quotePrefix="0" xfId="0">
      <alignment vertical="center"/>
    </xf>
    <xf numFmtId="4" fontId="7" fillId="47" borderId="50" applyAlignment="1" applyProtection="1" pivotButton="0" quotePrefix="0" xfId="387">
      <alignment horizontal="center" vertical="center"/>
      <protection locked="0" hidden="0"/>
    </xf>
    <xf numFmtId="168" fontId="173" fillId="44" borderId="50" applyAlignment="1" applyProtection="1" pivotButton="0" quotePrefix="0" xfId="387">
      <alignment horizontal="center" vertical="center"/>
      <protection locked="0" hidden="0"/>
    </xf>
    <xf numFmtId="4" fontId="9" fillId="47" borderId="50" applyAlignment="1" applyProtection="1" pivotButton="0" quotePrefix="0" xfId="387">
      <alignment horizontal="center" vertical="center"/>
      <protection locked="0" hidden="0"/>
    </xf>
    <xf numFmtId="168" fontId="173" fillId="44" borderId="50" applyAlignment="1" applyProtection="1" pivotButton="0" quotePrefix="0" xfId="389">
      <alignment vertical="center"/>
      <protection locked="0" hidden="0"/>
    </xf>
    <xf numFmtId="10" fontId="5" fillId="47" borderId="50" applyAlignment="1" applyProtection="1" pivotButton="0" quotePrefix="0" xfId="389">
      <alignment vertical="center"/>
      <protection locked="0" hidden="0"/>
    </xf>
    <xf numFmtId="10" fontId="7" fillId="47" borderId="50" applyAlignment="1" applyProtection="1" pivotButton="0" quotePrefix="0" xfId="391">
      <alignment vertical="center"/>
      <protection locked="0" hidden="0"/>
    </xf>
    <xf numFmtId="0" fontId="177" fillId="49" borderId="0" applyAlignment="1" pivotButton="0" quotePrefix="0" xfId="384">
      <alignment horizontal="left" vertical="center" wrapText="1"/>
    </xf>
    <xf numFmtId="49" fontId="168" fillId="46" borderId="0" applyAlignment="1" applyProtection="1" pivotButton="0" quotePrefix="0" xfId="207">
      <alignment horizontal="right" vertical="center"/>
      <protection locked="0" hidden="0"/>
    </xf>
    <xf numFmtId="0" fontId="168" fillId="0" borderId="0" pivotButton="0" quotePrefix="0" xfId="0"/>
    <xf numFmtId="0" fontId="174" fillId="44" borderId="50" pivotButton="0" quotePrefix="0" xfId="0"/>
    <xf numFmtId="0" fontId="174" fillId="44" borderId="50" applyAlignment="1" applyProtection="1" pivotButton="0" quotePrefix="0" xfId="207">
      <alignment vertical="center"/>
      <protection locked="0" hidden="0"/>
    </xf>
    <xf numFmtId="4" fontId="18" fillId="47" borderId="50" applyAlignment="1" applyProtection="1" pivotButton="0" quotePrefix="0" xfId="207">
      <alignment vertical="center"/>
      <protection locked="0" hidden="0"/>
    </xf>
    <xf numFmtId="0" fontId="0" fillId="0" borderId="50" applyAlignment="1" pivotButton="0" quotePrefix="0" xfId="0">
      <alignment horizontal="left" vertical="center" wrapText="1"/>
    </xf>
    <xf numFmtId="0" fontId="181" fillId="0" borderId="0" pivotButton="0" quotePrefix="0" xfId="0"/>
  </cellXfs>
  <cellStyles count="393">
    <cellStyle name="常规" xfId="0" builtinId="0"/>
    <cellStyle name="千位分隔" xfId="1" builtinId="3"/>
    <cellStyle name="百分比" xfId="2" builtinId="5"/>
    <cellStyle name="常规_c-资产类" xfId="3"/>
    <cellStyle name="常规_新审定表" xfId="4"/>
    <cellStyle name="%" xfId="5"/>
    <cellStyle name="% 2" xfId="6"/>
    <cellStyle name="?" xfId="7"/>
    <cellStyle name="?餡_x000c_k" xfId="8"/>
    <cellStyle name="?餡_x000c_k?_x000d_^" xfId="9"/>
    <cellStyle name="?餡_x000c_k?_x000d_^黇_x0001_??_x0007__x0001__x0001_" xfId="10"/>
    <cellStyle name="@_text" xfId="11"/>
    <cellStyle name="@_text_子公司附注汇总(房开公司)" xfId="12"/>
    <cellStyle name="_(本部)2006年年报审计PBC表" xfId="13"/>
    <cellStyle name="_07930建造合同" xfId="14"/>
    <cellStyle name="_12月项目部访问及审计-德勤" xfId="15"/>
    <cellStyle name="_2005-08-31审计底稿－李" xfId="16"/>
    <cellStyle name="_2005审计报表及附注-中国建材股份模板（房屋）" xfId="17"/>
    <cellStyle name="_2006年年报审计PBC表（合并）" xfId="18"/>
    <cellStyle name="_2006年年报审计PBC表-XX" xfId="19"/>
    <cellStyle name="_2006年年报审计PBC表-XXX" xfId="20"/>
    <cellStyle name="_2006年年报审计PBC表-福州分公司" xfId="21"/>
    <cellStyle name="_2006年年报审计PBC表-云南分公司" xfId="22"/>
    <cellStyle name="_2006年年报审计填报资料" xfId="23"/>
    <cellStyle name="_2007调整分录-鲁佳" xfId="24"/>
    <cellStyle name="_Book1" xfId="25"/>
    <cellStyle name="_CREC(Huo" xfId="26"/>
    <cellStyle name="_ET_STYLE_NoName_00_" xfId="27"/>
    <cellStyle name="_ET_STYLE_NoName_00__2007调整分录-鲁佳" xfId="28"/>
    <cellStyle name="_ET_STYLE_NoName_00__股份本部" xfId="29"/>
    <cellStyle name="_ET_STYLE_NoName_00__股份本部_1" xfId="30"/>
    <cellStyle name="_ET_STYLE_NoName_00__股份本部_3" xfId="31"/>
    <cellStyle name="_ET_STYLE_NoName_00__股份本部_6_股份本部_2" xfId="32"/>
    <cellStyle name="_ET_STYLE_NoName_00__股份本部_7_股份本部_3" xfId="33"/>
    <cellStyle name="_J1000-存货-ZHHG" xfId="34"/>
    <cellStyle name="_PBC审核提示" xfId="35"/>
    <cellStyle name="_宝丽华房地产20051231" xfId="36"/>
    <cellStyle name="_保证金-企业填写部分" xfId="37"/>
    <cellStyle name="_北新房屋2004年审-刘" xfId="38"/>
    <cellStyle name="_北新股份2005年审工作底稿" xfId="39"/>
    <cellStyle name="_北新建材关连交易基础表051230（10－12月版）更新稿" xfId="40"/>
    <cellStyle name="_北新建材-会计报表附注模版" xfId="41"/>
    <cellStyle name="_北新龙之星2004年审工作底稿" xfId="42"/>
    <cellStyle name="_北新物流2005底稿-刘" xfId="43"/>
    <cellStyle name="_北新置换memo" xfId="44"/>
    <cellStyle name="_本部其他应收应付年审底稿--鲁佳pb" xfId="45"/>
    <cellStyle name="_存货结转测试" xfId="46"/>
    <cellStyle name="_存货数量与明细05.12" xfId="47"/>
    <cellStyle name="_动力厂2004年审工作底稿-刘" xfId="48"/>
    <cellStyle name="_分工" xfId="49"/>
    <cellStyle name="_工程施工项目现场审计提示" xfId="50"/>
    <cellStyle name="_关联交易" xfId="51"/>
    <cellStyle name="_关联交易、往来统计表" xfId="52"/>
    <cellStyle name="_合并报表审计调整模板(CREC)" xfId="53"/>
    <cellStyle name="_合并公司2006年度科目明细表(定稿)" xfId="54"/>
    <cellStyle name="_建造合同-宜万指（正式版）" xfId="55"/>
    <cellStyle name="_科目核对表" xfId="56"/>
    <cellStyle name="_刘青分工填列信息统计" xfId="57"/>
    <cellStyle name="_刘青分工－子公司审计模板-电务" xfId="58"/>
    <cellStyle name="_刘青分工－子公司审计模板－铁达本部" xfId="59"/>
    <cellStyle name="_母PL" xfId="60"/>
    <cellStyle name="_母公司底稿-鲁佳" xfId="61"/>
    <cellStyle name="_年审筹资循环资料清单" xfId="62"/>
    <cellStyle name="_人员分工备忘录" xfId="63"/>
    <cellStyle name="_审计底稿-轩" xfId="64"/>
    <cellStyle name="_审计所需资料清单－子公司" xfId="65"/>
    <cellStyle name="_审计提示模版" xfId="66"/>
    <cellStyle name="_审计提示模版-母公司部分" xfId="67"/>
    <cellStyle name="_铁鸿源－刘青分工－子公司审计模板" xfId="68"/>
    <cellStyle name="_兴华审计成本" xfId="69"/>
    <cellStyle name="_岩土长投--急0121报王占学" xfId="70"/>
    <cellStyle name="_一公司建造合同前5名" xfId="71"/>
    <cellStyle name="_一公司－刘丰收" xfId="72"/>
    <cellStyle name="_银行询证函统计－大表" xfId="73"/>
    <cellStyle name="_长期借款－江阴" xfId="74"/>
    <cellStyle name="_子公司筹资循环－刘青" xfId="75"/>
    <cellStyle name="_子公司审计提示模版-Liufs" xfId="76"/>
    <cellStyle name="{Comma [0]}" xfId="77"/>
    <cellStyle name="{Comma}" xfId="78"/>
    <cellStyle name="{Date}" xfId="79"/>
    <cellStyle name="{Month}" xfId="80"/>
    <cellStyle name="{Percent}" xfId="81"/>
    <cellStyle name="{Thousand [0]}" xfId="82"/>
    <cellStyle name="{Thousand}" xfId="83"/>
    <cellStyle name="{Z'0000(1 dec)}" xfId="84"/>
    <cellStyle name="{Z'0000(4 dec)}" xfId="85"/>
    <cellStyle name="0%" xfId="86"/>
    <cellStyle name="0,0_x000d__x000a_NA_x000d__x000a_" xfId="87"/>
    <cellStyle name="0.0%" xfId="88"/>
    <cellStyle name="0.00%" xfId="89"/>
    <cellStyle name="00" xfId="90"/>
    <cellStyle name="Black" xfId="91"/>
    <cellStyle name="Border" xfId="92"/>
    <cellStyle name="Calc Currency (0)" xfId="93"/>
    <cellStyle name="Calc Currency (2)" xfId="94"/>
    <cellStyle name="Calc Percent (0)" xfId="95"/>
    <cellStyle name="Calc Percent (1)" xfId="96"/>
    <cellStyle name="Calc Percent (2)" xfId="97"/>
    <cellStyle name="Calc Units (0)" xfId="98"/>
    <cellStyle name="Calc Units (1)" xfId="99"/>
    <cellStyle name="Calc Units (2)" xfId="100"/>
    <cellStyle name="category" xfId="101"/>
    <cellStyle name="Col Heads" xfId="102"/>
    <cellStyle name="Column_Title" xfId="103"/>
    <cellStyle name="Comma  - Style1" xfId="104"/>
    <cellStyle name="Comma  - Style2" xfId="105"/>
    <cellStyle name="Comma  - Style3" xfId="106"/>
    <cellStyle name="Comma  - Style4" xfId="107"/>
    <cellStyle name="Comma  - Style5" xfId="108"/>
    <cellStyle name="Comma  - Style6" xfId="109"/>
    <cellStyle name="Comma  - Style7" xfId="110"/>
    <cellStyle name="Comma  - Style8" xfId="111"/>
    <cellStyle name="Comma [0]_ rislugp" xfId="112"/>
    <cellStyle name="Comma [00]" xfId="113"/>
    <cellStyle name="Comma 28" xfId="114"/>
    <cellStyle name="comma zerodec" xfId="115"/>
    <cellStyle name="Comma,0" xfId="116"/>
    <cellStyle name="Comma,1" xfId="117"/>
    <cellStyle name="Comma,2" xfId="118"/>
    <cellStyle name="Comma_ rislugp" xfId="119"/>
    <cellStyle name="Currency [0]_ rislugp" xfId="120"/>
    <cellStyle name="Currency [00]" xfId="121"/>
    <cellStyle name="Currency,0" xfId="122"/>
    <cellStyle name="Currency,2" xfId="123"/>
    <cellStyle name="Currency_ rislugp" xfId="124"/>
    <cellStyle name="Currency1" xfId="125"/>
    <cellStyle name="Date Short" xfId="126"/>
    <cellStyle name="Dezimal [0]_laroux" xfId="127"/>
    <cellStyle name="Dezimal_laroux" xfId="128"/>
    <cellStyle name="Dollar (zero dec)" xfId="129"/>
    <cellStyle name="Enter Currency (0)" xfId="130"/>
    <cellStyle name="Enter Currency (2)" xfId="131"/>
    <cellStyle name="Enter Units (0)" xfId="132"/>
    <cellStyle name="Enter Units (1)" xfId="133"/>
    <cellStyle name="Enter Units (2)" xfId="134"/>
    <cellStyle name="entry" xfId="135"/>
    <cellStyle name="entry box" xfId="136"/>
    <cellStyle name="Euro" xfId="137"/>
    <cellStyle name="Followed Hyperlink_AheadBehind.xls Chart 23" xfId="138"/>
    <cellStyle name="Grey" xfId="139"/>
    <cellStyle name="HEADER" xfId="140"/>
    <cellStyle name="Header1" xfId="141"/>
    <cellStyle name="Header2" xfId="142"/>
    <cellStyle name="Heading" xfId="143"/>
    <cellStyle name="Hyperlink_AheadBehind.xls Chart 23" xfId="144"/>
    <cellStyle name="Input [yellow]" xfId="145"/>
    <cellStyle name="left" xfId="146"/>
    <cellStyle name="Link Currency (0)" xfId="147"/>
    <cellStyle name="Link Currency (2)" xfId="148"/>
    <cellStyle name="Link Units (0)" xfId="149"/>
    <cellStyle name="Link Units (1)" xfId="150"/>
    <cellStyle name="Link Units (2)" xfId="151"/>
    <cellStyle name="Millares [0]_laroux" xfId="152"/>
    <cellStyle name="Millares_laroux" xfId="153"/>
    <cellStyle name="Model" xfId="154"/>
    <cellStyle name="Moneda [0]_laroux" xfId="155"/>
    <cellStyle name="Moneda_laroux" xfId="156"/>
    <cellStyle name="Mon閠aire [0]_laroux" xfId="157"/>
    <cellStyle name="Mon閠aire_laroux" xfId="158"/>
    <cellStyle name="no dec" xfId="159"/>
    <cellStyle name="Non défini" xfId="160"/>
    <cellStyle name="Normal - Style1" xfId="161"/>
    <cellStyle name="Normal 21" xfId="162"/>
    <cellStyle name="Normal_ rislugp" xfId="163"/>
    <cellStyle name="Normalny_Arkusz1" xfId="164"/>
    <cellStyle name="Percent (0)" xfId="165"/>
    <cellStyle name="Percent [0]" xfId="166"/>
    <cellStyle name="Percent [00]" xfId="167"/>
    <cellStyle name="Percent [2]" xfId="168"/>
    <cellStyle name="Prefilled" xfId="169"/>
    <cellStyle name="PrePop Currency (0)" xfId="170"/>
    <cellStyle name="PrePop Currency (2)" xfId="171"/>
    <cellStyle name="PrePop Units (0)" xfId="172"/>
    <cellStyle name="PrePop Units (1)" xfId="173"/>
    <cellStyle name="PrePop Units (2)" xfId="174"/>
    <cellStyle name="price" xfId="175"/>
    <cellStyle name="Red" xfId="176"/>
    <cellStyle name="revised" xfId="177"/>
    <cellStyle name="row_def_array" xfId="178"/>
    <cellStyle name="S4" xfId="179"/>
    <cellStyle name="S5" xfId="180"/>
    <cellStyle name="section" xfId="181"/>
    <cellStyle name="SOR" xfId="182"/>
    <cellStyle name="style" xfId="183"/>
    <cellStyle name="style1" xfId="184"/>
    <cellStyle name="style2" xfId="185"/>
    <cellStyle name="subhead" xfId="186"/>
    <cellStyle name="Text Indent A" xfId="187"/>
    <cellStyle name="Text Indent B" xfId="188"/>
    <cellStyle name="Text Indent C" xfId="189"/>
    <cellStyle name="Tickmark" xfId="190"/>
    <cellStyle name="title" xfId="191"/>
    <cellStyle name="wrap" xfId="192"/>
    <cellStyle name="パーセント_laroux" xfId="193"/>
    <cellStyle name="_PLDT" xfId="194"/>
    <cellStyle name="_laroux" xfId="195"/>
    <cellStyle name="だ[0]_PLDT" xfId="196"/>
    <cellStyle name="だ_PLDT" xfId="197"/>
    <cellStyle name="だ[0]_Total (2)" xfId="198"/>
    <cellStyle name="だ_laroux" xfId="199"/>
    <cellStyle name="百分比 2" xfId="200"/>
    <cellStyle name="百分比 3" xfId="201"/>
    <cellStyle name="捠壿 [0.00]_PRODUCT DETAIL Q1" xfId="202"/>
    <cellStyle name="捠壿_PRODUCT DETAIL Q1" xfId="203"/>
    <cellStyle name="標準_１１月価格表" xfId="204"/>
    <cellStyle name="差_T1000-主营业务收入-LJCH" xfId="205"/>
    <cellStyle name="差_子公司附注汇总(房开公司)" xfId="206"/>
    <cellStyle name="常规 2" xfId="207"/>
    <cellStyle name="常规 2 2" xfId="208"/>
    <cellStyle name="常规 3" xfId="209"/>
    <cellStyle name="常规 4" xfId="210"/>
    <cellStyle name="常规 5" xfId="211"/>
    <cellStyle name="常规 6" xfId="212"/>
    <cellStyle name="超级链接_B4-1审计项目工时预算与控制表(集团)" xfId="213"/>
    <cellStyle name="超链接 2" xfId="214"/>
    <cellStyle name="分级显示行_1_4附件二凯旋评估表" xfId="215"/>
    <cellStyle name="好_T1000-主营业务收入" xfId="216"/>
    <cellStyle name="好_子公司附注汇总(房开公司)" xfId="217"/>
    <cellStyle name="桁区切り [0.00]_１１月価格表" xfId="218"/>
    <cellStyle name="桁区切り_１１月価格表" xfId="219"/>
    <cellStyle name="霓付 [0]_1202" xfId="220"/>
    <cellStyle name="霓付_1202" xfId="221"/>
    <cellStyle name="烹拳 [0]_1202" xfId="222"/>
    <cellStyle name="烹拳_1202" xfId="223"/>
    <cellStyle name="砯刽 [0]_PLDT" xfId="224"/>
    <cellStyle name="砯刽_PLDT" xfId="225"/>
    <cellStyle name="普通_ 白土" xfId="226"/>
    <cellStyle name="千分位[0]_ 白土" xfId="227"/>
    <cellStyle name="千分位_ 白土" xfId="228"/>
    <cellStyle name="千位[0]_ 应交税金审定表" xfId="229"/>
    <cellStyle name="千位_ 应交税金审定表" xfId="230"/>
    <cellStyle name="千位分隔 2" xfId="231"/>
    <cellStyle name="钎霖_(沥焊何巩)岿喊牢盔拌裙" xfId="232"/>
    <cellStyle name="通貨 [0.00]_１１月価格表" xfId="233"/>
    <cellStyle name="通貨_１１月価格表" xfId="234"/>
    <cellStyle name="样式 1" xfId="235"/>
    <cellStyle name="昗弨_BOOKSHIP" xfId="236"/>
    <cellStyle name="寘嬫愗傝 [0.00]_PRODUCT DETAIL Q1" xfId="237"/>
    <cellStyle name="寘嬫愗傝_PRODUCT DETAIL Q1" xfId="238"/>
    <cellStyle name="콤마 [0]_BOILER-CO1" xfId="239"/>
    <cellStyle name="콤마_BOILER-CO1" xfId="240"/>
    <cellStyle name="통화 [0]_BOILER-CO1" xfId="241"/>
    <cellStyle name="통화_BOILER-CO1" xfId="242"/>
    <cellStyle name="표준_0N-HANDLING " xfId="243"/>
    <cellStyle name="常规_Book1" xfId="244"/>
    <cellStyle name="常规_sheet" xfId="245"/>
    <cellStyle name="常规_T1000-主营业务收入" xfId="246"/>
    <cellStyle name="常规_V4000-营业外收入-QB" xfId="247"/>
    <cellStyle name="常规_13预审底稿模板" xfId="248"/>
    <cellStyle name="千位分隔 3" xfId="249"/>
    <cellStyle name="千位分隔[0] 2" xfId="250"/>
    <cellStyle name="常规 7" xfId="251"/>
    <cellStyle name="超链接" xfId="252" builtinId="8"/>
    <cellStyle name="常规_ZM－长期股权投资" xfId="253"/>
    <cellStyle name="常规_B1长期股权投资-权益法" xfId="254"/>
    <cellStyle name="常规_A1－货币资金" xfId="255"/>
    <cellStyle name="??" xfId="256"/>
    <cellStyle name="?? [0]" xfId="257"/>
    <cellStyle name="??_0N-HANDLING " xfId="258"/>
    <cellStyle name="args.style" xfId="259"/>
    <cellStyle name="Copied" xfId="260"/>
    <cellStyle name="COST1" xfId="261"/>
    <cellStyle name="Date" xfId="262"/>
    <cellStyle name="E&amp;Y House" xfId="263"/>
    <cellStyle name="Entered" xfId="264"/>
    <cellStyle name="Input Cells" xfId="265"/>
    <cellStyle name="Linked Cells" xfId="266"/>
    <cellStyle name="Milliers [0]_!!!GO" xfId="267"/>
    <cellStyle name="Milliers_!!!GO" xfId="268"/>
    <cellStyle name="Monétaire [0]_!!!GO" xfId="269"/>
    <cellStyle name="Monétaire_!!!GO" xfId="270"/>
    <cellStyle name="New Times Roman" xfId="271"/>
    <cellStyle name="Œ…‹æØ‚è [0.00]_Region Orders (2)" xfId="272"/>
    <cellStyle name="Œ…‹æØ‚è_Region Orders (2)" xfId="273"/>
    <cellStyle name="per.style" xfId="274"/>
    <cellStyle name="pricing" xfId="275"/>
    <cellStyle name="PSChar" xfId="276"/>
    <cellStyle name="RevList" xfId="277"/>
    <cellStyle name="Subtotal" xfId="278"/>
    <cellStyle name="差_StartUp" xfId="279"/>
    <cellStyle name="好_StartUp" xfId="280"/>
    <cellStyle name="资产" xfId="281"/>
    <cellStyle name="常规_Book1 2" xfId="282"/>
    <cellStyle name="常规 2 3" xfId="283"/>
    <cellStyle name="常规_制造费用" xfId="284"/>
    <cellStyle name="20% - Accent1" xfId="285"/>
    <cellStyle name="20% - Accent2" xfId="286"/>
    <cellStyle name="20% - Accent3" xfId="287"/>
    <cellStyle name="20% - Accent4" xfId="288"/>
    <cellStyle name="20% - Accent5" xfId="289"/>
    <cellStyle name="20% - Accent6" xfId="290"/>
    <cellStyle name="40% - Accent1" xfId="291"/>
    <cellStyle name="40% - Accent2" xfId="292"/>
    <cellStyle name="40% - Accent3" xfId="293"/>
    <cellStyle name="40% - Accent4" xfId="294"/>
    <cellStyle name="40% - Accent5" xfId="295"/>
    <cellStyle name="40% - Accent6" xfId="296"/>
    <cellStyle name="60% - Accent1" xfId="297"/>
    <cellStyle name="60% - Accent2" xfId="298"/>
    <cellStyle name="60% - Accent3" xfId="299"/>
    <cellStyle name="60% - Accent4" xfId="300"/>
    <cellStyle name="60% - Accent5" xfId="301"/>
    <cellStyle name="60% - Accent6" xfId="302"/>
    <cellStyle name="Accent1" xfId="303"/>
    <cellStyle name="Accent2" xfId="304"/>
    <cellStyle name="Accent3" xfId="305"/>
    <cellStyle name="Accent4" xfId="306"/>
    <cellStyle name="Accent5" xfId="307"/>
    <cellStyle name="Accent6" xfId="308"/>
    <cellStyle name="Bad" xfId="309"/>
    <cellStyle name="Calculation" xfId="310"/>
    <cellStyle name="Check Cell" xfId="311"/>
    <cellStyle name="Explanatory Text" xfId="312"/>
    <cellStyle name="Good" xfId="313"/>
    <cellStyle name="Heading 1" xfId="314"/>
    <cellStyle name="Heading 2" xfId="315"/>
    <cellStyle name="Heading 3" xfId="316"/>
    <cellStyle name="Heading 4" xfId="317"/>
    <cellStyle name="Input" xfId="318"/>
    <cellStyle name="Linked Cell" xfId="319"/>
    <cellStyle name="Neutral" xfId="320"/>
    <cellStyle name="Normal 2" xfId="321"/>
    <cellStyle name="Normal 2 2" xfId="322"/>
    <cellStyle name="Normal 3 2" xfId="323"/>
    <cellStyle name="Note" xfId="324"/>
    <cellStyle name="Output" xfId="325"/>
    <cellStyle name="Total" xfId="326"/>
    <cellStyle name="Warning Text" xfId="327"/>
    <cellStyle name="常规 10" xfId="328"/>
    <cellStyle name="常规 10 2" xfId="329"/>
    <cellStyle name="常规 10 3" xfId="330"/>
    <cellStyle name="常规 10 4" xfId="331"/>
    <cellStyle name="常规 11 2" xfId="332"/>
    <cellStyle name="常规 11 3" xfId="333"/>
    <cellStyle name="常规 11 4" xfId="334"/>
    <cellStyle name="常规 12 2" xfId="335"/>
    <cellStyle name="常规 12 3" xfId="336"/>
    <cellStyle name="常规 12 4" xfId="337"/>
    <cellStyle name="常规 13 2" xfId="338"/>
    <cellStyle name="常规 13 3" xfId="339"/>
    <cellStyle name="常规 13 4" xfId="340"/>
    <cellStyle name="常规 2 2 2" xfId="341"/>
    <cellStyle name="常规 2 2 3" xfId="342"/>
    <cellStyle name="常规 2 3 2" xfId="343"/>
    <cellStyle name="常规 2 4" xfId="344"/>
    <cellStyle name="常规 2 5" xfId="345"/>
    <cellStyle name="常规 2 6" xfId="346"/>
    <cellStyle name="常规 2 7" xfId="347"/>
    <cellStyle name="常规 2 8" xfId="348"/>
    <cellStyle name="常规 2_经销商信息-1-原始表" xfId="349"/>
    <cellStyle name="常规 3 2" xfId="350"/>
    <cellStyle name="常规 3 3" xfId="351"/>
    <cellStyle name="常规 3 4" xfId="352"/>
    <cellStyle name="常规 4 2" xfId="353"/>
    <cellStyle name="常规 4 3" xfId="354"/>
    <cellStyle name="常规 4 4" xfId="355"/>
    <cellStyle name="常规 5 2" xfId="356"/>
    <cellStyle name="常规 5 3" xfId="357"/>
    <cellStyle name="常规 5 4" xfId="358"/>
    <cellStyle name="常规 6 2" xfId="359"/>
    <cellStyle name="常规 6 3" xfId="360"/>
    <cellStyle name="常规 6 4" xfId="361"/>
    <cellStyle name="常规 6 5" xfId="362"/>
    <cellStyle name="常规 7 2" xfId="363"/>
    <cellStyle name="常规 7 3" xfId="364"/>
    <cellStyle name="常规 7 4" xfId="365"/>
    <cellStyle name="常规 8" xfId="366"/>
    <cellStyle name="常规 8 2" xfId="367"/>
    <cellStyle name="常规 8 3" xfId="368"/>
    <cellStyle name="常规 8 4" xfId="369"/>
    <cellStyle name="常规 9" xfId="370"/>
    <cellStyle name="常规 9 2" xfId="371"/>
    <cellStyle name="常规 9 3" xfId="372"/>
    <cellStyle name="常规 9 4" xfId="373"/>
    <cellStyle name="超链接 2 2" xfId="374"/>
    <cellStyle name="常规 2 3 4" xfId="375"/>
    <cellStyle name="常规 2 2 4" xfId="376"/>
    <cellStyle name="常规 4 2 2" xfId="377"/>
    <cellStyle name="百分比 2 2" xfId="378"/>
    <cellStyle name="千位分隔 2 4" xfId="379"/>
    <cellStyle name="常规_制造费用 2" xfId="380"/>
    <cellStyle name="常规 89" xfId="381"/>
    <cellStyle name="常规_F1短期投资及跌价准备" xfId="382"/>
    <cellStyle name="常规_2-1项目审定表－模板" xfId="383"/>
    <cellStyle name="常规_进一步审计程序--销售与收款循环" xfId="384"/>
    <cellStyle name="常规_进一步审计程序--销售与收款循环 2" xfId="385"/>
    <cellStyle name="常规 2 2 3 2" xfId="386"/>
    <cellStyle name="常规 2 5 2" xfId="387"/>
    <cellStyle name="常规 2 2 5" xfId="388"/>
    <cellStyle name="常规 2 8 2" xfId="389"/>
    <cellStyle name="常规 2 9" xfId="390"/>
    <cellStyle name="千位分隔 6" xfId="391"/>
    <cellStyle name="常规 11 5" xfId="392"/>
  </cellStyles>
  <dxfs count="5">
    <dxf>
      <font>
        <color rgb="009C6500"/>
      </font>
      <fill>
        <patternFill patternType="solid">
          <fgColor rgb="00FFF2CC"/>
        </patternFill>
      </fill>
    </dxf>
    <dxf>
      <fill>
        <patternFill patternType="solid">
          <fgColor rgb="FFD9D9D9"/>
        </patternFill>
      </fill>
    </dxf>
    <dxf>
      <fill>
        <patternFill patternType="solid">
          <fgColor rgb="00FFC7CE"/>
        </patternFill>
      </fill>
    </dxf>
    <dxf>
      <fill>
        <patternFill patternType="solid">
          <fgColor rgb="00F8CBAD"/>
        </patternFill>
      </fill>
    </dxf>
    <dxf>
      <font>
        <name val="宋体"/>
        <color rgb="009C6500"/>
        <sz val="10"/>
      </font>
      <fill>
        <patternFill patternType="solid">
          <fgColor rgb="00FFF2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Cursor优化</author>
  </authors>
  <commentList>
    <comment ref="B51" authorId="0" shapeId="0">
      <text>
        <t>已修复原#REF!：按与合营/联营相同规则，从G7-4共同经营区（第35-36行）取数；若不适用可手工覆盖。</t>
      </text>
    </comment>
  </commentList>
</comments>
</file>

<file path=xl/comments/comment3.xml><?xml version="1.0" encoding="utf-8"?>
<comments xmlns="http://schemas.openxmlformats.org/spreadsheetml/2006/main">
  <authors>
    <author>G7-11优化</author>
    <author>Cursor优化</author>
  </authors>
  <commentList>
    <comment ref="C6" authorId="0" shapeId="0">
      <text>
        <t>本表仅覆盖单次交易丧失控制权且不构成一揽子交易的情形；分步处置构成一揽子请改用G7-12。</t>
      </text>
    </comment>
    <comment ref="G8" authorId="0" shapeId="0">
      <text>
        <t>如：出售股权、被动稀释、协议安排变化等。需与1.1丧失控制权依据相互印证。</t>
      </text>
    </comment>
    <comment ref="C9" authorId="1" shapeId="0">
      <text>
        <t>优先取自G7-4注册地；若已不在G7-4名录，请手工覆盖为本期披露值。</t>
      </text>
    </comment>
    <comment ref="D9" authorId="1" shapeId="0">
      <text>
        <t>优先取自G7-4业务性质；匹配失败请手工覆盖。</t>
      </text>
    </comment>
    <comment ref="E9" authorId="1" shapeId="0">
      <text>
        <t>优先取自G7-4直接+间接持股；处置前持股比例如与名录不一致请手工覆盖。</t>
      </text>
    </comment>
    <comment ref="C10" authorId="1" shapeId="0">
      <text>
        <t>优先取自G7-4注册地；若已不在G7-4名录，请手工覆盖为本期披露值。</t>
      </text>
    </comment>
    <comment ref="D10" authorId="1" shapeId="0">
      <text>
        <t>优先取自G7-4业务性质；匹配失败请手工覆盖。</t>
      </text>
    </comment>
    <comment ref="E10" authorId="1" shapeId="0">
      <text>
        <t>优先取自G7-4直接+间接持股；处置前持股比例如与名录不一致请手工覆盖。</t>
      </text>
    </comment>
    <comment ref="C11" authorId="1" shapeId="0">
      <text>
        <t>优先取自G7-4注册地；若已不在G7-4名录，请手工覆盖为本期披露值。</t>
      </text>
    </comment>
    <comment ref="D11" authorId="1" shapeId="0">
      <text>
        <t>优先取自G7-4业务性质；匹配失败请手工覆盖。</t>
      </text>
    </comment>
    <comment ref="E11" authorId="1" shapeId="0">
      <text>
        <t>优先取自G7-4直接+间接持股；处置前持股比例如与名录不一致请手工覆盖。</t>
      </text>
    </comment>
    <comment ref="C12" authorId="1" shapeId="0">
      <text>
        <t>优先取自G7-4注册地；若已不在G7-4名录，请手工覆盖为本期披露值。</t>
      </text>
    </comment>
    <comment ref="D12" authorId="1" shapeId="0">
      <text>
        <t>优先取自G7-4业务性质；匹配失败请手工覆盖。</t>
      </text>
    </comment>
    <comment ref="E12" authorId="1" shapeId="0">
      <text>
        <t>优先取自G7-4直接+间接持股；处置前持股比例如与名录不一致请手工覆盖。</t>
      </text>
    </comment>
    <comment ref="C13" authorId="1" shapeId="0">
      <text>
        <t>优先取自G7-4注册地；若已不在G7-4名录，请手工覆盖为本期披露值。</t>
      </text>
    </comment>
    <comment ref="D13" authorId="1" shapeId="0">
      <text>
        <t>优先取自G7-4业务性质；匹配失败请手工覆盖。</t>
      </text>
    </comment>
    <comment ref="E13" authorId="1" shapeId="0">
      <text>
        <t>优先取自G7-4直接+间接持股；处置前持股比例如与名录不一致请手工覆盖。</t>
      </text>
    </comment>
    <comment ref="D16" authorId="1" shapeId="0">
      <text>
        <t>默认取基本情况持股比例；若处置前比例不同请手工覆盖。</t>
      </text>
    </comment>
    <comment ref="G16" authorId="0" shapeId="0">
      <text>
        <t>联营/合营：丧失控制权后具有重大影响/共同控制；金融资产：无重大影响；无：全部处置。全额处置可留空或选“无”。</t>
      </text>
    </comment>
    <comment ref="D17" authorId="1" shapeId="0">
      <text>
        <t>默认取基本情况持股比例；若处置前比例不同请手工覆盖。</t>
      </text>
    </comment>
    <comment ref="G17" authorId="0" shapeId="0">
      <text>
        <t>联营/合营：丧失控制权后具有重大影响/共同控制；金融资产：无重大影响；无：全部处置。全额处置可留空或选“无”。</t>
      </text>
    </comment>
    <comment ref="D18" authorId="1" shapeId="0">
      <text>
        <t>默认取基本情况持股比例；若处置前比例不同请手工覆盖。</t>
      </text>
    </comment>
    <comment ref="G18" authorId="0" shapeId="0">
      <text>
        <t>联营/合营：丧失控制权后具有重大影响/共同控制；金融资产：无重大影响；无：全部处置。全额处置可留空或选“无”。</t>
      </text>
    </comment>
    <comment ref="D19" authorId="1" shapeId="0">
      <text>
        <t>默认取基本情况持股比例；若处置前比例不同请手工覆盖。</t>
      </text>
    </comment>
    <comment ref="G19" authorId="0" shapeId="0">
      <text>
        <t>联营/合营：丧失控制权后具有重大影响/共同控制；金融资产：无重大影响；无：全部处置。全额处置可留空或选“无”。</t>
      </text>
    </comment>
    <comment ref="D20" authorId="1" shapeId="0">
      <text>
        <t>默认取基本情况持股比例；若处置前比例不同请手工覆盖。</t>
      </text>
    </comment>
    <comment ref="G20" authorId="0" shapeId="0">
      <text>
        <t>联营/合营：丧失控制权后具有重大影响/共同控制；金融资产：无重大影响；无：全部处置。全额处置可留空或选“无”。</t>
      </text>
    </comment>
    <comment ref="C24" authorId="1" shapeId="0">
      <text>
        <t>处置日母公司个别报表长期股权投资账面价值（处置前）。</t>
      </text>
    </comment>
    <comment ref="K24" authorId="0" shapeId="0">
      <text>
        <t>联营/合营：重计量利得+可重分类OCI×处置比例；金融资产：重计量+金融资产OCI；全额处置/无：价款−转出长投+相关OCI。母公司对子公司通常为成本法。</t>
      </text>
    </comment>
    <comment ref="C25" authorId="1" shapeId="0">
      <text>
        <t>处置日母公司个别报表长期股权投资账面价值（处置前）。</t>
      </text>
    </comment>
    <comment ref="K25" authorId="0" shapeId="0">
      <text>
        <t>联营/合营：重计量利得+可重分类OCI×处置比例；金融资产：重计量+金融资产OCI；全额处置/无：价款−转出长投+相关OCI。母公司对子公司通常为成本法。</t>
      </text>
    </comment>
    <comment ref="C26" authorId="1" shapeId="0">
      <text>
        <t>处置日母公司个别报表长期股权投资账面价值（处置前）。</t>
      </text>
    </comment>
    <comment ref="K26" authorId="0" shapeId="0">
      <text>
        <t>联营/合营：重计量利得+可重分类OCI×处置比例；金融资产：重计量+金融资产OCI；全额处置/无：价款−转出长投+相关OCI。母公司对子公司通常为成本法。</t>
      </text>
    </comment>
    <comment ref="C27" authorId="1" shapeId="0">
      <text>
        <t>处置日母公司个别报表长期股权投资账面价值（处置前）。</t>
      </text>
    </comment>
    <comment ref="K27" authorId="0" shapeId="0">
      <text>
        <t>联营/合营：重计量利得+可重分类OCI×处置比例；金融资产：重计量+金融资产OCI；全额处置/无：价款−转出长投+相关OCI。母公司对子公司通常为成本法。</t>
      </text>
    </comment>
    <comment ref="C28" authorId="1" shapeId="0">
      <text>
        <t>处置日母公司个别报表长期股权投资账面价值（处置前）。</t>
      </text>
    </comment>
    <comment ref="K28" authorId="0" shapeId="0">
      <text>
        <t>联营/合营：重计量利得+可重分类OCI×处置比例；金融资产：重计量+金融资产OCI；全额处置/无：价款−转出长投+相关OCI。母公司对子公司通常为成本法。</t>
      </text>
    </comment>
    <comment ref="D32" authorId="1" shapeId="0">
      <text>
        <t>=子公司净资产×原持股比例。</t>
      </text>
    </comment>
    <comment ref="E32" authorId="1" shapeId="0">
      <text>
        <t>=处置价款-子公司净资产×处置比例。</t>
      </text>
    </comment>
    <comment ref="F32" authorId="0" shapeId="0">
      <text>
        <t>填与该子公司相关的合并商誉账面价值；无商誉填0。</t>
      </text>
    </comment>
    <comment ref="G32" authorId="1" shapeId="0">
      <text>
        <t>合并层面剩余股权对应净资产份额（简化）；如有其他调整请手工覆盖。</t>
      </text>
    </comment>
    <comment ref="K32" authorId="1" shapeId="0">
      <text>
        <t>仅填可重分类至损益的OCI；不要填总投资收益。</t>
      </text>
    </comment>
    <comment ref="P32" authorId="0" shapeId="0">
      <text>
        <t>合并层处置损益=处置价款+剩余股权FV−原持股对应净资产份额−商誉+OCI重分类+外币折算差额转入−所得税影响。M列少数股东权益终止确认为备查，不计入本公式。</t>
      </text>
    </comment>
    <comment ref="D33" authorId="1" shapeId="0">
      <text>
        <t>=子公司净资产×原持股比例。</t>
      </text>
    </comment>
    <comment ref="E33" authorId="1" shapeId="0">
      <text>
        <t>=处置价款-子公司净资产×处置比例。</t>
      </text>
    </comment>
    <comment ref="F33" authorId="0" shapeId="0">
      <text>
        <t>填与该子公司相关的合并商誉账面价值；无商誉填0。</t>
      </text>
    </comment>
    <comment ref="G33" authorId="1" shapeId="0">
      <text>
        <t>合并层面剩余股权对应净资产份额（简化）；如有其他调整请手工覆盖。</t>
      </text>
    </comment>
    <comment ref="K33" authorId="1" shapeId="0">
      <text>
        <t>仅填可重分类至损益的OCI；不要填总投资收益。</t>
      </text>
    </comment>
    <comment ref="P33" authorId="0" shapeId="0">
      <text>
        <t>合并层处置损益=处置价款+剩余股权FV−原持股对应净资产份额−商誉+OCI重分类+外币折算差额转入−所得税影响。M列少数股东权益终止确认为备查，不计入本公式。</t>
      </text>
    </comment>
    <comment ref="D34" authorId="1" shapeId="0">
      <text>
        <t>=子公司净资产×原持股比例。</t>
      </text>
    </comment>
    <comment ref="E34" authorId="1" shapeId="0">
      <text>
        <t>=处置价款-子公司净资产×处置比例。</t>
      </text>
    </comment>
    <comment ref="F34" authorId="0" shapeId="0">
      <text>
        <t>填与该子公司相关的合并商誉账面价值；无商誉填0。</t>
      </text>
    </comment>
    <comment ref="G34" authorId="1" shapeId="0">
      <text>
        <t>合并层面剩余股权对应净资产份额（简化）；如有其他调整请手工覆盖。</t>
      </text>
    </comment>
    <comment ref="K34" authorId="1" shapeId="0">
      <text>
        <t>仅填可重分类至损益的OCI；不要填总投资收益。</t>
      </text>
    </comment>
    <comment ref="P34" authorId="0" shapeId="0">
      <text>
        <t>合并层处置损益=处置价款+剩余股权FV−原持股对应净资产份额−商誉+OCI重分类+外币折算差额转入−所得税影响。M列少数股东权益终止确认为备查，不计入本公式。</t>
      </text>
    </comment>
    <comment ref="D35" authorId="1" shapeId="0">
      <text>
        <t>=子公司净资产×原持股比例。</t>
      </text>
    </comment>
    <comment ref="E35" authorId="1" shapeId="0">
      <text>
        <t>=处置价款-子公司净资产×处置比例。</t>
      </text>
    </comment>
    <comment ref="F35" authorId="0" shapeId="0">
      <text>
        <t>填与该子公司相关的合并商誉账面价值；无商誉填0。</t>
      </text>
    </comment>
    <comment ref="G35" authorId="1" shapeId="0">
      <text>
        <t>合并层面剩余股权对应净资产份额（简化）；如有其他调整请手工覆盖。</t>
      </text>
    </comment>
    <comment ref="K35" authorId="1" shapeId="0">
      <text>
        <t>仅填可重分类至损益的OCI；不要填总投资收益。</t>
      </text>
    </comment>
    <comment ref="P35" authorId="0" shapeId="0">
      <text>
        <t>合并层处置损益=处置价款+剩余股权FV−原持股对应净资产份额−商誉+OCI重分类+外币折算差额转入−所得税影响。M列少数股东权益终止确认为备查，不计入本公式。</t>
      </text>
    </comment>
    <comment ref="D36" authorId="1" shapeId="0">
      <text>
        <t>=子公司净资产×原持股比例。</t>
      </text>
    </comment>
    <comment ref="E36" authorId="1" shapeId="0">
      <text>
        <t>=处置价款-子公司净资产×处置比例。</t>
      </text>
    </comment>
    <comment ref="F36" authorId="0" shapeId="0">
      <text>
        <t>填与该子公司相关的合并商誉账面价值；无商誉填0。</t>
      </text>
    </comment>
    <comment ref="G36" authorId="1" shapeId="0">
      <text>
        <t>合并层面剩余股权对应净资产份额（简化）；如有其他调整请手工覆盖。</t>
      </text>
    </comment>
    <comment ref="K36" authorId="1" shapeId="0">
      <text>
        <t>仅填可重分类至损益的OCI；不要填总投资收益。</t>
      </text>
    </comment>
    <comment ref="P36" authorId="0" shapeId="0">
      <text>
        <t>合并层处置损益=处置价款+剩余股权FV−原持股对应净资产份额−商誉+OCI重分类+外币折算差额转入−所得税影响。M列少数股东权益终止确认为备查，不计入本公式。</t>
      </text>
    </comment>
    <comment ref="M42" authorId="0" shapeId="0">
      <text>
        <t>法定盈余公积计提比例，常见10%（填0.10）。按公司章程调整。</t>
      </text>
    </comment>
    <comment ref="M43" authorId="0" shapeId="0">
      <text>
        <t>法定盈余公积计提比例，常见10%（填0.10）。按公司章程调整。</t>
      </text>
    </comment>
    <comment ref="M44" authorId="0" shapeId="0">
      <text>
        <t>法定盈余公积计提比例，常见10%（填0.10）。按公司章程调整。</t>
      </text>
    </comment>
    <comment ref="M45" authorId="0" shapeId="0">
      <text>
        <t>法定盈余公积计提比例，常见10%（填0.10）。按公司章程调整。</t>
      </text>
    </comment>
    <comment ref="M46" authorId="0" shapeId="0">
      <text>
        <t>法定盈余公积计提比例，常见10%（填0.10）。按公司章程调整。</t>
      </text>
    </comment>
    <comment ref="R48" authorId="0" shapeId="0">
      <text>
        <t>填本账户或报表整体重要性水平。未填时勾稽结论为“待填重要性水平”。</t>
      </text>
    </comment>
    <comment ref="D50" authorId="0" shapeId="0">
      <text>
        <t>银行回单入账金额或协议约定对价（含或有对价最佳估计）。</t>
      </text>
    </comment>
    <comment ref="G50" authorId="0" shapeId="0">
      <text>
        <t>优先匹配G7-2成本法“本期减少金额”，其次期初/期末金额；权益法匹配合营/联营期初金额。处置日账面可能与G7-2不一致，仅作参考。</t>
      </text>
    </comment>
    <comment ref="J50" authorId="0" shapeId="0">
      <text>
        <t>账面已确认或拟调整至G7-3的投资收益。</t>
      </text>
    </comment>
    <comment ref="O50" authorId="0" shapeId="0">
      <text>
        <t>引用2.2合并层处置投资收益，便于与单体⑦对照（差异通常来自商誉/净资产持续计算）。</t>
      </text>
    </comment>
    <comment ref="D51" authorId="0" shapeId="0">
      <text>
        <t>银行回单入账金额或协议约定对价（含或有对价最佳估计）。</t>
      </text>
    </comment>
    <comment ref="G51" authorId="0" shapeId="0">
      <text>
        <t>优先匹配G7-2成本法“本期减少金额”，其次期初/期末金额；权益法匹配合营/联营期初金额。处置日账面可能与G7-2不一致，仅作参考。</t>
      </text>
    </comment>
    <comment ref="J51" authorId="0" shapeId="0">
      <text>
        <t>账面已确认或拟调整至G7-3的投资收益。</t>
      </text>
    </comment>
    <comment ref="O51" authorId="0" shapeId="0">
      <text>
        <t>引用2.2合并层处置投资收益，便于与单体⑦对照（差异通常来自商誉/净资产持续计算）。</t>
      </text>
    </comment>
    <comment ref="D52" authorId="0" shapeId="0">
      <text>
        <t>银行回单入账金额或协议约定对价（含或有对价最佳估计）。</t>
      </text>
    </comment>
    <comment ref="G52" authorId="0" shapeId="0">
      <text>
        <t>优先匹配G7-2成本法“本期减少金额”，其次期初/期末金额；权益法匹配合营/联营期初金额。处置日账面可能与G7-2不一致，仅作参考。</t>
      </text>
    </comment>
    <comment ref="J52" authorId="0" shapeId="0">
      <text>
        <t>账面已确认或拟调整至G7-3的投资收益。</t>
      </text>
    </comment>
    <comment ref="O52" authorId="0" shapeId="0">
      <text>
        <t>引用2.2合并层处置投资收益，便于与单体⑦对照（差异通常来自商誉/净资产持续计算）。</t>
      </text>
    </comment>
    <comment ref="D53" authorId="0" shapeId="0">
      <text>
        <t>银行回单入账金额或协议约定对价（含或有对价最佳估计）。</t>
      </text>
    </comment>
    <comment ref="G53" authorId="0" shapeId="0">
      <text>
        <t>优先匹配G7-2成本法“本期减少金额”，其次期初/期末金额；权益法匹配合营/联营期初金额。处置日账面可能与G7-2不一致，仅作参考。</t>
      </text>
    </comment>
    <comment ref="J53" authorId="0" shapeId="0">
      <text>
        <t>账面已确认或拟调整至G7-3的投资收益。</t>
      </text>
    </comment>
    <comment ref="O53" authorId="0" shapeId="0">
      <text>
        <t>引用2.2合并层处置投资收益，便于与单体⑦对照（差异通常来自商誉/净资产持续计算）。</t>
      </text>
    </comment>
    <comment ref="D54" authorId="0" shapeId="0">
      <text>
        <t>银行回单入账金额或协议约定对价（含或有对价最佳估计）。</t>
      </text>
    </comment>
    <comment ref="G54" authorId="0" shapeId="0">
      <text>
        <t>优先匹配G7-2成本法“本期减少金额”，其次期初/期末金额；权益法匹配合营/联营期初金额。处置日账面可能与G7-2不一致，仅作参考。</t>
      </text>
    </comment>
    <comment ref="J54" authorId="0" shapeId="0">
      <text>
        <t>账面已确认或拟调整至G7-3的投资收益。</t>
      </text>
    </comment>
    <comment ref="O54" authorId="0" shapeId="0">
      <text>
        <t>引用2.2合并层处置投资收益，便于与单体⑦对照（差异通常来自商誉/净资产持续计算）。</t>
      </text>
    </comment>
    <comment ref="A58" authorId="0" shapeId="0">
      <text>
        <t>自动汇总各行复核未通过事项；审计结论仍须人工确认。</t>
      </text>
    </comment>
  </commentList>
</comments>
</file>

<file path=xl/comments/comment4.xml><?xml version="1.0" encoding="utf-8"?>
<comments xmlns="http://schemas.openxmlformats.org/spreadsheetml/2006/main">
  <authors>
    <author>Cursor</author>
  </authors>
  <commentList>
    <comment ref="B21" authorId="0" shapeId="0">
      <text>
        <t>总体结论应结合四项迹象、合同安排、定价机制及反向证据综合判断，不应机械按满足项目数量决定。</t>
      </text>
    </comment>
    <comment ref="I22" authorId="0" shapeId="0">
      <text>
        <t>控制权丧失日应结合协议生效、审批、价款支付、产权交割、董事会改组及工商变更等事实判断。</t>
      </text>
    </comment>
    <comment ref="K22" authorId="0" shapeId="0">
      <text>
        <t>至少包括股权转让协议、审批文件、收付款凭证、产权交割资料、工商变更及估值报告（如适用）。</t>
      </text>
    </comment>
    <comment ref="M35" authorId="0" shapeId="0">
      <text>
        <t>处置价款+剩余股权公允价值-子公司净资产-商誉+可转损益OCI+前序交易差额</t>
      </text>
    </comment>
    <comment ref="M36" authorId="0" shapeId="0">
      <text>
        <t>处置价款+剩余股权公允价值-子公司净资产-商誉+可转损益OCI+前序交易差额</t>
      </text>
    </comment>
    <comment ref="M37" authorId="0" shapeId="0">
      <text>
        <t>处置价款+剩余股权公允价值-子公司净资产-商誉+可转损益OCI+前序交易差额</t>
      </text>
    </comment>
    <comment ref="M38" authorId="0" shapeId="0">
      <text>
        <t>处置价款+剩余股权公允价值-子公司净资产-商誉+可转损益OCI+前序交易差额</t>
      </text>
    </comment>
  </commentList>
</comments>
</file>

<file path=xl/comments/comment5.xml><?xml version="1.0" encoding="utf-8"?>
<comments xmlns="http://schemas.openxmlformats.org/spreadsheetml/2006/main">
  <authors>
    <author>G7-13优化</author>
  </authors>
  <commentList>
    <comment ref="C10" authorId="0" shapeId="0">
      <text>
        <t>三类形成路径互斥填列：同一被投资单位同一交易只填一个区段。比例一律填小数（如0.30表示30%）。</t>
      </text>
    </comment>
    <comment ref="B12" authorId="0" shapeId="0">
      <text>
        <t>填写合营/联营企业全称；可与G7-4被投资单位名录勾稽。</t>
      </text>
    </comment>
    <comment ref="G23" authorId="0" shapeId="0">
      <text>
        <t>D=支付对价−可辨认净资产公允价值×投资比例。D&gt;0为内含商誉（不调成本）；D&lt;0调增长投并确认营业外收入。</t>
      </text>
    </comment>
    <comment ref="G24" authorId="0" shapeId="0">
      <text>
        <t>D=支付对价−可辨认净资产公允价值×投资比例。D&gt;0为内含商誉（不调成本）；D&lt;0调增长投并确认营业外收入。</t>
      </text>
    </comment>
    <comment ref="G25" authorId="0" shapeId="0">
      <text>
        <t>D=支付对价−可辨认净资产公允价值×投资比例。D&gt;0为内含商誉（不调成本）；D&lt;0调增长投并确认营业外收入。</t>
      </text>
    </comment>
    <comment ref="G26" authorId="0" shapeId="0">
      <text>
        <t>D=支付对价−可辨认净资产公允价值×投资比例。D&gt;0为内含商誉（不调成本）；D&lt;0调增长投并确认营业外收入。</t>
      </text>
    </comment>
    <comment ref="I27" authorId="0" shapeId="0">
      <text>
        <t>营业外收入按各投资项目分行确认后汇总；不同被投资单位不得用净额差额互相抵销。</t>
      </text>
    </comment>
    <comment ref="K29" authorId="0" shapeId="0">
      <text>
        <t>原投资若为交易性金融资产，公允价值变动通常已计入损益，本栏I可填0；若为指定FVOCI权益工具，累计OCI一般不得转入损益，应转入留存收益（请在审计说明披露，本表M仅汇总可转损益部分）。</t>
      </text>
    </comment>
    <comment ref="H31" authorId="0" shapeId="0">
      <text>
        <t>初始成本比较基础=原股权追加日FV+新增对价；与追加后总持股比例×追加日可辨认净资产FV比较。前者大=内含商誉不调；前者小=调增长投并确认营业外收入。</t>
      </text>
    </comment>
    <comment ref="H32" authorId="0" shapeId="0">
      <text>
        <t>初始成本比较基础=原股权追加日FV+新增对价；与追加后总持股比例×追加日可辨认净资产FV比较。前者大=内含商誉不调；前者小=调增长投并确认营业外收入。</t>
      </text>
    </comment>
    <comment ref="H33" authorId="0" shapeId="0">
      <text>
        <t>初始成本比较基础=原股权追加日FV+新增对价；与追加后总持股比例×追加日可辨认净资产FV比较。前者大=内含商誉不调；前者小=调增长投并确认营业外收入。</t>
      </text>
    </comment>
    <comment ref="J38" authorId="0" shapeId="0">
      <text>
        <t>新增投资成本确认：B+G≥0时取新增对价D；B+G&lt;0时调增至应享有新增份额对应金额。</t>
      </text>
    </comment>
    <comment ref="K38" authorId="0" shapeId="0">
      <text>
        <t>综合考虑原投资内含商誉B与新增差额G：仅当B+G&lt;0时，按−(B+G)确认营业外收入；否则为0。不得忽略原商誉而单独按新增负差额确认收益。</t>
      </text>
    </comment>
    <comment ref="J39" authorId="0" shapeId="0">
      <text>
        <t>新增投资成本确认：B+G≥0时取新增对价D；B+G&lt;0时调增至应享有新增份额对应金额。</t>
      </text>
    </comment>
    <comment ref="K39" authorId="0" shapeId="0">
      <text>
        <t>综合考虑原投资内含商誉B与新增差额G：仅当B+G&lt;0时，按−(B+G)确认营业外收入；否则为0。不得忽略原商誉而单独按新增负差额确认收益。</t>
      </text>
    </comment>
    <comment ref="J40" authorId="0" shapeId="0">
      <text>
        <t>新增投资成本确认：B+G≥0时取新增对价D；B+G&lt;0时调增至应享有新增份额对应金额。</t>
      </text>
    </comment>
    <comment ref="K40" authorId="0" shapeId="0">
      <text>
        <t>综合考虑原投资内含商誉B与新增差额G：仅当B+G&lt;0时，按−(B+G)确认营业外收入；否则为0。不得忽略原商誉而单独按新增负差额确认收益。</t>
      </text>
    </comment>
    <comment ref="J41" authorId="0" shapeId="0">
      <text>
        <t>新增投资成本确认：B+G≥0时取新增对价D；B+G&lt;0时调增至应享有新增份额对应金额。</t>
      </text>
    </comment>
    <comment ref="K41" authorId="0" shapeId="0">
      <text>
        <t>综合考虑原投资内含商誉B与新增差额G：仅当B+G&lt;0时，按−(B+G)确认营业外收入；否则为0。不得忽略原商誉而单独按新增负差额确认收益。</t>
      </text>
    </comment>
    <comment ref="E47" authorId="0" shapeId="0">
      <text>
        <t>差异=公允价值−账面价值。存货：随出售结转调净利润；固定资产/无形资产：按剩余年限折旧摊销调净利润。以后各期调整数填对净利润的影响（投资方按持股比例在G7-14再乘比例）。</t>
      </text>
    </comment>
    <comment ref="E48" authorId="0" shapeId="0">
      <text>
        <t>差异=公允价值−账面价值。存货：随出售结转调净利润；固定资产/无形资产：按剩余年限折旧摊销调净利润。以后各期调整数填对净利润的影响（投资方按持股比例在G7-14再乘比例）。</t>
      </text>
    </comment>
    <comment ref="E49" authorId="0" shapeId="0">
      <text>
        <t>差异=公允价值−账面价值。存货：随出售结转调净利润；固定资产/无形资产：按剩余年限折旧摊销调净利润。以后各期调整数填对净利润的影响（投资方按持股比例在G7-14再乘比例）。</t>
      </text>
    </comment>
    <comment ref="E51" authorId="0" shapeId="0">
      <text>
        <t>负债：差异=公允价值−账面价值。负债公允价值高于账面时差异为正，后续结算/摊销对净利润的影响方向需结合项目性质填写（通常与资产相反）。</t>
      </text>
    </comment>
    <comment ref="M54" authorId="0" shapeId="0">
      <text>
        <t>本行各年金额为被投资单位层面的净利润调整数（100%）。G7-14计算投资收益时应再乘投资方持股比例。符号：调增净利润为正，调减为负。</t>
      </text>
    </comment>
    <comment ref="D62" authorId="0" shapeId="0">
      <text>
        <t>优先匹配G7-2权益法合营/联营期初金额，其次成本法期初。初始成本与账面可能因后续权益法调整而不一致，仅作参考。</t>
      </text>
    </comment>
    <comment ref="A66" authorId="0" shapeId="0">
      <text>
        <t>自动汇总异常；审计结论须人工确认。</t>
      </text>
    </comment>
  </commentList>
</comments>
</file>

<file path=xl/comments/comment6.xml><?xml version="1.0" encoding="utf-8"?>
<comments xmlns="http://schemas.openxmlformats.org/spreadsheetml/2006/main">
  <authors>
    <author>Cursor</author>
    <author>G7-15优化</author>
    <author>G7-14扩容</author>
    <author>G7第四轮</author>
  </authors>
  <commentList>
    <comment ref="L8" authorId="0" shapeId="0">
      <text>
        <t>⑩=⑨-⑤+⑧。若⑨取“损益调整本期净增加”，正确时⑩≈0；若⑨取“投资收益”科目发生额，正确时⑨≈⑤，需另核股利冲减长投分录。</t>
      </text>
    </comment>
    <comment ref="L10" authorId="1" shapeId="0">
      <text>
        <t>投资收益差异分析时，请索引G7-15的G32（内部交易对投资收益的调整）。</t>
      </text>
    </comment>
    <comment ref="B11" authorId="2" shapeId="0">
      <text>
        <t>已扩至10行：前5行=G7-2合营企业(B33:B37)，后5行=联营企业(B40:B44)。名称为空或“……”时本行测算留空。</t>
      </text>
    </comment>
    <comment ref="T17" authorId="0" shapeId="0">
      <text>
        <t>“经审计净资产P”应取自第3部分“调整后所有者权益合计”期末数；多公司时按公司复制第3部分。</t>
      </text>
    </comment>
    <comment ref="X17" authorId="0" shapeId="0">
      <text>
        <t>未解释差额=与享有净资产差额−商誉−累计FV调整+减值准备；接近0表示差额已充分解释</t>
      </text>
    </comment>
    <comment ref="A22" authorId="3" shapeId="0">
      <text>
        <t>第2部分说明：成本增减=AQ−AX；损益调整增减=AR−AY；期初G/J/M需手工（G7-2无分项）；P/S勾稽差异应≈0。</t>
      </text>
    </comment>
    <comment ref="P23" authorId="3" shapeId="0">
      <text>
        <t>期初勾稽差异 = (投资成本期初+损益调整期初+OCI期初+其他权益期初) − G7-2审定期初总额(AO)。G7-2期初不分明细：若期初仅有投资成本，将损益/OCI/其他期初留空或填0，本差异应≈0。若上年已有损益调整等余额，请手工填入G/J/M使差异≈0。</t>
      </text>
    </comment>
    <comment ref="S23" authorId="3" shapeId="0">
      <text>
        <t>期末勾稽差异 = (成本+损益调整+OCI+其他权益)期末合计 − G7-2审定期末总额(BB)。应≈0，否则说明明细滚存与明细表不一致。</t>
      </text>
    </comment>
    <comment ref="E24" authorId="3" shapeId="0">
      <text>
        <t>投资成本本期增减 = G7-2投资成本增加(AQ) − 投资成本减少(AX)。</t>
      </text>
    </comment>
    <comment ref="G24" authorId="3" shapeId="0">
      <text>
        <t>G7-2审定栏期初无损益调整分项：请按上年审定/备查手工填列；无则填0。</t>
      </text>
    </comment>
    <comment ref="H24" authorId="3" shapeId="0">
      <text>
        <t>损益调整本期增减 = G7-2损益调整增加(AR) − 本期分回利润(AY)。分回利润通常冲减损益调整。</t>
      </text>
    </comment>
    <comment ref="B43" authorId="0" shapeId="0">
      <text>
        <t>本合计数应填入第2部分对应公司的“经审计的被投资单位净资产”。</t>
      </text>
    </comment>
    <comment ref="B46" authorId="0" shapeId="0">
      <text>
        <t>应与第2部分“按股权比例计算享有被投资单位净资产”核对一致。</t>
      </text>
    </comment>
    <comment ref="B54" authorId="1" shapeId="0">
      <text>
        <t>与G7-15联动。若无内部交易或已不重要，G54可为0；扣减已计入下方「调整后所有者权益合计」。</t>
      </text>
    </comment>
    <comment ref="E54" authorId="1" shapeId="0">
      <text>
        <t>取G7-15投资收益调整额⑦合计的绝对值，表示本期因内部交易影响的份额变动（示意）；精确净资产抵销以G54为准。</t>
      </text>
    </comment>
    <comment ref="G54" authorId="1" shapeId="0">
      <text>
        <t>优先取自权益法未实现内部交易抵销测算表G7-15：期末未实现④合计(C32)×持股比例(F8)；若G7-15未填则回退为D54+E54-F54。此金额在「减：」项中扣减调整后净资产。</t>
      </text>
    </comment>
  </commentList>
</comments>
</file>

<file path=xl/comments/comment7.xml><?xml version="1.0" encoding="utf-8"?>
<comments xmlns="http://schemas.openxmlformats.org/spreadsheetml/2006/main">
  <authors>
    <author>G7-15优化</author>
  </authors>
  <commentList>
    <comment ref="C8" authorId="0" shapeId="0">
      <text>
        <t>从下拉选择（来源G7-14第1部分B11:B20，含合营+联营）。</t>
      </text>
    </comment>
    <comment ref="F8" authorId="0" shapeId="0">
      <text>
        <t>自动取G7-14持股比例。若期中比例变动与G7-14不一致，可覆盖为手工值并在说明中解释。</t>
      </text>
    </comment>
    <comment ref="H8" authorId="0" shapeId="0">
      <text>
        <t>优先按名称匹配G7-14，并核对持股比例；若G7-14尚未录入，则退回匹配G7-2名称。</t>
      </text>
    </comment>
    <comment ref="I12" authorId="0" shapeId="0">
      <text>
        <t>④期末未实现内部损益=出售金额−出售成本−期末已计提折旧/摊销/已对外实现部分。</t>
      </text>
    </comment>
    <comment ref="J12" authorId="0" shapeId="0">
      <text>
        <t>⑤本期应纳入抵销测算的未实现变动=④−⑥。⑥为上年审定未实现余额。本期转回时⑤可为负。若L列选「是」（减值损失），则⑤强制为0不予抵销。</t>
      </text>
    </comment>
    <comment ref="K12" authorId="0" shapeId="0">
      <text>
        <t>填上年审定的期末未实现内部损益余额（100%口径），不是上年已抵销的持股比例份额。</t>
      </text>
    </comment>
    <comment ref="L12" authorId="0" shapeId="0">
      <text>
        <t>填「是」表示未实现损失源于资产减值，按准则不予抵销。</t>
      </text>
    </comment>
    <comment ref="M12"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I13" authorId="0" shapeId="0">
      <text>
        <t>④期末未实现内部损益=出售金额−出售成本−期末已计提折旧/摊销/已对外实现部分。</t>
      </text>
    </comment>
    <comment ref="J13" authorId="0" shapeId="0">
      <text>
        <t>⑤本期应纳入抵销测算的未实现变动=④−⑥。⑥为上年审定未实现余额。本期转回时⑤可为负。若L列选「是」（减值损失），则⑤强制为0不予抵销。</t>
      </text>
    </comment>
    <comment ref="K13" authorId="0" shapeId="0">
      <text>
        <t>填上年审定的期末未实现内部损益余额（100%口径），不是上年已抵销的持股比例份额。</t>
      </text>
    </comment>
    <comment ref="L13" authorId="0" shapeId="0">
      <text>
        <t>填「是」表示未实现损失源于资产减值，按准则不予抵销。</t>
      </text>
    </comment>
    <comment ref="M13"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I14" authorId="0" shapeId="0">
      <text>
        <t>④期末未实现内部损益=出售金额−出售成本−期末已计提折旧/摊销/已对外实现部分。</t>
      </text>
    </comment>
    <comment ref="J14" authorId="0" shapeId="0">
      <text>
        <t>⑤本期应纳入抵销测算的未实现变动=④−⑥。⑥为上年审定未实现余额。本期转回时⑤可为负。若L列选「是」（减值损失），则⑤强制为0不予抵销。</t>
      </text>
    </comment>
    <comment ref="K14" authorId="0" shapeId="0">
      <text>
        <t>填上年审定的期末未实现内部损益余额（100%口径），不是上年已抵销的持股比例份额。</t>
      </text>
    </comment>
    <comment ref="L14" authorId="0" shapeId="0">
      <text>
        <t>填「是」表示未实现损失源于资产减值，按准则不予抵销。</t>
      </text>
    </comment>
    <comment ref="M14"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I15" authorId="0" shapeId="0">
      <text>
        <t>④期末未实现内部损益=出售金额−出售成本−期末已计提折旧/摊销/已对外实现部分。</t>
      </text>
    </comment>
    <comment ref="J15" authorId="0" shapeId="0">
      <text>
        <t>⑤本期应纳入抵销测算的未实现变动=④−⑥。⑥为上年审定未实现余额。本期转回时⑤可为负。若L列选「是」（减值损失），则⑤强制为0不予抵销。</t>
      </text>
    </comment>
    <comment ref="K15" authorId="0" shapeId="0">
      <text>
        <t>填上年审定的期末未实现内部损益余额（100%口径），不是上年已抵销的持股比例份额。</t>
      </text>
    </comment>
    <comment ref="L15" authorId="0" shapeId="0">
      <text>
        <t>填「是」表示未实现损失源于资产减值，按准则不予抵销。</t>
      </text>
    </comment>
    <comment ref="M15"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I16" authorId="0" shapeId="0">
      <text>
        <t>④期末未实现内部损益=出售金额−出售成本−期末已计提折旧/摊销/已对外实现部分。</t>
      </text>
    </comment>
    <comment ref="J16" authorId="0" shapeId="0">
      <text>
        <t>⑤本期应纳入抵销测算的未实现变动=④−⑥。⑥为上年审定未实现余额。本期转回时⑤可为负。若L列选「是」（减值损失），则⑤强制为0不予抵销。</t>
      </text>
    </comment>
    <comment ref="K16" authorId="0" shapeId="0">
      <text>
        <t>填上年审定的期末未实现内部损益余额（100%口径），不是上年已抵销的持股比例份额。</t>
      </text>
    </comment>
    <comment ref="L16" authorId="0" shapeId="0">
      <text>
        <t>填「是」表示未实现损失源于资产减值，按准则不予抵销。</t>
      </text>
    </comment>
    <comment ref="M16"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I21" authorId="0" shapeId="0">
      <text>
        <t>④期末未实现内部损益=出售金额−出售成本−期末已计提折旧/摊销/已对外实现部分。</t>
      </text>
    </comment>
    <comment ref="J21" authorId="0" shapeId="0">
      <text>
        <t>⑤本期应纳入抵销测算的未实现变动=④−⑥。⑥为上年审定未实现余额。本期转回时⑤可为负。若L列选「是」（减值损失），则⑤强制为0不予抵销。</t>
      </text>
    </comment>
    <comment ref="K21" authorId="0" shapeId="0">
      <text>
        <t>填上年审定的期末未实现内部损益余额（100%口径），不是上年已抵销的持股比例份额。</t>
      </text>
    </comment>
    <comment ref="L21" authorId="0" shapeId="0">
      <text>
        <t>填「是」表示未实现损失源于资产减值，按准则不予抵销。</t>
      </text>
    </comment>
    <comment ref="M21"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I22" authorId="0" shapeId="0">
      <text>
        <t>④期末未实现内部损益=出售金额−出售成本−期末已计提折旧/摊销/已对外实现部分。</t>
      </text>
    </comment>
    <comment ref="J22" authorId="0" shapeId="0">
      <text>
        <t>⑤本期应纳入抵销测算的未实现变动=④−⑥。⑥为上年审定未实现余额。本期转回时⑤可为负。若L列选「是」（减值损失），则⑤强制为0不予抵销。</t>
      </text>
    </comment>
    <comment ref="K22" authorId="0" shapeId="0">
      <text>
        <t>填上年审定的期末未实现内部损益余额（100%口径），不是上年已抵销的持股比例份额。</t>
      </text>
    </comment>
    <comment ref="L22" authorId="0" shapeId="0">
      <text>
        <t>填「是」表示未实现损失源于资产减值，按准则不予抵销。</t>
      </text>
    </comment>
    <comment ref="M22"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I23" authorId="0" shapeId="0">
      <text>
        <t>④期末未实现内部损益=出售金额−出售成本−期末已计提折旧/摊销/已对外实现部分。</t>
      </text>
    </comment>
    <comment ref="J23" authorId="0" shapeId="0">
      <text>
        <t>⑤本期应纳入抵销测算的未实现变动=④−⑥。⑥为上年审定未实现余额。本期转回时⑤可为负。若L列选「是」（减值损失），则⑤强制为0不予抵销。</t>
      </text>
    </comment>
    <comment ref="K23" authorId="0" shapeId="0">
      <text>
        <t>填上年审定的期末未实现内部损益余额（100%口径），不是上年已抵销的持股比例份额。</t>
      </text>
    </comment>
    <comment ref="L23" authorId="0" shapeId="0">
      <text>
        <t>填「是」表示未实现损失源于资产减值，按准则不予抵销。</t>
      </text>
    </comment>
    <comment ref="M23"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I24" authorId="0" shapeId="0">
      <text>
        <t>④期末未实现内部损益=出售金额−出售成本−期末已计提折旧/摊销/已对外实现部分。</t>
      </text>
    </comment>
    <comment ref="J24" authorId="0" shapeId="0">
      <text>
        <t>⑤本期应纳入抵销测算的未实现变动=④−⑥。⑥为上年审定未实现余额。本期转回时⑤可为负。若L列选「是」（减值损失），则⑤强制为0不予抵销。</t>
      </text>
    </comment>
    <comment ref="K24" authorId="0" shapeId="0">
      <text>
        <t>填上年审定的期末未实现内部损益余额（100%口径），不是上年已抵销的持股比例份额。</t>
      </text>
    </comment>
    <comment ref="L24" authorId="0" shapeId="0">
      <text>
        <t>填「是」表示未实现损失源于资产减值，按准则不予抵销。</t>
      </text>
    </comment>
    <comment ref="M24"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I25" authorId="0" shapeId="0">
      <text>
        <t>④期末未实现内部损益=出售金额−出售成本−期末已计提折旧/摊销/已对外实现部分。</t>
      </text>
    </comment>
    <comment ref="J25" authorId="0" shapeId="0">
      <text>
        <t>⑤本期应纳入抵销测算的未实现变动=④−⑥。⑥为上年审定未实现余额。本期转回时⑤可为负。若L列选「是」（减值损失），则⑤强制为0不予抵销。</t>
      </text>
    </comment>
    <comment ref="K25" authorId="0" shapeId="0">
      <text>
        <t>填上年审定的期末未实现内部损益余额（100%口径），不是上年已抵销的持股比例份额。</t>
      </text>
    </comment>
    <comment ref="L25" authorId="0" shapeId="0">
      <text>
        <t>填「是」表示未实现损失源于资产减值，按准则不予抵销。</t>
      </text>
    </comment>
    <comment ref="M25" authorId="0" shapeId="0">
      <text>
        <t>本列可直接带入G7-14：⑤&gt;0为新增未实现利润，⑦为负（调减投资收益）；⑤&lt;0为以前年度未实现本期实现，⑦为正（调增投资收益）；未实现损失且非减值时通常调增投资收益；真实减值在L列选“是”，⑦为0。</t>
      </text>
    </comment>
    <comment ref="G32" authorId="0" shapeId="0">
      <text>
        <t>⑦合计：负数调减G7-14投资收益，正数调增。请在G7-14第1部分投资收益差异分析中索引本表。</t>
      </text>
    </comment>
  </commentList>
</comments>
</file>

<file path=xl/comments/comment8.xml><?xml version="1.0" encoding="utf-8"?>
<comments xmlns="http://schemas.openxmlformats.org/spreadsheetml/2006/main">
  <authors>
    <author>G7-16优化</author>
    <author>G7-16联动</author>
    <author>G7-16增强</author>
    <author>G7第四轮</author>
  </authors>
  <commentList>
    <comment ref="C6" authorId="0" shapeId="0">
      <text>
        <t>冲减顺序：①长期股权投资账面 → ②其他长期权益 → ③有法定/推定义务则确认预计负债 → ④仍不足部分登记备查簿（未确认投资损失）。盈利时先恢复以前冲减，再转回未确认损失。</t>
      </text>
    </comment>
    <comment ref="A8" authorId="1" shapeId="0">
      <text>
        <t>名称/持股比例由G7-14自动带出；合营区对应G7-14前5行，联营区对应后5行。可覆盖为手工值（若覆盖请改公式）。</t>
      </text>
    </comment>
    <comment ref="C8" authorId="2" shapeId="0">
      <text>
        <t>填小数，如30%填0.30。若期中增持/减持导致比例变化：请按持股时段拆成多行，每行填该时段适用比例及对应净资产期初/期末，备注注明变动时点与依据（协议/工商/G7-4）。</t>
      </text>
    </comment>
    <comment ref="L8" authorId="0" shapeId="0">
      <text>
        <t>辅助列：投资方应享有的净资产变动额，便于与G7-14权益法测算对照。</t>
      </text>
    </comment>
    <comment ref="M8" authorId="0" shapeId="0">
      <text>
        <t>合同/协议是否约定投资方仍需承担额外损失义务。选“是”则⑫应确认预计负债。</t>
      </text>
    </comment>
    <comment ref="R8" authorId="2" shapeId="0">
      <text>
        <t>按对应行直接取G7-14第2部分：投资成本期末+损益调整期末+OCI期末+其他权益变动期末（行25-34）。</t>
      </text>
    </comment>
    <comment ref="T8" authorId="3" shapeId="0">
      <text>
        <t>自动提示需关注情形：本期/期末未确认损失、备查差异、超额亏损导致的长投勾稽差异（可解释）、额外义务等。</t>
      </text>
    </comment>
    <comment ref="E9" authorId="0" shapeId="0">
      <text>
        <t>其他实质上构成对被投资单位净投资的长期权益，通常为长期应收款；不含企业自身普通债权。</t>
      </text>
    </comment>
    <comment ref="I10" authorId="0" shapeId="0">
      <text>
        <t>⑧本期变动：设S=(⑥-⑤)×②。
S≥0：⑧=-MIN(⑦,S)（转回，以期初未确认为限）；
S&lt;0：⑧=MAX(0,-S-③-④-⑫)（冲减账面并确认预计负债后的超额未确认）。
③④取权益法冲减后仍可抵减的账面余额（通常已为0）。</t>
      </text>
    </comment>
    <comment ref="D30" authorId="2" shapeId="0">
      <text>
        <t>从下拉选择 A / B / C。</t>
      </text>
    </comment>
  </commentList>
</comments>
</file>

<file path=xl/comments/comment9.xml><?xml version="1.0" encoding="utf-8"?>
<comments xmlns="http://schemas.openxmlformats.org/spreadsheetml/2006/main">
  <authors>
    <author>G7-17联动</author>
    <author>G7-17优化</author>
    <author>G7-17复盘修复</author>
  </authors>
  <commentList>
    <comment ref="M9" authorId="0" shapeId="0">
      <text>
        <t>合营前5=G7-14!B11:B15；联营前5=G7-14!B16:B20。选后第1节名称自动更新；也可直接覆盖各公司名称单元格。</t>
      </text>
    </comment>
    <comment ref="F10" authorId="0" shapeId="0">
      <text>
        <t>自动取自G7-14；可手工覆盖。</t>
      </text>
    </comment>
    <comment ref="F19" authorId="1" shapeId="0">
      <text>
        <t>根据上方11-18行自动判断：任一项为“是”→存在迹象；全部为“否”→不存在；未填完→提示补全。</t>
      </text>
    </comment>
    <comment ref="G19" authorId="1" shapeId="0">
      <text>
        <t>根据上方11-18行自动判断：任一项为“是”→存在迹象；全部为“否”→不存在；未填完→提示补全。</t>
      </text>
    </comment>
    <comment ref="H19" authorId="1" shapeId="0">
      <text>
        <t>根据上方11-18行自动判断：任一项为“是”→存在迹象；全部为“否”→不存在；未填完→提示补全。</t>
      </text>
    </comment>
    <comment ref="I19" authorId="1" shapeId="0">
      <text>
        <t>根据上方11-18行自动判断：任一项为“是”→存在迹象；全部为“否”→不存在；未填完→提示补全。</t>
      </text>
    </comment>
    <comment ref="J19" authorId="1" shapeId="0">
      <text>
        <t>根据上方11-18行自动判断：任一项为“是”→存在迹象；全部为“否”→不存在；未填完→提示补全。</t>
      </text>
    </comment>
    <comment ref="X32" authorId="0" shapeId="0">
      <text>
        <t>按名称汇总未确认投资损失测试表G7-16期末未确认投资损失（合营+联营区J列）。</t>
      </text>
    </comment>
    <comment ref="Y32" authorId="0" shapeId="0">
      <text>
        <t>账面净额≈0且存在未确认损失时：长投减值对象可能已无余额，应关注G7-16其他长期权益冲减及预计负债；二者勿重复计提。</t>
      </text>
    </comment>
    <comment ref="P34" authorId="1" shapeId="0">
      <text>
        <t>填本账户或报表整体重要性，用于差异是否超限判断。</t>
      </text>
    </comment>
    <comment ref="B35" authorId="0" shapeId="0">
      <text>
        <t>取G7-14第2部分期末账面合计（成本+损益调整+OCI+其他权益）。若需扣已确认减值，请在C列填测试前累计减值准备。</t>
      </text>
    </comment>
    <comment ref="C35" authorId="2" shapeId="0">
      <text>
        <t>测试日之前已累计计提的减值准备余额（测试前）。账面净额①=原值B−本列C。</t>
      </text>
    </comment>
    <comment ref="K35" authorId="2" shapeId="0">
      <text>
        <t>可收回金额=MAX(公允价值减处置费用, 预计现金流量现值, 0)。不允许为负；仅填一条路径时取该路径与0的较高者。</t>
      </text>
    </comment>
    <comment ref="L35" authorId="1" shapeId="0">
      <text>
        <t>应计提减值=MAX(账面净额−可收回金额, 0)。账面净额=原值−已计提减值准备。</t>
      </text>
    </comment>
    <comment ref="M35" authorId="2" shapeId="0">
      <text>
        <t>填本期损益中实际确认的减值损失金额（不是测试前累计余额）。C列才是测试前累计减值准备。</t>
      </text>
    </comment>
    <comment ref="N35" authorId="2" shapeId="0">
      <text>
        <t>⑤=本期应补提③−本期账面实际计提④。正数=少提；负数=账面本期计提可能偏高（不得据此转回，仅作调查）。</t>
      </text>
    </comment>
    <comment ref="Q35" authorId="2" shapeId="0">
      <text>
        <t>子公司/合营/联营。合并商誉减值通常在合并底稿测试，避免与本表重复。</t>
      </text>
    </comment>
    <comment ref="S35" authorId="2" shapeId="0">
      <text>
        <t>若合并报表另有单独商誉且已测试，填“是”并在说明交叉索引，避免重复计提。</t>
      </text>
    </comment>
    <comment ref="T35" authorId="2" shapeId="0">
      <text>
        <t>仅采用一条估值路径时必填原因，如：活跃市价可取得、无法可靠估计现金流等。</t>
      </text>
    </comment>
    <comment ref="U35" authorId="2" shapeId="0">
      <text>
        <t>安全边际=可收回金额−测试前账面净额。为负表示需减值；为正但很小（如&lt;10%）建议做敏感性分析。</t>
      </text>
    </comment>
    <comment ref="B36" authorId="0" shapeId="0">
      <text>
        <t>取G7-14第2部分期末账面合计（成本+损益调整+OCI+其他权益）。若需扣已确认减值，请在C列填测试前累计减值准备。</t>
      </text>
    </comment>
    <comment ref="C36" authorId="2" shapeId="0">
      <text>
        <t>测试日之前已累计计提的减值准备余额（测试前）。账面净额①=原值B−本列C。</t>
      </text>
    </comment>
    <comment ref="K36" authorId="2" shapeId="0">
      <text>
        <t>可收回金额=MAX(公允价值减处置费用, 预计现金流量现值, 0)。不允许为负；仅填一条路径时取该路径与0的较高者。</t>
      </text>
    </comment>
    <comment ref="L36" authorId="1" shapeId="0">
      <text>
        <t>应计提减值=MAX(账面净额−可收回金额, 0)。账面净额=原值−已计提减值准备。</t>
      </text>
    </comment>
    <comment ref="M36" authorId="2" shapeId="0">
      <text>
        <t>填本期损益中实际确认的减值损失金额（不是测试前累计余额）。C列才是测试前累计减值准备。</t>
      </text>
    </comment>
    <comment ref="N36" authorId="2" shapeId="0">
      <text>
        <t>⑤=本期应补提③−本期账面实际计提④。正数=少提；负数=账面本期计提可能偏高（不得据此转回，仅作调查）。</t>
      </text>
    </comment>
    <comment ref="Q36" authorId="2" shapeId="0">
      <text>
        <t>子公司/合营/联营。合并商誉减值通常在合并底稿测试，避免与本表重复。</t>
      </text>
    </comment>
    <comment ref="S36" authorId="2" shapeId="0">
      <text>
        <t>若合并报表另有单独商誉且已测试，填“是”并在说明交叉索引，避免重复计提。</t>
      </text>
    </comment>
    <comment ref="T36" authorId="2" shapeId="0">
      <text>
        <t>仅采用一条估值路径时必填原因，如：活跃市价可取得、无法可靠估计现金流等。</t>
      </text>
    </comment>
    <comment ref="U36" authorId="2" shapeId="0">
      <text>
        <t>安全边际=可收回金额−测试前账面净额。为负表示需减值；为正但很小（如&lt;10%）建议做敏感性分析。</t>
      </text>
    </comment>
    <comment ref="B37" authorId="0" shapeId="0">
      <text>
        <t>取G7-14第2部分期末账面合计（成本+损益调整+OCI+其他权益）。若需扣已确认减值，请在C列填测试前累计减值准备。</t>
      </text>
    </comment>
    <comment ref="C37" authorId="2" shapeId="0">
      <text>
        <t>测试日之前已累计计提的减值准备余额（测试前）。账面净额①=原值B−本列C。</t>
      </text>
    </comment>
    <comment ref="K37" authorId="2" shapeId="0">
      <text>
        <t>可收回金额=MAX(公允价值减处置费用, 预计现金流量现值, 0)。不允许为负；仅填一条路径时取该路径与0的较高者。</t>
      </text>
    </comment>
    <comment ref="L37" authorId="1" shapeId="0">
      <text>
        <t>应计提减值=MAX(账面净额−可收回金额, 0)。账面净额=原值−已计提减值准备。</t>
      </text>
    </comment>
    <comment ref="M37" authorId="2" shapeId="0">
      <text>
        <t>填本期损益中实际确认的减值损失金额（不是测试前累计余额）。C列才是测试前累计减值准备。</t>
      </text>
    </comment>
    <comment ref="N37" authorId="2" shapeId="0">
      <text>
        <t>⑤=本期应补提③−本期账面实际计提④。正数=少提；负数=账面本期计提可能偏高（不得据此转回，仅作调查）。</t>
      </text>
    </comment>
    <comment ref="Q37" authorId="2" shapeId="0">
      <text>
        <t>子公司/合营/联营。合并商誉减值通常在合并底稿测试，避免与本表重复。</t>
      </text>
    </comment>
    <comment ref="S37" authorId="2" shapeId="0">
      <text>
        <t>若合并报表另有单独商誉且已测试，填“是”并在说明交叉索引，避免重复计提。</t>
      </text>
    </comment>
    <comment ref="T37" authorId="2" shapeId="0">
      <text>
        <t>仅采用一条估值路径时必填原因，如：活跃市价可取得、无法可靠估计现金流等。</t>
      </text>
    </comment>
    <comment ref="U37" authorId="2" shapeId="0">
      <text>
        <t>安全边际=可收回金额−测试前账面净额。为负表示需减值；为正但很小（如&lt;10%）建议做敏感性分析。</t>
      </text>
    </comment>
    <comment ref="B38" authorId="0" shapeId="0">
      <text>
        <t>取G7-14第2部分期末账面合计（成本+损益调整+OCI+其他权益）。若需扣已确认减值，请在C列填测试前累计减值准备。</t>
      </text>
    </comment>
    <comment ref="C38" authorId="2" shapeId="0">
      <text>
        <t>测试日之前已累计计提的减值准备余额（测试前）。账面净额①=原值B−本列C。</t>
      </text>
    </comment>
    <comment ref="K38" authorId="2" shapeId="0">
      <text>
        <t>可收回金额=MAX(公允价值减处置费用, 预计现金流量现值, 0)。不允许为负；仅填一条路径时取该路径与0的较高者。</t>
      </text>
    </comment>
    <comment ref="L38" authorId="1" shapeId="0">
      <text>
        <t>应计提减值=MAX(账面净额−可收回金额, 0)。账面净额=原值−已计提减值准备。</t>
      </text>
    </comment>
    <comment ref="M38" authorId="2" shapeId="0">
      <text>
        <t>填本期损益中实际确认的减值损失金额（不是测试前累计余额）。C列才是测试前累计减值准备。</t>
      </text>
    </comment>
    <comment ref="N38" authorId="2" shapeId="0">
      <text>
        <t>⑤=本期应补提③−本期账面实际计提④。正数=少提；负数=账面本期计提可能偏高（不得据此转回，仅作调查）。</t>
      </text>
    </comment>
    <comment ref="Q38" authorId="2" shapeId="0">
      <text>
        <t>子公司/合营/联营。合并商誉减值通常在合并底稿测试，避免与本表重复。</t>
      </text>
    </comment>
    <comment ref="S38" authorId="2" shapeId="0">
      <text>
        <t>若合并报表另有单独商誉且已测试，填“是”并在说明交叉索引，避免重复计提。</t>
      </text>
    </comment>
    <comment ref="T38" authorId="2" shapeId="0">
      <text>
        <t>仅采用一条估值路径时必填原因，如：活跃市价可取得、无法可靠估计现金流等。</t>
      </text>
    </comment>
    <comment ref="U38" authorId="2" shapeId="0">
      <text>
        <t>安全边际=可收回金额−测试前账面净额。为负表示需减值；为正但很小（如&lt;10%）建议做敏感性分析。</t>
      </text>
    </comment>
    <comment ref="B39" authorId="0" shapeId="0">
      <text>
        <t>取G7-14第2部分期末账面合计（成本+损益调整+OCI+其他权益）。若需扣已确认减值，请在C列填测试前累计减值准备。</t>
      </text>
    </comment>
    <comment ref="C39" authorId="2" shapeId="0">
      <text>
        <t>测试日之前已累计计提的减值准备余额（测试前）。账面净额①=原值B−本列C。</t>
      </text>
    </comment>
    <comment ref="K39" authorId="2" shapeId="0">
      <text>
        <t>可收回金额=MAX(公允价值减处置费用, 预计现金流量现值, 0)。不允许为负；仅填一条路径时取该路径与0的较高者。</t>
      </text>
    </comment>
    <comment ref="L39" authorId="1" shapeId="0">
      <text>
        <t>应计提减值=MAX(账面净额−可收回金额, 0)。账面净额=原值−已计提减值准备。</t>
      </text>
    </comment>
    <comment ref="M39" authorId="2" shapeId="0">
      <text>
        <t>填本期损益中实际确认的减值损失金额（不是测试前累计余额）。C列才是测试前累计减值准备。</t>
      </text>
    </comment>
    <comment ref="N39" authorId="2" shapeId="0">
      <text>
        <t>⑤=本期应补提③−本期账面实际计提④。正数=少提；负数=账面本期计提可能偏高（不得据此转回，仅作调查）。</t>
      </text>
    </comment>
    <comment ref="Q39" authorId="2" shapeId="0">
      <text>
        <t>子公司/合营/联营。合并商誉减值通常在合并底稿测试，避免与本表重复。</t>
      </text>
    </comment>
    <comment ref="S39" authorId="2" shapeId="0">
      <text>
        <t>若合并报表另有单独商誉且已测试，填“是”并在说明交叉索引，避免重复计提。</t>
      </text>
    </comment>
    <comment ref="T39" authorId="2" shapeId="0">
      <text>
        <t>仅采用一条估值路径时必填原因，如：活跃市价可取得、无法可靠估计现金流等。</t>
      </text>
    </comment>
    <comment ref="U39" authorId="2" shapeId="0">
      <text>
        <t>安全边际=可收回金额−测试前账面净额。为负表示需减值；为正但很小（如&lt;10%）建议做敏感性分析。</t>
      </text>
    </comment>
    <comment ref="D42" authorId="1" shapeId="0">
      <text>
        <t>净资产公允价值×持股比例仅为辅助参考，不能替代可收回金额（未考虑超额收益、处置费用、折现等）。</t>
      </text>
    </comment>
    <comment ref="D43" authorId="1" shapeId="0">
      <text>
        <t>净资产公允价值×持股比例仅为辅助参考，不能替代可收回金额（未考虑超额收益、处置费用、折现等）。</t>
      </text>
    </comment>
    <comment ref="D44" authorId="1" shapeId="0">
      <text>
        <t>净资产公允价值×持股比例仅为辅助参考，不能替代可收回金额（未考虑超额收益、处置费用、折现等）。</t>
      </text>
    </comment>
    <comment ref="D45" authorId="1" shapeId="0">
      <text>
        <t>净资产公允价值×持股比例仅为辅助参考，不能替代可收回金额（未考虑超额收益、处置费用、折现等）。</t>
      </text>
    </comment>
    <comment ref="D46" authorId="1" shapeId="0">
      <text>
        <t>净资产公允价值×持股比例仅为辅助参考，不能替代可收回金额（未考虑超额收益、处置费用、折现等）。</t>
      </text>
    </comment>
    <comment ref="C51" authorId="0" shapeId="0">
      <text>
        <t>若对应单位Y列提示账面≈0且有未确认损失，应补提长投减值通常为0；勿与G7-16未确认损失重复作为损益。</t>
      </text>
    </comment>
    <comment ref="C53" authorId="2" shapeId="0">
      <text>
        <t>只汇总少提项目（差异&gt;0）。不得用甲公司少提与乙公司多提互相抵销。</t>
      </text>
    </comment>
    <comment ref="C55" authorId="2" shapeId="0">
      <text>
        <t>账面本期计提高于测算应补提。长投减值不得转回，应追查是否测算遗漏或账面多提。</t>
      </text>
    </comment>
    <comment ref="C67" authorId="2" shapeId="0">
      <text>
        <t>优先匹配G7-2审定期末：成本法AI列、权益法合营/联营BB列。本表B列现为测试前账面净额，与审定期末口径接近时勾稽。</t>
      </text>
    </comment>
    <comment ref="C68" authorId="2" shapeId="0">
      <text>
        <t>优先匹配G7-2审定期末：成本法AI列、权益法合营/联营BB列。本表B列现为测试前账面净额，与审定期末口径接近时勾稽。</t>
      </text>
    </comment>
    <comment ref="C69" authorId="2" shapeId="0">
      <text>
        <t>优先匹配G7-2审定期末：成本法AI列、权益法合营/联营BB列。本表B列现为测试前账面净额，与审定期末口径接近时勾稽。</t>
      </text>
    </comment>
    <comment ref="C70" authorId="2" shapeId="0">
      <text>
        <t>优先匹配G7-2审定期末：成本法AI列、权益法合营/联营BB列。本表B列现为测试前账面净额，与审定期末口径接近时勾稽。</t>
      </text>
    </comment>
    <comment ref="C71" authorId="2" shapeId="0">
      <text>
        <t>优先匹配G7-2审定期末：成本法AI列、权益法合营/联营BB列。本表B列现为测试前账面净额，与审定期末口径接近时勾稽。</t>
      </text>
    </comment>
    <comment ref="A76" authorId="1" shapeId="0">
      <text>
        <t>自动汇总异常；审计结论须人工确认。</t>
      </text>
    </comment>
    <comment ref="C98" authorId="2" shapeId="0">
      <text>
        <t>在基准现金流假设下，仅将折现率上调1个百分点后的现值。</t>
      </text>
    </comment>
    <comment ref="G98" authorId="2" shapeId="0">
      <text>
        <t>最不利情景可收回=MAX(路径一H, 情景最低现值)；再与测试前净额比较得到应补提。</t>
      </text>
    </comment>
    <comment ref="C99" authorId="2" shapeId="0">
      <text>
        <t>在基准现金流假设下，仅将折现率上调1个百分点后的现值。</t>
      </text>
    </comment>
    <comment ref="G99" authorId="2" shapeId="0">
      <text>
        <t>最不利情景可收回=MAX(路径一H, 情景最低现值)；再与测试前净额比较得到应补提。</t>
      </text>
    </comment>
    <comment ref="C100" authorId="2" shapeId="0">
      <text>
        <t>在基准现金流假设下，仅将折现率上调1个百分点后的现值。</t>
      </text>
    </comment>
    <comment ref="G100" authorId="2" shapeId="0">
      <text>
        <t>最不利情景可收回=MAX(路径一H, 情景最低现值)；再与测试前净额比较得到应补提。</t>
      </text>
    </comment>
    <comment ref="C101" authorId="2" shapeId="0">
      <text>
        <t>在基准现金流假设下，仅将折现率上调1个百分点后的现值。</t>
      </text>
    </comment>
    <comment ref="G101" authorId="2" shapeId="0">
      <text>
        <t>最不利情景可收回=MAX(路径一H, 情景最低现值)；再与测试前净额比较得到应补提。</t>
      </text>
    </comment>
    <comment ref="C102" authorId="2" shapeId="0">
      <text>
        <t>在基准现金流假设下，仅将折现率上调1个百分点后的现值。</t>
      </text>
    </comment>
    <comment ref="G102" authorId="2" shapeId="0">
      <text>
        <t>最不利情景可收回=MAX(路径一H, 情景最低现值)；再与测试前净额比较得到应补提。</t>
      </text>
    </comment>
  </commentList>
</comments>
</file>

<file path=xl/comments/comment10.xml><?xml version="1.0" encoding="utf-8"?>
<comments xmlns="http://schemas.openxmlformats.org/spreadsheetml/2006/main">
  <authors>
    <author>G7-18优化</author>
    <author>G7-18复盘修复</author>
    <author>G7-18联动</author>
  </authors>
  <commentList>
    <comment ref="C10" authorId="0" shapeId="0">
      <text>
        <t>自动引用G7-1借方发生额；笔数请根据总账导出填写。</t>
      </text>
    </comment>
    <comment ref="I11" authorId="1" shapeId="0">
      <text>
        <t>可手工填写。若留空，下方参考样本量仍要求必填；实务中可容忍错报常取重要性的50%–100%。</t>
      </text>
    </comment>
    <comment ref="A13" authorId="0" shapeId="0">
      <text>
        <t>大额、关联方、异常、特别风险相关项目应作为特定样本全部测试。</t>
      </text>
    </comment>
    <comment ref="I14" authorId="1" shapeId="0">
      <text>
        <t>请按抽样方法填风险系数。货币单元抽样可查表；非统计抽样可结合职业判断确定实际样本量，本格仍用于参考计算。</t>
      </text>
    </comment>
    <comment ref="I15" authorId="1" shapeId="0">
      <text>
        <t>根据误受风险%自动匹配附录扩展系数（1→1.9，5→1.6，10→1.5）。可手工覆盖。</t>
      </text>
    </comment>
    <comment ref="I16" authorId="1" shapeId="0">
      <text>
        <t>参考样本量≈MAX(剩余借方金额,剩余贷方金额)×风险系数/(可容忍错报−预计错报×扩展系数)。</t>
      </text>
    </comment>
    <comment ref="D24" authorId="2" shapeId="0">
      <text>
        <t>含内部交易抵销、超额亏损/未确认损失、预计负债等，对应G7-15/16。</t>
      </text>
    </comment>
    <comment ref="S24" authorId="2" shapeId="0">
      <text>
        <t>根据交易类型自动提示应交叉索引的专项底稿。</t>
      </text>
    </comment>
    <comment ref="D25" authorId="0" shapeId="0">
      <text>
        <t>选择交易类型后自动提示应交叉索引的G7底稿。</t>
      </text>
    </comment>
    <comment ref="P25" authorId="0" shapeId="0">
      <text>
        <t>默认=|支持金额−账面金额|；账面金额取借贷较大侧。若需更精确可手工覆盖本公式。</t>
      </text>
    </comment>
    <comment ref="Q25" authorId="1" shapeId="0">
      <text>
        <t>X→异常；异常且处理结果空/无需处理→异常-待关闭；全√或N/A但错报&gt;0→金额差异待解释；有空项→待完成。</t>
      </text>
    </comment>
    <comment ref="D26" authorId="0" shapeId="0">
      <text>
        <t>选择交易类型后自动提示应交叉索引的G7底稿。</t>
      </text>
    </comment>
    <comment ref="P26" authorId="0" shapeId="0">
      <text>
        <t>默认=|支持金额−账面金额|；账面金额取借贷较大侧。若需更精确可手工覆盖本公式。</t>
      </text>
    </comment>
    <comment ref="Q26" authorId="1" shapeId="0">
      <text>
        <t>X→异常；异常且处理结果空/无需处理→异常-待关闭；全√或N/A但错报&gt;0→金额差异待解释；有空项→待完成。</t>
      </text>
    </comment>
    <comment ref="D27" authorId="0" shapeId="0">
      <text>
        <t>选择交易类型后自动提示应交叉索引的G7底稿。</t>
      </text>
    </comment>
    <comment ref="P27" authorId="0" shapeId="0">
      <text>
        <t>默认=|支持金额−账面金额|；账面金额取借贷较大侧。若需更精确可手工覆盖本公式。</t>
      </text>
    </comment>
    <comment ref="Q27" authorId="1" shapeId="0">
      <text>
        <t>X→异常；异常且处理结果空/无需处理→异常-待关闭；全√或N/A但错报&gt;0→金额差异待解释；有空项→待完成。</t>
      </text>
    </comment>
    <comment ref="D28" authorId="0" shapeId="0">
      <text>
        <t>选择交易类型后自动提示应交叉索引的G7底稿。</t>
      </text>
    </comment>
    <comment ref="P28" authorId="0" shapeId="0">
      <text>
        <t>默认=|支持金额−账面金额|；账面金额取借贷较大侧。若需更精确可手工覆盖本公式。</t>
      </text>
    </comment>
    <comment ref="Q28" authorId="1" shapeId="0">
      <text>
        <t>X→异常；异常且处理结果空/无需处理→异常-待关闭；全√或N/A但错报&gt;0→金额差异待解释；有空项→待完成。</t>
      </text>
    </comment>
    <comment ref="D29" authorId="0" shapeId="0">
      <text>
        <t>选择交易类型后自动提示应交叉索引的G7底稿。</t>
      </text>
    </comment>
    <comment ref="P29" authorId="0" shapeId="0">
      <text>
        <t>默认=|支持金额−账面金额|；账面金额取借贷较大侧。若需更精确可手工覆盖本公式。</t>
      </text>
    </comment>
    <comment ref="Q29" authorId="1" shapeId="0">
      <text>
        <t>X→异常；异常且处理结果空/无需处理→异常-待关闭；全√或N/A但错报&gt;0→金额差异待解释；有空项→待完成。</t>
      </text>
    </comment>
    <comment ref="D30" authorId="0" shapeId="0">
      <text>
        <t>选择交易类型后自动提示应交叉索引的G7底稿。</t>
      </text>
    </comment>
    <comment ref="P30" authorId="0" shapeId="0">
      <text>
        <t>默认=|支持金额−账面金额|；账面金额取借贷较大侧。若需更精确可手工覆盖本公式。</t>
      </text>
    </comment>
    <comment ref="Q30" authorId="1" shapeId="0">
      <text>
        <t>X→异常；异常且处理结果空/无需处理→异常-待关闭；全√或N/A但错报&gt;0→金额差异待解释；有空项→待完成。</t>
      </text>
    </comment>
    <comment ref="D31" authorId="0" shapeId="0">
      <text>
        <t>选择交易类型后自动提示应交叉索引的G7底稿。</t>
      </text>
    </comment>
    <comment ref="P31" authorId="0" shapeId="0">
      <text>
        <t>默认=|支持金额−账面金额|；账面金额取借贷较大侧。若需更精确可手工覆盖本公式。</t>
      </text>
    </comment>
    <comment ref="Q31" authorId="1" shapeId="0">
      <text>
        <t>X→异常；异常且处理结果空/无需处理→异常-待关闭；全√或N/A但错报&gt;0→金额差异待解释；有空项→待完成。</t>
      </text>
    </comment>
    <comment ref="D32" authorId="0" shapeId="0">
      <text>
        <t>选择交易类型后自动提示应交叉索引的G7底稿。</t>
      </text>
    </comment>
    <comment ref="P32" authorId="0" shapeId="0">
      <text>
        <t>默认=|支持金额−账面金额|；账面金额取借贷较大侧。若需更精确可手工覆盖本公式。</t>
      </text>
    </comment>
    <comment ref="Q32" authorId="1" shapeId="0">
      <text>
        <t>X→异常；异常且处理结果空/无需处理→异常-待关闭；全√或N/A但错报&gt;0→金额差异待解释；有空项→待完成。</t>
      </text>
    </comment>
    <comment ref="D33" authorId="0" shapeId="0">
      <text>
        <t>选择交易类型后自动提示应交叉索引的G7底稿。</t>
      </text>
    </comment>
    <comment ref="P33" authorId="0" shapeId="0">
      <text>
        <t>默认=|支持金额−账面金额|；账面金额取借贷较大侧。若需更精确可手工覆盖本公式。</t>
      </text>
    </comment>
    <comment ref="Q33" authorId="1" shapeId="0">
      <text>
        <t>X→异常；异常且处理结果空/无需处理→异常-待关闭；全√或N/A但错报&gt;0→金额差异待解释；有空项→待完成。</t>
      </text>
    </comment>
    <comment ref="D34" authorId="0" shapeId="0">
      <text>
        <t>选择交易类型后自动提示应交叉索引的G7底稿。</t>
      </text>
    </comment>
    <comment ref="P34" authorId="0" shapeId="0">
      <text>
        <t>默认=|支持金额−账面金额|；账面金额取借贷较大侧。若需更精确可手工覆盖本公式。</t>
      </text>
    </comment>
    <comment ref="Q34" authorId="1" shapeId="0">
      <text>
        <t>X→异常；异常且处理结果空/无需处理→异常-待关闭；全√或N/A但错报&gt;0→金额差异待解释；有空项→待完成。</t>
      </text>
    </comment>
    <comment ref="M38" authorId="1" shapeId="0">
      <text>
        <t>特定项目已测借方金额 ÷ 特定项目总体借方金额。特定项目应接近100%覆盖。</t>
      </text>
    </comment>
    <comment ref="O38" authorId="1" shapeId="0">
      <text>
        <t>抽样样本借方金额 ÷ 剩余抽样总体借方金额。</t>
      </text>
    </comment>
    <comment ref="B40" authorId="1" shapeId="0">
      <text>
        <t>通常与底稿目录截止日一致，如202X-12-31。</t>
      </text>
    </comment>
    <comment ref="D40" authorId="1" shapeId="0">
      <text>
        <t>外勤/检查工作完成日或期后测试截止日。</t>
      </text>
    </comment>
    <comment ref="E42" authorId="0" shapeId="0">
      <text>
        <t>若业务实质发生于资产负债表日或之前但期后记账，填“是”，关注截止错误。</t>
      </text>
    </comment>
    <comment ref="O42" authorId="0" shapeId="0">
      <text>
        <t>调整事项 / 非调整披露事项 / 无关。</t>
      </text>
    </comment>
    <comment ref="T42" authorId="0" shapeId="0">
      <text>
        <t>构成资产负债表日后调整事项填“是”。</t>
      </text>
    </comment>
    <comment ref="E43" authorId="0" shapeId="0">
      <text>
        <t>若业务实质发生于资产负债表日或之前但期后记账，填“是”，关注截止错误。</t>
      </text>
    </comment>
    <comment ref="O43" authorId="0" shapeId="0">
      <text>
        <t>调整事项 / 非调整披露事项 / 无关。</t>
      </text>
    </comment>
    <comment ref="T43" authorId="0" shapeId="0">
      <text>
        <t>构成资产负债表日后调整事项填“是”。</t>
      </text>
    </comment>
    <comment ref="E44" authorId="0" shapeId="0">
      <text>
        <t>若业务实质发生于资产负债表日或之前但期后记账，填“是”，关注截止错误。</t>
      </text>
    </comment>
    <comment ref="O44" authorId="0" shapeId="0">
      <text>
        <t>调整事项 / 非调整披露事项 / 无关。</t>
      </text>
    </comment>
    <comment ref="T44" authorId="0" shapeId="0">
      <text>
        <t>构成资产负债表日后调整事项填“是”。</t>
      </text>
    </comment>
    <comment ref="E45" authorId="0" shapeId="0">
      <text>
        <t>若业务实质发生于资产负债表日或之前但期后记账，填“是”，关注截止错误。</t>
      </text>
    </comment>
    <comment ref="O45" authorId="0" shapeId="0">
      <text>
        <t>调整事项 / 非调整披露事项 / 无关。</t>
      </text>
    </comment>
    <comment ref="T45" authorId="0" shapeId="0">
      <text>
        <t>构成资产负债表日后调整事项填“是”。</t>
      </text>
    </comment>
    <comment ref="E46" authorId="0" shapeId="0">
      <text>
        <t>若业务实质发生于资产负债表日或之前但期后记账，填“是”，关注截止错误。</t>
      </text>
    </comment>
    <comment ref="O46" authorId="0" shapeId="0">
      <text>
        <t>调整事项 / 非调整披露事项 / 无关。</t>
      </text>
    </comment>
    <comment ref="T46" authorId="0" shapeId="0">
      <text>
        <t>构成资产负债表日后调整事项填“是”。</t>
      </text>
    </comment>
    <comment ref="C55" authorId="1" shapeId="0">
      <text>
        <t>仅对抽样来源样本推断，不含特定项目。特定项目错报应全额计入已识别错报，不再推断。</t>
      </text>
    </comment>
    <comment ref="C57" authorId="1" shapeId="0">
      <text>
        <t>触发扩大样本：超过可容忍、异常率&gt;5%、异常≥2笔、存在待关闭异常/金额差异、或推断错报&gt;可容忍50%。</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2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codeName="Sheet1">
    <outlinePr summaryBelow="1" summaryRight="1"/>
    <pageSetUpPr/>
  </sheetPr>
  <dimension ref="A1:H24"/>
  <sheetViews>
    <sheetView tabSelected="1" zoomScaleNormal="100" workbookViewId="0">
      <selection activeCell="A1" sqref="A1"/>
    </sheetView>
  </sheetViews>
  <sheetFormatPr baseColWidth="8" defaultColWidth="9" defaultRowHeight="20.1" customHeight="1" outlineLevelCol="0"/>
  <cols>
    <col width="77.59765625" customWidth="1" style="43" min="1" max="1"/>
    <col width="2" customWidth="1" style="43" min="2" max="2"/>
    <col width="2.09765625" customWidth="1" style="43" min="3" max="3"/>
    <col width="6.5" customWidth="1" style="43" min="4" max="4"/>
    <col width="33.3984375" customWidth="1" style="43" min="5" max="5"/>
    <col width="9.3984375" customWidth="1" style="840" min="6" max="6"/>
    <col width="9" customWidth="1" style="44" min="7" max="16384"/>
  </cols>
  <sheetData>
    <row r="1" ht="19.95" customFormat="1" customHeight="1" s="660">
      <c r="A1" s="659" t="inlineStr">
        <is>
          <t>底稿开列时，可先在以下单元格填写有关内容，以便其他底稿引用有关数据：</t>
        </is>
      </c>
      <c r="B1" s="407" t="n"/>
      <c r="C1" s="407" t="n"/>
      <c r="F1" s="837" t="n"/>
    </row>
    <row r="2" ht="20.1" customFormat="1" customHeight="1" s="660">
      <c r="A2" s="45" t="inlineStr">
        <is>
          <t>被审计单位：</t>
        </is>
      </c>
      <c r="B2" s="661" t="n"/>
      <c r="C2" s="661" t="n"/>
      <c r="D2" s="407" t="n"/>
      <c r="E2" s="407" t="n"/>
      <c r="F2" s="838" t="n"/>
      <c r="G2" s="662" t="n"/>
      <c r="H2" s="662" t="n"/>
    </row>
    <row r="3" ht="20.1" customFormat="1" customHeight="1" s="660">
      <c r="A3" s="836" t="inlineStr">
        <is>
          <t>截止日：202X年12月31日</t>
        </is>
      </c>
      <c r="B3" s="661" t="n"/>
      <c r="C3" s="661" t="n"/>
      <c r="D3" s="663" t="inlineStr">
        <is>
          <t>序号</t>
        </is>
      </c>
      <c r="E3" s="663" t="inlineStr">
        <is>
          <t>内容</t>
        </is>
      </c>
      <c r="F3" s="663" t="inlineStr">
        <is>
          <t>索引号</t>
        </is>
      </c>
      <c r="G3" s="662" t="n"/>
      <c r="H3" s="662" t="n"/>
    </row>
    <row r="4" ht="20.1" customFormat="1" customHeight="1" s="660">
      <c r="A4" s="45" t="inlineStr">
        <is>
          <t>编制人：</t>
        </is>
      </c>
      <c r="B4" s="407" t="n"/>
      <c r="C4" s="407" t="n"/>
      <c r="D4" s="664" t="n"/>
      <c r="E4" s="669" t="inlineStr">
        <is>
          <t>长期股权投资实质性程序表</t>
        </is>
      </c>
      <c r="F4" s="839" t="inlineStr">
        <is>
          <t>G7A</t>
        </is>
      </c>
      <c r="G4" s="662" t="n"/>
      <c r="H4" s="666" t="n"/>
    </row>
    <row r="5" ht="20.1" customFormat="1" customHeight="1" s="660">
      <c r="A5" s="329" t="inlineStr">
        <is>
          <t>编制日期：</t>
        </is>
      </c>
      <c r="B5" s="407" t="n"/>
      <c r="C5" s="407" t="n"/>
      <c r="D5" s="664" t="n">
        <v>1</v>
      </c>
      <c r="E5" s="669" t="inlineStr">
        <is>
          <t>长期股权投资审定表</t>
        </is>
      </c>
      <c r="F5" s="839" t="inlineStr">
        <is>
          <t>G7-1</t>
        </is>
      </c>
    </row>
    <row r="6" ht="20.1" customFormat="1" customHeight="1" s="660">
      <c r="A6" s="329" t="inlineStr">
        <is>
          <t>复核人：</t>
        </is>
      </c>
      <c r="B6" s="407" t="n"/>
      <c r="C6" s="407" t="n"/>
      <c r="D6" s="664" t="n">
        <v>2</v>
      </c>
      <c r="E6" s="667" t="inlineStr">
        <is>
          <t>附注披露信息（上市公司）</t>
        </is>
      </c>
      <c r="F6" s="839" t="n"/>
      <c r="G6" s="660" t="inlineStr">
        <is>
          <t>无需打印</t>
        </is>
      </c>
    </row>
    <row r="7" ht="20.1" customFormat="1" customHeight="1" s="660">
      <c r="A7" s="329" t="inlineStr">
        <is>
          <t>复核日期：</t>
        </is>
      </c>
      <c r="B7" s="407" t="n"/>
      <c r="C7" s="407" t="n"/>
      <c r="D7" s="664" t="n">
        <v>3</v>
      </c>
      <c r="E7" s="667" t="inlineStr">
        <is>
          <t>附注披露信息（国企）</t>
        </is>
      </c>
      <c r="F7" s="839" t="n"/>
      <c r="G7" s="660" t="inlineStr">
        <is>
          <t>无需打印</t>
        </is>
      </c>
    </row>
    <row r="8" ht="20.1" customFormat="1" customHeight="1" s="660">
      <c r="A8" s="668" t="n"/>
      <c r="B8" s="407" t="n"/>
      <c r="C8" s="407" t="n"/>
      <c r="D8" s="664" t="n">
        <v>4</v>
      </c>
      <c r="E8" s="667" t="inlineStr">
        <is>
          <t>明细表</t>
        </is>
      </c>
      <c r="F8" s="839" t="inlineStr">
        <is>
          <t>G7-2</t>
        </is>
      </c>
    </row>
    <row r="9" ht="20.1" customFormat="1" customHeight="1" s="660">
      <c r="A9" s="835" t="inlineStr">
        <is>
          <t>关于工作底稿与审计程序索引号对应的说明</t>
        </is>
      </c>
      <c r="B9" s="407" t="n"/>
      <c r="C9" s="407" t="n"/>
      <c r="D9" s="664" t="n">
        <v>5</v>
      </c>
      <c r="E9" s="667" t="inlineStr">
        <is>
          <t>调整分录汇总</t>
        </is>
      </c>
      <c r="F9" s="839" t="inlineStr">
        <is>
          <t>G7-3</t>
        </is>
      </c>
    </row>
    <row r="10" ht="20.1" customFormat="1" customHeight="1" s="660">
      <c r="A10" s="851"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407" t="n"/>
      <c r="C10" s="407" t="n"/>
      <c r="D10" s="664" t="n">
        <v>6</v>
      </c>
      <c r="E10" s="667" t="inlineStr">
        <is>
          <t>被投资单位基本信息</t>
        </is>
      </c>
      <c r="F10" s="839" t="inlineStr">
        <is>
          <t>G7-4</t>
        </is>
      </c>
    </row>
    <row r="11" ht="20.1" customFormat="1" customHeight="1" s="660">
      <c r="A11" s="0" t="n"/>
      <c r="B11" s="407" t="n"/>
      <c r="C11" s="407" t="n"/>
      <c r="D11" s="664" t="n">
        <v>7</v>
      </c>
      <c r="E11" s="667" t="inlineStr">
        <is>
          <t>被投资单位财务信息（合营、联营）</t>
        </is>
      </c>
      <c r="F11" s="839" t="inlineStr">
        <is>
          <t>G7-5</t>
        </is>
      </c>
    </row>
    <row r="12" ht="20.1" customFormat="1" customHeight="1" s="660">
      <c r="A12" s="0" t="n"/>
      <c r="B12" s="407" t="n"/>
      <c r="C12" s="407" t="n"/>
      <c r="D12" s="664" t="n">
        <v>8</v>
      </c>
      <c r="E12" s="667" t="inlineStr">
        <is>
          <t>被投资公司会计政策</t>
        </is>
      </c>
      <c r="F12" s="839" t="inlineStr">
        <is>
          <t>G7-6</t>
        </is>
      </c>
    </row>
    <row r="13" ht="20.1" customFormat="1" customHeight="1" s="660">
      <c r="A13" s="0" t="n"/>
      <c r="B13" s="407" t="n"/>
      <c r="C13" s="407" t="n"/>
      <c r="D13" s="664" t="n">
        <v>9</v>
      </c>
      <c r="E13" s="667" t="inlineStr">
        <is>
          <t>长期股权投资初始判断</t>
        </is>
      </c>
      <c r="F13" s="839" t="inlineStr">
        <is>
          <t>G7-7</t>
        </is>
      </c>
    </row>
    <row r="14" ht="20.1" customFormat="1" customHeight="1" s="660">
      <c r="A14" s="851"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4" s="407" t="n"/>
      <c r="C14" s="407" t="n"/>
      <c r="D14" s="664" t="n">
        <v>10</v>
      </c>
      <c r="E14" s="667" t="inlineStr">
        <is>
          <t>子公司初始计量测试（同控）</t>
        </is>
      </c>
      <c r="F14" s="839" t="inlineStr">
        <is>
          <t>G7-8</t>
        </is>
      </c>
    </row>
    <row r="15" ht="20.1" customFormat="1" customHeight="1" s="660">
      <c r="A15" s="0" t="n"/>
      <c r="B15" s="407" t="n"/>
      <c r="C15" s="407" t="n"/>
      <c r="D15" s="664" t="n">
        <v>11</v>
      </c>
      <c r="E15" s="667" t="inlineStr">
        <is>
          <t>子公司初始计量测试（非同控）</t>
        </is>
      </c>
      <c r="F15" s="839" t="inlineStr">
        <is>
          <t>G7-9</t>
        </is>
      </c>
    </row>
    <row r="16" ht="18.75" customFormat="1" customHeight="1" s="660">
      <c r="A16" s="0" t="n"/>
      <c r="B16" s="407" t="n"/>
      <c r="C16" s="407" t="n"/>
      <c r="D16" s="664" t="n">
        <v>12</v>
      </c>
      <c r="E16" s="667" t="inlineStr">
        <is>
          <t>子公司后续计量测试表</t>
        </is>
      </c>
      <c r="F16" s="839" t="inlineStr">
        <is>
          <t>G7-10</t>
        </is>
      </c>
    </row>
    <row r="17" ht="18.75" customFormat="1" customHeight="1" s="660">
      <c r="A17" s="852" t="inlineStr">
        <is>
          <t>3.工作底稿索引号的编码规则：实质性程序索引号按循环从“D”到“N”,循环内账户以顺序号排列，模板中底稿索引号按账户顺序+自然数顺序（即模板中索引号按二级自然顺序排列，如D1-1、D1-2、D1-3、……D1-N）。</t>
        </is>
      </c>
      <c r="B17" s="407" t="n"/>
      <c r="C17" s="407" t="n"/>
      <c r="D17" s="664" t="n">
        <v>13</v>
      </c>
      <c r="E17" s="669" t="inlineStr">
        <is>
          <t>处置子公司测试表（不包含一揽子交易）</t>
        </is>
      </c>
      <c r="F17" s="839" t="inlineStr">
        <is>
          <t>G7-11</t>
        </is>
      </c>
    </row>
    <row r="18" ht="18.75" customFormat="1" customHeight="1" s="660">
      <c r="A18" s="0" t="n"/>
      <c r="B18" s="407" t="n"/>
      <c r="C18" s="407" t="n"/>
      <c r="D18" s="664" t="n">
        <v>14</v>
      </c>
      <c r="E18" s="669" t="inlineStr">
        <is>
          <t>处置子公司测试表（一揽子交易）</t>
        </is>
      </c>
      <c r="F18" s="839" t="inlineStr">
        <is>
          <t>G7-12</t>
        </is>
      </c>
    </row>
    <row r="19" ht="20.1" customFormat="1" customHeight="1" s="660">
      <c r="A19" s="0" t="n"/>
      <c r="B19" s="407" t="n"/>
      <c r="C19" s="407" t="n"/>
      <c r="D19" s="664" t="n">
        <v>15</v>
      </c>
      <c r="E19" s="669" t="inlineStr">
        <is>
          <t>合营、联营企业投资成本测试表</t>
        </is>
      </c>
      <c r="F19" s="839" t="inlineStr">
        <is>
          <t>G7-13</t>
        </is>
      </c>
    </row>
    <row r="20" ht="20.1" customFormat="1" customHeight="1" s="660">
      <c r="A20" s="407" t="n"/>
      <c r="B20" s="407" t="n"/>
      <c r="C20" s="407" t="n"/>
      <c r="D20" s="664" t="n">
        <v>16</v>
      </c>
      <c r="E20" s="669" t="inlineStr">
        <is>
          <t>权益法测算表</t>
        </is>
      </c>
      <c r="F20" s="839" t="inlineStr">
        <is>
          <t>G7-14</t>
        </is>
      </c>
    </row>
    <row r="21" ht="20.1" customFormat="1" customHeight="1" s="660">
      <c r="A21" s="407" t="n"/>
      <c r="B21" s="407" t="n"/>
      <c r="C21" s="407" t="n"/>
      <c r="D21" s="664" t="n">
        <v>17</v>
      </c>
      <c r="E21" s="669" t="inlineStr">
        <is>
          <t>权益法未实现内部交易抵销测算表</t>
        </is>
      </c>
      <c r="F21" s="839" t="inlineStr">
        <is>
          <t>G7-15</t>
        </is>
      </c>
    </row>
    <row r="22" ht="20.1" customFormat="1" customHeight="1" s="660">
      <c r="A22" s="407" t="n"/>
      <c r="B22" s="407" t="n"/>
      <c r="C22" s="407" t="n"/>
      <c r="D22" s="664" t="n">
        <v>18</v>
      </c>
      <c r="E22" s="669" t="inlineStr">
        <is>
          <t>未确认投资损失测试表</t>
        </is>
      </c>
      <c r="F22" s="839" t="inlineStr">
        <is>
          <t>G7-16</t>
        </is>
      </c>
    </row>
    <row r="23" ht="20.1" customFormat="1" customHeight="1" s="660">
      <c r="A23" s="407" t="n"/>
      <c r="B23" s="407" t="n"/>
      <c r="C23" s="407" t="n"/>
      <c r="D23" s="664" t="n">
        <v>19</v>
      </c>
      <c r="E23" s="669" t="inlineStr">
        <is>
          <t>减值测试表</t>
        </is>
      </c>
      <c r="F23" s="839" t="inlineStr">
        <is>
          <t>G7-17</t>
        </is>
      </c>
    </row>
    <row r="24" ht="20.1" customFormat="1" customHeight="1" s="660">
      <c r="A24" s="407" t="n"/>
      <c r="B24" s="407" t="n"/>
      <c r="C24" s="407" t="n"/>
      <c r="D24" s="664" t="n">
        <v>20</v>
      </c>
      <c r="E24" s="669" t="inlineStr">
        <is>
          <t>凭证检查表</t>
        </is>
      </c>
      <c r="F24" s="839" t="inlineStr">
        <is>
          <t>G7-18</t>
        </is>
      </c>
    </row>
  </sheetData>
  <mergeCells count="3">
    <mergeCell ref="A14:A16"/>
    <mergeCell ref="A17:A19"/>
    <mergeCell ref="A10:A13"/>
  </mergeCells>
  <hyperlinks>
    <hyperlink ref="E4" location="长期股权投资实质性程序表G7A!A1" display="长期股权投资实质性程序表"/>
    <hyperlink ref="E5" location="'长期股权投资审定表G7-1'!A1" display="长期股权投资审定表"/>
    <hyperlink ref="E6" location="'附注披露信息（上市公司）'!A1" display="附注披露信息（上市公司）"/>
    <hyperlink ref="E7" location="'附注披露信息（国企）'!A1" display="附注披露信息（国企）"/>
    <hyperlink ref="E8" location="'明细表G7-2'!A1" display="明细表"/>
    <hyperlink ref="E9" location="'调整分录汇总G7-3'!A1" display="调整分录汇总"/>
    <hyperlink ref="E10" location="'被投资单位基本信息G7-4'!A1" display="被投资单位基本信息"/>
    <hyperlink ref="E11" location="'被投资单位财务信息（合营、联营）G7-5'!A1" display="被投资单位财务信息（合营、联营）"/>
    <hyperlink ref="E12" location="'被投资公司会计政策G7-6'!A1" display="被投资公司会计政策"/>
    <hyperlink ref="E13" location="'长期股权投资初始判断G7-7'!A1" display="长期股权投资初始判断G7-7"/>
    <hyperlink ref="E14" location="'子公司初始计量测试（同控）G7-8'!A1" display="子公司初始计量测试（同控）"/>
    <hyperlink ref="E15" location="'子公司初始计量测试（非同控）G7-9'!A1" display="子公司初始计量测试（非同控）"/>
    <hyperlink ref="E16" location="'子公司后续计量测试表G7-10'!A1" display="子公司后续计量测试表"/>
    <hyperlink ref="E17" location="'处置子公司测试表（不包含一揽子交易）G7-11'!A1" display="处置子公司测试表（不包含一揽子交易）"/>
    <hyperlink ref="E18" location="'处置子公司测试表（一揽子交易）G7-12'!A1" display="处置子公司测试表（一揽子交易）"/>
    <hyperlink ref="E19" location="'合营、联营企业投资成本测试表G7-13'!A1" display="合营、联营企业投资成本测试表"/>
    <hyperlink ref="E20" location="'权益法测算表G7-14'!A1" display="权益法测算表"/>
    <hyperlink ref="E21" location="'权益法未实现内部交易抵销测算表G7-15'!A1" display="权益法未实现内部交易抵销测算表"/>
    <hyperlink ref="E22" location="'未确认投资损失测试表G7-16'!A1" display="未确认投资损失测试表"/>
    <hyperlink ref="E23" location="'减值测试表G7-17'!A1" display="减值测试表"/>
    <hyperlink ref="E24" location="'凭证检查表G7-18'!A1" display="凭证检查表"/>
  </hyperlinks>
  <pageMargins left="0.7086614173228347" right="0.7086614173228347" top="0.7480314960629921" bottom="0.7480314960629921" header="0.3149606299212598" footer="0.3149606299212598"/>
  <pageSetup orientation="portrait" paperSize="9"/>
  <headerFooter>
    <oddHeader/>
    <oddFooter>&amp;C&amp;P/&amp;N</oddFooter>
    <evenHeader/>
    <evenFooter/>
    <firstHeader/>
    <firstFooter/>
  </headerFooter>
</worksheet>
</file>

<file path=xl/worksheets/sheet2.xml><?xml version="1.0" encoding="utf-8"?>
<worksheet xmlns="http://schemas.openxmlformats.org/spreadsheetml/2006/main">
  <sheetPr codeName="Sheet11">
    <outlinePr summaryBelow="1" summaryRight="1"/>
    <pageSetUpPr/>
  </sheetPr>
  <dimension ref="A1:N32"/>
  <sheetViews>
    <sheetView view="pageBreakPreview" zoomScaleSheetLayoutView="100" workbookViewId="0">
      <selection activeCell="A1" sqref="A1:I1"/>
    </sheetView>
  </sheetViews>
  <sheetFormatPr baseColWidth="8" defaultColWidth="9" defaultRowHeight="30.75" customHeight="1" outlineLevelCol="0"/>
  <cols>
    <col width="4.59765625" customWidth="1" style="325" min="1" max="1"/>
    <col width="64.19921875" customWidth="1" style="1090" min="2" max="2"/>
    <col width="9.69921875" customWidth="1" style="1090" min="3" max="3"/>
    <col width="5" customWidth="1" style="1090" min="4" max="4"/>
    <col width="6.3984375" customWidth="1" style="1090" min="5" max="5"/>
    <col width="6.19921875" customWidth="1" style="1090" min="6" max="6"/>
    <col width="6.3984375" customWidth="1" style="1090" min="7" max="7"/>
    <col width="5.3984375" customWidth="1" style="1090" min="8" max="8"/>
    <col width="7" customWidth="1" style="1090" min="9" max="9"/>
    <col width="9" customWidth="1" style="1090" min="10" max="16384"/>
  </cols>
  <sheetData>
    <row r="1" ht="19.95" customFormat="1" customHeight="1" s="1091">
      <c r="A1" s="1092" t="inlineStr">
        <is>
          <t>致同会计师事务所</t>
        </is>
      </c>
    </row>
    <row r="2" ht="19.95" customFormat="1" customHeight="1" s="1093">
      <c r="A2" s="1094" t="inlineStr">
        <is>
          <t>长期股权投资实质性程序表</t>
        </is>
      </c>
    </row>
    <row r="3" ht="19.95" customFormat="1" customHeight="1" s="1095">
      <c r="A3" s="1095">
        <f>底稿目录!A2</f>
        <v/>
      </c>
      <c r="B3" s="0" t="n"/>
      <c r="C3" s="1095">
        <f>底稿目录!A4</f>
        <v/>
      </c>
      <c r="F3" s="1095">
        <f>底稿目录!A5</f>
        <v/>
      </c>
      <c r="H3" s="1095" t="inlineStr">
        <is>
          <t>索引号：</t>
        </is>
      </c>
      <c r="I3" s="1096">
        <f>底稿目录!F4</f>
        <v/>
      </c>
    </row>
    <row r="4" ht="19.95" customFormat="1" customHeight="1" s="1095">
      <c r="A4" s="1095">
        <f>底稿目录!A3</f>
        <v/>
      </c>
      <c r="B4" s="0" t="n"/>
      <c r="C4" s="1095">
        <f>底稿目录!A6</f>
        <v/>
      </c>
      <c r="F4" s="1095">
        <f>底稿目录!A7</f>
        <v/>
      </c>
      <c r="H4" s="1095" t="inlineStr">
        <is>
          <t>页 次：</t>
        </is>
      </c>
    </row>
    <row r="5" ht="19.95" customHeight="1" s="1097">
      <c r="A5" s="1098" t="inlineStr">
        <is>
          <t>一、本账户涉及的科目</t>
        </is>
      </c>
      <c r="B5" s="0" t="n"/>
    </row>
    <row r="6" ht="19.95" customHeight="1" s="1097">
      <c r="A6" s="1099" t="inlineStr">
        <is>
          <t>长期股权投资、长期股权投资减值准备</t>
        </is>
      </c>
      <c r="B6" s="1100" t="n"/>
      <c r="C6" s="1100" t="n"/>
      <c r="D6" s="1100" t="n"/>
      <c r="E6" s="1100" t="n"/>
      <c r="F6" s="1100" t="n"/>
      <c r="G6" s="1100" t="n"/>
      <c r="H6" s="1100" t="n"/>
      <c r="I6" s="1100" t="n"/>
    </row>
    <row r="7" ht="19.95" customFormat="1" customHeight="1" s="1101">
      <c r="A7" s="679" t="inlineStr">
        <is>
          <t>二、审计目标与认定的对应关系</t>
        </is>
      </c>
      <c r="B7" s="1098" t="n"/>
      <c r="C7" s="1102" t="n"/>
    </row>
    <row r="8" ht="19.95" customFormat="1" customHeight="1" s="407">
      <c r="A8" s="865" t="inlineStr">
        <is>
          <t>审计目标</t>
        </is>
      </c>
      <c r="B8" s="1103" t="n"/>
      <c r="C8" s="1103" t="n"/>
      <c r="D8" s="1103" t="n"/>
      <c r="E8" s="1103" t="n"/>
      <c r="F8" s="1104" t="n"/>
      <c r="G8" s="867" t="inlineStr">
        <is>
          <t xml:space="preserve">财务报表的认定　</t>
        </is>
      </c>
      <c r="H8" s="1103" t="n"/>
      <c r="I8" s="1104" t="n"/>
    </row>
    <row r="9" ht="19.95" customFormat="1" customHeight="1" s="407">
      <c r="A9" s="866" t="inlineStr">
        <is>
          <t>A. 资产负债表中记录的长期股权投资是存在的，且已记录于恰当的账户</t>
        </is>
      </c>
      <c r="B9" s="1103" t="n"/>
      <c r="C9" s="1103" t="n"/>
      <c r="D9" s="1103" t="n"/>
      <c r="E9" s="1103" t="n"/>
      <c r="F9" s="1104" t="n"/>
      <c r="G9" s="864" t="inlineStr">
        <is>
          <t>存在</t>
        </is>
      </c>
      <c r="H9" s="1103" t="n"/>
      <c r="I9" s="1104" t="n"/>
    </row>
    <row r="10" ht="19.95" customFormat="1" customHeight="1" s="407">
      <c r="A10" s="866" t="inlineStr">
        <is>
          <t>B. 所有应记录的长期股权投资均已记录，所有应当包括在财务报表中的相关披露均已包括</t>
        </is>
      </c>
      <c r="B10" s="1103" t="n"/>
      <c r="C10" s="1103" t="n"/>
      <c r="D10" s="1103" t="n"/>
      <c r="E10" s="1103" t="n"/>
      <c r="F10" s="1104" t="n"/>
      <c r="G10" s="864" t="inlineStr">
        <is>
          <t>完整性</t>
        </is>
      </c>
      <c r="H10" s="1103" t="n"/>
      <c r="I10" s="1104" t="n"/>
    </row>
    <row r="11" ht="19.95" customFormat="1" customHeight="1" s="407">
      <c r="A11" s="866" t="inlineStr">
        <is>
          <t>C. 记录的长期股权投资由被审计单位拥有或控制</t>
        </is>
      </c>
      <c r="B11" s="1103" t="n"/>
      <c r="C11" s="1103" t="n"/>
      <c r="D11" s="1103" t="n"/>
      <c r="E11" s="1103" t="n"/>
      <c r="F11" s="1104" t="n"/>
      <c r="G11" s="864" t="inlineStr">
        <is>
          <t>权利和义务</t>
        </is>
      </c>
      <c r="H11" s="1103" t="n"/>
      <c r="I11" s="1104" t="n"/>
    </row>
    <row r="12" ht="19.95" customFormat="1" customHeight="1" s="407">
      <c r="A12" s="866" t="inlineStr">
        <is>
          <t xml:space="preserve">D. 长期股权投资以恰当的金额包括在财务报表中，与之相关的计价或分摊调整已恰当记录，相关披露已得到恰当计量和描述 </t>
        </is>
      </c>
      <c r="B12" s="1103" t="n"/>
      <c r="C12" s="1103" t="n"/>
      <c r="D12" s="1103" t="n"/>
      <c r="E12" s="1103" t="n"/>
      <c r="F12" s="1104" t="n"/>
      <c r="G12" s="864" t="inlineStr">
        <is>
          <t>准确性、计价和分摊</t>
        </is>
      </c>
      <c r="H12" s="1103" t="n"/>
      <c r="I12" s="1104" t="n"/>
    </row>
    <row r="13" ht="19.95" customFormat="1" customHeight="1" s="407">
      <c r="A13" s="866" t="inlineStr">
        <is>
          <t>E. 长期股权投资已被恰当地汇总或分解且表述清楚，相关披露在按照企业会计准则的编制基础下是相关的、可理解的</t>
        </is>
      </c>
      <c r="B13" s="1103" t="n"/>
      <c r="C13" s="1103" t="n"/>
      <c r="D13" s="1103" t="n"/>
      <c r="E13" s="1103" t="n"/>
      <c r="F13" s="1104" t="n"/>
      <c r="G13" s="864" t="inlineStr">
        <is>
          <t>列报</t>
        </is>
      </c>
      <c r="H13" s="1103" t="n"/>
      <c r="I13" s="1104" t="n"/>
    </row>
    <row r="14" ht="19.95" customFormat="1" customHeight="1" s="1101">
      <c r="A14" s="856" t="inlineStr">
        <is>
          <t>三、计划实施的实质性程序</t>
        </is>
      </c>
      <c r="B14" s="0" t="n"/>
      <c r="C14" s="1102" t="n"/>
    </row>
    <row r="15" ht="19.95" customFormat="1" customHeight="1" s="1101">
      <c r="A15" s="854" t="inlineStr">
        <is>
          <t>序号</t>
        </is>
      </c>
      <c r="B15" s="1089" t="inlineStr">
        <is>
          <t>审计程序</t>
        </is>
      </c>
      <c r="C15" s="1105" t="inlineStr">
        <is>
          <t>程序分类</t>
        </is>
      </c>
      <c r="D15" s="858" t="inlineStr">
        <is>
          <t>财务报表的认定</t>
        </is>
      </c>
      <c r="E15" s="1103" t="n"/>
      <c r="F15" s="1103" t="n"/>
      <c r="G15" s="1103" t="n"/>
      <c r="H15" s="1104" t="n"/>
      <c r="I15" s="855" t="inlineStr">
        <is>
          <t>底稿索引号</t>
        </is>
      </c>
    </row>
    <row r="16" ht="36" customFormat="1" customHeight="1" s="1101">
      <c r="A16" s="1106" t="n"/>
      <c r="B16" s="1106" t="n"/>
      <c r="C16" s="1106" t="n"/>
      <c r="D16" s="858" t="inlineStr">
        <is>
          <t>存在</t>
        </is>
      </c>
      <c r="E16" s="858" t="inlineStr">
        <is>
          <t>完整性</t>
        </is>
      </c>
      <c r="F16" s="855" t="inlineStr">
        <is>
          <t>权利和
义务</t>
        </is>
      </c>
      <c r="G16" s="855" t="inlineStr">
        <is>
          <t>准确性、计价和分摊</t>
        </is>
      </c>
      <c r="H16" s="855" t="inlineStr">
        <is>
          <t>列报</t>
        </is>
      </c>
      <c r="I16" s="1106" t="n"/>
      <c r="J16" s="1107" t="inlineStr">
        <is>
          <t>根据被审计单位实际情况和风险评估情况裁剪、修改或增加审计程序</t>
        </is>
      </c>
    </row>
    <row r="17" ht="69" customFormat="1" customHeight="1" s="415">
      <c r="A17" s="411" t="inlineStr">
        <is>
          <t>1</t>
        </is>
      </c>
      <c r="B17" s="416" t="inlineStr">
        <is>
          <t>获取或编制长期股权投资的明细表，完成以下工作，并编制审定表
（1）复核加计是否正确，与总账、明细账合计数核对是否相符；
（2）将期初余额与上期期末余额核对；
（3）与上年明细项目进行比较，确定与上年分类相同；
（4）检查非记账本位币计量的长期股权投资的折算汇率及折算是否正确。</t>
        </is>
      </c>
      <c r="C17" s="408" t="inlineStr">
        <is>
          <t>常规★</t>
        </is>
      </c>
      <c r="D17" s="700" t="inlineStr">
        <is>
          <t>√</t>
        </is>
      </c>
      <c r="E17" s="700" t="inlineStr">
        <is>
          <t>√</t>
        </is>
      </c>
      <c r="F17" s="701" t="n"/>
      <c r="G17" s="702" t="inlineStr">
        <is>
          <t>√</t>
        </is>
      </c>
      <c r="H17" s="410" t="n"/>
      <c r="I17" s="680" t="inlineStr">
        <is>
          <t>G7-1
/G7-2</t>
        </is>
      </c>
      <c r="J17" s="1101" t="n"/>
      <c r="K17" s="412" t="n"/>
      <c r="L17" s="413" t="n"/>
      <c r="M17" s="414" t="n"/>
      <c r="N17" s="414" t="n"/>
    </row>
    <row r="18" ht="41.4" customFormat="1" customHeight="1" s="415">
      <c r="A18" s="411" t="inlineStr">
        <is>
          <t>2</t>
        </is>
      </c>
      <c r="B18" s="416"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408" t="inlineStr">
        <is>
          <t>常规★</t>
        </is>
      </c>
      <c r="D18" s="704" t="n"/>
      <c r="E18" s="410" t="inlineStr">
        <is>
          <t>√</t>
        </is>
      </c>
      <c r="F18" s="408" t="n"/>
      <c r="G18" s="408" t="inlineStr">
        <is>
          <t>√</t>
        </is>
      </c>
      <c r="H18" s="410" t="n"/>
      <c r="I18" s="705" t="inlineStr">
        <is>
          <t>T1
/G0-2
/</t>
        </is>
      </c>
      <c r="J18" s="1101" t="n"/>
      <c r="K18" s="412" t="n"/>
      <c r="L18" s="413" t="n"/>
      <c r="M18" s="414" t="n"/>
      <c r="N18" s="414" t="n"/>
    </row>
    <row r="19" ht="48.6" customFormat="1" customHeight="1" s="415">
      <c r="A19" s="411" t="inlineStr">
        <is>
          <t>3</t>
        </is>
      </c>
      <c r="B19" s="416" t="inlineStr">
        <is>
          <t>对期初余额的审计，获取前期期末对被投资单位股权投资的明细，以及相关支持文件并分析，判断公司对投资的分类及其影响程度的认定是否正确，关注计算的准确性，会计处理是否恰当；确定是否需要补充必要的程序。（适用于首次承接）</t>
        </is>
      </c>
      <c r="C19" s="408" t="inlineStr">
        <is>
          <t>备选</t>
        </is>
      </c>
      <c r="D19" s="702" t="inlineStr">
        <is>
          <t>√</t>
        </is>
      </c>
      <c r="E19" s="700" t="inlineStr">
        <is>
          <t>√</t>
        </is>
      </c>
      <c r="F19" s="700" t="inlineStr">
        <is>
          <t>√</t>
        </is>
      </c>
      <c r="G19" s="700" t="inlineStr">
        <is>
          <t>√</t>
        </is>
      </c>
      <c r="H19" s="707" t="n"/>
      <c r="I19" s="680" t="n"/>
      <c r="J19" s="417" t="n"/>
      <c r="K19" s="412" t="n"/>
      <c r="L19" s="413" t="n"/>
      <c r="M19" s="414" t="n"/>
      <c r="N19" s="414" t="n"/>
    </row>
    <row r="20" ht="36" customFormat="1" customHeight="1" s="415">
      <c r="A20" s="411" t="inlineStr">
        <is>
          <t>4</t>
        </is>
      </c>
      <c r="B20" s="416" t="inlineStr">
        <is>
          <t>确认长期股权投资会计政策、会计处理是否合理并与前期一致；核对相关资产减值准备本期与以前年度计提方法是否一致，如有差异，查明政策调整的原因，并确定政策改变对本期损益的影响，提请被审计单位做适当披露。</t>
        </is>
      </c>
      <c r="C20" s="408" t="inlineStr">
        <is>
          <t>常规★</t>
        </is>
      </c>
      <c r="D20" s="700" t="inlineStr">
        <is>
          <t>√</t>
        </is>
      </c>
      <c r="E20" s="700" t="inlineStr">
        <is>
          <t>√</t>
        </is>
      </c>
      <c r="F20" s="701" t="n"/>
      <c r="G20" s="700" t="inlineStr">
        <is>
          <t>√</t>
        </is>
      </c>
      <c r="H20" s="706" t="n"/>
      <c r="I20" s="680" t="inlineStr">
        <is>
          <t>G7-6</t>
        </is>
      </c>
      <c r="J20" s="417" t="n"/>
      <c r="K20" s="412" t="n"/>
      <c r="L20" s="413" t="n"/>
      <c r="M20" s="414" t="n"/>
      <c r="N20" s="414" t="n"/>
    </row>
    <row r="21" ht="67.2" customFormat="1" customHeight="1" s="415">
      <c r="A21" s="411" t="inlineStr">
        <is>
          <t>5</t>
        </is>
      </c>
      <c r="B21" s="416" t="inlineStr">
        <is>
          <t>取得被投资单位的章程、营业执照、组织机构代码证等资料，根据有关合同和文件，确认长期股权投资的股权比例、表决权等，检查长期股权投资的分类和核算方法是否正确。</t>
        </is>
      </c>
      <c r="C21" s="408" t="inlineStr">
        <is>
          <t>常规★</t>
        </is>
      </c>
      <c r="D21" s="410" t="inlineStr">
        <is>
          <t>√</t>
        </is>
      </c>
      <c r="E21" s="408" t="inlineStr">
        <is>
          <t>√</t>
        </is>
      </c>
      <c r="F21" s="410" t="inlineStr">
        <is>
          <t>√</t>
        </is>
      </c>
      <c r="G21" s="408" t="inlineStr">
        <is>
          <t>√</t>
        </is>
      </c>
      <c r="H21" s="410" t="n"/>
      <c r="I21" s="680" t="inlineStr">
        <is>
          <t>G7-7
/G7-8
/G7-9
/G7-13
/G7-18</t>
        </is>
      </c>
      <c r="J21" s="417" t="n"/>
      <c r="K21" s="412" t="n"/>
      <c r="L21" s="413" t="n"/>
      <c r="M21" s="414" t="n"/>
      <c r="N21" s="414" t="n"/>
    </row>
    <row r="22" ht="67.8" customFormat="1" customHeight="1" s="415">
      <c r="A22" s="411" t="inlineStr">
        <is>
          <t>6</t>
        </is>
      </c>
      <c r="B22" s="416" t="inlineStr">
        <is>
          <t>对本期发生的长期股权投资的增减变动，检查至支持性文件，综合判断长期股权投资的购买日（或交易日）的认定是否正确，确定其会计处理是否正确，是否被记录在恰当的期间内。</t>
        </is>
      </c>
      <c r="C22" s="408" t="inlineStr">
        <is>
          <t>常规★</t>
        </is>
      </c>
      <c r="D22" s="410" t="inlineStr">
        <is>
          <t>√</t>
        </is>
      </c>
      <c r="E22" s="408" t="n"/>
      <c r="F22" s="410" t="inlineStr">
        <is>
          <t>√</t>
        </is>
      </c>
      <c r="G22" s="408" t="inlineStr">
        <is>
          <t>√</t>
        </is>
      </c>
      <c r="H22" s="410" t="n"/>
      <c r="I22" s="680" t="inlineStr">
        <is>
          <t>G7-10
/G7-14
/G7-15
/G7-16
/G7-18</t>
        </is>
      </c>
      <c r="J22" s="417" t="n"/>
      <c r="K22" s="412" t="n"/>
      <c r="L22" s="413" t="n"/>
      <c r="M22" s="414" t="n"/>
      <c r="N22" s="414" t="n"/>
    </row>
    <row r="23" ht="34.8" customFormat="1" customHeight="1" s="415">
      <c r="A23" s="411" t="inlineStr">
        <is>
          <t>7</t>
        </is>
      </c>
      <c r="B23" s="416" t="inlineStr">
        <is>
          <t>必要时对被投资单位进行函证确认主要条款（或查询工商存档文件），核实投资是否存在。</t>
        </is>
      </c>
      <c r="C23" s="408" t="inlineStr">
        <is>
          <t>备选</t>
        </is>
      </c>
      <c r="D23" s="410" t="inlineStr">
        <is>
          <t>√</t>
        </is>
      </c>
      <c r="E23" s="408" t="inlineStr">
        <is>
          <t>√</t>
        </is>
      </c>
      <c r="F23" s="410" t="inlineStr">
        <is>
          <t>√</t>
        </is>
      </c>
      <c r="G23" s="408" t="inlineStr">
        <is>
          <t>√</t>
        </is>
      </c>
      <c r="H23" s="410" t="n"/>
      <c r="I23" s="680" t="inlineStr">
        <is>
          <t>G0</t>
        </is>
      </c>
      <c r="J23" s="417" t="n"/>
      <c r="K23" s="412" t="n"/>
      <c r="L23" s="413" t="n"/>
      <c r="M23" s="414" t="n"/>
      <c r="N23" s="414" t="n"/>
    </row>
    <row r="24" ht="71.40000000000001" customFormat="1" customHeight="1" s="415">
      <c r="A24" s="411" t="inlineStr">
        <is>
          <t>8</t>
        </is>
      </c>
      <c r="B24" s="416" t="inlineStr">
        <is>
          <t>确定本期处置的重大股权投资，并执行下列程序： 
（1）检查与股权投资处置相关的合同、发票及其他文件；
（2）重新计算相关的利得或损失；
（3）确定会计处理是否恰当。
对于成本法和权益法相互转换的，检查会计处理是否正确。</t>
        </is>
      </c>
      <c r="C24" s="408" t="inlineStr">
        <is>
          <t>常规★</t>
        </is>
      </c>
      <c r="D24" s="702" t="inlineStr">
        <is>
          <t>√</t>
        </is>
      </c>
      <c r="E24" s="700" t="inlineStr">
        <is>
          <t>√</t>
        </is>
      </c>
      <c r="F24" s="700" t="inlineStr">
        <is>
          <t>√</t>
        </is>
      </c>
      <c r="G24" s="702" t="inlineStr">
        <is>
          <t>√</t>
        </is>
      </c>
      <c r="H24" s="706" t="n"/>
      <c r="I24" s="680" t="inlineStr">
        <is>
          <t>G7-11
/G7-12
/G7-18</t>
        </is>
      </c>
      <c r="J24" s="417" t="n"/>
      <c r="K24" s="412" t="n"/>
      <c r="L24" s="413" t="n"/>
      <c r="M24" s="414" t="n"/>
      <c r="N24" s="414" t="n"/>
    </row>
    <row r="25" ht="60" customFormat="1" customHeight="1" s="415">
      <c r="A25" s="411" t="inlineStr">
        <is>
          <t>9</t>
        </is>
      </c>
      <c r="B25" s="416" t="inlineStr">
        <is>
          <t>确定本期按权益法核算的长期股权投资进行正确的核算，考虑以下因素：（1）被投资单位的经营成果、财务状况和资本交易；
（2）被投资单位为符合投资单位的会计政策而作出的任何必要的会计政策调整；
（3）针对被投资单位账面价值、股利分配、收益影响、其他综合收益及其他权益变动的持续调整。</t>
        </is>
      </c>
      <c r="C25" s="408" t="inlineStr">
        <is>
          <t>常规★</t>
        </is>
      </c>
      <c r="D25" s="410" t="n"/>
      <c r="E25" s="410" t="n"/>
      <c r="F25" s="408" t="n"/>
      <c r="G25" s="410" t="inlineStr">
        <is>
          <t>√</t>
        </is>
      </c>
      <c r="H25" s="410" t="n"/>
      <c r="I25" s="680" t="inlineStr">
        <is>
          <t>G7-14
/G7-15
/G7-16</t>
        </is>
      </c>
      <c r="J25" s="417" t="n"/>
      <c r="K25" s="412" t="n"/>
      <c r="L25" s="413" t="n"/>
      <c r="M25" s="414" t="n"/>
      <c r="N25" s="414" t="n"/>
    </row>
    <row r="26" ht="33" customFormat="1" customHeight="1" s="415">
      <c r="A26" s="411" t="inlineStr">
        <is>
          <t>10</t>
        </is>
      </c>
      <c r="B26" s="416" t="inlineStr">
        <is>
          <t>对于按成本法核算的长期股权投资，检查股利分配的原始凭证及分配决议等资料，确定会计处理是否正确。</t>
        </is>
      </c>
      <c r="C26" s="408" t="inlineStr">
        <is>
          <t>常规★</t>
        </is>
      </c>
      <c r="D26" s="410" t="n"/>
      <c r="E26" s="408" t="n"/>
      <c r="F26" s="410" t="n"/>
      <c r="G26" s="410" t="inlineStr">
        <is>
          <t>√</t>
        </is>
      </c>
      <c r="H26" s="410" t="n"/>
      <c r="I26" s="680" t="inlineStr">
        <is>
          <t>G7-10</t>
        </is>
      </c>
      <c r="J26" s="417" t="n"/>
      <c r="K26" s="412" t="n"/>
      <c r="L26" s="413" t="n"/>
      <c r="M26" s="414" t="n"/>
      <c r="N26" s="414" t="n"/>
    </row>
    <row r="27" ht="94.2" customFormat="1" customHeight="1" s="1108">
      <c r="A27" s="411" t="inlineStr">
        <is>
          <t>11</t>
        </is>
      </c>
      <c r="B27" s="609" t="inlineStr">
        <is>
          <t>针对存在减值迹象的长期股权投资，考虑执行下列程序：
（1）获取长期股权投资的减值明细表，考虑对该投资可能造成减值的事件或环境变化；
（2）获取被审计单位管理层在资产负债表日就长期股权投资是否存在可能发生减值迹象的判断说明及减值测试过程，关注计提减值准备的依据是否充分，减值测试过程是否合理，会计处理是否正确。
（3）考虑是否需要利用估值专家的工作，如需要完成利用专家工作底稿。</t>
        </is>
      </c>
      <c r="C27" s="703" t="inlineStr">
        <is>
          <t>常规★</t>
        </is>
      </c>
      <c r="D27" s="408" t="n"/>
      <c r="E27" s="433" t="n"/>
      <c r="F27" s="433" t="n"/>
      <c r="G27" s="410" t="inlineStr">
        <is>
          <t>√</t>
        </is>
      </c>
      <c r="H27" s="408" t="n"/>
      <c r="I27" s="613" t="inlineStr">
        <is>
          <t>G7-17</t>
        </is>
      </c>
    </row>
    <row r="28" ht="24.6" customFormat="1" customHeight="1" s="415">
      <c r="A28" s="411" t="inlineStr">
        <is>
          <t>12</t>
        </is>
      </c>
      <c r="B28" s="416" t="inlineStr">
        <is>
          <t>了解长期股权投资是否存在所有权限制，承诺或留置。</t>
        </is>
      </c>
      <c r="C28" s="408" t="inlineStr">
        <is>
          <t>常规★</t>
        </is>
      </c>
      <c r="D28" s="410" t="n"/>
      <c r="E28" s="408" t="n"/>
      <c r="F28" s="410" t="inlineStr">
        <is>
          <t>√</t>
        </is>
      </c>
      <c r="G28" s="409" t="n"/>
      <c r="H28" s="410" t="n"/>
      <c r="I28" s="680" t="inlineStr">
        <is>
          <t>G7-2</t>
        </is>
      </c>
      <c r="J28" s="417" t="n"/>
      <c r="K28" s="412" t="n"/>
      <c r="L28" s="413" t="n"/>
      <c r="M28" s="414" t="n"/>
      <c r="N28" s="414" t="n"/>
    </row>
    <row r="29" ht="42" customFormat="1" customHeight="1" s="415">
      <c r="A29" s="411" t="inlineStr">
        <is>
          <t>13</t>
        </is>
      </c>
      <c r="B29" s="416" t="inlineStr">
        <is>
          <t>与被审计单位人员讨论确定是否存在被投资单位由于所在国家和地区及其他方面的影响，其向被审计单位转移资金的能力受到限制的情况，如存在，应详细记录受限情况，并提请被审计单位充分披露。</t>
        </is>
      </c>
      <c r="C29" s="408" t="inlineStr">
        <is>
          <t>常规★</t>
        </is>
      </c>
      <c r="D29" s="410" t="n"/>
      <c r="E29" s="408" t="n"/>
      <c r="F29" s="410" t="n"/>
      <c r="G29" s="409" t="n"/>
      <c r="H29" s="410" t="inlineStr">
        <is>
          <t>√</t>
        </is>
      </c>
      <c r="I29" s="680" t="inlineStr">
        <is>
          <t>G7-2</t>
        </is>
      </c>
      <c r="J29" s="417" t="n"/>
      <c r="K29" s="412" t="n"/>
      <c r="L29" s="413" t="n"/>
      <c r="M29" s="414" t="n"/>
      <c r="N29" s="414" t="n"/>
    </row>
    <row r="30" ht="115.2" customFormat="1" customHeight="1" s="1108">
      <c r="A30" s="411" t="inlineStr">
        <is>
          <t>14</t>
        </is>
      </c>
      <c r="B30" s="432" t="inlineStr">
        <is>
          <t>检查关联方交易：
（1）了解关联交易的商业理由、交易事项的目的、价格和条件，考虑对关联方交易性金融资产的合理性、合法性；
（2）检查对关联方交易性金融资产的真实性相关的支持性文件、检查会计处理是否正确；
（3）考虑向关联方或其他注册会计师函证重大的关联交易和余额（包括担保和其他重要信息）；
（4）必要时，向与交易相关的人员和机构函证或与其讨论有关信息；
（5）考虑是否存在未识别的关联方，关联交易和余额披露是否正确。</t>
        </is>
      </c>
      <c r="C30" s="703" t="inlineStr">
        <is>
          <t>常规★</t>
        </is>
      </c>
      <c r="D30" s="410" t="inlineStr">
        <is>
          <t>√</t>
        </is>
      </c>
      <c r="E30" s="408" t="inlineStr">
        <is>
          <t>√</t>
        </is>
      </c>
      <c r="F30" s="408" t="inlineStr">
        <is>
          <t>√</t>
        </is>
      </c>
      <c r="G30" s="410" t="inlineStr">
        <is>
          <t>√</t>
        </is>
      </c>
      <c r="H30" s="408" t="inlineStr">
        <is>
          <t>√</t>
        </is>
      </c>
      <c r="I30" s="613" t="n"/>
    </row>
    <row r="31" ht="48" customFormat="1" customHeight="1" s="415">
      <c r="A31" s="411" t="inlineStr">
        <is>
          <t>15</t>
        </is>
      </c>
      <c r="B31" s="416" t="inlineStr">
        <is>
          <t>根据评估的舞弊风险等因素增加的审计程序。</t>
        </is>
      </c>
      <c r="C31" s="700" t="inlineStr">
        <is>
          <t>IPO/上市/新三板/重组/舞弊应对</t>
        </is>
      </c>
      <c r="D31" s="410" t="n"/>
      <c r="E31" s="408" t="n"/>
      <c r="F31" s="408" t="n"/>
      <c r="G31" s="408" t="n"/>
      <c r="H31" s="408" t="n"/>
      <c r="I31" s="680" t="n"/>
      <c r="J31" s="417" t="n"/>
      <c r="K31" s="412" t="n"/>
      <c r="L31" s="413" t="n"/>
      <c r="M31" s="414" t="n"/>
      <c r="N31" s="414" t="n"/>
    </row>
    <row r="32" ht="27.6" customFormat="1" customHeight="1" s="415">
      <c r="A32" s="411" t="inlineStr">
        <is>
          <t>16</t>
        </is>
      </c>
      <c r="B32" s="416" t="inlineStr">
        <is>
          <t>检查长期股权投资是否已按照企业会计准则的规定在财务报表中作出恰当列报和披露。</t>
        </is>
      </c>
      <c r="C32" s="408" t="inlineStr">
        <is>
          <t>常规★</t>
        </is>
      </c>
      <c r="D32" s="704" t="n"/>
      <c r="E32" s="408" t="n"/>
      <c r="F32" s="408" t="n"/>
      <c r="G32" s="409" t="n"/>
      <c r="H32" s="410" t="inlineStr">
        <is>
          <t>√</t>
        </is>
      </c>
      <c r="I32" s="708" t="inlineStr">
        <is>
          <t>A1-1/A1-15 /A1-16</t>
        </is>
      </c>
      <c r="J32" s="417" t="n"/>
      <c r="K32" s="412" t="n"/>
      <c r="L32" s="413" t="n"/>
      <c r="M32" s="414" t="n"/>
      <c r="N32" s="414" t="n"/>
    </row>
  </sheetData>
  <mergeCells count="23">
    <mergeCell ref="G10:I10"/>
    <mergeCell ref="G13:I13"/>
    <mergeCell ref="A12:F12"/>
    <mergeCell ref="A2:I2"/>
    <mergeCell ref="A8:F8"/>
    <mergeCell ref="A3:B3"/>
    <mergeCell ref="B15:B16"/>
    <mergeCell ref="A10:F10"/>
    <mergeCell ref="A13:F13"/>
    <mergeCell ref="A9:F9"/>
    <mergeCell ref="A5:B5"/>
    <mergeCell ref="G9:I9"/>
    <mergeCell ref="A14:B14"/>
    <mergeCell ref="G12:I12"/>
    <mergeCell ref="G11:I11"/>
    <mergeCell ref="A4:B4"/>
    <mergeCell ref="A11:F11"/>
    <mergeCell ref="D15:H15"/>
    <mergeCell ref="A1:I1"/>
    <mergeCell ref="G8:I8"/>
    <mergeCell ref="A15:A16"/>
    <mergeCell ref="C15:C16"/>
    <mergeCell ref="I15:I16"/>
  </mergeCells>
  <hyperlinks>
    <hyperlink ref="I3" location="底稿目录!F4" display="底稿目录!F4"/>
  </hyperlinks>
  <pageMargins left="0.7086614173228347" right="0.7086614173228347" top="0.7480314960629921" bottom="0.7480314960629921" header="0.3149606299212598" footer="0.3149606299212598"/>
  <pageSetup orientation="portrait" paperSize="9" scale="70" fitToHeight="0" fitToWidth="0" blackAndWhite="1"/>
  <headerFooter>
    <oddHeader/>
    <oddFooter>&amp;C&amp;P/&amp;N</oddFooter>
    <evenHeader/>
    <evenFooter/>
    <firstHeader/>
    <firstFooter/>
  </headerFooter>
  <rowBreaks count="1" manualBreakCount="1">
    <brk id="28" min="0" max="8" man="1"/>
  </rowBreaks>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fitToPage="1"/>
  </sheetPr>
  <dimension ref="A1:L97"/>
  <sheetViews>
    <sheetView view="pageBreakPreview" zoomScaleNormal="130" zoomScaleSheetLayoutView="100" workbookViewId="0">
      <selection activeCell="A1" sqref="A1:G1"/>
    </sheetView>
  </sheetViews>
  <sheetFormatPr baseColWidth="8" defaultColWidth="9" defaultRowHeight="23.25" customHeight="1" outlineLevelCol="0"/>
  <cols>
    <col width="12.5" bestFit="1" customWidth="1" style="1109" min="1" max="1"/>
    <col width="10.59765625" customWidth="1" style="1109" min="2" max="2"/>
    <col width="15.59765625" customWidth="1" style="1109" min="3" max="3"/>
    <col width="14.59765625" customWidth="1" style="1109" min="4" max="4"/>
    <col width="13.19921875" customWidth="1" style="1109" min="5" max="5"/>
    <col width="14.3984375" customWidth="1" style="1109" min="6" max="6"/>
    <col width="8.09765625" customWidth="1" style="1109" min="7" max="7"/>
    <col width="9" customWidth="1" style="1109" min="8" max="16384"/>
  </cols>
  <sheetData>
    <row r="1" ht="19.95" customFormat="1" customHeight="1" s="1110">
      <c r="A1" s="870" t="inlineStr">
        <is>
          <t>致同会计师事务所</t>
        </is>
      </c>
    </row>
    <row r="2" ht="19.95" customFormat="1" customHeight="1" s="1111">
      <c r="A2" s="1112" t="inlineStr">
        <is>
          <t>长期股权投资审定表</t>
        </is>
      </c>
    </row>
    <row r="3" ht="19.95" customFormat="1" customHeight="1" s="1113">
      <c r="A3" s="673">
        <f>底稿目录!A2</f>
        <v/>
      </c>
      <c r="B3" s="673" t="n"/>
      <c r="C3" s="673" t="n"/>
      <c r="D3" s="673">
        <f>底稿目录!A4</f>
        <v/>
      </c>
      <c r="E3" s="681">
        <f>底稿目录!A5</f>
        <v/>
      </c>
      <c r="F3" s="672" t="inlineStr">
        <is>
          <t>索引号：</t>
        </is>
      </c>
      <c r="G3" s="1096">
        <f>底稿目录!F5</f>
        <v/>
      </c>
      <c r="H3" s="673" t="n"/>
      <c r="J3" s="673" t="n"/>
      <c r="K3" s="673" t="n"/>
      <c r="L3" s="673" t="n"/>
    </row>
    <row r="4" ht="19.95" customFormat="1" customHeight="1" s="1113">
      <c r="A4" s="673">
        <f>底稿目录!A3</f>
        <v/>
      </c>
      <c r="B4" s="673" t="n"/>
      <c r="C4" s="673" t="n"/>
      <c r="D4" s="673">
        <f>底稿目录!A6</f>
        <v/>
      </c>
      <c r="E4" s="681">
        <f>底稿目录!A7</f>
        <v/>
      </c>
      <c r="F4" s="672" t="inlineStr">
        <is>
          <t>页 次：</t>
        </is>
      </c>
      <c r="G4" s="673" t="n"/>
      <c r="H4" s="673" t="n"/>
      <c r="J4" s="673" t="n"/>
      <c r="K4" s="673" t="n"/>
      <c r="L4" s="673" t="n"/>
    </row>
    <row r="5" ht="19.95" customHeight="1" s="1097">
      <c r="A5" s="1114" t="inlineStr">
        <is>
          <t>项目</t>
        </is>
      </c>
      <c r="B5" s="1115" t="n"/>
      <c r="C5" s="1116" t="inlineStr">
        <is>
          <t>期初数</t>
        </is>
      </c>
      <c r="D5" s="1114" t="inlineStr">
        <is>
          <t>本期增加</t>
        </is>
      </c>
      <c r="E5" s="1114" t="inlineStr">
        <is>
          <t>本期减少</t>
        </is>
      </c>
      <c r="F5" s="1114" t="inlineStr">
        <is>
          <t>期末数</t>
        </is>
      </c>
      <c r="G5" s="1117" t="inlineStr">
        <is>
          <t>索引</t>
        </is>
      </c>
    </row>
    <row r="6" ht="19.95" customHeight="1" s="1097">
      <c r="A6" s="1118" t="inlineStr">
        <is>
          <t>一、原值</t>
        </is>
      </c>
      <c r="B6" s="1119" t="n"/>
      <c r="C6" s="1119" t="n"/>
      <c r="D6" s="1119" t="n"/>
      <c r="E6" s="1119" t="n"/>
      <c r="F6" s="1119" t="n"/>
      <c r="G6" s="1119" t="n"/>
    </row>
    <row r="7" ht="19.95" customHeight="1" s="1097">
      <c r="A7" s="1120" t="inlineStr">
        <is>
          <t>未审数</t>
        </is>
      </c>
      <c r="B7" s="1115" t="n"/>
      <c r="C7" s="1121">
        <f>SUM(C8:C11)</f>
        <v/>
      </c>
      <c r="D7" s="1121">
        <f>SUM(D8:D11)</f>
        <v/>
      </c>
      <c r="E7" s="1121">
        <f>SUM(E8:E11)</f>
        <v/>
      </c>
      <c r="F7" s="1121">
        <f>SUM(F8:F11)</f>
        <v/>
      </c>
      <c r="G7" s="1122" t="n"/>
    </row>
    <row r="8" ht="19.95" customHeight="1" s="1097">
      <c r="A8" s="1123" t="inlineStr">
        <is>
          <t>一、对子公司投资</t>
        </is>
      </c>
      <c r="B8" s="1124" t="n"/>
      <c r="C8" s="1125">
        <f>'明细表G7-2'!M26</f>
        <v/>
      </c>
      <c r="D8" s="1125">
        <f>'明细表G7-2'!O26</f>
        <v/>
      </c>
      <c r="E8" s="1125">
        <f>'明细表G7-2'!R26</f>
        <v/>
      </c>
      <c r="F8" s="1125">
        <f>C8+D8-E8</f>
        <v/>
      </c>
      <c r="G8" s="1126" t="n"/>
    </row>
    <row r="9" ht="19.95" customHeight="1" s="1097">
      <c r="A9" s="1123" t="inlineStr">
        <is>
          <t>二、对合营企业投资</t>
        </is>
      </c>
      <c r="B9" s="1124" t="n"/>
      <c r="C9" s="1125">
        <f>'明细表G7-2'!H38</f>
        <v/>
      </c>
      <c r="D9" s="1125">
        <f>'明细表G7-2'!J38+'明细表G7-2'!N38</f>
        <v/>
      </c>
      <c r="E9" s="1125">
        <f>'明细表G7-2'!Q38+'明细表G7-2'!R38</f>
        <v/>
      </c>
      <c r="F9" s="1125">
        <f>C9+D9-E9</f>
        <v/>
      </c>
      <c r="G9" s="1126" t="n"/>
    </row>
    <row r="10" ht="19.95" customHeight="1" s="1097">
      <c r="A10" s="1123" t="inlineStr">
        <is>
          <t>三、对联营企业投资</t>
        </is>
      </c>
      <c r="B10" s="1124" t="n"/>
      <c r="C10" s="1125">
        <f>'明细表G7-2'!H45</f>
        <v/>
      </c>
      <c r="D10" s="1125">
        <f>'明细表G7-2'!J45+'明细表G7-2'!N45</f>
        <v/>
      </c>
      <c r="E10" s="1125">
        <f>'明细表G7-2'!Q45+'明细表G7-2'!R45</f>
        <v/>
      </c>
      <c r="F10" s="1125">
        <f>C10+D10-E10</f>
        <v/>
      </c>
      <c r="G10" s="1126" t="n"/>
    </row>
    <row r="11" ht="19.95" customHeight="1" s="1097">
      <c r="A11" s="1123" t="n"/>
      <c r="B11" s="1115" t="n"/>
      <c r="C11" s="1127" t="n"/>
      <c r="D11" s="1127" t="n"/>
      <c r="E11" s="1127" t="n"/>
      <c r="F11" s="1125">
        <f>C11+D11-E11</f>
        <v/>
      </c>
      <c r="G11" s="1126" t="n"/>
    </row>
    <row r="12" ht="19.95" customHeight="1" s="1097">
      <c r="A12" s="1120" t="inlineStr">
        <is>
          <t>账项调整</t>
        </is>
      </c>
      <c r="B12" s="1115" t="n"/>
      <c r="C12" s="1121">
        <f>SUM(C13:C16)</f>
        <v/>
      </c>
      <c r="D12" s="1121">
        <f>SUM(D13:D16)</f>
        <v/>
      </c>
      <c r="E12" s="1121">
        <f>SUM(E13:E16)</f>
        <v/>
      </c>
      <c r="F12" s="1121">
        <f>SUM(F13:F16)</f>
        <v/>
      </c>
      <c r="G12" s="1122" t="n"/>
    </row>
    <row r="13" ht="19.95" customHeight="1" s="1097">
      <c r="A13" s="1128">
        <f>A8</f>
        <v/>
      </c>
      <c r="B13" s="1128" t="n"/>
      <c r="C13" s="1125">
        <f>'明细表G7-2'!V26</f>
        <v/>
      </c>
      <c r="D13" s="1125">
        <f>'明细表G7-2'!X26</f>
        <v/>
      </c>
      <c r="E13" s="1125">
        <f>'明细表G7-2'!Y26</f>
        <v/>
      </c>
      <c r="F13" s="1125">
        <f>C13+D13-E13</f>
        <v/>
      </c>
      <c r="G13" s="1126" t="n"/>
    </row>
    <row r="14" ht="19.95" customFormat="1" customHeight="1" s="1129">
      <c r="A14" s="1128">
        <f>A9</f>
        <v/>
      </c>
      <c r="B14" s="1128" t="n"/>
      <c r="C14" s="1125">
        <f>'明细表G7-2'!V38</f>
        <v/>
      </c>
      <c r="D14" s="1125">
        <f>'明细表G7-2'!X38+'明细表G7-2'!Y38+'明细表G7-2'!Z38+'明细表G7-2'!AA38</f>
        <v/>
      </c>
      <c r="E14" s="1125">
        <f>'明细表G7-2'!AC38+'明细表G7-2'!AD38</f>
        <v/>
      </c>
      <c r="F14" s="1125">
        <f>C14+D14-E14</f>
        <v/>
      </c>
      <c r="G14" s="1126" t="n"/>
    </row>
    <row r="15" ht="19.95" customHeight="1" s="1097">
      <c r="A15" s="1128">
        <f>A10</f>
        <v/>
      </c>
      <c r="B15" s="1128" t="n"/>
      <c r="C15" s="1125">
        <f>'明细表G7-2'!V45</f>
        <v/>
      </c>
      <c r="D15" s="1125">
        <f>'明细表G7-2'!X45+'明细表G7-2'!Y45+'明细表G7-2'!Z45+'明细表G7-2'!AA45</f>
        <v/>
      </c>
      <c r="E15" s="1125">
        <f>'明细表G7-2'!AC45+'明细表G7-2'!AD45</f>
        <v/>
      </c>
      <c r="F15" s="1125">
        <f>C15+D15-E15</f>
        <v/>
      </c>
      <c r="G15" s="1126" t="n"/>
    </row>
    <row r="16" ht="19.95" customHeight="1" s="1097">
      <c r="A16" s="1128">
        <f>A11</f>
        <v/>
      </c>
      <c r="B16" s="1115" t="n"/>
      <c r="C16" s="1127" t="n"/>
      <c r="D16" s="1127" t="n"/>
      <c r="E16" s="1127" t="n"/>
      <c r="F16" s="1125">
        <f>C16+D16-E16</f>
        <v/>
      </c>
      <c r="G16" s="1126" t="n"/>
    </row>
    <row r="17" ht="19.95" customHeight="1" s="1097">
      <c r="A17" s="1120" t="inlineStr">
        <is>
          <t>重分类调整</t>
        </is>
      </c>
      <c r="B17" s="1115" t="n"/>
      <c r="C17" s="1121">
        <f>SUM(C18:C21)</f>
        <v/>
      </c>
      <c r="D17" s="1121">
        <f>SUM(D18:D21)</f>
        <v/>
      </c>
      <c r="E17" s="1121">
        <f>SUM(E18:E21)</f>
        <v/>
      </c>
      <c r="F17" s="1121">
        <f>SUM(F18:F21)</f>
        <v/>
      </c>
      <c r="G17" s="1122" t="n"/>
    </row>
    <row r="18" ht="19.95" customHeight="1" s="1097">
      <c r="A18" s="1128">
        <f>A13</f>
        <v/>
      </c>
      <c r="B18" s="1128" t="n"/>
      <c r="C18" s="1125">
        <f>'明细表G7-2'!W26</f>
        <v/>
      </c>
      <c r="D18" s="1125">
        <f>'明细表G7-2'!Z26</f>
        <v/>
      </c>
      <c r="E18" s="1125">
        <f>'明细表G7-2'!AA26</f>
        <v/>
      </c>
      <c r="F18" s="1125">
        <f>C18+D18-E18</f>
        <v/>
      </c>
      <c r="G18" s="1126" t="n"/>
    </row>
    <row r="19" ht="19.95" customHeight="1" s="1097">
      <c r="A19" s="1128">
        <f>A14</f>
        <v/>
      </c>
      <c r="B19" s="1128" t="n"/>
      <c r="C19" s="1125">
        <f>'明细表G7-2'!W38</f>
        <v/>
      </c>
      <c r="D19" s="1125">
        <f>'明细表G7-2'!AF38+'明细表G7-2'!AG38+'明细表G7-2'!AH38+'明细表G7-2'!AI38</f>
        <v/>
      </c>
      <c r="E19" s="1125">
        <f>'明细表G7-2'!AK38+'明细表G7-2'!AL38</f>
        <v/>
      </c>
      <c r="F19" s="1125">
        <f>C19+D19-E19</f>
        <v/>
      </c>
      <c r="G19" s="1126" t="n"/>
    </row>
    <row r="20" ht="19.95" customFormat="1" customHeight="1" s="1129">
      <c r="A20" s="1128">
        <f>A15</f>
        <v/>
      </c>
      <c r="B20" s="1128" t="n"/>
      <c r="C20" s="1125">
        <f>'明细表G7-2'!W45</f>
        <v/>
      </c>
      <c r="D20" s="1125">
        <f>'明细表G7-2'!AF45+'明细表G7-2'!AG45+'明细表G7-2'!AH45+'明细表G7-2'!AI45</f>
        <v/>
      </c>
      <c r="E20" s="1125">
        <f>'明细表G7-2'!AK45+'明细表G7-2'!AL45</f>
        <v/>
      </c>
      <c r="F20" s="1125">
        <f>C20+D20-E20</f>
        <v/>
      </c>
      <c r="G20" s="1126" t="n"/>
    </row>
    <row r="21" ht="19.95" customHeight="1" s="1097">
      <c r="A21" s="1128">
        <f>A16</f>
        <v/>
      </c>
      <c r="B21" s="1115" t="n"/>
      <c r="C21" s="1127" t="n"/>
      <c r="D21" s="1127" t="n"/>
      <c r="E21" s="1127" t="n"/>
      <c r="F21" s="1125">
        <f>C21+D21-E21</f>
        <v/>
      </c>
      <c r="G21" s="1126" t="n"/>
    </row>
    <row r="22" ht="19.95" customHeight="1" s="1097">
      <c r="A22" s="1120" t="inlineStr">
        <is>
          <t>审定数1</t>
        </is>
      </c>
      <c r="B22" s="1115" t="n"/>
      <c r="C22" s="1121">
        <f>SUM(C23:C26)</f>
        <v/>
      </c>
      <c r="D22" s="1121">
        <f>SUM(D23:D26)</f>
        <v/>
      </c>
      <c r="E22" s="1121">
        <f>SUM(E23:E26)</f>
        <v/>
      </c>
      <c r="F22" s="1121">
        <f>SUM(F23:F26)</f>
        <v/>
      </c>
      <c r="G22" s="1122" t="n"/>
    </row>
    <row r="23" ht="19.95" customHeight="1" s="1097">
      <c r="A23" s="1128">
        <f>A18</f>
        <v/>
      </c>
      <c r="B23" s="1128" t="n"/>
      <c r="C23" s="1125">
        <f>C8+C13+C18</f>
        <v/>
      </c>
      <c r="D23" s="1125">
        <f>D8+D13+D18</f>
        <v/>
      </c>
      <c r="E23" s="1125">
        <f>E8+E13+E18</f>
        <v/>
      </c>
      <c r="F23" s="1125">
        <f>C23+D23-E23</f>
        <v/>
      </c>
      <c r="G23" s="1126" t="n"/>
    </row>
    <row r="24" ht="19.95" customHeight="1" s="1097">
      <c r="A24" s="1128">
        <f>A19</f>
        <v/>
      </c>
      <c r="B24" s="1128" t="n"/>
      <c r="C24" s="1125">
        <f>C9+C14+C19</f>
        <v/>
      </c>
      <c r="D24" s="1125">
        <f>D9+D14+D19</f>
        <v/>
      </c>
      <c r="E24" s="1125">
        <f>E9+E14+E19</f>
        <v/>
      </c>
      <c r="F24" s="1125">
        <f>C24+D24-E24</f>
        <v/>
      </c>
      <c r="G24" s="1126" t="n"/>
    </row>
    <row r="25" ht="19.95" customHeight="1" s="1097">
      <c r="A25" s="1128">
        <f>A20</f>
        <v/>
      </c>
      <c r="B25" s="1128" t="n"/>
      <c r="C25" s="1125">
        <f>C10+C15+C20</f>
        <v/>
      </c>
      <c r="D25" s="1125">
        <f>D10+D15+D20</f>
        <v/>
      </c>
      <c r="E25" s="1125">
        <f>E10+E15+E20</f>
        <v/>
      </c>
      <c r="F25" s="1125">
        <f>C25+D25-E25</f>
        <v/>
      </c>
      <c r="G25" s="1126" t="n"/>
    </row>
    <row r="26" ht="19.95" customFormat="1" customHeight="1" s="1129">
      <c r="A26" s="1128">
        <f>A21</f>
        <v/>
      </c>
      <c r="B26" s="1115" t="n"/>
      <c r="C26" s="1125">
        <f>C11+C16+C21</f>
        <v/>
      </c>
      <c r="D26" s="1125">
        <f>D11+D16+D21</f>
        <v/>
      </c>
      <c r="E26" s="1125">
        <f>E11+E16+E21</f>
        <v/>
      </c>
      <c r="F26" s="1125">
        <f>C26+D26-E26</f>
        <v/>
      </c>
      <c r="G26" s="1126" t="n"/>
    </row>
    <row r="27" ht="19.95" customHeight="1" s="1097">
      <c r="A27" s="1118" t="inlineStr">
        <is>
          <t>二、减值准备</t>
        </is>
      </c>
      <c r="B27" s="1119" t="n"/>
      <c r="C27" s="1119" t="n"/>
      <c r="D27" s="1119" t="n"/>
      <c r="E27" s="1119" t="n"/>
      <c r="F27" s="1119" t="n"/>
      <c r="G27" s="1119" t="n"/>
    </row>
    <row r="28" ht="19.95" customHeight="1" s="1097">
      <c r="A28" s="1120" t="inlineStr">
        <is>
          <t>未审数</t>
        </is>
      </c>
      <c r="B28" s="1115" t="n"/>
      <c r="C28" s="1121">
        <f>SUM(C29:C32)</f>
        <v/>
      </c>
      <c r="D28" s="1121">
        <f>SUM(D29:D32)</f>
        <v/>
      </c>
      <c r="E28" s="1121">
        <f>SUM(E29:E32)</f>
        <v/>
      </c>
      <c r="F28" s="1121">
        <f>SUM(F29:F32)</f>
        <v/>
      </c>
      <c r="G28" s="1122" t="n"/>
    </row>
    <row r="29" ht="19.95" customHeight="1" s="1097">
      <c r="A29" s="1128">
        <f>A8</f>
        <v/>
      </c>
      <c r="B29" s="1128" t="n"/>
      <c r="C29" s="1125">
        <f>'明细表G7-2'!G63</f>
        <v/>
      </c>
      <c r="D29" s="1125">
        <f>'明细表G7-2'!H63</f>
        <v/>
      </c>
      <c r="E29" s="1125">
        <f>'明细表G7-2'!I63</f>
        <v/>
      </c>
      <c r="F29" s="1125">
        <f>C29+D29-E29</f>
        <v/>
      </c>
      <c r="G29" s="1126" t="n"/>
    </row>
    <row r="30" ht="19.95" customHeight="1" s="1097">
      <c r="A30" s="1128">
        <f>A9</f>
        <v/>
      </c>
      <c r="B30" s="1128" t="n"/>
      <c r="C30" s="1125">
        <f>'明细表G7-2'!G71</f>
        <v/>
      </c>
      <c r="D30" s="1125">
        <f>'明细表G7-2'!H71</f>
        <v/>
      </c>
      <c r="E30" s="1125">
        <f>'明细表G7-2'!I71</f>
        <v/>
      </c>
      <c r="F30" s="1125">
        <f>C30+D30-E30</f>
        <v/>
      </c>
      <c r="G30" s="1126" t="n"/>
    </row>
    <row r="31" ht="19.95" customHeight="1" s="1097">
      <c r="A31" s="1128">
        <f>A10</f>
        <v/>
      </c>
      <c r="B31" s="1128" t="n"/>
      <c r="C31" s="1125">
        <f>'明细表G7-2'!G78</f>
        <v/>
      </c>
      <c r="D31" s="1125">
        <f>'明细表G7-2'!H78</f>
        <v/>
      </c>
      <c r="E31" s="1125">
        <f>'明细表G7-2'!I78</f>
        <v/>
      </c>
      <c r="F31" s="1125">
        <f>C31+D31-E31</f>
        <v/>
      </c>
      <c r="G31" s="1126" t="n"/>
    </row>
    <row r="32" ht="19.95" customHeight="1" s="1097">
      <c r="A32" s="1128">
        <f>A11</f>
        <v/>
      </c>
      <c r="B32" s="1115" t="n"/>
      <c r="C32" s="1127" t="n"/>
      <c r="D32" s="1127" t="n"/>
      <c r="E32" s="1127" t="n"/>
      <c r="F32" s="1125">
        <f>C32+D32-E32</f>
        <v/>
      </c>
      <c r="G32" s="1126" t="n"/>
    </row>
    <row r="33" ht="19.95" customHeight="1" s="1097">
      <c r="A33" s="1120" t="inlineStr">
        <is>
          <t>账项调整</t>
        </is>
      </c>
      <c r="B33" s="1115" t="n"/>
      <c r="C33" s="1121">
        <f>SUM(C34:C37)</f>
        <v/>
      </c>
      <c r="D33" s="1121">
        <f>SUM(D34:D37)</f>
        <v/>
      </c>
      <c r="E33" s="1121">
        <f>SUM(E34:E37)</f>
        <v/>
      </c>
      <c r="F33" s="1121">
        <f>SUM(F34:F37)</f>
        <v/>
      </c>
      <c r="G33" s="1122" t="n"/>
    </row>
    <row r="34" ht="19.95" customHeight="1" s="1097">
      <c r="A34" s="1128">
        <f>A13</f>
        <v/>
      </c>
      <c r="B34" s="1128" t="n"/>
      <c r="C34" s="1125">
        <f>'明细表G7-2'!L63</f>
        <v/>
      </c>
      <c r="D34" s="1125">
        <f>'明细表G7-2'!N63</f>
        <v/>
      </c>
      <c r="E34" s="1125">
        <f>'明细表G7-2'!O63</f>
        <v/>
      </c>
      <c r="F34" s="1125">
        <f>C34+D34-E34</f>
        <v/>
      </c>
      <c r="G34" s="1126" t="n"/>
    </row>
    <row r="35" ht="19.95" customHeight="1" s="1097">
      <c r="A35" s="1128">
        <f>A14</f>
        <v/>
      </c>
      <c r="B35" s="1128" t="n"/>
      <c r="C35" s="1125">
        <f>'明细表G7-2'!L71</f>
        <v/>
      </c>
      <c r="D35" s="1125">
        <f>'明细表G7-2'!N71</f>
        <v/>
      </c>
      <c r="E35" s="1125">
        <f>'明细表G7-2'!O71</f>
        <v/>
      </c>
      <c r="F35" s="1125">
        <f>C35+D35-E35</f>
        <v/>
      </c>
      <c r="G35" s="1126" t="n"/>
    </row>
    <row r="36" ht="19.95" customHeight="1" s="1097">
      <c r="A36" s="1128">
        <f>A15</f>
        <v/>
      </c>
      <c r="B36" s="1128" t="n"/>
      <c r="C36" s="1125">
        <f>'明细表G7-2'!L78</f>
        <v/>
      </c>
      <c r="D36" s="1125">
        <f>'明细表G7-2'!N78</f>
        <v/>
      </c>
      <c r="E36" s="1125">
        <f>'明细表G7-2'!O78</f>
        <v/>
      </c>
      <c r="F36" s="1125">
        <f>C36+D36-E36</f>
        <v/>
      </c>
      <c r="G36" s="1126" t="n"/>
    </row>
    <row r="37" ht="19.95" customHeight="1" s="1097">
      <c r="A37" s="1128">
        <f>A16</f>
        <v/>
      </c>
      <c r="B37" s="1115" t="n"/>
      <c r="C37" s="1127" t="n"/>
      <c r="D37" s="1127" t="n"/>
      <c r="E37" s="1127" t="n"/>
      <c r="F37" s="1125">
        <f>C37+D37-E37</f>
        <v/>
      </c>
      <c r="G37" s="1126" t="n"/>
    </row>
    <row r="38" ht="19.95" customHeight="1" s="1097">
      <c r="A38" s="1120" t="inlineStr">
        <is>
          <t>重分类调整</t>
        </is>
      </c>
      <c r="B38" s="1115" t="n"/>
      <c r="C38" s="1121">
        <f>SUM(C39:C42)</f>
        <v/>
      </c>
      <c r="D38" s="1121">
        <f>SUM(D39:D42)</f>
        <v/>
      </c>
      <c r="E38" s="1121">
        <f>SUM(E39:E42)</f>
        <v/>
      </c>
      <c r="F38" s="1121">
        <f>SUM(F39:F42)</f>
        <v/>
      </c>
      <c r="G38" s="1122" t="n"/>
    </row>
    <row r="39" ht="19.95" customHeight="1" s="1097">
      <c r="A39" s="1128">
        <f>A18</f>
        <v/>
      </c>
      <c r="B39" s="1128" t="n"/>
      <c r="C39" s="1125">
        <f>'明细表G7-2'!M63</f>
        <v/>
      </c>
      <c r="D39" s="1125">
        <f>'明细表G7-2'!P63</f>
        <v/>
      </c>
      <c r="E39" s="1125">
        <f>'明细表G7-2'!Q63</f>
        <v/>
      </c>
      <c r="F39" s="1125">
        <f>C39+D39-E39</f>
        <v/>
      </c>
      <c r="G39" s="1126" t="n"/>
    </row>
    <row r="40" ht="19.95" customHeight="1" s="1097">
      <c r="A40" s="1128">
        <f>A19</f>
        <v/>
      </c>
      <c r="B40" s="1128" t="n"/>
      <c r="C40" s="1125">
        <f>'明细表G7-2'!M71</f>
        <v/>
      </c>
      <c r="D40" s="1125">
        <f>'明细表G7-2'!P71</f>
        <v/>
      </c>
      <c r="E40" s="1125">
        <f>'明细表G7-2'!Q71</f>
        <v/>
      </c>
      <c r="F40" s="1125">
        <f>C40+D40-E40</f>
        <v/>
      </c>
      <c r="G40" s="1126" t="n"/>
    </row>
    <row r="41" ht="19.95" customHeight="1" s="1097">
      <c r="A41" s="1128">
        <f>A20</f>
        <v/>
      </c>
      <c r="B41" s="1128" t="n"/>
      <c r="C41" s="1125">
        <f>'明细表G7-2'!M78</f>
        <v/>
      </c>
      <c r="D41" s="1125">
        <f>'明细表G7-2'!P78</f>
        <v/>
      </c>
      <c r="E41" s="1125">
        <f>'明细表G7-2'!Q78</f>
        <v/>
      </c>
      <c r="F41" s="1125">
        <f>C41+D41-E41</f>
        <v/>
      </c>
      <c r="G41" s="1126" t="n"/>
    </row>
    <row r="42" ht="19.95" customHeight="1" s="1097">
      <c r="A42" s="1128">
        <f>A21</f>
        <v/>
      </c>
      <c r="B42" s="1115" t="n"/>
      <c r="C42" s="1127" t="n"/>
      <c r="D42" s="1127" t="n"/>
      <c r="E42" s="1127" t="n"/>
      <c r="F42" s="1125">
        <f>C42+D42-E42</f>
        <v/>
      </c>
      <c r="G42" s="1126" t="n"/>
    </row>
    <row r="43" ht="19.95" customHeight="1" s="1097">
      <c r="A43" s="1120" t="inlineStr">
        <is>
          <t>审定数2</t>
        </is>
      </c>
      <c r="B43" s="1115" t="n"/>
      <c r="C43" s="1121">
        <f>SUM(C44:C47)</f>
        <v/>
      </c>
      <c r="D43" s="1121">
        <f>SUM(D44:D47)</f>
        <v/>
      </c>
      <c r="E43" s="1121">
        <f>SUM(E44:E47)</f>
        <v/>
      </c>
      <c r="F43" s="1121">
        <f>SUM(F44:F47)</f>
        <v/>
      </c>
      <c r="G43" s="1122" t="n"/>
    </row>
    <row r="44" ht="19.95" customHeight="1" s="1097">
      <c r="A44" s="1128">
        <f>A23</f>
        <v/>
      </c>
      <c r="B44" s="1128" t="n"/>
      <c r="C44" s="1125">
        <f>C29+C34+C39</f>
        <v/>
      </c>
      <c r="D44" s="1125">
        <f>D29+D34+D39</f>
        <v/>
      </c>
      <c r="E44" s="1125">
        <f>E29+E34+E39</f>
        <v/>
      </c>
      <c r="F44" s="1125">
        <f>C44+D44-E44</f>
        <v/>
      </c>
      <c r="G44" s="1126" t="n"/>
    </row>
    <row r="45" ht="19.95" customHeight="1" s="1097">
      <c r="A45" s="1128">
        <f>A24</f>
        <v/>
      </c>
      <c r="B45" s="1128" t="n"/>
      <c r="C45" s="1125">
        <f>C30+C35+C40</f>
        <v/>
      </c>
      <c r="D45" s="1125">
        <f>D30+D35+D40</f>
        <v/>
      </c>
      <c r="E45" s="1125">
        <f>E30+E35+E40</f>
        <v/>
      </c>
      <c r="F45" s="1125">
        <f>C45+D45-E45</f>
        <v/>
      </c>
      <c r="G45" s="1126" t="n"/>
    </row>
    <row r="46" ht="19.95" customHeight="1" s="1097">
      <c r="A46" s="1128">
        <f>A25</f>
        <v/>
      </c>
      <c r="B46" s="1128" t="n"/>
      <c r="C46" s="1125">
        <f>C31+C36+C41</f>
        <v/>
      </c>
      <c r="D46" s="1125">
        <f>D31+D36+D41</f>
        <v/>
      </c>
      <c r="E46" s="1125">
        <f>E31+E36+E41</f>
        <v/>
      </c>
      <c r="F46" s="1125">
        <f>C46+D46-E46</f>
        <v/>
      </c>
      <c r="G46" s="1126" t="n"/>
    </row>
    <row r="47" ht="19.95" customHeight="1" s="1097">
      <c r="A47" s="1128">
        <f>A26</f>
        <v/>
      </c>
      <c r="B47" s="1115" t="n"/>
      <c r="C47" s="1125">
        <f>C32+C37+C42</f>
        <v/>
      </c>
      <c r="D47" s="1125">
        <f>D32+D37+D42</f>
        <v/>
      </c>
      <c r="E47" s="1125">
        <f>E32+E37+E42</f>
        <v/>
      </c>
      <c r="F47" s="1125">
        <f>C47+D47-E47</f>
        <v/>
      </c>
      <c r="G47" s="1126" t="n"/>
    </row>
    <row r="48" ht="19.95" customHeight="1" s="1097">
      <c r="A48" s="1118" t="inlineStr">
        <is>
          <t>三、净值</t>
        </is>
      </c>
      <c r="B48" s="1119" t="n"/>
      <c r="C48" s="1119" t="n"/>
      <c r="D48" s="1119" t="n"/>
      <c r="E48" s="1119" t="n"/>
      <c r="F48" s="1119" t="n"/>
      <c r="G48" s="1119" t="n"/>
    </row>
    <row r="49" ht="19.95" customHeight="1" s="1097">
      <c r="A49" s="1120" t="inlineStr">
        <is>
          <t>审定数3</t>
        </is>
      </c>
      <c r="B49" s="1115" t="n"/>
      <c r="C49" s="1121">
        <f>SUM(C50:C53)</f>
        <v/>
      </c>
      <c r="D49" s="1121">
        <f>SUM(D50:D53)</f>
        <v/>
      </c>
      <c r="E49" s="1121">
        <f>SUM(E50:E53)</f>
        <v/>
      </c>
      <c r="F49" s="1121">
        <f>SUM(F50:F53)</f>
        <v/>
      </c>
      <c r="G49" s="1122" t="n"/>
    </row>
    <row r="50" ht="19.95" customHeight="1" s="1097">
      <c r="A50" s="1128">
        <f>A8</f>
        <v/>
      </c>
      <c r="B50" s="1128" t="n"/>
      <c r="C50" s="1125">
        <f>C23-C44</f>
        <v/>
      </c>
      <c r="D50" s="1125">
        <f>D23-D44</f>
        <v/>
      </c>
      <c r="E50" s="1125">
        <f>E23-E44</f>
        <v/>
      </c>
      <c r="F50" s="1125">
        <f>C50+D50-E50</f>
        <v/>
      </c>
      <c r="G50" s="1126" t="n"/>
    </row>
    <row r="51" ht="19.95" customHeight="1" s="1097">
      <c r="A51" s="1128">
        <f>A9</f>
        <v/>
      </c>
      <c r="B51" s="1128" t="n"/>
      <c r="C51" s="1125">
        <f>C24-C45</f>
        <v/>
      </c>
      <c r="D51" s="1125">
        <f>D24-D45</f>
        <v/>
      </c>
      <c r="E51" s="1125">
        <f>E24-E45</f>
        <v/>
      </c>
      <c r="F51" s="1125">
        <f>C51+D51-E51</f>
        <v/>
      </c>
      <c r="G51" s="1126" t="n"/>
    </row>
    <row r="52" ht="19.95" customHeight="1" s="1097">
      <c r="A52" s="1128">
        <f>A10</f>
        <v/>
      </c>
      <c r="B52" s="1128" t="n"/>
      <c r="C52" s="1125">
        <f>C25-C46</f>
        <v/>
      </c>
      <c r="D52" s="1125">
        <f>D25-D46</f>
        <v/>
      </c>
      <c r="E52" s="1125">
        <f>E25-E46</f>
        <v/>
      </c>
      <c r="F52" s="1125">
        <f>C52+D52-E52</f>
        <v/>
      </c>
      <c r="G52" s="1126" t="n"/>
    </row>
    <row r="53" ht="19.95" customHeight="1" s="1097">
      <c r="A53" s="1128">
        <f>A11</f>
        <v/>
      </c>
      <c r="B53" s="1115" t="n"/>
      <c r="C53" s="1125">
        <f>C26-C47</f>
        <v/>
      </c>
      <c r="D53" s="1125">
        <f>D26-D47</f>
        <v/>
      </c>
      <c r="E53" s="1125">
        <f>E26-E47</f>
        <v/>
      </c>
      <c r="F53" s="1125">
        <f>C53+D53-E53</f>
        <v/>
      </c>
      <c r="G53" s="1126" t="n"/>
    </row>
    <row r="54" ht="19.95" customHeight="1" s="1097">
      <c r="A54" s="1130" t="inlineStr">
        <is>
          <t>试算平衡表数</t>
        </is>
      </c>
      <c r="B54" s="1131" t="n"/>
      <c r="C54" s="351" t="n"/>
      <c r="D54" s="1131" t="n"/>
      <c r="E54" s="1131" t="n"/>
      <c r="F54" s="351" t="n"/>
      <c r="G54" s="1132" t="n"/>
    </row>
    <row r="55" ht="19.95" customHeight="1" s="1097">
      <c r="A55" s="1130" t="inlineStr">
        <is>
          <t>差异数</t>
        </is>
      </c>
      <c r="B55" s="1131" t="n"/>
      <c r="C55" s="1133">
        <f>C49-C54</f>
        <v/>
      </c>
      <c r="D55" s="1131" t="n"/>
      <c r="E55" s="1131" t="n"/>
      <c r="F55" s="1133">
        <f>F49-F54</f>
        <v/>
      </c>
      <c r="G55" s="1132" t="n"/>
    </row>
    <row r="56" ht="19.95" customHeight="1" s="1097">
      <c r="A56" s="1130" t="inlineStr">
        <is>
          <t>1、审计说明：</t>
        </is>
      </c>
    </row>
    <row r="57" ht="19.95" customHeight="1" s="1097">
      <c r="A57" s="214" t="inlineStr">
        <is>
          <t>（1）期末净值较期初净值增加（负数为减少）：</t>
        </is>
      </c>
      <c r="E57" s="1134">
        <f>IF(AND(C49=0,F49&gt;0),1,(F49-C49)/C49)</f>
        <v/>
      </c>
    </row>
    <row r="58" ht="19.95" customHeight="1" s="1097">
      <c r="A58" s="214" t="inlineStr">
        <is>
          <t>主要原因（比例超过30%的）：</t>
        </is>
      </c>
    </row>
    <row r="59" ht="19.95" customHeight="1" s="1097"/>
    <row r="60" ht="19.95" customHeight="1" s="1097"/>
    <row r="61" ht="19.95" customHeight="1" s="1097"/>
    <row r="62" ht="19.95" customHeight="1" s="1097"/>
    <row r="63" ht="19.95" customHeight="1" s="1097">
      <c r="A63" s="1135" t="inlineStr">
        <is>
          <t>（2）情况说明：</t>
        </is>
      </c>
    </row>
    <row r="64" ht="19.95" customHeight="1" s="1097"/>
    <row r="65" ht="19.95" customHeight="1" s="1097"/>
    <row r="66" ht="19.95" customHeight="1" s="1097"/>
    <row r="67" ht="19.95" customHeight="1" s="1097"/>
    <row r="68" ht="19.95" customHeight="1" s="1097">
      <c r="A68" s="1129" t="inlineStr">
        <is>
          <t>2、审计结论：</t>
        </is>
      </c>
    </row>
    <row r="69" ht="19.95" customHeight="1" s="1097"/>
    <row r="70" ht="19.95" customHeight="1" s="1097"/>
    <row r="71" ht="19.95" customHeight="1" s="1097"/>
    <row r="72" ht="19.95" customHeight="1" s="1097"/>
    <row r="73" ht="18" customHeight="1" s="1097"/>
    <row r="74" ht="18" customHeight="1" s="1097"/>
    <row r="75" ht="18" customFormat="1" customHeight="1" s="1136">
      <c r="A75" s="1137" t="inlineStr">
        <is>
          <t>编制说明：</t>
        </is>
      </c>
    </row>
    <row r="76" ht="18" customFormat="1" customHeight="1" s="1136">
      <c r="A76" s="1138" t="inlineStr">
        <is>
          <t>1、原持有的对被投资单位不具有控制、共同控制或重大影响，并且在活跃市场中没有报价、公允价值不能可靠计量的</t>
        </is>
      </c>
    </row>
    <row r="77" ht="18" customFormat="1" customHeight="1" s="1136">
      <c r="A77" s="1138" t="inlineStr">
        <is>
          <t>权益性投资（“三无投资”）按照《企业会计准则第22号——金融工具确认和计量》（CAS 22）进行处理。</t>
        </is>
      </c>
    </row>
    <row r="78" ht="18" customFormat="1" customHeight="1" s="1136">
      <c r="A78" s="1136" t="inlineStr">
        <is>
          <t>2、如适用，根据1131号等审计准则和指南的要求编制，说明涉及事项内容、应对措施、审计结论或解决方法，</t>
        </is>
      </c>
    </row>
    <row r="79" ht="18" customFormat="1" customHeight="1" s="1136">
      <c r="A79" s="1136" t="inlineStr">
        <is>
          <t>以及可能对审计报告的影响。</t>
        </is>
      </c>
    </row>
    <row r="80" ht="18" customFormat="1" customHeight="1" s="1136">
      <c r="A80" s="1136" t="inlineStr">
        <is>
          <t>A、风险评估结果和内控了解、测试情况（不适用则说明：不存在重大错报风险。)</t>
        </is>
      </c>
    </row>
    <row r="81" ht="18" customFormat="1" customHeight="1" s="1136">
      <c r="A81" s="1136" t="inlineStr">
        <is>
          <t>(识别和实际评估的重大错报风险、尤其识特别风险，以及对内控了解和控制测试情况〔采用综合方案时〕）；</t>
        </is>
      </c>
    </row>
    <row r="82" ht="18" customFormat="1" customHeight="1" s="1136">
      <c r="A82" s="1139" t="inlineStr">
        <is>
          <t>提示：a、收入科目应当假定存在舞弊的特别风险，如不存在，应说明理由；</t>
        </is>
      </c>
    </row>
    <row r="83" ht="18" customFormat="1" customHeight="1" s="1136">
      <c r="A83" s="1136" t="inlineStr">
        <is>
          <t>b、涉及特别风险时，应当重点说明有关事项、应当措施、结果〔可索引有关底稿〕。</t>
        </is>
      </c>
    </row>
    <row r="84" ht="18" customFormat="1" customHeight="1" s="1136">
      <c r="A84" s="1140" t="inlineStr">
        <is>
          <t>特别风险涉及的事项包括但不限于：</t>
        </is>
      </c>
    </row>
    <row r="85" ht="18" customFormat="1" customHeight="1" s="1136">
      <c r="A85" s="1136" t="inlineStr">
        <is>
          <t>（1）舞弊风险（如1141准则的示例）；（2）重大非常规交易（如企业购并、债务重组、非货币性资产交换、</t>
        </is>
      </c>
    </row>
    <row r="86" ht="18" customFormat="1" customHeight="1" s="1136">
      <c r="A86" s="1139" t="inlineStr">
        <is>
          <t>重大或有事项、持续经营、违反法律法规等）；(3)重大关联交易；(4)重大判断事项（如重大会计估计、</t>
        </is>
      </c>
    </row>
    <row r="87" ht="18" customHeight="1" s="1097">
      <c r="A87" s="1139" t="inlineStr">
        <is>
          <t>会计政策及其变更）；(5)重大复杂交易；(6)仅通过实质性程序无法应对的重大错报风险（如日常交易采用</t>
        </is>
      </c>
    </row>
    <row r="88" ht="18" customHeight="1" s="1097">
      <c r="A88" s="1139" t="inlineStr">
        <is>
          <t>高度自动化处理）等等。</t>
        </is>
      </c>
    </row>
    <row r="89" ht="18" customHeight="1" s="1097">
      <c r="A89" s="1139" t="inlineStr">
        <is>
          <t>B、发现的重大不符事项（如适用）</t>
        </is>
      </c>
    </row>
    <row r="90" ht="18" customHeight="1" s="1097">
      <c r="A90" s="1139" t="inlineStr">
        <is>
          <t>按调整事项，逐笔概述调整原因及对本科目的调整金额，并说明相关底稿的索引号。</t>
        </is>
      </c>
    </row>
    <row r="91" ht="18" customHeight="1" s="1097">
      <c r="A91" s="1136" t="inlineStr">
        <is>
          <t>〔即具体事项内容和调整分录，见经索引的本科目或相关科目的检查表或测算表〕</t>
        </is>
      </c>
    </row>
    <row r="92" ht="18" customHeight="1" s="1097"/>
    <row r="93" ht="18" customHeight="1" s="1097">
      <c r="A93" s="1139" t="inlineStr">
        <is>
          <t>3、说明基于获取的审计证据，在有关认定方面，是否发现重大错报或存在重大异常。</t>
        </is>
      </c>
    </row>
    <row r="94" ht="18" customHeight="1" s="1097">
      <c r="A94" s="1140" t="inlineStr">
        <is>
          <t>参考结论：</t>
        </is>
      </c>
    </row>
    <row r="95" ht="18" customHeight="1" s="1097">
      <c r="A95" s="1141" t="inlineStr">
        <is>
          <t>A、</t>
        </is>
      </c>
      <c r="B95" s="1136" t="inlineStr">
        <is>
          <t>未见异常，可以确认。</t>
        </is>
      </c>
    </row>
    <row r="96" ht="18" customHeight="1" s="1097">
      <c r="A96" s="1141" t="inlineStr">
        <is>
          <t>B、</t>
        </is>
      </c>
      <c r="B96" s="1136" t="inlineStr">
        <is>
          <t>经审计调整后可确认。</t>
        </is>
      </c>
    </row>
    <row r="97" ht="18" customHeight="1" s="1097">
      <c r="A97" s="1141" t="inlineStr">
        <is>
          <t>C、</t>
        </is>
      </c>
      <c r="B97" s="1136" t="inlineStr">
        <is>
          <t>由于存在上述重大未调整事项（或审计范围受到限制无法获取充分、适当证据），不可确认。</t>
        </is>
      </c>
    </row>
  </sheetData>
  <mergeCells count="21">
    <mergeCell ref="A11:B11"/>
    <mergeCell ref="A49:B49"/>
    <mergeCell ref="A16:B16"/>
    <mergeCell ref="A7:B7"/>
    <mergeCell ref="A37:B37"/>
    <mergeCell ref="A12:B12"/>
    <mergeCell ref="A26:B26"/>
    <mergeCell ref="A21:B21"/>
    <mergeCell ref="A1:G1"/>
    <mergeCell ref="A33:B33"/>
    <mergeCell ref="A47:B47"/>
    <mergeCell ref="A42:B42"/>
    <mergeCell ref="A5:B5"/>
    <mergeCell ref="A32:B32"/>
    <mergeCell ref="A17:B17"/>
    <mergeCell ref="A22:B22"/>
    <mergeCell ref="A53:B53"/>
    <mergeCell ref="A38:B38"/>
    <mergeCell ref="A43:B43"/>
    <mergeCell ref="A28:B28"/>
    <mergeCell ref="A2:G2"/>
  </mergeCells>
  <hyperlinks>
    <hyperlink ref="G3" location="底稿目录!F5" display="底稿目录!F5"/>
  </hyperlinks>
  <pageMargins left="0.7086614173228347" right="0.7086614173228347" top="0.7480314960629921" bottom="0.7480314960629921" header="0.3149606299212598" footer="0.3149606299212598"/>
  <pageSetup orientation="portrait" paperSize="9" scale="92" fitToHeight="0" blackAndWhite="1"/>
  <headerFooter>
    <oddHeader/>
    <oddFooter>&amp;C&amp;P/&amp;N</oddFooter>
    <evenHeader/>
    <evenFooter/>
    <firstHeader/>
    <firstFooter/>
  </headerFooter>
  <rowBreaks count="1" manualBreakCount="1">
    <brk id="37" min="0" max="6" man="1"/>
  </rowBreaks>
</worksheet>
</file>

<file path=xl/worksheets/sheet4.xml><?xml version="1.0" encoding="utf-8"?>
<worksheet xmlns="http://schemas.openxmlformats.org/spreadsheetml/2006/main">
  <sheetPr codeName="Sheet3">
    <outlinePr summaryBelow="1" summaryRight="1"/>
    <pageSetUpPr/>
  </sheetPr>
  <dimension ref="A1:M243"/>
  <sheetViews>
    <sheetView view="pageBreakPreview" zoomScale="90" zoomScaleSheetLayoutView="90" workbookViewId="0">
      <selection activeCell="A1" sqref="A1:L1"/>
    </sheetView>
  </sheetViews>
  <sheetFormatPr baseColWidth="8" defaultColWidth="9" defaultRowHeight="13.8" outlineLevelCol="0"/>
  <cols>
    <col width="33.09765625" customWidth="1" style="184" min="1" max="1"/>
    <col width="15.59765625" customWidth="1" style="184" min="2" max="2"/>
    <col width="18.19921875" customWidth="1" style="184" min="3" max="3"/>
    <col width="15.8984375" customWidth="1" style="184" min="4" max="4"/>
    <col width="18.09765625" customWidth="1" style="184" min="5" max="5"/>
    <col width="13.59765625" customWidth="1" style="184" min="6" max="6"/>
    <col width="27.09765625" customWidth="1" style="184" min="7" max="7"/>
    <col width="14.3984375" customWidth="1" style="184" min="8" max="8"/>
    <col width="14" customWidth="1" style="184" min="9" max="9"/>
    <col width="9" customWidth="1" style="184" min="10" max="10"/>
    <col width="10.3984375" customWidth="1" style="184" min="11" max="12"/>
    <col width="9" customWidth="1" style="184" min="13" max="16384"/>
  </cols>
  <sheetData>
    <row r="1" ht="16.95" customFormat="1" customHeight="1" s="626">
      <c r="A1" s="888" t="inlineStr">
        <is>
          <t>致同会计师事务所</t>
        </is>
      </c>
      <c r="B1" s="0" t="n"/>
      <c r="C1" s="0" t="n"/>
      <c r="D1" s="0" t="n"/>
      <c r="E1" s="0" t="n"/>
      <c r="F1" s="0" t="n"/>
      <c r="G1" s="0" t="n"/>
      <c r="H1" s="0" t="n"/>
      <c r="I1" s="0" t="n"/>
      <c r="J1" s="0" t="n"/>
      <c r="K1" s="0" t="n"/>
      <c r="L1" s="0" t="n"/>
    </row>
    <row r="2" ht="19.5" customFormat="1" customHeight="1" s="638">
      <c r="A2" s="889" t="inlineStr">
        <is>
          <t>附注披露信息（上市公司）</t>
        </is>
      </c>
      <c r="B2" s="0" t="n"/>
      <c r="C2" s="0" t="n"/>
      <c r="D2" s="0" t="n"/>
      <c r="E2" s="0" t="n"/>
      <c r="F2" s="0" t="n"/>
      <c r="G2" s="0" t="n"/>
      <c r="H2" s="0" t="n"/>
      <c r="I2" s="0" t="n"/>
      <c r="J2" s="0" t="n"/>
      <c r="K2" s="0" t="n"/>
      <c r="L2" s="0" t="n"/>
    </row>
    <row r="3" ht="20.1" customFormat="1" customHeight="1" s="208">
      <c r="A3" s="207">
        <f>底稿目录!A2</f>
        <v/>
      </c>
      <c r="B3" s="207" t="n"/>
      <c r="C3" s="207">
        <f>底稿目录!A4</f>
        <v/>
      </c>
      <c r="F3" s="229">
        <f>底稿目录!A5</f>
        <v/>
      </c>
      <c r="K3" s="207" t="inlineStr">
        <is>
          <t>索引号：</t>
        </is>
      </c>
      <c r="L3" s="208">
        <f>底稿目录!F6</f>
        <v/>
      </c>
    </row>
    <row r="4" ht="20.1" customFormat="1" customHeight="1" s="208">
      <c r="A4" s="207">
        <f>底稿目录!A3</f>
        <v/>
      </c>
      <c r="B4" s="207" t="n"/>
      <c r="C4" s="207">
        <f>底稿目录!A6</f>
        <v/>
      </c>
      <c r="F4" s="229">
        <f>底稿目录!A7</f>
        <v/>
      </c>
      <c r="K4" s="207" t="inlineStr">
        <is>
          <t>页次：</t>
        </is>
      </c>
    </row>
    <row r="5" ht="20.1" customHeight="1" s="1097">
      <c r="A5" s="231" t="inlineStr">
        <is>
          <t>附注披露信息</t>
        </is>
      </c>
      <c r="B5" s="231" t="n"/>
      <c r="C5" s="231" t="n"/>
      <c r="D5" s="231" t="n"/>
      <c r="E5" s="231" t="n"/>
      <c r="F5" s="231" t="n"/>
      <c r="G5" s="231" t="n"/>
      <c r="H5" s="231" t="n"/>
      <c r="I5" s="231" t="n"/>
      <c r="J5" s="231" t="n"/>
      <c r="K5" s="231" t="n"/>
      <c r="L5" s="231" t="n"/>
    </row>
    <row r="6" ht="20.1" customHeight="1" s="1097">
      <c r="A6" s="232" t="inlineStr">
        <is>
          <t>长期股权投资</t>
        </is>
      </c>
      <c r="B6" s="233" t="n"/>
      <c r="C6" s="233" t="n"/>
      <c r="D6" s="233" t="n"/>
      <c r="E6" s="233" t="n"/>
      <c r="F6" s="233" t="n"/>
      <c r="G6" s="233" t="n"/>
      <c r="H6" s="233" t="n"/>
      <c r="I6" s="233" t="n"/>
      <c r="J6" s="233" t="n"/>
      <c r="K6" s="233" t="n"/>
      <c r="L6" s="233" t="n"/>
    </row>
    <row r="7" ht="20.1" customHeight="1" s="1097" thickBot="1">
      <c r="A7" s="399" t="n"/>
      <c r="B7" s="0" t="n"/>
      <c r="C7" s="0" t="n"/>
      <c r="D7" s="0" t="n"/>
      <c r="E7" s="0" t="n"/>
      <c r="F7" s="0" t="n"/>
      <c r="G7" s="0" t="n"/>
      <c r="H7" s="0" t="n"/>
      <c r="I7" s="0" t="n"/>
      <c r="J7" s="0" t="n"/>
      <c r="K7" s="0" t="n"/>
      <c r="L7" s="0" t="n"/>
      <c r="M7" s="0" t="n"/>
    </row>
    <row r="8" ht="20.1" customHeight="1" s="1097">
      <c r="A8" s="1142" t="inlineStr">
        <is>
          <t>被投资单位</t>
        </is>
      </c>
      <c r="B8" s="1143" t="inlineStr">
        <is>
          <t>期初余额（账面价值）</t>
        </is>
      </c>
      <c r="C8" s="419" t="n"/>
      <c r="D8" s="883" t="inlineStr">
        <is>
          <t>本期增减变动</t>
        </is>
      </c>
      <c r="E8" s="1144" t="n"/>
      <c r="F8" s="1144" t="n"/>
      <c r="G8" s="1144" t="n"/>
      <c r="H8" s="1144" t="n"/>
      <c r="I8" s="1144" t="n"/>
      <c r="J8" s="1144" t="n"/>
      <c r="K8" s="1144" t="n"/>
      <c r="L8" s="1145" t="inlineStr">
        <is>
          <t>期末余额（账面价值）</t>
        </is>
      </c>
      <c r="M8" s="1145" t="inlineStr">
        <is>
          <t>减值准备期末余额</t>
        </is>
      </c>
    </row>
    <row r="9" ht="20.1" customHeight="1" s="1097">
      <c r="A9" s="0" t="n"/>
      <c r="B9" s="0" t="n"/>
      <c r="C9" s="880" t="inlineStr">
        <is>
          <t>减值准备期初余额</t>
        </is>
      </c>
      <c r="D9" s="880" t="inlineStr">
        <is>
          <t>追加/新增投资</t>
        </is>
      </c>
      <c r="E9" s="880" t="inlineStr">
        <is>
          <t>减少投资</t>
        </is>
      </c>
      <c r="F9" s="879" t="inlineStr">
        <is>
          <t>权益法下</t>
        </is>
      </c>
      <c r="G9" s="879" t="inlineStr">
        <is>
          <t>其他综合</t>
        </is>
      </c>
      <c r="H9" s="882" t="inlineStr">
        <is>
          <t>其他权益变动</t>
        </is>
      </c>
      <c r="I9" s="882" t="inlineStr">
        <is>
          <t>宣告发放现金股利或利润</t>
        </is>
      </c>
      <c r="J9" s="880" t="inlineStr">
        <is>
          <t>计提减值准备</t>
        </is>
      </c>
      <c r="K9" s="880" t="inlineStr">
        <is>
          <t>其他</t>
        </is>
      </c>
      <c r="L9" s="0" t="n"/>
      <c r="M9" s="0" t="n"/>
    </row>
    <row r="10" ht="20.1" customHeight="1" s="1097">
      <c r="A10" s="0" t="n"/>
      <c r="B10" s="0" t="n"/>
      <c r="C10" s="0" t="n"/>
      <c r="D10" s="0" t="n"/>
      <c r="E10" s="0" t="n"/>
      <c r="F10" s="879" t="inlineStr">
        <is>
          <t>确认的</t>
        </is>
      </c>
      <c r="G10" s="879" t="inlineStr">
        <is>
          <t>收益调整</t>
        </is>
      </c>
      <c r="H10" s="0" t="n"/>
      <c r="I10" s="0" t="n"/>
      <c r="J10" s="0" t="n"/>
      <c r="K10" s="0" t="n"/>
      <c r="L10" s="0" t="n"/>
      <c r="M10" s="0" t="n"/>
    </row>
    <row r="11" ht="20.1" customHeight="1" s="1097" thickBot="1">
      <c r="A11" s="1146" t="n"/>
      <c r="B11" s="1146" t="n"/>
      <c r="C11" s="1146" t="n"/>
      <c r="D11" s="1146" t="n"/>
      <c r="E11" s="1146" t="n"/>
      <c r="F11" s="880" t="inlineStr">
        <is>
          <t>投资损益</t>
        </is>
      </c>
      <c r="G11" s="422" t="n"/>
      <c r="H11" s="1146" t="n"/>
      <c r="I11" s="1146" t="n"/>
      <c r="J11" s="1146" t="n"/>
      <c r="K11" s="1146" t="n"/>
      <c r="L11" s="1146" t="n"/>
      <c r="M11" s="1146" t="n"/>
    </row>
    <row r="12" ht="20.1" customHeight="1" s="1097">
      <c r="A12" s="423" t="inlineStr">
        <is>
          <t>①合营企业</t>
        </is>
      </c>
      <c r="B12" s="424" t="n"/>
      <c r="C12" s="424" t="n"/>
      <c r="D12" s="424" t="n"/>
      <c r="E12" s="424" t="n"/>
      <c r="F12" s="424" t="n"/>
      <c r="G12" s="424" t="n"/>
      <c r="H12" s="424" t="n"/>
      <c r="I12" s="424" t="n"/>
      <c r="J12" s="424" t="n"/>
      <c r="K12" s="424" t="n"/>
      <c r="L12" s="424" t="n"/>
      <c r="M12" s="424" t="n"/>
    </row>
    <row r="13" ht="20.1" customHeight="1" s="1097">
      <c r="A13" s="425" t="inlineStr">
        <is>
          <t>…</t>
        </is>
      </c>
      <c r="B13" s="424" t="n"/>
      <c r="C13" s="424" t="n"/>
      <c r="D13" s="424" t="n"/>
      <c r="E13" s="424" t="n"/>
      <c r="F13" s="424" t="n"/>
      <c r="G13" s="424" t="n"/>
      <c r="H13" s="424" t="n"/>
      <c r="I13" s="424" t="n"/>
      <c r="J13" s="424" t="n"/>
      <c r="K13" s="424" t="n"/>
      <c r="L13" s="424" t="n"/>
      <c r="M13" s="424" t="n"/>
    </row>
    <row r="14" ht="20.1" customHeight="1" s="1097">
      <c r="A14" s="425" t="n"/>
      <c r="B14" s="424" t="n"/>
      <c r="C14" s="424" t="n"/>
      <c r="D14" s="424" t="n"/>
      <c r="E14" s="424" t="n"/>
      <c r="F14" s="424" t="n"/>
      <c r="G14" s="424" t="n"/>
      <c r="H14" s="424" t="n"/>
      <c r="I14" s="424" t="n"/>
      <c r="J14" s="424" t="n"/>
      <c r="K14" s="424" t="n"/>
      <c r="L14" s="424" t="n"/>
      <c r="M14" s="424" t="n"/>
    </row>
    <row r="15" ht="20.1" customHeight="1" s="1097">
      <c r="A15" s="423" t="inlineStr">
        <is>
          <t>小  计</t>
        </is>
      </c>
      <c r="B15" s="424" t="n"/>
      <c r="C15" s="424" t="n"/>
      <c r="D15" s="424" t="n"/>
      <c r="E15" s="424" t="n"/>
      <c r="F15" s="424" t="n"/>
      <c r="G15" s="424" t="n"/>
      <c r="H15" s="424" t="n"/>
      <c r="I15" s="424" t="n"/>
      <c r="J15" s="424" t="n"/>
      <c r="K15" s="424" t="n"/>
      <c r="L15" s="424" t="n"/>
      <c r="M15" s="424" t="n"/>
    </row>
    <row r="16" ht="20.1" customHeight="1" s="1097">
      <c r="A16" s="423" t="inlineStr">
        <is>
          <t>②联营企业</t>
        </is>
      </c>
      <c r="B16" s="424" t="n"/>
      <c r="C16" s="424" t="n"/>
      <c r="D16" s="424" t="n"/>
      <c r="E16" s="424" t="n"/>
      <c r="F16" s="424" t="n"/>
      <c r="G16" s="424" t="n"/>
      <c r="H16" s="424" t="n"/>
      <c r="I16" s="424" t="n"/>
      <c r="J16" s="424" t="n"/>
      <c r="K16" s="424" t="n"/>
      <c r="L16" s="424" t="n"/>
      <c r="M16" s="424" t="n"/>
    </row>
    <row r="17" ht="20.1" customHeight="1" s="1097">
      <c r="A17" s="425" t="inlineStr">
        <is>
          <t>…</t>
        </is>
      </c>
      <c r="B17" s="424" t="n"/>
      <c r="C17" s="424" t="n"/>
      <c r="D17" s="424" t="n"/>
      <c r="E17" s="424" t="n"/>
      <c r="F17" s="424" t="n"/>
      <c r="G17" s="424" t="n"/>
      <c r="H17" s="424" t="n"/>
      <c r="I17" s="424" t="n"/>
      <c r="J17" s="424" t="n"/>
      <c r="K17" s="424" t="n"/>
      <c r="L17" s="424" t="n"/>
      <c r="M17" s="424" t="n"/>
    </row>
    <row r="18" ht="20.1" customHeight="1" s="1097">
      <c r="A18" s="425" t="n"/>
      <c r="B18" s="424" t="n"/>
      <c r="C18" s="424" t="n"/>
      <c r="D18" s="424" t="n"/>
      <c r="E18" s="424" t="n"/>
      <c r="F18" s="424" t="n"/>
      <c r="G18" s="424" t="n"/>
      <c r="H18" s="424" t="n"/>
      <c r="I18" s="424" t="n"/>
      <c r="J18" s="424" t="n"/>
      <c r="K18" s="424" t="n"/>
      <c r="L18" s="424" t="n"/>
      <c r="M18" s="424" t="n"/>
    </row>
    <row r="19" ht="20.1" customHeight="1" s="1097">
      <c r="A19" s="425" t="n"/>
      <c r="B19" s="424" t="n"/>
      <c r="C19" s="424" t="n"/>
      <c r="D19" s="424" t="n"/>
      <c r="E19" s="424" t="n"/>
      <c r="F19" s="424" t="n"/>
      <c r="G19" s="424" t="n"/>
      <c r="H19" s="424" t="n"/>
      <c r="I19" s="424" t="n"/>
      <c r="J19" s="424" t="n"/>
      <c r="K19" s="424" t="n"/>
      <c r="L19" s="424" t="n"/>
      <c r="M19" s="424" t="n"/>
    </row>
    <row r="20" ht="20.1" customHeight="1" s="1097">
      <c r="A20" s="425" t="n"/>
      <c r="B20" s="424" t="n"/>
      <c r="C20" s="424" t="n"/>
      <c r="D20" s="424" t="n"/>
      <c r="E20" s="424" t="n"/>
      <c r="F20" s="424" t="n"/>
      <c r="G20" s="424" t="n"/>
      <c r="H20" s="424" t="n"/>
      <c r="I20" s="424" t="n"/>
      <c r="J20" s="424" t="n"/>
      <c r="K20" s="424" t="n"/>
      <c r="L20" s="424" t="n"/>
      <c r="M20" s="424" t="n"/>
    </row>
    <row r="21" ht="20.1" customHeight="1" s="1097">
      <c r="A21" s="425" t="n"/>
      <c r="B21" s="424" t="n"/>
      <c r="C21" s="424" t="n"/>
      <c r="D21" s="424" t="n"/>
      <c r="E21" s="424" t="n"/>
      <c r="F21" s="424" t="n"/>
      <c r="G21" s="424" t="n"/>
      <c r="H21" s="424" t="n"/>
      <c r="I21" s="424" t="n"/>
      <c r="J21" s="424" t="n"/>
      <c r="K21" s="424" t="n"/>
      <c r="L21" s="424" t="n"/>
      <c r="M21" s="424" t="n"/>
    </row>
    <row r="22" ht="20.1" customHeight="1" s="1097" thickBot="1">
      <c r="A22" s="426" t="inlineStr">
        <is>
          <t>小  计</t>
        </is>
      </c>
      <c r="B22" s="427" t="n"/>
      <c r="C22" s="427" t="n"/>
      <c r="D22" s="427" t="n"/>
      <c r="E22" s="427" t="n"/>
      <c r="F22" s="427" t="n"/>
      <c r="G22" s="427" t="n"/>
      <c r="H22" s="427" t="n"/>
      <c r="I22" s="427" t="n"/>
      <c r="J22" s="427" t="n"/>
      <c r="K22" s="427" t="n"/>
      <c r="L22" s="427" t="n"/>
      <c r="M22" s="427" t="n"/>
    </row>
    <row r="23" ht="20.1" customHeight="1" s="1097" thickBot="1">
      <c r="A23" s="897" t="inlineStr">
        <is>
          <t>合  计</t>
        </is>
      </c>
      <c r="B23" s="429" t="n"/>
      <c r="C23" s="429" t="n"/>
      <c r="D23" s="429" t="n"/>
      <c r="E23" s="429" t="n"/>
      <c r="F23" s="429" t="n"/>
      <c r="G23" s="429" t="n"/>
      <c r="H23" s="429" t="n"/>
      <c r="I23" s="429" t="n"/>
      <c r="J23" s="429" t="n"/>
      <c r="K23" s="429" t="n"/>
      <c r="L23" s="429" t="n"/>
      <c r="M23" s="429" t="n"/>
    </row>
    <row r="24" ht="20.1" customHeight="1" s="1097">
      <c r="A24" s="430" t="inlineStr">
        <is>
          <t>（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15号文第十九条（十九）））</t>
        </is>
      </c>
      <c r="B24" s="0" t="n"/>
      <c r="C24" s="0" t="n"/>
      <c r="D24" s="0" t="n"/>
      <c r="E24" s="0" t="n"/>
      <c r="F24" s="0" t="n"/>
      <c r="G24" s="0" t="n"/>
      <c r="H24" s="0" t="n"/>
      <c r="I24" s="0" t="n"/>
      <c r="J24" s="0" t="n"/>
      <c r="K24" s="0" t="n"/>
      <c r="L24" s="0" t="n"/>
      <c r="M24" s="0" t="n"/>
    </row>
    <row r="25" ht="20.1" customFormat="1" customHeight="1" s="185">
      <c r="A25" s="233" t="n"/>
      <c r="B25" s="233" t="n"/>
      <c r="C25" s="233" t="n"/>
      <c r="D25" s="233" t="n"/>
      <c r="E25" s="233" t="n"/>
      <c r="F25" s="233" t="n"/>
      <c r="G25" s="233" t="n"/>
      <c r="H25" s="233" t="n"/>
      <c r="I25" s="233" t="n"/>
      <c r="J25" s="233" t="n"/>
      <c r="K25" s="233" t="n"/>
      <c r="L25" s="233" t="n"/>
    </row>
    <row r="26" ht="20.1" customFormat="1" customHeight="1" s="185">
      <c r="A26" s="236" t="inlineStr">
        <is>
          <t>1、在子公司中的权益</t>
        </is>
      </c>
      <c r="B26" s="237" t="n"/>
      <c r="C26" s="237" t="n"/>
      <c r="D26" s="237" t="n"/>
      <c r="E26" s="237" t="n"/>
      <c r="F26" s="237" t="n"/>
      <c r="G26" s="237" t="n"/>
      <c r="H26" s="237" t="n"/>
      <c r="I26" s="237" t="n"/>
      <c r="J26" s="233" t="n"/>
      <c r="K26" s="233" t="n"/>
      <c r="L26" s="233" t="n"/>
    </row>
    <row r="27" ht="20.1" customFormat="1" customHeight="1" s="185" thickBot="1">
      <c r="A27" s="236" t="inlineStr">
        <is>
          <t>（1）企业集团的构成</t>
        </is>
      </c>
      <c r="B27" s="237" t="n"/>
      <c r="C27" s="237" t="n"/>
      <c r="D27" s="237" t="n"/>
      <c r="E27" s="237" t="n"/>
      <c r="F27" s="237" t="n"/>
      <c r="G27" s="237" t="n"/>
      <c r="H27" s="237" t="n"/>
      <c r="I27" s="237" t="n"/>
      <c r="J27" s="233" t="n"/>
      <c r="K27" s="233" t="n"/>
      <c r="L27" s="233" t="n"/>
    </row>
    <row r="28" ht="20.1" customFormat="1" customHeight="1" s="185">
      <c r="A28" s="917" t="inlineStr">
        <is>
          <t>子公司名称</t>
        </is>
      </c>
      <c r="B28" s="917" t="inlineStr">
        <is>
          <t>主要经营地</t>
        </is>
      </c>
      <c r="C28" s="917" t="inlineStr">
        <is>
          <t>注册地</t>
        </is>
      </c>
      <c r="D28" s="917" t="inlineStr">
        <is>
          <t>业务性质</t>
        </is>
      </c>
      <c r="E28" s="886" t="inlineStr">
        <is>
          <t>持股比例%</t>
        </is>
      </c>
      <c r="F28" s="1144" t="n"/>
      <c r="G28" s="917" t="inlineStr">
        <is>
          <t>取得方式</t>
        </is>
      </c>
      <c r="H28" s="237" t="n"/>
      <c r="I28" s="237" t="n"/>
      <c r="J28" s="233" t="n"/>
      <c r="K28" s="233" t="n"/>
      <c r="L28" s="233" t="n"/>
    </row>
    <row r="29" ht="20.1" customFormat="1" customHeight="1" s="185" thickBot="1">
      <c r="A29" s="1146" t="n"/>
      <c r="B29" s="1146" t="n"/>
      <c r="C29" s="1146" t="n"/>
      <c r="D29" s="1146" t="n"/>
      <c r="E29" s="330" t="inlineStr">
        <is>
          <t>直接</t>
        </is>
      </c>
      <c r="F29" s="887" t="inlineStr">
        <is>
          <t>间接</t>
        </is>
      </c>
      <c r="G29" s="1146" t="n"/>
      <c r="H29" s="237" t="n"/>
      <c r="I29" s="237" t="n"/>
      <c r="J29" s="233" t="n"/>
      <c r="K29" s="233" t="n"/>
      <c r="L29" s="233" t="n"/>
    </row>
    <row r="30" ht="20.1" customFormat="1" customHeight="1" s="185">
      <c r="A30" s="244">
        <f>'被投资单位基本信息G7-4'!B12</f>
        <v/>
      </c>
      <c r="B30" s="245">
        <f>'被投资单位基本信息G7-4'!F12</f>
        <v/>
      </c>
      <c r="C30" s="246">
        <f>'被投资单位基本信息G7-4'!G12</f>
        <v/>
      </c>
      <c r="D30" s="246">
        <f>'被投资单位基本信息G7-4'!H12</f>
        <v/>
      </c>
      <c r="E30" s="245">
        <f>'被投资单位基本信息G7-4'!M12</f>
        <v/>
      </c>
      <c r="F30" s="245">
        <f>'被投资单位基本信息G7-4'!N12</f>
        <v/>
      </c>
      <c r="G30" s="245">
        <f>'被投资单位基本信息G7-4'!S12</f>
        <v/>
      </c>
      <c r="H30" s="237" t="n"/>
      <c r="I30" s="237" t="n"/>
      <c r="J30" s="233" t="n"/>
      <c r="K30" s="233" t="n"/>
      <c r="L30" s="233" t="n"/>
    </row>
    <row r="31" ht="20.1" customFormat="1" customHeight="1" s="185">
      <c r="A31" s="244">
        <f>'被投资单位基本信息G7-4'!B13</f>
        <v/>
      </c>
      <c r="B31" s="246">
        <f>'被投资单位基本信息G7-4'!F13</f>
        <v/>
      </c>
      <c r="C31" s="246">
        <f>'被投资单位基本信息G7-4'!G13</f>
        <v/>
      </c>
      <c r="D31" s="246">
        <f>'被投资单位基本信息G7-4'!H13</f>
        <v/>
      </c>
      <c r="E31" s="246">
        <f>'被投资单位基本信息G7-4'!M13</f>
        <v/>
      </c>
      <c r="F31" s="246">
        <f>'被投资单位基本信息G7-4'!N13</f>
        <v/>
      </c>
      <c r="G31" s="246">
        <f>'被投资单位基本信息G7-4'!S13</f>
        <v/>
      </c>
      <c r="H31" s="237" t="n"/>
      <c r="I31" s="237" t="n"/>
      <c r="J31" s="233" t="n"/>
      <c r="K31" s="233" t="n"/>
      <c r="L31" s="233" t="n"/>
    </row>
    <row r="32" ht="20.1" customFormat="1" customHeight="1" s="185">
      <c r="A32" s="244">
        <f>'被投资单位基本信息G7-4'!B14</f>
        <v/>
      </c>
      <c r="B32" s="246">
        <f>'被投资单位基本信息G7-4'!F14</f>
        <v/>
      </c>
      <c r="C32" s="246">
        <f>'被投资单位基本信息G7-4'!G14</f>
        <v/>
      </c>
      <c r="D32" s="246">
        <f>'被投资单位基本信息G7-4'!H14</f>
        <v/>
      </c>
      <c r="E32" s="246">
        <f>'被投资单位基本信息G7-4'!M14</f>
        <v/>
      </c>
      <c r="F32" s="246">
        <f>'被投资单位基本信息G7-4'!N14</f>
        <v/>
      </c>
      <c r="G32" s="246">
        <f>'被投资单位基本信息G7-4'!S14</f>
        <v/>
      </c>
      <c r="H32" s="237" t="n"/>
      <c r="I32" s="237" t="n"/>
      <c r="J32" s="233" t="n"/>
      <c r="K32" s="233" t="n"/>
      <c r="L32" s="233" t="n"/>
    </row>
    <row r="33" ht="20.1" customFormat="1" customHeight="1" s="185">
      <c r="A33" s="244">
        <f>'被投资单位基本信息G7-4'!B15</f>
        <v/>
      </c>
      <c r="B33" s="246">
        <f>'被投资单位基本信息G7-4'!F15</f>
        <v/>
      </c>
      <c r="C33" s="246">
        <f>'被投资单位基本信息G7-4'!G15</f>
        <v/>
      </c>
      <c r="D33" s="246">
        <f>'被投资单位基本信息G7-4'!H15</f>
        <v/>
      </c>
      <c r="E33" s="246">
        <f>'被投资单位基本信息G7-4'!M15</f>
        <v/>
      </c>
      <c r="F33" s="246">
        <f>'被投资单位基本信息G7-4'!N15</f>
        <v/>
      </c>
      <c r="G33" s="246">
        <f>'被投资单位基本信息G7-4'!S15</f>
        <v/>
      </c>
      <c r="H33" s="237" t="n"/>
      <c r="I33" s="237" t="n"/>
      <c r="J33" s="233" t="n"/>
      <c r="K33" s="233" t="n"/>
      <c r="L33" s="233" t="n"/>
    </row>
    <row r="34" ht="20.1" customFormat="1" customHeight="1" s="185">
      <c r="A34" s="244">
        <f>'被投资单位基本信息G7-4'!B16</f>
        <v/>
      </c>
      <c r="B34" s="246">
        <f>'被投资单位基本信息G7-4'!F16</f>
        <v/>
      </c>
      <c r="C34" s="246">
        <f>'被投资单位基本信息G7-4'!G16</f>
        <v/>
      </c>
      <c r="D34" s="246">
        <f>'被投资单位基本信息G7-4'!H16</f>
        <v/>
      </c>
      <c r="E34" s="246">
        <f>'被投资单位基本信息G7-4'!M16</f>
        <v/>
      </c>
      <c r="F34" s="246">
        <f>'被投资单位基本信息G7-4'!N16</f>
        <v/>
      </c>
      <c r="G34" s="246">
        <f>'被投资单位基本信息G7-4'!S16</f>
        <v/>
      </c>
      <c r="H34" s="237" t="n"/>
      <c r="I34" s="237" t="n"/>
      <c r="J34" s="233" t="n"/>
      <c r="K34" s="233" t="n"/>
      <c r="L34" s="233" t="n"/>
    </row>
    <row r="35" ht="20.1" customFormat="1" customHeight="1" s="185">
      <c r="A35" s="244">
        <f>'被投资单位基本信息G7-4'!B17</f>
        <v/>
      </c>
      <c r="B35" s="246">
        <f>'被投资单位基本信息G7-4'!F17</f>
        <v/>
      </c>
      <c r="C35" s="246">
        <f>'被投资单位基本信息G7-4'!G17</f>
        <v/>
      </c>
      <c r="D35" s="246">
        <f>'被投资单位基本信息G7-4'!H17</f>
        <v/>
      </c>
      <c r="E35" s="246">
        <f>'被投资单位基本信息G7-4'!M17</f>
        <v/>
      </c>
      <c r="F35" s="246">
        <f>'被投资单位基本信息G7-4'!N17</f>
        <v/>
      </c>
      <c r="G35" s="246">
        <f>'被投资单位基本信息G7-4'!S17</f>
        <v/>
      </c>
      <c r="H35" s="237" t="n"/>
      <c r="I35" s="237" t="n"/>
      <c r="J35" s="233" t="n"/>
      <c r="K35" s="233" t="n"/>
      <c r="L35" s="233" t="n"/>
    </row>
    <row r="36" ht="20.1" customFormat="1" customHeight="1" s="185">
      <c r="A36" s="244">
        <f>'被投资单位基本信息G7-4'!B18</f>
        <v/>
      </c>
      <c r="B36" s="246">
        <f>'被投资单位基本信息G7-4'!F18</f>
        <v/>
      </c>
      <c r="C36" s="246">
        <f>'被投资单位基本信息G7-4'!G18</f>
        <v/>
      </c>
      <c r="D36" s="246">
        <f>'被投资单位基本信息G7-4'!H18</f>
        <v/>
      </c>
      <c r="E36" s="246">
        <f>'被投资单位基本信息G7-4'!M18</f>
        <v/>
      </c>
      <c r="F36" s="246">
        <f>'被投资单位基本信息G7-4'!N18</f>
        <v/>
      </c>
      <c r="G36" s="246">
        <f>'被投资单位基本信息G7-4'!S18</f>
        <v/>
      </c>
      <c r="H36" s="237" t="n"/>
      <c r="I36" s="237" t="n"/>
      <c r="J36" s="233" t="n"/>
      <c r="K36" s="233" t="n"/>
      <c r="L36" s="233" t="n"/>
    </row>
    <row r="37" ht="20.1" customFormat="1" customHeight="1" s="185">
      <c r="A37" s="244">
        <f>'被投资单位基本信息G7-4'!B19</f>
        <v/>
      </c>
      <c r="B37" s="246">
        <f>'被投资单位基本信息G7-4'!F19</f>
        <v/>
      </c>
      <c r="C37" s="246">
        <f>'被投资单位基本信息G7-4'!G19</f>
        <v/>
      </c>
      <c r="D37" s="246">
        <f>'被投资单位基本信息G7-4'!H19</f>
        <v/>
      </c>
      <c r="E37" s="246">
        <f>'被投资单位基本信息G7-4'!M19</f>
        <v/>
      </c>
      <c r="F37" s="246">
        <f>'被投资单位基本信息G7-4'!N19</f>
        <v/>
      </c>
      <c r="G37" s="246">
        <f>'被投资单位基本信息G7-4'!S19</f>
        <v/>
      </c>
      <c r="H37" s="237" t="n"/>
      <c r="I37" s="237" t="n"/>
      <c r="J37" s="233" t="n"/>
      <c r="K37" s="233" t="n"/>
      <c r="L37" s="233" t="n"/>
    </row>
    <row r="38" ht="20.1" customFormat="1" customHeight="1" s="185">
      <c r="A38" s="244">
        <f>'被投资单位基本信息G7-4'!B20</f>
        <v/>
      </c>
      <c r="B38" s="246">
        <f>'被投资单位基本信息G7-4'!F20</f>
        <v/>
      </c>
      <c r="C38" s="246">
        <f>'被投资单位基本信息G7-4'!G20</f>
        <v/>
      </c>
      <c r="D38" s="246">
        <f>'被投资单位基本信息G7-4'!H20</f>
        <v/>
      </c>
      <c r="E38" s="246">
        <f>'被投资单位基本信息G7-4'!M20</f>
        <v/>
      </c>
      <c r="F38" s="246">
        <f>'被投资单位基本信息G7-4'!N20</f>
        <v/>
      </c>
      <c r="G38" s="246">
        <f>'被投资单位基本信息G7-4'!S20</f>
        <v/>
      </c>
      <c r="H38" s="237" t="n"/>
      <c r="I38" s="237" t="n"/>
      <c r="J38" s="233" t="n"/>
      <c r="K38" s="233" t="n"/>
      <c r="L38" s="233" t="n"/>
    </row>
    <row r="39" ht="20.1" customFormat="1" customHeight="1" s="185" thickBot="1">
      <c r="A39" s="247">
        <f>'被投资单位基本信息G7-4'!B21</f>
        <v/>
      </c>
      <c r="B39" s="248">
        <f>'被投资单位基本信息G7-4'!F21</f>
        <v/>
      </c>
      <c r="C39" s="248">
        <f>'被投资单位基本信息G7-4'!G21</f>
        <v/>
      </c>
      <c r="D39" s="248">
        <f>'被投资单位基本信息G7-4'!H21</f>
        <v/>
      </c>
      <c r="E39" s="248">
        <f>'被投资单位基本信息G7-4'!M21</f>
        <v/>
      </c>
      <c r="F39" s="248">
        <f>'被投资单位基本信息G7-4'!N21</f>
        <v/>
      </c>
      <c r="G39" s="248">
        <f>'被投资单位基本信息G7-4'!S21</f>
        <v/>
      </c>
      <c r="H39" s="237" t="n"/>
      <c r="I39" s="237" t="n"/>
      <c r="J39" s="233" t="n"/>
      <c r="K39" s="233" t="n"/>
      <c r="L39" s="233" t="n"/>
    </row>
    <row r="40" ht="20.1" customFormat="1" customHeight="1" s="185">
      <c r="A40" s="236" t="inlineStr">
        <is>
          <t>说明：</t>
        </is>
      </c>
      <c r="B40" s="237" t="n"/>
      <c r="C40" s="237" t="n"/>
      <c r="D40" s="237" t="n"/>
      <c r="E40" s="237" t="n"/>
      <c r="F40" s="237" t="n"/>
      <c r="G40" s="237" t="n"/>
      <c r="H40" s="237" t="n"/>
      <c r="I40" s="237" t="n"/>
      <c r="J40" s="233" t="n"/>
      <c r="K40" s="233" t="n"/>
      <c r="L40" s="233" t="n"/>
    </row>
    <row r="41" ht="20.1" customFormat="1" customHeight="1" s="185">
      <c r="A41" s="209" t="inlineStr">
        <is>
          <t>（1）子公司的持股比例不同于表决权比例的，应说明表决权比例及差异原因。</t>
        </is>
      </c>
      <c r="B41" s="237" t="n"/>
      <c r="C41" s="237" t="n"/>
      <c r="D41" s="237" t="n"/>
      <c r="E41" s="237" t="n"/>
      <c r="F41" s="237" t="n"/>
      <c r="G41" s="237" t="n"/>
      <c r="H41" s="237" t="n"/>
      <c r="I41" s="237" t="n"/>
      <c r="J41" s="233" t="n"/>
      <c r="K41" s="233" t="n"/>
      <c r="L41" s="233" t="n"/>
    </row>
    <row r="42" ht="20.1" customFormat="1" customHeight="1" s="185">
      <c r="A42" s="209" t="inlineStr">
        <is>
          <t>（2）持有其他主体半数或以下表决权但仍控制该主体、以及公司持有其他主体半数以上表决权但不控制该主体的，公司应披露相关判断和依据。</t>
        </is>
      </c>
      <c r="B42" s="237" t="n"/>
      <c r="C42" s="237" t="n"/>
      <c r="D42" s="237" t="n"/>
      <c r="E42" s="237" t="n"/>
      <c r="F42" s="237" t="n"/>
      <c r="G42" s="237" t="n"/>
      <c r="H42" s="237" t="n"/>
      <c r="I42" s="237" t="n"/>
      <c r="J42" s="233" t="n"/>
      <c r="K42" s="233" t="n"/>
      <c r="L42" s="233" t="n"/>
    </row>
    <row r="43" ht="20.1" customFormat="1" customHeight="1" s="89">
      <c r="A43" s="209" t="inlineStr">
        <is>
          <t>（3）披露确定公司是代理人还是委托人的判断和依据。</t>
        </is>
      </c>
      <c r="B43" s="209" t="n"/>
      <c r="C43" s="209" t="n"/>
      <c r="D43" s="209" t="n"/>
      <c r="E43" s="209" t="n"/>
      <c r="F43" s="209" t="n"/>
      <c r="G43" s="209" t="n"/>
      <c r="H43" s="209" t="n"/>
      <c r="I43" s="209" t="n"/>
      <c r="J43" s="209" t="n"/>
      <c r="K43" s="209" t="n"/>
      <c r="L43" s="209" t="n"/>
    </row>
    <row r="44" ht="20.1" customFormat="1" customHeight="1" s="89">
      <c r="A44" s="209" t="inlineStr">
        <is>
          <t>（4）对于纳入合并范围的重要的结构化主体，应披露控制的相关判断和依据。</t>
        </is>
      </c>
      <c r="B44" s="209" t="n"/>
      <c r="C44" s="209" t="n"/>
      <c r="D44" s="209" t="n"/>
      <c r="E44" s="209" t="n"/>
      <c r="F44" s="209" t="n"/>
      <c r="G44" s="209" t="n"/>
      <c r="H44" s="209" t="n"/>
      <c r="I44" s="209" t="n"/>
      <c r="J44" s="209" t="n"/>
      <c r="K44" s="209" t="n"/>
      <c r="L44" s="209" t="n"/>
    </row>
    <row r="45" ht="51" customFormat="1" customHeight="1" s="89">
      <c r="A45" s="884" t="inlineStr">
        <is>
          <t>【例如资产证券化，公司应根据《信贷资产证券化试点管理办法》和《企业会计准则第23号-金融资产转移》，披露金融资产证券化业务的主要交易安排及其会计处理。涉及非金融资产的资产证券化业务，参照《信贷资产证券化试点管理办法》和《企业会计准则第23号-金融资产转移》的有关规定，披露资产证券化业务的主要交易安排及其会计处理。同时，应详细说明资产证券化业务的破产隔离条款。</t>
        </is>
      </c>
      <c r="B45" s="0" t="n"/>
      <c r="C45" s="0" t="n"/>
      <c r="D45" s="0" t="n"/>
      <c r="E45" s="0" t="n"/>
      <c r="F45" s="0" t="n"/>
      <c r="G45" s="0" t="n"/>
      <c r="H45" s="209" t="n"/>
      <c r="I45" s="209" t="n"/>
      <c r="J45" s="209" t="n"/>
      <c r="K45" s="209" t="n"/>
      <c r="L45" s="209" t="n"/>
    </row>
    <row r="46" ht="66" customFormat="1" customHeight="1" s="89">
      <c r="A46" s="884" t="inlineStr">
        <is>
          <t>（本集团于本年度内将一笔金额为人民币[X]元（200Y年：人民币[X]元）的应收账款证券化转让给由XX银行设立的XX信托计划。作为转让的一部分，本集团就该笔应收账款的预期损失向信托计划提供信用担保。因此，本集团继续全额确认应收账款的账面金额并将因转让而收取的现金确认为抵押借款。在200X年12月31日，被转让的应收账款账面金额为人民币[X]元（200Y年：人民币[X]元），而相关负债的账面金额为人民币[X]元。）】</t>
        </is>
      </c>
      <c r="B46" s="0" t="n"/>
      <c r="C46" s="0" t="n"/>
      <c r="D46" s="0" t="n"/>
      <c r="E46" s="0" t="n"/>
      <c r="F46" s="0" t="n"/>
      <c r="G46" s="0" t="n"/>
      <c r="H46" s="209" t="n"/>
      <c r="I46" s="209" t="n"/>
      <c r="J46" s="209" t="n"/>
      <c r="K46" s="209" t="n"/>
      <c r="L46" s="209" t="n"/>
    </row>
    <row r="47" ht="20.1" customFormat="1" customHeight="1" s="89">
      <c r="A47" s="209" t="inlineStr">
        <is>
          <t>（2）重要的非全资子公司</t>
        </is>
      </c>
      <c r="B47" s="209" t="n"/>
      <c r="C47" s="209" t="n"/>
      <c r="D47" s="209" t="n"/>
      <c r="E47" s="209" t="n"/>
      <c r="F47" s="209" t="n"/>
      <c r="G47" s="209" t="n"/>
      <c r="H47" s="209" t="n"/>
      <c r="I47" s="209" t="n"/>
      <c r="J47" s="209" t="n"/>
      <c r="K47" s="209" t="n"/>
      <c r="L47" s="209" t="n"/>
    </row>
    <row r="48" ht="20.1" customFormat="1" customHeight="1" s="89" thickBot="1">
      <c r="A48" s="249" t="inlineStr">
        <is>
          <t>【提示：如果单个非全资子公司的少数股东权益对企业集团而言并不重要，则不需要披露下述信息。】</t>
        </is>
      </c>
      <c r="B48" s="209" t="n"/>
      <c r="C48" s="209" t="n"/>
      <c r="D48" s="209" t="n"/>
      <c r="E48" s="209" t="n"/>
      <c r="F48" s="209" t="n"/>
      <c r="G48" s="209" t="n"/>
      <c r="H48" s="209" t="n"/>
      <c r="I48" s="209" t="n"/>
      <c r="J48" s="209" t="n"/>
      <c r="K48" s="209" t="n"/>
      <c r="L48" s="209" t="n"/>
    </row>
    <row r="49" ht="34.5" customFormat="1" customHeight="1" s="185" thickBot="1">
      <c r="A49" s="239" t="inlineStr">
        <is>
          <t>子公司名称</t>
        </is>
      </c>
      <c r="B49" s="192" t="inlineStr">
        <is>
          <t>少数股东持股比例%</t>
        </is>
      </c>
      <c r="C49" s="192" t="inlineStr">
        <is>
          <t>本期归属于少数股东的损益</t>
        </is>
      </c>
      <c r="D49" s="192" t="inlineStr">
        <is>
          <t>本期向少数股东宣告分派的股利</t>
        </is>
      </c>
      <c r="E49" s="192" t="inlineStr">
        <is>
          <t>期末少数股东权益余额</t>
        </is>
      </c>
      <c r="F49" s="237" t="n"/>
      <c r="G49" s="237" t="n"/>
      <c r="H49" s="237" t="n"/>
      <c r="I49" s="237" t="n"/>
      <c r="J49" s="233" t="n"/>
      <c r="K49" s="233" t="n"/>
      <c r="L49" s="233" t="n"/>
    </row>
    <row r="50" ht="20.1" customFormat="1" customHeight="1" s="185">
      <c r="A50" s="238" t="n"/>
      <c r="B50" s="250" t="n"/>
      <c r="C50" s="1147" t="n"/>
      <c r="D50" s="1147" t="n"/>
      <c r="E50" s="1147" t="n"/>
      <c r="F50" s="237" t="n"/>
      <c r="G50" s="237" t="n"/>
      <c r="H50" s="237" t="n"/>
      <c r="I50" s="237" t="n"/>
      <c r="J50" s="233" t="n"/>
      <c r="K50" s="233" t="n"/>
      <c r="L50" s="233" t="n"/>
    </row>
    <row r="51" ht="20.1" customFormat="1" customHeight="1" s="185">
      <c r="A51" s="238" t="n"/>
      <c r="B51" s="250" t="n"/>
      <c r="C51" s="1147" t="n"/>
      <c r="D51" s="1147" t="n"/>
      <c r="E51" s="1147" t="n"/>
      <c r="F51" s="237" t="n"/>
      <c r="G51" s="237" t="n"/>
      <c r="H51" s="237" t="n"/>
      <c r="I51" s="237" t="n"/>
      <c r="J51" s="233" t="n"/>
      <c r="K51" s="233" t="n"/>
      <c r="L51" s="233" t="n"/>
    </row>
    <row r="52" ht="20.1" customFormat="1" customHeight="1" s="185">
      <c r="A52" s="238" t="n"/>
      <c r="B52" s="250" t="n"/>
      <c r="C52" s="1147" t="n"/>
      <c r="D52" s="1147" t="n"/>
      <c r="E52" s="1147" t="n"/>
      <c r="F52" s="237" t="n"/>
      <c r="G52" s="237" t="n"/>
      <c r="H52" s="237" t="n"/>
      <c r="I52" s="237" t="n"/>
      <c r="J52" s="233" t="n"/>
      <c r="K52" s="233" t="n"/>
      <c r="L52" s="233" t="n"/>
    </row>
    <row r="53" ht="20.1" customFormat="1" customHeight="1" s="185">
      <c r="A53" s="238" t="n"/>
      <c r="B53" s="250" t="n"/>
      <c r="C53" s="1147" t="n"/>
      <c r="D53" s="1147" t="n"/>
      <c r="E53" s="1147" t="n"/>
      <c r="F53" s="237" t="n"/>
      <c r="G53" s="237" t="n"/>
      <c r="H53" s="237" t="n"/>
      <c r="I53" s="237" t="n"/>
      <c r="J53" s="233" t="n"/>
      <c r="K53" s="233" t="n"/>
      <c r="L53" s="233" t="n"/>
    </row>
    <row r="54" ht="20.1" customFormat="1" customHeight="1" s="185" thickBot="1">
      <c r="A54" s="252" t="n"/>
      <c r="B54" s="253" t="n"/>
      <c r="C54" s="1148" t="n"/>
      <c r="D54" s="1148" t="n"/>
      <c r="E54" s="1148" t="n"/>
      <c r="F54" s="237" t="n"/>
      <c r="G54" s="237" t="n"/>
      <c r="H54" s="237" t="n"/>
      <c r="I54" s="237" t="n"/>
      <c r="J54" s="233" t="n"/>
      <c r="K54" s="233" t="n"/>
      <c r="L54" s="233" t="n"/>
    </row>
    <row r="55" ht="20.1" customFormat="1" customHeight="1" s="185">
      <c r="A55" s="209" t="inlineStr">
        <is>
          <t>说明：持股比例不同于表决权比例的，应说明表决权比例及差异原因</t>
        </is>
      </c>
      <c r="B55" s="237" t="n"/>
      <c r="C55" s="237" t="n"/>
      <c r="D55" s="237" t="n"/>
      <c r="E55" s="237" t="n"/>
      <c r="F55" s="237" t="n"/>
      <c r="G55" s="237" t="n"/>
      <c r="H55" s="237" t="n"/>
      <c r="I55" s="237" t="n"/>
      <c r="J55" s="233" t="n"/>
      <c r="K55" s="233" t="n"/>
      <c r="L55" s="233" t="n"/>
    </row>
    <row r="56" ht="20.1" customFormat="1" customHeight="1" s="185">
      <c r="A56" s="209" t="inlineStr">
        <is>
          <t>（3）重要非全资子公司的主要财务信息：（划分为持有待售的除外）</t>
        </is>
      </c>
      <c r="B56" s="237" t="n"/>
      <c r="C56" s="237" t="n"/>
      <c r="D56" s="237" t="n"/>
      <c r="E56" s="237" t="n"/>
      <c r="F56" s="237" t="n"/>
      <c r="G56" s="237" t="n"/>
      <c r="H56" s="237" t="n"/>
      <c r="I56" s="237" t="n"/>
      <c r="J56" s="233" t="n"/>
      <c r="K56" s="233" t="n"/>
      <c r="L56" s="233" t="n"/>
    </row>
    <row r="57" ht="20.1" customFormat="1" customHeight="1" s="185" thickBot="1">
      <c r="A57" s="249" t="inlineStr">
        <is>
          <t>【提示：如果单个非全资子公司的少数股东权益对企业集团而言并不重要，则不需要披露下述信息。】</t>
        </is>
      </c>
      <c r="B57" s="237" t="n"/>
      <c r="C57" s="237" t="n"/>
      <c r="D57" s="237" t="n"/>
      <c r="E57" s="237" t="n"/>
      <c r="F57" s="237" t="n"/>
      <c r="G57" s="237" t="n"/>
      <c r="H57" s="237" t="n"/>
      <c r="I57" s="237" t="n"/>
      <c r="J57" s="233" t="n"/>
      <c r="K57" s="233" t="n"/>
      <c r="L57" s="233" t="n"/>
    </row>
    <row r="58" ht="20.1" customFormat="1" customHeight="1" s="185">
      <c r="A58" s="917" t="inlineStr">
        <is>
          <t>子公司名称</t>
        </is>
      </c>
      <c r="B58" s="886" t="inlineStr">
        <is>
          <t>期末数</t>
        </is>
      </c>
      <c r="C58" s="1144" t="n"/>
      <c r="D58" s="1144" t="n"/>
      <c r="E58" s="1144" t="n"/>
      <c r="F58" s="1144" t="n"/>
      <c r="G58" s="1144" t="n"/>
      <c r="H58" s="237" t="n"/>
      <c r="I58" s="237" t="n"/>
      <c r="J58" s="233" t="n"/>
      <c r="K58" s="233" t="n"/>
      <c r="L58" s="233" t="n"/>
    </row>
    <row r="59" ht="20.1" customFormat="1" customHeight="1" s="185" thickBot="1">
      <c r="A59" s="1146" t="n"/>
      <c r="B59" s="887" t="inlineStr">
        <is>
          <t>流动资产</t>
        </is>
      </c>
      <c r="C59" s="887" t="inlineStr">
        <is>
          <t>非流动资产</t>
        </is>
      </c>
      <c r="D59" s="887" t="inlineStr">
        <is>
          <t>资产合计</t>
        </is>
      </c>
      <c r="E59" s="887" t="inlineStr">
        <is>
          <t>流动负债</t>
        </is>
      </c>
      <c r="F59" s="887" t="inlineStr">
        <is>
          <t>非流动负债</t>
        </is>
      </c>
      <c r="G59" s="887" t="inlineStr">
        <is>
          <t>负债合计</t>
        </is>
      </c>
      <c r="H59" s="237" t="n"/>
      <c r="I59" s="237" t="n"/>
      <c r="J59" s="233" t="n"/>
      <c r="K59" s="233" t="n"/>
      <c r="L59" s="233" t="n"/>
    </row>
    <row r="60" ht="20.1" customFormat="1" customHeight="1" s="185">
      <c r="A60" s="238" t="n"/>
      <c r="B60" s="1147" t="n"/>
      <c r="C60" s="1147" t="n"/>
      <c r="D60" s="1147" t="n"/>
      <c r="E60" s="1147" t="n"/>
      <c r="F60" s="1147" t="n"/>
      <c r="G60" s="1147" t="n"/>
      <c r="H60" s="237" t="n"/>
      <c r="I60" s="237" t="n"/>
      <c r="J60" s="233" t="n"/>
      <c r="K60" s="233" t="n"/>
      <c r="L60" s="233" t="n"/>
    </row>
    <row r="61" ht="20.1" customFormat="1" customHeight="1" s="185">
      <c r="A61" s="238" t="n"/>
      <c r="B61" s="1147" t="n"/>
      <c r="C61" s="1147" t="n"/>
      <c r="D61" s="1147" t="n"/>
      <c r="E61" s="1147" t="n"/>
      <c r="F61" s="1147" t="n"/>
      <c r="G61" s="1147" t="n"/>
      <c r="H61" s="237" t="n"/>
      <c r="I61" s="237" t="n"/>
      <c r="J61" s="233" t="n"/>
      <c r="K61" s="233" t="n"/>
      <c r="L61" s="233" t="n"/>
    </row>
    <row r="62" ht="20.1" customFormat="1" customHeight="1" s="185">
      <c r="A62" s="238" t="n"/>
      <c r="B62" s="1147" t="n"/>
      <c r="C62" s="1147" t="n"/>
      <c r="D62" s="1147" t="n"/>
      <c r="E62" s="1147" t="n"/>
      <c r="F62" s="1147" t="n"/>
      <c r="G62" s="1147" t="n"/>
      <c r="H62" s="237" t="n"/>
      <c r="I62" s="237" t="n"/>
      <c r="J62" s="233" t="n"/>
      <c r="K62" s="233" t="n"/>
      <c r="L62" s="233" t="n"/>
    </row>
    <row r="63" ht="20.1" customFormat="1" customHeight="1" s="185">
      <c r="A63" s="238" t="n"/>
      <c r="B63" s="1147" t="n"/>
      <c r="C63" s="1147" t="n"/>
      <c r="D63" s="1147" t="n"/>
      <c r="E63" s="1147" t="n"/>
      <c r="F63" s="1147" t="n"/>
      <c r="G63" s="1147" t="n"/>
      <c r="H63" s="237" t="n"/>
      <c r="I63" s="237" t="n"/>
      <c r="J63" s="233" t="n"/>
      <c r="K63" s="233" t="n"/>
      <c r="L63" s="233" t="n"/>
    </row>
    <row r="64" ht="20.1" customFormat="1" customHeight="1" s="185" thickBot="1">
      <c r="A64" s="252" t="n"/>
      <c r="B64" s="1148" t="n"/>
      <c r="C64" s="1148" t="n"/>
      <c r="D64" s="1148" t="n"/>
      <c r="E64" s="1148" t="n"/>
      <c r="F64" s="1148" t="n"/>
      <c r="G64" s="1148" t="n"/>
      <c r="H64" s="237" t="n"/>
      <c r="I64" s="237" t="n"/>
      <c r="J64" s="233" t="n"/>
      <c r="K64" s="233" t="n"/>
      <c r="L64" s="233" t="n"/>
    </row>
    <row r="65" ht="20.1" customFormat="1" customHeight="1" s="185" thickBot="1">
      <c r="A65" s="236" t="inlineStr">
        <is>
          <t>续（1）：</t>
        </is>
      </c>
      <c r="B65" s="237" t="n"/>
      <c r="C65" s="237" t="n"/>
      <c r="D65" s="237" t="n"/>
      <c r="E65" s="237" t="n"/>
      <c r="F65" s="237" t="n"/>
      <c r="G65" s="237" t="n"/>
      <c r="H65" s="237" t="n"/>
      <c r="I65" s="237" t="n"/>
      <c r="J65" s="233" t="n"/>
      <c r="K65" s="233" t="n"/>
      <c r="L65" s="233" t="n"/>
    </row>
    <row r="66" ht="20.1" customFormat="1" customHeight="1" s="185">
      <c r="A66" s="917" t="inlineStr">
        <is>
          <t>子公司名称</t>
        </is>
      </c>
      <c r="B66" s="886" t="inlineStr">
        <is>
          <t>期初数</t>
        </is>
      </c>
      <c r="C66" s="1144" t="n"/>
      <c r="D66" s="1144" t="n"/>
      <c r="E66" s="1144" t="n"/>
      <c r="F66" s="1144" t="n"/>
      <c r="G66" s="1144" t="n"/>
      <c r="H66" s="237" t="n"/>
      <c r="I66" s="237" t="n"/>
      <c r="J66" s="233" t="n"/>
      <c r="K66" s="233" t="n"/>
      <c r="L66" s="233" t="n"/>
    </row>
    <row r="67" ht="20.1" customFormat="1" customHeight="1" s="185" thickBot="1">
      <c r="A67" s="1146" t="n"/>
      <c r="B67" s="887" t="inlineStr">
        <is>
          <t>流动资产</t>
        </is>
      </c>
      <c r="C67" s="887" t="inlineStr">
        <is>
          <t>非流动资产</t>
        </is>
      </c>
      <c r="D67" s="887" t="inlineStr">
        <is>
          <t>资产合计</t>
        </is>
      </c>
      <c r="E67" s="887" t="inlineStr">
        <is>
          <t>流动负债</t>
        </is>
      </c>
      <c r="F67" s="887" t="inlineStr">
        <is>
          <t>非流动负债</t>
        </is>
      </c>
      <c r="G67" s="887" t="inlineStr">
        <is>
          <t>负债合计</t>
        </is>
      </c>
      <c r="H67" s="237" t="n"/>
      <c r="I67" s="237" t="n"/>
      <c r="J67" s="233" t="n"/>
      <c r="K67" s="233" t="n"/>
      <c r="L67" s="233" t="n"/>
    </row>
    <row r="68" ht="20.1" customFormat="1" customHeight="1" s="185">
      <c r="A68" s="238" t="n"/>
      <c r="B68" s="1147" t="n"/>
      <c r="C68" s="1147" t="n"/>
      <c r="D68" s="1147" t="n"/>
      <c r="E68" s="1147" t="n"/>
      <c r="F68" s="1147" t="n"/>
      <c r="G68" s="1147" t="n"/>
      <c r="H68" s="237" t="n"/>
      <c r="I68" s="237" t="n"/>
      <c r="J68" s="233" t="n"/>
      <c r="K68" s="233" t="n"/>
      <c r="L68" s="233" t="n"/>
    </row>
    <row r="69" ht="20.1" customFormat="1" customHeight="1" s="185">
      <c r="A69" s="238" t="n"/>
      <c r="B69" s="1147" t="n"/>
      <c r="C69" s="1147" t="n"/>
      <c r="D69" s="1147" t="n"/>
      <c r="E69" s="1147" t="n"/>
      <c r="F69" s="1147" t="n"/>
      <c r="G69" s="1147" t="n"/>
      <c r="H69" s="237" t="n"/>
      <c r="I69" s="237" t="n"/>
      <c r="J69" s="233" t="n"/>
      <c r="K69" s="233" t="n"/>
      <c r="L69" s="233" t="n"/>
    </row>
    <row r="70" ht="20.1" customFormat="1" customHeight="1" s="185">
      <c r="A70" s="238" t="n"/>
      <c r="B70" s="1147" t="n"/>
      <c r="C70" s="1147" t="n"/>
      <c r="D70" s="1147" t="n"/>
      <c r="E70" s="1147" t="n"/>
      <c r="F70" s="1147" t="n"/>
      <c r="G70" s="1147" t="n"/>
      <c r="H70" s="237" t="n"/>
      <c r="I70" s="237" t="n"/>
      <c r="J70" s="233" t="n"/>
      <c r="K70" s="233" t="n"/>
      <c r="L70" s="233" t="n"/>
    </row>
    <row r="71" ht="20.1" customFormat="1" customHeight="1" s="185">
      <c r="A71" s="238" t="n"/>
      <c r="B71" s="1147" t="n"/>
      <c r="C71" s="1147" t="n"/>
      <c r="D71" s="1147" t="n"/>
      <c r="E71" s="1147" t="n"/>
      <c r="F71" s="1147" t="n"/>
      <c r="G71" s="1147" t="n"/>
      <c r="H71" s="237" t="n"/>
      <c r="I71" s="237" t="n"/>
      <c r="J71" s="233" t="n"/>
      <c r="K71" s="233" t="n"/>
      <c r="L71" s="233" t="n"/>
    </row>
    <row r="72" ht="20.1" customFormat="1" customHeight="1" s="185" thickBot="1">
      <c r="A72" s="252" t="n"/>
      <c r="B72" s="1148" t="n"/>
      <c r="C72" s="1148" t="n"/>
      <c r="D72" s="1148" t="n"/>
      <c r="E72" s="1148" t="n"/>
      <c r="F72" s="1148" t="n"/>
      <c r="G72" s="1148" t="n"/>
      <c r="H72" s="237" t="n"/>
      <c r="I72" s="237" t="n"/>
      <c r="J72" s="233" t="n"/>
      <c r="K72" s="233" t="n"/>
      <c r="L72" s="233" t="n"/>
    </row>
    <row r="73" ht="20.1" customFormat="1" customHeight="1" s="185" thickBot="1">
      <c r="A73" s="236" t="inlineStr">
        <is>
          <t>续（2）：</t>
        </is>
      </c>
      <c r="B73" s="237" t="n"/>
      <c r="C73" s="237" t="n"/>
      <c r="D73" s="237" t="n"/>
      <c r="E73" s="237" t="n"/>
      <c r="F73" s="237" t="n"/>
      <c r="G73" s="237" t="n"/>
      <c r="H73" s="237" t="n"/>
      <c r="I73" s="237" t="n"/>
      <c r="J73" s="233" t="n"/>
      <c r="K73" s="233" t="n"/>
      <c r="L73" s="233" t="n"/>
    </row>
    <row r="74" ht="20.1" customFormat="1" customHeight="1" s="185">
      <c r="A74" s="917" t="inlineStr">
        <is>
          <t>子公司名称</t>
        </is>
      </c>
      <c r="B74" s="886" t="inlineStr">
        <is>
          <t>本期发生额</t>
        </is>
      </c>
      <c r="C74" s="1144" t="n"/>
      <c r="D74" s="1144" t="n"/>
      <c r="E74" s="1144" t="n"/>
      <c r="F74" s="886" t="inlineStr">
        <is>
          <t>上期发生额</t>
        </is>
      </c>
      <c r="G74" s="1144" t="n"/>
      <c r="H74" s="1144" t="n"/>
      <c r="I74" s="1144" t="n"/>
      <c r="J74" s="233" t="n"/>
      <c r="K74" s="233" t="n"/>
      <c r="L74" s="233" t="n"/>
    </row>
    <row r="75" ht="36" customFormat="1" customHeight="1" s="185" thickBot="1">
      <c r="A75" s="1146" t="n"/>
      <c r="B75" s="887" t="inlineStr">
        <is>
          <t>营业收入</t>
        </is>
      </c>
      <c r="C75" s="887" t="inlineStr">
        <is>
          <t>净利润</t>
        </is>
      </c>
      <c r="D75" s="887" t="inlineStr">
        <is>
          <t>综合收益总额</t>
        </is>
      </c>
      <c r="E75" s="887" t="inlineStr">
        <is>
          <t>经营活动现金流量</t>
        </is>
      </c>
      <c r="F75" s="887" t="inlineStr">
        <is>
          <t>营业收入</t>
        </is>
      </c>
      <c r="G75" s="887" t="inlineStr">
        <is>
          <t>净利润</t>
        </is>
      </c>
      <c r="H75" s="887" t="inlineStr">
        <is>
          <t>综合收益总额</t>
        </is>
      </c>
      <c r="I75" s="887" t="inlineStr">
        <is>
          <t>经营活动现金流量</t>
        </is>
      </c>
      <c r="J75" s="233" t="n"/>
      <c r="K75" s="233" t="n"/>
      <c r="L75" s="233" t="n"/>
    </row>
    <row r="76" ht="20.1" customFormat="1" customHeight="1" s="185">
      <c r="A76" s="238" t="n"/>
      <c r="B76" s="1147" t="n"/>
      <c r="C76" s="1147" t="n"/>
      <c r="D76" s="1147" t="n"/>
      <c r="E76" s="1147" t="n"/>
      <c r="F76" s="1147" t="n"/>
      <c r="G76" s="1147" t="n"/>
      <c r="H76" s="1147" t="n"/>
      <c r="I76" s="1147" t="n"/>
      <c r="J76" s="233" t="n"/>
      <c r="K76" s="233" t="n"/>
      <c r="L76" s="233" t="n"/>
    </row>
    <row r="77" ht="20.1" customFormat="1" customHeight="1" s="185">
      <c r="A77" s="238" t="n"/>
      <c r="B77" s="1147" t="n"/>
      <c r="C77" s="1147" t="n"/>
      <c r="D77" s="1147" t="n"/>
      <c r="E77" s="1147" t="n"/>
      <c r="F77" s="1147" t="n"/>
      <c r="G77" s="1147" t="n"/>
      <c r="H77" s="1147" t="n"/>
      <c r="I77" s="1147" t="n"/>
      <c r="J77" s="233" t="n"/>
      <c r="K77" s="233" t="n"/>
      <c r="L77" s="233" t="n"/>
    </row>
    <row r="78" ht="20.1" customFormat="1" customHeight="1" s="185">
      <c r="A78" s="238" t="n"/>
      <c r="B78" s="1147" t="n"/>
      <c r="C78" s="1147" t="n"/>
      <c r="D78" s="1147" t="n"/>
      <c r="E78" s="1147" t="n"/>
      <c r="F78" s="1147" t="n"/>
      <c r="G78" s="1147" t="n"/>
      <c r="H78" s="1147" t="n"/>
      <c r="I78" s="1147" t="n"/>
      <c r="J78" s="233" t="n"/>
      <c r="K78" s="233" t="n"/>
      <c r="L78" s="233" t="n"/>
    </row>
    <row r="79" ht="20.1" customFormat="1" customHeight="1" s="185">
      <c r="A79" s="238" t="n"/>
      <c r="B79" s="1147" t="n"/>
      <c r="C79" s="1147" t="n"/>
      <c r="D79" s="1147" t="n"/>
      <c r="E79" s="1147" t="n"/>
      <c r="F79" s="1147" t="n"/>
      <c r="G79" s="1147" t="n"/>
      <c r="H79" s="1147" t="n"/>
      <c r="I79" s="1147" t="n"/>
      <c r="J79" s="233" t="n"/>
      <c r="K79" s="233" t="n"/>
      <c r="L79" s="233" t="n"/>
    </row>
    <row r="80" ht="20.1" customFormat="1" customHeight="1" s="185" thickBot="1">
      <c r="A80" s="252" t="n"/>
      <c r="B80" s="1148" t="n"/>
      <c r="C80" s="1148" t="n"/>
      <c r="D80" s="1148" t="n"/>
      <c r="E80" s="1148" t="n"/>
      <c r="F80" s="1148" t="n"/>
      <c r="G80" s="1148" t="n"/>
      <c r="H80" s="1148" t="n"/>
      <c r="I80" s="1148" t="n"/>
      <c r="J80" s="233" t="n"/>
      <c r="K80" s="233" t="n"/>
      <c r="L80" s="233" t="n"/>
    </row>
    <row r="81" ht="20.1" customFormat="1" customHeight="1" s="185">
      <c r="A81" s="249" t="inlineStr">
        <is>
          <t>【提示：上述财务数据以合并日子公司可辨认资产和负债的公允价值为基础进行调整；被划分为持有待售资产的，不需要披露该子公司的上述财务信息。】</t>
        </is>
      </c>
      <c r="B81" s="237" t="n"/>
      <c r="C81" s="237" t="n"/>
      <c r="D81" s="237" t="n"/>
      <c r="E81" s="237" t="n"/>
      <c r="F81" s="237" t="n"/>
      <c r="G81" s="237" t="n"/>
      <c r="H81" s="237" t="n"/>
      <c r="I81" s="237" t="n"/>
      <c r="J81" s="233" t="n"/>
      <c r="K81" s="233" t="n"/>
      <c r="L81" s="233" t="n"/>
    </row>
    <row r="82" ht="20.1" customFormat="1" customHeight="1" s="185">
      <c r="A82" s="209" t="inlineStr">
        <is>
          <t>（4）使用资产和清偿负债存在的重大限制（不适用的删除）</t>
        </is>
      </c>
      <c r="B82" s="237" t="n"/>
      <c r="C82" s="237" t="n"/>
      <c r="D82" s="237" t="n"/>
      <c r="E82" s="237" t="n"/>
      <c r="F82" s="237" t="n"/>
      <c r="G82" s="237" t="n"/>
      <c r="H82" s="237" t="n"/>
      <c r="I82" s="237" t="n"/>
      <c r="J82" s="233" t="n"/>
      <c r="K82" s="233" t="n"/>
      <c r="L82" s="233" t="n"/>
    </row>
    <row r="83" ht="20.1" customFormat="1" customHeight="1" s="185">
      <c r="A83" s="249" t="inlineStr">
        <is>
          <t>说明：（1）限制内容，包括对母公司或子公司与集团内其他主体相互转移现金或其他资产的限制，以及对集团内主体之间发放股利或进行利润分配、发放或收回贷款或垫款等的限制；</t>
        </is>
      </c>
      <c r="B83" s="237" t="n"/>
      <c r="C83" s="237" t="n"/>
      <c r="D83" s="237" t="n"/>
      <c r="E83" s="237" t="n"/>
      <c r="F83" s="237" t="n"/>
      <c r="G83" s="237" t="n"/>
      <c r="H83" s="237" t="n"/>
      <c r="I83" s="237" t="n"/>
      <c r="J83" s="233" t="n"/>
      <c r="K83" s="233" t="n"/>
      <c r="L83" s="233" t="n"/>
    </row>
    <row r="84" ht="20.1" customFormat="1" customHeight="1" s="185">
      <c r="A84" s="249" t="inlineStr">
        <is>
          <t>（2）子公司少数股东享有保护性权利，并且该保护性权利对使用集团资产或清偿集团负债的能力存在重大限制的，披露限制的性质和程度；</t>
        </is>
      </c>
      <c r="B84" s="237" t="n"/>
      <c r="C84" s="237" t="n"/>
      <c r="D84" s="237" t="n"/>
      <c r="E84" s="237" t="n"/>
      <c r="F84" s="237" t="n"/>
      <c r="G84" s="237" t="n"/>
      <c r="H84" s="237" t="n"/>
      <c r="I84" s="237" t="n"/>
      <c r="J84" s="233" t="n"/>
      <c r="K84" s="233" t="n"/>
      <c r="L84" s="233" t="n"/>
    </row>
    <row r="85" ht="20.1" customFormat="1" customHeight="1" s="185">
      <c r="A85" s="249" t="inlineStr">
        <is>
          <t>（3）限制涉及的资产和负债在合并财务报表中的金额。</t>
        </is>
      </c>
      <c r="B85" s="237" t="n"/>
      <c r="C85" s="237" t="n"/>
      <c r="D85" s="237" t="n"/>
      <c r="E85" s="237" t="n"/>
      <c r="F85" s="237" t="n"/>
      <c r="G85" s="237" t="n"/>
      <c r="H85" s="237" t="n"/>
      <c r="I85" s="237" t="n"/>
      <c r="J85" s="233" t="n"/>
      <c r="K85" s="233" t="n"/>
      <c r="L85" s="233" t="n"/>
    </row>
    <row r="86" ht="20.1" customFormat="1" customHeight="1" s="185">
      <c r="A86" s="209" t="inlineStr">
        <is>
          <t>（5）向纳入合并财务报表范围的结构化主体提供的财务支持或其他支持</t>
        </is>
      </c>
      <c r="B86" s="237" t="n"/>
      <c r="C86" s="237" t="n"/>
      <c r="D86" s="237" t="n"/>
      <c r="E86" s="237" t="n"/>
      <c r="F86" s="237" t="n"/>
      <c r="G86" s="237" t="n"/>
      <c r="H86" s="237" t="n"/>
      <c r="I86" s="237" t="n"/>
      <c r="J86" s="233" t="n"/>
      <c r="K86" s="233" t="n"/>
      <c r="L86" s="233" t="n"/>
    </row>
    <row r="87" ht="20.1" customFormat="1" customHeight="1" s="185">
      <c r="A87" s="209" t="inlineStr">
        <is>
          <t>说明：应披露与结构化主体相关的风险信息，向结构化主体提供财务支持或其他支持，包括帮助结构化主体取得财务支持：</t>
        </is>
      </c>
      <c r="B87" s="237" t="n"/>
      <c r="C87" s="237" t="n"/>
      <c r="D87" s="237" t="n"/>
      <c r="E87" s="237" t="n"/>
      <c r="F87" s="237" t="n"/>
      <c r="G87" s="237" t="n"/>
      <c r="H87" s="237" t="n"/>
      <c r="I87" s="237" t="n"/>
      <c r="J87" s="233" t="n"/>
      <c r="K87" s="233" t="n"/>
      <c r="L87" s="233" t="n"/>
    </row>
    <row r="88" ht="20.1" customFormat="1" customHeight="1" s="185">
      <c r="A88" s="249" t="inlineStr">
        <is>
          <t>（1）有合同约定的，披露财务支持的合同条款包括可能导致企业承担损失的事项或情况；</t>
        </is>
      </c>
      <c r="B88" s="237" t="n"/>
      <c r="C88" s="237" t="n"/>
      <c r="D88" s="237" t="n"/>
      <c r="E88" s="237" t="n"/>
      <c r="F88" s="237" t="n"/>
      <c r="G88" s="237" t="n"/>
      <c r="H88" s="237" t="n"/>
      <c r="I88" s="237" t="n"/>
      <c r="J88" s="233" t="n"/>
      <c r="K88" s="233" t="n"/>
      <c r="L88" s="233" t="n"/>
    </row>
    <row r="89" ht="31.5" customFormat="1" customHeight="1" s="191">
      <c r="A89" s="885" t="inlineStr">
        <is>
          <t>（2）在没有合同约定的情况下，披露所提供支持的类型、金额及原因，包括帮助该结构化主体获得财务支持的情况。其中，本期对以前未纳入合并财务报表范围的结构化主体提供了财务支持或其他支持并且该支持导致控制了该结构化主体的，披露决定提供支持的相关因素；</t>
        </is>
      </c>
      <c r="B89" s="0" t="n"/>
      <c r="C89" s="0" t="n"/>
      <c r="D89" s="0" t="n"/>
      <c r="E89" s="0" t="n"/>
      <c r="F89" s="0" t="n"/>
      <c r="G89" s="0" t="n"/>
      <c r="H89" s="0" t="n"/>
      <c r="I89" s="0" t="n"/>
      <c r="J89" s="249" t="n"/>
      <c r="K89" s="249" t="n"/>
      <c r="L89" s="249" t="n"/>
    </row>
    <row r="90" ht="20.1" customFormat="1" customHeight="1" s="191">
      <c r="A90" s="249" t="inlineStr">
        <is>
          <t>（3）存在提供支持意图的，披露该意图，包括帮助该结构化主体获得财务支持的意图。</t>
        </is>
      </c>
      <c r="B90" s="249" t="n"/>
      <c r="C90" s="249" t="n"/>
      <c r="D90" s="249" t="n"/>
      <c r="E90" s="249" t="n"/>
      <c r="F90" s="249" t="n"/>
      <c r="G90" s="249" t="n"/>
      <c r="H90" s="249" t="n"/>
      <c r="I90" s="249" t="n"/>
      <c r="J90" s="249" t="n"/>
      <c r="K90" s="249" t="n"/>
      <c r="L90" s="249" t="n"/>
    </row>
    <row r="91" ht="20.1" customFormat="1" customHeight="1" s="185">
      <c r="A91" s="209" t="inlineStr">
        <is>
          <t>（6）在子公司的所有者权益份额发生变化且仍控制子公司的交易</t>
        </is>
      </c>
      <c r="B91" s="237" t="n"/>
      <c r="C91" s="237" t="n"/>
      <c r="D91" s="237" t="n"/>
      <c r="E91" s="237" t="n"/>
      <c r="F91" s="237" t="n"/>
      <c r="G91" s="237" t="n"/>
      <c r="H91" s="237" t="n"/>
      <c r="I91" s="237" t="n"/>
      <c r="J91" s="233" t="n"/>
      <c r="K91" s="233" t="n"/>
      <c r="L91" s="233" t="n"/>
    </row>
    <row r="92" ht="37.5" customFormat="1" customHeight="1" s="185">
      <c r="A92" s="885" t="inlineStr">
        <is>
          <t>（15号文第三十五条，公司在子公司的所有者权益份额发生变化且该变化未影响公司对子公司的控制权的，应披露在子公司所有者权益份额的变化情况、对归属于母公司所有者权益和少数股东权益的影响金额，以及上述金额的计算依据。）</t>
        </is>
      </c>
      <c r="B92" s="0" t="n"/>
      <c r="C92" s="0" t="n"/>
      <c r="D92" s="0" t="n"/>
      <c r="E92" s="0" t="n"/>
      <c r="F92" s="0" t="n"/>
      <c r="G92" s="0" t="n"/>
      <c r="H92" s="0" t="n"/>
      <c r="I92" s="0" t="n"/>
      <c r="J92" s="233" t="n"/>
      <c r="K92" s="233" t="n"/>
      <c r="L92" s="233" t="n"/>
    </row>
    <row r="93" ht="20.1" customFormat="1" customHeight="1" s="185">
      <c r="A93" s="209" t="inlineStr">
        <is>
          <t>①在子公司所有者权益份额发生变化的情况说明：</t>
        </is>
      </c>
      <c r="B93" s="237" t="n"/>
      <c r="C93" s="237" t="n"/>
      <c r="D93" s="237" t="n"/>
      <c r="E93" s="237" t="n"/>
      <c r="F93" s="237" t="n"/>
      <c r="G93" s="237" t="n"/>
      <c r="H93" s="237" t="n"/>
      <c r="I93" s="237" t="n"/>
      <c r="J93" s="233" t="n"/>
      <c r="K93" s="233" t="n"/>
      <c r="L93" s="233" t="n"/>
    </row>
    <row r="94" ht="35.25" customFormat="1" customHeight="1" s="185">
      <c r="A94" s="885" t="inlineStr">
        <is>
          <t>本公司原持有【A公司】90%股权，2012年10月本公司与甲公司签订股权转让协议，约定于2012年12月向甲公司转让A公司20%股权，该股权处置交易未导致本公司丧失对【A公司】的控制权。截至2013年6月30日，股权转让协议已履行完毕，取得交易对价为2600万元，该项交易导致少数股东权益增加2400万元，资本公积增加200万元。</t>
        </is>
      </c>
      <c r="B94" s="0" t="n"/>
      <c r="C94" s="0" t="n"/>
      <c r="D94" s="0" t="n"/>
      <c r="E94" s="0" t="n"/>
      <c r="F94" s="0" t="n"/>
      <c r="G94" s="0" t="n"/>
      <c r="H94" s="0" t="n"/>
      <c r="I94" s="0" t="n"/>
      <c r="J94" s="233" t="n"/>
      <c r="K94" s="233" t="n"/>
      <c r="L94" s="233" t="n"/>
    </row>
    <row r="95" ht="20.1" customFormat="1" customHeight="1" s="185" thickBot="1">
      <c r="A95" s="209" t="inlineStr">
        <is>
          <t>②交易对于少数股东权益及归属于母公司所有者权益的影响：</t>
        </is>
      </c>
      <c r="B95" s="237" t="n"/>
      <c r="C95" s="237" t="n"/>
      <c r="D95" s="237" t="n"/>
      <c r="E95" s="237" t="n"/>
      <c r="F95" s="237" t="n"/>
      <c r="G95" s="237" t="n"/>
      <c r="H95" s="237" t="n"/>
      <c r="I95" s="237" t="n"/>
      <c r="J95" s="233" t="n"/>
      <c r="K95" s="233" t="n"/>
      <c r="L95" s="233" t="n"/>
    </row>
    <row r="96" ht="20.1" customFormat="1" customHeight="1" s="190" thickBot="1">
      <c r="A96" s="917" t="inlineStr">
        <is>
          <t>项  目</t>
        </is>
      </c>
      <c r="B96" s="917" t="inlineStr">
        <is>
          <t>公司1</t>
        </is>
      </c>
      <c r="C96" s="917" t="inlineStr">
        <is>
          <t>公司2</t>
        </is>
      </c>
      <c r="D96" s="917" t="inlineStr">
        <is>
          <t>公司3</t>
        </is>
      </c>
      <c r="E96" s="917" t="inlineStr">
        <is>
          <t>公司4</t>
        </is>
      </c>
      <c r="F96" s="917" t="inlineStr">
        <is>
          <t>公司5</t>
        </is>
      </c>
      <c r="G96" s="917" t="inlineStr">
        <is>
          <t>公司6</t>
        </is>
      </c>
      <c r="H96" s="255" t="n"/>
      <c r="I96" s="255" t="n"/>
      <c r="J96" s="233" t="n"/>
      <c r="K96" s="233" t="n"/>
      <c r="L96" s="233" t="n"/>
    </row>
    <row r="97" ht="20.1" customFormat="1" customHeight="1" s="190">
      <c r="A97" s="256" t="inlineStr">
        <is>
          <t>购买成本/处置对价：</t>
        </is>
      </c>
      <c r="B97" s="257" t="n"/>
      <c r="C97" s="257" t="n"/>
      <c r="D97" s="257" t="n"/>
      <c r="E97" s="255" t="n"/>
      <c r="F97" s="255" t="n"/>
      <c r="G97" s="255" t="n"/>
      <c r="H97" s="255" t="n"/>
      <c r="I97" s="255" t="n"/>
      <c r="J97" s="233" t="n"/>
      <c r="K97" s="233" t="n"/>
      <c r="L97" s="233" t="n"/>
    </row>
    <row r="98" ht="20.1" customFormat="1" customHeight="1" s="190">
      <c r="A98" s="234" t="inlineStr">
        <is>
          <t>现金</t>
        </is>
      </c>
      <c r="B98" s="1149" t="n"/>
      <c r="C98" s="1149" t="n"/>
      <c r="D98" s="1149" t="n"/>
      <c r="E98" s="1150" t="n"/>
      <c r="F98" s="1150" t="n"/>
      <c r="G98" s="1150" t="n"/>
      <c r="H98" s="255" t="n"/>
      <c r="I98" s="255" t="n"/>
      <c r="J98" s="233" t="n"/>
      <c r="K98" s="233" t="n"/>
      <c r="L98" s="233" t="n"/>
    </row>
    <row r="99" ht="20.1" customFormat="1" customHeight="1" s="190">
      <c r="A99" s="234" t="inlineStr">
        <is>
          <t>非现金资产的公允价值</t>
        </is>
      </c>
      <c r="B99" s="1149" t="n"/>
      <c r="C99" s="1149" t="n"/>
      <c r="D99" s="1149" t="n"/>
      <c r="E99" s="1150" t="n"/>
      <c r="F99" s="1150" t="n"/>
      <c r="G99" s="1150" t="n"/>
      <c r="H99" s="255" t="n"/>
      <c r="I99" s="255" t="n"/>
      <c r="J99" s="233" t="n"/>
      <c r="K99" s="233" t="n"/>
      <c r="L99" s="233" t="n"/>
    </row>
    <row r="100" ht="20.1" customFormat="1" customHeight="1" s="190">
      <c r="A100" s="234" t="inlineStr">
        <is>
          <t>发行或承担的债务的账面价值</t>
        </is>
      </c>
      <c r="B100" s="1149" t="n"/>
      <c r="C100" s="1149" t="n"/>
      <c r="D100" s="1149" t="n"/>
      <c r="E100" s="1150" t="n"/>
      <c r="F100" s="1150" t="n"/>
      <c r="G100" s="1150" t="n"/>
      <c r="H100" s="255" t="n"/>
      <c r="I100" s="255" t="n"/>
      <c r="J100" s="233" t="n"/>
      <c r="K100" s="233" t="n"/>
      <c r="L100" s="233" t="n"/>
    </row>
    <row r="101" ht="20.1" customFormat="1" customHeight="1" s="190">
      <c r="A101" s="234" t="inlineStr">
        <is>
          <t>发行的权益性证券的面值</t>
        </is>
      </c>
      <c r="B101" s="1149" t="n"/>
      <c r="C101" s="1149" t="n"/>
      <c r="D101" s="1149" t="n"/>
      <c r="E101" s="1150" t="n"/>
      <c r="F101" s="1150" t="n"/>
      <c r="G101" s="1150" t="n"/>
      <c r="H101" s="255" t="n"/>
      <c r="I101" s="255" t="n"/>
      <c r="J101" s="233" t="n"/>
      <c r="K101" s="233" t="n"/>
      <c r="L101" s="233" t="n"/>
    </row>
    <row r="102" ht="20.1" customFormat="1" customHeight="1" s="190">
      <c r="A102" s="234" t="inlineStr">
        <is>
          <t>或有对价</t>
        </is>
      </c>
      <c r="B102" s="1149" t="n"/>
      <c r="C102" s="1149" t="n"/>
      <c r="D102" s="1149" t="n"/>
      <c r="E102" s="1150" t="n"/>
      <c r="F102" s="1150" t="n"/>
      <c r="G102" s="1150" t="n"/>
      <c r="H102" s="255" t="n"/>
      <c r="I102" s="255" t="n"/>
      <c r="J102" s="233" t="n"/>
      <c r="K102" s="233" t="n"/>
      <c r="L102" s="233" t="n"/>
    </row>
    <row r="103" ht="20.1" customFormat="1" customHeight="1" s="190">
      <c r="A103" s="256" t="inlineStr">
        <is>
          <t>购买成本/处置对价合计</t>
        </is>
      </c>
      <c r="B103" s="1151" t="n"/>
      <c r="C103" s="1151" t="n"/>
      <c r="D103" s="1151" t="n"/>
      <c r="E103" s="1151" t="n"/>
      <c r="F103" s="1151" t="n"/>
      <c r="G103" s="1151" t="n"/>
      <c r="H103" s="255" t="n"/>
      <c r="I103" s="255" t="n"/>
      <c r="J103" s="233" t="n"/>
      <c r="K103" s="233" t="n"/>
      <c r="L103" s="233" t="n"/>
    </row>
    <row r="104" ht="33" customFormat="1" customHeight="1" s="190">
      <c r="A104" s="234" t="inlineStr">
        <is>
          <t>减：按取得/处置的股权比例计算的子公司净资产份额</t>
        </is>
      </c>
      <c r="B104" s="1152" t="n"/>
      <c r="C104" s="1152" t="n"/>
      <c r="D104" s="1152" t="n"/>
      <c r="E104" s="1153" t="n"/>
      <c r="F104" s="1153" t="n"/>
      <c r="G104" s="1153" t="n"/>
      <c r="H104" s="255" t="n"/>
      <c r="I104" s="255" t="n"/>
      <c r="J104" s="233" t="n"/>
      <c r="K104" s="233" t="n"/>
      <c r="L104" s="233" t="n"/>
    </row>
    <row r="105" ht="20.1" customFormat="1" customHeight="1" s="190">
      <c r="A105" s="256" t="inlineStr">
        <is>
          <t>差额</t>
        </is>
      </c>
      <c r="B105" s="1154" t="n"/>
      <c r="C105" s="1154" t="n"/>
      <c r="D105" s="1154" t="n"/>
      <c r="E105" s="1154" t="n"/>
      <c r="F105" s="1154" t="n"/>
      <c r="G105" s="1154" t="n"/>
      <c r="H105" s="255" t="n"/>
      <c r="I105" s="255" t="n"/>
      <c r="J105" s="233" t="n"/>
      <c r="K105" s="233" t="n"/>
      <c r="L105" s="233" t="n"/>
    </row>
    <row r="106" ht="20.1" customFormat="1" customHeight="1" s="190">
      <c r="A106" s="234" t="inlineStr">
        <is>
          <t>其中：调整资本公积</t>
        </is>
      </c>
      <c r="B106" s="1149" t="n"/>
      <c r="C106" s="1149" t="n"/>
      <c r="D106" s="1149" t="n"/>
      <c r="E106" s="1150" t="n"/>
      <c r="F106" s="1150" t="n"/>
      <c r="G106" s="1150" t="n"/>
      <c r="H106" s="255" t="n"/>
      <c r="I106" s="255" t="n"/>
      <c r="J106" s="233" t="n"/>
      <c r="K106" s="233" t="n"/>
      <c r="L106" s="233" t="n"/>
    </row>
    <row r="107" ht="20.1" customFormat="1" customHeight="1" s="190">
      <c r="A107" s="234" t="inlineStr">
        <is>
          <t xml:space="preserve">      调整盈余公积</t>
        </is>
      </c>
      <c r="B107" s="1149" t="n"/>
      <c r="C107" s="1149" t="n"/>
      <c r="D107" s="1149" t="n"/>
      <c r="E107" s="1150" t="n"/>
      <c r="F107" s="1150" t="n"/>
      <c r="G107" s="1150" t="n"/>
      <c r="H107" s="255" t="n"/>
      <c r="I107" s="255" t="n"/>
      <c r="J107" s="233" t="n"/>
      <c r="K107" s="233" t="n"/>
      <c r="L107" s="233" t="n"/>
    </row>
    <row r="108" ht="20.1" customFormat="1" customHeight="1" s="190" thickBot="1">
      <c r="A108" s="263" t="inlineStr">
        <is>
          <t xml:space="preserve">      调整未分配利润</t>
        </is>
      </c>
      <c r="B108" s="1155">
        <f>'子公司后续计量测试表G7-10'!G21</f>
        <v/>
      </c>
      <c r="C108" s="1155">
        <f>'子公司后续计量测试表G7-10'!H21</f>
        <v/>
      </c>
      <c r="D108" s="1155">
        <f>'子公司后续计量测试表G7-10'!I21</f>
        <v/>
      </c>
      <c r="E108" s="1156">
        <f>'子公司后续计量测试表G7-10'!G34</f>
        <v/>
      </c>
      <c r="F108" s="1156">
        <f>'子公司后续计量测试表G7-10'!H34</f>
        <v/>
      </c>
      <c r="G108" s="1156">
        <f>'子公司后续计量测试表G7-10'!I34</f>
        <v/>
      </c>
      <c r="H108" s="255" t="n"/>
      <c r="I108" s="255" t="n"/>
      <c r="J108" s="233" t="n"/>
      <c r="K108" s="233" t="n"/>
      <c r="L108" s="233" t="n"/>
    </row>
    <row r="109" ht="20.1" customFormat="1" customHeight="1" s="185">
      <c r="A109" s="231" t="inlineStr">
        <is>
          <t>2、在合营安排或联营企业中的权益</t>
        </is>
      </c>
      <c r="B109" s="231" t="n"/>
      <c r="C109" s="231" t="n"/>
      <c r="D109" s="231" t="n"/>
      <c r="E109" s="231" t="n"/>
      <c r="F109" s="231" t="n"/>
      <c r="G109" s="231" t="n"/>
      <c r="H109" s="231" t="n"/>
      <c r="I109" s="231" t="n"/>
      <c r="J109" s="231" t="n"/>
      <c r="K109" s="231" t="n"/>
      <c r="L109" s="231" t="n"/>
    </row>
    <row r="110" ht="20.1" customFormat="1" customHeight="1" s="185" thickBot="1">
      <c r="A110" s="232" t="inlineStr">
        <is>
          <t>（1）重要的合营企业或联营企业</t>
        </is>
      </c>
      <c r="B110" s="233" t="n"/>
      <c r="C110" s="233" t="n"/>
      <c r="D110" s="233" t="n"/>
      <c r="E110" s="233" t="n"/>
      <c r="F110" s="233" t="n"/>
      <c r="G110" s="233" t="n"/>
      <c r="H110" s="231" t="n"/>
      <c r="I110" s="231" t="n"/>
      <c r="J110" s="231" t="n"/>
      <c r="K110" s="231" t="n"/>
      <c r="L110" s="231" t="n"/>
    </row>
    <row r="111" ht="20.4" customFormat="1" customHeight="1" s="185">
      <c r="A111" s="914" t="inlineStr">
        <is>
          <t>合营企业或联营企业名称</t>
        </is>
      </c>
      <c r="B111" s="914" t="inlineStr">
        <is>
          <t>主要经营地</t>
        </is>
      </c>
      <c r="C111" s="914" t="inlineStr">
        <is>
          <t>注册地</t>
        </is>
      </c>
      <c r="D111" s="914" t="inlineStr">
        <is>
          <t>业务性质</t>
        </is>
      </c>
      <c r="E111" s="890" t="inlineStr">
        <is>
          <t>持股比例(%)</t>
        </is>
      </c>
      <c r="F111" s="1157" t="n"/>
      <c r="G111" s="914" t="inlineStr">
        <is>
          <t>对合营企业或联营企业投资的会计处理方法</t>
        </is>
      </c>
      <c r="H111" s="231" t="n"/>
      <c r="I111" s="231" t="n"/>
      <c r="J111" s="231" t="n"/>
      <c r="K111" s="231" t="n"/>
      <c r="L111" s="231" t="n"/>
    </row>
    <row r="112" ht="24.75" customFormat="1" customHeight="1" s="185" thickBot="1">
      <c r="A112" s="1158" t="n"/>
      <c r="B112" s="1158" t="n"/>
      <c r="C112" s="1158" t="n"/>
      <c r="D112" s="1158" t="n"/>
      <c r="E112" s="891" t="inlineStr">
        <is>
          <t>直接</t>
        </is>
      </c>
      <c r="F112" s="891" t="inlineStr">
        <is>
          <t>间接</t>
        </is>
      </c>
      <c r="G112" s="1158" t="n"/>
      <c r="H112" s="231" t="n"/>
      <c r="I112" s="231" t="n"/>
      <c r="J112" s="231" t="n"/>
      <c r="K112" s="231" t="n"/>
      <c r="L112" s="231" t="n"/>
    </row>
    <row r="113" ht="20.1" customFormat="1" customHeight="1" s="185">
      <c r="A113" s="230" t="inlineStr">
        <is>
          <t>①合营企业</t>
        </is>
      </c>
      <c r="B113" s="266" t="n"/>
      <c r="C113" s="266" t="n"/>
      <c r="D113" s="266" t="n"/>
      <c r="E113" s="266" t="n"/>
      <c r="F113" s="266" t="n"/>
      <c r="G113" s="266" t="n"/>
      <c r="H113" s="231" t="n"/>
      <c r="I113" s="231" t="n"/>
      <c r="J113" s="231" t="n"/>
      <c r="K113" s="231" t="n"/>
      <c r="L113" s="231" t="n"/>
    </row>
    <row r="114" ht="20.1" customFormat="1" customHeight="1" s="185">
      <c r="A114" s="267">
        <f>'被投资单位基本信息G7-4'!B23</f>
        <v/>
      </c>
      <c r="B114" s="352">
        <f>'被投资单位基本信息G7-4'!F23</f>
        <v/>
      </c>
      <c r="C114" s="352">
        <f>'被投资单位基本信息G7-4'!G23</f>
        <v/>
      </c>
      <c r="D114" s="352">
        <f>'被投资单位基本信息G7-4'!H23</f>
        <v/>
      </c>
      <c r="E114" s="353">
        <f>'被投资单位基本信息G7-4'!M23</f>
        <v/>
      </c>
      <c r="F114" s="353">
        <f>'被投资单位基本信息G7-4'!N23</f>
        <v/>
      </c>
      <c r="G114" s="266">
        <f>'被投资单位基本信息G7-4'!T23</f>
        <v/>
      </c>
      <c r="H114" s="231" t="n"/>
      <c r="I114" s="231" t="n"/>
      <c r="J114" s="231" t="n"/>
      <c r="K114" s="231" t="n"/>
      <c r="L114" s="231" t="n"/>
    </row>
    <row r="115" ht="20.1" customFormat="1" customHeight="1" s="185">
      <c r="A115" s="267">
        <f>'被投资单位基本信息G7-4'!B24</f>
        <v/>
      </c>
      <c r="B115" s="352">
        <f>'被投资单位基本信息G7-4'!F24</f>
        <v/>
      </c>
      <c r="C115" s="352">
        <f>'被投资单位基本信息G7-4'!G24</f>
        <v/>
      </c>
      <c r="D115" s="352">
        <f>'被投资单位基本信息G7-4'!H24</f>
        <v/>
      </c>
      <c r="E115" s="353">
        <f>'被投资单位基本信息G7-4'!M24</f>
        <v/>
      </c>
      <c r="F115" s="353">
        <f>'被投资单位基本信息G7-4'!N24</f>
        <v/>
      </c>
      <c r="G115" s="266">
        <f>'被投资单位基本信息G7-4'!T24</f>
        <v/>
      </c>
      <c r="H115" s="231" t="n"/>
      <c r="I115" s="231" t="n"/>
      <c r="J115" s="231" t="n"/>
      <c r="K115" s="231" t="n"/>
      <c r="L115" s="231" t="n"/>
    </row>
    <row r="116" ht="20.1" customFormat="1" customHeight="1" s="185">
      <c r="A116" s="267">
        <f>'被投资单位基本信息G7-4'!B25</f>
        <v/>
      </c>
      <c r="B116" s="352">
        <f>'被投资单位基本信息G7-4'!F25</f>
        <v/>
      </c>
      <c r="C116" s="352">
        <f>'被投资单位基本信息G7-4'!G25</f>
        <v/>
      </c>
      <c r="D116" s="352">
        <f>'被投资单位基本信息G7-4'!H25</f>
        <v/>
      </c>
      <c r="E116" s="353">
        <f>'被投资单位基本信息G7-4'!M25</f>
        <v/>
      </c>
      <c r="F116" s="353">
        <f>'被投资单位基本信息G7-4'!N25</f>
        <v/>
      </c>
      <c r="G116" s="266">
        <f>'被投资单位基本信息G7-4'!T25</f>
        <v/>
      </c>
      <c r="H116" s="231" t="n"/>
      <c r="I116" s="231" t="n"/>
      <c r="J116" s="231" t="n"/>
      <c r="K116" s="231" t="n"/>
      <c r="L116" s="231" t="n"/>
    </row>
    <row r="117" ht="20.1" customFormat="1" customHeight="1" s="185">
      <c r="A117" s="267">
        <f>'被投资单位基本信息G7-4'!B26</f>
        <v/>
      </c>
      <c r="B117" s="352">
        <f>'被投资单位基本信息G7-4'!F26</f>
        <v/>
      </c>
      <c r="C117" s="352">
        <f>'被投资单位基本信息G7-4'!G26</f>
        <v/>
      </c>
      <c r="D117" s="352">
        <f>'被投资单位基本信息G7-4'!H26</f>
        <v/>
      </c>
      <c r="E117" s="353">
        <f>'被投资单位基本信息G7-4'!M26</f>
        <v/>
      </c>
      <c r="F117" s="353">
        <f>'被投资单位基本信息G7-4'!N26</f>
        <v/>
      </c>
      <c r="G117" s="266">
        <f>'被投资单位基本信息G7-4'!T26</f>
        <v/>
      </c>
      <c r="H117" s="231" t="n"/>
      <c r="I117" s="231" t="n"/>
      <c r="J117" s="231" t="n"/>
      <c r="K117" s="231" t="n"/>
      <c r="L117" s="231" t="n"/>
    </row>
    <row r="118" ht="20.1" customFormat="1" customHeight="1" s="185">
      <c r="A118" s="267">
        <f>'被投资单位基本信息G7-4'!B27</f>
        <v/>
      </c>
      <c r="B118" s="352">
        <f>'被投资单位基本信息G7-4'!F27</f>
        <v/>
      </c>
      <c r="C118" s="352">
        <f>'被投资单位基本信息G7-4'!G27</f>
        <v/>
      </c>
      <c r="D118" s="352">
        <f>'被投资单位基本信息G7-4'!H27</f>
        <v/>
      </c>
      <c r="E118" s="353">
        <f>'被投资单位基本信息G7-4'!M27</f>
        <v/>
      </c>
      <c r="F118" s="353">
        <f>'被投资单位基本信息G7-4'!N27</f>
        <v/>
      </c>
      <c r="G118" s="266">
        <f>'被投资单位基本信息G7-4'!T27</f>
        <v/>
      </c>
      <c r="H118" s="231" t="n"/>
      <c r="I118" s="231" t="n"/>
      <c r="J118" s="231" t="n"/>
      <c r="K118" s="231" t="n"/>
      <c r="L118" s="231" t="n"/>
    </row>
    <row r="119" ht="20.1" customFormat="1" customHeight="1" s="185">
      <c r="A119" s="267" t="inlineStr">
        <is>
          <t>②联营企业</t>
        </is>
      </c>
      <c r="B119" s="352" t="n"/>
      <c r="C119" s="352" t="n"/>
      <c r="D119" s="352" t="n"/>
      <c r="E119" s="353" t="n"/>
      <c r="F119" s="353" t="n"/>
      <c r="G119" s="266" t="n"/>
      <c r="H119" s="231" t="n"/>
      <c r="I119" s="231" t="n"/>
      <c r="J119" s="231" t="n"/>
      <c r="K119" s="231" t="n"/>
      <c r="L119" s="231" t="n"/>
    </row>
    <row r="120" ht="20.1" customFormat="1" customHeight="1" s="185">
      <c r="A120" s="267">
        <f>'被投资单位基本信息G7-4'!B29</f>
        <v/>
      </c>
      <c r="B120" s="352">
        <f>'被投资单位基本信息G7-4'!F29</f>
        <v/>
      </c>
      <c r="C120" s="352">
        <f>'被投资单位基本信息G7-4'!G29</f>
        <v/>
      </c>
      <c r="D120" s="352">
        <f>'被投资单位基本信息G7-4'!H29</f>
        <v/>
      </c>
      <c r="E120" s="353">
        <f>'被投资单位基本信息G7-4'!M29</f>
        <v/>
      </c>
      <c r="F120" s="353">
        <f>'被投资单位基本信息G7-4'!N29</f>
        <v/>
      </c>
      <c r="G120" s="266">
        <f>'被投资单位基本信息G7-4'!T29</f>
        <v/>
      </c>
      <c r="H120" s="231" t="n"/>
      <c r="I120" s="231" t="n"/>
      <c r="J120" s="231" t="n"/>
      <c r="K120" s="231" t="n"/>
      <c r="L120" s="231" t="n"/>
    </row>
    <row r="121" ht="20.1" customFormat="1" customHeight="1" s="185">
      <c r="A121" s="267">
        <f>'被投资单位基本信息G7-4'!B30</f>
        <v/>
      </c>
      <c r="B121" s="352">
        <f>'被投资单位基本信息G7-4'!F30</f>
        <v/>
      </c>
      <c r="C121" s="352">
        <f>'被投资单位基本信息G7-4'!G30</f>
        <v/>
      </c>
      <c r="D121" s="352">
        <f>'被投资单位基本信息G7-4'!H30</f>
        <v/>
      </c>
      <c r="E121" s="353">
        <f>'被投资单位基本信息G7-4'!M30</f>
        <v/>
      </c>
      <c r="F121" s="353">
        <f>'被投资单位基本信息G7-4'!N30</f>
        <v/>
      </c>
      <c r="G121" s="266">
        <f>'被投资单位基本信息G7-4'!T30</f>
        <v/>
      </c>
      <c r="H121" s="231" t="n"/>
      <c r="I121" s="231" t="n"/>
      <c r="J121" s="231" t="n"/>
      <c r="K121" s="231" t="n"/>
      <c r="L121" s="231" t="n"/>
    </row>
    <row r="122" ht="20.1" customFormat="1" customHeight="1" s="185">
      <c r="A122" s="267">
        <f>'被投资单位基本信息G7-4'!B31</f>
        <v/>
      </c>
      <c r="B122" s="352">
        <f>'被投资单位基本信息G7-4'!F31</f>
        <v/>
      </c>
      <c r="C122" s="352">
        <f>'被投资单位基本信息G7-4'!G31</f>
        <v/>
      </c>
      <c r="D122" s="352">
        <f>'被投资单位基本信息G7-4'!H31</f>
        <v/>
      </c>
      <c r="E122" s="353">
        <f>'被投资单位基本信息G7-4'!M31</f>
        <v/>
      </c>
      <c r="F122" s="353">
        <f>'被投资单位基本信息G7-4'!N31</f>
        <v/>
      </c>
      <c r="G122" s="266">
        <f>'被投资单位基本信息G7-4'!T31</f>
        <v/>
      </c>
      <c r="H122" s="231" t="n"/>
      <c r="I122" s="231" t="n"/>
      <c r="J122" s="231" t="n"/>
      <c r="K122" s="231" t="n"/>
      <c r="L122" s="231" t="n"/>
    </row>
    <row r="123" ht="20.1" customFormat="1" customHeight="1" s="185">
      <c r="A123" s="267">
        <f>'被投资单位基本信息G7-4'!B32</f>
        <v/>
      </c>
      <c r="B123" s="352">
        <f>'被投资单位基本信息G7-4'!F32</f>
        <v/>
      </c>
      <c r="C123" s="352">
        <f>'被投资单位基本信息G7-4'!G32</f>
        <v/>
      </c>
      <c r="D123" s="352">
        <f>'被投资单位基本信息G7-4'!H32</f>
        <v/>
      </c>
      <c r="E123" s="353">
        <f>'被投资单位基本信息G7-4'!M32</f>
        <v/>
      </c>
      <c r="F123" s="353">
        <f>'被投资单位基本信息G7-4'!N32</f>
        <v/>
      </c>
      <c r="G123" s="266">
        <f>'被投资单位基本信息G7-4'!T32</f>
        <v/>
      </c>
      <c r="H123" s="231" t="n"/>
      <c r="I123" s="231" t="n"/>
      <c r="J123" s="231" t="n"/>
      <c r="K123" s="231" t="n"/>
      <c r="L123" s="231" t="n"/>
    </row>
    <row r="124" ht="20.1" customFormat="1" customHeight="1" s="185" thickBot="1">
      <c r="A124" s="243">
        <f>'被投资单位基本信息G7-4'!B33</f>
        <v/>
      </c>
      <c r="B124" s="279">
        <f>'被投资单位基本信息G7-4'!F33</f>
        <v/>
      </c>
      <c r="C124" s="279">
        <f>'被投资单位基本信息G7-4'!G33</f>
        <v/>
      </c>
      <c r="D124" s="279">
        <f>'被投资单位基本信息G7-4'!H33</f>
        <v/>
      </c>
      <c r="E124" s="354">
        <f>'被投资单位基本信息G7-4'!M33</f>
        <v/>
      </c>
      <c r="F124" s="354">
        <f>'被投资单位基本信息G7-4'!N33</f>
        <v/>
      </c>
      <c r="G124" s="268">
        <f>'被投资单位基本信息G7-4'!T33</f>
        <v/>
      </c>
      <c r="H124" s="231" t="n"/>
      <c r="I124" s="231" t="n"/>
      <c r="J124" s="231" t="n"/>
      <c r="K124" s="231" t="n"/>
      <c r="L124" s="231" t="n"/>
    </row>
    <row r="125" ht="20.1" customFormat="1" customHeight="1" s="185">
      <c r="A125" s="232" t="inlineStr">
        <is>
          <t>说明：</t>
        </is>
      </c>
      <c r="B125" s="233" t="n"/>
      <c r="C125" s="233" t="n"/>
      <c r="D125" s="233" t="n"/>
      <c r="E125" s="233" t="n"/>
      <c r="F125" s="233" t="n"/>
      <c r="G125" s="233" t="n"/>
      <c r="H125" s="231" t="n"/>
      <c r="I125" s="231" t="n"/>
      <c r="J125" s="231" t="n"/>
      <c r="K125" s="231" t="n"/>
      <c r="L125" s="231" t="n"/>
    </row>
    <row r="126" ht="20.1" customFormat="1" customHeight="1" s="185">
      <c r="A126" s="892" t="inlineStr">
        <is>
          <t>（1）持股比例不同于表决权比例的，应说明表决权比例及差异原因。</t>
        </is>
      </c>
      <c r="H126" s="231" t="n"/>
      <c r="I126" s="231" t="n"/>
      <c r="J126" s="231" t="n"/>
      <c r="K126" s="231" t="n"/>
      <c r="L126" s="231" t="n"/>
    </row>
    <row r="127" ht="20.1" customFormat="1" customHeight="1" s="185">
      <c r="A127" s="893" t="inlineStr">
        <is>
          <t>（2）持有其他主体20%以下表决权但具有重大影响，或者持有其他主体20%或以上表决权但不具有重大影响的，应披露相关判断和依据。</t>
        </is>
      </c>
      <c r="H127" s="231" t="n"/>
      <c r="I127" s="231" t="n"/>
      <c r="J127" s="231" t="n"/>
      <c r="K127" s="231" t="n"/>
      <c r="L127" s="231" t="n"/>
    </row>
    <row r="128" ht="20.1" customFormat="1" customHeight="1" s="185">
      <c r="A128" s="894" t="inlineStr">
        <is>
          <t>（2）重要合营企业的主要财务信息：（划分为持有待售的除外）</t>
        </is>
      </c>
      <c r="H128" s="231" t="n"/>
      <c r="I128" s="231" t="n"/>
      <c r="J128" s="231" t="n"/>
      <c r="K128" s="231" t="n"/>
      <c r="L128" s="231" t="n"/>
    </row>
    <row r="129" ht="20.1" customFormat="1" customHeight="1" s="185">
      <c r="A129" s="892" t="inlineStr">
        <is>
          <t>（主要财务信息按照权益法调整后的金额披露；）</t>
        </is>
      </c>
      <c r="H129" s="231" t="n"/>
      <c r="I129" s="231" t="n"/>
      <c r="J129" s="231" t="n"/>
      <c r="K129" s="231" t="n"/>
      <c r="L129" s="231" t="n"/>
    </row>
    <row r="130" ht="20.1" customFormat="1" customHeight="1" s="185">
      <c r="A130" s="892" t="inlineStr">
        <is>
          <t>（“调整事项”包括投资形成的正商誉、抵消的未实现内部交易损益、减值准备等事项；）</t>
        </is>
      </c>
      <c r="H130" s="231" t="n"/>
      <c r="I130" s="231" t="n"/>
      <c r="J130" s="231" t="n"/>
      <c r="K130" s="231" t="n"/>
      <c r="L130" s="231" t="n"/>
    </row>
    <row r="131" ht="20.1" customFormat="1" customHeight="1" s="185" thickBot="1">
      <c r="A131" s="900" t="inlineStr">
        <is>
          <t>（如果母公司为投资性主体，无需披露下列财务信息。）</t>
        </is>
      </c>
      <c r="B131" s="1158" t="n"/>
      <c r="C131" s="1158" t="n"/>
      <c r="D131" s="1158" t="n"/>
      <c r="E131" s="1158" t="n"/>
      <c r="F131" s="1158" t="n"/>
      <c r="G131" s="1158" t="n"/>
      <c r="H131" s="231" t="n"/>
      <c r="I131" s="231" t="n"/>
      <c r="J131" s="231" t="n"/>
      <c r="K131" s="231" t="n"/>
      <c r="L131" s="231" t="n"/>
    </row>
    <row r="132" ht="20.1" customFormat="1" customHeight="1" s="185">
      <c r="A132" s="914" t="inlineStr">
        <is>
          <t>项 目</t>
        </is>
      </c>
      <c r="B132" s="901">
        <f>'被投资单位财务信息（合营、联营）G7-5'!C8</f>
        <v/>
      </c>
      <c r="C132" s="1157" t="n"/>
      <c r="D132" s="901" t="n"/>
      <c r="E132" s="1157" t="n"/>
      <c r="F132" s="901" t="n"/>
      <c r="G132" s="1157" t="n"/>
      <c r="H132" s="231" t="n"/>
      <c r="I132" s="231" t="n"/>
      <c r="J132" s="231" t="n"/>
      <c r="K132" s="231" t="n"/>
      <c r="L132" s="231" t="n"/>
    </row>
    <row r="133" ht="20.1" customFormat="1" customHeight="1" s="185" thickBot="1">
      <c r="A133" s="1158" t="n"/>
      <c r="B133" s="891" t="inlineStr">
        <is>
          <t>期末数</t>
        </is>
      </c>
      <c r="C133" s="891" t="inlineStr">
        <is>
          <t>期初数</t>
        </is>
      </c>
      <c r="D133" s="891" t="n"/>
      <c r="E133" s="891" t="n"/>
      <c r="F133" s="891" t="n"/>
      <c r="G133" s="891" t="n"/>
      <c r="H133" s="231" t="n"/>
      <c r="I133" s="231" t="n"/>
      <c r="J133" s="231" t="n"/>
      <c r="K133" s="231" t="n"/>
      <c r="L133" s="231" t="n"/>
    </row>
    <row r="134" ht="20.1" customFormat="1" customHeight="1" s="185">
      <c r="A134" s="230" t="inlineStr">
        <is>
          <t>流动资产</t>
        </is>
      </c>
      <c r="B134" s="1159">
        <f>'被投资单位财务信息（合营、联营）G7-5'!C10</f>
        <v/>
      </c>
      <c r="C134" s="1159">
        <f>'被投资单位财务信息（合营、联营）G7-5'!D10</f>
        <v/>
      </c>
      <c r="D134" s="1159" t="n"/>
      <c r="E134" s="1159" t="n"/>
      <c r="F134" s="1159" t="n"/>
      <c r="G134" s="1159" t="n"/>
      <c r="H134" s="231" t="n"/>
      <c r="I134" s="231" t="n"/>
      <c r="J134" s="231" t="n"/>
      <c r="K134" s="231" t="n"/>
      <c r="L134" s="231" t="n"/>
    </row>
    <row r="135" ht="20.1" customFormat="1" customHeight="1" s="185">
      <c r="A135" s="230" t="inlineStr">
        <is>
          <t>其中：现金和现金等价物</t>
        </is>
      </c>
      <c r="B135" s="1159">
        <f>'被投资单位财务信息（合营、联营）G7-5'!C11</f>
        <v/>
      </c>
      <c r="C135" s="1159">
        <f>'被投资单位财务信息（合营、联营）G7-5'!D11</f>
        <v/>
      </c>
      <c r="D135" s="1159" t="n"/>
      <c r="E135" s="1159" t="n"/>
      <c r="F135" s="1159" t="n"/>
      <c r="G135" s="1159" t="n"/>
      <c r="H135" s="231" t="n"/>
      <c r="I135" s="231" t="n"/>
      <c r="J135" s="231" t="n"/>
      <c r="K135" s="231" t="n"/>
      <c r="L135" s="231" t="n"/>
    </row>
    <row r="136" ht="20.1" customFormat="1" customHeight="1" s="185">
      <c r="A136" s="230" t="inlineStr">
        <is>
          <t>非流动资产</t>
        </is>
      </c>
      <c r="B136" s="1159">
        <f>'被投资单位财务信息（合营、联营）G7-5'!C12</f>
        <v/>
      </c>
      <c r="C136" s="1159">
        <f>'被投资单位财务信息（合营、联营）G7-5'!D12</f>
        <v/>
      </c>
      <c r="D136" s="1159" t="n"/>
      <c r="E136" s="1159" t="n"/>
      <c r="F136" s="1159" t="n"/>
      <c r="G136" s="1159" t="n"/>
      <c r="H136" s="231" t="n"/>
      <c r="I136" s="231" t="n"/>
      <c r="J136" s="231" t="n"/>
      <c r="K136" s="231" t="n"/>
      <c r="L136" s="231" t="n"/>
    </row>
    <row r="137" ht="20.1" customFormat="1" customHeight="1" s="185">
      <c r="A137" s="269" t="inlineStr">
        <is>
          <t>资产合计</t>
        </is>
      </c>
      <c r="B137" s="1160">
        <f>B134+B136</f>
        <v/>
      </c>
      <c r="C137" s="1160">
        <f>C134+C136</f>
        <v/>
      </c>
      <c r="D137" s="1160" t="n"/>
      <c r="E137" s="1160" t="n"/>
      <c r="F137" s="1160" t="n"/>
      <c r="G137" s="1160" t="n"/>
      <c r="H137" s="231" t="n"/>
      <c r="I137" s="231" t="n"/>
      <c r="J137" s="231" t="n"/>
      <c r="K137" s="231" t="n"/>
      <c r="L137" s="231" t="n"/>
    </row>
    <row r="138" ht="20.1" customFormat="1" customHeight="1" s="185">
      <c r="A138" s="230" t="inlineStr">
        <is>
          <t>流动负债</t>
        </is>
      </c>
      <c r="B138" s="1159">
        <f>'被投资单位财务信息（合营、联营）G7-5'!C14</f>
        <v/>
      </c>
      <c r="C138" s="1159">
        <f>'被投资单位财务信息（合营、联营）G7-5'!D14</f>
        <v/>
      </c>
      <c r="D138" s="1159" t="n"/>
      <c r="E138" s="1159" t="n"/>
      <c r="F138" s="1159" t="n"/>
      <c r="G138" s="1159" t="n"/>
      <c r="H138" s="231" t="n"/>
      <c r="I138" s="231" t="n"/>
      <c r="J138" s="231" t="n"/>
      <c r="K138" s="231" t="n"/>
      <c r="L138" s="231" t="n"/>
    </row>
    <row r="139" ht="20.1" customFormat="1" customHeight="1" s="185">
      <c r="A139" s="230" t="inlineStr">
        <is>
          <t>非流动负债</t>
        </is>
      </c>
      <c r="B139" s="1159">
        <f>'被投资单位财务信息（合营、联营）G7-5'!C15</f>
        <v/>
      </c>
      <c r="C139" s="1159">
        <f>'被投资单位财务信息（合营、联营）G7-5'!D15</f>
        <v/>
      </c>
      <c r="D139" s="1159" t="n"/>
      <c r="E139" s="1159" t="n"/>
      <c r="F139" s="1159" t="n"/>
      <c r="G139" s="1159" t="n"/>
      <c r="H139" s="231" t="n"/>
      <c r="I139" s="231" t="n"/>
      <c r="J139" s="231" t="n"/>
      <c r="K139" s="231" t="n"/>
      <c r="L139" s="231" t="n"/>
    </row>
    <row r="140" ht="20.1" customFormat="1" customHeight="1" s="185">
      <c r="A140" s="269" t="inlineStr">
        <is>
          <t>负债合计</t>
        </is>
      </c>
      <c r="B140" s="1160">
        <f>B138+B139</f>
        <v/>
      </c>
      <c r="C140" s="1160">
        <f>C138+C139</f>
        <v/>
      </c>
      <c r="D140" s="1160" t="n"/>
      <c r="E140" s="1160" t="n"/>
      <c r="F140" s="1160" t="n"/>
      <c r="G140" s="1160" t="n"/>
      <c r="H140" s="231" t="n"/>
      <c r="I140" s="231" t="n"/>
      <c r="J140" s="231" t="n"/>
      <c r="K140" s="231" t="n"/>
      <c r="L140" s="231" t="n"/>
    </row>
    <row r="141" ht="20.1" customFormat="1" customHeight="1" s="185">
      <c r="A141" s="230" t="inlineStr">
        <is>
          <t>净资产</t>
        </is>
      </c>
      <c r="B141" s="1159">
        <f>'被投资单位财务信息（合营、联营）G7-5'!C17</f>
        <v/>
      </c>
      <c r="C141" s="1159">
        <f>'被投资单位财务信息（合营、联营）G7-5'!D17</f>
        <v/>
      </c>
      <c r="D141" s="1159" t="n"/>
      <c r="E141" s="1159" t="n"/>
      <c r="F141" s="1159" t="n"/>
      <c r="G141" s="1159" t="n"/>
      <c r="H141" s="231" t="n"/>
      <c r="I141" s="231" t="n"/>
      <c r="J141" s="231" t="n"/>
      <c r="K141" s="231" t="n"/>
      <c r="L141" s="231" t="n"/>
    </row>
    <row r="142" ht="20.1" customFormat="1" customHeight="1" s="185">
      <c r="A142" s="230" t="inlineStr">
        <is>
          <t xml:space="preserve">  其中：少数股东权益</t>
        </is>
      </c>
      <c r="B142" s="1159">
        <f>'被投资单位财务信息（合营、联营）G7-5'!C18</f>
        <v/>
      </c>
      <c r="C142" s="1159">
        <f>'被投资单位财务信息（合营、联营）G7-5'!D18</f>
        <v/>
      </c>
      <c r="D142" s="1159" t="n"/>
      <c r="E142" s="1159" t="n"/>
      <c r="F142" s="1159" t="n"/>
      <c r="G142" s="1159" t="n"/>
      <c r="H142" s="231" t="n"/>
      <c r="I142" s="231" t="n"/>
      <c r="J142" s="231" t="n"/>
      <c r="K142" s="231" t="n"/>
      <c r="L142" s="231" t="n"/>
    </row>
    <row r="143" ht="20.1" customFormat="1" customHeight="1" s="185">
      <c r="A143" s="230" t="inlineStr">
        <is>
          <t>归属于母公司的所有者权益</t>
        </is>
      </c>
      <c r="B143" s="1159">
        <f>'被投资单位财务信息（合营、联营）G7-5'!C19</f>
        <v/>
      </c>
      <c r="C143" s="1159">
        <f>'被投资单位财务信息（合营、联营）G7-5'!D19</f>
        <v/>
      </c>
      <c r="D143" s="1159" t="n"/>
      <c r="E143" s="1159" t="n"/>
      <c r="F143" s="1159" t="n"/>
      <c r="G143" s="1159" t="n"/>
      <c r="H143" s="231" t="n"/>
      <c r="I143" s="231" t="n"/>
      <c r="J143" s="231" t="n"/>
      <c r="K143" s="231" t="n"/>
      <c r="L143" s="231" t="n"/>
    </row>
    <row r="144" ht="20.1" customFormat="1" customHeight="1" s="185">
      <c r="A144" s="230" t="inlineStr">
        <is>
          <t>按持股比例计算的净资产份额</t>
        </is>
      </c>
      <c r="B144" s="1159">
        <f>'被投资单位财务信息（合营、联营）G7-5'!C21</f>
        <v/>
      </c>
      <c r="C144" s="1159">
        <f>'被投资单位财务信息（合营、联营）G7-5'!D21</f>
        <v/>
      </c>
      <c r="D144" s="1159" t="n"/>
      <c r="E144" s="1159" t="n"/>
      <c r="F144" s="1159" t="n"/>
      <c r="G144" s="1159" t="n"/>
      <c r="H144" s="231" t="n"/>
      <c r="I144" s="231" t="n"/>
      <c r="J144" s="231" t="n"/>
      <c r="K144" s="231" t="n"/>
      <c r="L144" s="231" t="n"/>
    </row>
    <row r="145" ht="20.1" customFormat="1" customHeight="1" s="185">
      <c r="A145" s="230" t="inlineStr">
        <is>
          <t>调整事项</t>
        </is>
      </c>
      <c r="B145" s="1159">
        <f>'被投资单位财务信息（合营、联营）G7-5'!C22</f>
        <v/>
      </c>
      <c r="C145" s="1159">
        <f>'被投资单位财务信息（合营、联营）G7-5'!D22</f>
        <v/>
      </c>
      <c r="D145" s="1159" t="n"/>
      <c r="E145" s="1159" t="n"/>
      <c r="F145" s="1159" t="n"/>
      <c r="G145" s="1159" t="n"/>
      <c r="H145" s="231" t="n"/>
      <c r="I145" s="231" t="n"/>
      <c r="J145" s="231" t="n"/>
      <c r="K145" s="231" t="n"/>
      <c r="L145" s="231" t="n"/>
    </row>
    <row r="146" ht="20.1" customFormat="1" customHeight="1" s="185">
      <c r="A146" s="230" t="inlineStr">
        <is>
          <t xml:space="preserve">  其中：商誉</t>
        </is>
      </c>
      <c r="B146" s="1159">
        <f>'被投资单位财务信息（合营、联营）G7-5'!C23</f>
        <v/>
      </c>
      <c r="C146" s="1159">
        <f>'被投资单位财务信息（合营、联营）G7-5'!D23</f>
        <v/>
      </c>
      <c r="D146" s="1159" t="n"/>
      <c r="E146" s="1159" t="n"/>
      <c r="F146" s="1159" t="n"/>
      <c r="G146" s="1159" t="n"/>
      <c r="H146" s="231" t="n"/>
      <c r="I146" s="231" t="n"/>
      <c r="J146" s="231" t="n"/>
      <c r="K146" s="231" t="n"/>
      <c r="L146" s="231" t="n"/>
    </row>
    <row r="147" ht="20.1" customFormat="1" customHeight="1" s="185">
      <c r="A147" s="230" t="inlineStr">
        <is>
          <t xml:space="preserve">   未实现内部交易损益</t>
        </is>
      </c>
      <c r="B147" s="1161">
        <f>'被投资单位财务信息（合营、联营）G7-5'!C24</f>
        <v/>
      </c>
      <c r="C147" s="1161">
        <f>'被投资单位财务信息（合营、联营）G7-5'!D24</f>
        <v/>
      </c>
      <c r="D147" s="1161" t="n"/>
      <c r="E147" s="1161" t="n"/>
      <c r="F147" s="1161" t="n"/>
      <c r="G147" s="1161" t="n"/>
      <c r="H147" s="231" t="n"/>
      <c r="I147" s="231" t="n"/>
      <c r="J147" s="231" t="n"/>
      <c r="K147" s="231" t="n"/>
      <c r="L147" s="231" t="n"/>
    </row>
    <row r="148" ht="20.1" customFormat="1" customHeight="1" s="185">
      <c r="A148" s="230" t="inlineStr">
        <is>
          <t xml:space="preserve">   减值准备</t>
        </is>
      </c>
      <c r="B148" s="1161">
        <f>'被投资单位财务信息（合营、联营）G7-5'!C25</f>
        <v/>
      </c>
      <c r="C148" s="1161">
        <f>'被投资单位财务信息（合营、联营）G7-5'!D25</f>
        <v/>
      </c>
      <c r="D148" s="1161" t="n"/>
      <c r="E148" s="1161" t="n"/>
      <c r="F148" s="1161" t="n"/>
      <c r="G148" s="1161" t="n"/>
      <c r="H148" s="231" t="n"/>
      <c r="I148" s="231" t="n"/>
      <c r="J148" s="231" t="n"/>
      <c r="K148" s="231" t="n"/>
      <c r="L148" s="231" t="n"/>
    </row>
    <row r="149" ht="20.1" customFormat="1" customHeight="1" s="185">
      <c r="A149" s="230" t="inlineStr">
        <is>
          <t xml:space="preserve">   其他</t>
        </is>
      </c>
      <c r="B149" s="1161">
        <f>'被投资单位财务信息（合营、联营）G7-5'!C26</f>
        <v/>
      </c>
      <c r="C149" s="1161">
        <f>'被投资单位财务信息（合营、联营）G7-5'!D26</f>
        <v/>
      </c>
      <c r="D149" s="1161" t="n"/>
      <c r="E149" s="1161" t="n"/>
      <c r="F149" s="1161" t="n"/>
      <c r="G149" s="1161" t="n"/>
      <c r="H149" s="231" t="n"/>
      <c r="I149" s="231" t="n"/>
      <c r="J149" s="231" t="n"/>
      <c r="K149" s="231" t="n"/>
      <c r="L149" s="231" t="n"/>
    </row>
    <row r="150" ht="20.1" customFormat="1" customHeight="1" s="185">
      <c r="A150" s="269" t="inlineStr">
        <is>
          <t xml:space="preserve">对合营企业权益投资的账面价值 </t>
        </is>
      </c>
      <c r="B150" s="1159">
        <f>'被投资单位财务信息（合营、联营）G7-5'!C27</f>
        <v/>
      </c>
      <c r="C150" s="1159">
        <f>'被投资单位财务信息（合营、联营）G7-5'!D27</f>
        <v/>
      </c>
      <c r="D150" s="1159" t="n"/>
      <c r="E150" s="1159" t="n"/>
      <c r="F150" s="1159" t="n"/>
      <c r="G150" s="1159" t="n"/>
      <c r="H150" s="231" t="n"/>
      <c r="I150" s="231" t="n"/>
      <c r="J150" s="231" t="n"/>
      <c r="K150" s="231" t="n"/>
      <c r="L150" s="231" t="n"/>
    </row>
    <row r="151" ht="20.1" customFormat="1" customHeight="1" s="185" thickBot="1">
      <c r="A151" s="243" t="inlineStr">
        <is>
          <t xml:space="preserve">存在公开报价的权益投资的公允价值 </t>
        </is>
      </c>
      <c r="B151" s="1162">
        <f>'被投资单位财务信息（合营、联营）G7-5'!C28</f>
        <v/>
      </c>
      <c r="C151" s="1162">
        <f>'被投资单位财务信息（合营、联营）G7-5'!D28</f>
        <v/>
      </c>
      <c r="D151" s="1162" t="n"/>
      <c r="E151" s="1162" t="n"/>
      <c r="F151" s="1162" t="n"/>
      <c r="G151" s="1162" t="n"/>
      <c r="H151" s="231" t="n"/>
      <c r="I151" s="231" t="n"/>
      <c r="J151" s="231" t="n"/>
      <c r="K151" s="231" t="n"/>
      <c r="L151" s="231" t="n"/>
    </row>
    <row r="152" ht="20.1" customFormat="1" customHeight="1" s="185" thickBot="1">
      <c r="A152" s="232" t="inlineStr">
        <is>
          <t>续：</t>
        </is>
      </c>
      <c r="B152" s="233" t="n"/>
      <c r="C152" s="233" t="n"/>
      <c r="D152" s="233" t="n"/>
      <c r="E152" s="233" t="n"/>
      <c r="F152" s="233" t="n"/>
      <c r="G152" s="233" t="n"/>
      <c r="H152" s="231" t="n"/>
      <c r="I152" s="231" t="n"/>
      <c r="J152" s="231" t="n"/>
      <c r="K152" s="231" t="n"/>
      <c r="L152" s="231" t="n"/>
    </row>
    <row r="153" ht="20.1" customFormat="1" customHeight="1" s="185">
      <c r="A153" s="914" t="inlineStr">
        <is>
          <t>项  目</t>
        </is>
      </c>
      <c r="B153" s="901">
        <f>'被投资单位财务信息（合营、联营）G7-5'!C8</f>
        <v/>
      </c>
      <c r="C153" s="1157" t="n"/>
      <c r="D153" s="901" t="n"/>
      <c r="E153" s="1157" t="n"/>
      <c r="F153" s="901" t="n"/>
      <c r="G153" s="1157" t="n"/>
      <c r="H153" s="231" t="n"/>
      <c r="I153" s="231" t="n"/>
      <c r="J153" s="231" t="n"/>
      <c r="K153" s="231" t="n"/>
      <c r="L153" s="231" t="n"/>
    </row>
    <row r="154" ht="20.1" customFormat="1" customHeight="1" s="185" thickBot="1">
      <c r="A154" s="1158" t="n"/>
      <c r="B154" s="891" t="inlineStr">
        <is>
          <t>本期发生额</t>
        </is>
      </c>
      <c r="C154" s="891" t="inlineStr">
        <is>
          <t>上期发生额</t>
        </is>
      </c>
      <c r="D154" s="891" t="n"/>
      <c r="E154" s="891" t="n"/>
      <c r="F154" s="891" t="n"/>
      <c r="G154" s="891" t="n"/>
      <c r="H154" s="231" t="n"/>
      <c r="I154" s="231" t="n"/>
      <c r="J154" s="231" t="n"/>
      <c r="K154" s="231" t="n"/>
      <c r="L154" s="231" t="n"/>
    </row>
    <row r="155" ht="20.1" customFormat="1" customHeight="1" s="185">
      <c r="A155" s="230" t="inlineStr">
        <is>
          <t>营业收入</t>
        </is>
      </c>
      <c r="B155" s="1159">
        <f>'被投资单位财务信息（合营、联营）G7-5'!C29</f>
        <v/>
      </c>
      <c r="C155" s="1159">
        <f>'被投资单位财务信息（合营、联营）G7-5'!D29</f>
        <v/>
      </c>
      <c r="D155" s="1159" t="n"/>
      <c r="E155" s="1159" t="n"/>
      <c r="F155" s="1159" t="n"/>
      <c r="G155" s="1159" t="n"/>
      <c r="H155" s="231" t="n"/>
      <c r="I155" s="231" t="n"/>
      <c r="J155" s="231" t="n"/>
      <c r="K155" s="231" t="n"/>
      <c r="L155" s="231" t="n"/>
    </row>
    <row r="156" ht="20.1" customFormat="1" customHeight="1" s="185">
      <c r="A156" s="230" t="inlineStr">
        <is>
          <t>财务费用</t>
        </is>
      </c>
      <c r="B156" s="1159">
        <f>'被投资单位财务信息（合营、联营）G7-5'!C30</f>
        <v/>
      </c>
      <c r="C156" s="1159">
        <f>'被投资单位财务信息（合营、联营）G7-5'!D30</f>
        <v/>
      </c>
      <c r="D156" s="1159" t="n"/>
      <c r="E156" s="1159" t="n"/>
      <c r="F156" s="1159" t="n"/>
      <c r="G156" s="1159" t="n"/>
      <c r="H156" s="231" t="n"/>
      <c r="I156" s="231" t="n"/>
      <c r="J156" s="231" t="n"/>
      <c r="K156" s="231" t="n"/>
      <c r="L156" s="231" t="n"/>
    </row>
    <row r="157" ht="20.1" customFormat="1" customHeight="1" s="185">
      <c r="A157" s="230" t="inlineStr">
        <is>
          <t>所得税费用</t>
        </is>
      </c>
      <c r="B157" s="1159">
        <f>'被投资单位财务信息（合营、联营）G7-5'!C31</f>
        <v/>
      </c>
      <c r="C157" s="1159">
        <f>'被投资单位财务信息（合营、联营）G7-5'!D31</f>
        <v/>
      </c>
      <c r="D157" s="1159" t="n"/>
      <c r="E157" s="1159" t="n"/>
      <c r="F157" s="1159" t="n"/>
      <c r="G157" s="1159" t="n"/>
      <c r="H157" s="231" t="n"/>
      <c r="I157" s="231" t="n"/>
      <c r="J157" s="231" t="n"/>
      <c r="K157" s="231" t="n"/>
      <c r="L157" s="231" t="n"/>
    </row>
    <row r="158" ht="20.1" customFormat="1" customHeight="1" s="185">
      <c r="A158" s="230" t="inlineStr">
        <is>
          <t>净利润</t>
        </is>
      </c>
      <c r="B158" s="1159">
        <f>'被投资单位财务信息（合营、联营）G7-5'!C32</f>
        <v/>
      </c>
      <c r="C158" s="1159">
        <f>'被投资单位财务信息（合营、联营）G7-5'!D32</f>
        <v/>
      </c>
      <c r="D158" s="1159" t="n"/>
      <c r="E158" s="1159" t="n"/>
      <c r="F158" s="1159" t="n"/>
      <c r="G158" s="1159" t="n"/>
      <c r="H158" s="231" t="n"/>
      <c r="I158" s="231" t="n"/>
      <c r="J158" s="231" t="n"/>
      <c r="K158" s="231" t="n"/>
      <c r="L158" s="231" t="n"/>
    </row>
    <row r="159" ht="20.1" customFormat="1" customHeight="1" s="185">
      <c r="A159" s="230" t="inlineStr">
        <is>
          <t>终止经营的净利润</t>
        </is>
      </c>
      <c r="B159" s="1161">
        <f>'被投资单位财务信息（合营、联营）G7-5'!C33</f>
        <v/>
      </c>
      <c r="C159" s="1161">
        <f>'被投资单位财务信息（合营、联营）G7-5'!D33</f>
        <v/>
      </c>
      <c r="D159" s="1161" t="n"/>
      <c r="E159" s="1161" t="n"/>
      <c r="F159" s="1161" t="n"/>
      <c r="G159" s="1161" t="n"/>
      <c r="H159" s="231" t="n"/>
      <c r="I159" s="231" t="n"/>
      <c r="J159" s="231" t="n"/>
      <c r="K159" s="231" t="n"/>
      <c r="L159" s="231" t="n"/>
    </row>
    <row r="160" ht="20.1" customFormat="1" customHeight="1" s="185">
      <c r="A160" s="230" t="inlineStr">
        <is>
          <t>其他综合收益</t>
        </is>
      </c>
      <c r="B160" s="1161">
        <f>'被投资单位财务信息（合营、联营）G7-5'!C34</f>
        <v/>
      </c>
      <c r="C160" s="1161">
        <f>'被投资单位财务信息（合营、联营）G7-5'!D34</f>
        <v/>
      </c>
      <c r="D160" s="1161" t="n"/>
      <c r="E160" s="1161" t="n"/>
      <c r="F160" s="1161" t="n"/>
      <c r="G160" s="1161" t="n"/>
      <c r="H160" s="231" t="n"/>
      <c r="I160" s="231" t="n"/>
      <c r="J160" s="231" t="n"/>
      <c r="K160" s="231" t="n"/>
      <c r="L160" s="231" t="n"/>
    </row>
    <row r="161" ht="20.1" customFormat="1" customHeight="1" s="185">
      <c r="A161" s="230" t="inlineStr">
        <is>
          <t>综合收益总额</t>
        </is>
      </c>
      <c r="B161" s="1159">
        <f>'被投资单位财务信息（合营、联营）G7-5'!C35</f>
        <v/>
      </c>
      <c r="C161" s="1159">
        <f>'被投资单位财务信息（合营、联营）G7-5'!D35</f>
        <v/>
      </c>
      <c r="D161" s="1159" t="n"/>
      <c r="E161" s="1159" t="n"/>
      <c r="F161" s="1159" t="n"/>
      <c r="G161" s="1159" t="n"/>
      <c r="H161" s="231" t="n"/>
      <c r="I161" s="231" t="n"/>
      <c r="J161" s="231" t="n"/>
      <c r="K161" s="231" t="n"/>
      <c r="L161" s="231" t="n"/>
    </row>
    <row r="162" ht="20.1" customFormat="1" customHeight="1" s="185" thickBot="1">
      <c r="A162" s="230" t="inlineStr">
        <is>
          <t>企业本期收到的来自合营企业的股利</t>
        </is>
      </c>
      <c r="B162" s="1159">
        <f>'被投资单位财务信息（合营、联营）G7-5'!C36</f>
        <v/>
      </c>
      <c r="C162" s="1159">
        <f>'被投资单位财务信息（合营、联营）G7-5'!D36</f>
        <v/>
      </c>
      <c r="D162" s="1159" t="n"/>
      <c r="E162" s="1159" t="n"/>
      <c r="F162" s="1159" t="n"/>
      <c r="G162" s="1159" t="n"/>
      <c r="H162" s="231" t="n"/>
      <c r="I162" s="231" t="n"/>
      <c r="J162" s="231" t="n"/>
      <c r="K162" s="231" t="n"/>
      <c r="L162" s="231" t="n"/>
    </row>
    <row r="163" ht="20.1" customFormat="1" customHeight="1" s="185">
      <c r="A163" s="902" t="inlineStr">
        <is>
          <t>（注：存在终止经营的净利润的，还应当在本表中单列项目披露）</t>
        </is>
      </c>
      <c r="B163" s="1157" t="n"/>
      <c r="C163" s="1157" t="n"/>
      <c r="D163" s="1157" t="n"/>
      <c r="E163" s="1157" t="n"/>
      <c r="F163" s="1157" t="n"/>
      <c r="G163" s="1157" t="n"/>
      <c r="H163" s="231" t="n"/>
      <c r="I163" s="231" t="n"/>
      <c r="J163" s="231" t="n"/>
      <c r="K163" s="231" t="n"/>
      <c r="L163" s="231" t="n"/>
    </row>
    <row r="164" ht="20.1" customFormat="1" customHeight="1" s="185">
      <c r="A164" s="232" t="inlineStr">
        <is>
          <t>说明：</t>
        </is>
      </c>
      <c r="B164" s="233" t="n"/>
      <c r="C164" s="233" t="n"/>
      <c r="D164" s="233" t="n"/>
      <c r="E164" s="233" t="n"/>
      <c r="F164" s="233" t="n"/>
      <c r="G164" s="233" t="n"/>
      <c r="H164" s="231" t="n"/>
      <c r="I164" s="231" t="n"/>
      <c r="J164" s="231" t="n"/>
      <c r="K164" s="231" t="n"/>
      <c r="L164" s="231" t="n"/>
    </row>
    <row r="165" ht="20.1" customFormat="1" customHeight="1" s="185">
      <c r="A165" s="894" t="inlineStr">
        <is>
          <t>（3）重要联营企业的主要财务信息：（持有待售的除外）</t>
        </is>
      </c>
      <c r="H165" s="231" t="n"/>
      <c r="I165" s="231" t="n"/>
      <c r="J165" s="231" t="n"/>
      <c r="K165" s="231" t="n"/>
      <c r="L165" s="231" t="n"/>
    </row>
    <row r="166" ht="20.1" customFormat="1" customHeight="1" s="185">
      <c r="A166" s="892" t="inlineStr">
        <is>
          <t>（主要财务信息按照权益法调整后的金额披露；）</t>
        </is>
      </c>
      <c r="H166" s="231" t="n"/>
      <c r="I166" s="231" t="n"/>
      <c r="J166" s="231" t="n"/>
      <c r="K166" s="231" t="n"/>
      <c r="L166" s="231" t="n"/>
    </row>
    <row r="167" ht="20.1" customFormat="1" customHeight="1" s="185">
      <c r="A167" s="892" t="inlineStr">
        <is>
          <t>（“调整事项”包括投资形成的正商誉、抵消的未实现内部交易损益 、减值准备等事项；）</t>
        </is>
      </c>
      <c r="H167" s="231" t="n"/>
      <c r="I167" s="231" t="n"/>
      <c r="J167" s="231" t="n"/>
      <c r="K167" s="231" t="n"/>
      <c r="L167" s="231" t="n"/>
    </row>
    <row r="168" ht="20.1" customFormat="1" customHeight="1" s="185" thickBot="1">
      <c r="A168" s="900" t="inlineStr">
        <is>
          <t>（如果母公司为投资性主体，无需披露下列财务信息。）</t>
        </is>
      </c>
      <c r="B168" s="1158" t="n"/>
      <c r="C168" s="1158" t="n"/>
      <c r="D168" s="1158" t="n"/>
      <c r="E168" s="1158" t="n"/>
      <c r="F168" s="1158" t="n"/>
      <c r="G168" s="1158" t="n"/>
      <c r="H168" s="231" t="n"/>
      <c r="I168" s="231" t="n"/>
      <c r="J168" s="231" t="n"/>
      <c r="K168" s="231" t="n"/>
      <c r="L168" s="231" t="n"/>
    </row>
    <row r="169" ht="20.1" customFormat="1" customHeight="1" s="185">
      <c r="A169" s="914" t="inlineStr">
        <is>
          <t>项 目</t>
        </is>
      </c>
      <c r="B169" s="901">
        <f>'被投资单位财务信息（合营、联营）G7-5'!E8</f>
        <v/>
      </c>
      <c r="C169" s="1157" t="n"/>
      <c r="D169" s="901">
        <f>'被投资单位财务信息（合营、联营）G7-5'!G8</f>
        <v/>
      </c>
      <c r="E169" s="1157" t="n"/>
      <c r="F169" s="901">
        <f>'被投资单位财务信息（合营、联营）G7-5'!I8</f>
        <v/>
      </c>
      <c r="G169" s="1157" t="n"/>
      <c r="H169" s="231" t="n"/>
      <c r="I169" s="231" t="n"/>
      <c r="J169" s="231" t="n"/>
      <c r="K169" s="231" t="n"/>
      <c r="L169" s="231" t="n"/>
    </row>
    <row r="170" ht="20.1" customFormat="1" customHeight="1" s="185" thickBot="1">
      <c r="A170" s="1158" t="n"/>
      <c r="B170" s="891" t="inlineStr">
        <is>
          <t>期末数</t>
        </is>
      </c>
      <c r="C170" s="891" t="inlineStr">
        <is>
          <t>期初数</t>
        </is>
      </c>
      <c r="D170" s="891" t="inlineStr">
        <is>
          <t>期末数</t>
        </is>
      </c>
      <c r="E170" s="891" t="inlineStr">
        <is>
          <t>期初数</t>
        </is>
      </c>
      <c r="F170" s="891" t="inlineStr">
        <is>
          <t>期末数</t>
        </is>
      </c>
      <c r="G170" s="891" t="inlineStr">
        <is>
          <t>期初数</t>
        </is>
      </c>
      <c r="H170" s="231" t="n"/>
      <c r="I170" s="231" t="n"/>
      <c r="J170" s="231" t="n"/>
      <c r="K170" s="231" t="n"/>
      <c r="L170" s="231" t="n"/>
    </row>
    <row r="171" ht="20.1" customFormat="1" customHeight="1" s="185">
      <c r="A171" s="230" t="inlineStr">
        <is>
          <t>流动资产</t>
        </is>
      </c>
      <c r="B171" s="1159">
        <f>'被投资单位财务信息（合营、联营）G7-5'!E10</f>
        <v/>
      </c>
      <c r="C171" s="1159">
        <f>'被投资单位财务信息（合营、联营）G7-5'!F10</f>
        <v/>
      </c>
      <c r="D171" s="1159">
        <f>'被投资单位财务信息（合营、联营）G7-5'!G10</f>
        <v/>
      </c>
      <c r="E171" s="1159">
        <f>'被投资单位财务信息（合营、联营）G7-5'!H10</f>
        <v/>
      </c>
      <c r="F171" s="1159">
        <f>'被投资单位财务信息（合营、联营）G7-5'!I10</f>
        <v/>
      </c>
      <c r="G171" s="1159">
        <f>'被投资单位财务信息（合营、联营）G7-5'!J10</f>
        <v/>
      </c>
      <c r="H171" s="231" t="n"/>
      <c r="I171" s="231" t="n"/>
      <c r="J171" s="231" t="n"/>
      <c r="K171" s="231" t="n"/>
      <c r="L171" s="231" t="n"/>
    </row>
    <row r="172" ht="20.1" customFormat="1" customHeight="1" s="185">
      <c r="A172" s="230" t="inlineStr">
        <is>
          <t>非流动资产</t>
        </is>
      </c>
      <c r="B172" s="1159">
        <f>'被投资单位财务信息（合营、联营）G7-5'!E12</f>
        <v/>
      </c>
      <c r="C172" s="1159">
        <f>'被投资单位财务信息（合营、联营）G7-5'!F12</f>
        <v/>
      </c>
      <c r="D172" s="1159">
        <f>'被投资单位财务信息（合营、联营）G7-5'!G12</f>
        <v/>
      </c>
      <c r="E172" s="1159">
        <f>'被投资单位财务信息（合营、联营）G7-5'!H12</f>
        <v/>
      </c>
      <c r="F172" s="1159">
        <f>'被投资单位财务信息（合营、联营）G7-5'!I12</f>
        <v/>
      </c>
      <c r="G172" s="1159">
        <f>'被投资单位财务信息（合营、联营）G7-5'!J12</f>
        <v/>
      </c>
      <c r="H172" s="231" t="n"/>
      <c r="I172" s="231" t="n"/>
      <c r="J172" s="231" t="n"/>
      <c r="K172" s="231" t="n"/>
      <c r="L172" s="231" t="n"/>
    </row>
    <row r="173" ht="20.1" customFormat="1" customHeight="1" s="185">
      <c r="A173" s="269" t="inlineStr">
        <is>
          <t>资产合计</t>
        </is>
      </c>
      <c r="B173" s="1160">
        <f>SUM(B171:B172)</f>
        <v/>
      </c>
      <c r="C173" s="1160">
        <f>SUM(C171:C172)</f>
        <v/>
      </c>
      <c r="D173" s="1160">
        <f>SUM(D171:D172)</f>
        <v/>
      </c>
      <c r="E173" s="1160">
        <f>SUM(E171:E172)</f>
        <v/>
      </c>
      <c r="F173" s="1160">
        <f>SUM(F171:F172)</f>
        <v/>
      </c>
      <c r="G173" s="1160">
        <f>SUM(G171:G172)</f>
        <v/>
      </c>
      <c r="H173" s="231" t="n"/>
      <c r="I173" s="231" t="n"/>
      <c r="J173" s="231" t="n"/>
      <c r="K173" s="231" t="n"/>
      <c r="L173" s="231" t="n"/>
    </row>
    <row r="174" ht="20.1" customFormat="1" customHeight="1" s="185">
      <c r="A174" s="230" t="inlineStr">
        <is>
          <t>流动负债</t>
        </is>
      </c>
      <c r="B174" s="1159">
        <f>'被投资单位财务信息（合营、联营）G7-5'!E14</f>
        <v/>
      </c>
      <c r="C174" s="1159">
        <f>'被投资单位财务信息（合营、联营）G7-5'!F14</f>
        <v/>
      </c>
      <c r="D174" s="1159">
        <f>'被投资单位财务信息（合营、联营）G7-5'!G14</f>
        <v/>
      </c>
      <c r="E174" s="1159">
        <f>'被投资单位财务信息（合营、联营）G7-5'!H14</f>
        <v/>
      </c>
      <c r="F174" s="1159">
        <f>'被投资单位财务信息（合营、联营）G7-5'!I14</f>
        <v/>
      </c>
      <c r="G174" s="1159">
        <f>'被投资单位财务信息（合营、联营）G7-5'!J14</f>
        <v/>
      </c>
      <c r="H174" s="231" t="n"/>
      <c r="I174" s="231" t="n"/>
      <c r="J174" s="231" t="n"/>
      <c r="K174" s="231" t="n"/>
      <c r="L174" s="231" t="n"/>
    </row>
    <row r="175" ht="20.1" customFormat="1" customHeight="1" s="185">
      <c r="A175" s="230" t="inlineStr">
        <is>
          <t>非流动负债</t>
        </is>
      </c>
      <c r="B175" s="1159">
        <f>'被投资单位财务信息（合营、联营）G7-5'!E15</f>
        <v/>
      </c>
      <c r="C175" s="1159">
        <f>'被投资单位财务信息（合营、联营）G7-5'!F15</f>
        <v/>
      </c>
      <c r="D175" s="1159">
        <f>'被投资单位财务信息（合营、联营）G7-5'!G15</f>
        <v/>
      </c>
      <c r="E175" s="1159">
        <f>'被投资单位财务信息（合营、联营）G7-5'!H15</f>
        <v/>
      </c>
      <c r="F175" s="1159">
        <f>'被投资单位财务信息（合营、联营）G7-5'!I15</f>
        <v/>
      </c>
      <c r="G175" s="1159">
        <f>'被投资单位财务信息（合营、联营）G7-5'!J15</f>
        <v/>
      </c>
      <c r="H175" s="231" t="n"/>
      <c r="I175" s="231" t="n"/>
      <c r="J175" s="231" t="n"/>
      <c r="K175" s="231" t="n"/>
      <c r="L175" s="231" t="n"/>
    </row>
    <row r="176" ht="20.1" customFormat="1" customHeight="1" s="185">
      <c r="A176" s="269" t="inlineStr">
        <is>
          <t>负债合计</t>
        </is>
      </c>
      <c r="B176" s="1160">
        <f>SUM(B174:B175)</f>
        <v/>
      </c>
      <c r="C176" s="1160">
        <f>SUM(C174:C175)</f>
        <v/>
      </c>
      <c r="D176" s="1160">
        <f>SUM(D174:D175)</f>
        <v/>
      </c>
      <c r="E176" s="1160">
        <f>SUM(E174:E175)</f>
        <v/>
      </c>
      <c r="F176" s="1160">
        <f>SUM(F174:F175)</f>
        <v/>
      </c>
      <c r="G176" s="1160">
        <f>SUM(G174:G175)</f>
        <v/>
      </c>
      <c r="H176" s="231" t="n"/>
      <c r="I176" s="231" t="n"/>
      <c r="J176" s="231" t="n"/>
      <c r="K176" s="231" t="n"/>
      <c r="L176" s="231" t="n"/>
    </row>
    <row r="177" ht="20.1" customFormat="1" customHeight="1" s="185">
      <c r="A177" s="230" t="inlineStr">
        <is>
          <t>净资产</t>
        </is>
      </c>
      <c r="B177" s="1159">
        <f>'被投资单位财务信息（合营、联营）G7-5'!E17</f>
        <v/>
      </c>
      <c r="C177" s="1159">
        <f>'被投资单位财务信息（合营、联营）G7-5'!F17</f>
        <v/>
      </c>
      <c r="D177" s="1159">
        <f>'被投资单位财务信息（合营、联营）G7-5'!G17</f>
        <v/>
      </c>
      <c r="E177" s="1159">
        <f>'被投资单位财务信息（合营、联营）G7-5'!H17</f>
        <v/>
      </c>
      <c r="F177" s="1159">
        <f>'被投资单位财务信息（合营、联营）G7-5'!I17</f>
        <v/>
      </c>
      <c r="G177" s="1159">
        <f>'被投资单位财务信息（合营、联营）G7-5'!J17</f>
        <v/>
      </c>
      <c r="H177" s="231" t="n"/>
      <c r="I177" s="231" t="n"/>
      <c r="J177" s="231" t="n"/>
      <c r="K177" s="231" t="n"/>
      <c r="L177" s="231" t="n"/>
    </row>
    <row r="178" ht="20.1" customFormat="1" customHeight="1" s="185">
      <c r="A178" s="230" t="inlineStr">
        <is>
          <t xml:space="preserve">  其中：少数股东权益</t>
        </is>
      </c>
      <c r="B178" s="1159">
        <f>'被投资单位财务信息（合营、联营）G7-5'!E18</f>
        <v/>
      </c>
      <c r="C178" s="1159">
        <f>'被投资单位财务信息（合营、联营）G7-5'!F18</f>
        <v/>
      </c>
      <c r="D178" s="1159">
        <f>'被投资单位财务信息（合营、联营）G7-5'!G18</f>
        <v/>
      </c>
      <c r="E178" s="1159">
        <f>'被投资单位财务信息（合营、联营）G7-5'!H18</f>
        <v/>
      </c>
      <c r="F178" s="1159">
        <f>'被投资单位财务信息（合营、联营）G7-5'!I18</f>
        <v/>
      </c>
      <c r="G178" s="1159">
        <f>'被投资单位财务信息（合营、联营）G7-5'!J18</f>
        <v/>
      </c>
      <c r="H178" s="231" t="n"/>
      <c r="I178" s="231" t="n"/>
      <c r="J178" s="231" t="n"/>
      <c r="K178" s="231" t="n"/>
      <c r="L178" s="231" t="n"/>
    </row>
    <row r="179" ht="20.1" customFormat="1" customHeight="1" s="185">
      <c r="A179" s="230" t="inlineStr">
        <is>
          <t>归属于母公司的所有者权益</t>
        </is>
      </c>
      <c r="B179" s="1159">
        <f>'被投资单位财务信息（合营、联营）G7-5'!E19</f>
        <v/>
      </c>
      <c r="C179" s="1159">
        <f>'被投资单位财务信息（合营、联营）G7-5'!F19</f>
        <v/>
      </c>
      <c r="D179" s="1159">
        <f>'被投资单位财务信息（合营、联营）G7-5'!G19</f>
        <v/>
      </c>
      <c r="E179" s="1159">
        <f>'被投资单位财务信息（合营、联营）G7-5'!H19</f>
        <v/>
      </c>
      <c r="F179" s="1159">
        <f>'被投资单位财务信息（合营、联营）G7-5'!I19</f>
        <v/>
      </c>
      <c r="G179" s="1159">
        <f>'被投资单位财务信息（合营、联营）G7-5'!J19</f>
        <v/>
      </c>
      <c r="H179" s="231" t="n"/>
      <c r="I179" s="231" t="n"/>
      <c r="J179" s="231" t="n"/>
      <c r="K179" s="231" t="n"/>
      <c r="L179" s="231" t="n"/>
    </row>
    <row r="180" ht="20.1" customFormat="1" customHeight="1" s="185">
      <c r="A180" s="230" t="inlineStr">
        <is>
          <t>按持股比例计算的净资产份额</t>
        </is>
      </c>
      <c r="B180" s="1159">
        <f>'被投资单位财务信息（合营、联营）G7-5'!E21</f>
        <v/>
      </c>
      <c r="C180" s="1159">
        <f>'被投资单位财务信息（合营、联营）G7-5'!F21</f>
        <v/>
      </c>
      <c r="D180" s="1159">
        <f>'被投资单位财务信息（合营、联营）G7-5'!G21</f>
        <v/>
      </c>
      <c r="E180" s="1159">
        <f>'被投资单位财务信息（合营、联营）G7-5'!H21</f>
        <v/>
      </c>
      <c r="F180" s="1159">
        <f>'被投资单位财务信息（合营、联营）G7-5'!I21</f>
        <v/>
      </c>
      <c r="G180" s="1159">
        <f>'被投资单位财务信息（合营、联营）G7-5'!J21</f>
        <v/>
      </c>
      <c r="H180" s="231" t="n"/>
      <c r="I180" s="231" t="n"/>
      <c r="J180" s="231" t="n"/>
      <c r="K180" s="231" t="n"/>
      <c r="L180" s="231" t="n"/>
    </row>
    <row r="181" ht="20.1" customFormat="1" customHeight="1" s="185">
      <c r="A181" s="230" t="inlineStr">
        <is>
          <t>调整事项</t>
        </is>
      </c>
      <c r="B181" s="1159">
        <f>'被投资单位财务信息（合营、联营）G7-5'!E22</f>
        <v/>
      </c>
      <c r="C181" s="1159">
        <f>'被投资单位财务信息（合营、联营）G7-5'!F22</f>
        <v/>
      </c>
      <c r="D181" s="1159">
        <f>'被投资单位财务信息（合营、联营）G7-5'!G22</f>
        <v/>
      </c>
      <c r="E181" s="1159">
        <f>'被投资单位财务信息（合营、联营）G7-5'!H22</f>
        <v/>
      </c>
      <c r="F181" s="1159">
        <f>'被投资单位财务信息（合营、联营）G7-5'!I22</f>
        <v/>
      </c>
      <c r="G181" s="1159">
        <f>'被投资单位财务信息（合营、联营）G7-5'!J22</f>
        <v/>
      </c>
      <c r="H181" s="231" t="n"/>
      <c r="I181" s="231" t="n"/>
      <c r="J181" s="231" t="n"/>
      <c r="K181" s="231" t="n"/>
      <c r="L181" s="231" t="n"/>
    </row>
    <row r="182" ht="20.1" customFormat="1" customHeight="1" s="185">
      <c r="A182" s="230" t="inlineStr">
        <is>
          <t xml:space="preserve">  其中：商誉</t>
        </is>
      </c>
      <c r="B182" s="1161">
        <f>'被投资单位财务信息（合营、联营）G7-5'!E23</f>
        <v/>
      </c>
      <c r="C182" s="1161">
        <f>'被投资单位财务信息（合营、联营）G7-5'!F23</f>
        <v/>
      </c>
      <c r="D182" s="1161">
        <f>'被投资单位财务信息（合营、联营）G7-5'!G23</f>
        <v/>
      </c>
      <c r="E182" s="1161">
        <f>'被投资单位财务信息（合营、联营）G7-5'!H23</f>
        <v/>
      </c>
      <c r="F182" s="1161">
        <f>'被投资单位财务信息（合营、联营）G7-5'!I23</f>
        <v/>
      </c>
      <c r="G182" s="1161">
        <f>'被投资单位财务信息（合营、联营）G7-5'!J23</f>
        <v/>
      </c>
      <c r="H182" s="231" t="n"/>
      <c r="I182" s="231" t="n"/>
      <c r="J182" s="231" t="n"/>
      <c r="K182" s="231" t="n"/>
      <c r="L182" s="231" t="n"/>
    </row>
    <row r="183" ht="20.1" customFormat="1" customHeight="1" s="185">
      <c r="A183" s="230" t="inlineStr">
        <is>
          <t xml:space="preserve">   未实现内部交易损益</t>
        </is>
      </c>
      <c r="B183" s="1161">
        <f>'被投资单位财务信息（合营、联营）G7-5'!E24</f>
        <v/>
      </c>
      <c r="C183" s="1161">
        <f>'被投资单位财务信息（合营、联营）G7-5'!F24</f>
        <v/>
      </c>
      <c r="D183" s="1161">
        <f>'被投资单位财务信息（合营、联营）G7-5'!G24</f>
        <v/>
      </c>
      <c r="E183" s="1161">
        <f>'被投资单位财务信息（合营、联营）G7-5'!H24</f>
        <v/>
      </c>
      <c r="F183" s="1161">
        <f>'被投资单位财务信息（合营、联营）G7-5'!I24</f>
        <v/>
      </c>
      <c r="G183" s="1161">
        <f>'被投资单位财务信息（合营、联营）G7-5'!J24</f>
        <v/>
      </c>
      <c r="H183" s="231" t="n"/>
      <c r="I183" s="231" t="n"/>
      <c r="J183" s="231" t="n"/>
      <c r="K183" s="231" t="n"/>
      <c r="L183" s="231" t="n"/>
    </row>
    <row r="184" ht="20.1" customFormat="1" customHeight="1" s="185">
      <c r="A184" s="230" t="inlineStr">
        <is>
          <t xml:space="preserve">   减值准备</t>
        </is>
      </c>
      <c r="B184" s="1161">
        <f>'被投资单位财务信息（合营、联营）G7-5'!E25</f>
        <v/>
      </c>
      <c r="C184" s="1161">
        <f>'被投资单位财务信息（合营、联营）G7-5'!F25</f>
        <v/>
      </c>
      <c r="D184" s="1161">
        <f>'被投资单位财务信息（合营、联营）G7-5'!G25</f>
        <v/>
      </c>
      <c r="E184" s="1161">
        <f>'被投资单位财务信息（合营、联营）G7-5'!H25</f>
        <v/>
      </c>
      <c r="F184" s="1161">
        <f>'被投资单位财务信息（合营、联营）G7-5'!I25</f>
        <v/>
      </c>
      <c r="G184" s="1161">
        <f>'被投资单位财务信息（合营、联营）G7-5'!J25</f>
        <v/>
      </c>
      <c r="H184" s="231" t="n"/>
      <c r="I184" s="231" t="n"/>
      <c r="J184" s="231" t="n"/>
      <c r="K184" s="231" t="n"/>
      <c r="L184" s="231" t="n"/>
    </row>
    <row r="185" ht="20.1" customFormat="1" customHeight="1" s="185">
      <c r="A185" s="230" t="inlineStr">
        <is>
          <t xml:space="preserve">   其他</t>
        </is>
      </c>
      <c r="B185" s="1161">
        <f>'被投资单位财务信息（合营、联营）G7-5'!E26</f>
        <v/>
      </c>
      <c r="C185" s="1161">
        <f>'被投资单位财务信息（合营、联营）G7-5'!F26</f>
        <v/>
      </c>
      <c r="D185" s="1161">
        <f>'被投资单位财务信息（合营、联营）G7-5'!G26</f>
        <v/>
      </c>
      <c r="E185" s="1161">
        <f>'被投资单位财务信息（合营、联营）G7-5'!H26</f>
        <v/>
      </c>
      <c r="F185" s="1161">
        <f>'被投资单位财务信息（合营、联营）G7-5'!I26</f>
        <v/>
      </c>
      <c r="G185" s="1161">
        <f>'被投资单位财务信息（合营、联营）G7-5'!J26</f>
        <v/>
      </c>
      <c r="H185" s="231" t="n"/>
      <c r="I185" s="231" t="n"/>
      <c r="J185" s="231" t="n"/>
      <c r="K185" s="231" t="n"/>
      <c r="L185" s="231" t="n"/>
    </row>
    <row r="186" ht="20.1" customFormat="1" customHeight="1" s="185">
      <c r="A186" s="269" t="inlineStr">
        <is>
          <t>对联营企业权益投资的账面价值</t>
        </is>
      </c>
      <c r="B186" s="1159">
        <f>'被投资单位财务信息（合营、联营）G7-5'!E27</f>
        <v/>
      </c>
      <c r="C186" s="1159">
        <f>'被投资单位财务信息（合营、联营）G7-5'!F27</f>
        <v/>
      </c>
      <c r="D186" s="1159">
        <f>'被投资单位财务信息（合营、联营）G7-5'!G27</f>
        <v/>
      </c>
      <c r="E186" s="1159">
        <f>'被投资单位财务信息（合营、联营）G7-5'!H27</f>
        <v/>
      </c>
      <c r="F186" s="1159">
        <f>'被投资单位财务信息（合营、联营）G7-5'!I27</f>
        <v/>
      </c>
      <c r="G186" s="1159">
        <f>'被投资单位财务信息（合营、联营）G7-5'!J27</f>
        <v/>
      </c>
      <c r="H186" s="231" t="n"/>
      <c r="I186" s="231" t="n"/>
      <c r="J186" s="231" t="n"/>
      <c r="K186" s="231" t="n"/>
      <c r="L186" s="231" t="n"/>
    </row>
    <row r="187" ht="20.1" customFormat="1" customHeight="1" s="185" thickBot="1">
      <c r="A187" s="243" t="inlineStr">
        <is>
          <t xml:space="preserve">存在公开报价的权益投资的公允价值 </t>
        </is>
      </c>
      <c r="B187" s="1162">
        <f>'被投资单位财务信息（合营、联营）G7-5'!E27</f>
        <v/>
      </c>
      <c r="C187" s="1162">
        <f>'被投资单位财务信息（合营、联营）G7-5'!F27</f>
        <v/>
      </c>
      <c r="D187" s="1162">
        <f>'被投资单位财务信息（合营、联营）G7-5'!G27</f>
        <v/>
      </c>
      <c r="E187" s="1162">
        <f>'被投资单位财务信息（合营、联营）G7-5'!H27</f>
        <v/>
      </c>
      <c r="F187" s="1162">
        <f>'被投资单位财务信息（合营、联营）G7-5'!I27</f>
        <v/>
      </c>
      <c r="G187" s="1162">
        <f>'被投资单位财务信息（合营、联营）G7-5'!J27</f>
        <v/>
      </c>
      <c r="H187" s="231" t="n"/>
      <c r="I187" s="231" t="n"/>
      <c r="J187" s="231" t="n"/>
      <c r="K187" s="231" t="n"/>
      <c r="L187" s="231" t="n"/>
    </row>
    <row r="188" ht="20.1" customFormat="1" customHeight="1" s="185" thickBot="1">
      <c r="A188" s="232" t="inlineStr">
        <is>
          <t>续：</t>
        </is>
      </c>
      <c r="B188" s="233" t="n"/>
      <c r="C188" s="233" t="n"/>
      <c r="D188" s="233" t="n"/>
      <c r="E188" s="233" t="n"/>
      <c r="F188" s="233" t="n"/>
      <c r="G188" s="233" t="n"/>
      <c r="H188" s="231" t="n"/>
      <c r="I188" s="231" t="n"/>
      <c r="J188" s="231" t="n"/>
      <c r="K188" s="231" t="n"/>
      <c r="L188" s="231" t="n"/>
    </row>
    <row r="189" ht="20.1" customFormat="1" customHeight="1" s="185">
      <c r="A189" s="914" t="inlineStr">
        <is>
          <t>项  目</t>
        </is>
      </c>
      <c r="B189" s="901">
        <f>'被投资单位财务信息（合营、联营）G7-5'!E8</f>
        <v/>
      </c>
      <c r="C189" s="1157" t="n"/>
      <c r="D189" s="901">
        <f>'被投资单位财务信息（合营、联营）G7-5'!G8</f>
        <v/>
      </c>
      <c r="E189" s="1157" t="n"/>
      <c r="F189" s="901">
        <f>'被投资单位财务信息（合营、联营）G7-5'!I8</f>
        <v/>
      </c>
      <c r="G189" s="1157" t="n"/>
      <c r="H189" s="231" t="n"/>
      <c r="I189" s="231" t="n"/>
      <c r="J189" s="231" t="n"/>
      <c r="K189" s="231" t="n"/>
      <c r="L189" s="231" t="n"/>
    </row>
    <row r="190" ht="20.1" customFormat="1" customHeight="1" s="185" thickBot="1">
      <c r="A190" s="1158" t="n"/>
      <c r="B190" s="891" t="inlineStr">
        <is>
          <t>本期发生额</t>
        </is>
      </c>
      <c r="C190" s="891" t="inlineStr">
        <is>
          <t>上期发生额</t>
        </is>
      </c>
      <c r="D190" s="891" t="inlineStr">
        <is>
          <t>本期发生额</t>
        </is>
      </c>
      <c r="E190" s="891" t="inlineStr">
        <is>
          <t>上期发生额</t>
        </is>
      </c>
      <c r="F190" s="891" t="inlineStr">
        <is>
          <t>本期发生额</t>
        </is>
      </c>
      <c r="G190" s="891" t="inlineStr">
        <is>
          <t>上期发生额</t>
        </is>
      </c>
      <c r="H190" s="231" t="n"/>
      <c r="I190" s="231" t="n"/>
      <c r="J190" s="231" t="n"/>
      <c r="K190" s="231" t="n"/>
      <c r="L190" s="231" t="n"/>
    </row>
    <row r="191" ht="20.1" customFormat="1" customHeight="1" s="185">
      <c r="A191" s="230" t="inlineStr">
        <is>
          <t>营业收入</t>
        </is>
      </c>
      <c r="B191" s="1159">
        <f>'被投资单位财务信息（合营、联营）G7-5'!E29</f>
        <v/>
      </c>
      <c r="C191" s="1159">
        <f>'被投资单位财务信息（合营、联营）G7-5'!F29</f>
        <v/>
      </c>
      <c r="D191" s="1159">
        <f>'被投资单位财务信息（合营、联营）G7-5'!G29</f>
        <v/>
      </c>
      <c r="E191" s="1159">
        <f>'被投资单位财务信息（合营、联营）G7-5'!H29</f>
        <v/>
      </c>
      <c r="F191" s="1159">
        <f>'被投资单位财务信息（合营、联营）G7-5'!I29</f>
        <v/>
      </c>
      <c r="G191" s="1159">
        <f>'被投资单位财务信息（合营、联营）G7-5'!J29</f>
        <v/>
      </c>
      <c r="H191" s="231" t="n"/>
      <c r="I191" s="231" t="n"/>
      <c r="J191" s="231" t="n"/>
      <c r="K191" s="231" t="n"/>
      <c r="L191" s="231" t="n"/>
    </row>
    <row r="192" ht="20.1" customFormat="1" customHeight="1" s="185">
      <c r="A192" s="230" t="inlineStr">
        <is>
          <t>净利润</t>
        </is>
      </c>
      <c r="B192" s="1159">
        <f>'被投资单位财务信息（合营、联营）G7-5'!E32</f>
        <v/>
      </c>
      <c r="C192" s="1159">
        <f>'被投资单位财务信息（合营、联营）G7-5'!F32</f>
        <v/>
      </c>
      <c r="D192" s="1159">
        <f>'被投资单位财务信息（合营、联营）G7-5'!G32</f>
        <v/>
      </c>
      <c r="E192" s="1159">
        <f>'被投资单位财务信息（合营、联营）G7-5'!H32</f>
        <v/>
      </c>
      <c r="F192" s="1159">
        <f>'被投资单位财务信息（合营、联营）G7-5'!I32</f>
        <v/>
      </c>
      <c r="G192" s="1159">
        <f>'被投资单位财务信息（合营、联营）G7-5'!J32</f>
        <v/>
      </c>
      <c r="H192" s="231" t="n"/>
      <c r="I192" s="231" t="n"/>
      <c r="J192" s="231" t="n"/>
      <c r="K192" s="231" t="n"/>
      <c r="L192" s="231" t="n"/>
    </row>
    <row r="193" ht="20.1" customFormat="1" customHeight="1" s="185">
      <c r="A193" s="230" t="inlineStr">
        <is>
          <t>终止经营的净利润</t>
        </is>
      </c>
      <c r="B193" s="1159">
        <f>'被投资单位财务信息（合营、联营）G7-5'!E33</f>
        <v/>
      </c>
      <c r="C193" s="1159">
        <f>'被投资单位财务信息（合营、联营）G7-5'!F33</f>
        <v/>
      </c>
      <c r="D193" s="1159">
        <f>'被投资单位财务信息（合营、联营）G7-5'!G33</f>
        <v/>
      </c>
      <c r="E193" s="1159">
        <f>'被投资单位财务信息（合营、联营）G7-5'!H33</f>
        <v/>
      </c>
      <c r="F193" s="1159">
        <f>'被投资单位财务信息（合营、联营）G7-5'!I33</f>
        <v/>
      </c>
      <c r="G193" s="1159">
        <f>'被投资单位财务信息（合营、联营）G7-5'!J33</f>
        <v/>
      </c>
      <c r="H193" s="231" t="n"/>
      <c r="I193" s="231" t="n"/>
      <c r="J193" s="231" t="n"/>
      <c r="K193" s="231" t="n"/>
      <c r="L193" s="231" t="n"/>
    </row>
    <row r="194" ht="20.1" customFormat="1" customHeight="1" s="185">
      <c r="A194" s="230" t="inlineStr">
        <is>
          <t>其他综合收益</t>
        </is>
      </c>
      <c r="B194" s="1159">
        <f>'被投资单位财务信息（合营、联营）G7-5'!E34</f>
        <v/>
      </c>
      <c r="C194" s="1159">
        <f>'被投资单位财务信息（合营、联营）G7-5'!F34</f>
        <v/>
      </c>
      <c r="D194" s="1159">
        <f>'被投资单位财务信息（合营、联营）G7-5'!G34</f>
        <v/>
      </c>
      <c r="E194" s="1159">
        <f>'被投资单位财务信息（合营、联营）G7-5'!H34</f>
        <v/>
      </c>
      <c r="F194" s="1159">
        <f>'被投资单位财务信息（合营、联营）G7-5'!I34</f>
        <v/>
      </c>
      <c r="G194" s="1159">
        <f>'被投资单位财务信息（合营、联营）G7-5'!J34</f>
        <v/>
      </c>
      <c r="H194" s="231" t="n"/>
      <c r="I194" s="231" t="n"/>
      <c r="J194" s="231" t="n"/>
      <c r="K194" s="231" t="n"/>
      <c r="L194" s="231" t="n"/>
    </row>
    <row r="195" ht="20.1" customFormat="1" customHeight="1" s="185">
      <c r="A195" s="230" t="inlineStr">
        <is>
          <t>综合收益总额</t>
        </is>
      </c>
      <c r="B195" s="1159">
        <f>'被投资单位财务信息（合营、联营）G7-5'!E35</f>
        <v/>
      </c>
      <c r="C195" s="1159">
        <f>'被投资单位财务信息（合营、联营）G7-5'!F35</f>
        <v/>
      </c>
      <c r="D195" s="1159">
        <f>'被投资单位财务信息（合营、联营）G7-5'!G35</f>
        <v/>
      </c>
      <c r="E195" s="1159">
        <f>'被投资单位财务信息（合营、联营）G7-5'!H35</f>
        <v/>
      </c>
      <c r="F195" s="1159">
        <f>'被投资单位财务信息（合营、联营）G7-5'!I35</f>
        <v/>
      </c>
      <c r="G195" s="1159">
        <f>'被投资单位财务信息（合营、联营）G7-5'!J35</f>
        <v/>
      </c>
      <c r="H195" s="231" t="n"/>
      <c r="I195" s="231" t="n"/>
      <c r="J195" s="231" t="n"/>
      <c r="K195" s="231" t="n"/>
      <c r="L195" s="231" t="n"/>
    </row>
    <row r="196" ht="20.1" customFormat="1" customHeight="1" s="185" thickBot="1">
      <c r="A196" s="230" t="inlineStr">
        <is>
          <t>企业本期收到的来自联营企业的股利</t>
        </is>
      </c>
      <c r="B196" s="1159">
        <f>'被投资单位财务信息（合营、联营）G7-5'!E36</f>
        <v/>
      </c>
      <c r="C196" s="1159">
        <f>'被投资单位财务信息（合营、联营）G7-5'!F36</f>
        <v/>
      </c>
      <c r="D196" s="1159">
        <f>'被投资单位财务信息（合营、联营）G7-5'!G36</f>
        <v/>
      </c>
      <c r="E196" s="1159">
        <f>'被投资单位财务信息（合营、联营）G7-5'!H36</f>
        <v/>
      </c>
      <c r="F196" s="1159">
        <f>'被投资单位财务信息（合营、联营）G7-5'!I36</f>
        <v/>
      </c>
      <c r="G196" s="1159">
        <f>'被投资单位财务信息（合营、联营）G7-5'!J36</f>
        <v/>
      </c>
      <c r="H196" s="231" t="n"/>
      <c r="I196" s="231" t="n"/>
      <c r="J196" s="231" t="n"/>
      <c r="K196" s="231" t="n"/>
      <c r="L196" s="231" t="n"/>
    </row>
    <row r="197" ht="20.1" customFormat="1" customHeight="1" s="185">
      <c r="A197" s="902" t="inlineStr">
        <is>
          <t>（注：存在终止经营的净利润的，还应当在本表中单列项目披露）</t>
        </is>
      </c>
      <c r="B197" s="1157" t="n"/>
      <c r="C197" s="1157" t="n"/>
      <c r="D197" s="1157" t="n"/>
      <c r="E197" s="1157" t="n"/>
      <c r="F197" s="1157" t="n"/>
      <c r="G197" s="1157" t="n"/>
      <c r="H197" s="231" t="n"/>
      <c r="I197" s="231" t="n"/>
      <c r="J197" s="231" t="n"/>
      <c r="K197" s="231" t="n"/>
      <c r="L197" s="231" t="n"/>
    </row>
    <row r="198" ht="20.1" customFormat="1" customHeight="1" s="185">
      <c r="A198" s="232" t="inlineStr">
        <is>
          <t xml:space="preserve">说明： </t>
        </is>
      </c>
      <c r="B198" s="233" t="n"/>
      <c r="C198" s="233" t="n"/>
      <c r="D198" s="233" t="n"/>
      <c r="E198" s="233" t="n"/>
      <c r="F198" s="233" t="n"/>
      <c r="G198" s="233" t="n"/>
      <c r="H198" s="231" t="n"/>
      <c r="I198" s="231" t="n"/>
      <c r="J198" s="231" t="n"/>
      <c r="K198" s="231" t="n"/>
      <c r="L198" s="231" t="n"/>
    </row>
    <row r="199" ht="20.1" customFormat="1" customHeight="1" s="185" thickBot="1">
      <c r="A199" s="894" t="inlineStr">
        <is>
          <t>（4）其他不重要合营企业和联营企业的汇总财务信息</t>
        </is>
      </c>
      <c r="B199" s="233" t="n"/>
      <c r="C199" s="233" t="n"/>
      <c r="D199" s="233" t="n"/>
      <c r="E199" s="233" t="n"/>
      <c r="F199" s="233" t="n"/>
      <c r="G199" s="233" t="n"/>
      <c r="H199" s="231" t="n"/>
      <c r="I199" s="231" t="n"/>
      <c r="J199" s="231" t="n"/>
      <c r="K199" s="231" t="n"/>
      <c r="L199" s="231" t="n"/>
    </row>
    <row r="200" ht="31.95" customFormat="1" customHeight="1" s="185" thickBot="1">
      <c r="A200" s="914" t="inlineStr">
        <is>
          <t>项  目</t>
        </is>
      </c>
      <c r="B200" s="914" t="inlineStr">
        <is>
          <t>期末数/本期发生额</t>
        </is>
      </c>
      <c r="C200" s="914" t="inlineStr">
        <is>
          <t>期初数/上期发生额</t>
        </is>
      </c>
      <c r="D200" s="233" t="n"/>
      <c r="E200" s="231" t="n"/>
      <c r="F200" s="231" t="n"/>
      <c r="G200" s="231" t="n"/>
      <c r="H200" s="231" t="n"/>
      <c r="I200" s="231" t="n"/>
      <c r="J200" s="231" t="n"/>
      <c r="K200" s="231" t="n"/>
      <c r="L200" s="231" t="n"/>
    </row>
    <row r="201" ht="20.1" customFormat="1" customHeight="1" s="185">
      <c r="A201" s="269" t="inlineStr">
        <is>
          <t>合营企业：</t>
        </is>
      </c>
      <c r="B201" s="273" t="n"/>
      <c r="C201" s="273" t="n"/>
      <c r="D201" s="233" t="n"/>
      <c r="E201" s="231" t="n"/>
      <c r="F201" s="231" t="n"/>
      <c r="G201" s="231" t="n"/>
      <c r="H201" s="231" t="n"/>
      <c r="I201" s="231" t="n"/>
      <c r="J201" s="231" t="n"/>
      <c r="K201" s="231" t="n"/>
      <c r="L201" s="231" t="n"/>
    </row>
    <row r="202" ht="20.1" customFormat="1" customHeight="1" s="185">
      <c r="A202" s="230" t="inlineStr">
        <is>
          <t>投资账面价值合计</t>
        </is>
      </c>
      <c r="B202" s="1163">
        <f>'被投资单位财务信息（合营、联营）G7-5'!G42</f>
        <v/>
      </c>
      <c r="C202" s="1163">
        <f>'被投资单位财务信息（合营、联营）G7-5'!I42</f>
        <v/>
      </c>
      <c r="D202" s="233" t="n"/>
      <c r="E202" s="231" t="n"/>
      <c r="F202" s="231" t="n"/>
      <c r="G202" s="231" t="n"/>
      <c r="H202" s="231" t="n"/>
      <c r="I202" s="231" t="n"/>
      <c r="J202" s="231" t="n"/>
      <c r="K202" s="231" t="n"/>
      <c r="L202" s="231" t="n"/>
    </row>
    <row r="203" ht="20.1" customFormat="1" customHeight="1" s="185">
      <c r="A203" s="230" t="inlineStr">
        <is>
          <t xml:space="preserve">下列各项按持股比例计算的合计数 </t>
        </is>
      </c>
      <c r="B203" s="1163">
        <f>'被投资单位财务信息（合营、联营）G7-5'!G43</f>
        <v/>
      </c>
      <c r="C203" s="1163">
        <f>'被投资单位财务信息（合营、联营）G7-5'!I43</f>
        <v/>
      </c>
      <c r="D203" s="233" t="n"/>
      <c r="E203" s="231" t="n"/>
      <c r="F203" s="231" t="n"/>
      <c r="G203" s="231" t="n"/>
      <c r="H203" s="231" t="n"/>
      <c r="I203" s="231" t="n"/>
      <c r="J203" s="231" t="n"/>
      <c r="K203" s="231" t="n"/>
      <c r="L203" s="231" t="n"/>
    </row>
    <row r="204" ht="20.1" customFormat="1" customHeight="1" s="185">
      <c r="A204" s="230" t="inlineStr">
        <is>
          <t>净利润</t>
        </is>
      </c>
      <c r="B204" s="1163">
        <f>'被投资单位财务信息（合营、联营）G7-5'!G44</f>
        <v/>
      </c>
      <c r="C204" s="1163">
        <f>'被投资单位财务信息（合营、联营）G7-5'!I44</f>
        <v/>
      </c>
      <c r="D204" s="233" t="n"/>
      <c r="E204" s="231" t="n"/>
      <c r="F204" s="231" t="n"/>
      <c r="G204" s="231" t="n"/>
      <c r="H204" s="231" t="n"/>
      <c r="I204" s="231" t="n"/>
      <c r="J204" s="231" t="n"/>
      <c r="K204" s="231" t="n"/>
      <c r="L204" s="231" t="n"/>
    </row>
    <row r="205" ht="20.1" customFormat="1" customHeight="1" s="185">
      <c r="A205" s="230" t="inlineStr">
        <is>
          <t>其他综合收益</t>
        </is>
      </c>
      <c r="B205" s="1163">
        <f>'被投资单位财务信息（合营、联营）G7-5'!G45</f>
        <v/>
      </c>
      <c r="C205" s="1163">
        <f>'被投资单位财务信息（合营、联营）G7-5'!I45</f>
        <v/>
      </c>
      <c r="D205" s="233" t="n"/>
      <c r="E205" s="231" t="n"/>
      <c r="F205" s="231" t="n"/>
      <c r="G205" s="231" t="n"/>
      <c r="H205" s="231" t="n"/>
      <c r="I205" s="231" t="n"/>
      <c r="J205" s="231" t="n"/>
      <c r="K205" s="231" t="n"/>
      <c r="L205" s="231" t="n"/>
    </row>
    <row r="206" ht="20.1" customFormat="1" customHeight="1" s="185">
      <c r="A206" s="230" t="inlineStr">
        <is>
          <t>综合收益总额</t>
        </is>
      </c>
      <c r="B206" s="1163">
        <f>'被投资单位财务信息（合营、联营）G7-5'!G46</f>
        <v/>
      </c>
      <c r="C206" s="1163">
        <f>'被投资单位财务信息（合营、联营）G7-5'!I46</f>
        <v/>
      </c>
      <c r="D206" s="233" t="n"/>
      <c r="E206" s="231" t="n"/>
      <c r="F206" s="231" t="n"/>
      <c r="G206" s="231" t="n"/>
      <c r="H206" s="231" t="n"/>
      <c r="I206" s="231" t="n"/>
      <c r="J206" s="231" t="n"/>
      <c r="K206" s="231" t="n"/>
      <c r="L206" s="231" t="n"/>
    </row>
    <row r="207" ht="20.1" customFormat="1" customHeight="1" s="185">
      <c r="A207" s="275" t="inlineStr">
        <is>
          <t>联营企业：</t>
        </is>
      </c>
      <c r="B207" s="1164" t="n"/>
      <c r="C207" s="1165" t="n"/>
      <c r="D207" s="233" t="n"/>
      <c r="E207" s="231" t="n"/>
      <c r="F207" s="231" t="n"/>
      <c r="G207" s="231" t="n"/>
      <c r="H207" s="231" t="n"/>
      <c r="I207" s="231" t="n"/>
      <c r="J207" s="231" t="n"/>
      <c r="K207" s="231" t="n"/>
      <c r="L207" s="231" t="n"/>
    </row>
    <row r="208" ht="20.1" customFormat="1" customHeight="1" s="185">
      <c r="A208" s="278" t="inlineStr">
        <is>
          <t>投资账面价值合计</t>
        </is>
      </c>
      <c r="B208" s="1163">
        <f>'被投资单位财务信息（合营、联营）G7-5'!G49</f>
        <v/>
      </c>
      <c r="C208" s="1163">
        <f>'被投资单位财务信息（合营、联营）G7-5'!I49</f>
        <v/>
      </c>
      <c r="D208" s="233" t="n"/>
      <c r="E208" s="231" t="n"/>
      <c r="F208" s="231" t="n"/>
      <c r="G208" s="231" t="n"/>
      <c r="H208" s="231" t="n"/>
      <c r="I208" s="231" t="n"/>
      <c r="J208" s="231" t="n"/>
      <c r="K208" s="231" t="n"/>
      <c r="L208" s="231" t="n"/>
    </row>
    <row r="209" ht="20.1" customFormat="1" customHeight="1" s="185">
      <c r="A209" s="278" t="inlineStr">
        <is>
          <t xml:space="preserve">下列各项按持股比例计算的合计数 </t>
        </is>
      </c>
      <c r="B209" s="1163">
        <f>'被投资单位财务信息（合营、联营）G7-5'!G50</f>
        <v/>
      </c>
      <c r="C209" s="1163">
        <f>'被投资单位财务信息（合营、联营）G7-5'!I50</f>
        <v/>
      </c>
      <c r="D209" s="233" t="n"/>
      <c r="E209" s="231" t="n"/>
      <c r="F209" s="231" t="n"/>
      <c r="G209" s="231" t="n"/>
      <c r="H209" s="231" t="n"/>
      <c r="I209" s="231" t="n"/>
      <c r="J209" s="231" t="n"/>
      <c r="K209" s="231" t="n"/>
      <c r="L209" s="231" t="n"/>
    </row>
    <row r="210" ht="20.1" customFormat="1" customHeight="1" s="185">
      <c r="A210" s="278" t="inlineStr">
        <is>
          <t>净利润</t>
        </is>
      </c>
      <c r="B210" s="1163">
        <f>'被投资单位财务信息（合营、联营）G7-5'!G51</f>
        <v/>
      </c>
      <c r="C210" s="1163">
        <f>'被投资单位财务信息（合营、联营）G7-5'!I51</f>
        <v/>
      </c>
      <c r="D210" s="233" t="n"/>
      <c r="E210" s="231" t="n"/>
      <c r="F210" s="231" t="n"/>
      <c r="G210" s="231" t="n"/>
      <c r="H210" s="231" t="n"/>
      <c r="I210" s="231" t="n"/>
      <c r="J210" s="231" t="n"/>
      <c r="K210" s="231" t="n"/>
      <c r="L210" s="231" t="n"/>
    </row>
    <row r="211" ht="20.1" customFormat="1" customHeight="1" s="185">
      <c r="A211" s="278" t="inlineStr">
        <is>
          <t>其他综合收益</t>
        </is>
      </c>
      <c r="B211" s="1163">
        <f>'被投资单位财务信息（合营、联营）G7-5'!G52</f>
        <v/>
      </c>
      <c r="C211" s="1163">
        <f>'被投资单位财务信息（合营、联营）G7-5'!I52</f>
        <v/>
      </c>
      <c r="D211" s="233" t="n"/>
      <c r="E211" s="231" t="n"/>
      <c r="F211" s="231" t="n"/>
      <c r="G211" s="231" t="n"/>
      <c r="H211" s="231" t="n"/>
      <c r="I211" s="231" t="n"/>
      <c r="J211" s="231" t="n"/>
      <c r="K211" s="231" t="n"/>
      <c r="L211" s="231" t="n"/>
    </row>
    <row r="212" ht="20.1" customFormat="1" customHeight="1" s="185" thickBot="1">
      <c r="A212" s="279" t="inlineStr">
        <is>
          <t>综合收益总额</t>
        </is>
      </c>
      <c r="B212" s="1166">
        <f>'被投资单位财务信息（合营、联营）G7-5'!G53</f>
        <v/>
      </c>
      <c r="C212" s="1167">
        <f>'被投资单位财务信息（合营、联营）G7-5'!I53</f>
        <v/>
      </c>
      <c r="D212" s="233" t="n"/>
      <c r="E212" s="231" t="n"/>
      <c r="F212" s="231" t="n"/>
      <c r="G212" s="231" t="n"/>
      <c r="H212" s="231" t="n"/>
      <c r="I212" s="231" t="n"/>
      <c r="J212" s="231" t="n"/>
      <c r="K212" s="231" t="n"/>
      <c r="L212" s="231" t="n"/>
    </row>
    <row r="213" ht="20.1" customFormat="1" customHeight="1" s="185">
      <c r="A213" s="892" t="inlineStr">
        <is>
          <t>（注：存在终止经营的净利润的，还应当在本表中单列项目披露）</t>
        </is>
      </c>
      <c r="G213" s="233" t="n"/>
      <c r="H213" s="231" t="n"/>
      <c r="I213" s="231" t="n"/>
      <c r="J213" s="231" t="n"/>
      <c r="K213" s="231" t="n"/>
      <c r="L213" s="231" t="n"/>
    </row>
    <row r="214" ht="20.1" customFormat="1" customHeight="1" s="185">
      <c r="A214" s="232" t="inlineStr">
        <is>
          <t>说明：</t>
        </is>
      </c>
      <c r="B214" s="233" t="n"/>
      <c r="C214" s="233" t="n"/>
      <c r="D214" s="233" t="n"/>
      <c r="E214" s="233" t="n"/>
      <c r="F214" s="233" t="n"/>
      <c r="G214" s="233" t="n"/>
      <c r="H214" s="231" t="n"/>
      <c r="I214" s="231" t="n"/>
      <c r="J214" s="231" t="n"/>
      <c r="K214" s="231" t="n"/>
      <c r="L214" s="231" t="n"/>
    </row>
    <row r="215" ht="20.1" customFormat="1" customHeight="1" s="185">
      <c r="A215" s="894" t="inlineStr">
        <is>
          <t>① （合营企业、联营企业的重要会计政策、会计估计与公司的会计政策、会计估计存在的重大差异说明）</t>
        </is>
      </c>
      <c r="G215" s="233" t="n"/>
      <c r="H215" s="231" t="n"/>
      <c r="I215" s="231" t="n"/>
      <c r="J215" s="231" t="n"/>
      <c r="K215" s="231" t="n"/>
      <c r="L215" s="231" t="n"/>
    </row>
    <row r="216" ht="20.1" customFormat="1" customHeight="1" s="185">
      <c r="A216" s="894" t="inlineStr">
        <is>
          <t>②（对合营企业具有共同控制的依据说明）</t>
        </is>
      </c>
      <c r="G216" s="233" t="n"/>
      <c r="H216" s="231" t="n"/>
      <c r="I216" s="231" t="n"/>
      <c r="J216" s="231" t="n"/>
      <c r="K216" s="231" t="n"/>
      <c r="L216" s="231" t="n"/>
    </row>
    <row r="217" ht="20.1" customFormat="1" customHeight="1" s="185">
      <c r="A217" s="892" t="inlineStr">
        <is>
          <t>【提示：被划分为持有待售资产的，不需要披露合营企业或联营企业的上述财务信息。）】</t>
        </is>
      </c>
      <c r="G217" s="233" t="n"/>
      <c r="H217" s="231" t="n"/>
      <c r="I217" s="231" t="n"/>
      <c r="J217" s="231" t="n"/>
      <c r="K217" s="231" t="n"/>
      <c r="L217" s="231" t="n"/>
    </row>
    <row r="218" ht="20.1" customFormat="1" customHeight="1" s="185">
      <c r="A218" s="894" t="inlineStr">
        <is>
          <t>（5）合营企业或联营企业向本公司转移资金的能力存在重大限制的说明：</t>
        </is>
      </c>
      <c r="G218" s="233" t="n"/>
      <c r="H218" s="231" t="n"/>
      <c r="I218" s="231" t="n"/>
      <c r="J218" s="231" t="n"/>
      <c r="K218" s="231" t="n"/>
      <c r="L218" s="231" t="n"/>
    </row>
    <row r="219" ht="20.1" customFormat="1" customHeight="1" s="185">
      <c r="A219" s="894" t="n"/>
      <c r="B219" s="894" t="n"/>
      <c r="C219" s="894" t="n"/>
      <c r="D219" s="894" t="n"/>
      <c r="E219" s="894" t="n"/>
      <c r="F219" s="894" t="n"/>
      <c r="G219" s="233" t="n"/>
      <c r="H219" s="231" t="n"/>
      <c r="I219" s="231" t="n"/>
      <c r="J219" s="231" t="n"/>
      <c r="K219" s="231" t="n"/>
      <c r="L219" s="231" t="n"/>
    </row>
    <row r="220" ht="20.1" customFormat="1" customHeight="1" s="185" thickBot="1">
      <c r="A220" s="894" t="inlineStr">
        <is>
          <t>（6）对合营企业或联营企业发生超额亏损的分担额（不适用的删除）</t>
        </is>
      </c>
      <c r="B220" s="233" t="n"/>
      <c r="C220" s="233" t="n"/>
      <c r="D220" s="233" t="n"/>
      <c r="E220" s="233" t="n"/>
      <c r="F220" s="233" t="n"/>
      <c r="G220" s="233" t="n"/>
      <c r="H220" s="231" t="n"/>
      <c r="I220" s="231" t="n"/>
      <c r="J220" s="231" t="n"/>
      <c r="K220" s="231" t="n"/>
      <c r="L220" s="231" t="n"/>
    </row>
    <row r="221" ht="48" customFormat="1" customHeight="1" s="185" thickBot="1">
      <c r="A221" s="914" t="inlineStr">
        <is>
          <t>被投资单位名称</t>
        </is>
      </c>
      <c r="B221" s="914" t="inlineStr">
        <is>
          <t>前期累积未确认的损失份额</t>
        </is>
      </c>
      <c r="C221" s="914" t="inlineStr">
        <is>
          <t>本期未确认的损失份额（或本期实现净利润的分享额）</t>
        </is>
      </c>
      <c r="D221" s="914" t="inlineStr">
        <is>
          <t>本期末累积未确认的损失份额</t>
        </is>
      </c>
      <c r="E221" s="233" t="n"/>
      <c r="F221" s="233" t="n"/>
      <c r="G221" s="233" t="n"/>
      <c r="H221" s="231" t="n"/>
      <c r="I221" s="231" t="n"/>
      <c r="J221" s="231" t="n"/>
      <c r="K221" s="231" t="n"/>
      <c r="L221" s="231" t="n"/>
    </row>
    <row r="222" ht="20.1" customFormat="1" customHeight="1" s="185">
      <c r="A222" s="230" t="inlineStr">
        <is>
          <t>合营企业</t>
        </is>
      </c>
      <c r="B222" s="240" t="n"/>
      <c r="C222" s="240" t="n"/>
      <c r="D222" s="240" t="n"/>
      <c r="E222" s="233" t="n"/>
      <c r="F222" s="233" t="n"/>
      <c r="G222" s="233" t="n"/>
      <c r="H222" s="231" t="n"/>
      <c r="I222" s="231" t="n"/>
      <c r="J222" s="231" t="n"/>
      <c r="K222" s="231" t="n"/>
      <c r="L222" s="231" t="n"/>
    </row>
    <row r="223" ht="20.1" customFormat="1" customHeight="1" s="185">
      <c r="A223" s="230">
        <f>'未确认投资损失测试表G7-16'!B12</f>
        <v/>
      </c>
      <c r="B223" s="1165">
        <f>IF('未确认投资损失测试表G7-16'!H12&lt;0,'未确认投资损失测试表G7-16'!H12,0)</f>
        <v/>
      </c>
      <c r="C223" s="1165">
        <f>'未确认投资损失测试表G7-16'!I12</f>
        <v/>
      </c>
      <c r="D223" s="1165">
        <f>'未确认投资损失测试表G7-16'!J12</f>
        <v/>
      </c>
      <c r="E223" s="233" t="n"/>
      <c r="F223" s="233" t="n"/>
      <c r="G223" s="233" t="n"/>
      <c r="H223" s="231" t="n"/>
      <c r="I223" s="231" t="n"/>
      <c r="J223" s="231" t="n"/>
      <c r="K223" s="231" t="n"/>
      <c r="L223" s="231" t="n"/>
    </row>
    <row r="224" ht="20.1" customFormat="1" customHeight="1" s="185">
      <c r="A224" s="230">
        <f>'未确认投资损失测试表G7-16'!B13</f>
        <v/>
      </c>
      <c r="B224" s="1165">
        <f>IF('未确认投资损失测试表G7-16'!H13&lt;0,'未确认投资损失测试表G7-16'!H13,0)</f>
        <v/>
      </c>
      <c r="C224" s="1165">
        <f>'未确认投资损失测试表G7-16'!I13</f>
        <v/>
      </c>
      <c r="D224" s="1165">
        <f>'未确认投资损失测试表G7-16'!J13</f>
        <v/>
      </c>
      <c r="E224" s="233" t="n"/>
      <c r="F224" s="233" t="n"/>
      <c r="G224" s="233" t="n"/>
      <c r="H224" s="231" t="n"/>
      <c r="I224" s="231" t="n"/>
      <c r="J224" s="231" t="n"/>
      <c r="K224" s="231" t="n"/>
      <c r="L224" s="231" t="n"/>
    </row>
    <row r="225" ht="20.1" customFormat="1" customHeight="1" s="185">
      <c r="A225" s="230">
        <f>'未确认投资损失测试表G7-16'!B14</f>
        <v/>
      </c>
      <c r="B225" s="1165">
        <f>IF('未确认投资损失测试表G7-16'!H14&lt;0,'未确认投资损失测试表G7-16'!H14,0)</f>
        <v/>
      </c>
      <c r="C225" s="1165">
        <f>'未确认投资损失测试表G7-16'!I14</f>
        <v/>
      </c>
      <c r="D225" s="1165">
        <f>'未确认投资损失测试表G7-16'!J14</f>
        <v/>
      </c>
      <c r="E225" s="233" t="n"/>
      <c r="F225" s="233" t="n"/>
      <c r="G225" s="233" t="n"/>
      <c r="H225" s="231" t="n"/>
      <c r="I225" s="231" t="n"/>
      <c r="J225" s="231" t="n"/>
      <c r="K225" s="231" t="n"/>
      <c r="L225" s="231" t="n"/>
    </row>
    <row r="226" ht="20.1" customFormat="1" customHeight="1" s="185">
      <c r="A226" s="269" t="inlineStr">
        <is>
          <t>小计</t>
        </is>
      </c>
      <c r="B226" s="1168">
        <f>SUM(B223:B225)</f>
        <v/>
      </c>
      <c r="C226" s="1168">
        <f>SUM(C223:C225)</f>
        <v/>
      </c>
      <c r="D226" s="1168">
        <f>SUM(D223:D225)</f>
        <v/>
      </c>
      <c r="E226" s="233" t="n"/>
      <c r="F226" s="233" t="n"/>
      <c r="G226" s="233" t="n"/>
      <c r="H226" s="231" t="n"/>
      <c r="I226" s="231" t="n"/>
      <c r="J226" s="231" t="n"/>
      <c r="K226" s="231" t="n"/>
      <c r="L226" s="231" t="n"/>
    </row>
    <row r="227" ht="20.1" customFormat="1" customHeight="1" s="185">
      <c r="A227" s="230" t="inlineStr">
        <is>
          <t>联营企业</t>
        </is>
      </c>
      <c r="B227" s="1165" t="n"/>
      <c r="C227" s="1165" t="n"/>
      <c r="D227" s="1165" t="n"/>
      <c r="E227" s="233" t="n"/>
      <c r="F227" s="233" t="n"/>
      <c r="G227" s="233" t="n"/>
      <c r="H227" s="231" t="n"/>
      <c r="I227" s="231" t="n"/>
      <c r="J227" s="231" t="n"/>
      <c r="K227" s="231" t="n"/>
      <c r="L227" s="231" t="n"/>
    </row>
    <row r="228" ht="20.1" customFormat="1" customHeight="1" s="185">
      <c r="A228" s="230">
        <f>'未确认投资损失测试表G7-16'!B17</f>
        <v/>
      </c>
      <c r="B228" s="1165">
        <f>IF('未确认投资损失测试表G7-16'!H17&lt;0,'未确认投资损失测试表G7-16'!H17,0)</f>
        <v/>
      </c>
      <c r="C228" s="1165">
        <f>'未确认投资损失测试表G7-16'!I17</f>
        <v/>
      </c>
      <c r="D228" s="1165">
        <f>'未确认投资损失测试表G7-16'!J17</f>
        <v/>
      </c>
      <c r="E228" s="233" t="n"/>
      <c r="F228" s="233" t="n"/>
      <c r="G228" s="233" t="n"/>
      <c r="H228" s="231" t="n"/>
      <c r="I228" s="231" t="n"/>
      <c r="J228" s="231" t="n"/>
      <c r="K228" s="231" t="n"/>
      <c r="L228" s="231" t="n"/>
    </row>
    <row r="229" ht="20.1" customFormat="1" customHeight="1" s="185">
      <c r="A229" s="230">
        <f>'未确认投资损失测试表G7-16'!B18</f>
        <v/>
      </c>
      <c r="B229" s="1165">
        <f>IF('未确认投资损失测试表G7-16'!H18&lt;0,'未确认投资损失测试表G7-16'!H18,0)</f>
        <v/>
      </c>
      <c r="C229" s="1165">
        <f>'未确认投资损失测试表G7-16'!I18</f>
        <v/>
      </c>
      <c r="D229" s="1165">
        <f>'未确认投资损失测试表G7-16'!J18</f>
        <v/>
      </c>
      <c r="E229" s="233" t="n"/>
      <c r="F229" s="233" t="n"/>
      <c r="G229" s="233" t="n"/>
      <c r="H229" s="231" t="n"/>
      <c r="I229" s="231" t="n"/>
      <c r="J229" s="231" t="n"/>
      <c r="K229" s="231" t="n"/>
      <c r="L229" s="231" t="n"/>
    </row>
    <row r="230" ht="20.1" customFormat="1" customHeight="1" s="185">
      <c r="A230" s="230">
        <f>'未确认投资损失测试表G7-16'!B19</f>
        <v/>
      </c>
      <c r="B230" s="1165">
        <f>IF('未确认投资损失测试表G7-16'!H19&lt;0,'未确认投资损失测试表G7-16'!H19,0)</f>
        <v/>
      </c>
      <c r="C230" s="1165">
        <f>'未确认投资损失测试表G7-16'!I19</f>
        <v/>
      </c>
      <c r="D230" s="1165">
        <f>'未确认投资损失测试表G7-16'!J19</f>
        <v/>
      </c>
      <c r="E230" s="233" t="n"/>
      <c r="F230" s="233" t="n"/>
      <c r="G230" s="233" t="n"/>
      <c r="H230" s="231" t="n"/>
      <c r="I230" s="231" t="n"/>
      <c r="J230" s="231" t="n"/>
      <c r="K230" s="231" t="n"/>
      <c r="L230" s="231" t="n"/>
    </row>
    <row r="231" ht="20.1" customFormat="1" customHeight="1" s="185" thickBot="1">
      <c r="A231" s="283" t="inlineStr">
        <is>
          <t>小计</t>
        </is>
      </c>
      <c r="B231" s="1169">
        <f>SUM(B228:B230)</f>
        <v/>
      </c>
      <c r="C231" s="1169">
        <f>SUM(C228:C230)</f>
        <v/>
      </c>
      <c r="D231" s="1169">
        <f>SUM(D228:D230)</f>
        <v/>
      </c>
      <c r="E231" s="233" t="n"/>
      <c r="F231" s="233" t="n"/>
      <c r="G231" s="233" t="n"/>
      <c r="H231" s="231" t="n"/>
      <c r="I231" s="231" t="n"/>
      <c r="J231" s="231" t="n"/>
      <c r="K231" s="231" t="n"/>
      <c r="L231" s="231" t="n"/>
    </row>
    <row r="232" ht="20.1" customFormat="1" customHeight="1" s="185" thickBot="1">
      <c r="A232" s="285" t="inlineStr">
        <is>
          <t>合  计</t>
        </is>
      </c>
      <c r="B232" s="1170">
        <f>B226+B231</f>
        <v/>
      </c>
      <c r="C232" s="1170">
        <f>C226+C231</f>
        <v/>
      </c>
      <c r="D232" s="1170">
        <f>D226+D231</f>
        <v/>
      </c>
      <c r="E232" s="233" t="n"/>
      <c r="F232" s="233" t="n"/>
      <c r="G232" s="233" t="n"/>
      <c r="H232" s="231" t="n"/>
      <c r="I232" s="231" t="n"/>
      <c r="J232" s="231" t="n"/>
      <c r="K232" s="231" t="n"/>
      <c r="L232" s="231" t="n"/>
    </row>
    <row r="233" ht="20.1" customFormat="1" customHeight="1" s="185">
      <c r="A233" s="903" t="inlineStr">
        <is>
          <t>（7）公司应披露与其对合营企业投资相关的未确认承诺，以及与其对合营企业或联营企业投资相关的或有负债。</t>
        </is>
      </c>
      <c r="G233" s="233" t="n"/>
      <c r="H233" s="231" t="n"/>
      <c r="I233" s="231" t="n"/>
      <c r="J233" s="231" t="n"/>
      <c r="K233" s="231" t="n"/>
      <c r="L233" s="231" t="n"/>
    </row>
    <row r="234" ht="20.1" customFormat="1" customHeight="1" s="185" thickBot="1">
      <c r="A234" s="232" t="inlineStr">
        <is>
          <t>（8）重要的共同经营</t>
        </is>
      </c>
      <c r="B234" s="233" t="n"/>
      <c r="C234" s="233" t="n"/>
      <c r="D234" s="233" t="n"/>
      <c r="E234" s="233" t="n"/>
      <c r="F234" s="233" t="n"/>
      <c r="G234" s="233" t="n"/>
      <c r="H234" s="231" t="n"/>
      <c r="I234" s="231" t="n"/>
      <c r="J234" s="231" t="n"/>
      <c r="K234" s="231" t="n"/>
      <c r="L234" s="231" t="n"/>
    </row>
    <row r="235" ht="20.1" customFormat="1" customHeight="1" s="185">
      <c r="A235" s="914" t="inlineStr">
        <is>
          <t>共同经营名称</t>
        </is>
      </c>
      <c r="B235" s="914" t="inlineStr">
        <is>
          <t>主要经营地</t>
        </is>
      </c>
      <c r="C235" s="914" t="inlineStr">
        <is>
          <t>注册地</t>
        </is>
      </c>
      <c r="D235" s="914" t="inlineStr">
        <is>
          <t>业务性质</t>
        </is>
      </c>
      <c r="E235" s="890" t="inlineStr">
        <is>
          <t>持股比例/享有的份额(%)</t>
        </is>
      </c>
      <c r="F235" s="1157" t="n"/>
      <c r="G235" s="233" t="n"/>
      <c r="H235" s="231" t="n"/>
      <c r="I235" s="231" t="n"/>
      <c r="J235" s="231" t="n"/>
      <c r="K235" s="231" t="n"/>
      <c r="L235" s="231" t="n"/>
    </row>
    <row r="236" ht="20.1" customFormat="1" customHeight="1" s="185" thickBot="1">
      <c r="A236" s="1158" t="n"/>
      <c r="B236" s="1158" t="n"/>
      <c r="C236" s="1158" t="n"/>
      <c r="D236" s="1158" t="n"/>
      <c r="E236" s="891" t="inlineStr">
        <is>
          <t>直接</t>
        </is>
      </c>
      <c r="F236" s="891" t="inlineStr">
        <is>
          <t>间接</t>
        </is>
      </c>
      <c r="G236" s="233" t="n"/>
      <c r="H236" s="231" t="n"/>
      <c r="I236" s="231" t="n"/>
      <c r="J236" s="231" t="n"/>
      <c r="K236" s="231" t="n"/>
      <c r="L236" s="231" t="n"/>
    </row>
    <row r="237" ht="20.1" customFormat="1" customHeight="1" s="185">
      <c r="A237" s="267">
        <f>'被投资单位基本信息G7-4'!B35</f>
        <v/>
      </c>
      <c r="B237" s="352">
        <f>'被投资单位基本信息G7-4'!F35</f>
        <v/>
      </c>
      <c r="C237" s="352">
        <f>'被投资单位基本信息G7-4'!G35</f>
        <v/>
      </c>
      <c r="D237" s="352">
        <f>'被投资单位基本信息G7-4'!H35</f>
        <v/>
      </c>
      <c r="E237" s="352">
        <f>'被投资单位基本信息G7-4'!M35</f>
        <v/>
      </c>
      <c r="F237" s="352">
        <f>'被投资单位基本信息G7-4'!N35</f>
        <v/>
      </c>
      <c r="G237" s="233" t="n"/>
      <c r="H237" s="231" t="n"/>
      <c r="I237" s="231" t="n"/>
      <c r="J237" s="231" t="n"/>
      <c r="K237" s="231" t="n"/>
      <c r="L237" s="231" t="n"/>
    </row>
    <row r="238" ht="20.1" customFormat="1" customHeight="1" s="185">
      <c r="A238" s="267">
        <f>'被投资单位基本信息G7-4'!B36</f>
        <v/>
      </c>
      <c r="B238" s="352">
        <f>'被投资单位基本信息G7-4'!F36</f>
        <v/>
      </c>
      <c r="C238" s="352">
        <f>'被投资单位基本信息G7-4'!G36</f>
        <v/>
      </c>
      <c r="D238" s="352">
        <f>'被投资单位基本信息G7-4'!H36</f>
        <v/>
      </c>
      <c r="E238" s="352">
        <f>'被投资单位基本信息G7-4'!M36</f>
        <v/>
      </c>
      <c r="F238" s="352">
        <f>'被投资单位基本信息G7-4'!N36</f>
        <v/>
      </c>
      <c r="G238" s="233" t="n"/>
      <c r="H238" s="231" t="n"/>
      <c r="I238" s="231" t="n"/>
      <c r="J238" s="231" t="n"/>
      <c r="K238" s="231" t="n"/>
      <c r="L238" s="231" t="n"/>
    </row>
    <row r="239" ht="20.1" customFormat="1" customHeight="1" s="185">
      <c r="A239" s="267">
        <f>'被投资单位基本信息G7-4'!B37</f>
        <v/>
      </c>
      <c r="B239" s="352">
        <f>'被投资单位基本信息G7-4'!F37</f>
        <v/>
      </c>
      <c r="C239" s="352">
        <f>'被投资单位基本信息G7-4'!G37</f>
        <v/>
      </c>
      <c r="D239" s="352">
        <f>'被投资单位基本信息G7-4'!H37</f>
        <v/>
      </c>
      <c r="E239" s="352">
        <f>'被投资单位基本信息G7-4'!M37</f>
        <v/>
      </c>
      <c r="F239" s="352">
        <f>'被投资单位基本信息G7-4'!N37</f>
        <v/>
      </c>
      <c r="G239" s="233" t="n"/>
      <c r="H239" s="231" t="n"/>
      <c r="I239" s="231" t="n"/>
      <c r="J239" s="231" t="n"/>
      <c r="K239" s="231" t="n"/>
      <c r="L239" s="231" t="n"/>
    </row>
    <row r="240" ht="20.1" customFormat="1" customHeight="1" s="185" thickBot="1">
      <c r="A240" s="287">
        <f>'被投资单位基本信息G7-4'!B38</f>
        <v/>
      </c>
      <c r="B240" s="355">
        <f>'被投资单位基本信息G7-4'!F38</f>
        <v/>
      </c>
      <c r="C240" s="355">
        <f>'被投资单位基本信息G7-4'!G38</f>
        <v/>
      </c>
      <c r="D240" s="355">
        <f>'被投资单位基本信息G7-4'!H38</f>
        <v/>
      </c>
      <c r="E240" s="355">
        <f>'被投资单位基本信息G7-4'!M38</f>
        <v/>
      </c>
      <c r="F240" s="355">
        <f>'被投资单位基本信息G7-4'!N38</f>
        <v/>
      </c>
      <c r="G240" s="233" t="n"/>
      <c r="H240" s="231" t="n"/>
      <c r="I240" s="231" t="n"/>
      <c r="J240" s="231" t="n"/>
      <c r="K240" s="231" t="n"/>
      <c r="L240" s="231" t="n"/>
    </row>
    <row r="241" ht="20.1" customFormat="1" customHeight="1" s="185">
      <c r="A241" s="288" t="inlineStr">
        <is>
          <t>说明：</t>
        </is>
      </c>
      <c r="B241" s="233" t="n"/>
      <c r="C241" s="233" t="n"/>
      <c r="D241" s="233" t="n"/>
      <c r="E241" s="233" t="n"/>
      <c r="F241" s="233" t="n"/>
      <c r="G241" s="233" t="n"/>
      <c r="H241" s="231" t="n"/>
      <c r="I241" s="231" t="n"/>
      <c r="J241" s="231" t="n"/>
      <c r="K241" s="231" t="n"/>
      <c r="L241" s="231" t="n"/>
    </row>
    <row r="242" ht="20.1" customFormat="1" customHeight="1" s="185">
      <c r="A242" s="894" t="inlineStr">
        <is>
          <t>① 持股比例或享有的份额不同于表决权比例的，应说明表决权比例及差异原因。</t>
        </is>
      </c>
      <c r="G242" s="233" t="n"/>
      <c r="H242" s="231" t="n"/>
      <c r="I242" s="231" t="n"/>
      <c r="J242" s="231" t="n"/>
      <c r="K242" s="231" t="n"/>
      <c r="L242" s="231" t="n"/>
    </row>
    <row r="243" ht="20.1" customFormat="1" customHeight="1" s="185">
      <c r="A243" s="894" t="inlineStr">
        <is>
          <t>②共同经营为单独主体的，应披露判断为共同经营的依据。</t>
        </is>
      </c>
      <c r="G243" s="233" t="n"/>
      <c r="H243" s="231" t="n"/>
      <c r="I243" s="231" t="n"/>
      <c r="J243" s="231" t="n"/>
      <c r="K243" s="231" t="n"/>
      <c r="L243" s="231" t="n"/>
    </row>
    <row r="244" ht="21" customHeight="1" s="1097"/>
    <row r="245" ht="21" customHeight="1" s="1097"/>
    <row r="246" ht="21" customHeight="1" s="1097"/>
    <row r="247" ht="21" customHeight="1" s="1097"/>
    <row r="248" ht="21" customHeight="1" s="1097"/>
    <row r="249" ht="21" customHeight="1" s="1097"/>
    <row r="250" ht="21" customHeight="1" s="1097"/>
    <row r="251" ht="21" customHeight="1" s="1097"/>
    <row r="252" ht="21" customHeight="1" s="1097"/>
    <row r="253" ht="21" customHeight="1" s="1097"/>
  </sheetData>
  <mergeCells count="79">
    <mergeCell ref="A126:G126"/>
    <mergeCell ref="B74:E74"/>
    <mergeCell ref="A169:A170"/>
    <mergeCell ref="E111:F111"/>
    <mergeCell ref="D9:D11"/>
    <mergeCell ref="A167:G167"/>
    <mergeCell ref="B28:B29"/>
    <mergeCell ref="A45:G45"/>
    <mergeCell ref="F153:G153"/>
    <mergeCell ref="A8:A11"/>
    <mergeCell ref="D235:D236"/>
    <mergeCell ref="A128:G128"/>
    <mergeCell ref="A46:G46"/>
    <mergeCell ref="A111:A112"/>
    <mergeCell ref="C111:C112"/>
    <mergeCell ref="A129:G129"/>
    <mergeCell ref="A243:F243"/>
    <mergeCell ref="E235:F235"/>
    <mergeCell ref="A153:A154"/>
    <mergeCell ref="A131:G131"/>
    <mergeCell ref="A89:I89"/>
    <mergeCell ref="A165:G165"/>
    <mergeCell ref="A213:F213"/>
    <mergeCell ref="A74:A75"/>
    <mergeCell ref="D189:E189"/>
    <mergeCell ref="F189:G189"/>
    <mergeCell ref="A166:G166"/>
    <mergeCell ref="A215:F215"/>
    <mergeCell ref="B132:C132"/>
    <mergeCell ref="A235:A236"/>
    <mergeCell ref="A168:G168"/>
    <mergeCell ref="A92:I92"/>
    <mergeCell ref="M8:M11"/>
    <mergeCell ref="A216:F216"/>
    <mergeCell ref="D8:K8"/>
    <mergeCell ref="B66:G66"/>
    <mergeCell ref="A94:I94"/>
    <mergeCell ref="B169:C169"/>
    <mergeCell ref="D169:E169"/>
    <mergeCell ref="A218:F218"/>
    <mergeCell ref="C9:C11"/>
    <mergeCell ref="E9:E11"/>
    <mergeCell ref="B153:C153"/>
    <mergeCell ref="D153:E153"/>
    <mergeCell ref="A217:F217"/>
    <mergeCell ref="B235:B236"/>
    <mergeCell ref="A242:F242"/>
    <mergeCell ref="A2:L2"/>
    <mergeCell ref="B8:B11"/>
    <mergeCell ref="G28:G29"/>
    <mergeCell ref="L8:L11"/>
    <mergeCell ref="A130:G130"/>
    <mergeCell ref="D28:D29"/>
    <mergeCell ref="K9:K11"/>
    <mergeCell ref="A197:G197"/>
    <mergeCell ref="F74:I74"/>
    <mergeCell ref="H9:H11"/>
    <mergeCell ref="J9:J11"/>
    <mergeCell ref="B189:C189"/>
    <mergeCell ref="C235:C236"/>
    <mergeCell ref="B58:G58"/>
    <mergeCell ref="A58:A59"/>
    <mergeCell ref="A132:A133"/>
    <mergeCell ref="A233:F233"/>
    <mergeCell ref="B111:B112"/>
    <mergeCell ref="D111:D112"/>
    <mergeCell ref="A66:A67"/>
    <mergeCell ref="A189:A190"/>
    <mergeCell ref="A127:G127"/>
    <mergeCell ref="F169:G169"/>
    <mergeCell ref="E28:F28"/>
    <mergeCell ref="I9:I11"/>
    <mergeCell ref="A28:A29"/>
    <mergeCell ref="A1:L1"/>
    <mergeCell ref="C28:C29"/>
    <mergeCell ref="A163:G163"/>
    <mergeCell ref="D132:E132"/>
    <mergeCell ref="F132:G132"/>
    <mergeCell ref="G111:G112"/>
  </mergeCells>
  <pageMargins left="0.7086614173228347" right="0.7086614173228347" top="0.7480314960629921" bottom="0.7480314960629921" header="0.3149606299212598" footer="0.3149606299212598"/>
  <pageSetup orientation="portrait" paperSize="9" fitToHeight="100"/>
  <headerFooter>
    <oddHeader/>
    <oddFooter>&amp;C&amp;P/&amp;N</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Q355"/>
  <sheetViews>
    <sheetView view="pageBreakPreview" zoomScaleSheetLayoutView="100" workbookViewId="0">
      <selection activeCell="A1" sqref="A1:L1"/>
    </sheetView>
  </sheetViews>
  <sheetFormatPr baseColWidth="8" defaultColWidth="9" defaultRowHeight="13.8" outlineLevelCol="0"/>
  <cols>
    <col width="15" customWidth="1" style="439" min="1" max="1"/>
    <col width="22" customWidth="1" style="439" min="2" max="2"/>
    <col width="13.8984375" customWidth="1" style="439" min="3" max="3"/>
    <col width="16" customWidth="1" style="439" min="4" max="4"/>
    <col width="16.19921875" customWidth="1" style="439" min="5" max="5"/>
    <col width="17.59765625" customWidth="1" style="439" min="6" max="6"/>
    <col width="14.19921875" customWidth="1" style="439" min="7" max="7"/>
    <col width="13.8984375" customWidth="1" style="439" min="8" max="8"/>
    <col width="15.3984375" customWidth="1" style="439" min="9" max="9"/>
    <col width="14.19921875" customWidth="1" style="439" min="10" max="10"/>
    <col width="13.19921875" customWidth="1" style="439" min="11" max="11"/>
    <col width="13.59765625" customWidth="1" style="439" min="12" max="12"/>
    <col width="9" customWidth="1" style="439" min="13" max="16384"/>
  </cols>
  <sheetData>
    <row r="1" ht="16.95" customFormat="1" customHeight="1" s="626">
      <c r="A1" s="888" t="inlineStr">
        <is>
          <t>致同会计师事务所</t>
        </is>
      </c>
      <c r="B1" s="0" t="n"/>
      <c r="C1" s="0" t="n"/>
      <c r="D1" s="0" t="n"/>
      <c r="E1" s="0" t="n"/>
      <c r="F1" s="0" t="n"/>
      <c r="G1" s="0" t="n"/>
      <c r="H1" s="0" t="n"/>
      <c r="I1" s="0" t="n"/>
      <c r="J1" s="0" t="n"/>
      <c r="K1" s="0" t="n"/>
      <c r="L1" s="0" t="n"/>
    </row>
    <row r="2" ht="19.5" customFormat="1" customHeight="1" s="638">
      <c r="A2" s="889" t="inlineStr">
        <is>
          <t>附注披露信息（国企）</t>
        </is>
      </c>
      <c r="B2" s="0" t="n"/>
      <c r="C2" s="0" t="n"/>
      <c r="D2" s="0" t="n"/>
      <c r="E2" s="0" t="n"/>
      <c r="F2" s="0" t="n"/>
      <c r="G2" s="0" t="n"/>
      <c r="H2" s="0" t="n"/>
      <c r="I2" s="0" t="n"/>
      <c r="J2" s="0" t="n"/>
      <c r="K2" s="0" t="n"/>
      <c r="L2" s="0" t="n"/>
    </row>
    <row r="3" ht="20.1" customFormat="1" customHeight="1" s="208">
      <c r="A3" s="207">
        <f>底稿目录!A2</f>
        <v/>
      </c>
      <c r="B3" s="207" t="n"/>
      <c r="C3" s="207" t="n"/>
      <c r="D3" s="207">
        <f>底稿目录!A4</f>
        <v/>
      </c>
      <c r="G3" s="678" t="n"/>
      <c r="H3" s="207">
        <f>底稿目录!A5</f>
        <v/>
      </c>
      <c r="K3" s="678" t="inlineStr">
        <is>
          <t>索引号：</t>
        </is>
      </c>
      <c r="L3" s="208">
        <f>底稿目录!F7</f>
        <v/>
      </c>
    </row>
    <row r="4" ht="20.1" customFormat="1" customHeight="1" s="208">
      <c r="A4" s="207">
        <f>底稿目录!A3</f>
        <v/>
      </c>
      <c r="B4" s="207" t="n"/>
      <c r="C4" s="207" t="n"/>
      <c r="D4" s="207">
        <f>底稿目录!A6</f>
        <v/>
      </c>
      <c r="G4" s="678" t="n"/>
      <c r="H4" s="207">
        <f>底稿目录!A7</f>
        <v/>
      </c>
      <c r="K4" s="678" t="inlineStr">
        <is>
          <t>页次：</t>
        </is>
      </c>
    </row>
    <row r="5" ht="20.1" customFormat="1" customHeight="1" s="190">
      <c r="A5" s="440" t="inlineStr">
        <is>
          <t>附注披露信息</t>
        </is>
      </c>
      <c r="B5" s="440" t="n"/>
      <c r="C5" s="440" t="n"/>
      <c r="D5" s="440" t="n"/>
      <c r="E5" s="440" t="n"/>
      <c r="F5" s="440" t="n"/>
      <c r="G5" s="440" t="n"/>
      <c r="H5" s="440" t="n"/>
      <c r="I5" s="440" t="n"/>
      <c r="J5" s="440" t="n"/>
      <c r="K5" s="440" t="n"/>
      <c r="L5" s="440" t="n"/>
    </row>
    <row r="6" ht="20.1" customFormat="1" customHeight="1" s="190">
      <c r="A6" s="441" t="inlineStr">
        <is>
          <t>七、企业合并及合并财务报表</t>
        </is>
      </c>
      <c r="B6" s="441" t="n"/>
      <c r="C6" s="237" t="n"/>
      <c r="D6" s="237" t="n"/>
      <c r="E6" s="237" t="n"/>
      <c r="F6" s="237" t="n"/>
      <c r="G6" s="237" t="n"/>
      <c r="H6" s="237" t="n"/>
      <c r="I6" s="237" t="n"/>
      <c r="J6" s="237" t="n"/>
      <c r="K6" s="237" t="n"/>
      <c r="L6" s="237" t="n"/>
      <c r="M6" s="35" t="n"/>
      <c r="N6" s="35" t="n"/>
      <c r="O6" s="35" t="n"/>
    </row>
    <row r="7" ht="20.1" customFormat="1" customHeight="1" s="190">
      <c r="A7" s="209" t="inlineStr">
        <is>
          <t>（一）本期纳入合并报表范围的子公司基本情况</t>
        </is>
      </c>
      <c r="B7" s="209" t="n"/>
      <c r="C7" s="237" t="n"/>
      <c r="D7" s="237" t="n"/>
      <c r="E7" s="237" t="n"/>
      <c r="F7" s="237" t="n"/>
      <c r="G7" s="237" t="n"/>
      <c r="H7" s="237" t="n"/>
      <c r="I7" s="237" t="n"/>
      <c r="J7" s="237" t="n"/>
      <c r="K7" s="237" t="n"/>
      <c r="L7" s="237" t="n"/>
      <c r="M7" s="35" t="n"/>
      <c r="N7" s="35" t="n"/>
      <c r="O7" s="35" t="n"/>
    </row>
    <row r="8" ht="20.1" customFormat="1" customHeight="1" s="190" thickBot="1">
      <c r="A8" s="249" t="inlineStr">
        <is>
          <t>（企业应当按下列格式披露纳入报表合并范围的全部子公司主要情况；大型企业集团合并报表范围可以披露到二级子公司，集团所属重要子公司不分级次全部披露）</t>
        </is>
      </c>
      <c r="B8" s="249" t="n"/>
      <c r="C8" s="237" t="n"/>
      <c r="D8" s="237" t="n"/>
      <c r="E8" s="237" t="n"/>
      <c r="F8" s="237" t="n"/>
      <c r="G8" s="237" t="n"/>
      <c r="H8" s="237" t="n"/>
      <c r="I8" s="237" t="n"/>
      <c r="J8" s="237" t="n"/>
      <c r="K8" s="237" t="n"/>
      <c r="L8" s="237" t="n"/>
      <c r="M8" s="35" t="n"/>
      <c r="N8" s="35" t="n"/>
      <c r="O8" s="35" t="n"/>
    </row>
    <row r="9" ht="20.1" customFormat="1" customHeight="1" s="190" thickBot="1">
      <c r="A9" s="442" t="inlineStr">
        <is>
          <t>序号</t>
        </is>
      </c>
      <c r="B9" s="442" t="inlineStr">
        <is>
          <t>企业名称</t>
        </is>
      </c>
      <c r="C9" s="442" t="inlineStr">
        <is>
          <t>级次</t>
        </is>
      </c>
      <c r="D9" s="442" t="inlineStr">
        <is>
          <t>企业类型</t>
        </is>
      </c>
      <c r="E9" s="442" t="inlineStr">
        <is>
          <t>注册地</t>
        </is>
      </c>
      <c r="F9" s="442" t="inlineStr">
        <is>
          <t>主要经营地</t>
        </is>
      </c>
      <c r="G9" s="442" t="inlineStr">
        <is>
          <t>业务性质</t>
        </is>
      </c>
      <c r="H9" s="442" t="inlineStr">
        <is>
          <t>实收资本</t>
        </is>
      </c>
      <c r="I9" s="443" t="inlineStr">
        <is>
          <t>认缴持股比例
（%）</t>
        </is>
      </c>
      <c r="J9" s="442" t="inlineStr">
        <is>
          <t>实缴持股比例（%）</t>
        </is>
      </c>
      <c r="K9" s="442" t="inlineStr">
        <is>
          <t>享有的表决权（%）</t>
        </is>
      </c>
      <c r="L9" s="442" t="inlineStr">
        <is>
          <t>投资额</t>
        </is>
      </c>
      <c r="M9" s="442" t="inlineStr">
        <is>
          <t>取得方式</t>
        </is>
      </c>
      <c r="N9" s="35" t="n"/>
    </row>
    <row r="10" ht="20.1" customFormat="1" customHeight="1" s="190">
      <c r="A10" s="444" t="n">
        <v>1</v>
      </c>
      <c r="B10" s="445">
        <f>'被投资单位基本信息G7-4'!B12</f>
        <v/>
      </c>
      <c r="C10" s="245">
        <f>'被投资单位基本信息G7-4'!C12</f>
        <v/>
      </c>
      <c r="D10" s="245">
        <f>'被投资单位基本信息G7-4'!D12</f>
        <v/>
      </c>
      <c r="E10" s="245">
        <f>'被投资单位基本信息G7-4'!G12</f>
        <v/>
      </c>
      <c r="F10" s="245">
        <f>'被投资单位基本信息G7-4'!F12</f>
        <v/>
      </c>
      <c r="G10" s="245">
        <f>'被投资单位基本信息G7-4'!H12</f>
        <v/>
      </c>
      <c r="H10" s="245">
        <f>'被投资单位基本信息G7-4'!I12</f>
        <v/>
      </c>
      <c r="J10" s="446">
        <f>'被投资单位基本信息G7-4'!M12+'被投资单位基本信息G7-4'!N12</f>
        <v/>
      </c>
      <c r="K10" s="446">
        <f>'被投资单位基本信息G7-4'!O12</f>
        <v/>
      </c>
      <c r="L10" s="1171">
        <f>'明细表G7-2'!AI16</f>
        <v/>
      </c>
      <c r="M10" s="245">
        <f>'被投资单位基本信息G7-4'!S12</f>
        <v/>
      </c>
      <c r="N10" s="35" t="n"/>
    </row>
    <row r="11" ht="20.1" customFormat="1" customHeight="1" s="190">
      <c r="A11" s="448" t="n">
        <v>2</v>
      </c>
      <c r="B11" s="238">
        <f>'被投资单位基本信息G7-4'!B13</f>
        <v/>
      </c>
      <c r="C11" s="246">
        <f>'被投资单位基本信息G7-4'!C13</f>
        <v/>
      </c>
      <c r="D11" s="246">
        <f>'被投资单位基本信息G7-4'!D13</f>
        <v/>
      </c>
      <c r="E11" s="246">
        <f>'被投资单位基本信息G7-4'!G13</f>
        <v/>
      </c>
      <c r="F11" s="246">
        <f>'被投资单位基本信息G7-4'!F13</f>
        <v/>
      </c>
      <c r="G11" s="246">
        <f>'被投资单位基本信息G7-4'!H13</f>
        <v/>
      </c>
      <c r="H11" s="246">
        <f>'被投资单位基本信息G7-4'!I13</f>
        <v/>
      </c>
      <c r="J11" s="250">
        <f>'被投资单位基本信息G7-4'!M13+'被投资单位基本信息G7-4'!N13</f>
        <v/>
      </c>
      <c r="K11" s="250">
        <f>'被投资单位基本信息G7-4'!O13</f>
        <v/>
      </c>
      <c r="L11" s="1147">
        <f>'明细表G7-2'!AI17</f>
        <v/>
      </c>
      <c r="M11" s="246">
        <f>'被投资单位基本信息G7-4'!S13</f>
        <v/>
      </c>
      <c r="N11" s="35" t="n"/>
    </row>
    <row r="12" ht="20.1" customFormat="1" customHeight="1" s="190">
      <c r="A12" s="448" t="n">
        <v>3</v>
      </c>
      <c r="B12" s="238">
        <f>'被投资单位基本信息G7-4'!B14</f>
        <v/>
      </c>
      <c r="C12" s="246">
        <f>'被投资单位基本信息G7-4'!C14</f>
        <v/>
      </c>
      <c r="D12" s="246">
        <f>'被投资单位基本信息G7-4'!D14</f>
        <v/>
      </c>
      <c r="E12" s="246">
        <f>'被投资单位基本信息G7-4'!G14</f>
        <v/>
      </c>
      <c r="F12" s="246">
        <f>'被投资单位基本信息G7-4'!F14</f>
        <v/>
      </c>
      <c r="G12" s="246">
        <f>'被投资单位基本信息G7-4'!H14</f>
        <v/>
      </c>
      <c r="H12" s="246">
        <f>'被投资单位基本信息G7-4'!I14</f>
        <v/>
      </c>
      <c r="J12" s="250">
        <f>'被投资单位基本信息G7-4'!M14+'被投资单位基本信息G7-4'!N14</f>
        <v/>
      </c>
      <c r="K12" s="250">
        <f>'被投资单位基本信息G7-4'!O14</f>
        <v/>
      </c>
      <c r="L12" s="1147">
        <f>'明细表G7-2'!AI18</f>
        <v/>
      </c>
      <c r="M12" s="246">
        <f>'被投资单位基本信息G7-4'!S14</f>
        <v/>
      </c>
      <c r="N12" s="35" t="n"/>
    </row>
    <row r="13" ht="20.1" customFormat="1" customHeight="1" s="190">
      <c r="A13" s="448" t="n">
        <v>4</v>
      </c>
      <c r="B13" s="238">
        <f>'被投资单位基本信息G7-4'!B15</f>
        <v/>
      </c>
      <c r="C13" s="246">
        <f>'被投资单位基本信息G7-4'!C15</f>
        <v/>
      </c>
      <c r="D13" s="246">
        <f>'被投资单位基本信息G7-4'!D15</f>
        <v/>
      </c>
      <c r="E13" s="246">
        <f>'被投资单位基本信息G7-4'!G15</f>
        <v/>
      </c>
      <c r="F13" s="246">
        <f>'被投资单位基本信息G7-4'!F15</f>
        <v/>
      </c>
      <c r="G13" s="246">
        <f>'被投资单位基本信息G7-4'!H15</f>
        <v/>
      </c>
      <c r="H13" s="246">
        <f>'被投资单位基本信息G7-4'!I15</f>
        <v/>
      </c>
      <c r="J13" s="250">
        <f>'被投资单位基本信息G7-4'!M15+'被投资单位基本信息G7-4'!N15</f>
        <v/>
      </c>
      <c r="K13" s="250">
        <f>'被投资单位基本信息G7-4'!O15</f>
        <v/>
      </c>
      <c r="L13" s="1147">
        <f>'明细表G7-2'!AI19</f>
        <v/>
      </c>
      <c r="M13" s="246">
        <f>'被投资单位基本信息G7-4'!S15</f>
        <v/>
      </c>
      <c r="N13" s="35" t="n"/>
    </row>
    <row r="14" ht="20.1" customFormat="1" customHeight="1" s="190">
      <c r="A14" s="448" t="n">
        <v>5</v>
      </c>
      <c r="B14" s="238">
        <f>'被投资单位基本信息G7-4'!B16</f>
        <v/>
      </c>
      <c r="C14" s="246">
        <f>'被投资单位基本信息G7-4'!C16</f>
        <v/>
      </c>
      <c r="D14" s="246">
        <f>'被投资单位基本信息G7-4'!D16</f>
        <v/>
      </c>
      <c r="E14" s="246">
        <f>'被投资单位基本信息G7-4'!G16</f>
        <v/>
      </c>
      <c r="F14" s="246">
        <f>'被投资单位基本信息G7-4'!F16</f>
        <v/>
      </c>
      <c r="G14" s="246">
        <f>'被投资单位基本信息G7-4'!H16</f>
        <v/>
      </c>
      <c r="H14" s="246">
        <f>'被投资单位基本信息G7-4'!I16</f>
        <v/>
      </c>
      <c r="J14" s="250">
        <f>'被投资单位基本信息G7-4'!M16+'被投资单位基本信息G7-4'!N16</f>
        <v/>
      </c>
      <c r="K14" s="250">
        <f>'被投资单位基本信息G7-4'!O16</f>
        <v/>
      </c>
      <c r="L14" s="1147">
        <f>'明细表G7-2'!AI20</f>
        <v/>
      </c>
      <c r="M14" s="246">
        <f>'被投资单位基本信息G7-4'!S16</f>
        <v/>
      </c>
      <c r="N14" s="35" t="n"/>
    </row>
    <row r="15" ht="20.1" customFormat="1" customHeight="1" s="190">
      <c r="A15" s="448" t="n">
        <v>6</v>
      </c>
      <c r="B15" s="238">
        <f>'被投资单位基本信息G7-4'!B17</f>
        <v/>
      </c>
      <c r="C15" s="246">
        <f>'被投资单位基本信息G7-4'!C17</f>
        <v/>
      </c>
      <c r="D15" s="246">
        <f>'被投资单位基本信息G7-4'!D17</f>
        <v/>
      </c>
      <c r="E15" s="246">
        <f>'被投资单位基本信息G7-4'!G17</f>
        <v/>
      </c>
      <c r="F15" s="246">
        <f>'被投资单位基本信息G7-4'!F17</f>
        <v/>
      </c>
      <c r="G15" s="246">
        <f>'被投资单位基本信息G7-4'!H17</f>
        <v/>
      </c>
      <c r="H15" s="246">
        <f>'被投资单位基本信息G7-4'!I17</f>
        <v/>
      </c>
      <c r="J15" s="250">
        <f>'被投资单位基本信息G7-4'!M17+'被投资单位基本信息G7-4'!N17</f>
        <v/>
      </c>
      <c r="K15" s="250">
        <f>'被投资单位基本信息G7-4'!O17</f>
        <v/>
      </c>
      <c r="L15" s="1147">
        <f>'明细表G7-2'!AI21</f>
        <v/>
      </c>
      <c r="M15" s="246">
        <f>'被投资单位基本信息G7-4'!S17</f>
        <v/>
      </c>
      <c r="N15" s="35" t="n"/>
    </row>
    <row r="16" ht="20.1" customFormat="1" customHeight="1" s="190">
      <c r="A16" s="448" t="n">
        <v>7</v>
      </c>
      <c r="B16" s="238">
        <f>'被投资单位基本信息G7-4'!B18</f>
        <v/>
      </c>
      <c r="C16" s="246">
        <f>'被投资单位基本信息G7-4'!C18</f>
        <v/>
      </c>
      <c r="D16" s="246">
        <f>'被投资单位基本信息G7-4'!D18</f>
        <v/>
      </c>
      <c r="E16" s="246">
        <f>'被投资单位基本信息G7-4'!G18</f>
        <v/>
      </c>
      <c r="F16" s="246">
        <f>'被投资单位基本信息G7-4'!F18</f>
        <v/>
      </c>
      <c r="G16" s="246">
        <f>'被投资单位基本信息G7-4'!H18</f>
        <v/>
      </c>
      <c r="H16" s="246">
        <f>'被投资单位基本信息G7-4'!I18</f>
        <v/>
      </c>
      <c r="J16" s="250">
        <f>'被投资单位基本信息G7-4'!M18+'被投资单位基本信息G7-4'!N18</f>
        <v/>
      </c>
      <c r="K16" s="250">
        <f>'被投资单位基本信息G7-4'!O18</f>
        <v/>
      </c>
      <c r="L16" s="1147">
        <f>'明细表G7-2'!AI22</f>
        <v/>
      </c>
      <c r="M16" s="246">
        <f>'被投资单位基本信息G7-4'!S18</f>
        <v/>
      </c>
      <c r="N16" s="35" t="n"/>
    </row>
    <row r="17" ht="20.1" customFormat="1" customHeight="1" s="190">
      <c r="A17" s="448" t="n">
        <v>8</v>
      </c>
      <c r="B17" s="238">
        <f>'被投资单位基本信息G7-4'!B19</f>
        <v/>
      </c>
      <c r="C17" s="246">
        <f>'被投资单位基本信息G7-4'!C19</f>
        <v/>
      </c>
      <c r="D17" s="246">
        <f>'被投资单位基本信息G7-4'!D19</f>
        <v/>
      </c>
      <c r="E17" s="246">
        <f>'被投资单位基本信息G7-4'!G19</f>
        <v/>
      </c>
      <c r="F17" s="246">
        <f>'被投资单位基本信息G7-4'!F19</f>
        <v/>
      </c>
      <c r="G17" s="246">
        <f>'被投资单位基本信息G7-4'!H19</f>
        <v/>
      </c>
      <c r="H17" s="246">
        <f>'被投资单位基本信息G7-4'!I19</f>
        <v/>
      </c>
      <c r="J17" s="250">
        <f>'被投资单位基本信息G7-4'!M19+'被投资单位基本信息G7-4'!N19</f>
        <v/>
      </c>
      <c r="K17" s="250">
        <f>'被投资单位基本信息G7-4'!O19</f>
        <v/>
      </c>
      <c r="L17" s="1147">
        <f>'明细表G7-2'!AI23</f>
        <v/>
      </c>
      <c r="M17" s="246">
        <f>'被投资单位基本信息G7-4'!S19</f>
        <v/>
      </c>
      <c r="N17" s="35" t="n"/>
    </row>
    <row r="18" ht="20.1" customFormat="1" customHeight="1" s="190">
      <c r="A18" s="448" t="n">
        <v>9</v>
      </c>
      <c r="B18" s="238">
        <f>'被投资单位基本信息G7-4'!B20</f>
        <v/>
      </c>
      <c r="C18" s="246">
        <f>'被投资单位基本信息G7-4'!C20</f>
        <v/>
      </c>
      <c r="D18" s="246">
        <f>'被投资单位基本信息G7-4'!D20</f>
        <v/>
      </c>
      <c r="E18" s="246">
        <f>'被投资单位基本信息G7-4'!G20</f>
        <v/>
      </c>
      <c r="F18" s="246">
        <f>'被投资单位基本信息G7-4'!F20</f>
        <v/>
      </c>
      <c r="G18" s="246">
        <f>'被投资单位基本信息G7-4'!H20</f>
        <v/>
      </c>
      <c r="H18" s="246">
        <f>'被投资单位基本信息G7-4'!I20</f>
        <v/>
      </c>
      <c r="J18" s="250">
        <f>'被投资单位基本信息G7-4'!M20+'被投资单位基本信息G7-4'!N20</f>
        <v/>
      </c>
      <c r="K18" s="250">
        <f>'被投资单位基本信息G7-4'!O20</f>
        <v/>
      </c>
      <c r="L18" s="1147">
        <f>'明细表G7-2'!AI24</f>
        <v/>
      </c>
      <c r="M18" s="246">
        <f>'被投资单位基本信息G7-4'!S20</f>
        <v/>
      </c>
      <c r="N18" s="35" t="n"/>
    </row>
    <row r="19" ht="20.1" customFormat="1" customHeight="1" s="190" thickBot="1">
      <c r="A19" s="449" t="n">
        <v>10</v>
      </c>
      <c r="B19" s="252">
        <f>'被投资单位基本信息G7-4'!B21</f>
        <v/>
      </c>
      <c r="C19" s="248">
        <f>'被投资单位基本信息G7-4'!C21</f>
        <v/>
      </c>
      <c r="D19" s="248">
        <f>'被投资单位基本信息G7-4'!D21</f>
        <v/>
      </c>
      <c r="E19" s="248">
        <f>'被投资单位基本信息G7-4'!G21</f>
        <v/>
      </c>
      <c r="F19" s="248">
        <f>'被投资单位基本信息G7-4'!F21</f>
        <v/>
      </c>
      <c r="G19" s="248">
        <f>'被投资单位基本信息G7-4'!H21</f>
        <v/>
      </c>
      <c r="H19" s="450">
        <f>'被投资单位基本信息G7-4'!I21</f>
        <v/>
      </c>
      <c r="I19" s="451" t="n"/>
      <c r="J19" s="452">
        <f>'被投资单位基本信息G7-4'!M21+'被投资单位基本信息G7-4'!N21</f>
        <v/>
      </c>
      <c r="K19" s="253">
        <f>'被投资单位基本信息G7-4'!O21</f>
        <v/>
      </c>
      <c r="L19" s="1148">
        <f>'明细表G7-2'!AI25</f>
        <v/>
      </c>
      <c r="M19" s="248">
        <f>'被投资单位基本信息G7-4'!S21</f>
        <v/>
      </c>
      <c r="N19" s="35" t="n"/>
    </row>
    <row r="20" ht="20.1" customFormat="1" customHeight="1" s="190">
      <c r="A20" s="249" t="inlineStr">
        <is>
          <t>（注：企业类型：1.境内非金融子企业，2.境内金融子企业，3.境外子企业，4.事业单位，5.基建单位；</t>
        </is>
      </c>
      <c r="B20" s="249" t="n"/>
      <c r="C20" s="237" t="n"/>
      <c r="D20" s="237" t="n"/>
      <c r="E20" s="237" t="n"/>
      <c r="F20" s="237" t="n"/>
      <c r="G20" s="237" t="n"/>
      <c r="H20" s="237" t="n"/>
      <c r="I20" s="237" t="n"/>
      <c r="J20" s="237" t="n"/>
      <c r="K20" s="237" t="n"/>
      <c r="L20" s="237" t="n"/>
      <c r="M20" s="35" t="n"/>
      <c r="N20" s="35" t="n"/>
    </row>
    <row r="21" ht="20.1" customFormat="1" customHeight="1" s="190">
      <c r="A21" s="249" t="inlineStr">
        <is>
          <t>取得方式：1.投资设立，2.同一控制下的企业合并，3.非同一控制下的企业合并，4.其他）</t>
        </is>
      </c>
      <c r="B21" s="249" t="n"/>
      <c r="C21" s="237" t="n"/>
      <c r="D21" s="237" t="n"/>
      <c r="E21" s="237" t="n"/>
      <c r="F21" s="237" t="n"/>
      <c r="G21" s="237" t="n"/>
      <c r="H21" s="237" t="n"/>
      <c r="I21" s="237" t="n"/>
      <c r="J21" s="237" t="n"/>
      <c r="K21" s="237" t="n"/>
      <c r="L21" s="237" t="n"/>
      <c r="M21" s="35" t="n"/>
      <c r="N21" s="35" t="n"/>
      <c r="O21" s="35" t="n"/>
    </row>
    <row r="22" ht="20.1" customFormat="1" customHeight="1" s="190">
      <c r="A22" s="249" t="inlineStr">
        <is>
          <t>（注：子公司的持股比例不同于表决权比例的，应说明表决权比例及差异原因。）</t>
        </is>
      </c>
      <c r="B22" s="249" t="n"/>
      <c r="C22" s="237" t="n"/>
      <c r="D22" s="237" t="n"/>
      <c r="E22" s="237" t="n"/>
      <c r="F22" s="237" t="n"/>
      <c r="G22" s="237" t="n"/>
      <c r="H22" s="237" t="n"/>
      <c r="I22" s="237" t="n"/>
      <c r="J22" s="237" t="n"/>
      <c r="K22" s="237" t="n"/>
      <c r="L22" s="237" t="n"/>
      <c r="M22" s="35" t="n"/>
      <c r="N22" s="35" t="n"/>
      <c r="O22" s="35" t="n"/>
    </row>
    <row r="23" ht="20.1" customFormat="1" customHeight="1" s="190">
      <c r="A23" s="249" t="inlineStr">
        <is>
          <t>（注：级次为在整个中央企业集团内的法人级次）</t>
        </is>
      </c>
      <c r="B23" s="249" t="n"/>
      <c r="C23" s="237" t="n"/>
      <c r="D23" s="237" t="n"/>
      <c r="E23" s="237" t="n"/>
      <c r="F23" s="237" t="n"/>
      <c r="G23" s="237" t="n"/>
      <c r="H23" s="237" t="n"/>
      <c r="I23" s="237" t="n"/>
      <c r="J23" s="237" t="n"/>
      <c r="K23" s="237" t="n"/>
      <c r="L23" s="237" t="n"/>
      <c r="M23" s="35" t="n"/>
      <c r="N23" s="35" t="n"/>
      <c r="O23" s="35" t="n"/>
    </row>
    <row r="24" ht="20.1" customFormat="1" customHeight="1" s="190" thickBot="1">
      <c r="A24" s="209" t="inlineStr">
        <is>
          <t>（二）母公司拥有被投资单位表决权不足半数但能对被投资单位形成控制的原因</t>
        </is>
      </c>
      <c r="B24" s="209" t="n"/>
      <c r="C24" s="237" t="n"/>
      <c r="D24" s="237" t="n"/>
      <c r="E24" s="237" t="n"/>
      <c r="F24" s="237" t="n"/>
      <c r="G24" s="237" t="n"/>
      <c r="H24" s="237" t="n"/>
      <c r="I24" s="237" t="n"/>
      <c r="J24" s="237" t="n"/>
      <c r="K24" s="237" t="n"/>
      <c r="L24" s="237" t="n"/>
      <c r="M24" s="35" t="n"/>
      <c r="N24" s="35" t="n"/>
      <c r="O24" s="35" t="n"/>
    </row>
    <row r="25" ht="33" customFormat="1" customHeight="1" s="190">
      <c r="A25" s="442" t="inlineStr">
        <is>
          <t>序号</t>
        </is>
      </c>
      <c r="B25" s="442" t="inlineStr">
        <is>
          <t>企业名称</t>
        </is>
      </c>
      <c r="C25" s="442" t="inlineStr">
        <is>
          <t>认缴持股
比例（%）</t>
        </is>
      </c>
      <c r="D25" s="442" t="inlineStr">
        <is>
          <t>享有的表决权</t>
        </is>
      </c>
      <c r="E25" s="442" t="inlineStr">
        <is>
          <t>注册资本</t>
        </is>
      </c>
      <c r="F25" s="442" t="inlineStr">
        <is>
          <t>投资额</t>
        </is>
      </c>
      <c r="G25" s="442" t="inlineStr">
        <is>
          <t>级次</t>
        </is>
      </c>
      <c r="H25" s="442" t="inlineStr">
        <is>
          <t>纳入合并范围原因</t>
        </is>
      </c>
      <c r="I25" s="237" t="n"/>
      <c r="J25" s="237" t="n"/>
      <c r="K25" s="237" t="n"/>
      <c r="L25" s="237" t="n"/>
      <c r="M25" s="35" t="n"/>
      <c r="N25" s="35" t="n"/>
    </row>
    <row r="26" ht="20.1" customFormat="1" customHeight="1" s="190">
      <c r="A26" s="238" t="n"/>
      <c r="B26" s="238">
        <f>IF('被投资单位基本信息G7-4'!O12&lt;=0.5,'被投资单位基本信息G7-4'!B12,0)</f>
        <v/>
      </c>
      <c r="C26" s="453">
        <f>IF('被投资单位基本信息G7-4'!O12&lt;=0.5,'被投资单位基本信息G7-4'!M12+'被投资单位基本信息G7-4'!N12,0)</f>
        <v/>
      </c>
      <c r="D26" s="453">
        <f>IF('被投资单位基本信息G7-4'!O12&lt;=0.5,'被投资单位基本信息G7-4'!O12,0)</f>
        <v/>
      </c>
      <c r="E26" s="246">
        <f>IF('被投资单位基本信息G7-4'!O12&lt;=0.5,'被投资单位基本信息G7-4'!I12,0)</f>
        <v/>
      </c>
      <c r="F26" s="246">
        <f>IF('被投资单位基本信息G7-4'!O12&lt;=0.5,'被投资单位基本信息G7-4'!J12,0)</f>
        <v/>
      </c>
      <c r="G26" s="246">
        <f>IF('被投资单位基本信息G7-4'!O12&lt;=0.5,'被投资单位基本信息G7-4'!C12,0)</f>
        <v/>
      </c>
      <c r="H26" s="246">
        <f>IF('被投资单位基本信息G7-4'!O12&lt;=0.5,'被投资单位基本信息G7-4'!Q12,0)</f>
        <v/>
      </c>
      <c r="I26" s="237" t="n"/>
      <c r="J26" s="237" t="n"/>
      <c r="K26" s="237" t="n"/>
      <c r="L26" s="237" t="n"/>
      <c r="M26" s="35" t="n"/>
      <c r="N26" s="35" t="n"/>
    </row>
    <row r="27" ht="20.1" customFormat="1" customHeight="1" s="190">
      <c r="A27" s="238" t="n"/>
      <c r="B27" s="238">
        <f>IF('被投资单位基本信息G7-4'!O13&lt;=0.5,'被投资单位基本信息G7-4'!B13,0)</f>
        <v/>
      </c>
      <c r="C27" s="453">
        <f>IF('被投资单位基本信息G7-4'!O13&lt;=0.5,'被投资单位基本信息G7-4'!M13+'被投资单位基本信息G7-4'!N13,0)</f>
        <v/>
      </c>
      <c r="D27" s="453">
        <f>IF('被投资单位基本信息G7-4'!O13&lt;=0.5,'被投资单位基本信息G7-4'!O13,0)</f>
        <v/>
      </c>
      <c r="E27" s="246">
        <f>IF('被投资单位基本信息G7-4'!O13&lt;=0.5,'被投资单位基本信息G7-4'!I13,0)</f>
        <v/>
      </c>
      <c r="F27" s="246">
        <f>IF('被投资单位基本信息G7-4'!O13&lt;=0.5,'被投资单位基本信息G7-4'!J13,0)</f>
        <v/>
      </c>
      <c r="G27" s="246">
        <f>IF('被投资单位基本信息G7-4'!O13&lt;=0.5,'被投资单位基本信息G7-4'!C13,0)</f>
        <v/>
      </c>
      <c r="H27" s="246">
        <f>IF('被投资单位基本信息G7-4'!O13&lt;=0.5,'被投资单位基本信息G7-4'!Q13,0)</f>
        <v/>
      </c>
      <c r="I27" s="237" t="n"/>
      <c r="J27" s="237" t="n"/>
      <c r="K27" s="237" t="n"/>
      <c r="L27" s="237" t="n"/>
      <c r="M27" s="35" t="n"/>
      <c r="N27" s="35" t="n"/>
    </row>
    <row r="28" ht="20.1" customFormat="1" customHeight="1" s="190">
      <c r="A28" s="238" t="n"/>
      <c r="B28" s="238">
        <f>IF('被投资单位基本信息G7-4'!O14&lt;=0.5,'被投资单位基本信息G7-4'!B14,0)</f>
        <v/>
      </c>
      <c r="C28" s="453">
        <f>IF('被投资单位基本信息G7-4'!O14&lt;=0.5,'被投资单位基本信息G7-4'!M14+'被投资单位基本信息G7-4'!N14,0)</f>
        <v/>
      </c>
      <c r="D28" s="453">
        <f>IF('被投资单位基本信息G7-4'!O14&lt;=0.5,'被投资单位基本信息G7-4'!O14,0)</f>
        <v/>
      </c>
      <c r="E28" s="246">
        <f>IF('被投资单位基本信息G7-4'!O14&lt;=0.5,'被投资单位基本信息G7-4'!I14,0)</f>
        <v/>
      </c>
      <c r="F28" s="246">
        <f>IF('被投资单位基本信息G7-4'!O14&lt;=0.5,'被投资单位基本信息G7-4'!J14,0)</f>
        <v/>
      </c>
      <c r="G28" s="246">
        <f>IF('被投资单位基本信息G7-4'!O14&lt;=0.5,'被投资单位基本信息G7-4'!C14,0)</f>
        <v/>
      </c>
      <c r="H28" s="246">
        <f>IF('被投资单位基本信息G7-4'!O14&lt;=0.5,'被投资单位基本信息G7-4'!Q14,0)</f>
        <v/>
      </c>
      <c r="I28" s="237" t="n"/>
      <c r="J28" s="237" t="n"/>
      <c r="K28" s="237" t="n"/>
      <c r="L28" s="237" t="n"/>
      <c r="M28" s="35" t="n"/>
      <c r="N28" s="35" t="n"/>
    </row>
    <row r="29" ht="20.1" customFormat="1" customHeight="1" s="190">
      <c r="A29" s="238" t="n"/>
      <c r="B29" s="238">
        <f>IF('被投资单位基本信息G7-4'!O15&lt;=0.5,'被投资单位基本信息G7-4'!B15,0)</f>
        <v/>
      </c>
      <c r="C29" s="453">
        <f>IF('被投资单位基本信息G7-4'!O15&lt;=0.5,'被投资单位基本信息G7-4'!M15+'被投资单位基本信息G7-4'!N15,0)</f>
        <v/>
      </c>
      <c r="D29" s="453">
        <f>IF('被投资单位基本信息G7-4'!O15&lt;=0.5,'被投资单位基本信息G7-4'!O15,0)</f>
        <v/>
      </c>
      <c r="E29" s="246">
        <f>IF('被投资单位基本信息G7-4'!O15&lt;=0.5,'被投资单位基本信息G7-4'!I15,0)</f>
        <v/>
      </c>
      <c r="F29" s="246">
        <f>IF('被投资单位基本信息G7-4'!O15&lt;=0.5,'被投资单位基本信息G7-4'!J15,0)</f>
        <v/>
      </c>
      <c r="G29" s="246">
        <f>IF('被投资单位基本信息G7-4'!O15&lt;=0.5,'被投资单位基本信息G7-4'!C15,0)</f>
        <v/>
      </c>
      <c r="H29" s="246">
        <f>IF('被投资单位基本信息G7-4'!O15&lt;=0.5,'被投资单位基本信息G7-4'!Q15,0)</f>
        <v/>
      </c>
      <c r="I29" s="237" t="n"/>
      <c r="J29" s="237" t="n"/>
      <c r="K29" s="237" t="n"/>
      <c r="L29" s="237" t="n"/>
      <c r="M29" s="35" t="n"/>
      <c r="N29" s="35" t="n"/>
    </row>
    <row r="30" ht="20.1" customFormat="1" customHeight="1" s="190">
      <c r="A30" s="238" t="n"/>
      <c r="B30" s="238">
        <f>IF('被投资单位基本信息G7-4'!O16&lt;=0.5,'被投资单位基本信息G7-4'!B16,0)</f>
        <v/>
      </c>
      <c r="C30" s="453">
        <f>IF('被投资单位基本信息G7-4'!O16&lt;=0.5,'被投资单位基本信息G7-4'!M16+'被投资单位基本信息G7-4'!N16,0)</f>
        <v/>
      </c>
      <c r="D30" s="453">
        <f>IF('被投资单位基本信息G7-4'!O16&lt;=0.5,'被投资单位基本信息G7-4'!O16,0)</f>
        <v/>
      </c>
      <c r="E30" s="246">
        <f>IF('被投资单位基本信息G7-4'!O16&lt;=0.5,'被投资单位基本信息G7-4'!I16,0)</f>
        <v/>
      </c>
      <c r="F30" s="246">
        <f>IF('被投资单位基本信息G7-4'!O16&lt;=0.5,'被投资单位基本信息G7-4'!J16,0)</f>
        <v/>
      </c>
      <c r="G30" s="246">
        <f>IF('被投资单位基本信息G7-4'!O16&lt;=0.5,'被投资单位基本信息G7-4'!C16,0)</f>
        <v/>
      </c>
      <c r="H30" s="246">
        <f>IF('被投资单位基本信息G7-4'!O16&lt;=0.5,'被投资单位基本信息G7-4'!Q16,0)</f>
        <v/>
      </c>
      <c r="I30" s="237" t="n"/>
      <c r="J30" s="237" t="n"/>
      <c r="K30" s="237" t="n"/>
      <c r="L30" s="237" t="n"/>
      <c r="M30" s="35" t="n"/>
      <c r="N30" s="35" t="n"/>
    </row>
    <row r="31" ht="20.1" customFormat="1" customHeight="1" s="190">
      <c r="A31" s="238" t="n"/>
      <c r="B31" s="238">
        <f>IF('被投资单位基本信息G7-4'!O17&lt;=0.5,'被投资单位基本信息G7-4'!B17,0)</f>
        <v/>
      </c>
      <c r="C31" s="453">
        <f>IF('被投资单位基本信息G7-4'!O17&lt;=0.5,'被投资单位基本信息G7-4'!M17+'被投资单位基本信息G7-4'!N17,0)</f>
        <v/>
      </c>
      <c r="D31" s="453">
        <f>IF('被投资单位基本信息G7-4'!O17&lt;=0.5,'被投资单位基本信息G7-4'!O17,0)</f>
        <v/>
      </c>
      <c r="E31" s="246">
        <f>IF('被投资单位基本信息G7-4'!O17&lt;=0.5,'被投资单位基本信息G7-4'!I17,0)</f>
        <v/>
      </c>
      <c r="F31" s="246">
        <f>IF('被投资单位基本信息G7-4'!O17&lt;=0.5,'被投资单位基本信息G7-4'!J17,0)</f>
        <v/>
      </c>
      <c r="G31" s="246">
        <f>IF('被投资单位基本信息G7-4'!O17&lt;=0.5,'被投资单位基本信息G7-4'!C17,0)</f>
        <v/>
      </c>
      <c r="H31" s="246">
        <f>IF('被投资单位基本信息G7-4'!O17&lt;=0.5,'被投资单位基本信息G7-4'!Q17,0)</f>
        <v/>
      </c>
      <c r="I31" s="237" t="n"/>
      <c r="J31" s="237" t="n"/>
      <c r="K31" s="237" t="n"/>
      <c r="L31" s="237" t="n"/>
      <c r="M31" s="35" t="n"/>
      <c r="N31" s="35" t="n"/>
    </row>
    <row r="32" ht="20.1" customFormat="1" customHeight="1" s="190">
      <c r="A32" s="238" t="n"/>
      <c r="B32" s="238">
        <f>IF('被投资单位基本信息G7-4'!O18&lt;=0.5,'被投资单位基本信息G7-4'!B18,0)</f>
        <v/>
      </c>
      <c r="C32" s="453">
        <f>IF('被投资单位基本信息G7-4'!O18&lt;=0.5,'被投资单位基本信息G7-4'!M18+'被投资单位基本信息G7-4'!N18,0)</f>
        <v/>
      </c>
      <c r="D32" s="453">
        <f>IF('被投资单位基本信息G7-4'!O18&lt;=0.5,'被投资单位基本信息G7-4'!O18,0)</f>
        <v/>
      </c>
      <c r="E32" s="246">
        <f>IF('被投资单位基本信息G7-4'!O18&lt;=0.5,'被投资单位基本信息G7-4'!I18,0)</f>
        <v/>
      </c>
      <c r="F32" s="246">
        <f>IF('被投资单位基本信息G7-4'!O18&lt;=0.5,'被投资单位基本信息G7-4'!J18,0)</f>
        <v/>
      </c>
      <c r="G32" s="246">
        <f>IF('被投资单位基本信息G7-4'!O18&lt;=0.5,'被投资单位基本信息G7-4'!C18,0)</f>
        <v/>
      </c>
      <c r="H32" s="246">
        <f>IF('被投资单位基本信息G7-4'!O18&lt;=0.5,'被投资单位基本信息G7-4'!Q18,0)</f>
        <v/>
      </c>
      <c r="I32" s="237" t="n"/>
      <c r="J32" s="237" t="n"/>
      <c r="K32" s="237" t="n"/>
      <c r="L32" s="237" t="n"/>
      <c r="M32" s="35" t="n"/>
      <c r="N32" s="35" t="n"/>
    </row>
    <row r="33" ht="20.1" customFormat="1" customHeight="1" s="190">
      <c r="A33" s="238" t="n"/>
      <c r="B33" s="238">
        <f>IF('被投资单位基本信息G7-4'!O19&lt;=0.5,'被投资单位基本信息G7-4'!B19,0)</f>
        <v/>
      </c>
      <c r="C33" s="453">
        <f>IF('被投资单位基本信息G7-4'!O19&lt;=0.5,'被投资单位基本信息G7-4'!M19+'被投资单位基本信息G7-4'!N19,0)</f>
        <v/>
      </c>
      <c r="D33" s="453">
        <f>IF('被投资单位基本信息G7-4'!O19&lt;=0.5,'被投资单位基本信息G7-4'!O19,0)</f>
        <v/>
      </c>
      <c r="E33" s="246">
        <f>IF('被投资单位基本信息G7-4'!O19&lt;=0.5,'被投资单位基本信息G7-4'!I19,0)</f>
        <v/>
      </c>
      <c r="F33" s="246">
        <f>IF('被投资单位基本信息G7-4'!O19&lt;=0.5,'被投资单位基本信息G7-4'!J19,0)</f>
        <v/>
      </c>
      <c r="G33" s="246">
        <f>IF('被投资单位基本信息G7-4'!O19&lt;=0.5,'被投资单位基本信息G7-4'!C19,0)</f>
        <v/>
      </c>
      <c r="H33" s="246">
        <f>IF('被投资单位基本信息G7-4'!O19&lt;=0.5,'被投资单位基本信息G7-4'!Q19,0)</f>
        <v/>
      </c>
      <c r="I33" s="237" t="n"/>
      <c r="J33" s="237" t="n"/>
      <c r="K33" s="237" t="n"/>
      <c r="L33" s="237" t="n"/>
      <c r="M33" s="35" t="n"/>
      <c r="N33" s="35" t="n"/>
    </row>
    <row r="34" ht="20.1" customFormat="1" customHeight="1" s="190">
      <c r="A34" s="238" t="n"/>
      <c r="B34" s="238">
        <f>IF('被投资单位基本信息G7-4'!O20&lt;=0.5,'被投资单位基本信息G7-4'!B20,0)</f>
        <v/>
      </c>
      <c r="C34" s="453">
        <f>IF('被投资单位基本信息G7-4'!O20&lt;=0.5,'被投资单位基本信息G7-4'!M20+'被投资单位基本信息G7-4'!N20,0)</f>
        <v/>
      </c>
      <c r="D34" s="453">
        <f>IF('被投资单位基本信息G7-4'!O20&lt;=0.5,'被投资单位基本信息G7-4'!O20,0)</f>
        <v/>
      </c>
      <c r="E34" s="246">
        <f>IF('被投资单位基本信息G7-4'!O20&lt;=0.5,'被投资单位基本信息G7-4'!I20,0)</f>
        <v/>
      </c>
      <c r="F34" s="246">
        <f>IF('被投资单位基本信息G7-4'!O20&lt;=0.5,'被投资单位基本信息G7-4'!J20,0)</f>
        <v/>
      </c>
      <c r="G34" s="246">
        <f>IF('被投资单位基本信息G7-4'!O20&lt;=0.5,'被投资单位基本信息G7-4'!C20,0)</f>
        <v/>
      </c>
      <c r="H34" s="246">
        <f>IF('被投资单位基本信息G7-4'!O20&lt;=0.5,'被投资单位基本信息G7-4'!Q20,0)</f>
        <v/>
      </c>
      <c r="I34" s="237" t="n"/>
      <c r="J34" s="237" t="n"/>
      <c r="K34" s="237" t="n"/>
      <c r="L34" s="237" t="n"/>
      <c r="M34" s="35" t="n"/>
      <c r="N34" s="35" t="n"/>
    </row>
    <row r="35" ht="20.1" customFormat="1" customHeight="1" s="190" thickBot="1">
      <c r="A35" s="252" t="n"/>
      <c r="B35" s="252">
        <f>IF('被投资单位基本信息G7-4'!O21&lt;=0.5,'被投资单位基本信息G7-4'!B21,0)</f>
        <v/>
      </c>
      <c r="C35" s="454">
        <f>IF('被投资单位基本信息G7-4'!O21&lt;=0.5,'被投资单位基本信息G7-4'!M21+'被投资单位基本信息G7-4'!N21,0)</f>
        <v/>
      </c>
      <c r="D35" s="454">
        <f>IF('被投资单位基本信息G7-4'!O21&lt;=0.5,'被投资单位基本信息G7-4'!O21,0)</f>
        <v/>
      </c>
      <c r="E35" s="248">
        <f>IF('被投资单位基本信息G7-4'!O21&lt;=0.5,'被投资单位基本信息G7-4'!I21,0)</f>
        <v/>
      </c>
      <c r="F35" s="248">
        <f>IF('被投资单位基本信息G7-4'!O21&lt;=0.5,'被投资单位基本信息G7-4'!J21,0)</f>
        <v/>
      </c>
      <c r="G35" s="248">
        <f>IF('被投资单位基本信息G7-4'!O21&lt;=0.5,'被投资单位基本信息G7-4'!C21,0)</f>
        <v/>
      </c>
      <c r="H35" s="248">
        <f>IF('被投资单位基本信息G7-4'!O21&lt;=0.5,'被投资单位基本信息G7-4'!Q21,0)</f>
        <v/>
      </c>
      <c r="I35" s="237" t="n"/>
      <c r="J35" s="237" t="n"/>
      <c r="K35" s="237" t="n"/>
      <c r="L35" s="237" t="n"/>
      <c r="M35" s="35" t="n"/>
      <c r="N35" s="35" t="n"/>
    </row>
    <row r="36" ht="20.1" customFormat="1" customHeight="1" s="190" thickBot="1">
      <c r="A36" s="209" t="inlineStr">
        <is>
          <t>（三）母公司直接或通过其他子公司间接拥有被投资单位半数以上的表决权但未能对其形成控制的原因</t>
        </is>
      </c>
      <c r="B36" s="209" t="n"/>
      <c r="C36" s="237" t="n"/>
      <c r="D36" s="237" t="n"/>
      <c r="E36" s="237" t="n"/>
      <c r="F36" s="237" t="n"/>
      <c r="G36" s="237" t="n"/>
      <c r="H36" s="237" t="n"/>
      <c r="I36" s="237" t="n"/>
      <c r="J36" s="237" t="n"/>
      <c r="K36" s="237" t="n"/>
      <c r="L36" s="237" t="n"/>
      <c r="M36" s="35" t="n"/>
      <c r="N36" s="35" t="n"/>
    </row>
    <row r="37" ht="36" customFormat="1" customHeight="1" s="190" thickBot="1">
      <c r="A37" s="455" t="inlineStr">
        <is>
          <t>序号</t>
        </is>
      </c>
      <c r="B37" s="455" t="inlineStr">
        <is>
          <t>企业名称</t>
        </is>
      </c>
      <c r="C37" s="455" t="inlineStr">
        <is>
          <t>认缴持股
比例（%）</t>
        </is>
      </c>
      <c r="D37" s="455" t="inlineStr">
        <is>
          <t>享有的表决权</t>
        </is>
      </c>
      <c r="E37" s="455" t="inlineStr">
        <is>
          <t>注册资本</t>
        </is>
      </c>
      <c r="F37" s="455" t="inlineStr">
        <is>
          <t>投资额</t>
        </is>
      </c>
      <c r="G37" s="455" t="inlineStr">
        <is>
          <t>级次</t>
        </is>
      </c>
      <c r="H37" s="455" t="inlineStr">
        <is>
          <t>未纳入合并范围原因</t>
        </is>
      </c>
      <c r="I37" s="237" t="n"/>
      <c r="J37" s="237" t="n"/>
      <c r="K37" s="237" t="n"/>
      <c r="L37" s="237" t="n"/>
      <c r="M37" s="35" t="n"/>
      <c r="N37" s="35" t="n"/>
    </row>
    <row r="38" ht="20.1" customFormat="1" customHeight="1" s="190">
      <c r="A38" s="256" t="n"/>
      <c r="B38" s="256" t="inlineStr">
        <is>
          <t>合营企业</t>
        </is>
      </c>
      <c r="C38" s="456" t="n"/>
      <c r="D38" s="456" t="n"/>
      <c r="E38" s="456" t="n"/>
      <c r="F38" s="456" t="n"/>
      <c r="G38" s="456" t="n"/>
      <c r="H38" s="456" t="n"/>
      <c r="I38" s="237" t="n"/>
      <c r="J38" s="237" t="n"/>
      <c r="K38" s="237" t="n"/>
      <c r="L38" s="237" t="n"/>
      <c r="M38" s="35" t="n"/>
      <c r="N38" s="35" t="n"/>
    </row>
    <row r="39" ht="20.1" customFormat="1" customHeight="1" s="190">
      <c r="A39" s="256" t="n"/>
      <c r="B39" s="256">
        <f>IF('被投资单位基本信息G7-4'!M23+'被投资单位基本信息G7-4'!N23&gt;0.5,'被投资单位基本信息G7-4'!B23,0)</f>
        <v/>
      </c>
      <c r="C39" s="457">
        <f>IF('被投资单位基本信息G7-4'!M23+'被投资单位基本信息G7-4'!N23&gt;0.5,'被投资单位基本信息G7-4'!M23+'被投资单位基本信息G7-4'!N23,0)</f>
        <v/>
      </c>
      <c r="D39" s="457">
        <f>IF('被投资单位基本信息G7-4'!M23+'被投资单位基本信息G7-4'!N23&gt;0.5,'被投资单位基本信息G7-4'!O23,0)</f>
        <v/>
      </c>
      <c r="E39" s="456">
        <f>IF('被投资单位基本信息G7-4'!M23+'被投资单位基本信息G7-4'!N23&gt;0.5,'被投资单位基本信息G7-4'!I23,0)</f>
        <v/>
      </c>
      <c r="F39" s="456">
        <f>IF('被投资单位基本信息G7-4'!M23+'被投资单位基本信息G7-4'!N23&gt;0.5,'被投资单位基本信息G7-4'!J23,0)</f>
        <v/>
      </c>
      <c r="G39" s="456">
        <f>IF('被投资单位基本信息G7-4'!M23+'被投资单位基本信息G7-4'!N23&gt;0.5,'被投资单位基本信息G7-4'!C23,0)</f>
        <v/>
      </c>
      <c r="H39" s="456">
        <f>IF('被投资单位基本信息G7-4'!M23+'被投资单位基本信息G7-4'!N23&gt;0.5,'被投资单位基本信息G7-4'!R23,0)</f>
        <v/>
      </c>
      <c r="I39" s="237" t="n"/>
      <c r="J39" s="237" t="n"/>
      <c r="K39" s="237" t="n"/>
      <c r="L39" s="237" t="n"/>
      <c r="M39" s="35" t="n"/>
      <c r="N39" s="35" t="n"/>
    </row>
    <row r="40" ht="20.1" customFormat="1" customHeight="1" s="190">
      <c r="A40" s="256" t="n"/>
      <c r="B40" s="256">
        <f>IF('被投资单位基本信息G7-4'!M24+'被投资单位基本信息G7-4'!N24&gt;0.5,'被投资单位基本信息G7-4'!B24,0)</f>
        <v/>
      </c>
      <c r="C40" s="457">
        <f>IF('被投资单位基本信息G7-4'!M24+'被投资单位基本信息G7-4'!N24&gt;0.5,'被投资单位基本信息G7-4'!M24+'被投资单位基本信息G7-4'!N24,0)</f>
        <v/>
      </c>
      <c r="D40" s="457">
        <f>IF('被投资单位基本信息G7-4'!M24+'被投资单位基本信息G7-4'!N24&gt;0.5,'被投资单位基本信息G7-4'!O24,0)</f>
        <v/>
      </c>
      <c r="E40" s="456">
        <f>IF('被投资单位基本信息G7-4'!M24+'被投资单位基本信息G7-4'!N24&gt;0.5,'被投资单位基本信息G7-4'!I24,0)</f>
        <v/>
      </c>
      <c r="F40" s="456">
        <f>IF('被投资单位基本信息G7-4'!M24+'被投资单位基本信息G7-4'!N24&gt;0.5,'被投资单位基本信息G7-4'!J24,0)</f>
        <v/>
      </c>
      <c r="G40" s="456">
        <f>IF('被投资单位基本信息G7-4'!M24+'被投资单位基本信息G7-4'!N24&gt;0.5,'被投资单位基本信息G7-4'!C24,0)</f>
        <v/>
      </c>
      <c r="H40" s="456">
        <f>IF('被投资单位基本信息G7-4'!M24+'被投资单位基本信息G7-4'!N24&gt;0.5,'被投资单位基本信息G7-4'!R24,0)</f>
        <v/>
      </c>
      <c r="I40" s="237" t="n"/>
      <c r="J40" s="237" t="n"/>
      <c r="K40" s="237" t="n"/>
      <c r="L40" s="237" t="n"/>
      <c r="M40" s="35" t="n"/>
      <c r="N40" s="35" t="n"/>
    </row>
    <row r="41" ht="20.1" customFormat="1" customHeight="1" s="190">
      <c r="A41" s="256" t="n"/>
      <c r="B41" s="256">
        <f>IF('被投资单位基本信息G7-4'!M25+'被投资单位基本信息G7-4'!N25&gt;0.5,'被投资单位基本信息G7-4'!B25,0)</f>
        <v/>
      </c>
      <c r="C41" s="457">
        <f>IF('被投资单位基本信息G7-4'!M25+'被投资单位基本信息G7-4'!N25&gt;0.5,'被投资单位基本信息G7-4'!M25+'被投资单位基本信息G7-4'!N25,0)</f>
        <v/>
      </c>
      <c r="D41" s="457">
        <f>IF('被投资单位基本信息G7-4'!M25+'被投资单位基本信息G7-4'!N25&gt;0.5,'被投资单位基本信息G7-4'!O25,0)</f>
        <v/>
      </c>
      <c r="E41" s="456">
        <f>IF('被投资单位基本信息G7-4'!M25+'被投资单位基本信息G7-4'!N25&gt;0.5,'被投资单位基本信息G7-4'!I25,0)</f>
        <v/>
      </c>
      <c r="F41" s="456">
        <f>IF('被投资单位基本信息G7-4'!M25+'被投资单位基本信息G7-4'!N25&gt;0.5,'被投资单位基本信息G7-4'!J25,0)</f>
        <v/>
      </c>
      <c r="G41" s="456">
        <f>IF('被投资单位基本信息G7-4'!M25+'被投资单位基本信息G7-4'!N25&gt;0.5,'被投资单位基本信息G7-4'!C25,0)</f>
        <v/>
      </c>
      <c r="H41" s="456">
        <f>IF('被投资单位基本信息G7-4'!M25+'被投资单位基本信息G7-4'!N25&gt;0.5,'被投资单位基本信息G7-4'!R25,0)</f>
        <v/>
      </c>
      <c r="I41" s="237" t="n"/>
      <c r="J41" s="237" t="n"/>
      <c r="K41" s="237" t="n"/>
      <c r="L41" s="237" t="n"/>
      <c r="M41" s="35" t="n"/>
      <c r="N41" s="35" t="n"/>
    </row>
    <row r="42" ht="20.1" customFormat="1" customHeight="1" s="190">
      <c r="A42" s="256" t="n"/>
      <c r="B42" s="256">
        <f>IF('被投资单位基本信息G7-4'!M26+'被投资单位基本信息G7-4'!N26&gt;0.5,'被投资单位基本信息G7-4'!B26,0)</f>
        <v/>
      </c>
      <c r="C42" s="457">
        <f>IF('被投资单位基本信息G7-4'!M26+'被投资单位基本信息G7-4'!N26&gt;0.5,'被投资单位基本信息G7-4'!M26+'被投资单位基本信息G7-4'!N26,0)</f>
        <v/>
      </c>
      <c r="D42" s="457">
        <f>IF('被投资单位基本信息G7-4'!M26+'被投资单位基本信息G7-4'!N26&gt;0.5,'被投资单位基本信息G7-4'!O26,0)</f>
        <v/>
      </c>
      <c r="E42" s="456">
        <f>IF('被投资单位基本信息G7-4'!M26+'被投资单位基本信息G7-4'!N26&gt;0.5,'被投资单位基本信息G7-4'!I26,0)</f>
        <v/>
      </c>
      <c r="F42" s="456">
        <f>IF('被投资单位基本信息G7-4'!M26+'被投资单位基本信息G7-4'!N26&gt;0.5,'被投资单位基本信息G7-4'!J26,0)</f>
        <v/>
      </c>
      <c r="G42" s="456">
        <f>IF('被投资单位基本信息G7-4'!M26+'被投资单位基本信息G7-4'!N26&gt;0.5,'被投资单位基本信息G7-4'!C26,0)</f>
        <v/>
      </c>
      <c r="H42" s="456">
        <f>IF('被投资单位基本信息G7-4'!M26+'被投资单位基本信息G7-4'!N26&gt;0.5,'被投资单位基本信息G7-4'!R26,0)</f>
        <v/>
      </c>
      <c r="I42" s="237" t="n"/>
      <c r="J42" s="237" t="n"/>
      <c r="K42" s="237" t="n"/>
      <c r="L42" s="237" t="n"/>
      <c r="M42" s="35" t="n"/>
      <c r="N42" s="35" t="n"/>
    </row>
    <row r="43" ht="20.1" customFormat="1" customHeight="1" s="190">
      <c r="A43" s="256" t="n"/>
      <c r="B43" s="256">
        <f>IF('被投资单位基本信息G7-4'!M27+'被投资单位基本信息G7-4'!N27&gt;0.5,'被投资单位基本信息G7-4'!B27,0)</f>
        <v/>
      </c>
      <c r="C43" s="457">
        <f>IF('被投资单位基本信息G7-4'!M27+'被投资单位基本信息G7-4'!N27&gt;0.5,'被投资单位基本信息G7-4'!M27+'被投资单位基本信息G7-4'!N27,0)</f>
        <v/>
      </c>
      <c r="D43" s="457">
        <f>IF('被投资单位基本信息G7-4'!M27+'被投资单位基本信息G7-4'!N27&gt;0.5,'被投资单位基本信息G7-4'!O27,0)</f>
        <v/>
      </c>
      <c r="E43" s="456">
        <f>IF('被投资单位基本信息G7-4'!M27+'被投资单位基本信息G7-4'!N27&gt;0.5,'被投资单位基本信息G7-4'!I27,0)</f>
        <v/>
      </c>
      <c r="F43" s="456">
        <f>IF('被投资单位基本信息G7-4'!M27+'被投资单位基本信息G7-4'!N27&gt;0.5,'被投资单位基本信息G7-4'!J27,0)</f>
        <v/>
      </c>
      <c r="G43" s="456">
        <f>IF('被投资单位基本信息G7-4'!M27+'被投资单位基本信息G7-4'!N27&gt;0.5,'被投资单位基本信息G7-4'!C27,0)</f>
        <v/>
      </c>
      <c r="H43" s="456">
        <f>IF('被投资单位基本信息G7-4'!M27+'被投资单位基本信息G7-4'!N27&gt;0.5,'被投资单位基本信息G7-4'!R27,0)</f>
        <v/>
      </c>
      <c r="I43" s="237" t="n"/>
      <c r="J43" s="237" t="n"/>
      <c r="K43" s="237" t="n"/>
      <c r="L43" s="237" t="n"/>
      <c r="M43" s="35" t="n"/>
      <c r="N43" s="35" t="n"/>
    </row>
    <row r="44" ht="20.1" customFormat="1" customHeight="1" s="190">
      <c r="A44" s="256" t="n"/>
      <c r="B44" s="256" t="inlineStr">
        <is>
          <t>联营企业</t>
        </is>
      </c>
      <c r="C44" s="457" t="n"/>
      <c r="D44" s="457" t="n"/>
      <c r="E44" s="456" t="n"/>
      <c r="F44" s="456" t="n"/>
      <c r="G44" s="456" t="n"/>
      <c r="H44" s="456" t="n"/>
      <c r="I44" s="237" t="n"/>
      <c r="J44" s="237" t="n"/>
      <c r="K44" s="237" t="n"/>
      <c r="L44" s="237" t="n"/>
      <c r="M44" s="35" t="n"/>
      <c r="N44" s="35" t="n"/>
    </row>
    <row r="45" ht="20.1" customFormat="1" customHeight="1" s="190">
      <c r="A45" s="256" t="n"/>
      <c r="B45" s="256">
        <f>IF('被投资单位基本信息G7-4'!M29+'被投资单位基本信息G7-4'!N29&gt;0.5,'被投资单位基本信息G7-4'!B29,0)</f>
        <v/>
      </c>
      <c r="C45" s="457">
        <f>IF('被投资单位基本信息G7-4'!M29+'被投资单位基本信息G7-4'!N29&gt;0.5,'被投资单位基本信息G7-4'!M29+'被投资单位基本信息G7-4'!N29,0)</f>
        <v/>
      </c>
      <c r="D45" s="457">
        <f>IF('被投资单位基本信息G7-4'!M29+'被投资单位基本信息G7-4'!N29&gt;0.5,'被投资单位基本信息G7-4'!O29+'被投资单位基本信息G7-4'!N29,0)</f>
        <v/>
      </c>
      <c r="E45" s="456">
        <f>IF('被投资单位基本信息G7-4'!M29+'被投资单位基本信息G7-4'!N29&gt;0.5,'被投资单位基本信息G7-4'!I29,0)</f>
        <v/>
      </c>
      <c r="F45" s="456">
        <f>IF('被投资单位基本信息G7-4'!M29+'被投资单位基本信息G7-4'!N29&gt;0.5,'被投资单位基本信息G7-4'!J29,0)</f>
        <v/>
      </c>
      <c r="G45" s="456">
        <f>IF('被投资单位基本信息G7-4'!M29+'被投资单位基本信息G7-4'!N29&gt;0.5,'被投资单位基本信息G7-4'!C29,0)</f>
        <v/>
      </c>
      <c r="H45" s="456">
        <f>IF('被投资单位基本信息G7-4'!M29+'被投资单位基本信息G7-4'!N29&gt;0.5,'被投资单位基本信息G7-4'!R29,0)</f>
        <v/>
      </c>
      <c r="I45" s="237" t="n"/>
      <c r="J45" s="237" t="n"/>
      <c r="K45" s="237" t="n"/>
      <c r="L45" s="237" t="n"/>
      <c r="M45" s="35" t="n"/>
      <c r="N45" s="35" t="n"/>
    </row>
    <row r="46" ht="20.1" customFormat="1" customHeight="1" s="190">
      <c r="A46" s="256" t="n"/>
      <c r="B46" s="256">
        <f>IF('被投资单位基本信息G7-4'!M30+'被投资单位基本信息G7-4'!N30&gt;0.5,'被投资单位基本信息G7-4'!B30,0)</f>
        <v/>
      </c>
      <c r="C46" s="457">
        <f>IF('被投资单位基本信息G7-4'!M30+'被投资单位基本信息G7-4'!N30&gt;0.5,'被投资单位基本信息G7-4'!M30+'被投资单位基本信息G7-4'!N30,0)</f>
        <v/>
      </c>
      <c r="D46" s="457">
        <f>IF('被投资单位基本信息G7-4'!M30+'被投资单位基本信息G7-4'!N30&gt;0.5,'被投资单位基本信息G7-4'!O30+'被投资单位基本信息G7-4'!N30,0)</f>
        <v/>
      </c>
      <c r="E46" s="456">
        <f>IF('被投资单位基本信息G7-4'!M30+'被投资单位基本信息G7-4'!N30&gt;0.5,'被投资单位基本信息G7-4'!I30,0)</f>
        <v/>
      </c>
      <c r="F46" s="456">
        <f>IF('被投资单位基本信息G7-4'!M30+'被投资单位基本信息G7-4'!N30&gt;0.5,'被投资单位基本信息G7-4'!J30,0)</f>
        <v/>
      </c>
      <c r="G46" s="456">
        <f>IF('被投资单位基本信息G7-4'!M30+'被投资单位基本信息G7-4'!N30&gt;0.5,'被投资单位基本信息G7-4'!C30,0)</f>
        <v/>
      </c>
      <c r="H46" s="456">
        <f>IF('被投资单位基本信息G7-4'!M30+'被投资单位基本信息G7-4'!N30&gt;0.5,'被投资单位基本信息G7-4'!R30,0)</f>
        <v/>
      </c>
      <c r="I46" s="237" t="n"/>
      <c r="J46" s="237" t="n"/>
      <c r="K46" s="237" t="n"/>
      <c r="L46" s="237" t="n"/>
      <c r="M46" s="35" t="n"/>
      <c r="N46" s="35" t="n"/>
    </row>
    <row r="47" ht="20.1" customFormat="1" customHeight="1" s="190">
      <c r="A47" s="256" t="n"/>
      <c r="B47" s="256">
        <f>IF('被投资单位基本信息G7-4'!M31+'被投资单位基本信息G7-4'!N31&gt;0.5,'被投资单位基本信息G7-4'!B31,0)</f>
        <v/>
      </c>
      <c r="C47" s="457">
        <f>IF('被投资单位基本信息G7-4'!M31+'被投资单位基本信息G7-4'!N31&gt;0.5,'被投资单位基本信息G7-4'!M31+'被投资单位基本信息G7-4'!N31,0)</f>
        <v/>
      </c>
      <c r="D47" s="457">
        <f>IF('被投资单位基本信息G7-4'!M31+'被投资单位基本信息G7-4'!N31&gt;0.5,'被投资单位基本信息G7-4'!O31+'被投资单位基本信息G7-4'!N31,0)</f>
        <v/>
      </c>
      <c r="E47" s="456">
        <f>IF('被投资单位基本信息G7-4'!M31+'被投资单位基本信息G7-4'!N31&gt;0.5,'被投资单位基本信息G7-4'!I31,0)</f>
        <v/>
      </c>
      <c r="F47" s="456">
        <f>IF('被投资单位基本信息G7-4'!M31+'被投资单位基本信息G7-4'!N31&gt;0.5,'被投资单位基本信息G7-4'!J31,0)</f>
        <v/>
      </c>
      <c r="G47" s="456">
        <f>IF('被投资单位基本信息G7-4'!M31+'被投资单位基本信息G7-4'!N31&gt;0.5,'被投资单位基本信息G7-4'!C31,0)</f>
        <v/>
      </c>
      <c r="H47" s="456">
        <f>IF('被投资单位基本信息G7-4'!M31+'被投资单位基本信息G7-4'!N31&gt;0.5,'被投资单位基本信息G7-4'!R31,0)</f>
        <v/>
      </c>
      <c r="I47" s="237" t="n"/>
      <c r="J47" s="237" t="n"/>
      <c r="K47" s="237" t="n"/>
      <c r="L47" s="237" t="n"/>
      <c r="M47" s="35" t="n"/>
      <c r="N47" s="35" t="n"/>
    </row>
    <row r="48" ht="20.1" customFormat="1" customHeight="1" s="190">
      <c r="A48" s="256" t="n"/>
      <c r="B48" s="256">
        <f>IF('被投资单位基本信息G7-4'!M32+'被投资单位基本信息G7-4'!N32&gt;0.5,'被投资单位基本信息G7-4'!B32,0)</f>
        <v/>
      </c>
      <c r="C48" s="457">
        <f>IF('被投资单位基本信息G7-4'!M32+'被投资单位基本信息G7-4'!N32&gt;0.5,'被投资单位基本信息G7-4'!M32+'被投资单位基本信息G7-4'!N32,0)</f>
        <v/>
      </c>
      <c r="D48" s="457">
        <f>IF('被投资单位基本信息G7-4'!M32+'被投资单位基本信息G7-4'!N32&gt;0.5,'被投资单位基本信息G7-4'!O32+'被投资单位基本信息G7-4'!N32,0)</f>
        <v/>
      </c>
      <c r="E48" s="456">
        <f>IF('被投资单位基本信息G7-4'!M32+'被投资单位基本信息G7-4'!N32&gt;0.5,'被投资单位基本信息G7-4'!I32,0)</f>
        <v/>
      </c>
      <c r="F48" s="456">
        <f>IF('被投资单位基本信息G7-4'!M32+'被投资单位基本信息G7-4'!N32&gt;0.5,'被投资单位基本信息G7-4'!J32,0)</f>
        <v/>
      </c>
      <c r="G48" s="456">
        <f>IF('被投资单位基本信息G7-4'!M32+'被投资单位基本信息G7-4'!N32&gt;0.5,'被投资单位基本信息G7-4'!C32,0)</f>
        <v/>
      </c>
      <c r="H48" s="456">
        <f>IF('被投资单位基本信息G7-4'!M32+'被投资单位基本信息G7-4'!N32&gt;0.5,'被投资单位基本信息G7-4'!R32,0)</f>
        <v/>
      </c>
      <c r="I48" s="237" t="n"/>
      <c r="J48" s="237" t="n"/>
      <c r="K48" s="237" t="n"/>
      <c r="L48" s="237" t="n"/>
      <c r="M48" s="35" t="n"/>
      <c r="N48" s="35" t="n"/>
    </row>
    <row r="49" ht="20.1" customFormat="1" customHeight="1" s="190">
      <c r="A49" s="256" t="n"/>
      <c r="B49" s="256">
        <f>IF('被投资单位基本信息G7-4'!M33+'被投资单位基本信息G7-4'!N33&gt;0.5,'被投资单位基本信息G7-4'!B33,0)</f>
        <v/>
      </c>
      <c r="C49" s="457">
        <f>IF('被投资单位基本信息G7-4'!M33+'被投资单位基本信息G7-4'!N33&gt;0.5,'被投资单位基本信息G7-4'!M33+'被投资单位基本信息G7-4'!N33,0)</f>
        <v/>
      </c>
      <c r="D49" s="457">
        <f>IF('被投资单位基本信息G7-4'!M33+'被投资单位基本信息G7-4'!N33&gt;0.5,'被投资单位基本信息G7-4'!O33+'被投资单位基本信息G7-4'!N33,0)</f>
        <v/>
      </c>
      <c r="E49" s="456">
        <f>IF('被投资单位基本信息G7-4'!M33+'被投资单位基本信息G7-4'!N33&gt;0.5,'被投资单位基本信息G7-4'!I33,0)</f>
        <v/>
      </c>
      <c r="F49" s="456">
        <f>IF('被投资单位基本信息G7-4'!M33+'被投资单位基本信息G7-4'!N33&gt;0.5,'被投资单位基本信息G7-4'!J33,0)</f>
        <v/>
      </c>
      <c r="G49" s="456">
        <f>IF('被投资单位基本信息G7-4'!M33+'被投资单位基本信息G7-4'!N33&gt;0.5,'被投资单位基本信息G7-4'!C33,0)</f>
        <v/>
      </c>
      <c r="H49" s="456">
        <f>IF('被投资单位基本信息G7-4'!M33+'被投资单位基本信息G7-4'!N33&gt;0.5,'被投资单位基本信息G7-4'!R33,0)</f>
        <v/>
      </c>
      <c r="I49" s="237" t="n"/>
      <c r="J49" s="237" t="n"/>
      <c r="K49" s="237" t="n"/>
      <c r="L49" s="237" t="n"/>
      <c r="M49" s="35" t="n"/>
      <c r="N49" s="35" t="n"/>
    </row>
    <row r="50" ht="20.1" customFormat="1" customHeight="1" s="190">
      <c r="A50" s="256" t="n"/>
      <c r="B50" s="256" t="inlineStr">
        <is>
          <t>其他（含共同经营等）</t>
        </is>
      </c>
      <c r="C50" s="457" t="n"/>
      <c r="D50" s="457" t="n"/>
      <c r="E50" s="456" t="n"/>
      <c r="F50" s="456" t="n"/>
      <c r="G50" s="456" t="n"/>
      <c r="H50" s="456" t="n"/>
      <c r="I50" s="237" t="n"/>
      <c r="J50" s="237" t="n"/>
      <c r="K50" s="237" t="n"/>
      <c r="L50" s="237" t="n"/>
      <c r="M50" s="35" t="n"/>
      <c r="N50" s="35" t="n"/>
    </row>
    <row r="51" ht="20.1" customFormat="1" customHeight="1" s="190">
      <c r="A51" s="256" t="n"/>
      <c r="B51" s="256">
        <f>IF('被投资单位基本信息G7-4'!M35+'被投资单位基本信息G7-4'!N35&gt;0.5,'被投资单位基本信息G7-4'!B35,0)</f>
        <v/>
      </c>
      <c r="C51" s="457">
        <f>IF('被投资单位基本信息G7-4'!M35+'被投资单位基本信息G7-4'!N35&gt;0.5,'被投资单位基本信息G7-4'!M35+'被投资单位基本信息G7-4'!N35,0)</f>
        <v/>
      </c>
      <c r="D51" s="457">
        <f>IF('被投资单位基本信息G7-4'!M35+'被投资单位基本信息G7-4'!N35&gt;0.5,'被投资单位基本信息G7-4'!O35,0)</f>
        <v/>
      </c>
      <c r="E51" s="456">
        <f>IF('被投资单位基本信息G7-4'!M35+'被投资单位基本信息G7-4'!N35&gt;0.5,'被投资单位基本信息G7-4'!I35,0)</f>
        <v/>
      </c>
      <c r="F51" s="456">
        <f>IF('被投资单位基本信息G7-4'!M35+'被投资单位基本信息G7-4'!N35&gt;0.5,'被投资单位基本信息G7-4'!J35,0)</f>
        <v/>
      </c>
      <c r="G51" s="456">
        <f>IF('被投资单位基本信息G7-4'!M35+'被投资单位基本信息G7-4'!N35&gt;0.5,'被投资单位基本信息G7-4'!C35,0)</f>
        <v/>
      </c>
      <c r="H51" s="456">
        <f>IF('被投资单位基本信息G7-4'!M35+'被投资单位基本信息G7-4'!N35&gt;0.5,'被投资单位基本信息G7-4'!R35,0)</f>
        <v/>
      </c>
      <c r="I51" s="237" t="n"/>
      <c r="J51" s="237" t="n"/>
      <c r="K51" s="237" t="n"/>
      <c r="L51" s="237" t="n"/>
      <c r="M51" s="35" t="n"/>
      <c r="N51" s="35" t="n"/>
    </row>
    <row r="52" ht="20.1" customFormat="1" customHeight="1" s="190" thickBot="1">
      <c r="A52" s="459" t="n"/>
      <c r="B52" s="256">
        <f>IF('被投资单位基本信息G7-4'!M36+'被投资单位基本信息G7-4'!N36&gt;0.5,'被投资单位基本信息G7-4'!B36,0)</f>
        <v/>
      </c>
      <c r="C52" s="457">
        <f>IF('被投资单位基本信息G7-4'!M36+'被投资单位基本信息G7-4'!N36&gt;0.5,'被投资单位基本信息G7-4'!M36+'被投资单位基本信息G7-4'!N36,0)</f>
        <v/>
      </c>
      <c r="D52" s="457">
        <f>IF('被投资单位基本信息G7-4'!M36+'被投资单位基本信息G7-4'!N36&gt;0.5,'被投资单位基本信息G7-4'!O36,0)</f>
        <v/>
      </c>
      <c r="E52" s="456">
        <f>IF('被投资单位基本信息G7-4'!M36+'被投资单位基本信息G7-4'!N36&gt;0.5,'被投资单位基本信息G7-4'!I36,0)</f>
        <v/>
      </c>
      <c r="F52" s="456">
        <f>IF('被投资单位基本信息G7-4'!M36+'被投资单位基本信息G7-4'!N36&gt;0.5,'被投资单位基本信息G7-4'!J36,0)</f>
        <v/>
      </c>
      <c r="G52" s="456">
        <f>IF('被投资单位基本信息G7-4'!M36+'被投资单位基本信息G7-4'!N36&gt;0.5,'被投资单位基本信息G7-4'!C36,0)</f>
        <v/>
      </c>
      <c r="H52" s="456">
        <f>IF('被投资单位基本信息G7-4'!M36+'被投资单位基本信息G7-4'!N36&gt;0.5,'被投资单位基本信息G7-4'!R36,0)</f>
        <v/>
      </c>
      <c r="I52" s="237" t="n"/>
      <c r="J52" s="237" t="n"/>
      <c r="K52" s="237" t="n"/>
      <c r="L52" s="237" t="n"/>
      <c r="M52" s="35" t="n"/>
      <c r="N52" s="35" t="n"/>
    </row>
    <row r="53" ht="20.1" customFormat="1" customHeight="1" s="190">
      <c r="A53" s="209" t="inlineStr">
        <is>
          <t>（四）重要非全资子公司情况</t>
        </is>
      </c>
      <c r="B53" s="209" t="n"/>
      <c r="C53" s="237" t="n"/>
      <c r="D53" s="237" t="n"/>
      <c r="E53" s="237" t="n"/>
      <c r="F53" s="237" t="n"/>
      <c r="G53" s="237" t="n"/>
      <c r="H53" s="237" t="n"/>
      <c r="I53" s="237" t="n"/>
      <c r="J53" s="237" t="n"/>
      <c r="K53" s="237" t="n"/>
      <c r="L53" s="237" t="n"/>
      <c r="M53" s="35" t="n"/>
      <c r="N53" s="35" t="n"/>
      <c r="O53" s="35" t="n"/>
    </row>
    <row r="54" ht="20.1" customFormat="1" customHeight="1" s="190" thickBot="1">
      <c r="A54" s="90" t="inlineStr">
        <is>
          <t>1、少数股东</t>
        </is>
      </c>
      <c r="B54" s="209" t="n"/>
      <c r="C54" s="237" t="n"/>
      <c r="D54" s="237" t="n"/>
      <c r="E54" s="237" t="n"/>
      <c r="F54" s="237" t="n"/>
      <c r="G54" s="237" t="n"/>
      <c r="H54" s="237" t="n"/>
      <c r="I54" s="237" t="n"/>
      <c r="J54" s="237" t="n"/>
      <c r="K54" s="237" t="n"/>
      <c r="L54" s="237" t="n"/>
      <c r="M54" s="35" t="n"/>
      <c r="N54" s="35" t="n"/>
      <c r="O54" s="35" t="n"/>
    </row>
    <row r="55" ht="36.75" customFormat="1" customHeight="1" s="190" thickBot="1">
      <c r="A55" s="442" t="inlineStr">
        <is>
          <t>序号</t>
        </is>
      </c>
      <c r="B55" s="442" t="inlineStr">
        <is>
          <t>企业名称</t>
        </is>
      </c>
      <c r="C55" s="442" t="inlineStr">
        <is>
          <t>少数股东持股比例</t>
        </is>
      </c>
      <c r="D55" s="442" t="inlineStr">
        <is>
          <t>当期归属于少数股东的损益</t>
        </is>
      </c>
      <c r="E55" s="442" t="inlineStr">
        <is>
          <t>当期向少数股东支付的股利</t>
        </is>
      </c>
      <c r="F55" s="442" t="inlineStr">
        <is>
          <t>期末累计少数股东权益</t>
        </is>
      </c>
      <c r="G55" s="456" t="n"/>
      <c r="H55" s="456" t="n"/>
      <c r="I55" s="237" t="n"/>
      <c r="J55" s="237" t="n"/>
      <c r="K55" s="237" t="n"/>
      <c r="L55" s="237" t="n"/>
      <c r="M55" s="35" t="n"/>
      <c r="N55" s="35" t="n"/>
    </row>
    <row r="56" ht="20.1" customFormat="1" customHeight="1" s="190">
      <c r="A56" s="445" t="n"/>
      <c r="B56" s="445" t="n"/>
      <c r="C56" s="462" t="n"/>
      <c r="D56" s="1171" t="n"/>
      <c r="E56" s="1171" t="n"/>
      <c r="F56" s="1171" t="n"/>
      <c r="G56" s="237" t="n"/>
      <c r="H56" s="237" t="n"/>
      <c r="I56" s="237" t="n"/>
      <c r="J56" s="237" t="n"/>
      <c r="K56" s="237" t="n"/>
      <c r="L56" s="237" t="n"/>
      <c r="M56" s="35" t="n"/>
    </row>
    <row r="57" ht="20.1" customFormat="1" customHeight="1" s="190">
      <c r="A57" s="238" t="n"/>
      <c r="B57" s="238" t="n"/>
      <c r="C57" s="463" t="n"/>
      <c r="D57" s="1147" t="n"/>
      <c r="E57" s="1147" t="n"/>
      <c r="F57" s="1147" t="n"/>
      <c r="G57" s="237" t="n"/>
      <c r="H57" s="237" t="n"/>
      <c r="I57" s="237" t="n"/>
      <c r="J57" s="237" t="n"/>
      <c r="K57" s="237" t="n"/>
      <c r="L57" s="237" t="n"/>
      <c r="M57" s="35" t="n"/>
    </row>
    <row r="58" ht="20.1" customFormat="1" customHeight="1" s="190">
      <c r="A58" s="238" t="n"/>
      <c r="B58" s="238" t="n"/>
      <c r="C58" s="463" t="n"/>
      <c r="D58" s="1147" t="n"/>
      <c r="E58" s="1147" t="n"/>
      <c r="F58" s="1147" t="n"/>
      <c r="G58" s="237" t="n"/>
      <c r="H58" s="237" t="n"/>
      <c r="I58" s="237" t="n"/>
      <c r="J58" s="237" t="n"/>
      <c r="K58" s="237" t="n"/>
      <c r="L58" s="237" t="n"/>
      <c r="M58" s="35" t="n"/>
    </row>
    <row r="59" ht="20.1" customFormat="1" customHeight="1" s="190">
      <c r="A59" s="238" t="n"/>
      <c r="B59" s="238" t="n"/>
      <c r="C59" s="463" t="n"/>
      <c r="D59" s="1147" t="n"/>
      <c r="E59" s="1147" t="n"/>
      <c r="F59" s="1147" t="n"/>
      <c r="G59" s="237" t="n"/>
      <c r="H59" s="237" t="n"/>
      <c r="I59" s="237" t="n"/>
      <c r="J59" s="237" t="n"/>
      <c r="K59" s="237" t="n"/>
      <c r="L59" s="237" t="n"/>
      <c r="M59" s="35" t="n"/>
    </row>
    <row r="60" ht="20.1" customFormat="1" customHeight="1" s="190" thickBot="1">
      <c r="A60" s="252" t="n"/>
      <c r="B60" s="252" t="n"/>
      <c r="C60" s="464" t="n"/>
      <c r="D60" s="1148" t="n"/>
      <c r="E60" s="1148" t="n"/>
      <c r="F60" s="1148" t="n"/>
      <c r="G60" s="237" t="n"/>
      <c r="H60" s="237" t="n"/>
      <c r="I60" s="237" t="n"/>
      <c r="J60" s="237" t="n"/>
      <c r="K60" s="237" t="n"/>
      <c r="L60" s="237" t="n"/>
      <c r="M60" s="35" t="n"/>
    </row>
    <row r="61" ht="20.1" customFormat="1" customHeight="1" s="190" thickBot="1">
      <c r="A61" s="209" t="inlineStr">
        <is>
          <t>2、主要财务信息：</t>
        </is>
      </c>
      <c r="B61" s="209" t="n"/>
      <c r="C61" s="237" t="n"/>
      <c r="D61" s="237" t="n"/>
      <c r="E61" s="237" t="n"/>
      <c r="F61" s="237" t="n"/>
      <c r="G61" s="237" t="n"/>
      <c r="H61" s="237" t="n"/>
      <c r="I61" s="237" t="n"/>
      <c r="J61" s="237" t="n"/>
      <c r="K61" s="237" t="n"/>
      <c r="L61" s="237" t="n"/>
      <c r="M61" s="35" t="n"/>
      <c r="N61" s="35" t="n"/>
      <c r="O61" s="35" t="n"/>
    </row>
    <row r="62" ht="20.1" customFormat="1" customHeight="1" s="190">
      <c r="A62" s="1172" t="inlineStr">
        <is>
          <t>项  目</t>
        </is>
      </c>
      <c r="B62" s="1144" t="n"/>
      <c r="C62" s="919" t="n"/>
      <c r="D62" s="1144" t="n"/>
      <c r="E62" s="919" t="n"/>
      <c r="F62" s="1144" t="n"/>
      <c r="G62" s="919" t="n"/>
      <c r="H62" s="1144" t="n"/>
      <c r="I62" s="919" t="n"/>
      <c r="J62" s="1144" t="n"/>
      <c r="K62" s="919" t="n"/>
      <c r="L62" s="1144" t="n"/>
    </row>
    <row r="63" ht="20.1" customFormat="1" customHeight="1" s="190" thickBot="1">
      <c r="A63" s="1146" t="n"/>
      <c r="B63" s="1146" t="n"/>
      <c r="C63" s="465" t="inlineStr">
        <is>
          <t>期末数/本期发生额</t>
        </is>
      </c>
      <c r="D63" s="465" t="inlineStr">
        <is>
          <t>期初数/上期发生额</t>
        </is>
      </c>
      <c r="E63" s="465" t="inlineStr">
        <is>
          <t>期末数/本期发生额</t>
        </is>
      </c>
      <c r="F63" s="465" t="inlineStr">
        <is>
          <t>期初数/上期发生额</t>
        </is>
      </c>
      <c r="G63" s="465" t="inlineStr">
        <is>
          <t>期末数/本期发生额</t>
        </is>
      </c>
      <c r="H63" s="465" t="inlineStr">
        <is>
          <t>期初数/上期发生额</t>
        </is>
      </c>
      <c r="I63" s="465" t="inlineStr">
        <is>
          <t>期末数/本期发生额</t>
        </is>
      </c>
      <c r="J63" s="465" t="inlineStr">
        <is>
          <t>期初数/上期发生额</t>
        </is>
      </c>
      <c r="K63" s="465" t="inlineStr">
        <is>
          <t>期末数/本期发生额</t>
        </is>
      </c>
      <c r="L63" s="465" t="inlineStr">
        <is>
          <t>期初数/上期发生额</t>
        </is>
      </c>
    </row>
    <row r="64" ht="20.1" customFormat="1" customHeight="1" s="190">
      <c r="A64" s="920" t="inlineStr">
        <is>
          <t>流动资产</t>
        </is>
      </c>
      <c r="B64" s="1144" t="n"/>
      <c r="C64" s="1173" t="n"/>
      <c r="D64" s="1173" t="n"/>
      <c r="E64" s="1173" t="n"/>
      <c r="F64" s="1173" t="n"/>
      <c r="G64" s="1173" t="n"/>
      <c r="H64" s="1173" t="n"/>
      <c r="I64" s="1173" t="n"/>
      <c r="J64" s="1173" t="n"/>
      <c r="K64" s="1173" t="n"/>
      <c r="L64" s="1173" t="n"/>
    </row>
    <row r="65" ht="20.1" customFormat="1" customHeight="1" s="190">
      <c r="A65" s="884" t="inlineStr">
        <is>
          <t>非流动资产</t>
        </is>
      </c>
      <c r="B65" s="0" t="n"/>
      <c r="C65" s="1173" t="n"/>
      <c r="D65" s="1173" t="n"/>
      <c r="E65" s="1173" t="n"/>
      <c r="F65" s="1173" t="n"/>
      <c r="G65" s="1173" t="n"/>
      <c r="H65" s="1173" t="n"/>
      <c r="I65" s="1173" t="n"/>
      <c r="J65" s="1173" t="n"/>
      <c r="K65" s="1173" t="n"/>
      <c r="L65" s="1173" t="n"/>
    </row>
    <row r="66" ht="20.1" customFormat="1" customHeight="1" s="190">
      <c r="A66" s="926" t="inlineStr">
        <is>
          <t>资产合计</t>
        </is>
      </c>
      <c r="B66" s="0" t="n"/>
      <c r="C66" s="1173" t="n"/>
      <c r="D66" s="1173" t="n"/>
      <c r="E66" s="1173" t="n"/>
      <c r="F66" s="1173" t="n"/>
      <c r="G66" s="1173" t="n"/>
      <c r="H66" s="1173" t="n"/>
      <c r="I66" s="1173" t="n"/>
      <c r="J66" s="1173" t="n"/>
      <c r="K66" s="1173" t="n"/>
      <c r="L66" s="1173" t="n"/>
    </row>
    <row r="67" ht="20.1" customFormat="1" customHeight="1" s="190">
      <c r="A67" s="884" t="inlineStr">
        <is>
          <t>流动负债</t>
        </is>
      </c>
      <c r="B67" s="0" t="n"/>
      <c r="C67" s="1173" t="n"/>
      <c r="D67" s="1173" t="n"/>
      <c r="E67" s="1173" t="n"/>
      <c r="F67" s="1173" t="n"/>
      <c r="G67" s="1173" t="n"/>
      <c r="H67" s="1173" t="n"/>
      <c r="I67" s="1173" t="n"/>
      <c r="J67" s="1173" t="n"/>
      <c r="K67" s="1173" t="n"/>
      <c r="L67" s="1173" t="n"/>
    </row>
    <row r="68" ht="20.1" customFormat="1" customHeight="1" s="190">
      <c r="A68" s="884" t="inlineStr">
        <is>
          <t>非流动负债</t>
        </is>
      </c>
      <c r="B68" s="0" t="n"/>
      <c r="C68" s="1173" t="n"/>
      <c r="D68" s="1173" t="n"/>
      <c r="E68" s="1173" t="n"/>
      <c r="F68" s="1173" t="n"/>
      <c r="G68" s="1173" t="n"/>
      <c r="H68" s="1173" t="n"/>
      <c r="I68" s="1173" t="n"/>
      <c r="J68" s="1173" t="n"/>
      <c r="K68" s="1173" t="n"/>
      <c r="L68" s="1173" t="n"/>
    </row>
    <row r="69" ht="20.1" customFormat="1" customHeight="1" s="190">
      <c r="A69" s="926" t="inlineStr">
        <is>
          <t>负债合计</t>
        </is>
      </c>
      <c r="B69" s="0" t="n"/>
      <c r="C69" s="1173" t="n"/>
      <c r="D69" s="1173" t="n"/>
      <c r="E69" s="1173" t="n"/>
      <c r="F69" s="1173" t="n"/>
      <c r="G69" s="1173" t="n"/>
      <c r="H69" s="1173" t="n"/>
      <c r="I69" s="1173" t="n"/>
      <c r="J69" s="1173" t="n"/>
      <c r="K69" s="1173" t="n"/>
      <c r="L69" s="1173" t="n"/>
    </row>
    <row r="70" ht="20.1" customFormat="1" customHeight="1" s="190">
      <c r="A70" s="884" t="inlineStr">
        <is>
          <t>营业收入</t>
        </is>
      </c>
      <c r="B70" s="0" t="n"/>
      <c r="C70" s="1173" t="n"/>
      <c r="D70" s="1173" t="n"/>
      <c r="E70" s="1173" t="n"/>
      <c r="F70" s="1173" t="n"/>
      <c r="G70" s="1173" t="n"/>
      <c r="H70" s="1173" t="n"/>
      <c r="I70" s="1173" t="n"/>
      <c r="J70" s="1173" t="n"/>
      <c r="K70" s="1173" t="n"/>
      <c r="L70" s="1173" t="n"/>
    </row>
    <row r="71" ht="20.1" customFormat="1" customHeight="1" s="190">
      <c r="A71" s="884" t="inlineStr">
        <is>
          <t>净利润</t>
        </is>
      </c>
      <c r="B71" s="0" t="n"/>
      <c r="C71" s="1173" t="n"/>
      <c r="D71" s="1173" t="n"/>
      <c r="E71" s="1173" t="n"/>
      <c r="F71" s="1173" t="n"/>
      <c r="G71" s="1173" t="n"/>
      <c r="H71" s="1173" t="n"/>
      <c r="I71" s="1173" t="n"/>
      <c r="J71" s="1173" t="n"/>
      <c r="K71" s="1173" t="n"/>
      <c r="L71" s="1173" t="n"/>
    </row>
    <row r="72" ht="20.1" customFormat="1" customHeight="1" s="190">
      <c r="A72" s="884" t="inlineStr">
        <is>
          <t>综合收益总额</t>
        </is>
      </c>
      <c r="B72" s="0" t="n"/>
      <c r="C72" s="1173" t="n"/>
      <c r="D72" s="1173" t="n"/>
      <c r="E72" s="1173" t="n"/>
      <c r="F72" s="1173" t="n"/>
      <c r="G72" s="1173" t="n"/>
      <c r="H72" s="1173" t="n"/>
      <c r="I72" s="1173" t="n"/>
      <c r="J72" s="1173" t="n"/>
      <c r="K72" s="1173" t="n"/>
      <c r="L72" s="1173" t="n"/>
    </row>
    <row r="73" ht="20.1" customFormat="1" customHeight="1" s="190" thickBot="1">
      <c r="A73" s="927" t="inlineStr">
        <is>
          <t>经营活动现金流量</t>
        </is>
      </c>
      <c r="B73" s="1146" t="n"/>
      <c r="C73" s="1174" t="n"/>
      <c r="D73" s="1174" t="n"/>
      <c r="E73" s="1174" t="n"/>
      <c r="F73" s="1174" t="n"/>
      <c r="G73" s="1174" t="n"/>
      <c r="H73" s="1174" t="n"/>
      <c r="I73" s="1174" t="n"/>
      <c r="J73" s="1174" t="n"/>
      <c r="K73" s="1174" t="n"/>
      <c r="L73" s="1174" t="n"/>
    </row>
    <row r="74" ht="20.1" customFormat="1" customHeight="1" s="190">
      <c r="A74" s="249" t="inlineStr">
        <is>
          <t>【提示：上述财务数据以合并日子公司可辨认资产和负债的公允价值为基础进行调整；被划分为持有待售资产的，不需要披露该子公司的上述财务信息。】</t>
        </is>
      </c>
      <c r="B74" s="249" t="n"/>
      <c r="C74" s="237" t="n"/>
      <c r="D74" s="237" t="n"/>
      <c r="E74" s="237" t="n"/>
      <c r="F74" s="237" t="n"/>
      <c r="G74" s="237" t="n"/>
      <c r="H74" s="237" t="n"/>
      <c r="I74" s="237" t="n"/>
      <c r="J74" s="237" t="n"/>
      <c r="K74" s="237" t="n"/>
      <c r="L74" s="237" t="n"/>
      <c r="M74" s="35" t="n"/>
      <c r="N74" s="35" t="n"/>
      <c r="O74" s="35" t="n"/>
    </row>
    <row r="75" ht="20.1" customFormat="1" customHeight="1" s="190">
      <c r="A75" s="90" t="inlineStr">
        <is>
          <t>（五）子公司与母公司会计期间不一致的，母公司编制合并财务报表的处理方法</t>
        </is>
      </c>
      <c r="B75" s="249" t="n"/>
      <c r="C75" s="237" t="n"/>
      <c r="D75" s="237" t="n"/>
      <c r="E75" s="237" t="n"/>
      <c r="F75" s="237" t="n"/>
      <c r="G75" s="237" t="n"/>
      <c r="H75" s="237" t="n"/>
      <c r="I75" s="237" t="n"/>
      <c r="J75" s="237" t="n"/>
      <c r="K75" s="237" t="n"/>
      <c r="L75" s="237" t="n"/>
      <c r="M75" s="35" t="n"/>
      <c r="N75" s="35" t="n"/>
      <c r="O75" s="35" t="n"/>
    </row>
    <row r="76" ht="20.1" customFormat="1" customHeight="1" s="190">
      <c r="A76" s="90" t="inlineStr">
        <is>
          <t>（六）本期不再纳入合并范围的原子公司</t>
        </is>
      </c>
      <c r="B76" s="209" t="n"/>
      <c r="C76" s="237" t="n"/>
      <c r="D76" s="237" t="n"/>
      <c r="E76" s="237" t="n"/>
      <c r="F76" s="237" t="n"/>
      <c r="G76" s="237" t="n"/>
      <c r="H76" s="237" t="n"/>
      <c r="I76" s="237" t="n"/>
      <c r="J76" s="237" t="n"/>
      <c r="K76" s="237" t="n"/>
      <c r="L76" s="237" t="n"/>
      <c r="M76" s="35" t="n"/>
      <c r="N76" s="35" t="n"/>
      <c r="O76" s="35" t="n"/>
    </row>
    <row r="77" ht="20.1" customFormat="1" customHeight="1" s="190" thickBot="1">
      <c r="A77" s="209" t="inlineStr">
        <is>
          <t>（1）原子公司的基本情况</t>
        </is>
      </c>
      <c r="B77" s="209" t="n"/>
      <c r="C77" s="237" t="n"/>
      <c r="D77" s="237" t="n"/>
      <c r="E77" s="237" t="n"/>
      <c r="F77" s="237" t="n"/>
      <c r="G77" s="237" t="n"/>
      <c r="H77" s="237" t="n"/>
      <c r="I77" s="237" t="n"/>
      <c r="J77" s="237" t="n"/>
      <c r="K77" s="237" t="n"/>
      <c r="L77" s="237" t="n"/>
      <c r="M77" s="35" t="n"/>
      <c r="N77" s="35" t="n"/>
      <c r="O77" s="35" t="n"/>
    </row>
    <row r="78" ht="50.25" customFormat="1" customHeight="1" s="190" thickBot="1">
      <c r="A78" s="886" t="inlineStr">
        <is>
          <t>序号</t>
        </is>
      </c>
      <c r="B78" s="886" t="inlineStr">
        <is>
          <t>企业名称</t>
        </is>
      </c>
      <c r="C78" s="886" t="inlineStr">
        <is>
          <t>注册地</t>
        </is>
      </c>
      <c r="D78" s="886" t="inlineStr">
        <is>
          <t>业务性质</t>
        </is>
      </c>
      <c r="E78" s="886" t="inlineStr">
        <is>
          <t>持股比例（%）</t>
        </is>
      </c>
      <c r="F78" s="886" t="inlineStr">
        <is>
          <t>表决权比例（%）</t>
        </is>
      </c>
      <c r="G78" s="886" t="inlineStr">
        <is>
          <t>本期不再成为子公司的原因</t>
        </is>
      </c>
      <c r="H78" s="237" t="n"/>
      <c r="I78" s="237" t="n"/>
      <c r="J78" s="237" t="n"/>
      <c r="K78" s="237" t="n"/>
      <c r="L78" s="237" t="n"/>
      <c r="M78" s="35" t="n"/>
      <c r="N78" s="35" t="n"/>
    </row>
    <row r="79" ht="20.1" customFormat="1" customHeight="1" s="190">
      <c r="A79" s="444" t="n">
        <v>1</v>
      </c>
      <c r="B79" s="445">
        <f>'处置子公司测试表（不包含一揽子交易）G7-11'!B9</f>
        <v/>
      </c>
      <c r="C79" s="445">
        <f>'处置子公司测试表（不包含一揽子交易）G7-11'!C9</f>
        <v/>
      </c>
      <c r="D79" s="245">
        <f>'处置子公司测试表（不包含一揽子交易）G7-11'!D9</f>
        <v/>
      </c>
      <c r="E79" s="245">
        <f>'处置子公司测试表（不包含一揽子交易）G7-11'!E9</f>
        <v/>
      </c>
      <c r="F79" s="245">
        <f>'处置子公司测试表（不包含一揽子交易）G7-11'!F9</f>
        <v/>
      </c>
      <c r="G79" s="245">
        <f>'处置子公司测试表（不包含一揽子交易）G7-11'!G9</f>
        <v/>
      </c>
      <c r="H79" s="237" t="n"/>
      <c r="I79" s="237" t="n"/>
      <c r="J79" s="237" t="n"/>
      <c r="K79" s="237" t="n"/>
      <c r="L79" s="237" t="n"/>
      <c r="M79" s="35" t="n"/>
      <c r="N79" s="35" t="n"/>
    </row>
    <row r="80" ht="20.1" customFormat="1" customHeight="1" s="190">
      <c r="A80" s="448" t="n">
        <v>2</v>
      </c>
      <c r="B80" s="238">
        <f>'处置子公司测试表（不包含一揽子交易）G7-11'!B10</f>
        <v/>
      </c>
      <c r="C80" s="238">
        <f>'处置子公司测试表（不包含一揽子交易）G7-11'!C10</f>
        <v/>
      </c>
      <c r="D80" s="246">
        <f>'处置子公司测试表（不包含一揽子交易）G7-11'!D10</f>
        <v/>
      </c>
      <c r="E80" s="246">
        <f>'处置子公司测试表（不包含一揽子交易）G7-11'!E10</f>
        <v/>
      </c>
      <c r="F80" s="246">
        <f>'处置子公司测试表（不包含一揽子交易）G7-11'!F10</f>
        <v/>
      </c>
      <c r="G80" s="246">
        <f>'处置子公司测试表（不包含一揽子交易）G7-11'!G10</f>
        <v/>
      </c>
      <c r="H80" s="237" t="n"/>
      <c r="I80" s="237" t="n"/>
      <c r="J80" s="237" t="n"/>
      <c r="K80" s="237" t="n"/>
      <c r="L80" s="237" t="n"/>
      <c r="M80" s="35" t="n"/>
      <c r="N80" s="35" t="n"/>
    </row>
    <row r="81" ht="20.1" customFormat="1" customHeight="1" s="190">
      <c r="A81" s="448" t="n">
        <v>3</v>
      </c>
      <c r="B81" s="238">
        <f>'处置子公司测试表（不包含一揽子交易）G7-11'!B11</f>
        <v/>
      </c>
      <c r="C81" s="238">
        <f>'处置子公司测试表（不包含一揽子交易）G7-11'!C11</f>
        <v/>
      </c>
      <c r="D81" s="246">
        <f>'处置子公司测试表（不包含一揽子交易）G7-11'!D11</f>
        <v/>
      </c>
      <c r="E81" s="246">
        <f>'处置子公司测试表（不包含一揽子交易）G7-11'!E11</f>
        <v/>
      </c>
      <c r="F81" s="246">
        <f>'处置子公司测试表（不包含一揽子交易）G7-11'!F11</f>
        <v/>
      </c>
      <c r="G81" s="246">
        <f>'处置子公司测试表（不包含一揽子交易）G7-11'!G11</f>
        <v/>
      </c>
      <c r="H81" s="237" t="n"/>
      <c r="I81" s="237" t="n"/>
      <c r="J81" s="237" t="n"/>
      <c r="K81" s="237" t="n"/>
      <c r="L81" s="237" t="n"/>
      <c r="M81" s="35" t="n"/>
      <c r="N81" s="35" t="n"/>
    </row>
    <row r="82" ht="20.1" customFormat="1" customHeight="1" s="190">
      <c r="A82" s="448" t="n">
        <v>4</v>
      </c>
      <c r="B82" s="238">
        <f>'处置子公司测试表（不包含一揽子交易）G7-11'!B12</f>
        <v/>
      </c>
      <c r="C82" s="238">
        <f>'处置子公司测试表（不包含一揽子交易）G7-11'!C12</f>
        <v/>
      </c>
      <c r="D82" s="246">
        <f>'处置子公司测试表（不包含一揽子交易）G7-11'!D12</f>
        <v/>
      </c>
      <c r="E82" s="246">
        <f>'处置子公司测试表（不包含一揽子交易）G7-11'!E12</f>
        <v/>
      </c>
      <c r="F82" s="246">
        <f>'处置子公司测试表（不包含一揽子交易）G7-11'!F12</f>
        <v/>
      </c>
      <c r="G82" s="246">
        <f>'处置子公司测试表（不包含一揽子交易）G7-11'!G12</f>
        <v/>
      </c>
      <c r="H82" s="237" t="n"/>
      <c r="I82" s="237" t="n"/>
      <c r="J82" s="237" t="n"/>
      <c r="K82" s="237" t="n"/>
      <c r="L82" s="237" t="n"/>
      <c r="M82" s="35" t="n"/>
      <c r="N82" s="35" t="n"/>
    </row>
    <row r="83" ht="20.1" customFormat="1" customHeight="1" s="190" thickBot="1">
      <c r="A83" s="449" t="n">
        <v>5</v>
      </c>
      <c r="B83" s="252">
        <f>'处置子公司测试表（不包含一揽子交易）G7-11'!B13</f>
        <v/>
      </c>
      <c r="C83" s="252">
        <f>'处置子公司测试表（不包含一揽子交易）G7-11'!C13</f>
        <v/>
      </c>
      <c r="D83" s="248">
        <f>'处置子公司测试表（不包含一揽子交易）G7-11'!D13</f>
        <v/>
      </c>
      <c r="E83" s="248">
        <f>'处置子公司测试表（不包含一揽子交易）G7-11'!E13</f>
        <v/>
      </c>
      <c r="F83" s="248">
        <f>'处置子公司测试表（不包含一揽子交易）G7-11'!F13</f>
        <v/>
      </c>
      <c r="G83" s="248">
        <f>'处置子公司测试表（不包含一揽子交易）G7-11'!G13</f>
        <v/>
      </c>
      <c r="H83" s="237" t="n"/>
      <c r="I83" s="237" t="n"/>
      <c r="J83" s="237" t="n"/>
      <c r="K83" s="237" t="n"/>
      <c r="L83" s="237" t="n"/>
      <c r="M83" s="35" t="n"/>
      <c r="N83" s="35" t="n"/>
    </row>
    <row r="84" ht="20.1" customFormat="1" customHeight="1" s="190" thickBot="1">
      <c r="A84" s="252" t="n"/>
      <c r="B84" s="252" t="n"/>
      <c r="C84" s="252" t="n"/>
      <c r="D84" s="248" t="n"/>
      <c r="E84" s="248" t="n"/>
      <c r="F84" s="248" t="n"/>
      <c r="G84" s="248" t="n"/>
      <c r="H84" s="237" t="n"/>
      <c r="I84" s="237" t="n"/>
      <c r="J84" s="237" t="n"/>
      <c r="K84" s="237" t="n"/>
      <c r="L84" s="237" t="n"/>
      <c r="M84" s="35" t="n"/>
      <c r="N84" s="35" t="n"/>
    </row>
    <row r="85" ht="20.1" customFormat="1" customHeight="1" s="190">
      <c r="A85" s="209" t="inlineStr">
        <is>
          <t>（2）本期出售的子公司出售日的财务状况</t>
        </is>
      </c>
      <c r="B85" s="209" t="n"/>
      <c r="C85" s="237" t="n"/>
      <c r="D85" s="237" t="n"/>
      <c r="E85" s="237" t="n"/>
      <c r="F85" s="237" t="n"/>
      <c r="G85" s="237" t="n"/>
      <c r="H85" s="237" t="n"/>
      <c r="I85" s="237" t="n"/>
      <c r="J85" s="237" t="n"/>
      <c r="K85" s="237" t="n"/>
      <c r="L85" s="237" t="n"/>
      <c r="M85" s="35" t="n"/>
      <c r="N85" s="35" t="n"/>
      <c r="O85" s="35" t="n"/>
    </row>
    <row r="86" ht="20.1" customFormat="1" customHeight="1" s="190" thickBot="1">
      <c r="A86" s="469" t="inlineStr">
        <is>
          <t>（说明出售日的确定方法）</t>
        </is>
      </c>
      <c r="B86" s="469" t="n"/>
      <c r="C86" s="237" t="n"/>
      <c r="D86" s="237" t="n"/>
      <c r="E86" s="237" t="n"/>
      <c r="F86" s="237" t="n"/>
      <c r="G86" s="237" t="n"/>
      <c r="H86" s="237" t="n"/>
      <c r="I86" s="237" t="n"/>
      <c r="J86" s="237" t="n"/>
      <c r="K86" s="237" t="n"/>
      <c r="L86" s="237" t="n"/>
      <c r="M86" s="35" t="n"/>
      <c r="N86" s="35" t="n"/>
      <c r="O86" s="35" t="n"/>
    </row>
    <row r="87" ht="20.1" customFormat="1" customHeight="1" s="190" thickBot="1">
      <c r="A87" s="917" t="inlineStr">
        <is>
          <t>公司名称</t>
        </is>
      </c>
      <c r="B87" s="1175" t="n"/>
      <c r="C87" s="917" t="inlineStr">
        <is>
          <t>公司1</t>
        </is>
      </c>
      <c r="D87" s="1175" t="n"/>
      <c r="E87" s="917" t="inlineStr">
        <is>
          <t>公司2</t>
        </is>
      </c>
      <c r="F87" s="1175" t="n"/>
      <c r="G87" s="917" t="n"/>
      <c r="H87" s="1175" t="n"/>
      <c r="I87" s="917" t="n"/>
      <c r="J87" s="1175" t="n"/>
      <c r="K87" s="917" t="n"/>
      <c r="L87" s="1175" t="n"/>
      <c r="M87" s="35" t="n"/>
      <c r="N87" s="35" t="n"/>
      <c r="O87" s="35" t="n"/>
    </row>
    <row r="88" ht="37.5" customFormat="1" customHeight="1" s="190" thickBot="1">
      <c r="A88" s="917" t="inlineStr">
        <is>
          <t>截止日期</t>
        </is>
      </c>
      <c r="B88" s="1175" t="n"/>
      <c r="C88" s="465" t="inlineStr">
        <is>
          <t>出售日</t>
        </is>
      </c>
      <c r="D88" s="465" t="inlineStr">
        <is>
          <t>期初余额</t>
        </is>
      </c>
      <c r="E88" s="465" t="inlineStr">
        <is>
          <t>出售日</t>
        </is>
      </c>
      <c r="F88" s="465" t="inlineStr">
        <is>
          <t>期初余额</t>
        </is>
      </c>
      <c r="G88" s="465" t="n"/>
      <c r="H88" s="465" t="n"/>
      <c r="I88" s="887" t="n"/>
      <c r="J88" s="465" t="n"/>
      <c r="K88" s="887" t="n"/>
      <c r="L88" s="465" t="n"/>
      <c r="M88" s="35" t="n"/>
      <c r="N88" s="35" t="n"/>
      <c r="O88" s="35" t="n"/>
    </row>
    <row r="89" ht="20.1" customFormat="1" customHeight="1" s="190">
      <c r="A89" s="920" t="inlineStr">
        <is>
          <t>流动资产</t>
        </is>
      </c>
      <c r="B89" s="1144" t="n"/>
      <c r="C89" s="1176" t="n"/>
      <c r="D89" s="1176" t="n"/>
      <c r="E89" s="1176" t="n"/>
      <c r="F89" s="1176" t="n"/>
      <c r="G89" s="1176" t="n"/>
      <c r="H89" s="1176" t="n"/>
      <c r="I89" s="1176" t="n"/>
      <c r="J89" s="1176" t="n"/>
      <c r="K89" s="1176" t="n"/>
      <c r="L89" s="1176" t="n"/>
      <c r="M89" s="35" t="n"/>
      <c r="N89" s="35" t="n"/>
      <c r="O89" s="35" t="n"/>
    </row>
    <row r="90" ht="20.1" customFormat="1" customHeight="1" s="190">
      <c r="A90" s="884" t="inlineStr">
        <is>
          <t>长期股权投资</t>
        </is>
      </c>
      <c r="B90" s="0" t="n"/>
      <c r="C90" s="1176" t="n"/>
      <c r="D90" s="1176" t="n"/>
      <c r="E90" s="1176" t="n"/>
      <c r="F90" s="1176" t="n"/>
      <c r="G90" s="1176" t="n"/>
      <c r="H90" s="1176" t="n"/>
      <c r="I90" s="1176" t="n"/>
      <c r="J90" s="1176" t="n"/>
      <c r="K90" s="1176" t="n"/>
      <c r="L90" s="1176" t="n"/>
      <c r="M90" s="35" t="n"/>
      <c r="N90" s="35" t="n"/>
      <c r="O90" s="35" t="n"/>
    </row>
    <row r="91" ht="20.1" customFormat="1" customHeight="1" s="190">
      <c r="A91" s="884" t="inlineStr">
        <is>
          <t>固定资产</t>
        </is>
      </c>
      <c r="B91" s="0" t="n"/>
      <c r="C91" s="1176" t="n"/>
      <c r="D91" s="1176" t="n"/>
      <c r="E91" s="1176" t="n"/>
      <c r="F91" s="1176" t="n"/>
      <c r="G91" s="1176" t="n"/>
      <c r="H91" s="1176" t="n"/>
      <c r="I91" s="1176" t="n"/>
      <c r="J91" s="1176" t="n"/>
      <c r="K91" s="1176" t="n"/>
      <c r="L91" s="1176" t="n"/>
      <c r="M91" s="35" t="n"/>
      <c r="N91" s="35" t="n"/>
      <c r="O91" s="35" t="n"/>
    </row>
    <row r="92" ht="20.1" customFormat="1" customHeight="1" s="190">
      <c r="A92" s="884" t="inlineStr">
        <is>
          <t>无形资产</t>
        </is>
      </c>
      <c r="B92" s="0" t="n"/>
      <c r="C92" s="1176" t="n"/>
      <c r="D92" s="1176" t="n"/>
      <c r="E92" s="1176" t="n"/>
      <c r="F92" s="1176" t="n"/>
      <c r="G92" s="1176" t="n"/>
      <c r="H92" s="1176" t="n"/>
      <c r="I92" s="1176" t="n"/>
      <c r="J92" s="1176" t="n"/>
      <c r="K92" s="1176" t="n"/>
      <c r="L92" s="1176" t="n"/>
      <c r="M92" s="35" t="n"/>
      <c r="N92" s="35" t="n"/>
      <c r="O92" s="35" t="n"/>
    </row>
    <row r="93" ht="20.1" customFormat="1" customHeight="1" s="190">
      <c r="A93" s="884" t="inlineStr">
        <is>
          <t>其他非流动资产</t>
        </is>
      </c>
      <c r="B93" s="0" t="n"/>
      <c r="C93" s="1176" t="n"/>
      <c r="D93" s="1176" t="n"/>
      <c r="E93" s="1176" t="n"/>
      <c r="F93" s="1176" t="n"/>
      <c r="G93" s="1176" t="n"/>
      <c r="H93" s="1176" t="n"/>
      <c r="I93" s="1176" t="n"/>
      <c r="J93" s="1176" t="n"/>
      <c r="K93" s="1176" t="n"/>
      <c r="L93" s="1176" t="n"/>
      <c r="M93" s="35" t="n"/>
      <c r="N93" s="35" t="n"/>
      <c r="O93" s="35" t="n"/>
    </row>
    <row r="94" ht="20.1" customFormat="1" customHeight="1" s="190">
      <c r="A94" s="884" t="inlineStr">
        <is>
          <t>流动负债</t>
        </is>
      </c>
      <c r="B94" s="0" t="n"/>
      <c r="C94" s="1176" t="n"/>
      <c r="D94" s="1176" t="n"/>
      <c r="E94" s="1176" t="n"/>
      <c r="F94" s="1176" t="n"/>
      <c r="G94" s="1176" t="n"/>
      <c r="H94" s="1176" t="n"/>
      <c r="I94" s="1176" t="n"/>
      <c r="J94" s="1176" t="n"/>
      <c r="K94" s="1176" t="n"/>
      <c r="L94" s="1176" t="n"/>
      <c r="M94" s="35" t="n"/>
      <c r="N94" s="35" t="n"/>
      <c r="O94" s="35" t="n"/>
    </row>
    <row r="95" ht="20.1" customFormat="1" customHeight="1" s="190">
      <c r="A95" s="884" t="inlineStr">
        <is>
          <t>非流动负债</t>
        </is>
      </c>
      <c r="B95" s="0" t="n"/>
      <c r="C95" s="1176" t="n"/>
      <c r="D95" s="1176" t="n"/>
      <c r="E95" s="1176" t="n"/>
      <c r="F95" s="1176" t="n"/>
      <c r="G95" s="1176" t="n"/>
      <c r="H95" s="1176" t="n"/>
      <c r="I95" s="1176" t="n"/>
      <c r="J95" s="1176" t="n"/>
      <c r="K95" s="1176" t="n"/>
      <c r="L95" s="1176" t="n"/>
      <c r="M95" s="35" t="n"/>
      <c r="N95" s="35" t="n"/>
      <c r="O95" s="35" t="n"/>
    </row>
    <row r="96" ht="20.1" customFormat="1" customHeight="1" s="190" thickBot="1">
      <c r="A96" s="927" t="inlineStr">
        <is>
          <t>所有者权益</t>
        </is>
      </c>
      <c r="B96" s="1146" t="n"/>
      <c r="C96" s="1177" t="n"/>
      <c r="D96" s="1177" t="n"/>
      <c r="E96" s="1177" t="n"/>
      <c r="F96" s="1177" t="n"/>
      <c r="G96" s="1177" t="n"/>
      <c r="H96" s="1177" t="n"/>
      <c r="I96" s="1177" t="n"/>
      <c r="J96" s="1177" t="n"/>
      <c r="K96" s="1177" t="n"/>
      <c r="L96" s="1177" t="n"/>
      <c r="M96" s="35" t="n"/>
      <c r="N96" s="35" t="n"/>
      <c r="O96" s="35" t="n"/>
    </row>
    <row r="97" ht="20.1" customFormat="1" customHeight="1" s="190" thickBot="1">
      <c r="A97" s="209" t="inlineStr">
        <is>
          <t>（3）本期出售的子公司出售日的经营成果</t>
        </is>
      </c>
      <c r="B97" s="209" t="n"/>
      <c r="C97" s="237" t="n"/>
      <c r="D97" s="237" t="n"/>
      <c r="E97" s="237" t="n"/>
      <c r="F97" s="237" t="n"/>
      <c r="G97" s="237" t="n"/>
      <c r="H97" s="237" t="n"/>
      <c r="I97" s="237" t="n"/>
      <c r="J97" s="237" t="n"/>
      <c r="K97" s="237" t="n"/>
      <c r="L97" s="237" t="n"/>
      <c r="M97" s="35" t="n"/>
      <c r="N97" s="35" t="n"/>
      <c r="O97" s="35" t="n"/>
    </row>
    <row r="98" ht="20.1" customFormat="1" customHeight="1" s="190">
      <c r="A98" s="886" t="inlineStr">
        <is>
          <t>公司名称</t>
        </is>
      </c>
      <c r="B98" s="1144" t="n"/>
      <c r="C98" s="886" t="inlineStr">
        <is>
          <t>A公司</t>
        </is>
      </c>
      <c r="D98" s="1144" t="n"/>
      <c r="E98" s="886" t="inlineStr">
        <is>
          <t>B公司</t>
        </is>
      </c>
      <c r="F98" s="1144" t="n"/>
      <c r="G98" s="886" t="inlineStr">
        <is>
          <t>C公司</t>
        </is>
      </c>
      <c r="H98" s="1144" t="n"/>
      <c r="I98" s="886" t="inlineStr">
        <is>
          <t>D公司</t>
        </is>
      </c>
      <c r="J98" s="1144" t="n"/>
      <c r="K98" s="886" t="inlineStr">
        <is>
          <t>E公司</t>
        </is>
      </c>
      <c r="L98" s="1144" t="n"/>
      <c r="M98" s="35" t="n"/>
      <c r="N98" s="35" t="n"/>
      <c r="O98" s="35" t="n"/>
      <c r="P98" s="35" t="n"/>
      <c r="Q98" s="35" t="n"/>
    </row>
    <row r="99" ht="36" customFormat="1" customHeight="1" s="190" thickBot="1">
      <c r="A99" s="887" t="inlineStr">
        <is>
          <t>期间</t>
        </is>
      </c>
      <c r="B99" s="1146" t="n"/>
      <c r="C99" s="887" t="inlineStr">
        <is>
          <t>本年年初-出售日</t>
        </is>
      </c>
      <c r="D99" s="887" t="inlineStr">
        <is>
          <t>上年发生额</t>
        </is>
      </c>
      <c r="E99" s="887" t="inlineStr">
        <is>
          <t>本年年初-出售日</t>
        </is>
      </c>
      <c r="F99" s="887" t="inlineStr">
        <is>
          <t>上年发生额</t>
        </is>
      </c>
      <c r="G99" s="887" t="inlineStr">
        <is>
          <t>本年年初-出售日</t>
        </is>
      </c>
      <c r="H99" s="887" t="inlineStr">
        <is>
          <t>上年发生额</t>
        </is>
      </c>
      <c r="I99" s="887" t="inlineStr">
        <is>
          <t>本年年初-出售日</t>
        </is>
      </c>
      <c r="J99" s="887" t="inlineStr">
        <is>
          <t>上年发生额</t>
        </is>
      </c>
      <c r="K99" s="887" t="inlineStr">
        <is>
          <t>本年年初-出售日</t>
        </is>
      </c>
      <c r="L99" s="887" t="inlineStr">
        <is>
          <t>上年发生额</t>
        </is>
      </c>
      <c r="M99" s="35" t="n"/>
      <c r="N99" s="35" t="n"/>
      <c r="O99" s="35" t="n"/>
      <c r="P99" s="35" t="n"/>
      <c r="Q99" s="35" t="n"/>
    </row>
    <row r="100" ht="20.1" customFormat="1" customHeight="1" s="190">
      <c r="A100" s="920" t="inlineStr">
        <is>
          <t>营业收入</t>
        </is>
      </c>
      <c r="B100" s="1144" t="n"/>
      <c r="C100" s="1178" t="n"/>
      <c r="D100" s="1178" t="n"/>
      <c r="E100" s="1178" t="n"/>
      <c r="F100" s="1178" t="n"/>
      <c r="G100" s="1178" t="n"/>
      <c r="H100" s="1178" t="n"/>
      <c r="I100" s="1178" t="n"/>
      <c r="J100" s="1178" t="n"/>
      <c r="K100" s="1178" t="n"/>
      <c r="L100" s="1178" t="n"/>
      <c r="M100" s="35" t="n"/>
      <c r="N100" s="35" t="n"/>
      <c r="O100" s="35" t="n"/>
      <c r="P100" s="35" t="n"/>
      <c r="Q100" s="35" t="n"/>
    </row>
    <row r="101" ht="20.1" customFormat="1" customHeight="1" s="190">
      <c r="A101" s="884" t="inlineStr">
        <is>
          <t>营业成本</t>
        </is>
      </c>
      <c r="B101" s="0" t="n"/>
      <c r="C101" s="1178" t="n"/>
      <c r="D101" s="1178" t="n"/>
      <c r="E101" s="1178" t="n"/>
      <c r="F101" s="1178" t="n"/>
      <c r="G101" s="1178" t="n"/>
      <c r="H101" s="1178" t="n"/>
      <c r="I101" s="1178" t="n"/>
      <c r="J101" s="1178" t="n"/>
      <c r="K101" s="1178" t="n"/>
      <c r="L101" s="1178" t="n"/>
      <c r="M101" s="35" t="n"/>
      <c r="N101" s="35" t="n"/>
      <c r="O101" s="35" t="n"/>
      <c r="P101" s="35" t="n"/>
      <c r="Q101" s="35" t="n"/>
    </row>
    <row r="102" ht="20.1" customFormat="1" customHeight="1" s="190">
      <c r="A102" s="884" t="inlineStr">
        <is>
          <t>期间费用</t>
        </is>
      </c>
      <c r="B102" s="0" t="n"/>
      <c r="C102" s="1178" t="n"/>
      <c r="D102" s="1178" t="n"/>
      <c r="E102" s="1178" t="n"/>
      <c r="F102" s="1178" t="n"/>
      <c r="G102" s="1178" t="n"/>
      <c r="H102" s="1178" t="n"/>
      <c r="I102" s="1178" t="n"/>
      <c r="J102" s="1178" t="n"/>
      <c r="K102" s="1178" t="n"/>
      <c r="L102" s="1178" t="n"/>
      <c r="M102" s="35" t="n"/>
      <c r="N102" s="35" t="n"/>
      <c r="O102" s="35" t="n"/>
      <c r="P102" s="35" t="n"/>
      <c r="Q102" s="35" t="n"/>
    </row>
    <row r="103" ht="20.1" customFormat="1" customHeight="1" s="190">
      <c r="A103" s="884" t="inlineStr">
        <is>
          <t>营业利润</t>
        </is>
      </c>
      <c r="B103" s="0" t="n"/>
      <c r="C103" s="1178" t="n"/>
      <c r="D103" s="1178" t="n"/>
      <c r="E103" s="1178" t="n"/>
      <c r="F103" s="1178" t="n"/>
      <c r="G103" s="1178" t="n"/>
      <c r="H103" s="1178" t="n"/>
      <c r="I103" s="1178" t="n"/>
      <c r="J103" s="1178" t="n"/>
      <c r="K103" s="1178" t="n"/>
      <c r="L103" s="1178" t="n"/>
      <c r="M103" s="35" t="n"/>
      <c r="N103" s="35" t="n"/>
      <c r="O103" s="35" t="n"/>
      <c r="P103" s="35" t="n"/>
      <c r="Q103" s="35" t="n"/>
    </row>
    <row r="104" ht="20.1" customFormat="1" customHeight="1" s="190">
      <c r="A104" s="884" t="inlineStr">
        <is>
          <t>利润总额</t>
        </is>
      </c>
      <c r="B104" s="0" t="n"/>
      <c r="C104" s="1178" t="n"/>
      <c r="D104" s="1178" t="n"/>
      <c r="E104" s="1178" t="n"/>
      <c r="F104" s="1178" t="n"/>
      <c r="G104" s="1178" t="n"/>
      <c r="H104" s="1178" t="n"/>
      <c r="I104" s="1178" t="n"/>
      <c r="J104" s="1178" t="n"/>
      <c r="K104" s="1178" t="n"/>
      <c r="L104" s="1178" t="n"/>
      <c r="M104" s="35" t="n"/>
      <c r="N104" s="35" t="n"/>
      <c r="O104" s="35" t="n"/>
      <c r="P104" s="35" t="n"/>
      <c r="Q104" s="35" t="n"/>
    </row>
    <row r="105" ht="20.1" customFormat="1" customHeight="1" s="190">
      <c r="A105" s="884" t="inlineStr">
        <is>
          <t>所得税费用</t>
        </is>
      </c>
      <c r="B105" s="0" t="n"/>
      <c r="C105" s="1178" t="n"/>
      <c r="D105" s="1178" t="n"/>
      <c r="E105" s="1178" t="n"/>
      <c r="F105" s="1178" t="n"/>
      <c r="G105" s="1178" t="n"/>
      <c r="H105" s="1178" t="n"/>
      <c r="I105" s="1178" t="n"/>
      <c r="J105" s="1178" t="n"/>
      <c r="K105" s="1178" t="n"/>
      <c r="L105" s="1178" t="n"/>
      <c r="M105" s="35" t="n"/>
      <c r="N105" s="35" t="n"/>
      <c r="O105" s="35" t="n"/>
      <c r="P105" s="35" t="n"/>
      <c r="Q105" s="35" t="n"/>
    </row>
    <row r="106" ht="20.1" customFormat="1" customHeight="1" s="190" thickBot="1">
      <c r="A106" s="927" t="inlineStr">
        <is>
          <t>净利润</t>
        </is>
      </c>
      <c r="B106" s="1146" t="n"/>
      <c r="C106" s="1179" t="n"/>
      <c r="D106" s="1179" t="n"/>
      <c r="E106" s="1179" t="n"/>
      <c r="F106" s="1179" t="n"/>
      <c r="G106" s="1179" t="n"/>
      <c r="H106" s="1179" t="n"/>
      <c r="I106" s="1179" t="n"/>
      <c r="J106" s="1179" t="n"/>
      <c r="K106" s="1179" t="n"/>
      <c r="L106" s="1179" t="n"/>
      <c r="M106" s="474" t="n"/>
      <c r="N106" s="35" t="n"/>
      <c r="O106" s="35" t="n"/>
      <c r="P106" s="35" t="n"/>
      <c r="Q106" s="35" t="n"/>
    </row>
    <row r="107" ht="35.25" customFormat="1" customHeight="1" s="190">
      <c r="A107" s="930" t="inlineStr">
        <is>
          <t>【提示：本期因处置部分股权投资或其他原因丧失了对原有子公司控制权的，对于处置后的剩余股权，还应按照《企业会计准则解释第4号》的规定，在附注中披露处置后的剩余股权在丧失控制权日的公允价值、按照公允价值重新计量产生的相关利得或损失的金额，具体披露格式请参考本所“股份公司年审报告模板”】</t>
        </is>
      </c>
      <c r="B107" s="1144" t="n"/>
      <c r="C107" s="1144" t="n"/>
      <c r="D107" s="1144" t="n"/>
      <c r="E107" s="1144" t="n"/>
      <c r="F107" s="1144" t="n"/>
      <c r="G107" s="1144" t="n"/>
      <c r="H107" s="1144" t="n"/>
      <c r="I107" s="1144" t="n"/>
      <c r="J107" s="1144" t="n"/>
      <c r="K107" s="1144" t="n"/>
      <c r="L107" s="1144" t="n"/>
      <c r="M107" s="35" t="n"/>
      <c r="N107" s="35" t="n"/>
      <c r="O107" s="35" t="n"/>
    </row>
    <row r="108" ht="20.1" customFormat="1" customHeight="1" s="190" thickBot="1">
      <c r="A108" s="90" t="inlineStr">
        <is>
          <t>（七）本期新纳入合并范围的主体</t>
        </is>
      </c>
      <c r="B108" s="209" t="n"/>
      <c r="C108" s="237" t="n"/>
      <c r="D108" s="237" t="n"/>
      <c r="E108" s="237" t="n"/>
      <c r="F108" s="237" t="n"/>
      <c r="G108" s="237" t="n"/>
      <c r="H108" s="237" t="n"/>
      <c r="I108" s="237" t="n"/>
      <c r="J108" s="237" t="n"/>
      <c r="K108" s="237" t="n"/>
      <c r="L108" s="237" t="n"/>
      <c r="M108" s="35" t="n"/>
      <c r="N108" s="35" t="n"/>
      <c r="O108" s="35" t="n"/>
    </row>
    <row r="109" ht="20.1" customFormat="1" customHeight="1" s="190" thickBot="1">
      <c r="A109" s="917" t="inlineStr">
        <is>
          <t>公司名称</t>
        </is>
      </c>
      <c r="B109" s="1175" t="n"/>
      <c r="C109" s="917" t="inlineStr">
        <is>
          <t>期末净资产</t>
        </is>
      </c>
      <c r="D109" s="917" t="inlineStr">
        <is>
          <t>本期净利润</t>
        </is>
      </c>
      <c r="E109" s="237" t="n"/>
      <c r="F109" s="237" t="n"/>
      <c r="G109" s="237" t="n"/>
      <c r="H109" s="237" t="n"/>
      <c r="I109" s="237" t="n"/>
      <c r="J109" s="237" t="n"/>
      <c r="K109" s="237" t="n"/>
      <c r="L109" s="237" t="n"/>
      <c r="M109" s="35" t="n"/>
      <c r="N109" s="35" t="n"/>
      <c r="O109" s="35" t="n"/>
    </row>
    <row r="110" ht="20.1" customFormat="1" customHeight="1" s="190">
      <c r="A110" s="475">
        <f>IF('被投资单位基本信息G7-4'!E12="是",'被投资单位基本信息G7-4'!B12, )</f>
        <v/>
      </c>
      <c r="B110" s="444" t="n"/>
      <c r="C110" s="1180">
        <f>IF(A110&lt;&gt;0,'被投资单位基本信息G7-4'!K12,0)</f>
        <v/>
      </c>
      <c r="D110" s="1180">
        <f>IF(A110&lt;&gt;0,'被投资单位基本信息G7-4'!L12,0)</f>
        <v/>
      </c>
      <c r="E110" s="237" t="n"/>
      <c r="F110" s="237" t="n"/>
      <c r="G110" s="237" t="n"/>
      <c r="H110" s="237" t="n"/>
      <c r="I110" s="237" t="n"/>
      <c r="J110" s="237" t="n"/>
      <c r="K110" s="237" t="n"/>
      <c r="L110" s="237" t="n"/>
      <c r="M110" s="35" t="n"/>
      <c r="N110" s="35" t="n"/>
      <c r="O110" s="35" t="n"/>
    </row>
    <row r="111" ht="20.1" customFormat="1" customHeight="1" s="190">
      <c r="A111" s="209">
        <f>IF('被投资单位基本信息G7-4'!E13="是",'被投资单位基本信息G7-4'!B13, )</f>
        <v/>
      </c>
      <c r="B111" s="448" t="n"/>
      <c r="C111" s="1176">
        <f>IF(A111&lt;&gt;0,'被投资单位基本信息G7-4'!K13,0)</f>
        <v/>
      </c>
      <c r="D111" s="1176">
        <f>IF(A111&lt;&gt;0,'被投资单位基本信息G7-4'!L13,0)</f>
        <v/>
      </c>
      <c r="E111" s="237" t="n"/>
      <c r="F111" s="237" t="n"/>
      <c r="G111" s="237" t="n"/>
      <c r="H111" s="237" t="n"/>
      <c r="I111" s="237" t="n"/>
      <c r="J111" s="237" t="n"/>
      <c r="K111" s="237" t="n"/>
      <c r="L111" s="237" t="n"/>
      <c r="M111" s="35" t="n"/>
      <c r="N111" s="35" t="n"/>
      <c r="O111" s="35" t="n"/>
    </row>
    <row r="112" ht="20.1" customFormat="1" customHeight="1" s="190">
      <c r="A112" s="209">
        <f>IF('被投资单位基本信息G7-4'!E14="是",'被投资单位基本信息G7-4'!B14, )</f>
        <v/>
      </c>
      <c r="B112" s="448" t="n"/>
      <c r="C112" s="1176">
        <f>IF(A112&lt;&gt;0,'被投资单位基本信息G7-4'!K14,0)</f>
        <v/>
      </c>
      <c r="D112" s="1176">
        <f>IF(A112&lt;&gt;0,'被投资单位基本信息G7-4'!L14,0)</f>
        <v/>
      </c>
      <c r="E112" s="237" t="n"/>
      <c r="F112" s="237" t="n"/>
      <c r="G112" s="237" t="n"/>
      <c r="H112" s="237" t="n"/>
      <c r="I112" s="237" t="n"/>
      <c r="J112" s="237" t="n"/>
      <c r="K112" s="237" t="n"/>
      <c r="L112" s="237" t="n"/>
      <c r="M112" s="35" t="n"/>
      <c r="N112" s="35" t="n"/>
      <c r="O112" s="35" t="n"/>
    </row>
    <row r="113" ht="20.1" customFormat="1" customHeight="1" s="190">
      <c r="A113" s="209">
        <f>IF('被投资单位基本信息G7-4'!E15="是",'被投资单位基本信息G7-4'!B15, )</f>
        <v/>
      </c>
      <c r="B113" s="448" t="n"/>
      <c r="C113" s="1176">
        <f>IF(A113&lt;&gt;0,'被投资单位基本信息G7-4'!K15,0)</f>
        <v/>
      </c>
      <c r="D113" s="1176">
        <f>IF(A113&lt;&gt;0,'被投资单位基本信息G7-4'!L15,0)</f>
        <v/>
      </c>
      <c r="E113" s="237" t="n"/>
      <c r="F113" s="237" t="n"/>
      <c r="G113" s="237" t="n"/>
      <c r="H113" s="237" t="n"/>
      <c r="I113" s="237" t="n"/>
      <c r="J113" s="237" t="n"/>
      <c r="K113" s="237" t="n"/>
      <c r="L113" s="237" t="n"/>
      <c r="M113" s="35" t="n"/>
      <c r="N113" s="35" t="n"/>
      <c r="O113" s="35" t="n"/>
    </row>
    <row r="114" ht="20.1" customFormat="1" customHeight="1" s="190">
      <c r="A114" s="209">
        <f>IF('被投资单位基本信息G7-4'!E16="是",'被投资单位基本信息G7-4'!B16, )</f>
        <v/>
      </c>
      <c r="B114" s="448" t="n"/>
      <c r="C114" s="1176">
        <f>IF(A114&lt;&gt;0,'被投资单位基本信息G7-4'!K16,0)</f>
        <v/>
      </c>
      <c r="D114" s="1176">
        <f>IF(A114&lt;&gt;0,'被投资单位基本信息G7-4'!L16,0)</f>
        <v/>
      </c>
      <c r="E114" s="237" t="n"/>
      <c r="F114" s="237" t="n"/>
      <c r="G114" s="237" t="n"/>
      <c r="H114" s="237" t="n"/>
      <c r="I114" s="237" t="n"/>
      <c r="J114" s="237" t="n"/>
      <c r="K114" s="237" t="n"/>
      <c r="L114" s="237" t="n"/>
      <c r="M114" s="35" t="n"/>
      <c r="N114" s="35" t="n"/>
      <c r="O114" s="35" t="n"/>
    </row>
    <row r="115" ht="20.1" customFormat="1" customHeight="1" s="190">
      <c r="A115" s="209">
        <f>IF('被投资单位基本信息G7-4'!E17="是",'被投资单位基本信息G7-4'!B17, )</f>
        <v/>
      </c>
      <c r="B115" s="448" t="n"/>
      <c r="C115" s="1176">
        <f>IF(A115&lt;&gt;0,'被投资单位基本信息G7-4'!K17,0)</f>
        <v/>
      </c>
      <c r="D115" s="1176">
        <f>IF(A115&lt;&gt;0,'被投资单位基本信息G7-4'!L17,0)</f>
        <v/>
      </c>
      <c r="E115" s="237" t="n"/>
      <c r="F115" s="237" t="n"/>
      <c r="G115" s="237" t="n"/>
      <c r="H115" s="237" t="n"/>
      <c r="I115" s="237" t="n"/>
      <c r="J115" s="237" t="n"/>
      <c r="K115" s="237" t="n"/>
      <c r="L115" s="237" t="n"/>
      <c r="M115" s="35" t="n"/>
      <c r="N115" s="35" t="n"/>
      <c r="O115" s="35" t="n"/>
    </row>
    <row r="116" ht="20.1" customFormat="1" customHeight="1" s="190">
      <c r="A116" s="209">
        <f>IF('被投资单位基本信息G7-4'!E18="是",'被投资单位基本信息G7-4'!B18, )</f>
        <v/>
      </c>
      <c r="B116" s="448" t="n"/>
      <c r="C116" s="1176">
        <f>IF(A116&lt;&gt;0,'被投资单位基本信息G7-4'!K18,0)</f>
        <v/>
      </c>
      <c r="D116" s="1176">
        <f>IF(A116&lt;&gt;0,'被投资单位基本信息G7-4'!L18,0)</f>
        <v/>
      </c>
      <c r="E116" s="237" t="n"/>
      <c r="F116" s="237" t="n"/>
      <c r="G116" s="237" t="n"/>
      <c r="H116" s="237" t="n"/>
      <c r="I116" s="237" t="n"/>
      <c r="J116" s="237" t="n"/>
      <c r="K116" s="237" t="n"/>
      <c r="L116" s="237" t="n"/>
      <c r="M116" s="35" t="n"/>
      <c r="N116" s="35" t="n"/>
      <c r="O116" s="35" t="n"/>
    </row>
    <row r="117" ht="20.1" customFormat="1" customHeight="1" s="190">
      <c r="A117" s="209">
        <f>IF('被投资单位基本信息G7-4'!E19="是",'被投资单位基本信息G7-4'!B19, )</f>
        <v/>
      </c>
      <c r="B117" s="448" t="n"/>
      <c r="C117" s="1176">
        <f>IF(A117&lt;&gt;0,'被投资单位基本信息G7-4'!K19,0)</f>
        <v/>
      </c>
      <c r="D117" s="1176">
        <f>IF(A117&lt;&gt;0,'被投资单位基本信息G7-4'!L19,0)</f>
        <v/>
      </c>
      <c r="E117" s="237" t="n"/>
      <c r="F117" s="237" t="n"/>
      <c r="G117" s="237" t="n"/>
      <c r="H117" s="237" t="n"/>
      <c r="I117" s="237" t="n"/>
      <c r="J117" s="237" t="n"/>
      <c r="K117" s="237" t="n"/>
      <c r="L117" s="237" t="n"/>
      <c r="M117" s="35" t="n"/>
      <c r="N117" s="35" t="n"/>
      <c r="O117" s="35" t="n"/>
    </row>
    <row r="118" ht="20.1" customFormat="1" customHeight="1" s="190">
      <c r="A118" s="209">
        <f>IF('被投资单位基本信息G7-4'!E20="是",'被投资单位基本信息G7-4'!B20, )</f>
        <v/>
      </c>
      <c r="B118" s="448" t="n"/>
      <c r="C118" s="1176">
        <f>IF(A118&lt;&gt;0,'被投资单位基本信息G7-4'!K20,0)</f>
        <v/>
      </c>
      <c r="D118" s="1176">
        <f>IF(A118&lt;&gt;0,'被投资单位基本信息G7-4'!L20,0)</f>
        <v/>
      </c>
      <c r="E118" s="237" t="n"/>
      <c r="F118" s="237" t="n"/>
      <c r="G118" s="237" t="n"/>
      <c r="H118" s="237" t="n"/>
      <c r="I118" s="237" t="n"/>
      <c r="J118" s="237" t="n"/>
      <c r="K118" s="237" t="n"/>
      <c r="L118" s="237" t="n"/>
      <c r="M118" s="35" t="n"/>
      <c r="N118" s="35" t="n"/>
      <c r="O118" s="35" t="n"/>
    </row>
    <row r="119" ht="20.1" customFormat="1" customHeight="1" s="190" thickBot="1">
      <c r="A119" s="252">
        <f>IF('被投资单位基本信息G7-4'!E21="是",'被投资单位基本信息G7-4'!B21, )</f>
        <v/>
      </c>
      <c r="B119" s="252" t="n"/>
      <c r="C119" s="1177">
        <f>IF(A119&lt;&gt;0,'被投资单位基本信息G7-4'!K21,0)</f>
        <v/>
      </c>
      <c r="D119" s="1177">
        <f>IF(A119&lt;&gt;0,'被投资单位基本信息G7-4'!L21,0)</f>
        <v/>
      </c>
      <c r="E119" s="237" t="n"/>
      <c r="F119" s="237" t="n"/>
      <c r="G119" s="237" t="n"/>
      <c r="H119" s="237" t="n"/>
      <c r="I119" s="237" t="n"/>
      <c r="J119" s="237" t="n"/>
      <c r="K119" s="237" t="n"/>
      <c r="L119" s="237" t="n"/>
      <c r="M119" s="35" t="n"/>
      <c r="N119" s="35" t="n"/>
      <c r="O119" s="35" t="n"/>
    </row>
    <row r="120" ht="20.1" customFormat="1" customHeight="1" s="190">
      <c r="A120" s="209" t="inlineStr">
        <is>
          <t>（八）本期发生的同一控制下企业合并情况</t>
        </is>
      </c>
      <c r="B120" s="209" t="n"/>
      <c r="C120" s="237" t="n"/>
      <c r="D120" s="237" t="n"/>
      <c r="E120" s="237" t="n"/>
      <c r="F120" s="237" t="n"/>
      <c r="G120" s="237" t="n"/>
      <c r="H120" s="237" t="n"/>
      <c r="I120" s="237" t="n"/>
      <c r="J120" s="237" t="n"/>
      <c r="K120" s="237" t="n"/>
      <c r="L120" s="237" t="n"/>
      <c r="M120" s="35" t="n"/>
      <c r="N120" s="35" t="n"/>
      <c r="O120" s="35" t="n"/>
    </row>
    <row r="121" ht="20.1" customFormat="1" customHeight="1" s="190" thickBot="1">
      <c r="A121" s="249" t="inlineStr">
        <is>
          <t>（说明合并日的确定依据、支付的对价及被合并方的账面净资产、并披露被合并方自合并当年年初至合并日的收入、净利润、现金流量等情况。）</t>
        </is>
      </c>
      <c r="B121" s="249" t="n"/>
      <c r="C121" s="237" t="n"/>
      <c r="D121" s="237" t="n"/>
      <c r="E121" s="237" t="n"/>
      <c r="F121" s="237" t="n"/>
      <c r="G121" s="237" t="n"/>
      <c r="H121" s="237" t="n"/>
      <c r="I121" s="237" t="n"/>
      <c r="J121" s="237" t="n"/>
      <c r="K121" s="237" t="n"/>
      <c r="L121" s="237" t="n"/>
      <c r="M121" s="35" t="n"/>
      <c r="N121" s="35" t="n"/>
      <c r="O121" s="35" t="n"/>
    </row>
    <row r="122" ht="20.1" customFormat="1" customHeight="1" s="190" thickBot="1">
      <c r="A122" s="917" t="inlineStr">
        <is>
          <t>公司名称</t>
        </is>
      </c>
      <c r="B122" s="1144" t="n"/>
      <c r="C122" s="917" t="inlineStr">
        <is>
          <t>合并日</t>
        </is>
      </c>
      <c r="D122" s="917" t="inlineStr">
        <is>
          <t>账面净资产</t>
        </is>
      </c>
      <c r="E122" s="917" t="inlineStr">
        <is>
          <t>交易对价</t>
        </is>
      </c>
      <c r="F122" s="917" t="inlineStr">
        <is>
          <t>实际控制人</t>
        </is>
      </c>
      <c r="G122" s="917" t="inlineStr">
        <is>
          <t>本年初至合并日的相关情况</t>
        </is>
      </c>
      <c r="H122" s="1175" t="n"/>
      <c r="I122" s="1175" t="n"/>
      <c r="J122" s="1175" t="n"/>
      <c r="K122" s="237" t="n"/>
      <c r="L122" s="237" t="n"/>
      <c r="M122" s="35" t="n"/>
      <c r="N122" s="35" t="n"/>
      <c r="O122" s="35" t="n"/>
    </row>
    <row r="123" ht="33" customFormat="1" customHeight="1" s="190" thickBot="1">
      <c r="A123" s="1146" t="n"/>
      <c r="B123" s="1146" t="n"/>
      <c r="C123" s="1146" t="n"/>
      <c r="D123" s="1146" t="n"/>
      <c r="E123" s="1146" t="n"/>
      <c r="F123" s="1146" t="n"/>
      <c r="G123" s="917" t="inlineStr">
        <is>
          <t>收入</t>
        </is>
      </c>
      <c r="H123" s="917" t="inlineStr">
        <is>
          <t>净利润</t>
        </is>
      </c>
      <c r="I123" s="917" t="inlineStr">
        <is>
          <t>现金净增加额</t>
        </is>
      </c>
      <c r="J123" s="917" t="inlineStr">
        <is>
          <t>经营活动现金流量净额</t>
        </is>
      </c>
      <c r="K123" s="237" t="n"/>
      <c r="L123" s="237" t="n"/>
      <c r="M123" s="35" t="n"/>
      <c r="N123" s="35" t="n"/>
      <c r="O123" s="35" t="n"/>
    </row>
    <row r="124" ht="20.1" customFormat="1" customHeight="1" s="190">
      <c r="A124" s="238" t="n"/>
      <c r="B124" s="238" t="n"/>
      <c r="C124" s="246" t="n"/>
      <c r="D124" s="1147" t="n"/>
      <c r="E124" s="1147" t="n"/>
      <c r="F124" s="246" t="n"/>
      <c r="G124" s="1147" t="n"/>
      <c r="H124" s="1147" t="n"/>
      <c r="I124" s="1147" t="n"/>
      <c r="J124" s="1147" t="n"/>
      <c r="K124" s="237" t="n"/>
      <c r="L124" s="237" t="n"/>
      <c r="M124" s="35" t="n"/>
      <c r="N124" s="35" t="n"/>
      <c r="O124" s="35" t="n"/>
    </row>
    <row r="125" ht="20.1" customFormat="1" customHeight="1" s="190">
      <c r="A125" s="238" t="n"/>
      <c r="B125" s="238" t="n"/>
      <c r="C125" s="246" t="n"/>
      <c r="D125" s="1147" t="n"/>
      <c r="E125" s="1147" t="n"/>
      <c r="F125" s="246" t="n"/>
      <c r="G125" s="1147" t="n"/>
      <c r="H125" s="1147" t="n"/>
      <c r="I125" s="1147" t="n"/>
      <c r="J125" s="1147" t="n"/>
      <c r="K125" s="237" t="n"/>
      <c r="L125" s="237" t="n"/>
      <c r="M125" s="35" t="n"/>
      <c r="N125" s="35" t="n"/>
      <c r="O125" s="35" t="n"/>
    </row>
    <row r="126" ht="20.1" customFormat="1" customHeight="1" s="190" thickBot="1">
      <c r="A126" s="252" t="n"/>
      <c r="B126" s="252" t="n"/>
      <c r="C126" s="248" t="n"/>
      <c r="D126" s="1148" t="n"/>
      <c r="E126" s="1148" t="n"/>
      <c r="F126" s="248" t="n"/>
      <c r="G126" s="1148" t="n"/>
      <c r="H126" s="1148" t="n"/>
      <c r="I126" s="1148" t="n"/>
      <c r="J126" s="1148" t="n"/>
      <c r="K126" s="237" t="n"/>
      <c r="L126" s="237" t="n"/>
      <c r="M126" s="35" t="n"/>
      <c r="N126" s="35" t="n"/>
      <c r="O126" s="35" t="n"/>
    </row>
    <row r="127" ht="20.1" customFormat="1" customHeight="1" s="190">
      <c r="A127" s="209" t="inlineStr">
        <is>
          <t>（九）本期发生的非同一控制下企业合并情况</t>
        </is>
      </c>
      <c r="B127" s="209" t="n"/>
      <c r="C127" s="237" t="n"/>
      <c r="D127" s="237" t="n"/>
      <c r="E127" s="237" t="n"/>
      <c r="F127" s="237" t="n"/>
      <c r="G127" s="237" t="n"/>
      <c r="H127" s="237" t="n"/>
      <c r="I127" s="237" t="n"/>
      <c r="J127" s="237" t="n"/>
      <c r="K127" s="237" t="n"/>
      <c r="L127" s="237" t="n"/>
      <c r="M127" s="35" t="n"/>
      <c r="N127" s="35" t="n"/>
      <c r="O127" s="35" t="n"/>
    </row>
    <row r="128" ht="20.1" customFormat="1" customHeight="1" s="190" thickBot="1">
      <c r="A128" s="249" t="inlineStr">
        <is>
          <t>（说明购买日或出售日的确定方法、合并日相关交易公允价值的确定方法、商誉的金额及其计算方法。）</t>
        </is>
      </c>
      <c r="B128" s="249" t="n"/>
      <c r="C128" s="237" t="n"/>
      <c r="D128" s="237" t="n"/>
      <c r="E128" s="237" t="n"/>
      <c r="F128" s="237" t="n"/>
      <c r="G128" s="237" t="n"/>
      <c r="H128" s="237" t="n"/>
      <c r="I128" s="237" t="n"/>
      <c r="J128" s="237" t="n"/>
      <c r="K128" s="237" t="n"/>
      <c r="L128" s="237" t="n"/>
      <c r="M128" s="35" t="n"/>
      <c r="N128" s="35" t="n"/>
      <c r="O128" s="35" t="n"/>
    </row>
    <row r="129" ht="20.1" customFormat="1" customHeight="1" s="190" thickBot="1">
      <c r="A129" s="933" t="inlineStr">
        <is>
          <t>被购买方名称</t>
        </is>
      </c>
      <c r="B129" s="933" t="inlineStr">
        <is>
          <t>购买日</t>
        </is>
      </c>
      <c r="C129" s="933" t="inlineStr">
        <is>
          <t>购买日的确定依据</t>
        </is>
      </c>
      <c r="D129" s="933" t="inlineStr">
        <is>
          <t>购买日前持有被购买方权益比例</t>
        </is>
      </c>
      <c r="E129" s="933" t="inlineStr">
        <is>
          <t>形成合并时持有的被购买方权益比例（不含合并后的股权增减）</t>
        </is>
      </c>
      <c r="F129" s="933" t="inlineStr">
        <is>
          <t>购买日被购买方</t>
        </is>
      </c>
      <c r="G129" s="1175" t="n"/>
      <c r="H129" s="1175" t="n"/>
      <c r="I129" s="933" t="inlineStr">
        <is>
          <t>交易对价</t>
        </is>
      </c>
      <c r="J129" s="933" t="inlineStr">
        <is>
          <t>形成商誉</t>
        </is>
      </c>
      <c r="K129" s="933" t="inlineStr">
        <is>
          <t>购买日至期末被购买方的收入</t>
        </is>
      </c>
      <c r="L129" s="933" t="inlineStr">
        <is>
          <t>购买日至期末被购买方的净利润</t>
        </is>
      </c>
      <c r="M129" s="933" t="inlineStr">
        <is>
          <t>购买日至期末被购买方的现金流量</t>
        </is>
      </c>
      <c r="N129" s="35" t="n"/>
    </row>
    <row r="130" ht="20.1" customFormat="1" customHeight="1" s="190">
      <c r="A130" s="0" t="n"/>
      <c r="B130" s="0" t="n"/>
      <c r="C130" s="0" t="n"/>
      <c r="D130" s="0" t="n"/>
      <c r="E130" s="0" t="n"/>
      <c r="F130" s="1181" t="inlineStr">
        <is>
          <t>账面净资产总额</t>
        </is>
      </c>
      <c r="G130" s="909" t="inlineStr">
        <is>
          <t>可辨认净资产公允价值总额</t>
        </is>
      </c>
      <c r="H130" s="1182" t="n"/>
      <c r="I130" s="0" t="n"/>
      <c r="J130" s="0" t="n"/>
      <c r="K130" s="0" t="n"/>
      <c r="L130" s="0" t="n"/>
      <c r="M130" s="0" t="n"/>
      <c r="N130" s="35" t="n"/>
    </row>
    <row r="131" ht="20.1" customFormat="1" customHeight="1" s="190" thickBot="1">
      <c r="A131" s="1146" t="n"/>
      <c r="B131" s="1146" t="n"/>
      <c r="C131" s="1146" t="n"/>
      <c r="D131" s="1146" t="n"/>
      <c r="E131" s="1146" t="n"/>
      <c r="F131" s="1146" t="n"/>
      <c r="G131" s="906" t="inlineStr">
        <is>
          <t>金额</t>
        </is>
      </c>
      <c r="H131" s="479" t="inlineStr">
        <is>
          <t>确定方法</t>
        </is>
      </c>
      <c r="I131" s="1146" t="n"/>
      <c r="J131" s="1146" t="n"/>
      <c r="K131" s="1146" t="n"/>
      <c r="L131" s="1146" t="n"/>
      <c r="M131" s="1146" t="n"/>
      <c r="N131" s="35" t="n"/>
    </row>
    <row r="132" ht="20.1" customFormat="1" customHeight="1" s="190">
      <c r="A132" s="425" t="n"/>
      <c r="B132" s="424" t="n"/>
      <c r="C132" s="424" t="n"/>
      <c r="D132" s="424" t="n"/>
      <c r="E132" s="424" t="n"/>
      <c r="F132" s="424" t="n"/>
      <c r="G132" s="424" t="n"/>
      <c r="H132" s="424" t="n"/>
      <c r="I132" s="424" t="n"/>
      <c r="J132" s="424" t="n"/>
      <c r="K132" s="424" t="n"/>
      <c r="L132" s="424" t="n"/>
      <c r="M132" s="424" t="n"/>
      <c r="N132" s="35" t="n"/>
    </row>
    <row r="133" ht="20.1" customFormat="1" customHeight="1" s="190">
      <c r="A133" s="425" t="n"/>
      <c r="B133" s="424" t="n"/>
      <c r="C133" s="424" t="n"/>
      <c r="D133" s="424" t="n"/>
      <c r="E133" s="424" t="n"/>
      <c r="F133" s="424" t="n"/>
      <c r="G133" s="424" t="n"/>
      <c r="H133" s="424" t="n"/>
      <c r="I133" s="424" t="n"/>
      <c r="J133" s="424" t="n"/>
      <c r="K133" s="424" t="n"/>
      <c r="L133" s="424" t="n"/>
      <c r="M133" s="424" t="n"/>
      <c r="N133" s="35" t="n"/>
    </row>
    <row r="134" ht="20.1" customFormat="1" customHeight="1" s="190" thickBot="1">
      <c r="A134" s="480" t="n"/>
      <c r="B134" s="427" t="n"/>
      <c r="C134" s="427" t="n"/>
      <c r="D134" s="427" t="n"/>
      <c r="E134" s="427" t="n"/>
      <c r="F134" s="427" t="n"/>
      <c r="G134" s="427" t="n"/>
      <c r="H134" s="427" t="n"/>
      <c r="I134" s="427" t="n"/>
      <c r="J134" s="427" t="n"/>
      <c r="K134" s="427" t="n"/>
      <c r="L134" s="427" t="n"/>
      <c r="M134" s="427" t="n"/>
      <c r="N134" s="35" t="n"/>
    </row>
    <row r="135" ht="20.1" customFormat="1" customHeight="1" s="190">
      <c r="A135" s="238" t="inlineStr">
        <is>
          <t>（注：说明企业合并中取得的被购买方的权益比例；购买日的确定依据；或有对价的安排、购买日确认的或有对价的金额及其确定方法和依据，购买日后或有对价的变动及原因，被购买方未达到业绩承诺的，应说明该事项对相关商誉减值测试的影响。分步实现企业合并且在本期取得控制权的交易，应分别说明前期和本期取得股权的时点、成本、比例及方式等。）</t>
        </is>
      </c>
      <c r="B135" s="238" t="n"/>
      <c r="C135" s="246" t="n"/>
      <c r="D135" s="1147" t="n"/>
      <c r="E135" s="1147" t="n"/>
      <c r="F135" s="246" t="n"/>
      <c r="G135" s="1147" t="n"/>
      <c r="H135" s="1147" t="n"/>
      <c r="I135" s="246" t="n"/>
      <c r="J135" s="237" t="n"/>
      <c r="K135" s="237" t="n"/>
      <c r="L135" s="237" t="n"/>
      <c r="M135" s="35" t="n"/>
      <c r="N135" s="35" t="n"/>
    </row>
    <row r="136" ht="20.1" customFormat="1" customHeight="1" s="190">
      <c r="A136" s="238" t="n"/>
      <c r="B136" s="238" t="n"/>
      <c r="C136" s="246" t="n"/>
      <c r="D136" s="1147" t="n"/>
      <c r="E136" s="1147" t="n"/>
      <c r="F136" s="246" t="n"/>
      <c r="G136" s="1147" t="n"/>
      <c r="H136" s="1147" t="n"/>
      <c r="I136" s="246" t="n"/>
      <c r="J136" s="237" t="n"/>
      <c r="K136" s="237" t="n"/>
      <c r="L136" s="237" t="n"/>
      <c r="M136" s="35" t="n"/>
      <c r="N136" s="35" t="n"/>
    </row>
    <row r="137" ht="20.1" customFormat="1" customHeight="1" s="190">
      <c r="A137" s="209" t="inlineStr">
        <is>
          <t>（十）本期发生的吸收合并</t>
        </is>
      </c>
      <c r="B137" s="209" t="n"/>
      <c r="C137" s="237" t="n"/>
      <c r="D137" s="237" t="n"/>
      <c r="E137" s="237" t="n"/>
      <c r="F137" s="237" t="n"/>
      <c r="G137" s="237" t="n"/>
      <c r="H137" s="237" t="n"/>
      <c r="I137" s="237" t="n"/>
      <c r="J137" s="237" t="n"/>
      <c r="K137" s="237" t="n"/>
      <c r="L137" s="237" t="n"/>
      <c r="M137" s="35" t="n"/>
      <c r="N137" s="35" t="n"/>
      <c r="O137" s="35" t="n"/>
    </row>
    <row r="138" ht="20.1" customFormat="1" customHeight="1" s="190" thickBot="1">
      <c r="A138" s="209" t="inlineStr">
        <is>
          <t>（应分别同一控制下和非同一控制下的吸收合并，披露并入的主要资产、负债项目及其金额。）</t>
        </is>
      </c>
      <c r="B138" s="209" t="n"/>
      <c r="C138" s="237" t="n"/>
      <c r="D138" s="237" t="n"/>
      <c r="E138" s="237" t="n"/>
      <c r="F138" s="237" t="n"/>
      <c r="G138" s="237" t="n"/>
      <c r="H138" s="237" t="n"/>
      <c r="I138" s="237" t="n"/>
      <c r="J138" s="237" t="n"/>
      <c r="K138" s="237" t="n"/>
      <c r="L138" s="237" t="n"/>
      <c r="M138" s="35" t="n"/>
      <c r="N138" s="35" t="n"/>
      <c r="O138" s="35" t="n"/>
    </row>
    <row r="139" ht="20.1" customFormat="1" customHeight="1" s="190">
      <c r="A139" s="917" t="inlineStr">
        <is>
          <t>吸收合并的类型</t>
        </is>
      </c>
      <c r="B139" s="1144" t="n"/>
      <c r="C139" s="886" t="inlineStr">
        <is>
          <t>并入的主要资产</t>
        </is>
      </c>
      <c r="D139" s="1144" t="n"/>
      <c r="E139" s="886" t="inlineStr">
        <is>
          <t>并入的主要负债</t>
        </is>
      </c>
      <c r="F139" s="1144" t="n"/>
      <c r="G139" s="237" t="n"/>
      <c r="H139" s="237" t="n"/>
      <c r="I139" s="237" t="n"/>
      <c r="J139" s="237" t="n"/>
      <c r="K139" s="237" t="n"/>
      <c r="L139" s="237" t="n"/>
      <c r="M139" s="35" t="n"/>
      <c r="N139" s="35" t="n"/>
      <c r="O139" s="35" t="n"/>
    </row>
    <row r="140" ht="20.1" customFormat="1" customHeight="1" s="190" thickBot="1">
      <c r="A140" s="1146" t="n"/>
      <c r="B140" s="1146" t="n"/>
      <c r="C140" s="887" t="inlineStr">
        <is>
          <t>项目</t>
        </is>
      </c>
      <c r="D140" s="887" t="inlineStr">
        <is>
          <t>金额</t>
        </is>
      </c>
      <c r="E140" s="887" t="inlineStr">
        <is>
          <t>项目</t>
        </is>
      </c>
      <c r="F140" s="887" t="inlineStr">
        <is>
          <t>金额</t>
        </is>
      </c>
      <c r="G140" s="237" t="n"/>
      <c r="H140" s="237" t="n"/>
      <c r="I140" s="237" t="n"/>
      <c r="J140" s="237" t="n"/>
      <c r="K140" s="237" t="n"/>
      <c r="L140" s="237" t="n"/>
      <c r="M140" s="35" t="n"/>
      <c r="N140" s="35" t="n"/>
      <c r="O140" s="35" t="n"/>
    </row>
    <row r="141" ht="20.1" customFormat="1" customHeight="1" s="190">
      <c r="A141" s="209" t="inlineStr">
        <is>
          <t>同一控制下吸收合并</t>
        </is>
      </c>
      <c r="B141" s="238" t="n"/>
      <c r="C141" s="481" t="n"/>
      <c r="D141" s="482" t="n"/>
      <c r="E141" s="482" t="n"/>
      <c r="F141" s="482" t="n"/>
      <c r="G141" s="237" t="n"/>
      <c r="H141" s="237" t="n"/>
      <c r="I141" s="237" t="n"/>
      <c r="J141" s="237" t="n"/>
      <c r="K141" s="237" t="n"/>
      <c r="L141" s="237" t="n"/>
      <c r="M141" s="35" t="n"/>
      <c r="N141" s="35" t="n"/>
      <c r="O141" s="35" t="n"/>
    </row>
    <row r="142" ht="20.1" customFormat="1" customHeight="1" s="190">
      <c r="A142" s="238" t="n"/>
      <c r="B142" s="238" t="n"/>
      <c r="C142" s="481" t="n"/>
      <c r="D142" s="1183" t="n"/>
      <c r="E142" s="885" t="n"/>
      <c r="F142" s="1183" t="n"/>
      <c r="G142" s="237" t="n"/>
      <c r="H142" s="237" t="n"/>
      <c r="I142" s="237" t="n"/>
      <c r="J142" s="237" t="n"/>
      <c r="K142" s="237" t="n"/>
      <c r="L142" s="237" t="n"/>
      <c r="M142" s="35" t="n"/>
      <c r="N142" s="35" t="n"/>
      <c r="O142" s="35" t="n"/>
    </row>
    <row r="143" ht="20.1" customFormat="1" customHeight="1" s="190">
      <c r="A143" s="238" t="n"/>
      <c r="B143" s="238" t="n"/>
      <c r="C143" s="481" t="n"/>
      <c r="D143" s="1183" t="n"/>
      <c r="E143" s="885" t="n"/>
      <c r="F143" s="1183" t="n"/>
      <c r="G143" s="237" t="n"/>
      <c r="H143" s="237" t="n"/>
      <c r="I143" s="237" t="n"/>
      <c r="J143" s="237" t="n"/>
      <c r="K143" s="237" t="n"/>
      <c r="L143" s="237" t="n"/>
      <c r="M143" s="35" t="n"/>
      <c r="N143" s="35" t="n"/>
      <c r="O143" s="35" t="n"/>
    </row>
    <row r="144" ht="20.1" customFormat="1" customHeight="1" s="190">
      <c r="A144" s="238" t="n"/>
      <c r="B144" s="238" t="n"/>
      <c r="C144" s="481" t="n"/>
      <c r="D144" s="1183" t="n"/>
      <c r="E144" s="885" t="n"/>
      <c r="F144" s="1183" t="n"/>
      <c r="G144" s="237" t="n"/>
      <c r="H144" s="237" t="n"/>
      <c r="I144" s="237" t="n"/>
      <c r="J144" s="237" t="n"/>
      <c r="K144" s="237" t="n"/>
      <c r="L144" s="237" t="n"/>
      <c r="M144" s="35" t="n"/>
      <c r="N144" s="35" t="n"/>
      <c r="O144" s="35" t="n"/>
    </row>
    <row r="145" ht="20.1" customFormat="1" customHeight="1" s="190">
      <c r="A145" s="238" t="n"/>
      <c r="B145" s="238" t="n"/>
      <c r="C145" s="481" t="n"/>
      <c r="D145" s="1183" t="n"/>
      <c r="E145" s="885" t="n"/>
      <c r="F145" s="1183" t="n"/>
      <c r="G145" s="237" t="n"/>
      <c r="H145" s="237" t="n"/>
      <c r="I145" s="237" t="n"/>
      <c r="J145" s="237" t="n"/>
      <c r="K145" s="237" t="n"/>
      <c r="L145" s="237" t="n"/>
      <c r="M145" s="35" t="n"/>
      <c r="N145" s="35" t="n"/>
      <c r="O145" s="35" t="n"/>
    </row>
    <row r="146" ht="20.1" customFormat="1" customHeight="1" s="190">
      <c r="A146" s="238" t="n"/>
      <c r="B146" s="238" t="n"/>
      <c r="C146" s="481" t="n"/>
      <c r="D146" s="1183" t="n"/>
      <c r="E146" s="885" t="n"/>
      <c r="F146" s="1183" t="n"/>
      <c r="G146" s="237" t="n"/>
      <c r="H146" s="237" t="n"/>
      <c r="I146" s="237" t="n"/>
      <c r="J146" s="237" t="n"/>
      <c r="K146" s="237" t="n"/>
      <c r="L146" s="237" t="n"/>
      <c r="M146" s="35" t="n"/>
      <c r="N146" s="35" t="n"/>
      <c r="O146" s="35" t="n"/>
    </row>
    <row r="147" ht="20.1" customFormat="1" customHeight="1" s="190">
      <c r="A147" s="238" t="n"/>
      <c r="B147" s="238" t="n"/>
      <c r="C147" s="481" t="n"/>
      <c r="D147" s="1183" t="n"/>
      <c r="E147" s="885" t="n"/>
      <c r="F147" s="1183" t="n"/>
      <c r="G147" s="237" t="n"/>
      <c r="H147" s="237" t="n"/>
      <c r="I147" s="237" t="n"/>
      <c r="J147" s="237" t="n"/>
      <c r="K147" s="237" t="n"/>
      <c r="L147" s="237" t="n"/>
      <c r="M147" s="35" t="n"/>
      <c r="N147" s="35" t="n"/>
      <c r="O147" s="35" t="n"/>
    </row>
    <row r="148" ht="20.1" customFormat="1" customHeight="1" s="190">
      <c r="A148" s="238" t="n"/>
      <c r="B148" s="238" t="n"/>
      <c r="C148" s="481" t="n"/>
      <c r="D148" s="1183" t="n"/>
      <c r="E148" s="885" t="n"/>
      <c r="F148" s="1183" t="n"/>
      <c r="G148" s="237" t="n"/>
      <c r="H148" s="237" t="n"/>
      <c r="I148" s="237" t="n"/>
      <c r="J148" s="237" t="n"/>
      <c r="K148" s="237" t="n"/>
      <c r="L148" s="237" t="n"/>
      <c r="M148" s="35" t="n"/>
      <c r="N148" s="35" t="n"/>
      <c r="O148" s="35" t="n"/>
    </row>
    <row r="149" ht="20.1" customFormat="1" customHeight="1" s="190">
      <c r="A149" s="238" t="n"/>
      <c r="B149" s="238" t="n"/>
      <c r="C149" s="481" t="n"/>
      <c r="D149" s="1183" t="n"/>
      <c r="E149" s="885" t="n"/>
      <c r="F149" s="1183" t="n"/>
      <c r="G149" s="237" t="n"/>
      <c r="H149" s="237" t="n"/>
      <c r="I149" s="237" t="n"/>
      <c r="J149" s="237" t="n"/>
      <c r="K149" s="237" t="n"/>
      <c r="L149" s="237" t="n"/>
      <c r="M149" s="35" t="n"/>
      <c r="N149" s="35" t="n"/>
      <c r="O149" s="35" t="n"/>
    </row>
    <row r="150" ht="20.1" customFormat="1" customHeight="1" s="190">
      <c r="A150" s="238" t="n"/>
      <c r="B150" s="238" t="n"/>
      <c r="C150" s="481" t="n"/>
      <c r="D150" s="1183" t="n"/>
      <c r="E150" s="885" t="n"/>
      <c r="F150" s="1183" t="n"/>
      <c r="G150" s="237" t="n"/>
      <c r="H150" s="237" t="n"/>
      <c r="I150" s="237" t="n"/>
      <c r="J150" s="237" t="n"/>
      <c r="K150" s="237" t="n"/>
      <c r="L150" s="237" t="n"/>
      <c r="M150" s="35" t="n"/>
      <c r="N150" s="35" t="n"/>
      <c r="O150" s="35" t="n"/>
    </row>
    <row r="151" ht="20.1" customFormat="1" customHeight="1" s="190">
      <c r="A151" s="238" t="n"/>
      <c r="B151" s="238" t="n"/>
      <c r="C151" s="481" t="n"/>
      <c r="D151" s="1183" t="n"/>
      <c r="E151" s="885" t="n"/>
      <c r="F151" s="1183" t="n"/>
      <c r="G151" s="237" t="n"/>
      <c r="H151" s="237" t="n"/>
      <c r="I151" s="237" t="n"/>
      <c r="J151" s="237" t="n"/>
      <c r="K151" s="237" t="n"/>
      <c r="L151" s="237" t="n"/>
      <c r="M151" s="35" t="n"/>
      <c r="N151" s="35" t="n"/>
      <c r="O151" s="35" t="n"/>
    </row>
    <row r="152" ht="20.1" customFormat="1" customHeight="1" s="190">
      <c r="A152" s="238" t="n"/>
      <c r="B152" s="238" t="n"/>
      <c r="C152" s="481" t="n"/>
      <c r="D152" s="1183" t="n"/>
      <c r="E152" s="885" t="n"/>
      <c r="F152" s="1183" t="n"/>
      <c r="G152" s="237" t="n"/>
      <c r="H152" s="237" t="n"/>
      <c r="I152" s="237" t="n"/>
      <c r="J152" s="237" t="n"/>
      <c r="K152" s="237" t="n"/>
      <c r="L152" s="237" t="n"/>
      <c r="M152" s="35" t="n"/>
      <c r="N152" s="35" t="n"/>
      <c r="O152" s="35" t="n"/>
    </row>
    <row r="153" ht="20.1" customFormat="1" customHeight="1" s="190">
      <c r="A153" s="238" t="n"/>
      <c r="B153" s="238" t="n"/>
      <c r="C153" s="481" t="n"/>
      <c r="D153" s="1183" t="n"/>
      <c r="E153" s="885" t="n"/>
      <c r="F153" s="1183" t="n"/>
      <c r="G153" s="237" t="n"/>
      <c r="H153" s="237" t="n"/>
      <c r="I153" s="237" t="n"/>
      <c r="J153" s="237" t="n"/>
      <c r="K153" s="237" t="n"/>
      <c r="L153" s="237" t="n"/>
      <c r="M153" s="35" t="n"/>
      <c r="N153" s="35" t="n"/>
      <c r="O153" s="35" t="n"/>
    </row>
    <row r="154" ht="20.1" customFormat="1" customHeight="1" s="190">
      <c r="A154" s="238" t="n"/>
      <c r="B154" s="238" t="n"/>
      <c r="C154" s="481" t="n"/>
      <c r="D154" s="1183" t="n"/>
      <c r="E154" s="885" t="n"/>
      <c r="F154" s="1183" t="n"/>
      <c r="G154" s="237" t="n"/>
      <c r="H154" s="237" t="n"/>
      <c r="I154" s="237" t="n"/>
      <c r="J154" s="237" t="n"/>
      <c r="K154" s="237" t="n"/>
      <c r="L154" s="237" t="n"/>
      <c r="M154" s="35" t="n"/>
      <c r="N154" s="35" t="n"/>
      <c r="O154" s="35" t="n"/>
    </row>
    <row r="155" ht="20.1" customFormat="1" customHeight="1" s="190">
      <c r="A155" s="238" t="n"/>
      <c r="B155" s="238" t="n"/>
      <c r="C155" s="481" t="n"/>
      <c r="D155" s="1183" t="n"/>
      <c r="E155" s="885" t="n"/>
      <c r="F155" s="1183" t="n"/>
      <c r="G155" s="237" t="n"/>
      <c r="H155" s="237" t="n"/>
      <c r="I155" s="237" t="n"/>
      <c r="J155" s="237" t="n"/>
      <c r="K155" s="237" t="n"/>
      <c r="L155" s="237" t="n"/>
      <c r="M155" s="35" t="n"/>
      <c r="N155" s="35" t="n"/>
      <c r="O155" s="35" t="n"/>
    </row>
    <row r="156" ht="20.1" customFormat="1" customHeight="1" s="190">
      <c r="A156" s="238" t="n"/>
      <c r="B156" s="238" t="n"/>
      <c r="C156" s="481" t="n"/>
      <c r="D156" s="1183" t="n"/>
      <c r="E156" s="885" t="n"/>
      <c r="F156" s="1183" t="n"/>
      <c r="G156" s="237" t="n"/>
      <c r="H156" s="237" t="n"/>
      <c r="I156" s="237" t="n"/>
      <c r="J156" s="237" t="n"/>
      <c r="K156" s="237" t="n"/>
      <c r="L156" s="237" t="n"/>
      <c r="M156" s="35" t="n"/>
      <c r="N156" s="35" t="n"/>
      <c r="O156" s="35" t="n"/>
    </row>
    <row r="157" ht="20.1" customFormat="1" customHeight="1" s="190">
      <c r="A157" s="209" t="inlineStr">
        <is>
          <t>非同一控制下吸收合并</t>
        </is>
      </c>
      <c r="B157" s="238" t="n"/>
      <c r="C157" s="481" t="n"/>
      <c r="D157" s="482" t="n"/>
      <c r="E157" s="482" t="n"/>
      <c r="F157" s="885" t="n"/>
      <c r="G157" s="237" t="n"/>
      <c r="H157" s="237" t="n"/>
      <c r="I157" s="237" t="n"/>
      <c r="J157" s="237" t="n"/>
      <c r="K157" s="237" t="n"/>
      <c r="L157" s="237" t="n"/>
      <c r="M157" s="35" t="n"/>
      <c r="N157" s="35" t="n"/>
      <c r="O157" s="35" t="n"/>
    </row>
    <row r="158" ht="20.1" customFormat="1" customHeight="1" s="190">
      <c r="A158" s="209" t="n"/>
      <c r="B158" s="238" t="n"/>
      <c r="C158" s="481" t="n"/>
      <c r="D158" s="1183" t="n"/>
      <c r="E158" s="885" t="n"/>
      <c r="F158" s="1184" t="n"/>
      <c r="G158" s="237" t="n"/>
      <c r="H158" s="237" t="n"/>
      <c r="I158" s="237" t="n"/>
      <c r="J158" s="237" t="n"/>
      <c r="K158" s="237" t="n"/>
      <c r="L158" s="237" t="n"/>
      <c r="M158" s="35" t="n"/>
      <c r="N158" s="35" t="n"/>
      <c r="O158" s="35" t="n"/>
    </row>
    <row r="159" ht="20.1" customFormat="1" customHeight="1" s="190">
      <c r="A159" s="209" t="n"/>
      <c r="B159" s="238" t="n"/>
      <c r="C159" s="481" t="n"/>
      <c r="D159" s="1183" t="n"/>
      <c r="E159" s="885" t="n"/>
      <c r="F159" s="1184" t="n"/>
      <c r="G159" s="237" t="n"/>
      <c r="H159" s="237" t="n"/>
      <c r="I159" s="237" t="n"/>
      <c r="J159" s="237" t="n"/>
      <c r="K159" s="237" t="n"/>
      <c r="L159" s="237" t="n"/>
      <c r="M159" s="35" t="n"/>
      <c r="N159" s="35" t="n"/>
      <c r="O159" s="35" t="n"/>
    </row>
    <row r="160" ht="20.1" customFormat="1" customHeight="1" s="190">
      <c r="A160" s="209" t="n"/>
      <c r="B160" s="238" t="n"/>
      <c r="C160" s="481" t="n"/>
      <c r="D160" s="1183" t="n"/>
      <c r="E160" s="885" t="n"/>
      <c r="F160" s="1184" t="n"/>
      <c r="G160" s="237" t="n"/>
      <c r="H160" s="237" t="n"/>
      <c r="I160" s="237" t="n"/>
      <c r="J160" s="237" t="n"/>
      <c r="K160" s="237" t="n"/>
      <c r="L160" s="237" t="n"/>
      <c r="M160" s="35" t="n"/>
      <c r="N160" s="35" t="n"/>
      <c r="O160" s="35" t="n"/>
    </row>
    <row r="161" ht="20.1" customFormat="1" customHeight="1" s="190">
      <c r="A161" s="209" t="n"/>
      <c r="B161" s="238" t="n"/>
      <c r="C161" s="481" t="n"/>
      <c r="D161" s="1183" t="n"/>
      <c r="E161" s="885" t="n"/>
      <c r="F161" s="1184" t="n"/>
      <c r="G161" s="237" t="n"/>
      <c r="H161" s="237" t="n"/>
      <c r="I161" s="237" t="n"/>
      <c r="J161" s="237" t="n"/>
      <c r="K161" s="237" t="n"/>
      <c r="L161" s="237" t="n"/>
      <c r="M161" s="35" t="n"/>
      <c r="N161" s="35" t="n"/>
      <c r="O161" s="35" t="n"/>
    </row>
    <row r="162" ht="20.1" customFormat="1" customHeight="1" s="190">
      <c r="A162" s="209" t="n"/>
      <c r="B162" s="238" t="n"/>
      <c r="C162" s="481" t="n"/>
      <c r="D162" s="1183" t="n"/>
      <c r="E162" s="885" t="n"/>
      <c r="F162" s="1184" t="n"/>
      <c r="G162" s="237" t="n"/>
      <c r="H162" s="237" t="n"/>
      <c r="I162" s="237" t="n"/>
      <c r="J162" s="237" t="n"/>
      <c r="K162" s="237" t="n"/>
      <c r="L162" s="237" t="n"/>
      <c r="M162" s="35" t="n"/>
      <c r="N162" s="35" t="n"/>
      <c r="O162" s="35" t="n"/>
    </row>
    <row r="163" ht="20.1" customFormat="1" customHeight="1" s="190">
      <c r="A163" s="209" t="n"/>
      <c r="B163" s="238" t="n"/>
      <c r="C163" s="481" t="n"/>
      <c r="D163" s="1183" t="n"/>
      <c r="E163" s="885" t="n"/>
      <c r="F163" s="1184" t="n"/>
      <c r="G163" s="237" t="n"/>
      <c r="H163" s="237" t="n"/>
      <c r="I163" s="237" t="n"/>
      <c r="J163" s="237" t="n"/>
      <c r="K163" s="237" t="n"/>
      <c r="L163" s="237" t="n"/>
      <c r="M163" s="35" t="n"/>
      <c r="N163" s="35" t="n"/>
      <c r="O163" s="35" t="n"/>
    </row>
    <row r="164" ht="20.1" customFormat="1" customHeight="1" s="190">
      <c r="A164" s="209" t="n"/>
      <c r="B164" s="238" t="n"/>
      <c r="C164" s="481" t="n"/>
      <c r="D164" s="1183" t="n"/>
      <c r="E164" s="885" t="n"/>
      <c r="F164" s="1184" t="n"/>
      <c r="G164" s="237" t="n"/>
      <c r="H164" s="237" t="n"/>
      <c r="I164" s="237" t="n"/>
      <c r="J164" s="237" t="n"/>
      <c r="K164" s="237" t="n"/>
      <c r="L164" s="237" t="n"/>
      <c r="M164" s="35" t="n"/>
      <c r="N164" s="35" t="n"/>
      <c r="O164" s="35" t="n"/>
    </row>
    <row r="165" ht="20.1" customFormat="1" customHeight="1" s="190">
      <c r="A165" s="209" t="n"/>
      <c r="B165" s="238" t="n"/>
      <c r="C165" s="481" t="n"/>
      <c r="D165" s="1183" t="n"/>
      <c r="E165" s="885" t="n"/>
      <c r="F165" s="1184" t="n"/>
      <c r="G165" s="237" t="n"/>
      <c r="H165" s="237" t="n"/>
      <c r="I165" s="237" t="n"/>
      <c r="J165" s="237" t="n"/>
      <c r="K165" s="237" t="n"/>
      <c r="L165" s="237" t="n"/>
      <c r="M165" s="35" t="n"/>
      <c r="N165" s="35" t="n"/>
      <c r="O165" s="35" t="n"/>
    </row>
    <row r="166" ht="20.1" customFormat="1" customHeight="1" s="190">
      <c r="A166" s="209" t="n"/>
      <c r="B166" s="238" t="n"/>
      <c r="C166" s="481" t="n"/>
      <c r="D166" s="1183" t="n"/>
      <c r="E166" s="885" t="n"/>
      <c r="F166" s="1184" t="n"/>
      <c r="G166" s="237" t="n"/>
      <c r="H166" s="237" t="n"/>
      <c r="I166" s="237" t="n"/>
      <c r="J166" s="237" t="n"/>
      <c r="K166" s="237" t="n"/>
      <c r="L166" s="237" t="n"/>
      <c r="M166" s="35" t="n"/>
      <c r="N166" s="35" t="n"/>
      <c r="O166" s="35" t="n"/>
    </row>
    <row r="167" ht="20.1" customFormat="1" customHeight="1" s="190">
      <c r="A167" s="209" t="n"/>
      <c r="B167" s="238" t="n"/>
      <c r="C167" s="481" t="n"/>
      <c r="D167" s="1183" t="n"/>
      <c r="E167" s="885" t="n"/>
      <c r="F167" s="1184" t="n"/>
      <c r="G167" s="237" t="n"/>
      <c r="H167" s="237" t="n"/>
      <c r="I167" s="237" t="n"/>
      <c r="J167" s="237" t="n"/>
      <c r="K167" s="237" t="n"/>
      <c r="L167" s="237" t="n"/>
      <c r="M167" s="35" t="n"/>
      <c r="N167" s="35" t="n"/>
      <c r="O167" s="35" t="n"/>
    </row>
    <row r="168" ht="20.1" customFormat="1" customHeight="1" s="190">
      <c r="A168" s="209" t="n"/>
      <c r="B168" s="238" t="n"/>
      <c r="C168" s="481" t="n"/>
      <c r="D168" s="1183" t="n"/>
      <c r="E168" s="885" t="n"/>
      <c r="F168" s="1184" t="n"/>
      <c r="G168" s="237" t="n"/>
      <c r="H168" s="237" t="n"/>
      <c r="I168" s="237" t="n"/>
      <c r="J168" s="237" t="n"/>
      <c r="K168" s="237" t="n"/>
      <c r="L168" s="237" t="n"/>
      <c r="M168" s="35" t="n"/>
      <c r="N168" s="35" t="n"/>
      <c r="O168" s="35" t="n"/>
    </row>
    <row r="169" ht="20.1" customFormat="1" customHeight="1" s="190">
      <c r="A169" s="209" t="n"/>
      <c r="B169" s="238" t="n"/>
      <c r="C169" s="481" t="n"/>
      <c r="D169" s="1183" t="n"/>
      <c r="E169" s="885" t="n"/>
      <c r="F169" s="1184" t="n"/>
      <c r="G169" s="237" t="n"/>
      <c r="H169" s="237" t="n"/>
      <c r="I169" s="237" t="n"/>
      <c r="J169" s="237" t="n"/>
      <c r="K169" s="237" t="n"/>
      <c r="L169" s="237" t="n"/>
      <c r="M169" s="35" t="n"/>
      <c r="N169" s="35" t="n"/>
      <c r="O169" s="35" t="n"/>
    </row>
    <row r="170" ht="20.1" customFormat="1" customHeight="1" s="190">
      <c r="A170" s="209" t="n"/>
      <c r="B170" s="238" t="n"/>
      <c r="C170" s="481" t="n"/>
      <c r="D170" s="1183" t="n"/>
      <c r="E170" s="885" t="n"/>
      <c r="F170" s="1184" t="n"/>
      <c r="G170" s="237" t="n"/>
      <c r="H170" s="237" t="n"/>
      <c r="I170" s="237" t="n"/>
      <c r="J170" s="237" t="n"/>
      <c r="K170" s="237" t="n"/>
      <c r="L170" s="237" t="n"/>
      <c r="M170" s="35" t="n"/>
      <c r="N170" s="35" t="n"/>
      <c r="O170" s="35" t="n"/>
    </row>
    <row r="171" ht="20.1" customFormat="1" customHeight="1" s="190">
      <c r="A171" s="209" t="n"/>
      <c r="B171" s="238" t="n"/>
      <c r="C171" s="481" t="n"/>
      <c r="D171" s="1183" t="n"/>
      <c r="E171" s="885" t="n"/>
      <c r="F171" s="1184" t="n"/>
      <c r="G171" s="237" t="n"/>
      <c r="H171" s="237" t="n"/>
      <c r="I171" s="237" t="n"/>
      <c r="J171" s="237" t="n"/>
      <c r="K171" s="237" t="n"/>
      <c r="L171" s="237" t="n"/>
      <c r="M171" s="35" t="n"/>
      <c r="N171" s="35" t="n"/>
      <c r="O171" s="35" t="n"/>
    </row>
    <row r="172" ht="20.1" customFormat="1" customHeight="1" s="190" thickBot="1">
      <c r="A172" s="486" t="n"/>
      <c r="B172" s="252" t="n"/>
      <c r="C172" s="487" t="n"/>
      <c r="D172" s="1185" t="n"/>
      <c r="E172" s="928" t="n"/>
      <c r="F172" s="1186" t="n"/>
      <c r="G172" s="237" t="n"/>
      <c r="H172" s="237" t="n"/>
      <c r="I172" s="237" t="n"/>
      <c r="J172" s="237" t="n"/>
      <c r="K172" s="237" t="n"/>
      <c r="L172" s="237" t="n"/>
      <c r="M172" s="35" t="n"/>
      <c r="N172" s="35" t="n"/>
      <c r="O172" s="35" t="n"/>
    </row>
    <row r="173" ht="20.1" customFormat="1" customHeight="1" s="190">
      <c r="A173" s="209" t="inlineStr">
        <is>
          <t xml:space="preserve">（十一）子公司使用企业集团资产和清偿企业集团债务的重大限制 </t>
        </is>
      </c>
      <c r="B173" s="209" t="n"/>
      <c r="C173" s="237" t="n"/>
      <c r="D173" s="237" t="n"/>
      <c r="E173" s="237" t="n"/>
      <c r="F173" s="237" t="n"/>
      <c r="G173" s="237" t="n"/>
      <c r="H173" s="237" t="n"/>
      <c r="I173" s="237" t="n"/>
      <c r="J173" s="237" t="n"/>
      <c r="K173" s="237" t="n"/>
      <c r="L173" s="237" t="n"/>
      <c r="M173" s="35" t="n"/>
      <c r="N173" s="35" t="n"/>
      <c r="O173" s="35" t="n"/>
    </row>
    <row r="174" ht="35.25" customFormat="1" customHeight="1" s="190">
      <c r="A174" s="884" t="inlineStr">
        <is>
          <t>说明：（1）限制内容，包括对母公司或子公司与集团内其他主体相互转移现金或其他资产的限制，以及对集团内主体之间发放股利或进行利润分配、发放或收回贷款或垫款等的限制；</t>
        </is>
      </c>
      <c r="B174" s="0" t="n"/>
      <c r="C174" s="0" t="n"/>
      <c r="D174" s="0" t="n"/>
      <c r="E174" s="0" t="n"/>
      <c r="F174" s="0" t="n"/>
      <c r="G174" s="237" t="n"/>
      <c r="H174" s="237" t="n"/>
      <c r="I174" s="237" t="n"/>
      <c r="J174" s="237" t="n"/>
      <c r="K174" s="237" t="n"/>
      <c r="L174" s="237" t="n"/>
      <c r="M174" s="35" t="n"/>
      <c r="N174" s="35" t="n"/>
      <c r="O174" s="35" t="n"/>
    </row>
    <row r="175" ht="36" customFormat="1" customHeight="1" s="190">
      <c r="A175" s="884" t="inlineStr">
        <is>
          <t>（2）子公司少数股东享有保护性权利，并且该保护性权利对使用集团资产或清偿集团负债的能力存在重大限制的，披露限制的性质和程度；</t>
        </is>
      </c>
      <c r="B175" s="0" t="n"/>
      <c r="C175" s="0" t="n"/>
      <c r="D175" s="0" t="n"/>
      <c r="E175" s="0" t="n"/>
      <c r="F175" s="0" t="n"/>
      <c r="G175" s="237" t="n"/>
      <c r="H175" s="237" t="n"/>
      <c r="I175" s="237" t="n"/>
      <c r="J175" s="237" t="n"/>
      <c r="K175" s="237" t="n"/>
      <c r="L175" s="237" t="n"/>
      <c r="M175" s="35" t="n"/>
      <c r="N175" s="35" t="n"/>
      <c r="O175" s="35" t="n"/>
    </row>
    <row r="176" ht="20.1" customFormat="1" customHeight="1" s="190">
      <c r="A176" s="884" t="inlineStr">
        <is>
          <t>（3）限制涉及的资产和负债在合并财务报表中的金额。</t>
        </is>
      </c>
      <c r="B176" s="0" t="n"/>
      <c r="C176" s="0" t="n"/>
      <c r="D176" s="0" t="n"/>
      <c r="E176" s="0" t="n"/>
      <c r="F176" s="0" t="n"/>
      <c r="G176" s="237" t="n"/>
      <c r="H176" s="237" t="n"/>
      <c r="I176" s="237" t="n"/>
      <c r="J176" s="237" t="n"/>
      <c r="K176" s="237" t="n"/>
      <c r="L176" s="237" t="n"/>
      <c r="M176" s="35" t="n"/>
      <c r="N176" s="35" t="n"/>
      <c r="O176" s="35" t="n"/>
    </row>
    <row r="177" ht="20.1" customFormat="1" customHeight="1" s="190">
      <c r="A177" s="209" t="inlineStr">
        <is>
          <t>（十二）纳入合并财务报表范围的结构化主体的相关信息</t>
        </is>
      </c>
      <c r="B177" s="209" t="n"/>
      <c r="C177" s="237" t="n"/>
      <c r="D177" s="237" t="n"/>
      <c r="E177" s="237" t="n"/>
      <c r="F177" s="237" t="n"/>
      <c r="G177" s="237" t="n"/>
      <c r="H177" s="237" t="n"/>
      <c r="I177" s="237" t="n"/>
      <c r="J177" s="237" t="n"/>
      <c r="K177" s="237" t="n"/>
      <c r="L177" s="237" t="n"/>
      <c r="M177" s="35" t="n"/>
      <c r="N177" s="35" t="n"/>
      <c r="O177" s="35" t="n"/>
    </row>
    <row r="178" ht="20.1" customFormat="1" customHeight="1" s="190">
      <c r="A178" s="209" t="inlineStr">
        <is>
          <t>说明：</t>
        </is>
      </c>
      <c r="B178" s="209" t="n"/>
      <c r="C178" s="237" t="n"/>
      <c r="D178" s="237" t="n"/>
      <c r="E178" s="237" t="n"/>
      <c r="F178" s="237" t="n"/>
      <c r="G178" s="237" t="n"/>
      <c r="H178" s="237" t="n"/>
      <c r="I178" s="237" t="n"/>
      <c r="J178" s="237" t="n"/>
      <c r="K178" s="237" t="n"/>
      <c r="L178" s="237" t="n"/>
      <c r="M178" s="35" t="n"/>
      <c r="N178" s="35" t="n"/>
      <c r="O178" s="35" t="n"/>
    </row>
    <row r="179" ht="20.1" customFormat="1" customHeight="1" s="190">
      <c r="A179" s="249" t="inlineStr">
        <is>
          <t>应披露与结构化主体相关的风险信息，向结构化主体提供财务支持或其他支持，包括帮助结构化主体取得财务支持：</t>
        </is>
      </c>
      <c r="B179" s="249" t="n"/>
      <c r="C179" s="237" t="n"/>
      <c r="D179" s="237" t="n"/>
      <c r="E179" s="237" t="n"/>
      <c r="F179" s="237" t="n"/>
      <c r="G179" s="237" t="n"/>
      <c r="H179" s="237" t="n"/>
      <c r="I179" s="237" t="n"/>
      <c r="J179" s="237" t="n"/>
      <c r="K179" s="237" t="n"/>
      <c r="L179" s="237" t="n"/>
      <c r="M179" s="35" t="n"/>
      <c r="N179" s="35" t="n"/>
      <c r="O179" s="35" t="n"/>
    </row>
    <row r="180" ht="20.1" customFormat="1" customHeight="1" s="190">
      <c r="A180" s="209" t="inlineStr">
        <is>
          <t>（1）有合同约定的，披露财务支持的合同条款包括可能导致企业承担损失的事项或情况；</t>
        </is>
      </c>
      <c r="B180" s="209" t="n"/>
      <c r="C180" s="237" t="n"/>
      <c r="D180" s="237" t="n"/>
      <c r="E180" s="237" t="n"/>
      <c r="F180" s="237" t="n"/>
      <c r="G180" s="237" t="n"/>
      <c r="H180" s="237" t="n"/>
      <c r="I180" s="237" t="n"/>
      <c r="J180" s="237" t="n"/>
      <c r="K180" s="237" t="n"/>
      <c r="L180" s="237" t="n"/>
      <c r="M180" s="35" t="n"/>
      <c r="N180" s="35" t="n"/>
      <c r="O180" s="35" t="n"/>
    </row>
    <row r="181" ht="49.5" customFormat="1" customHeight="1" s="190">
      <c r="A181" s="884" t="inlineStr">
        <is>
          <t>（2）在没有合同约定的情况下，披露所提供支持的类型、金额及原因，包括帮助该结构化主体获得财务支持的情况。其中，本期对以前未纳入合并财务报表范围的结构化主体提供了财务支持或其他支持并且该支持导致控制了该结构化主体的，披露决定提供支持的相关因素；</t>
        </is>
      </c>
      <c r="B181" s="0" t="n"/>
      <c r="C181" s="0" t="n"/>
      <c r="D181" s="0" t="n"/>
      <c r="E181" s="0" t="n"/>
      <c r="F181" s="0" t="n"/>
      <c r="G181" s="237" t="n"/>
      <c r="H181" s="237" t="n"/>
      <c r="I181" s="237" t="n"/>
      <c r="J181" s="237" t="n"/>
      <c r="K181" s="237" t="n"/>
      <c r="L181" s="237" t="n"/>
      <c r="M181" s="35" t="n"/>
      <c r="N181" s="35" t="n"/>
      <c r="O181" s="35" t="n"/>
    </row>
    <row r="182" ht="20.1" customFormat="1" customHeight="1" s="190">
      <c r="A182" s="209" t="inlineStr">
        <is>
          <t>（3）存在提供支持意图的，披露该意图，包括帮助该结构化主体获得财务支持的意图。</t>
        </is>
      </c>
      <c r="B182" s="209" t="n"/>
      <c r="C182" s="237" t="n"/>
      <c r="D182" s="237" t="n"/>
      <c r="E182" s="237" t="n"/>
      <c r="F182" s="237" t="n"/>
      <c r="G182" s="237" t="n"/>
      <c r="H182" s="237" t="n"/>
      <c r="I182" s="237" t="n"/>
      <c r="J182" s="237" t="n"/>
      <c r="K182" s="237" t="n"/>
      <c r="L182" s="237" t="n"/>
      <c r="M182" s="35" t="n"/>
      <c r="N182" s="35" t="n"/>
      <c r="O182" s="35" t="n"/>
    </row>
    <row r="183" ht="20.1" customFormat="1" customHeight="1" s="190">
      <c r="A183" s="209" t="inlineStr">
        <is>
          <t>（十三）母公司在子公司的所有者权益份额发生变化的情况</t>
        </is>
      </c>
      <c r="B183" s="209" t="n"/>
      <c r="C183" s="237" t="n"/>
      <c r="D183" s="237" t="n"/>
      <c r="E183" s="237" t="n"/>
      <c r="F183" s="237" t="n"/>
      <c r="G183" s="237" t="n"/>
      <c r="H183" s="237" t="n"/>
      <c r="I183" s="237" t="n"/>
      <c r="J183" s="237" t="n"/>
      <c r="K183" s="237" t="n"/>
      <c r="L183" s="237" t="n"/>
      <c r="M183" s="35" t="n"/>
      <c r="N183" s="35" t="n"/>
      <c r="O183" s="35" t="n"/>
    </row>
    <row r="184" ht="20.1" customFormat="1" customHeight="1" s="190">
      <c r="A184" s="209" t="inlineStr">
        <is>
          <t>（1）         在子公司所有者权益份额发生变化的情况说明：</t>
        </is>
      </c>
      <c r="B184" s="209" t="n"/>
      <c r="C184" s="237" t="n"/>
      <c r="D184" s="237" t="n"/>
      <c r="E184" s="237" t="n"/>
      <c r="F184" s="237" t="n"/>
      <c r="G184" s="237" t="n"/>
      <c r="H184" s="237" t="n"/>
      <c r="I184" s="237" t="n"/>
      <c r="J184" s="237" t="n"/>
      <c r="K184" s="237" t="n"/>
      <c r="L184" s="237" t="n"/>
      <c r="M184" s="35" t="n"/>
      <c r="N184" s="35" t="n"/>
      <c r="O184" s="35" t="n"/>
    </row>
    <row r="185" ht="64.5" customFormat="1" customHeight="1" s="190">
      <c r="A185" s="884" t="inlineStr">
        <is>
          <t>本公司原持有【A公司】90%股权，2012年10月本公司与甲公司签订股权转让协议，约定于2012年12月向甲公司转让A公司20%股权，该股权处置交易未导致本公司丧失对【A公司】的控制权。截至2013年6月30日，股权转让协议已履行完毕，取得交易对价为2600万元，该项交易导致少数股东权益增加2400万元，资本公积增加200万元。</t>
        </is>
      </c>
      <c r="B185" s="0" t="n"/>
      <c r="C185" s="0" t="n"/>
      <c r="D185" s="0" t="n"/>
      <c r="E185" s="0" t="n"/>
      <c r="F185" s="0" t="n"/>
      <c r="G185" s="237" t="n"/>
      <c r="H185" s="237" t="n"/>
      <c r="I185" s="237" t="n"/>
      <c r="J185" s="237" t="n"/>
      <c r="K185" s="237" t="n"/>
      <c r="L185" s="237" t="n"/>
      <c r="M185" s="35" t="n"/>
      <c r="N185" s="35" t="n"/>
      <c r="O185" s="35" t="n"/>
    </row>
    <row r="186" ht="20.1" customFormat="1" customHeight="1" s="190" thickBot="1">
      <c r="A186" s="209" t="inlineStr">
        <is>
          <t>（2）         交易对于少数股东权益及归属于母公司所有者权益的影响：</t>
        </is>
      </c>
      <c r="B186" s="209" t="n"/>
      <c r="C186" s="237" t="n"/>
      <c r="D186" s="237" t="n"/>
      <c r="E186" s="237" t="n"/>
      <c r="F186" s="237" t="n"/>
      <c r="G186" s="237" t="n"/>
      <c r="H186" s="237" t="n"/>
      <c r="I186" s="237" t="n"/>
      <c r="J186" s="237" t="n"/>
      <c r="K186" s="237" t="n"/>
      <c r="L186" s="237" t="n"/>
      <c r="M186" s="35" t="n"/>
      <c r="N186" s="35" t="n"/>
      <c r="O186" s="35" t="n"/>
    </row>
    <row r="187" ht="20.1" customFormat="1" customHeight="1" s="190" thickBot="1">
      <c r="A187" s="917" t="inlineStr">
        <is>
          <t>项  目</t>
        </is>
      </c>
      <c r="B187" s="1175" t="n"/>
      <c r="C187" s="917" t="inlineStr">
        <is>
          <t>公司1</t>
        </is>
      </c>
      <c r="D187" s="917" t="inlineStr">
        <is>
          <t>公司2</t>
        </is>
      </c>
      <c r="E187" s="917" t="inlineStr">
        <is>
          <t>公司3</t>
        </is>
      </c>
      <c r="F187" s="917" t="n"/>
      <c r="G187" s="917" t="n"/>
      <c r="H187" s="917" t="n"/>
      <c r="I187" s="237" t="n"/>
      <c r="J187" s="237" t="n"/>
      <c r="K187" s="237" t="n"/>
      <c r="L187" s="237" t="n"/>
      <c r="M187" s="35" t="n"/>
      <c r="N187" s="35" t="n"/>
      <c r="O187" s="35" t="n"/>
    </row>
    <row r="188" ht="20.1" customFormat="1" customHeight="1" s="190">
      <c r="A188" s="918" t="inlineStr">
        <is>
          <t>购买成本/处置对价：</t>
        </is>
      </c>
      <c r="B188" s="0" t="n"/>
      <c r="C188" s="257" t="n"/>
      <c r="D188" s="257" t="n"/>
      <c r="E188" s="257" t="n"/>
      <c r="F188" s="255" t="n"/>
      <c r="G188" s="255" t="n"/>
      <c r="H188" s="255" t="n"/>
      <c r="I188" s="237" t="n"/>
      <c r="J188" s="237" t="n"/>
      <c r="K188" s="237" t="n"/>
      <c r="L188" s="237" t="n"/>
      <c r="M188" s="35" t="n"/>
      <c r="N188" s="35" t="n"/>
      <c r="O188" s="35" t="n"/>
    </row>
    <row r="189" ht="20.1" customFormat="1" customHeight="1" s="190">
      <c r="A189" s="912" t="inlineStr">
        <is>
          <t>现金</t>
        </is>
      </c>
      <c r="B189" s="0" t="n"/>
      <c r="C189" s="1149" t="n"/>
      <c r="D189" s="1149" t="n"/>
      <c r="E189" s="1149" t="n"/>
      <c r="F189" s="1150" t="n"/>
      <c r="G189" s="1150" t="n"/>
      <c r="H189" s="1150" t="n"/>
      <c r="I189" s="237" t="n"/>
      <c r="J189" s="237" t="n"/>
      <c r="K189" s="237" t="n"/>
      <c r="L189" s="237" t="n"/>
      <c r="M189" s="35" t="n"/>
      <c r="N189" s="35" t="n"/>
      <c r="O189" s="35" t="n"/>
    </row>
    <row r="190" ht="20.1" customFormat="1" customHeight="1" s="190">
      <c r="A190" s="912" t="inlineStr">
        <is>
          <t>非现金资产的公允价值</t>
        </is>
      </c>
      <c r="B190" s="0" t="n"/>
      <c r="C190" s="1149" t="n"/>
      <c r="D190" s="1149" t="n"/>
      <c r="E190" s="1149" t="n"/>
      <c r="F190" s="1150" t="n"/>
      <c r="G190" s="1150" t="n"/>
      <c r="H190" s="1150" t="n"/>
      <c r="I190" s="237" t="n"/>
      <c r="J190" s="237" t="n"/>
      <c r="K190" s="237" t="n"/>
      <c r="L190" s="237" t="n"/>
      <c r="M190" s="35" t="n"/>
      <c r="N190" s="35" t="n"/>
      <c r="O190" s="35" t="n"/>
    </row>
    <row r="191" ht="20.1" customFormat="1" customHeight="1" s="190">
      <c r="A191" s="912" t="inlineStr">
        <is>
          <t>发行或承担的债务的账面价值</t>
        </is>
      </c>
      <c r="B191" s="0" t="n"/>
      <c r="C191" s="1149" t="n"/>
      <c r="D191" s="1149" t="n"/>
      <c r="E191" s="1149" t="n"/>
      <c r="F191" s="1150" t="n"/>
      <c r="G191" s="1150" t="n"/>
      <c r="H191" s="1150" t="n"/>
      <c r="I191" s="237" t="n"/>
      <c r="J191" s="237" t="n"/>
      <c r="K191" s="237" t="n"/>
      <c r="L191" s="237" t="n"/>
      <c r="M191" s="35" t="n"/>
      <c r="N191" s="35" t="n"/>
      <c r="O191" s="35" t="n"/>
    </row>
    <row r="192" ht="20.1" customFormat="1" customHeight="1" s="190">
      <c r="A192" s="912" t="inlineStr">
        <is>
          <t>发行的权益性证券的面值</t>
        </is>
      </c>
      <c r="B192" s="0" t="n"/>
      <c r="C192" s="1149" t="n"/>
      <c r="D192" s="1149" t="n"/>
      <c r="E192" s="1149" t="n"/>
      <c r="F192" s="1150" t="n"/>
      <c r="G192" s="1150" t="n"/>
      <c r="H192" s="1150" t="n"/>
      <c r="I192" s="237" t="n"/>
      <c r="J192" s="237" t="n"/>
      <c r="K192" s="237" t="n"/>
      <c r="L192" s="237" t="n"/>
      <c r="M192" s="35" t="n"/>
      <c r="N192" s="35" t="n"/>
      <c r="O192" s="35" t="n"/>
    </row>
    <row r="193" ht="20.1" customFormat="1" customHeight="1" s="190">
      <c r="A193" s="912" t="inlineStr">
        <is>
          <t>或有对价</t>
        </is>
      </c>
      <c r="B193" s="0" t="n"/>
      <c r="C193" s="1149" t="n"/>
      <c r="D193" s="1149" t="n"/>
      <c r="E193" s="1149" t="n"/>
      <c r="F193" s="1150" t="n"/>
      <c r="G193" s="1150" t="n"/>
      <c r="H193" s="1150" t="n"/>
      <c r="I193" s="237" t="n"/>
      <c r="J193" s="237" t="n"/>
      <c r="K193" s="237" t="n"/>
      <c r="L193" s="237" t="n"/>
      <c r="M193" s="35" t="n"/>
      <c r="N193" s="35" t="n"/>
      <c r="O193" s="35" t="n"/>
    </row>
    <row r="194" ht="20.1" customFormat="1" customHeight="1" s="190">
      <c r="A194" s="918" t="inlineStr">
        <is>
          <t>购买成本/处置对价合计</t>
        </is>
      </c>
      <c r="B194" s="0" t="n"/>
      <c r="C194" s="1151" t="n"/>
      <c r="D194" s="1151" t="n"/>
      <c r="E194" s="1151" t="n"/>
      <c r="F194" s="1151" t="n"/>
      <c r="G194" s="1151" t="n"/>
      <c r="H194" s="1151" t="n"/>
      <c r="I194" s="237" t="n"/>
      <c r="J194" s="237" t="n"/>
      <c r="K194" s="237" t="n"/>
      <c r="L194" s="237" t="n"/>
      <c r="M194" s="35" t="n"/>
      <c r="N194" s="35" t="n"/>
      <c r="O194" s="35" t="n"/>
    </row>
    <row r="195" ht="36.75" customFormat="1" customHeight="1" s="190">
      <c r="A195" s="912" t="inlineStr">
        <is>
          <t>减：按取得/处置的股权比例计算的子公司净资产份额</t>
        </is>
      </c>
      <c r="B195" s="0" t="n"/>
      <c r="C195" s="1149" t="n"/>
      <c r="D195" s="1149" t="n"/>
      <c r="E195" s="1149" t="n"/>
      <c r="F195" s="1150" t="n"/>
      <c r="G195" s="1150" t="n"/>
      <c r="H195" s="1150" t="n"/>
      <c r="I195" s="237" t="n"/>
      <c r="J195" s="237" t="n"/>
      <c r="K195" s="237" t="n"/>
      <c r="L195" s="237" t="n"/>
      <c r="M195" s="35" t="n"/>
      <c r="N195" s="35" t="n"/>
      <c r="O195" s="35" t="n"/>
    </row>
    <row r="196" ht="20.1" customFormat="1" customHeight="1" s="190">
      <c r="A196" s="918" t="inlineStr">
        <is>
          <t>差额</t>
        </is>
      </c>
      <c r="B196" s="0" t="n"/>
      <c r="C196" s="1149" t="n"/>
      <c r="D196" s="1149" t="n"/>
      <c r="E196" s="1149" t="n"/>
      <c r="F196" s="1150" t="n"/>
      <c r="G196" s="1150" t="n"/>
      <c r="H196" s="1150" t="n"/>
      <c r="I196" s="237" t="n"/>
      <c r="J196" s="237" t="n"/>
      <c r="K196" s="237" t="n"/>
      <c r="L196" s="237" t="n"/>
      <c r="M196" s="35" t="n"/>
      <c r="N196" s="35" t="n"/>
      <c r="O196" s="35" t="n"/>
    </row>
    <row r="197" ht="20.1" customFormat="1" customHeight="1" s="190">
      <c r="A197" s="912" t="inlineStr">
        <is>
          <t>其中：调整资本公积</t>
        </is>
      </c>
      <c r="B197" s="0" t="n"/>
      <c r="C197" s="1149" t="n"/>
      <c r="D197" s="1149" t="n"/>
      <c r="E197" s="1149" t="n"/>
      <c r="F197" s="1150" t="n"/>
      <c r="G197" s="1150" t="n"/>
      <c r="H197" s="1150" t="n"/>
      <c r="I197" s="237" t="n"/>
      <c r="J197" s="237" t="n"/>
      <c r="K197" s="237" t="n"/>
      <c r="L197" s="237" t="n"/>
      <c r="M197" s="35" t="n"/>
      <c r="N197" s="35" t="n"/>
      <c r="O197" s="35" t="n"/>
    </row>
    <row r="198" ht="20.1" customFormat="1" customHeight="1" s="190">
      <c r="A198" s="912" t="inlineStr">
        <is>
          <t xml:space="preserve">              调整盈余公积</t>
        </is>
      </c>
      <c r="B198" s="0" t="n"/>
      <c r="C198" s="1149" t="n"/>
      <c r="D198" s="1149" t="n"/>
      <c r="E198" s="1149" t="n"/>
      <c r="F198" s="1150" t="n"/>
      <c r="G198" s="1150" t="n"/>
      <c r="H198" s="1150" t="n"/>
      <c r="I198" s="440" t="n"/>
      <c r="J198" s="440" t="n"/>
      <c r="K198" s="440" t="n"/>
      <c r="L198" s="440" t="n"/>
    </row>
    <row r="199" ht="20.1" customFormat="1" customHeight="1" s="190" thickBot="1">
      <c r="A199" s="937" t="inlineStr">
        <is>
          <t xml:space="preserve">             调整未分配利润</t>
        </is>
      </c>
      <c r="B199" s="1146" t="n"/>
      <c r="C199" s="1155" t="n"/>
      <c r="D199" s="1155" t="n"/>
      <c r="E199" s="1155" t="n"/>
      <c r="F199" s="1156" t="n"/>
      <c r="G199" s="1156" t="n"/>
      <c r="H199" s="1156" t="n"/>
      <c r="I199" s="440" t="n"/>
      <c r="J199" s="440" t="n"/>
      <c r="K199" s="440" t="n"/>
      <c r="L199" s="440" t="n"/>
    </row>
    <row r="200" ht="20.1" customFormat="1" customHeight="1" s="190">
      <c r="A200" s="209" t="inlineStr">
        <is>
          <t>16、长期股权投资</t>
        </is>
      </c>
      <c r="B200" s="440" t="n"/>
      <c r="C200" s="440" t="n"/>
      <c r="D200" s="440" t="n"/>
      <c r="E200" s="440" t="n"/>
      <c r="F200" s="440" t="n"/>
      <c r="G200" s="440" t="n"/>
      <c r="H200" s="440" t="n"/>
      <c r="I200" s="440" t="n"/>
      <c r="J200" s="440" t="n"/>
      <c r="K200" s="440" t="n"/>
      <c r="L200" s="440" t="n"/>
    </row>
    <row r="201" ht="20.1" customFormat="1" customHeight="1" s="190" thickBot="1">
      <c r="A201" s="894" t="inlineStr">
        <is>
          <t>长期股权投资分类</t>
        </is>
      </c>
      <c r="B201" s="232" t="n"/>
      <c r="C201" s="233" t="n"/>
      <c r="D201" s="233" t="n"/>
      <c r="E201" s="233" t="n"/>
      <c r="F201" s="233" t="n"/>
      <c r="G201" s="233" t="n"/>
      <c r="H201" s="233" t="n"/>
      <c r="I201" s="233" t="n"/>
      <c r="J201" s="233" t="n"/>
      <c r="K201" s="233" t="n"/>
      <c r="L201" s="233" t="n"/>
      <c r="M201" s="496" t="n"/>
      <c r="N201" s="496" t="n"/>
      <c r="O201" s="496" t="n"/>
      <c r="P201" s="496" t="n"/>
    </row>
    <row r="202" ht="20.1" customFormat="1" customHeight="1" s="190" thickBot="1">
      <c r="A202" s="914" t="inlineStr">
        <is>
          <t>项  目</t>
        </is>
      </c>
      <c r="B202" s="1187" t="n"/>
      <c r="C202" s="914" t="inlineStr">
        <is>
          <t>年初余额</t>
        </is>
      </c>
      <c r="D202" s="914" t="inlineStr">
        <is>
          <t>本期增加</t>
        </is>
      </c>
      <c r="E202" s="914" t="inlineStr">
        <is>
          <t>本期减少</t>
        </is>
      </c>
      <c r="F202" s="925" t="inlineStr">
        <is>
          <t>期末余额</t>
        </is>
      </c>
      <c r="G202" s="233" t="n"/>
      <c r="H202" s="233" t="n"/>
      <c r="I202" s="233" t="n"/>
      <c r="J202" s="233" t="n"/>
      <c r="K202" s="233" t="n"/>
      <c r="L202" s="233" t="n"/>
      <c r="M202" s="496" t="n"/>
      <c r="N202" s="496" t="n"/>
      <c r="O202" s="496" t="n"/>
      <c r="P202" s="496" t="n"/>
    </row>
    <row r="203" ht="20.1" customFormat="1" customHeight="1" s="190">
      <c r="A203" s="915" t="inlineStr">
        <is>
          <t>对子公司投资</t>
        </is>
      </c>
      <c r="B203" s="1157" t="n"/>
      <c r="C203" s="1168">
        <f>'长期股权投资审定表G7-1'!C23</f>
        <v/>
      </c>
      <c r="D203" s="1168">
        <f>'长期股权投资审定表G7-1'!D23</f>
        <v/>
      </c>
      <c r="E203" s="1168">
        <f>'长期股权投资审定表G7-1'!E23</f>
        <v/>
      </c>
      <c r="F203" s="1188">
        <f>C203+D203-E203</f>
        <v/>
      </c>
      <c r="G203" s="233" t="n"/>
      <c r="H203" s="233" t="n"/>
      <c r="I203" s="233" t="n"/>
      <c r="J203" s="233" t="n"/>
      <c r="K203" s="233" t="n"/>
      <c r="L203" s="233" t="n"/>
      <c r="M203" s="496" t="n"/>
      <c r="N203" s="496" t="n"/>
      <c r="O203" s="496" t="n"/>
      <c r="P203" s="496" t="n"/>
    </row>
    <row r="204" ht="20.1" customFormat="1" customHeight="1" s="190">
      <c r="A204" s="924" t="inlineStr">
        <is>
          <t>对合营企业投资</t>
        </is>
      </c>
      <c r="C204" s="1165">
        <f>'长期股权投资审定表G7-1'!C24</f>
        <v/>
      </c>
      <c r="D204" s="1165">
        <f>'长期股权投资审定表G7-1'!D24</f>
        <v/>
      </c>
      <c r="E204" s="1165">
        <f>'长期股权投资审定表G7-1'!E24</f>
        <v/>
      </c>
      <c r="F204" s="1165">
        <f>C204+D204-E204</f>
        <v/>
      </c>
      <c r="G204" s="233" t="n"/>
      <c r="H204" s="233" t="n"/>
      <c r="I204" s="233" t="n"/>
      <c r="J204" s="233" t="n"/>
      <c r="K204" s="233" t="n"/>
      <c r="L204" s="233" t="n"/>
      <c r="M204" s="496" t="n"/>
      <c r="N204" s="496" t="n"/>
      <c r="O204" s="496" t="n"/>
      <c r="P204" s="496" t="n"/>
    </row>
    <row r="205" ht="20.1" customFormat="1" customHeight="1" s="190" thickBot="1">
      <c r="A205" s="934" t="inlineStr">
        <is>
          <t>对联营企业投资</t>
        </is>
      </c>
      <c r="B205" s="1158" t="n"/>
      <c r="C205" s="1165">
        <f>'长期股权投资审定表G7-1'!C25</f>
        <v/>
      </c>
      <c r="D205" s="1165">
        <f>'长期股权投资审定表G7-1'!D25</f>
        <v/>
      </c>
      <c r="E205" s="1165">
        <f>'长期股权投资审定表G7-1'!E25</f>
        <v/>
      </c>
      <c r="F205" s="1165">
        <f>C205+D205-E205</f>
        <v/>
      </c>
      <c r="G205" s="233" t="n"/>
      <c r="H205" s="233" t="n"/>
      <c r="I205" s="233" t="n"/>
      <c r="J205" s="233" t="n"/>
      <c r="K205" s="233" t="n"/>
      <c r="L205" s="233" t="n"/>
      <c r="M205" s="496" t="n"/>
      <c r="N205" s="496" t="n"/>
      <c r="O205" s="496" t="n"/>
      <c r="P205" s="496" t="n"/>
    </row>
    <row r="206" ht="20.1" customFormat="1" customHeight="1" s="190">
      <c r="A206" s="935" t="inlineStr">
        <is>
          <t>小  计</t>
        </is>
      </c>
      <c r="B206" s="1157" t="n"/>
      <c r="C206" s="1189">
        <f>SUM(C203:C205)</f>
        <v/>
      </c>
      <c r="D206" s="1189">
        <f>SUM(D203:D205)</f>
        <v/>
      </c>
      <c r="E206" s="1189">
        <f>SUM(E203:E205)</f>
        <v/>
      </c>
      <c r="F206" s="1189">
        <f>C206+D206-E206</f>
        <v/>
      </c>
      <c r="G206" s="233" t="n"/>
      <c r="H206" s="233" t="n"/>
      <c r="I206" s="233" t="n"/>
      <c r="J206" s="233" t="n"/>
      <c r="K206" s="233" t="n"/>
      <c r="L206" s="233" t="n"/>
      <c r="M206" s="496" t="n"/>
      <c r="N206" s="496" t="n"/>
      <c r="O206" s="496" t="n"/>
      <c r="P206" s="496" t="n"/>
    </row>
    <row r="207" ht="20.1" customFormat="1" customHeight="1" s="190" thickBot="1">
      <c r="A207" s="934" t="inlineStr">
        <is>
          <t>减：长期股权投资减值准备</t>
        </is>
      </c>
      <c r="B207" s="1158" t="n"/>
      <c r="C207" s="1190">
        <f>'长期股权投资审定表G7-1'!C43</f>
        <v/>
      </c>
      <c r="D207" s="1190">
        <f>'长期股权投资审定表G7-1'!D43</f>
        <v/>
      </c>
      <c r="E207" s="1190">
        <f>'长期股权投资审定表G7-1'!E43</f>
        <v/>
      </c>
      <c r="F207" s="1190">
        <f>C207+D207-E207</f>
        <v/>
      </c>
      <c r="G207" s="233" t="n"/>
      <c r="H207" s="233" t="n"/>
      <c r="I207" s="233" t="n"/>
      <c r="J207" s="233" t="n"/>
      <c r="K207" s="233" t="n"/>
      <c r="L207" s="233" t="n"/>
      <c r="M207" s="496" t="n"/>
      <c r="N207" s="496" t="n"/>
      <c r="O207" s="496" t="n"/>
      <c r="P207" s="496" t="n"/>
    </row>
    <row r="208" ht="20.1" customFormat="1" customHeight="1" s="190">
      <c r="A208" s="936" t="inlineStr">
        <is>
          <t>合  计</t>
        </is>
      </c>
      <c r="B208" s="1157" t="n"/>
      <c r="C208" s="1188">
        <f>C206-C207</f>
        <v/>
      </c>
      <c r="D208" s="1188">
        <f>D206-D207</f>
        <v/>
      </c>
      <c r="E208" s="1188">
        <f>E206-E207</f>
        <v/>
      </c>
      <c r="F208" s="1188">
        <f>F206-F207</f>
        <v/>
      </c>
      <c r="G208" s="233" t="n"/>
      <c r="H208" s="233" t="n"/>
      <c r="I208" s="233" t="n"/>
      <c r="J208" s="233" t="n"/>
      <c r="K208" s="233" t="n"/>
      <c r="L208" s="233" t="n"/>
      <c r="M208" s="496" t="n"/>
      <c r="N208" s="496" t="n"/>
      <c r="O208" s="496" t="n"/>
      <c r="P208" s="496" t="n"/>
    </row>
    <row r="209" ht="20.1" customFormat="1" customHeight="1" s="190" thickBot="1">
      <c r="A209" s="503" t="inlineStr">
        <is>
          <t>（1）长期股权投资明细</t>
        </is>
      </c>
      <c r="B209" s="0" t="n"/>
      <c r="C209" s="0" t="n"/>
      <c r="D209" s="0" t="n"/>
      <c r="E209" s="0" t="n"/>
      <c r="F209" s="0" t="n"/>
      <c r="G209" s="0" t="n"/>
      <c r="H209" s="0" t="n"/>
      <c r="I209" s="0" t="n"/>
      <c r="J209" s="0" t="n"/>
      <c r="K209" s="0" t="n"/>
      <c r="L209" s="0" t="n"/>
      <c r="M209" s="0" t="n"/>
      <c r="N209" s="496" t="n"/>
      <c r="O209" s="496" t="n"/>
      <c r="P209" s="496" t="n"/>
    </row>
    <row r="210" ht="15.6" customFormat="1" customHeight="1" s="190">
      <c r="A210" s="1191" t="inlineStr">
        <is>
          <t>被投资单位</t>
        </is>
      </c>
      <c r="B210" s="1192" t="inlineStr">
        <is>
          <t>投资成本</t>
        </is>
      </c>
      <c r="C210" s="1145" t="inlineStr">
        <is>
          <t>期初余额</t>
        </is>
      </c>
      <c r="D210" s="910" t="inlineStr">
        <is>
          <t>本期增减变动</t>
        </is>
      </c>
      <c r="E210" s="1144" t="n"/>
      <c r="F210" s="1144" t="n"/>
      <c r="G210" s="1144" t="n"/>
      <c r="H210" s="1144" t="n"/>
      <c r="I210" s="1144" t="n"/>
      <c r="J210" s="1144" t="n"/>
      <c r="K210" s="1144" t="n"/>
      <c r="L210" s="1192" t="inlineStr">
        <is>
          <t>期末余额</t>
        </is>
      </c>
      <c r="M210" s="1192" t="inlineStr">
        <is>
          <t>减值准备期末余额</t>
        </is>
      </c>
      <c r="N210" s="496" t="n"/>
      <c r="O210" s="496" t="n"/>
      <c r="P210" s="496" t="n"/>
    </row>
    <row r="211" ht="15.6" customFormat="1" customHeight="1" s="190" thickBot="1">
      <c r="A211" s="1146" t="n"/>
      <c r="B211" s="1146" t="n"/>
      <c r="C211" s="1146" t="n"/>
      <c r="D211" s="882" t="inlineStr">
        <is>
          <t>追加投资</t>
        </is>
      </c>
      <c r="E211" s="882" t="inlineStr">
        <is>
          <t>减少投资</t>
        </is>
      </c>
      <c r="F211" s="882" t="inlineStr">
        <is>
          <t>权益法下确认的投资损益</t>
        </is>
      </c>
      <c r="G211" s="882" t="inlineStr">
        <is>
          <t>其他综合收益调整</t>
        </is>
      </c>
      <c r="H211" s="882" t="inlineStr">
        <is>
          <t>其他权益变动</t>
        </is>
      </c>
      <c r="I211" s="882" t="inlineStr">
        <is>
          <t>宣告发放现金股利或利润</t>
        </is>
      </c>
      <c r="J211" s="882" t="inlineStr">
        <is>
          <t>计提减值准备</t>
        </is>
      </c>
      <c r="K211" s="882" t="inlineStr">
        <is>
          <t>其他</t>
        </is>
      </c>
      <c r="L211" s="1146" t="n"/>
      <c r="M211" s="1146" t="n"/>
      <c r="N211" s="496" t="n"/>
      <c r="O211" s="496" t="n"/>
      <c r="P211" s="496" t="n"/>
    </row>
    <row r="212" ht="15.6" customFormat="1" customHeight="1" s="190">
      <c r="A212" s="504" t="inlineStr">
        <is>
          <t>一、合营企业</t>
        </is>
      </c>
      <c r="B212" s="424" t="n"/>
      <c r="C212" s="424" t="n"/>
      <c r="D212" s="424" t="n"/>
      <c r="E212" s="424" t="n"/>
      <c r="F212" s="424" t="n"/>
      <c r="G212" s="424" t="n"/>
      <c r="H212" s="424" t="n"/>
      <c r="I212" s="424" t="n"/>
      <c r="J212" s="424" t="n"/>
      <c r="K212" s="424" t="n"/>
      <c r="L212" s="424" t="n"/>
      <c r="M212" s="424" t="n"/>
      <c r="N212" s="496" t="n"/>
      <c r="O212" s="496" t="n"/>
      <c r="P212" s="496" t="n"/>
    </row>
    <row r="213" ht="15.6" customFormat="1" customHeight="1" s="190">
      <c r="A213" s="505" t="n"/>
      <c r="B213" s="424" t="n"/>
      <c r="C213" s="424" t="n"/>
      <c r="D213" s="424" t="n"/>
      <c r="E213" s="424" t="n"/>
      <c r="F213" s="424" t="n"/>
      <c r="G213" s="424" t="n"/>
      <c r="H213" s="424" t="n"/>
      <c r="I213" s="424" t="n"/>
      <c r="J213" s="424" t="n"/>
      <c r="K213" s="424" t="n"/>
      <c r="L213" s="424" t="n"/>
      <c r="M213" s="424" t="n"/>
      <c r="N213" s="496" t="n"/>
      <c r="O213" s="496" t="n"/>
      <c r="P213" s="496" t="n"/>
    </row>
    <row r="214" ht="15.6" customFormat="1" customHeight="1" s="190">
      <c r="A214" s="505" t="n"/>
      <c r="B214" s="424" t="n"/>
      <c r="C214" s="424" t="n"/>
      <c r="D214" s="424" t="n"/>
      <c r="E214" s="424" t="n"/>
      <c r="F214" s="424" t="n"/>
      <c r="G214" s="424" t="n"/>
      <c r="H214" s="424" t="n"/>
      <c r="I214" s="424" t="n"/>
      <c r="J214" s="424" t="n"/>
      <c r="K214" s="424" t="n"/>
      <c r="L214" s="424" t="n"/>
      <c r="M214" s="424" t="n"/>
      <c r="N214" s="496" t="n"/>
      <c r="O214" s="496" t="n"/>
      <c r="P214" s="496" t="n"/>
    </row>
    <row r="215" ht="15.6" customFormat="1" customHeight="1" s="190">
      <c r="A215" s="505" t="n"/>
      <c r="B215" s="424" t="n"/>
      <c r="C215" s="424" t="n"/>
      <c r="D215" s="424" t="n"/>
      <c r="E215" s="424" t="n"/>
      <c r="F215" s="424" t="n"/>
      <c r="G215" s="424" t="n"/>
      <c r="H215" s="424" t="n"/>
      <c r="I215" s="424" t="n"/>
      <c r="J215" s="424" t="n"/>
      <c r="K215" s="424" t="n"/>
      <c r="L215" s="424" t="n"/>
      <c r="M215" s="424" t="n"/>
      <c r="N215" s="496" t="n"/>
      <c r="O215" s="496" t="n"/>
      <c r="P215" s="496" t="n"/>
    </row>
    <row r="216" ht="15.6" customFormat="1" customHeight="1" s="190">
      <c r="A216" s="506" t="inlineStr">
        <is>
          <t>……</t>
        </is>
      </c>
      <c r="B216" s="424" t="n"/>
      <c r="C216" s="424" t="n"/>
      <c r="D216" s="424" t="n"/>
      <c r="E216" s="424" t="n"/>
      <c r="F216" s="424" t="n"/>
      <c r="G216" s="424" t="n"/>
      <c r="H216" s="424" t="n"/>
      <c r="I216" s="424" t="n"/>
      <c r="J216" s="424" t="n"/>
      <c r="K216" s="424" t="n"/>
      <c r="L216" s="424" t="n"/>
      <c r="M216" s="424" t="n"/>
      <c r="N216" s="496" t="n"/>
      <c r="O216" s="496" t="n"/>
      <c r="P216" s="496" t="n"/>
    </row>
    <row r="217" ht="15.6" customFormat="1" customHeight="1" s="190">
      <c r="A217" s="504" t="inlineStr">
        <is>
          <t>二、联营企业</t>
        </is>
      </c>
      <c r="B217" s="424" t="n"/>
      <c r="C217" s="424" t="n"/>
      <c r="D217" s="424" t="n"/>
      <c r="E217" s="424" t="n"/>
      <c r="F217" s="424" t="n"/>
      <c r="G217" s="424" t="n"/>
      <c r="H217" s="424" t="n"/>
      <c r="I217" s="424" t="n"/>
      <c r="J217" s="424" t="n"/>
      <c r="K217" s="424" t="n"/>
      <c r="L217" s="424" t="n"/>
      <c r="M217" s="424" t="n"/>
      <c r="N217" s="496" t="n"/>
      <c r="O217" s="496" t="n"/>
      <c r="P217" s="496" t="n"/>
    </row>
    <row r="218" ht="15.6" customFormat="1" customHeight="1" s="190">
      <c r="A218" s="505" t="n"/>
      <c r="B218" s="424" t="n"/>
      <c r="C218" s="424" t="n"/>
      <c r="D218" s="424" t="n"/>
      <c r="E218" s="424" t="n"/>
      <c r="F218" s="424" t="n"/>
      <c r="G218" s="424" t="n"/>
      <c r="H218" s="424" t="n"/>
      <c r="I218" s="424" t="n"/>
      <c r="J218" s="424" t="n"/>
      <c r="K218" s="424" t="n"/>
      <c r="L218" s="424" t="n"/>
      <c r="M218" s="424" t="n"/>
      <c r="N218" s="496" t="n"/>
      <c r="O218" s="496" t="n"/>
      <c r="P218" s="496" t="n"/>
    </row>
    <row r="219" ht="20.1" customFormat="1" customHeight="1" s="190">
      <c r="A219" s="505" t="n"/>
      <c r="B219" s="424" t="n"/>
      <c r="C219" s="424" t="n"/>
      <c r="D219" s="424" t="n"/>
      <c r="E219" s="424" t="n"/>
      <c r="F219" s="424" t="n"/>
      <c r="G219" s="424" t="n"/>
      <c r="H219" s="424" t="n"/>
      <c r="I219" s="424" t="n"/>
      <c r="J219" s="424" t="n"/>
      <c r="K219" s="424" t="n"/>
      <c r="L219" s="424" t="n"/>
      <c r="M219" s="424" t="n"/>
      <c r="N219" s="496" t="n"/>
      <c r="O219" s="496" t="n"/>
      <c r="P219" s="496" t="n"/>
    </row>
    <row r="220" ht="20.1" customFormat="1" customHeight="1" s="190">
      <c r="A220" s="505" t="n"/>
      <c r="B220" s="424" t="n"/>
      <c r="C220" s="424" t="n"/>
      <c r="D220" s="424" t="n"/>
      <c r="E220" s="424" t="n"/>
      <c r="F220" s="424" t="n"/>
      <c r="G220" s="424" t="n"/>
      <c r="H220" s="424" t="n"/>
      <c r="I220" s="424" t="n"/>
      <c r="J220" s="424" t="n"/>
      <c r="K220" s="424" t="n"/>
      <c r="L220" s="424" t="n"/>
      <c r="M220" s="424" t="n"/>
      <c r="N220" s="496" t="n"/>
      <c r="O220" s="496" t="n"/>
      <c r="P220" s="496" t="n"/>
    </row>
    <row r="221" ht="20.1" customFormat="1" customHeight="1" s="190" thickBot="1">
      <c r="A221" s="507" t="inlineStr">
        <is>
          <t>……</t>
        </is>
      </c>
      <c r="B221" s="427" t="n"/>
      <c r="C221" s="427" t="n"/>
      <c r="D221" s="427" t="n"/>
      <c r="E221" s="427" t="n"/>
      <c r="F221" s="427" t="n"/>
      <c r="G221" s="427" t="n"/>
      <c r="H221" s="427" t="n"/>
      <c r="I221" s="427" t="n"/>
      <c r="J221" s="427" t="n"/>
      <c r="K221" s="427" t="n"/>
      <c r="L221" s="427" t="n"/>
      <c r="M221" s="427" t="n"/>
      <c r="N221" s="496" t="n"/>
      <c r="O221" s="496" t="n"/>
      <c r="P221" s="496" t="n"/>
    </row>
    <row r="222" ht="20.1" customFormat="1" customHeight="1" s="190" thickBot="1">
      <c r="A222" s="939" t="inlineStr">
        <is>
          <t>合  计</t>
        </is>
      </c>
      <c r="B222" s="429" t="n"/>
      <c r="C222" s="429" t="n"/>
      <c r="D222" s="429" t="n"/>
      <c r="E222" s="429" t="n"/>
      <c r="F222" s="429" t="n"/>
      <c r="G222" s="429" t="n"/>
      <c r="H222" s="429" t="n"/>
      <c r="I222" s="429" t="n"/>
      <c r="J222" s="429" t="n"/>
      <c r="K222" s="429" t="n"/>
      <c r="L222" s="429" t="n"/>
      <c r="M222" s="429" t="n"/>
      <c r="N222" s="496" t="n"/>
      <c r="O222" s="496" t="n"/>
      <c r="P222" s="496" t="n"/>
    </row>
    <row r="223" ht="20.1" customFormat="1" customHeight="1" s="190">
      <c r="A223" s="509" t="inlineStr">
        <is>
          <t>（注：若对被投资单位持股比例与其在被投资单位表决权比例不一致，应说明原因。可索引至附注十一、3）</t>
        </is>
      </c>
      <c r="B223" s="0" t="n"/>
      <c r="C223" s="0" t="n"/>
      <c r="D223" s="0" t="n"/>
      <c r="E223" s="0" t="n"/>
      <c r="F223" s="0" t="n"/>
      <c r="G223" s="0" t="n"/>
      <c r="H223" s="0" t="n"/>
      <c r="I223" s="0" t="n"/>
      <c r="J223" s="0" t="n"/>
      <c r="K223" s="0" t="n"/>
      <c r="L223" s="0" t="n"/>
      <c r="M223" s="0" t="n"/>
      <c r="N223" s="496" t="n"/>
      <c r="O223" s="496" t="n"/>
      <c r="P223" s="496" t="n"/>
    </row>
    <row r="224" ht="20.1" customFormat="1" customHeight="1" s="190">
      <c r="A224" s="233" t="inlineStr">
        <is>
          <t>说明：</t>
        </is>
      </c>
      <c r="B224" s="233" t="n"/>
      <c r="C224" s="233" t="n"/>
      <c r="D224" s="233" t="n"/>
      <c r="E224" s="233" t="n"/>
      <c r="F224" s="233" t="n"/>
      <c r="G224" s="233" t="n"/>
      <c r="H224" s="233" t="n"/>
      <c r="I224" s="233" t="n"/>
      <c r="J224" s="233" t="n"/>
      <c r="K224" s="233" t="n"/>
      <c r="L224" s="233" t="n"/>
      <c r="M224" s="496" t="n"/>
      <c r="N224" s="496" t="n"/>
      <c r="O224" s="496" t="n"/>
      <c r="P224" s="496" t="n"/>
    </row>
    <row r="225" ht="20.1" customFormat="1" customHeight="1" s="190">
      <c r="A225" s="894" t="inlineStr">
        <is>
          <t>（3）重要合营企业的主要财务信息（划分为持有待售的除外）</t>
        </is>
      </c>
      <c r="M225" s="496" t="n"/>
      <c r="N225" s="496" t="n"/>
      <c r="O225" s="496" t="n"/>
      <c r="P225" s="496" t="n"/>
    </row>
    <row r="226" ht="20.1" customFormat="1" customHeight="1" s="190">
      <c r="A226" s="892" t="inlineStr">
        <is>
          <t>（主要财务信息按照权益法调整后的金额披露；）</t>
        </is>
      </c>
      <c r="M226" s="496" t="n"/>
      <c r="N226" s="496" t="n"/>
      <c r="O226" s="496" t="n"/>
      <c r="P226" s="496" t="n"/>
    </row>
    <row r="227" ht="20.1" customFormat="1" customHeight="1" s="190">
      <c r="A227" s="892" t="inlineStr">
        <is>
          <t>（“调整事项”包括投资形成的正商誉、抵消的未实现内部交易损益、减值准备等事项；）</t>
        </is>
      </c>
      <c r="M227" s="496" t="n"/>
      <c r="N227" s="496" t="n"/>
      <c r="O227" s="496" t="n"/>
      <c r="P227" s="496" t="n"/>
    </row>
    <row r="228" ht="20.1" customFormat="1" customHeight="1" s="190" thickBot="1">
      <c r="A228" s="892" t="inlineStr">
        <is>
          <t>（如果母公司为投资性主体，无需披露下列财务信息。）</t>
        </is>
      </c>
      <c r="M228" s="496" t="n"/>
      <c r="N228" s="496" t="n"/>
      <c r="O228" s="496" t="n"/>
      <c r="P228" s="496" t="n"/>
    </row>
    <row r="229" ht="20.1" customFormat="1" customHeight="1" s="190">
      <c r="A229" s="914" t="inlineStr">
        <is>
          <t>项 目</t>
        </is>
      </c>
      <c r="B229" s="1157" t="n"/>
      <c r="C229" s="901">
        <f>'被投资单位财务信息（合营、联营）G7-5'!C8</f>
        <v/>
      </c>
      <c r="D229" s="1157" t="n"/>
      <c r="E229" s="901" t="n"/>
      <c r="F229" s="1157" t="n"/>
      <c r="G229" s="901" t="n"/>
      <c r="H229" s="1157" t="n"/>
      <c r="I229" s="233" t="n"/>
      <c r="J229" s="233" t="n"/>
      <c r="K229" s="233" t="n"/>
      <c r="L229" s="233" t="n"/>
    </row>
    <row r="230" ht="20.1" customFormat="1" customHeight="1" s="190" thickBot="1">
      <c r="A230" s="1158" t="n"/>
      <c r="B230" s="1158" t="n"/>
      <c r="C230" s="891" t="inlineStr">
        <is>
          <t>期末数</t>
        </is>
      </c>
      <c r="D230" s="891" t="inlineStr">
        <is>
          <t>期初数</t>
        </is>
      </c>
      <c r="E230" s="891" t="n"/>
      <c r="F230" s="891" t="n"/>
      <c r="G230" s="891" t="n"/>
      <c r="H230" s="891" t="n"/>
      <c r="I230" s="233" t="n"/>
      <c r="J230" s="233" t="n"/>
      <c r="K230" s="233" t="n"/>
      <c r="L230" s="233" t="n"/>
    </row>
    <row r="231" ht="20.1" customFormat="1" customHeight="1" s="190">
      <c r="A231" s="930" t="inlineStr">
        <is>
          <t>流动资产</t>
        </is>
      </c>
      <c r="B231" s="1144" t="n"/>
      <c r="C231" s="1193">
        <f>'被投资单位财务信息（合营、联营）G7-5'!C10</f>
        <v/>
      </c>
      <c r="D231" s="1193">
        <f>'被投资单位财务信息（合营、联营）G7-5'!D10</f>
        <v/>
      </c>
      <c r="E231" s="1193" t="n"/>
      <c r="F231" s="1193" t="n"/>
      <c r="G231" s="1193" t="n"/>
      <c r="H231" s="1193" t="n"/>
      <c r="I231" s="233" t="n"/>
      <c r="J231" s="233" t="n"/>
      <c r="K231" s="233" t="n"/>
      <c r="L231" s="233" t="n"/>
    </row>
    <row r="232" ht="20.1" customFormat="1" customHeight="1" s="190">
      <c r="A232" s="885" t="inlineStr">
        <is>
          <t>非流动资产</t>
        </is>
      </c>
      <c r="B232" s="0" t="n"/>
      <c r="C232" s="1193">
        <f>'被投资单位财务信息（合营、联营）G7-5'!C12</f>
        <v/>
      </c>
      <c r="D232" s="1193">
        <f>'被投资单位财务信息（合营、联营）G7-5'!D12</f>
        <v/>
      </c>
      <c r="E232" s="1193" t="n"/>
      <c r="F232" s="1193" t="n"/>
      <c r="G232" s="1193" t="n"/>
      <c r="H232" s="1193" t="n"/>
      <c r="I232" s="233" t="n"/>
      <c r="J232" s="233" t="n"/>
      <c r="K232" s="233" t="n"/>
      <c r="L232" s="233" t="n"/>
    </row>
    <row r="233" ht="20.1" customFormat="1" customHeight="1" s="190">
      <c r="A233" s="931" t="inlineStr">
        <is>
          <t>资产合计</t>
        </is>
      </c>
      <c r="B233" s="0" t="n"/>
      <c r="C233" s="1194">
        <f>C231+C232</f>
        <v/>
      </c>
      <c r="D233" s="1194">
        <f>D231+D232</f>
        <v/>
      </c>
      <c r="E233" s="1194" t="n"/>
      <c r="F233" s="1194" t="n"/>
      <c r="G233" s="1194" t="n"/>
      <c r="H233" s="1194" t="n"/>
      <c r="I233" s="233" t="n"/>
      <c r="J233" s="233" t="n"/>
      <c r="K233" s="233" t="n"/>
      <c r="L233" s="233" t="n"/>
    </row>
    <row r="234" ht="20.1" customFormat="1" customHeight="1" s="190">
      <c r="A234" s="885" t="inlineStr">
        <is>
          <t>流动负债</t>
        </is>
      </c>
      <c r="B234" s="0" t="n"/>
      <c r="C234" s="1193">
        <f>'被投资单位财务信息（合营、联营）G7-5'!C14</f>
        <v/>
      </c>
      <c r="D234" s="1193">
        <f>'被投资单位财务信息（合营、联营）G7-5'!D14</f>
        <v/>
      </c>
      <c r="E234" s="1193" t="n"/>
      <c r="F234" s="1193" t="n"/>
      <c r="G234" s="1193" t="n"/>
      <c r="H234" s="1193" t="n"/>
      <c r="I234" s="233" t="n"/>
      <c r="J234" s="233" t="n"/>
      <c r="K234" s="233" t="n"/>
      <c r="L234" s="233" t="n"/>
    </row>
    <row r="235" ht="20.1" customFormat="1" customHeight="1" s="190">
      <c r="A235" s="885" t="inlineStr">
        <is>
          <t>非流动负债</t>
        </is>
      </c>
      <c r="B235" s="0" t="n"/>
      <c r="C235" s="1193">
        <f>'被投资单位财务信息（合营、联营）G7-5'!C15</f>
        <v/>
      </c>
      <c r="D235" s="1193">
        <f>'被投资单位财务信息（合营、联营）G7-5'!D15</f>
        <v/>
      </c>
      <c r="E235" s="1193" t="n"/>
      <c r="F235" s="1193" t="n"/>
      <c r="G235" s="1193" t="n"/>
      <c r="H235" s="1193" t="n"/>
      <c r="I235" s="233" t="n"/>
      <c r="J235" s="233" t="n"/>
      <c r="K235" s="233" t="n"/>
      <c r="L235" s="233" t="n"/>
    </row>
    <row r="236" ht="20.1" customFormat="1" customHeight="1" s="190">
      <c r="A236" s="931" t="inlineStr">
        <is>
          <t>负债合计</t>
        </is>
      </c>
      <c r="B236" s="0" t="n"/>
      <c r="C236" s="1193">
        <f>C234+C235</f>
        <v/>
      </c>
      <c r="D236" s="1193">
        <f>D234+D235</f>
        <v/>
      </c>
      <c r="E236" s="1193" t="n"/>
      <c r="F236" s="1193" t="n"/>
      <c r="G236" s="1193" t="n"/>
      <c r="H236" s="1193" t="n"/>
      <c r="I236" s="233" t="n"/>
      <c r="J236" s="233" t="n"/>
      <c r="K236" s="233" t="n"/>
      <c r="L236" s="233" t="n"/>
    </row>
    <row r="237" ht="20.1" customFormat="1" customHeight="1" s="190">
      <c r="A237" s="885" t="inlineStr">
        <is>
          <t>净资产</t>
        </is>
      </c>
      <c r="B237" s="0" t="n"/>
      <c r="C237" s="1193">
        <f>C233-C236</f>
        <v/>
      </c>
      <c r="D237" s="1193">
        <f>D233-D236</f>
        <v/>
      </c>
      <c r="E237" s="1193" t="n"/>
      <c r="F237" s="1193" t="n"/>
      <c r="G237" s="1193" t="n"/>
      <c r="H237" s="1193" t="n"/>
      <c r="I237" s="233" t="n"/>
      <c r="J237" s="233" t="n"/>
      <c r="K237" s="233" t="n"/>
      <c r="L237" s="233" t="n"/>
    </row>
    <row r="238" ht="20.1" customFormat="1" customHeight="1" s="190">
      <c r="A238" s="885" t="inlineStr">
        <is>
          <t>按持股比例计算的净资产份额</t>
        </is>
      </c>
      <c r="B238" s="0" t="n"/>
      <c r="C238" s="1193">
        <f>'被投资单位财务信息（合营、联营）G7-5'!C21</f>
        <v/>
      </c>
      <c r="D238" s="1193">
        <f>'被投资单位财务信息（合营、联营）G7-5'!D21</f>
        <v/>
      </c>
      <c r="E238" s="1193" t="n"/>
      <c r="F238" s="1193" t="n"/>
      <c r="G238" s="1193" t="n"/>
      <c r="H238" s="1193" t="n"/>
      <c r="I238" s="233" t="n"/>
      <c r="J238" s="233" t="n"/>
      <c r="K238" s="233" t="n"/>
      <c r="L238" s="233" t="n"/>
    </row>
    <row r="239" ht="20.1" customFormat="1" customHeight="1" s="190">
      <c r="A239" s="885" t="inlineStr">
        <is>
          <t>调整事项</t>
        </is>
      </c>
      <c r="B239" s="0" t="n"/>
      <c r="C239" s="1193">
        <f>'被投资单位财务信息（合营、联营）G7-5'!C22</f>
        <v/>
      </c>
      <c r="D239" s="1193">
        <f>'被投资单位财务信息（合营、联营）G7-5'!D22</f>
        <v/>
      </c>
      <c r="E239" s="1193" t="n"/>
      <c r="F239" s="1193" t="n"/>
      <c r="G239" s="1193" t="n"/>
      <c r="H239" s="1193" t="n"/>
      <c r="I239" s="233" t="n"/>
      <c r="J239" s="233" t="n"/>
      <c r="K239" s="233" t="n"/>
      <c r="L239" s="233" t="n"/>
    </row>
    <row r="240" ht="36" customFormat="1" customHeight="1" s="190">
      <c r="A240" s="931" t="inlineStr">
        <is>
          <t xml:space="preserve">对合营企业权益投资的账面价值 </t>
        </is>
      </c>
      <c r="B240" s="0" t="n"/>
      <c r="C240" s="1193">
        <f>'被投资单位财务信息（合营、联营）G7-5'!C27</f>
        <v/>
      </c>
      <c r="D240" s="1193">
        <f>'被投资单位财务信息（合营、联营）G7-5'!D27</f>
        <v/>
      </c>
      <c r="E240" s="1193" t="n"/>
      <c r="F240" s="1193" t="n"/>
      <c r="G240" s="1193" t="n"/>
      <c r="H240" s="1193" t="n"/>
      <c r="I240" s="233" t="n"/>
      <c r="J240" s="233" t="n"/>
      <c r="K240" s="233" t="n"/>
      <c r="L240" s="233" t="n"/>
    </row>
    <row r="241" ht="33" customFormat="1" customHeight="1" s="190" thickBot="1">
      <c r="A241" s="928" t="inlineStr">
        <is>
          <t xml:space="preserve">存在公开报价的权益投资的公允价值 </t>
        </is>
      </c>
      <c r="B241" s="1146" t="n"/>
      <c r="C241" s="1195">
        <f>'被投资单位财务信息（合营、联营）G7-5'!C28</f>
        <v/>
      </c>
      <c r="D241" s="1195">
        <f>'被投资单位财务信息（合营、联营）G7-5'!D28</f>
        <v/>
      </c>
      <c r="E241" s="1195" t="n"/>
      <c r="F241" s="1195" t="n"/>
      <c r="G241" s="1195" t="n"/>
      <c r="H241" s="1195" t="n"/>
      <c r="I241" s="233" t="n"/>
      <c r="J241" s="233" t="n"/>
      <c r="K241" s="233" t="n"/>
      <c r="L241" s="233" t="n"/>
    </row>
    <row r="242" ht="20.1" customFormat="1" customHeight="1" s="190" thickBot="1">
      <c r="A242" s="892" t="inlineStr">
        <is>
          <t>续：</t>
        </is>
      </c>
      <c r="B242" s="514" t="n"/>
      <c r="C242" s="233" t="n"/>
      <c r="D242" s="233" t="n"/>
      <c r="E242" s="233" t="n"/>
      <c r="F242" s="233" t="n"/>
      <c r="G242" s="233" t="n"/>
      <c r="H242" s="233" t="n"/>
      <c r="I242" s="233" t="n"/>
      <c r="J242" s="233" t="n"/>
      <c r="K242" s="233" t="n"/>
      <c r="L242" s="233" t="n"/>
      <c r="M242" s="496" t="n"/>
      <c r="N242" s="496" t="n"/>
      <c r="O242" s="496" t="n"/>
      <c r="P242" s="496" t="n"/>
    </row>
    <row r="243" ht="20.1" customFormat="1" customHeight="1" s="190">
      <c r="A243" s="914" t="inlineStr">
        <is>
          <t>项  目</t>
        </is>
      </c>
      <c r="B243" s="1157" t="n"/>
      <c r="C243" s="901">
        <f>'被投资单位财务信息（合营、联营）G7-5'!C8</f>
        <v/>
      </c>
      <c r="D243" s="1157" t="n"/>
      <c r="E243" s="901" t="n"/>
      <c r="F243" s="1157" t="n"/>
      <c r="G243" s="901" t="n"/>
      <c r="H243" s="1157" t="n"/>
      <c r="I243" s="440" t="n"/>
      <c r="J243" s="440" t="n"/>
      <c r="K243" s="440" t="n"/>
      <c r="L243" s="440" t="n"/>
    </row>
    <row r="244" ht="20.1" customFormat="1" customHeight="1" s="190" thickBot="1">
      <c r="A244" s="1158" t="n"/>
      <c r="B244" s="1158" t="n"/>
      <c r="C244" s="891" t="inlineStr">
        <is>
          <t>本期发生额</t>
        </is>
      </c>
      <c r="D244" s="891" t="inlineStr">
        <is>
          <t>上期发生额</t>
        </is>
      </c>
      <c r="E244" s="891" t="n"/>
      <c r="F244" s="891" t="n"/>
      <c r="G244" s="891" t="n"/>
      <c r="H244" s="891" t="n"/>
      <c r="I244" s="440" t="n"/>
      <c r="J244" s="440" t="n"/>
      <c r="K244" s="440" t="n"/>
      <c r="L244" s="440" t="n"/>
    </row>
    <row r="245" ht="20.1" customFormat="1" customHeight="1" s="190">
      <c r="A245" s="930" t="inlineStr">
        <is>
          <t>营业收入</t>
        </is>
      </c>
      <c r="B245" s="1144" t="n"/>
      <c r="C245" s="1196">
        <f>'被投资单位财务信息（合营、联营）G7-5'!C29</f>
        <v/>
      </c>
      <c r="D245" s="1196">
        <f>'被投资单位财务信息（合营、联营）G7-5'!D29</f>
        <v/>
      </c>
      <c r="E245" s="1196" t="n"/>
      <c r="F245" s="1196" t="n"/>
      <c r="G245" s="1196" t="n"/>
      <c r="H245" s="1196" t="n"/>
      <c r="I245" s="440" t="n"/>
      <c r="J245" s="440" t="n"/>
      <c r="K245" s="440" t="n"/>
      <c r="L245" s="440" t="n"/>
    </row>
    <row r="246" ht="20.1" customFormat="1" customHeight="1" s="190">
      <c r="A246" s="885" t="inlineStr">
        <is>
          <t>财务费用</t>
        </is>
      </c>
      <c r="B246" s="0" t="n"/>
      <c r="C246" s="1197">
        <f>'被投资单位财务信息（合营、联营）G7-5'!C30</f>
        <v/>
      </c>
      <c r="D246" s="1197">
        <f>'被投资单位财务信息（合营、联营）G7-5'!D30</f>
        <v/>
      </c>
      <c r="E246" s="1197" t="n"/>
      <c r="F246" s="1197" t="n"/>
      <c r="G246" s="1197" t="n"/>
      <c r="H246" s="1197" t="n"/>
      <c r="I246" s="440" t="n"/>
      <c r="J246" s="440" t="n"/>
      <c r="K246" s="440" t="n"/>
      <c r="L246" s="440" t="n"/>
    </row>
    <row r="247" ht="20.1" customFormat="1" customHeight="1" s="190">
      <c r="A247" s="885" t="inlineStr">
        <is>
          <t>所得税费用</t>
        </is>
      </c>
      <c r="B247" s="0" t="n"/>
      <c r="C247" s="1197">
        <f>'被投资单位财务信息（合营、联营）G7-5'!C31</f>
        <v/>
      </c>
      <c r="D247" s="1197">
        <f>'被投资单位财务信息（合营、联营）G7-5'!D31</f>
        <v/>
      </c>
      <c r="E247" s="1197" t="n"/>
      <c r="F247" s="1197" t="n"/>
      <c r="G247" s="1197" t="n"/>
      <c r="H247" s="1197" t="n"/>
      <c r="I247" s="440" t="n"/>
      <c r="J247" s="440" t="n"/>
      <c r="K247" s="440" t="n"/>
      <c r="L247" s="440" t="n"/>
    </row>
    <row r="248" ht="20.1" customFormat="1" customHeight="1" s="190">
      <c r="A248" s="885" t="inlineStr">
        <is>
          <t>净利润</t>
        </is>
      </c>
      <c r="B248" s="0" t="n"/>
      <c r="C248" s="1197">
        <f>'被投资单位财务信息（合营、联营）G7-5'!C32</f>
        <v/>
      </c>
      <c r="D248" s="1197">
        <f>'被投资单位财务信息（合营、联营）G7-5'!D32</f>
        <v/>
      </c>
      <c r="E248" s="1197" t="n"/>
      <c r="F248" s="1197" t="n"/>
      <c r="G248" s="1197" t="n"/>
      <c r="H248" s="1197" t="n"/>
      <c r="I248" s="440" t="n"/>
      <c r="J248" s="440" t="n"/>
      <c r="K248" s="440" t="n"/>
      <c r="L248" s="440" t="n"/>
    </row>
    <row r="249" ht="20.1" customFormat="1" customHeight="1" s="190">
      <c r="A249" s="885" t="inlineStr">
        <is>
          <t>其他综合收益</t>
        </is>
      </c>
      <c r="B249" s="0" t="n"/>
      <c r="C249" s="1197">
        <f>'被投资单位财务信息（合营、联营）G7-5'!C34</f>
        <v/>
      </c>
      <c r="D249" s="1197">
        <f>'被投资单位财务信息（合营、联营）G7-5'!D34</f>
        <v/>
      </c>
      <c r="E249" s="1197" t="n"/>
      <c r="F249" s="1197" t="n"/>
      <c r="G249" s="1197" t="n"/>
      <c r="H249" s="1197" t="n"/>
      <c r="I249" s="440" t="n"/>
      <c r="J249" s="440" t="n"/>
      <c r="K249" s="440" t="n"/>
      <c r="L249" s="440" t="n"/>
    </row>
    <row r="250" ht="20.1" customFormat="1" customHeight="1" s="190">
      <c r="A250" s="885" t="inlineStr">
        <is>
          <t>综合收益总额</t>
        </is>
      </c>
      <c r="B250" s="0" t="n"/>
      <c r="C250" s="1197">
        <f>'被投资单位财务信息（合营、联营）G7-5'!C35</f>
        <v/>
      </c>
      <c r="D250" s="1197">
        <f>'被投资单位财务信息（合营、联营）G7-5'!D35</f>
        <v/>
      </c>
      <c r="E250" s="1197" t="n"/>
      <c r="F250" s="1197" t="n"/>
      <c r="G250" s="1197" t="n"/>
      <c r="H250" s="1197" t="n"/>
      <c r="I250" s="440" t="n"/>
      <c r="J250" s="440" t="n"/>
      <c r="K250" s="440" t="n"/>
      <c r="L250" s="440" t="n"/>
    </row>
    <row r="251" ht="20.1" customFormat="1" customHeight="1" s="190" thickBot="1">
      <c r="A251" s="928" t="inlineStr">
        <is>
          <t>企业本期收到的来自合营企业的股利</t>
        </is>
      </c>
      <c r="B251" s="1146" t="n"/>
      <c r="C251" s="1198">
        <f>'被投资单位财务信息（合营、联营）G7-5'!C36</f>
        <v/>
      </c>
      <c r="D251" s="1198">
        <f>'被投资单位财务信息（合营、联营）G7-5'!D36</f>
        <v/>
      </c>
      <c r="E251" s="1198" t="n"/>
      <c r="F251" s="1198" t="n"/>
      <c r="G251" s="1198" t="n"/>
      <c r="H251" s="1198" t="n"/>
      <c r="I251" s="440" t="n"/>
      <c r="J251" s="440" t="n"/>
      <c r="K251" s="440" t="n"/>
      <c r="L251" s="440" t="n"/>
    </row>
    <row r="252" ht="20.1" customFormat="1" customHeight="1" s="190">
      <c r="A252" s="892" t="inlineStr">
        <is>
          <t>（注：存在终止经营的净利润的，应在本表中单列项目披露）</t>
        </is>
      </c>
      <c r="M252" s="496" t="n"/>
      <c r="N252" s="496" t="n"/>
      <c r="O252" s="496" t="n"/>
      <c r="P252" s="496" t="n"/>
    </row>
    <row r="253" ht="20.1" customFormat="1" customHeight="1" s="190">
      <c r="A253" s="894" t="inlineStr">
        <is>
          <t>（4）重要联营企业的主要财务信息</t>
        </is>
      </c>
      <c r="M253" s="496" t="n"/>
      <c r="N253" s="496" t="n"/>
      <c r="O253" s="496" t="n"/>
      <c r="P253" s="496" t="n"/>
    </row>
    <row r="254" ht="20.1" customFormat="1" customHeight="1" s="190">
      <c r="A254" s="892" t="inlineStr">
        <is>
          <t>（主要财务信息按照权益法调整后的金额披露；）</t>
        </is>
      </c>
      <c r="M254" s="496" t="n"/>
      <c r="N254" s="496" t="n"/>
      <c r="O254" s="496" t="n"/>
      <c r="P254" s="496" t="n"/>
    </row>
    <row r="255" ht="20.1" customFormat="1" customHeight="1" s="190">
      <c r="A255" s="892" t="inlineStr">
        <is>
          <t>（“调整事项”包括投资形成的正商誉、抵消的未实现内部交易损益 、减值准备等事项；）</t>
        </is>
      </c>
      <c r="M255" s="496" t="n"/>
      <c r="N255" s="496" t="n"/>
      <c r="O255" s="496" t="n"/>
      <c r="P255" s="496" t="n"/>
    </row>
    <row r="256" ht="20.1" customFormat="1" customHeight="1" s="190" thickBot="1">
      <c r="A256" s="900" t="inlineStr">
        <is>
          <t>（如果母公司为投资性主体，无需披露下列财务信息。）</t>
        </is>
      </c>
      <c r="B256" s="1158" t="n"/>
      <c r="C256" s="1158" t="n"/>
      <c r="D256" s="1158" t="n"/>
      <c r="E256" s="1158" t="n"/>
      <c r="F256" s="1158" t="n"/>
      <c r="G256" s="1158" t="n"/>
      <c r="H256" s="1158" t="n"/>
      <c r="I256" s="1158" t="n"/>
      <c r="J256" s="1158" t="n"/>
      <c r="K256" s="1158" t="n"/>
      <c r="L256" s="1158" t="n"/>
      <c r="M256" s="496" t="n"/>
      <c r="N256" s="496" t="n"/>
      <c r="O256" s="496" t="n"/>
      <c r="P256" s="496" t="n"/>
    </row>
    <row r="257" ht="20.1" customFormat="1" customHeight="1" s="190">
      <c r="A257" s="914" t="inlineStr">
        <is>
          <t>项  目</t>
        </is>
      </c>
      <c r="B257" s="1157" t="n"/>
      <c r="C257" s="901">
        <f>'被投资单位财务信息（合营、联营）G7-5'!E8</f>
        <v/>
      </c>
      <c r="D257" s="1157" t="n"/>
      <c r="E257" s="901">
        <f>'被投资单位财务信息（合营、联营）G7-5'!G8</f>
        <v/>
      </c>
      <c r="F257" s="1157" t="n"/>
      <c r="G257" s="901">
        <f>'被投资单位财务信息（合营、联营）G7-5'!I8</f>
        <v/>
      </c>
      <c r="H257" s="1157" t="n"/>
      <c r="I257" s="440" t="n"/>
      <c r="J257" s="440" t="n"/>
      <c r="K257" s="440" t="n"/>
      <c r="L257" s="440" t="n"/>
    </row>
    <row r="258" ht="20.1" customFormat="1" customHeight="1" s="190" thickBot="1">
      <c r="A258" s="1158" t="n"/>
      <c r="B258" s="1158" t="n"/>
      <c r="C258" s="891" t="inlineStr">
        <is>
          <t>期末数</t>
        </is>
      </c>
      <c r="D258" s="891" t="inlineStr">
        <is>
          <t>期初数</t>
        </is>
      </c>
      <c r="E258" s="891" t="inlineStr">
        <is>
          <t>期末数</t>
        </is>
      </c>
      <c r="F258" s="891" t="inlineStr">
        <is>
          <t>期初数</t>
        </is>
      </c>
      <c r="G258" s="891" t="inlineStr">
        <is>
          <t>期末数</t>
        </is>
      </c>
      <c r="H258" s="891" t="inlineStr">
        <is>
          <t>期初数</t>
        </is>
      </c>
      <c r="I258" s="440" t="n"/>
      <c r="J258" s="440" t="n"/>
      <c r="K258" s="440" t="n"/>
      <c r="L258" s="440" t="n"/>
    </row>
    <row r="259" ht="20.1" customFormat="1" customHeight="1" s="190">
      <c r="A259" s="930" t="inlineStr">
        <is>
          <t>流动资产</t>
        </is>
      </c>
      <c r="B259" s="1144" t="n"/>
      <c r="C259" s="1199">
        <f>'被投资单位财务信息（合营、联营）G7-5'!E10</f>
        <v/>
      </c>
      <c r="D259" s="1199">
        <f>'被投资单位财务信息（合营、联营）G7-5'!F10</f>
        <v/>
      </c>
      <c r="E259" s="1199">
        <f>'被投资单位财务信息（合营、联营）G7-5'!G10</f>
        <v/>
      </c>
      <c r="F259" s="1199">
        <f>'被投资单位财务信息（合营、联营）G7-5'!H10</f>
        <v/>
      </c>
      <c r="G259" s="1199">
        <f>'被投资单位财务信息（合营、联营）G7-5'!I10</f>
        <v/>
      </c>
      <c r="H259" s="1199">
        <f>'被投资单位财务信息（合营、联营）G7-5'!J10</f>
        <v/>
      </c>
      <c r="I259" s="440" t="n"/>
      <c r="J259" s="440" t="n"/>
      <c r="K259" s="440" t="n"/>
      <c r="L259" s="440" t="n"/>
    </row>
    <row r="260" ht="20.1" customFormat="1" customHeight="1" s="190">
      <c r="A260" s="885" t="inlineStr">
        <is>
          <t>非流动资产</t>
        </is>
      </c>
      <c r="B260" s="0" t="n"/>
      <c r="C260" s="1200">
        <f>'被投资单位财务信息（合营、联营）G7-5'!C12</f>
        <v/>
      </c>
      <c r="D260" s="1200">
        <f>'被投资单位财务信息（合营、联营）G7-5'!D12</f>
        <v/>
      </c>
      <c r="E260" s="1200" t="n"/>
      <c r="F260" s="1200" t="n"/>
      <c r="G260" s="1200" t="n"/>
      <c r="H260" s="1200" t="n"/>
      <c r="I260" s="440" t="n"/>
      <c r="J260" s="440" t="n"/>
      <c r="K260" s="440" t="n"/>
      <c r="L260" s="440" t="n"/>
    </row>
    <row r="261" ht="20.1" customFormat="1" customHeight="1" s="190">
      <c r="A261" s="931" t="inlineStr">
        <is>
          <t>资产合计</t>
        </is>
      </c>
      <c r="B261" s="0" t="n"/>
      <c r="C261" s="1201">
        <f>C259+C260</f>
        <v/>
      </c>
      <c r="D261" s="1201">
        <f>D259+D260</f>
        <v/>
      </c>
      <c r="E261" s="1201" t="n"/>
      <c r="F261" s="1201" t="n"/>
      <c r="G261" s="1201" t="n"/>
      <c r="H261" s="1201" t="n"/>
      <c r="I261" s="440" t="n"/>
      <c r="J261" s="440" t="n"/>
      <c r="K261" s="440" t="n"/>
      <c r="L261" s="440" t="n"/>
    </row>
    <row r="262" ht="20.1" customFormat="1" customHeight="1" s="190">
      <c r="A262" s="885" t="inlineStr">
        <is>
          <t>流动负债</t>
        </is>
      </c>
      <c r="B262" s="0" t="n"/>
      <c r="C262" s="1200">
        <f>'被投资单位财务信息（合营、联营）G7-5'!E14</f>
        <v/>
      </c>
      <c r="D262" s="1200">
        <f>'被投资单位财务信息（合营、联营）G7-5'!F14</f>
        <v/>
      </c>
      <c r="E262" s="1200" t="n"/>
      <c r="F262" s="1200" t="n"/>
      <c r="G262" s="1200" t="n"/>
      <c r="H262" s="1200" t="n"/>
      <c r="I262" s="440" t="n"/>
      <c r="J262" s="440" t="n"/>
      <c r="K262" s="440" t="n"/>
      <c r="L262" s="440" t="n"/>
    </row>
    <row r="263" ht="20.1" customFormat="1" customHeight="1" s="190">
      <c r="A263" s="885" t="inlineStr">
        <is>
          <t>非流动负债</t>
        </is>
      </c>
      <c r="B263" s="0" t="n"/>
      <c r="C263" s="1200">
        <f>'被投资单位财务信息（合营、联营）G7-5'!E15</f>
        <v/>
      </c>
      <c r="D263" s="1200">
        <f>'被投资单位财务信息（合营、联营）G7-5'!F15</f>
        <v/>
      </c>
      <c r="E263" s="1200" t="n"/>
      <c r="F263" s="1200" t="n"/>
      <c r="G263" s="1200" t="n"/>
      <c r="H263" s="1200" t="n"/>
      <c r="I263" s="440" t="n"/>
      <c r="J263" s="440" t="n"/>
      <c r="K263" s="440" t="n"/>
      <c r="L263" s="440" t="n"/>
    </row>
    <row r="264" ht="20.1" customFormat="1" customHeight="1" s="190">
      <c r="A264" s="931" t="inlineStr">
        <is>
          <t>负债合计</t>
        </is>
      </c>
      <c r="B264" s="0" t="n"/>
      <c r="C264" s="1201">
        <f>C262+C263</f>
        <v/>
      </c>
      <c r="D264" s="1201">
        <f>D262+D263</f>
        <v/>
      </c>
      <c r="E264" s="1201" t="n"/>
      <c r="F264" s="1201" t="n"/>
      <c r="G264" s="1201" t="n"/>
      <c r="H264" s="1201" t="n"/>
      <c r="I264" s="440" t="n"/>
      <c r="J264" s="440" t="n"/>
      <c r="K264" s="440" t="n"/>
      <c r="L264" s="440" t="n"/>
    </row>
    <row r="265" ht="20.1" customFormat="1" customHeight="1" s="190">
      <c r="A265" s="885" t="inlineStr">
        <is>
          <t>净资产</t>
        </is>
      </c>
      <c r="B265" s="0" t="n"/>
      <c r="C265" s="1200">
        <f>C261-C264</f>
        <v/>
      </c>
      <c r="D265" s="1200">
        <f>D261-D264</f>
        <v/>
      </c>
      <c r="E265" s="1200" t="n"/>
      <c r="F265" s="1200" t="n"/>
      <c r="G265" s="1200" t="n"/>
      <c r="H265" s="1200" t="n"/>
      <c r="I265" s="440" t="n"/>
      <c r="J265" s="440" t="n"/>
      <c r="K265" s="440" t="n"/>
      <c r="L265" s="440" t="n"/>
    </row>
    <row r="266" ht="20.1" customFormat="1" customHeight="1" s="190">
      <c r="A266" s="885" t="inlineStr">
        <is>
          <t>按持股比例计算的净资产份额</t>
        </is>
      </c>
      <c r="B266" s="0" t="n"/>
      <c r="C266" s="1200">
        <f>'被投资单位财务信息（合营、联营）G7-5'!E21</f>
        <v/>
      </c>
      <c r="D266" s="1200">
        <f>'被投资单位财务信息（合营、联营）G7-5'!F21</f>
        <v/>
      </c>
      <c r="E266" s="1200" t="n"/>
      <c r="F266" s="1200" t="n"/>
      <c r="G266" s="1200" t="n"/>
      <c r="H266" s="1200" t="n"/>
      <c r="I266" s="440" t="n"/>
      <c r="J266" s="440" t="n"/>
      <c r="K266" s="440" t="n"/>
      <c r="L266" s="440" t="n"/>
    </row>
    <row r="267" ht="20.1" customFormat="1" customHeight="1" s="190">
      <c r="A267" s="885" t="inlineStr">
        <is>
          <t>调整事项</t>
        </is>
      </c>
      <c r="B267" s="0" t="n"/>
      <c r="C267" s="1200">
        <f>'被投资单位财务信息（合营、联营）G7-5'!E22</f>
        <v/>
      </c>
      <c r="D267" s="1200">
        <f>'被投资单位财务信息（合营、联营）G7-5'!F22</f>
        <v/>
      </c>
      <c r="E267" s="1200" t="n"/>
      <c r="F267" s="1200" t="n"/>
      <c r="G267" s="1200" t="n"/>
      <c r="H267" s="1200" t="n"/>
      <c r="I267" s="440" t="n"/>
      <c r="J267" s="440" t="n"/>
      <c r="K267" s="440" t="n"/>
      <c r="L267" s="440" t="n"/>
    </row>
    <row r="268" ht="20.1" customFormat="1" customHeight="1" s="190">
      <c r="A268" s="931" t="inlineStr">
        <is>
          <t xml:space="preserve">对合营企业权益投资的账面价值 </t>
        </is>
      </c>
      <c r="B268" s="0" t="n"/>
      <c r="C268" s="1201">
        <f>'被投资单位财务信息（合营、联营）G7-5'!E27</f>
        <v/>
      </c>
      <c r="D268" s="1201">
        <f>'被投资单位财务信息（合营、联营）G7-5'!F27</f>
        <v/>
      </c>
      <c r="E268" s="1201" t="n"/>
      <c r="F268" s="1201" t="n"/>
      <c r="G268" s="1201" t="n"/>
      <c r="H268" s="1201" t="n"/>
      <c r="I268" s="440" t="n"/>
      <c r="J268" s="440" t="n"/>
      <c r="K268" s="440" t="n"/>
      <c r="L268" s="440" t="n"/>
    </row>
    <row r="269" ht="31.5" customFormat="1" customHeight="1" s="190" thickBot="1">
      <c r="A269" s="928" t="inlineStr">
        <is>
          <t xml:space="preserve">存在公开报价的权益投资的公允价值 </t>
        </is>
      </c>
      <c r="B269" s="1146" t="n"/>
      <c r="C269" s="1202">
        <f>'被投资单位财务信息（合营、联营）G7-5'!E28</f>
        <v/>
      </c>
      <c r="D269" s="1202">
        <f>'被投资单位财务信息（合营、联营）G7-5'!F28</f>
        <v/>
      </c>
      <c r="E269" s="1202" t="n"/>
      <c r="F269" s="1202" t="n"/>
      <c r="G269" s="1202" t="n"/>
      <c r="H269" s="1202" t="n"/>
      <c r="I269" s="440" t="n"/>
      <c r="J269" s="440" t="n"/>
      <c r="K269" s="440" t="n"/>
      <c r="L269" s="440" t="n"/>
    </row>
    <row r="270" ht="20.1" customFormat="1" customHeight="1" s="190" thickBot="1">
      <c r="A270" s="892" t="inlineStr">
        <is>
          <t>续：</t>
        </is>
      </c>
      <c r="B270" s="514" t="n"/>
      <c r="C270" s="233" t="n"/>
      <c r="D270" s="233" t="n"/>
      <c r="E270" s="233" t="n"/>
      <c r="F270" s="233" t="n"/>
      <c r="G270" s="233" t="n"/>
      <c r="H270" s="233" t="n"/>
      <c r="I270" s="440" t="n"/>
      <c r="J270" s="440" t="n"/>
      <c r="K270" s="440" t="n"/>
      <c r="L270" s="440" t="n"/>
    </row>
    <row r="271" ht="20.1" customFormat="1" customHeight="1" s="190">
      <c r="A271" s="914" t="inlineStr">
        <is>
          <t>项  目</t>
        </is>
      </c>
      <c r="B271" s="1157" t="n"/>
      <c r="C271" s="901">
        <f>'被投资单位财务信息（合营、联营）G7-5'!E8</f>
        <v/>
      </c>
      <c r="D271" s="1157" t="n"/>
      <c r="E271" s="901">
        <f>'被投资单位财务信息（合营、联营）G7-5'!G8</f>
        <v/>
      </c>
      <c r="F271" s="1157" t="n"/>
      <c r="G271" s="901">
        <f>'被投资单位财务信息（合营、联营）G7-5'!I8</f>
        <v/>
      </c>
      <c r="H271" s="1157" t="n"/>
      <c r="I271" s="233" t="n"/>
      <c r="J271" s="440" t="n"/>
      <c r="K271" s="440" t="n"/>
      <c r="L271" s="440" t="n"/>
    </row>
    <row r="272" ht="20.1" customFormat="1" customHeight="1" s="190" thickBot="1">
      <c r="A272" s="1158" t="n"/>
      <c r="B272" s="1158" t="n"/>
      <c r="C272" s="891" t="inlineStr">
        <is>
          <t>本期发生额</t>
        </is>
      </c>
      <c r="D272" s="891" t="inlineStr">
        <is>
          <t>上期发生额</t>
        </is>
      </c>
      <c r="E272" s="891" t="inlineStr">
        <is>
          <t>本期发生额</t>
        </is>
      </c>
      <c r="F272" s="891" t="inlineStr">
        <is>
          <t>上期发生额</t>
        </is>
      </c>
      <c r="G272" s="891" t="inlineStr">
        <is>
          <t>本期发生额</t>
        </is>
      </c>
      <c r="H272" s="891" t="inlineStr">
        <is>
          <t>上期发生额</t>
        </is>
      </c>
      <c r="I272" s="233" t="n"/>
      <c r="J272" s="440" t="n"/>
      <c r="K272" s="440" t="n"/>
      <c r="L272" s="440" t="n"/>
    </row>
    <row r="273" ht="20.1" customFormat="1" customHeight="1" s="190">
      <c r="A273" s="929" t="inlineStr">
        <is>
          <t>营业收入</t>
        </is>
      </c>
      <c r="B273" s="1157" t="n"/>
      <c r="C273" s="1199">
        <f>'被投资单位财务信息（合营、联营）G7-5'!E29</f>
        <v/>
      </c>
      <c r="D273" s="1199">
        <f>'被投资单位财务信息（合营、联营）G7-5'!F29</f>
        <v/>
      </c>
      <c r="E273" s="1199">
        <f>'被投资单位财务信息（合营、联营）G7-5'!G29</f>
        <v/>
      </c>
      <c r="F273" s="1199">
        <f>'被投资单位财务信息（合营、联营）G7-5'!H29</f>
        <v/>
      </c>
      <c r="G273" s="1199">
        <f>'被投资单位财务信息（合营、联营）G7-5'!I29</f>
        <v/>
      </c>
      <c r="H273" s="1199">
        <f>'被投资单位财务信息（合营、联营）G7-5'!J29</f>
        <v/>
      </c>
      <c r="I273" s="233" t="n"/>
      <c r="J273" s="440" t="n"/>
      <c r="K273" s="440" t="n"/>
      <c r="L273" s="440" t="n"/>
    </row>
    <row r="274" ht="20.1" customFormat="1" customHeight="1" s="190">
      <c r="A274" s="893" t="inlineStr">
        <is>
          <t>净利润</t>
        </is>
      </c>
      <c r="C274" s="1200">
        <f>'被投资单位财务信息（合营、联营）G7-5'!E32</f>
        <v/>
      </c>
      <c r="D274" s="1200">
        <f>'被投资单位财务信息（合营、联营）G7-5'!F32</f>
        <v/>
      </c>
      <c r="E274" s="1200">
        <f>'被投资单位财务信息（合营、联营）G7-5'!G32</f>
        <v/>
      </c>
      <c r="F274" s="1200">
        <f>'被投资单位财务信息（合营、联营）G7-5'!H32</f>
        <v/>
      </c>
      <c r="G274" s="1200">
        <f>'被投资单位财务信息（合营、联营）G7-5'!I32</f>
        <v/>
      </c>
      <c r="H274" s="1200">
        <f>'被投资单位财务信息（合营、联营）G7-5'!J32</f>
        <v/>
      </c>
      <c r="I274" s="233" t="n"/>
      <c r="J274" s="440" t="n"/>
      <c r="K274" s="440" t="n"/>
      <c r="L274" s="440" t="n"/>
    </row>
    <row r="275" ht="20.1" customFormat="1" customHeight="1" s="190">
      <c r="A275" s="893" t="inlineStr">
        <is>
          <t>其他综合收益</t>
        </is>
      </c>
      <c r="C275" s="1200">
        <f>'被投资单位财务信息（合营、联营）G7-5'!E34</f>
        <v/>
      </c>
      <c r="D275" s="1200">
        <f>'被投资单位财务信息（合营、联营）G7-5'!F34</f>
        <v/>
      </c>
      <c r="E275" s="1200">
        <f>'被投资单位财务信息（合营、联营）G7-5'!G34</f>
        <v/>
      </c>
      <c r="F275" s="1200">
        <f>'被投资单位财务信息（合营、联营）G7-5'!H34</f>
        <v/>
      </c>
      <c r="G275" s="1200">
        <f>'被投资单位财务信息（合营、联营）G7-5'!I34</f>
        <v/>
      </c>
      <c r="H275" s="1200">
        <f>'被投资单位财务信息（合营、联营）G7-5'!J34</f>
        <v/>
      </c>
      <c r="I275" s="233" t="n"/>
      <c r="J275" s="440" t="n"/>
      <c r="K275" s="440" t="n"/>
      <c r="L275" s="440" t="n"/>
    </row>
    <row r="276" ht="20.1" customFormat="1" customHeight="1" s="190">
      <c r="A276" s="893" t="inlineStr">
        <is>
          <t>综合收益总额</t>
        </is>
      </c>
      <c r="C276" s="1200">
        <f>'被投资单位财务信息（合营、联营）G7-5'!E35</f>
        <v/>
      </c>
      <c r="D276" s="1200">
        <f>'被投资单位财务信息（合营、联营）G7-5'!F35</f>
        <v/>
      </c>
      <c r="E276" s="1200">
        <f>'被投资单位财务信息（合营、联营）G7-5'!G35</f>
        <v/>
      </c>
      <c r="F276" s="1200">
        <f>'被投资单位财务信息（合营、联营）G7-5'!H35</f>
        <v/>
      </c>
      <c r="G276" s="1200">
        <f>'被投资单位财务信息（合营、联营）G7-5'!I35</f>
        <v/>
      </c>
      <c r="H276" s="1200">
        <f>'被投资单位财务信息（合营、联营）G7-5'!J35</f>
        <v/>
      </c>
      <c r="I276" s="233" t="n"/>
      <c r="J276" s="440" t="n"/>
      <c r="K276" s="440" t="n"/>
      <c r="L276" s="440" t="n"/>
    </row>
    <row r="277" ht="32.25" customFormat="1" customHeight="1" s="190" thickBot="1">
      <c r="A277" s="913" t="inlineStr">
        <is>
          <t>企业本期收到的来自联营企业的股利</t>
        </is>
      </c>
      <c r="B277" s="1158" t="n"/>
      <c r="C277" s="1202">
        <f>'被投资单位财务信息（合营、联营）G7-5'!E36</f>
        <v/>
      </c>
      <c r="D277" s="1202">
        <f>'被投资单位财务信息（合营、联营）G7-5'!F36</f>
        <v/>
      </c>
      <c r="E277" s="1202">
        <f>'被投资单位财务信息（合营、联营）G7-5'!G36</f>
        <v/>
      </c>
      <c r="F277" s="1202">
        <f>'被投资单位财务信息（合营、联营）G7-5'!H36</f>
        <v/>
      </c>
      <c r="G277" s="1202">
        <f>'被投资单位财务信息（合营、联营）G7-5'!I36</f>
        <v/>
      </c>
      <c r="H277" s="1202">
        <f>'被投资单位财务信息（合营、联营）G7-5'!J36</f>
        <v/>
      </c>
      <c r="I277" s="233" t="n"/>
      <c r="J277" s="440" t="n"/>
      <c r="K277" s="440" t="n"/>
      <c r="L277" s="440" t="n"/>
    </row>
    <row r="278" ht="20.1" customFormat="1" customHeight="1" s="190">
      <c r="A278" s="892" t="inlineStr">
        <is>
          <t>（注：存在终止经营的净利润的，应在本表中单列项目披露）</t>
        </is>
      </c>
      <c r="B278" s="892" t="n"/>
      <c r="C278" s="233" t="n"/>
      <c r="D278" s="233" t="n"/>
      <c r="E278" s="233" t="n"/>
      <c r="F278" s="233" t="n"/>
      <c r="G278" s="233" t="n"/>
      <c r="H278" s="233" t="n"/>
      <c r="I278" s="233" t="n"/>
      <c r="J278" s="233" t="n"/>
      <c r="K278" s="233" t="n"/>
      <c r="L278" s="233" t="n"/>
      <c r="M278" s="496" t="n"/>
      <c r="N278" s="496" t="n"/>
      <c r="O278" s="496" t="n"/>
      <c r="P278" s="496" t="n"/>
    </row>
    <row r="279" ht="20.1" customFormat="1" customHeight="1" s="190" thickBot="1">
      <c r="A279" s="894" t="inlineStr">
        <is>
          <t>（5）不重要合营企业和联营企业的汇总信息</t>
        </is>
      </c>
      <c r="B279" s="894" t="n"/>
      <c r="C279" s="233" t="n"/>
      <c r="D279" s="233" t="n"/>
      <c r="E279" s="233" t="n"/>
      <c r="F279" s="233" t="n"/>
      <c r="G279" s="233" t="n"/>
      <c r="H279" s="233" t="n"/>
      <c r="I279" s="233" t="n"/>
      <c r="J279" s="233" t="n"/>
      <c r="K279" s="233" t="n"/>
      <c r="L279" s="233" t="n"/>
      <c r="M279" s="496" t="n"/>
      <c r="N279" s="496" t="n"/>
      <c r="O279" s="496" t="n"/>
      <c r="P279" s="496" t="n"/>
    </row>
    <row r="280" ht="20.1" customFormat="1" customHeight="1" s="190" thickBot="1">
      <c r="A280" s="932" t="inlineStr">
        <is>
          <t>项  目</t>
        </is>
      </c>
      <c r="B280" s="1187" t="n"/>
      <c r="C280" s="932" t="inlineStr">
        <is>
          <t>本期数</t>
        </is>
      </c>
      <c r="D280" s="932" t="inlineStr">
        <is>
          <t>上期数</t>
        </is>
      </c>
      <c r="E280" s="233" t="n"/>
      <c r="F280" s="233" t="n"/>
      <c r="G280" s="233" t="n"/>
      <c r="H280" s="233" t="n"/>
      <c r="I280" s="233" t="n"/>
      <c r="J280" s="233" t="n"/>
      <c r="K280" s="233" t="n"/>
      <c r="L280" s="233" t="n"/>
      <c r="M280" s="496" t="n"/>
      <c r="N280" s="496" t="n"/>
      <c r="O280" s="496" t="n"/>
      <c r="P280" s="496" t="n"/>
    </row>
    <row r="281" ht="20.1" customFormat="1" customHeight="1" s="190">
      <c r="A281" s="929" t="inlineStr">
        <is>
          <t>合营企业：</t>
        </is>
      </c>
      <c r="B281" s="1157" t="n"/>
      <c r="C281" s="523" t="n"/>
      <c r="D281" s="523" t="n"/>
      <c r="E281" s="233" t="n"/>
      <c r="F281" s="233" t="n"/>
      <c r="G281" s="233" t="n"/>
      <c r="H281" s="233" t="n"/>
      <c r="I281" s="233" t="n"/>
      <c r="J281" s="233" t="n"/>
      <c r="K281" s="233" t="n"/>
      <c r="L281" s="233" t="n"/>
      <c r="M281" s="496" t="n"/>
      <c r="N281" s="496" t="n"/>
      <c r="O281" s="496" t="n"/>
      <c r="P281" s="496" t="n"/>
    </row>
    <row r="282" ht="20.1" customFormat="1" customHeight="1" s="190">
      <c r="A282" s="893" t="inlineStr">
        <is>
          <t>投资账面价值合计</t>
        </is>
      </c>
      <c r="C282" s="1203">
        <f>'被投资单位财务信息（合营、联营）G7-5'!G42</f>
        <v/>
      </c>
      <c r="D282" s="1204">
        <f>'被投资单位财务信息（合营、联营）G7-5'!I49</f>
        <v/>
      </c>
      <c r="E282" s="233" t="n"/>
      <c r="F282" s="233" t="n"/>
      <c r="G282" s="233" t="n"/>
      <c r="H282" s="233" t="n"/>
      <c r="I282" s="233" t="n"/>
      <c r="J282" s="233" t="n"/>
      <c r="K282" s="233" t="n"/>
      <c r="L282" s="233" t="n"/>
      <c r="M282" s="496" t="n"/>
      <c r="N282" s="496" t="n"/>
      <c r="O282" s="496" t="n"/>
      <c r="P282" s="496" t="n"/>
    </row>
    <row r="283" ht="35.25" customFormat="1" customHeight="1" s="190">
      <c r="A283" s="893" t="inlineStr">
        <is>
          <t xml:space="preserve">下列各项按持股比例计算的合计数 </t>
        </is>
      </c>
      <c r="C283" s="1203">
        <f>'被投资单位财务信息（合营、联营）G7-5'!G43</f>
        <v/>
      </c>
      <c r="D283" s="1204">
        <f>'被投资单位财务信息（合营、联营）G7-5'!I50</f>
        <v/>
      </c>
      <c r="E283" s="233" t="n"/>
      <c r="F283" s="233" t="n"/>
      <c r="G283" s="233" t="n"/>
      <c r="H283" s="233" t="n"/>
      <c r="I283" s="233" t="n"/>
      <c r="J283" s="233" t="n"/>
      <c r="K283" s="233" t="n"/>
      <c r="L283" s="233" t="n"/>
      <c r="M283" s="496" t="n"/>
      <c r="N283" s="496" t="n"/>
      <c r="O283" s="496" t="n"/>
      <c r="P283" s="496" t="n"/>
    </row>
    <row r="284" ht="20.1" customFormat="1" customHeight="1" s="190">
      <c r="A284" s="893" t="inlineStr">
        <is>
          <t>净利润</t>
        </is>
      </c>
      <c r="C284" s="1203">
        <f>'被投资单位财务信息（合营、联营）G7-5'!G44</f>
        <v/>
      </c>
      <c r="D284" s="1204">
        <f>'被投资单位财务信息（合营、联营）G7-5'!I51</f>
        <v/>
      </c>
      <c r="E284" s="233" t="n"/>
      <c r="F284" s="233" t="n"/>
      <c r="G284" s="233" t="n"/>
      <c r="H284" s="233" t="n"/>
      <c r="I284" s="233" t="n"/>
      <c r="J284" s="233" t="n"/>
      <c r="K284" s="233" t="n"/>
      <c r="L284" s="233" t="n"/>
      <c r="M284" s="496" t="n"/>
      <c r="N284" s="496" t="n"/>
      <c r="O284" s="496" t="n"/>
      <c r="P284" s="496" t="n"/>
    </row>
    <row r="285" ht="20.1" customFormat="1" customHeight="1" s="190">
      <c r="A285" s="893" t="inlineStr">
        <is>
          <t>其他综合收益</t>
        </is>
      </c>
      <c r="C285" s="1203">
        <f>'被投资单位财务信息（合营、联营）G7-5'!G45</f>
        <v/>
      </c>
      <c r="D285" s="1204">
        <f>'被投资单位财务信息（合营、联营）G7-5'!I52</f>
        <v/>
      </c>
      <c r="E285" s="233" t="n"/>
      <c r="F285" s="233" t="n"/>
      <c r="G285" s="233" t="n"/>
      <c r="H285" s="233" t="n"/>
      <c r="I285" s="233" t="n"/>
      <c r="J285" s="233" t="n"/>
      <c r="K285" s="233" t="n"/>
      <c r="L285" s="233" t="n"/>
      <c r="M285" s="496" t="n"/>
      <c r="N285" s="496" t="n"/>
      <c r="O285" s="496" t="n"/>
      <c r="P285" s="496" t="n"/>
    </row>
    <row r="286" ht="20.1" customFormat="1" customHeight="1" s="190">
      <c r="A286" s="893" t="inlineStr">
        <is>
          <t>综合收益总额</t>
        </is>
      </c>
      <c r="C286" s="1203">
        <f>'被投资单位财务信息（合营、联营）G7-5'!G46</f>
        <v/>
      </c>
      <c r="D286" s="1204">
        <f>'被投资单位财务信息（合营、联营）G7-5'!I53</f>
        <v/>
      </c>
      <c r="E286" s="233" t="n"/>
      <c r="F286" s="233" t="n"/>
      <c r="G286" s="233" t="n"/>
      <c r="H286" s="233" t="n"/>
      <c r="I286" s="233" t="n"/>
      <c r="J286" s="233" t="n"/>
      <c r="K286" s="233" t="n"/>
      <c r="L286" s="233" t="n"/>
      <c r="M286" s="496" t="n"/>
      <c r="N286" s="496" t="n"/>
      <c r="O286" s="496" t="n"/>
      <c r="P286" s="496" t="n"/>
    </row>
    <row r="287" ht="20.1" customFormat="1" customHeight="1" s="190">
      <c r="A287" s="893" t="inlineStr">
        <is>
          <t>联营企业：</t>
        </is>
      </c>
      <c r="C287" s="523" t="n"/>
      <c r="D287" s="523" t="n"/>
      <c r="E287" s="233" t="n"/>
      <c r="F287" s="233" t="n"/>
      <c r="G287" s="233" t="n"/>
      <c r="H287" s="233" t="n"/>
      <c r="I287" s="233" t="n"/>
      <c r="J287" s="233" t="n"/>
      <c r="K287" s="233" t="n"/>
      <c r="L287" s="233" t="n"/>
      <c r="M287" s="496" t="n"/>
      <c r="N287" s="496" t="n"/>
      <c r="O287" s="496" t="n"/>
      <c r="P287" s="496" t="n"/>
    </row>
    <row r="288" ht="20.1" customFormat="1" customHeight="1" s="190">
      <c r="A288" s="893" t="inlineStr">
        <is>
          <t>投资账面价值合计</t>
        </is>
      </c>
      <c r="C288" s="1203">
        <f>'被投资单位财务信息（合营、联营）G7-5'!G49</f>
        <v/>
      </c>
      <c r="D288" s="1203">
        <f>'被投资单位财务信息（合营、联营）G7-5'!I49</f>
        <v/>
      </c>
      <c r="E288" s="233" t="n"/>
      <c r="F288" s="233" t="n"/>
      <c r="G288" s="233" t="n"/>
      <c r="H288" s="233" t="n"/>
      <c r="I288" s="233" t="n"/>
      <c r="J288" s="233" t="n"/>
      <c r="K288" s="233" t="n"/>
      <c r="L288" s="233" t="n"/>
      <c r="M288" s="496" t="n"/>
      <c r="N288" s="496" t="n"/>
      <c r="O288" s="496" t="n"/>
      <c r="P288" s="496" t="n"/>
    </row>
    <row r="289" ht="36" customFormat="1" customHeight="1" s="190">
      <c r="A289" s="893" t="inlineStr">
        <is>
          <t xml:space="preserve">下列各项按持股比例计算的合计数 </t>
        </is>
      </c>
      <c r="C289" s="1203">
        <f>'被投资单位财务信息（合营、联营）G7-5'!G50</f>
        <v/>
      </c>
      <c r="D289" s="1203">
        <f>'被投资单位财务信息（合营、联营）G7-5'!I50</f>
        <v/>
      </c>
      <c r="E289" s="233" t="n"/>
      <c r="F289" s="233" t="n"/>
      <c r="G289" s="233" t="n"/>
      <c r="H289" s="233" t="n"/>
      <c r="I289" s="233" t="n"/>
      <c r="J289" s="233" t="n"/>
      <c r="K289" s="233" t="n"/>
      <c r="L289" s="233" t="n"/>
      <c r="M289" s="496" t="n"/>
      <c r="N289" s="496" t="n"/>
      <c r="O289" s="496" t="n"/>
      <c r="P289" s="496" t="n"/>
    </row>
    <row r="290" ht="20.1" customFormat="1" customHeight="1" s="190">
      <c r="A290" s="893" t="inlineStr">
        <is>
          <t>净利润</t>
        </is>
      </c>
      <c r="C290" s="1203">
        <f>'被投资单位财务信息（合营、联营）G7-5'!G51</f>
        <v/>
      </c>
      <c r="D290" s="1203">
        <f>'被投资单位财务信息（合营、联营）G7-5'!I51</f>
        <v/>
      </c>
      <c r="E290" s="233" t="n"/>
      <c r="F290" s="233" t="n"/>
      <c r="G290" s="233" t="n"/>
      <c r="H290" s="233" t="n"/>
      <c r="I290" s="233" t="n"/>
      <c r="J290" s="233" t="n"/>
      <c r="K290" s="233" t="n"/>
      <c r="L290" s="233" t="n"/>
      <c r="M290" s="496" t="n"/>
      <c r="N290" s="496" t="n"/>
      <c r="O290" s="496" t="n"/>
      <c r="P290" s="496" t="n"/>
    </row>
    <row r="291" ht="20.1" customFormat="1" customHeight="1" s="190">
      <c r="A291" s="893" t="inlineStr">
        <is>
          <t>其他综合收益</t>
        </is>
      </c>
      <c r="C291" s="1203">
        <f>'被投资单位财务信息（合营、联营）G7-5'!G52</f>
        <v/>
      </c>
      <c r="D291" s="1203">
        <f>'被投资单位财务信息（合营、联营）G7-5'!I52</f>
        <v/>
      </c>
      <c r="E291" s="233" t="n"/>
      <c r="F291" s="233" t="n"/>
      <c r="G291" s="233" t="n"/>
      <c r="H291" s="233" t="n"/>
      <c r="I291" s="233" t="n"/>
      <c r="J291" s="233" t="n"/>
      <c r="K291" s="233" t="n"/>
      <c r="L291" s="233" t="n"/>
      <c r="M291" s="496" t="n"/>
      <c r="N291" s="496" t="n"/>
      <c r="O291" s="496" t="n"/>
      <c r="P291" s="496" t="n"/>
    </row>
    <row r="292" ht="20.1" customFormat="1" customHeight="1" s="190" thickBot="1">
      <c r="A292" s="913" t="inlineStr">
        <is>
          <t>综合收益总额</t>
        </is>
      </c>
      <c r="B292" s="1158" t="n"/>
      <c r="C292" s="1205">
        <f>'被投资单位财务信息（合营、联营）G7-5'!G53</f>
        <v/>
      </c>
      <c r="D292" s="1206">
        <f>'被投资单位财务信息（合营、联营）G7-5'!I53</f>
        <v/>
      </c>
      <c r="E292" s="233" t="n"/>
      <c r="F292" s="233" t="n"/>
      <c r="G292" s="233" t="n"/>
      <c r="H292" s="233" t="n"/>
      <c r="I292" s="233" t="n"/>
      <c r="J292" s="233" t="n"/>
      <c r="K292" s="233" t="n"/>
      <c r="L292" s="233" t="n"/>
      <c r="M292" s="496" t="n"/>
      <c r="N292" s="496" t="n"/>
      <c r="O292" s="496" t="n"/>
      <c r="P292" s="496" t="n"/>
    </row>
    <row r="293" ht="20.1" customFormat="1" customHeight="1" s="190">
      <c r="A293" s="892" t="inlineStr">
        <is>
          <t>说明：</t>
        </is>
      </c>
      <c r="B293" s="514" t="n"/>
      <c r="C293" s="233" t="n"/>
      <c r="D293" s="233" t="n"/>
      <c r="E293" s="233" t="n"/>
      <c r="F293" s="233" t="n"/>
      <c r="G293" s="233" t="n"/>
      <c r="H293" s="233" t="n"/>
      <c r="I293" s="233" t="n"/>
      <c r="J293" s="233" t="n"/>
      <c r="K293" s="233" t="n"/>
      <c r="L293" s="233" t="n"/>
      <c r="M293" s="496" t="n"/>
      <c r="N293" s="496" t="n"/>
      <c r="O293" s="496" t="n"/>
      <c r="P293" s="496" t="n"/>
    </row>
    <row r="294" ht="20.1" customFormat="1" customHeight="1" s="190">
      <c r="A294" s="528" t="inlineStr">
        <is>
          <t>① （合营企业、联营企业的重要会计政策、会计估计与公司的会计政策、会计估计存在的重大差异说明）</t>
        </is>
      </c>
      <c r="B294" s="528" t="n"/>
      <c r="C294" s="528" t="n"/>
      <c r="D294" s="528" t="n"/>
      <c r="E294" s="233" t="n"/>
      <c r="F294" s="233" t="n"/>
      <c r="G294" s="233" t="n"/>
      <c r="H294" s="233" t="n"/>
      <c r="I294" s="233" t="n"/>
      <c r="J294" s="233" t="n"/>
      <c r="K294" s="233" t="n"/>
      <c r="L294" s="233" t="n"/>
      <c r="M294" s="496" t="n"/>
      <c r="N294" s="496" t="n"/>
      <c r="O294" s="496" t="n"/>
      <c r="P294" s="496" t="n"/>
    </row>
    <row r="295" ht="20.1" customFormat="1" customHeight="1" s="190">
      <c r="A295" s="528" t="inlineStr">
        <is>
          <t>②（对合营企业具有共同控制的依据说明）</t>
        </is>
      </c>
      <c r="B295" s="528" t="n"/>
      <c r="C295" s="528" t="n"/>
      <c r="D295" s="528" t="n"/>
      <c r="E295" s="233" t="n"/>
      <c r="F295" s="233" t="n"/>
      <c r="G295" s="233" t="n"/>
      <c r="H295" s="233" t="n"/>
      <c r="I295" s="233" t="n"/>
      <c r="J295" s="233" t="n"/>
      <c r="K295" s="233" t="n"/>
      <c r="L295" s="233" t="n"/>
      <c r="M295" s="496" t="n"/>
      <c r="N295" s="496" t="n"/>
      <c r="O295" s="496" t="n"/>
      <c r="P295" s="496" t="n"/>
    </row>
    <row r="296" ht="20.1" customFormat="1" customHeight="1" s="190">
      <c r="A296" s="528" t="inlineStr">
        <is>
          <t>【提示：被划分为持有待售资产的，不需要披露合营企业或联营企业的上述财务信息。）】</t>
        </is>
      </c>
      <c r="B296" s="528" t="n"/>
      <c r="C296" s="528" t="n"/>
      <c r="D296" s="528" t="n"/>
      <c r="E296" s="233" t="n"/>
      <c r="F296" s="233" t="n"/>
      <c r="G296" s="233" t="n"/>
      <c r="H296" s="233" t="n"/>
      <c r="I296" s="233" t="n"/>
      <c r="J296" s="233" t="n"/>
      <c r="K296" s="233" t="n"/>
      <c r="L296" s="233" t="n"/>
      <c r="M296" s="496" t="n"/>
      <c r="N296" s="496" t="n"/>
      <c r="O296" s="496" t="n"/>
      <c r="P296" s="496" t="n"/>
    </row>
    <row r="297" ht="20.1" customFormat="1" customHeight="1" s="190">
      <c r="A297" s="894" t="inlineStr">
        <is>
          <t>（6）在合营企业和联营企业中权益的相关风险</t>
        </is>
      </c>
      <c r="E297" s="233" t="n"/>
      <c r="F297" s="233" t="n"/>
      <c r="G297" s="233" t="n"/>
      <c r="H297" s="233" t="n"/>
      <c r="I297" s="233" t="n"/>
      <c r="J297" s="233" t="n"/>
      <c r="K297" s="233" t="n"/>
      <c r="L297" s="233" t="n"/>
      <c r="M297" s="496" t="n"/>
      <c r="N297" s="496" t="n"/>
      <c r="O297" s="496" t="n"/>
      <c r="P297" s="496" t="n"/>
    </row>
    <row r="298" ht="20.1" customFormat="1" customHeight="1" s="190">
      <c r="A298" s="233" t="inlineStr">
        <is>
          <t>（包括对转移资金能力的重大限制，超额亏损，对合营企业投资相关的未确认承诺，或有负债等。）</t>
        </is>
      </c>
      <c r="B298" s="233" t="n"/>
      <c r="C298" s="233" t="n"/>
      <c r="D298" s="233" t="n"/>
      <c r="E298" s="233" t="n"/>
      <c r="F298" s="233" t="n"/>
      <c r="G298" s="233" t="n"/>
      <c r="H298" s="233" t="n"/>
      <c r="I298" s="233" t="n"/>
      <c r="J298" s="233" t="n"/>
      <c r="K298" s="233" t="n"/>
      <c r="L298" s="233" t="n"/>
      <c r="M298" s="496" t="n"/>
      <c r="N298" s="496" t="n"/>
      <c r="O298" s="496" t="n"/>
      <c r="P298" s="496" t="n"/>
    </row>
    <row r="299" ht="20.1" customFormat="1" customHeight="1" s="190">
      <c r="A299" s="233" t="inlineStr">
        <is>
          <t>①合营企业或联营企业向本公司转移资金的能力存在重大限制的说明：</t>
        </is>
      </c>
      <c r="B299" s="233" t="n"/>
      <c r="C299" s="233" t="n"/>
      <c r="D299" s="233" t="n"/>
      <c r="E299" s="233" t="n"/>
      <c r="F299" s="233" t="n"/>
      <c r="G299" s="233" t="n"/>
      <c r="H299" s="233" t="n"/>
      <c r="I299" s="233" t="n"/>
      <c r="J299" s="233" t="n"/>
      <c r="K299" s="233" t="n"/>
      <c r="L299" s="233" t="n"/>
      <c r="M299" s="496" t="n"/>
      <c r="N299" s="496" t="n"/>
      <c r="O299" s="496" t="n"/>
      <c r="P299" s="496" t="n"/>
    </row>
    <row r="300" ht="20.1" customFormat="1" customHeight="1" s="190" thickBot="1">
      <c r="A300" s="233" t="inlineStr">
        <is>
          <t>②对合营企业或联营企业发生超额亏损的分担额（不适用的删除）</t>
        </is>
      </c>
      <c r="B300" s="233" t="n"/>
      <c r="C300" s="233" t="n"/>
      <c r="D300" s="233" t="n"/>
      <c r="E300" s="233" t="n"/>
      <c r="F300" s="233" t="n"/>
      <c r="G300" s="233" t="n"/>
      <c r="H300" s="233" t="n"/>
      <c r="I300" s="233" t="n"/>
      <c r="J300" s="233" t="n"/>
      <c r="K300" s="233" t="n"/>
      <c r="L300" s="233" t="n"/>
      <c r="M300" s="496" t="n"/>
      <c r="N300" s="496" t="n"/>
      <c r="O300" s="496" t="n"/>
      <c r="P300" s="496" t="n"/>
    </row>
    <row r="301" ht="63.75" customFormat="1" customHeight="1" s="190" thickBot="1">
      <c r="A301" s="914" t="inlineStr">
        <is>
          <t>被投资单位名称</t>
        </is>
      </c>
      <c r="B301" s="1187" t="n"/>
      <c r="C301" s="914" t="inlineStr">
        <is>
          <t>前期累积未确认的损失份额</t>
        </is>
      </c>
      <c r="D301" s="914" t="inlineStr">
        <is>
          <t>本期未确认的损失份额（或本期实现净利润的分享额）</t>
        </is>
      </c>
      <c r="E301" s="914" t="inlineStr">
        <is>
          <t>本期末累积未确认的损失份额</t>
        </is>
      </c>
      <c r="F301" s="233" t="n"/>
      <c r="G301" s="233" t="n"/>
      <c r="H301" s="233" t="n"/>
      <c r="I301" s="233" t="n"/>
      <c r="J301" s="233" t="n"/>
      <c r="K301" s="233" t="n"/>
      <c r="L301" s="233" t="n"/>
      <c r="M301" s="496" t="n"/>
      <c r="N301" s="496" t="n"/>
      <c r="O301" s="496" t="n"/>
      <c r="P301" s="496" t="n"/>
    </row>
    <row r="302" ht="20.1" customFormat="1" customHeight="1" s="190">
      <c r="A302" s="915" t="inlineStr">
        <is>
          <t>合营企业</t>
        </is>
      </c>
      <c r="B302" s="1157" t="n"/>
      <c r="C302" s="240" t="n"/>
      <c r="D302" s="240" t="n"/>
      <c r="E302" s="240" t="n"/>
      <c r="F302" s="233" t="n"/>
      <c r="G302" s="233" t="n"/>
      <c r="H302" s="233" t="n"/>
      <c r="I302" s="233" t="n"/>
      <c r="J302" s="233" t="n"/>
      <c r="K302" s="233" t="n"/>
      <c r="L302" s="233" t="n"/>
      <c r="M302" s="496" t="n"/>
      <c r="N302" s="496" t="n"/>
      <c r="O302" s="496" t="n"/>
      <c r="P302" s="496" t="n"/>
    </row>
    <row r="303" ht="20.1" customFormat="1" customHeight="1" s="190">
      <c r="A303" s="230">
        <f>'未确认投资损失测试表G7-16'!B12</f>
        <v/>
      </c>
      <c r="B303" s="230" t="n"/>
      <c r="C303" s="1165">
        <f>IF('未确认投资损失测试表G7-16'!H12&lt;0,'未确认投资损失测试表G7-16'!H12,0)</f>
        <v/>
      </c>
      <c r="D303" s="1165">
        <f>'未确认投资损失测试表G7-16'!I12</f>
        <v/>
      </c>
      <c r="E303" s="1165">
        <f>'未确认投资损失测试表G7-16'!J12</f>
        <v/>
      </c>
      <c r="F303" s="233" t="n"/>
      <c r="G303" s="233" t="n"/>
      <c r="H303" s="233" t="n"/>
      <c r="I303" s="233" t="n"/>
      <c r="J303" s="233" t="n"/>
      <c r="K303" s="233" t="n"/>
      <c r="L303" s="233" t="n"/>
      <c r="M303" s="496" t="n"/>
      <c r="N303" s="496" t="n"/>
      <c r="O303" s="496" t="n"/>
      <c r="P303" s="496" t="n"/>
    </row>
    <row r="304" ht="20.1" customFormat="1" customHeight="1" s="190">
      <c r="A304" s="230">
        <f>'未确认投资损失测试表G7-16'!B13</f>
        <v/>
      </c>
      <c r="B304" s="230" t="n"/>
      <c r="C304" s="1165">
        <f>IF('未确认投资损失测试表G7-16'!H13&lt;0,'未确认投资损失测试表G7-16'!H13,0)</f>
        <v/>
      </c>
      <c r="D304" s="1165">
        <f>'未确认投资损失测试表G7-16'!I13</f>
        <v/>
      </c>
      <c r="E304" s="1165">
        <f>'未确认投资损失测试表G7-16'!J13</f>
        <v/>
      </c>
      <c r="F304" s="233" t="n"/>
      <c r="G304" s="233" t="n"/>
      <c r="H304" s="233" t="n"/>
      <c r="I304" s="233" t="n"/>
      <c r="J304" s="233" t="n"/>
      <c r="K304" s="233" t="n"/>
      <c r="L304" s="233" t="n"/>
      <c r="M304" s="496" t="n"/>
      <c r="N304" s="496" t="n"/>
      <c r="O304" s="496" t="n"/>
      <c r="P304" s="496" t="n"/>
    </row>
    <row r="305" ht="20.1" customFormat="1" customHeight="1" s="190">
      <c r="A305" s="230">
        <f>'未确认投资损失测试表G7-16'!B14</f>
        <v/>
      </c>
      <c r="B305" s="230" t="n"/>
      <c r="C305" s="1165">
        <f>IF('未确认投资损失测试表G7-16'!H14&lt;0,'未确认投资损失测试表G7-16'!H14,0)</f>
        <v/>
      </c>
      <c r="D305" s="1165">
        <f>'未确认投资损失测试表G7-16'!I14</f>
        <v/>
      </c>
      <c r="E305" s="1165">
        <f>'未确认投资损失测试表G7-16'!J14</f>
        <v/>
      </c>
      <c r="F305" s="233" t="n"/>
      <c r="G305" s="233" t="n"/>
      <c r="H305" s="233" t="n"/>
      <c r="I305" s="233" t="n"/>
      <c r="J305" s="233" t="n"/>
      <c r="K305" s="233" t="n"/>
      <c r="L305" s="233" t="n"/>
      <c r="M305" s="496" t="n"/>
      <c r="N305" s="496" t="n"/>
      <c r="O305" s="496" t="n"/>
      <c r="P305" s="496" t="n"/>
    </row>
    <row r="306" ht="20.1" customFormat="1" customHeight="1" s="190">
      <c r="A306" s="916" t="inlineStr">
        <is>
          <t>小计</t>
        </is>
      </c>
      <c r="C306" s="1168">
        <f>SUM(C303:C305)</f>
        <v/>
      </c>
      <c r="D306" s="1168">
        <f>SUM(D303:D305)</f>
        <v/>
      </c>
      <c r="E306" s="1168">
        <f>SUM(E303:E305)</f>
        <v/>
      </c>
      <c r="F306" s="233" t="n"/>
      <c r="G306" s="233" t="n"/>
      <c r="H306" s="233" t="n"/>
      <c r="I306" s="233" t="n"/>
      <c r="J306" s="233" t="n"/>
      <c r="K306" s="233" t="n"/>
      <c r="L306" s="233" t="n"/>
      <c r="M306" s="496" t="n"/>
      <c r="N306" s="496" t="n"/>
      <c r="O306" s="496" t="n"/>
      <c r="P306" s="496" t="n"/>
    </row>
    <row r="307" ht="20.1" customFormat="1" customHeight="1" s="190">
      <c r="A307" s="924" t="inlineStr">
        <is>
          <t>联营企业</t>
        </is>
      </c>
      <c r="C307" s="1165" t="n"/>
      <c r="D307" s="440" t="n"/>
      <c r="E307" s="440" t="n"/>
      <c r="F307" s="233" t="n"/>
      <c r="G307" s="233" t="n"/>
      <c r="H307" s="233" t="n"/>
      <c r="I307" s="233" t="n"/>
      <c r="J307" s="233" t="n"/>
      <c r="K307" s="233" t="n"/>
      <c r="L307" s="233" t="n"/>
      <c r="M307" s="496" t="n"/>
      <c r="N307" s="496" t="n"/>
      <c r="O307" s="496" t="n"/>
      <c r="P307" s="496" t="n"/>
    </row>
    <row r="308" ht="20.1" customFormat="1" customHeight="1" s="190">
      <c r="A308" s="230">
        <f>'未确认投资损失测试表G7-16'!B17</f>
        <v/>
      </c>
      <c r="B308" s="230" t="n"/>
      <c r="C308" s="1165">
        <f>IF('未确认投资损失测试表G7-16'!H17&lt;0,'未确认投资损失测试表G7-16'!H17,0)</f>
        <v/>
      </c>
      <c r="D308" s="1165">
        <f>'未确认投资损失测试表G7-16'!I17</f>
        <v/>
      </c>
      <c r="E308" s="1165">
        <f>'未确认投资损失测试表G7-16'!J17</f>
        <v/>
      </c>
      <c r="F308" s="233" t="n"/>
      <c r="G308" s="233" t="n"/>
      <c r="H308" s="233" t="n"/>
      <c r="I308" s="233" t="n"/>
      <c r="J308" s="233" t="n"/>
      <c r="K308" s="233" t="n"/>
      <c r="L308" s="233" t="n"/>
      <c r="M308" s="496" t="n"/>
      <c r="N308" s="496" t="n"/>
      <c r="O308" s="496" t="n"/>
      <c r="P308" s="496" t="n"/>
    </row>
    <row r="309" ht="20.1" customFormat="1" customHeight="1" s="190">
      <c r="A309" s="230">
        <f>'未确认投资损失测试表G7-16'!B18</f>
        <v/>
      </c>
      <c r="B309" s="230" t="n"/>
      <c r="C309" s="1165">
        <f>IF('未确认投资损失测试表G7-16'!H18&lt;0,'未确认投资损失测试表G7-16'!H18,0)</f>
        <v/>
      </c>
      <c r="D309" s="1165">
        <f>'未确认投资损失测试表G7-16'!I18</f>
        <v/>
      </c>
      <c r="E309" s="1165">
        <f>'未确认投资损失测试表G7-16'!J18</f>
        <v/>
      </c>
      <c r="F309" s="233" t="n"/>
      <c r="G309" s="233" t="n"/>
      <c r="H309" s="233" t="n"/>
      <c r="I309" s="233" t="n"/>
      <c r="J309" s="233" t="n"/>
      <c r="K309" s="233" t="n"/>
      <c r="L309" s="233" t="n"/>
      <c r="M309" s="496" t="n"/>
      <c r="N309" s="496" t="n"/>
      <c r="O309" s="496" t="n"/>
      <c r="P309" s="496" t="n"/>
    </row>
    <row r="310" ht="20.1" customFormat="1" customHeight="1" s="190">
      <c r="A310" s="230">
        <f>'未确认投资损失测试表G7-16'!B19</f>
        <v/>
      </c>
      <c r="B310" s="230" t="n"/>
      <c r="C310" s="1165">
        <f>IF('未确认投资损失测试表G7-16'!H19&lt;0,'未确认投资损失测试表G7-16'!H19,0)</f>
        <v/>
      </c>
      <c r="D310" s="1165">
        <f>'未确认投资损失测试表G7-16'!I19</f>
        <v/>
      </c>
      <c r="E310" s="1165">
        <f>'未确认投资损失测试表G7-16'!J19</f>
        <v/>
      </c>
      <c r="F310" s="233" t="n"/>
      <c r="G310" s="233" t="n"/>
      <c r="H310" s="233" t="n"/>
      <c r="I310" s="233" t="n"/>
      <c r="J310" s="233" t="n"/>
      <c r="K310" s="233" t="n"/>
      <c r="L310" s="233" t="n"/>
      <c r="M310" s="496" t="n"/>
      <c r="N310" s="496" t="n"/>
      <c r="O310" s="496" t="n"/>
      <c r="P310" s="496" t="n"/>
    </row>
    <row r="311" ht="20.1" customFormat="1" customHeight="1" s="190" thickBot="1">
      <c r="A311" s="923" t="inlineStr">
        <is>
          <t>小计</t>
        </is>
      </c>
      <c r="B311" s="1158" t="n"/>
      <c r="C311" s="1169">
        <f>SUM(C308:C310)</f>
        <v/>
      </c>
      <c r="D311" s="1169">
        <f>SUM(D308:D310)</f>
        <v/>
      </c>
      <c r="E311" s="1169">
        <f>SUM(E308:E310)</f>
        <v/>
      </c>
      <c r="F311" s="233" t="n"/>
      <c r="G311" s="233" t="n"/>
      <c r="H311" s="233" t="n"/>
      <c r="I311" s="233" t="n"/>
      <c r="J311" s="233" t="n"/>
      <c r="K311" s="233" t="n"/>
      <c r="L311" s="233" t="n"/>
      <c r="M311" s="496" t="n"/>
      <c r="N311" s="496" t="n"/>
      <c r="O311" s="496" t="n"/>
      <c r="P311" s="496" t="n"/>
    </row>
    <row r="312" ht="20.1" customFormat="1" customHeight="1" s="190" thickBot="1">
      <c r="A312" s="925" t="inlineStr">
        <is>
          <t>合  计</t>
        </is>
      </c>
      <c r="B312" s="1187" t="n"/>
      <c r="C312" s="1170">
        <f>C306+C311</f>
        <v/>
      </c>
      <c r="D312" s="1170">
        <f>D306+D311</f>
        <v/>
      </c>
      <c r="E312" s="1170">
        <f>E306+E311</f>
        <v/>
      </c>
      <c r="F312" s="233" t="n"/>
      <c r="G312" s="233" t="n"/>
      <c r="H312" s="233" t="n"/>
      <c r="I312" s="233" t="n"/>
      <c r="J312" s="233" t="n"/>
      <c r="K312" s="233" t="n"/>
      <c r="L312" s="233" t="n"/>
      <c r="M312" s="496" t="n"/>
      <c r="N312" s="496" t="n"/>
      <c r="O312" s="496" t="n"/>
      <c r="P312" s="496" t="n"/>
    </row>
    <row r="313" ht="20.1" customFormat="1" customHeight="1" s="190">
      <c r="A313" s="233" t="inlineStr">
        <is>
          <t>③公司应披露与其对合营企业投资相关的未确认承诺，以及与其对合营企业或联营企业投资相关的或有负债。</t>
        </is>
      </c>
      <c r="B313" s="233" t="n"/>
      <c r="C313" s="233" t="n"/>
      <c r="D313" s="233" t="n"/>
      <c r="E313" s="233" t="n"/>
      <c r="F313" s="233" t="n"/>
      <c r="G313" s="233" t="n"/>
      <c r="H313" s="233" t="n"/>
      <c r="I313" s="233" t="n"/>
      <c r="J313" s="233" t="n"/>
      <c r="K313" s="233" t="n"/>
      <c r="L313" s="233" t="n"/>
      <c r="M313" s="496" t="n"/>
      <c r="N313" s="496" t="n"/>
      <c r="O313" s="496" t="n"/>
      <c r="P313" s="496" t="n"/>
    </row>
    <row r="314" ht="15.6" customHeight="1" s="1097">
      <c r="A314" s="233" t="inlineStr">
        <is>
          <t>（7）未纳入合并财务报表范围的结构化主体的相关信息</t>
        </is>
      </c>
      <c r="B314" s="0" t="n"/>
      <c r="C314" s="0" t="n"/>
      <c r="D314" s="0" t="n"/>
      <c r="E314" s="0" t="n"/>
      <c r="F314" s="0" t="n"/>
      <c r="G314" s="0" t="n"/>
    </row>
    <row r="315" ht="15.6" customHeight="1" s="1097">
      <c r="A315" s="528" t="inlineStr">
        <is>
          <t>【在未纳入合并财务报表范围的结构化主体中有权益的，应披露在财务报表中确认的与权益相关资产和负债的账面价值及其列报项目，最大损失敞口及确认方法，提供财务支持或其他支持的类型金额及原因或意图。</t>
        </is>
      </c>
      <c r="B315" s="0" t="n"/>
      <c r="C315" s="0" t="n"/>
      <c r="D315" s="0" t="n"/>
      <c r="E315" s="0" t="n"/>
      <c r="F315" s="0" t="n"/>
      <c r="G315" s="0" t="n"/>
    </row>
    <row r="316" ht="15.6" customHeight="1" s="1097">
      <c r="A316" s="528" t="inlineStr">
        <is>
          <t>发起设立未纳入合并财务报表范围的结构化主体，在该结构化主体中没有权益的，应披露作为该结构化主体发起人的认定依据，分类披露当期从该结构化主体获得的收益及其类型，当期转移至该结构化主体的所有资产的账面价值。】</t>
        </is>
      </c>
      <c r="B316" s="0" t="n"/>
      <c r="C316" s="0" t="n"/>
      <c r="D316" s="0" t="n"/>
      <c r="E316" s="0" t="n"/>
      <c r="F316" s="0" t="n"/>
      <c r="G316" s="0" t="n"/>
    </row>
    <row r="317" ht="15.6" customHeight="1" s="1097">
      <c r="A317" s="528" t="inlineStr">
        <is>
          <t>①未纳入合并范围的结构化主体的基础信息</t>
        </is>
      </c>
      <c r="B317" s="0" t="n"/>
      <c r="C317" s="0" t="n"/>
      <c r="D317" s="0" t="n"/>
      <c r="E317" s="0" t="n"/>
      <c r="F317" s="0" t="n"/>
      <c r="G317" s="0" t="n"/>
    </row>
    <row r="318" ht="15.6" customHeight="1" s="1097">
      <c r="A318" s="528" t="inlineStr">
        <is>
          <t>（未纳入合并财务报表范围的结构化主体的性质、目的、规模、活动及融资方式。）</t>
        </is>
      </c>
      <c r="B318" s="0" t="n"/>
      <c r="C318" s="0" t="n"/>
      <c r="D318" s="0" t="n"/>
      <c r="E318" s="0" t="n"/>
      <c r="F318" s="0" t="n"/>
      <c r="G318" s="0" t="n"/>
    </row>
    <row r="319" ht="15.6" customHeight="1" s="1097">
      <c r="A319" s="528" t="inlineStr">
        <is>
          <t>②与权益相关资产负债的账面价值和最大损失敞口</t>
        </is>
      </c>
      <c r="B319" s="0" t="n"/>
      <c r="C319" s="0" t="n"/>
      <c r="D319" s="0" t="n"/>
      <c r="E319" s="0" t="n"/>
      <c r="F319" s="0" t="n"/>
      <c r="G319" s="0" t="n"/>
    </row>
    <row r="320" ht="15.6" customHeight="1" s="1097">
      <c r="A320" s="528" t="inlineStr">
        <is>
          <t>A.在财务报表中确认的与企业在未纳入合并财务报表范围的结构化主体中权益相关的资产和负债的账面价值及其在资产负债表中的列报项目。</t>
        </is>
      </c>
      <c r="B320" s="0" t="n"/>
      <c r="C320" s="0" t="n"/>
      <c r="D320" s="0" t="n"/>
      <c r="E320" s="0" t="n"/>
      <c r="F320" s="0" t="n"/>
      <c r="G320" s="0" t="n"/>
    </row>
    <row r="321" ht="15.6" customHeight="1" s="1097">
      <c r="A321" s="528" t="inlineStr">
        <is>
          <t>B.在未纳入合并财务报表范围的结构化主体中权益的最大损失敞口及其确定方法。企业不能量化最大损失敞口的，应当披露这一事实及其原因。</t>
        </is>
      </c>
      <c r="B321" s="0" t="n"/>
      <c r="C321" s="0" t="n"/>
      <c r="D321" s="0" t="n"/>
      <c r="E321" s="0" t="n"/>
      <c r="F321" s="0" t="n"/>
      <c r="G321" s="0" t="n"/>
    </row>
    <row r="322" ht="16.2" customHeight="1" s="1097" thickBot="1">
      <c r="A322" s="528" t="inlineStr">
        <is>
          <t>C.在财务报表中确认的与企业在未纳入合并财务报表范围的结构化主体中权益相关的资产和负债的账面价值与其最大损失敞口的比较。</t>
        </is>
      </c>
      <c r="B322" s="0" t="n"/>
      <c r="C322" s="0" t="n"/>
      <c r="D322" s="0" t="n"/>
      <c r="E322" s="0" t="n"/>
      <c r="F322" s="0" t="n"/>
      <c r="G322" s="0" t="n"/>
    </row>
    <row r="323" ht="13.5" customHeight="1" s="1097">
      <c r="A323" s="1142" t="inlineStr">
        <is>
          <t>项目</t>
        </is>
      </c>
      <c r="B323" s="878" t="inlineStr">
        <is>
          <t>发起</t>
        </is>
      </c>
      <c r="C323" s="883" t="inlineStr">
        <is>
          <t>期末数</t>
        </is>
      </c>
      <c r="D323" s="1144" t="n"/>
      <c r="E323" s="883" t="inlineStr">
        <is>
          <t>期初数</t>
        </is>
      </c>
      <c r="F323" s="1144" t="n"/>
      <c r="G323" s="1145" t="inlineStr">
        <is>
          <t>列报项目</t>
        </is>
      </c>
    </row>
    <row r="324" ht="15" customHeight="1" s="1097" thickBot="1">
      <c r="A324" s="1146" t="n"/>
      <c r="B324" s="880" t="inlineStr">
        <is>
          <t>规模</t>
        </is>
      </c>
      <c r="C324" s="880" t="inlineStr">
        <is>
          <t>账面价值</t>
        </is>
      </c>
      <c r="D324" s="880" t="inlineStr">
        <is>
          <t>最大损失敞口</t>
        </is>
      </c>
      <c r="E324" s="880" t="inlineStr">
        <is>
          <t>账面价值</t>
        </is>
      </c>
      <c r="F324" s="880" t="inlineStr">
        <is>
          <t>最大损失敞口</t>
        </is>
      </c>
      <c r="G324" s="1146" t="n"/>
    </row>
    <row r="325" ht="14.4" customHeight="1" s="1097">
      <c r="A325" s="423" t="inlineStr">
        <is>
          <t>优先级债券</t>
        </is>
      </c>
      <c r="B325" s="424" t="n"/>
      <c r="C325" s="424" t="n"/>
      <c r="D325" s="424" t="n"/>
      <c r="E325" s="424" t="n"/>
      <c r="F325" s="424" t="n"/>
      <c r="G325" s="424" t="n"/>
    </row>
    <row r="326" ht="14.4" customHeight="1" s="1097">
      <c r="A326" s="423" t="inlineStr">
        <is>
          <t>次级债券</t>
        </is>
      </c>
      <c r="B326" s="424" t="n"/>
      <c r="C326" s="424" t="n"/>
      <c r="D326" s="424" t="n"/>
      <c r="E326" s="424" t="n"/>
      <c r="F326" s="424" t="n"/>
      <c r="G326" s="424" t="n"/>
    </row>
    <row r="327" ht="28.8" customHeight="1" s="1097">
      <c r="A327" s="423" t="inlineStr">
        <is>
          <t>信用违约互换（负债）</t>
        </is>
      </c>
      <c r="B327" s="424" t="n"/>
      <c r="C327" s="424" t="n"/>
      <c r="D327" s="424" t="n"/>
      <c r="E327" s="424" t="n"/>
      <c r="F327" s="424" t="n"/>
      <c r="G327" s="424" t="n"/>
    </row>
    <row r="328" ht="14.4" customHeight="1" s="1097" thickBot="1">
      <c r="A328" s="480" t="inlineStr">
        <is>
          <t>……</t>
        </is>
      </c>
      <c r="B328" s="427" t="n"/>
      <c r="C328" s="427" t="n"/>
      <c r="D328" s="427" t="n"/>
      <c r="E328" s="427" t="n"/>
      <c r="F328" s="427" t="n"/>
      <c r="G328" s="427" t="n"/>
    </row>
    <row r="329" ht="15.6" customHeight="1" s="1097">
      <c r="A329" s="528" t="inlineStr">
        <is>
          <t>D.为结构化主体的发起人但在结构化主体中没有权益的情况</t>
        </is>
      </c>
      <c r="B329" s="0" t="n"/>
      <c r="C329" s="0" t="n"/>
      <c r="D329" s="0" t="n"/>
      <c r="E329" s="0" t="n"/>
      <c r="F329" s="0" t="n"/>
      <c r="G329" s="0" t="n"/>
    </row>
    <row r="330" ht="15.6" customHeight="1" s="1097">
      <c r="A330" s="528" t="inlineStr">
        <is>
          <t>企业发起设立未纳入合并财务报表范围的结构化主体，但资产负债表日在该结构化主体中没有权益的，应披露相关原因。企业不需要披露上述（1）至（2）项要求的信息，但应当披露：</t>
        </is>
      </c>
      <c r="B330" s="0" t="n"/>
      <c r="C330" s="0" t="n"/>
      <c r="D330" s="0" t="n"/>
      <c r="E330" s="0" t="n"/>
      <c r="F330" s="0" t="n"/>
      <c r="G330" s="0" t="n"/>
    </row>
    <row r="331" ht="15.6" customHeight="1" s="1097">
      <c r="A331" s="528" t="inlineStr">
        <is>
          <t>企业作为该结构化主体发起人的认定依据；</t>
        </is>
      </c>
      <c r="B331" s="0" t="n"/>
      <c r="C331" s="0" t="n"/>
      <c r="D331" s="0" t="n"/>
      <c r="E331" s="0" t="n"/>
      <c r="F331" s="0" t="n"/>
      <c r="G331" s="0" t="n"/>
    </row>
    <row r="332" ht="15.6" customHeight="1" s="1097">
      <c r="A332" s="528" t="inlineStr">
        <is>
          <t>【存在下列情况的，可能说明企业是结构化主体的发起人：</t>
        </is>
      </c>
      <c r="B332" s="0" t="n"/>
      <c r="C332" s="0" t="n"/>
      <c r="D332" s="0" t="n"/>
      <c r="E332" s="0" t="n"/>
      <c r="F332" s="0" t="n"/>
      <c r="G332" s="0" t="n"/>
    </row>
    <row r="333" ht="15.6" customHeight="1" s="1097">
      <c r="A333" s="528" t="inlineStr">
        <is>
          <t>①企业单独创建了结构化主体；</t>
        </is>
      </c>
      <c r="B333" s="0" t="n"/>
      <c r="C333" s="0" t="n"/>
      <c r="D333" s="0" t="n"/>
      <c r="E333" s="0" t="n"/>
      <c r="F333" s="0" t="n"/>
      <c r="G333" s="0" t="n"/>
    </row>
    <row r="334" ht="15.6" customHeight="1" s="1097">
      <c r="A334" s="528" t="inlineStr">
        <is>
          <t>②企业参与创建结构化主体，并参与结构化设计的过程；</t>
        </is>
      </c>
      <c r="B334" s="0" t="n"/>
      <c r="C334" s="0" t="n"/>
      <c r="D334" s="0" t="n"/>
      <c r="E334" s="0" t="n"/>
      <c r="F334" s="0" t="n"/>
      <c r="G334" s="0" t="n"/>
    </row>
    <row r="335" ht="15.6" customHeight="1" s="1097">
      <c r="A335" s="528" t="inlineStr">
        <is>
          <t>③企业是结构化主体的最主要的服务对象，例如，结构化主体为企业提供资金，或者结构化主体所从事的业务活动是企业主要业务活动的组成部分，企业即使没有发起结构化主体，自身也要开展这些业务活动；</t>
        </is>
      </c>
      <c r="B335" s="0" t="n"/>
      <c r="C335" s="0" t="n"/>
      <c r="D335" s="0" t="n"/>
      <c r="E335" s="0" t="n"/>
      <c r="F335" s="0" t="n"/>
      <c r="G335" s="0" t="n"/>
    </row>
    <row r="336" ht="15.6" customHeight="1" s="1097">
      <c r="A336" s="528" t="inlineStr">
        <is>
          <t>④企业的名称出现在结构化主体的名称或结构化主体发行的证券的名称中；</t>
        </is>
      </c>
      <c r="B336" s="0" t="n"/>
      <c r="C336" s="0" t="n"/>
      <c r="D336" s="0" t="n"/>
      <c r="E336" s="0" t="n"/>
      <c r="F336" s="0" t="n"/>
      <c r="G336" s="0" t="n"/>
    </row>
    <row r="337" ht="15.6" customHeight="1" s="1097">
      <c r="A337" s="528" t="inlineStr">
        <is>
          <t>⑤其他能够说明企业是结构化主体发起人的情形。】</t>
        </is>
      </c>
      <c r="B337" s="0" t="n"/>
      <c r="C337" s="0" t="n"/>
      <c r="D337" s="0" t="n"/>
      <c r="E337" s="0" t="n"/>
      <c r="F337" s="0" t="n"/>
      <c r="G337" s="0" t="n"/>
    </row>
    <row r="338" ht="15.6" customHeight="1" s="1097">
      <c r="A338" s="528" t="inlineStr">
        <is>
          <t xml:space="preserve">并分类披露企业当期从该结构化主体获得的收益、收益类型，以及转移至该结构化主体的所有资产在转移时的账面价值。 </t>
        </is>
      </c>
      <c r="B338" s="0" t="n"/>
      <c r="C338" s="0" t="n"/>
      <c r="D338" s="0" t="n"/>
      <c r="E338" s="0" t="n"/>
      <c r="F338" s="0" t="n"/>
      <c r="G338" s="0" t="n"/>
    </row>
    <row r="339" ht="16.2" customHeight="1" s="1097" thickBot="1">
      <c r="A339" s="528" t="inlineStr">
        <is>
          <t>本公司发起多个结构化主体，但在结构化中均不持有权益。2023年，本公司从发起的结构化主体获得收益的情况以及当期向结构化主体转移资产的情况如下表所示：</t>
        </is>
      </c>
      <c r="B339" s="0" t="n"/>
      <c r="C339" s="0" t="n"/>
      <c r="D339" s="0" t="n"/>
      <c r="E339" s="0" t="n"/>
      <c r="F339" s="0" t="n"/>
      <c r="G339" s="0" t="n"/>
    </row>
    <row r="340" ht="15.6" customHeight="1" s="1097">
      <c r="A340" s="895" t="inlineStr">
        <is>
          <t>结构化主体</t>
        </is>
      </c>
      <c r="B340" s="883" t="inlineStr">
        <is>
          <t>当期从结构化主体获得的收益</t>
        </is>
      </c>
      <c r="C340" s="1144" t="n"/>
      <c r="D340" s="1144" t="n"/>
      <c r="E340" s="1145" t="inlineStr">
        <is>
          <t>当期向结构化主体转移资产账面价值</t>
        </is>
      </c>
      <c r="F340" s="0" t="n"/>
      <c r="G340" s="0" t="n"/>
    </row>
    <row r="341" ht="43.8" customHeight="1" s="1097" thickBot="1">
      <c r="A341" s="897" t="inlineStr">
        <is>
          <t>类型</t>
        </is>
      </c>
      <c r="B341" s="880" t="inlineStr">
        <is>
          <t>服务收费</t>
        </is>
      </c>
      <c r="C341" s="880" t="inlineStr">
        <is>
          <t>向结构化主体出售资产的利得（损失）</t>
        </is>
      </c>
      <c r="D341" s="880" t="inlineStr">
        <is>
          <t>合计</t>
        </is>
      </c>
      <c r="E341" s="1146" t="n"/>
      <c r="F341" s="0" t="n"/>
      <c r="G341" s="0" t="n"/>
    </row>
    <row r="342" ht="15.6" customHeight="1" s="1097">
      <c r="A342" s="423" t="inlineStr">
        <is>
          <t>信用资产证券化</t>
        </is>
      </c>
      <c r="B342" s="424" t="n"/>
      <c r="C342" s="424" t="n"/>
      <c r="D342" s="424" t="n"/>
      <c r="E342" s="424" t="n"/>
      <c r="F342" s="0" t="n"/>
      <c r="G342" s="0" t="n"/>
    </row>
    <row r="343" ht="15.6" customHeight="1" s="1097">
      <c r="A343" s="423" t="inlineStr">
        <is>
          <t>投资基金</t>
        </is>
      </c>
      <c r="B343" s="424" t="n"/>
      <c r="C343" s="424" t="n"/>
      <c r="D343" s="424" t="n"/>
      <c r="E343" s="424" t="n"/>
      <c r="F343" s="0" t="n"/>
      <c r="G343" s="0" t="n"/>
    </row>
    <row r="344" ht="16.2" customHeight="1" s="1097" thickBot="1">
      <c r="A344" s="480" t="inlineStr">
        <is>
          <t>……</t>
        </is>
      </c>
      <c r="B344" s="427" t="n"/>
      <c r="C344" s="427" t="n"/>
      <c r="D344" s="427" t="n"/>
      <c r="E344" s="427" t="n"/>
      <c r="F344" s="0" t="n"/>
      <c r="G344" s="0" t="n"/>
    </row>
    <row r="345" ht="16.2" customHeight="1" s="1097" thickBot="1">
      <c r="A345" s="897" t="inlineStr">
        <is>
          <t>合  计</t>
        </is>
      </c>
      <c r="B345" s="429" t="n"/>
      <c r="C345" s="429" t="n"/>
      <c r="D345" s="429" t="n"/>
      <c r="E345" s="429" t="n"/>
      <c r="F345" s="0" t="n"/>
      <c r="G345" s="0" t="n"/>
    </row>
    <row r="346" ht="15.6" customHeight="1" s="1097">
      <c r="A346" s="528" t="inlineStr">
        <is>
          <t>③向未纳入合并财务报表范围的结构化主体提供支持的情况</t>
        </is>
      </c>
      <c r="B346" s="0" t="n"/>
      <c r="C346" s="0" t="n"/>
      <c r="D346" s="0" t="n"/>
      <c r="E346" s="0" t="n"/>
      <c r="F346" s="0" t="n"/>
      <c r="G346" s="0" t="n"/>
    </row>
    <row r="347" ht="15.6" customHeight="1" s="1097">
      <c r="A347" s="528" t="inlineStr">
        <is>
          <t>（披露向未纳入合并财务报表范围的结构化主体提供财务支持或其他支持的意图，包括帮助该结构化主体获得财务支持的意图。在没有合同约定的情况下，披露提供支持的类型、金额及原因，包括帮助该结构化主体获得财务支持的情况。）</t>
        </is>
      </c>
      <c r="B347" s="0" t="n"/>
      <c r="C347" s="0" t="n"/>
      <c r="D347" s="0" t="n"/>
      <c r="E347" s="0" t="n"/>
      <c r="F347" s="0" t="n"/>
      <c r="G347" s="0" t="n"/>
    </row>
    <row r="348" ht="15.6" customHeight="1" s="1097">
      <c r="A348" s="528" t="inlineStr">
        <is>
          <t>④未纳入合并财务报表范围的结构化主体的额外信息披露</t>
        </is>
      </c>
      <c r="B348" s="0" t="n"/>
      <c r="C348" s="0" t="n"/>
      <c r="D348" s="0" t="n"/>
      <c r="E348" s="0" t="n"/>
      <c r="F348" s="0" t="n"/>
      <c r="G348" s="0" t="n"/>
    </row>
    <row r="349" ht="15.6" customHeight="1" s="1097">
      <c r="A349" s="528" t="inlineStr">
        <is>
          <t>A.合同约定企业在特定情况下需要向未纳入合并财务报表范围的结构化主体提供财务支持或其他支持的，披露相关的合同条款及有关信息。</t>
        </is>
      </c>
      <c r="B349" s="0" t="n"/>
      <c r="C349" s="0" t="n"/>
      <c r="D349" s="0" t="n"/>
      <c r="E349" s="0" t="n"/>
      <c r="F349" s="0" t="n"/>
      <c r="G349" s="0" t="n"/>
    </row>
    <row r="350" ht="15.6" customHeight="1" s="1097">
      <c r="A350" s="528" t="inlineStr">
        <is>
          <t>B.因在未纳入合并财务报表范围的结构化主体中持有权益而当期遭受损失的，披露损失的金额，包括计入当期损益的金额和计入其他综合收益的金额。</t>
        </is>
      </c>
      <c r="B350" s="0" t="n"/>
      <c r="C350" s="0" t="n"/>
      <c r="D350" s="0" t="n"/>
      <c r="E350" s="0" t="n"/>
      <c r="F350" s="0" t="n"/>
      <c r="G350" s="0" t="n"/>
    </row>
    <row r="351" ht="15.6" customHeight="1" s="1097">
      <c r="A351" s="528" t="inlineStr">
        <is>
          <t>C.因在未纳入合并财务报表范围的结构化主体中持有权益，如果当期取得与该权益相关的收益，披露收益的类型。收益类型包括：服务费；利息收入；利息分配收入；处置债券或股权的收益；以及向结构化主体转移资产取得的收益等。</t>
        </is>
      </c>
      <c r="B351" s="0" t="n"/>
      <c r="C351" s="0" t="n"/>
      <c r="D351" s="0" t="n"/>
      <c r="E351" s="0" t="n"/>
      <c r="F351" s="0" t="n"/>
      <c r="G351" s="0" t="n"/>
    </row>
    <row r="352" ht="15.6" customHeight="1" s="1097">
      <c r="A352" s="528" t="inlineStr">
        <is>
          <t>D.在合同约定企业和其他主体需要承担未纳入合并财务报表范围结构化主体的损失的情况下，披露企业和其他主体需要承担损失的最大限额以及承担损失的先后顺序。</t>
        </is>
      </c>
      <c r="B352" s="0" t="n"/>
      <c r="C352" s="0" t="n"/>
      <c r="D352" s="0" t="n"/>
      <c r="E352" s="0" t="n"/>
      <c r="F352" s="0" t="n"/>
      <c r="G352" s="0" t="n"/>
    </row>
    <row r="353" ht="15.6" customHeight="1" s="1097">
      <c r="A353" s="528" t="inlineStr">
        <is>
          <t>E.披露第三方提供的、对企业在未纳入合并财务报表范围的结构化主体中权益的公允价值或风险可能产生影响的流动性支持、担保、承诺等。</t>
        </is>
      </c>
      <c r="B353" s="0" t="n"/>
      <c r="C353" s="0" t="n"/>
      <c r="D353" s="0" t="n"/>
      <c r="E353" s="0" t="n"/>
      <c r="F353" s="0" t="n"/>
      <c r="G353" s="0" t="n"/>
    </row>
    <row r="354" ht="15.6" customHeight="1" s="1097">
      <c r="A354" s="528" t="inlineStr">
        <is>
          <t>F.披露当期未纳入合并财务报表范围的结构化主体在融资活动中遇到的困难，主要是指债务融资或股权融资遇到的困难。</t>
        </is>
      </c>
      <c r="B354" s="0" t="n"/>
      <c r="C354" s="0" t="n"/>
      <c r="D354" s="0" t="n"/>
      <c r="E354" s="0" t="n"/>
      <c r="F354" s="0" t="n"/>
      <c r="G354" s="0" t="n"/>
    </row>
    <row r="355" ht="15.6" customHeight="1" s="1097">
      <c r="A355" s="528" t="inlineStr">
        <is>
          <t>G.披露与未纳入合并财务报表范围的结构化主体融资业务有关的信息，包括融资形式（例如商业票据、中长期票据）及其加权平均期限。当结构化主体投资长期资产但资金来源于短期负债时，分析该结构化主体资产和负债的期限结构，并披露这一情况。）</t>
        </is>
      </c>
      <c r="B355" s="0" t="n"/>
      <c r="C355" s="0" t="n"/>
      <c r="D355" s="0" t="n"/>
      <c r="E355" s="0" t="n"/>
      <c r="F355" s="0" t="n"/>
      <c r="G355" s="0" t="n"/>
    </row>
  </sheetData>
  <mergeCells count="187">
    <mergeCell ref="A174:F174"/>
    <mergeCell ref="E323:F323"/>
    <mergeCell ref="E139:F139"/>
    <mergeCell ref="A139:B140"/>
    <mergeCell ref="A64:B64"/>
    <mergeCell ref="C62:D62"/>
    <mergeCell ref="C210:C211"/>
    <mergeCell ref="A98:B98"/>
    <mergeCell ref="A73:B73"/>
    <mergeCell ref="A255:L255"/>
    <mergeCell ref="E62:F62"/>
    <mergeCell ref="A191:B191"/>
    <mergeCell ref="C98:D98"/>
    <mergeCell ref="A291:B291"/>
    <mergeCell ref="A88:B88"/>
    <mergeCell ref="A70:B70"/>
    <mergeCell ref="A241:B241"/>
    <mergeCell ref="A122:B123"/>
    <mergeCell ref="E87:F87"/>
    <mergeCell ref="A175:F175"/>
    <mergeCell ref="A90:B90"/>
    <mergeCell ref="A283:B283"/>
    <mergeCell ref="A99:B99"/>
    <mergeCell ref="A277:B277"/>
    <mergeCell ref="A292:B292"/>
    <mergeCell ref="A286:B286"/>
    <mergeCell ref="E229:F229"/>
    <mergeCell ref="A236:B236"/>
    <mergeCell ref="G229:H229"/>
    <mergeCell ref="A267:B267"/>
    <mergeCell ref="A285:B285"/>
    <mergeCell ref="A101:B101"/>
    <mergeCell ref="F122:F123"/>
    <mergeCell ref="A306:B306"/>
    <mergeCell ref="A195:B195"/>
    <mergeCell ref="A251:B251"/>
    <mergeCell ref="A204:B204"/>
    <mergeCell ref="I129:I131"/>
    <mergeCell ref="A269:B269"/>
    <mergeCell ref="A188:B188"/>
    <mergeCell ref="A259:B259"/>
    <mergeCell ref="A311:B311"/>
    <mergeCell ref="A231:B231"/>
    <mergeCell ref="A206:B206"/>
    <mergeCell ref="A262:B262"/>
    <mergeCell ref="A109:B109"/>
    <mergeCell ref="A240:B240"/>
    <mergeCell ref="A271:B272"/>
    <mergeCell ref="C129:C131"/>
    <mergeCell ref="A68:B68"/>
    <mergeCell ref="A190:B190"/>
    <mergeCell ref="L129:L131"/>
    <mergeCell ref="A245:B245"/>
    <mergeCell ref="A256:L256"/>
    <mergeCell ref="A232:B232"/>
    <mergeCell ref="G257:H257"/>
    <mergeCell ref="E122:E123"/>
    <mergeCell ref="A103:B103"/>
    <mergeCell ref="A287:B287"/>
    <mergeCell ref="A281:B281"/>
    <mergeCell ref="A87:B87"/>
    <mergeCell ref="G243:H243"/>
    <mergeCell ref="A210:A211"/>
    <mergeCell ref="A208:B208"/>
    <mergeCell ref="A268:B268"/>
    <mergeCell ref="A89:B89"/>
    <mergeCell ref="A282:B282"/>
    <mergeCell ref="G62:H62"/>
    <mergeCell ref="A192:B192"/>
    <mergeCell ref="A105:B105"/>
    <mergeCell ref="D210:K210"/>
    <mergeCell ref="K129:K131"/>
    <mergeCell ref="M129:M131"/>
    <mergeCell ref="C139:D139"/>
    <mergeCell ref="A302:B302"/>
    <mergeCell ref="A71:B71"/>
    <mergeCell ref="A194:B194"/>
    <mergeCell ref="I98:J98"/>
    <mergeCell ref="A307:B307"/>
    <mergeCell ref="K98:L98"/>
    <mergeCell ref="A203:B203"/>
    <mergeCell ref="A234:B234"/>
    <mergeCell ref="E340:E341"/>
    <mergeCell ref="A176:F176"/>
    <mergeCell ref="A91:B91"/>
    <mergeCell ref="A226:L226"/>
    <mergeCell ref="A100:B100"/>
    <mergeCell ref="A93:B93"/>
    <mergeCell ref="A228:L228"/>
    <mergeCell ref="A102:B102"/>
    <mergeCell ref="C229:D229"/>
    <mergeCell ref="A261:B261"/>
    <mergeCell ref="A276:B276"/>
    <mergeCell ref="A92:B92"/>
    <mergeCell ref="A252:L252"/>
    <mergeCell ref="A284:B284"/>
    <mergeCell ref="G130:H130"/>
    <mergeCell ref="A207:B207"/>
    <mergeCell ref="A94:B94"/>
    <mergeCell ref="B129:B131"/>
    <mergeCell ref="F129:H129"/>
    <mergeCell ref="D129:D131"/>
    <mergeCell ref="A69:B69"/>
    <mergeCell ref="A2:L2"/>
    <mergeCell ref="A205:B205"/>
    <mergeCell ref="B210:B211"/>
    <mergeCell ref="C271:D271"/>
    <mergeCell ref="A65:B65"/>
    <mergeCell ref="L210:L211"/>
    <mergeCell ref="G323:G324"/>
    <mergeCell ref="A181:F181"/>
    <mergeCell ref="A246:B246"/>
    <mergeCell ref="A254:L254"/>
    <mergeCell ref="A193:B193"/>
    <mergeCell ref="A264:B264"/>
    <mergeCell ref="A62:B63"/>
    <mergeCell ref="A233:B233"/>
    <mergeCell ref="A273:B273"/>
    <mergeCell ref="E129:E131"/>
    <mergeCell ref="A301:B301"/>
    <mergeCell ref="A239:B239"/>
    <mergeCell ref="G87:H87"/>
    <mergeCell ref="I87:J87"/>
    <mergeCell ref="A248:B248"/>
    <mergeCell ref="A104:B104"/>
    <mergeCell ref="C257:D257"/>
    <mergeCell ref="E257:F257"/>
    <mergeCell ref="A235:B235"/>
    <mergeCell ref="A257:B258"/>
    <mergeCell ref="I62:J62"/>
    <mergeCell ref="G122:J122"/>
    <mergeCell ref="C122:C123"/>
    <mergeCell ref="A247:B247"/>
    <mergeCell ref="A312:B312"/>
    <mergeCell ref="A290:B290"/>
    <mergeCell ref="A106:B106"/>
    <mergeCell ref="M210:M211"/>
    <mergeCell ref="A96:B96"/>
    <mergeCell ref="A280:B280"/>
    <mergeCell ref="A274:B274"/>
    <mergeCell ref="A107:L107"/>
    <mergeCell ref="C243:D243"/>
    <mergeCell ref="E243:F243"/>
    <mergeCell ref="A243:B244"/>
    <mergeCell ref="A297:D297"/>
    <mergeCell ref="A202:B202"/>
    <mergeCell ref="A67:B67"/>
    <mergeCell ref="A227:L227"/>
    <mergeCell ref="A266:B266"/>
    <mergeCell ref="A260:B260"/>
    <mergeCell ref="A275:B275"/>
    <mergeCell ref="E98:F98"/>
    <mergeCell ref="G98:H98"/>
    <mergeCell ref="A250:B250"/>
    <mergeCell ref="A197:B197"/>
    <mergeCell ref="A129:A131"/>
    <mergeCell ref="A237:B237"/>
    <mergeCell ref="J129:J131"/>
    <mergeCell ref="A187:B187"/>
    <mergeCell ref="A196:B196"/>
    <mergeCell ref="A185:F185"/>
    <mergeCell ref="D122:D123"/>
    <mergeCell ref="A66:B66"/>
    <mergeCell ref="A189:B189"/>
    <mergeCell ref="A253:L253"/>
    <mergeCell ref="A198:B198"/>
    <mergeCell ref="A238:B238"/>
    <mergeCell ref="B340:D340"/>
    <mergeCell ref="A95:B95"/>
    <mergeCell ref="A229:B230"/>
    <mergeCell ref="F130:F131"/>
    <mergeCell ref="A323:A324"/>
    <mergeCell ref="A263:B263"/>
    <mergeCell ref="E271:F271"/>
    <mergeCell ref="G271:H271"/>
    <mergeCell ref="A72:B72"/>
    <mergeCell ref="A199:B199"/>
    <mergeCell ref="A265:B265"/>
    <mergeCell ref="A1:L1"/>
    <mergeCell ref="A225:L225"/>
    <mergeCell ref="A288:B288"/>
    <mergeCell ref="A249:B249"/>
    <mergeCell ref="K62:L62"/>
    <mergeCell ref="A289:B289"/>
    <mergeCell ref="K87:L87"/>
    <mergeCell ref="C87:D87"/>
    <mergeCell ref="C323:D323"/>
  </mergeCells>
  <pageMargins left="0.7086614173228347" right="0.7086614173228347" top="0.7480314960629921" bottom="0.7480314960629921" header="0.3149606299212598" footer="0.3149606299212598"/>
  <pageSetup orientation="portrait" paperSize="9" fitToHeight="0"/>
  <headerFooter>
    <oddHeader/>
    <oddFooter>&amp;C&amp;P/&amp;N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BB103"/>
  <sheetViews>
    <sheetView view="pageBreakPreview" zoomScaleSheetLayoutView="100" workbookViewId="0">
      <selection activeCell="A1" sqref="A1:S1"/>
    </sheetView>
  </sheetViews>
  <sheetFormatPr baseColWidth="8" defaultColWidth="9" defaultRowHeight="13.8" outlineLevelCol="0"/>
  <cols>
    <col width="4.5" customWidth="1" style="2" min="1" max="1"/>
    <col width="18.796875" customWidth="1" style="2" min="2" max="2"/>
    <col width="13.5" customWidth="1" style="2" min="3" max="3"/>
    <col width="8.5" customWidth="1" style="2" min="4" max="4"/>
    <col width="9.69921875" customWidth="1" style="2" min="5" max="5"/>
    <col width="5.19921875" customWidth="1" style="2" min="6" max="6"/>
    <col width="10.09765625" customWidth="1" style="2" min="7" max="7"/>
    <col width="8.5" customWidth="1" style="2" min="8" max="8"/>
    <col width="11.69921875" customWidth="1" style="2" min="9" max="9"/>
    <col width="8.19921875" customWidth="1" style="2" min="10" max="10"/>
    <col width="8.3984375" customWidth="1" style="2" min="11" max="11"/>
    <col width="8.59765625" customWidth="1" style="2" min="12" max="12"/>
    <col width="8.8984375" customWidth="1" style="2" min="13" max="13"/>
    <col width="11" customWidth="1" style="2" min="14" max="14"/>
    <col width="8.8984375" customWidth="1" style="2" min="15" max="15"/>
    <col width="9.19921875" customWidth="1" style="2" min="16" max="16"/>
    <col width="8.19921875" customWidth="1" style="2" min="17" max="17"/>
    <col width="11.59765625" customWidth="1" style="2" min="18" max="18"/>
    <col width="8.8984375" customWidth="1" style="2" min="19" max="19"/>
    <col width="9" customWidth="1" style="2" min="20" max="20"/>
    <col width="9.8984375" customWidth="1" style="2" min="21" max="21"/>
    <col width="9" customWidth="1" style="2" min="22" max="16384"/>
  </cols>
  <sheetData>
    <row r="1" ht="19.95" customFormat="1" customHeight="1" s="625">
      <c r="A1" s="942" t="inlineStr">
        <is>
          <t>致同会计师事务所</t>
        </is>
      </c>
      <c r="U1" s="623" t="n"/>
      <c r="V1" s="942" t="inlineStr">
        <is>
          <t>致同会计师事务所</t>
        </is>
      </c>
      <c r="AN1" s="942" t="inlineStr">
        <is>
          <t>致同会计师事务所</t>
        </is>
      </c>
    </row>
    <row r="2" ht="19.95" customFormat="1" customHeight="1" s="636">
      <c r="A2" s="943" t="inlineStr">
        <is>
          <t>长期股权投资明细表</t>
        </is>
      </c>
      <c r="U2" s="634" t="n"/>
      <c r="V2" s="943" t="inlineStr">
        <is>
          <t>长期股权投资明细表</t>
        </is>
      </c>
      <c r="AN2" s="943" t="inlineStr">
        <is>
          <t>长期股权投资明细表</t>
        </is>
      </c>
    </row>
    <row r="3" ht="19.95" customFormat="1" customHeight="1" s="207">
      <c r="A3" s="207">
        <f>底稿目录!A2</f>
        <v/>
      </c>
      <c r="C3" s="207">
        <f>底稿目录!A4</f>
        <v/>
      </c>
      <c r="D3" s="208" t="n"/>
      <c r="E3" s="229">
        <f>底稿目录!A5</f>
        <v/>
      </c>
      <c r="I3" s="207" t="inlineStr">
        <is>
          <t>索引号：</t>
        </is>
      </c>
      <c r="J3" s="1096">
        <f>底稿目录!F8</f>
        <v/>
      </c>
      <c r="L3" s="207">
        <f>A3</f>
        <v/>
      </c>
      <c r="M3" s="229" t="n"/>
      <c r="P3" s="207">
        <f>C3</f>
        <v/>
      </c>
      <c r="R3" s="229">
        <f>E3</f>
        <v/>
      </c>
      <c r="T3" s="207">
        <f>I3</f>
        <v/>
      </c>
      <c r="U3" s="683">
        <f>J3</f>
        <v/>
      </c>
      <c r="V3" s="207">
        <f>底稿目录!A2</f>
        <v/>
      </c>
      <c r="AA3" s="207">
        <f>底稿目录!A4</f>
        <v/>
      </c>
      <c r="AB3" s="229" t="n"/>
      <c r="AC3" s="229" t="n"/>
      <c r="AE3" s="229">
        <f>底稿目录!A5</f>
        <v/>
      </c>
      <c r="AL3" s="207" t="inlineStr">
        <is>
          <t>索引号：</t>
        </is>
      </c>
      <c r="AM3" s="1096">
        <f>底稿目录!F8</f>
        <v/>
      </c>
      <c r="AN3" s="207">
        <f>底稿目录!A2</f>
        <v/>
      </c>
      <c r="AP3" s="229" t="n"/>
      <c r="AQ3" s="229" t="n"/>
      <c r="AS3" s="207">
        <f>底稿目录!A4</f>
        <v/>
      </c>
      <c r="AX3" s="229">
        <f>底稿目录!A5</f>
        <v/>
      </c>
      <c r="AY3" s="229" t="n"/>
      <c r="BA3" s="207" t="inlineStr">
        <is>
          <t>索引号：</t>
        </is>
      </c>
      <c r="BB3" s="1096">
        <f>底稿目录!F8</f>
        <v/>
      </c>
    </row>
    <row r="4" ht="19.95" customFormat="1" customHeight="1" s="207">
      <c r="A4" s="207">
        <f>底稿目录!A3</f>
        <v/>
      </c>
      <c r="C4" s="207">
        <f>底稿目录!A6</f>
        <v/>
      </c>
      <c r="D4" s="208" t="n"/>
      <c r="E4" s="229">
        <f>底稿目录!A7</f>
        <v/>
      </c>
      <c r="I4" s="207" t="inlineStr">
        <is>
          <t>页 次：</t>
        </is>
      </c>
      <c r="L4" s="207">
        <f>A4</f>
        <v/>
      </c>
      <c r="M4" s="229" t="n"/>
      <c r="P4" s="207">
        <f>C4</f>
        <v/>
      </c>
      <c r="R4" s="229">
        <f>E4</f>
        <v/>
      </c>
      <c r="T4" s="207">
        <f>I4</f>
        <v/>
      </c>
      <c r="U4" s="207">
        <f>J4</f>
        <v/>
      </c>
      <c r="V4" s="207">
        <f>底稿目录!A3</f>
        <v/>
      </c>
      <c r="AA4" s="207">
        <f>底稿目录!A6</f>
        <v/>
      </c>
      <c r="AB4" s="229" t="n"/>
      <c r="AC4" s="229" t="n"/>
      <c r="AE4" s="229">
        <f>底稿目录!A7</f>
        <v/>
      </c>
      <c r="AL4" s="207" t="inlineStr">
        <is>
          <t>页次：</t>
        </is>
      </c>
      <c r="AN4" s="207">
        <f>底稿目录!A3</f>
        <v/>
      </c>
      <c r="AP4" s="229" t="n"/>
      <c r="AQ4" s="229" t="n"/>
      <c r="AS4" s="207">
        <f>底稿目录!A6</f>
        <v/>
      </c>
      <c r="AX4" s="229">
        <f>底稿目录!A7</f>
        <v/>
      </c>
      <c r="AY4" s="229" t="n"/>
      <c r="BA4" s="207" t="inlineStr">
        <is>
          <t>页次：</t>
        </is>
      </c>
    </row>
    <row r="5" ht="19.95" customHeight="1" s="1097">
      <c r="A5" s="611" t="inlineStr">
        <is>
          <t>一、审计目标：</t>
        </is>
      </c>
      <c r="B5" s="682" t="n"/>
      <c r="C5" s="682" t="n"/>
      <c r="D5" s="682" t="n"/>
      <c r="E5" s="682" t="n"/>
      <c r="F5" s="682" t="n"/>
      <c r="G5" s="682" t="n"/>
      <c r="H5" s="682" t="n"/>
      <c r="I5" s="682" t="n"/>
      <c r="J5" s="682" t="n"/>
      <c r="K5" s="682" t="n"/>
      <c r="L5" s="611">
        <f>A5</f>
        <v/>
      </c>
      <c r="M5" s="682" t="n"/>
      <c r="N5" s="682" t="n"/>
      <c r="O5" s="682" t="n"/>
      <c r="P5" s="682" t="n"/>
      <c r="Q5" s="682" t="n"/>
      <c r="R5" s="682" t="n"/>
      <c r="S5" s="682" t="n"/>
      <c r="T5" s="682" t="n"/>
      <c r="U5" s="682" t="n"/>
      <c r="V5" s="2">
        <f>L5</f>
        <v/>
      </c>
      <c r="AN5" s="2">
        <f>V5</f>
        <v/>
      </c>
    </row>
    <row r="6" ht="19.95" customHeight="1" s="1097">
      <c r="A6" s="611" t="inlineStr">
        <is>
          <t>1.资产负债表中记录的长期股权投资是存在的，且已经记录在恰当的账户中；</t>
        </is>
      </c>
      <c r="B6" s="682" t="n"/>
      <c r="C6" s="682" t="n"/>
      <c r="D6" s="682" t="n"/>
      <c r="E6" s="682" t="n"/>
      <c r="F6" s="682" t="n"/>
      <c r="G6" s="682" t="n"/>
      <c r="H6" s="682" t="n"/>
      <c r="I6" s="682" t="n"/>
      <c r="J6" s="682" t="n"/>
      <c r="K6" s="682" t="n"/>
      <c r="L6" s="611" t="inlineStr">
        <is>
          <t>1.资产负债表中记录的长期股权投资是存在的，且已经记录在恰当的账户中；</t>
        </is>
      </c>
      <c r="M6" s="682" t="n"/>
      <c r="N6" s="682" t="n"/>
      <c r="O6" s="682" t="n"/>
      <c r="P6" s="682" t="n"/>
      <c r="Q6" s="682" t="n"/>
      <c r="R6" s="682" t="n"/>
      <c r="S6" s="682" t="n"/>
      <c r="T6" s="682" t="n"/>
      <c r="U6" s="682" t="n"/>
      <c r="V6" s="2">
        <f>L6</f>
        <v/>
      </c>
      <c r="AN6" s="2">
        <f>V6</f>
        <v/>
      </c>
    </row>
    <row r="7" ht="19.95" customHeight="1" s="1097">
      <c r="A7" s="611" t="inlineStr">
        <is>
          <t>2.所有应记录的长期股权投资均已记录，所有应当包括在财务报表中的相关披露均已包括；</t>
        </is>
      </c>
      <c r="B7" s="682" t="n"/>
      <c r="C7" s="682" t="n"/>
      <c r="D7" s="682" t="n"/>
      <c r="E7" s="682" t="n"/>
      <c r="F7" s="682" t="n"/>
      <c r="G7" s="682" t="n"/>
      <c r="H7" s="682" t="n"/>
      <c r="I7" s="682" t="n"/>
      <c r="J7" s="682" t="n"/>
      <c r="K7" s="682" t="n"/>
      <c r="L7" s="611" t="inlineStr">
        <is>
          <t>2.所有应记录的长期股权投资均已记录，所有应当包括在财务报表中的相关披露均已包括；</t>
        </is>
      </c>
      <c r="M7" s="682" t="n"/>
      <c r="N7" s="682" t="n"/>
      <c r="O7" s="682" t="n"/>
      <c r="P7" s="682" t="n"/>
      <c r="Q7" s="682" t="n"/>
      <c r="R7" s="682" t="n"/>
      <c r="S7" s="682" t="n"/>
      <c r="T7" s="682" t="n"/>
      <c r="U7" s="682" t="n"/>
      <c r="V7" s="2">
        <f>L7</f>
        <v/>
      </c>
      <c r="AN7" s="2">
        <f>V7</f>
        <v/>
      </c>
    </row>
    <row r="8" ht="19.95" customHeight="1" s="1097">
      <c r="A8" s="611" t="inlineStr">
        <is>
          <t>3.长期股权投资以恰当的金额包括在财务报表中，与之相关的计价或分摊调整已恰当记录，相关披露已得到恰当计量和描述；</t>
        </is>
      </c>
      <c r="B8" s="682" t="n"/>
      <c r="C8" s="682" t="n"/>
      <c r="D8" s="682" t="n"/>
      <c r="E8" s="682" t="n"/>
      <c r="F8" s="682" t="n"/>
      <c r="G8" s="682" t="n"/>
      <c r="H8" s="682" t="n"/>
      <c r="I8" s="682" t="n"/>
      <c r="J8" s="682" t="n"/>
      <c r="K8" s="682" t="n"/>
      <c r="L8" s="611" t="inlineStr">
        <is>
          <t>3.长期股权投资以恰当的金额包括在财务报表中，与之相关的计价或分摊调整已恰当记录，相关披露已得到恰当计量和描述；</t>
        </is>
      </c>
      <c r="M8" s="682" t="n"/>
      <c r="N8" s="682" t="n"/>
      <c r="O8" s="682" t="n"/>
      <c r="P8" s="682" t="n"/>
      <c r="Q8" s="682" t="n"/>
      <c r="R8" s="682" t="n"/>
      <c r="S8" s="682" t="n"/>
      <c r="T8" s="682" t="n"/>
      <c r="U8" s="682" t="n"/>
      <c r="V8" s="2">
        <f>L8</f>
        <v/>
      </c>
      <c r="AN8" s="2">
        <f>V8</f>
        <v/>
      </c>
    </row>
    <row r="9" ht="19.95" customHeight="1" s="1097">
      <c r="A9" s="611" t="inlineStr">
        <is>
          <t>4.记录的长期股权投资由被审计单位拥有或控制</t>
        </is>
      </c>
      <c r="B9" s="682" t="n"/>
      <c r="C9" s="682" t="n"/>
      <c r="D9" s="682" t="n"/>
      <c r="E9" s="682" t="n"/>
      <c r="F9" s="682" t="n"/>
      <c r="G9" s="682" t="n"/>
      <c r="H9" s="682" t="n"/>
      <c r="I9" s="682" t="n"/>
      <c r="J9" s="682" t="n"/>
      <c r="K9" s="682" t="n"/>
      <c r="L9" s="611" t="inlineStr">
        <is>
          <t>4.记录的长期股权投资由被审计单位拥有或控制</t>
        </is>
      </c>
      <c r="M9" s="682" t="n"/>
      <c r="N9" s="682" t="n"/>
      <c r="O9" s="682" t="n"/>
      <c r="P9" s="682" t="n"/>
      <c r="Q9" s="682" t="n"/>
      <c r="R9" s="682" t="n"/>
      <c r="S9" s="682" t="n"/>
      <c r="T9" s="682" t="n"/>
      <c r="U9" s="682" t="n"/>
      <c r="V9" s="2">
        <f>L9</f>
        <v/>
      </c>
      <c r="AN9" s="2">
        <f>V9</f>
        <v/>
      </c>
    </row>
    <row r="10" ht="19.95" customHeight="1" s="1097">
      <c r="A10" s="37" t="inlineStr">
        <is>
          <t>二、审计过程</t>
        </is>
      </c>
      <c r="B10" s="304" t="n"/>
      <c r="C10" s="304" t="n"/>
      <c r="L10" s="611">
        <f>A10</f>
        <v/>
      </c>
      <c r="V10" s="2">
        <f>L10</f>
        <v/>
      </c>
      <c r="AN10" s="2">
        <f>V10</f>
        <v/>
      </c>
    </row>
    <row r="11" ht="25.8" customHeight="1" s="1097">
      <c r="A11" s="940" t="inlineStr">
        <is>
          <t>提示：与被审计单位人员讨论确定是否存在被投资单位由于所在国家和地区及其他方面的影响，其向被审计单位转移资金的能力受到限制的情况，如存在，应详细记录受限情况，并提请被审计单位充分披露</t>
        </is>
      </c>
      <c r="B11" s="0" t="n"/>
      <c r="C11" s="0" t="n"/>
      <c r="D11" s="0" t="n"/>
      <c r="E11" s="0" t="n"/>
      <c r="F11" s="0" t="n"/>
      <c r="G11" s="0" t="n"/>
      <c r="H11" s="0" t="n"/>
      <c r="I11" s="0" t="n"/>
      <c r="J11" s="0" t="n"/>
      <c r="K11" s="0" t="n"/>
      <c r="L11" s="940">
        <f>A11</f>
        <v/>
      </c>
      <c r="M11" s="0" t="n"/>
      <c r="N11" s="0" t="n"/>
      <c r="O11" s="0" t="n"/>
      <c r="P11" s="0" t="n"/>
      <c r="Q11" s="0" t="n"/>
      <c r="R11" s="0" t="n"/>
      <c r="S11" s="0" t="n"/>
      <c r="T11" s="0" t="n"/>
      <c r="U11" s="0" t="n"/>
      <c r="V11" s="18">
        <f>L11</f>
        <v/>
      </c>
      <c r="W11" s="841" t="n"/>
      <c r="X11" s="841" t="n"/>
      <c r="Y11" s="841" t="n"/>
      <c r="Z11" s="841" t="n"/>
      <c r="AA11" s="841" t="n"/>
      <c r="AB11" s="841" t="n"/>
      <c r="AC11" s="841" t="n"/>
      <c r="AD11" s="841" t="n"/>
      <c r="AE11" s="841" t="n"/>
      <c r="AF11" s="841" t="n"/>
      <c r="AG11" s="841" t="n"/>
      <c r="AH11" s="841" t="n"/>
      <c r="AI11" s="841" t="n"/>
      <c r="AJ11" s="841" t="n"/>
      <c r="AK11" s="841" t="n"/>
      <c r="AL11" s="841" t="n"/>
      <c r="AM11" s="841" t="n"/>
      <c r="AN11" s="941">
        <f>V11</f>
        <v/>
      </c>
      <c r="AO11" s="0" t="n"/>
      <c r="AP11" s="0" t="n"/>
      <c r="AQ11" s="0" t="n"/>
      <c r="AR11" s="0" t="n"/>
      <c r="AS11" s="0" t="n"/>
      <c r="AT11" s="0" t="n"/>
      <c r="AU11" s="0" t="n"/>
      <c r="AV11" s="0" t="n"/>
      <c r="AW11" s="0" t="n"/>
      <c r="AX11" s="0" t="n"/>
      <c r="AY11" s="0" t="n"/>
      <c r="AZ11" s="0" t="n"/>
      <c r="BA11" s="0" t="n"/>
      <c r="BB11" s="0" t="n"/>
    </row>
    <row r="12" ht="19.95" customHeight="1" s="1097">
      <c r="A12" s="23" t="inlineStr">
        <is>
          <t>（一）按成本法核算的长期股权投资</t>
        </is>
      </c>
      <c r="L12" s="23" t="inlineStr">
        <is>
          <t>（一）按成本法核算的长期股权投资</t>
        </is>
      </c>
      <c r="V12" s="23" t="inlineStr">
        <is>
          <t>（一）按成本法核算的长期股权投资</t>
        </is>
      </c>
    </row>
    <row r="13" ht="19.95" customHeight="1" s="1097">
      <c r="A13" s="944" t="inlineStr">
        <is>
          <t>序号</t>
        </is>
      </c>
      <c r="B13" s="944" t="inlineStr">
        <is>
          <t>被投资单位名称</t>
        </is>
      </c>
      <c r="C13" s="1207" t="n"/>
      <c r="D13" s="1207" t="n"/>
      <c r="E13" s="1208" t="n"/>
      <c r="F13" s="944" t="inlineStr">
        <is>
          <t>初始投资成本</t>
        </is>
      </c>
      <c r="G13" s="1208" t="n"/>
      <c r="H13" s="944" t="inlineStr">
        <is>
          <t>投资比例</t>
        </is>
      </c>
      <c r="I13" s="944" t="inlineStr">
        <is>
          <t>投资时间</t>
        </is>
      </c>
      <c r="J13" s="944" t="inlineStr">
        <is>
          <t>投资方式</t>
        </is>
      </c>
      <c r="K13" s="944" t="inlineStr">
        <is>
          <t>本期现金红利</t>
        </is>
      </c>
      <c r="L13" s="948" t="inlineStr">
        <is>
          <t>未审数</t>
        </is>
      </c>
      <c r="M13" s="1103" t="n"/>
      <c r="N13" s="1103" t="n"/>
      <c r="O13" s="1103" t="n"/>
      <c r="P13" s="1103" t="n"/>
      <c r="Q13" s="1103" t="n"/>
      <c r="R13" s="1103" t="n"/>
      <c r="S13" s="1103" t="n"/>
      <c r="T13" s="1103" t="n"/>
      <c r="U13" s="1104" t="n"/>
      <c r="V13" s="948" t="inlineStr">
        <is>
          <t>期初调整</t>
        </is>
      </c>
      <c r="W13" s="1104" t="n"/>
      <c r="X13" s="948" t="inlineStr">
        <is>
          <t>账项调整</t>
        </is>
      </c>
      <c r="Y13" s="1104" t="n"/>
      <c r="Z13" s="948" t="inlineStr">
        <is>
          <t>重分类调整</t>
        </is>
      </c>
      <c r="AA13" s="1104" t="n"/>
      <c r="AB13" s="948" t="inlineStr">
        <is>
          <t>审定数</t>
        </is>
      </c>
      <c r="AC13" s="1103" t="n"/>
      <c r="AD13" s="1103" t="n"/>
      <c r="AE13" s="1103" t="n"/>
      <c r="AF13" s="1103" t="n"/>
      <c r="AG13" s="1103" t="n"/>
      <c r="AH13" s="1103" t="n"/>
      <c r="AI13" s="1104" t="n"/>
    </row>
    <row r="14" ht="19.95" customHeight="1" s="1097">
      <c r="A14" s="1209" t="n"/>
      <c r="B14" s="1210" t="n"/>
      <c r="C14" s="0" t="n"/>
      <c r="D14" s="0" t="n"/>
      <c r="E14" s="1211" t="n"/>
      <c r="F14" s="1210" t="n"/>
      <c r="G14" s="1211" t="n"/>
      <c r="H14" s="1209" t="n"/>
      <c r="I14" s="1209" t="n"/>
      <c r="J14" s="1209" t="n"/>
      <c r="K14" s="1209" t="n"/>
      <c r="L14" s="948" t="inlineStr">
        <is>
          <t>期初余额</t>
        </is>
      </c>
      <c r="M14" s="1104" t="n"/>
      <c r="N14" s="944" t="inlineStr">
        <is>
          <t>本期增加</t>
        </is>
      </c>
      <c r="O14" s="1103" t="n"/>
      <c r="P14" s="1104" t="n"/>
      <c r="Q14" s="948" t="inlineStr">
        <is>
          <t>本期减少</t>
        </is>
      </c>
      <c r="R14" s="1103" t="n"/>
      <c r="S14" s="1104" t="n"/>
      <c r="T14" s="948" t="inlineStr">
        <is>
          <t>期末余额</t>
        </is>
      </c>
      <c r="U14" s="1104" t="n"/>
      <c r="V14" s="948" t="inlineStr">
        <is>
          <t>账项调整</t>
        </is>
      </c>
      <c r="W14" s="948" t="inlineStr">
        <is>
          <t>重分类调整</t>
        </is>
      </c>
      <c r="X14" s="948" t="inlineStr">
        <is>
          <t>本期增加</t>
        </is>
      </c>
      <c r="Y14" s="948" t="inlineStr">
        <is>
          <t>本期减少</t>
        </is>
      </c>
      <c r="Z14" s="948" t="inlineStr">
        <is>
          <t>本期增加</t>
        </is>
      </c>
      <c r="AA14" s="948" t="inlineStr">
        <is>
          <t>本期减少</t>
        </is>
      </c>
      <c r="AB14" s="948" t="inlineStr">
        <is>
          <t>期初余额</t>
        </is>
      </c>
      <c r="AC14" s="1104" t="n"/>
      <c r="AD14" s="944" t="inlineStr">
        <is>
          <t>本期增加</t>
        </is>
      </c>
      <c r="AE14" s="1104" t="n"/>
      <c r="AF14" s="948" t="inlineStr">
        <is>
          <t>本期减少</t>
        </is>
      </c>
      <c r="AG14" s="1104" t="n"/>
      <c r="AH14" s="948" t="inlineStr">
        <is>
          <t>期末余额</t>
        </is>
      </c>
      <c r="AI14" s="1104" t="n"/>
    </row>
    <row r="15" ht="19.95" customHeight="1" s="1097">
      <c r="A15" s="1106" t="n"/>
      <c r="B15" s="1212" t="n"/>
      <c r="C15" s="1213" t="n"/>
      <c r="D15" s="1213" t="n"/>
      <c r="E15" s="1214" t="n"/>
      <c r="F15" s="1212" t="n"/>
      <c r="G15" s="1214" t="n"/>
      <c r="H15" s="1106" t="n"/>
      <c r="I15" s="1106" t="n"/>
      <c r="J15" s="1106" t="n"/>
      <c r="K15" s="1106" t="n"/>
      <c r="L15" s="944" t="inlineStr">
        <is>
          <t>投资比例</t>
        </is>
      </c>
      <c r="M15" s="944" t="inlineStr">
        <is>
          <t>金额</t>
        </is>
      </c>
      <c r="N15" s="944" t="inlineStr">
        <is>
          <t>投资比例</t>
        </is>
      </c>
      <c r="O15" s="944" t="inlineStr">
        <is>
          <t>金额</t>
        </is>
      </c>
      <c r="P15" s="944" t="inlineStr">
        <is>
          <t>索引号</t>
        </is>
      </c>
      <c r="Q15" s="944" t="inlineStr">
        <is>
          <t>投资比例</t>
        </is>
      </c>
      <c r="R15" s="944" t="inlineStr">
        <is>
          <t>金额</t>
        </is>
      </c>
      <c r="S15" s="944" t="inlineStr">
        <is>
          <t>索引号</t>
        </is>
      </c>
      <c r="T15" s="944" t="inlineStr">
        <is>
          <t>投资比例</t>
        </is>
      </c>
      <c r="U15" s="944" t="inlineStr">
        <is>
          <t>金额</t>
        </is>
      </c>
      <c r="V15" s="1106" t="n"/>
      <c r="W15" s="1106" t="n"/>
      <c r="X15" s="1106" t="n"/>
      <c r="Y15" s="1106" t="n"/>
      <c r="Z15" s="1106" t="n"/>
      <c r="AA15" s="1106" t="n"/>
      <c r="AB15" s="944" t="inlineStr">
        <is>
          <t>投资比例</t>
        </is>
      </c>
      <c r="AC15" s="944" t="inlineStr">
        <is>
          <t>金额</t>
        </is>
      </c>
      <c r="AD15" s="944" t="inlineStr">
        <is>
          <t>投资比例</t>
        </is>
      </c>
      <c r="AE15" s="944" t="inlineStr">
        <is>
          <t>金额</t>
        </is>
      </c>
      <c r="AF15" s="944" t="inlineStr">
        <is>
          <t>投资比例</t>
        </is>
      </c>
      <c r="AG15" s="944" t="inlineStr">
        <is>
          <t>金额</t>
        </is>
      </c>
      <c r="AH15" s="944" t="inlineStr">
        <is>
          <t>投资比例</t>
        </is>
      </c>
      <c r="AI15" s="944" t="inlineStr">
        <is>
          <t>金额</t>
        </is>
      </c>
    </row>
    <row r="16" ht="19.95" customHeight="1" s="1097">
      <c r="A16" s="710" t="n">
        <v>1</v>
      </c>
      <c r="B16" s="290" t="n"/>
      <c r="C16" s="290" t="n"/>
      <c r="D16" s="290" t="n"/>
      <c r="E16" s="290" t="n"/>
      <c r="F16" s="290" t="n"/>
      <c r="G16" s="1215" t="n"/>
      <c r="H16" s="711" t="n"/>
      <c r="I16" s="712" t="n"/>
      <c r="J16" s="1216" t="n"/>
      <c r="K16" s="1215" t="n"/>
      <c r="L16" s="714" t="n"/>
      <c r="M16" s="1215" t="n"/>
      <c r="N16" s="714" t="n"/>
      <c r="O16" s="1215" t="n"/>
      <c r="P16" s="1215" t="n"/>
      <c r="Q16" s="715" t="n"/>
      <c r="R16" s="1217" t="n"/>
      <c r="S16" s="1215" t="n"/>
      <c r="T16" s="717">
        <f>L16+N16-Q16</f>
        <v/>
      </c>
      <c r="U16" s="1218">
        <f>M16+O16-R16</f>
        <v/>
      </c>
      <c r="V16" s="289" t="n"/>
      <c r="W16" s="289" t="n"/>
      <c r="X16" s="289" t="n"/>
      <c r="Y16" s="289" t="n"/>
      <c r="Z16" s="289" t="n"/>
      <c r="AA16" s="289" t="n"/>
      <c r="AB16" s="717">
        <f>L16</f>
        <v/>
      </c>
      <c r="AC16" s="1218">
        <f>M16+V16+W16</f>
        <v/>
      </c>
      <c r="AD16" s="717">
        <f>N16</f>
        <v/>
      </c>
      <c r="AE16" s="1218">
        <f>O16+X16+Z16</f>
        <v/>
      </c>
      <c r="AF16" s="717">
        <f>Q16</f>
        <v/>
      </c>
      <c r="AG16" s="1218">
        <f>R16+Y16+AA16</f>
        <v/>
      </c>
      <c r="AH16" s="717">
        <f>AB16+AD16-AF16</f>
        <v/>
      </c>
      <c r="AI16" s="1218">
        <f>AC16+AE16-AG16</f>
        <v/>
      </c>
    </row>
    <row r="17" ht="19.95" customHeight="1" s="1097">
      <c r="A17" s="710" t="n">
        <v>2</v>
      </c>
      <c r="B17" s="290" t="n"/>
      <c r="C17" s="290" t="n"/>
      <c r="D17" s="290" t="n"/>
      <c r="E17" s="290" t="n"/>
      <c r="F17" s="290" t="n"/>
      <c r="G17" s="1215" t="n"/>
      <c r="H17" s="711" t="n"/>
      <c r="I17" s="712" t="n"/>
      <c r="J17" s="1216" t="n"/>
      <c r="K17" s="1215" t="n"/>
      <c r="L17" s="714" t="n"/>
      <c r="M17" s="1215" t="n"/>
      <c r="N17" s="714" t="n"/>
      <c r="O17" s="1215" t="n"/>
      <c r="P17" s="1215" t="n"/>
      <c r="Q17" s="715" t="n"/>
      <c r="R17" s="1217" t="n"/>
      <c r="S17" s="1215" t="n"/>
      <c r="T17" s="717">
        <f>L17+N17-Q17</f>
        <v/>
      </c>
      <c r="U17" s="1218">
        <f>M17+O17-R17</f>
        <v/>
      </c>
      <c r="V17" s="289" t="n"/>
      <c r="W17" s="289" t="n"/>
      <c r="X17" s="289" t="n"/>
      <c r="Y17" s="289" t="n"/>
      <c r="Z17" s="289" t="n"/>
      <c r="AA17" s="289" t="n"/>
      <c r="AB17" s="717">
        <f>L17</f>
        <v/>
      </c>
      <c r="AC17" s="1218">
        <f>M17+V17+W17</f>
        <v/>
      </c>
      <c r="AD17" s="717">
        <f>N17</f>
        <v/>
      </c>
      <c r="AE17" s="1218">
        <f>O17+X17+Z17</f>
        <v/>
      </c>
      <c r="AF17" s="717">
        <f>Q17</f>
        <v/>
      </c>
      <c r="AG17" s="1218">
        <f>R17+Y17+AA17</f>
        <v/>
      </c>
      <c r="AH17" s="717">
        <f>AB17+AD17-AF17</f>
        <v/>
      </c>
      <c r="AI17" s="1218">
        <f>AC17+AE17-AG17</f>
        <v/>
      </c>
    </row>
    <row r="18" ht="19.95" customHeight="1" s="1097">
      <c r="A18" s="710" t="n">
        <v>3</v>
      </c>
      <c r="B18" s="290" t="n"/>
      <c r="C18" s="290" t="n"/>
      <c r="D18" s="290" t="n"/>
      <c r="E18" s="290" t="n"/>
      <c r="F18" s="290" t="n"/>
      <c r="G18" s="1215" t="n"/>
      <c r="H18" s="711" t="n"/>
      <c r="I18" s="712" t="n"/>
      <c r="J18" s="1216" t="n"/>
      <c r="K18" s="1215" t="n"/>
      <c r="L18" s="714" t="n"/>
      <c r="M18" s="1215" t="n"/>
      <c r="N18" s="714" t="n"/>
      <c r="O18" s="1215" t="n"/>
      <c r="P18" s="1215" t="n"/>
      <c r="Q18" s="715" t="n"/>
      <c r="R18" s="1217" t="n"/>
      <c r="S18" s="1215" t="n"/>
      <c r="T18" s="717">
        <f>L18+N18-Q18</f>
        <v/>
      </c>
      <c r="U18" s="1218">
        <f>M18+O18-R18</f>
        <v/>
      </c>
      <c r="V18" s="289" t="n"/>
      <c r="W18" s="289" t="n"/>
      <c r="X18" s="289" t="n"/>
      <c r="Y18" s="289" t="n"/>
      <c r="Z18" s="289" t="n"/>
      <c r="AA18" s="289" t="n"/>
      <c r="AB18" s="717">
        <f>L18</f>
        <v/>
      </c>
      <c r="AC18" s="1218">
        <f>M18+V18+W18</f>
        <v/>
      </c>
      <c r="AD18" s="717">
        <f>N18</f>
        <v/>
      </c>
      <c r="AE18" s="1218">
        <f>O18+X18+Z18</f>
        <v/>
      </c>
      <c r="AF18" s="717">
        <f>Q18</f>
        <v/>
      </c>
      <c r="AG18" s="1218">
        <f>R18+Y18+AA18</f>
        <v/>
      </c>
      <c r="AH18" s="717">
        <f>AB18+AD18-AF18</f>
        <v/>
      </c>
      <c r="AI18" s="1218">
        <f>AC18+AE18-AG18</f>
        <v/>
      </c>
    </row>
    <row r="19" ht="19.95" customHeight="1" s="1097">
      <c r="A19" s="710" t="n">
        <v>4</v>
      </c>
      <c r="B19" s="290" t="n"/>
      <c r="C19" s="290" t="n"/>
      <c r="D19" s="290" t="n"/>
      <c r="E19" s="290" t="n"/>
      <c r="F19" s="290" t="n"/>
      <c r="G19" s="1215" t="n"/>
      <c r="H19" s="711" t="n"/>
      <c r="I19" s="712" t="n"/>
      <c r="J19" s="1216" t="n"/>
      <c r="K19" s="1215" t="n"/>
      <c r="L19" s="714" t="n"/>
      <c r="M19" s="1215" t="n"/>
      <c r="N19" s="714" t="n"/>
      <c r="O19" s="1215" t="n"/>
      <c r="P19" s="1215" t="n"/>
      <c r="Q19" s="715" t="n"/>
      <c r="R19" s="1217" t="n"/>
      <c r="S19" s="1215" t="n"/>
      <c r="T19" s="717">
        <f>L19+N19-Q19</f>
        <v/>
      </c>
      <c r="U19" s="1218">
        <f>M19+O19-R19</f>
        <v/>
      </c>
      <c r="V19" s="289" t="n"/>
      <c r="W19" s="289" t="n"/>
      <c r="X19" s="289" t="n"/>
      <c r="Y19" s="289" t="n"/>
      <c r="Z19" s="289" t="n"/>
      <c r="AA19" s="289" t="n"/>
      <c r="AB19" s="717">
        <f>L19</f>
        <v/>
      </c>
      <c r="AC19" s="1218">
        <f>M19+V19+W19</f>
        <v/>
      </c>
      <c r="AD19" s="717">
        <f>N19</f>
        <v/>
      </c>
      <c r="AE19" s="1218">
        <f>O19+X19+Z19</f>
        <v/>
      </c>
      <c r="AF19" s="717">
        <f>Q19</f>
        <v/>
      </c>
      <c r="AG19" s="1218">
        <f>R19+Y19+AA19</f>
        <v/>
      </c>
      <c r="AH19" s="717">
        <f>AB19+AD19-AF19</f>
        <v/>
      </c>
      <c r="AI19" s="1218">
        <f>AC19+AE19-AG19</f>
        <v/>
      </c>
    </row>
    <row r="20" ht="19.95" customHeight="1" s="1097">
      <c r="A20" s="710" t="n">
        <v>5</v>
      </c>
      <c r="B20" s="290" t="n"/>
      <c r="C20" s="290" t="n"/>
      <c r="D20" s="290" t="n"/>
      <c r="E20" s="290" t="n"/>
      <c r="F20" s="290" t="n"/>
      <c r="G20" s="1215" t="n"/>
      <c r="H20" s="711" t="n"/>
      <c r="I20" s="712" t="n"/>
      <c r="J20" s="1216" t="n"/>
      <c r="K20" s="1215" t="n"/>
      <c r="L20" s="714" t="n"/>
      <c r="M20" s="1215" t="n"/>
      <c r="N20" s="714" t="n"/>
      <c r="O20" s="1215" t="n"/>
      <c r="P20" s="1215" t="n"/>
      <c r="Q20" s="715" t="n"/>
      <c r="R20" s="1217" t="n"/>
      <c r="S20" s="1215" t="n"/>
      <c r="T20" s="717">
        <f>L20+N20-Q20</f>
        <v/>
      </c>
      <c r="U20" s="1218">
        <f>M20+O20-R20</f>
        <v/>
      </c>
      <c r="V20" s="289" t="n"/>
      <c r="W20" s="289" t="n"/>
      <c r="X20" s="289" t="n"/>
      <c r="Y20" s="289" t="n"/>
      <c r="Z20" s="289" t="n"/>
      <c r="AA20" s="289" t="n"/>
      <c r="AB20" s="717">
        <f>L20</f>
        <v/>
      </c>
      <c r="AC20" s="1218">
        <f>M20+V20+W20</f>
        <v/>
      </c>
      <c r="AD20" s="717">
        <f>N20</f>
        <v/>
      </c>
      <c r="AE20" s="1218">
        <f>O20+X20+Z20</f>
        <v/>
      </c>
      <c r="AF20" s="717">
        <f>Q20</f>
        <v/>
      </c>
      <c r="AG20" s="1218">
        <f>R20+Y20+AA20</f>
        <v/>
      </c>
      <c r="AH20" s="717">
        <f>AB20+AD20-AF20</f>
        <v/>
      </c>
      <c r="AI20" s="1218">
        <f>AC20+AE20-AG20</f>
        <v/>
      </c>
    </row>
    <row r="21" ht="19.95" customHeight="1" s="1097">
      <c r="A21" s="710" t="n">
        <v>6</v>
      </c>
      <c r="B21" s="290" t="n"/>
      <c r="C21" s="290" t="n"/>
      <c r="D21" s="290" t="n"/>
      <c r="E21" s="290" t="n"/>
      <c r="F21" s="290" t="n"/>
      <c r="G21" s="1215" t="n"/>
      <c r="H21" s="711" t="n"/>
      <c r="I21" s="712" t="n"/>
      <c r="J21" s="1216" t="n"/>
      <c r="K21" s="1215" t="n"/>
      <c r="L21" s="714" t="n"/>
      <c r="M21" s="1215" t="n"/>
      <c r="N21" s="714" t="n"/>
      <c r="O21" s="1215" t="n"/>
      <c r="P21" s="1215" t="n"/>
      <c r="Q21" s="715" t="n"/>
      <c r="R21" s="1217" t="n"/>
      <c r="S21" s="1215" t="n"/>
      <c r="T21" s="717">
        <f>L21+N21-Q21</f>
        <v/>
      </c>
      <c r="U21" s="1218">
        <f>M21+O21-R21</f>
        <v/>
      </c>
      <c r="V21" s="289" t="n"/>
      <c r="W21" s="289" t="n"/>
      <c r="X21" s="289" t="n"/>
      <c r="Y21" s="289" t="n"/>
      <c r="Z21" s="289" t="n"/>
      <c r="AA21" s="289" t="n"/>
      <c r="AB21" s="717">
        <f>L21</f>
        <v/>
      </c>
      <c r="AC21" s="1218">
        <f>M21+V21+W21</f>
        <v/>
      </c>
      <c r="AD21" s="717">
        <f>N21</f>
        <v/>
      </c>
      <c r="AE21" s="1218">
        <f>O21+X21+Z21</f>
        <v/>
      </c>
      <c r="AF21" s="717">
        <f>Q21</f>
        <v/>
      </c>
      <c r="AG21" s="1218">
        <f>R21+Y21+AA21</f>
        <v/>
      </c>
      <c r="AH21" s="717">
        <f>AB21+AD21-AF21</f>
        <v/>
      </c>
      <c r="AI21" s="1218">
        <f>AC21+AE21-AG21</f>
        <v/>
      </c>
    </row>
    <row r="22" ht="19.95" customHeight="1" s="1097">
      <c r="A22" s="710" t="n">
        <v>7</v>
      </c>
      <c r="B22" s="290" t="n"/>
      <c r="C22" s="290" t="n"/>
      <c r="D22" s="290" t="n"/>
      <c r="E22" s="290" t="n"/>
      <c r="F22" s="290" t="n"/>
      <c r="G22" s="1215" t="n"/>
      <c r="H22" s="711" t="n"/>
      <c r="I22" s="712" t="n"/>
      <c r="J22" s="1216" t="n"/>
      <c r="K22" s="1215" t="n"/>
      <c r="L22" s="714" t="n"/>
      <c r="M22" s="1215" t="n"/>
      <c r="N22" s="714" t="n"/>
      <c r="O22" s="1215" t="n"/>
      <c r="P22" s="1215" t="n"/>
      <c r="Q22" s="715" t="n"/>
      <c r="R22" s="1217" t="n"/>
      <c r="S22" s="1215" t="n"/>
      <c r="T22" s="717">
        <f>L22+N22-Q22</f>
        <v/>
      </c>
      <c r="U22" s="1218">
        <f>M22+O22-R22</f>
        <v/>
      </c>
      <c r="V22" s="289" t="n"/>
      <c r="W22" s="289" t="n"/>
      <c r="X22" s="289" t="n"/>
      <c r="Y22" s="289" t="n"/>
      <c r="Z22" s="289" t="n"/>
      <c r="AA22" s="289" t="n"/>
      <c r="AB22" s="717">
        <f>L22</f>
        <v/>
      </c>
      <c r="AC22" s="1218">
        <f>M22+V22+W22</f>
        <v/>
      </c>
      <c r="AD22" s="717">
        <f>N22</f>
        <v/>
      </c>
      <c r="AE22" s="1218">
        <f>O22+X22+Z22</f>
        <v/>
      </c>
      <c r="AF22" s="717">
        <f>Q22</f>
        <v/>
      </c>
      <c r="AG22" s="1218">
        <f>R22+Y22+AA22</f>
        <v/>
      </c>
      <c r="AH22" s="717">
        <f>AB22+AD22-AF22</f>
        <v/>
      </c>
      <c r="AI22" s="1218">
        <f>AC22+AE22-AG22</f>
        <v/>
      </c>
    </row>
    <row r="23" ht="19.95" customHeight="1" s="1097">
      <c r="A23" s="710" t="n">
        <v>8</v>
      </c>
      <c r="B23" s="290" t="n"/>
      <c r="C23" s="290" t="n"/>
      <c r="D23" s="290" t="n"/>
      <c r="E23" s="290" t="n"/>
      <c r="F23" s="290" t="n"/>
      <c r="G23" s="1215" t="n"/>
      <c r="H23" s="711" t="n"/>
      <c r="I23" s="712" t="n"/>
      <c r="J23" s="1216" t="n"/>
      <c r="K23" s="1215" t="n"/>
      <c r="L23" s="714" t="n"/>
      <c r="M23" s="1215" t="n"/>
      <c r="N23" s="714" t="n"/>
      <c r="O23" s="1215" t="n"/>
      <c r="P23" s="1215" t="n"/>
      <c r="Q23" s="715" t="n"/>
      <c r="R23" s="1217" t="n"/>
      <c r="S23" s="1215" t="n"/>
      <c r="T23" s="717">
        <f>L23+N23-Q23</f>
        <v/>
      </c>
      <c r="U23" s="1218">
        <f>M23+O23-R23</f>
        <v/>
      </c>
      <c r="V23" s="289" t="n"/>
      <c r="W23" s="289" t="n"/>
      <c r="X23" s="289" t="n"/>
      <c r="Y23" s="289" t="n"/>
      <c r="Z23" s="289" t="n"/>
      <c r="AA23" s="289" t="n"/>
      <c r="AB23" s="717">
        <f>L23</f>
        <v/>
      </c>
      <c r="AC23" s="1218">
        <f>M23+V23+W23</f>
        <v/>
      </c>
      <c r="AD23" s="717">
        <f>N23</f>
        <v/>
      </c>
      <c r="AE23" s="1218">
        <f>O23+X23+Z23</f>
        <v/>
      </c>
      <c r="AF23" s="717">
        <f>Q23</f>
        <v/>
      </c>
      <c r="AG23" s="1218">
        <f>R23+Y23+AA23</f>
        <v/>
      </c>
      <c r="AH23" s="717">
        <f>AB23+AD23-AF23</f>
        <v/>
      </c>
      <c r="AI23" s="1218">
        <f>AC23+AE23-AG23</f>
        <v/>
      </c>
    </row>
    <row r="24" ht="19.95" customHeight="1" s="1097">
      <c r="A24" s="710" t="n">
        <v>9</v>
      </c>
      <c r="B24" s="290" t="n"/>
      <c r="C24" s="290" t="n"/>
      <c r="D24" s="290" t="n"/>
      <c r="E24" s="290" t="n"/>
      <c r="F24" s="290" t="n"/>
      <c r="G24" s="1215" t="n"/>
      <c r="H24" s="711" t="n"/>
      <c r="I24" s="712" t="n"/>
      <c r="J24" s="1216" t="n"/>
      <c r="K24" s="1215" t="n"/>
      <c r="L24" s="714" t="n"/>
      <c r="M24" s="1215" t="n"/>
      <c r="N24" s="714" t="n"/>
      <c r="O24" s="1215" t="n"/>
      <c r="P24" s="1215" t="n"/>
      <c r="Q24" s="715" t="n"/>
      <c r="R24" s="1217" t="n"/>
      <c r="S24" s="1215" t="n"/>
      <c r="T24" s="717">
        <f>L24+N24-Q24</f>
        <v/>
      </c>
      <c r="U24" s="1218">
        <f>M24+O24-R24</f>
        <v/>
      </c>
      <c r="V24" s="289" t="n"/>
      <c r="W24" s="289" t="n"/>
      <c r="X24" s="289" t="n"/>
      <c r="Y24" s="289" t="n"/>
      <c r="Z24" s="289" t="n"/>
      <c r="AA24" s="289" t="n"/>
      <c r="AB24" s="717">
        <f>L24</f>
        <v/>
      </c>
      <c r="AC24" s="1218">
        <f>M24+V24+W24</f>
        <v/>
      </c>
      <c r="AD24" s="717">
        <f>N24</f>
        <v/>
      </c>
      <c r="AE24" s="1218">
        <f>O24+X24+Z24</f>
        <v/>
      </c>
      <c r="AF24" s="717">
        <f>Q24</f>
        <v/>
      </c>
      <c r="AG24" s="1218">
        <f>R24+Y24+AA24</f>
        <v/>
      </c>
      <c r="AH24" s="717">
        <f>AB24+AD24-AF24</f>
        <v/>
      </c>
      <c r="AI24" s="1218">
        <f>AC24+AE24-AG24</f>
        <v/>
      </c>
    </row>
    <row r="25" ht="19.95" customHeight="1" s="1097">
      <c r="A25" s="710" t="n">
        <v>10</v>
      </c>
      <c r="B25" s="290" t="inlineStr">
        <is>
          <t>……</t>
        </is>
      </c>
      <c r="C25" s="290" t="n"/>
      <c r="D25" s="290" t="n"/>
      <c r="E25" s="290" t="n"/>
      <c r="F25" s="290" t="n"/>
      <c r="G25" s="1215" t="n"/>
      <c r="H25" s="711" t="n"/>
      <c r="I25" s="712" t="n"/>
      <c r="J25" s="1216" t="n"/>
      <c r="K25" s="1215" t="n"/>
      <c r="L25" s="714" t="n"/>
      <c r="M25" s="1215" t="n"/>
      <c r="N25" s="714" t="n"/>
      <c r="O25" s="1215" t="n"/>
      <c r="P25" s="1215" t="n"/>
      <c r="Q25" s="715" t="n"/>
      <c r="R25" s="1217" t="n"/>
      <c r="S25" s="1215" t="n"/>
      <c r="T25" s="717">
        <f>L25+N25-Q25</f>
        <v/>
      </c>
      <c r="U25" s="1218">
        <f>M25+O25-R25</f>
        <v/>
      </c>
      <c r="V25" s="289" t="n"/>
      <c r="W25" s="289" t="n"/>
      <c r="X25" s="289" t="n"/>
      <c r="Y25" s="289" t="n"/>
      <c r="Z25" s="289" t="n"/>
      <c r="AA25" s="289" t="n"/>
      <c r="AB25" s="717">
        <f>L25</f>
        <v/>
      </c>
      <c r="AC25" s="1218">
        <f>M25+V25+W25</f>
        <v/>
      </c>
      <c r="AD25" s="717">
        <f>N25</f>
        <v/>
      </c>
      <c r="AE25" s="1218">
        <f>O25+X25+Z25</f>
        <v/>
      </c>
      <c r="AF25" s="717">
        <f>Q25</f>
        <v/>
      </c>
      <c r="AG25" s="1218">
        <f>R25+Y25+AA25</f>
        <v/>
      </c>
      <c r="AH25" s="717">
        <f>AB25+AD25-AF25</f>
        <v/>
      </c>
      <c r="AI25" s="1218">
        <f>AC25+AE25-AG25</f>
        <v/>
      </c>
    </row>
    <row r="26" ht="19.95" customHeight="1" s="1097">
      <c r="A26" s="358" t="inlineStr">
        <is>
          <t>成本法小计</t>
        </is>
      </c>
      <c r="B26" s="358" t="n"/>
      <c r="C26" s="358" t="n"/>
      <c r="D26" s="358" t="n"/>
      <c r="E26" s="358" t="n"/>
      <c r="F26" s="719" t="n"/>
      <c r="G26" s="1219">
        <f>SUM(G16:G25)</f>
        <v/>
      </c>
      <c r="H26" s="1220" t="inlineStr">
        <is>
          <t>--</t>
        </is>
      </c>
      <c r="I26" s="1220" t="inlineStr">
        <is>
          <t>--</t>
        </is>
      </c>
      <c r="J26" s="1218" t="inlineStr">
        <is>
          <t>--</t>
        </is>
      </c>
      <c r="K26" s="1218">
        <f>SUM(K16:K25)</f>
        <v/>
      </c>
      <c r="L26" s="1220" t="inlineStr">
        <is>
          <t>--</t>
        </is>
      </c>
      <c r="M26" s="1219">
        <f>SUM(M16:M25)</f>
        <v/>
      </c>
      <c r="N26" s="1220" t="inlineStr">
        <is>
          <t>--</t>
        </is>
      </c>
      <c r="O26" s="1219">
        <f>SUM(O16:O25)</f>
        <v/>
      </c>
      <c r="P26" s="1220" t="inlineStr">
        <is>
          <t>--</t>
        </is>
      </c>
      <c r="Q26" s="1220" t="inlineStr">
        <is>
          <t>--</t>
        </is>
      </c>
      <c r="R26" s="1221">
        <f>SUM(R16:R25)</f>
        <v/>
      </c>
      <c r="S26" s="1220" t="inlineStr">
        <is>
          <t>--</t>
        </is>
      </c>
      <c r="T26" s="1220" t="inlineStr">
        <is>
          <t>--</t>
        </is>
      </c>
      <c r="U26" s="1219">
        <f>SUM(U16:U25)</f>
        <v/>
      </c>
      <c r="V26" s="1219">
        <f>SUM(V16:V25)</f>
        <v/>
      </c>
      <c r="W26" s="1219">
        <f>SUM(W16:W25)</f>
        <v/>
      </c>
      <c r="X26" s="1219">
        <f>SUM(X16:X25)</f>
        <v/>
      </c>
      <c r="Y26" s="1219">
        <f>SUM(Y16:Y25)</f>
        <v/>
      </c>
      <c r="Z26" s="1219">
        <f>SUM(Z16:Z25)</f>
        <v/>
      </c>
      <c r="AA26" s="1219">
        <f>SUM(AA16:AA25)</f>
        <v/>
      </c>
      <c r="AB26" s="1220" t="inlineStr">
        <is>
          <t>--</t>
        </is>
      </c>
      <c r="AC26" s="1219">
        <f>SUM(AC16:AC25)</f>
        <v/>
      </c>
      <c r="AD26" s="1220" t="inlineStr">
        <is>
          <t>--</t>
        </is>
      </c>
      <c r="AE26" s="1219">
        <f>SUM(AE16:AE25)</f>
        <v/>
      </c>
      <c r="AF26" s="1220" t="inlineStr">
        <is>
          <t>--</t>
        </is>
      </c>
      <c r="AG26" s="1219">
        <f>SUM(AG16:AG25)</f>
        <v/>
      </c>
      <c r="AH26" s="1220" t="inlineStr">
        <is>
          <t>--</t>
        </is>
      </c>
      <c r="AI26" s="1219">
        <f>SUM(AI16:AI25)</f>
        <v/>
      </c>
    </row>
    <row r="27" ht="19.95" customHeight="1" s="1097">
      <c r="A27" s="23" t="inlineStr">
        <is>
          <t>（二）按权益法核算的长期股权投资</t>
        </is>
      </c>
      <c r="T27" s="23" t="n"/>
      <c r="V27" s="23" t="inlineStr">
        <is>
          <t>（二）按权益法核算的长期股权投资</t>
        </is>
      </c>
      <c r="AH27" s="23" t="n"/>
      <c r="AN27" s="23" t="inlineStr">
        <is>
          <t>（二）按权益法核算的长期股权投资</t>
        </is>
      </c>
    </row>
    <row r="28" ht="19.95" customFormat="1" customHeight="1" s="4">
      <c r="A28" s="947" t="inlineStr">
        <is>
          <t>序号</t>
        </is>
      </c>
      <c r="B28" s="947" t="inlineStr">
        <is>
          <t>被投资单位名称</t>
        </is>
      </c>
      <c r="C28" s="947" t="inlineStr">
        <is>
          <t>初始投资成本</t>
        </is>
      </c>
      <c r="D28" s="947" t="inlineStr">
        <is>
          <t>投资比例</t>
        </is>
      </c>
      <c r="E28" s="947" t="inlineStr">
        <is>
          <t>投资时间</t>
        </is>
      </c>
      <c r="F28" s="947" t="inlineStr">
        <is>
          <t>投资方式</t>
        </is>
      </c>
      <c r="G28" s="945" t="inlineStr">
        <is>
          <t>未审数</t>
        </is>
      </c>
      <c r="H28" s="1103" t="n"/>
      <c r="I28" s="1103" t="n"/>
      <c r="J28" s="1103" t="n"/>
      <c r="K28" s="1103" t="n"/>
      <c r="L28" s="1103" t="n"/>
      <c r="M28" s="1103" t="n"/>
      <c r="N28" s="1103" t="n"/>
      <c r="O28" s="1103" t="n"/>
      <c r="P28" s="1103" t="n"/>
      <c r="Q28" s="1103" t="n"/>
      <c r="R28" s="1103" t="n"/>
      <c r="S28" s="1104" t="n"/>
      <c r="T28" s="727" t="n"/>
      <c r="U28" s="727" t="n"/>
      <c r="V28" s="947" t="inlineStr">
        <is>
          <t>期初调整</t>
        </is>
      </c>
      <c r="W28" s="1104" t="n"/>
      <c r="X28" s="945" t="inlineStr">
        <is>
          <t>账项调整</t>
        </is>
      </c>
      <c r="Y28" s="1103" t="n"/>
      <c r="Z28" s="1103" t="n"/>
      <c r="AA28" s="1103" t="n"/>
      <c r="AB28" s="1103" t="n"/>
      <c r="AC28" s="1103" t="n"/>
      <c r="AD28" s="1103" t="n"/>
      <c r="AE28" s="1104" t="n"/>
      <c r="AF28" s="945" t="inlineStr">
        <is>
          <t>重分类调整</t>
        </is>
      </c>
      <c r="AG28" s="1103" t="n"/>
      <c r="AH28" s="1103" t="n"/>
      <c r="AI28" s="1103" t="n"/>
      <c r="AJ28" s="1103" t="n"/>
      <c r="AK28" s="1103" t="n"/>
      <c r="AL28" s="1103" t="n"/>
      <c r="AM28" s="1104" t="n"/>
      <c r="AN28" s="945" t="inlineStr">
        <is>
          <t>审定数</t>
        </is>
      </c>
      <c r="AO28" s="1103" t="n"/>
      <c r="AP28" s="1103" t="n"/>
      <c r="AQ28" s="1103" t="n"/>
      <c r="AR28" s="1103" t="n"/>
      <c r="AS28" s="1103" t="n"/>
      <c r="AT28" s="1103" t="n"/>
      <c r="AU28" s="1103" t="n"/>
      <c r="AV28" s="1103" t="n"/>
      <c r="AW28" s="1103" t="n"/>
      <c r="AX28" s="1103" t="n"/>
      <c r="AY28" s="1103" t="n"/>
      <c r="AZ28" s="1103" t="n"/>
      <c r="BA28" s="1103" t="n"/>
      <c r="BB28" s="1104" t="n"/>
    </row>
    <row r="29" ht="19.95" customFormat="1" customHeight="1" s="4">
      <c r="A29" s="1209" t="n"/>
      <c r="B29" s="1209" t="n"/>
      <c r="C29" s="1209" t="n"/>
      <c r="D29" s="1209" t="n"/>
      <c r="E29" s="1209" t="n"/>
      <c r="F29" s="1209" t="n"/>
      <c r="G29" s="945" t="inlineStr">
        <is>
          <t>期初余额</t>
        </is>
      </c>
      <c r="H29" s="1104" t="n"/>
      <c r="I29" s="947" t="inlineStr">
        <is>
          <t>本期增加</t>
        </is>
      </c>
      <c r="J29" s="1103" t="n"/>
      <c r="K29" s="1103" t="n"/>
      <c r="L29" s="1103" t="n"/>
      <c r="M29" s="1103" t="n"/>
      <c r="N29" s="1103" t="n"/>
      <c r="O29" s="1104" t="n"/>
      <c r="P29" s="945" t="inlineStr">
        <is>
          <t>本期减少</t>
        </is>
      </c>
      <c r="Q29" s="1103" t="n"/>
      <c r="R29" s="1103" t="n"/>
      <c r="S29" s="1104" t="n"/>
      <c r="T29" s="727" t="inlineStr">
        <is>
          <t>期末余额</t>
        </is>
      </c>
      <c r="U29" s="727" t="n"/>
      <c r="V29" s="947" t="inlineStr">
        <is>
          <t>账项调整</t>
        </is>
      </c>
      <c r="W29" s="947" t="inlineStr">
        <is>
          <t>重分类调整</t>
        </is>
      </c>
      <c r="X29" s="945" t="inlineStr">
        <is>
          <t>本期增加</t>
        </is>
      </c>
      <c r="Y29" s="1103" t="n"/>
      <c r="Z29" s="1103" t="n"/>
      <c r="AA29" s="1103" t="n"/>
      <c r="AB29" s="1104" t="n"/>
      <c r="AC29" s="945" t="inlineStr">
        <is>
          <t>本期减少</t>
        </is>
      </c>
      <c r="AD29" s="1103" t="n"/>
      <c r="AE29" s="1104" t="n"/>
      <c r="AF29" s="945" t="inlineStr">
        <is>
          <t>本期增加</t>
        </is>
      </c>
      <c r="AG29" s="1103" t="n"/>
      <c r="AH29" s="1103" t="n"/>
      <c r="AI29" s="1103" t="n"/>
      <c r="AJ29" s="1104" t="n"/>
      <c r="AK29" s="945" t="inlineStr">
        <is>
          <t>本期减少</t>
        </is>
      </c>
      <c r="AL29" s="1103" t="n"/>
      <c r="AM29" s="1104" t="n"/>
      <c r="AN29" s="727" t="inlineStr">
        <is>
          <t>期初余额</t>
        </is>
      </c>
      <c r="AO29" s="727" t="n"/>
      <c r="AP29" s="947" t="inlineStr">
        <is>
          <t>本期增加</t>
        </is>
      </c>
      <c r="AQ29" s="1103" t="n"/>
      <c r="AR29" s="1103" t="n"/>
      <c r="AS29" s="1103" t="n"/>
      <c r="AT29" s="1103" t="n"/>
      <c r="AU29" s="1103" t="n"/>
      <c r="AV29" s="1104" t="n"/>
      <c r="AW29" s="945" t="inlineStr">
        <is>
          <t>本期减少</t>
        </is>
      </c>
      <c r="AX29" s="1103" t="n"/>
      <c r="AY29" s="1103" t="n"/>
      <c r="AZ29" s="1104" t="n"/>
      <c r="BA29" s="945" t="inlineStr">
        <is>
          <t>期末余额</t>
        </is>
      </c>
      <c r="BB29" s="1104" t="n"/>
    </row>
    <row r="30" ht="19.95" customFormat="1" customHeight="1" s="4">
      <c r="A30" s="1209" t="n"/>
      <c r="B30" s="1209" t="n"/>
      <c r="C30" s="1209" t="n"/>
      <c r="D30" s="1209" t="n"/>
      <c r="E30" s="1209" t="n"/>
      <c r="F30" s="1209" t="n"/>
      <c r="G30" s="947" t="inlineStr">
        <is>
          <t>投资比例</t>
        </is>
      </c>
      <c r="H30" s="947" t="inlineStr">
        <is>
          <t>金额</t>
        </is>
      </c>
      <c r="I30" s="947" t="inlineStr">
        <is>
          <t>投资比例</t>
        </is>
      </c>
      <c r="J30" s="947" t="inlineStr">
        <is>
          <t>投资成本增加</t>
        </is>
      </c>
      <c r="K30" s="947" t="inlineStr">
        <is>
          <t>权益增加</t>
        </is>
      </c>
      <c r="L30" s="1103" t="n"/>
      <c r="M30" s="1103" t="n"/>
      <c r="N30" s="1104" t="n"/>
      <c r="O30" s="947" t="inlineStr">
        <is>
          <t>其他</t>
        </is>
      </c>
      <c r="P30" s="947" t="inlineStr">
        <is>
          <t>投资比例</t>
        </is>
      </c>
      <c r="Q30" s="947" t="inlineStr">
        <is>
          <t>投资成本减少</t>
        </is>
      </c>
      <c r="R30" s="947" t="inlineStr">
        <is>
          <t>本期分回利润</t>
        </is>
      </c>
      <c r="S30" s="947" t="inlineStr">
        <is>
          <t>其他</t>
        </is>
      </c>
      <c r="T30" s="947" t="inlineStr">
        <is>
          <t>投资比例</t>
        </is>
      </c>
      <c r="U30" s="947" t="inlineStr">
        <is>
          <t>金额</t>
        </is>
      </c>
      <c r="V30" s="1209" t="n"/>
      <c r="W30" s="1209" t="n"/>
      <c r="X30" s="947" t="inlineStr">
        <is>
          <t>投资成本增加</t>
        </is>
      </c>
      <c r="Y30" s="947" t="inlineStr">
        <is>
          <t>权益增加</t>
        </is>
      </c>
      <c r="Z30" s="1103" t="n"/>
      <c r="AA30" s="1104" t="n"/>
      <c r="AB30" s="947" t="inlineStr">
        <is>
          <t>其他</t>
        </is>
      </c>
      <c r="AC30" s="947" t="inlineStr">
        <is>
          <t>投资成本减少</t>
        </is>
      </c>
      <c r="AD30" s="947" t="inlineStr">
        <is>
          <t>本期分回利润</t>
        </is>
      </c>
      <c r="AE30" s="947" t="inlineStr">
        <is>
          <t>其他</t>
        </is>
      </c>
      <c r="AF30" s="947" t="inlineStr">
        <is>
          <t>投资成本增加</t>
        </is>
      </c>
      <c r="AG30" s="947" t="inlineStr">
        <is>
          <t>权益增加</t>
        </is>
      </c>
      <c r="AH30" s="1103" t="n"/>
      <c r="AI30" s="1104" t="n"/>
      <c r="AJ30" s="947" t="inlineStr">
        <is>
          <t>其他</t>
        </is>
      </c>
      <c r="AK30" s="947" t="inlineStr">
        <is>
          <t>投资成本减少</t>
        </is>
      </c>
      <c r="AL30" s="947" t="inlineStr">
        <is>
          <t>本期分回利润</t>
        </is>
      </c>
      <c r="AM30" s="947" t="inlineStr">
        <is>
          <t>其他</t>
        </is>
      </c>
      <c r="AN30" s="947" t="inlineStr">
        <is>
          <t>投资比例</t>
        </is>
      </c>
      <c r="AO30" s="947" t="inlineStr">
        <is>
          <t>金额</t>
        </is>
      </c>
      <c r="AP30" s="947" t="inlineStr">
        <is>
          <t>投资比例</t>
        </is>
      </c>
      <c r="AQ30" s="947" t="inlineStr">
        <is>
          <t>投资成本增加</t>
        </is>
      </c>
      <c r="AR30" s="947" t="inlineStr">
        <is>
          <t>权益增加</t>
        </is>
      </c>
      <c r="AS30" s="1103" t="n"/>
      <c r="AT30" s="1103" t="n"/>
      <c r="AU30" s="1104" t="n"/>
      <c r="AV30" s="947" t="inlineStr">
        <is>
          <t>其他</t>
        </is>
      </c>
      <c r="AW30" s="947" t="inlineStr">
        <is>
          <t>投资比例</t>
        </is>
      </c>
      <c r="AX30" s="947" t="inlineStr">
        <is>
          <t>投资成本减少</t>
        </is>
      </c>
      <c r="AY30" s="947" t="inlineStr">
        <is>
          <t>本期分回利润</t>
        </is>
      </c>
      <c r="AZ30" s="947" t="inlineStr">
        <is>
          <t>其他</t>
        </is>
      </c>
      <c r="BA30" s="947" t="inlineStr">
        <is>
          <t>投资比例</t>
        </is>
      </c>
      <c r="BB30" s="947" t="inlineStr">
        <is>
          <t>金额</t>
        </is>
      </c>
    </row>
    <row r="31" ht="27" customFormat="1" customHeight="1" s="4">
      <c r="A31" s="1106" t="n"/>
      <c r="B31" s="1106" t="n"/>
      <c r="C31" s="1106" t="n"/>
      <c r="D31" s="1106" t="n"/>
      <c r="E31" s="1106" t="n"/>
      <c r="F31" s="1106" t="n"/>
      <c r="G31" s="1106" t="n"/>
      <c r="H31" s="1106" t="n"/>
      <c r="I31" s="1106" t="n"/>
      <c r="J31" s="1106" t="n"/>
      <c r="K31" s="947" t="inlineStr">
        <is>
          <t>损益调整</t>
        </is>
      </c>
      <c r="L31" s="947" t="inlineStr">
        <is>
          <t>其他综合收益</t>
        </is>
      </c>
      <c r="M31" s="947" t="inlineStr">
        <is>
          <t>其他权益变动</t>
        </is>
      </c>
      <c r="N31" s="947" t="inlineStr">
        <is>
          <t>权益增加小计</t>
        </is>
      </c>
      <c r="O31" s="1106" t="n"/>
      <c r="P31" s="1106" t="n"/>
      <c r="Q31" s="1106" t="n"/>
      <c r="R31" s="1106" t="n"/>
      <c r="S31" s="1106" t="n"/>
      <c r="T31" s="1106" t="n"/>
      <c r="U31" s="1106" t="n"/>
      <c r="V31" s="1106" t="n"/>
      <c r="W31" s="1106" t="n"/>
      <c r="X31" s="1106" t="n"/>
      <c r="Y31" s="947" t="inlineStr">
        <is>
          <t>损益调整</t>
        </is>
      </c>
      <c r="Z31" s="947" t="inlineStr">
        <is>
          <t>其他综合收益</t>
        </is>
      </c>
      <c r="AA31" s="947" t="inlineStr">
        <is>
          <t>其他权益变动</t>
        </is>
      </c>
      <c r="AB31" s="1106" t="n"/>
      <c r="AC31" s="1106" t="n"/>
      <c r="AD31" s="1106" t="n"/>
      <c r="AE31" s="1106" t="n"/>
      <c r="AF31" s="1106" t="n"/>
      <c r="AG31" s="947" t="inlineStr">
        <is>
          <t>损益调整</t>
        </is>
      </c>
      <c r="AH31" s="947" t="inlineStr">
        <is>
          <t>其他综合收益</t>
        </is>
      </c>
      <c r="AI31" s="947" t="inlineStr">
        <is>
          <t>其他权益变动</t>
        </is>
      </c>
      <c r="AJ31" s="1106" t="n"/>
      <c r="AK31" s="1106" t="n"/>
      <c r="AL31" s="1106" t="n"/>
      <c r="AM31" s="1106" t="n"/>
      <c r="AN31" s="1106" t="n"/>
      <c r="AO31" s="1106" t="n"/>
      <c r="AP31" s="1106" t="n"/>
      <c r="AQ31" s="1106" t="n"/>
      <c r="AR31" s="947" t="inlineStr">
        <is>
          <t>损益调整</t>
        </is>
      </c>
      <c r="AS31" s="947" t="inlineStr">
        <is>
          <t>其他综合收益</t>
        </is>
      </c>
      <c r="AT31" s="947" t="inlineStr">
        <is>
          <t>其他权益变动</t>
        </is>
      </c>
      <c r="AU31" s="947" t="inlineStr">
        <is>
          <t>权益增加小计</t>
        </is>
      </c>
      <c r="AV31" s="1106" t="n"/>
      <c r="AW31" s="1106" t="n"/>
      <c r="AX31" s="1106" t="n"/>
      <c r="AY31" s="1106" t="n"/>
      <c r="AZ31" s="1106" t="n"/>
      <c r="BA31" s="1106" t="n"/>
      <c r="BB31" s="1106" t="n"/>
    </row>
    <row r="32" ht="19.95" customHeight="1" s="1097">
      <c r="A32" s="722" t="inlineStr">
        <is>
          <t>合营企业：</t>
        </is>
      </c>
      <c r="B32" s="356" t="n"/>
      <c r="C32" s="356" t="n"/>
      <c r="D32" s="356" t="n"/>
      <c r="E32" s="356" t="n"/>
      <c r="F32" s="356" t="n"/>
      <c r="G32" s="356" t="n"/>
      <c r="H32" s="356" t="n"/>
      <c r="I32" s="356" t="n"/>
      <c r="J32" s="356" t="n"/>
      <c r="K32" s="356" t="n"/>
      <c r="L32" s="356" t="n"/>
      <c r="M32" s="356" t="n"/>
      <c r="N32" s="356" t="n"/>
      <c r="O32" s="356" t="n"/>
      <c r="P32" s="356" t="n"/>
      <c r="Q32" s="356" t="n"/>
      <c r="R32" s="356" t="n"/>
      <c r="S32" s="356" t="n"/>
      <c r="T32" s="356" t="n"/>
      <c r="U32" s="356" t="n"/>
      <c r="V32" s="356" t="n"/>
      <c r="W32" s="356" t="n"/>
      <c r="X32" s="356" t="n"/>
      <c r="Y32" s="356" t="n"/>
      <c r="Z32" s="356" t="n"/>
      <c r="AA32" s="356" t="n"/>
      <c r="AB32" s="356" t="n"/>
      <c r="AC32" s="356" t="n"/>
      <c r="AD32" s="356" t="n"/>
      <c r="AE32" s="356" t="n"/>
      <c r="AF32" s="356" t="n"/>
      <c r="AG32" s="356" t="n"/>
      <c r="AH32" s="356" t="n"/>
      <c r="AI32" s="356" t="n"/>
      <c r="AJ32" s="356" t="n"/>
      <c r="AK32" s="356" t="n"/>
      <c r="AL32" s="1215" t="n"/>
      <c r="AM32" s="356" t="n"/>
      <c r="AN32" s="356" t="n"/>
      <c r="AO32" s="356" t="n"/>
      <c r="AP32" s="356" t="n"/>
      <c r="AQ32" s="356" t="n"/>
      <c r="AR32" s="356" t="n"/>
      <c r="AS32" s="356" t="n"/>
      <c r="AT32" s="356" t="n"/>
      <c r="AU32" s="356" t="n"/>
      <c r="AV32" s="356" t="n"/>
      <c r="AW32" s="356" t="n"/>
      <c r="AX32" s="356" t="n"/>
      <c r="AY32" s="356" t="n"/>
      <c r="AZ32" s="356" t="n"/>
      <c r="BA32" s="356" t="n"/>
      <c r="BB32" s="356" t="n"/>
    </row>
    <row r="33" ht="19.95" customHeight="1" s="1097">
      <c r="A33" s="710" t="n">
        <v>1</v>
      </c>
      <c r="B33" s="289" t="n"/>
      <c r="C33" s="1215" t="n"/>
      <c r="D33" s="711" t="n"/>
      <c r="E33" s="712" t="n"/>
      <c r="F33" s="1215" t="n"/>
      <c r="G33" s="711" t="n"/>
      <c r="H33" s="1215" t="n"/>
      <c r="I33" s="711" t="n"/>
      <c r="J33" s="1217" t="n"/>
      <c r="K33" s="1215" t="n"/>
      <c r="L33" s="1215" t="n"/>
      <c r="M33" s="1215" t="n"/>
      <c r="N33" s="1222">
        <f>SUM(K33:M33)</f>
        <v/>
      </c>
      <c r="O33" s="1215" t="n"/>
      <c r="P33" s="723" t="n"/>
      <c r="Q33" s="1217" t="n"/>
      <c r="R33" s="1215" t="n"/>
      <c r="S33" s="1215" t="n"/>
      <c r="T33" s="724">
        <f>G33+I33-P33</f>
        <v/>
      </c>
      <c r="U33" s="1222">
        <f>H33+J33+N33-Q33-R33+O33-S33</f>
        <v/>
      </c>
      <c r="V33" s="1215" t="n"/>
      <c r="W33" s="1215" t="n"/>
      <c r="X33" s="1217" t="n"/>
      <c r="Y33" s="1215" t="n"/>
      <c r="Z33" s="1215" t="n"/>
      <c r="AA33" s="1215" t="n"/>
      <c r="AB33" s="1215" t="n"/>
      <c r="AC33" s="1217" t="n"/>
      <c r="AD33" s="1215" t="n"/>
      <c r="AE33" s="1215" t="n"/>
      <c r="AF33" s="1215" t="n"/>
      <c r="AG33" s="1215" t="n"/>
      <c r="AH33" s="1215" t="n"/>
      <c r="AI33" s="1215" t="n"/>
      <c r="AJ33" s="1215" t="n"/>
      <c r="AK33" s="1215" t="n"/>
      <c r="AL33" s="1215" t="n"/>
      <c r="AM33" s="1215" t="n"/>
      <c r="AN33" s="1222">
        <f>G33</f>
        <v/>
      </c>
      <c r="AO33" s="1222">
        <f>H33+V33+W33</f>
        <v/>
      </c>
      <c r="AP33" s="1222">
        <f>I33</f>
        <v/>
      </c>
      <c r="AQ33" s="1222">
        <f>J33+X33+AF33</f>
        <v/>
      </c>
      <c r="AR33" s="1222">
        <f>K33+Y33+AG33</f>
        <v/>
      </c>
      <c r="AS33" s="1222">
        <f>L33+Z33+AH33</f>
        <v/>
      </c>
      <c r="AT33" s="1222">
        <f>M33+AA33+AI33</f>
        <v/>
      </c>
      <c r="AU33" s="1222">
        <f>SUM(AR33:AT33)</f>
        <v/>
      </c>
      <c r="AV33" s="1222">
        <f>O33+AB33+AJ33</f>
        <v/>
      </c>
      <c r="AW33" s="1222">
        <f>P33</f>
        <v/>
      </c>
      <c r="AX33" s="1222">
        <f>Q33+AC33+AK33</f>
        <v/>
      </c>
      <c r="AY33" s="1222">
        <f>R33+AD33+AL33</f>
        <v/>
      </c>
      <c r="AZ33" s="1222">
        <f>S33+AE33+AM33</f>
        <v/>
      </c>
      <c r="BA33" s="1222">
        <f>AN33+AP33-AW33</f>
        <v/>
      </c>
      <c r="BB33" s="1222">
        <f>AO33+AQ33+AU33-AX33-AY33</f>
        <v/>
      </c>
    </row>
    <row r="34" ht="19.95" customHeight="1" s="1097">
      <c r="A34" s="710" t="n">
        <v>2</v>
      </c>
      <c r="B34" s="289" t="n"/>
      <c r="C34" s="1215" t="n"/>
      <c r="D34" s="711" t="n"/>
      <c r="E34" s="712" t="n"/>
      <c r="F34" s="1215" t="n"/>
      <c r="G34" s="711" t="n"/>
      <c r="H34" s="1215" t="n"/>
      <c r="I34" s="711" t="n"/>
      <c r="J34" s="1217" t="n"/>
      <c r="K34" s="1215" t="n"/>
      <c r="L34" s="1215" t="n"/>
      <c r="M34" s="1215" t="n"/>
      <c r="N34" s="1222">
        <f>SUM(K34:M34)</f>
        <v/>
      </c>
      <c r="O34" s="1215" t="n"/>
      <c r="P34" s="723" t="n"/>
      <c r="Q34" s="1217" t="n"/>
      <c r="R34" s="1215" t="n"/>
      <c r="S34" s="1215" t="n"/>
      <c r="T34" s="1218">
        <f>G34+I34-P34</f>
        <v/>
      </c>
      <c r="U34" s="1222">
        <f>H34+J34+N34-Q34-R34+O34-S34</f>
        <v/>
      </c>
      <c r="V34" s="1215" t="n"/>
      <c r="W34" s="1215" t="n"/>
      <c r="X34" s="1217" t="n"/>
      <c r="Y34" s="1215" t="n"/>
      <c r="Z34" s="1215" t="n"/>
      <c r="AA34" s="1215" t="n"/>
      <c r="AB34" s="1215" t="n"/>
      <c r="AC34" s="1217" t="n"/>
      <c r="AD34" s="1215" t="n"/>
      <c r="AE34" s="1215" t="n"/>
      <c r="AF34" s="1215" t="n"/>
      <c r="AG34" s="1215" t="n"/>
      <c r="AH34" s="1215" t="n"/>
      <c r="AI34" s="1215" t="n"/>
      <c r="AJ34" s="1215" t="n"/>
      <c r="AK34" s="1215" t="n"/>
      <c r="AL34" s="1215" t="n"/>
      <c r="AM34" s="1215" t="n"/>
      <c r="AN34" s="1222">
        <f>G34</f>
        <v/>
      </c>
      <c r="AO34" s="1222">
        <f>H34+V34+W34</f>
        <v/>
      </c>
      <c r="AP34" s="1222">
        <f>I34</f>
        <v/>
      </c>
      <c r="AQ34" s="1222">
        <f>J34+X34+AF34</f>
        <v/>
      </c>
      <c r="AR34" s="1222">
        <f>K34+Y34+AG34</f>
        <v/>
      </c>
      <c r="AS34" s="1222">
        <f>L34+Z34+AH34</f>
        <v/>
      </c>
      <c r="AT34" s="1222">
        <f>M34+AA34+AI34</f>
        <v/>
      </c>
      <c r="AU34" s="1222">
        <f>SUM(AR34:AT34)</f>
        <v/>
      </c>
      <c r="AV34" s="1222">
        <f>O34+AB34+AJ34</f>
        <v/>
      </c>
      <c r="AW34" s="1222">
        <f>P34</f>
        <v/>
      </c>
      <c r="AX34" s="1222">
        <f>Q34+AC34+AK34</f>
        <v/>
      </c>
      <c r="AY34" s="1222">
        <f>R34+AD34+AL34</f>
        <v/>
      </c>
      <c r="AZ34" s="1222">
        <f>S34+AE34+AM34</f>
        <v/>
      </c>
      <c r="BA34" s="1222">
        <f>AN34+AP34-AW34</f>
        <v/>
      </c>
      <c r="BB34" s="1222">
        <f>AO34+AQ34+AU34-AX34-AY34</f>
        <v/>
      </c>
    </row>
    <row r="35" ht="19.95" customHeight="1" s="1097">
      <c r="A35" s="710" t="n">
        <v>3</v>
      </c>
      <c r="B35" s="612" t="n"/>
      <c r="C35" s="1215" t="n"/>
      <c r="D35" s="711" t="n"/>
      <c r="E35" s="712" t="n"/>
      <c r="F35" s="1215" t="n"/>
      <c r="G35" s="711" t="n"/>
      <c r="H35" s="1215" t="n"/>
      <c r="I35" s="711" t="n"/>
      <c r="J35" s="1217" t="n"/>
      <c r="K35" s="1215" t="n"/>
      <c r="L35" s="1215" t="n"/>
      <c r="M35" s="1215" t="n"/>
      <c r="N35" s="1222">
        <f>SUM(K35:M35)</f>
        <v/>
      </c>
      <c r="O35" s="1215" t="n"/>
      <c r="P35" s="723" t="n"/>
      <c r="Q35" s="1217" t="n"/>
      <c r="R35" s="1215" t="n"/>
      <c r="S35" s="1215" t="n"/>
      <c r="T35" s="1218">
        <f>G35+I35-P35</f>
        <v/>
      </c>
      <c r="U35" s="1222">
        <f>H35+J35+N35-Q35-R35+O35-S35</f>
        <v/>
      </c>
      <c r="V35" s="1215" t="n"/>
      <c r="W35" s="1215" t="n"/>
      <c r="X35" s="1217" t="n"/>
      <c r="Y35" s="1215" t="n"/>
      <c r="Z35" s="1215" t="n"/>
      <c r="AA35" s="1215" t="n"/>
      <c r="AB35" s="1215" t="n"/>
      <c r="AC35" s="1217" t="n"/>
      <c r="AD35" s="1215" t="n"/>
      <c r="AE35" s="1215" t="n"/>
      <c r="AF35" s="1215" t="n"/>
      <c r="AG35" s="1215" t="n"/>
      <c r="AH35" s="1215" t="n"/>
      <c r="AI35" s="1215" t="n"/>
      <c r="AJ35" s="1215" t="n"/>
      <c r="AK35" s="1215" t="n"/>
      <c r="AL35" s="1215" t="n"/>
      <c r="AM35" s="1215" t="n"/>
      <c r="AN35" s="1222">
        <f>G35</f>
        <v/>
      </c>
      <c r="AO35" s="1222">
        <f>H35+V35+W35</f>
        <v/>
      </c>
      <c r="AP35" s="1222">
        <f>I35</f>
        <v/>
      </c>
      <c r="AQ35" s="1222">
        <f>J35+X35+AF35</f>
        <v/>
      </c>
      <c r="AR35" s="1222">
        <f>K35+Y35+AG35</f>
        <v/>
      </c>
      <c r="AS35" s="1222">
        <f>L35+Z35+AH35</f>
        <v/>
      </c>
      <c r="AT35" s="1222">
        <f>M35+AA35+AI35</f>
        <v/>
      </c>
      <c r="AU35" s="1222">
        <f>SUM(AR35:AT35)</f>
        <v/>
      </c>
      <c r="AV35" s="1222">
        <f>O35+AB35+AJ35</f>
        <v/>
      </c>
      <c r="AW35" s="1222">
        <f>P35</f>
        <v/>
      </c>
      <c r="AX35" s="1222">
        <f>Q35+AC35+AK35</f>
        <v/>
      </c>
      <c r="AY35" s="1222">
        <f>R35+AD35+AL35</f>
        <v/>
      </c>
      <c r="AZ35" s="1222">
        <f>S35+AE35+AM35</f>
        <v/>
      </c>
      <c r="BA35" s="1222">
        <f>AN35+AP35-AW35</f>
        <v/>
      </c>
      <c r="BB35" s="1222">
        <f>AO35+AQ35+AU35-AX35-AY35</f>
        <v/>
      </c>
    </row>
    <row r="36" ht="19.95" customHeight="1" s="1097">
      <c r="A36" s="710" t="n">
        <v>4</v>
      </c>
      <c r="B36" s="612" t="n"/>
      <c r="C36" s="1215" t="n"/>
      <c r="D36" s="711" t="n"/>
      <c r="E36" s="712" t="n"/>
      <c r="F36" s="1215" t="n"/>
      <c r="G36" s="711" t="n"/>
      <c r="H36" s="1215" t="n"/>
      <c r="I36" s="711" t="n"/>
      <c r="J36" s="1217" t="n"/>
      <c r="K36" s="1215" t="n"/>
      <c r="L36" s="1215" t="n"/>
      <c r="M36" s="1215" t="n"/>
      <c r="N36" s="1222">
        <f>SUM(K36:M36)</f>
        <v/>
      </c>
      <c r="O36" s="1215" t="n"/>
      <c r="P36" s="723" t="n"/>
      <c r="Q36" s="1217" t="n"/>
      <c r="R36" s="1215" t="n"/>
      <c r="S36" s="1215" t="n"/>
      <c r="T36" s="1218">
        <f>G36+I36-P36</f>
        <v/>
      </c>
      <c r="U36" s="1222">
        <f>H36+J36+N36-Q36-R36+O36-S36</f>
        <v/>
      </c>
      <c r="V36" s="1215" t="n"/>
      <c r="W36" s="1215" t="n"/>
      <c r="X36" s="1217" t="n"/>
      <c r="Y36" s="1215" t="n"/>
      <c r="Z36" s="1215" t="n"/>
      <c r="AA36" s="1215" t="n"/>
      <c r="AB36" s="1215" t="n"/>
      <c r="AC36" s="1217" t="n"/>
      <c r="AD36" s="1215" t="n"/>
      <c r="AE36" s="1215" t="n"/>
      <c r="AF36" s="1215" t="n"/>
      <c r="AG36" s="1215" t="n"/>
      <c r="AH36" s="1215" t="n"/>
      <c r="AI36" s="1215" t="n"/>
      <c r="AJ36" s="1215" t="n"/>
      <c r="AK36" s="1215" t="n"/>
      <c r="AL36" s="1215" t="n"/>
      <c r="AM36" s="1215" t="n"/>
      <c r="AN36" s="1222">
        <f>G36</f>
        <v/>
      </c>
      <c r="AO36" s="1222">
        <f>H36+V36+W36</f>
        <v/>
      </c>
      <c r="AP36" s="1222">
        <f>I36</f>
        <v/>
      </c>
      <c r="AQ36" s="1222">
        <f>J36+X36+AF36</f>
        <v/>
      </c>
      <c r="AR36" s="1222">
        <f>K36+Y36+AG36</f>
        <v/>
      </c>
      <c r="AS36" s="1222">
        <f>L36+Z36+AH36</f>
        <v/>
      </c>
      <c r="AT36" s="1222">
        <f>M36+AA36+AI36</f>
        <v/>
      </c>
      <c r="AU36" s="1222">
        <f>SUM(AR36:AT36)</f>
        <v/>
      </c>
      <c r="AV36" s="1222">
        <f>O36+AB36+AJ36</f>
        <v/>
      </c>
      <c r="AW36" s="1222">
        <f>P36</f>
        <v/>
      </c>
      <c r="AX36" s="1222">
        <f>Q36+AC36+AK36</f>
        <v/>
      </c>
      <c r="AY36" s="1222">
        <f>R36+AD36+AL36</f>
        <v/>
      </c>
      <c r="AZ36" s="1222">
        <f>S36+AE36+AM36</f>
        <v/>
      </c>
      <c r="BA36" s="1222">
        <f>AN36+AP36-AW36</f>
        <v/>
      </c>
      <c r="BB36" s="1222">
        <f>AO36+AQ36+AU36-AX36-AY36</f>
        <v/>
      </c>
    </row>
    <row r="37" ht="19.95" customHeight="1" s="1097">
      <c r="A37" s="710" t="n">
        <v>5</v>
      </c>
      <c r="B37" s="289" t="inlineStr">
        <is>
          <t>……</t>
        </is>
      </c>
      <c r="C37" s="1215" t="n"/>
      <c r="D37" s="711" t="n"/>
      <c r="E37" s="712" t="n"/>
      <c r="F37" s="1215" t="n"/>
      <c r="G37" s="711" t="n"/>
      <c r="H37" s="1215" t="n"/>
      <c r="I37" s="711" t="n"/>
      <c r="J37" s="1217" t="n"/>
      <c r="K37" s="1215" t="n"/>
      <c r="L37" s="1215" t="n"/>
      <c r="M37" s="1215" t="n"/>
      <c r="N37" s="1222">
        <f>SUM(K37:M37)</f>
        <v/>
      </c>
      <c r="O37" s="1215" t="n"/>
      <c r="P37" s="723" t="n"/>
      <c r="Q37" s="1217" t="n"/>
      <c r="R37" s="1215" t="n"/>
      <c r="S37" s="1215" t="n"/>
      <c r="T37" s="1218">
        <f>G37+I37-P37</f>
        <v/>
      </c>
      <c r="U37" s="1222">
        <f>H37+J37+N37-Q37-R37+O37-S37</f>
        <v/>
      </c>
      <c r="V37" s="1215" t="n"/>
      <c r="W37" s="1215" t="n"/>
      <c r="X37" s="1217" t="n"/>
      <c r="Y37" s="1215" t="n"/>
      <c r="Z37" s="1215" t="n"/>
      <c r="AA37" s="1215" t="n"/>
      <c r="AB37" s="1215" t="n"/>
      <c r="AC37" s="1217" t="n"/>
      <c r="AD37" s="1215" t="n"/>
      <c r="AE37" s="1215" t="n"/>
      <c r="AF37" s="1215" t="n"/>
      <c r="AG37" s="1215" t="n"/>
      <c r="AH37" s="1215" t="n"/>
      <c r="AI37" s="1215" t="n"/>
      <c r="AJ37" s="1215" t="n"/>
      <c r="AK37" s="1215" t="n"/>
      <c r="AL37" s="1215" t="n"/>
      <c r="AM37" s="1215" t="n"/>
      <c r="AN37" s="1222">
        <f>G37</f>
        <v/>
      </c>
      <c r="AO37" s="1222">
        <f>H37+V37+W37</f>
        <v/>
      </c>
      <c r="AP37" s="1222">
        <f>I37</f>
        <v/>
      </c>
      <c r="AQ37" s="1222">
        <f>J37+X37+AF37</f>
        <v/>
      </c>
      <c r="AR37" s="1222">
        <f>K37+Y37+AG37</f>
        <v/>
      </c>
      <c r="AS37" s="1222">
        <f>L37+Z37+AH37</f>
        <v/>
      </c>
      <c r="AT37" s="1222">
        <f>M37+AA37+AI37</f>
        <v/>
      </c>
      <c r="AU37" s="1222">
        <f>SUM(AR37:AT37)</f>
        <v/>
      </c>
      <c r="AV37" s="1222">
        <f>O37+AB37+AJ37</f>
        <v/>
      </c>
      <c r="AW37" s="1222">
        <f>P37</f>
        <v/>
      </c>
      <c r="AX37" s="1222">
        <f>Q37+AC37+AK37</f>
        <v/>
      </c>
      <c r="AY37" s="1222">
        <f>R37+AD37+AL37</f>
        <v/>
      </c>
      <c r="AZ37" s="1222">
        <f>S37+AE37+AM37</f>
        <v/>
      </c>
      <c r="BA37" s="1222">
        <f>AN37+AP37-AW37</f>
        <v/>
      </c>
      <c r="BB37" s="1222">
        <f>AO37+AQ37+AU37-AX37-AY37</f>
        <v/>
      </c>
    </row>
    <row r="38" ht="19.95" customHeight="1" s="1097">
      <c r="A38" s="948" t="inlineStr">
        <is>
          <t>小计</t>
        </is>
      </c>
      <c r="B38" s="1104" t="n"/>
      <c r="C38" s="1215" t="n"/>
      <c r="D38" s="711" t="n"/>
      <c r="E38" s="712" t="n"/>
      <c r="F38" s="1215" t="n"/>
      <c r="G38" s="1223" t="inlineStr">
        <is>
          <t>--</t>
        </is>
      </c>
      <c r="H38" s="1222">
        <f>SUM(H33:H37)</f>
        <v/>
      </c>
      <c r="I38" s="1223" t="inlineStr">
        <is>
          <t>--</t>
        </is>
      </c>
      <c r="J38" s="1222">
        <f>SUM(J33:J37)</f>
        <v/>
      </c>
      <c r="K38" s="1222">
        <f>SUM(K33:K37)</f>
        <v/>
      </c>
      <c r="L38" s="1222">
        <f>SUM(L33:L37)</f>
        <v/>
      </c>
      <c r="M38" s="1222">
        <f>SUM(M33:M37)</f>
        <v/>
      </c>
      <c r="N38" s="1222">
        <f>SUM(K38:M38)</f>
        <v/>
      </c>
      <c r="O38" s="1222">
        <f>SUM(O33:O37)</f>
        <v/>
      </c>
      <c r="P38" s="1222">
        <f>SUM(P33:P37)</f>
        <v/>
      </c>
      <c r="Q38" s="1222">
        <f>SUM(Q33:Q37)</f>
        <v/>
      </c>
      <c r="R38" s="1222">
        <f>SUM(R33:R37)</f>
        <v/>
      </c>
      <c r="S38" s="1222" t="n"/>
      <c r="T38" s="726" t="inlineStr">
        <is>
          <t>--</t>
        </is>
      </c>
      <c r="U38" s="1222">
        <f>SUM(U33:U37)</f>
        <v/>
      </c>
      <c r="V38" s="1222">
        <f>SUM(V33:V37)</f>
        <v/>
      </c>
      <c r="W38" s="1222">
        <f>SUM(W33:W37)</f>
        <v/>
      </c>
      <c r="X38" s="1222">
        <f>SUM(X33:X37)</f>
        <v/>
      </c>
      <c r="Y38" s="1222">
        <f>SUM(Y33:Y37)</f>
        <v/>
      </c>
      <c r="Z38" s="1222">
        <f>SUM(Z33:Z37)</f>
        <v/>
      </c>
      <c r="AA38" s="1222">
        <f>SUM(AA33:AA37)</f>
        <v/>
      </c>
      <c r="AB38" s="1222">
        <f>SUM(AB33:AB37)</f>
        <v/>
      </c>
      <c r="AC38" s="1222">
        <f>SUM(AC33:AC37)</f>
        <v/>
      </c>
      <c r="AD38" s="1222">
        <f>SUM(AD33:AD37)</f>
        <v/>
      </c>
      <c r="AE38" s="1222">
        <f>SUM(AE33:AE37)</f>
        <v/>
      </c>
      <c r="AF38" s="1222">
        <f>SUM(AF33:AF37)</f>
        <v/>
      </c>
      <c r="AG38" s="1222">
        <f>SUM(AG33:AG37)</f>
        <v/>
      </c>
      <c r="AH38" s="1222">
        <f>SUM(AH33:AH37)</f>
        <v/>
      </c>
      <c r="AI38" s="1222">
        <f>SUM(AI33:AI37)</f>
        <v/>
      </c>
      <c r="AJ38" s="1222">
        <f>SUM(AJ33:AJ37)</f>
        <v/>
      </c>
      <c r="AK38" s="1222">
        <f>SUM(AK33:AK37)</f>
        <v/>
      </c>
      <c r="AL38" s="1222">
        <f>SUM(AL33:AL37)</f>
        <v/>
      </c>
      <c r="AM38" s="1222">
        <f>SUM(AM33:AM37)</f>
        <v/>
      </c>
      <c r="AN38" s="1223" t="inlineStr">
        <is>
          <t>--</t>
        </is>
      </c>
      <c r="AO38" s="1222">
        <f>SUM(AO33:AO37)</f>
        <v/>
      </c>
      <c r="AP38" s="1224" t="inlineStr">
        <is>
          <t>--</t>
        </is>
      </c>
      <c r="AQ38" s="1222">
        <f>SUM(AQ33:AQ37)</f>
        <v/>
      </c>
      <c r="AR38" s="1222">
        <f>SUM(AR33:AR37)</f>
        <v/>
      </c>
      <c r="AS38" s="1222">
        <f>SUM(AS33:AS37)</f>
        <v/>
      </c>
      <c r="AT38" s="1222">
        <f>SUM(AT33:AT37)</f>
        <v/>
      </c>
      <c r="AU38" s="1222">
        <f>SUM(AU33:AU37)</f>
        <v/>
      </c>
      <c r="AV38" s="1222">
        <f>SUM(AV33:AV37)</f>
        <v/>
      </c>
      <c r="AW38" s="1224" t="inlineStr">
        <is>
          <t>--</t>
        </is>
      </c>
      <c r="AX38" s="1222">
        <f>SUM(AX33:AX37)</f>
        <v/>
      </c>
      <c r="AY38" s="1222">
        <f>SUM(AY33:AY37)</f>
        <v/>
      </c>
      <c r="AZ38" s="1222">
        <f>SUM(AZ33:AZ37)</f>
        <v/>
      </c>
      <c r="BA38" s="726" t="inlineStr">
        <is>
          <t>--</t>
        </is>
      </c>
      <c r="BB38" s="1222">
        <f>SUM(BB33:BB37)</f>
        <v/>
      </c>
    </row>
    <row r="39" ht="19.95" customHeight="1" s="1097">
      <c r="A39" s="178" t="inlineStr">
        <is>
          <t>联营企业：</t>
        </is>
      </c>
      <c r="B39" s="27" t="n"/>
      <c r="C39" s="1225" t="n"/>
      <c r="D39" s="1226" t="n"/>
      <c r="E39" s="1227" t="n"/>
      <c r="F39" s="1228" t="n"/>
      <c r="G39" s="1229" t="n"/>
      <c r="H39" s="1225" t="n"/>
      <c r="I39" s="1225" t="n"/>
      <c r="J39" s="1226" t="n"/>
      <c r="K39" s="1225" t="n"/>
      <c r="L39" s="1225" t="n"/>
      <c r="M39" s="1225" t="n"/>
      <c r="N39" s="1230" t="n"/>
      <c r="O39" s="1215" t="n"/>
      <c r="P39" s="1225" t="n"/>
      <c r="Q39" s="1226" t="n"/>
      <c r="R39" s="1225" t="n"/>
      <c r="S39" s="1215" t="n"/>
      <c r="T39" s="318" t="n"/>
      <c r="U39" s="1228" t="n"/>
      <c r="V39" s="1231" t="n"/>
      <c r="W39" s="1225" t="n"/>
      <c r="X39" s="1226" t="n"/>
      <c r="Y39" s="1225" t="n"/>
      <c r="Z39" s="1225" t="n"/>
      <c r="AA39" s="1225" t="n"/>
      <c r="AB39" s="1215" t="n"/>
      <c r="AC39" s="1226" t="n"/>
      <c r="AD39" s="1225" t="n"/>
      <c r="AE39" s="1215" t="n"/>
      <c r="AF39" s="1225" t="n"/>
      <c r="AG39" s="1225" t="n"/>
      <c r="AH39" s="1225" t="n"/>
      <c r="AI39" s="1225" t="n"/>
      <c r="AJ39" s="1215" t="n"/>
      <c r="AK39" s="1225" t="n"/>
      <c r="AL39" s="1215" t="n"/>
      <c r="AM39" s="1232" t="n"/>
      <c r="AN39" s="1229" t="n"/>
      <c r="AO39" s="1225" t="n"/>
      <c r="AP39" s="1225" t="n"/>
      <c r="AQ39" s="1226" t="n"/>
      <c r="AR39" s="1225" t="n"/>
      <c r="AS39" s="1225" t="n"/>
      <c r="AT39" s="1225" t="n"/>
      <c r="AU39" s="1225" t="n"/>
      <c r="AV39" s="1215" t="n"/>
      <c r="AW39" s="1225" t="n"/>
      <c r="AX39" s="1226" t="n"/>
      <c r="AY39" s="1225" t="n"/>
      <c r="AZ39" s="1215" t="n"/>
      <c r="BA39" s="318" t="n"/>
      <c r="BB39" s="1232" t="n"/>
    </row>
    <row r="40" ht="19.95" customHeight="1" s="1097">
      <c r="A40" s="710" t="n">
        <v>1</v>
      </c>
      <c r="B40" s="289" t="n"/>
      <c r="C40" s="1215" t="n"/>
      <c r="D40" s="1217" t="n"/>
      <c r="E40" s="1216" t="n"/>
      <c r="F40" s="1215" t="n"/>
      <c r="G40" s="1217" t="n"/>
      <c r="H40" s="1215" t="n"/>
      <c r="I40" s="1215" t="n"/>
      <c r="J40" s="1217" t="n"/>
      <c r="K40" s="1215" t="n"/>
      <c r="L40" s="1215" t="n"/>
      <c r="M40" s="1215" t="n"/>
      <c r="N40" s="1222">
        <f>SUM(K40:M40)</f>
        <v/>
      </c>
      <c r="O40" s="1215" t="n"/>
      <c r="P40" s="1215" t="n"/>
      <c r="Q40" s="1217" t="n"/>
      <c r="R40" s="1215" t="n"/>
      <c r="S40" s="1215" t="n"/>
      <c r="T40" s="717">
        <f>G40+I40-P40</f>
        <v/>
      </c>
      <c r="U40" s="1222">
        <f>H40+J40+N40-Q40-R40+O40-S40</f>
        <v/>
      </c>
      <c r="V40" s="1215" t="n"/>
      <c r="W40" s="1215" t="n"/>
      <c r="X40" s="1217" t="n"/>
      <c r="Y40" s="1215" t="n"/>
      <c r="Z40" s="1215" t="n"/>
      <c r="AA40" s="1215" t="n"/>
      <c r="AB40" s="1215" t="n"/>
      <c r="AC40" s="1217" t="n"/>
      <c r="AD40" s="1215" t="n"/>
      <c r="AE40" s="1215" t="n"/>
      <c r="AF40" s="1215" t="n"/>
      <c r="AG40" s="1215" t="n"/>
      <c r="AH40" s="1215" t="n"/>
      <c r="AI40" s="1215" t="n"/>
      <c r="AJ40" s="1215" t="n"/>
      <c r="AK40" s="1215" t="n"/>
      <c r="AL40" s="1215" t="n"/>
      <c r="AM40" s="1215" t="n"/>
      <c r="AN40" s="1222">
        <f>G40</f>
        <v/>
      </c>
      <c r="AO40" s="1222">
        <f>H40+V40+W40</f>
        <v/>
      </c>
      <c r="AP40" s="1222">
        <f>I40</f>
        <v/>
      </c>
      <c r="AQ40" s="1222">
        <f>J40+X40+AF40</f>
        <v/>
      </c>
      <c r="AR40" s="1222">
        <f>K40+Y40+AG40</f>
        <v/>
      </c>
      <c r="AS40" s="1222">
        <f>L40+Z40+AH40</f>
        <v/>
      </c>
      <c r="AT40" s="1222">
        <f>M40+AA40+AI40</f>
        <v/>
      </c>
      <c r="AU40" s="1222">
        <f>SUM(AR40:AT40)</f>
        <v/>
      </c>
      <c r="AV40" s="1222">
        <f>O40+AB40+AJ40</f>
        <v/>
      </c>
      <c r="AW40" s="1222">
        <f>P40</f>
        <v/>
      </c>
      <c r="AX40" s="1222">
        <f>Q40+AC40+AK40</f>
        <v/>
      </c>
      <c r="AY40" s="1222">
        <f>R40+AD40+AL40</f>
        <v/>
      </c>
      <c r="AZ40" s="1222">
        <f>S40+AE40+AM40</f>
        <v/>
      </c>
      <c r="BA40" s="1222">
        <f>AN40+AP40-AW40</f>
        <v/>
      </c>
      <c r="BB40" s="1222">
        <f>AO40+AQ40+AU40-AX40-AY40</f>
        <v/>
      </c>
    </row>
    <row r="41" ht="19.95" customHeight="1" s="1097">
      <c r="A41" s="710" t="n">
        <v>2</v>
      </c>
      <c r="B41" s="289" t="n"/>
      <c r="C41" s="1215" t="n"/>
      <c r="D41" s="1217" t="n"/>
      <c r="E41" s="1216" t="n"/>
      <c r="F41" s="1215" t="n"/>
      <c r="G41" s="1217" t="n"/>
      <c r="H41" s="1215" t="n"/>
      <c r="I41" s="1215" t="n"/>
      <c r="J41" s="1217" t="n"/>
      <c r="K41" s="1215" t="n"/>
      <c r="L41" s="1215" t="n"/>
      <c r="M41" s="1215" t="n"/>
      <c r="N41" s="1222">
        <f>SUM(K41:M41)</f>
        <v/>
      </c>
      <c r="O41" s="1215" t="n"/>
      <c r="P41" s="1215" t="n"/>
      <c r="Q41" s="1217" t="n"/>
      <c r="R41" s="1215" t="n"/>
      <c r="S41" s="1215" t="n"/>
      <c r="T41" s="717">
        <f>G41+I41-P41</f>
        <v/>
      </c>
      <c r="U41" s="1222">
        <f>H41+J41+N41-Q41-R41</f>
        <v/>
      </c>
      <c r="V41" s="1215" t="n"/>
      <c r="W41" s="1215" t="n"/>
      <c r="X41" s="1217" t="n"/>
      <c r="Y41" s="1215" t="n"/>
      <c r="Z41" s="1215" t="n"/>
      <c r="AA41" s="1215" t="n"/>
      <c r="AB41" s="1215" t="n"/>
      <c r="AC41" s="1217" t="n"/>
      <c r="AD41" s="1215" t="n"/>
      <c r="AE41" s="1215" t="n"/>
      <c r="AF41" s="1215" t="n"/>
      <c r="AG41" s="1215" t="n"/>
      <c r="AH41" s="1215" t="n"/>
      <c r="AI41" s="1215" t="n"/>
      <c r="AJ41" s="1215" t="n"/>
      <c r="AK41" s="1215" t="n"/>
      <c r="AL41" s="1215" t="n"/>
      <c r="AM41" s="1215" t="n"/>
      <c r="AN41" s="1222">
        <f>G41</f>
        <v/>
      </c>
      <c r="AO41" s="1222">
        <f>H41+V41+W41</f>
        <v/>
      </c>
      <c r="AP41" s="1222">
        <f>I41</f>
        <v/>
      </c>
      <c r="AQ41" s="1222">
        <f>J41+X41+AF41</f>
        <v/>
      </c>
      <c r="AR41" s="1222">
        <f>K41+Y41+AG41</f>
        <v/>
      </c>
      <c r="AS41" s="1222">
        <f>L41+Z41+AH41</f>
        <v/>
      </c>
      <c r="AT41" s="1222">
        <f>M41+AA41+AI41</f>
        <v/>
      </c>
      <c r="AU41" s="1222">
        <f>SUM(AR41:AT41)</f>
        <v/>
      </c>
      <c r="AV41" s="1222">
        <f>O41+AB41+AJ41</f>
        <v/>
      </c>
      <c r="AW41" s="1222">
        <f>P41</f>
        <v/>
      </c>
      <c r="AX41" s="1222">
        <f>Q41+AC41+AK41</f>
        <v/>
      </c>
      <c r="AY41" s="1222">
        <f>R41+AD41+AL41</f>
        <v/>
      </c>
      <c r="AZ41" s="1222">
        <f>S41+AE41+AM41</f>
        <v/>
      </c>
      <c r="BA41" s="1222">
        <f>AN41+AP41-AW41</f>
        <v/>
      </c>
      <c r="BB41" s="1222">
        <f>AO41+AQ41+AU41-AX41-AY41</f>
        <v/>
      </c>
    </row>
    <row r="42" ht="19.95" customHeight="1" s="1097">
      <c r="A42" s="710" t="n">
        <v>3</v>
      </c>
      <c r="B42" s="612" t="n"/>
      <c r="C42" s="1215" t="n"/>
      <c r="D42" s="1217" t="n"/>
      <c r="E42" s="1216" t="n"/>
      <c r="F42" s="1215" t="n"/>
      <c r="G42" s="1217" t="n"/>
      <c r="H42" s="1215" t="n"/>
      <c r="I42" s="1215" t="n"/>
      <c r="J42" s="1217" t="n"/>
      <c r="K42" s="1215" t="n"/>
      <c r="L42" s="1215" t="n"/>
      <c r="M42" s="1215" t="n"/>
      <c r="N42" s="1222">
        <f>SUM(K42:M42)</f>
        <v/>
      </c>
      <c r="O42" s="1215" t="n"/>
      <c r="P42" s="1215" t="n"/>
      <c r="Q42" s="1217" t="n"/>
      <c r="R42" s="1215" t="n"/>
      <c r="S42" s="1215" t="n"/>
      <c r="T42" s="717">
        <f>G42+I42-P42</f>
        <v/>
      </c>
      <c r="U42" s="1222">
        <f>H42+J42+N42-Q42-R42</f>
        <v/>
      </c>
      <c r="V42" s="1215" t="n"/>
      <c r="W42" s="1215" t="n"/>
      <c r="X42" s="1217" t="n"/>
      <c r="Y42" s="1215" t="n"/>
      <c r="Z42" s="1215" t="n"/>
      <c r="AA42" s="1215" t="n"/>
      <c r="AB42" s="1215" t="n"/>
      <c r="AC42" s="1217" t="n"/>
      <c r="AD42" s="1215" t="n"/>
      <c r="AE42" s="1215" t="n"/>
      <c r="AF42" s="1215" t="n"/>
      <c r="AG42" s="1215" t="n"/>
      <c r="AH42" s="1215" t="n"/>
      <c r="AI42" s="1215" t="n"/>
      <c r="AJ42" s="1215" t="n"/>
      <c r="AK42" s="1215" t="n"/>
      <c r="AL42" s="1215" t="n"/>
      <c r="AM42" s="1215" t="n"/>
      <c r="AN42" s="1222">
        <f>G42</f>
        <v/>
      </c>
      <c r="AO42" s="1222">
        <f>H42+V42+W42</f>
        <v/>
      </c>
      <c r="AP42" s="1222">
        <f>I42</f>
        <v/>
      </c>
      <c r="AQ42" s="1222">
        <f>J42+X42+AF42</f>
        <v/>
      </c>
      <c r="AR42" s="1222">
        <f>K42+Y42+AG42</f>
        <v/>
      </c>
      <c r="AS42" s="1222">
        <f>L42+Z42+AH42</f>
        <v/>
      </c>
      <c r="AT42" s="1222">
        <f>M42+AA42+AI42</f>
        <v/>
      </c>
      <c r="AU42" s="1222">
        <f>SUM(AR42:AT42)</f>
        <v/>
      </c>
      <c r="AV42" s="1222">
        <f>O42+AB42+AJ42</f>
        <v/>
      </c>
      <c r="AW42" s="1222">
        <f>P42</f>
        <v/>
      </c>
      <c r="AX42" s="1222">
        <f>Q42+AC42+AK42</f>
        <v/>
      </c>
      <c r="AY42" s="1222">
        <f>R42+AD42+AL42</f>
        <v/>
      </c>
      <c r="AZ42" s="1222">
        <f>S42+AE42+AM42</f>
        <v/>
      </c>
      <c r="BA42" s="1222">
        <f>AN42+AP42-AW42</f>
        <v/>
      </c>
      <c r="BB42" s="1222">
        <f>AO42+AQ42+AU42-AX42-AY42</f>
        <v/>
      </c>
    </row>
    <row r="43" ht="19.95" customHeight="1" s="1097">
      <c r="A43" s="710" t="n">
        <v>4</v>
      </c>
      <c r="B43" s="290" t="n"/>
      <c r="C43" s="1215" t="n"/>
      <c r="D43" s="1217" t="n"/>
      <c r="E43" s="1216" t="n"/>
      <c r="F43" s="1215" t="n"/>
      <c r="G43" s="1217" t="n"/>
      <c r="H43" s="1215" t="n"/>
      <c r="I43" s="1215" t="n"/>
      <c r="J43" s="1217" t="n"/>
      <c r="K43" s="1215" t="n"/>
      <c r="L43" s="1215" t="n"/>
      <c r="M43" s="1215" t="n"/>
      <c r="N43" s="1222">
        <f>SUM(K43:M43)</f>
        <v/>
      </c>
      <c r="O43" s="1215" t="n"/>
      <c r="P43" s="1215" t="n"/>
      <c r="Q43" s="1217" t="n"/>
      <c r="R43" s="1215" t="n"/>
      <c r="S43" s="1215" t="n"/>
      <c r="T43" s="717">
        <f>G43+I43-P43</f>
        <v/>
      </c>
      <c r="U43" s="1222">
        <f>H43+J43+N43-Q43-R43</f>
        <v/>
      </c>
      <c r="V43" s="1215" t="n"/>
      <c r="W43" s="1215" t="n"/>
      <c r="X43" s="1217" t="n"/>
      <c r="Y43" s="1215" t="n"/>
      <c r="Z43" s="1215" t="n"/>
      <c r="AA43" s="1215" t="n"/>
      <c r="AB43" s="1215" t="n"/>
      <c r="AC43" s="1217" t="n"/>
      <c r="AD43" s="1215" t="n"/>
      <c r="AE43" s="1215" t="n"/>
      <c r="AF43" s="1215" t="n"/>
      <c r="AG43" s="1215" t="n"/>
      <c r="AH43" s="1215" t="n"/>
      <c r="AI43" s="1215" t="n"/>
      <c r="AJ43" s="1215" t="n"/>
      <c r="AK43" s="1215" t="n"/>
      <c r="AL43" s="1215" t="n"/>
      <c r="AM43" s="1215" t="n"/>
      <c r="AN43" s="1222">
        <f>G43</f>
        <v/>
      </c>
      <c r="AO43" s="1222">
        <f>H43+V43+W43</f>
        <v/>
      </c>
      <c r="AP43" s="1222">
        <f>I43</f>
        <v/>
      </c>
      <c r="AQ43" s="1222">
        <f>J43+X43+AF43</f>
        <v/>
      </c>
      <c r="AR43" s="1222">
        <f>K43+Y43+AG43</f>
        <v/>
      </c>
      <c r="AS43" s="1222">
        <f>L43+Z43+AH43</f>
        <v/>
      </c>
      <c r="AT43" s="1222">
        <f>M43+AA43+AI43</f>
        <v/>
      </c>
      <c r="AU43" s="1222">
        <f>SUM(AR43:AT43)</f>
        <v/>
      </c>
      <c r="AV43" s="1222">
        <f>O43+AB43+AJ43</f>
        <v/>
      </c>
      <c r="AW43" s="1222">
        <f>P43</f>
        <v/>
      </c>
      <c r="AX43" s="1222">
        <f>Q43+AC43+AK43</f>
        <v/>
      </c>
      <c r="AY43" s="1222">
        <f>R43+AD43+AL43</f>
        <v/>
      </c>
      <c r="AZ43" s="1222">
        <f>S43+AE43+AM43</f>
        <v/>
      </c>
      <c r="BA43" s="1222">
        <f>AN43+AP43-AW43</f>
        <v/>
      </c>
      <c r="BB43" s="1222">
        <f>AO43+AQ43+AU43-AX43-AY43</f>
        <v/>
      </c>
    </row>
    <row r="44" ht="19.95" customHeight="1" s="1097">
      <c r="A44" s="710" t="n">
        <v>5</v>
      </c>
      <c r="B44" s="290" t="inlineStr">
        <is>
          <t>……</t>
        </is>
      </c>
      <c r="C44" s="1215" t="n"/>
      <c r="D44" s="1217" t="n"/>
      <c r="E44" s="1216" t="n"/>
      <c r="F44" s="1215" t="n"/>
      <c r="G44" s="1217" t="n"/>
      <c r="H44" s="1215" t="n"/>
      <c r="I44" s="1215" t="n"/>
      <c r="J44" s="1217" t="n"/>
      <c r="K44" s="1215" t="n"/>
      <c r="L44" s="1215" t="n"/>
      <c r="M44" s="1215" t="n"/>
      <c r="N44" s="1222">
        <f>SUM(K44:M44)</f>
        <v/>
      </c>
      <c r="O44" s="1215" t="n"/>
      <c r="P44" s="1215" t="n"/>
      <c r="Q44" s="1217" t="n"/>
      <c r="R44" s="1215" t="n"/>
      <c r="S44" s="1215" t="n"/>
      <c r="T44" s="717">
        <f>G44+I44-P44</f>
        <v/>
      </c>
      <c r="U44" s="1222">
        <f>H44+J44+N44-Q44-R44</f>
        <v/>
      </c>
      <c r="V44" s="1215" t="n"/>
      <c r="W44" s="1215" t="n"/>
      <c r="X44" s="1217" t="n"/>
      <c r="Y44" s="1215" t="n"/>
      <c r="Z44" s="1215" t="n"/>
      <c r="AA44" s="1215" t="n"/>
      <c r="AB44" s="1215" t="n"/>
      <c r="AC44" s="1217" t="n"/>
      <c r="AD44" s="1215" t="n"/>
      <c r="AE44" s="1215" t="n"/>
      <c r="AF44" s="1215" t="n"/>
      <c r="AG44" s="1215" t="n"/>
      <c r="AH44" s="1215" t="n"/>
      <c r="AI44" s="1215" t="n"/>
      <c r="AJ44" s="1215" t="n"/>
      <c r="AK44" s="1215" t="n"/>
      <c r="AL44" s="1215" t="n"/>
      <c r="AM44" s="1215" t="n"/>
      <c r="AN44" s="1222">
        <f>G44</f>
        <v/>
      </c>
      <c r="AO44" s="1222">
        <f>H44+V44+W44</f>
        <v/>
      </c>
      <c r="AP44" s="1222">
        <f>I44</f>
        <v/>
      </c>
      <c r="AQ44" s="1222">
        <f>J44+X44+AF44</f>
        <v/>
      </c>
      <c r="AR44" s="1222">
        <f>K44+Y44+AG44</f>
        <v/>
      </c>
      <c r="AS44" s="1222">
        <f>L44+Z44+AH44</f>
        <v/>
      </c>
      <c r="AT44" s="1222">
        <f>M44+AA44+AI44</f>
        <v/>
      </c>
      <c r="AU44" s="1222">
        <f>SUM(AR44:AT44)</f>
        <v/>
      </c>
      <c r="AV44" s="1222">
        <f>O44+AB44+AJ44</f>
        <v/>
      </c>
      <c r="AW44" s="1222">
        <f>P44</f>
        <v/>
      </c>
      <c r="AX44" s="1222">
        <f>Q44+AC44+AK44</f>
        <v/>
      </c>
      <c r="AY44" s="1222">
        <f>R44+AD44+AL44</f>
        <v/>
      </c>
      <c r="AZ44" s="1222">
        <f>S44+AE44+AM44</f>
        <v/>
      </c>
      <c r="BA44" s="1222">
        <f>AN44+AP44-AW44</f>
        <v/>
      </c>
      <c r="BB44" s="1222">
        <f>AO44+AQ44+AU44-AX44-AY44</f>
        <v/>
      </c>
    </row>
    <row r="45" ht="19.95" customHeight="1" s="1097">
      <c r="A45" s="944" t="inlineStr">
        <is>
          <t>小计</t>
        </is>
      </c>
      <c r="B45" s="1104" t="n"/>
      <c r="C45" s="1215" t="n"/>
      <c r="D45" s="1217" t="n"/>
      <c r="E45" s="1216" t="n"/>
      <c r="F45" s="1215" t="n"/>
      <c r="G45" s="1233" t="inlineStr">
        <is>
          <t>--</t>
        </is>
      </c>
      <c r="H45" s="1222">
        <f>SUM(H40:H44)</f>
        <v/>
      </c>
      <c r="I45" s="1233" t="inlineStr">
        <is>
          <t>--</t>
        </is>
      </c>
      <c r="J45" s="1222">
        <f>SUM(J40:J44)</f>
        <v/>
      </c>
      <c r="K45" s="1222">
        <f>SUM(K40:K44)</f>
        <v/>
      </c>
      <c r="L45" s="1222">
        <f>SUM(L40:L44)</f>
        <v/>
      </c>
      <c r="M45" s="1222">
        <f>SUM(M40:M44)</f>
        <v/>
      </c>
      <c r="N45" s="1222">
        <f>SUM(K45:M45)</f>
        <v/>
      </c>
      <c r="O45" s="1222">
        <f>SUM(O40:O44)</f>
        <v/>
      </c>
      <c r="P45" s="1222">
        <f>SUM(P40:P44)</f>
        <v/>
      </c>
      <c r="Q45" s="1222">
        <f>SUM(Q40:Q44)</f>
        <v/>
      </c>
      <c r="R45" s="1222">
        <f>SUM(R40:R44)</f>
        <v/>
      </c>
      <c r="S45" s="1222">
        <f>SUM(S40:S44)</f>
        <v/>
      </c>
      <c r="T45" s="729" t="inlineStr">
        <is>
          <t>--</t>
        </is>
      </c>
      <c r="U45" s="1222">
        <f>H45+J45+N45-Q45-R45+O45-S45</f>
        <v/>
      </c>
      <c r="V45" s="1222">
        <f>SUM(V40:V44)</f>
        <v/>
      </c>
      <c r="W45" s="1222">
        <f>SUM(W40:W44)</f>
        <v/>
      </c>
      <c r="X45" s="1222">
        <f>SUM(X40:X44)</f>
        <v/>
      </c>
      <c r="Y45" s="1222">
        <f>SUM(Y40:Y44)</f>
        <v/>
      </c>
      <c r="Z45" s="1222">
        <f>SUM(Z40:Z44)</f>
        <v/>
      </c>
      <c r="AA45" s="1222">
        <f>SUM(AA40:AA44)</f>
        <v/>
      </c>
      <c r="AB45" s="1222">
        <f>SUM(AB40:AB44)</f>
        <v/>
      </c>
      <c r="AC45" s="1222">
        <f>SUM(AC40:AC44)</f>
        <v/>
      </c>
      <c r="AD45" s="1222">
        <f>SUM(AD40:AD44)</f>
        <v/>
      </c>
      <c r="AE45" s="1222">
        <f>SUM(AE40:AE44)</f>
        <v/>
      </c>
      <c r="AF45" s="1222">
        <f>SUM(AF40:AF44)</f>
        <v/>
      </c>
      <c r="AG45" s="1222">
        <f>SUM(AG40:AG44)</f>
        <v/>
      </c>
      <c r="AH45" s="1222">
        <f>SUM(AH40:AH44)</f>
        <v/>
      </c>
      <c r="AI45" s="1222">
        <f>SUM(AI40:AI44)</f>
        <v/>
      </c>
      <c r="AJ45" s="1222">
        <f>SUM(AJ40:AJ44)</f>
        <v/>
      </c>
      <c r="AK45" s="1222">
        <f>SUM(AK40:AK44)</f>
        <v/>
      </c>
      <c r="AL45" s="1222">
        <f>SUM(AL40:AL44)</f>
        <v/>
      </c>
      <c r="AM45" s="1222">
        <f>SUM(AM40:AM44)</f>
        <v/>
      </c>
      <c r="AN45" s="1223" t="inlineStr">
        <is>
          <t>--</t>
        </is>
      </c>
      <c r="AO45" s="1222">
        <f>SUM(AO40:AO44)</f>
        <v/>
      </c>
      <c r="AP45" s="1224" t="inlineStr">
        <is>
          <t>--</t>
        </is>
      </c>
      <c r="AQ45" s="1222">
        <f>SUM(AQ40:AQ44)</f>
        <v/>
      </c>
      <c r="AR45" s="1222">
        <f>SUM(AR40:AR44)</f>
        <v/>
      </c>
      <c r="AS45" s="1222">
        <f>SUM(AS40:AS44)</f>
        <v/>
      </c>
      <c r="AT45" s="1222">
        <f>SUM(AT40:AT44)</f>
        <v/>
      </c>
      <c r="AU45" s="1222">
        <f>SUM(AU40:AU44)</f>
        <v/>
      </c>
      <c r="AV45" s="1222">
        <f>SUM(AV40:AV44)</f>
        <v/>
      </c>
      <c r="AW45" s="1224" t="inlineStr">
        <is>
          <t>--</t>
        </is>
      </c>
      <c r="AX45" s="1222">
        <f>SUM(AX40:AX44)</f>
        <v/>
      </c>
      <c r="AY45" s="1222">
        <f>SUM(AY40:AY44)</f>
        <v/>
      </c>
      <c r="AZ45" s="1222">
        <f>S45+AE45+AM45</f>
        <v/>
      </c>
      <c r="BA45" s="729" t="inlineStr">
        <is>
          <t>--</t>
        </is>
      </c>
      <c r="BB45" s="1222">
        <f>SUM(BB40:BB44)</f>
        <v/>
      </c>
    </row>
    <row r="46" ht="19.95" customHeight="1" s="1097">
      <c r="A46" s="358" t="inlineStr">
        <is>
          <t>权益法小计</t>
        </is>
      </c>
      <c r="B46" s="358" t="n"/>
      <c r="C46" s="1219">
        <f>SUM(C33:C44)</f>
        <v/>
      </c>
      <c r="D46" s="1234" t="inlineStr">
        <is>
          <t>--</t>
        </is>
      </c>
      <c r="E46" s="1234" t="inlineStr">
        <is>
          <t>--</t>
        </is>
      </c>
      <c r="F46" s="1234" t="inlineStr">
        <is>
          <t>--</t>
        </is>
      </c>
      <c r="G46" s="1234" t="inlineStr">
        <is>
          <t>--</t>
        </is>
      </c>
      <c r="H46" s="1219">
        <f>H45+H38</f>
        <v/>
      </c>
      <c r="I46" s="1234" t="inlineStr">
        <is>
          <t>--</t>
        </is>
      </c>
      <c r="J46" s="1219">
        <f>J38+J45</f>
        <v/>
      </c>
      <c r="K46" s="1219">
        <f>K38+K45</f>
        <v/>
      </c>
      <c r="L46" s="1219">
        <f>L38+L45</f>
        <v/>
      </c>
      <c r="M46" s="1219">
        <f>M38+M45</f>
        <v/>
      </c>
      <c r="N46" s="1219">
        <f>N38+N45</f>
        <v/>
      </c>
      <c r="O46" s="1219">
        <f>O38+O45</f>
        <v/>
      </c>
      <c r="P46" s="1235" t="inlineStr">
        <is>
          <t>--</t>
        </is>
      </c>
      <c r="Q46" s="1219">
        <f>Q38+Q45</f>
        <v/>
      </c>
      <c r="R46" s="1219">
        <f>R38+R45</f>
        <v/>
      </c>
      <c r="S46" s="1219">
        <f>S38+S45</f>
        <v/>
      </c>
      <c r="T46" s="1235" t="inlineStr">
        <is>
          <t>--</t>
        </is>
      </c>
      <c r="U46" s="1219">
        <f>U38+U45</f>
        <v/>
      </c>
      <c r="V46" s="1219">
        <f>SUM(V33:V44)</f>
        <v/>
      </c>
      <c r="W46" s="1219">
        <f>SUM(W33:W44)</f>
        <v/>
      </c>
      <c r="X46" s="1219">
        <f>SUM(X33:X44)</f>
        <v/>
      </c>
      <c r="Y46" s="1219">
        <f>SUM(Y33:Y44)</f>
        <v/>
      </c>
      <c r="Z46" s="1219" t="n"/>
      <c r="AA46" s="1219">
        <f>SUM(AA33:AA44)</f>
        <v/>
      </c>
      <c r="AB46" s="1219">
        <f>SUM(AB33:AB44)</f>
        <v/>
      </c>
      <c r="AC46" s="1219">
        <f>SUM(AC33:AC44)</f>
        <v/>
      </c>
      <c r="AD46" s="1219">
        <f>SUM(AD33:AD44)</f>
        <v/>
      </c>
      <c r="AE46" s="1219">
        <f>SUM(AE33:AE44)</f>
        <v/>
      </c>
      <c r="AF46" s="1219">
        <f>SUM(AF33:AF44)</f>
        <v/>
      </c>
      <c r="AG46" s="1219">
        <f>SUM(AG33:AG44)</f>
        <v/>
      </c>
      <c r="AH46" s="1219">
        <f>SUM(AH33:AH44)</f>
        <v/>
      </c>
      <c r="AI46" s="1219">
        <f>SUM(AI33:AI44)</f>
        <v/>
      </c>
      <c r="AJ46" s="1219">
        <f>SUM(AJ33:AJ44)</f>
        <v/>
      </c>
      <c r="AK46" s="1219">
        <f>SUM(AK33:AK44)</f>
        <v/>
      </c>
      <c r="AL46" s="1219">
        <f>SUM(AL33:AL44)</f>
        <v/>
      </c>
      <c r="AM46" s="1219">
        <f>SUM(AM33:AM44)</f>
        <v/>
      </c>
      <c r="AN46" s="1235" t="inlineStr">
        <is>
          <t>--</t>
        </is>
      </c>
      <c r="AO46" s="1219">
        <f>SUM(AO33:AO44)</f>
        <v/>
      </c>
      <c r="AP46" s="1219">
        <f>SUM(AP33:AP44)</f>
        <v/>
      </c>
      <c r="AQ46" s="1219">
        <f>SUM(AQ33:AQ44)</f>
        <v/>
      </c>
      <c r="AR46" s="1219">
        <f>SUM(AR33:AR44)</f>
        <v/>
      </c>
      <c r="AS46" s="1219">
        <f>SUM(AS33:AS44)</f>
        <v/>
      </c>
      <c r="AT46" s="1219">
        <f>SUM(AT33:AT44)</f>
        <v/>
      </c>
      <c r="AU46" s="1219">
        <f>SUM(AU33:AU44)</f>
        <v/>
      </c>
      <c r="AV46" s="1219">
        <f>SUM(AV33:AV44)</f>
        <v/>
      </c>
      <c r="AW46" s="1235" t="inlineStr">
        <is>
          <t>--</t>
        </is>
      </c>
      <c r="AX46" s="1219">
        <f>SUM(AX33:AX44)</f>
        <v/>
      </c>
      <c r="AY46" s="1219">
        <f>SUM(AY33:AY44)</f>
        <v/>
      </c>
      <c r="AZ46" s="1219">
        <f>SUM(AZ33:AZ44)</f>
        <v/>
      </c>
      <c r="BA46" s="1219" t="n"/>
      <c r="BB46" s="1219">
        <f>SUM(BB33:BB44)</f>
        <v/>
      </c>
    </row>
    <row r="47" ht="19.95" customHeight="1" s="1097">
      <c r="A47" s="944" t="inlineStr">
        <is>
          <t>长期股权投资合计</t>
        </is>
      </c>
      <c r="B47" s="1104" t="n"/>
      <c r="C47" s="1234" t="inlineStr">
        <is>
          <t>--</t>
        </is>
      </c>
      <c r="D47" s="1234" t="inlineStr">
        <is>
          <t>--</t>
        </is>
      </c>
      <c r="E47" s="1234" t="inlineStr">
        <is>
          <t>--</t>
        </is>
      </c>
      <c r="F47" s="1234" t="inlineStr">
        <is>
          <t>--</t>
        </is>
      </c>
      <c r="G47" s="1234" t="inlineStr">
        <is>
          <t>--</t>
        </is>
      </c>
      <c r="H47" s="1235">
        <f>M26+H46</f>
        <v/>
      </c>
      <c r="I47" s="1234" t="inlineStr">
        <is>
          <t>--</t>
        </is>
      </c>
      <c r="J47" s="1235">
        <f>J46+O26</f>
        <v/>
      </c>
      <c r="K47" s="1236">
        <f>K46</f>
        <v/>
      </c>
      <c r="L47" s="1236">
        <f>L46</f>
        <v/>
      </c>
      <c r="M47" s="1236">
        <f>M46</f>
        <v/>
      </c>
      <c r="N47" s="1236">
        <f>N46</f>
        <v/>
      </c>
      <c r="O47" s="1236">
        <f>O46</f>
        <v/>
      </c>
      <c r="P47" s="1235" t="inlineStr">
        <is>
          <t>--</t>
        </is>
      </c>
      <c r="Q47" s="1236" t="n"/>
      <c r="R47" s="1236" t="n"/>
      <c r="S47" s="1236" t="n"/>
      <c r="T47" s="1221" t="n"/>
      <c r="U47" s="1236">
        <f>SUM(U26,U46)</f>
        <v/>
      </c>
      <c r="V47" s="1236">
        <f>V26+V46</f>
        <v/>
      </c>
      <c r="W47" s="1236">
        <f>W26+W46</f>
        <v/>
      </c>
      <c r="X47" s="1236">
        <f>X26+X46</f>
        <v/>
      </c>
      <c r="Y47" s="1236">
        <f>Y46</f>
        <v/>
      </c>
      <c r="Z47" s="1236">
        <f>Z46</f>
        <v/>
      </c>
      <c r="AA47" s="1236">
        <f>AA46</f>
        <v/>
      </c>
      <c r="AB47" s="1236" t="n"/>
      <c r="AC47" s="1236">
        <f>AC46+Y26</f>
        <v/>
      </c>
      <c r="AD47" s="1236">
        <f>AD46</f>
        <v/>
      </c>
      <c r="AE47" s="1236">
        <f>AE46</f>
        <v/>
      </c>
      <c r="AF47" s="1236">
        <f>Z26+AF46</f>
        <v/>
      </c>
      <c r="AG47" s="1236">
        <f>AG46</f>
        <v/>
      </c>
      <c r="AH47" s="1236">
        <f>AH46</f>
        <v/>
      </c>
      <c r="AI47" s="1236">
        <f>AI46</f>
        <v/>
      </c>
      <c r="AJ47" s="1236">
        <f>AJ46</f>
        <v/>
      </c>
      <c r="AK47" s="1236">
        <f>AK46+AA26</f>
        <v/>
      </c>
      <c r="AL47" s="1236">
        <f>AL46</f>
        <v/>
      </c>
      <c r="AM47" s="1236">
        <f>AM46</f>
        <v/>
      </c>
      <c r="AN47" s="1235" t="inlineStr">
        <is>
          <t>--</t>
        </is>
      </c>
      <c r="AO47" s="1236">
        <f>AO46+AC26</f>
        <v/>
      </c>
      <c r="AP47" s="1235" t="inlineStr">
        <is>
          <t>--</t>
        </is>
      </c>
      <c r="AQ47" s="1236">
        <f>AQ46+AE26</f>
        <v/>
      </c>
      <c r="AR47" s="1236">
        <f>AR46</f>
        <v/>
      </c>
      <c r="AS47" s="1236">
        <f>AS46</f>
        <v/>
      </c>
      <c r="AT47" s="1236">
        <f>AT46</f>
        <v/>
      </c>
      <c r="AU47" s="1236">
        <f>AU46</f>
        <v/>
      </c>
      <c r="AV47" s="1236">
        <f>AV46</f>
        <v/>
      </c>
      <c r="AW47" s="1235" t="inlineStr">
        <is>
          <t>--</t>
        </is>
      </c>
      <c r="AX47" s="1237">
        <f>AX46+AG26</f>
        <v/>
      </c>
      <c r="AY47" s="1237">
        <f>AY46</f>
        <v/>
      </c>
      <c r="AZ47" s="1237">
        <f>AZ46</f>
        <v/>
      </c>
      <c r="BA47" s="1235" t="inlineStr">
        <is>
          <t>--</t>
        </is>
      </c>
      <c r="BB47" s="1237">
        <f>BB46+AI26</f>
        <v/>
      </c>
    </row>
    <row r="48" ht="19.95" customHeight="1" s="1097">
      <c r="A48" s="23" t="inlineStr">
        <is>
          <t>（三）长期股权投资减值准备</t>
        </is>
      </c>
      <c r="I48" s="1238" t="n"/>
      <c r="T48" s="23" t="inlineStr">
        <is>
          <t>（三）长期股权投资减值准备</t>
        </is>
      </c>
    </row>
    <row r="49" ht="19.95" customFormat="1" customHeight="1" s="12">
      <c r="A49" s="947" t="inlineStr">
        <is>
          <t>序号</t>
        </is>
      </c>
      <c r="B49" s="947" t="inlineStr">
        <is>
          <t>被投资单位名称</t>
        </is>
      </c>
      <c r="C49" s="947" t="inlineStr">
        <is>
          <t>初始投资成本</t>
        </is>
      </c>
      <c r="D49" s="947" t="inlineStr">
        <is>
          <t>投资比例</t>
        </is>
      </c>
      <c r="E49" s="947" t="inlineStr">
        <is>
          <t>投资时间</t>
        </is>
      </c>
      <c r="F49" s="947" t="inlineStr">
        <is>
          <t>投资方式</t>
        </is>
      </c>
      <c r="G49" s="945" t="inlineStr">
        <is>
          <t>未审数</t>
        </is>
      </c>
      <c r="H49" s="1103" t="n"/>
      <c r="I49" s="1103" t="n"/>
      <c r="J49" s="1103" t="n"/>
      <c r="K49" s="1104" t="n"/>
      <c r="L49" s="945" t="inlineStr">
        <is>
          <t>期初调整</t>
        </is>
      </c>
      <c r="M49" s="1104" t="n"/>
      <c r="N49" s="945" t="inlineStr">
        <is>
          <t>账项调整</t>
        </is>
      </c>
      <c r="O49" s="1104" t="n"/>
      <c r="P49" s="945" t="inlineStr">
        <is>
          <t>重分类调整</t>
        </is>
      </c>
      <c r="Q49" s="1104" t="n"/>
      <c r="R49" s="945" t="inlineStr">
        <is>
          <t>审定数</t>
        </is>
      </c>
      <c r="S49" s="1103" t="n"/>
      <c r="T49" s="1103" t="n"/>
      <c r="U49" s="1104" t="n"/>
    </row>
    <row r="50" ht="19.95" customFormat="1" customHeight="1" s="12">
      <c r="A50" s="1209" t="n"/>
      <c r="B50" s="1209" t="n"/>
      <c r="C50" s="1209" t="n"/>
      <c r="D50" s="1209" t="n"/>
      <c r="E50" s="1209" t="n"/>
      <c r="F50" s="1209" t="n"/>
      <c r="G50" s="945" t="inlineStr">
        <is>
          <t>期初余额</t>
        </is>
      </c>
      <c r="H50" s="947" t="inlineStr">
        <is>
          <t>本期增加</t>
        </is>
      </c>
      <c r="I50" s="945" t="inlineStr">
        <is>
          <t>本期减少</t>
        </is>
      </c>
      <c r="J50" s="945" t="inlineStr">
        <is>
          <t>期末余额</t>
        </is>
      </c>
      <c r="K50" s="945" t="inlineStr">
        <is>
          <t>备注</t>
        </is>
      </c>
      <c r="L50" s="945" t="inlineStr">
        <is>
          <t>账项调整</t>
        </is>
      </c>
      <c r="M50" s="945" t="inlineStr">
        <is>
          <t>重分类调整</t>
        </is>
      </c>
      <c r="N50" s="945" t="inlineStr">
        <is>
          <t>本期增加</t>
        </is>
      </c>
      <c r="O50" s="945" t="inlineStr">
        <is>
          <t>本期减少</t>
        </is>
      </c>
      <c r="P50" s="945" t="inlineStr">
        <is>
          <t>本期增加</t>
        </is>
      </c>
      <c r="Q50" s="945" t="inlineStr">
        <is>
          <t>本期减少</t>
        </is>
      </c>
      <c r="R50" s="945" t="inlineStr">
        <is>
          <t>期初余额</t>
        </is>
      </c>
      <c r="S50" s="945" t="inlineStr">
        <is>
          <t>本期增加</t>
        </is>
      </c>
      <c r="T50" s="945" t="inlineStr">
        <is>
          <t>本期减少</t>
        </is>
      </c>
      <c r="U50" s="945" t="inlineStr">
        <is>
          <t>期末余额</t>
        </is>
      </c>
    </row>
    <row r="51" ht="19.95" customFormat="1" customHeight="1" s="12">
      <c r="A51" s="1106" t="n"/>
      <c r="B51" s="1106" t="n"/>
      <c r="C51" s="1106" t="n"/>
      <c r="D51" s="1106" t="n"/>
      <c r="E51" s="1106" t="n"/>
      <c r="F51" s="1106" t="n"/>
      <c r="G51" s="1106" t="n"/>
      <c r="H51" s="1106" t="n"/>
      <c r="I51" s="1106" t="n"/>
      <c r="J51" s="1106" t="n"/>
      <c r="K51" s="1106" t="n"/>
      <c r="L51" s="1106" t="n"/>
      <c r="M51" s="1106" t="n"/>
      <c r="N51" s="1106" t="n"/>
      <c r="O51" s="1106" t="n"/>
      <c r="P51" s="1106" t="n"/>
      <c r="Q51" s="1106" t="n"/>
      <c r="R51" s="1106" t="n"/>
      <c r="S51" s="1106" t="n"/>
      <c r="T51" s="1106" t="n"/>
      <c r="U51" s="1106" t="n"/>
    </row>
    <row r="52" ht="19.95" customFormat="1" customHeight="1" s="181">
      <c r="A52" s="734" t="inlineStr">
        <is>
          <t>按成本法核算的长期股权投资</t>
        </is>
      </c>
      <c r="B52" s="944" t="n"/>
      <c r="C52" s="944" t="n"/>
      <c r="D52" s="944" t="n"/>
      <c r="E52" s="944" t="n"/>
      <c r="F52" s="944" t="n"/>
      <c r="G52" s="1239" t="n"/>
      <c r="H52" s="1240" t="n"/>
      <c r="I52" s="1240" t="n"/>
      <c r="J52" s="1239" t="n"/>
      <c r="K52" s="1241" t="n"/>
      <c r="L52" s="1241" t="n"/>
      <c r="M52" s="1241" t="n"/>
      <c r="N52" s="1241" t="n"/>
      <c r="O52" s="1241" t="n"/>
      <c r="P52" s="1241" t="n"/>
      <c r="Q52" s="1241" t="n"/>
      <c r="R52" s="1241" t="n"/>
      <c r="S52" s="1241" t="n"/>
      <c r="T52" s="1241" t="n"/>
      <c r="U52" s="1241" t="n"/>
    </row>
    <row r="53" ht="19.95" customHeight="1" s="1097">
      <c r="A53" s="710" t="n">
        <v>1</v>
      </c>
      <c r="B53" s="290">
        <f>B16</f>
        <v/>
      </c>
      <c r="C53" s="1215" t="n"/>
      <c r="D53" s="711" t="n"/>
      <c r="E53" s="738" t="n"/>
      <c r="F53" s="1216" t="n"/>
      <c r="G53" s="1242" t="n"/>
      <c r="H53" s="1243" t="n"/>
      <c r="I53" s="1242" t="n"/>
      <c r="J53" s="1244">
        <f>G53+H53-I53</f>
        <v/>
      </c>
      <c r="K53" s="1245" t="n"/>
      <c r="L53" s="1245" t="n"/>
      <c r="M53" s="1245" t="n"/>
      <c r="N53" s="1245" t="n"/>
      <c r="O53" s="1245" t="n"/>
      <c r="P53" s="1245" t="n"/>
      <c r="Q53" s="1245" t="n"/>
      <c r="R53" s="1244">
        <f>G53+L53+M53</f>
        <v/>
      </c>
      <c r="S53" s="1244">
        <f>H53+N53+P53</f>
        <v/>
      </c>
      <c r="T53" s="1244">
        <f>I53+O53+Q53</f>
        <v/>
      </c>
      <c r="U53" s="1244">
        <f>R53+S53-T53</f>
        <v/>
      </c>
    </row>
    <row r="54" ht="19.95" customHeight="1" s="1097">
      <c r="A54" s="710" t="n">
        <v>2</v>
      </c>
      <c r="B54" s="290">
        <f>B17</f>
        <v/>
      </c>
      <c r="C54" s="1215" t="n"/>
      <c r="D54" s="711" t="n"/>
      <c r="E54" s="738" t="n"/>
      <c r="F54" s="1216" t="n"/>
      <c r="G54" s="1242" t="n"/>
      <c r="H54" s="1243" t="n"/>
      <c r="I54" s="1242" t="n"/>
      <c r="J54" s="1244">
        <f>G54+H54-I54</f>
        <v/>
      </c>
      <c r="K54" s="1245" t="n"/>
      <c r="L54" s="1245" t="n"/>
      <c r="M54" s="1245" t="n"/>
      <c r="N54" s="1245" t="n"/>
      <c r="O54" s="1245" t="n"/>
      <c r="P54" s="1245" t="n"/>
      <c r="Q54" s="1245" t="n"/>
      <c r="R54" s="1244">
        <f>G54+L54+M54</f>
        <v/>
      </c>
      <c r="S54" s="1244">
        <f>H54+N54+P54</f>
        <v/>
      </c>
      <c r="T54" s="1244">
        <f>I54+O54+Q54</f>
        <v/>
      </c>
      <c r="U54" s="1244">
        <f>R54+S54-T54</f>
        <v/>
      </c>
    </row>
    <row r="55" ht="19.95" customHeight="1" s="1097">
      <c r="A55" s="710" t="n">
        <v>3</v>
      </c>
      <c r="B55" s="290">
        <f>B18</f>
        <v/>
      </c>
      <c r="C55" s="1215" t="n"/>
      <c r="D55" s="711" t="n"/>
      <c r="E55" s="738" t="n"/>
      <c r="F55" s="1216" t="n"/>
      <c r="G55" s="1242" t="n"/>
      <c r="H55" s="1243" t="n"/>
      <c r="I55" s="1242" t="n"/>
      <c r="J55" s="1244">
        <f>G55+H55-I55</f>
        <v/>
      </c>
      <c r="K55" s="1245" t="n"/>
      <c r="L55" s="1245" t="n"/>
      <c r="M55" s="1245" t="n"/>
      <c r="N55" s="1245" t="n"/>
      <c r="O55" s="1245" t="n"/>
      <c r="P55" s="1245" t="n"/>
      <c r="Q55" s="1245" t="n"/>
      <c r="R55" s="1244">
        <f>G55+L55+M55</f>
        <v/>
      </c>
      <c r="S55" s="1244">
        <f>H55+N55+P55</f>
        <v/>
      </c>
      <c r="T55" s="1244">
        <f>I55+O55+Q55</f>
        <v/>
      </c>
      <c r="U55" s="1244">
        <f>R55+S55-T55</f>
        <v/>
      </c>
    </row>
    <row r="56" ht="19.95" customHeight="1" s="1097">
      <c r="A56" s="710" t="n">
        <v>4</v>
      </c>
      <c r="B56" s="290">
        <f>B19</f>
        <v/>
      </c>
      <c r="C56" s="1215" t="n"/>
      <c r="D56" s="711" t="n"/>
      <c r="E56" s="738" t="n"/>
      <c r="F56" s="1216" t="n"/>
      <c r="G56" s="1242" t="n"/>
      <c r="H56" s="1243" t="n"/>
      <c r="I56" s="1242" t="n"/>
      <c r="J56" s="1244">
        <f>G56+H56-I56</f>
        <v/>
      </c>
      <c r="K56" s="1245" t="n"/>
      <c r="L56" s="1245" t="n"/>
      <c r="M56" s="1245" t="n"/>
      <c r="N56" s="1245" t="n"/>
      <c r="O56" s="1245" t="n"/>
      <c r="P56" s="1245" t="n"/>
      <c r="Q56" s="1245" t="n"/>
      <c r="R56" s="1244">
        <f>G56+L56+M56</f>
        <v/>
      </c>
      <c r="S56" s="1244">
        <f>H56+N56+P56</f>
        <v/>
      </c>
      <c r="T56" s="1244">
        <f>I56+O56+Q56</f>
        <v/>
      </c>
      <c r="U56" s="1244">
        <f>R56+S56-T56</f>
        <v/>
      </c>
    </row>
    <row r="57" ht="19.95" customHeight="1" s="1097">
      <c r="A57" s="710" t="n">
        <v>5</v>
      </c>
      <c r="B57" s="290">
        <f>B20</f>
        <v/>
      </c>
      <c r="C57" s="1215" t="n"/>
      <c r="D57" s="711" t="n"/>
      <c r="E57" s="738" t="n"/>
      <c r="F57" s="1216" t="n"/>
      <c r="G57" s="1242" t="n"/>
      <c r="H57" s="1243" t="n"/>
      <c r="I57" s="1242" t="n"/>
      <c r="J57" s="1244">
        <f>G57+H57-I57</f>
        <v/>
      </c>
      <c r="K57" s="1245" t="n"/>
      <c r="L57" s="1245" t="n"/>
      <c r="M57" s="1245" t="n"/>
      <c r="N57" s="1245" t="n"/>
      <c r="O57" s="1245" t="n"/>
      <c r="P57" s="1245" t="n"/>
      <c r="Q57" s="1245" t="n"/>
      <c r="R57" s="1244">
        <f>G57+L57+M57</f>
        <v/>
      </c>
      <c r="S57" s="1244">
        <f>H57+N57+P57</f>
        <v/>
      </c>
      <c r="T57" s="1244">
        <f>I57+O57+Q57</f>
        <v/>
      </c>
      <c r="U57" s="1244">
        <f>R57+S57-T57</f>
        <v/>
      </c>
    </row>
    <row r="58" ht="19.95" customHeight="1" s="1097">
      <c r="A58" s="710" t="n">
        <v>6</v>
      </c>
      <c r="B58" s="290">
        <f>B21</f>
        <v/>
      </c>
      <c r="C58" s="1215" t="n"/>
      <c r="D58" s="711" t="n"/>
      <c r="E58" s="738" t="n"/>
      <c r="F58" s="1216" t="n"/>
      <c r="G58" s="1242" t="n"/>
      <c r="H58" s="1243" t="n"/>
      <c r="I58" s="1242" t="n"/>
      <c r="J58" s="1244">
        <f>G58+H58-I58</f>
        <v/>
      </c>
      <c r="K58" s="1245" t="n"/>
      <c r="L58" s="1245" t="n"/>
      <c r="M58" s="1245" t="n"/>
      <c r="N58" s="1245" t="n"/>
      <c r="O58" s="1245" t="n"/>
      <c r="P58" s="1245" t="n"/>
      <c r="Q58" s="1245" t="n"/>
      <c r="R58" s="1244">
        <f>G58+L58+M58</f>
        <v/>
      </c>
      <c r="S58" s="1244">
        <f>H58+N58+P58</f>
        <v/>
      </c>
      <c r="T58" s="1244">
        <f>I58+O58+Q58</f>
        <v/>
      </c>
      <c r="U58" s="1244">
        <f>R58+S58-T58</f>
        <v/>
      </c>
    </row>
    <row r="59" ht="19.95" customHeight="1" s="1097">
      <c r="A59" s="710" t="n">
        <v>7</v>
      </c>
      <c r="B59" s="290">
        <f>B22</f>
        <v/>
      </c>
      <c r="C59" s="1215" t="n"/>
      <c r="D59" s="711" t="n"/>
      <c r="E59" s="738" t="n"/>
      <c r="F59" s="1216" t="n"/>
      <c r="G59" s="1242" t="n"/>
      <c r="H59" s="1243" t="n"/>
      <c r="I59" s="1242" t="n"/>
      <c r="J59" s="1244">
        <f>G59+H59-I59</f>
        <v/>
      </c>
      <c r="K59" s="1245" t="n"/>
      <c r="L59" s="1245" t="n"/>
      <c r="M59" s="1245" t="n"/>
      <c r="N59" s="1245" t="n"/>
      <c r="O59" s="1245" t="n"/>
      <c r="P59" s="1245" t="n"/>
      <c r="Q59" s="1245" t="n"/>
      <c r="R59" s="1244">
        <f>G59+L59+M59</f>
        <v/>
      </c>
      <c r="S59" s="1244">
        <f>H59+N59+P59</f>
        <v/>
      </c>
      <c r="T59" s="1244">
        <f>I59+O59+Q59</f>
        <v/>
      </c>
      <c r="U59" s="1244">
        <f>R59+S59-T59</f>
        <v/>
      </c>
    </row>
    <row r="60" ht="19.95" customHeight="1" s="1097">
      <c r="A60" s="710" t="n">
        <v>8</v>
      </c>
      <c r="B60" s="290">
        <f>B23</f>
        <v/>
      </c>
      <c r="C60" s="1215" t="n"/>
      <c r="D60" s="711" t="n"/>
      <c r="E60" s="738" t="n"/>
      <c r="F60" s="1216" t="n"/>
      <c r="G60" s="1242" t="n"/>
      <c r="H60" s="1243" t="n"/>
      <c r="I60" s="1242" t="n"/>
      <c r="J60" s="1244">
        <f>G60+H60-I60</f>
        <v/>
      </c>
      <c r="K60" s="1245" t="n"/>
      <c r="L60" s="1245" t="n"/>
      <c r="M60" s="1245" t="n"/>
      <c r="N60" s="1245" t="n"/>
      <c r="O60" s="1245" t="n"/>
      <c r="P60" s="1245" t="n"/>
      <c r="Q60" s="1245" t="n"/>
      <c r="R60" s="1244">
        <f>G60+L60+M60</f>
        <v/>
      </c>
      <c r="S60" s="1244">
        <f>H60+N60+P60</f>
        <v/>
      </c>
      <c r="T60" s="1244">
        <f>I60+O60+Q60</f>
        <v/>
      </c>
      <c r="U60" s="1244">
        <f>R60+S60-T60</f>
        <v/>
      </c>
    </row>
    <row r="61" ht="19.95" customHeight="1" s="1097">
      <c r="A61" s="710" t="n">
        <v>9</v>
      </c>
      <c r="B61" s="290">
        <f>B24</f>
        <v/>
      </c>
      <c r="C61" s="1215" t="n"/>
      <c r="D61" s="711" t="n"/>
      <c r="E61" s="738" t="n"/>
      <c r="F61" s="1216" t="n"/>
      <c r="G61" s="1242" t="n"/>
      <c r="H61" s="1243" t="n"/>
      <c r="I61" s="1242" t="n"/>
      <c r="J61" s="1244">
        <f>G61+H61-I61</f>
        <v/>
      </c>
      <c r="K61" s="1245" t="n"/>
      <c r="L61" s="1245" t="n"/>
      <c r="M61" s="1245" t="n"/>
      <c r="N61" s="1245" t="n"/>
      <c r="O61" s="1245" t="n"/>
      <c r="P61" s="1245" t="n"/>
      <c r="Q61" s="1245" t="n"/>
      <c r="R61" s="1244">
        <f>G61+L61+M61</f>
        <v/>
      </c>
      <c r="S61" s="1244">
        <f>H61+N61+P61</f>
        <v/>
      </c>
      <c r="T61" s="1244">
        <f>I61+O61+Q61</f>
        <v/>
      </c>
      <c r="U61" s="1244">
        <f>R61+S61-T61</f>
        <v/>
      </c>
    </row>
    <row r="62" ht="19.95" customHeight="1" s="1097">
      <c r="A62" s="710" t="n">
        <v>10</v>
      </c>
      <c r="B62" s="290">
        <f>B25</f>
        <v/>
      </c>
      <c r="C62" s="1215" t="n"/>
      <c r="D62" s="711" t="n"/>
      <c r="E62" s="738" t="n"/>
      <c r="F62" s="1216" t="n"/>
      <c r="G62" s="1242" t="n"/>
      <c r="H62" s="1243" t="n"/>
      <c r="I62" s="1242" t="n"/>
      <c r="J62" s="1244">
        <f>G62+H62-I62</f>
        <v/>
      </c>
      <c r="K62" s="1245" t="n"/>
      <c r="L62" s="1245" t="n"/>
      <c r="M62" s="1245" t="n"/>
      <c r="N62" s="1245" t="n"/>
      <c r="O62" s="1245" t="n"/>
      <c r="P62" s="1245" t="n"/>
      <c r="Q62" s="1245" t="n"/>
      <c r="R62" s="1244">
        <f>G62+L62+M62</f>
        <v/>
      </c>
      <c r="S62" s="1244">
        <f>H62+N62+P62</f>
        <v/>
      </c>
      <c r="T62" s="1244">
        <f>I62+O62+Q62</f>
        <v/>
      </c>
      <c r="U62" s="1244">
        <f>R62+S62-T62</f>
        <v/>
      </c>
    </row>
    <row r="63" ht="25.8" customHeight="1" s="1097">
      <c r="A63" s="946" t="inlineStr">
        <is>
          <t>按成本法核算的长期股权投资小计</t>
        </is>
      </c>
      <c r="B63" s="1104" t="n"/>
      <c r="C63" s="1224" t="inlineStr">
        <is>
          <t>--</t>
        </is>
      </c>
      <c r="D63" s="1224" t="inlineStr">
        <is>
          <t>--</t>
        </is>
      </c>
      <c r="E63" s="1224" t="inlineStr">
        <is>
          <t>--</t>
        </is>
      </c>
      <c r="F63" s="1224" t="inlineStr">
        <is>
          <t>--</t>
        </is>
      </c>
      <c r="G63" s="1246">
        <f>SUM(G53:G62)</f>
        <v/>
      </c>
      <c r="H63" s="1246">
        <f>SUM(H53:H62)</f>
        <v/>
      </c>
      <c r="I63" s="1246">
        <f>SUM(I53:I62)</f>
        <v/>
      </c>
      <c r="J63" s="1244">
        <f>SUM(J53:J62)</f>
        <v/>
      </c>
      <c r="K63" s="1247" t="inlineStr">
        <is>
          <t>--</t>
        </is>
      </c>
      <c r="L63" s="1246">
        <f>SUM(L53:L62)</f>
        <v/>
      </c>
      <c r="M63" s="1246">
        <f>SUM(M53:M62)</f>
        <v/>
      </c>
      <c r="N63" s="1246">
        <f>SUM(N53:N62)</f>
        <v/>
      </c>
      <c r="O63" s="1246">
        <f>SUM(O53:O62)</f>
        <v/>
      </c>
      <c r="P63" s="1246">
        <f>SUM(P53:P62)</f>
        <v/>
      </c>
      <c r="Q63" s="1246">
        <f>SUM(Q53:Q62)</f>
        <v/>
      </c>
      <c r="R63" s="1248">
        <f>SUM(R53:R62)</f>
        <v/>
      </c>
      <c r="S63" s="1248">
        <f>SUM(S53:S62)</f>
        <v/>
      </c>
      <c r="T63" s="1248">
        <f>SUM(T53:T62)</f>
        <v/>
      </c>
      <c r="U63" s="1248">
        <f>SUM(U53:U62)</f>
        <v/>
      </c>
    </row>
    <row r="64" ht="19.95" customFormat="1" customHeight="1" s="181">
      <c r="A64" s="734" t="inlineStr">
        <is>
          <t>按权益法核算的长期股权投资</t>
        </is>
      </c>
      <c r="B64" s="745" t="n"/>
      <c r="C64" s="1249" t="n"/>
      <c r="D64" s="1250" t="n"/>
      <c r="E64" s="1250" t="n"/>
      <c r="F64" s="1251" t="n"/>
      <c r="G64" s="1252" t="n"/>
      <c r="H64" s="1253" t="n"/>
      <c r="I64" s="1252" t="n"/>
      <c r="J64" s="1254" t="inlineStr">
        <is>
          <t>--</t>
        </is>
      </c>
      <c r="K64" s="1241" t="n"/>
      <c r="L64" s="1241" t="n"/>
      <c r="M64" s="1241" t="n"/>
      <c r="N64" s="1241" t="n"/>
      <c r="O64" s="1241" t="n"/>
      <c r="P64" s="1241" t="n"/>
      <c r="Q64" s="1241" t="n"/>
      <c r="R64" s="1241">
        <f>G64+L64+M64</f>
        <v/>
      </c>
      <c r="S64" s="1241">
        <f>H64+N64+P64</f>
        <v/>
      </c>
      <c r="T64" s="1241">
        <f>I64+O64+Q64</f>
        <v/>
      </c>
      <c r="U64" s="1241">
        <f>R64+S64-T64</f>
        <v/>
      </c>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c r="AY64" s="2" t="n"/>
      <c r="AZ64" s="2" t="n"/>
      <c r="BA64" s="2" t="n"/>
      <c r="BB64" s="2" t="n"/>
    </row>
    <row r="65" ht="19.95" customHeight="1" s="1097">
      <c r="A65" s="734" t="inlineStr">
        <is>
          <t>——合营企业：</t>
        </is>
      </c>
      <c r="B65" s="745" t="n"/>
      <c r="C65" s="1249" t="n"/>
      <c r="D65" s="1250" t="n"/>
      <c r="E65" s="1250" t="n"/>
      <c r="F65" s="1251" t="n"/>
      <c r="G65" s="1252" t="n"/>
      <c r="H65" s="1253" t="n"/>
      <c r="I65" s="1252" t="n"/>
      <c r="J65" s="1254" t="inlineStr">
        <is>
          <t>--</t>
        </is>
      </c>
      <c r="K65" s="1241" t="n"/>
      <c r="L65" s="1241" t="n"/>
      <c r="M65" s="1241" t="n"/>
      <c r="N65" s="1241" t="n"/>
      <c r="O65" s="1241" t="n"/>
      <c r="P65" s="1241" t="n"/>
      <c r="Q65" s="1241" t="n"/>
      <c r="R65" s="1241" t="n"/>
      <c r="S65" s="1241" t="n"/>
      <c r="T65" s="1241" t="n"/>
      <c r="U65" s="1241" t="n"/>
    </row>
    <row r="66" ht="19.95" customHeight="1" s="1097">
      <c r="A66" s="710" t="n">
        <v>1</v>
      </c>
      <c r="B66" s="290">
        <f>B33</f>
        <v/>
      </c>
      <c r="C66" s="1215" t="n"/>
      <c r="D66" s="1217" t="n"/>
      <c r="E66" s="1217" t="n"/>
      <c r="F66" s="1216" t="n"/>
      <c r="G66" s="1242" t="n"/>
      <c r="H66" s="1243" t="n"/>
      <c r="I66" s="1242" t="n"/>
      <c r="J66" s="1244">
        <f>G66+H66-I66</f>
        <v/>
      </c>
      <c r="K66" s="1245" t="n"/>
      <c r="L66" s="1245" t="n"/>
      <c r="M66" s="1245" t="n"/>
      <c r="N66" s="1245" t="n"/>
      <c r="O66" s="1245" t="n"/>
      <c r="P66" s="1245" t="n"/>
      <c r="Q66" s="1245" t="n"/>
      <c r="R66" s="1248">
        <f>G66+L66+M66</f>
        <v/>
      </c>
      <c r="S66" s="1248">
        <f>H66+N66+P66</f>
        <v/>
      </c>
      <c r="T66" s="1248">
        <f>I66+O66+Q66</f>
        <v/>
      </c>
      <c r="U66" s="1248">
        <f>R66+S66-T66</f>
        <v/>
      </c>
    </row>
    <row r="67" ht="19.95" customHeight="1" s="1097">
      <c r="A67" s="710" t="n">
        <v>2</v>
      </c>
      <c r="B67" s="290">
        <f>B34</f>
        <v/>
      </c>
      <c r="C67" s="1215" t="n"/>
      <c r="D67" s="1217" t="n"/>
      <c r="E67" s="1217" t="n"/>
      <c r="F67" s="1216" t="n"/>
      <c r="G67" s="1242" t="n"/>
      <c r="H67" s="1243" t="n"/>
      <c r="I67" s="1242" t="n"/>
      <c r="J67" s="1244">
        <f>G67+H67-I67</f>
        <v/>
      </c>
      <c r="K67" s="1245" t="n"/>
      <c r="L67" s="1245" t="n"/>
      <c r="M67" s="1245" t="n"/>
      <c r="N67" s="1245" t="n"/>
      <c r="O67" s="1245" t="n"/>
      <c r="P67" s="1245" t="n"/>
      <c r="Q67" s="1245" t="n"/>
      <c r="R67" s="1248">
        <f>G67+L67+M67</f>
        <v/>
      </c>
      <c r="S67" s="1248">
        <f>H67+N67+P67</f>
        <v/>
      </c>
      <c r="T67" s="1248">
        <f>I67+O67+Q67</f>
        <v/>
      </c>
      <c r="U67" s="1248">
        <f>R67+S67-T67</f>
        <v/>
      </c>
    </row>
    <row r="68" ht="19.95" customHeight="1" s="1097">
      <c r="A68" s="710" t="n">
        <v>3</v>
      </c>
      <c r="B68" s="290">
        <f>B35</f>
        <v/>
      </c>
      <c r="C68" s="1215" t="n"/>
      <c r="D68" s="1217" t="n"/>
      <c r="E68" s="1217" t="n"/>
      <c r="F68" s="1216" t="n"/>
      <c r="G68" s="1242" t="n"/>
      <c r="H68" s="1243" t="n"/>
      <c r="I68" s="1242" t="n"/>
      <c r="J68" s="1244">
        <f>G68+H68-I68</f>
        <v/>
      </c>
      <c r="K68" s="1245" t="n"/>
      <c r="L68" s="1245" t="n"/>
      <c r="M68" s="1245" t="n"/>
      <c r="N68" s="1245" t="n"/>
      <c r="O68" s="1245" t="n"/>
      <c r="P68" s="1245" t="n"/>
      <c r="Q68" s="1245" t="n"/>
      <c r="R68" s="1248">
        <f>G68+L68+M68</f>
        <v/>
      </c>
      <c r="S68" s="1248">
        <f>H68+N68+P68</f>
        <v/>
      </c>
      <c r="T68" s="1248">
        <f>I68+O68+Q68</f>
        <v/>
      </c>
      <c r="U68" s="1248">
        <f>R68+S68-T68</f>
        <v/>
      </c>
    </row>
    <row r="69" ht="19.95" customHeight="1" s="1097">
      <c r="A69" s="710" t="n">
        <v>4</v>
      </c>
      <c r="B69" s="290">
        <f>B36</f>
        <v/>
      </c>
      <c r="C69" s="1215" t="n"/>
      <c r="D69" s="1217" t="n"/>
      <c r="E69" s="1217" t="n"/>
      <c r="F69" s="1216" t="n"/>
      <c r="G69" s="1242" t="n"/>
      <c r="H69" s="1243" t="n"/>
      <c r="I69" s="1242" t="n"/>
      <c r="J69" s="1244">
        <f>G69+H69-I69</f>
        <v/>
      </c>
      <c r="K69" s="1245" t="n"/>
      <c r="L69" s="1245" t="n"/>
      <c r="M69" s="1245" t="n"/>
      <c r="N69" s="1245" t="n"/>
      <c r="O69" s="1245" t="n"/>
      <c r="P69" s="1245" t="n"/>
      <c r="Q69" s="1245" t="n"/>
      <c r="R69" s="1248">
        <f>G69+L69+M69</f>
        <v/>
      </c>
      <c r="S69" s="1248">
        <f>H69+N69+P69</f>
        <v/>
      </c>
      <c r="T69" s="1248">
        <f>I69+O69+Q69</f>
        <v/>
      </c>
      <c r="U69" s="1248">
        <f>R69+S69-T69</f>
        <v/>
      </c>
    </row>
    <row r="70" ht="19.95" customHeight="1" s="1097">
      <c r="A70" s="710" t="n">
        <v>5</v>
      </c>
      <c r="B70" s="290">
        <f>B37</f>
        <v/>
      </c>
      <c r="C70" s="1215" t="n"/>
      <c r="D70" s="1217" t="n"/>
      <c r="E70" s="1217" t="n"/>
      <c r="F70" s="1216" t="n"/>
      <c r="G70" s="1242" t="n"/>
      <c r="H70" s="1243" t="n"/>
      <c r="I70" s="1242" t="n"/>
      <c r="J70" s="1244">
        <f>G70+H70-I70</f>
        <v/>
      </c>
      <c r="K70" s="1245" t="n"/>
      <c r="L70" s="1245" t="n"/>
      <c r="M70" s="1245" t="n"/>
      <c r="N70" s="1245" t="n"/>
      <c r="O70" s="1245" t="n"/>
      <c r="P70" s="1245" t="n"/>
      <c r="Q70" s="1245" t="n"/>
      <c r="R70" s="1248">
        <f>G70+L70+M70</f>
        <v/>
      </c>
      <c r="S70" s="1248">
        <f>H70+N70+P70</f>
        <v/>
      </c>
      <c r="T70" s="1248">
        <f>I70+O70+Q70</f>
        <v/>
      </c>
      <c r="U70" s="1248">
        <f>R70+S70-T70</f>
        <v/>
      </c>
    </row>
    <row r="71" ht="19.95" customHeight="1" s="1097">
      <c r="A71" s="946" t="inlineStr">
        <is>
          <t>合营企业小计</t>
        </is>
      </c>
      <c r="B71" s="1104" t="n"/>
      <c r="C71" s="1224" t="inlineStr">
        <is>
          <t>--</t>
        </is>
      </c>
      <c r="D71" s="1224" t="inlineStr">
        <is>
          <t>--</t>
        </is>
      </c>
      <c r="E71" s="1224" t="inlineStr">
        <is>
          <t>--</t>
        </is>
      </c>
      <c r="F71" s="1224" t="inlineStr">
        <is>
          <t>--</t>
        </is>
      </c>
      <c r="G71" s="1246">
        <f>SUM(G66:G70)</f>
        <v/>
      </c>
      <c r="H71" s="1246">
        <f>SUM(H66:H70)</f>
        <v/>
      </c>
      <c r="I71" s="1246">
        <f>SUM(I66:I70)</f>
        <v/>
      </c>
      <c r="J71" s="1244">
        <f>SUM(J66:J70)</f>
        <v/>
      </c>
      <c r="K71" s="1247" t="inlineStr">
        <is>
          <t>--</t>
        </is>
      </c>
      <c r="L71" s="1248">
        <f>SUM(L66:L70)</f>
        <v/>
      </c>
      <c r="M71" s="1248">
        <f>SUM(M66:M70)</f>
        <v/>
      </c>
      <c r="N71" s="1248">
        <f>SUM(N66:N70)</f>
        <v/>
      </c>
      <c r="O71" s="1248">
        <f>SUM(O66:O70)</f>
        <v/>
      </c>
      <c r="P71" s="1248">
        <f>SUM(P66:P70)</f>
        <v/>
      </c>
      <c r="Q71" s="1248">
        <f>SUM(Q66:Q70)</f>
        <v/>
      </c>
      <c r="R71" s="1248">
        <f>SUM(R66:R70)</f>
        <v/>
      </c>
      <c r="S71" s="1248">
        <f>SUM(S66:S70)</f>
        <v/>
      </c>
      <c r="T71" s="1248">
        <f>SUM(T66:T70)</f>
        <v/>
      </c>
      <c r="U71" s="1248">
        <f>SUM(U66:U70)</f>
        <v/>
      </c>
    </row>
    <row r="72" ht="19.95" customHeight="1" s="1097">
      <c r="A72" s="734" t="inlineStr">
        <is>
          <t>——联营企业</t>
        </is>
      </c>
      <c r="B72" s="745" t="n"/>
      <c r="C72" s="1215" t="n"/>
      <c r="D72" s="1217" t="n"/>
      <c r="E72" s="1217" t="n"/>
      <c r="F72" s="1216" t="n"/>
      <c r="G72" s="1242" t="n"/>
      <c r="H72" s="1243" t="n"/>
      <c r="I72" s="1242" t="n"/>
      <c r="J72" s="1255" t="inlineStr">
        <is>
          <t>--</t>
        </is>
      </c>
      <c r="K72" s="1245" t="n"/>
      <c r="L72" s="1245" t="n"/>
      <c r="M72" s="1245" t="n"/>
      <c r="N72" s="1245" t="n"/>
      <c r="O72" s="1245" t="n"/>
      <c r="P72" s="1245" t="n"/>
      <c r="Q72" s="1245" t="n"/>
      <c r="R72" s="1245" t="n"/>
      <c r="S72" s="1245" t="n"/>
      <c r="T72" s="1245" t="n"/>
      <c r="U72" s="1245" t="n"/>
    </row>
    <row r="73" ht="19.95" customHeight="1" s="1097">
      <c r="A73" s="710" t="n">
        <v>1</v>
      </c>
      <c r="B73" s="290">
        <f>B40</f>
        <v/>
      </c>
      <c r="C73" s="1215" t="n"/>
      <c r="D73" s="1217" t="n"/>
      <c r="E73" s="1217" t="n"/>
      <c r="F73" s="1216" t="n"/>
      <c r="G73" s="1242" t="n"/>
      <c r="H73" s="1243" t="n"/>
      <c r="I73" s="1242" t="n"/>
      <c r="J73" s="1244">
        <f>G73+H73-I73</f>
        <v/>
      </c>
      <c r="K73" s="1245" t="n"/>
      <c r="L73" s="1245" t="n"/>
      <c r="M73" s="1245" t="n"/>
      <c r="N73" s="1245" t="n"/>
      <c r="O73" s="1245" t="n"/>
      <c r="P73" s="1245" t="n"/>
      <c r="Q73" s="1245" t="n"/>
      <c r="R73" s="1248">
        <f>G73+L73+M73</f>
        <v/>
      </c>
      <c r="S73" s="1248">
        <f>H73+N73+P73</f>
        <v/>
      </c>
      <c r="T73" s="1248">
        <f>I73+O73+Q73</f>
        <v/>
      </c>
      <c r="U73" s="1248">
        <f>R73+S73-T73</f>
        <v/>
      </c>
    </row>
    <row r="74" ht="19.95" customHeight="1" s="1097">
      <c r="A74" s="710" t="n">
        <v>2</v>
      </c>
      <c r="B74" s="290">
        <f>B41</f>
        <v/>
      </c>
      <c r="C74" s="1215" t="n"/>
      <c r="D74" s="1217" t="n"/>
      <c r="E74" s="1217" t="n"/>
      <c r="F74" s="1216" t="n"/>
      <c r="G74" s="1242" t="n"/>
      <c r="H74" s="1243" t="n"/>
      <c r="I74" s="1242" t="n"/>
      <c r="J74" s="1244">
        <f>G74+H74-I74</f>
        <v/>
      </c>
      <c r="K74" s="1245" t="n"/>
      <c r="L74" s="1245" t="n"/>
      <c r="M74" s="1245" t="n"/>
      <c r="N74" s="1245" t="n"/>
      <c r="O74" s="1245" t="n"/>
      <c r="P74" s="1245" t="n"/>
      <c r="Q74" s="1245" t="n"/>
      <c r="R74" s="1248">
        <f>G74+L74+M74</f>
        <v/>
      </c>
      <c r="S74" s="1248">
        <f>H74+N74+P74</f>
        <v/>
      </c>
      <c r="T74" s="1248">
        <f>I74+O74+Q74</f>
        <v/>
      </c>
      <c r="U74" s="1248">
        <f>R74+S74-T74</f>
        <v/>
      </c>
    </row>
    <row r="75" ht="19.95" customHeight="1" s="1097">
      <c r="A75" s="710" t="n">
        <v>3</v>
      </c>
      <c r="B75" s="290">
        <f>B42</f>
        <v/>
      </c>
      <c r="C75" s="1215" t="n"/>
      <c r="D75" s="1217" t="n"/>
      <c r="E75" s="1217" t="n"/>
      <c r="F75" s="1216" t="n"/>
      <c r="G75" s="1242" t="n"/>
      <c r="H75" s="1243" t="n"/>
      <c r="I75" s="1242" t="n"/>
      <c r="J75" s="1244">
        <f>G75+H75-I75</f>
        <v/>
      </c>
      <c r="K75" s="1245" t="n"/>
      <c r="L75" s="1245" t="n"/>
      <c r="M75" s="1245" t="n"/>
      <c r="N75" s="1245" t="n"/>
      <c r="O75" s="1245" t="n"/>
      <c r="P75" s="1245" t="n"/>
      <c r="Q75" s="1245" t="n"/>
      <c r="R75" s="1248">
        <f>G75+L75+M75</f>
        <v/>
      </c>
      <c r="S75" s="1248">
        <f>H75+N75+P75</f>
        <v/>
      </c>
      <c r="T75" s="1248">
        <f>I75+O75+Q75</f>
        <v/>
      </c>
      <c r="U75" s="1248">
        <f>R75+S75-T75</f>
        <v/>
      </c>
    </row>
    <row r="76" ht="19.95" customHeight="1" s="1097">
      <c r="A76" s="710" t="n">
        <v>4</v>
      </c>
      <c r="B76" s="290">
        <f>B43</f>
        <v/>
      </c>
      <c r="C76" s="1215" t="n"/>
      <c r="D76" s="1217" t="n"/>
      <c r="E76" s="1217" t="n"/>
      <c r="F76" s="1216" t="n"/>
      <c r="G76" s="1242" t="n"/>
      <c r="H76" s="1243" t="n"/>
      <c r="I76" s="1242" t="n"/>
      <c r="J76" s="1244">
        <f>G76+H76-I76</f>
        <v/>
      </c>
      <c r="K76" s="1245" t="n"/>
      <c r="L76" s="1245" t="n"/>
      <c r="M76" s="1245" t="n"/>
      <c r="N76" s="1245" t="n"/>
      <c r="O76" s="1245" t="n"/>
      <c r="P76" s="1245" t="n"/>
      <c r="Q76" s="1245" t="n"/>
      <c r="R76" s="1248">
        <f>G76+L76+M76</f>
        <v/>
      </c>
      <c r="S76" s="1248">
        <f>H76+N76+P76</f>
        <v/>
      </c>
      <c r="T76" s="1248">
        <f>I76+O76+Q76</f>
        <v/>
      </c>
      <c r="U76" s="1248">
        <f>R76+S76-T76</f>
        <v/>
      </c>
    </row>
    <row r="77" ht="19.95" customHeight="1" s="1097">
      <c r="A77" s="710" t="n">
        <v>5</v>
      </c>
      <c r="B77" s="290">
        <f>B44</f>
        <v/>
      </c>
      <c r="C77" s="1215" t="n"/>
      <c r="D77" s="1217" t="n"/>
      <c r="E77" s="1217" t="n"/>
      <c r="F77" s="1216" t="n"/>
      <c r="G77" s="1242" t="n"/>
      <c r="H77" s="1243" t="n"/>
      <c r="I77" s="1242" t="n"/>
      <c r="J77" s="1244">
        <f>G77+H77-I77</f>
        <v/>
      </c>
      <c r="K77" s="1245" t="n"/>
      <c r="L77" s="1245" t="n"/>
      <c r="M77" s="1245" t="n"/>
      <c r="N77" s="1245" t="n"/>
      <c r="O77" s="1245" t="n"/>
      <c r="P77" s="1245" t="n"/>
      <c r="Q77" s="1245" t="n"/>
      <c r="R77" s="1248">
        <f>G77+L77+M77</f>
        <v/>
      </c>
      <c r="S77" s="1248">
        <f>H77+N77+P77</f>
        <v/>
      </c>
      <c r="T77" s="1248">
        <f>I77+O77+Q77</f>
        <v/>
      </c>
      <c r="U77" s="1248">
        <f>R77+S77-T77</f>
        <v/>
      </c>
    </row>
    <row r="78" ht="19.95" customHeight="1" s="1097">
      <c r="A78" s="944" t="inlineStr">
        <is>
          <t>联营企业小计</t>
        </is>
      </c>
      <c r="B78" s="1104" t="n"/>
      <c r="C78" s="1256" t="inlineStr">
        <is>
          <t>--</t>
        </is>
      </c>
      <c r="D78" s="1256" t="inlineStr">
        <is>
          <t>--</t>
        </is>
      </c>
      <c r="E78" s="1256" t="inlineStr">
        <is>
          <t>--</t>
        </is>
      </c>
      <c r="F78" s="1256" t="inlineStr">
        <is>
          <t>--</t>
        </is>
      </c>
      <c r="G78" s="1246">
        <f>SUM(G73:G77)</f>
        <v/>
      </c>
      <c r="H78" s="1246">
        <f>SUM(H73:H77)</f>
        <v/>
      </c>
      <c r="I78" s="1246">
        <f>SUM(I73:I77)</f>
        <v/>
      </c>
      <c r="J78" s="1244">
        <f>SUM(J73:J77)</f>
        <v/>
      </c>
      <c r="K78" s="1257" t="inlineStr">
        <is>
          <t>--</t>
        </is>
      </c>
      <c r="L78" s="1248">
        <f>SUM(L73:L77)</f>
        <v/>
      </c>
      <c r="M78" s="1248">
        <f>SUM(M73:M77)</f>
        <v/>
      </c>
      <c r="N78" s="1248">
        <f>SUM(N73:N77)</f>
        <v/>
      </c>
      <c r="O78" s="1248">
        <f>SUM(O73:O77)</f>
        <v/>
      </c>
      <c r="P78" s="1248">
        <f>SUM(P73:P77)</f>
        <v/>
      </c>
      <c r="Q78" s="1248">
        <f>SUM(Q73:Q77)</f>
        <v/>
      </c>
      <c r="R78" s="1248">
        <f>SUM(R73:R77)</f>
        <v/>
      </c>
      <c r="S78" s="1248">
        <f>SUM(S73:S77)</f>
        <v/>
      </c>
      <c r="T78" s="1248">
        <f>SUM(T73:T77)</f>
        <v/>
      </c>
      <c r="U78" s="1248">
        <f>SUM(U73:U77)</f>
        <v/>
      </c>
    </row>
    <row r="79" ht="27" customHeight="1" s="1097">
      <c r="A79" s="944" t="inlineStr">
        <is>
          <t>按权益法核算的长期股权投资小计</t>
        </is>
      </c>
      <c r="B79" s="1104" t="n"/>
      <c r="C79" s="1256" t="inlineStr">
        <is>
          <t>--</t>
        </is>
      </c>
      <c r="D79" s="1256" t="inlineStr">
        <is>
          <t>--</t>
        </is>
      </c>
      <c r="E79" s="1256" t="inlineStr">
        <is>
          <t>--</t>
        </is>
      </c>
      <c r="F79" s="1256" t="inlineStr">
        <is>
          <t>--</t>
        </is>
      </c>
      <c r="G79" s="1246">
        <f>G71+G78</f>
        <v/>
      </c>
      <c r="H79" s="1246">
        <f>H71+H78</f>
        <v/>
      </c>
      <c r="I79" s="1246">
        <f>I71+I78</f>
        <v/>
      </c>
      <c r="J79" s="1244">
        <f>J71+J78</f>
        <v/>
      </c>
      <c r="K79" s="1257" t="inlineStr">
        <is>
          <t>--</t>
        </is>
      </c>
      <c r="L79" s="1246">
        <f>L71+L78</f>
        <v/>
      </c>
      <c r="M79" s="1246">
        <f>M71+M78</f>
        <v/>
      </c>
      <c r="N79" s="1246">
        <f>N71+N78</f>
        <v/>
      </c>
      <c r="O79" s="1246">
        <f>O71+O78</f>
        <v/>
      </c>
      <c r="P79" s="1246">
        <f>P71+P78</f>
        <v/>
      </c>
      <c r="Q79" s="1246">
        <f>Q71+Q78</f>
        <v/>
      </c>
      <c r="R79" s="1248">
        <f>G79+L79+M79</f>
        <v/>
      </c>
      <c r="S79" s="1248">
        <f>H79+N79+P79</f>
        <v/>
      </c>
      <c r="T79" s="1248">
        <f>I79+O79+Q79</f>
        <v/>
      </c>
      <c r="U79" s="1248">
        <f>R79+S79-T79</f>
        <v/>
      </c>
    </row>
    <row r="80" ht="19.95" customHeight="1" s="1097">
      <c r="A80" s="358" t="inlineStr">
        <is>
          <t>减值准备合计</t>
        </is>
      </c>
      <c r="B80" s="358" t="n"/>
      <c r="C80" s="1256" t="inlineStr">
        <is>
          <t>--</t>
        </is>
      </c>
      <c r="D80" s="1256" t="inlineStr">
        <is>
          <t>--</t>
        </is>
      </c>
      <c r="E80" s="1256" t="inlineStr">
        <is>
          <t>--</t>
        </is>
      </c>
      <c r="F80" s="1256" t="inlineStr">
        <is>
          <t>--</t>
        </is>
      </c>
      <c r="G80" s="1258">
        <f>G63+G79</f>
        <v/>
      </c>
      <c r="H80" s="1259">
        <f>H63+H79</f>
        <v/>
      </c>
      <c r="I80" s="1259">
        <f>I63+I79</f>
        <v/>
      </c>
      <c r="J80" s="1258">
        <f>SUM(J53:J79)</f>
        <v/>
      </c>
      <c r="K80" s="1260" t="inlineStr">
        <is>
          <t>--</t>
        </is>
      </c>
      <c r="L80" s="1261">
        <f>L63+L79</f>
        <v/>
      </c>
      <c r="M80" s="1261">
        <f>M63+M79</f>
        <v/>
      </c>
      <c r="N80" s="1261">
        <f>N63+N79</f>
        <v/>
      </c>
      <c r="O80" s="1261">
        <f>O63+O79</f>
        <v/>
      </c>
      <c r="P80" s="1261">
        <f>P63+P79</f>
        <v/>
      </c>
      <c r="Q80" s="1261">
        <f>Q63+Q79</f>
        <v/>
      </c>
      <c r="R80" s="1261">
        <f>G80+L80+M80</f>
        <v/>
      </c>
      <c r="S80" s="1261">
        <f>H80+N80+P80</f>
        <v/>
      </c>
      <c r="T80" s="1261">
        <f>I80+O80+Q80</f>
        <v/>
      </c>
      <c r="U80" s="1261">
        <f>R80+S80-T80</f>
        <v/>
      </c>
    </row>
    <row r="81" ht="19.95" customHeight="1" s="1097">
      <c r="A81" s="944" t="inlineStr">
        <is>
          <t>长期股权投资净值合计</t>
        </is>
      </c>
      <c r="B81" s="1104" t="n"/>
      <c r="C81" s="1256" t="inlineStr">
        <is>
          <t>--</t>
        </is>
      </c>
      <c r="D81" s="1256" t="inlineStr">
        <is>
          <t>--</t>
        </is>
      </c>
      <c r="E81" s="1256" t="inlineStr">
        <is>
          <t>--</t>
        </is>
      </c>
      <c r="F81" s="1256" t="inlineStr">
        <is>
          <t>--</t>
        </is>
      </c>
      <c r="G81" s="1219">
        <f>H47-G80</f>
        <v/>
      </c>
      <c r="H81" s="1235" t="inlineStr">
        <is>
          <t>--</t>
        </is>
      </c>
      <c r="I81" s="1235" t="inlineStr">
        <is>
          <t>--</t>
        </is>
      </c>
      <c r="J81" s="1219">
        <f>U47-J80</f>
        <v/>
      </c>
      <c r="K81" s="1234" t="inlineStr">
        <is>
          <t>--</t>
        </is>
      </c>
      <c r="L81" s="1235" t="inlineStr">
        <is>
          <t>--</t>
        </is>
      </c>
      <c r="M81" s="1220" t="inlineStr">
        <is>
          <t>--</t>
        </is>
      </c>
      <c r="N81" s="1220" t="inlineStr">
        <is>
          <t>--</t>
        </is>
      </c>
      <c r="O81" s="1220" t="inlineStr">
        <is>
          <t>--</t>
        </is>
      </c>
      <c r="P81" s="1220" t="inlineStr">
        <is>
          <t>--</t>
        </is>
      </c>
      <c r="Q81" s="1235" t="inlineStr">
        <is>
          <t>--</t>
        </is>
      </c>
      <c r="R81" s="1219">
        <f>AO47-R80</f>
        <v/>
      </c>
      <c r="S81" s="1220" t="inlineStr">
        <is>
          <t>--</t>
        </is>
      </c>
      <c r="T81" s="1235" t="inlineStr">
        <is>
          <t>--</t>
        </is>
      </c>
      <c r="U81" s="1219">
        <f>BB47-U80</f>
        <v/>
      </c>
    </row>
    <row r="82" ht="19.95" customHeight="1" s="1097">
      <c r="A82" s="23" t="inlineStr">
        <is>
          <t>三、审计说明：</t>
        </is>
      </c>
    </row>
    <row r="83" ht="19.95" customHeight="1" s="1097">
      <c r="A83" s="39" t="inlineStr">
        <is>
          <t>1、</t>
        </is>
      </c>
      <c r="B83" s="28" t="inlineStr">
        <is>
          <t>长期股权投资存在所有权限制、承诺或留置的情况如下：</t>
        </is>
      </c>
    </row>
    <row r="84" ht="19.95" customHeight="1" s="1097"/>
    <row r="85" ht="19.95" customHeight="1" s="1097"/>
    <row r="86" ht="19.95" customHeight="1" s="1097">
      <c r="A86" s="23" t="inlineStr">
        <is>
          <t>四、审计结论：</t>
        </is>
      </c>
    </row>
    <row r="87" ht="19.95" customHeight="1" s="1097"/>
    <row r="88" ht="19.95" customHeight="1" s="1097"/>
    <row r="89" ht="18" customHeight="1" s="1097"/>
    <row r="90" ht="18" customHeight="1" s="1097"/>
    <row r="91" ht="18" customHeight="1" s="1097">
      <c r="A91" s="172" t="inlineStr">
        <is>
          <t>编制说明：</t>
        </is>
      </c>
      <c r="B91" s="18" t="n"/>
    </row>
    <row r="92" ht="18" customHeight="1" s="1097">
      <c r="A92" s="18" t="n"/>
      <c r="B92" s="18" t="inlineStr">
        <is>
          <t>1、投资方式指现金出资、发行权益性证券、投资者投入、非货币性资产交换、债务重组、企业合并等。</t>
        </is>
      </c>
    </row>
    <row r="93" ht="18" customHeight="1" s="1097">
      <c r="A93" s="18" t="n"/>
      <c r="B93" s="18" t="inlineStr">
        <is>
          <t>2、投资文件指产权登记表、投资协议、出资证明、验资报告等。</t>
        </is>
      </c>
    </row>
    <row r="94" ht="18" customHeight="1" s="1097">
      <c r="A94" s="18" t="n"/>
      <c r="B94" s="18" t="inlineStr">
        <is>
          <t>3、备注可填写本年新增加、处置投资是否有授权批准、投资文件索引号或其他说明事项。</t>
        </is>
      </c>
    </row>
    <row r="95" ht="18" customHeight="1" s="1097">
      <c r="A95" s="18" t="n"/>
      <c r="B95" s="849" t="inlineStr">
        <is>
          <t>4、根据《中国注册会计师审计准则问题解答第18号——识别和应对第三方配合实施财务舞弊》：当期存在大额对外投资时，需考虑是否存在通过被审计单位将资金投入被投资单位，</t>
        </is>
      </c>
    </row>
    <row r="96" ht="18" customHeight="1" s="1097">
      <c r="A96" s="18" t="n"/>
      <c r="B96" s="850" t="inlineStr">
        <is>
          <t>再从被投资单位套取资金（如投资私募基金后，在私募基金配合下将投资款从私募基金转出），如果还识别出被审计单位存在可能导致关联方资金占用以及其他套取资金行为的舞弊风险因素，则很可能表面存在第三方配合舞弊，应采取恰当的措施应对。</t>
        </is>
      </c>
    </row>
    <row r="97" ht="18" customHeight="1" s="1097">
      <c r="B97" s="657" t="inlineStr">
        <is>
          <t>5、审计说明可以概述:(1)程序的测试情况、结果;(2)拟调整事项及其调整分录、未调整事项及其影响，审计范围受到限制情况及其影响。</t>
        </is>
      </c>
    </row>
    <row r="98" ht="18" customFormat="1" customHeight="1" s="19">
      <c r="B98" s="658" t="inlineStr">
        <is>
          <t>6、审计结论可参考:A、未见异常。 B、除上述重大不符事项应当作为调整事项予以调整外，其余未见异常。由于存在以下重大未调整事项(或审计范围受到限制无法获取充分、适当证据)，不可确认。</t>
        </is>
      </c>
      <c r="C98" s="2" t="n"/>
      <c r="D98" s="2" t="n"/>
      <c r="E98" s="2" t="n"/>
      <c r="F98" s="2" t="n"/>
      <c r="G98" s="2" t="n"/>
      <c r="P98" s="2" t="n"/>
      <c r="Q98" s="2" t="n"/>
    </row>
    <row r="99" ht="18" customFormat="1" customHeight="1" s="19">
      <c r="B99" s="18" t="n"/>
      <c r="D99" s="2" t="n"/>
      <c r="E99" s="2" t="n"/>
      <c r="F99" s="2" t="n"/>
      <c r="G99" s="2" t="n"/>
      <c r="P99" s="2" t="n"/>
      <c r="Q99" s="2" t="n"/>
    </row>
    <row r="100" ht="18" customFormat="1" customHeight="1" s="19">
      <c r="B100" s="20" t="n"/>
      <c r="D100" s="2" t="n"/>
      <c r="E100" s="2" t="n"/>
      <c r="F100" s="2" t="n"/>
      <c r="G100" s="2" t="n"/>
      <c r="P100" s="2" t="n"/>
      <c r="Q100" s="2" t="n"/>
    </row>
    <row r="101" ht="18" customFormat="1" customHeight="1" s="19">
      <c r="B101" s="21" t="n"/>
      <c r="C101" s="18" t="n"/>
      <c r="D101" s="2" t="n"/>
      <c r="E101" s="2" t="n"/>
      <c r="F101" s="2" t="n"/>
      <c r="G101" s="2" t="n"/>
      <c r="P101" s="2" t="n"/>
      <c r="Q101" s="2" t="n"/>
    </row>
    <row r="102" ht="18" customFormat="1" customHeight="1" s="19">
      <c r="B102" s="21" t="n"/>
      <c r="C102" s="18" t="n"/>
    </row>
    <row r="103" ht="18" customFormat="1" customHeight="1" s="19">
      <c r="B103" s="21" t="n"/>
      <c r="C103" s="18" t="n"/>
    </row>
  </sheetData>
  <mergeCells count="128">
    <mergeCell ref="Q14:S14"/>
    <mergeCell ref="AN1:BB1"/>
    <mergeCell ref="H50:H51"/>
    <mergeCell ref="T50:T51"/>
    <mergeCell ref="L11:U11"/>
    <mergeCell ref="A13:A15"/>
    <mergeCell ref="AZ30:AZ31"/>
    <mergeCell ref="R30:R31"/>
    <mergeCell ref="V28:W28"/>
    <mergeCell ref="L14:M14"/>
    <mergeCell ref="A49:A51"/>
    <mergeCell ref="C49:C51"/>
    <mergeCell ref="X30:X31"/>
    <mergeCell ref="AP30:AP31"/>
    <mergeCell ref="L13:U13"/>
    <mergeCell ref="AJ30:AJ31"/>
    <mergeCell ref="A1:S1"/>
    <mergeCell ref="X14:X15"/>
    <mergeCell ref="V29:V31"/>
    <mergeCell ref="AN28:BB28"/>
    <mergeCell ref="G50:G51"/>
    <mergeCell ref="Z13:AA13"/>
    <mergeCell ref="I50:I51"/>
    <mergeCell ref="F28:F31"/>
    <mergeCell ref="H30:H31"/>
    <mergeCell ref="M50:M51"/>
    <mergeCell ref="Y30:AA30"/>
    <mergeCell ref="I30:I31"/>
    <mergeCell ref="B49:B51"/>
    <mergeCell ref="U30:U31"/>
    <mergeCell ref="A45:B45"/>
    <mergeCell ref="A11:K11"/>
    <mergeCell ref="N50:N51"/>
    <mergeCell ref="P50:P51"/>
    <mergeCell ref="A79:B79"/>
    <mergeCell ref="O30:O31"/>
    <mergeCell ref="AC29:AE29"/>
    <mergeCell ref="F49:F51"/>
    <mergeCell ref="I13:I15"/>
    <mergeCell ref="AC30:AC31"/>
    <mergeCell ref="AW30:AW31"/>
    <mergeCell ref="AM30:AM31"/>
    <mergeCell ref="AO30:AO31"/>
    <mergeCell ref="E28:E31"/>
    <mergeCell ref="B28:B31"/>
    <mergeCell ref="D28:D31"/>
    <mergeCell ref="Z14:Z15"/>
    <mergeCell ref="AD30:AD31"/>
    <mergeCell ref="AF30:AF31"/>
    <mergeCell ref="A71:B71"/>
    <mergeCell ref="AF14:AG14"/>
    <mergeCell ref="AV30:AV31"/>
    <mergeCell ref="E49:E51"/>
    <mergeCell ref="AX30:AX31"/>
    <mergeCell ref="P30:P31"/>
    <mergeCell ref="A63:B63"/>
    <mergeCell ref="B13:E15"/>
    <mergeCell ref="S50:S51"/>
    <mergeCell ref="AR30:AU30"/>
    <mergeCell ref="U50:U51"/>
    <mergeCell ref="A2:S2"/>
    <mergeCell ref="T30:T31"/>
    <mergeCell ref="V1:AM1"/>
    <mergeCell ref="Y14:Y15"/>
    <mergeCell ref="N14:P14"/>
    <mergeCell ref="K13:K15"/>
    <mergeCell ref="AH14:AI14"/>
    <mergeCell ref="H13:H15"/>
    <mergeCell ref="V13:W13"/>
    <mergeCell ref="X13:Y13"/>
    <mergeCell ref="AK29:AM29"/>
    <mergeCell ref="A78:B78"/>
    <mergeCell ref="AF29:AJ29"/>
    <mergeCell ref="AK30:AK31"/>
    <mergeCell ref="W29:W31"/>
    <mergeCell ref="K30:N30"/>
    <mergeCell ref="X28:AE28"/>
    <mergeCell ref="P49:Q49"/>
    <mergeCell ref="AG30:AI30"/>
    <mergeCell ref="R50:R51"/>
    <mergeCell ref="G30:G31"/>
    <mergeCell ref="Q30:Q31"/>
    <mergeCell ref="R49:U49"/>
    <mergeCell ref="BA30:BA31"/>
    <mergeCell ref="S30:S31"/>
    <mergeCell ref="J50:J51"/>
    <mergeCell ref="L50:L51"/>
    <mergeCell ref="A38:B38"/>
    <mergeCell ref="AB13:AI13"/>
    <mergeCell ref="AQ30:AQ31"/>
    <mergeCell ref="A28:A31"/>
    <mergeCell ref="V14:V15"/>
    <mergeCell ref="AB30:AB31"/>
    <mergeCell ref="AL30:AL31"/>
    <mergeCell ref="AN30:AN31"/>
    <mergeCell ref="AB14:AC14"/>
    <mergeCell ref="I29:O29"/>
    <mergeCell ref="T14:U14"/>
    <mergeCell ref="AD14:AE14"/>
    <mergeCell ref="K50:K51"/>
    <mergeCell ref="BB30:BB31"/>
    <mergeCell ref="J30:J31"/>
    <mergeCell ref="AN2:BB2"/>
    <mergeCell ref="P29:S29"/>
    <mergeCell ref="AN11:BB11"/>
    <mergeCell ref="O50:O51"/>
    <mergeCell ref="Q50:Q51"/>
    <mergeCell ref="G49:K49"/>
    <mergeCell ref="J13:J15"/>
    <mergeCell ref="D49:D51"/>
    <mergeCell ref="W14:W15"/>
    <mergeCell ref="A47:B47"/>
    <mergeCell ref="X29:AB29"/>
    <mergeCell ref="F13:G15"/>
    <mergeCell ref="AP29:AV29"/>
    <mergeCell ref="G29:H29"/>
    <mergeCell ref="C28:C31"/>
    <mergeCell ref="G28:S28"/>
    <mergeCell ref="V2:AM2"/>
    <mergeCell ref="AA14:AA15"/>
    <mergeCell ref="AE30:AE31"/>
    <mergeCell ref="BA29:BB29"/>
    <mergeCell ref="A81:B81"/>
    <mergeCell ref="AY30:AY31"/>
    <mergeCell ref="L49:M49"/>
    <mergeCell ref="N49:O49"/>
    <mergeCell ref="AF28:AM28"/>
    <mergeCell ref="AW29:AZ29"/>
  </mergeCells>
  <dataValidations xWindow="924" yWindow="302" count="4">
    <dataValidation sqref="H53:H62 H64:H70 H72:H77" showDropDown="0" showInputMessage="1" showErrorMessage="1" allowBlank="1" prompt="减值准备增加金额请输在J列。"/>
    <dataValidation sqref="AG16:AG25" showDropDown="0" showInputMessage="1" showErrorMessage="1" allowBlank="1" prompt="请将减少金额填列在P列"/>
    <dataValidation sqref="F16:F25" showDropDown="0" showInputMessage="1" showErrorMessage="1" allowBlank="1" prompt="请将初始投资成本填在E列"/>
    <dataValidation sqref="B16:D25" showDropDown="0" showInputMessage="1" showErrorMessage="1" allowBlank="1" prompt="请先输入“本期新纳入合并范围的子公司”"/>
  </dataValidations>
  <hyperlinks>
    <hyperlink ref="J3" location="底稿目录!F8" display="底稿目录!F8"/>
    <hyperlink ref="U3" location="底稿目录!F8" display="底稿目录!F8"/>
    <hyperlink ref="AM3" location="底稿目录!F8" display="底稿目录!F8"/>
    <hyperlink ref="BB3" location="底稿目录!F8" display="底稿目录!F8"/>
  </hyperlinks>
  <pageMargins left="0.7086614173228347" right="0.7086614173228347" top="0.7480314960629921" bottom="0.7480314960629921" header="0.3149606299212598" footer="0.3149606299212598"/>
  <pageSetup orientation="landscape" paperSize="9" scale="60" fitToHeight="0" fitToWidth="4" blackAndWhite="1"/>
  <headerFooter>
    <oddHeader/>
    <oddFooter>&amp;C&amp;P/&amp;N</oddFooter>
    <evenHeader/>
    <evenFooter/>
    <firstHeader/>
    <firstFooter/>
  </headerFooter>
  <rowBreaks count="2" manualBreakCount="2">
    <brk id="26" min="0" max="53" man="1"/>
    <brk id="47" min="0" max="53" man="1"/>
  </rowBreaks>
  <colBreaks count="3" manualBreakCount="3">
    <brk id="11" min="0" max="83" man="1"/>
    <brk id="21" min="0" max="83" man="1"/>
    <brk id="39" min="0" max="85" man="1"/>
  </colBreaks>
</worksheet>
</file>

<file path=xl/worksheets/sheet7.xml><?xml version="1.0" encoding="utf-8"?>
<worksheet xmlns="http://schemas.openxmlformats.org/spreadsheetml/2006/main">
  <sheetPr codeName="Sheet6">
    <outlinePr summaryBelow="1" summaryRight="1"/>
    <pageSetUpPr/>
  </sheetPr>
  <dimension ref="A1:J22"/>
  <sheetViews>
    <sheetView view="pageBreakPreview" zoomScaleNormal="100" zoomScaleSheetLayoutView="100" workbookViewId="0">
      <selection activeCell="A1" sqref="A1:J1"/>
    </sheetView>
  </sheetViews>
  <sheetFormatPr baseColWidth="8" defaultColWidth="8.69921875" defaultRowHeight="15.6" outlineLevelCol="0"/>
  <cols>
    <col width="20.69921875" customWidth="1" style="331" min="1" max="1"/>
    <col width="14.09765625" customWidth="1" style="331" min="2" max="2"/>
    <col width="13.19921875" customWidth="1" style="331" min="3" max="3"/>
    <col width="13.8984375" customWidth="1" style="331" min="4" max="4"/>
    <col width="12.296875" customWidth="1" style="331" min="5" max="5"/>
    <col width="8.69921875" customWidth="1" style="331" min="6" max="6"/>
    <col width="10.09765625" customWidth="1" style="331" min="7" max="7"/>
    <col width="11.09765625" customWidth="1" style="331" min="8" max="8"/>
    <col width="10.69921875" customWidth="1" style="331" min="9" max="9"/>
    <col width="12" customWidth="1" style="331" min="10" max="10"/>
    <col width="8.69921875" customWidth="1" style="331" min="11" max="16384"/>
  </cols>
  <sheetData>
    <row r="1" ht="19.95" customFormat="1" customHeight="1" s="618">
      <c r="A1" s="1262" t="inlineStr">
        <is>
          <t>致同会计师事务所</t>
        </is>
      </c>
    </row>
    <row r="2" ht="19.95" customFormat="1" customHeight="1" s="637">
      <c r="A2" s="1112" t="inlineStr">
        <is>
          <t>长期股权投资调整分录汇总表</t>
        </is>
      </c>
    </row>
    <row r="3" ht="19.95" customFormat="1" customHeight="1" s="684">
      <c r="A3" s="1113">
        <f>底稿目录!A2</f>
        <v/>
      </c>
      <c r="B3" s="1113" t="n"/>
      <c r="C3" s="1113" t="n"/>
      <c r="D3" s="1113">
        <f>底稿目录!A4</f>
        <v/>
      </c>
      <c r="E3" s="1113" t="n"/>
      <c r="F3" s="1113" t="n"/>
      <c r="G3" s="1113">
        <f>底稿目录!A5</f>
        <v/>
      </c>
      <c r="H3" s="1113" t="n"/>
      <c r="I3" s="1263" t="inlineStr">
        <is>
          <t>索引号：</t>
        </is>
      </c>
      <c r="J3" s="1096">
        <f>底稿目录!F9</f>
        <v/>
      </c>
    </row>
    <row r="4" ht="19.95" customFormat="1" customHeight="1" s="684">
      <c r="A4" s="1113">
        <f>底稿目录!A3</f>
        <v/>
      </c>
      <c r="B4" s="1113" t="n"/>
      <c r="C4" s="1113" t="n"/>
      <c r="D4" s="1113">
        <f>底稿目录!A6</f>
        <v/>
      </c>
      <c r="E4" s="1113" t="n"/>
      <c r="F4" s="1113" t="n"/>
      <c r="G4" s="1113">
        <f>底稿目录!A7</f>
        <v/>
      </c>
      <c r="H4" s="1113" t="n"/>
      <c r="I4" s="1263" t="inlineStr">
        <is>
          <t>页 次：</t>
        </is>
      </c>
    </row>
    <row r="5" ht="36" customHeight="1" s="1097">
      <c r="A5" s="332" t="inlineStr">
        <is>
          <t>调整事项说明</t>
        </is>
      </c>
      <c r="B5" s="333" t="inlineStr">
        <is>
          <t>类别（报表调整/账项调整/其他）</t>
        </is>
      </c>
      <c r="C5" s="333" t="inlineStr">
        <is>
          <t>报表项目</t>
        </is>
      </c>
      <c r="D5" s="1264" t="inlineStr">
        <is>
          <t>科目名称</t>
        </is>
      </c>
      <c r="E5" s="1264" t="inlineStr">
        <is>
          <t>附注项目</t>
        </is>
      </c>
      <c r="F5" s="1265" t="inlineStr">
        <is>
          <t>……</t>
        </is>
      </c>
      <c r="G5" s="1264" t="inlineStr">
        <is>
          <t>借方调整金额</t>
        </is>
      </c>
      <c r="H5" s="1264" t="inlineStr">
        <is>
          <t>贷方调整金额</t>
        </is>
      </c>
      <c r="I5" s="1264" t="inlineStr">
        <is>
          <t>索引</t>
        </is>
      </c>
      <c r="J5" s="1264" t="inlineStr">
        <is>
          <t>备注</t>
        </is>
      </c>
    </row>
    <row r="6" ht="19.95" customHeight="1" s="1097">
      <c r="A6" s="336" t="n"/>
      <c r="B6" s="336" t="n"/>
      <c r="C6" s="336" t="n"/>
      <c r="D6" s="336" t="n"/>
      <c r="E6" s="336" t="n"/>
      <c r="F6" s="336" t="n"/>
      <c r="G6" s="336" t="n"/>
      <c r="H6" s="336" t="n"/>
      <c r="I6" s="336" t="n"/>
      <c r="J6" s="336" t="n"/>
    </row>
    <row r="7" ht="19.95" customHeight="1" s="1097">
      <c r="A7" s="337" t="n"/>
      <c r="B7" s="336" t="n"/>
      <c r="C7" s="336" t="n"/>
      <c r="D7" s="336" t="n"/>
      <c r="E7" s="336" t="n"/>
      <c r="F7" s="336" t="n"/>
      <c r="G7" s="336" t="n"/>
      <c r="H7" s="336" t="n"/>
      <c r="I7" s="336" t="n"/>
      <c r="J7" s="336" t="n"/>
    </row>
    <row r="8" ht="19.95" customHeight="1" s="1097">
      <c r="A8" s="338" t="n"/>
      <c r="B8" s="336" t="n"/>
      <c r="C8" s="336" t="n"/>
      <c r="D8" s="336" t="n"/>
      <c r="E8" s="336" t="n"/>
      <c r="F8" s="336" t="n"/>
      <c r="G8" s="336" t="n"/>
      <c r="H8" s="336" t="n"/>
      <c r="I8" s="336" t="n"/>
      <c r="J8" s="336" t="n"/>
    </row>
    <row r="9" ht="19.95" customHeight="1" s="1097">
      <c r="A9" s="338" t="n"/>
      <c r="B9" s="336" t="n"/>
      <c r="C9" s="336" t="n"/>
      <c r="D9" s="336" t="n"/>
      <c r="E9" s="336" t="n"/>
      <c r="F9" s="336" t="n"/>
      <c r="G9" s="336" t="n"/>
      <c r="H9" s="336" t="n"/>
      <c r="I9" s="336" t="n"/>
      <c r="J9" s="336" t="n"/>
    </row>
    <row r="10" ht="19.95" customHeight="1" s="1097">
      <c r="A10" s="338" t="n"/>
      <c r="B10" s="336" t="n"/>
      <c r="C10" s="336" t="n"/>
      <c r="D10" s="336" t="n"/>
      <c r="E10" s="336" t="n"/>
      <c r="F10" s="336" t="n"/>
      <c r="G10" s="336" t="n"/>
      <c r="H10" s="336" t="n"/>
      <c r="I10" s="336" t="n"/>
      <c r="J10" s="336" t="n"/>
    </row>
    <row r="11" ht="19.95" customHeight="1" s="1097">
      <c r="A11" s="339" t="n"/>
      <c r="B11" s="336" t="n"/>
      <c r="C11" s="336" t="n"/>
      <c r="D11" s="336" t="n"/>
      <c r="E11" s="336" t="n"/>
      <c r="F11" s="336" t="n"/>
      <c r="G11" s="336" t="n"/>
      <c r="H11" s="336" t="n"/>
      <c r="I11" s="336" t="n"/>
      <c r="J11" s="336" t="n"/>
    </row>
    <row r="12" ht="19.95" customHeight="1" s="1097">
      <c r="A12" s="338" t="n"/>
      <c r="B12" s="336" t="n"/>
      <c r="C12" s="336" t="n"/>
      <c r="D12" s="336" t="n"/>
      <c r="E12" s="336" t="n"/>
      <c r="F12" s="336" t="n"/>
      <c r="G12" s="336" t="n"/>
      <c r="H12" s="336" t="n"/>
      <c r="I12" s="336" t="n"/>
      <c r="J12" s="336" t="n"/>
    </row>
    <row r="13" ht="19.95" customHeight="1" s="1097">
      <c r="A13" s="338" t="n"/>
      <c r="B13" s="336" t="n"/>
      <c r="C13" s="336" t="n"/>
      <c r="D13" s="336" t="n"/>
      <c r="E13" s="336" t="n"/>
      <c r="F13" s="336" t="n"/>
      <c r="G13" s="336" t="n"/>
      <c r="H13" s="336" t="n"/>
      <c r="I13" s="336" t="n"/>
      <c r="J13" s="336" t="n"/>
    </row>
    <row r="14" ht="19.95" customHeight="1" s="1097">
      <c r="A14" s="338" t="n"/>
      <c r="B14" s="336" t="n"/>
      <c r="C14" s="336" t="n"/>
      <c r="D14" s="336" t="n"/>
      <c r="E14" s="336" t="n"/>
      <c r="F14" s="336" t="n"/>
      <c r="G14" s="336" t="n"/>
      <c r="H14" s="336" t="n"/>
      <c r="I14" s="336" t="n"/>
      <c r="J14" s="336" t="n"/>
    </row>
    <row r="15" ht="19.95" customHeight="1" s="1097">
      <c r="A15" s="338" t="n"/>
      <c r="B15" s="336" t="n"/>
      <c r="C15" s="336" t="n"/>
      <c r="D15" s="336" t="n"/>
      <c r="E15" s="336" t="n"/>
      <c r="F15" s="336" t="n"/>
      <c r="G15" s="336" t="n"/>
      <c r="H15" s="336" t="n"/>
      <c r="I15" s="336" t="n"/>
      <c r="J15" s="336" t="n"/>
    </row>
    <row r="16" ht="19.95" customHeight="1" s="1097">
      <c r="A16" s="338" t="n"/>
      <c r="B16" s="336" t="n"/>
      <c r="C16" s="336" t="n"/>
      <c r="D16" s="336" t="n"/>
      <c r="E16" s="336" t="n"/>
      <c r="F16" s="336" t="n"/>
      <c r="G16" s="336" t="n"/>
      <c r="H16" s="336" t="n"/>
      <c r="I16" s="336" t="n"/>
      <c r="J16" s="336" t="n"/>
    </row>
    <row r="17" ht="19.95" customHeight="1" s="1097">
      <c r="A17" s="338" t="n"/>
      <c r="B17" s="336" t="n"/>
      <c r="C17" s="336" t="n"/>
      <c r="D17" s="336" t="n"/>
      <c r="E17" s="336" t="n"/>
      <c r="F17" s="336" t="n"/>
      <c r="G17" s="336" t="n"/>
      <c r="H17" s="336" t="n"/>
      <c r="I17" s="336" t="n"/>
      <c r="J17" s="336" t="n"/>
    </row>
    <row r="18" ht="19.95" customHeight="1" s="1097">
      <c r="A18" s="338" t="n"/>
      <c r="B18" s="336" t="n"/>
      <c r="C18" s="336" t="n"/>
      <c r="D18" s="336" t="n"/>
      <c r="E18" s="336" t="n"/>
      <c r="F18" s="336" t="n"/>
      <c r="G18" s="336" t="n"/>
      <c r="H18" s="336" t="n"/>
      <c r="I18" s="336" t="n"/>
      <c r="J18" s="336" t="n"/>
    </row>
    <row r="19" ht="19.95" customHeight="1" s="1097">
      <c r="A19" s="338" t="n"/>
      <c r="B19" s="336" t="n"/>
      <c r="C19" s="336" t="n"/>
      <c r="D19" s="336" t="n"/>
      <c r="E19" s="336" t="n"/>
      <c r="F19" s="336" t="n"/>
      <c r="G19" s="336" t="n"/>
      <c r="H19" s="336" t="n"/>
      <c r="I19" s="336" t="n"/>
      <c r="J19" s="336" t="n"/>
    </row>
    <row r="20" ht="19.95" customHeight="1" s="1097">
      <c r="A20" s="338" t="n"/>
      <c r="B20" s="336" t="n"/>
      <c r="C20" s="336" t="n"/>
      <c r="D20" s="336" t="n"/>
      <c r="E20" s="336" t="n"/>
      <c r="F20" s="336" t="n"/>
      <c r="G20" s="336" t="n"/>
      <c r="H20" s="336" t="n"/>
      <c r="I20" s="336" t="n"/>
      <c r="J20" s="336" t="n"/>
    </row>
    <row r="21" ht="19.95" customHeight="1" s="1097">
      <c r="A21" s="1266" t="n"/>
      <c r="B21" s="1266" t="n"/>
      <c r="C21" s="1266" t="n"/>
      <c r="D21" s="1267" t="n"/>
      <c r="E21" s="1267" t="n"/>
      <c r="F21" s="1267" t="n"/>
      <c r="G21" s="1268" t="n"/>
      <c r="H21" s="1268" t="n"/>
      <c r="I21" s="1267" t="n"/>
      <c r="J21" s="343" t="n"/>
    </row>
    <row r="22" ht="19.95" customHeight="1" s="1097">
      <c r="A22" s="344" t="n"/>
      <c r="B22" s="344" t="n"/>
      <c r="C22" s="344" t="n"/>
      <c r="D22" s="344" t="n"/>
      <c r="E22" s="345" t="n"/>
      <c r="F22" s="346" t="n"/>
      <c r="G22" s="347" t="n"/>
      <c r="H22" s="347" t="n"/>
      <c r="I22" s="347" t="n"/>
      <c r="J22" s="347" t="n"/>
    </row>
    <row r="23" ht="19.95" customHeight="1" s="1097"/>
  </sheetData>
  <mergeCells count="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F9" display="底稿目录!F9"/>
  </hyperlinks>
  <pageMargins left="0.7086614173228347" right="0.7086614173228347" top="0.7480314960629921" bottom="0.7480314960629921" header="0.3149606299212598" footer="0.3149606299212598"/>
  <pageSetup orientation="landscape" paperSize="9" scale="95" blackAndWhite="1"/>
  <headerFooter>
    <oddHeader/>
    <oddFooter>&amp;C&amp;P/&amp;N</oddFooter>
    <evenHeader/>
    <evenFooter/>
    <firstHeader/>
    <firstFooter/>
  </headerFooter>
</worksheet>
</file>

<file path=xl/worksheets/sheet8.xml><?xml version="1.0" encoding="utf-8"?>
<worksheet xmlns="http://schemas.openxmlformats.org/spreadsheetml/2006/main">
  <sheetPr codeName="Sheet7">
    <outlinePr summaryBelow="1" summaryRight="1"/>
    <pageSetUpPr/>
  </sheetPr>
  <dimension ref="A1:Y43"/>
  <sheetViews>
    <sheetView view="pageBreakPreview" zoomScaleSheetLayoutView="100" workbookViewId="0">
      <selection activeCell="A1" sqref="A1:T1"/>
    </sheetView>
  </sheetViews>
  <sheetFormatPr baseColWidth="8" defaultColWidth="9" defaultRowHeight="13.8" outlineLevelCol="0"/>
  <cols>
    <col width="4.5" customWidth="1" style="34" min="1" max="1"/>
    <col width="23.59765625" customWidth="1" style="34" min="2" max="2"/>
    <col width="7.3984375" customWidth="1" style="34" min="3" max="3"/>
    <col width="8.09765625" customWidth="1" style="34" min="4" max="4"/>
    <col width="12.19921875" customWidth="1" style="34" min="5" max="5"/>
    <col width="10.59765625" customWidth="1" style="34" min="6" max="6"/>
    <col width="10.8984375" customWidth="1" style="34" min="7" max="7"/>
    <col width="11" customWidth="1" style="34" min="8" max="12"/>
    <col width="10.19921875" customWidth="1" style="34" min="13" max="13"/>
    <col width="9" customWidth="1" style="34" min="14" max="14"/>
    <col width="12.3984375" customWidth="1" style="34" min="15" max="15"/>
    <col width="11.69921875" customWidth="1" style="34" min="16" max="16"/>
    <col width="13.8984375" customWidth="1" style="34" min="17" max="18"/>
    <col width="6.8984375" customWidth="1" style="34" min="19" max="19"/>
    <col width="6.796875" customWidth="1" style="34" min="20" max="20"/>
    <col width="9" customWidth="1" style="34" min="21" max="16384"/>
  </cols>
  <sheetData>
    <row r="1" ht="19.95" customFormat="1" customHeight="1" s="616">
      <c r="A1" s="942" t="inlineStr">
        <is>
          <t>致同会计师事务所</t>
        </is>
      </c>
      <c r="U1" s="623" t="n"/>
      <c r="V1" s="623" t="n"/>
      <c r="W1" s="623" t="n"/>
      <c r="X1" s="623" t="n"/>
      <c r="Y1" s="623" t="n"/>
    </row>
    <row r="2" ht="19.95" customFormat="1" customHeight="1" s="629">
      <c r="A2" s="943" t="inlineStr">
        <is>
          <t>被投资单位基本信息</t>
        </is>
      </c>
      <c r="U2" s="634" t="n"/>
      <c r="V2" s="634" t="n"/>
      <c r="W2" s="634" t="n"/>
      <c r="X2" s="634" t="n"/>
      <c r="Y2" s="634" t="n"/>
    </row>
    <row r="3" ht="19.95" customFormat="1" customHeight="1" s="676">
      <c r="A3" s="207">
        <f>底稿目录!A2</f>
        <v/>
      </c>
      <c r="B3" s="207" t="n"/>
      <c r="C3" s="207" t="n"/>
      <c r="D3" s="207" t="n"/>
      <c r="E3" s="207" t="n"/>
      <c r="F3" s="207">
        <f>底稿目录!A4</f>
        <v/>
      </c>
      <c r="H3" s="207" t="n"/>
      <c r="I3" s="207" t="n"/>
      <c r="J3" s="207" t="n"/>
      <c r="K3" s="207" t="n"/>
      <c r="L3" s="207" t="n"/>
      <c r="M3" s="229">
        <f>底稿目录!A5</f>
        <v/>
      </c>
      <c r="N3" s="229" t="n"/>
      <c r="O3" s="207" t="n"/>
      <c r="S3" s="207" t="inlineStr">
        <is>
          <t>索引号：</t>
        </is>
      </c>
      <c r="T3" s="1096">
        <f>底稿目录!F10</f>
        <v/>
      </c>
      <c r="U3" s="207" t="n"/>
      <c r="V3" s="207" t="n"/>
      <c r="W3" s="207" t="n"/>
    </row>
    <row r="4" ht="19.95" customFormat="1" customHeight="1" s="676">
      <c r="A4" s="207">
        <f>底稿目录!A3</f>
        <v/>
      </c>
      <c r="B4" s="207" t="n"/>
      <c r="C4" s="207" t="n"/>
      <c r="D4" s="207" t="n"/>
      <c r="E4" s="207" t="n"/>
      <c r="F4" s="207">
        <f>底稿目录!A6</f>
        <v/>
      </c>
      <c r="H4" s="207" t="n"/>
      <c r="I4" s="207" t="n"/>
      <c r="J4" s="207" t="n"/>
      <c r="K4" s="207" t="n"/>
      <c r="L4" s="207" t="n"/>
      <c r="M4" s="229">
        <f>底稿目录!A7</f>
        <v/>
      </c>
      <c r="N4" s="229" t="n"/>
      <c r="O4" s="207" t="n"/>
      <c r="S4" s="207" t="inlineStr">
        <is>
          <t>页 次：</t>
        </is>
      </c>
      <c r="T4" s="207" t="n"/>
      <c r="U4" s="207" t="n"/>
      <c r="V4" s="207" t="n"/>
      <c r="W4" s="207" t="n"/>
    </row>
    <row r="5" ht="19.95" customHeight="1" s="1097">
      <c r="A5" s="37" t="inlineStr">
        <is>
          <t>一、审计目标：</t>
        </is>
      </c>
      <c r="B5" s="128" t="n"/>
      <c r="C5" s="304" t="inlineStr">
        <is>
          <t>了解被审计单位投资公司的基本情况</t>
        </is>
      </c>
      <c r="D5" s="128" t="n"/>
      <c r="E5" s="128" t="n"/>
      <c r="M5" s="228" t="n"/>
    </row>
    <row r="6" ht="19.95" customHeight="1" s="1097">
      <c r="A6" s="37" t="inlineStr">
        <is>
          <t>二、审计过程</t>
        </is>
      </c>
      <c r="B6" s="304" t="n"/>
      <c r="C6" s="126" t="inlineStr">
        <is>
          <t>1、取得被审计单位投资单位备查明细簿，了解投资单位的基本情况；</t>
        </is>
      </c>
      <c r="D6" s="304" t="n"/>
      <c r="E6" s="304" t="n"/>
    </row>
    <row r="7" ht="19.95" customHeight="1" s="1097">
      <c r="A7" s="125" t="n"/>
      <c r="C7" s="126" t="inlineStr">
        <is>
          <t>2、结合以前年度审计情况，了解被审计单位对各投资单位的核算方法。</t>
        </is>
      </c>
      <c r="D7" s="304" t="n"/>
      <c r="E7" s="304" t="n"/>
      <c r="F7" s="125" t="n"/>
    </row>
    <row r="8" ht="19.95" customHeight="1" s="1097">
      <c r="A8" s="125" t="n"/>
      <c r="C8" s="126" t="inlineStr">
        <is>
          <t>3、结合“子公司初始计量测试”底稿，了解表决权比例不足半数但能对被投资单位形成控制的原因及直接或通过其他子公司间接拥有被投资单位半数以上的表决权但未能对其形成控制的原因</t>
        </is>
      </c>
      <c r="D8" s="304" t="n"/>
      <c r="E8" s="304" t="n"/>
    </row>
    <row r="9" ht="36.75" customHeight="1" s="1097">
      <c r="A9" s="950" t="inlineStr">
        <is>
          <t>公司名称</t>
        </is>
      </c>
      <c r="B9" s="1269" t="n"/>
      <c r="C9" s="956" t="inlineStr">
        <is>
          <t>级次（国企适用）</t>
        </is>
      </c>
      <c r="D9" s="956" t="inlineStr">
        <is>
          <t>企业类型（国企适用）</t>
        </is>
      </c>
      <c r="E9" s="956" t="inlineStr">
        <is>
          <t>是否为本期新纳入合并范围的子公司（国企适用）</t>
        </is>
      </c>
      <c r="F9" s="951" t="inlineStr">
        <is>
          <t>主要经营地</t>
        </is>
      </c>
      <c r="G9" s="951" t="inlineStr">
        <is>
          <t>注册地</t>
        </is>
      </c>
      <c r="H9" s="951" t="inlineStr">
        <is>
          <t>业务性质</t>
        </is>
      </c>
      <c r="I9" s="950" t="inlineStr">
        <is>
          <t>注册资本</t>
        </is>
      </c>
      <c r="J9" s="950" t="inlineStr">
        <is>
          <t>投资额</t>
        </is>
      </c>
      <c r="K9" s="950" t="inlineStr">
        <is>
          <t>期末净资产</t>
        </is>
      </c>
      <c r="L9" s="950" t="inlineStr">
        <is>
          <t>本期净利润</t>
        </is>
      </c>
      <c r="M9" s="951" t="inlineStr">
        <is>
          <t>持股比例/享有的份额%</t>
        </is>
      </c>
      <c r="N9" s="1270" t="n"/>
      <c r="O9" s="951" t="inlineStr">
        <is>
          <t>表决权比例</t>
        </is>
      </c>
      <c r="P9" s="951" t="inlineStr">
        <is>
          <t>持股比例与表决权比例不一致的原因</t>
        </is>
      </c>
      <c r="Q9" s="950" t="inlineStr">
        <is>
          <t>表决权比例不足半数但能对被投资单位形成控制的原因</t>
        </is>
      </c>
      <c r="R9" s="950" t="inlineStr">
        <is>
          <t>直接或通过其他子公司间接拥有被投资单位半数以上的表决权但未能对其形成控制的原因</t>
        </is>
      </c>
      <c r="S9" s="951" t="inlineStr">
        <is>
          <t>取得方式</t>
        </is>
      </c>
      <c r="T9" s="951" t="inlineStr">
        <is>
          <t>会计处理方法</t>
        </is>
      </c>
    </row>
    <row r="10" ht="40.5" customHeight="1" s="1097">
      <c r="A10" s="1271" t="n"/>
      <c r="B10" s="1272" t="n"/>
      <c r="C10" s="1273" t="n"/>
      <c r="D10" s="1273" t="n"/>
      <c r="E10" s="1273" t="n"/>
      <c r="F10" s="1273" t="n"/>
      <c r="G10" s="1273" t="n"/>
      <c r="H10" s="1273" t="n"/>
      <c r="I10" s="1273" t="n"/>
      <c r="J10" s="1273" t="n"/>
      <c r="K10" s="1273" t="n"/>
      <c r="L10" s="1273" t="n"/>
      <c r="M10" s="951" t="inlineStr">
        <is>
          <t>直接</t>
        </is>
      </c>
      <c r="N10" s="951" t="inlineStr">
        <is>
          <t>间接</t>
        </is>
      </c>
      <c r="O10" s="1273" t="n"/>
      <c r="P10" s="1273" t="n"/>
      <c r="Q10" s="1273" t="n"/>
      <c r="R10" s="1273" t="n"/>
      <c r="S10" s="1273" t="n"/>
      <c r="T10" s="1273" t="n"/>
    </row>
    <row r="11" ht="19.95" customHeight="1" s="1097">
      <c r="A11" s="182" t="inlineStr">
        <is>
          <t>（一）子公司</t>
        </is>
      </c>
      <c r="B11" s="183" t="n"/>
      <c r="C11" s="183" t="n"/>
      <c r="D11" s="183" t="n"/>
      <c r="E11" s="183" t="n"/>
      <c r="F11" s="109" t="n"/>
      <c r="G11" s="109" t="n"/>
      <c r="H11" s="109" t="n"/>
      <c r="I11" s="109" t="n"/>
      <c r="J11" s="109" t="n"/>
      <c r="K11" s="109" t="n"/>
      <c r="L11" s="109" t="n"/>
      <c r="M11" s="50" t="n"/>
      <c r="N11" s="50" t="n"/>
      <c r="O11" s="50" t="n"/>
      <c r="P11" s="109" t="n"/>
      <c r="Q11" s="109" t="n"/>
      <c r="R11" s="109" t="n"/>
      <c r="S11" s="289" t="n"/>
      <c r="T11" s="289" t="n"/>
    </row>
    <row r="12" ht="19.95" customHeight="1" s="1097">
      <c r="A12" s="27" t="n"/>
      <c r="B12" s="368">
        <f>'明细表G7-2'!B16</f>
        <v/>
      </c>
      <c r="C12" s="17" t="n"/>
      <c r="D12" s="17" t="n"/>
      <c r="E12" s="17" t="n"/>
      <c r="F12" s="109" t="n"/>
      <c r="G12" s="109" t="n"/>
      <c r="H12" s="109" t="n"/>
      <c r="I12" s="109" t="n"/>
      <c r="J12" s="109" t="n"/>
      <c r="K12" s="1274" t="n"/>
      <c r="L12" s="1274" t="n"/>
      <c r="M12" s="50" t="n"/>
      <c r="N12" s="50" t="n"/>
      <c r="O12" s="50" t="n"/>
      <c r="P12" s="109" t="n"/>
      <c r="Q12" s="109" t="n"/>
      <c r="R12" s="109" t="n"/>
      <c r="S12" s="289" t="n"/>
      <c r="T12" s="295" t="inlineStr">
        <is>
          <t>成本法</t>
        </is>
      </c>
    </row>
    <row r="13" ht="19.95" customHeight="1" s="1097">
      <c r="A13" s="27" t="n"/>
      <c r="B13" s="368">
        <f>'明细表G7-2'!B17</f>
        <v/>
      </c>
      <c r="C13" s="17" t="n"/>
      <c r="D13" s="17" t="n"/>
      <c r="E13" s="17" t="n"/>
      <c r="F13" s="109" t="n"/>
      <c r="G13" s="109" t="n"/>
      <c r="H13" s="109" t="n"/>
      <c r="I13" s="109" t="n"/>
      <c r="J13" s="109" t="n"/>
      <c r="K13" s="1274" t="n"/>
      <c r="L13" s="1274" t="n"/>
      <c r="M13" s="50" t="n"/>
      <c r="N13" s="50" t="n"/>
      <c r="O13" s="50" t="n"/>
      <c r="P13" s="109" t="n"/>
      <c r="Q13" s="109" t="n"/>
      <c r="R13" s="109" t="n"/>
      <c r="S13" s="289" t="n"/>
      <c r="T13" s="295" t="n"/>
    </row>
    <row r="14" ht="19.95" customHeight="1" s="1097">
      <c r="A14" s="27" t="n"/>
      <c r="B14" s="368">
        <f>'明细表G7-2'!B18</f>
        <v/>
      </c>
      <c r="C14" s="17" t="n"/>
      <c r="D14" s="17" t="n"/>
      <c r="E14" s="17" t="n"/>
      <c r="F14" s="109" t="n"/>
      <c r="G14" s="109" t="n"/>
      <c r="H14" s="109" t="n"/>
      <c r="I14" s="109" t="n"/>
      <c r="J14" s="109" t="n"/>
      <c r="K14" s="1274" t="n"/>
      <c r="L14" s="1274" t="n"/>
      <c r="M14" s="50" t="n"/>
      <c r="N14" s="50" t="n"/>
      <c r="O14" s="50" t="n"/>
      <c r="P14" s="109" t="n"/>
      <c r="Q14" s="109" t="n"/>
      <c r="R14" s="109" t="n"/>
      <c r="S14" s="289" t="n"/>
      <c r="T14" s="295" t="n"/>
    </row>
    <row r="15" ht="19.95" customHeight="1" s="1097">
      <c r="A15" s="27" t="n"/>
      <c r="B15" s="368">
        <f>'明细表G7-2'!B19</f>
        <v/>
      </c>
      <c r="C15" s="17" t="n"/>
      <c r="D15" s="17" t="n"/>
      <c r="E15" s="17" t="n"/>
      <c r="F15" s="109" t="n"/>
      <c r="G15" s="109" t="n"/>
      <c r="H15" s="109" t="n"/>
      <c r="I15" s="109" t="n"/>
      <c r="J15" s="109" t="n"/>
      <c r="K15" s="1274" t="n"/>
      <c r="L15" s="1274" t="n"/>
      <c r="M15" s="50" t="n"/>
      <c r="N15" s="50" t="n"/>
      <c r="O15" s="50" t="n"/>
      <c r="P15" s="109" t="n"/>
      <c r="Q15" s="109" t="n"/>
      <c r="R15" s="109" t="n"/>
      <c r="S15" s="289" t="n"/>
      <c r="T15" s="295" t="n"/>
    </row>
    <row r="16" ht="19.95" customHeight="1" s="1097">
      <c r="A16" s="27" t="n"/>
      <c r="B16" s="368">
        <f>'明细表G7-2'!B20</f>
        <v/>
      </c>
      <c r="C16" s="17" t="n"/>
      <c r="D16" s="17" t="n"/>
      <c r="E16" s="17" t="n"/>
      <c r="F16" s="109" t="n"/>
      <c r="G16" s="109" t="n"/>
      <c r="H16" s="109" t="n"/>
      <c r="I16" s="109" t="n"/>
      <c r="J16" s="109" t="n"/>
      <c r="K16" s="1274" t="n"/>
      <c r="L16" s="1274" t="n"/>
      <c r="M16" s="50" t="n"/>
      <c r="N16" s="50" t="n"/>
      <c r="O16" s="50" t="n"/>
      <c r="P16" s="109" t="n"/>
      <c r="Q16" s="109" t="n"/>
      <c r="R16" s="109" t="n"/>
      <c r="S16" s="289" t="n"/>
      <c r="T16" s="295" t="n"/>
    </row>
    <row r="17" ht="19.95" customHeight="1" s="1097">
      <c r="A17" s="27" t="n"/>
      <c r="B17" s="368">
        <f>'明细表G7-2'!B21</f>
        <v/>
      </c>
      <c r="C17" s="17" t="n"/>
      <c r="D17" s="17" t="n"/>
      <c r="E17" s="17" t="n"/>
      <c r="F17" s="109" t="n"/>
      <c r="G17" s="109" t="n"/>
      <c r="H17" s="109" t="n"/>
      <c r="I17" s="109" t="n"/>
      <c r="J17" s="109" t="n"/>
      <c r="K17" s="1274" t="n"/>
      <c r="L17" s="1274" t="n"/>
      <c r="M17" s="50" t="n"/>
      <c r="N17" s="50" t="n"/>
      <c r="O17" s="50" t="n"/>
      <c r="P17" s="109" t="n"/>
      <c r="Q17" s="109" t="n"/>
      <c r="R17" s="109" t="n"/>
      <c r="S17" s="289" t="n"/>
      <c r="T17" s="295" t="n"/>
    </row>
    <row r="18" ht="19.95" customHeight="1" s="1097">
      <c r="A18" s="27" t="n"/>
      <c r="B18" s="368">
        <f>'明细表G7-2'!B22</f>
        <v/>
      </c>
      <c r="C18" s="17" t="n"/>
      <c r="D18" s="17" t="n"/>
      <c r="E18" s="17" t="n"/>
      <c r="F18" s="109" t="n"/>
      <c r="G18" s="109" t="n"/>
      <c r="H18" s="109" t="n"/>
      <c r="I18" s="109" t="n"/>
      <c r="J18" s="109" t="n"/>
      <c r="K18" s="1274" t="n"/>
      <c r="L18" s="1274" t="n"/>
      <c r="M18" s="50" t="n"/>
      <c r="N18" s="50" t="n"/>
      <c r="O18" s="50" t="n"/>
      <c r="P18" s="109" t="n"/>
      <c r="Q18" s="109" t="n"/>
      <c r="R18" s="109" t="n"/>
      <c r="S18" s="289" t="n"/>
      <c r="T18" s="295" t="n"/>
    </row>
    <row r="19" ht="19.95" customHeight="1" s="1097">
      <c r="A19" s="27" t="n"/>
      <c r="B19" s="368">
        <f>'明细表G7-2'!B23</f>
        <v/>
      </c>
      <c r="C19" s="17" t="n"/>
      <c r="D19" s="17" t="n"/>
      <c r="E19" s="17" t="n"/>
      <c r="F19" s="109" t="n"/>
      <c r="G19" s="109" t="n"/>
      <c r="H19" s="109" t="n"/>
      <c r="I19" s="109" t="n"/>
      <c r="J19" s="109" t="n"/>
      <c r="K19" s="1274" t="n"/>
      <c r="L19" s="1274" t="n"/>
      <c r="M19" s="50" t="n"/>
      <c r="N19" s="50" t="n"/>
      <c r="O19" s="50" t="n"/>
      <c r="P19" s="109" t="n"/>
      <c r="Q19" s="109" t="n"/>
      <c r="R19" s="109" t="n"/>
      <c r="S19" s="289" t="n"/>
      <c r="T19" s="295" t="n"/>
    </row>
    <row r="20" ht="19.95" customHeight="1" s="1097">
      <c r="A20" s="27" t="n"/>
      <c r="B20" s="368">
        <f>'明细表G7-2'!B24</f>
        <v/>
      </c>
      <c r="C20" s="17" t="n"/>
      <c r="D20" s="17" t="n"/>
      <c r="E20" s="17" t="n"/>
      <c r="F20" s="109" t="n"/>
      <c r="G20" s="109" t="n"/>
      <c r="H20" s="109" t="n"/>
      <c r="I20" s="109" t="n"/>
      <c r="J20" s="109" t="n"/>
      <c r="K20" s="1274" t="n"/>
      <c r="L20" s="1274" t="n"/>
      <c r="M20" s="50" t="n"/>
      <c r="N20" s="50" t="n"/>
      <c r="O20" s="50" t="n"/>
      <c r="P20" s="109" t="n"/>
      <c r="Q20" s="109" t="n"/>
      <c r="R20" s="109" t="n"/>
      <c r="S20" s="289" t="n"/>
      <c r="T20" s="295" t="n"/>
    </row>
    <row r="21" ht="19.95" customHeight="1" s="1097">
      <c r="A21" s="27" t="n"/>
      <c r="B21" s="368">
        <f>'明细表G7-2'!B25</f>
        <v/>
      </c>
      <c r="C21" s="17" t="n"/>
      <c r="D21" s="17" t="n"/>
      <c r="E21" s="17" t="n"/>
      <c r="F21" s="109" t="n"/>
      <c r="G21" s="109" t="n"/>
      <c r="H21" s="109" t="n"/>
      <c r="I21" s="109" t="n"/>
      <c r="J21" s="109" t="n"/>
      <c r="K21" s="1274" t="n"/>
      <c r="L21" s="1274" t="n"/>
      <c r="M21" s="50" t="n"/>
      <c r="N21" s="50" t="n"/>
      <c r="O21" s="50" t="n"/>
      <c r="P21" s="109" t="n"/>
      <c r="Q21" s="109" t="n"/>
      <c r="R21" s="109" t="n"/>
      <c r="S21" s="289" t="n"/>
      <c r="T21" s="295" t="n"/>
    </row>
    <row r="22" ht="19.95" customHeight="1" s="1097">
      <c r="A22" s="182" t="inlineStr">
        <is>
          <t>（二）合营企业（共同控制）</t>
        </is>
      </c>
      <c r="B22" s="17" t="n"/>
      <c r="C22" s="17" t="n"/>
      <c r="D22" s="17" t="n"/>
      <c r="E22" s="17" t="n"/>
      <c r="F22" s="109" t="n"/>
      <c r="G22" s="109" t="n"/>
      <c r="H22" s="109" t="n"/>
      <c r="I22" s="109" t="n"/>
      <c r="J22" s="109" t="n"/>
      <c r="K22" s="1274" t="n"/>
      <c r="L22" s="1274" t="n"/>
      <c r="M22" s="50" t="n"/>
      <c r="N22" s="50" t="n"/>
      <c r="O22" s="50" t="n"/>
      <c r="P22" s="109" t="n"/>
      <c r="Q22" s="109" t="n"/>
      <c r="R22" s="109" t="n"/>
      <c r="S22" s="289" t="n"/>
      <c r="T22" s="295" t="n"/>
    </row>
    <row r="23" ht="19.95" customHeight="1" s="1097">
      <c r="A23" s="27" t="n"/>
      <c r="B23" s="368">
        <f>'明细表G7-2'!B33</f>
        <v/>
      </c>
      <c r="C23" s="193" t="inlineStr">
        <is>
          <t>--</t>
        </is>
      </c>
      <c r="D23" s="193" t="inlineStr">
        <is>
          <t>--</t>
        </is>
      </c>
      <c r="E23" s="193" t="n"/>
      <c r="F23" s="109" t="n"/>
      <c r="G23" s="109" t="n"/>
      <c r="H23" s="109" t="n"/>
      <c r="I23" s="109" t="n"/>
      <c r="J23" s="109" t="n"/>
      <c r="K23" s="1274" t="n"/>
      <c r="L23" s="1274" t="n"/>
      <c r="M23" s="50" t="n"/>
      <c r="N23" s="50" t="n"/>
      <c r="O23" s="50" t="n"/>
      <c r="P23" s="109" t="n"/>
      <c r="Q23" s="193" t="inlineStr">
        <is>
          <t>--</t>
        </is>
      </c>
      <c r="R23" s="193" t="n"/>
      <c r="S23" s="289" t="n"/>
      <c r="T23" s="295" t="inlineStr">
        <is>
          <t>权益法</t>
        </is>
      </c>
    </row>
    <row r="24" ht="19.95" customHeight="1" s="1097">
      <c r="A24" s="27" t="n"/>
      <c r="B24" s="368">
        <f>'明细表G7-2'!B34</f>
        <v/>
      </c>
      <c r="C24" s="193" t="inlineStr">
        <is>
          <t>--</t>
        </is>
      </c>
      <c r="D24" s="193" t="inlineStr">
        <is>
          <t>--</t>
        </is>
      </c>
      <c r="E24" s="193" t="n"/>
      <c r="F24" s="109" t="n"/>
      <c r="G24" s="109" t="n"/>
      <c r="H24" s="109" t="n"/>
      <c r="I24" s="109" t="n"/>
      <c r="J24" s="109" t="n"/>
      <c r="K24" s="1274" t="n"/>
      <c r="L24" s="1274" t="n"/>
      <c r="M24" s="50" t="n"/>
      <c r="N24" s="50" t="n"/>
      <c r="O24" s="50" t="n"/>
      <c r="P24" s="109" t="n"/>
      <c r="Q24" s="193" t="inlineStr">
        <is>
          <t>--</t>
        </is>
      </c>
      <c r="R24" s="193" t="n"/>
      <c r="S24" s="289" t="n"/>
      <c r="T24" s="296" t="n"/>
    </row>
    <row r="25" ht="19.95" customHeight="1" s="1097">
      <c r="A25" s="27" t="n"/>
      <c r="B25" s="368">
        <f>'明细表G7-2'!B35</f>
        <v/>
      </c>
      <c r="C25" s="193" t="inlineStr">
        <is>
          <t>--</t>
        </is>
      </c>
      <c r="D25" s="193" t="inlineStr">
        <is>
          <t>--</t>
        </is>
      </c>
      <c r="E25" s="193" t="n"/>
      <c r="F25" s="109" t="n"/>
      <c r="G25" s="109" t="n"/>
      <c r="H25" s="109" t="n"/>
      <c r="I25" s="109" t="n"/>
      <c r="J25" s="109" t="n"/>
      <c r="K25" s="1274" t="n"/>
      <c r="L25" s="1274" t="n"/>
      <c r="M25" s="50" t="n"/>
      <c r="N25" s="50" t="n"/>
      <c r="O25" s="50" t="n"/>
      <c r="P25" s="109" t="n"/>
      <c r="Q25" s="193" t="inlineStr">
        <is>
          <t>--</t>
        </is>
      </c>
      <c r="R25" s="193" t="n"/>
      <c r="S25" s="289" t="n"/>
      <c r="T25" s="295" t="n"/>
    </row>
    <row r="26" ht="19.95" customHeight="1" s="1097">
      <c r="A26" s="27" t="n"/>
      <c r="B26" s="368">
        <f>'明细表G7-2'!B36</f>
        <v/>
      </c>
      <c r="C26" s="193" t="inlineStr">
        <is>
          <t>--</t>
        </is>
      </c>
      <c r="D26" s="193" t="inlineStr">
        <is>
          <t>--</t>
        </is>
      </c>
      <c r="E26" s="193" t="n"/>
      <c r="F26" s="109" t="n"/>
      <c r="G26" s="109" t="n"/>
      <c r="H26" s="109" t="n"/>
      <c r="I26" s="109" t="n"/>
      <c r="J26" s="109" t="n"/>
      <c r="K26" s="1274" t="n"/>
      <c r="L26" s="1274" t="n"/>
      <c r="M26" s="50" t="n"/>
      <c r="N26" s="50" t="n"/>
      <c r="O26" s="50" t="n"/>
      <c r="P26" s="109" t="n"/>
      <c r="Q26" s="193" t="inlineStr">
        <is>
          <t>--</t>
        </is>
      </c>
      <c r="R26" s="193" t="n"/>
      <c r="S26" s="289" t="n"/>
      <c r="T26" s="295" t="n"/>
    </row>
    <row r="27" ht="19.95" customHeight="1" s="1097">
      <c r="A27" s="27" t="n"/>
      <c r="B27" s="368">
        <f>'明细表G7-2'!B37</f>
        <v/>
      </c>
      <c r="C27" s="193" t="inlineStr">
        <is>
          <t>--</t>
        </is>
      </c>
      <c r="D27" s="193" t="inlineStr">
        <is>
          <t>--</t>
        </is>
      </c>
      <c r="E27" s="193" t="n"/>
      <c r="F27" s="109" t="n"/>
      <c r="G27" s="109" t="n"/>
      <c r="H27" s="109" t="n"/>
      <c r="I27" s="109" t="n"/>
      <c r="J27" s="109" t="n"/>
      <c r="K27" s="1274" t="n"/>
      <c r="L27" s="1274" t="n"/>
      <c r="M27" s="50" t="n"/>
      <c r="N27" s="50" t="n"/>
      <c r="O27" s="50" t="n"/>
      <c r="P27" s="109" t="n"/>
      <c r="Q27" s="193" t="inlineStr">
        <is>
          <t>--</t>
        </is>
      </c>
      <c r="R27" s="193" t="n"/>
      <c r="S27" s="289" t="n"/>
      <c r="T27" s="289" t="n"/>
    </row>
    <row r="28" ht="19.95" customHeight="1" s="1097">
      <c r="A28" s="182" t="inlineStr">
        <is>
          <t>（三）联营企业（重大影响）</t>
        </is>
      </c>
      <c r="B28" s="17" t="n"/>
      <c r="C28" s="17" t="n"/>
      <c r="D28" s="17" t="n"/>
      <c r="E28" s="17" t="n"/>
      <c r="F28" s="109" t="n"/>
      <c r="G28" s="109" t="n"/>
      <c r="H28" s="109" t="n"/>
      <c r="I28" s="109" t="n"/>
      <c r="J28" s="109" t="n"/>
      <c r="K28" s="1274" t="n"/>
      <c r="L28" s="1274" t="n"/>
      <c r="M28" s="50" t="n"/>
      <c r="N28" s="50" t="n"/>
      <c r="O28" s="50" t="n"/>
      <c r="P28" s="109" t="n"/>
      <c r="Q28" s="109" t="n"/>
      <c r="R28" s="109" t="n"/>
      <c r="S28" s="289" t="n"/>
      <c r="T28" s="289" t="n"/>
    </row>
    <row r="29" ht="19.95" customHeight="1" s="1097">
      <c r="A29" s="27" t="n"/>
      <c r="B29" s="368">
        <f>'明细表G7-2'!B40</f>
        <v/>
      </c>
      <c r="C29" s="193" t="inlineStr">
        <is>
          <t>--</t>
        </is>
      </c>
      <c r="D29" s="193" t="inlineStr">
        <is>
          <t>--</t>
        </is>
      </c>
      <c r="E29" s="193" t="n"/>
      <c r="F29" s="109" t="n"/>
      <c r="G29" s="109" t="n"/>
      <c r="H29" s="109" t="n"/>
      <c r="I29" s="109" t="n"/>
      <c r="J29" s="109" t="n"/>
      <c r="K29" s="1274" t="n"/>
      <c r="L29" s="1274" t="n"/>
      <c r="M29" s="50" t="n"/>
      <c r="N29" s="50" t="n"/>
      <c r="O29" s="50" t="n"/>
      <c r="P29" s="109" t="n"/>
      <c r="Q29" s="193" t="inlineStr">
        <is>
          <t>--</t>
        </is>
      </c>
      <c r="R29" s="193" t="n"/>
      <c r="S29" s="289" t="n"/>
      <c r="T29" s="295" t="inlineStr">
        <is>
          <t>权益法</t>
        </is>
      </c>
    </row>
    <row r="30" ht="19.95" customHeight="1" s="1097">
      <c r="A30" s="27" t="n"/>
      <c r="B30" s="368">
        <f>'明细表G7-2'!B41</f>
        <v/>
      </c>
      <c r="C30" s="193" t="inlineStr">
        <is>
          <t>--</t>
        </is>
      </c>
      <c r="D30" s="193" t="inlineStr">
        <is>
          <t>--</t>
        </is>
      </c>
      <c r="E30" s="193" t="n"/>
      <c r="F30" s="109" t="n"/>
      <c r="G30" s="109" t="n"/>
      <c r="H30" s="109" t="n"/>
      <c r="I30" s="109" t="n"/>
      <c r="J30" s="109" t="n"/>
      <c r="K30" s="1274" t="n"/>
      <c r="L30" s="1274" t="n"/>
      <c r="M30" s="50" t="n"/>
      <c r="N30" s="50" t="n"/>
      <c r="O30" s="50" t="n"/>
      <c r="P30" s="109" t="n"/>
      <c r="Q30" s="193" t="inlineStr">
        <is>
          <t>--</t>
        </is>
      </c>
      <c r="R30" s="193" t="n"/>
      <c r="S30" s="289" t="n"/>
      <c r="T30" s="295" t="n"/>
    </row>
    <row r="31" ht="19.95" customHeight="1" s="1097">
      <c r="A31" s="27" t="n"/>
      <c r="B31" s="368">
        <f>'明细表G7-2'!B42</f>
        <v/>
      </c>
      <c r="C31" s="193" t="inlineStr">
        <is>
          <t>--</t>
        </is>
      </c>
      <c r="D31" s="193" t="inlineStr">
        <is>
          <t>--</t>
        </is>
      </c>
      <c r="E31" s="193" t="n"/>
      <c r="F31" s="109" t="n"/>
      <c r="G31" s="109" t="n"/>
      <c r="H31" s="109" t="n"/>
      <c r="I31" s="109" t="n"/>
      <c r="J31" s="109" t="n"/>
      <c r="K31" s="1274" t="n"/>
      <c r="L31" s="1274" t="n"/>
      <c r="M31" s="50" t="n"/>
      <c r="N31" s="50" t="n"/>
      <c r="O31" s="50" t="n"/>
      <c r="P31" s="109" t="n"/>
      <c r="Q31" s="193" t="inlineStr">
        <is>
          <t>--</t>
        </is>
      </c>
      <c r="R31" s="193" t="n"/>
      <c r="S31" s="289" t="n"/>
      <c r="T31" s="289" t="n"/>
    </row>
    <row r="32" ht="19.95" customHeight="1" s="1097">
      <c r="A32" s="27" t="n"/>
      <c r="B32" s="368">
        <f>'明细表G7-2'!B43</f>
        <v/>
      </c>
      <c r="C32" s="193" t="inlineStr">
        <is>
          <t>--</t>
        </is>
      </c>
      <c r="D32" s="193" t="inlineStr">
        <is>
          <t>--</t>
        </is>
      </c>
      <c r="E32" s="193" t="n"/>
      <c r="F32" s="109" t="n"/>
      <c r="G32" s="109" t="n"/>
      <c r="H32" s="109" t="n"/>
      <c r="I32" s="109" t="n"/>
      <c r="J32" s="109" t="n"/>
      <c r="K32" s="1274" t="n"/>
      <c r="L32" s="1274" t="n"/>
      <c r="M32" s="50" t="n"/>
      <c r="N32" s="50" t="n"/>
      <c r="O32" s="50" t="n"/>
      <c r="P32" s="109" t="n"/>
      <c r="Q32" s="193" t="inlineStr">
        <is>
          <t>--</t>
        </is>
      </c>
      <c r="R32" s="193" t="n"/>
      <c r="S32" s="289" t="n"/>
      <c r="T32" s="289" t="n"/>
    </row>
    <row r="33" ht="19.95" customHeight="1" s="1097">
      <c r="A33" s="27" t="n"/>
      <c r="B33" s="368">
        <f>'明细表G7-2'!B44</f>
        <v/>
      </c>
      <c r="C33" s="193" t="inlineStr">
        <is>
          <t>--</t>
        </is>
      </c>
      <c r="D33" s="193" t="inlineStr">
        <is>
          <t>--</t>
        </is>
      </c>
      <c r="E33" s="193" t="n"/>
      <c r="F33" s="109" t="n"/>
      <c r="G33" s="109" t="n"/>
      <c r="H33" s="109" t="n"/>
      <c r="I33" s="109" t="n"/>
      <c r="J33" s="109" t="n"/>
      <c r="K33" s="1274" t="n"/>
      <c r="L33" s="1274" t="n"/>
      <c r="M33" s="50" t="n"/>
      <c r="N33" s="50" t="n"/>
      <c r="O33" s="50" t="n"/>
      <c r="P33" s="109" t="n"/>
      <c r="Q33" s="193" t="inlineStr">
        <is>
          <t>--</t>
        </is>
      </c>
      <c r="R33" s="193" t="n"/>
      <c r="S33" s="289" t="n"/>
      <c r="T33" s="289" t="n"/>
    </row>
    <row r="34" ht="19.95" customHeight="1" s="1097">
      <c r="A34" s="182" t="inlineStr">
        <is>
          <t>（四）共同经营（共同控制）</t>
        </is>
      </c>
      <c r="B34" s="17" t="n"/>
      <c r="C34" s="17" t="n"/>
      <c r="D34" s="17" t="n"/>
      <c r="E34" s="17" t="n"/>
      <c r="F34" s="109" t="n"/>
      <c r="G34" s="109" t="n"/>
      <c r="H34" s="109" t="n"/>
      <c r="I34" s="109" t="n"/>
      <c r="J34" s="109" t="n"/>
      <c r="K34" s="1274" t="n"/>
      <c r="L34" s="1274" t="n"/>
      <c r="M34" s="50" t="n"/>
      <c r="N34" s="50" t="n"/>
      <c r="O34" s="50" t="n"/>
      <c r="P34" s="109" t="n"/>
      <c r="Q34" s="109" t="n"/>
      <c r="R34" s="109" t="n"/>
      <c r="S34" s="289" t="n"/>
      <c r="T34" s="289" t="n"/>
    </row>
    <row r="35" ht="19.95" customHeight="1" s="1097">
      <c r="A35" s="27" t="n"/>
      <c r="B35" s="17" t="n"/>
      <c r="C35" s="193" t="inlineStr">
        <is>
          <t>--</t>
        </is>
      </c>
      <c r="D35" s="193" t="inlineStr">
        <is>
          <t>--</t>
        </is>
      </c>
      <c r="E35" s="193" t="n"/>
      <c r="F35" s="109" t="n"/>
      <c r="G35" s="109" t="n"/>
      <c r="H35" s="109" t="n"/>
      <c r="I35" s="109" t="n"/>
      <c r="J35" s="109" t="n"/>
      <c r="K35" s="1274" t="n"/>
      <c r="L35" s="1274" t="n"/>
      <c r="M35" s="50" t="n"/>
      <c r="N35" s="50" t="n"/>
      <c r="O35" s="392" t="inlineStr">
        <is>
          <t>--</t>
        </is>
      </c>
      <c r="P35" s="393" t="inlineStr">
        <is>
          <t>--</t>
        </is>
      </c>
      <c r="Q35" s="393" t="n"/>
      <c r="R35" s="393" t="n"/>
      <c r="S35" s="289" t="n"/>
      <c r="T35" s="295" t="inlineStr">
        <is>
          <t>各项单独确认</t>
        </is>
      </c>
    </row>
    <row r="36" ht="19.95" customHeight="1" s="1097">
      <c r="A36" s="27" t="n"/>
      <c r="B36" s="17" t="n"/>
      <c r="C36" s="193" t="inlineStr">
        <is>
          <t>--</t>
        </is>
      </c>
      <c r="D36" s="193" t="inlineStr">
        <is>
          <t>--</t>
        </is>
      </c>
      <c r="E36" s="193" t="n"/>
      <c r="F36" s="109" t="n"/>
      <c r="G36" s="109" t="n"/>
      <c r="H36" s="109" t="n"/>
      <c r="I36" s="109" t="n"/>
      <c r="J36" s="109" t="n"/>
      <c r="K36" s="1274" t="n"/>
      <c r="L36" s="1274" t="n"/>
      <c r="M36" s="50" t="n"/>
      <c r="N36" s="50" t="n"/>
      <c r="O36" s="392" t="inlineStr">
        <is>
          <t>--</t>
        </is>
      </c>
      <c r="P36" s="393" t="inlineStr">
        <is>
          <t>--</t>
        </is>
      </c>
      <c r="Q36" s="393" t="n"/>
      <c r="R36" s="393" t="n"/>
      <c r="S36" s="289" t="n"/>
      <c r="T36" s="289" t="n"/>
    </row>
    <row r="37" ht="19.95" customHeight="1" s="1097">
      <c r="A37" s="289" t="n"/>
      <c r="B37" s="290" t="n"/>
      <c r="C37" s="291" t="inlineStr">
        <is>
          <t>--</t>
        </is>
      </c>
      <c r="D37" s="291" t="inlineStr">
        <is>
          <t>--</t>
        </is>
      </c>
      <c r="E37" s="291" t="n"/>
      <c r="F37" s="292" t="n"/>
      <c r="G37" s="292" t="n"/>
      <c r="H37" s="292" t="n"/>
      <c r="I37" s="292" t="n"/>
      <c r="J37" s="292" t="n"/>
      <c r="K37" s="1275" t="n"/>
      <c r="L37" s="1275" t="n"/>
      <c r="M37" s="294" t="n"/>
      <c r="N37" s="294" t="n"/>
      <c r="O37" s="394" t="inlineStr">
        <is>
          <t>--</t>
        </is>
      </c>
      <c r="P37" s="395" t="inlineStr">
        <is>
          <t>--</t>
        </is>
      </c>
      <c r="Q37" s="395" t="n"/>
      <c r="R37" s="395" t="n"/>
      <c r="S37" s="289" t="n"/>
      <c r="T37" s="289" t="n"/>
    </row>
    <row r="38" ht="19.95" customHeight="1" s="1097">
      <c r="A38" s="289" t="n"/>
      <c r="B38" s="290" t="n"/>
      <c r="C38" s="291" t="inlineStr">
        <is>
          <t>--</t>
        </is>
      </c>
      <c r="D38" s="291" t="inlineStr">
        <is>
          <t>--</t>
        </is>
      </c>
      <c r="E38" s="291" t="n"/>
      <c r="F38" s="292" t="n"/>
      <c r="G38" s="292" t="n"/>
      <c r="H38" s="292" t="n"/>
      <c r="I38" s="292" t="n"/>
      <c r="J38" s="292" t="n"/>
      <c r="K38" s="1275" t="n"/>
      <c r="L38" s="1275" t="n"/>
      <c r="M38" s="294" t="n"/>
      <c r="N38" s="294" t="n"/>
      <c r="O38" s="394" t="inlineStr">
        <is>
          <t>--</t>
        </is>
      </c>
      <c r="P38" s="395" t="inlineStr">
        <is>
          <t>--</t>
        </is>
      </c>
      <c r="Q38" s="395" t="n"/>
      <c r="R38" s="395" t="n"/>
      <c r="S38" s="289" t="n"/>
      <c r="T38" s="289" t="n"/>
    </row>
    <row r="39" ht="19.95" customHeight="1" s="1097">
      <c r="A39" s="249" t="inlineStr">
        <is>
          <t>（注：企业类型：1.境内非金融子企业，2.境内金融子企业，3.境外子企业，4.事业单位，5.基建单位；</t>
        </is>
      </c>
      <c r="B39" s="40" t="n"/>
      <c r="C39" s="40" t="n"/>
      <c r="D39" s="40" t="n"/>
      <c r="E39" s="40" t="n"/>
      <c r="F39" s="112" t="n"/>
      <c r="G39" s="112" t="n"/>
      <c r="H39" s="112" t="n"/>
      <c r="I39" s="112" t="n"/>
      <c r="J39" s="112" t="n"/>
      <c r="K39" s="112" t="n"/>
      <c r="L39" s="112" t="n"/>
      <c r="M39" s="112" t="n"/>
      <c r="N39" s="112" t="n"/>
      <c r="O39" s="112" t="n"/>
      <c r="P39" s="112" t="n"/>
      <c r="Q39" s="112" t="n"/>
      <c r="R39" s="112" t="n"/>
      <c r="S39" s="2" t="n"/>
      <c r="T39" s="2" t="n"/>
    </row>
    <row r="40" ht="19.95" customFormat="1" customHeight="1" s="2">
      <c r="A40" s="23" t="inlineStr">
        <is>
          <t>三、审计说明：</t>
        </is>
      </c>
    </row>
    <row r="41" ht="19.95" customHeight="1" s="1097">
      <c r="A41" s="2" t="n"/>
      <c r="B41" s="2" t="n"/>
      <c r="C41" s="2" t="n"/>
      <c r="D41" s="2" t="n"/>
      <c r="E41" s="2" t="n"/>
    </row>
    <row r="42" ht="19.95" customHeight="1" s="1097">
      <c r="A42" s="23" t="inlineStr">
        <is>
          <t>四、审计结论：</t>
        </is>
      </c>
      <c r="B42" s="2" t="n"/>
      <c r="C42" s="2" t="n"/>
      <c r="D42" s="2" t="n"/>
      <c r="E42" s="2" t="n"/>
    </row>
    <row r="43" ht="19.95" customHeight="1" s="1097">
      <c r="A43" s="2" t="n"/>
      <c r="B43" s="2" t="n"/>
      <c r="C43" s="2" t="n"/>
      <c r="D43" s="2" t="n"/>
      <c r="E43" s="2" t="n"/>
    </row>
  </sheetData>
  <mergeCells count="20">
    <mergeCell ref="H9:H10"/>
    <mergeCell ref="J9:J10"/>
    <mergeCell ref="P9:P10"/>
    <mergeCell ref="M9:N9"/>
    <mergeCell ref="A1:T1"/>
    <mergeCell ref="T9:T10"/>
    <mergeCell ref="C9:C10"/>
    <mergeCell ref="E9:E10"/>
    <mergeCell ref="Q9:Q10"/>
    <mergeCell ref="S9:S10"/>
    <mergeCell ref="A9:B10"/>
    <mergeCell ref="D9:D10"/>
    <mergeCell ref="F9:F10"/>
    <mergeCell ref="L9:L10"/>
    <mergeCell ref="A2:T2"/>
    <mergeCell ref="R9:R10"/>
    <mergeCell ref="G9:G10"/>
    <mergeCell ref="I9:I10"/>
    <mergeCell ref="K9:K10"/>
    <mergeCell ref="O9:O10"/>
  </mergeCells>
  <dataValidations count="2">
    <dataValidation sqref="D12:D21" showDropDown="0" showInputMessage="1" showErrorMessage="1" allowBlank="1" type="list">
      <formula1>"1,2,3,4,5"</formula1>
    </dataValidation>
    <dataValidation sqref="E12:E21" showDropDown="0" showInputMessage="1" showErrorMessage="1" allowBlank="1" type="list">
      <formula1>"是,否"</formula1>
    </dataValidation>
  </dataValidations>
  <hyperlinks>
    <hyperlink ref="T3" location="底稿目录!F10" display="底稿目录!F10"/>
  </hyperlinks>
  <pageMargins left="0.7086614173228347" right="0.7086614173228347" top="0.7480314960629921" bottom="0.7480314960629921" header="0.3149606299212598" footer="0.3149606299212598"/>
  <pageSetup orientation="landscape" paperSize="9" scale="55" fitToHeight="0" blackAndWhite="1"/>
  <headerFooter>
    <oddHeader/>
    <oddFooter>&amp;C&amp;P/&amp;N</oddFooter>
    <evenHeader/>
    <evenFooter/>
    <firstHeader/>
    <firstFooter/>
  </headerFooter>
</worksheet>
</file>

<file path=xl/worksheets/sheet9.xml><?xml version="1.0" encoding="utf-8"?>
<worksheet xmlns="http://schemas.openxmlformats.org/spreadsheetml/2006/main">
  <sheetPr codeName="Sheet8">
    <outlinePr summaryBelow="1" summaryRight="1"/>
    <pageSetUpPr fitToPage="1"/>
  </sheetPr>
  <dimension ref="A1:J56"/>
  <sheetViews>
    <sheetView view="pageBreakPreview" zoomScaleNormal="100" zoomScaleSheetLayoutView="100" workbookViewId="0">
      <selection activeCell="B1" sqref="B1:J1"/>
    </sheetView>
  </sheetViews>
  <sheetFormatPr baseColWidth="8" defaultColWidth="9" defaultRowHeight="15.6" outlineLevelCol="0"/>
  <cols>
    <col width="3.8984375" customWidth="1" style="90" min="1" max="1"/>
    <col width="31.5" customWidth="1" style="90" min="2" max="2"/>
    <col width="10.19921875" customWidth="1" style="90" min="3" max="10"/>
    <col width="9" customWidth="1" style="90" min="11" max="16384"/>
  </cols>
  <sheetData>
    <row r="1" ht="19.95" customFormat="1" customHeight="1" s="617">
      <c r="B1" s="942" t="inlineStr">
        <is>
          <t>致同会计师事务所</t>
        </is>
      </c>
    </row>
    <row r="2" ht="19.95" customFormat="1" customHeight="1" s="630">
      <c r="B2" s="943" t="inlineStr">
        <is>
          <t>被投资单位主要财务信息（合营、联营）</t>
        </is>
      </c>
    </row>
    <row r="3" ht="19.95" customFormat="1" customHeight="1" s="207">
      <c r="A3" s="207">
        <f>底稿目录!A2</f>
        <v/>
      </c>
      <c r="D3" s="207">
        <f>底稿目录!A4</f>
        <v/>
      </c>
      <c r="F3" s="229">
        <f>底稿目录!A5</f>
        <v/>
      </c>
      <c r="G3" s="229" t="n"/>
      <c r="I3" s="207" t="inlineStr">
        <is>
          <t>索引号：</t>
        </is>
      </c>
      <c r="J3" s="1096">
        <f>底稿目录!F11</f>
        <v/>
      </c>
    </row>
    <row r="4" ht="19.95" customFormat="1" customHeight="1" s="207">
      <c r="A4" s="207">
        <f>底稿目录!A3</f>
        <v/>
      </c>
      <c r="D4" s="207">
        <f>底稿目录!A6</f>
        <v/>
      </c>
      <c r="F4" s="229">
        <f>底稿目录!A7</f>
        <v/>
      </c>
      <c r="G4" s="229" t="n"/>
      <c r="I4" s="207" t="inlineStr">
        <is>
          <t>页 次：</t>
        </is>
      </c>
    </row>
    <row r="5" ht="19.95" customHeight="1" s="1097">
      <c r="A5" s="37" t="inlineStr">
        <is>
          <t>一、审计目标：</t>
        </is>
      </c>
      <c r="B5" s="128" t="n"/>
      <c r="C5" s="304" t="inlineStr">
        <is>
          <t>了解被审计单位合营、联营企业主要财务信息</t>
        </is>
      </c>
      <c r="D5" s="2" t="n"/>
      <c r="F5" s="2" t="n"/>
      <c r="G5" s="2" t="n"/>
      <c r="I5" s="36" t="n"/>
    </row>
    <row r="6" ht="19.95" customHeight="1" s="1097">
      <c r="A6" s="37" t="inlineStr">
        <is>
          <t>二、审计过程</t>
        </is>
      </c>
      <c r="B6" s="304" t="n"/>
      <c r="C6" s="304" t="inlineStr">
        <is>
          <t>取得被审计单位联营、合营企业已审计/审阅的财务报表；确定被投资单位联营、合营企业的主要财务信息</t>
        </is>
      </c>
      <c r="F6" s="2" t="n"/>
      <c r="G6" s="2" t="n"/>
      <c r="I6" s="36" t="n"/>
    </row>
    <row r="7" ht="19.95" customHeight="1" s="1097">
      <c r="A7" s="23" t="inlineStr">
        <is>
          <t>1.1重要合营、联营企业</t>
        </is>
      </c>
      <c r="C7" s="2" t="n"/>
      <c r="D7" s="2" t="n"/>
      <c r="E7" s="2" t="n"/>
      <c r="F7" s="2" t="n"/>
      <c r="G7" s="2" t="n"/>
      <c r="H7" s="2" t="n"/>
      <c r="I7" s="2" t="n"/>
    </row>
    <row r="8" ht="19.95" customFormat="1" customHeight="1" s="102">
      <c r="B8" s="960" t="inlineStr">
        <is>
          <t>项目</t>
        </is>
      </c>
      <c r="C8" s="961" t="inlineStr">
        <is>
          <t>合营企业1</t>
        </is>
      </c>
      <c r="D8" s="1104" t="n"/>
      <c r="E8" s="961" t="inlineStr">
        <is>
          <t>合营企业2</t>
        </is>
      </c>
      <c r="F8" s="1104" t="n"/>
      <c r="G8" s="961" t="inlineStr">
        <is>
          <t>联营企业1</t>
        </is>
      </c>
      <c r="H8" s="1104" t="n"/>
      <c r="I8" s="961" t="inlineStr">
        <is>
          <t>联营企业2</t>
        </is>
      </c>
      <c r="J8" s="1104" t="n"/>
    </row>
    <row r="9" ht="19.95" customHeight="1" s="1097">
      <c r="B9" s="1106" t="n"/>
      <c r="C9" s="944" t="inlineStr">
        <is>
          <t>本期数</t>
        </is>
      </c>
      <c r="D9" s="944" t="inlineStr">
        <is>
          <t>上期数</t>
        </is>
      </c>
      <c r="E9" s="944" t="inlineStr">
        <is>
          <t>本期数</t>
        </is>
      </c>
      <c r="F9" s="944" t="inlineStr">
        <is>
          <t>上期数</t>
        </is>
      </c>
      <c r="G9" s="944" t="inlineStr">
        <is>
          <t>本期数</t>
        </is>
      </c>
      <c r="H9" s="944" t="inlineStr">
        <is>
          <t>上期数</t>
        </is>
      </c>
      <c r="I9" s="944" t="inlineStr">
        <is>
          <t>本期数</t>
        </is>
      </c>
      <c r="J9" s="944" t="inlineStr">
        <is>
          <t>上期数</t>
        </is>
      </c>
    </row>
    <row r="10" ht="19.95" customHeight="1" s="1097">
      <c r="B10" s="289" t="inlineStr">
        <is>
          <t>流动资产</t>
        </is>
      </c>
      <c r="C10" s="1275" t="n"/>
      <c r="D10" s="1275" t="n"/>
      <c r="E10" s="1275" t="n"/>
      <c r="F10" s="1275" t="n"/>
      <c r="G10" s="1275" t="n"/>
      <c r="H10" s="1275" t="n"/>
      <c r="I10" s="1276" t="n"/>
      <c r="J10" s="1276" t="n"/>
    </row>
    <row r="11" ht="19.95" customHeight="1" s="1097">
      <c r="B11" s="289" t="inlineStr">
        <is>
          <t>其中：现金和现金等价物</t>
        </is>
      </c>
      <c r="C11" s="1275" t="n"/>
      <c r="D11" s="1275" t="n"/>
      <c r="E11" s="1275" t="n"/>
      <c r="F11" s="1275" t="n"/>
      <c r="G11" s="1275" t="n"/>
      <c r="H11" s="1275" t="n"/>
      <c r="I11" s="1276" t="n"/>
      <c r="J11" s="1276" t="n"/>
    </row>
    <row r="12" ht="19.95" customHeight="1" s="1097">
      <c r="B12" s="289" t="inlineStr">
        <is>
          <t>非流动资产</t>
        </is>
      </c>
      <c r="C12" s="1275" t="n"/>
      <c r="D12" s="1275" t="n"/>
      <c r="E12" s="1275" t="n"/>
      <c r="F12" s="1275" t="n"/>
      <c r="G12" s="1275" t="n"/>
      <c r="H12" s="1275" t="n"/>
      <c r="I12" s="1276" t="n"/>
      <c r="J12" s="1276" t="n"/>
    </row>
    <row r="13" ht="19.95" customHeight="1" s="1097">
      <c r="B13" s="299" t="inlineStr">
        <is>
          <t>资产合计</t>
        </is>
      </c>
      <c r="C13" s="1277">
        <f>C10+C12</f>
        <v/>
      </c>
      <c r="D13" s="1277">
        <f>D10+D12</f>
        <v/>
      </c>
      <c r="E13" s="1277">
        <f>E10+E12</f>
        <v/>
      </c>
      <c r="F13" s="1277">
        <f>F10+F12</f>
        <v/>
      </c>
      <c r="G13" s="1277">
        <f>G10+G12</f>
        <v/>
      </c>
      <c r="H13" s="1277">
        <f>H10+H12</f>
        <v/>
      </c>
      <c r="I13" s="1277">
        <f>I10+I12</f>
        <v/>
      </c>
      <c r="J13" s="1277">
        <f>J10+J12</f>
        <v/>
      </c>
    </row>
    <row r="14" ht="19.95" customHeight="1" s="1097">
      <c r="B14" s="289" t="inlineStr">
        <is>
          <t>流动负债</t>
        </is>
      </c>
      <c r="C14" s="1275" t="n"/>
      <c r="D14" s="1275" t="n"/>
      <c r="E14" s="1275" t="n"/>
      <c r="F14" s="1275" t="n"/>
      <c r="G14" s="1275" t="n"/>
      <c r="H14" s="1275" t="n"/>
      <c r="I14" s="1276" t="n"/>
      <c r="J14" s="1276" t="n"/>
    </row>
    <row r="15" ht="19.95" customHeight="1" s="1097">
      <c r="B15" s="289" t="inlineStr">
        <is>
          <t>非流动负债</t>
        </is>
      </c>
      <c r="C15" s="1275" t="n"/>
      <c r="D15" s="1275" t="n"/>
      <c r="E15" s="1275" t="n"/>
      <c r="F15" s="1275" t="n"/>
      <c r="G15" s="1275" t="n"/>
      <c r="H15" s="1275" t="n"/>
      <c r="I15" s="1276" t="n"/>
      <c r="J15" s="1276" t="n"/>
    </row>
    <row r="16" ht="19.95" customHeight="1" s="1097">
      <c r="B16" s="299" t="inlineStr">
        <is>
          <t>负债合计</t>
        </is>
      </c>
      <c r="C16" s="1277">
        <f>C14+C15</f>
        <v/>
      </c>
      <c r="D16" s="1277">
        <f>D14+D15</f>
        <v/>
      </c>
      <c r="E16" s="1277">
        <f>E14+E15</f>
        <v/>
      </c>
      <c r="F16" s="1277">
        <f>F14+F15</f>
        <v/>
      </c>
      <c r="G16" s="1277">
        <f>G14+G15</f>
        <v/>
      </c>
      <c r="H16" s="1277">
        <f>H14+H15</f>
        <v/>
      </c>
      <c r="I16" s="1277">
        <f>I14+I15</f>
        <v/>
      </c>
      <c r="J16" s="1277">
        <f>J14+J15</f>
        <v/>
      </c>
    </row>
    <row r="17" ht="19.95" customHeight="1" s="1097">
      <c r="B17" s="299" t="inlineStr">
        <is>
          <t>净资产</t>
        </is>
      </c>
      <c r="C17" s="1275" t="n"/>
      <c r="D17" s="1275" t="n"/>
      <c r="E17" s="1275" t="n"/>
      <c r="F17" s="1275" t="n"/>
      <c r="G17" s="1275" t="n"/>
      <c r="H17" s="1275" t="n"/>
      <c r="I17" s="1276" t="n"/>
      <c r="J17" s="1276" t="n"/>
    </row>
    <row r="18" ht="19.95" customHeight="1" s="1097">
      <c r="B18" s="289" t="inlineStr">
        <is>
          <t>其中：少数股东权益</t>
        </is>
      </c>
      <c r="C18" s="1275" t="n"/>
      <c r="D18" s="1275" t="n"/>
      <c r="E18" s="1275" t="n"/>
      <c r="F18" s="1275" t="n"/>
      <c r="G18" s="1275" t="n"/>
      <c r="H18" s="1275" t="n"/>
      <c r="I18" s="1276" t="n"/>
      <c r="J18" s="1276" t="n"/>
    </row>
    <row r="19" ht="19.95" customHeight="1" s="1097">
      <c r="B19" s="300" t="inlineStr">
        <is>
          <t>归属于母公司的所有者权益</t>
        </is>
      </c>
      <c r="C19" s="1275" t="n"/>
      <c r="D19" s="1275" t="n"/>
      <c r="E19" s="1275" t="n"/>
      <c r="F19" s="1275" t="n"/>
      <c r="G19" s="1275" t="n"/>
      <c r="H19" s="1275" t="n"/>
      <c r="I19" s="1276" t="n"/>
      <c r="J19" s="1276" t="n"/>
    </row>
    <row r="20" ht="19.95" customHeight="1" s="1097">
      <c r="B20" s="289" t="inlineStr">
        <is>
          <t>持股比例%</t>
        </is>
      </c>
      <c r="C20" s="294" t="n"/>
      <c r="D20" s="294" t="n"/>
      <c r="E20" s="294" t="n"/>
      <c r="F20" s="294" t="n"/>
      <c r="G20" s="294" t="n"/>
      <c r="H20" s="294" t="n"/>
      <c r="I20" s="301" t="n"/>
      <c r="J20" s="301" t="n"/>
    </row>
    <row r="21" ht="19.95" customHeight="1" s="1097">
      <c r="B21" s="289" t="inlineStr">
        <is>
          <t>按持股比例计算的净资产份额</t>
        </is>
      </c>
      <c r="C21" s="1278">
        <f>C17*C20</f>
        <v/>
      </c>
      <c r="D21" s="1278">
        <f>D17*D20</f>
        <v/>
      </c>
      <c r="E21" s="1278">
        <f>E17*E20</f>
        <v/>
      </c>
      <c r="F21" s="1278">
        <f>F17*F20</f>
        <v/>
      </c>
      <c r="G21" s="1278">
        <f>G17*G20</f>
        <v/>
      </c>
      <c r="H21" s="1278">
        <f>H17*H20</f>
        <v/>
      </c>
      <c r="I21" s="1278">
        <f>I17*I20</f>
        <v/>
      </c>
      <c r="J21" s="1278">
        <f>J17*J20</f>
        <v/>
      </c>
    </row>
    <row r="22" ht="19.95" customHeight="1" s="1097">
      <c r="B22" s="289" t="inlineStr">
        <is>
          <t>调整事项</t>
        </is>
      </c>
      <c r="C22" s="1278">
        <f>SUM(C23:C26)</f>
        <v/>
      </c>
      <c r="D22" s="1278">
        <f>SUM(D23:D26)</f>
        <v/>
      </c>
      <c r="E22" s="1278">
        <f>SUM(E23:E26)</f>
        <v/>
      </c>
      <c r="F22" s="1278">
        <f>SUM(F23:F26)</f>
        <v/>
      </c>
      <c r="G22" s="1278">
        <f>SUM(G23:G26)</f>
        <v/>
      </c>
      <c r="H22" s="1278">
        <f>SUM(H23:H26)</f>
        <v/>
      </c>
      <c r="I22" s="1278">
        <f>SUM(I23:I26)</f>
        <v/>
      </c>
      <c r="J22" s="1278">
        <f>SUM(J23:J26)</f>
        <v/>
      </c>
    </row>
    <row r="23" ht="19.95" customHeight="1" s="1097">
      <c r="B23" s="289" t="inlineStr">
        <is>
          <t>其中：商誉</t>
        </is>
      </c>
      <c r="C23" s="1275" t="n"/>
      <c r="D23" s="1275" t="n"/>
      <c r="E23" s="1275" t="n"/>
      <c r="F23" s="1275" t="n"/>
      <c r="G23" s="1275" t="n"/>
      <c r="H23" s="1275" t="n"/>
      <c r="I23" s="1276" t="n"/>
      <c r="J23" s="1276" t="n"/>
    </row>
    <row r="24" ht="19.95" customHeight="1" s="1097">
      <c r="B24" s="300" t="inlineStr">
        <is>
          <t>未实现内部交易损益</t>
        </is>
      </c>
      <c r="C24" s="1275" t="n"/>
      <c r="D24" s="1275" t="n"/>
      <c r="E24" s="1275" t="n"/>
      <c r="F24" s="1275" t="n"/>
      <c r="G24" s="1275" t="n"/>
      <c r="H24" s="1275" t="n"/>
      <c r="I24" s="1276" t="n"/>
      <c r="J24" s="1276" t="n"/>
    </row>
    <row r="25" ht="19.95" customHeight="1" s="1097">
      <c r="B25" s="300" t="inlineStr">
        <is>
          <t>减值准备</t>
        </is>
      </c>
      <c r="C25" s="1275" t="n"/>
      <c r="D25" s="1275" t="n"/>
      <c r="E25" s="1275" t="n"/>
      <c r="F25" s="1275" t="n"/>
      <c r="G25" s="1275" t="n"/>
      <c r="H25" s="1275" t="n"/>
      <c r="I25" s="1276" t="n"/>
      <c r="J25" s="1276" t="n"/>
    </row>
    <row r="26" ht="19.95" customHeight="1" s="1097">
      <c r="B26" s="300" t="inlineStr">
        <is>
          <t>其他</t>
        </is>
      </c>
      <c r="C26" s="1275" t="n"/>
      <c r="D26" s="1275" t="n"/>
      <c r="E26" s="1275" t="n"/>
      <c r="F26" s="1275" t="n"/>
      <c r="G26" s="1275" t="n"/>
      <c r="H26" s="1275" t="n"/>
      <c r="I26" s="1276" t="n"/>
      <c r="J26" s="1276" t="n"/>
    </row>
    <row r="27" ht="19.95" customHeight="1" s="1097">
      <c r="B27" s="289" t="inlineStr">
        <is>
          <t>对合营/联营企业权益投资的账面价值</t>
        </is>
      </c>
      <c r="C27" s="1278">
        <f>C21-C22</f>
        <v/>
      </c>
      <c r="D27" s="1278">
        <f>D21-D22</f>
        <v/>
      </c>
      <c r="E27" s="1278">
        <f>E21-E22</f>
        <v/>
      </c>
      <c r="F27" s="1278">
        <f>F21-F22</f>
        <v/>
      </c>
      <c r="G27" s="1278">
        <f>G21-G22</f>
        <v/>
      </c>
      <c r="H27" s="1278">
        <f>H21-H22</f>
        <v/>
      </c>
      <c r="I27" s="1278">
        <f>I21-I22</f>
        <v/>
      </c>
      <c r="J27" s="1278">
        <f>J21-J22</f>
        <v/>
      </c>
    </row>
    <row r="28" ht="19.95" customHeight="1" s="1097">
      <c r="B28" s="289" t="inlineStr">
        <is>
          <t>存在公开报价的权益投资的公允价值</t>
        </is>
      </c>
      <c r="C28" s="1275" t="n"/>
      <c r="D28" s="1275" t="n"/>
      <c r="E28" s="1275" t="n"/>
      <c r="F28" s="1275" t="n"/>
      <c r="G28" s="1275" t="n"/>
      <c r="H28" s="1275" t="n"/>
      <c r="I28" s="1276" t="n"/>
      <c r="J28" s="1276" t="n"/>
    </row>
    <row r="29" ht="19.95" customHeight="1" s="1097">
      <c r="B29" s="289" t="inlineStr">
        <is>
          <t>营业收入</t>
        </is>
      </c>
      <c r="C29" s="1275" t="n"/>
      <c r="D29" s="1275" t="n"/>
      <c r="E29" s="1275" t="n"/>
      <c r="F29" s="1275" t="n"/>
      <c r="G29" s="1275" t="n"/>
      <c r="H29" s="1275" t="n"/>
      <c r="I29" s="1276" t="n"/>
      <c r="J29" s="1276" t="n"/>
    </row>
    <row r="30" ht="19.95" customHeight="1" s="1097">
      <c r="B30" s="289" t="inlineStr">
        <is>
          <t>财务费用</t>
        </is>
      </c>
      <c r="C30" s="1275" t="n"/>
      <c r="D30" s="1275" t="n"/>
      <c r="E30" s="1275" t="n"/>
      <c r="F30" s="1275" t="n"/>
      <c r="G30" s="1275" t="n"/>
      <c r="H30" s="1275" t="n"/>
      <c r="I30" s="1276" t="n"/>
      <c r="J30" s="1276" t="n"/>
    </row>
    <row r="31" ht="19.95" customHeight="1" s="1097">
      <c r="B31" s="289" t="inlineStr">
        <is>
          <t>所得税费用</t>
        </is>
      </c>
      <c r="C31" s="1275" t="n"/>
      <c r="D31" s="1275" t="n"/>
      <c r="E31" s="1275" t="n"/>
      <c r="F31" s="1275" t="n"/>
      <c r="G31" s="1275" t="n"/>
      <c r="H31" s="1275" t="n"/>
      <c r="I31" s="1276" t="n"/>
      <c r="J31" s="1276" t="n"/>
    </row>
    <row r="32" ht="19.95" customHeight="1" s="1097">
      <c r="B32" s="289" t="inlineStr">
        <is>
          <t>净利润</t>
        </is>
      </c>
      <c r="C32" s="1275" t="n"/>
      <c r="D32" s="1275" t="n"/>
      <c r="E32" s="1275" t="n"/>
      <c r="F32" s="1275" t="n"/>
      <c r="G32" s="1275" t="n"/>
      <c r="H32" s="1275" t="n"/>
      <c r="I32" s="1276" t="n"/>
      <c r="J32" s="1276" t="n"/>
    </row>
    <row r="33" ht="19.95" customHeight="1" s="1097">
      <c r="B33" s="289" t="inlineStr">
        <is>
          <t>终止经营的净利润</t>
        </is>
      </c>
      <c r="C33" s="1275" t="n"/>
      <c r="D33" s="1275" t="n"/>
      <c r="E33" s="1275" t="n"/>
      <c r="F33" s="1275" t="n"/>
      <c r="G33" s="1275" t="n"/>
      <c r="H33" s="1275" t="n"/>
      <c r="I33" s="1276" t="n"/>
      <c r="J33" s="1276" t="n"/>
    </row>
    <row r="34" ht="19.95" customHeight="1" s="1097">
      <c r="B34" s="289" t="inlineStr">
        <is>
          <t>其他综合收益</t>
        </is>
      </c>
      <c r="C34" s="1275" t="n"/>
      <c r="D34" s="1275" t="n"/>
      <c r="E34" s="1275" t="n"/>
      <c r="F34" s="1275" t="n"/>
      <c r="G34" s="1275" t="n"/>
      <c r="H34" s="1275" t="n"/>
      <c r="I34" s="1276" t="n"/>
      <c r="J34" s="1276" t="n"/>
    </row>
    <row r="35" ht="19.95" customHeight="1" s="1097">
      <c r="B35" s="289" t="inlineStr">
        <is>
          <t>综合收益总额</t>
        </is>
      </c>
      <c r="C35" s="1278">
        <f>C32+C34</f>
        <v/>
      </c>
      <c r="D35" s="1278">
        <f>D32+D34</f>
        <v/>
      </c>
      <c r="E35" s="1278">
        <f>E32+E34</f>
        <v/>
      </c>
      <c r="F35" s="1278">
        <f>F32+F34</f>
        <v/>
      </c>
      <c r="G35" s="1278">
        <f>G32+G34</f>
        <v/>
      </c>
      <c r="H35" s="1278">
        <f>H32+H34</f>
        <v/>
      </c>
      <c r="I35" s="1278">
        <f>I32+I34</f>
        <v/>
      </c>
      <c r="J35" s="1278">
        <f>J32+J34</f>
        <v/>
      </c>
    </row>
    <row r="36" ht="19.95" customHeight="1" s="1097">
      <c r="B36" s="396" t="inlineStr">
        <is>
          <t>企业本期收到的来自合营/联营企业的股利</t>
        </is>
      </c>
      <c r="C36" s="1275" t="n"/>
      <c r="D36" s="1275" t="n"/>
      <c r="E36" s="1275" t="n"/>
      <c r="F36" s="1275" t="n"/>
      <c r="G36" s="1275" t="n"/>
      <c r="H36" s="1275" t="n"/>
      <c r="I36" s="1276" t="n"/>
      <c r="J36" s="1276" t="n"/>
    </row>
    <row r="37" ht="19.95" customHeight="1" s="1097">
      <c r="B37" s="289" t="inlineStr">
        <is>
          <t>前期累积未确认的损失份额</t>
        </is>
      </c>
      <c r="C37" s="1275" t="n"/>
      <c r="D37" s="1275" t="n"/>
      <c r="E37" s="1275" t="n"/>
      <c r="F37" s="1275" t="n"/>
      <c r="G37" s="1275" t="n"/>
      <c r="H37" s="1275" t="n"/>
      <c r="I37" s="1276" t="n"/>
      <c r="J37" s="1276" t="n"/>
    </row>
    <row r="38" ht="19.95" customHeight="1" s="1097">
      <c r="B38" s="289" t="inlineStr">
        <is>
          <t>本期未确认的损失份额（或本期实现净利润的分享额）</t>
        </is>
      </c>
      <c r="C38" s="1275" t="n"/>
      <c r="D38" s="1275" t="n"/>
      <c r="E38" s="1275" t="n"/>
      <c r="F38" s="1275" t="n"/>
      <c r="G38" s="1275" t="n"/>
      <c r="H38" s="1275" t="n"/>
      <c r="I38" s="1276" t="n"/>
      <c r="J38" s="1276" t="n"/>
    </row>
    <row r="39" ht="19.95" customHeight="1" s="1097">
      <c r="B39" s="289" t="inlineStr">
        <is>
          <t>本期末累积未确认的损失份额</t>
        </is>
      </c>
      <c r="C39" s="1278">
        <f>C37+C38</f>
        <v/>
      </c>
      <c r="D39" s="1278">
        <f>D37+D38</f>
        <v/>
      </c>
      <c r="E39" s="1278">
        <f>E37+E38</f>
        <v/>
      </c>
      <c r="F39" s="1278">
        <f>F37+F38</f>
        <v/>
      </c>
      <c r="G39" s="1278">
        <f>G37+G38</f>
        <v/>
      </c>
      <c r="H39" s="1278">
        <f>H37+H38</f>
        <v/>
      </c>
      <c r="I39" s="1278">
        <f>I37+I38</f>
        <v/>
      </c>
      <c r="J39" s="1278">
        <f>J37+J38</f>
        <v/>
      </c>
    </row>
    <row r="40" ht="19.95" customHeight="1" s="1097">
      <c r="A40" s="23" t="inlineStr">
        <is>
          <t>1.2其他合营企业</t>
        </is>
      </c>
      <c r="C40" s="2" t="n"/>
      <c r="D40" s="2" t="n"/>
      <c r="E40" s="2" t="n"/>
      <c r="F40" s="2" t="n"/>
      <c r="G40" s="2" t="n"/>
      <c r="H40" s="2" t="n"/>
      <c r="I40" s="2" t="n"/>
    </row>
    <row r="41" ht="25.8" customFormat="1" customHeight="1" s="2">
      <c r="B41" s="302" t="inlineStr">
        <is>
          <t>项  目</t>
        </is>
      </c>
      <c r="C41" s="302" t="inlineStr">
        <is>
          <t>公司1</t>
        </is>
      </c>
      <c r="D41" s="302" t="inlineStr">
        <is>
          <t>公司2</t>
        </is>
      </c>
      <c r="E41" s="302" t="inlineStr">
        <is>
          <t>公司3</t>
        </is>
      </c>
      <c r="F41" s="302" t="inlineStr">
        <is>
          <t>公司4</t>
        </is>
      </c>
      <c r="G41" s="404" t="inlineStr">
        <is>
          <t>期末数/本期发生数</t>
        </is>
      </c>
      <c r="H41" s="404" t="inlineStr">
        <is>
          <t>上期数/上期发生数</t>
        </is>
      </c>
      <c r="I41" s="289" t="n"/>
      <c r="J41" s="405" t="n"/>
    </row>
    <row r="42" ht="19.95" customFormat="1" customHeight="1" s="2">
      <c r="B42" s="303" t="inlineStr">
        <is>
          <t>投资账面价值合计</t>
        </is>
      </c>
      <c r="C42" s="289" t="n"/>
      <c r="D42" s="289" t="n"/>
      <c r="E42" s="289" t="n"/>
      <c r="F42" s="289" t="n"/>
      <c r="G42" s="1279">
        <f>SUM(C42:F42)</f>
        <v/>
      </c>
      <c r="H42" s="1280" t="n"/>
      <c r="I42" s="289" t="n"/>
      <c r="J42" s="289" t="n"/>
    </row>
    <row r="43" ht="19.95" customFormat="1" customHeight="1" s="2">
      <c r="B43" s="303" t="inlineStr">
        <is>
          <t xml:space="preserve">下列各项按持股比例计算的合计数 </t>
        </is>
      </c>
      <c r="C43" s="289" t="n"/>
      <c r="D43" s="289" t="n"/>
      <c r="E43" s="289" t="n"/>
      <c r="F43" s="289" t="n"/>
      <c r="G43" s="1279">
        <f>SUM(C43:F43)</f>
        <v/>
      </c>
      <c r="H43" s="1280" t="n"/>
      <c r="I43" s="289" t="n"/>
      <c r="J43" s="289" t="n"/>
    </row>
    <row r="44" ht="19.95" customFormat="1" customHeight="1" s="2">
      <c r="B44" s="303" t="inlineStr">
        <is>
          <t>净利润</t>
        </is>
      </c>
      <c r="C44" s="289" t="n"/>
      <c r="D44" s="289" t="n"/>
      <c r="E44" s="289" t="n"/>
      <c r="F44" s="289" t="n"/>
      <c r="G44" s="1279">
        <f>SUM(C44:F44)</f>
        <v/>
      </c>
      <c r="H44" s="1280" t="n"/>
      <c r="I44" s="289" t="n"/>
      <c r="J44" s="289" t="n"/>
    </row>
    <row r="45" ht="19.95" customFormat="1" customHeight="1" s="2">
      <c r="B45" s="303" t="inlineStr">
        <is>
          <t>其他综合收益</t>
        </is>
      </c>
      <c r="C45" s="289" t="n"/>
      <c r="D45" s="289" t="n"/>
      <c r="E45" s="289" t="n"/>
      <c r="F45" s="289" t="n"/>
      <c r="G45" s="1279">
        <f>SUM(C45:F45)</f>
        <v/>
      </c>
      <c r="H45" s="1280" t="n"/>
      <c r="I45" s="289" t="n"/>
      <c r="J45" s="289" t="n"/>
    </row>
    <row r="46" ht="19.95" customFormat="1" customHeight="1" s="2">
      <c r="B46" s="303" t="inlineStr">
        <is>
          <t>综合收益总额</t>
        </is>
      </c>
      <c r="C46" s="289" t="n"/>
      <c r="D46" s="289" t="n"/>
      <c r="E46" s="289" t="n"/>
      <c r="F46" s="289" t="n"/>
      <c r="G46" s="1279">
        <f>SUM(C46:F46)</f>
        <v/>
      </c>
      <c r="H46" s="1280" t="n"/>
      <c r="I46" s="289" t="n"/>
      <c r="J46" s="289" t="n"/>
    </row>
    <row r="47" ht="19.95" customFormat="1" customHeight="1" s="2">
      <c r="A47" s="23" t="inlineStr">
        <is>
          <t>1.3其他联营企业</t>
        </is>
      </c>
      <c r="G47" s="36" t="n"/>
      <c r="H47" s="36" t="n"/>
      <c r="I47" s="36" t="n"/>
      <c r="J47" s="36" t="n"/>
    </row>
    <row r="48" ht="25.8" customFormat="1" customHeight="1" s="2">
      <c r="B48" s="302" t="inlineStr">
        <is>
          <t>项  目</t>
        </is>
      </c>
      <c r="C48" s="302" t="inlineStr">
        <is>
          <t>公司1</t>
        </is>
      </c>
      <c r="D48" s="302" t="inlineStr">
        <is>
          <t>公司2</t>
        </is>
      </c>
      <c r="E48" s="302" t="inlineStr">
        <is>
          <t>公司3</t>
        </is>
      </c>
      <c r="F48" s="302" t="inlineStr">
        <is>
          <t>公司4</t>
        </is>
      </c>
      <c r="G48" s="404" t="inlineStr">
        <is>
          <t>期末数/本期发生数</t>
        </is>
      </c>
      <c r="H48" s="404" t="inlineStr">
        <is>
          <t>上期数/上期发生数</t>
        </is>
      </c>
      <c r="I48" s="289" t="n"/>
      <c r="J48" s="405" t="n"/>
    </row>
    <row r="49" ht="19.95" customFormat="1" customHeight="1" s="2">
      <c r="B49" s="640" t="inlineStr">
        <is>
          <t>投资账面价值合计</t>
        </is>
      </c>
      <c r="C49" s="289" t="n"/>
      <c r="D49" s="289" t="n"/>
      <c r="E49" s="289" t="n"/>
      <c r="F49" s="289" t="n"/>
      <c r="G49" s="1279">
        <f>SUM(C49:F49)</f>
        <v/>
      </c>
      <c r="H49" s="1280" t="n"/>
      <c r="I49" s="289" t="n"/>
      <c r="J49" s="289" t="n"/>
    </row>
    <row r="50" ht="19.95" customFormat="1" customHeight="1" s="2">
      <c r="B50" s="303" t="inlineStr">
        <is>
          <t xml:space="preserve">下列各项按持股比例计算的合计数 </t>
        </is>
      </c>
      <c r="C50" s="289" t="n"/>
      <c r="D50" s="289" t="n"/>
      <c r="E50" s="289" t="n"/>
      <c r="F50" s="289" t="n"/>
      <c r="G50" s="1279">
        <f>SUM(C50:F50)</f>
        <v/>
      </c>
      <c r="H50" s="1280" t="n"/>
      <c r="I50" s="289" t="n"/>
      <c r="J50" s="289" t="n"/>
    </row>
    <row r="51" ht="19.95" customFormat="1" customHeight="1" s="2">
      <c r="B51" s="303" t="inlineStr">
        <is>
          <t>净利润</t>
        </is>
      </c>
      <c r="C51" s="289" t="n"/>
      <c r="D51" s="289" t="n"/>
      <c r="E51" s="289" t="n"/>
      <c r="F51" s="289" t="n"/>
      <c r="G51" s="1279">
        <f>SUM(C51:F51)</f>
        <v/>
      </c>
      <c r="H51" s="1280" t="n"/>
      <c r="I51" s="289" t="n"/>
      <c r="J51" s="289" t="n"/>
    </row>
    <row r="52" ht="19.95" customFormat="1" customHeight="1" s="2">
      <c r="B52" s="303" t="inlineStr">
        <is>
          <t>其他综合收益</t>
        </is>
      </c>
      <c r="C52" s="289" t="n"/>
      <c r="D52" s="289" t="n"/>
      <c r="E52" s="289" t="n"/>
      <c r="F52" s="289" t="n"/>
      <c r="G52" s="1279">
        <f>SUM(C52:F52)</f>
        <v/>
      </c>
      <c r="H52" s="1280" t="n"/>
      <c r="I52" s="289" t="n"/>
      <c r="J52" s="289" t="n"/>
    </row>
    <row r="53" ht="19.95" customFormat="1" customHeight="1" s="2">
      <c r="B53" s="303" t="inlineStr">
        <is>
          <t>综合收益总额</t>
        </is>
      </c>
      <c r="C53" s="289" t="n"/>
      <c r="D53" s="289" t="n"/>
      <c r="E53" s="289" t="n"/>
      <c r="F53" s="289" t="n"/>
      <c r="G53" s="1279">
        <f>SUM(C53:F53)</f>
        <v/>
      </c>
      <c r="H53" s="1280" t="n"/>
      <c r="I53" s="289" t="n"/>
      <c r="J53" s="289" t="n"/>
    </row>
    <row r="54" ht="19.95" customFormat="1" customHeight="1" s="2">
      <c r="A54" s="23" t="inlineStr">
        <is>
          <t>三、审计说明：</t>
        </is>
      </c>
      <c r="B54" s="23" t="n"/>
    </row>
    <row r="55" ht="19.95" customHeight="1" s="1097">
      <c r="A55" s="2" t="n"/>
      <c r="B55" s="35" t="n"/>
    </row>
    <row r="56" ht="19.95" customHeight="1" s="1097">
      <c r="A56" s="23" t="inlineStr">
        <is>
          <t>四、审计结论：</t>
        </is>
      </c>
      <c r="B56" s="35" t="n"/>
    </row>
    <row r="57" ht="19.95" customHeight="1" s="1097"/>
  </sheetData>
  <mergeCells count="7">
    <mergeCell ref="B8:B9"/>
    <mergeCell ref="B1:J1"/>
    <mergeCell ref="I8:J8"/>
    <mergeCell ref="G8:H8"/>
    <mergeCell ref="E8:F8"/>
    <mergeCell ref="C8:D8"/>
    <mergeCell ref="B2:J2"/>
  </mergeCells>
  <hyperlinks>
    <hyperlink ref="J3" location="底稿目录!F11" display="底稿目录!F11"/>
  </hyperlinks>
  <pageMargins left="0.7086614173228347" right="0.7086614173228347" top="0.7480314960629921" bottom="0.7480314960629921" header="0.3149606299212598" footer="0.3149606299212598"/>
  <pageSetup orientation="portrait" paperSize="9" scale="70" fitToHeight="0" blackAndWhite="1"/>
  <headerFooter>
    <oddHeader/>
    <oddFooter>&amp;C&amp;P/&amp;N</oddFooter>
    <evenHeader/>
    <evenFooter/>
    <firstHeader/>
    <firstFooter/>
  </headerFooter>
  <rowBreaks count="1" manualBreakCount="1">
    <brk id="27" min="0" max="13" man="1"/>
  </rowBreaks>
</worksheet>
</file>

<file path=xl/worksheets/sheet10.xml><?xml version="1.0" encoding="utf-8"?>
<worksheet xmlns="http://schemas.openxmlformats.org/spreadsheetml/2006/main">
  <sheetPr codeName="Sheet9">
    <outlinePr summaryBelow="1" summaryRight="1"/>
    <pageSetUpPr fitToPage="1"/>
  </sheetPr>
  <dimension ref="A1:G30"/>
  <sheetViews>
    <sheetView view="pageBreakPreview" zoomScaleSheetLayoutView="100" workbookViewId="0">
      <selection activeCell="A1" sqref="A1:F1"/>
    </sheetView>
  </sheetViews>
  <sheetFormatPr baseColWidth="8" defaultColWidth="9" defaultRowHeight="13.8" outlineLevelCol="0"/>
  <cols>
    <col width="3" customWidth="1" style="304" min="1" max="1"/>
    <col width="16" customWidth="1" style="304" min="2" max="2"/>
    <col width="15.3984375" customWidth="1" style="304" min="3" max="3"/>
    <col width="15" customWidth="1" style="304" min="4" max="4"/>
    <col width="28.69921875" customWidth="1" style="304" min="5" max="5"/>
    <col width="20.09765625" customWidth="1" style="304" min="6" max="6"/>
    <col width="5.19921875" customWidth="1" style="304" min="7" max="7"/>
    <col width="9" customWidth="1" style="304" min="8" max="16384"/>
  </cols>
  <sheetData>
    <row r="1" ht="19.95" customFormat="1" customHeight="1" s="625">
      <c r="A1" s="942" t="inlineStr">
        <is>
          <t>致同会计师事务所</t>
        </is>
      </c>
      <c r="G1" s="942" t="n"/>
    </row>
    <row r="2" ht="19.95" customFormat="1" customHeight="1" s="636">
      <c r="A2" s="943" t="inlineStr">
        <is>
          <t>被投资单位会计政策</t>
        </is>
      </c>
      <c r="G2" s="943" t="n"/>
    </row>
    <row r="3" ht="19.95" customFormat="1" customHeight="1" s="207">
      <c r="A3" s="207">
        <f>底稿目录!A2</f>
        <v/>
      </c>
      <c r="C3" s="207">
        <f>底稿目录!A4</f>
        <v/>
      </c>
      <c r="D3" s="207">
        <f>底稿目录!A5</f>
        <v/>
      </c>
      <c r="E3" s="672" t="inlineStr">
        <is>
          <t>索引号：</t>
        </is>
      </c>
      <c r="F3" s="1096">
        <f>底稿目录!F12</f>
        <v/>
      </c>
    </row>
    <row r="4" ht="19.95" customFormat="1" customHeight="1" s="207">
      <c r="A4" s="207">
        <f>底稿目录!A3</f>
        <v/>
      </c>
      <c r="C4" s="207">
        <f>底稿目录!A6</f>
        <v/>
      </c>
      <c r="D4" s="207">
        <f>底稿目录!A7</f>
        <v/>
      </c>
      <c r="E4" s="672" t="inlineStr">
        <is>
          <t>页 次：</t>
        </is>
      </c>
    </row>
    <row r="5" ht="19.95" customHeight="1" s="1097">
      <c r="A5" s="37" t="inlineStr">
        <is>
          <t>一、审计目标：</t>
        </is>
      </c>
      <c r="B5" s="128" t="n"/>
      <c r="C5" s="304" t="inlineStr">
        <is>
          <t>被投资公司会计政策与母公司主要会计政策比较，对主要会计政策差异在合并时进行调整</t>
        </is>
      </c>
      <c r="D5" s="129" t="n"/>
      <c r="E5" s="129" t="n"/>
      <c r="F5" s="129" t="n"/>
    </row>
    <row r="6" ht="19.95" customHeight="1" s="1097">
      <c r="A6" s="37" t="inlineStr">
        <is>
          <t>二、审计过程</t>
        </is>
      </c>
      <c r="C6" s="126" t="inlineStr">
        <is>
          <t>1、取得被投资单位会计政策，与被审计单位会计政策进行比对；</t>
        </is>
      </c>
      <c r="G6" s="131" t="n"/>
    </row>
    <row r="7" ht="19.95" customHeight="1" s="1097">
      <c r="A7" s="125" t="n"/>
      <c r="C7" s="126" t="inlineStr">
        <is>
          <t>2、确定被投资单位是否需要为符合投资单位的会计政策而作出的任何必要的会计政策调整。</t>
        </is>
      </c>
      <c r="G7" s="131" t="n"/>
    </row>
    <row r="8" ht="19.95" customHeight="1" s="1097">
      <c r="B8" s="531" t="inlineStr">
        <is>
          <t>政策项目</t>
        </is>
      </c>
      <c r="C8" s="531" t="inlineStr">
        <is>
          <t>AAA公司</t>
        </is>
      </c>
      <c r="D8" s="531" t="n"/>
      <c r="E8" s="531" t="n"/>
      <c r="F8" s="133" t="inlineStr">
        <is>
          <t>与本公司政策是否一致</t>
        </is>
      </c>
      <c r="G8" s="131" t="n"/>
    </row>
    <row r="9" ht="19.95" customHeight="1" s="1097">
      <c r="A9" s="304" t="n"/>
      <c r="B9" s="305" t="inlineStr">
        <is>
          <t>会计年度</t>
        </is>
      </c>
      <c r="C9" s="530" t="inlineStr">
        <is>
          <t>1月1日-12月31日</t>
        </is>
      </c>
      <c r="D9" s="530" t="n"/>
      <c r="E9" s="530" t="n"/>
      <c r="F9" s="134" t="inlineStr">
        <is>
          <t>是</t>
        </is>
      </c>
    </row>
    <row r="10" ht="19.95" customHeight="1" s="1097">
      <c r="A10" s="304" t="n"/>
      <c r="B10" s="305" t="inlineStr">
        <is>
          <t>计量属性</t>
        </is>
      </c>
      <c r="C10" s="530" t="inlineStr">
        <is>
          <t>除公允价值套期工具外，按照历史价格计价</t>
        </is>
      </c>
      <c r="D10" s="530" t="n"/>
      <c r="E10" s="530" t="n"/>
      <c r="F10" s="134" t="inlineStr">
        <is>
          <t>是</t>
        </is>
      </c>
    </row>
    <row r="11" ht="19.95" customHeight="1" s="1097">
      <c r="A11" s="304" t="n"/>
      <c r="B11" s="305" t="inlineStr">
        <is>
          <t>记账本位币</t>
        </is>
      </c>
      <c r="C11" s="530" t="inlineStr">
        <is>
          <t>人民币</t>
        </is>
      </c>
      <c r="D11" s="530" t="n"/>
      <c r="E11" s="530" t="n"/>
      <c r="F11" s="134" t="inlineStr">
        <is>
          <t>是</t>
        </is>
      </c>
    </row>
    <row r="12" ht="19.95" customHeight="1" s="1097">
      <c r="A12" s="304" t="n"/>
      <c r="B12" s="305" t="inlineStr">
        <is>
          <t>外币折算</t>
        </is>
      </c>
      <c r="C12" s="530" t="inlineStr">
        <is>
          <t>交易发生日即期汇率折算</t>
        </is>
      </c>
      <c r="D12" s="530" t="n"/>
      <c r="E12" s="530" t="n"/>
      <c r="F12" s="134" t="inlineStr">
        <is>
          <t>是</t>
        </is>
      </c>
    </row>
    <row r="13" ht="19.95" customHeight="1" s="1097">
      <c r="A13" s="304" t="n"/>
      <c r="B13" s="305" t="inlineStr">
        <is>
          <t>现金及现金等价物</t>
        </is>
      </c>
      <c r="C13" s="530" t="inlineStr">
        <is>
          <t>随时可用于支付的流动性强、价值变动很小的投资</t>
        </is>
      </c>
      <c r="D13" s="530" t="n"/>
      <c r="E13" s="530" t="n"/>
      <c r="F13" s="134" t="n"/>
    </row>
    <row r="14" ht="19.95" customHeight="1" s="1097">
      <c r="A14" s="304" t="n"/>
      <c r="B14" s="305" t="inlineStr">
        <is>
          <t>存货</t>
        </is>
      </c>
      <c r="C14" s="532" t="inlineStr">
        <is>
          <t>取得时实际成本入账、月末一次加权平均和移动加权平均法、成本与可变现净值孰低，永续盘存。</t>
        </is>
      </c>
      <c r="D14" s="532" t="n"/>
      <c r="E14" s="532" t="n"/>
      <c r="F14" s="134" t="inlineStr">
        <is>
          <t>是</t>
        </is>
      </c>
    </row>
    <row r="15" ht="19.95" customHeight="1" s="1097">
      <c r="A15" s="304" t="n"/>
      <c r="B15" s="305" t="inlineStr">
        <is>
          <t>长期股权投资</t>
        </is>
      </c>
      <c r="C15" s="530" t="n"/>
      <c r="D15" s="530" t="n"/>
      <c r="E15" s="530" t="n"/>
      <c r="F15" s="134" t="inlineStr">
        <is>
          <t>是</t>
        </is>
      </c>
    </row>
    <row r="16" ht="19.95" customHeight="1" s="1097">
      <c r="A16" s="304" t="n"/>
      <c r="B16" s="305" t="inlineStr">
        <is>
          <t>固定资产</t>
        </is>
      </c>
      <c r="C16" s="530" t="inlineStr">
        <is>
          <t>使用周期超过一个会计年度的有形资产。</t>
        </is>
      </c>
      <c r="D16" s="530" t="n"/>
      <c r="E16" s="530" t="n"/>
      <c r="F16" s="134" t="inlineStr">
        <is>
          <t>是</t>
        </is>
      </c>
    </row>
    <row r="17" ht="19.95" customHeight="1" s="1097">
      <c r="A17" s="304" t="n"/>
      <c r="B17" s="305" t="inlineStr">
        <is>
          <t>累计折旧</t>
        </is>
      </c>
      <c r="C17" s="530" t="inlineStr">
        <is>
          <t>平均年限法</t>
        </is>
      </c>
      <c r="D17" s="530" t="n"/>
      <c r="E17" s="530" t="n"/>
      <c r="F17" s="134" t="inlineStr">
        <is>
          <t>是</t>
        </is>
      </c>
    </row>
    <row r="18" ht="19.95" customHeight="1" s="1097">
      <c r="A18" s="304" t="n"/>
      <c r="B18" s="305" t="inlineStr">
        <is>
          <t>在建工程</t>
        </is>
      </c>
      <c r="C18" s="530" t="inlineStr">
        <is>
          <t>达到预定可使用状态时转入固定资产，在建工程不计提折旧</t>
        </is>
      </c>
      <c r="D18" s="530" t="n"/>
      <c r="E18" s="530" t="n"/>
      <c r="F18" s="134" t="inlineStr">
        <is>
          <t>是</t>
        </is>
      </c>
    </row>
    <row r="19" ht="19.95" customHeight="1" s="1097">
      <c r="A19" s="304" t="n"/>
      <c r="B19" s="305" t="inlineStr">
        <is>
          <t>无形资产</t>
        </is>
      </c>
      <c r="C19" s="532" t="inlineStr">
        <is>
          <t>以成本减累计折旧于报表列示，直线法在预计可使用期限内摊销，土地使用权摊销按照土地证上年限摊销，无使用期限不固定的无形资产。</t>
        </is>
      </c>
      <c r="D19" s="532" t="n"/>
      <c r="E19" s="532" t="n"/>
      <c r="F19" s="134" t="inlineStr">
        <is>
          <t>是</t>
        </is>
      </c>
    </row>
    <row r="20" ht="19.95" customHeight="1" s="1097">
      <c r="A20" s="304" t="n"/>
      <c r="B20" s="305" t="inlineStr">
        <is>
          <t>职工薪酬</t>
        </is>
      </c>
      <c r="C20" s="530" t="inlineStr">
        <is>
          <t>除辞退福利外，其他计入当期负债及成本费用</t>
        </is>
      </c>
      <c r="D20" s="530" t="n"/>
      <c r="E20" s="530" t="n"/>
      <c r="F20" s="134" t="inlineStr">
        <is>
          <t>是</t>
        </is>
      </c>
    </row>
    <row r="21" ht="19.95" customHeight="1" s="1097">
      <c r="A21" s="304" t="n"/>
      <c r="B21" s="533" t="inlineStr">
        <is>
          <t>收入</t>
        </is>
      </c>
      <c r="C21" s="530" t="inlineStr">
        <is>
          <t>权责发生制</t>
        </is>
      </c>
      <c r="D21" s="530" t="n"/>
      <c r="E21" s="530" t="n"/>
      <c r="F21" s="134" t="inlineStr">
        <is>
          <t>是</t>
        </is>
      </c>
    </row>
    <row r="22" ht="19.95" customHeight="1" s="1097">
      <c r="A22" s="304" t="n"/>
      <c r="B22" s="533" t="inlineStr">
        <is>
          <t>……</t>
        </is>
      </c>
      <c r="C22" s="530" t="n"/>
      <c r="D22" s="530" t="n"/>
      <c r="E22" s="530" t="n"/>
      <c r="F22" s="134" t="n"/>
    </row>
    <row r="23" ht="19.95" customHeight="1" s="1097">
      <c r="A23" s="132" t="inlineStr">
        <is>
          <t>三、审计说明</t>
        </is>
      </c>
    </row>
    <row r="24" ht="19.95" customHeight="1" s="1097">
      <c r="A24" s="135" t="n">
        <v>1</v>
      </c>
      <c r="B24" s="138" t="inlineStr">
        <is>
          <t>主要会计政策基本相同。</t>
        </is>
      </c>
      <c r="C24" s="141" t="n"/>
      <c r="D24" s="141" t="n"/>
      <c r="E24" s="141" t="n"/>
    </row>
    <row r="25" ht="19.95" customHeight="1" s="1097">
      <c r="A25" s="141" t="n"/>
      <c r="B25" s="138" t="inlineStr">
        <is>
          <t>AAA公司为07年11月成立，其成立时被审计单位即持股30%。其主要资产为自行购建，且主要为自用，公允价值与其账面价值一致。</t>
        </is>
      </c>
      <c r="C25" s="141" t="n"/>
      <c r="D25" s="141" t="n"/>
      <c r="E25" s="141" t="n"/>
    </row>
    <row r="26" ht="19.95" customHeight="1" s="1097">
      <c r="A26" s="135" t="n"/>
      <c r="B26" s="138" t="n"/>
      <c r="C26" s="141" t="n"/>
      <c r="D26" s="141" t="n"/>
      <c r="E26" s="141" t="n"/>
      <c r="F26" s="304" t="n"/>
    </row>
    <row r="27" ht="19.95" customHeight="1" s="1097">
      <c r="A27" s="141" t="n"/>
      <c r="B27" s="141" t="n"/>
      <c r="C27" s="141" t="n"/>
      <c r="D27" s="141" t="n"/>
      <c r="E27" s="141" t="n"/>
      <c r="F27" s="304" t="n"/>
    </row>
    <row r="28" ht="19.95" customHeight="1" s="1097">
      <c r="A28" s="141" t="n"/>
      <c r="B28" s="141" t="n"/>
      <c r="C28" s="141" t="n"/>
      <c r="D28" s="141" t="n"/>
      <c r="E28" s="141" t="n"/>
      <c r="F28" s="304" t="n"/>
    </row>
    <row r="29" ht="19.95" customHeight="1" s="1097">
      <c r="A29" s="132" t="inlineStr">
        <is>
          <t>四、审计结论</t>
        </is>
      </c>
    </row>
    <row r="30" ht="19.95" customHeight="1" s="1097">
      <c r="B30" s="142" t="inlineStr">
        <is>
          <t>经审计，未发现重大异常。</t>
        </is>
      </c>
    </row>
    <row r="31" ht="19.95" customHeight="1" s="1097"/>
  </sheetData>
  <mergeCells count="2">
    <mergeCell ref="A2:F2"/>
    <mergeCell ref="A1:F1"/>
  </mergeCells>
  <hyperlinks>
    <hyperlink ref="F3" location="底稿目录!F12" display="底稿目录!F12"/>
  </hyperlinks>
  <pageMargins left="0.7086614173228347" right="0.7086614173228347" top="0.7480314960629921" bottom="0.7480314960629921" header="0.3149606299212598" footer="0.3149606299212598"/>
  <pageSetup orientation="portrait" paperSize="9" scale="83" fitToHeight="0" blackAndWhite="1"/>
  <headerFooter>
    <oddHeader/>
    <oddFooter>&amp;C&amp;P/&amp;N</oddFooter>
    <evenHeader/>
    <evenFooter/>
    <firstHeader/>
    <firstFooter/>
  </headerFooter>
</worksheet>
</file>

<file path=xl/worksheets/sheet11.xml><?xml version="1.0" encoding="utf-8"?>
<worksheet xmlns="http://schemas.openxmlformats.org/spreadsheetml/2006/main">
  <sheetPr codeName="Sheet12">
    <outlinePr summaryBelow="1" summaryRight="1"/>
    <pageSetUpPr fitToPage="1"/>
  </sheetPr>
  <dimension ref="A1:I47"/>
  <sheetViews>
    <sheetView view="pageBreakPreview" zoomScaleSheetLayoutView="100" workbookViewId="0">
      <selection activeCell="A1" sqref="A1:I1"/>
    </sheetView>
  </sheetViews>
  <sheetFormatPr baseColWidth="8" defaultColWidth="9" defaultRowHeight="15.6" outlineLevelCol="0"/>
  <cols>
    <col width="6.69921875" customWidth="1" style="90" min="1" max="1"/>
    <col width="14.69921875" customWidth="1" style="90" min="2" max="2"/>
    <col width="23" customWidth="1" style="90" min="3" max="3"/>
    <col width="16.19921875" customWidth="1" style="90" min="4" max="4"/>
    <col width="12.19921875" customWidth="1" style="90" min="5" max="5"/>
    <col width="14.09765625" customWidth="1" style="90" min="6" max="6"/>
    <col width="12.09765625" customWidth="1" style="90" min="7" max="7"/>
    <col width="13.19921875" customWidth="1" style="90" min="8" max="8"/>
    <col width="9.59765625" customWidth="1" style="90" min="9" max="10"/>
    <col width="11.09765625" customWidth="1" style="90" min="11" max="11"/>
    <col width="9" customWidth="1" style="90" min="12" max="16384"/>
  </cols>
  <sheetData>
    <row r="1" ht="19.95" customFormat="1" customHeight="1" s="617">
      <c r="A1" s="942" t="inlineStr">
        <is>
          <t>致同会计师事务所</t>
        </is>
      </c>
    </row>
    <row r="2" ht="19.95" customFormat="1" customHeight="1" s="630">
      <c r="A2" s="943" t="inlineStr">
        <is>
          <t>长期股权投资初始判断</t>
        </is>
      </c>
    </row>
    <row r="3" ht="19.95" customFormat="1" customHeight="1" s="673">
      <c r="A3" s="673">
        <f>底稿目录!A2</f>
        <v/>
      </c>
      <c r="D3" s="673">
        <f>底稿目录!A4</f>
        <v/>
      </c>
      <c r="E3" s="681">
        <f>底稿目录!A5</f>
        <v/>
      </c>
      <c r="G3" s="673" t="inlineStr">
        <is>
          <t>索引号：</t>
        </is>
      </c>
      <c r="H3" s="1096">
        <f>底稿目录!F13</f>
        <v/>
      </c>
    </row>
    <row r="4" ht="19.95" customFormat="1" customHeight="1" s="673">
      <c r="A4" s="673">
        <f>底稿目录!A3</f>
        <v/>
      </c>
      <c r="D4" s="673">
        <f>底稿目录!A6</f>
        <v/>
      </c>
      <c r="E4" s="681">
        <f>底稿目录!A7</f>
        <v/>
      </c>
      <c r="G4" s="673" t="inlineStr">
        <is>
          <t>页 次：</t>
        </is>
      </c>
    </row>
    <row r="5" ht="19.95" customHeight="1" s="1097">
      <c r="A5" s="74" t="inlineStr">
        <is>
          <t>一、审计目标：</t>
        </is>
      </c>
      <c r="B5" s="123" t="n"/>
      <c r="C5" s="80" t="inlineStr">
        <is>
          <t>确定被审计单位对子公司长期股权投资初始计量是否恰当</t>
        </is>
      </c>
    </row>
    <row r="6" ht="19.95" customHeight="1" s="1097">
      <c r="A6" s="75" t="inlineStr">
        <is>
          <t>二、审计过程：</t>
        </is>
      </c>
      <c r="B6" s="124" t="n"/>
    </row>
    <row r="7" ht="19.95" customHeight="1" s="1097">
      <c r="A7" s="54" t="inlineStr">
        <is>
          <t>1、是否控制的判断及结论</t>
        </is>
      </c>
      <c r="B7" s="574" t="n"/>
      <c r="C7" s="575" t="n"/>
      <c r="D7" s="576" t="n"/>
      <c r="E7" s="576" t="n"/>
      <c r="F7" s="576" t="n"/>
      <c r="G7" s="576" t="n"/>
      <c r="H7" s="577" t="n"/>
    </row>
    <row r="8" ht="19.95" customHeight="1" s="1097">
      <c r="A8" s="951" t="inlineStr">
        <is>
          <t>判断的事项</t>
        </is>
      </c>
      <c r="B8" s="1281" t="n"/>
      <c r="C8" s="1269" t="n"/>
      <c r="D8" s="1282" t="inlineStr">
        <is>
          <t>公司1</t>
        </is>
      </c>
      <c r="E8" s="1270" t="n"/>
      <c r="F8" s="1283" t="inlineStr">
        <is>
          <t>公司2</t>
        </is>
      </c>
      <c r="G8" s="1270" t="n"/>
    </row>
    <row r="9" ht="19.95" customHeight="1" s="1097">
      <c r="A9" s="1271" t="n"/>
      <c r="B9" s="1284" t="n"/>
      <c r="C9" s="1272" t="n"/>
      <c r="D9" s="951" t="inlineStr">
        <is>
          <t>对应情形</t>
        </is>
      </c>
      <c r="E9" s="951" t="inlineStr">
        <is>
          <t>结论</t>
        </is>
      </c>
      <c r="F9" s="951" t="inlineStr">
        <is>
          <t>对应情形</t>
        </is>
      </c>
      <c r="G9" s="951" t="inlineStr">
        <is>
          <t>结论</t>
        </is>
      </c>
    </row>
    <row r="10" ht="19.95" customHeight="1" s="1097">
      <c r="A10" s="1002" t="inlineStr">
        <is>
          <t>被投资者的目标及设计</t>
        </is>
      </c>
      <c r="B10" s="1285" t="n"/>
      <c r="C10" s="1270" t="n"/>
      <c r="D10" s="17" t="n"/>
      <c r="E10" s="17" t="n"/>
      <c r="F10" s="17" t="n"/>
      <c r="G10" s="17" t="n"/>
    </row>
    <row r="11" ht="19.95" customHeight="1" s="1097">
      <c r="A11" s="1002" t="inlineStr">
        <is>
          <t>是否控制</t>
        </is>
      </c>
      <c r="B11" s="1285" t="n"/>
      <c r="C11" s="1270" t="n"/>
      <c r="D11" s="17" t="n"/>
      <c r="E11" s="17" t="n"/>
      <c r="F11" s="17" t="n"/>
      <c r="G11" s="17" t="n"/>
    </row>
    <row r="12" ht="19.95" customHeight="1" s="1097">
      <c r="A12" s="1002" t="inlineStr">
        <is>
          <t>（1）权力</t>
        </is>
      </c>
      <c r="B12" s="1285" t="n"/>
      <c r="C12" s="1270" t="n"/>
      <c r="D12" s="17" t="n"/>
      <c r="E12" s="17" t="n"/>
      <c r="F12" s="17" t="n"/>
      <c r="G12" s="17" t="n"/>
    </row>
    <row r="13" ht="19.95" customHeight="1" s="1097">
      <c r="A13" s="1002" t="inlineStr">
        <is>
          <t>（2）面临可变回报的风险</t>
        </is>
      </c>
      <c r="B13" s="1285" t="n"/>
      <c r="C13" s="1270" t="n"/>
      <c r="D13" s="17" t="n"/>
      <c r="E13" s="17" t="n"/>
      <c r="F13" s="17" t="n"/>
      <c r="G13" s="17" t="n"/>
    </row>
    <row r="14" ht="19.95" customHeight="1" s="1097">
      <c r="A14" s="1002" t="inlineStr">
        <is>
          <t>（3）使用权力影响可变回报的能力</t>
        </is>
      </c>
      <c r="B14" s="1285" t="n"/>
      <c r="C14" s="1270" t="n"/>
      <c r="D14" s="17" t="n"/>
      <c r="E14" s="17" t="n"/>
      <c r="F14" s="17" t="n"/>
      <c r="G14" s="17" t="n"/>
    </row>
    <row r="15" ht="19.95" customHeight="1" s="1097">
      <c r="A15" s="1286" t="inlineStr">
        <is>
          <t>结 论</t>
        </is>
      </c>
      <c r="B15" s="1285" t="n"/>
      <c r="C15" s="1270" t="n"/>
      <c r="D15" s="1002" t="n"/>
      <c r="E15" s="1270" t="n"/>
      <c r="F15" s="1002" t="n"/>
      <c r="G15" s="1270" t="n"/>
    </row>
    <row r="16" ht="19.95" customFormat="1" customHeight="1" s="686">
      <c r="A16" s="154" t="inlineStr">
        <is>
          <t>2、联营企业与合营企业的判断</t>
        </is>
      </c>
    </row>
    <row r="17" ht="19.95" customFormat="1" customHeight="1" s="154">
      <c r="A17" s="579" t="inlineStr">
        <is>
          <t>合营判断（共同控制）：</t>
        </is>
      </c>
      <c r="B17" s="579" t="n"/>
      <c r="C17" s="579" t="n"/>
      <c r="D17" s="580" t="inlineStr">
        <is>
          <t>说明</t>
        </is>
      </c>
      <c r="E17" s="579" t="inlineStr">
        <is>
          <t>联营判断（重大影响）：</t>
        </is>
      </c>
      <c r="F17" s="579" t="n"/>
      <c r="G17" s="579" t="n"/>
      <c r="H17" s="580" t="inlineStr">
        <is>
          <t>说明</t>
        </is>
      </c>
      <c r="I17" s="1022" t="inlineStr">
        <is>
          <t>审计证据</t>
        </is>
      </c>
    </row>
    <row r="18" ht="19.95" customFormat="1" customHeight="1" s="686">
      <c r="A18" s="555" t="inlineStr">
        <is>
          <t>（l）任何一个合营方均不能单独控制合营企业的相关活动</t>
        </is>
      </c>
      <c r="B18" s="555" t="n"/>
      <c r="C18" s="555" t="n"/>
      <c r="D18" s="555" t="n"/>
      <c r="E18" s="555" t="inlineStr">
        <is>
          <t>（1）在被投资单位的董事会或类似权力机构中派有代表</t>
        </is>
      </c>
      <c r="F18" s="555" t="n"/>
      <c r="G18" s="555" t="n"/>
      <c r="H18" s="555" t="n"/>
      <c r="I18" s="155" t="n"/>
    </row>
    <row r="19" ht="19.95" customFormat="1" customHeight="1" s="686">
      <c r="A19" s="555" t="inlineStr">
        <is>
          <t>（2）涉及合营企业的相关活动的决策需要各合营方一致同意</t>
        </is>
      </c>
      <c r="B19" s="555" t="n"/>
      <c r="C19" s="555" t="n"/>
      <c r="D19" s="555" t="n"/>
      <c r="E19" s="555" t="inlineStr">
        <is>
          <t>（2）参与被投资单位的政策制定过程,包括股利分配政策等的制定</t>
        </is>
      </c>
      <c r="F19" s="555" t="n"/>
      <c r="G19" s="555" t="n"/>
      <c r="H19" s="555" t="n"/>
      <c r="I19" s="155" t="n"/>
    </row>
    <row r="20" ht="19.95" customFormat="1" customHeight="1" s="686">
      <c r="A20" s="985" t="inlineStr">
        <is>
          <t>（3）各合营方可能通过合同或协议的形式任命其中的一个合营方对合营企业的日常活动进行管理,但其必须在各合营方已经一致同意的相关活动范围内行使管理权。</t>
        </is>
      </c>
      <c r="B20" s="1287" t="n"/>
      <c r="C20" s="1288" t="n"/>
      <c r="D20" s="555" t="n"/>
      <c r="E20" s="555" t="inlineStr">
        <is>
          <t>（3）与被投资单位之间发生重要交易</t>
        </is>
      </c>
      <c r="F20" s="555" t="n"/>
      <c r="G20" s="555" t="n"/>
      <c r="H20" s="555" t="n"/>
      <c r="I20" s="984" t="n"/>
    </row>
    <row r="21" ht="19.95" customFormat="1" customHeight="1" s="686">
      <c r="A21" s="1289" t="n"/>
      <c r="B21" s="1290" t="n"/>
      <c r="C21" s="1291" t="n"/>
      <c r="D21" s="555" t="n"/>
      <c r="E21" s="555" t="inlineStr">
        <is>
          <t>（4）向被投资单位派出管理人员</t>
        </is>
      </c>
      <c r="F21" s="555" t="n"/>
      <c r="G21" s="555" t="n"/>
      <c r="H21" s="555" t="n"/>
      <c r="I21" s="1292" t="n"/>
    </row>
    <row r="22" ht="19.95" customFormat="1" customHeight="1" s="686">
      <c r="A22" s="555" t="inlineStr">
        <is>
          <t>（4）其他</t>
        </is>
      </c>
      <c r="B22" s="555" t="n"/>
      <c r="C22" s="555" t="n"/>
      <c r="D22" s="555" t="n"/>
      <c r="E22" s="555" t="inlineStr">
        <is>
          <t>（5）向被投资单位提供关键技术资料</t>
        </is>
      </c>
      <c r="F22" s="555" t="n"/>
      <c r="G22" s="555" t="n"/>
      <c r="H22" s="555" t="n"/>
      <c r="I22" s="155" t="n"/>
    </row>
    <row r="23" ht="19.95" customFormat="1" customHeight="1" s="686">
      <c r="A23" s="555" t="n"/>
      <c r="B23" s="555" t="n"/>
      <c r="C23" s="555" t="n"/>
      <c r="D23" s="555" t="n"/>
      <c r="E23" s="555" t="inlineStr">
        <is>
          <t>（6）其他</t>
        </is>
      </c>
      <c r="F23" s="555" t="n"/>
      <c r="G23" s="555" t="n"/>
      <c r="H23" s="555" t="n"/>
      <c r="I23" s="155" t="n"/>
    </row>
    <row r="24" ht="19.95" customHeight="1" s="1097">
      <c r="A24" s="54" t="inlineStr">
        <is>
          <t xml:space="preserve">3、确认合并（购买）日： </t>
        </is>
      </c>
      <c r="B24" s="56" t="n"/>
      <c r="C24" s="575" t="n"/>
      <c r="D24" s="578" t="n"/>
      <c r="E24" s="578" t="n"/>
      <c r="F24" s="578" t="n"/>
      <c r="G24" s="578" t="n"/>
    </row>
    <row r="25" ht="19.95" customHeight="1" s="1097">
      <c r="A25" s="997" t="inlineStr">
        <is>
          <t>确认依据：</t>
        </is>
      </c>
      <c r="B25" s="1293" t="n"/>
      <c r="C25" s="1294" t="n"/>
      <c r="D25" s="998" t="inlineStr">
        <is>
          <t>公司1</t>
        </is>
      </c>
      <c r="E25" s="998" t="inlineStr">
        <is>
          <t>公司2</t>
        </is>
      </c>
      <c r="F25" s="998" t="inlineStr">
        <is>
          <t>公司3</t>
        </is>
      </c>
      <c r="G25" s="998" t="n"/>
    </row>
    <row r="26" ht="28.8" customHeight="1" s="1097">
      <c r="A26" s="977" t="inlineStr">
        <is>
          <t>（1）企业合并合同或协议已获股东大会等内部权力机构通过。</t>
        </is>
      </c>
      <c r="B26" s="1293" t="n"/>
      <c r="C26" s="1294" t="n"/>
      <c r="D26" s="61" t="n"/>
      <c r="E26" s="61" t="n"/>
      <c r="F26" s="61" t="n"/>
      <c r="G26" s="61" t="n"/>
    </row>
    <row r="27" ht="26.4" customHeight="1" s="1097">
      <c r="A27" s="977" t="inlineStr">
        <is>
          <t>（2）合并事项需要经过国家有关主管部门审批的，已获得相关部门的批准</t>
        </is>
      </c>
      <c r="B27" s="1293" t="n"/>
      <c r="C27" s="1294" t="n"/>
      <c r="D27" s="61" t="n"/>
      <c r="E27" s="61" t="n"/>
      <c r="F27" s="61" t="n"/>
      <c r="G27" s="61" t="n"/>
    </row>
    <row r="28" ht="19.95" customHeight="1" s="1097">
      <c r="A28" s="977" t="inlineStr">
        <is>
          <t>（3）参与合并各方已办理了必要的财产权交接手续。</t>
        </is>
      </c>
      <c r="B28" s="1293" t="n"/>
      <c r="C28" s="1294" t="n"/>
      <c r="D28" s="61" t="n"/>
      <c r="E28" s="61" t="n"/>
      <c r="F28" s="61" t="n"/>
      <c r="G28" s="61" t="n"/>
    </row>
    <row r="29" ht="28.2" customHeight="1" s="1097">
      <c r="A29" s="977" t="inlineStr">
        <is>
          <t>（4）购买方已支付了购买价款的大部分（一般应超过50％），并且有能力、有计划支付剩余款项。</t>
        </is>
      </c>
      <c r="B29" s="1293" t="n"/>
      <c r="C29" s="1294" t="n"/>
      <c r="D29" s="61" t="n"/>
      <c r="E29" s="61" t="n"/>
      <c r="F29" s="61" t="n"/>
      <c r="G29" s="61" t="n"/>
    </row>
    <row r="30" ht="30.6" customHeight="1" s="1097">
      <c r="A30" s="977" t="inlineStr">
        <is>
          <t>（5）购买方实际上已经控制了被购买方的财务和经营政策，享有相应的收益并承担相应的风险。</t>
        </is>
      </c>
      <c r="B30" s="1293" t="n"/>
      <c r="C30" s="1294" t="n"/>
      <c r="D30" s="63" t="n"/>
      <c r="E30" s="63" t="n"/>
      <c r="F30" s="63" t="n"/>
      <c r="G30" s="63" t="n"/>
    </row>
    <row r="31" ht="19.95" customHeight="1" s="1097">
      <c r="A31" s="976" t="inlineStr">
        <is>
          <t>最终确定的合并（购买）日</t>
        </is>
      </c>
      <c r="B31" s="1293" t="n"/>
      <c r="C31" s="1294" t="n"/>
      <c r="D31" s="71" t="inlineStr">
        <is>
          <t xml:space="preserve">  年    月    日</t>
        </is>
      </c>
      <c r="E31" s="71" t="inlineStr">
        <is>
          <t xml:space="preserve">  年    月    日</t>
        </is>
      </c>
      <c r="F31" s="71" t="inlineStr">
        <is>
          <t xml:space="preserve">  年    月    日</t>
        </is>
      </c>
      <c r="G31" s="71" t="n"/>
    </row>
    <row r="32" ht="19.95" customHeight="1" s="1097">
      <c r="A32" s="977" t="inlineStr">
        <is>
          <t>审计证据索引号</t>
        </is>
      </c>
      <c r="B32" s="1293" t="n"/>
      <c r="C32" s="1294" t="n"/>
      <c r="D32" s="71" t="n"/>
      <c r="E32" s="71" t="n"/>
      <c r="F32" s="71" t="n"/>
      <c r="G32" s="71" t="n"/>
    </row>
    <row r="33" ht="19.95" customHeight="1" s="1097">
      <c r="A33" s="418" t="inlineStr">
        <is>
          <t>三、审计说明</t>
        </is>
      </c>
    </row>
    <row r="34" ht="19.95" customHeight="1" s="1097"/>
    <row r="35" ht="19.95" customHeight="1" s="1097"/>
    <row r="36" ht="19.95" customHeight="1" s="1097"/>
    <row r="37" ht="19.95" customHeight="1" s="1097">
      <c r="A37" s="418" t="inlineStr">
        <is>
          <t>四、审计结论</t>
        </is>
      </c>
    </row>
    <row r="38" ht="19.95" customHeight="1" s="1097"/>
    <row r="39" ht="19.95" customHeight="1" s="1097"/>
    <row r="40" ht="20.1" customHeight="1" s="1097">
      <c r="A40" s="438" t="inlineStr">
        <is>
          <t>提示：</t>
        </is>
      </c>
      <c r="B40" s="438" t="n"/>
      <c r="C40" s="438" t="n"/>
      <c r="D40" s="438" t="n"/>
      <c r="E40" s="438" t="n"/>
      <c r="F40" s="438" t="n"/>
      <c r="G40" s="59" t="n"/>
    </row>
    <row r="41" ht="20.1" customHeight="1" s="1097">
      <c r="A41" s="534" t="inlineStr">
        <is>
          <t>3、合并方式取得的长期股权投资初始投资成本：</t>
        </is>
      </c>
      <c r="B41" s="535" t="n"/>
      <c r="C41" s="535" t="n"/>
      <c r="D41" s="535" t="n"/>
      <c r="E41" s="535" t="n"/>
      <c r="F41" s="535" t="n"/>
      <c r="G41" s="535" t="n"/>
    </row>
    <row r="42" ht="19.5" customHeight="1" s="1097">
      <c r="A42" s="57" t="inlineStr">
        <is>
          <t>A、上述计算前提是合并前合并方与被合并方采用的会计政策应当一致。如企业合并前合并方与被合并方采用的会计政策不同的，应基于重要性原则，统一合并方与被合并方的会计政策。在按照合并方的会计政策对被合并方资产、负债的账面价值进行调整的基础上，计算确定形成长期股权投资的初始投资成本。</t>
        </is>
      </c>
      <c r="B42" s="57" t="n"/>
      <c r="C42" s="57" t="n"/>
      <c r="D42" s="57" t="n"/>
      <c r="E42" s="57" t="n"/>
      <c r="F42" s="57" t="n"/>
      <c r="G42" s="57" t="n"/>
    </row>
    <row r="43">
      <c r="A43" s="57" t="inlineStr">
        <is>
          <t>B、在编制合并资产负债表时，对于被合并方在企业合并前实现的留存收益（盈余公积和未分配利润之和）中归属于合并方的部分，应按以下原则，自合并方的资本公积转入留存收益和未分配利润：</t>
        </is>
      </c>
      <c r="B43" s="57" t="n"/>
      <c r="C43" s="57" t="n"/>
      <c r="D43" s="57" t="n"/>
      <c r="E43" s="57" t="n"/>
      <c r="F43" s="57" t="n"/>
      <c r="G43" s="57" t="n"/>
    </row>
    <row r="44">
      <c r="A44" s="57" t="inlineStr">
        <is>
          <t>①确认企业合并形成的长期股权投资后，合并方账面资本公积（资本溢价或股本溢价）贷方余额大于被合并方在合并前实现的留存收益中归属于合并方的部分，在合并资产负债表中，应将被合并方在合并前实现的留存收益中归属于合并方的部分自“资本公积”转入“盈余公积”和“未分配利润”。在合并工作底稿中，借记“资本公积”项目，贷记“盈余公积”和“未分配利润”项目。
②确认企业合并形成的长期股权投资后，合并方面资本公积（资本溢价或股本溢价）贷方余额小于被合并方在合并前实现的留存收益中归属于合并方的部分的，在合并资产负债表中，应以合并方资本公积(资本溢价或股本溢价)的贷方余额为限，将被合并方在企业合并前实现的留存收益中归属于合并方的部分自“资本公积”转入“盈余公积”和“未分配利润”。在合并工作底稿中，借记“资本公积”项目，贷记“盈余公积”和“未分配利润”项目。
因合并方的资本公积（资本溢价或股本溢价）余额不足，被合并方在合并前实现的留存收益中归属于合并方的部分在合并资产负债表中未予全额恢复的，合并方应当在会计报表附注中对这一情况进行说明。</t>
        </is>
      </c>
      <c r="B44" s="57" t="n"/>
      <c r="C44" s="57" t="n"/>
      <c r="D44" s="57" t="n"/>
      <c r="E44" s="57" t="n"/>
      <c r="F44" s="57" t="n"/>
      <c r="G44" s="57" t="n"/>
    </row>
    <row r="45" ht="20.1" customHeight="1" s="1097">
      <c r="A45" s="57" t="inlineStr">
        <is>
          <t>C、如果分步取得对子公司股权投资直至取得控制权的各项交易属于“一揽子交易”，应当将各项交易作为一项取得子公司控制权的交易。</t>
        </is>
      </c>
      <c r="B45" s="57" t="n"/>
      <c r="C45" s="57" t="n"/>
      <c r="D45" s="57" t="n"/>
      <c r="E45" s="57" t="n"/>
      <c r="F45" s="57" t="n"/>
      <c r="G45" s="57" t="n"/>
    </row>
    <row r="46" ht="20.1" customHeight="1" s="1097">
      <c r="A46" s="534" t="inlineStr">
        <is>
          <t>4、通过多次交易分步实现的同一控制下企业合并（不构成一揽子交易）：</t>
        </is>
      </c>
      <c r="B46" s="77" t="n"/>
      <c r="C46" s="77" t="n"/>
      <c r="D46" s="64" t="n"/>
      <c r="E46" s="64" t="n"/>
      <c r="F46" s="64" t="n"/>
      <c r="G46" s="64" t="n"/>
    </row>
    <row r="47">
      <c r="A47" s="57" t="inlineStr">
        <is>
          <t>通过多次交易分步实现同一控制下的企业合并，在个别财务报表中，以合并日持股比例计算的合并日应享有被合并方净资产在最终控制方合并财务报表中的账面价值的份额作为该项投资的初始投资成本；初始投资成本与原持有投资的账面价值加上合并日新增投资成本之和的差额，调整资本公积（股本溢价/资本溢价），资本公积不足冲减的，调整留存收益。</t>
        </is>
      </c>
      <c r="B47" s="57" t="n"/>
      <c r="C47" s="57" t="n"/>
      <c r="D47" s="57" t="n"/>
      <c r="E47" s="57" t="n"/>
      <c r="F47" s="57" t="n"/>
      <c r="G47" s="57" t="n"/>
    </row>
  </sheetData>
  <mergeCells count="23">
    <mergeCell ref="A25:C25"/>
    <mergeCell ref="A27:C27"/>
    <mergeCell ref="A12:C12"/>
    <mergeCell ref="A26:C26"/>
    <mergeCell ref="A2:I2"/>
    <mergeCell ref="F15:G15"/>
    <mergeCell ref="A32:C32"/>
    <mergeCell ref="A14:C14"/>
    <mergeCell ref="A29:C29"/>
    <mergeCell ref="F8:G8"/>
    <mergeCell ref="A10:C10"/>
    <mergeCell ref="A28:C28"/>
    <mergeCell ref="A13:C13"/>
    <mergeCell ref="A31:C31"/>
    <mergeCell ref="I20:I21"/>
    <mergeCell ref="A30:C30"/>
    <mergeCell ref="A15:C15"/>
    <mergeCell ref="D8:E8"/>
    <mergeCell ref="A11:C11"/>
    <mergeCell ref="D15:E15"/>
    <mergeCell ref="A8:C9"/>
    <mergeCell ref="A1:I1"/>
    <mergeCell ref="A20:C21"/>
  </mergeCells>
  <hyperlinks>
    <hyperlink ref="H3" location="底稿目录!F13" display="底稿目录!F13"/>
  </hyperlinks>
  <pageMargins left="0.7086614173228347" right="0.7086614173228347" top="0.7480314960629921" bottom="0.7480314960629921" header="0.3149606299212598" footer="0.3149606299212598"/>
  <pageSetup orientation="landscape" paperSize="9" fitToHeight="0" blackAndWhite="1"/>
  <headerFooter>
    <oddHeader/>
    <oddFooter>&amp;C&amp;P/&amp;N</oddFooter>
    <evenHeader/>
    <evenFooter/>
    <firstHeader/>
    <firstFooter/>
  </headerFooter>
</worksheet>
</file>

<file path=xl/worksheets/sheet12.xml><?xml version="1.0" encoding="utf-8"?>
<worksheet xmlns="http://schemas.openxmlformats.org/spreadsheetml/2006/main">
  <sheetPr codeName="Sheet17">
    <outlinePr summaryBelow="1" summaryRight="1"/>
    <pageSetUpPr fitToPage="1"/>
  </sheetPr>
  <dimension ref="A1:I52"/>
  <sheetViews>
    <sheetView view="pageBreakPreview" zoomScaleSheetLayoutView="100" workbookViewId="0">
      <selection activeCell="A1" sqref="A1:I1"/>
    </sheetView>
  </sheetViews>
  <sheetFormatPr baseColWidth="8" defaultColWidth="9" defaultRowHeight="15.6" outlineLevelCol="0"/>
  <cols>
    <col width="6.69921875" customWidth="1" style="90" min="1" max="1"/>
    <col width="14.69921875" customWidth="1" style="90" min="2" max="3"/>
    <col width="16.19921875" customWidth="1" style="90" min="4" max="4"/>
    <col width="15.8984375" customWidth="1" style="90" min="5" max="5"/>
    <col width="14.09765625" customWidth="1" style="90" min="6" max="6"/>
    <col width="12.09765625" customWidth="1" style="90" min="7" max="7"/>
    <col width="13.5" customWidth="1" style="90" min="8" max="8"/>
    <col width="13.19921875" customWidth="1" style="90" min="9" max="9"/>
    <col width="9.59765625" customWidth="1" style="90" min="10" max="12"/>
    <col width="9" customWidth="1" style="90" min="13" max="16384"/>
  </cols>
  <sheetData>
    <row r="1" ht="19.95" customFormat="1" customHeight="1" s="617">
      <c r="A1" s="942" t="inlineStr">
        <is>
          <t>致同会计师事务所</t>
        </is>
      </c>
    </row>
    <row r="2" ht="19.95" customFormat="1" customHeight="1" s="630">
      <c r="A2" s="943" t="inlineStr">
        <is>
          <t>子公司初始计量测试表</t>
        </is>
      </c>
    </row>
    <row r="3" ht="19.95" customFormat="1" customHeight="1" s="673">
      <c r="A3" s="673">
        <f>底稿目录!A2</f>
        <v/>
      </c>
      <c r="D3" s="673">
        <f>底稿目录!A4</f>
        <v/>
      </c>
      <c r="F3" s="681">
        <f>底稿目录!A5</f>
        <v/>
      </c>
      <c r="G3" s="681" t="n"/>
      <c r="H3" s="673" t="inlineStr">
        <is>
          <t>索引号：</t>
        </is>
      </c>
      <c r="I3" s="1096">
        <f>底稿目录!F14</f>
        <v/>
      </c>
    </row>
    <row r="4" ht="19.95" customFormat="1" customHeight="1" s="673">
      <c r="A4" s="673">
        <f>底稿目录!A3</f>
        <v/>
      </c>
      <c r="D4" s="673">
        <f>底稿目录!A6</f>
        <v/>
      </c>
      <c r="F4" s="681">
        <f>底稿目录!A7</f>
        <v/>
      </c>
      <c r="G4" s="681" t="n"/>
      <c r="H4" s="673" t="inlineStr">
        <is>
          <t>页 次：</t>
        </is>
      </c>
    </row>
    <row r="5" ht="19.95" customHeight="1" s="1097">
      <c r="A5" s="74" t="inlineStr">
        <is>
          <t>一、审计目标：</t>
        </is>
      </c>
      <c r="B5" s="123" t="n"/>
      <c r="C5" s="80" t="inlineStr">
        <is>
          <t>确定被审计单位对子公司长期股权投资初始计量是否恰当</t>
        </is>
      </c>
    </row>
    <row r="6" ht="19.95" customHeight="1" s="1097">
      <c r="A6" s="75" t="inlineStr">
        <is>
          <t>二、审计过程：</t>
        </is>
      </c>
      <c r="B6" s="124" t="n"/>
    </row>
    <row r="7" ht="19.95" customHeight="1" s="1097">
      <c r="A7" s="54" t="inlineStr">
        <is>
          <t>1、合并方式取得的长期股权投资初始投资成本：</t>
        </is>
      </c>
      <c r="B7" s="54" t="n"/>
      <c r="C7" s="54" t="n"/>
      <c r="D7" s="54" t="n"/>
      <c r="E7" s="54" t="n"/>
      <c r="F7" s="54" t="n"/>
      <c r="G7" s="54" t="n"/>
      <c r="H7" s="54" t="n"/>
      <c r="I7" s="54" t="n"/>
    </row>
    <row r="8" ht="19.95" customHeight="1" s="1097">
      <c r="A8" s="997" t="inlineStr">
        <is>
          <t>审核项目</t>
        </is>
      </c>
      <c r="B8" s="1293" t="n"/>
      <c r="C8" s="1294" t="n"/>
      <c r="D8" s="998" t="inlineStr">
        <is>
          <t>公司1</t>
        </is>
      </c>
      <c r="E8" s="1001" t="inlineStr">
        <is>
          <t>索引</t>
        </is>
      </c>
      <c r="F8" s="998" t="inlineStr">
        <is>
          <t>公司2</t>
        </is>
      </c>
      <c r="G8" s="1001" t="inlineStr">
        <is>
          <t>索引</t>
        </is>
      </c>
      <c r="H8" s="998" t="inlineStr">
        <is>
          <t>公司3</t>
        </is>
      </c>
      <c r="I8" s="1001" t="inlineStr">
        <is>
          <t>索引</t>
        </is>
      </c>
    </row>
    <row r="9" ht="19.95" customHeight="1" s="1097">
      <c r="A9" s="995" t="inlineStr">
        <is>
          <t>最终控制方</t>
        </is>
      </c>
      <c r="B9" s="1293" t="n"/>
      <c r="C9" s="1294" t="n"/>
      <c r="D9" s="196" t="n"/>
      <c r="E9" s="92" t="n"/>
      <c r="F9" s="196" t="n"/>
      <c r="G9" s="92" t="n"/>
      <c r="H9" s="196" t="n"/>
      <c r="I9" s="92" t="n"/>
    </row>
    <row r="10" ht="28.2" customHeight="1" s="1097">
      <c r="A10" s="995" t="inlineStr">
        <is>
          <t>被合并方所有者权益账面价值（如果被合并方存在合并财务报表，则取合并报表数据）①</t>
        </is>
      </c>
      <c r="B10" s="1293" t="n"/>
      <c r="C10" s="1294" t="n"/>
      <c r="D10" s="1295" t="n">
        <v>100</v>
      </c>
      <c r="E10" s="61" t="n"/>
      <c r="F10" s="1295" t="n"/>
      <c r="G10" s="61" t="n"/>
      <c r="H10" s="1295" t="n"/>
      <c r="I10" s="61" t="n"/>
    </row>
    <row r="11" ht="19.95" customHeight="1" s="1097">
      <c r="A11" s="995" t="inlineStr">
        <is>
          <t>合并方合并后占被投资单位的出资比例②</t>
        </is>
      </c>
      <c r="B11" s="1293" t="n"/>
      <c r="C11" s="1294" t="n"/>
      <c r="D11" s="641" t="n">
        <v>0.32</v>
      </c>
      <c r="E11" s="641" t="n"/>
      <c r="F11" s="641" t="n"/>
      <c r="G11" s="642" t="n"/>
      <c r="H11" s="642" t="n"/>
      <c r="I11" s="642" t="n"/>
    </row>
    <row r="12" ht="19.95" customHeight="1" s="1097">
      <c r="A12" s="977" t="inlineStr">
        <is>
          <t>长期股权投资初始投资成本：③=①*②</t>
        </is>
      </c>
      <c r="B12" s="1293" t="n"/>
      <c r="C12" s="1294" t="n"/>
      <c r="D12" s="1296">
        <f>D10*D11</f>
        <v/>
      </c>
      <c r="E12" s="61" t="n"/>
      <c r="F12" s="1296">
        <f>F10*F11</f>
        <v/>
      </c>
      <c r="G12" s="61" t="n"/>
      <c r="H12" s="1296">
        <f>H10*H11</f>
        <v/>
      </c>
      <c r="I12" s="61" t="n"/>
    </row>
    <row r="13" ht="30" customHeight="1" s="1097">
      <c r="A13" s="995" t="inlineStr">
        <is>
          <t>购买方付出的资产，发生或承担的负债、发行的权益性证券的账面价值之和④</t>
        </is>
      </c>
      <c r="B13" s="1293" t="n"/>
      <c r="C13" s="1294" t="n"/>
      <c r="D13" s="1296">
        <f>SUM(D14:D18)</f>
        <v/>
      </c>
      <c r="E13" s="61" t="n"/>
      <c r="F13" s="1296">
        <f>SUM(F14:F18)</f>
        <v/>
      </c>
      <c r="G13" s="61" t="n"/>
      <c r="H13" s="1296">
        <f>SUM(H14:H18)</f>
        <v/>
      </c>
      <c r="I13" s="61" t="n"/>
    </row>
    <row r="14" ht="19.95" customHeight="1" s="1097">
      <c r="A14" s="977" t="inlineStr">
        <is>
          <t>其中：现金</t>
        </is>
      </c>
      <c r="B14" s="1293" t="n"/>
      <c r="C14" s="1294" t="n"/>
      <c r="D14" s="61" t="n">
        <v>2</v>
      </c>
      <c r="E14" s="61" t="n"/>
      <c r="F14" s="61" t="n"/>
      <c r="G14" s="61" t="n"/>
      <c r="H14" s="61" t="n"/>
      <c r="I14" s="61" t="n"/>
    </row>
    <row r="15" ht="19.95" customHeight="1" s="1097">
      <c r="A15" s="995" t="inlineStr">
        <is>
          <t xml:space="preserve">      非现金资产的账面价值</t>
        </is>
      </c>
      <c r="B15" s="1293" t="n"/>
      <c r="C15" s="1294" t="n"/>
      <c r="D15" s="61" t="n">
        <v>2</v>
      </c>
      <c r="E15" s="61" t="n"/>
      <c r="F15" s="61" t="n"/>
      <c r="G15" s="61" t="n"/>
      <c r="H15" s="61" t="n"/>
      <c r="I15" s="61" t="n"/>
    </row>
    <row r="16" ht="19.95" customHeight="1" s="1097">
      <c r="A16" s="995" t="inlineStr">
        <is>
          <t xml:space="preserve">      发行或承担的债务的账面价值</t>
        </is>
      </c>
      <c r="B16" s="1293" t="n"/>
      <c r="C16" s="1294" t="n"/>
      <c r="D16" s="61" t="n">
        <v>3</v>
      </c>
      <c r="E16" s="61" t="n"/>
      <c r="F16" s="61" t="n"/>
      <c r="G16" s="61" t="n"/>
      <c r="H16" s="61" t="n"/>
      <c r="I16" s="61" t="n"/>
    </row>
    <row r="17" ht="19.95" customHeight="1" s="1097">
      <c r="A17" s="995" t="inlineStr">
        <is>
          <t xml:space="preserve">      发行的权益性证券的面值</t>
        </is>
      </c>
      <c r="B17" s="1293" t="n"/>
      <c r="C17" s="1294" t="n"/>
      <c r="D17" s="61" t="n"/>
      <c r="E17" s="61" t="n"/>
      <c r="F17" s="61" t="n"/>
      <c r="G17" s="61" t="n"/>
      <c r="H17" s="61" t="n"/>
      <c r="I17" s="61" t="n"/>
    </row>
    <row r="18" ht="19.95" customHeight="1" s="1097">
      <c r="A18" s="995" t="inlineStr">
        <is>
          <t xml:space="preserve">      或有对价</t>
        </is>
      </c>
      <c r="B18" s="1293" t="n"/>
      <c r="C18" s="1294" t="n"/>
      <c r="D18" s="61" t="n">
        <v>3</v>
      </c>
      <c r="E18" s="61" t="n"/>
      <c r="F18" s="61" t="n"/>
      <c r="G18" s="61" t="n"/>
      <c r="H18" s="61" t="n"/>
      <c r="I18" s="61" t="n"/>
    </row>
    <row r="19" ht="19.95" customHeight="1" s="1097">
      <c r="A19" s="977" t="inlineStr">
        <is>
          <t>母公司报表中调整资本公积、留存收益⑤=③-④</t>
        </is>
      </c>
      <c r="B19" s="1293" t="n"/>
      <c r="C19" s="1294" t="n"/>
      <c r="D19" s="1297">
        <f>D12-D13</f>
        <v/>
      </c>
      <c r="E19" s="61" t="n"/>
      <c r="F19" s="1297">
        <f>F12-F13</f>
        <v/>
      </c>
      <c r="G19" s="61" t="n"/>
      <c r="H19" s="1297">
        <f>H12-H13</f>
        <v/>
      </c>
      <c r="I19" s="61" t="n"/>
    </row>
    <row r="20" ht="19.95" customHeight="1" s="1097"/>
    <row r="21" ht="19.95" customHeight="1" s="1097">
      <c r="A21" s="54" t="inlineStr">
        <is>
          <t>2、通过多次交易分步实现的同一控制下企业合并（不构成一揽子交易）：</t>
        </is>
      </c>
      <c r="B21" s="55" t="n"/>
      <c r="C21" s="55" t="n"/>
      <c r="D21" s="64" t="n"/>
      <c r="E21" s="64" t="n"/>
      <c r="F21" s="64" t="n"/>
      <c r="G21" s="64" t="n"/>
      <c r="H21" s="64" t="n"/>
      <c r="I21" s="64" t="n"/>
    </row>
    <row r="22" ht="19.95" customHeight="1" s="1097">
      <c r="A22" s="996" t="inlineStr">
        <is>
          <t>项目</t>
        </is>
      </c>
      <c r="B22" s="1298" t="n"/>
      <c r="C22" s="1115" t="n"/>
      <c r="D22" s="990" t="inlineStr">
        <is>
          <t>P公司</t>
        </is>
      </c>
      <c r="E22" s="1298" t="n"/>
      <c r="F22" s="1115" t="n"/>
      <c r="G22" s="990" t="inlineStr">
        <is>
          <t>Q公司</t>
        </is>
      </c>
      <c r="H22" s="1298" t="n"/>
      <c r="I22" s="1115" t="n"/>
    </row>
    <row r="23" ht="19.95" customHeight="1" s="1097">
      <c r="A23" s="993" t="inlineStr">
        <is>
          <t>次别</t>
        </is>
      </c>
      <c r="B23" s="1298" t="n"/>
      <c r="C23" s="1115" t="n"/>
      <c r="D23" s="988" t="n">
        <v>1</v>
      </c>
      <c r="E23" s="988" t="n">
        <v>2</v>
      </c>
      <c r="F23" s="988" t="inlineStr">
        <is>
          <t>小计</t>
        </is>
      </c>
      <c r="G23" s="988" t="n">
        <v>4</v>
      </c>
      <c r="H23" s="988" t="n">
        <v>5</v>
      </c>
      <c r="I23" s="307" t="inlineStr">
        <is>
          <t>小计</t>
        </is>
      </c>
    </row>
    <row r="24" ht="19.95" customHeight="1" s="1097">
      <c r="A24" s="991" t="inlineStr">
        <is>
          <t>交易日期</t>
        </is>
      </c>
      <c r="B24" s="1298" t="n"/>
      <c r="C24" s="1115" t="n"/>
      <c r="D24" s="1299" t="n">
        <v>1</v>
      </c>
      <c r="E24" s="1299" t="n">
        <v>1</v>
      </c>
      <c r="F24" s="1300" t="inlineStr">
        <is>
          <t>--</t>
        </is>
      </c>
      <c r="G24" s="1299" t="n"/>
      <c r="H24" s="1299" t="n"/>
      <c r="I24" s="1300" t="inlineStr">
        <is>
          <t>--</t>
        </is>
      </c>
    </row>
    <row r="25" ht="19.95" customHeight="1" s="1097">
      <c r="A25" s="991" t="inlineStr">
        <is>
          <t>购买比例①</t>
        </is>
      </c>
      <c r="B25" s="1298" t="n"/>
      <c r="C25" s="1115" t="n"/>
      <c r="D25" s="309" t="n">
        <v>0.01</v>
      </c>
      <c r="E25" s="309" t="n">
        <v>0.02</v>
      </c>
      <c r="F25" s="581">
        <f>SUM(D25:E25)</f>
        <v/>
      </c>
      <c r="G25" s="309" t="n"/>
      <c r="H25" s="309" t="n"/>
      <c r="I25" s="377">
        <f>SUM(G25:H25)</f>
        <v/>
      </c>
    </row>
    <row r="26" ht="19.95" customHeight="1" s="1097">
      <c r="A26" s="991" t="inlineStr">
        <is>
          <t>支付对价②</t>
        </is>
      </c>
      <c r="B26" s="1298" t="n"/>
      <c r="C26" s="1115" t="n"/>
      <c r="D26" s="1301" t="n">
        <v>1</v>
      </c>
      <c r="E26" s="1301" t="n">
        <v>3</v>
      </c>
      <c r="F26" s="1125">
        <f>SUM(D26:E26)</f>
        <v/>
      </c>
      <c r="G26" s="1301" t="n"/>
      <c r="H26" s="1301" t="n"/>
      <c r="I26" s="1125">
        <f>SUM(G26:H26)</f>
        <v/>
      </c>
    </row>
    <row r="27" ht="19.95" customHeight="1" s="1097">
      <c r="A27" s="991" t="inlineStr">
        <is>
          <t>每笔交易发生时被投资方可辨认净资产的账面价值</t>
        </is>
      </c>
      <c r="B27" s="1298" t="n"/>
      <c r="C27" s="1115" t="n"/>
      <c r="D27" s="1301" t="n">
        <v>22</v>
      </c>
      <c r="E27" s="1301" t="n">
        <v>44</v>
      </c>
      <c r="F27" s="1300" t="inlineStr">
        <is>
          <t>--</t>
        </is>
      </c>
      <c r="G27" s="1302" t="n"/>
      <c r="H27" s="1302" t="n"/>
      <c r="I27" s="1300" t="inlineStr">
        <is>
          <t>--</t>
        </is>
      </c>
    </row>
    <row r="28" ht="38.4" customHeight="1" s="1097">
      <c r="A28" s="991" t="inlineStr">
        <is>
          <t>因权益法核算确认的长期股权投资其他综合收益、损益调整和其他变动或其他投资确认的计入其他综合收益的公允价值调整③</t>
        </is>
      </c>
      <c r="B28" s="1298" t="n"/>
      <c r="C28" s="1115" t="n"/>
      <c r="D28" s="1301" t="n">
        <v>22</v>
      </c>
      <c r="E28" s="1301" t="n">
        <v>4</v>
      </c>
      <c r="F28" s="1125">
        <f>SUM(D28:E28)</f>
        <v/>
      </c>
      <c r="G28" s="1301" t="n"/>
      <c r="H28" s="1301" t="n"/>
      <c r="I28" s="1125">
        <f>SUM(G28:H28)</f>
        <v/>
      </c>
    </row>
    <row r="29" ht="42.6" customHeight="1" s="1097">
      <c r="A29" s="988" t="inlineStr">
        <is>
          <t>公司名称</t>
        </is>
      </c>
      <c r="B29" s="1115" t="n"/>
      <c r="C29" s="582" t="inlineStr">
        <is>
          <t>合并日被投资方可辨认净资产的账面价值④</t>
        </is>
      </c>
      <c r="D29" s="1303" t="inlineStr">
        <is>
          <t>合并日长期股权投资投资成本：⑤=④*①</t>
        </is>
      </c>
      <c r="E29" s="1303" t="inlineStr">
        <is>
          <t>母公司报表中调整资本公积、留存收益⑥=②+③-⑤</t>
        </is>
      </c>
      <c r="F29" s="1303" t="inlineStr">
        <is>
          <t>索引/备注</t>
        </is>
      </c>
      <c r="G29" s="584" t="n"/>
      <c r="H29" s="1304" t="n"/>
      <c r="I29" s="584" t="n"/>
    </row>
    <row r="30" ht="19.95" customHeight="1" s="1097">
      <c r="A30" s="989" t="inlineStr">
        <is>
          <t>P公司</t>
        </is>
      </c>
      <c r="B30" s="1115" t="n"/>
      <c r="C30" s="1305">
        <f>E27</f>
        <v/>
      </c>
      <c r="D30" s="1306">
        <f>C30*F25</f>
        <v/>
      </c>
      <c r="E30" s="1306">
        <f>F26+F28-D30</f>
        <v/>
      </c>
      <c r="F30" s="1304" t="n"/>
      <c r="G30" s="584" t="n"/>
      <c r="H30" s="1304" t="n"/>
      <c r="I30" s="1307" t="n"/>
    </row>
    <row r="31" ht="19.95" customHeight="1" s="1097">
      <c r="A31" s="989" t="inlineStr">
        <is>
          <t>Q公司</t>
        </is>
      </c>
      <c r="B31" s="1115" t="n"/>
      <c r="C31" s="1305">
        <f>H27</f>
        <v/>
      </c>
      <c r="D31" s="1306">
        <f>C31*I25</f>
        <v/>
      </c>
      <c r="E31" s="1306">
        <f>I26+I28-D31</f>
        <v/>
      </c>
      <c r="F31" s="1304" t="n"/>
      <c r="G31" s="584" t="n"/>
      <c r="H31" s="1304" t="n"/>
      <c r="I31" s="1307" t="n"/>
    </row>
    <row r="32" ht="19.95" customHeight="1" s="1097"/>
    <row r="33" ht="19.95" customFormat="1" customHeight="1" s="102">
      <c r="A33" s="114" t="inlineStr">
        <is>
          <t>3、反向购买</t>
        </is>
      </c>
      <c r="B33" s="113" t="n"/>
      <c r="C33" s="113" t="n"/>
      <c r="D33" s="113" t="n"/>
      <c r="E33" s="113" t="n"/>
      <c r="F33" s="113" t="n"/>
      <c r="G33" s="113" t="n"/>
      <c r="H33" s="113" t="n"/>
      <c r="I33" s="113" t="n"/>
    </row>
    <row r="34" ht="36" customFormat="1" customHeight="1" s="121">
      <c r="A34" s="1308" t="inlineStr">
        <is>
          <t>交易内容</t>
        </is>
      </c>
      <c r="B34" s="1270" t="n"/>
      <c r="C34" s="951" t="inlineStr">
        <is>
          <t>会计上的购买方</t>
        </is>
      </c>
      <c r="D34" s="1008" t="inlineStr">
        <is>
          <t>会计上的购买方的股东</t>
        </is>
      </c>
      <c r="E34" s="951" t="inlineStr">
        <is>
          <t>会计上的被购买方（上市公司）</t>
        </is>
      </c>
      <c r="F34" s="951" t="inlineStr">
        <is>
          <t>会计上的被购买方的原股东（上市公司原股东）</t>
        </is>
      </c>
      <c r="G34" s="951" t="inlineStr">
        <is>
          <t>判断构成反向购买的依据</t>
        </is>
      </c>
      <c r="H34" s="951" t="inlineStr">
        <is>
          <t>是否构成业务及其判断依据</t>
        </is>
      </c>
      <c r="I34" s="103" t="inlineStr">
        <is>
          <t>索引号</t>
        </is>
      </c>
    </row>
    <row r="35" ht="19.95" customFormat="1" customHeight="1" s="115">
      <c r="A35" s="118" t="n"/>
      <c r="B35" s="119" t="n"/>
      <c r="C35" s="116" t="n"/>
      <c r="D35" s="46" t="n"/>
      <c r="E35" s="46" t="n"/>
      <c r="F35" s="46" t="n"/>
      <c r="G35" s="117" t="n"/>
      <c r="H35" s="117" t="n"/>
      <c r="I35" s="117" t="n"/>
    </row>
    <row r="36" ht="19.95" customFormat="1" customHeight="1" s="115">
      <c r="A36" s="118" t="n"/>
      <c r="B36" s="119" t="n"/>
      <c r="C36" s="116" t="n"/>
      <c r="D36" s="46" t="n"/>
      <c r="E36" s="46" t="n"/>
      <c r="F36" s="46" t="n"/>
      <c r="G36" s="117" t="n"/>
      <c r="H36" s="117" t="n"/>
      <c r="I36" s="117" t="n"/>
    </row>
    <row r="37" ht="19.95" customFormat="1" customHeight="1" s="115">
      <c r="A37" s="120" t="n"/>
      <c r="B37" s="99" t="n"/>
      <c r="C37" s="47" t="n"/>
      <c r="D37" s="38" t="n"/>
      <c r="E37" s="38" t="n"/>
      <c r="F37" s="117" t="n"/>
      <c r="G37" s="117" t="n"/>
      <c r="H37" s="117" t="n"/>
      <c r="I37" s="117" t="n"/>
    </row>
    <row r="38" ht="19.95" customHeight="1" s="1097">
      <c r="A38" s="418" t="inlineStr">
        <is>
          <t>三、审计说明</t>
        </is>
      </c>
    </row>
    <row r="39" ht="19.95" customHeight="1" s="1097"/>
    <row r="40" ht="19.95" customHeight="1" s="1097"/>
    <row r="41" ht="19.95" customHeight="1" s="1097"/>
    <row r="42" ht="19.95" customHeight="1" s="1097">
      <c r="A42" s="418" t="inlineStr">
        <is>
          <t>四、审计结论</t>
        </is>
      </c>
    </row>
    <row r="43" ht="19.95" customHeight="1" s="1097"/>
    <row r="44" ht="19.95" customHeight="1" s="1097"/>
    <row r="45" ht="20.1" customHeight="1" s="1097">
      <c r="A45" s="438" t="inlineStr">
        <is>
          <t>提示：</t>
        </is>
      </c>
      <c r="B45" s="438" t="n"/>
      <c r="C45" s="438" t="n"/>
      <c r="D45" s="438" t="n"/>
      <c r="E45" s="438" t="n"/>
      <c r="F45" s="438" t="n"/>
      <c r="G45" s="59" t="n"/>
      <c r="H45" s="1309" t="n"/>
      <c r="I45" s="1309" t="n"/>
    </row>
    <row r="46" ht="20.1" customHeight="1" s="1097">
      <c r="A46" s="534" t="inlineStr">
        <is>
          <t>3、合并方式取得的长期股权投资初始投资成本：</t>
        </is>
      </c>
      <c r="B46" s="535" t="n"/>
      <c r="C46" s="535" t="n"/>
      <c r="D46" s="535" t="n"/>
      <c r="E46" s="535" t="n"/>
      <c r="F46" s="535" t="n"/>
      <c r="G46" s="535" t="n"/>
      <c r="H46" s="535" t="n"/>
      <c r="I46" s="535" t="n"/>
    </row>
    <row r="47" ht="19.5" customHeight="1" s="1097">
      <c r="A47" s="57" t="inlineStr">
        <is>
          <t>A、上述计算前提是合并前合并方与被合并方采用的会计政策应当一致。如企业合并前合并方与被合并方采用的会计政策不同的，应基于重要性原则，统一合并方与被合并方的会计政策。在按照合并方的会计政策对被合并方资产、负债的账面价值进行调整的基础上，计算确定形成长期股权投资的初始投资成本。</t>
        </is>
      </c>
      <c r="B47" s="57" t="n"/>
      <c r="C47" s="57" t="n"/>
      <c r="D47" s="57" t="n"/>
      <c r="E47" s="57" t="n"/>
      <c r="F47" s="57" t="n"/>
      <c r="G47" s="57" t="n"/>
      <c r="H47" s="57" t="n"/>
      <c r="I47" s="57" t="n"/>
    </row>
    <row r="48">
      <c r="A48" s="57" t="inlineStr">
        <is>
          <t>B、在编制合并资产负债表时，对于被合并方在企业合并前实现的留存收益（盈余公积和未分配利润之和）中归属于合并方的部分，应按以下原则，自合并方的资本公积转入留存收益和未分配利润：</t>
        </is>
      </c>
      <c r="B48" s="57" t="n"/>
      <c r="C48" s="57" t="n"/>
      <c r="D48" s="57" t="n"/>
      <c r="E48" s="57" t="n"/>
      <c r="F48" s="57" t="n"/>
      <c r="G48" s="57" t="n"/>
      <c r="H48" s="57" t="n"/>
      <c r="I48" s="57" t="n"/>
    </row>
    <row r="49">
      <c r="A49" s="57" t="inlineStr">
        <is>
          <t>①确认企业合并形成的长期股权投资后，合并方账面资本公积（资本溢价或股本溢价）贷方余额大于被合并方在合并前实现的留存收益中归属于合并方的部分，在合并资产负债表中，应将被合并方在合并前实现的留存收益中归属于合并方的部分自“资本公积”转入“盈余公积”和“未分配利润”。在合并工作底稿中，借记“资本公积”项目，贷记“盈余公积”和“未分配利润”项目。
②确认企业合并形成的长期股权投资后，合并方面资本公积（资本溢价或股本溢价）贷方余额小于被合并方在合并前实现的留存收益中归属于合并方的部分的，在合并资产负债表中，应以合并方资本公积(资本溢价或股本溢价)的贷方余额为限，将被合并方在企业合并前实现的留存收益中归属于合并方的部分自“资本公积”转入“盈余公积”和“未分配利润”。在合并工作底稿中，借记“资本公积”项目，贷记“盈余公积”和“未分配利润”项目。
因合并方的资本公积（资本溢价或股本溢价）余额不足，被合并方在合并前实现的留存收益中归属于合并方的部分在合并资产负债表中未予全额恢复的，合并方应当在会计报表附注中对这一情况进行说明。</t>
        </is>
      </c>
      <c r="B49" s="57" t="n"/>
      <c r="C49" s="57" t="n"/>
      <c r="D49" s="57" t="n"/>
      <c r="E49" s="57" t="n"/>
      <c r="F49" s="57" t="n"/>
      <c r="G49" s="57" t="n"/>
      <c r="H49" s="57" t="n"/>
      <c r="I49" s="57" t="n"/>
    </row>
    <row r="50" ht="20.1" customHeight="1" s="1097">
      <c r="A50" s="57" t="inlineStr">
        <is>
          <t>C、如果分步取得对子公司股权投资直至取得控制权的各项交易属于“一揽子交易”，应当将各项交易作为一项取得子公司控制权的交易。</t>
        </is>
      </c>
      <c r="B50" s="57" t="n"/>
      <c r="C50" s="57" t="n"/>
      <c r="D50" s="57" t="n"/>
      <c r="E50" s="57" t="n"/>
      <c r="F50" s="57" t="n"/>
      <c r="G50" s="57" t="n"/>
      <c r="H50" s="57" t="n"/>
      <c r="I50" s="57" t="n"/>
    </row>
    <row r="51" ht="20.1" customHeight="1" s="1097">
      <c r="A51" s="534" t="inlineStr">
        <is>
          <t>4、通过多次交易分步实现的同一控制下企业合并（不构成一揽子交易）：</t>
        </is>
      </c>
      <c r="B51" s="77" t="n"/>
      <c r="C51" s="77" t="n"/>
      <c r="D51" s="64" t="n"/>
      <c r="E51" s="64" t="n"/>
      <c r="F51" s="64" t="n"/>
      <c r="G51" s="64" t="n"/>
      <c r="H51" s="64" t="n"/>
      <c r="I51" s="64" t="n"/>
    </row>
    <row r="52">
      <c r="A52" s="57" t="inlineStr">
        <is>
          <t>通过多次交易分步实现同一控制下的企业合并，在个别财务报表中，以合并日持股比例计算的合并日应享有被合并方净资产在最终控制方合并财务报表中的账面价值的份额作为该项投资的初始投资成本；初始投资成本与原持有投资的账面价值加上合并日新增投资成本之和的差额，调整资本公积（股本溢价/资本溢价），资本公积不足冲减的，调整留存收益。</t>
        </is>
      </c>
      <c r="B52" s="57" t="n"/>
      <c r="C52" s="57" t="n"/>
      <c r="D52" s="57" t="n"/>
      <c r="E52" s="57" t="n"/>
      <c r="F52" s="57" t="n"/>
      <c r="G52" s="57" t="n"/>
      <c r="H52" s="57" t="n"/>
      <c r="I52" s="57" t="n"/>
    </row>
  </sheetData>
  <mergeCells count="27">
    <mergeCell ref="A25:C25"/>
    <mergeCell ref="A30:B30"/>
    <mergeCell ref="A18:C18"/>
    <mergeCell ref="A27:C27"/>
    <mergeCell ref="A12:C12"/>
    <mergeCell ref="A26:C26"/>
    <mergeCell ref="A2:I2"/>
    <mergeCell ref="A23:C23"/>
    <mergeCell ref="A8:C8"/>
    <mergeCell ref="A14:C14"/>
    <mergeCell ref="A22:C22"/>
    <mergeCell ref="A17:C17"/>
    <mergeCell ref="A10:C10"/>
    <mergeCell ref="A28:C28"/>
    <mergeCell ref="A13:C13"/>
    <mergeCell ref="A19:C19"/>
    <mergeCell ref="G22:I22"/>
    <mergeCell ref="A9:C9"/>
    <mergeCell ref="A15:C15"/>
    <mergeCell ref="A24:C24"/>
    <mergeCell ref="A11:C11"/>
    <mergeCell ref="A29:B29"/>
    <mergeCell ref="D22:F22"/>
    <mergeCell ref="A1:I1"/>
    <mergeCell ref="A31:B31"/>
    <mergeCell ref="A16:C16"/>
    <mergeCell ref="A34:B34"/>
  </mergeCells>
  <hyperlinks>
    <hyperlink ref="I3" location="底稿目录!F14" display="底稿目录!F14"/>
  </hyperlinks>
  <pageMargins left="0.7086614173228347" right="0.7086614173228347" top="0.7480314960629921" bottom="0.7480314960629921" header="0.3149606299212598" footer="0.3149606299212598"/>
  <pageSetup orientation="landscape" paperSize="9" fitToHeight="0" blackAndWhite="1"/>
  <headerFooter>
    <oddHeader/>
    <oddFooter>&amp;C&amp;P/&amp;N</oddFooter>
    <evenHeader/>
    <evenFooter/>
    <firstHeader/>
    <firstFooter/>
  </headerFooter>
</worksheet>
</file>

<file path=xl/worksheets/sheet13.xml><?xml version="1.0" encoding="utf-8"?>
<worksheet xmlns="http://schemas.openxmlformats.org/spreadsheetml/2006/main">
  <sheetPr codeName="Sheet13">
    <outlinePr summaryBelow="1" summaryRight="1"/>
    <pageSetUpPr fitToPage="1"/>
  </sheetPr>
  <dimension ref="A1:I53"/>
  <sheetViews>
    <sheetView view="pageBreakPreview" zoomScaleSheetLayoutView="100" workbookViewId="0">
      <selection activeCell="A1" sqref="A1:I1"/>
    </sheetView>
  </sheetViews>
  <sheetFormatPr baseColWidth="8" defaultColWidth="9" defaultRowHeight="15.6" outlineLevelCol="0"/>
  <cols>
    <col width="6.69921875" customWidth="1" style="90" min="1" max="1"/>
    <col width="14.69921875" customWidth="1" style="90" min="2" max="2"/>
    <col width="16.296875" customWidth="1" style="90" min="3" max="3"/>
    <col width="16.19921875" customWidth="1" style="90" min="4" max="4"/>
    <col width="12.19921875" customWidth="1" style="90" min="5" max="5"/>
    <col width="14.09765625" customWidth="1" style="90" min="6" max="6"/>
    <col width="12.09765625" customWidth="1" style="90" min="7" max="7"/>
    <col width="13.5" customWidth="1" style="90" min="8" max="8"/>
    <col width="13.19921875" customWidth="1" style="90" min="9" max="9"/>
    <col width="9.59765625" customWidth="1" style="90" min="10" max="12"/>
    <col width="9" customWidth="1" style="90" min="13" max="16384"/>
  </cols>
  <sheetData>
    <row r="1" ht="19.95" customFormat="1" customHeight="1" s="617">
      <c r="A1" s="942" t="inlineStr">
        <is>
          <t>致同会计师事务所</t>
        </is>
      </c>
    </row>
    <row r="2" ht="19.95" customFormat="1" customHeight="1" s="630">
      <c r="A2" s="943" t="inlineStr">
        <is>
          <t>子公司初始计量测试表</t>
        </is>
      </c>
    </row>
    <row r="3" ht="19.95" customFormat="1" customHeight="1" s="673">
      <c r="A3" s="673">
        <f>底稿目录!A2</f>
        <v/>
      </c>
      <c r="D3" s="673">
        <f>底稿目录!A4</f>
        <v/>
      </c>
      <c r="F3" s="681">
        <f>底稿目录!A5</f>
        <v/>
      </c>
      <c r="G3" s="681" t="n"/>
      <c r="H3" s="673" t="inlineStr">
        <is>
          <t>索引号：</t>
        </is>
      </c>
      <c r="I3" s="1096">
        <f>底稿目录!F15</f>
        <v/>
      </c>
    </row>
    <row r="4" ht="19.95" customFormat="1" customHeight="1" s="673">
      <c r="A4" s="673">
        <f>底稿目录!A3</f>
        <v/>
      </c>
      <c r="D4" s="673">
        <f>底稿目录!A6</f>
        <v/>
      </c>
      <c r="F4" s="681">
        <f>底稿目录!A7</f>
        <v/>
      </c>
      <c r="G4" s="681" t="n"/>
      <c r="H4" s="673" t="inlineStr">
        <is>
          <t>页 次：</t>
        </is>
      </c>
    </row>
    <row r="5" ht="19.95" customHeight="1" s="1097">
      <c r="A5" s="74" t="inlineStr">
        <is>
          <t>一、审计目标：</t>
        </is>
      </c>
      <c r="B5" s="123" t="n"/>
      <c r="C5" s="80" t="inlineStr">
        <is>
          <t>确定被审计单位对子公司长期股权投资初始计量是否恰当</t>
        </is>
      </c>
    </row>
    <row r="6" ht="19.95" customHeight="1" s="1097">
      <c r="A6" s="75" t="inlineStr">
        <is>
          <t>二、审计过程：</t>
        </is>
      </c>
      <c r="B6" s="124" t="n"/>
    </row>
    <row r="7" ht="19.95" customHeight="1" s="1097">
      <c r="A7" s="54" t="inlineStr">
        <is>
          <t>1、合并方式取得的长期股权投资初始投资成本：</t>
        </is>
      </c>
      <c r="B7" s="54" t="n"/>
      <c r="C7" s="54" t="n"/>
      <c r="D7" s="54" t="n"/>
      <c r="E7" s="54" t="n"/>
      <c r="F7" s="54" t="n"/>
      <c r="G7" s="54" t="n"/>
      <c r="H7" s="54" t="n"/>
      <c r="I7" s="54" t="n"/>
    </row>
    <row r="8" ht="19.95" customHeight="1" s="1097">
      <c r="A8" s="997" t="inlineStr">
        <is>
          <t>审核项目</t>
        </is>
      </c>
      <c r="B8" s="1293" t="n"/>
      <c r="C8" s="1294" t="n"/>
      <c r="D8" s="998" t="inlineStr">
        <is>
          <t>A公司</t>
        </is>
      </c>
      <c r="E8" s="1001" t="inlineStr">
        <is>
          <t>索引</t>
        </is>
      </c>
      <c r="F8" s="998" t="inlineStr">
        <is>
          <t>B公司</t>
        </is>
      </c>
      <c r="G8" s="1001" t="inlineStr">
        <is>
          <t>索引</t>
        </is>
      </c>
      <c r="H8" s="998" t="inlineStr">
        <is>
          <t>C公司</t>
        </is>
      </c>
      <c r="I8" s="1001" t="inlineStr">
        <is>
          <t>索引</t>
        </is>
      </c>
    </row>
    <row r="9" ht="19.95" customHeight="1" s="1097">
      <c r="A9" s="995" t="inlineStr">
        <is>
          <t>被合并方所有者权益账面价值</t>
        </is>
      </c>
      <c r="B9" s="1293" t="n"/>
      <c r="C9" s="1294" t="n"/>
      <c r="D9" s="1295" t="n"/>
      <c r="E9" s="61" t="n"/>
      <c r="F9" s="1295" t="n"/>
      <c r="G9" s="61" t="n"/>
      <c r="H9" s="1295" t="n"/>
      <c r="I9" s="1310" t="n"/>
    </row>
    <row r="10" ht="19.95" customHeight="1" s="1097">
      <c r="A10" s="995" t="inlineStr">
        <is>
          <t>被购买方可辨认净资产的公允价值①</t>
        </is>
      </c>
      <c r="B10" s="1293" t="n"/>
      <c r="C10" s="1294" t="n"/>
      <c r="D10" s="1295" t="n"/>
      <c r="E10" s="61" t="n"/>
      <c r="F10" s="1295" t="n"/>
      <c r="G10" s="61" t="n"/>
      <c r="H10" s="1295" t="n"/>
      <c r="I10" s="1310" t="n"/>
    </row>
    <row r="11" ht="19.95" customHeight="1" s="1097">
      <c r="A11" s="995" t="inlineStr">
        <is>
          <t>合并后占被投资单位的出资比例②</t>
        </is>
      </c>
      <c r="B11" s="1293" t="n"/>
      <c r="C11" s="1294" t="n"/>
      <c r="D11" s="643" t="n"/>
      <c r="E11" s="641" t="n"/>
      <c r="F11" s="643" t="n"/>
      <c r="G11" s="641" t="n"/>
      <c r="H11" s="643" t="n"/>
      <c r="I11" s="642" t="n"/>
    </row>
    <row r="12" ht="25.8" customHeight="1" s="1097">
      <c r="A12" s="995" t="inlineStr">
        <is>
          <t>购买方付出的资产，发生或承担的负债、发行的权益性证券的公允价值之和③</t>
        </is>
      </c>
      <c r="B12" s="1293" t="n"/>
      <c r="C12" s="1294" t="n"/>
      <c r="D12" s="1311">
        <f>SUM(D13:D17)</f>
        <v/>
      </c>
      <c r="E12" s="1312" t="n"/>
      <c r="F12" s="1311">
        <f>SUM(F13:F17)</f>
        <v/>
      </c>
      <c r="G12" s="1313" t="n"/>
      <c r="H12" s="1311">
        <f>SUM(H13:H17)</f>
        <v/>
      </c>
      <c r="I12" s="1314" t="n"/>
    </row>
    <row r="13" ht="19.95" customHeight="1" s="1097">
      <c r="A13" s="977" t="inlineStr">
        <is>
          <t>其中：现金</t>
        </is>
      </c>
      <c r="B13" s="1293" t="n"/>
      <c r="C13" s="1294" t="n"/>
      <c r="D13" s="1312" t="n"/>
      <c r="E13" s="1312" t="n"/>
      <c r="F13" s="1312" t="n"/>
      <c r="G13" s="1313" t="n"/>
      <c r="H13" s="1314" t="n"/>
      <c r="I13" s="1314" t="n"/>
    </row>
    <row r="14" ht="19.95" customHeight="1" s="1097">
      <c r="A14" s="995" t="inlineStr">
        <is>
          <t xml:space="preserve">      非现金资产的公允价值</t>
        </is>
      </c>
      <c r="B14" s="1293" t="n"/>
      <c r="C14" s="1294" t="n"/>
      <c r="D14" s="1312" t="n"/>
      <c r="E14" s="1312" t="n"/>
      <c r="F14" s="1312" t="n"/>
      <c r="G14" s="1313" t="n"/>
      <c r="H14" s="1314" t="n"/>
      <c r="I14" s="1314" t="n"/>
    </row>
    <row r="15" ht="19.95" customHeight="1" s="1097">
      <c r="A15" s="995" t="inlineStr">
        <is>
          <t xml:space="preserve">      发行或承担的债务的公允价值</t>
        </is>
      </c>
      <c r="B15" s="1293" t="n"/>
      <c r="C15" s="1294" t="n"/>
      <c r="D15" s="1312" t="n"/>
      <c r="E15" s="1312" t="n"/>
      <c r="F15" s="1312" t="n"/>
      <c r="G15" s="1313" t="n"/>
      <c r="H15" s="1314" t="n"/>
      <c r="I15" s="1314" t="n"/>
    </row>
    <row r="16" ht="19.95" customHeight="1" s="1097">
      <c r="A16" s="995" t="inlineStr">
        <is>
          <t xml:space="preserve">      发行的权益性证券的公允价值</t>
        </is>
      </c>
      <c r="B16" s="1293" t="n"/>
      <c r="C16" s="1294" t="n"/>
      <c r="D16" s="1312" t="n"/>
      <c r="E16" s="1312" t="n"/>
      <c r="F16" s="1312" t="n"/>
      <c r="G16" s="1313" t="n"/>
      <c r="H16" s="1314" t="n"/>
      <c r="I16" s="1314" t="n"/>
    </row>
    <row r="17" ht="19.95" customHeight="1" s="1097">
      <c r="A17" s="995" t="inlineStr">
        <is>
          <t xml:space="preserve">      或有对价的公允价值</t>
        </is>
      </c>
      <c r="B17" s="1293" t="n"/>
      <c r="C17" s="1294" t="n"/>
      <c r="D17" s="1312" t="n"/>
      <c r="E17" s="1312" t="n"/>
      <c r="F17" s="1312" t="n"/>
      <c r="G17" s="1313" t="n"/>
      <c r="H17" s="1314" t="n"/>
      <c r="I17" s="1314" t="n"/>
    </row>
    <row r="18" ht="19.95" customHeight="1" s="1097">
      <c r="A18" s="995" t="inlineStr">
        <is>
          <t>购买日之前持有的股权于购买日的公允价值④</t>
        </is>
      </c>
      <c r="B18" s="1293" t="n"/>
      <c r="C18" s="1294" t="n"/>
      <c r="D18" s="1315" t="n"/>
      <c r="E18" s="63" t="n"/>
      <c r="F18" s="1315" t="n"/>
      <c r="G18" s="61" t="n"/>
      <c r="H18" s="1315" t="n"/>
      <c r="I18" s="1310" t="n"/>
    </row>
    <row r="19" ht="31.8" customHeight="1" s="1097">
      <c r="A19" s="995" t="inlineStr">
        <is>
          <t>购买方付出的资产，发生或承担的负债、发行的权益性证券的账面价值之和⑤</t>
        </is>
      </c>
      <c r="B19" s="1293" t="n"/>
      <c r="C19" s="1294" t="n"/>
      <c r="D19" s="63" t="n"/>
      <c r="E19" s="63" t="n"/>
      <c r="F19" s="63" t="n"/>
      <c r="G19" s="61" t="n"/>
      <c r="H19" s="1310" t="n"/>
      <c r="I19" s="1310" t="n"/>
    </row>
    <row r="20" ht="19.95" customHeight="1" s="1097">
      <c r="A20" s="977" t="inlineStr">
        <is>
          <t>投资方初始投资成本：⑥=③+④</t>
        </is>
      </c>
      <c r="B20" s="1293" t="n"/>
      <c r="C20" s="1294" t="n"/>
      <c r="D20" s="1316">
        <f>D12+D18</f>
        <v/>
      </c>
      <c r="E20" s="63" t="n"/>
      <c r="F20" s="1316">
        <f>F12+F18</f>
        <v/>
      </c>
      <c r="G20" s="61" t="n"/>
      <c r="H20" s="1316">
        <f>H12+H18</f>
        <v/>
      </c>
      <c r="I20" s="1310" t="n"/>
    </row>
    <row r="21" ht="19.95" customHeight="1" s="1097">
      <c r="A21" s="977" t="inlineStr">
        <is>
          <t>记入当期损益（营业外收入）⑦=③-⑤</t>
        </is>
      </c>
      <c r="B21" s="1293" t="n"/>
      <c r="C21" s="1294" t="n"/>
      <c r="D21" s="1316">
        <f>D12-D19</f>
        <v/>
      </c>
      <c r="E21" s="63" t="n"/>
      <c r="F21" s="1316">
        <f>F12-F19</f>
        <v/>
      </c>
      <c r="G21" s="61" t="n"/>
      <c r="H21" s="1316">
        <f>H12-H19</f>
        <v/>
      </c>
      <c r="I21" s="1310" t="n"/>
    </row>
    <row r="22" ht="27.6" customHeight="1" s="1097">
      <c r="A22" s="977" t="inlineStr">
        <is>
          <t>合并报表中的商誉或损益（或吸收合并时计入母公司报表中的商誉或损益）⑧=⑥-①*②</t>
        </is>
      </c>
      <c r="B22" s="1293" t="n"/>
      <c r="C22" s="1294" t="n"/>
      <c r="D22" s="1316">
        <f>D20-D10*D11</f>
        <v/>
      </c>
      <c r="E22" s="63" t="n"/>
      <c r="F22" s="1316">
        <f>F20-F10*F11</f>
        <v/>
      </c>
      <c r="G22" s="61" t="n"/>
      <c r="H22" s="1316">
        <f>H20-H10*H11</f>
        <v/>
      </c>
      <c r="I22" s="1310" t="n"/>
    </row>
    <row r="23" ht="19.95" customHeight="1" s="1097">
      <c r="A23" s="55" t="n"/>
      <c r="B23" s="55" t="n"/>
      <c r="C23" s="55" t="n"/>
      <c r="D23" s="64" t="n"/>
      <c r="E23" s="64" t="n"/>
      <c r="F23" s="64" t="n"/>
      <c r="G23" s="64" t="n"/>
      <c r="H23" s="64" t="n"/>
      <c r="I23" s="64" t="n"/>
    </row>
    <row r="24" ht="19.95" customHeight="1" s="1097">
      <c r="A24" s="54" t="inlineStr">
        <is>
          <t>2、通过多次交易分步实现的非同一控制下企业合并（不构成一揽子交易）</t>
        </is>
      </c>
      <c r="B24" s="56" t="n"/>
      <c r="C24" s="56" t="n"/>
      <c r="D24" s="56" t="n"/>
      <c r="E24" s="56" t="n"/>
      <c r="F24" s="56" t="n"/>
      <c r="G24" s="56" t="n"/>
      <c r="H24" s="56" t="n"/>
      <c r="I24" s="56" t="n"/>
    </row>
    <row r="25" ht="19.95" customHeight="1" s="1097">
      <c r="A25" s="1001" t="inlineStr">
        <is>
          <t>项目</t>
        </is>
      </c>
      <c r="B25" s="1293" t="n"/>
      <c r="C25" s="1294" t="n"/>
      <c r="D25" s="998" t="inlineStr">
        <is>
          <t>M公司</t>
        </is>
      </c>
      <c r="E25" s="1293" t="n"/>
      <c r="F25" s="1294" t="n"/>
      <c r="G25" s="998" t="inlineStr">
        <is>
          <t>N公司</t>
        </is>
      </c>
      <c r="H25" s="1293" t="n"/>
      <c r="I25" s="1294" t="n"/>
    </row>
    <row r="26" ht="19.95" customHeight="1" s="1097">
      <c r="A26" s="999" t="inlineStr">
        <is>
          <t>次别</t>
        </is>
      </c>
      <c r="B26" s="1293" t="n"/>
      <c r="C26" s="1294" t="n"/>
      <c r="D26" s="79" t="n">
        <v>1</v>
      </c>
      <c r="E26" s="79" t="n">
        <v>2</v>
      </c>
      <c r="F26" s="79" t="inlineStr">
        <is>
          <t>小计</t>
        </is>
      </c>
      <c r="G26" s="79" t="n">
        <v>1</v>
      </c>
      <c r="H26" s="79" t="n">
        <v>2</v>
      </c>
      <c r="I26" s="86" t="inlineStr">
        <is>
          <t>小计</t>
        </is>
      </c>
    </row>
    <row r="27" ht="19.95" customHeight="1" s="1097">
      <c r="A27" s="995" t="inlineStr">
        <is>
          <t>交易日期</t>
        </is>
      </c>
      <c r="B27" s="1293" t="n"/>
      <c r="C27" s="1294" t="n"/>
      <c r="D27" s="644" t="n"/>
      <c r="E27" s="644" t="n"/>
      <c r="F27" s="645" t="inlineStr">
        <is>
          <t>--</t>
        </is>
      </c>
      <c r="G27" s="646" t="n"/>
      <c r="H27" s="646" t="n"/>
      <c r="I27" s="379" t="inlineStr">
        <is>
          <t>--</t>
        </is>
      </c>
    </row>
    <row r="28" ht="19.95" customHeight="1" s="1097">
      <c r="A28" s="995" t="inlineStr">
        <is>
          <t>购买比例①</t>
        </is>
      </c>
      <c r="B28" s="1293" t="n"/>
      <c r="C28" s="1294" t="n"/>
      <c r="D28" s="85" t="n"/>
      <c r="E28" s="85" t="n"/>
      <c r="F28" s="380">
        <f>SUM(D28:E28)</f>
        <v/>
      </c>
      <c r="G28" s="81" t="n"/>
      <c r="H28" s="81" t="n"/>
      <c r="I28" s="380">
        <f>SUM(G28:H28)</f>
        <v/>
      </c>
    </row>
    <row r="29" ht="19.95" customHeight="1" s="1097">
      <c r="A29" s="995" t="inlineStr">
        <is>
          <t>支付对价②</t>
        </is>
      </c>
      <c r="B29" s="1293" t="n"/>
      <c r="C29" s="1294" t="n"/>
      <c r="D29" s="1314" t="n"/>
      <c r="E29" s="1314" t="n"/>
      <c r="F29" s="1316">
        <f>SUM(D29:E29)</f>
        <v/>
      </c>
      <c r="G29" s="1317" t="n"/>
      <c r="H29" s="1317" t="n"/>
      <c r="I29" s="1316">
        <f>SUM(G29:H29)</f>
        <v/>
      </c>
    </row>
    <row r="30" ht="27.6" customHeight="1" s="1097">
      <c r="A30" s="995" t="inlineStr">
        <is>
          <t>每笔交易发生时被投资方可辨认净资产的公允价值③</t>
        </is>
      </c>
      <c r="B30" s="1293" t="n"/>
      <c r="C30" s="1294" t="n"/>
      <c r="D30" s="1314" t="n"/>
      <c r="E30" s="1314" t="n"/>
      <c r="F30" s="379" t="inlineStr">
        <is>
          <t>--</t>
        </is>
      </c>
      <c r="G30" s="1317" t="n"/>
      <c r="H30" s="1317" t="n"/>
      <c r="I30" s="379" t="inlineStr">
        <is>
          <t>--</t>
        </is>
      </c>
    </row>
    <row r="31" ht="30.6" customHeight="1" s="1097">
      <c r="A31" s="977" t="inlineStr">
        <is>
          <t>每单交易应享有的被投资方可辨认净资产的公允价值的份额   ④=①*③</t>
        </is>
      </c>
      <c r="B31" s="1293" t="n"/>
      <c r="C31" s="1294" t="n"/>
      <c r="D31" s="1316">
        <f>D28*D30</f>
        <v/>
      </c>
      <c r="E31" s="1316">
        <f>E28*E30</f>
        <v/>
      </c>
      <c r="F31" s="1316">
        <f>SUM(D31:E31)</f>
        <v/>
      </c>
      <c r="G31" s="1316">
        <f>G28*G30</f>
        <v/>
      </c>
      <c r="H31" s="1316">
        <f>H28*H30</f>
        <v/>
      </c>
      <c r="I31" s="1316">
        <f>SUM(G31:H31)</f>
        <v/>
      </c>
    </row>
    <row r="32" ht="19.95" customHeight="1" s="1097">
      <c r="A32" s="977" t="inlineStr">
        <is>
          <t>每单交易应确认的商誉或损益⑤=②-④</t>
        </is>
      </c>
      <c r="B32" s="1293" t="n"/>
      <c r="C32" s="1294" t="n"/>
      <c r="D32" s="1318">
        <f>D29-D31</f>
        <v/>
      </c>
      <c r="E32" s="1318">
        <f>E29-E31</f>
        <v/>
      </c>
      <c r="F32" s="1316">
        <f>SUM(D32:E32)</f>
        <v/>
      </c>
      <c r="G32" s="1318">
        <f>G29-G31</f>
        <v/>
      </c>
      <c r="H32" s="1318">
        <f>H29-H31</f>
        <v/>
      </c>
      <c r="I32" s="1316">
        <f>SUM(G32:H32)</f>
        <v/>
      </c>
    </row>
    <row r="33" ht="38.4" customHeight="1" s="1097">
      <c r="A33" s="991" t="inlineStr">
        <is>
          <t>因权益法核算确认的长期股权投资其他综合收益、损益调整和其他变动或其他投资确认的计入其他综合收益的公允价值调整⑥</t>
        </is>
      </c>
      <c r="B33" s="1298" t="n"/>
      <c r="C33" s="1115" t="n"/>
      <c r="D33" s="1314" t="n"/>
      <c r="E33" s="1314" t="n"/>
      <c r="F33" s="1316">
        <f>SUM(D33:E33)</f>
        <v/>
      </c>
      <c r="G33" s="1314" t="n"/>
      <c r="H33" s="1314" t="n"/>
      <c r="I33" s="1316">
        <f>SUM(G33:H33)</f>
        <v/>
      </c>
    </row>
    <row r="34" ht="19.95" customHeight="1" s="1097">
      <c r="A34" s="977" t="inlineStr">
        <is>
          <t>合并日母公司长期股权投资的确认金额⑦=②+⑥</t>
        </is>
      </c>
      <c r="B34" s="1293" t="n"/>
      <c r="C34" s="1294" t="n"/>
      <c r="D34" s="379" t="inlineStr">
        <is>
          <t>--</t>
        </is>
      </c>
      <c r="E34" s="379" t="inlineStr">
        <is>
          <t>--</t>
        </is>
      </c>
      <c r="F34" s="1318">
        <f>F29+F33</f>
        <v/>
      </c>
      <c r="G34" s="379" t="inlineStr">
        <is>
          <t>--</t>
        </is>
      </c>
      <c r="H34" s="379" t="inlineStr">
        <is>
          <t>--</t>
        </is>
      </c>
      <c r="I34" s="1318">
        <f>I29+I33</f>
        <v/>
      </c>
    </row>
    <row r="35" ht="19.95" customHeight="1" s="1097"/>
    <row r="36" ht="19.95" customFormat="1" customHeight="1" s="102">
      <c r="A36" s="114" t="inlineStr">
        <is>
          <t>3、反向购买</t>
        </is>
      </c>
      <c r="B36" s="113" t="n"/>
      <c r="C36" s="113" t="n"/>
      <c r="D36" s="113" t="n"/>
      <c r="E36" s="113" t="n"/>
      <c r="F36" s="113" t="n"/>
      <c r="G36" s="113" t="n"/>
      <c r="H36" s="113" t="n"/>
      <c r="I36" s="113" t="n"/>
    </row>
    <row r="37" ht="36" customFormat="1" customHeight="1" s="121">
      <c r="A37" s="1308" t="inlineStr">
        <is>
          <t>交易内容</t>
        </is>
      </c>
      <c r="B37" s="1270" t="n"/>
      <c r="C37" s="951" t="inlineStr">
        <is>
          <t>会计上的购买方</t>
        </is>
      </c>
      <c r="D37" s="1008" t="inlineStr">
        <is>
          <t>会计上的购买方的股东</t>
        </is>
      </c>
      <c r="E37" s="951" t="inlineStr">
        <is>
          <t>会计上的被购买方（上市公司）</t>
        </is>
      </c>
      <c r="F37" s="951" t="inlineStr">
        <is>
          <t>会计上的被购买方的原股东（上市公司原股东）</t>
        </is>
      </c>
      <c r="G37" s="951" t="inlineStr">
        <is>
          <t>判断构成反向购买的依据</t>
        </is>
      </c>
      <c r="H37" s="951" t="inlineStr">
        <is>
          <t>是否构成业务及其判断依据</t>
        </is>
      </c>
      <c r="I37" s="103" t="inlineStr">
        <is>
          <t>索引号</t>
        </is>
      </c>
    </row>
    <row r="38" ht="19.95" customFormat="1" customHeight="1" s="115">
      <c r="A38" s="118" t="n"/>
      <c r="B38" s="119" t="n"/>
      <c r="C38" s="116" t="n"/>
      <c r="D38" s="46" t="n"/>
      <c r="E38" s="46" t="n"/>
      <c r="F38" s="46" t="n"/>
      <c r="G38" s="117" t="n"/>
      <c r="H38" s="117" t="n"/>
      <c r="I38" s="117" t="n"/>
    </row>
    <row r="39" ht="19.95" customFormat="1" customHeight="1" s="115">
      <c r="A39" s="118" t="n"/>
      <c r="B39" s="119" t="n"/>
      <c r="C39" s="116" t="n"/>
      <c r="D39" s="46" t="n"/>
      <c r="E39" s="46" t="n"/>
      <c r="F39" s="46" t="n"/>
      <c r="G39" s="117" t="n"/>
      <c r="H39" s="117" t="n"/>
      <c r="I39" s="117" t="n"/>
    </row>
    <row r="40" ht="19.95" customFormat="1" customHeight="1" s="115">
      <c r="A40" s="120" t="n"/>
      <c r="B40" s="99" t="n"/>
      <c r="C40" s="47" t="n"/>
      <c r="D40" s="38" t="n"/>
      <c r="E40" s="38" t="n"/>
      <c r="F40" s="117" t="n"/>
      <c r="G40" s="117" t="n"/>
      <c r="H40" s="117" t="n"/>
      <c r="I40" s="117" t="n"/>
    </row>
    <row r="41" ht="19.95" customHeight="1" s="1097">
      <c r="A41" s="23" t="inlineStr">
        <is>
          <t>三、审计说明</t>
        </is>
      </c>
    </row>
    <row r="42" ht="19.95" customHeight="1" s="1097"/>
    <row r="43" ht="19.95" customHeight="1" s="1097"/>
    <row r="44" ht="19.95" customHeight="1" s="1097">
      <c r="A44" s="23" t="inlineStr">
        <is>
          <t>四、审计结论</t>
        </is>
      </c>
    </row>
    <row r="45" ht="19.95" customHeight="1" s="1097"/>
    <row r="46" ht="19.95" customHeight="1" s="1097"/>
    <row r="47" ht="20.1" customHeight="1" s="1097">
      <c r="A47" s="58" t="inlineStr">
        <is>
          <t>提示：</t>
        </is>
      </c>
      <c r="B47" s="58" t="n"/>
      <c r="C47" s="58" t="n"/>
      <c r="D47" s="58" t="n"/>
      <c r="E47" s="58" t="n"/>
      <c r="F47" s="58" t="n"/>
      <c r="G47" s="59" t="n"/>
      <c r="H47" s="1309" t="n"/>
      <c r="I47" s="1309" t="n"/>
    </row>
    <row r="48" ht="20.1" customHeight="1" s="1097">
      <c r="A48" s="57" t="inlineStr">
        <is>
          <t>3、合并方式取得的长期股权投资初始投资成本：</t>
        </is>
      </c>
      <c r="B48" s="54" t="n"/>
      <c r="C48" s="54" t="n"/>
      <c r="D48" s="54" t="n"/>
      <c r="E48" s="54" t="n"/>
      <c r="F48" s="54" t="n"/>
      <c r="G48" s="54" t="n"/>
      <c r="H48" s="54" t="n"/>
      <c r="I48" s="54" t="n"/>
    </row>
    <row r="49">
      <c r="A49" s="57" t="inlineStr">
        <is>
          <t>A、购买方为企业合并发生的审计、法律服务、评估咨询等中介费用以及其他相关管理费用，应当于发生时计入当期损益；购买方作为合并对价发行的权益性证券或债务性证券的交易费用，应当计入权益性证券或债务性证券的初始确认金额。</t>
        </is>
      </c>
      <c r="B49" s="57" t="n"/>
      <c r="C49" s="57" t="n"/>
      <c r="D49" s="57" t="n"/>
      <c r="E49" s="57" t="n"/>
      <c r="F49" s="57" t="n"/>
      <c r="G49" s="57" t="n"/>
      <c r="H49" s="57" t="n"/>
      <c r="I49" s="57" t="n"/>
    </row>
    <row r="50" ht="20.1" customHeight="1" s="1097">
      <c r="A50" s="57" t="inlineStr">
        <is>
          <t>B、取得投资时点一般会与评估基准日有时间差异，请注意公允价值的调整。</t>
        </is>
      </c>
      <c r="B50" s="537" t="n"/>
      <c r="C50" s="537" t="n"/>
      <c r="D50" s="537" t="n"/>
      <c r="E50" s="537" t="n"/>
      <c r="F50" s="537" t="n"/>
      <c r="G50" s="537" t="n"/>
      <c r="H50" s="537" t="n"/>
      <c r="I50" s="537" t="n"/>
    </row>
    <row r="51" ht="20.1" customHeight="1" s="1097">
      <c r="A51" s="57" t="inlineStr">
        <is>
          <t>C、如果分步取得对子公司股权投资直至取得控制权的各项交易属于“一揽子交易”，应当将各项交易作为一项取得子公司控制权的交易。</t>
        </is>
      </c>
      <c r="B51" s="57" t="n"/>
      <c r="C51" s="57" t="n"/>
      <c r="D51" s="57" t="n"/>
      <c r="E51" s="57" t="n"/>
      <c r="F51" s="57" t="n"/>
      <c r="G51" s="57" t="n"/>
      <c r="H51" s="57" t="n"/>
      <c r="I51" s="57" t="n"/>
    </row>
    <row r="52" ht="20.1" customHeight="1" s="1097">
      <c r="A52" s="57" t="inlineStr">
        <is>
          <t>4、通过多次交易分步实现的非同一控制下企业合并（不构成一揽子交易）</t>
        </is>
      </c>
      <c r="B52" s="56" t="n"/>
      <c r="C52" s="56" t="n"/>
      <c r="D52" s="56" t="n"/>
      <c r="E52" s="56" t="n"/>
      <c r="F52" s="56" t="n"/>
      <c r="G52" s="56" t="n"/>
      <c r="H52" s="56" t="n"/>
      <c r="I52" s="56" t="n"/>
    </row>
    <row r="53">
      <c r="A53" s="57" t="inlineStr">
        <is>
          <t>A、通过多次交换交易分步实现非同一控制下企业合并的，在个别财务报表中，以购买日之前所持被购买方的股权投资的账面价值与购买日新增投资成本之和，作为该项投资的初始投资成本。购买日之前持有的股权投资因采用权益法核算而确认的其他综合收益，应当在处置该项投资时采用与被投资单位直接处置相关资产或负债相同的基础进行会计处理；因被投资方除净损益、其他综合收益和利润分配以外的其他所有者权益变动而确认的所有者权益，应当在处置该项投资时转入处置期间的当期损益。购买日之前持有的股权投资按照《企业会计准则第22号——金融工具确认和计量》的有关规定进行会计处理的，原计入其他综合收益的累计公允价值变动应当在改按成本法核算时转入当期损益。</t>
        </is>
      </c>
      <c r="B53" s="57" t="n"/>
      <c r="C53" s="57" t="n"/>
      <c r="D53" s="57" t="n"/>
      <c r="E53" s="57" t="n"/>
      <c r="F53" s="57" t="n"/>
      <c r="G53" s="57" t="n"/>
      <c r="H53" s="57" t="n"/>
      <c r="I53" s="57" t="n"/>
    </row>
  </sheetData>
  <mergeCells count="30">
    <mergeCell ref="A25:C25"/>
    <mergeCell ref="A18:C18"/>
    <mergeCell ref="A27:C27"/>
    <mergeCell ref="A21:C21"/>
    <mergeCell ref="A12:C12"/>
    <mergeCell ref="A26:C26"/>
    <mergeCell ref="A33:C33"/>
    <mergeCell ref="A2:I2"/>
    <mergeCell ref="A32:C32"/>
    <mergeCell ref="A14:C14"/>
    <mergeCell ref="A8:C8"/>
    <mergeCell ref="A22:C22"/>
    <mergeCell ref="A17:C17"/>
    <mergeCell ref="A37:B37"/>
    <mergeCell ref="A29:C29"/>
    <mergeCell ref="D25:F25"/>
    <mergeCell ref="A20:C20"/>
    <mergeCell ref="G25:I25"/>
    <mergeCell ref="A10:C10"/>
    <mergeCell ref="A28:C28"/>
    <mergeCell ref="A19:C19"/>
    <mergeCell ref="A13:C13"/>
    <mergeCell ref="A31:C31"/>
    <mergeCell ref="A9:C9"/>
    <mergeCell ref="A30:C30"/>
    <mergeCell ref="A34:C34"/>
    <mergeCell ref="A15:C15"/>
    <mergeCell ref="A11:C11"/>
    <mergeCell ref="A1:I1"/>
    <mergeCell ref="A16:C16"/>
  </mergeCells>
  <hyperlinks>
    <hyperlink ref="I3" location="底稿目录!F15" display="底稿目录!F15"/>
  </hyperlinks>
  <pageMargins left="0.7086614173228347" right="0.7086614173228347" top="0.7480314960629921" bottom="0.7480314960629921" header="0.3149606299212598" footer="0.3149606299212598"/>
  <pageSetup orientation="landscape" paperSize="9" fitToHeight="0" blackAndWhite="1"/>
  <headerFooter>
    <oddHeader/>
    <oddFooter>&amp;C&amp;P/&amp;N</oddFooter>
    <evenHeader/>
    <evenFooter/>
    <firstHeader/>
    <firstFooter/>
  </headerFooter>
  <rowBreaks count="1" manualBreakCount="1">
    <brk id="23" min="0" max="8" man="1"/>
  </rowBreaks>
</worksheet>
</file>

<file path=xl/worksheets/sheet14.xml><?xml version="1.0" encoding="utf-8"?>
<worksheet xmlns="http://schemas.openxmlformats.org/spreadsheetml/2006/main">
  <sheetPr codeName="Sheet14">
    <outlinePr summaryBelow="1" summaryRight="1"/>
    <pageSetUpPr/>
  </sheetPr>
  <dimension ref="A1:I48"/>
  <sheetViews>
    <sheetView view="pageBreakPreview" zoomScale="110" zoomScaleSheetLayoutView="110" workbookViewId="0">
      <selection activeCell="A1" sqref="A1:I1"/>
    </sheetView>
  </sheetViews>
  <sheetFormatPr baseColWidth="8" defaultColWidth="9" defaultRowHeight="15.6" outlineLevelCol="0"/>
  <cols>
    <col width="10.69921875" customWidth="1" style="90" min="1" max="1"/>
    <col width="12.5" customWidth="1" style="90" min="2" max="2"/>
    <col width="11" customWidth="1" style="90" min="3" max="3"/>
    <col width="13.09765625" customWidth="1" style="90" min="4" max="4"/>
    <col width="15.59765625" customWidth="1" style="90" min="5" max="5"/>
    <col width="18.8984375" customWidth="1" style="90" min="6" max="6"/>
    <col width="14.5" customWidth="1" style="90" min="7" max="7"/>
    <col width="12.3984375" customWidth="1" style="90" min="8" max="8"/>
    <col width="12.5" customWidth="1" style="90" min="9" max="9"/>
    <col width="9" customWidth="1" style="90" min="10" max="16384"/>
  </cols>
  <sheetData>
    <row r="1" ht="19.95" customFormat="1" customHeight="1" s="617">
      <c r="A1" s="942" t="inlineStr">
        <is>
          <t>致同会计师事务所</t>
        </is>
      </c>
    </row>
    <row r="2" ht="19.95" customFormat="1" customHeight="1" s="630">
      <c r="A2" s="943" t="inlineStr">
        <is>
          <t>子公司后续计量测试表</t>
        </is>
      </c>
    </row>
    <row r="3" ht="19.95" customFormat="1" customHeight="1" s="207">
      <c r="A3" s="207">
        <f>底稿目录!A2</f>
        <v/>
      </c>
      <c r="D3" s="207">
        <f>底稿目录!A4</f>
        <v/>
      </c>
      <c r="F3" s="229">
        <f>底稿目录!A5</f>
        <v/>
      </c>
      <c r="G3" s="229" t="n"/>
      <c r="H3" s="207" t="inlineStr">
        <is>
          <t>索引号：</t>
        </is>
      </c>
      <c r="I3" s="1096">
        <f>底稿目录!F16</f>
        <v/>
      </c>
    </row>
    <row r="4" ht="19.95" customFormat="1" customHeight="1" s="207">
      <c r="A4" s="207">
        <f>底稿目录!A3</f>
        <v/>
      </c>
      <c r="D4" s="207">
        <f>底稿目录!A6</f>
        <v/>
      </c>
      <c r="F4" s="229">
        <f>底稿目录!A7</f>
        <v/>
      </c>
      <c r="G4" s="229" t="n"/>
      <c r="H4" s="207" t="inlineStr">
        <is>
          <t>页 次：</t>
        </is>
      </c>
    </row>
    <row r="5" ht="19.95" customHeight="1" s="1097">
      <c r="A5" s="74" t="inlineStr">
        <is>
          <t>一、审计目标：</t>
        </is>
      </c>
      <c r="B5" s="74" t="n"/>
      <c r="C5" s="2" t="inlineStr">
        <is>
          <t>确定子公司长期股权投资及其相关账户后续计量是否正确。</t>
        </is>
      </c>
    </row>
    <row r="6" ht="19.95" customHeight="1" s="1097">
      <c r="A6" s="75" t="inlineStr">
        <is>
          <t>二、审计过程：</t>
        </is>
      </c>
      <c r="B6" s="75" t="n"/>
    </row>
    <row r="7" ht="19.95" customFormat="1" customHeight="1" s="89">
      <c r="A7" s="72" t="inlineStr">
        <is>
          <t>1、被投资单位分配股利测算</t>
        </is>
      </c>
      <c r="B7" s="77" t="n"/>
      <c r="C7" s="77" t="n"/>
      <c r="D7" s="77" t="n"/>
      <c r="E7" s="77" t="n"/>
      <c r="F7" s="77" t="n"/>
      <c r="G7" s="77" t="n"/>
      <c r="H7" s="77" t="n"/>
    </row>
    <row r="8" ht="24" customFormat="1" customHeight="1" s="88">
      <c r="A8" s="589" t="inlineStr">
        <is>
          <t>公司名称</t>
        </is>
      </c>
      <c r="B8" s="590" t="inlineStr">
        <is>
          <t>分配方案、股东/董事会决议</t>
        </is>
      </c>
      <c r="C8" s="73" t="inlineStr">
        <is>
          <t>持股比例</t>
        </is>
      </c>
      <c r="D8" s="73" t="inlineStr">
        <is>
          <t>宣告分派股利日</t>
        </is>
      </c>
      <c r="E8" s="73" t="inlineStr">
        <is>
          <t>主要股利分配政策</t>
        </is>
      </c>
      <c r="F8" s="73" t="inlineStr">
        <is>
          <t>宣告分派的股利金额</t>
        </is>
      </c>
      <c r="G8" s="73" t="inlineStr">
        <is>
          <t>被审计单位应分配股利</t>
        </is>
      </c>
      <c r="H8" s="1001" t="inlineStr">
        <is>
          <t>实际入账股利</t>
        </is>
      </c>
      <c r="I8" s="1001" t="inlineStr">
        <is>
          <t>差异</t>
        </is>
      </c>
    </row>
    <row r="9" ht="19.95" customFormat="1" customHeight="1" s="2">
      <c r="A9" s="87" t="n"/>
      <c r="B9" s="91" t="n"/>
      <c r="C9" s="641" t="n"/>
      <c r="D9" s="647" t="n"/>
      <c r="E9" s="78" t="n"/>
      <c r="F9" s="61" t="n"/>
      <c r="G9" s="1319">
        <f>C9*F9</f>
        <v/>
      </c>
      <c r="H9" s="71" t="n"/>
      <c r="I9" s="1319">
        <f>G9-H9</f>
        <v/>
      </c>
    </row>
    <row r="10" ht="19.95" customFormat="1" customHeight="1" s="2">
      <c r="A10" s="87" t="n"/>
      <c r="B10" s="91" t="n"/>
      <c r="C10" s="641" t="n"/>
      <c r="D10" s="647" t="n"/>
      <c r="E10" s="78" t="n"/>
      <c r="F10" s="61" t="n"/>
      <c r="G10" s="1319">
        <f>C10*F10</f>
        <v/>
      </c>
      <c r="H10" s="71" t="n"/>
      <c r="I10" s="1319">
        <f>G10-H10</f>
        <v/>
      </c>
    </row>
    <row r="11" ht="19.95" customFormat="1" customHeight="1" s="2">
      <c r="A11" s="87" t="n"/>
      <c r="B11" s="91" t="n"/>
      <c r="C11" s="641" t="n"/>
      <c r="D11" s="647" t="n"/>
      <c r="E11" s="78" t="n"/>
      <c r="F11" s="61" t="n"/>
      <c r="G11" s="1319">
        <f>C11*F11</f>
        <v/>
      </c>
      <c r="H11" s="71" t="n"/>
      <c r="I11" s="1319">
        <f>G11-H11</f>
        <v/>
      </c>
    </row>
    <row r="12" ht="19.95" customFormat="1" customHeight="1" s="2">
      <c r="A12" s="87" t="n"/>
      <c r="B12" s="91" t="n"/>
      <c r="C12" s="641" t="n"/>
      <c r="D12" s="647" t="n"/>
      <c r="E12" s="78" t="n"/>
      <c r="F12" s="61" t="n"/>
      <c r="G12" s="1319">
        <f>C12*F12</f>
        <v/>
      </c>
      <c r="H12" s="71" t="n"/>
      <c r="I12" s="1319">
        <f>G12-H12</f>
        <v/>
      </c>
    </row>
    <row r="13" ht="19.95" customFormat="1" customHeight="1" s="2">
      <c r="A13" s="87" t="n"/>
      <c r="B13" s="91" t="n"/>
      <c r="C13" s="641" t="n"/>
      <c r="D13" s="647" t="n"/>
      <c r="E13" s="78" t="n"/>
      <c r="F13" s="61" t="n"/>
      <c r="G13" s="1319">
        <f>C13*F13</f>
        <v/>
      </c>
      <c r="H13" s="71" t="n"/>
      <c r="I13" s="1319">
        <f>G13-H13</f>
        <v/>
      </c>
    </row>
    <row r="14" ht="19.95" customHeight="1" s="1097">
      <c r="A14" s="54" t="inlineStr">
        <is>
          <t>2、购买少数股东股权的处理</t>
        </is>
      </c>
      <c r="B14" s="54" t="n"/>
      <c r="C14" s="54" t="n"/>
      <c r="D14" s="54" t="n"/>
      <c r="E14" s="54" t="n"/>
      <c r="F14" s="54" t="n"/>
      <c r="G14" s="54" t="n"/>
      <c r="H14" s="54" t="n"/>
    </row>
    <row r="15" ht="19.95" customHeight="1" s="1097">
      <c r="A15" s="951" t="inlineStr">
        <is>
          <t>项  目</t>
        </is>
      </c>
      <c r="B15" s="1270" t="n"/>
      <c r="C15" s="956" t="inlineStr">
        <is>
          <t>公司1</t>
        </is>
      </c>
      <c r="D15" s="956" t="inlineStr">
        <is>
          <t>公司2</t>
        </is>
      </c>
      <c r="E15" s="1008" t="inlineStr">
        <is>
          <t>项  目</t>
        </is>
      </c>
      <c r="F15" s="1270" t="n"/>
      <c r="G15" s="956" t="inlineStr">
        <is>
          <t>公司1</t>
        </is>
      </c>
      <c r="H15" s="956" t="inlineStr">
        <is>
          <t>公司2</t>
        </is>
      </c>
    </row>
    <row r="16" ht="27.6" customHeight="1" s="1097">
      <c r="A16" s="1004" t="inlineStr">
        <is>
          <t>新增日长期股权投资账面价值</t>
        </is>
      </c>
      <c r="B16" s="1270" t="n"/>
      <c r="C16" s="109" t="n"/>
      <c r="D16" s="109" t="n"/>
      <c r="E16" s="1002" t="inlineStr">
        <is>
          <t>子公司自购买日(或合并日)开始持续计算的可辨认净资产的公允价值③</t>
        </is>
      </c>
      <c r="F16" s="1270" t="n"/>
      <c r="G16" s="188" t="n"/>
      <c r="H16" s="27" t="n"/>
    </row>
    <row r="17" ht="43.2" customHeight="1" s="1097">
      <c r="A17" s="1002" t="inlineStr">
        <is>
          <t xml:space="preserve">原持股比例   </t>
        </is>
      </c>
      <c r="B17" s="1270" t="n"/>
      <c r="C17" s="648" t="n"/>
      <c r="D17" s="648" t="n"/>
      <c r="E17" s="1002" t="inlineStr">
        <is>
          <t>按新增持股比例计算应享有子公司自购买日(或合并日)开始持续计算的可辨认净资产的公允价值的份额  ④=③*①</t>
        </is>
      </c>
      <c r="F17" s="1270" t="n"/>
      <c r="G17" s="1320">
        <f>G16*C18</f>
        <v/>
      </c>
      <c r="H17" s="1320">
        <f>H16*D18</f>
        <v/>
      </c>
    </row>
    <row r="18" ht="19.95" customHeight="1" s="1097">
      <c r="A18" s="1004" t="inlineStr">
        <is>
          <t>新增的持股比例①</t>
        </is>
      </c>
      <c r="B18" s="1270" t="n"/>
      <c r="C18" s="648" t="n"/>
      <c r="D18" s="648" t="n"/>
      <c r="E18" s="1002" t="inlineStr">
        <is>
          <t>调整合并报表中的资本公积/留存收益⑤=④-②</t>
        </is>
      </c>
      <c r="F18" s="1270" t="n"/>
      <c r="G18" s="1321">
        <f>G17-C19</f>
        <v/>
      </c>
      <c r="H18" s="1321">
        <f>H17-D19</f>
        <v/>
      </c>
    </row>
    <row r="19" ht="19.95" customHeight="1" s="1097">
      <c r="A19" s="1004" t="inlineStr">
        <is>
          <t>购买成本②</t>
        </is>
      </c>
      <c r="B19" s="1270" t="n"/>
      <c r="C19" s="1322">
        <f>SUM(C20:C24)</f>
        <v/>
      </c>
      <c r="D19" s="1322">
        <f>SUM(D20:D24)</f>
        <v/>
      </c>
      <c r="E19" s="1002" t="inlineStr">
        <is>
          <t>其中：调整资本公积</t>
        </is>
      </c>
      <c r="F19" s="1270" t="n"/>
      <c r="G19" s="189" t="n"/>
      <c r="H19" s="189" t="n"/>
      <c r="I19" s="27" t="n"/>
    </row>
    <row r="20" ht="19.95" customHeight="1" s="1097">
      <c r="A20" s="1004" t="inlineStr">
        <is>
          <t>其中：现金</t>
        </is>
      </c>
      <c r="B20" s="1270" t="n"/>
      <c r="C20" s="109" t="n"/>
      <c r="D20" s="70" t="n"/>
      <c r="E20" s="1002" t="inlineStr">
        <is>
          <t xml:space="preserve">             调整盈余公积</t>
        </is>
      </c>
      <c r="F20" s="1270" t="n"/>
      <c r="G20" s="189" t="n"/>
      <c r="H20" s="189" t="n"/>
      <c r="I20" s="27" t="n"/>
    </row>
    <row r="21" ht="19.95" customHeight="1" s="1097">
      <c r="A21" s="1005" t="inlineStr">
        <is>
          <t>非现金资产的公允价值</t>
        </is>
      </c>
      <c r="B21" s="1270" t="n"/>
      <c r="C21" s="109" t="n"/>
      <c r="D21" s="70" t="n"/>
      <c r="E21" s="1002" t="inlineStr">
        <is>
          <t xml:space="preserve">             调整未分配利润</t>
        </is>
      </c>
      <c r="F21" s="1270" t="n"/>
      <c r="G21" s="189" t="n"/>
      <c r="H21" s="189" t="n"/>
      <c r="I21" s="27" t="n"/>
    </row>
    <row r="22" ht="27.6" customHeight="1" s="1097">
      <c r="A22" s="1005" t="inlineStr">
        <is>
          <t>发行或承担的债务的账面价值</t>
        </is>
      </c>
      <c r="B22" s="1270" t="n"/>
      <c r="C22" s="109" t="n"/>
      <c r="D22" s="70" t="n"/>
      <c r="E22" s="1004" t="inlineStr">
        <is>
          <t>索引号</t>
        </is>
      </c>
      <c r="F22" s="1270" t="n"/>
      <c r="G22" s="189" t="n"/>
      <c r="H22" s="189" t="n"/>
      <c r="I22" s="27" t="n"/>
    </row>
    <row r="23" ht="19.95" customHeight="1" s="1097">
      <c r="A23" s="1003" t="inlineStr">
        <is>
          <t>发行的权益性证券的面值</t>
        </is>
      </c>
      <c r="B23" s="1270" t="n"/>
      <c r="C23" s="189" t="n"/>
      <c r="D23" s="70" t="n"/>
      <c r="E23" s="561" t="n"/>
      <c r="F23" s="38" t="n"/>
      <c r="G23" s="189" t="n"/>
      <c r="H23" s="189" t="n"/>
      <c r="I23" s="27" t="n"/>
    </row>
    <row r="24" ht="19.95" customHeight="1" s="1097">
      <c r="A24" s="1003" t="inlineStr">
        <is>
          <t>或有对价</t>
        </is>
      </c>
      <c r="B24" s="1270" t="n"/>
      <c r="C24" s="189" t="n"/>
      <c r="D24" s="70" t="n"/>
      <c r="E24" s="539" t="n"/>
      <c r="F24" s="540" t="n"/>
      <c r="G24" s="545" t="n"/>
      <c r="H24" s="545" t="n"/>
      <c r="I24" s="545" t="n"/>
    </row>
    <row r="25" ht="26.4" customHeight="1" s="1097">
      <c r="A25" s="995" t="inlineStr">
        <is>
          <t>购买少数股权后长期股权投资账面价值</t>
        </is>
      </c>
      <c r="B25" s="1294" t="n"/>
      <c r="C25" s="1318">
        <f>C16+C19</f>
        <v/>
      </c>
      <c r="D25" s="1318">
        <f>D16+D19</f>
        <v/>
      </c>
      <c r="E25" s="541" t="n"/>
      <c r="F25" s="542" t="n"/>
      <c r="G25" s="545" t="n"/>
      <c r="H25" s="545" t="n"/>
      <c r="I25" s="545" t="n"/>
    </row>
    <row r="26" ht="19.95" customHeight="1" s="1097"/>
    <row r="27" ht="19.95" customHeight="1" s="1097">
      <c r="A27" s="54" t="inlineStr">
        <is>
          <t>3、处置子公司权益但不丧失控制权</t>
        </is>
      </c>
      <c r="B27" s="56" t="n"/>
      <c r="C27" s="56" t="n"/>
      <c r="D27" s="56" t="n"/>
      <c r="E27" s="56" t="n"/>
      <c r="F27" s="56" t="n"/>
      <c r="G27" s="64" t="n"/>
      <c r="H27" s="64" t="n"/>
    </row>
    <row r="28" ht="19.95" customFormat="1" customHeight="1" s="2">
      <c r="A28" s="951" t="inlineStr">
        <is>
          <t>项  目</t>
        </is>
      </c>
      <c r="B28" s="1270" t="n"/>
      <c r="C28" s="594" t="inlineStr">
        <is>
          <t>公司1</t>
        </is>
      </c>
      <c r="D28" s="594" t="inlineStr">
        <is>
          <t>公司2</t>
        </is>
      </c>
      <c r="E28" s="951" t="inlineStr">
        <is>
          <t>项  目</t>
        </is>
      </c>
      <c r="F28" s="1270" t="n"/>
      <c r="G28" s="594" t="inlineStr">
        <is>
          <t>公司1</t>
        </is>
      </c>
      <c r="H28" s="594" t="inlineStr">
        <is>
          <t>公司2</t>
        </is>
      </c>
      <c r="I28" s="591" t="n"/>
    </row>
    <row r="29" ht="30.6" customFormat="1" customHeight="1" s="2">
      <c r="A29" s="1004" t="inlineStr">
        <is>
          <t>处置日长期股权投资账面价值①</t>
        </is>
      </c>
      <c r="B29" s="1270" t="n"/>
      <c r="C29" s="109" t="n"/>
      <c r="D29" s="109" t="n"/>
      <c r="E29" s="1002" t="inlineStr">
        <is>
          <t>子公司自购买日(或合并日)开始持续计算的可辨认净资产的公允价值⑥</t>
        </is>
      </c>
      <c r="F29" s="1270" t="n"/>
      <c r="G29" s="109" t="n"/>
      <c r="H29" s="109" t="n"/>
      <c r="I29" s="27" t="n"/>
    </row>
    <row r="30" ht="39" customFormat="1" customHeight="1" s="2">
      <c r="A30" s="1004" t="inlineStr">
        <is>
          <t>原持股比例②</t>
        </is>
      </c>
      <c r="B30" s="1270" t="n"/>
      <c r="C30" s="648" t="n"/>
      <c r="D30" s="648" t="n"/>
      <c r="E30" s="1002" t="inlineStr">
        <is>
          <t>按减少的持股比例计算应享有子公司自购买日(或合并日)开始持续计算的可辨认净资产的公允价值的份额⑦=⑥*③</t>
        </is>
      </c>
      <c r="F30" s="1270" t="n"/>
      <c r="G30" s="1320">
        <f>H29*C31</f>
        <v/>
      </c>
      <c r="H30" s="1320">
        <f>I29*D31</f>
        <v/>
      </c>
    </row>
    <row r="31" ht="19.95" customFormat="1" customHeight="1" s="2">
      <c r="A31" s="1004" t="inlineStr">
        <is>
          <t>减少的持股比例③</t>
        </is>
      </c>
      <c r="B31" s="1270" t="n"/>
      <c r="C31" s="648" t="n"/>
      <c r="D31" s="648" t="n"/>
      <c r="E31" s="1002" t="inlineStr">
        <is>
          <t>调整合并报表中的资本公积/留存收益 ⑧=⑦-④</t>
        </is>
      </c>
      <c r="F31" s="1270" t="n"/>
      <c r="G31" s="1321">
        <f>G30-C32</f>
        <v/>
      </c>
      <c r="H31" s="1321">
        <f>H30-D32</f>
        <v/>
      </c>
    </row>
    <row r="32" ht="19.95" customFormat="1" customHeight="1" s="2">
      <c r="A32" s="1004" t="inlineStr">
        <is>
          <t>处置对价④</t>
        </is>
      </c>
      <c r="B32" s="1270" t="n"/>
      <c r="C32" s="1320">
        <f>SUM(C33:C37)</f>
        <v/>
      </c>
      <c r="D32" s="1320">
        <f>SUM(D33:D37)</f>
        <v/>
      </c>
      <c r="E32" s="1002" t="inlineStr">
        <is>
          <t>其中：调整资本公积</t>
        </is>
      </c>
      <c r="F32" s="1270" t="n"/>
      <c r="G32" s="109" t="n"/>
      <c r="H32" s="109" t="n"/>
      <c r="I32" s="27" t="n"/>
    </row>
    <row r="33" ht="19.95" customFormat="1" customHeight="1" s="2">
      <c r="A33" s="1004" t="inlineStr">
        <is>
          <t>其中：现金</t>
        </is>
      </c>
      <c r="B33" s="1270" t="n"/>
      <c r="C33" s="109" t="n"/>
      <c r="D33" s="70" t="n"/>
      <c r="E33" s="1002" t="inlineStr">
        <is>
          <t xml:space="preserve">             调整盈余公积</t>
        </is>
      </c>
      <c r="F33" s="1270" t="n"/>
      <c r="G33" s="109" t="n"/>
      <c r="H33" s="109" t="n"/>
      <c r="I33" s="27" t="n"/>
    </row>
    <row r="34" ht="19.95" customFormat="1" customHeight="1" s="2">
      <c r="A34" s="1005" t="inlineStr">
        <is>
          <t>非现金资产的公允价值</t>
        </is>
      </c>
      <c r="B34" s="1270" t="n"/>
      <c r="C34" s="109" t="n"/>
      <c r="D34" s="70" t="n"/>
      <c r="E34" s="1002" t="inlineStr">
        <is>
          <t xml:space="preserve">             调整未分配利润</t>
        </is>
      </c>
      <c r="F34" s="1270" t="n"/>
      <c r="G34" s="109" t="n"/>
      <c r="H34" s="109" t="n"/>
      <c r="I34" s="27" t="n"/>
    </row>
    <row r="35" ht="26.4" customFormat="1" customHeight="1" s="2">
      <c r="A35" s="1005" t="inlineStr">
        <is>
          <t>发行或承担的债务的账面价值</t>
        </is>
      </c>
      <c r="B35" s="1270" t="n"/>
      <c r="C35" s="109" t="n"/>
      <c r="D35" s="70" t="n"/>
      <c r="E35" s="1004" t="inlineStr">
        <is>
          <t>索引号</t>
        </is>
      </c>
      <c r="F35" s="1270" t="n"/>
      <c r="G35" s="109" t="n"/>
      <c r="H35" s="109" t="n"/>
      <c r="I35" s="27" t="n"/>
    </row>
    <row r="36" ht="19.95" customFormat="1" customHeight="1" s="2">
      <c r="A36" s="1005" t="inlineStr">
        <is>
          <t>发行的权益性证券的面值</t>
        </is>
      </c>
      <c r="B36" s="1270" t="n"/>
      <c r="C36" s="109" t="n"/>
      <c r="D36" s="70" t="n"/>
      <c r="E36" s="561" t="n"/>
      <c r="F36" s="38" t="n"/>
      <c r="G36" s="109" t="n"/>
      <c r="H36" s="109" t="n"/>
      <c r="I36" s="27" t="n"/>
    </row>
    <row r="37" ht="19.95" customFormat="1" customHeight="1" s="2">
      <c r="A37" s="1005" t="inlineStr">
        <is>
          <t>或有对价</t>
        </is>
      </c>
      <c r="B37" s="1270" t="n"/>
      <c r="C37" s="109" t="n"/>
      <c r="D37" s="70" t="n"/>
      <c r="E37" s="539" t="n"/>
      <c r="F37" s="540" t="n"/>
      <c r="G37" s="592" t="n"/>
      <c r="H37" s="592" t="n"/>
      <c r="I37" s="543" t="n"/>
    </row>
    <row r="38" ht="31.2" customFormat="1" customHeight="1" s="2">
      <c r="A38" s="1002" t="inlineStr">
        <is>
          <t>计入个别报表的投资收益 ⑤=④-③/②*①</t>
        </is>
      </c>
      <c r="B38" s="1270" t="n"/>
      <c r="C38" s="1320">
        <f>IF(C30=0,0,C32-C31/C30*C29)</f>
        <v/>
      </c>
      <c r="D38" s="1320">
        <f>IF(D30=0,0,D32-D31/D30*D29)</f>
        <v/>
      </c>
      <c r="E38" s="541" t="n"/>
      <c r="F38" s="542" t="n"/>
      <c r="G38" s="593" t="n"/>
      <c r="H38" s="593" t="n"/>
      <c r="I38" s="544" t="n"/>
    </row>
    <row r="39" ht="19.95" customFormat="1" customHeight="1" s="2">
      <c r="A39" s="54" t="inlineStr">
        <is>
          <t>三、审计说明</t>
        </is>
      </c>
      <c r="B39" s="56" t="n"/>
      <c r="C39" s="56" t="n"/>
      <c r="D39" s="56" t="n"/>
      <c r="E39" s="56" t="n"/>
      <c r="F39" s="56" t="n"/>
      <c r="G39" s="56" t="n"/>
      <c r="H39" s="56" t="n"/>
    </row>
    <row r="40" ht="19.95" customHeight="1" s="1097">
      <c r="A40" s="35" t="n"/>
      <c r="B40" s="56" t="n"/>
      <c r="C40" s="56" t="n"/>
      <c r="D40" s="56" t="n"/>
      <c r="E40" s="56" t="n"/>
      <c r="F40" s="56" t="n"/>
      <c r="G40" s="56" t="n"/>
      <c r="H40" s="56" t="n"/>
    </row>
    <row r="41" ht="19.95" customHeight="1" s="1097">
      <c r="A41" s="35" t="n"/>
    </row>
    <row r="42" ht="19.95" customHeight="1" s="1097">
      <c r="A42" s="54" t="inlineStr">
        <is>
          <t>四、审计结论</t>
        </is>
      </c>
    </row>
    <row r="43" ht="19.95" customHeight="1" s="1097"/>
    <row r="44" ht="19.95" customHeight="1" s="1097"/>
    <row r="45">
      <c r="A45" s="57" t="inlineStr">
        <is>
          <t>提示：</t>
        </is>
      </c>
    </row>
    <row r="46" ht="20.1" customHeight="1" s="1097">
      <c r="A46" s="57" t="inlineStr">
        <is>
          <t>2、购买少数股东股权的处理</t>
        </is>
      </c>
      <c r="B46" s="54" t="n"/>
      <c r="C46" s="54" t="n"/>
      <c r="D46" s="54" t="n"/>
      <c r="E46" s="54" t="n"/>
      <c r="F46" s="54" t="n"/>
      <c r="G46" s="54" t="n"/>
      <c r="H46" s="54" t="n"/>
    </row>
    <row r="47">
      <c r="A47" s="57" t="inlineStr">
        <is>
          <t>A、母公司个别财务报表中对于自子公司少数股东处新取得的长期股权投资，应当按照《企业会计准则第2 号——长期股权投资》第四条的规定，确定长期股权投资的入账价值。</t>
        </is>
      </c>
      <c r="B47" s="57" t="n"/>
      <c r="C47" s="57" t="n"/>
      <c r="D47" s="57" t="n"/>
      <c r="E47" s="57" t="n"/>
      <c r="F47" s="57" t="n"/>
      <c r="G47" s="57" t="n"/>
      <c r="H47" s="57" t="n"/>
    </row>
    <row r="48">
      <c r="A48" s="57" t="inlineStr">
        <is>
          <t>B、在合并财务报表中，子公司的资产、负债应以购买日（或合并日）开始持续计算的金额反映。母公司新取得的长期股权投资成本与按照新增持股股比例计算应享有子公司自购买日（或合并日）开始持续计算的可辨认净资产份额之间的差额，应当调整合并财务报表中的资本公积（资本溢价或股本溢价），资本公积（资本溢价或股本溢价）的余额不足冲减的，调整留存收益。</t>
        </is>
      </c>
      <c r="B48" s="57" t="n"/>
      <c r="C48" s="57" t="n"/>
      <c r="D48" s="57" t="n"/>
      <c r="E48" s="57" t="n"/>
      <c r="F48" s="57" t="n"/>
      <c r="G48" s="57" t="n"/>
      <c r="H48" s="57" t="n"/>
    </row>
  </sheetData>
  <mergeCells count="40">
    <mergeCell ref="A31:B31"/>
    <mergeCell ref="A30:B30"/>
    <mergeCell ref="A24:B24"/>
    <mergeCell ref="A15:B15"/>
    <mergeCell ref="E33:F33"/>
    <mergeCell ref="A36:B36"/>
    <mergeCell ref="E17:F17"/>
    <mergeCell ref="E35:F35"/>
    <mergeCell ref="A16:B16"/>
    <mergeCell ref="A2:I2"/>
    <mergeCell ref="E20:F20"/>
    <mergeCell ref="E29:F29"/>
    <mergeCell ref="A25:B25"/>
    <mergeCell ref="E19:F19"/>
    <mergeCell ref="A37:B37"/>
    <mergeCell ref="E28:F28"/>
    <mergeCell ref="A18:B18"/>
    <mergeCell ref="E31:F31"/>
    <mergeCell ref="E34:F34"/>
    <mergeCell ref="A21:B21"/>
    <mergeCell ref="E30:F30"/>
    <mergeCell ref="E15:F15"/>
    <mergeCell ref="A33:B33"/>
    <mergeCell ref="A32:B32"/>
    <mergeCell ref="A17:B17"/>
    <mergeCell ref="A23:B23"/>
    <mergeCell ref="A22:B22"/>
    <mergeCell ref="A35:B35"/>
    <mergeCell ref="A20:B20"/>
    <mergeCell ref="A38:B38"/>
    <mergeCell ref="E16:F16"/>
    <mergeCell ref="A29:B29"/>
    <mergeCell ref="E32:F32"/>
    <mergeCell ref="E21:F21"/>
    <mergeCell ref="A19:B19"/>
    <mergeCell ref="A28:B28"/>
    <mergeCell ref="A1:I1"/>
    <mergeCell ref="E22:F22"/>
    <mergeCell ref="E18:F18"/>
    <mergeCell ref="A34:B34"/>
  </mergeCells>
  <hyperlinks>
    <hyperlink ref="I3" location="底稿目录!F16" display="底稿目录!F16"/>
  </hyperlinks>
  <pageMargins left="0.7086614173228347" right="0.7086614173228347" top="0.7480314960629921" bottom="0.7480314960629921" header="0.3149606299212598" footer="0.3149606299212598"/>
  <pageSetup orientation="landscape" paperSize="9" scale="91" fitToHeight="2" blackAndWhite="1"/>
  <headerFooter>
    <oddHeader/>
    <oddFooter>&amp;C&amp;P/&amp;N</oddFooter>
    <evenHeader/>
    <evenFooter/>
    <firstHeader/>
    <firstFooter/>
  </headerFooter>
  <rowBreaks count="1" manualBreakCount="1">
    <brk id="25" min="0" max="8" man="1"/>
  </rowBreaks>
</worksheet>
</file>

<file path=xl/worksheets/sheet15.xml><?xml version="1.0" encoding="utf-8"?>
<worksheet xmlns="http://schemas.openxmlformats.org/spreadsheetml/2006/main">
  <sheetPr codeName="Sheet15">
    <outlinePr summaryBelow="1" summaryRight="1"/>
    <pageSetUpPr fitToPage="1"/>
  </sheetPr>
  <dimension ref="A1:R70"/>
  <sheetViews>
    <sheetView showGridLines="0" view="pageBreakPreview" zoomScaleNormal="100" zoomScaleSheetLayoutView="100" workbookViewId="0">
      <pane xSplit="1" ySplit="8" topLeftCell="B9" activePane="bottomRight" state="frozen"/>
      <selection pane="topRight" activeCell="A1" sqref="A1"/>
      <selection pane="bottomLeft" activeCell="A1" sqref="A1"/>
      <selection pane="bottomRight" activeCell="A1" sqref="A1"/>
      <selection pane="bottomLeft" activeCell="A1" sqref="A1"/>
      <selection pane="bottomRight" activeCell="A1" sqref="A1:L1"/>
    </sheetView>
  </sheetViews>
  <sheetFormatPr baseColWidth="8" defaultColWidth="9" defaultRowHeight="13.8" outlineLevelCol="0"/>
  <cols>
    <col width="12" customWidth="1" style="2" min="1" max="1"/>
    <col width="16" customWidth="1" style="2" min="2" max="2"/>
    <col width="14" customWidth="1" style="2" min="3" max="3"/>
    <col width="14" customWidth="1" style="2" min="4" max="4"/>
    <col width="14" customWidth="1" style="2" min="5" max="5"/>
    <col width="14" customWidth="1" style="2" min="6" max="6"/>
    <col width="18" customWidth="1" style="2" min="7" max="7"/>
    <col width="14" customWidth="1" style="2" min="8" max="8"/>
    <col width="14" customWidth="1" style="2" min="9" max="9"/>
    <col width="14" customWidth="1" style="2" min="10" max="10"/>
    <col width="14" customWidth="1" style="2" min="11" max="11"/>
    <col width="14" customWidth="1" style="2" min="12" max="12"/>
    <col width="12" customWidth="1" style="2" min="13" max="16384"/>
    <col width="22" customWidth="1" style="1097" min="14" max="14"/>
    <col width="16" customWidth="1" style="1097" min="15" max="15"/>
    <col width="16" customWidth="1" style="1097" min="16" max="16"/>
    <col width="14" customWidth="1" style="1097" min="17" max="17"/>
    <col width="14" customWidth="1" style="1097" min="18" max="18"/>
  </cols>
  <sheetData>
    <row r="1" ht="19.95" customFormat="1" customHeight="1" s="623">
      <c r="A1" s="1009" t="inlineStr">
        <is>
          <t>致同会计师事务所</t>
        </is>
      </c>
      <c r="B1" s="0" t="n"/>
      <c r="C1" s="0" t="n"/>
      <c r="D1" s="0" t="n"/>
      <c r="E1" s="0" t="n"/>
      <c r="F1" s="0" t="n"/>
      <c r="G1" s="0" t="n"/>
      <c r="H1" s="0" t="n"/>
      <c r="I1" s="0" t="n"/>
      <c r="J1" s="0" t="n"/>
      <c r="K1" s="0" t="n"/>
      <c r="L1" s="0" t="n"/>
      <c r="M1" s="622" t="n"/>
      <c r="N1" s="622" t="n"/>
    </row>
    <row r="2" ht="19.95" customFormat="1" customHeight="1" s="634">
      <c r="A2" s="1010" t="inlineStr">
        <is>
          <t>处置子公司测试表（不包含一揽子交易）</t>
        </is>
      </c>
      <c r="B2" s="0" t="n"/>
      <c r="C2" s="0" t="n"/>
      <c r="D2" s="0" t="n"/>
      <c r="E2" s="0" t="n"/>
      <c r="F2" s="0" t="n"/>
      <c r="G2" s="0" t="n"/>
      <c r="H2" s="0" t="n"/>
      <c r="I2" s="0" t="n"/>
      <c r="J2" s="0" t="n"/>
      <c r="K2" s="0" t="n"/>
      <c r="L2" s="0" t="n"/>
      <c r="M2" s="633" t="n"/>
      <c r="N2" s="633" t="n"/>
    </row>
    <row r="3" ht="19.95" customFormat="1" customHeight="1" s="207">
      <c r="A3" s="207">
        <f>底稿目录!A2</f>
        <v/>
      </c>
      <c r="E3" s="207">
        <f>底稿目录!A4</f>
        <v/>
      </c>
      <c r="I3" s="229">
        <f>底稿目录!A5</f>
        <v/>
      </c>
      <c r="J3" s="229" t="n"/>
      <c r="K3" s="207" t="inlineStr">
        <is>
          <t>索引号：</t>
        </is>
      </c>
      <c r="L3" s="1096">
        <f>底稿目录!F17</f>
        <v/>
      </c>
      <c r="M3" s="671" t="n"/>
    </row>
    <row r="4" ht="19.95" customFormat="1" customHeight="1" s="207">
      <c r="A4" s="207">
        <f>底稿目录!A3</f>
        <v/>
      </c>
      <c r="E4" s="207">
        <f>底稿目录!A6</f>
        <v/>
      </c>
      <c r="I4" s="229">
        <f>底稿目录!A7</f>
        <v/>
      </c>
      <c r="J4" s="229" t="n"/>
      <c r="K4" s="207" t="inlineStr">
        <is>
          <t>页 次：</t>
        </is>
      </c>
      <c r="M4" s="671" t="n"/>
    </row>
    <row r="5" ht="19.95" customHeight="1" s="1097">
      <c r="A5" s="74" t="inlineStr">
        <is>
          <t>一、审计目标：</t>
        </is>
      </c>
      <c r="C5" s="2" t="inlineStr">
        <is>
          <t>确定处置子公司的会计处理是否恰当。</t>
        </is>
      </c>
    </row>
    <row r="6" ht="36" customHeight="1" s="1097">
      <c r="A6" s="75" t="inlineStr">
        <is>
          <t>二、审计过程：</t>
        </is>
      </c>
      <c r="C6" s="1458" t="inlineStr">
        <is>
          <t>程序链：①核对协议/决议/收款确认丧失控制权时点 → ②确认非一揽子（一揽子见G7-12）→ ③按剩余股权分类测算单体损益 → ④合并层净资产/商誉/OCI/外币折算 → ⑤剩余为联营合营则追溯权益法 → ⑥与G7-2及账面投资收益勾稽 → ⑦结论与轨迹</t>
        </is>
      </c>
    </row>
    <row r="7" ht="19.95" customHeight="1" s="1097">
      <c r="A7" s="74" t="inlineStr">
        <is>
          <t>1.本期处置的子公司基本情况</t>
        </is>
      </c>
    </row>
    <row r="8" ht="19.95" customHeight="1" s="1097">
      <c r="B8" s="1391" t="inlineStr">
        <is>
          <t>企业名称</t>
        </is>
      </c>
      <c r="C8" s="1391" t="inlineStr">
        <is>
          <t>注册地</t>
        </is>
      </c>
      <c r="D8" s="1391" t="inlineStr">
        <is>
          <t>业务性质</t>
        </is>
      </c>
      <c r="E8" s="1459" t="inlineStr">
        <is>
          <t>持股比例(小数)</t>
        </is>
      </c>
      <c r="F8" s="1459" t="inlineStr">
        <is>
          <t>表决权比例(小数)</t>
        </is>
      </c>
      <c r="G8" s="1392" t="inlineStr">
        <is>
          <t>本期不再成为子公司的原因</t>
        </is>
      </c>
      <c r="H8" s="1393" t="inlineStr">
        <is>
          <t>G7-4匹配状态</t>
        </is>
      </c>
    </row>
    <row r="9" ht="19.95" customHeight="1" s="1097">
      <c r="B9" s="1460" t="n"/>
      <c r="C9" s="1394">
        <f>IF($B9="","",IFERROR(INDEX('被投资单位基本信息G7-4'!$G$12:$G$38,MATCH($B9,'被投资单位基本信息G7-4'!$B$12:$B$38,0)),""))</f>
        <v/>
      </c>
      <c r="D9" s="1395">
        <f>IF($B9="","",IFERROR(INDEX('被投资单位基本信息G7-4'!$H$12:$H$38,MATCH($B9,'被投资单位基本信息G7-4'!$B$12:$B$38,0)),""))</f>
        <v/>
      </c>
      <c r="E9" s="1396">
        <f>IF($B9="","",IFERROR(INDEX('被投资单位基本信息G7-4'!$M$12:$M$38,MATCH($B9,'被投资单位基本信息G7-4'!$B$12:$B$38,0))+N(INDEX('被投资单位基本信息G7-4'!$N$12:$N$38,MATCH($B9,'被投资单位基本信息G7-4'!$B$12:$B$38,0))),""))</f>
        <v/>
      </c>
      <c r="F9" s="1396">
        <f>IF($B9="","",IFERROR(INDEX('被投资单位基本信息G7-4'!$O$12:$O$38,MATCH($B9,'被投资单位基本信息G7-4'!$B$12:$B$38,0)),""))</f>
        <v/>
      </c>
      <c r="G9" s="1461" t="n"/>
      <c r="H9" s="194">
        <f>IF($B9="","",IF(ISNUMBER(MATCH($B9,'被投资单位基本信息G7-4'!$B$12:$B$38,0)),"已匹配G7-4","未匹配-请手工补全C至F"))</f>
        <v/>
      </c>
    </row>
    <row r="10" ht="19.95" customHeight="1" s="1097">
      <c r="B10" s="1460" t="n"/>
      <c r="C10" s="1394">
        <f>IF($B10="","",IFERROR(INDEX('被投资单位基本信息G7-4'!$G$12:$G$38,MATCH($B10,'被投资单位基本信息G7-4'!$B$12:$B$38,0)),""))</f>
        <v/>
      </c>
      <c r="D10" s="1395">
        <f>IF($B10="","",IFERROR(INDEX('被投资单位基本信息G7-4'!$H$12:$H$38,MATCH($B10,'被投资单位基本信息G7-4'!$B$12:$B$38,0)),""))</f>
        <v/>
      </c>
      <c r="E10" s="1396">
        <f>IF($B10="","",IFERROR(INDEX('被投资单位基本信息G7-4'!$M$12:$M$38,MATCH($B10,'被投资单位基本信息G7-4'!$B$12:$B$38,0))+N(INDEX('被投资单位基本信息G7-4'!$N$12:$N$38,MATCH($B10,'被投资单位基本信息G7-4'!$B$12:$B$38,0))),""))</f>
        <v/>
      </c>
      <c r="F10" s="1396">
        <f>IF($B10="","",IFERROR(INDEX('被投资单位基本信息G7-4'!$O$12:$O$38,MATCH($B10,'被投资单位基本信息G7-4'!$B$12:$B$38,0)),""))</f>
        <v/>
      </c>
      <c r="G10" s="1462" t="n"/>
      <c r="H10" s="194">
        <f>IF($B10="","",IF(ISNUMBER(MATCH($B10,'被投资单位基本信息G7-4'!$B$12:$B$38,0)),"已匹配G7-4","未匹配-请手工补全C至F"))</f>
        <v/>
      </c>
    </row>
    <row r="11" ht="19.95" customHeight="1" s="1097">
      <c r="B11" s="1460" t="n"/>
      <c r="C11" s="1394">
        <f>IF($B11="","",IFERROR(INDEX('被投资单位基本信息G7-4'!$G$12:$G$38,MATCH($B11,'被投资单位基本信息G7-4'!$B$12:$B$38,0)),""))</f>
        <v/>
      </c>
      <c r="D11" s="1395">
        <f>IF($B11="","",IFERROR(INDEX('被投资单位基本信息G7-4'!$H$12:$H$38,MATCH($B11,'被投资单位基本信息G7-4'!$B$12:$B$38,0)),""))</f>
        <v/>
      </c>
      <c r="E11" s="1396">
        <f>IF($B11="","",IFERROR(INDEX('被投资单位基本信息G7-4'!$M$12:$M$38,MATCH($B11,'被投资单位基本信息G7-4'!$B$12:$B$38,0))+N(INDEX('被投资单位基本信息G7-4'!$N$12:$N$38,MATCH($B11,'被投资单位基本信息G7-4'!$B$12:$B$38,0))),""))</f>
        <v/>
      </c>
      <c r="F11" s="1396">
        <f>IF($B11="","",IFERROR(INDEX('被投资单位基本信息G7-4'!$O$12:$O$38,MATCH($B11,'被投资单位基本信息G7-4'!$B$12:$B$38,0)),""))</f>
        <v/>
      </c>
      <c r="G11" s="1462" t="n"/>
      <c r="H11" s="194">
        <f>IF($B11="","",IF(ISNUMBER(MATCH($B11,'被投资单位基本信息G7-4'!$B$12:$B$38,0)),"已匹配G7-4","未匹配-请手工补全C至F"))</f>
        <v/>
      </c>
    </row>
    <row r="12" ht="19.95" customHeight="1" s="1097">
      <c r="B12" s="1460" t="n"/>
      <c r="C12" s="1394">
        <f>IF($B12="","",IFERROR(INDEX('被投资单位基本信息G7-4'!$G$12:$G$38,MATCH($B12,'被投资单位基本信息G7-4'!$B$12:$B$38,0)),""))</f>
        <v/>
      </c>
      <c r="D12" s="1395">
        <f>IF($B12="","",IFERROR(INDEX('被投资单位基本信息G7-4'!$H$12:$H$38,MATCH($B12,'被投资单位基本信息G7-4'!$B$12:$B$38,0)),""))</f>
        <v/>
      </c>
      <c r="E12" s="1396">
        <f>IF($B12="","",IFERROR(INDEX('被投资单位基本信息G7-4'!$M$12:$M$38,MATCH($B12,'被投资单位基本信息G7-4'!$B$12:$B$38,0))+N(INDEX('被投资单位基本信息G7-4'!$N$12:$N$38,MATCH($B12,'被投资单位基本信息G7-4'!$B$12:$B$38,0))),""))</f>
        <v/>
      </c>
      <c r="F12" s="1396">
        <f>IF($B12="","",IFERROR(INDEX('被投资单位基本信息G7-4'!$O$12:$O$38,MATCH($B12,'被投资单位基本信息G7-4'!$B$12:$B$38,0)),""))</f>
        <v/>
      </c>
      <c r="G12" s="1462" t="n"/>
      <c r="H12" s="194">
        <f>IF($B12="","",IF(ISNUMBER(MATCH($B12,'被投资单位基本信息G7-4'!$B$12:$B$38,0)),"已匹配G7-4","未匹配-请手工补全C至F"))</f>
        <v/>
      </c>
    </row>
    <row r="13" ht="19.95" customHeight="1" s="1097">
      <c r="B13" s="1460" t="n"/>
      <c r="C13" s="1394">
        <f>IF($B13="","",IFERROR(INDEX('被投资单位基本信息G7-4'!$G$12:$G$38,MATCH($B13,'被投资单位基本信息G7-4'!$B$12:$B$38,0)),""))</f>
        <v/>
      </c>
      <c r="D13" s="1395">
        <f>IF($B13="","",IFERROR(INDEX('被投资单位基本信息G7-4'!$H$12:$H$38,MATCH($B13,'被投资单位基本信息G7-4'!$B$12:$B$38,0)),""))</f>
        <v/>
      </c>
      <c r="E13" s="1396">
        <f>IF($B13="","",IFERROR(INDEX('被投资单位基本信息G7-4'!$M$12:$M$38,MATCH($B13,'被投资单位基本信息G7-4'!$B$12:$B$38,0))+N(INDEX('被投资单位基本信息G7-4'!$N$12:$N$38,MATCH($B13,'被投资单位基本信息G7-4'!$B$12:$B$38,0))),""))</f>
        <v/>
      </c>
      <c r="F13" s="1396">
        <f>IF($B13="","",IFERROR(INDEX('被投资单位基本信息G7-4'!$O$12:$O$38,MATCH($B13,'被投资单位基本信息G7-4'!$B$12:$B$38,0)),""))</f>
        <v/>
      </c>
      <c r="G13" s="1462" t="n"/>
      <c r="H13" s="194">
        <f>IF($B13="","",IF(ISNUMBER(MATCH($B13,'被投资单位基本信息G7-4'!$B$12:$B$38,0)),"已匹配G7-4","未匹配-请手工补全C至F"))</f>
        <v/>
      </c>
    </row>
    <row r="14" ht="24" customFormat="1" customHeight="1" s="39">
      <c r="A14" s="74" t="inlineStr">
        <is>
          <t>1.1 处置交易要素</t>
        </is>
      </c>
      <c r="B14" s="951" t="n"/>
      <c r="C14" s="951" t="n"/>
      <c r="D14" s="951" t="n"/>
      <c r="E14" s="951" t="n"/>
      <c r="F14" s="951" t="n"/>
      <c r="G14" s="951" t="n"/>
      <c r="H14" s="951" t="n"/>
      <c r="I14" s="951" t="n"/>
      <c r="J14" s="951" t="n"/>
      <c r="K14" s="1054" t="n"/>
      <c r="L14" s="1054" t="n"/>
      <c r="M14" s="4" t="n"/>
      <c r="N14" s="1054" t="n"/>
    </row>
    <row r="15" ht="19.95" customHeight="1" s="1097">
      <c r="B15" s="1399" t="inlineStr">
        <is>
          <t>子公司名称</t>
        </is>
      </c>
      <c r="C15" s="1400" t="inlineStr">
        <is>
          <t>股权处置价款</t>
        </is>
      </c>
      <c r="D15" s="1463" t="inlineStr">
        <is>
          <t>原股权比例(小数)</t>
        </is>
      </c>
      <c r="E15" s="1463" t="inlineStr">
        <is>
          <t>处置比例(小数)</t>
        </is>
      </c>
      <c r="F15" s="1464" t="inlineStr">
        <is>
          <t>剩余比例(小数)</t>
        </is>
      </c>
      <c r="G15" s="1403" t="inlineStr">
        <is>
          <t>剩余股权构成</t>
        </is>
      </c>
      <c r="H15" s="1399" t="inlineStr">
        <is>
          <t>股权处置方式</t>
        </is>
      </c>
      <c r="I15" s="1404" t="inlineStr">
        <is>
          <t>丧失控制权的时点</t>
        </is>
      </c>
      <c r="J15" s="1399" t="inlineStr">
        <is>
          <t>丧失控制权时点的确定依据</t>
        </is>
      </c>
      <c r="K15" s="1405" t="inlineStr">
        <is>
          <t>取得的查验资料</t>
        </is>
      </c>
      <c r="L15" s="1399" t="inlineStr">
        <is>
          <t>索引号</t>
        </is>
      </c>
      <c r="M15" s="4" t="n"/>
      <c r="N15" s="1406" t="inlineStr">
        <is>
          <t>类型必填/自动复核</t>
        </is>
      </c>
    </row>
    <row r="16" ht="19.95" customHeight="1" s="1097">
      <c r="B16" s="1407">
        <f>B9</f>
        <v/>
      </c>
      <c r="C16" s="1465" t="n"/>
      <c r="D16" s="1409">
        <f>IF(B16="","",IF(E9="",0,E9))</f>
        <v/>
      </c>
      <c r="E16" s="1466" t="n"/>
      <c r="F16" s="1409">
        <f>IF(B16="","",D16-E16)</f>
        <v/>
      </c>
      <c r="G16" s="1467" t="n"/>
      <c r="H16" s="1468" t="n"/>
      <c r="I16" s="1469" t="n"/>
      <c r="J16" s="1468" t="n"/>
      <c r="K16" s="1470" t="inlineStr">
        <is>
          <t>股权转让协议、产权交割单、银行收款回单、董事会/股东会决议、评估报告…</t>
        </is>
      </c>
      <c r="L16" s="1470" t="n"/>
      <c r="M16" s="4" t="n"/>
      <c r="N16" s="1471">
        <f>IF(B16="","",IF(OR(D16&lt;0,D16&gt;1,E16&lt;0,E16&gt;D16),"比例异常",IF(OR(C16="",I16="",J16="",L16=""),"交易要素不完整",IF(AND(F16&gt;0,OR(G16="",G16="无")),"剩余股权分类缺失",IF(AND(F16=0,AND(G16&lt;&gt;"",G16&lt;&gt;"无")),"无剩余股权但分类不一致",IF(AND(OR(G16="联营",G16="合营"),I16=""),"联营/合营须明确丧失控制权时点",IF(AND(G16="金融资产",F16&lt;=0),"金融资产须有剩余股权","通过")))))))</f>
        <v/>
      </c>
    </row>
    <row r="17" ht="19.95" customHeight="1" s="1097">
      <c r="B17" s="1407">
        <f>B10</f>
        <v/>
      </c>
      <c r="C17" s="1465" t="n"/>
      <c r="D17" s="1409">
        <f>IF(B17="","",IF(E10="",0,E10))</f>
        <v/>
      </c>
      <c r="E17" s="1466" t="n"/>
      <c r="F17" s="1409">
        <f>IF(B17="","",D17-E17)</f>
        <v/>
      </c>
      <c r="G17" s="1467" t="n"/>
      <c r="H17" s="1468" t="n"/>
      <c r="I17" s="1469" t="n"/>
      <c r="J17" s="1468" t="n"/>
      <c r="K17" s="1470" t="inlineStr">
        <is>
          <t>股权转让协议、产权交割单、银行收款回单、董事会/股东会决议、评估报告…</t>
        </is>
      </c>
      <c r="L17" s="1470" t="n"/>
      <c r="M17" s="4" t="n"/>
      <c r="N17" s="1471">
        <f>IF(B17="","",IF(OR(D17&lt;0,D17&gt;1,E17&lt;0,E17&gt;D17),"比例异常",IF(OR(C17="",I17="",J17="",L17=""),"交易要素不完整",IF(AND(F17&gt;0,OR(G17="",G17="无")),"剩余股权分类缺失",IF(AND(F17=0,AND(G17&lt;&gt;"",G17&lt;&gt;"无")),"无剩余股权但分类不一致",IF(AND(OR(G17="联营",G17="合营"),I17=""),"联营/合营须明确丧失控制权时点",IF(AND(G17="金融资产",F17&lt;=0),"金融资产须有剩余股权","通过")))))))</f>
        <v/>
      </c>
    </row>
    <row r="18" ht="19.95" customHeight="1" s="1097">
      <c r="B18" s="1407">
        <f>B11</f>
        <v/>
      </c>
      <c r="C18" s="1465" t="n"/>
      <c r="D18" s="1409">
        <f>IF(B18="","",IF(E11="",0,E11))</f>
        <v/>
      </c>
      <c r="E18" s="1466" t="n"/>
      <c r="F18" s="1409">
        <f>IF(B18="","",D18-E18)</f>
        <v/>
      </c>
      <c r="G18" s="1467" t="n"/>
      <c r="H18" s="1468" t="n"/>
      <c r="I18" s="1469" t="n"/>
      <c r="J18" s="1468" t="n"/>
      <c r="K18" s="1470" t="inlineStr">
        <is>
          <t>股权转让协议、产权交割单、银行收款回单、董事会/股东会决议、评估报告…</t>
        </is>
      </c>
      <c r="L18" s="1470" t="n"/>
      <c r="M18" s="4" t="n"/>
      <c r="N18" s="1471">
        <f>IF(B18="","",IF(OR(D18&lt;0,D18&gt;1,E18&lt;0,E18&gt;D18),"比例异常",IF(OR(C18="",I18="",J18="",L18=""),"交易要素不完整",IF(AND(F18&gt;0,OR(G18="",G18="无")),"剩余股权分类缺失",IF(AND(F18=0,AND(G18&lt;&gt;"",G18&lt;&gt;"无")),"无剩余股权但分类不一致",IF(AND(OR(G18="联营",G18="合营"),I18=""),"联营/合营须明确丧失控制权时点",IF(AND(G18="金融资产",F18&lt;=0),"金融资产须有剩余股权","通过")))))))</f>
        <v/>
      </c>
    </row>
    <row r="19" ht="19.95" customHeight="1" s="1097">
      <c r="A19" s="23" t="n"/>
      <c r="B19" s="1414">
        <f>B12</f>
        <v/>
      </c>
      <c r="C19" s="1472" t="n"/>
      <c r="D19" s="1416">
        <f>IF(B19="","",IF(E12="",0,E12))</f>
        <v/>
      </c>
      <c r="E19" s="1473" t="n"/>
      <c r="F19" s="1416">
        <f>IF(B19="","",D19-E19)</f>
        <v/>
      </c>
      <c r="G19" s="1474" t="n"/>
      <c r="H19" s="1474" t="n"/>
      <c r="I19" s="1474" t="n"/>
      <c r="J19" s="1474" t="n"/>
      <c r="K19" s="1474" t="inlineStr">
        <is>
          <t>股权转让协议、产权交割单、银行收款回单、董事会/股东会决议、评估报告…</t>
        </is>
      </c>
      <c r="L19" s="1474" t="n"/>
      <c r="M19" s="4" t="n"/>
      <c r="N19" s="1471">
        <f>IF(B19="","",IF(OR(D19&lt;0,D19&gt;1,E19&lt;0,E19&gt;D19),"比例异常",IF(OR(C19="",I19="",J19="",L19=""),"交易要素不完整",IF(AND(F19&gt;0,OR(G19="",G19="无")),"剩余股权分类缺失",IF(AND(F19=0,AND(G19&lt;&gt;"",G19&lt;&gt;"无")),"无剩余股权但分类不一致",IF(AND(OR(G19="联营",G19="合营"),I19=""),"联营/合营须明确丧失控制权时点",IF(AND(G19="金融资产",F19&lt;=0),"金融资产须有剩余股权","通过")))))))</f>
        <v/>
      </c>
    </row>
    <row r="20" ht="89.40000000000001" customFormat="1" customHeight="1" s="25">
      <c r="B20" s="1419">
        <f>B13</f>
        <v/>
      </c>
      <c r="C20" s="1475" t="n"/>
      <c r="D20" s="1421">
        <f>IF(B20="","",IF(E13="",0,E13))</f>
        <v/>
      </c>
      <c r="E20" s="1476" t="n"/>
      <c r="F20" s="1421">
        <f>IF(B20="","",D20-E20)</f>
        <v/>
      </c>
      <c r="G20" s="1477" t="n"/>
      <c r="H20" s="1477" t="n"/>
      <c r="I20" s="1477" t="n"/>
      <c r="J20" s="1477" t="n"/>
      <c r="K20" s="1478" t="inlineStr">
        <is>
          <t>股权转让协议、产权交割单、银行收款回单、董事会/股东会决议、评估报告…</t>
        </is>
      </c>
      <c r="L20" s="1477" t="n"/>
      <c r="N20" s="1471">
        <f>IF(B20="","",IF(OR(D20&lt;0,D20&gt;1,E20&lt;0,E20&gt;D20),"比例异常",IF(OR(C20="",I20="",J20="",L20=""),"交易要素不完整",IF(AND(F20&gt;0,OR(G20="",G20="无")),"剩余股权分类缺失",IF(AND(F20=0,AND(G20&lt;&gt;"",G20&lt;&gt;"无")),"无剩余股权但分类不一致",IF(AND(OR(G20="联营",G20="合营"),I20=""),"联营/合营须明确丧失控制权时点",IF(AND(G20="金融资产",F20&lt;=0),"金融资产须有剩余股权","通过")))))))</f>
        <v/>
      </c>
    </row>
    <row r="21" ht="19.95" customHeight="1" s="1097">
      <c r="B21" s="110" t="n"/>
      <c r="C21" s="1324" t="n"/>
      <c r="D21" s="1325" t="n"/>
      <c r="E21" s="1326" t="n"/>
      <c r="F21" s="1324" t="n"/>
      <c r="G21" s="1325" t="n"/>
      <c r="H21" s="1324" t="n"/>
      <c r="I21" s="1324" t="n"/>
      <c r="J21" s="1324" t="n"/>
      <c r="K21" s="1325" t="n"/>
      <c r="L21" s="1326" t="n"/>
      <c r="N21" s="0" t="n"/>
    </row>
    <row r="22" ht="19.95" customHeight="1" s="1097">
      <c r="A22" s="74" t="inlineStr">
        <is>
          <t>2.1 单体报表</t>
        </is>
      </c>
      <c r="B22" s="110" t="n"/>
      <c r="C22" s="1324" t="n"/>
      <c r="D22" s="1325" t="n"/>
      <c r="E22" s="1326" t="n"/>
      <c r="F22" s="1324" t="n"/>
      <c r="G22" s="1325" t="n"/>
      <c r="H22" s="1324" t="n"/>
      <c r="I22" s="1324" t="n"/>
      <c r="J22" s="1324" t="n"/>
      <c r="K22" s="1325" t="n"/>
      <c r="L22" s="1326" t="n"/>
      <c r="N22" s="0" t="n"/>
    </row>
    <row r="23" ht="19.95" customHeight="1" s="1097">
      <c r="B23" s="1425" t="inlineStr">
        <is>
          <t>子公司名称</t>
        </is>
      </c>
      <c r="C23" s="1400" t="inlineStr">
        <is>
          <t>处置日长期股权投资账面价值</t>
        </is>
      </c>
      <c r="D23" s="1400" t="inlineStr">
        <is>
          <t>应转出的长投</t>
        </is>
      </c>
      <c r="E23" s="1426" t="inlineStr">
        <is>
          <t>丧失控制权之日剩余股权的账面价值</t>
        </is>
      </c>
      <c r="F23" s="1400" t="inlineStr">
        <is>
          <t>丧失控制权之日剩余股权的公允价值</t>
        </is>
      </c>
      <c r="G23" s="1400" t="inlineStr">
        <is>
          <t>按公允价值重新计量产生的利得/损失</t>
        </is>
      </c>
      <c r="H23" s="1400" t="inlineStr">
        <is>
          <t>原联营/合营可重分类OCI及其他净资产变动</t>
        </is>
      </c>
      <c r="I23" s="1400" t="inlineStr">
        <is>
          <t>原金融资产OCI</t>
        </is>
      </c>
      <c r="J23" s="1400" t="inlineStr">
        <is>
          <t>原联营/合营不可重分类OCI</t>
        </is>
      </c>
      <c r="K23" s="1400" t="inlineStr">
        <is>
          <t>处置子公司应确认的投资收益</t>
        </is>
      </c>
      <c r="L23" s="1426" t="inlineStr">
        <is>
          <t>应转入权益</t>
        </is>
      </c>
      <c r="N23" s="1406" t="inlineStr">
        <is>
          <t>类型必填/自动复核</t>
        </is>
      </c>
    </row>
    <row r="24" ht="19.95" customHeight="1" s="1097">
      <c r="B24" s="1427">
        <f>B16</f>
        <v/>
      </c>
      <c r="C24" s="1479" t="n"/>
      <c r="D24" s="1480">
        <f>IF(OR(B24="",D16=0),0,C24*E16/D16)</f>
        <v/>
      </c>
      <c r="E24" s="1481">
        <f>IF(B24="","",C24-D24)</f>
        <v/>
      </c>
      <c r="F24" s="1479" t="n"/>
      <c r="G24" s="1480">
        <f>IF(B24="","",IF(OR(F16&lt;=0,G16="无",G16=""),0,F24-E24))</f>
        <v/>
      </c>
      <c r="H24" s="1479" t="n"/>
      <c r="I24" s="1479" t="n"/>
      <c r="J24" s="1479" t="n"/>
      <c r="K24" s="1480">
        <f>IF(OR(B24="",D16=0),0,IF(OR(G16="联营",G16="合营"),G24+N(H24)*E16/D16,IF(G16="金融资产",G24+N(I24),IF(OR(G16="无",G16="",F16&lt;=0),C16-D24+N(H24)+N(I24),G24+N(I24)))))</f>
        <v/>
      </c>
      <c r="L24" s="1481">
        <f>IF(OR(B24="",D16=0),0,IF(OR(G16="联营",G16="合营"),N(J24)*E16/D16,IF(OR(G16="无",G16="",F16&lt;=0),0,N(J24))))</f>
        <v/>
      </c>
      <c r="N24" s="0">
        <f>IF(B24="","",IF(C24="","单体长投账面价值未填",IF(AND(F16&gt;0,F24=""),"剩余股权公允价值未填",IF(AND(OR(G16="联营",G16="合营"),H24="",J24=""),"联营/合营OCI区建议复核",IF(AND(G16="金融资产",I24=""),"金融资产OCI未填",IF(AND(OR(G16="无",F16&lt;=0),F24&lt;&gt;"",F24&lt;&gt;0),"无剩余股权但填了公允价值","通过"))))))</f>
        <v/>
      </c>
    </row>
    <row r="25" ht="19.95" customHeight="1" s="1097">
      <c r="A25" s="106" t="n"/>
      <c r="B25" s="1414">
        <f>B17</f>
        <v/>
      </c>
      <c r="C25" s="1482" t="n"/>
      <c r="D25" s="1483">
        <f>IF(OR(B25="",D17=0),0,C25*E17/D17)</f>
        <v/>
      </c>
      <c r="E25" s="1483">
        <f>IF(B25="","",C25-D25)</f>
        <v/>
      </c>
      <c r="F25" s="1482" t="n"/>
      <c r="G25" s="1483">
        <f>IF(B25="","",IF(OR(F17&lt;=0,G17="无",G17=""),0,F25-E25))</f>
        <v/>
      </c>
      <c r="H25" s="1482" t="n"/>
      <c r="I25" s="1482" t="n"/>
      <c r="J25" s="1482" t="n"/>
      <c r="K25" s="1483">
        <f>IF(OR(B25="",D17=0),0,IF(OR(G17="联营",G17="合营"),G25+N(H25)*E17/D17,IF(G17="金融资产",G25+N(I25),IF(OR(G17="无",G17="",F17&lt;=0),C17-D25+N(H25)+N(I25),G25+N(I25)))))</f>
        <v/>
      </c>
      <c r="L25" s="1483">
        <f>IF(OR(B25="",D17=0),0,IF(OR(G17="联营",G17="合营"),N(J25)*E17/D17,IF(OR(G17="无",G17="",F17&lt;=0),0,N(J25))))</f>
        <v/>
      </c>
      <c r="N25" s="0">
        <f>IF(B25="","",IF(C25="","单体长投账面价值未填",IF(AND(F17&gt;0,F25=""),"剩余股权公允价值未填",IF(AND(OR(G17="联营",G17="合营"),H25="",J25=""),"联营/合营OCI区建议复核",IF(AND(G17="金融资产",I25=""),"金融资产OCI未填",IF(AND(OR(G17="无",F17&lt;=0),F25&lt;&gt;"",F25&lt;&gt;0),"无剩余股权但填了公允价值","通过"))))))</f>
        <v/>
      </c>
    </row>
    <row r="26" ht="60" customFormat="1" customHeight="1" s="39">
      <c r="B26" s="1419">
        <f>B18</f>
        <v/>
      </c>
      <c r="C26" s="1484" t="n"/>
      <c r="D26" s="1485">
        <f>IF(OR(B26="",D18=0),0,C26*E18/D18)</f>
        <v/>
      </c>
      <c r="E26" s="1485">
        <f>IF(B26="","",C26-D26)</f>
        <v/>
      </c>
      <c r="F26" s="1486" t="n"/>
      <c r="G26" s="1485">
        <f>IF(B26="","",IF(OR(F18&lt;=0,G18="无",G18=""),0,F26-E26))</f>
        <v/>
      </c>
      <c r="H26" s="1484" t="n"/>
      <c r="I26" s="1484" t="n"/>
      <c r="J26" s="1484" t="n"/>
      <c r="K26" s="1485">
        <f>IF(OR(B26="",D18=0),0,IF(OR(G18="联营",G18="合营"),G26+N(H26)*E18/D18,IF(G18="金融资产",G26+N(I26),IF(OR(G18="无",G18="",F18&lt;=0),C18-D26+N(H26)+N(I26),G26+N(I26)))))</f>
        <v/>
      </c>
      <c r="L26" s="1487">
        <f>IF(OR(B26="",D18=0),0,IF(OR(G18="联营",G18="合营"),N(J26)*E18/D18,IF(OR(G18="无",G18="",F18&lt;=0),0,N(J26))))</f>
        <v/>
      </c>
      <c r="M26" s="4" t="n"/>
      <c r="N26" s="0">
        <f>IF(B26="","",IF(C26="","单体长投账面价值未填",IF(AND(F18&gt;0,F26=""),"剩余股权公允价值未填",IF(AND(OR(G18="联营",G18="合营"),H26="",J26=""),"联营/合营OCI区建议复核",IF(AND(G18="金融资产",I26=""),"金融资产OCI未填",IF(AND(OR(G18="无",F18&lt;=0),F26&lt;&gt;"",F26&lt;&gt;0),"无剩余股权但填了公允价值","通过"))))))</f>
        <v/>
      </c>
    </row>
    <row r="27" ht="19.95" customHeight="1" s="1097">
      <c r="B27" s="1407">
        <f>B19</f>
        <v/>
      </c>
      <c r="C27" s="1488" t="n"/>
      <c r="D27" s="1480">
        <f>IF(OR(B27="",D19=0),0,C27*E19/D19)</f>
        <v/>
      </c>
      <c r="E27" s="1481">
        <f>IF(B27="","",C27-D27)</f>
        <v/>
      </c>
      <c r="F27" s="1488" t="n"/>
      <c r="G27" s="1480">
        <f>IF(B27="","",IF(OR(F19&lt;=0,G19="无",G19=""),0,F27-E27))</f>
        <v/>
      </c>
      <c r="H27" s="1489" t="n"/>
      <c r="I27" s="1490" t="n"/>
      <c r="J27" s="1489" t="n"/>
      <c r="K27" s="1491">
        <f>IF(OR(B27="",D19=0),0,IF(OR(G19="联营",G19="合营"),G27+N(H27)*E19/D19,IF(G19="金融资产",G27+N(I27),IF(OR(G19="无",G19="",F19&lt;=0),C19-D27+N(H27)+N(I27),G27+N(I27)))))</f>
        <v/>
      </c>
      <c r="L27" s="1491">
        <f>IF(OR(B27="",D19=0),0,IF(OR(G19="联营",G19="合营"),N(J27)*E19/D19,IF(OR(G19="无",G19="",F19&lt;=0),0,N(J27))))</f>
        <v/>
      </c>
      <c r="M27" s="4" t="n"/>
      <c r="N27" s="0">
        <f>IF(B27="","",IF(C27="","单体长投账面价值未填",IF(AND(F19&gt;0,F27=""),"剩余股权公允价值未填",IF(AND(OR(G19="联营",G19="合营"),H27="",J27=""),"联营/合营OCI区建议复核",IF(AND(G19="金融资产",I27=""),"金融资产OCI未填",IF(AND(OR(G19="无",F19&lt;=0),F27&lt;&gt;"",F27&lt;&gt;0),"无剩余股权但填了公允价值","通过"))))))</f>
        <v/>
      </c>
    </row>
    <row r="28" ht="19.95" customHeight="1" s="1097">
      <c r="B28" s="1407">
        <f>B20</f>
        <v/>
      </c>
      <c r="C28" s="1488" t="n"/>
      <c r="D28" s="1480">
        <f>IF(OR(B28="",D20=0),0,C28*E20/D20)</f>
        <v/>
      </c>
      <c r="E28" s="1481">
        <f>IF(B28="","",C28-D28)</f>
        <v/>
      </c>
      <c r="F28" s="1488" t="n"/>
      <c r="G28" s="1480">
        <f>IF(B28="","",IF(OR(F20&lt;=0,G20="无",G20=""),0,F28-E28))</f>
        <v/>
      </c>
      <c r="H28" s="1489" t="n"/>
      <c r="I28" s="1490" t="n"/>
      <c r="J28" s="1489" t="n"/>
      <c r="K28" s="1491">
        <f>IF(OR(B28="",D20=0),0,IF(OR(G20="联营",G20="合营"),G28+N(H28)*E20/D20,IF(G20="金融资产",G28+N(I28),IF(OR(G20="无",G20="",F20&lt;=0),C20-D28+N(H28)+N(I28),G28+N(I28)))))</f>
        <v/>
      </c>
      <c r="L28" s="1491">
        <f>IF(OR(B28="",D20=0),0,IF(OR(G20="联营",G20="合营"),N(J28)*E20/D20,IF(OR(G20="无",G20="",F20&lt;=0),0,N(J28))))</f>
        <v/>
      </c>
      <c r="M28" s="4" t="n"/>
      <c r="N28" s="0">
        <f>IF(B28="","",IF(C28="","单体长投账面价值未填",IF(AND(F20&gt;0,F28=""),"剩余股权公允价值未填",IF(AND(OR(G20="联营",G20="合营"),H28="",J28=""),"联营/合营OCI区建议复核",IF(AND(G20="金融资产",I28=""),"金融资产OCI未填",IF(AND(OR(G20="无",F20&lt;=0),F28&lt;&gt;"",F28&lt;&gt;0),"无剩余股权但填了公允价值","通过"))))))</f>
        <v/>
      </c>
    </row>
    <row r="29" ht="19.95" customHeight="1" s="1097">
      <c r="B29" s="17" t="n"/>
      <c r="C29" s="109" t="n"/>
      <c r="D29" s="1325" t="n"/>
      <c r="E29" s="1326" t="n"/>
      <c r="F29" s="109" t="n"/>
      <c r="G29" s="1324" t="n"/>
      <c r="H29" s="1326" t="n"/>
      <c r="I29" s="1327" t="n"/>
      <c r="J29" s="27" t="n"/>
      <c r="K29" s="1327" t="n"/>
      <c r="L29" s="1327" t="n"/>
      <c r="M29" s="4" t="n"/>
      <c r="N29" s="0" t="n"/>
    </row>
    <row r="30" ht="19.95" customHeight="1" s="1097">
      <c r="A30" s="74" t="inlineStr">
        <is>
          <t>2.2 合并报表</t>
        </is>
      </c>
      <c r="B30" s="17" t="n"/>
      <c r="C30" s="109" t="n"/>
      <c r="D30" s="1325" t="n"/>
      <c r="E30" s="1326" t="n"/>
      <c r="F30" s="109" t="n"/>
      <c r="G30" s="1324" t="n"/>
      <c r="H30" s="1326" t="n"/>
      <c r="I30" s="1327" t="n"/>
      <c r="J30" s="27" t="n"/>
      <c r="K30" s="1327" t="n"/>
      <c r="L30" s="1327" t="n"/>
      <c r="M30" s="4" t="n"/>
      <c r="N30" s="0" t="n"/>
    </row>
    <row r="31" ht="19.95" customHeight="1" s="1097">
      <c r="B31" s="1439" t="inlineStr">
        <is>
          <t>子公司名称</t>
        </is>
      </c>
      <c r="C31" s="1439" t="inlineStr">
        <is>
          <t>处置日合并层面子公司净资产（100%）</t>
        </is>
      </c>
      <c r="D31" s="1439" t="inlineStr">
        <is>
          <t>原持股对应净资产份额</t>
        </is>
      </c>
      <c r="E31" s="1439" t="inlineStr">
        <is>
          <t>处置价款与处置部分净资产份额差额</t>
        </is>
      </c>
      <c r="F31" s="1439" t="inlineStr">
        <is>
          <t>合并报表相关商誉</t>
        </is>
      </c>
      <c r="G31" s="1439" t="inlineStr">
        <is>
          <t>剩余股权合并层面账面价值</t>
        </is>
      </c>
      <c r="H31" s="1439" t="inlineStr">
        <is>
          <t>剩余股权公允价值</t>
        </is>
      </c>
      <c r="I31" s="1439" t="inlineStr">
        <is>
          <t>按公允价值重新计量利得/损失</t>
        </is>
      </c>
      <c r="J31" s="1439" t="inlineStr">
        <is>
          <t>公允价值确定方法及主要假设</t>
        </is>
      </c>
      <c r="K31" s="1439" t="inlineStr">
        <is>
          <t>OCI重分类至投资损益</t>
        </is>
      </c>
      <c r="L31" s="1439" t="inlineStr">
        <is>
          <t>外币报表折算差额转入损益</t>
        </is>
      </c>
      <c r="M31" s="1439" t="inlineStr">
        <is>
          <t>少数股东权益终止确认</t>
        </is>
      </c>
      <c r="N31" s="1439" t="inlineStr">
        <is>
          <t>类型必填/自动复核</t>
        </is>
      </c>
      <c r="O31" s="1439" t="inlineStr">
        <is>
          <t>所得税影响（减少收益填正数）</t>
        </is>
      </c>
      <c r="P31" s="1439" t="inlineStr">
        <is>
          <t>合并层面处置投资收益</t>
        </is>
      </c>
    </row>
    <row r="32" ht="19.95" customHeight="1" s="1097">
      <c r="A32" s="106" t="n"/>
      <c r="B32" s="1414">
        <f>B16</f>
        <v/>
      </c>
      <c r="C32" s="1482" t="n"/>
      <c r="D32" s="1483">
        <f>IF(OR(B32="",D16=""),0,C32*D16)</f>
        <v/>
      </c>
      <c r="E32" s="1483">
        <f>IF(B32="","",C16-C32*E16)</f>
        <v/>
      </c>
      <c r="F32" s="1482" t="n"/>
      <c r="G32" s="1483">
        <f>IF(B32="","",IF(F16&lt;=0,0,C32*F16))</f>
        <v/>
      </c>
      <c r="H32" s="1483">
        <f>F24</f>
        <v/>
      </c>
      <c r="I32" s="1483">
        <f>IF(B32="","",IF(F16&lt;=0,0,H32-G32))</f>
        <v/>
      </c>
      <c r="J32" s="1474" t="n"/>
      <c r="K32" s="1482" t="n"/>
      <c r="L32" s="1482" t="n"/>
      <c r="M32" s="1482" t="n"/>
      <c r="N32" s="0">
        <f>IF(B32="","",IF(OR(C32="",F32=""),"合并净资产/商誉未填",IF(AND(F16&gt;0,OR(H32="",J32="")),"剩余股权FV或假设未填",IF(AND(F16&lt;=0,E16&lt;D16,M32=""),"存在少数股权建议填终止确认额","通过"))))</f>
        <v/>
      </c>
      <c r="O32" s="1482" t="n"/>
      <c r="P32" s="1483">
        <f>IF(B32="","",C16+N(H32)-D32-N(F32)+N(K32)+N(L32)-N(O32))</f>
        <v/>
      </c>
    </row>
    <row r="33" ht="19.95" customHeight="1" s="1097">
      <c r="B33" s="1419">
        <f>B17</f>
        <v/>
      </c>
      <c r="C33" s="1484" t="n"/>
      <c r="D33" s="1485">
        <f>IF(OR(B33="",D17=""),0,C33*D17)</f>
        <v/>
      </c>
      <c r="E33" s="1483">
        <f>IF(B33="","",C17-C33*E17)</f>
        <v/>
      </c>
      <c r="F33" s="1482" t="n"/>
      <c r="G33" s="1483">
        <f>IF(B33="","",IF(F17&lt;=0,0,C33*F17))</f>
        <v/>
      </c>
      <c r="H33" s="1485">
        <f>F25</f>
        <v/>
      </c>
      <c r="I33" s="1483">
        <f>IF(B33="","",IF(F17&lt;=0,0,H33-G33))</f>
        <v/>
      </c>
      <c r="J33" s="1474" t="n"/>
      <c r="K33" s="1482" t="n"/>
      <c r="L33" s="1482" t="n"/>
      <c r="M33" s="1492" t="n"/>
      <c r="N33" s="0">
        <f>IF(B33="","",IF(OR(C33="",F33=""),"合并净资产/商誉未填",IF(AND(F17&gt;0,OR(H33="",J33="")),"剩余股权FV或假设未填",IF(AND(F17&lt;=0,E17&lt;D17,M33=""),"存在少数股权建议填终止确认额","通过"))))</f>
        <v/>
      </c>
      <c r="O33" s="1482" t="n"/>
      <c r="P33" s="1483">
        <f>IF(B33="","",C17+N(H33)-D33-N(F33)+N(K33)+N(L33)-N(O33))</f>
        <v/>
      </c>
    </row>
    <row r="34" ht="25.8" customHeight="1" s="1097">
      <c r="B34" s="1414">
        <f>B18</f>
        <v/>
      </c>
      <c r="C34" s="1482" t="n"/>
      <c r="D34" s="1493">
        <f>IF(OR(B34="",D18=""),0,C34*D18)</f>
        <v/>
      </c>
      <c r="E34" s="1493">
        <f>IF(B34="","",C18-C34*E18)</f>
        <v/>
      </c>
      <c r="F34" s="1494" t="n"/>
      <c r="G34" s="1493">
        <f>IF(B34="","",IF(F18&lt;=0,0,C34*F18))</f>
        <v/>
      </c>
      <c r="H34" s="1485">
        <f>F26</f>
        <v/>
      </c>
      <c r="I34" s="1485">
        <f>IF(B34="","",IF(F18&lt;=0,0,H34-G34))</f>
        <v/>
      </c>
      <c r="J34" s="1477" t="n"/>
      <c r="K34" s="1484" t="n"/>
      <c r="L34" s="1484" t="n"/>
      <c r="M34" s="1484" t="n"/>
      <c r="N34" s="0">
        <f>IF(B34="","",IF(OR(C34="",F34=""),"合并净资产/商誉未填",IF(AND(F18&gt;0,OR(H34="",J34="")),"剩余股权FV或假设未填",IF(AND(F18&lt;=0,E18&lt;D18,M34=""),"存在少数股权建议填终止确认额","通过"))))</f>
        <v/>
      </c>
      <c r="O34" s="1482" t="n"/>
      <c r="P34" s="1483">
        <f>IF(B34="","",C18+N(H34)-D34-N(F34)+N(K34)+N(L34)-N(O34))</f>
        <v/>
      </c>
    </row>
    <row r="35" ht="19.95" customHeight="1" s="1097">
      <c r="B35" s="1443">
        <f>B19</f>
        <v/>
      </c>
      <c r="C35" s="1495" t="n"/>
      <c r="D35" s="1496">
        <f>IF(OR(B35="",D19=""),0,C35*D19)</f>
        <v/>
      </c>
      <c r="E35" s="1496">
        <f>IF(B35="","",C19-C35*E19)</f>
        <v/>
      </c>
      <c r="F35" s="1497" t="n"/>
      <c r="G35" s="1496">
        <f>IF(B35="","",IF(F19&lt;=0,0,C35*F19))</f>
        <v/>
      </c>
      <c r="H35" s="1496">
        <f>F27</f>
        <v/>
      </c>
      <c r="I35" s="1496">
        <f>IF(B35="","",IF(F19&lt;=0,0,H35-G35))</f>
        <v/>
      </c>
      <c r="J35" s="1498" t="n"/>
      <c r="K35" s="1497" t="n"/>
      <c r="L35" s="1497" t="n"/>
      <c r="M35" s="1497" t="n"/>
      <c r="N35" s="0">
        <f>IF(B35="","",IF(OR(C35="",F35=""),"合并净资产/商誉未填",IF(AND(F19&gt;0,OR(H35="",J35="")),"剩余股权FV或假设未填",IF(AND(F19&lt;=0,E19&lt;D19,M35=""),"存在少数股权建议填终止确认额","通过"))))</f>
        <v/>
      </c>
      <c r="O35" s="1482" t="n"/>
      <c r="P35" s="1483">
        <f>IF(B35="","",C19+N(H35)-D35-N(F35)+N(K35)+N(L35)-N(O35))</f>
        <v/>
      </c>
    </row>
    <row r="36" ht="19.95" customHeight="1" s="1097">
      <c r="B36" s="1448">
        <f>B20</f>
        <v/>
      </c>
      <c r="C36" s="1489" t="n"/>
      <c r="D36" s="1481">
        <f>IF(OR(B36="",D20=""),0,C36*D20)</f>
        <v/>
      </c>
      <c r="E36" s="1499">
        <f>IF(B36="","",C20-C36*E20)</f>
        <v/>
      </c>
      <c r="F36" s="1500" t="n"/>
      <c r="G36" s="1499">
        <f>IF(B36="","",IF(F20&lt;=0,0,C36*F20))</f>
        <v/>
      </c>
      <c r="H36" s="1499">
        <f>F28</f>
        <v/>
      </c>
      <c r="I36" s="1499">
        <f>IF(B36="","",IF(F20&lt;=0,0,H36-G36))</f>
        <v/>
      </c>
      <c r="J36" s="1501" t="n"/>
      <c r="K36" s="1500" t="n"/>
      <c r="L36" s="1500" t="n"/>
      <c r="M36" s="1489" t="n"/>
      <c r="N36" s="0">
        <f>IF(B36="","",IF(OR(C36="",F36=""),"合并净资产/商誉未填",IF(AND(F20&gt;0,OR(H36="",J36="")),"剩余股权FV或假设未填",IF(AND(F20&lt;=0,E20&lt;D20,M36=""),"存在少数股权建议填终止确认额","通过"))))</f>
        <v/>
      </c>
      <c r="O36" s="1482" t="n"/>
      <c r="P36" s="1483">
        <f>IF(B36="","",C20+N(H36)-D36-N(F36)+N(K36)+N(L36)-N(O36))</f>
        <v/>
      </c>
    </row>
    <row r="37" ht="19.95" customHeight="1" s="1097">
      <c r="B37" s="41" t="n"/>
      <c r="C37" s="650" t="n"/>
      <c r="D37" s="27" t="n"/>
      <c r="E37" s="1225" t="n"/>
      <c r="F37" s="1225" t="n"/>
      <c r="G37" s="1225" t="n"/>
      <c r="H37" s="1230" t="n"/>
      <c r="I37" s="1230" t="n"/>
      <c r="J37" s="1230" t="n"/>
      <c r="K37" s="1230" t="n"/>
      <c r="L37" s="1230" t="n"/>
      <c r="M37" s="650" t="n"/>
      <c r="N37" s="0" t="n"/>
    </row>
    <row r="38" ht="19.95" customHeight="1" s="1097">
      <c r="A38" s="74" t="inlineStr">
        <is>
          <t>3.单次处置剩余股权为联营、合营时追溯调整为权益法</t>
        </is>
      </c>
      <c r="B38" s="41" t="n"/>
      <c r="C38" s="650" t="n"/>
      <c r="D38" s="27" t="n"/>
      <c r="E38" s="1225" t="n"/>
      <c r="F38" s="1225" t="n"/>
      <c r="G38" s="1225" t="n"/>
      <c r="H38" s="1230" t="n"/>
      <c r="I38" s="1230" t="n"/>
      <c r="J38" s="1230" t="n"/>
      <c r="K38" s="1230" t="n"/>
      <c r="L38" s="1230" t="n"/>
      <c r="M38" s="650" t="n"/>
      <c r="N38" s="0" t="n"/>
    </row>
    <row r="39" ht="19.95" customHeight="1" s="1097">
      <c r="B39" s="1451" t="inlineStr">
        <is>
          <t>被投资单位名称</t>
        </is>
      </c>
      <c r="C39" s="1452" t="inlineStr">
        <is>
          <t>持股比例</t>
        </is>
      </c>
      <c r="D39" s="1453" t="inlineStr">
        <is>
          <t>被投资单位</t>
        </is>
      </c>
      <c r="E39" s="1285" t="n"/>
      <c r="F39" s="1285" t="n"/>
      <c r="G39" s="1270" t="n"/>
      <c r="H39" s="1454" t="inlineStr">
        <is>
          <t>归属于母公司</t>
        </is>
      </c>
      <c r="I39" s="1285" t="n"/>
      <c r="J39" s="1285" t="n"/>
      <c r="K39" s="1285" t="n"/>
      <c r="L39" s="1270" t="n"/>
      <c r="M39" s="1452" t="inlineStr">
        <is>
          <t>测算参数</t>
        </is>
      </c>
      <c r="N39" s="0" t="n"/>
    </row>
    <row r="40" ht="19.95" customHeight="1" s="1097">
      <c r="A40" s="23" t="n"/>
      <c r="B40" s="1271" t="n"/>
      <c r="C40" s="1273" t="n"/>
      <c r="D40" s="1455" t="inlineStr">
        <is>
          <t>原取得投资日至本期期初累计净利润</t>
        </is>
      </c>
      <c r="E40" s="1455" t="inlineStr">
        <is>
          <t>本期净利润</t>
        </is>
      </c>
      <c r="F40" s="1455" t="inlineStr">
        <is>
          <t>其他综合收益</t>
        </is>
      </c>
      <c r="G40" s="1455" t="inlineStr">
        <is>
          <t>其他所有者权益变动</t>
        </is>
      </c>
      <c r="H40" s="1455" t="inlineStr">
        <is>
          <t>期初未分配利润</t>
        </is>
      </c>
      <c r="I40" s="1455" t="inlineStr">
        <is>
          <t>盈余公积</t>
        </is>
      </c>
      <c r="J40" s="1455" t="inlineStr">
        <is>
          <t>投资收益</t>
        </is>
      </c>
      <c r="K40" s="1455" t="inlineStr">
        <is>
          <t>长期投资-其他综合收益</t>
        </is>
      </c>
      <c r="L40" s="1455" t="inlineStr">
        <is>
          <t>长期投资-其他变动</t>
        </is>
      </c>
      <c r="M40" s="1455" t="inlineStr">
        <is>
          <t>盈余公积计提比例</t>
        </is>
      </c>
    </row>
    <row r="41" ht="19.95" customHeight="1" s="1097">
      <c r="C41" s="1455" t="inlineStr">
        <is>
          <t>①</t>
        </is>
      </c>
      <c r="D41" s="1455" t="inlineStr">
        <is>
          <t>②</t>
        </is>
      </c>
      <c r="E41" s="1455" t="inlineStr">
        <is>
          <t>③</t>
        </is>
      </c>
      <c r="F41" s="1455" t="inlineStr">
        <is>
          <t>④</t>
        </is>
      </c>
      <c r="G41" s="1455" t="inlineStr">
        <is>
          <t>⑤</t>
        </is>
      </c>
      <c r="H41" s="1455" t="inlineStr">
        <is>
          <t>⑥=①×②×(1-⑪)</t>
        </is>
      </c>
      <c r="I41" s="1455" t="inlineStr">
        <is>
          <t>⑦=①×②×⑪</t>
        </is>
      </c>
      <c r="J41" s="1455" t="inlineStr">
        <is>
          <t>⑧=①×③</t>
        </is>
      </c>
      <c r="K41" s="1455" t="inlineStr">
        <is>
          <t>⑨=①×④</t>
        </is>
      </c>
      <c r="L41" s="1455" t="inlineStr">
        <is>
          <t>⑩=①×⑤</t>
        </is>
      </c>
      <c r="M41" s="1455" t="inlineStr">
        <is>
          <t>⑪</t>
        </is>
      </c>
    </row>
    <row r="42" ht="19.95" customHeight="1" s="1097">
      <c r="B42" s="1414">
        <f>IF(OR(G16="联营",G16="合营"),B16,"")</f>
        <v/>
      </c>
      <c r="C42" s="1416">
        <f>IF(OR(G16="联营",G16="合营"),F16,"")</f>
        <v/>
      </c>
      <c r="D42" s="1482" t="n"/>
      <c r="E42" s="1482" t="n"/>
      <c r="F42" s="1482" t="n"/>
      <c r="G42" s="1482" t="n"/>
      <c r="H42" s="1483">
        <f>IF(OR(B42="",M42=""),"",C42*D42*(1-M42))</f>
        <v/>
      </c>
      <c r="I42" s="1483">
        <f>IF(OR(B42="",M42=""),"",C42*D42*M42)</f>
        <v/>
      </c>
      <c r="J42" s="1483">
        <f>IF(B42="","",C42*E42)</f>
        <v/>
      </c>
      <c r="K42" s="1483">
        <f>IF(B42="","",C42*F42)</f>
        <v/>
      </c>
      <c r="L42" s="1483">
        <f>IF(B42="","",G42*C42)</f>
        <v/>
      </c>
      <c r="M42" s="1417" t="n"/>
      <c r="N42" s="0">
        <f>IF(B42="","",IF(OR(D42="",E42="",M42=""),"权益法追溯输入不完整","通过"))</f>
        <v/>
      </c>
    </row>
    <row r="43" ht="19.95" customHeight="1" s="1097">
      <c r="B43" s="1414">
        <f>IF(OR(G17="联营",G17="合营"),B17,"")</f>
        <v/>
      </c>
      <c r="C43" s="1416">
        <f>IF(OR(G17="联营",G17="合营"),F17,"")</f>
        <v/>
      </c>
      <c r="D43" s="1482" t="n"/>
      <c r="E43" s="1482" t="n"/>
      <c r="F43" s="1482" t="n"/>
      <c r="G43" s="1482" t="n"/>
      <c r="H43" s="1483">
        <f>IF(OR(B43="",M43=""),"",C43*D43*(1-M43))</f>
        <v/>
      </c>
      <c r="I43" s="1483">
        <f>IF(OR(B43="",M43=""),"",C43*D43*M43)</f>
        <v/>
      </c>
      <c r="J43" s="1483">
        <f>IF(B43="","",C43*E43)</f>
        <v/>
      </c>
      <c r="K43" s="1483">
        <f>IF(B43="","",C43*F43)</f>
        <v/>
      </c>
      <c r="L43" s="1483">
        <f>IF(B43="","",G43*C43)</f>
        <v/>
      </c>
      <c r="M43" s="1417" t="n"/>
      <c r="N43" s="0">
        <f>IF(B43="","",IF(OR(D43="",E43="",M43=""),"权益法追溯输入不完整","通过"))</f>
        <v/>
      </c>
    </row>
    <row r="44" ht="19.95" customHeight="1" s="1097">
      <c r="A44" s="23" t="n"/>
      <c r="B44" s="1414">
        <f>IF(OR(G18="联营",G18="合营"),B18,"")</f>
        <v/>
      </c>
      <c r="C44" s="1416">
        <f>IF(OR(G18="联营",G18="合营"),F18,"")</f>
        <v/>
      </c>
      <c r="D44" s="1482" t="n"/>
      <c r="E44" s="1482" t="n"/>
      <c r="F44" s="1482" t="n"/>
      <c r="G44" s="1482" t="n"/>
      <c r="H44" s="1483">
        <f>IF(OR(B44="",M44=""),"",C44*D44*(1-M44))</f>
        <v/>
      </c>
      <c r="I44" s="1483">
        <f>IF(OR(B44="",M44=""),"",C44*D44*M44)</f>
        <v/>
      </c>
      <c r="J44" s="1483">
        <f>IF(B44="","",C44*E44)</f>
        <v/>
      </c>
      <c r="K44" s="1483">
        <f>IF(B44="","",C44*F44)</f>
        <v/>
      </c>
      <c r="L44" s="1483">
        <f>IF(B44="","",G44*C44)</f>
        <v/>
      </c>
      <c r="M44" s="1417" t="n"/>
      <c r="N44" s="0">
        <f>IF(B44="","",IF(OR(D44="",E44="",M44=""),"权益法追溯输入不完整","通过"))</f>
        <v/>
      </c>
    </row>
    <row r="45" ht="19.95" customHeight="1" s="1097">
      <c r="B45" s="1414">
        <f>IF(OR(G19="联营",G19="合营"),B19,"")</f>
        <v/>
      </c>
      <c r="C45" s="1416">
        <f>IF(OR(G19="联营",G19="合营"),F19,"")</f>
        <v/>
      </c>
      <c r="D45" s="1482" t="n"/>
      <c r="E45" s="1482" t="n"/>
      <c r="F45" s="1482" t="n"/>
      <c r="G45" s="1482" t="n"/>
      <c r="H45" s="1483">
        <f>IF(OR(B45="",M45=""),"",C45*D45*(1-M45))</f>
        <v/>
      </c>
      <c r="I45" s="1483">
        <f>IF(OR(B45="",M45=""),"",C45*D45*M45)</f>
        <v/>
      </c>
      <c r="J45" s="1483">
        <f>IF(B45="","",C45*E45)</f>
        <v/>
      </c>
      <c r="K45" s="1483">
        <f>IF(B45="","",C45*F45)</f>
        <v/>
      </c>
      <c r="L45" s="1483">
        <f>IF(B45="","",G45*C45)</f>
        <v/>
      </c>
      <c r="M45" s="1417" t="n"/>
      <c r="N45" s="0">
        <f>IF(B45="","",IF(OR(D45="",E45="",M45=""),"权益法追溯输入不完整","通过"))</f>
        <v/>
      </c>
    </row>
    <row r="46" ht="19.95" customHeight="1" s="1097">
      <c r="B46" s="1414">
        <f>IF(OR(G20="联营",G20="合营"),B20,"")</f>
        <v/>
      </c>
      <c r="C46" s="1416">
        <f>IF(OR(G20="联营",G20="合营"),F20,"")</f>
        <v/>
      </c>
      <c r="D46" s="1482" t="n"/>
      <c r="E46" s="1482" t="n"/>
      <c r="F46" s="1482" t="n"/>
      <c r="G46" s="1482" t="n"/>
      <c r="H46" s="1483">
        <f>IF(OR(B46="",M46=""),"",C46*D46*(1-M46))</f>
        <v/>
      </c>
      <c r="I46" s="1483">
        <f>IF(OR(B46="",M46=""),"",C46*D46*M46)</f>
        <v/>
      </c>
      <c r="J46" s="1483">
        <f>IF(B46="","",C46*E46)</f>
        <v/>
      </c>
      <c r="K46" s="1483">
        <f>IF(B46="","",C46*F46)</f>
        <v/>
      </c>
      <c r="L46" s="1483">
        <f>IF(B46="","",G46*C46)</f>
        <v/>
      </c>
      <c r="M46" s="1417" t="n"/>
      <c r="N46" s="0">
        <f>IF(B46="","",IF(OR(D46="",E46="",M46=""),"权益法追溯输入不完整","通过"))</f>
        <v/>
      </c>
    </row>
    <row r="47" ht="19.95" customHeight="1" s="1097"/>
    <row r="48">
      <c r="A48" s="74" t="inlineStr">
        <is>
          <t>4.账务勾稽与差异提示</t>
        </is>
      </c>
      <c r="Q48" s="1502" t="inlineStr">
        <is>
          <t>重要性水平（金额）</t>
        </is>
      </c>
      <c r="R48" s="1482" t="n"/>
    </row>
    <row r="49" ht="32" customHeight="1" s="1097">
      <c r="B49" s="1503" t="inlineStr">
        <is>
          <t>子公司名称</t>
        </is>
      </c>
      <c r="C49" s="1503" t="inlineStr">
        <is>
          <t>①处置价款(底稿)</t>
        </is>
      </c>
      <c r="D49" s="1503" t="inlineStr">
        <is>
          <t>②实际收款/协议对价</t>
        </is>
      </c>
      <c r="E49" s="1503" t="inlineStr">
        <is>
          <t>③=①−②价款差异</t>
        </is>
      </c>
      <c r="F49" s="1503" t="inlineStr">
        <is>
          <t>④长投账面(底稿)</t>
        </is>
      </c>
      <c r="G49" s="1503" t="inlineStr">
        <is>
          <t>⑤G7-2可匹配账面</t>
        </is>
      </c>
      <c r="H49" s="1503" t="inlineStr">
        <is>
          <t>⑥=④−⑤长投差异</t>
        </is>
      </c>
      <c r="I49" s="1503" t="inlineStr">
        <is>
          <t>⑦单体测算投资收益</t>
        </is>
      </c>
      <c r="J49" s="1503" t="inlineStr">
        <is>
          <t>⑧账面/调整投资收益</t>
        </is>
      </c>
      <c r="K49" s="1503" t="inlineStr">
        <is>
          <t>⑨=⑦−⑧收益差异</t>
        </is>
      </c>
      <c r="L49" s="1503" t="inlineStr">
        <is>
          <t>⑩是否超重要性</t>
        </is>
      </c>
      <c r="N49" s="1503" t="inlineStr">
        <is>
          <t>⑪勾稽结论</t>
        </is>
      </c>
      <c r="O49" s="1503" t="inlineStr">
        <is>
          <t>合并层测算收益(参)</t>
        </is>
      </c>
    </row>
    <row r="50">
      <c r="B50" s="1414">
        <f>B16</f>
        <v/>
      </c>
      <c r="C50" s="1483">
        <f>C16</f>
        <v/>
      </c>
      <c r="D50" s="1482" t="n"/>
      <c r="E50" s="1483">
        <f>IF(B50="","",N(C50)-N(D50))</f>
        <v/>
      </c>
      <c r="F50" s="1483">
        <f>C24</f>
        <v/>
      </c>
      <c r="G50" s="1483">
        <f>IF(B50="","",IFERROR(INDEX('明细表G7-2'!$R$16:$R$25,MATCH(B50,'明细表G7-2'!$B$16:$B$25,0)),IFERROR(INDEX('明细表G7-2'!$M$16:$M$25,MATCH(B50,'明细表G7-2'!$B$16:$B$25,0)),IFERROR(INDEX('明细表G7-2'!$U$16:$U$25,MATCH(B50,'明细表G7-2'!$B$16:$B$25,0)),IFERROR(INDEX('明细表G7-2'!$H$33:$H$37,MATCH(B50,'明细表G7-2'!$B$33:$B$37,0)),IFERROR(INDEX('明细表G7-2'!$H$40:$H$44,MATCH(B50,'明细表G7-2'!$B$40:$B$44,0)),"未匹配"))))))</f>
        <v/>
      </c>
      <c r="H50" s="1483">
        <f>IF(OR(B50="",G50="未匹配",G50=""),"",N(F50)-N(G50))</f>
        <v/>
      </c>
      <c r="I50" s="1483">
        <f>K24</f>
        <v/>
      </c>
      <c r="J50" s="1482" t="n"/>
      <c r="K50" s="1483">
        <f>IF(B50="","",N(I50)-N(J50))</f>
        <v/>
      </c>
      <c r="L50" s="1414">
        <f>IF(B50="","",IF($R$48="","请填重要性水平",IF(MAX(ABS(N(E50)),IF(H50="",0,ABS(N(H50))),ABS(N(K50)))&gt;$R$48,"超过","未超过")))</f>
        <v/>
      </c>
      <c r="N50" s="0">
        <f>IF(B50="","",IF(OR(D50="",J50=""),"勾稽输入不完整",IF(L50="超过","存在超重要性差异-需说明",IF(L50="请填重要性水平","待填重要性水平","通过"))))</f>
        <v/>
      </c>
      <c r="O50" s="1504">
        <f>P32</f>
        <v/>
      </c>
    </row>
    <row r="51">
      <c r="B51" s="1414">
        <f>B17</f>
        <v/>
      </c>
      <c r="C51" s="1483">
        <f>C17</f>
        <v/>
      </c>
      <c r="D51" s="1482" t="n"/>
      <c r="E51" s="1483">
        <f>IF(B51="","",N(C51)-N(D51))</f>
        <v/>
      </c>
      <c r="F51" s="1483">
        <f>C25</f>
        <v/>
      </c>
      <c r="G51" s="1483">
        <f>IF(B51="","",IFERROR(INDEX('明细表G7-2'!$R$16:$R$25,MATCH(B51,'明细表G7-2'!$B$16:$B$25,0)),IFERROR(INDEX('明细表G7-2'!$M$16:$M$25,MATCH(B51,'明细表G7-2'!$B$16:$B$25,0)),IFERROR(INDEX('明细表G7-2'!$U$16:$U$25,MATCH(B51,'明细表G7-2'!$B$16:$B$25,0)),IFERROR(INDEX('明细表G7-2'!$H$33:$H$37,MATCH(B51,'明细表G7-2'!$B$33:$B$37,0)),IFERROR(INDEX('明细表G7-2'!$H$40:$H$44,MATCH(B51,'明细表G7-2'!$B$40:$B$44,0)),"未匹配"))))))</f>
        <v/>
      </c>
      <c r="H51" s="1483">
        <f>IF(OR(B51="",G51="未匹配",G51=""),"",N(F51)-N(G51))</f>
        <v/>
      </c>
      <c r="I51" s="1483">
        <f>K25</f>
        <v/>
      </c>
      <c r="J51" s="1482" t="n"/>
      <c r="K51" s="1483">
        <f>IF(B51="","",N(I51)-N(J51))</f>
        <v/>
      </c>
      <c r="L51" s="1414">
        <f>IF(B51="","",IF($R$48="","请填重要性水平",IF(MAX(ABS(N(E51)),IF(H51="",0,ABS(N(H51))),ABS(N(K51)))&gt;$R$48,"超过","未超过")))</f>
        <v/>
      </c>
      <c r="N51" s="0">
        <f>IF(B51="","",IF(OR(D51="",J51=""),"勾稽输入不完整",IF(L51="超过","存在超重要性差异-需说明",IF(L51="请填重要性水平","待填重要性水平","通过"))))</f>
        <v/>
      </c>
      <c r="O51" s="1504">
        <f>P33</f>
        <v/>
      </c>
    </row>
    <row r="52">
      <c r="B52" s="1414">
        <f>B18</f>
        <v/>
      </c>
      <c r="C52" s="1483">
        <f>C18</f>
        <v/>
      </c>
      <c r="D52" s="1482" t="n"/>
      <c r="E52" s="1483">
        <f>IF(B52="","",N(C52)-N(D52))</f>
        <v/>
      </c>
      <c r="F52" s="1483">
        <f>C26</f>
        <v/>
      </c>
      <c r="G52" s="1483">
        <f>IF(B52="","",IFERROR(INDEX('明细表G7-2'!$R$16:$R$25,MATCH(B52,'明细表G7-2'!$B$16:$B$25,0)),IFERROR(INDEX('明细表G7-2'!$M$16:$M$25,MATCH(B52,'明细表G7-2'!$B$16:$B$25,0)),IFERROR(INDEX('明细表G7-2'!$U$16:$U$25,MATCH(B52,'明细表G7-2'!$B$16:$B$25,0)),IFERROR(INDEX('明细表G7-2'!$H$33:$H$37,MATCH(B52,'明细表G7-2'!$B$33:$B$37,0)),IFERROR(INDEX('明细表G7-2'!$H$40:$H$44,MATCH(B52,'明细表G7-2'!$B$40:$B$44,0)),"未匹配"))))))</f>
        <v/>
      </c>
      <c r="H52" s="1483">
        <f>IF(OR(B52="",G52="未匹配",G52=""),"",N(F52)-N(G52))</f>
        <v/>
      </c>
      <c r="I52" s="1483">
        <f>K26</f>
        <v/>
      </c>
      <c r="J52" s="1482" t="n"/>
      <c r="K52" s="1483">
        <f>IF(B52="","",N(I52)-N(J52))</f>
        <v/>
      </c>
      <c r="L52" s="1414">
        <f>IF(B52="","",IF($R$48="","请填重要性水平",IF(MAX(ABS(N(E52)),IF(H52="",0,ABS(N(H52))),ABS(N(K52)))&gt;$R$48,"超过","未超过")))</f>
        <v/>
      </c>
      <c r="N52" s="0">
        <f>IF(B52="","",IF(OR(D52="",J52=""),"勾稽输入不完整",IF(L52="超过","存在超重要性差异-需说明",IF(L52="请填重要性水平","待填重要性水平","通过"))))</f>
        <v/>
      </c>
      <c r="O52" s="1504">
        <f>P34</f>
        <v/>
      </c>
    </row>
    <row r="53">
      <c r="B53" s="1414">
        <f>B19</f>
        <v/>
      </c>
      <c r="C53" s="1483">
        <f>C19</f>
        <v/>
      </c>
      <c r="D53" s="1482" t="n"/>
      <c r="E53" s="1483">
        <f>IF(B53="","",N(C53)-N(D53))</f>
        <v/>
      </c>
      <c r="F53" s="1483">
        <f>C27</f>
        <v/>
      </c>
      <c r="G53" s="1483">
        <f>IF(B53="","",IFERROR(INDEX('明细表G7-2'!$R$16:$R$25,MATCH(B53,'明细表G7-2'!$B$16:$B$25,0)),IFERROR(INDEX('明细表G7-2'!$M$16:$M$25,MATCH(B53,'明细表G7-2'!$B$16:$B$25,0)),IFERROR(INDEX('明细表G7-2'!$U$16:$U$25,MATCH(B53,'明细表G7-2'!$B$16:$B$25,0)),IFERROR(INDEX('明细表G7-2'!$H$33:$H$37,MATCH(B53,'明细表G7-2'!$B$33:$B$37,0)),IFERROR(INDEX('明细表G7-2'!$H$40:$H$44,MATCH(B53,'明细表G7-2'!$B$40:$B$44,0)),"未匹配"))))))</f>
        <v/>
      </c>
      <c r="H53" s="1483">
        <f>IF(OR(B53="",G53="未匹配",G53=""),"",N(F53)-N(G53))</f>
        <v/>
      </c>
      <c r="I53" s="1483">
        <f>K27</f>
        <v/>
      </c>
      <c r="J53" s="1482" t="n"/>
      <c r="K53" s="1483">
        <f>IF(B53="","",N(I53)-N(J53))</f>
        <v/>
      </c>
      <c r="L53" s="1414">
        <f>IF(B53="","",IF($R$48="","请填重要性水平",IF(MAX(ABS(N(E53)),IF(H53="",0,ABS(N(H53))),ABS(N(K53)))&gt;$R$48,"超过","未超过")))</f>
        <v/>
      </c>
      <c r="N53" s="0">
        <f>IF(B53="","",IF(OR(D53="",J53=""),"勾稽输入不完整",IF(L53="超过","存在超重要性差异-需说明",IF(L53="请填重要性水平","待填重要性水平","通过"))))</f>
        <v/>
      </c>
      <c r="O53" s="1504">
        <f>P35</f>
        <v/>
      </c>
    </row>
    <row r="54">
      <c r="B54" s="1414">
        <f>B20</f>
        <v/>
      </c>
      <c r="C54" s="1483">
        <f>C20</f>
        <v/>
      </c>
      <c r="D54" s="1482" t="n"/>
      <c r="E54" s="1483">
        <f>IF(B54="","",N(C54)-N(D54))</f>
        <v/>
      </c>
      <c r="F54" s="1483">
        <f>C28</f>
        <v/>
      </c>
      <c r="G54" s="1483">
        <f>IF(B54="","",IFERROR(INDEX('明细表G7-2'!$R$16:$R$25,MATCH(B54,'明细表G7-2'!$B$16:$B$25,0)),IFERROR(INDEX('明细表G7-2'!$M$16:$M$25,MATCH(B54,'明细表G7-2'!$B$16:$B$25,0)),IFERROR(INDEX('明细表G7-2'!$U$16:$U$25,MATCH(B54,'明细表G7-2'!$B$16:$B$25,0)),IFERROR(INDEX('明细表G7-2'!$H$33:$H$37,MATCH(B54,'明细表G7-2'!$B$33:$B$37,0)),IFERROR(INDEX('明细表G7-2'!$H$40:$H$44,MATCH(B54,'明细表G7-2'!$B$40:$B$44,0)),"未匹配"))))))</f>
        <v/>
      </c>
      <c r="H54" s="1483">
        <f>IF(OR(B54="",G54="未匹配",G54=""),"",N(F54)-N(G54))</f>
        <v/>
      </c>
      <c r="I54" s="1483">
        <f>K28</f>
        <v/>
      </c>
      <c r="J54" s="1482" t="n"/>
      <c r="K54" s="1483">
        <f>IF(B54="","",N(I54)-N(J54))</f>
        <v/>
      </c>
      <c r="L54" s="1414">
        <f>IF(B54="","",IF($R$48="","请填重要性水平",IF(MAX(ABS(N(E54)),IF(H54="",0,ABS(N(H54))),ABS(N(K54)))&gt;$R$48,"超过","未超过")))</f>
        <v/>
      </c>
      <c r="N54" s="0">
        <f>IF(B54="","",IF(OR(D54="",J54=""),"勾稽输入不完整",IF(L54="超过","存在超重要性差异-需说明",IF(L54="请填重要性水平","待填重要性水平","通过"))))</f>
        <v/>
      </c>
      <c r="O54" s="1504">
        <f>P36</f>
        <v/>
      </c>
    </row>
    <row r="56">
      <c r="A56" s="74" t="inlineStr">
        <is>
          <t>三、审计说明</t>
        </is>
      </c>
    </row>
    <row r="57">
      <c r="A57" s="0" t="inlineStr">
        <is>
          <t>（自动汇总异常/待跟进；无数据时显示引导语。可在下方继续手工补充。）</t>
        </is>
      </c>
    </row>
    <row r="58" ht="48" customHeight="1" s="1097">
      <c r="A58" s="1505">
        <f>IF(COUNTA(B9:B13)=0,"（尚未录入处置子公司。请先在第1节填写企业名称，系统将自动匹配G7-4并汇总各节复核异常。）",IF(TEXTJOIN("；",TRUE,IF(AND(N16&lt;&gt;"",N16&lt;&gt;"通过"),IF(B16="","",B16&amp;"：")&amp;N16,""),IF(AND(N17&lt;&gt;"",N17&lt;&gt;"通过"),IF(B17="","",B17&amp;"：")&amp;N17,""),IF(AND(N18&lt;&gt;"",N18&lt;&gt;"通过"),IF(B18="","",B18&amp;"：")&amp;N18,""),IF(AND(N19&lt;&gt;"",N19&lt;&gt;"通过"),IF(B19="","",B19&amp;"：")&amp;N19,""),IF(AND(N20&lt;&gt;"",N20&lt;&gt;"通过"),IF(B20="","",B20&amp;"：")&amp;N20,""),IF(AND(N24&lt;&gt;"",N24&lt;&gt;"通过"),IF(B24="","",B24&amp;"：")&amp;N24,""),IF(AND(N25&lt;&gt;"",N25&lt;&gt;"通过"),IF(B25="","",B25&amp;"：")&amp;N25,""),IF(AND(N26&lt;&gt;"",N26&lt;&gt;"通过"),IF(B26="","",B26&amp;"：")&amp;N26,""),IF(AND(N27&lt;&gt;"",N27&lt;&gt;"通过"),IF(B27="","",B27&amp;"：")&amp;N27,""),IF(AND(N28&lt;&gt;"",N28&lt;&gt;"通过"),IF(B28="","",B28&amp;"：")&amp;N28,""),IF(AND(N32&lt;&gt;"",N32&lt;&gt;"通过"),IF(B32="","",B32&amp;"：")&amp;N32,""),IF(AND(N33&lt;&gt;"",N33&lt;&gt;"通过"),IF(B33="","",B33&amp;"：")&amp;N33,""),IF(AND(N34&lt;&gt;"",N34&lt;&gt;"通过"),IF(B34="","",B34&amp;"：")&amp;N34,""),IF(AND(N35&lt;&gt;"",N35&lt;&gt;"通过"),IF(B35="","",B35&amp;"：")&amp;N35,""),IF(AND(N36&lt;&gt;"",N36&lt;&gt;"通过"),IF(B36="","",B36&amp;"：")&amp;N36,""),IF(AND(N42&lt;&gt;"",N42&lt;&gt;"通过"),IF(B42="","",B42&amp;"：")&amp;N42,""),IF(AND(N43&lt;&gt;"",N43&lt;&gt;"通过"),IF(B43="","",B43&amp;"：")&amp;N43,""),IF(AND(N44&lt;&gt;"",N44&lt;&gt;"通过"),IF(B44="","",B44&amp;"：")&amp;N44,""),IF(AND(N45&lt;&gt;"",N45&lt;&gt;"通过"),IF(B45="","",B45&amp;"：")&amp;N45,""),IF(AND(N46&lt;&gt;"",N46&lt;&gt;"通过"),IF(B46="","",B46&amp;"：")&amp;N46,""),IF(AND(N50&lt;&gt;"",N50&lt;&gt;"通过"),IF(B50="","",B50&amp;"：")&amp;N50,""),IF(AND(N51&lt;&gt;"",N51&lt;&gt;"通过"),IF(B51="","",B51&amp;"：")&amp;N51,""),IF(AND(N52&lt;&gt;"",N52&lt;&gt;"通过"),IF(B52="","",B52&amp;"：")&amp;N52,""),IF(AND(N53&lt;&gt;"",N53&lt;&gt;"通过"),IF(B53="","",B53&amp;"：")&amp;N53,""),IF(AND(N54&lt;&gt;"",N54&lt;&gt;"通过"),IF(B54="","",B54&amp;"：")&amp;N54,""))="","各节自动复核未发现未通过项，请结合查验资料完成结论勾选与复核签字。",TEXTJOIN("；",TRUE,IF(AND(N16&lt;&gt;"",N16&lt;&gt;"通过"),IF(B16="","",B16&amp;"：")&amp;N16,""),IF(AND(N17&lt;&gt;"",N17&lt;&gt;"通过"),IF(B17="","",B17&amp;"：")&amp;N17,""),IF(AND(N18&lt;&gt;"",N18&lt;&gt;"通过"),IF(B18="","",B18&amp;"：")&amp;N18,""),IF(AND(N19&lt;&gt;"",N19&lt;&gt;"通过"),IF(B19="","",B19&amp;"：")&amp;N19,""),IF(AND(N20&lt;&gt;"",N20&lt;&gt;"通过"),IF(B20="","",B20&amp;"：")&amp;N20,""),IF(AND(N24&lt;&gt;"",N24&lt;&gt;"通过"),IF(B24="","",B24&amp;"：")&amp;N24,""),IF(AND(N25&lt;&gt;"",N25&lt;&gt;"通过"),IF(B25="","",B25&amp;"：")&amp;N25,""),IF(AND(N26&lt;&gt;"",N26&lt;&gt;"通过"),IF(B26="","",B26&amp;"：")&amp;N26,""),IF(AND(N27&lt;&gt;"",N27&lt;&gt;"通过"),IF(B27="","",B27&amp;"：")&amp;N27,""),IF(AND(N28&lt;&gt;"",N28&lt;&gt;"通过"),IF(B28="","",B28&amp;"：")&amp;N28,""),IF(AND(N32&lt;&gt;"",N32&lt;&gt;"通过"),IF(B32="","",B32&amp;"：")&amp;N32,""),IF(AND(N33&lt;&gt;"",N33&lt;&gt;"通过"),IF(B33="","",B33&amp;"：")&amp;N33,""),IF(AND(N34&lt;&gt;"",N34&lt;&gt;"通过"),IF(B34="","",B34&amp;"：")&amp;N34,""),IF(AND(N35&lt;&gt;"",N35&lt;&gt;"通过"),IF(B35="","",B35&amp;"：")&amp;N35,""),IF(AND(N36&lt;&gt;"",N36&lt;&gt;"通过"),IF(B36="","",B36&amp;"：")&amp;N36,""),IF(AND(N42&lt;&gt;"",N42&lt;&gt;"通过"),IF(B42="","",B42&amp;"：")&amp;N42,""),IF(AND(N43&lt;&gt;"",N43&lt;&gt;"通过"),IF(B43="","",B43&amp;"：")&amp;N43,""),IF(AND(N44&lt;&gt;"",N44&lt;&gt;"通过"),IF(B44="","",B44&amp;"：")&amp;N44,""),IF(AND(N45&lt;&gt;"",N45&lt;&gt;"通过"),IF(B45="","",B45&amp;"：")&amp;N45,""),IF(AND(N46&lt;&gt;"",N46&lt;&gt;"通过"),IF(B46="","",B46&amp;"：")&amp;N46,""),IF(AND(N50&lt;&gt;"",N50&lt;&gt;"通过"),IF(B50="","",B50&amp;"：")&amp;N50,""),IF(AND(N51&lt;&gt;"",N51&lt;&gt;"通过"),IF(B51="","",B51&amp;"：")&amp;N51,""),IF(AND(N52&lt;&gt;"",N52&lt;&gt;"通过"),IF(B52="","",B52&amp;"：")&amp;N52,""),IF(AND(N53&lt;&gt;"",N53&lt;&gt;"通过"),IF(B53="","",B53&amp;"：")&amp;N53,""),IF(AND(N54&lt;&gt;"",N54&lt;&gt;"通过"),IF(B54="","",B54&amp;"：")&amp;N54,""))))</f>
        <v/>
      </c>
    </row>
    <row r="59"/>
    <row r="60"/>
    <row r="62">
      <c r="A62" s="74" t="inlineStr">
        <is>
          <t>四、审计结论</t>
        </is>
      </c>
    </row>
    <row r="63">
      <c r="A63" s="1506" t="inlineStr">
        <is>
          <t>经审计，本期处置子公司（不包含一揽子交易）的会计处理 □恰当  □不恰当（说明：__________）。已区分G7-12一揽子交易范围。复核人确认异常事项已关闭或已在说明中充分披露。</t>
        </is>
      </c>
    </row>
    <row r="64"/>
    <row r="65"/>
    <row r="67">
      <c r="A67" s="0" t="inlineStr">
        <is>
          <t>五、审计轨迹</t>
        </is>
      </c>
    </row>
    <row r="68">
      <c r="B68" s="0" t="inlineStr">
        <is>
          <t>编制人</t>
        </is>
      </c>
      <c r="C68" s="1418" t="n"/>
      <c r="D68" s="0" t="inlineStr">
        <is>
          <t>编制日期</t>
        </is>
      </c>
      <c r="E68" s="1418" t="n"/>
      <c r="F68" s="0" t="inlineStr">
        <is>
          <t>复核人</t>
        </is>
      </c>
      <c r="G68" s="1418" t="n"/>
      <c r="H68" s="0" t="inlineStr">
        <is>
          <t>复核日期</t>
        </is>
      </c>
      <c r="I68" s="1418" t="n"/>
    </row>
    <row r="69">
      <c r="B69" s="0" t="inlineStr">
        <is>
          <t>关键证据索引（协议/评估/收款/决议）</t>
        </is>
      </c>
      <c r="E69" s="1418" t="n"/>
    </row>
    <row r="70">
      <c r="B70" s="0" t="inlineStr">
        <is>
          <t>附件/底稿超链接说明</t>
        </is>
      </c>
      <c r="E70" s="1418" t="n"/>
    </row>
  </sheetData>
  <mergeCells count="11">
    <mergeCell ref="B39:B40"/>
    <mergeCell ref="A2:L2"/>
    <mergeCell ref="A63:P65"/>
    <mergeCell ref="H39:L39"/>
    <mergeCell ref="D39:G39"/>
    <mergeCell ref="A1:L1"/>
    <mergeCell ref="A58:P60"/>
    <mergeCell ref="C39:C40"/>
    <mergeCell ref="C6:L6"/>
    <mergeCell ref="E69:I69"/>
    <mergeCell ref="E70:I70"/>
  </mergeCells>
  <conditionalFormatting sqref="N16:N20">
    <cfRule type="expression" priority="5" dxfId="0">
      <formula>AND($N16&lt;&gt;"",$N16&lt;&gt;"通过")</formula>
    </cfRule>
  </conditionalFormatting>
  <conditionalFormatting sqref="N24:N28">
    <cfRule type="expression" priority="6" dxfId="0">
      <formula>AND($N24&lt;&gt;"",$N24&lt;&gt;"通过")</formula>
    </cfRule>
  </conditionalFormatting>
  <conditionalFormatting sqref="N32:N36">
    <cfRule type="expression" priority="7" dxfId="0">
      <formula>AND($N32&lt;&gt;"",$N32&lt;&gt;"通过")</formula>
    </cfRule>
  </conditionalFormatting>
  <conditionalFormatting sqref="N42:N46">
    <cfRule type="expression" priority="8" dxfId="0">
      <formula>AND($N42&lt;&gt;"",$N42&lt;&gt;"通过")</formula>
    </cfRule>
  </conditionalFormatting>
  <conditionalFormatting sqref="N50:N54">
    <cfRule type="expression" priority="9" dxfId="0">
      <formula>AND($N50&lt;&gt;"",$N50&lt;&gt;"通过")</formula>
    </cfRule>
  </conditionalFormatting>
  <conditionalFormatting sqref="H24:J24">
    <cfRule type="expression" priority="10" dxfId="1">
      <formula>OR($G16="无",$G16="")</formula>
    </cfRule>
  </conditionalFormatting>
  <conditionalFormatting sqref="F24">
    <cfRule type="expression" priority="11" dxfId="1">
      <formula>OR($G16="无",$G16="")</formula>
    </cfRule>
  </conditionalFormatting>
  <conditionalFormatting sqref="H25:J25">
    <cfRule type="expression" priority="12" dxfId="1">
      <formula>OR($G17="无",$G17="")</formula>
    </cfRule>
  </conditionalFormatting>
  <conditionalFormatting sqref="F25">
    <cfRule type="expression" priority="13" dxfId="1">
      <formula>OR($G17="无",$G17="")</formula>
    </cfRule>
  </conditionalFormatting>
  <conditionalFormatting sqref="H26:J26">
    <cfRule type="expression" priority="14" dxfId="1">
      <formula>OR($G18="无",$G18="")</formula>
    </cfRule>
  </conditionalFormatting>
  <conditionalFormatting sqref="F26">
    <cfRule type="expression" priority="15" dxfId="1">
      <formula>OR($G18="无",$G18="")</formula>
    </cfRule>
  </conditionalFormatting>
  <conditionalFormatting sqref="H27:J27">
    <cfRule type="expression" priority="16" dxfId="1">
      <formula>OR($G19="无",$G19="")</formula>
    </cfRule>
  </conditionalFormatting>
  <conditionalFormatting sqref="F27">
    <cfRule type="expression" priority="17" dxfId="1">
      <formula>OR($G19="无",$G19="")</formula>
    </cfRule>
  </conditionalFormatting>
  <conditionalFormatting sqref="H28:J28">
    <cfRule type="expression" priority="18" dxfId="1">
      <formula>OR($G20="无",$G20="")</formula>
    </cfRule>
  </conditionalFormatting>
  <conditionalFormatting sqref="F28">
    <cfRule type="expression" priority="19" dxfId="1">
      <formula>OR($G20="无",$G20="")</formula>
    </cfRule>
  </conditionalFormatting>
  <dataValidations count="4">
    <dataValidation sqref="G16:G20" showDropDown="0" showInputMessage="1" showErrorMessage="1" allowBlank="1" type="list">
      <formula1>"联营,合营,金融资产,无"</formula1>
    </dataValidation>
    <dataValidation sqref="D16:E20 E9:F13 M42:M46" showDropDown="0" showInputMessage="0" showErrorMessage="1" allowBlank="1" errorTitle="比例错误" error="比例须在0-100%之间" type="decimal" operator="between">
      <formula1>0</formula1>
      <formula2>1</formula2>
    </dataValidation>
    <dataValidation sqref="E16:E20" showDropDown="0" showInputMessage="0" showErrorMessage="1" allowBlank="1" errorTitle="处置比例错误" error="处置比例不得大于原持股比例" type="custom">
      <formula1>=OR(E16="",AND(E16&gt;=0,E16&lt;=D16))</formula1>
    </dataValidation>
    <dataValidation sqref="H16:H20" showDropDown="0" showInputMessage="0" showErrorMessage="0" allowBlank="1" errorTitle="处置方式" error="请从列表选择处置方式" type="list">
      <formula1>"出售股权,被动稀释,无偿划转,其他"</formula1>
    </dataValidation>
  </dataValidations>
  <hyperlinks>
    <hyperlink ref="L3" location="底稿目录!F17" display="底稿目录!F17"/>
  </hyperlinks>
  <pageMargins left="0.7086614173228347" right="0.7086614173228347" top="0.7480314960629921" bottom="0.7480314960629921" header="0.3149606299212598" footer="0.3149606299212598"/>
  <pageSetup orientation="landscape" paperSize="9" scale="76" fitToHeight="0" fitToWidth="1" blackAndWhite="1"/>
  <headerFooter>
    <oddHeader/>
    <oddFooter>&amp;C&amp;P/&amp;N</oddFooter>
    <evenHeader/>
    <evenFooter/>
    <firstHeader/>
    <firstFooter/>
  </headerFooter>
  <rowBreaks count="1" manualBreakCount="1">
    <brk id="24" min="0" max="11" man="1"/>
  </rowBreaks>
  <legacyDrawing xmlns:r="http://schemas.openxmlformats.org/officeDocument/2006/relationships" r:id="anysvml"/>
</worksheet>
</file>

<file path=xl/worksheets/sheet16.xml><?xml version="1.0" encoding="utf-8"?>
<worksheet xmlns="http://schemas.openxmlformats.org/spreadsheetml/2006/main">
  <sheetPr codeName="Sheet23">
    <outlinePr summaryBelow="1" summaryRight="1"/>
    <pageSetUpPr/>
  </sheetPr>
  <dimension ref="A1:N51"/>
  <sheetViews>
    <sheetView showGridLines="0" view="pageBreakPreview" zoomScaleNormal="100" zoomScaleSheetLayoutView="100" workbookViewId="0">
      <selection activeCell="A1" sqref="A1:L1"/>
    </sheetView>
  </sheetViews>
  <sheetFormatPr baseColWidth="8" defaultColWidth="9" defaultRowHeight="13.8" outlineLevelCol="0"/>
  <cols>
    <col width="4.19921875" customWidth="1" style="2" min="1" max="1"/>
    <col width="15.09765625" customWidth="1" style="2" min="2" max="2"/>
    <col width="14.09765625" customWidth="1" style="2" min="3" max="3"/>
    <col width="13.59765625" customWidth="1" style="2" min="4" max="4"/>
    <col width="13.5" customWidth="1" style="2" min="5" max="5"/>
    <col width="13.3984375" customWidth="1" style="2" min="6" max="6"/>
    <col width="13.8984375" customWidth="1" style="2" min="7" max="7"/>
    <col width="14.8984375" customWidth="1" style="2" min="8" max="8"/>
    <col width="15.09765625" customWidth="1" style="2" min="9" max="9"/>
    <col width="13.09765625" customWidth="1" style="2" min="10" max="10"/>
    <col width="14.3984375" customWidth="1" style="2" min="11" max="11"/>
    <col width="15.8984375" customWidth="1" style="2" min="12" max="12"/>
    <col width="16" customWidth="1" style="2" min="13" max="16384"/>
  </cols>
  <sheetData>
    <row r="1" ht="19.95" customFormat="1" customHeight="1" s="623">
      <c r="A1" s="1009" t="inlineStr">
        <is>
          <t>致同会计师事务所</t>
        </is>
      </c>
      <c r="B1" s="0" t="n"/>
      <c r="C1" s="0" t="n"/>
      <c r="D1" s="0" t="n"/>
      <c r="E1" s="0" t="n"/>
      <c r="F1" s="0" t="n"/>
      <c r="G1" s="0" t="n"/>
      <c r="H1" s="0" t="n"/>
      <c r="I1" s="0" t="n"/>
      <c r="J1" s="0" t="n"/>
      <c r="K1" s="0" t="n"/>
      <c r="L1" s="0" t="n"/>
      <c r="M1" s="622" t="n"/>
      <c r="N1" s="622" t="n"/>
    </row>
    <row r="2" ht="19.95" customFormat="1" customHeight="1" s="634">
      <c r="A2" s="1010" t="inlineStr">
        <is>
          <t>处置子公司测试表（一揽子交易）</t>
        </is>
      </c>
      <c r="B2" s="0" t="n"/>
      <c r="C2" s="0" t="n"/>
      <c r="D2" s="0" t="n"/>
      <c r="E2" s="0" t="n"/>
      <c r="F2" s="0" t="n"/>
      <c r="G2" s="0" t="n"/>
      <c r="H2" s="0" t="n"/>
      <c r="I2" s="0" t="n"/>
      <c r="J2" s="0" t="n"/>
      <c r="K2" s="0" t="n"/>
      <c r="L2" s="0" t="n"/>
      <c r="M2" s="633" t="n"/>
      <c r="N2" s="633" t="n"/>
    </row>
    <row r="3" ht="19.95" customFormat="1" customHeight="1" s="207">
      <c r="A3" s="207">
        <f>底稿目录!A2</f>
        <v/>
      </c>
      <c r="E3" s="207">
        <f>底稿目录!A4</f>
        <v/>
      </c>
      <c r="I3" s="229">
        <f>底稿目录!A5</f>
        <v/>
      </c>
      <c r="J3" s="229" t="n"/>
      <c r="K3" s="207" t="inlineStr">
        <is>
          <t>索引号：</t>
        </is>
      </c>
      <c r="L3" s="1096">
        <f>底稿目录!F18</f>
        <v/>
      </c>
      <c r="M3" s="671" t="n"/>
    </row>
    <row r="4" ht="19.95" customFormat="1" customHeight="1" s="207">
      <c r="A4" s="207">
        <f>底稿目录!A3</f>
        <v/>
      </c>
      <c r="E4" s="207">
        <f>底稿目录!A6</f>
        <v/>
      </c>
      <c r="I4" s="229">
        <f>底稿目录!A7</f>
        <v/>
      </c>
      <c r="J4" s="229" t="n"/>
      <c r="K4" s="207" t="inlineStr">
        <is>
          <t>页 次：</t>
        </is>
      </c>
      <c r="M4" s="671" t="n"/>
    </row>
    <row r="5" ht="19.95" customHeight="1" s="1097">
      <c r="A5" s="74" t="inlineStr">
        <is>
          <t>一、审计目标：</t>
        </is>
      </c>
      <c r="C5" s="2" t="inlineStr">
        <is>
          <t>确定多次交易是否构成一揽子交易、丧失控制权时点是否恰当，以及个别和合并财务报表会计处理是否符合企业会计准则。</t>
        </is>
      </c>
    </row>
    <row r="6" ht="19.95" customHeight="1" s="1097">
      <c r="A6" s="75" t="inlineStr">
        <is>
          <t>二、审计过程：</t>
        </is>
      </c>
      <c r="C6" s="75" t="n"/>
    </row>
    <row r="7" ht="19.95" customHeight="1" s="1097">
      <c r="A7" s="23" t="inlineStr">
        <is>
          <t>1.本期处置的子公司基本情况</t>
        </is>
      </c>
    </row>
    <row r="8" ht="19.95" customHeight="1" s="1097">
      <c r="B8" s="951" t="inlineStr">
        <is>
          <t>企业名称</t>
        </is>
      </c>
      <c r="C8" s="951" t="inlineStr">
        <is>
          <t>注册地</t>
        </is>
      </c>
      <c r="D8" s="951" t="inlineStr">
        <is>
          <t>业务性质</t>
        </is>
      </c>
      <c r="E8" s="951" t="inlineStr">
        <is>
          <t>持股比例%</t>
        </is>
      </c>
      <c r="F8" s="951" t="inlineStr">
        <is>
          <t>表决权比例%</t>
        </is>
      </c>
      <c r="G8" s="944" t="inlineStr">
        <is>
          <t>本期不再成为子公司的原因</t>
        </is>
      </c>
      <c r="H8" s="1104" t="n"/>
    </row>
    <row r="9" ht="19.95" customHeight="1" s="1097">
      <c r="B9" s="17" t="n"/>
      <c r="C9" s="17" t="n"/>
      <c r="D9" s="109" t="n"/>
      <c r="E9" s="648" t="n"/>
      <c r="F9" s="648" t="n"/>
      <c r="G9" s="195" t="n"/>
      <c r="H9" s="194" t="n"/>
    </row>
    <row r="10" ht="19.95" customHeight="1" s="1097">
      <c r="B10" s="17" t="n"/>
      <c r="C10" s="17" t="n"/>
      <c r="D10" s="109" t="n"/>
      <c r="E10" s="648" t="n"/>
      <c r="F10" s="648" t="n"/>
      <c r="G10" s="195" t="n"/>
      <c r="H10" s="194" t="n"/>
    </row>
    <row r="11" ht="19.95" customHeight="1" s="1097">
      <c r="B11" s="17" t="n"/>
      <c r="C11" s="17" t="n"/>
      <c r="D11" s="109" t="n"/>
      <c r="E11" s="648" t="n"/>
      <c r="F11" s="648" t="n"/>
      <c r="G11" s="195" t="n"/>
      <c r="H11" s="194" t="n"/>
    </row>
    <row r="12" ht="19.95" customHeight="1" s="1097">
      <c r="B12" s="17" t="n"/>
      <c r="C12" s="17" t="n"/>
      <c r="D12" s="109" t="n"/>
      <c r="E12" s="648" t="n"/>
      <c r="F12" s="648" t="n"/>
      <c r="G12" s="195" t="n"/>
      <c r="H12" s="194" t="n"/>
    </row>
    <row r="13" ht="19.95" customHeight="1" s="1097">
      <c r="B13" s="17" t="n"/>
      <c r="C13" s="17" t="n"/>
      <c r="D13" s="109" t="n"/>
      <c r="E13" s="648" t="n"/>
      <c r="F13" s="648" t="n"/>
      <c r="G13" s="195" t="n"/>
      <c r="H13" s="194" t="n"/>
    </row>
    <row r="14" ht="19.95" customHeight="1" s="1097">
      <c r="A14" s="106" t="inlineStr">
        <is>
          <t>2.多次交易分步处置股权至丧失控制权而减少的子公司</t>
        </is>
      </c>
    </row>
    <row r="15" ht="19.95" customFormat="1" customHeight="1" s="39">
      <c r="B15" s="1054" t="inlineStr">
        <is>
          <t>一揽子交易的判断事项</t>
        </is>
      </c>
      <c r="C15" s="1281" t="n"/>
      <c r="D15" s="1269" t="n"/>
      <c r="E15" s="1054" t="inlineStr">
        <is>
          <t>公司1</t>
        </is>
      </c>
      <c r="F15" s="1270" t="n"/>
      <c r="G15" s="1054" t="inlineStr">
        <is>
          <t>公司2</t>
        </is>
      </c>
      <c r="H15" s="1270" t="n"/>
      <c r="I15" s="1054" t="inlineStr">
        <is>
          <t>公司3</t>
        </is>
      </c>
      <c r="J15" s="1270" t="n"/>
      <c r="K15" s="1054" t="inlineStr">
        <is>
          <t>公司4</t>
        </is>
      </c>
      <c r="L15" s="1270" t="n"/>
    </row>
    <row r="16" ht="19.95" customFormat="1" customHeight="1" s="39">
      <c r="B16" s="1271" t="n"/>
      <c r="C16" s="1284" t="n"/>
      <c r="D16" s="1272" t="n"/>
      <c r="E16" s="1054" t="inlineStr">
        <is>
          <t>对应情形</t>
        </is>
      </c>
      <c r="F16" s="1054" t="inlineStr">
        <is>
          <t>结论</t>
        </is>
      </c>
      <c r="G16" s="1054" t="inlineStr">
        <is>
          <t>对应情形</t>
        </is>
      </c>
      <c r="H16" s="1054" t="inlineStr">
        <is>
          <t>结论</t>
        </is>
      </c>
      <c r="I16" s="1054" t="inlineStr">
        <is>
          <t>对应情形</t>
        </is>
      </c>
      <c r="J16" s="1054" t="inlineStr">
        <is>
          <t>结论</t>
        </is>
      </c>
      <c r="K16" s="1054" t="inlineStr">
        <is>
          <t>对应情形</t>
        </is>
      </c>
      <c r="L16" s="1054" t="inlineStr">
        <is>
          <t>结论</t>
        </is>
      </c>
    </row>
    <row r="17" ht="19.95" customHeight="1" s="1097">
      <c r="B17" s="101" t="inlineStr">
        <is>
          <t>这些交易是同时或者在考虑了彼此影响的情况下订立的</t>
        </is>
      </c>
      <c r="C17" s="312" t="n"/>
      <c r="D17" s="76" t="n"/>
      <c r="E17" s="27" t="n"/>
      <c r="F17" s="27" t="n"/>
      <c r="G17" s="27" t="n"/>
      <c r="H17" s="27" t="n"/>
      <c r="I17" s="27" t="n"/>
      <c r="J17" s="27" t="n"/>
      <c r="K17" s="27" t="n"/>
      <c r="L17" s="27" t="n"/>
    </row>
    <row r="18" ht="19.95" customHeight="1" s="1097">
      <c r="B18" s="101" t="inlineStr">
        <is>
          <t>这些交易整体才能达成一项完整的商业结果</t>
        </is>
      </c>
      <c r="C18" s="312" t="n"/>
      <c r="D18" s="76" t="n"/>
      <c r="E18" s="27" t="n"/>
      <c r="F18" s="27" t="n"/>
      <c r="G18" s="27" t="n"/>
      <c r="H18" s="27" t="n"/>
      <c r="I18" s="27" t="n"/>
      <c r="J18" s="27" t="n"/>
      <c r="K18" s="27" t="n"/>
      <c r="L18" s="27" t="n"/>
    </row>
    <row r="19" ht="19.95" customHeight="1" s="1097">
      <c r="B19" s="101" t="inlineStr">
        <is>
          <t>一项交易的发生取决于其他至少一项交易的发生</t>
        </is>
      </c>
      <c r="C19" s="312" t="n"/>
      <c r="D19" s="76" t="n"/>
      <c r="E19" s="27" t="n"/>
      <c r="F19" s="27" t="n"/>
      <c r="G19" s="27" t="n"/>
      <c r="H19" s="27" t="n"/>
      <c r="I19" s="27" t="n"/>
      <c r="J19" s="27" t="n"/>
      <c r="K19" s="27" t="n"/>
      <c r="L19" s="27" t="n"/>
    </row>
    <row r="20" ht="19.95" customHeight="1" s="1097">
      <c r="B20" s="101" t="inlineStr">
        <is>
          <t>一项交易单独看是不经济的，但是和其他交易一并考虑时是经济的</t>
        </is>
      </c>
      <c r="C20" s="312" t="n"/>
      <c r="D20" s="76" t="n"/>
      <c r="E20" s="27" t="n"/>
      <c r="F20" s="27" t="n"/>
      <c r="G20" s="27" t="n"/>
      <c r="H20" s="27" t="n"/>
      <c r="I20" s="27" t="n"/>
      <c r="J20" s="27" t="n"/>
      <c r="K20" s="27" t="n"/>
      <c r="L20" s="27" t="n"/>
    </row>
    <row r="21" ht="19.95" customHeight="1" s="1097">
      <c r="B21" s="101" t="inlineStr">
        <is>
          <t>结论</t>
        </is>
      </c>
      <c r="C21" s="312" t="n"/>
      <c r="D21" s="76" t="n"/>
      <c r="E21" s="27" t="n"/>
      <c r="F21" s="27" t="n"/>
      <c r="G21" s="27" t="n"/>
      <c r="H21" s="27" t="n"/>
      <c r="I21" s="27" t="n"/>
      <c r="J21" s="27" t="n"/>
      <c r="K21" s="27" t="n"/>
      <c r="L21" s="27" t="n"/>
    </row>
    <row r="22" ht="24" customHeight="1" s="1097">
      <c r="B22" s="951" t="inlineStr">
        <is>
          <t>子公司名称</t>
        </is>
      </c>
      <c r="C22" s="951" t="inlineStr">
        <is>
          <t>股权处置价款</t>
        </is>
      </c>
      <c r="D22" s="951" t="inlineStr">
        <is>
          <t>原股权比例%</t>
        </is>
      </c>
      <c r="E22" s="951" t="inlineStr">
        <is>
          <t>股权处置比例%</t>
        </is>
      </c>
      <c r="F22" s="951" t="inlineStr">
        <is>
          <t>剩余股权比例%</t>
        </is>
      </c>
      <c r="G22" s="951" t="inlineStr">
        <is>
          <t>剩余股权构成</t>
        </is>
      </c>
      <c r="H22" s="951" t="inlineStr">
        <is>
          <t>股权处置方式</t>
        </is>
      </c>
      <c r="I22" s="951" t="inlineStr">
        <is>
          <t>丧失控制权的时点</t>
        </is>
      </c>
      <c r="J22" s="951" t="inlineStr">
        <is>
          <t>丧失控制权时点的确定依据</t>
        </is>
      </c>
      <c r="K22" s="1054" t="inlineStr">
        <is>
          <t>取得的查验资料</t>
        </is>
      </c>
      <c r="L22" s="1054" t="inlineStr">
        <is>
          <t>索引号</t>
        </is>
      </c>
    </row>
    <row r="23" ht="25.8" customHeight="1" s="1097">
      <c r="B23" s="17" t="n"/>
      <c r="C23" s="1323" t="n"/>
      <c r="D23" s="53" t="n"/>
      <c r="E23" s="53" t="n"/>
      <c r="F23" s="386">
        <f>D23-E23</f>
        <v/>
      </c>
      <c r="G23" s="108" t="n"/>
      <c r="H23" s="109" t="n"/>
      <c r="I23" s="109" t="n"/>
      <c r="J23" s="109" t="n"/>
      <c r="K23" s="111" t="inlineStr">
        <is>
          <t>股权转让协议、产权交割单、…</t>
        </is>
      </c>
      <c r="L23" s="27" t="n"/>
    </row>
    <row r="24" ht="19.95" customHeight="1" s="1097">
      <c r="B24" s="17" t="n"/>
      <c r="C24" s="1323" t="n"/>
      <c r="D24" s="53" t="n"/>
      <c r="E24" s="53" t="n"/>
      <c r="F24" s="386">
        <f>D24-E24</f>
        <v/>
      </c>
      <c r="G24" s="108" t="n"/>
      <c r="H24" s="109" t="n"/>
      <c r="I24" s="109" t="n"/>
      <c r="J24" s="109" t="n"/>
      <c r="K24" s="27" t="n"/>
      <c r="L24" s="27" t="n"/>
    </row>
    <row r="25" ht="19.95" customHeight="1" s="1097">
      <c r="B25" s="17" t="n"/>
      <c r="C25" s="1323" t="n"/>
      <c r="D25" s="53" t="n"/>
      <c r="E25" s="53" t="n"/>
      <c r="F25" s="386">
        <f>D25-E25</f>
        <v/>
      </c>
      <c r="G25" s="108" t="n"/>
      <c r="H25" s="109" t="n"/>
      <c r="I25" s="109" t="n"/>
      <c r="J25" s="109" t="n"/>
      <c r="K25" s="27" t="n"/>
      <c r="L25" s="27" t="n"/>
    </row>
    <row r="26" ht="19.95" customHeight="1" s="1097">
      <c r="B26" s="17" t="n"/>
      <c r="C26" s="1323" t="n"/>
      <c r="D26" s="53" t="n"/>
      <c r="E26" s="53" t="n"/>
      <c r="F26" s="386">
        <f>D26-E26</f>
        <v/>
      </c>
      <c r="G26" s="108" t="n"/>
      <c r="H26" s="109" t="n"/>
      <c r="I26" s="109" t="n"/>
      <c r="J26" s="109" t="n"/>
      <c r="K26" s="27" t="n"/>
      <c r="L26" s="27" t="n"/>
    </row>
    <row r="27" ht="19.95" customHeight="1" s="1097">
      <c r="A27" s="23" t="inlineStr">
        <is>
          <t>2.1单体报表</t>
        </is>
      </c>
    </row>
    <row r="28" ht="89.40000000000001" customHeight="1" s="1097">
      <c r="B28" s="951" t="inlineStr">
        <is>
          <t>子公司名称</t>
        </is>
      </c>
      <c r="C28" s="951" t="inlineStr">
        <is>
          <t>处置日长期股权投资账面价值</t>
        </is>
      </c>
      <c r="D28" s="951" t="inlineStr">
        <is>
          <t>应转出的长投</t>
        </is>
      </c>
      <c r="E28" s="951" t="inlineStr">
        <is>
          <t>丧失控制权之日剩余股权的账面价值</t>
        </is>
      </c>
      <c r="F28" s="951" t="inlineStr">
        <is>
          <t>丧失控制权之日剩余股权的公允价值</t>
        </is>
      </c>
      <c r="G28" s="951" t="inlineStr">
        <is>
          <t>按公允价值重新计量产生的利得/损失</t>
        </is>
      </c>
      <c r="H28" s="951" t="inlineStr">
        <is>
          <t>原子公司投资系联营/合营投资追加投资形成，与原联营/合营投资有关的可重分类至损益的OCI和其他净资产变动</t>
        </is>
      </c>
      <c r="I28" s="951" t="inlineStr">
        <is>
          <t>原子公司投资系金融资产投资追加投资形成，与原金融资产相关的按照公允价值计量的OCI</t>
        </is>
      </c>
      <c r="J28" s="951" t="inlineStr">
        <is>
          <t>原子公司投资系联营/合营投资追加投资形成，与原联营/合营投资有关不可重分类至损益的OCI</t>
        </is>
      </c>
      <c r="K28" s="951" t="inlineStr">
        <is>
          <t>处置子公司应确认的投资收益</t>
        </is>
      </c>
      <c r="L28" s="951" t="inlineStr">
        <is>
          <t>应转入权益</t>
        </is>
      </c>
    </row>
    <row r="29" ht="19.95" customHeight="1" s="1097">
      <c r="B29" s="110">
        <f>B23</f>
        <v/>
      </c>
      <c r="C29" s="1324" t="n"/>
      <c r="D29" s="1326">
        <f>IF(D23=0,0,C29*E23/D23)</f>
        <v/>
      </c>
      <c r="E29" s="1326">
        <f>C29-D29</f>
        <v/>
      </c>
      <c r="F29" s="1324" t="n"/>
      <c r="G29" s="1325">
        <f>F29-E29</f>
        <v/>
      </c>
      <c r="H29" s="1324" t="n"/>
      <c r="I29" s="1324" t="n"/>
      <c r="J29" s="1324" t="n"/>
      <c r="K29" s="1326">
        <f>IF(D23=0,0,IF(G23="联营",G29+H29*E23/D23,IF(G23="合营",F29-E29+H29*E23/D23,G29+I29)))</f>
        <v/>
      </c>
      <c r="L29" s="1326">
        <f>IF(D23=0,0,IF(G23="联营",J29*E23/D23,IF(G23="合营",J29*E23/D23,J29)))</f>
        <v/>
      </c>
    </row>
    <row r="30" ht="19.95" customHeight="1" s="1097">
      <c r="B30" s="110">
        <f>B24</f>
        <v/>
      </c>
      <c r="C30" s="1324" t="n"/>
      <c r="D30" s="1326">
        <f>IF(D24=0,0,C30*E24/D24)</f>
        <v/>
      </c>
      <c r="E30" s="1326">
        <f>C30-D30</f>
        <v/>
      </c>
      <c r="F30" s="1324" t="n"/>
      <c r="G30" s="1325">
        <f>F30-E30</f>
        <v/>
      </c>
      <c r="H30" s="1324" t="n"/>
      <c r="I30" s="1324" t="n"/>
      <c r="J30" s="1324" t="n"/>
      <c r="K30" s="1326">
        <f>IF(D24=0,0,IF(G24="联营",G30+H30*E24/D24,IF(G24="合营",F30-E30+H30*E24/D24,G30+I30)))</f>
        <v/>
      </c>
      <c r="L30" s="1326">
        <f>IF(D24=0,0,IF(G24="联营",J30*E24/D24,IF(G24="合营",J30*E24/D24,J30)))</f>
        <v/>
      </c>
    </row>
    <row r="31" ht="19.95" customHeight="1" s="1097">
      <c r="B31" s="110">
        <f>B25</f>
        <v/>
      </c>
      <c r="C31" s="1324" t="n"/>
      <c r="D31" s="1326">
        <f>IF(D25=0,0,C31*E25/D25)</f>
        <v/>
      </c>
      <c r="E31" s="1326">
        <f>C31-D31</f>
        <v/>
      </c>
      <c r="F31" s="1324" t="n"/>
      <c r="G31" s="1325">
        <f>F31-E31</f>
        <v/>
      </c>
      <c r="H31" s="1324" t="n"/>
      <c r="I31" s="1324" t="n"/>
      <c r="J31" s="1324" t="n"/>
      <c r="K31" s="1326">
        <f>IF(D25=0,0,IF(G25="联营",G31+H31*E25/D25,IF(G25="合营",F31-E31+H31*E25/D25,G31+I31)))</f>
        <v/>
      </c>
      <c r="L31" s="1326">
        <f>IF(D25=0,0,IF(G25="联营",J31*E25/D25,IF(G25="合营",J31*E25/D25,J31)))</f>
        <v/>
      </c>
    </row>
    <row r="32" ht="19.95" customHeight="1" s="1097">
      <c r="B32" s="110">
        <f>B26</f>
        <v/>
      </c>
      <c r="C32" s="1324" t="n"/>
      <c r="D32" s="1326">
        <f>IF(D26=0,0,C32*E26/D26)</f>
        <v/>
      </c>
      <c r="E32" s="1326">
        <f>C32-D32</f>
        <v/>
      </c>
      <c r="F32" s="1324" t="n"/>
      <c r="G32" s="1325">
        <f>F32-E32</f>
        <v/>
      </c>
      <c r="H32" s="1324" t="n"/>
      <c r="I32" s="1324" t="n"/>
      <c r="J32" s="1324" t="n"/>
      <c r="K32" s="1326">
        <f>IF(D26=0,0,IF(G26="联营",G32+H32*E26/D26,IF(G26="合营",F32-E32+H32*E26/D26,G32+I32)))</f>
        <v/>
      </c>
      <c r="L32" s="1326">
        <f>IF(D26=0,0,IF(G26="联营",J32*E26/D26,IF(G26="合营",J32*E26/D26,J32)))</f>
        <v/>
      </c>
    </row>
    <row r="33" ht="19.95" customHeight="1" s="1097">
      <c r="A33" s="106" t="inlineStr">
        <is>
          <t>2.2合并报表</t>
        </is>
      </c>
    </row>
    <row r="34" ht="72" customHeight="1" s="1097">
      <c r="B34" s="951" t="inlineStr">
        <is>
          <t>子公司名称</t>
        </is>
      </c>
      <c r="C34" s="951" t="inlineStr">
        <is>
          <t>处置日合并财务报表层面子公司的净资产</t>
        </is>
      </c>
      <c r="D34" s="951" t="inlineStr">
        <is>
          <t>处置日合并财务报表层面享有该子公司净资产份额</t>
        </is>
      </c>
      <c r="E34" s="951" t="inlineStr">
        <is>
          <t>处置价款与处置投资对应的合并财务报表层面享有该子公司净资产份额的差额</t>
        </is>
      </c>
      <c r="F34" s="951" t="inlineStr">
        <is>
          <t>合并财务报表中与该子公司相关的商誉</t>
        </is>
      </c>
      <c r="G34" s="951" t="inlineStr">
        <is>
          <t>丧失控制权之日剩余股权的账面价值</t>
        </is>
      </c>
      <c r="H34" s="951" t="inlineStr">
        <is>
          <t>丧失控制权之日剩余股权的公允价值</t>
        </is>
      </c>
      <c r="I34" s="951" t="inlineStr">
        <is>
          <t>按公允价值重新计量产生的利得/损失</t>
        </is>
      </c>
      <c r="J34" s="951" t="inlineStr">
        <is>
          <t>丧失控制权之日剩余股权的公允价值的确定方法及主要假设</t>
        </is>
      </c>
      <c r="K34" s="951" t="inlineStr">
        <is>
          <t>与原子公司股权投资相关的其他综合收益转入投资损益的金额</t>
        </is>
      </c>
      <c r="L34" s="951" t="inlineStr">
        <is>
          <t>丧失控制权之前的各步交易处置价款与处置投资对应的合并财务报表层面享有该子公司净资产份额的差额</t>
        </is>
      </c>
      <c r="M34" s="951" t="inlineStr">
        <is>
          <t>合并处置损益</t>
        </is>
      </c>
    </row>
    <row r="35" ht="19.95" customHeight="1" s="1097">
      <c r="B35" s="17">
        <f>B23</f>
        <v/>
      </c>
      <c r="C35" s="109" t="n"/>
      <c r="D35" s="1326">
        <f>IF(D23=0,0,C35*E23/D23)</f>
        <v/>
      </c>
      <c r="E35" s="1326">
        <f>C23-D35</f>
        <v/>
      </c>
      <c r="F35" s="109" t="n"/>
      <c r="G35" s="1326">
        <f>E29</f>
        <v/>
      </c>
      <c r="H35" s="1326">
        <f>F29</f>
        <v/>
      </c>
      <c r="I35" s="1326">
        <f>H35-G35</f>
        <v/>
      </c>
      <c r="J35" s="27" t="n"/>
      <c r="K35" s="1326">
        <f>C23+H35-C35-F35</f>
        <v/>
      </c>
      <c r="L35" s="27" t="n"/>
      <c r="M35" s="27">
        <f>C23+H35-C35-F35+K35+L35</f>
        <v/>
      </c>
    </row>
    <row r="36" ht="19.95" customHeight="1" s="1097">
      <c r="B36" s="17">
        <f>B24</f>
        <v/>
      </c>
      <c r="C36" s="109" t="n"/>
      <c r="D36" s="1326">
        <f>IF(D24=0,0,C36*E24/D24)</f>
        <v/>
      </c>
      <c r="E36" s="1326">
        <f>C24-D36</f>
        <v/>
      </c>
      <c r="F36" s="109" t="n"/>
      <c r="G36" s="1326">
        <f>E30</f>
        <v/>
      </c>
      <c r="H36" s="1326">
        <f>F30</f>
        <v/>
      </c>
      <c r="I36" s="1326">
        <f>H36-G36</f>
        <v/>
      </c>
      <c r="J36" s="27" t="n"/>
      <c r="K36" s="1326">
        <f>C24+H36-C36-F36</f>
        <v/>
      </c>
      <c r="L36" s="27" t="n"/>
      <c r="M36" s="27">
        <f>C24+H36-C36-F36+K36+L36</f>
        <v/>
      </c>
    </row>
    <row r="37" ht="19.95" customHeight="1" s="1097">
      <c r="B37" s="17">
        <f>B25</f>
        <v/>
      </c>
      <c r="C37" s="109" t="n"/>
      <c r="D37" s="1326">
        <f>IF(D25=0,0,C37*E25/D25)</f>
        <v/>
      </c>
      <c r="E37" s="1326">
        <f>C25-D37</f>
        <v/>
      </c>
      <c r="F37" s="109" t="n"/>
      <c r="G37" s="1326">
        <f>E31</f>
        <v/>
      </c>
      <c r="H37" s="1326">
        <f>F31</f>
        <v/>
      </c>
      <c r="I37" s="1326">
        <f>H37-G37</f>
        <v/>
      </c>
      <c r="J37" s="27" t="n"/>
      <c r="K37" s="1326">
        <f>C25+H37-C37-F37</f>
        <v/>
      </c>
      <c r="L37" s="27" t="n"/>
      <c r="M37" s="27">
        <f>C25+H37-C37-F37+K37+L37</f>
        <v/>
      </c>
    </row>
    <row r="38" ht="19.95" customHeight="1" s="1097">
      <c r="B38" s="17">
        <f>B26</f>
        <v/>
      </c>
      <c r="C38" s="109" t="n"/>
      <c r="D38" s="1326">
        <f>IF(D26=0,0,C38*E26/D26)</f>
        <v/>
      </c>
      <c r="E38" s="1326">
        <f>C26-D38</f>
        <v/>
      </c>
      <c r="F38" s="109" t="n"/>
      <c r="G38" s="1326">
        <f>E32</f>
        <v/>
      </c>
      <c r="H38" s="1326">
        <f>F32</f>
        <v/>
      </c>
      <c r="I38" s="1326">
        <f>H38-G38</f>
        <v/>
      </c>
      <c r="J38" s="27" t="n"/>
      <c r="K38" s="1326">
        <f>C26+H38-C38-F38</f>
        <v/>
      </c>
      <c r="L38" s="27" t="n"/>
      <c r="M38" s="27">
        <f>C26+H38-C38-F38+K38+L38</f>
        <v/>
      </c>
    </row>
    <row r="39" ht="19.95" customHeight="1" s="1097">
      <c r="A39" s="106" t="inlineStr">
        <is>
          <t>2.3剩余股权为联营、合营时追溯调整为权益法</t>
        </is>
      </c>
    </row>
    <row r="40" ht="19.95" customHeight="1" s="1097">
      <c r="B40" s="951" t="inlineStr">
        <is>
          <t>被投资单位名称</t>
        </is>
      </c>
      <c r="C40" s="951" t="inlineStr">
        <is>
          <t>持股比例</t>
        </is>
      </c>
      <c r="D40" s="951" t="inlineStr">
        <is>
          <t>被投资单位</t>
        </is>
      </c>
      <c r="E40" s="1285" t="n"/>
      <c r="F40" s="1285" t="n"/>
      <c r="G40" s="1270" t="n"/>
      <c r="H40" s="951" t="inlineStr">
        <is>
          <t>归属于母公司</t>
        </is>
      </c>
      <c r="I40" s="1285" t="n"/>
      <c r="J40" s="1285" t="n"/>
      <c r="K40" s="1285" t="n"/>
      <c r="L40" s="1270" t="n"/>
    </row>
    <row r="41" ht="25.8" customHeight="1" s="1097">
      <c r="B41" s="1273" t="n"/>
      <c r="C41" s="1273" t="n"/>
      <c r="D41" s="959" t="inlineStr">
        <is>
          <t>原取得投资日至处置日净利润</t>
        </is>
      </c>
      <c r="E41" s="951" t="inlineStr">
        <is>
          <t>本期净利润</t>
        </is>
      </c>
      <c r="F41" s="951" t="inlineStr">
        <is>
          <t>其他综合收益</t>
        </is>
      </c>
      <c r="G41" s="951" t="inlineStr">
        <is>
          <t>其他所有者权益变动</t>
        </is>
      </c>
      <c r="H41" s="951" t="inlineStr">
        <is>
          <t>期初未分配利润</t>
        </is>
      </c>
      <c r="I41" s="951" t="inlineStr">
        <is>
          <t>盈余公积</t>
        </is>
      </c>
      <c r="J41" s="951" t="inlineStr">
        <is>
          <t>投资收益</t>
        </is>
      </c>
      <c r="K41" s="951" t="inlineStr">
        <is>
          <t>长期投资-其他综合收益</t>
        </is>
      </c>
      <c r="L41" s="951" t="inlineStr">
        <is>
          <t>长期投资-其他变动</t>
        </is>
      </c>
    </row>
    <row r="42" ht="19.95" customHeight="1" s="1097">
      <c r="B42" s="105" t="n"/>
      <c r="C42" s="198" t="inlineStr">
        <is>
          <t>①</t>
        </is>
      </c>
      <c r="D42" s="104" t="inlineStr">
        <is>
          <t>②</t>
        </is>
      </c>
      <c r="E42" s="104" t="inlineStr">
        <is>
          <t>③</t>
        </is>
      </c>
      <c r="F42" s="104" t="inlineStr">
        <is>
          <t>④</t>
        </is>
      </c>
      <c r="G42" s="104" t="inlineStr">
        <is>
          <t>⑤</t>
        </is>
      </c>
      <c r="H42" s="104" t="inlineStr">
        <is>
          <t>⑥=①*②*90%</t>
        </is>
      </c>
      <c r="I42" s="104" t="inlineStr">
        <is>
          <t>⑦=①*②*10%</t>
        </is>
      </c>
      <c r="J42" s="104" t="inlineStr">
        <is>
          <t>⑧=③×①</t>
        </is>
      </c>
      <c r="K42" s="104" t="inlineStr">
        <is>
          <t>⑨=④×①</t>
        </is>
      </c>
      <c r="L42" s="104" t="inlineStr">
        <is>
          <t>⑩=⑤×①</t>
        </is>
      </c>
    </row>
    <row r="43" ht="19.95" customHeight="1" s="1097">
      <c r="B43" s="41" t="n"/>
      <c r="C43" s="650" t="n"/>
      <c r="D43" s="27" t="n"/>
      <c r="E43" s="1225" t="n"/>
      <c r="F43" s="1225" t="n"/>
      <c r="G43" s="1225" t="n"/>
      <c r="H43" s="1230">
        <f>C43*D43*90%</f>
        <v/>
      </c>
      <c r="I43" s="1230">
        <f>D43*C43*10%</f>
        <v/>
      </c>
      <c r="J43" s="1230">
        <f>C43*E43</f>
        <v/>
      </c>
      <c r="K43" s="1230">
        <f>C43*F43</f>
        <v/>
      </c>
      <c r="L43" s="1230">
        <f>G43*C43</f>
        <v/>
      </c>
    </row>
    <row r="44" ht="19.95" customHeight="1" s="1097">
      <c r="B44" s="41" t="n"/>
      <c r="C44" s="650" t="n"/>
      <c r="D44" s="27" t="n"/>
      <c r="E44" s="1225" t="n"/>
      <c r="F44" s="1225" t="n"/>
      <c r="G44" s="1225" t="n"/>
      <c r="H44" s="1230">
        <f>C44*D44*90%</f>
        <v/>
      </c>
      <c r="I44" s="1230">
        <f>D44*C44*10%</f>
        <v/>
      </c>
      <c r="J44" s="1230">
        <f>C44*E44</f>
        <v/>
      </c>
      <c r="K44" s="1230">
        <f>C44*F44</f>
        <v/>
      </c>
      <c r="L44" s="1230">
        <f>G44*C44</f>
        <v/>
      </c>
    </row>
    <row r="45" ht="19.95" customHeight="1" s="1097">
      <c r="B45" s="41" t="n"/>
      <c r="C45" s="650" t="n"/>
      <c r="D45" s="27" t="n"/>
      <c r="E45" s="1225" t="n"/>
      <c r="F45" s="1225" t="n"/>
      <c r="G45" s="1225" t="n"/>
      <c r="H45" s="1230">
        <f>C45*D45*90%</f>
        <v/>
      </c>
      <c r="I45" s="1230">
        <f>D45*C45*10%</f>
        <v/>
      </c>
      <c r="J45" s="1230">
        <f>C45*E45</f>
        <v/>
      </c>
      <c r="K45" s="1230">
        <f>C45*F45</f>
        <v/>
      </c>
      <c r="L45" s="1230">
        <f>G45*C45</f>
        <v/>
      </c>
    </row>
    <row r="46" ht="19.95" customHeight="1" s="1097">
      <c r="B46" s="41" t="n"/>
      <c r="C46" s="650" t="n"/>
      <c r="D46" s="27" t="n"/>
      <c r="E46" s="1225" t="n"/>
      <c r="F46" s="1225" t="n"/>
      <c r="G46" s="1225" t="n"/>
      <c r="H46" s="1230">
        <f>C46*D46*90%</f>
        <v/>
      </c>
      <c r="I46" s="1230">
        <f>D46*C46*10%</f>
        <v/>
      </c>
      <c r="J46" s="1230">
        <f>C46*E46</f>
        <v/>
      </c>
      <c r="K46" s="1230">
        <f>C46*F46</f>
        <v/>
      </c>
      <c r="L46" s="1230">
        <f>G46*C46</f>
        <v/>
      </c>
    </row>
    <row r="47" ht="19.95" customHeight="1" s="1097">
      <c r="A47" s="23" t="inlineStr">
        <is>
          <t>三、审计说明</t>
        </is>
      </c>
    </row>
    <row r="48" ht="19.95" customHeight="1" s="1097"/>
    <row r="49" ht="19.95" customHeight="1" s="1097"/>
    <row r="50" ht="19.95" customHeight="1" s="1097"/>
    <row r="51" ht="19.95" customHeight="1" s="1097">
      <c r="A51" s="23" t="inlineStr">
        <is>
          <t>四、审计结论</t>
        </is>
      </c>
    </row>
    <row r="52" ht="19.95" customHeight="1" s="1097"/>
    <row r="53" ht="19.95" customHeight="1" s="1097"/>
    <row r="54" ht="19.95" customHeight="1" s="1097"/>
  </sheetData>
  <mergeCells count="12">
    <mergeCell ref="D40:G40"/>
    <mergeCell ref="A2:L2"/>
    <mergeCell ref="E15:F15"/>
    <mergeCell ref="B15:D16"/>
    <mergeCell ref="I15:J15"/>
    <mergeCell ref="G15:H15"/>
    <mergeCell ref="A1:L1"/>
    <mergeCell ref="K15:L15"/>
    <mergeCell ref="G8:H8"/>
    <mergeCell ref="B40:B41"/>
    <mergeCell ref="C40:C41"/>
    <mergeCell ref="H40:L40"/>
  </mergeCells>
  <dataValidations count="3">
    <dataValidation sqref="G23:G26" showDropDown="0" showInputMessage="1" showErrorMessage="1" allowBlank="1" type="list">
      <formula1>"联营,合营,金融资产,无"</formula1>
    </dataValidation>
    <dataValidation sqref="F17:F20 H17:H20 J17:J20 L17:L20" showDropDown="0" showInputMessage="0" showErrorMessage="0" allowBlank="1" type="list">
      <formula1>"是,否,不适用"</formula1>
    </dataValidation>
    <dataValidation sqref="F21 H21 J21 L21" showDropDown="0" showInputMessage="0" showErrorMessage="0" allowBlank="1" type="list">
      <formula1>"构成一揽子交易,不构成一揽子交易"</formula1>
    </dataValidation>
  </dataValidations>
  <hyperlinks>
    <hyperlink ref="L3" location="底稿目录!F18" display="底稿目录!F18"/>
  </hyperlinks>
  <pageMargins left="0.7086614173228347" right="0.7086614173228347" top="0.7480314960629921" bottom="0.7480314960629921" header="0.3149606299212598" footer="0.3149606299212598"/>
  <pageSetup orientation="landscape" paperSize="9" scale="70" fitToHeight="0" blackAndWhite="1"/>
  <headerFooter>
    <oddHeader/>
    <oddFooter>&amp;C&amp;P/&amp;N</oddFooter>
    <evenHeader/>
    <evenFooter/>
    <firstHeader/>
    <firstFooter/>
  </headerFooter>
  <rowBreaks count="1" manualBreakCount="1">
    <brk id="26" min="0" max="11" man="1"/>
  </rowBreaks>
  <legacyDrawing xmlns:r="http://schemas.openxmlformats.org/officeDocument/2006/relationships" r:id="anysvml"/>
</worksheet>
</file>

<file path=xl/worksheets/sheet17.xml><?xml version="1.0" encoding="utf-8"?>
<worksheet xmlns="http://schemas.openxmlformats.org/spreadsheetml/2006/main">
  <sheetPr codeName="Sheet18">
    <outlinePr summaryBelow="1" summaryRight="1"/>
    <pageSetUpPr/>
  </sheetPr>
  <dimension ref="A1:Q82"/>
  <sheetViews>
    <sheetView showZeros="0" view="pageBreakPreview" zoomScaleSheetLayoutView="100" workbookViewId="0">
      <selection activeCell="A1" sqref="A1:M1"/>
    </sheetView>
  </sheetViews>
  <sheetFormatPr baseColWidth="8" defaultRowHeight="15.6" outlineLevelCol="0"/>
  <cols>
    <col width="3.19921875" customWidth="1" style="162" min="1" max="1"/>
    <col width="18" customWidth="1" style="162" min="2" max="2"/>
    <col width="15" customWidth="1" style="162" min="3" max="3"/>
    <col width="13.3984375" customWidth="1" style="162" min="4" max="4"/>
    <col width="12.09765625" customWidth="1" style="162" min="5" max="5"/>
    <col width="12.59765625" customWidth="1" style="162" min="6" max="6"/>
    <col width="13" customWidth="1" style="162" min="7" max="7"/>
    <col width="14.5" customWidth="1" style="162" min="8" max="8"/>
    <col width="13.09765625" customWidth="1" style="162" min="9" max="9"/>
    <col width="18" customWidth="1" style="162" min="10" max="10"/>
    <col width="15" customWidth="1" style="162" min="11" max="11"/>
    <col width="16" customWidth="1" style="162" min="12" max="12"/>
    <col width="11.19921875" bestFit="1" customWidth="1" style="162" min="13" max="13"/>
    <col width="22" customWidth="1" style="162" min="14" max="253"/>
    <col width="18" customWidth="1" style="162" min="254" max="254"/>
    <col width="15" customWidth="1" style="162" min="255" max="255"/>
    <col width="13.3984375" customWidth="1" style="162" min="256" max="256"/>
    <col width="12.09765625" customWidth="1" style="162" min="257" max="257"/>
    <col width="12.59765625" customWidth="1" style="162" min="258" max="258"/>
    <col width="13" customWidth="1" style="162" min="259" max="259"/>
    <col width="12.69921875" customWidth="1" style="162" min="260" max="260"/>
    <col width="10.3984375" customWidth="1" style="162" min="261" max="261"/>
    <col width="12.3984375" customWidth="1" style="162" min="262" max="262"/>
    <col width="12.09765625" customWidth="1" style="162" min="263" max="263"/>
    <col width="13" customWidth="1" style="162" min="264" max="264"/>
    <col width="9" customWidth="1" style="162" min="265" max="509"/>
    <col width="18" customWidth="1" style="162" min="510" max="510"/>
    <col width="15" customWidth="1" style="162" min="511" max="511"/>
    <col width="13.3984375" customWidth="1" style="162" min="512" max="512"/>
    <col width="12.09765625" customWidth="1" style="162" min="513" max="513"/>
    <col width="12.59765625" customWidth="1" style="162" min="514" max="514"/>
    <col width="13" customWidth="1" style="162" min="515" max="515"/>
    <col width="12.69921875" customWidth="1" style="162" min="516" max="516"/>
    <col width="10.3984375" customWidth="1" style="162" min="517" max="517"/>
    <col width="12.3984375" customWidth="1" style="162" min="518" max="518"/>
    <col width="12.09765625" customWidth="1" style="162" min="519" max="519"/>
    <col width="13" customWidth="1" style="162" min="520" max="520"/>
    <col width="9" customWidth="1" style="162" min="521" max="765"/>
    <col width="18" customWidth="1" style="162" min="766" max="766"/>
    <col width="15" customWidth="1" style="162" min="767" max="767"/>
    <col width="13.3984375" customWidth="1" style="162" min="768" max="768"/>
    <col width="12.09765625" customWidth="1" style="162" min="769" max="769"/>
    <col width="12.59765625" customWidth="1" style="162" min="770" max="770"/>
    <col width="13" customWidth="1" style="162" min="771" max="771"/>
    <col width="12.69921875" customWidth="1" style="162" min="772" max="772"/>
    <col width="10.3984375" customWidth="1" style="162" min="773" max="773"/>
    <col width="12.3984375" customWidth="1" style="162" min="774" max="774"/>
    <col width="12.09765625" customWidth="1" style="162" min="775" max="775"/>
    <col width="13" customWidth="1" style="162" min="776" max="776"/>
    <col width="9" customWidth="1" style="162" min="777" max="1021"/>
    <col width="18" customWidth="1" style="162" min="1022" max="1022"/>
    <col width="15" customWidth="1" style="162" min="1023" max="1023"/>
    <col width="13.3984375" customWidth="1" style="162" min="1024" max="1024"/>
    <col width="12.09765625" customWidth="1" style="162" min="1025" max="1025"/>
    <col width="12.59765625" customWidth="1" style="162" min="1026" max="1026"/>
    <col width="13" customWidth="1" style="162" min="1027" max="1027"/>
    <col width="12.69921875" customWidth="1" style="162" min="1028" max="1028"/>
    <col width="10.3984375" customWidth="1" style="162" min="1029" max="1029"/>
    <col width="12.3984375" customWidth="1" style="162" min="1030" max="1030"/>
    <col width="12.09765625" customWidth="1" style="162" min="1031" max="1031"/>
    <col width="13" customWidth="1" style="162" min="1032" max="1032"/>
    <col width="9" customWidth="1" style="162" min="1033" max="1277"/>
    <col width="18" customWidth="1" style="162" min="1278" max="1278"/>
    <col width="15" customWidth="1" style="162" min="1279" max="1279"/>
    <col width="13.3984375" customWidth="1" style="162" min="1280" max="1280"/>
    <col width="12.09765625" customWidth="1" style="162" min="1281" max="1281"/>
    <col width="12.59765625" customWidth="1" style="162" min="1282" max="1282"/>
    <col width="13" customWidth="1" style="162" min="1283" max="1283"/>
    <col width="12.69921875" customWidth="1" style="162" min="1284" max="1284"/>
    <col width="10.3984375" customWidth="1" style="162" min="1285" max="1285"/>
    <col width="12.3984375" customWidth="1" style="162" min="1286" max="1286"/>
    <col width="12.09765625" customWidth="1" style="162" min="1287" max="1287"/>
    <col width="13" customWidth="1" style="162" min="1288" max="1288"/>
    <col width="9" customWidth="1" style="162" min="1289" max="1533"/>
    <col width="18" customWidth="1" style="162" min="1534" max="1534"/>
    <col width="15" customWidth="1" style="162" min="1535" max="1535"/>
    <col width="13.3984375" customWidth="1" style="162" min="1536" max="1536"/>
    <col width="12.09765625" customWidth="1" style="162" min="1537" max="1537"/>
    <col width="12.59765625" customWidth="1" style="162" min="1538" max="1538"/>
    <col width="13" customWidth="1" style="162" min="1539" max="1539"/>
    <col width="12.69921875" customWidth="1" style="162" min="1540" max="1540"/>
    <col width="10.3984375" customWidth="1" style="162" min="1541" max="1541"/>
    <col width="12.3984375" customWidth="1" style="162" min="1542" max="1542"/>
    <col width="12.09765625" customWidth="1" style="162" min="1543" max="1543"/>
    <col width="13" customWidth="1" style="162" min="1544" max="1544"/>
    <col width="9" customWidth="1" style="162" min="1545" max="1789"/>
    <col width="18" customWidth="1" style="162" min="1790" max="1790"/>
    <col width="15" customWidth="1" style="162" min="1791" max="1791"/>
    <col width="13.3984375" customWidth="1" style="162" min="1792" max="1792"/>
    <col width="12.09765625" customWidth="1" style="162" min="1793" max="1793"/>
    <col width="12.59765625" customWidth="1" style="162" min="1794" max="1794"/>
    <col width="13" customWidth="1" style="162" min="1795" max="1795"/>
    <col width="12.69921875" customWidth="1" style="162" min="1796" max="1796"/>
    <col width="10.3984375" customWidth="1" style="162" min="1797" max="1797"/>
    <col width="12.3984375" customWidth="1" style="162" min="1798" max="1798"/>
    <col width="12.09765625" customWidth="1" style="162" min="1799" max="1799"/>
    <col width="13" customWidth="1" style="162" min="1800" max="1800"/>
    <col width="9" customWidth="1" style="162" min="1801" max="2045"/>
    <col width="18" customWidth="1" style="162" min="2046" max="2046"/>
    <col width="15" customWidth="1" style="162" min="2047" max="2047"/>
    <col width="13.3984375" customWidth="1" style="162" min="2048" max="2048"/>
    <col width="12.09765625" customWidth="1" style="162" min="2049" max="2049"/>
    <col width="12.59765625" customWidth="1" style="162" min="2050" max="2050"/>
    <col width="13" customWidth="1" style="162" min="2051" max="2051"/>
    <col width="12.69921875" customWidth="1" style="162" min="2052" max="2052"/>
    <col width="10.3984375" customWidth="1" style="162" min="2053" max="2053"/>
    <col width="12.3984375" customWidth="1" style="162" min="2054" max="2054"/>
    <col width="12.09765625" customWidth="1" style="162" min="2055" max="2055"/>
    <col width="13" customWidth="1" style="162" min="2056" max="2056"/>
    <col width="9" customWidth="1" style="162" min="2057" max="2301"/>
    <col width="18" customWidth="1" style="162" min="2302" max="2302"/>
    <col width="15" customWidth="1" style="162" min="2303" max="2303"/>
    <col width="13.3984375" customWidth="1" style="162" min="2304" max="2304"/>
    <col width="12.09765625" customWidth="1" style="162" min="2305" max="2305"/>
    <col width="12.59765625" customWidth="1" style="162" min="2306" max="2306"/>
    <col width="13" customWidth="1" style="162" min="2307" max="2307"/>
    <col width="12.69921875" customWidth="1" style="162" min="2308" max="2308"/>
    <col width="10.3984375" customWidth="1" style="162" min="2309" max="2309"/>
    <col width="12.3984375" customWidth="1" style="162" min="2310" max="2310"/>
    <col width="12.09765625" customWidth="1" style="162" min="2311" max="2311"/>
    <col width="13" customWidth="1" style="162" min="2312" max="2312"/>
    <col width="9" customWidth="1" style="162" min="2313" max="2557"/>
    <col width="18" customWidth="1" style="162" min="2558" max="2558"/>
    <col width="15" customWidth="1" style="162" min="2559" max="2559"/>
    <col width="13.3984375" customWidth="1" style="162" min="2560" max="2560"/>
    <col width="12.09765625" customWidth="1" style="162" min="2561" max="2561"/>
    <col width="12.59765625" customWidth="1" style="162" min="2562" max="2562"/>
    <col width="13" customWidth="1" style="162" min="2563" max="2563"/>
    <col width="12.69921875" customWidth="1" style="162" min="2564" max="2564"/>
    <col width="10.3984375" customWidth="1" style="162" min="2565" max="2565"/>
    <col width="12.3984375" customWidth="1" style="162" min="2566" max="2566"/>
    <col width="12.09765625" customWidth="1" style="162" min="2567" max="2567"/>
    <col width="13" customWidth="1" style="162" min="2568" max="2568"/>
    <col width="9" customWidth="1" style="162" min="2569" max="2813"/>
    <col width="18" customWidth="1" style="162" min="2814" max="2814"/>
    <col width="15" customWidth="1" style="162" min="2815" max="2815"/>
    <col width="13.3984375" customWidth="1" style="162" min="2816" max="2816"/>
    <col width="12.09765625" customWidth="1" style="162" min="2817" max="2817"/>
    <col width="12.59765625" customWidth="1" style="162" min="2818" max="2818"/>
    <col width="13" customWidth="1" style="162" min="2819" max="2819"/>
    <col width="12.69921875" customWidth="1" style="162" min="2820" max="2820"/>
    <col width="10.3984375" customWidth="1" style="162" min="2821" max="2821"/>
    <col width="12.3984375" customWidth="1" style="162" min="2822" max="2822"/>
    <col width="12.09765625" customWidth="1" style="162" min="2823" max="2823"/>
    <col width="13" customWidth="1" style="162" min="2824" max="2824"/>
    <col width="9" customWidth="1" style="162" min="2825" max="3069"/>
    <col width="18" customWidth="1" style="162" min="3070" max="3070"/>
    <col width="15" customWidth="1" style="162" min="3071" max="3071"/>
    <col width="13.3984375" customWidth="1" style="162" min="3072" max="3072"/>
    <col width="12.09765625" customWidth="1" style="162" min="3073" max="3073"/>
    <col width="12.59765625" customWidth="1" style="162" min="3074" max="3074"/>
    <col width="13" customWidth="1" style="162" min="3075" max="3075"/>
    <col width="12.69921875" customWidth="1" style="162" min="3076" max="3076"/>
    <col width="10.3984375" customWidth="1" style="162" min="3077" max="3077"/>
    <col width="12.3984375" customWidth="1" style="162" min="3078" max="3078"/>
    <col width="12.09765625" customWidth="1" style="162" min="3079" max="3079"/>
    <col width="13" customWidth="1" style="162" min="3080" max="3080"/>
    <col width="9" customWidth="1" style="162" min="3081" max="3325"/>
    <col width="18" customWidth="1" style="162" min="3326" max="3326"/>
    <col width="15" customWidth="1" style="162" min="3327" max="3327"/>
    <col width="13.3984375" customWidth="1" style="162" min="3328" max="3328"/>
    <col width="12.09765625" customWidth="1" style="162" min="3329" max="3329"/>
    <col width="12.59765625" customWidth="1" style="162" min="3330" max="3330"/>
    <col width="13" customWidth="1" style="162" min="3331" max="3331"/>
    <col width="12.69921875" customWidth="1" style="162" min="3332" max="3332"/>
    <col width="10.3984375" customWidth="1" style="162" min="3333" max="3333"/>
    <col width="12.3984375" customWidth="1" style="162" min="3334" max="3334"/>
    <col width="12.09765625" customWidth="1" style="162" min="3335" max="3335"/>
    <col width="13" customWidth="1" style="162" min="3336" max="3336"/>
    <col width="9" customWidth="1" style="162" min="3337" max="3581"/>
    <col width="18" customWidth="1" style="162" min="3582" max="3582"/>
    <col width="15" customWidth="1" style="162" min="3583" max="3583"/>
    <col width="13.3984375" customWidth="1" style="162" min="3584" max="3584"/>
    <col width="12.09765625" customWidth="1" style="162" min="3585" max="3585"/>
    <col width="12.59765625" customWidth="1" style="162" min="3586" max="3586"/>
    <col width="13" customWidth="1" style="162" min="3587" max="3587"/>
    <col width="12.69921875" customWidth="1" style="162" min="3588" max="3588"/>
    <col width="10.3984375" customWidth="1" style="162" min="3589" max="3589"/>
    <col width="12.3984375" customWidth="1" style="162" min="3590" max="3590"/>
    <col width="12.09765625" customWidth="1" style="162" min="3591" max="3591"/>
    <col width="13" customWidth="1" style="162" min="3592" max="3592"/>
    <col width="9" customWidth="1" style="162" min="3593" max="3837"/>
    <col width="18" customWidth="1" style="162" min="3838" max="3838"/>
    <col width="15" customWidth="1" style="162" min="3839" max="3839"/>
    <col width="13.3984375" customWidth="1" style="162" min="3840" max="3840"/>
    <col width="12.09765625" customWidth="1" style="162" min="3841" max="3841"/>
    <col width="12.59765625" customWidth="1" style="162" min="3842" max="3842"/>
    <col width="13" customWidth="1" style="162" min="3843" max="3843"/>
    <col width="12.69921875" customWidth="1" style="162" min="3844" max="3844"/>
    <col width="10.3984375" customWidth="1" style="162" min="3845" max="3845"/>
    <col width="12.3984375" customWidth="1" style="162" min="3846" max="3846"/>
    <col width="12.09765625" customWidth="1" style="162" min="3847" max="3847"/>
    <col width="13" customWidth="1" style="162" min="3848" max="3848"/>
    <col width="9" customWidth="1" style="162" min="3849" max="4093"/>
    <col width="18" customWidth="1" style="162" min="4094" max="4094"/>
    <col width="15" customWidth="1" style="162" min="4095" max="4095"/>
    <col width="13.3984375" customWidth="1" style="162" min="4096" max="4096"/>
    <col width="12.09765625" customWidth="1" style="162" min="4097" max="4097"/>
    <col width="12.59765625" customWidth="1" style="162" min="4098" max="4098"/>
    <col width="13" customWidth="1" style="162" min="4099" max="4099"/>
    <col width="12.69921875" customWidth="1" style="162" min="4100" max="4100"/>
    <col width="10.3984375" customWidth="1" style="162" min="4101" max="4101"/>
    <col width="12.3984375" customWidth="1" style="162" min="4102" max="4102"/>
    <col width="12.09765625" customWidth="1" style="162" min="4103" max="4103"/>
    <col width="13" customWidth="1" style="162" min="4104" max="4104"/>
    <col width="9" customWidth="1" style="162" min="4105" max="4349"/>
    <col width="18" customWidth="1" style="162" min="4350" max="4350"/>
    <col width="15" customWidth="1" style="162" min="4351" max="4351"/>
    <col width="13.3984375" customWidth="1" style="162" min="4352" max="4352"/>
    <col width="12.09765625" customWidth="1" style="162" min="4353" max="4353"/>
    <col width="12.59765625" customWidth="1" style="162" min="4354" max="4354"/>
    <col width="13" customWidth="1" style="162" min="4355" max="4355"/>
    <col width="12.69921875" customWidth="1" style="162" min="4356" max="4356"/>
    <col width="10.3984375" customWidth="1" style="162" min="4357" max="4357"/>
    <col width="12.3984375" customWidth="1" style="162" min="4358" max="4358"/>
    <col width="12.09765625" customWidth="1" style="162" min="4359" max="4359"/>
    <col width="13" customWidth="1" style="162" min="4360" max="4360"/>
    <col width="9" customWidth="1" style="162" min="4361" max="4605"/>
    <col width="18" customWidth="1" style="162" min="4606" max="4606"/>
    <col width="15" customWidth="1" style="162" min="4607" max="4607"/>
    <col width="13.3984375" customWidth="1" style="162" min="4608" max="4608"/>
    <col width="12.09765625" customWidth="1" style="162" min="4609" max="4609"/>
    <col width="12.59765625" customWidth="1" style="162" min="4610" max="4610"/>
    <col width="13" customWidth="1" style="162" min="4611" max="4611"/>
    <col width="12.69921875" customWidth="1" style="162" min="4612" max="4612"/>
    <col width="10.3984375" customWidth="1" style="162" min="4613" max="4613"/>
    <col width="12.3984375" customWidth="1" style="162" min="4614" max="4614"/>
    <col width="12.09765625" customWidth="1" style="162" min="4615" max="4615"/>
    <col width="13" customWidth="1" style="162" min="4616" max="4616"/>
    <col width="9" customWidth="1" style="162" min="4617" max="4861"/>
    <col width="18" customWidth="1" style="162" min="4862" max="4862"/>
    <col width="15" customWidth="1" style="162" min="4863" max="4863"/>
    <col width="13.3984375" customWidth="1" style="162" min="4864" max="4864"/>
    <col width="12.09765625" customWidth="1" style="162" min="4865" max="4865"/>
    <col width="12.59765625" customWidth="1" style="162" min="4866" max="4866"/>
    <col width="13" customWidth="1" style="162" min="4867" max="4867"/>
    <col width="12.69921875" customWidth="1" style="162" min="4868" max="4868"/>
    <col width="10.3984375" customWidth="1" style="162" min="4869" max="4869"/>
    <col width="12.3984375" customWidth="1" style="162" min="4870" max="4870"/>
    <col width="12.09765625" customWidth="1" style="162" min="4871" max="4871"/>
    <col width="13" customWidth="1" style="162" min="4872" max="4872"/>
    <col width="9" customWidth="1" style="162" min="4873" max="5117"/>
    <col width="18" customWidth="1" style="162" min="5118" max="5118"/>
    <col width="15" customWidth="1" style="162" min="5119" max="5119"/>
    <col width="13.3984375" customWidth="1" style="162" min="5120" max="5120"/>
    <col width="12.09765625" customWidth="1" style="162" min="5121" max="5121"/>
    <col width="12.59765625" customWidth="1" style="162" min="5122" max="5122"/>
    <col width="13" customWidth="1" style="162" min="5123" max="5123"/>
    <col width="12.69921875" customWidth="1" style="162" min="5124" max="5124"/>
    <col width="10.3984375" customWidth="1" style="162" min="5125" max="5125"/>
    <col width="12.3984375" customWidth="1" style="162" min="5126" max="5126"/>
    <col width="12.09765625" customWidth="1" style="162" min="5127" max="5127"/>
    <col width="13" customWidth="1" style="162" min="5128" max="5128"/>
    <col width="9" customWidth="1" style="162" min="5129" max="5373"/>
    <col width="18" customWidth="1" style="162" min="5374" max="5374"/>
    <col width="15" customWidth="1" style="162" min="5375" max="5375"/>
    <col width="13.3984375" customWidth="1" style="162" min="5376" max="5376"/>
    <col width="12.09765625" customWidth="1" style="162" min="5377" max="5377"/>
    <col width="12.59765625" customWidth="1" style="162" min="5378" max="5378"/>
    <col width="13" customWidth="1" style="162" min="5379" max="5379"/>
    <col width="12.69921875" customWidth="1" style="162" min="5380" max="5380"/>
    <col width="10.3984375" customWidth="1" style="162" min="5381" max="5381"/>
    <col width="12.3984375" customWidth="1" style="162" min="5382" max="5382"/>
    <col width="12.09765625" customWidth="1" style="162" min="5383" max="5383"/>
    <col width="13" customWidth="1" style="162" min="5384" max="5384"/>
    <col width="9" customWidth="1" style="162" min="5385" max="5629"/>
    <col width="18" customWidth="1" style="162" min="5630" max="5630"/>
    <col width="15" customWidth="1" style="162" min="5631" max="5631"/>
    <col width="13.3984375" customWidth="1" style="162" min="5632" max="5632"/>
    <col width="12.09765625" customWidth="1" style="162" min="5633" max="5633"/>
    <col width="12.59765625" customWidth="1" style="162" min="5634" max="5634"/>
    <col width="13" customWidth="1" style="162" min="5635" max="5635"/>
    <col width="12.69921875" customWidth="1" style="162" min="5636" max="5636"/>
    <col width="10.3984375" customWidth="1" style="162" min="5637" max="5637"/>
    <col width="12.3984375" customWidth="1" style="162" min="5638" max="5638"/>
    <col width="12.09765625" customWidth="1" style="162" min="5639" max="5639"/>
    <col width="13" customWidth="1" style="162" min="5640" max="5640"/>
    <col width="9" customWidth="1" style="162" min="5641" max="5885"/>
    <col width="18" customWidth="1" style="162" min="5886" max="5886"/>
    <col width="15" customWidth="1" style="162" min="5887" max="5887"/>
    <col width="13.3984375" customWidth="1" style="162" min="5888" max="5888"/>
    <col width="12.09765625" customWidth="1" style="162" min="5889" max="5889"/>
    <col width="12.59765625" customWidth="1" style="162" min="5890" max="5890"/>
    <col width="13" customWidth="1" style="162" min="5891" max="5891"/>
    <col width="12.69921875" customWidth="1" style="162" min="5892" max="5892"/>
    <col width="10.3984375" customWidth="1" style="162" min="5893" max="5893"/>
    <col width="12.3984375" customWidth="1" style="162" min="5894" max="5894"/>
    <col width="12.09765625" customWidth="1" style="162" min="5895" max="5895"/>
    <col width="13" customWidth="1" style="162" min="5896" max="5896"/>
    <col width="9" customWidth="1" style="162" min="5897" max="6141"/>
    <col width="18" customWidth="1" style="162" min="6142" max="6142"/>
    <col width="15" customWidth="1" style="162" min="6143" max="6143"/>
    <col width="13.3984375" customWidth="1" style="162" min="6144" max="6144"/>
    <col width="12.09765625" customWidth="1" style="162" min="6145" max="6145"/>
    <col width="12.59765625" customWidth="1" style="162" min="6146" max="6146"/>
    <col width="13" customWidth="1" style="162" min="6147" max="6147"/>
    <col width="12.69921875" customWidth="1" style="162" min="6148" max="6148"/>
    <col width="10.3984375" customWidth="1" style="162" min="6149" max="6149"/>
    <col width="12.3984375" customWidth="1" style="162" min="6150" max="6150"/>
    <col width="12.09765625" customWidth="1" style="162" min="6151" max="6151"/>
    <col width="13" customWidth="1" style="162" min="6152" max="6152"/>
    <col width="9" customWidth="1" style="162" min="6153" max="6397"/>
    <col width="18" customWidth="1" style="162" min="6398" max="6398"/>
    <col width="15" customWidth="1" style="162" min="6399" max="6399"/>
    <col width="13.3984375" customWidth="1" style="162" min="6400" max="6400"/>
    <col width="12.09765625" customWidth="1" style="162" min="6401" max="6401"/>
    <col width="12.59765625" customWidth="1" style="162" min="6402" max="6402"/>
    <col width="13" customWidth="1" style="162" min="6403" max="6403"/>
    <col width="12.69921875" customWidth="1" style="162" min="6404" max="6404"/>
    <col width="10.3984375" customWidth="1" style="162" min="6405" max="6405"/>
    <col width="12.3984375" customWidth="1" style="162" min="6406" max="6406"/>
    <col width="12.09765625" customWidth="1" style="162" min="6407" max="6407"/>
    <col width="13" customWidth="1" style="162" min="6408" max="6408"/>
    <col width="9" customWidth="1" style="162" min="6409" max="6653"/>
    <col width="18" customWidth="1" style="162" min="6654" max="6654"/>
    <col width="15" customWidth="1" style="162" min="6655" max="6655"/>
    <col width="13.3984375" customWidth="1" style="162" min="6656" max="6656"/>
    <col width="12.09765625" customWidth="1" style="162" min="6657" max="6657"/>
    <col width="12.59765625" customWidth="1" style="162" min="6658" max="6658"/>
    <col width="13" customWidth="1" style="162" min="6659" max="6659"/>
    <col width="12.69921875" customWidth="1" style="162" min="6660" max="6660"/>
    <col width="10.3984375" customWidth="1" style="162" min="6661" max="6661"/>
    <col width="12.3984375" customWidth="1" style="162" min="6662" max="6662"/>
    <col width="12.09765625" customWidth="1" style="162" min="6663" max="6663"/>
    <col width="13" customWidth="1" style="162" min="6664" max="6664"/>
    <col width="9" customWidth="1" style="162" min="6665" max="6909"/>
    <col width="18" customWidth="1" style="162" min="6910" max="6910"/>
    <col width="15" customWidth="1" style="162" min="6911" max="6911"/>
    <col width="13.3984375" customWidth="1" style="162" min="6912" max="6912"/>
    <col width="12.09765625" customWidth="1" style="162" min="6913" max="6913"/>
    <col width="12.59765625" customWidth="1" style="162" min="6914" max="6914"/>
    <col width="13" customWidth="1" style="162" min="6915" max="6915"/>
    <col width="12.69921875" customWidth="1" style="162" min="6916" max="6916"/>
    <col width="10.3984375" customWidth="1" style="162" min="6917" max="6917"/>
    <col width="12.3984375" customWidth="1" style="162" min="6918" max="6918"/>
    <col width="12.09765625" customWidth="1" style="162" min="6919" max="6919"/>
    <col width="13" customWidth="1" style="162" min="6920" max="6920"/>
    <col width="9" customWidth="1" style="162" min="6921" max="7165"/>
    <col width="18" customWidth="1" style="162" min="7166" max="7166"/>
    <col width="15" customWidth="1" style="162" min="7167" max="7167"/>
    <col width="13.3984375" customWidth="1" style="162" min="7168" max="7168"/>
    <col width="12.09765625" customWidth="1" style="162" min="7169" max="7169"/>
    <col width="12.59765625" customWidth="1" style="162" min="7170" max="7170"/>
    <col width="13" customWidth="1" style="162" min="7171" max="7171"/>
    <col width="12.69921875" customWidth="1" style="162" min="7172" max="7172"/>
    <col width="10.3984375" customWidth="1" style="162" min="7173" max="7173"/>
    <col width="12.3984375" customWidth="1" style="162" min="7174" max="7174"/>
    <col width="12.09765625" customWidth="1" style="162" min="7175" max="7175"/>
    <col width="13" customWidth="1" style="162" min="7176" max="7176"/>
    <col width="9" customWidth="1" style="162" min="7177" max="7421"/>
    <col width="18" customWidth="1" style="162" min="7422" max="7422"/>
    <col width="15" customWidth="1" style="162" min="7423" max="7423"/>
    <col width="13.3984375" customWidth="1" style="162" min="7424" max="7424"/>
    <col width="12.09765625" customWidth="1" style="162" min="7425" max="7425"/>
    <col width="12.59765625" customWidth="1" style="162" min="7426" max="7426"/>
    <col width="13" customWidth="1" style="162" min="7427" max="7427"/>
    <col width="12.69921875" customWidth="1" style="162" min="7428" max="7428"/>
    <col width="10.3984375" customWidth="1" style="162" min="7429" max="7429"/>
    <col width="12.3984375" customWidth="1" style="162" min="7430" max="7430"/>
    <col width="12.09765625" customWidth="1" style="162" min="7431" max="7431"/>
    <col width="13" customWidth="1" style="162" min="7432" max="7432"/>
    <col width="9" customWidth="1" style="162" min="7433" max="7677"/>
    <col width="18" customWidth="1" style="162" min="7678" max="7678"/>
    <col width="15" customWidth="1" style="162" min="7679" max="7679"/>
    <col width="13.3984375" customWidth="1" style="162" min="7680" max="7680"/>
    <col width="12.09765625" customWidth="1" style="162" min="7681" max="7681"/>
    <col width="12.59765625" customWidth="1" style="162" min="7682" max="7682"/>
    <col width="13" customWidth="1" style="162" min="7683" max="7683"/>
    <col width="12.69921875" customWidth="1" style="162" min="7684" max="7684"/>
    <col width="10.3984375" customWidth="1" style="162" min="7685" max="7685"/>
    <col width="12.3984375" customWidth="1" style="162" min="7686" max="7686"/>
    <col width="12.09765625" customWidth="1" style="162" min="7687" max="7687"/>
    <col width="13" customWidth="1" style="162" min="7688" max="7688"/>
    <col width="9" customWidth="1" style="162" min="7689" max="7933"/>
    <col width="18" customWidth="1" style="162" min="7934" max="7934"/>
    <col width="15" customWidth="1" style="162" min="7935" max="7935"/>
    <col width="13.3984375" customWidth="1" style="162" min="7936" max="7936"/>
    <col width="12.09765625" customWidth="1" style="162" min="7937" max="7937"/>
    <col width="12.59765625" customWidth="1" style="162" min="7938" max="7938"/>
    <col width="13" customWidth="1" style="162" min="7939" max="7939"/>
    <col width="12.69921875" customWidth="1" style="162" min="7940" max="7940"/>
    <col width="10.3984375" customWidth="1" style="162" min="7941" max="7941"/>
    <col width="12.3984375" customWidth="1" style="162" min="7942" max="7942"/>
    <col width="12.09765625" customWidth="1" style="162" min="7943" max="7943"/>
    <col width="13" customWidth="1" style="162" min="7944" max="7944"/>
    <col width="9" customWidth="1" style="162" min="7945" max="8189"/>
    <col width="18" customWidth="1" style="162" min="8190" max="8190"/>
    <col width="15" customWidth="1" style="162" min="8191" max="8191"/>
    <col width="13.3984375" customWidth="1" style="162" min="8192" max="8192"/>
    <col width="12.09765625" customWidth="1" style="162" min="8193" max="8193"/>
    <col width="12.59765625" customWidth="1" style="162" min="8194" max="8194"/>
    <col width="13" customWidth="1" style="162" min="8195" max="8195"/>
    <col width="12.69921875" customWidth="1" style="162" min="8196" max="8196"/>
    <col width="10.3984375" customWidth="1" style="162" min="8197" max="8197"/>
    <col width="12.3984375" customWidth="1" style="162" min="8198" max="8198"/>
    <col width="12.09765625" customWidth="1" style="162" min="8199" max="8199"/>
    <col width="13" customWidth="1" style="162" min="8200" max="8200"/>
    <col width="9" customWidth="1" style="162" min="8201" max="8445"/>
    <col width="18" customWidth="1" style="162" min="8446" max="8446"/>
    <col width="15" customWidth="1" style="162" min="8447" max="8447"/>
    <col width="13.3984375" customWidth="1" style="162" min="8448" max="8448"/>
    <col width="12.09765625" customWidth="1" style="162" min="8449" max="8449"/>
    <col width="12.59765625" customWidth="1" style="162" min="8450" max="8450"/>
    <col width="13" customWidth="1" style="162" min="8451" max="8451"/>
    <col width="12.69921875" customWidth="1" style="162" min="8452" max="8452"/>
    <col width="10.3984375" customWidth="1" style="162" min="8453" max="8453"/>
    <col width="12.3984375" customWidth="1" style="162" min="8454" max="8454"/>
    <col width="12.09765625" customWidth="1" style="162" min="8455" max="8455"/>
    <col width="13" customWidth="1" style="162" min="8456" max="8456"/>
    <col width="9" customWidth="1" style="162" min="8457" max="8701"/>
    <col width="18" customWidth="1" style="162" min="8702" max="8702"/>
    <col width="15" customWidth="1" style="162" min="8703" max="8703"/>
    <col width="13.3984375" customWidth="1" style="162" min="8704" max="8704"/>
    <col width="12.09765625" customWidth="1" style="162" min="8705" max="8705"/>
    <col width="12.59765625" customWidth="1" style="162" min="8706" max="8706"/>
    <col width="13" customWidth="1" style="162" min="8707" max="8707"/>
    <col width="12.69921875" customWidth="1" style="162" min="8708" max="8708"/>
    <col width="10.3984375" customWidth="1" style="162" min="8709" max="8709"/>
    <col width="12.3984375" customWidth="1" style="162" min="8710" max="8710"/>
    <col width="12.09765625" customWidth="1" style="162" min="8711" max="8711"/>
    <col width="13" customWidth="1" style="162" min="8712" max="8712"/>
    <col width="9" customWidth="1" style="162" min="8713" max="8957"/>
    <col width="18" customWidth="1" style="162" min="8958" max="8958"/>
    <col width="15" customWidth="1" style="162" min="8959" max="8959"/>
    <col width="13.3984375" customWidth="1" style="162" min="8960" max="8960"/>
    <col width="12.09765625" customWidth="1" style="162" min="8961" max="8961"/>
    <col width="12.59765625" customWidth="1" style="162" min="8962" max="8962"/>
    <col width="13" customWidth="1" style="162" min="8963" max="8963"/>
    <col width="12.69921875" customWidth="1" style="162" min="8964" max="8964"/>
    <col width="10.3984375" customWidth="1" style="162" min="8965" max="8965"/>
    <col width="12.3984375" customWidth="1" style="162" min="8966" max="8966"/>
    <col width="12.09765625" customWidth="1" style="162" min="8967" max="8967"/>
    <col width="13" customWidth="1" style="162" min="8968" max="8968"/>
    <col width="9" customWidth="1" style="162" min="8969" max="9213"/>
    <col width="18" customWidth="1" style="162" min="9214" max="9214"/>
    <col width="15" customWidth="1" style="162" min="9215" max="9215"/>
    <col width="13.3984375" customWidth="1" style="162" min="9216" max="9216"/>
    <col width="12.09765625" customWidth="1" style="162" min="9217" max="9217"/>
    <col width="12.59765625" customWidth="1" style="162" min="9218" max="9218"/>
    <col width="13" customWidth="1" style="162" min="9219" max="9219"/>
    <col width="12.69921875" customWidth="1" style="162" min="9220" max="9220"/>
    <col width="10.3984375" customWidth="1" style="162" min="9221" max="9221"/>
    <col width="12.3984375" customWidth="1" style="162" min="9222" max="9222"/>
    <col width="12.09765625" customWidth="1" style="162" min="9223" max="9223"/>
    <col width="13" customWidth="1" style="162" min="9224" max="9224"/>
    <col width="9" customWidth="1" style="162" min="9225" max="9469"/>
    <col width="18" customWidth="1" style="162" min="9470" max="9470"/>
    <col width="15" customWidth="1" style="162" min="9471" max="9471"/>
    <col width="13.3984375" customWidth="1" style="162" min="9472" max="9472"/>
    <col width="12.09765625" customWidth="1" style="162" min="9473" max="9473"/>
    <col width="12.59765625" customWidth="1" style="162" min="9474" max="9474"/>
    <col width="13" customWidth="1" style="162" min="9475" max="9475"/>
    <col width="12.69921875" customWidth="1" style="162" min="9476" max="9476"/>
    <col width="10.3984375" customWidth="1" style="162" min="9477" max="9477"/>
    <col width="12.3984375" customWidth="1" style="162" min="9478" max="9478"/>
    <col width="12.09765625" customWidth="1" style="162" min="9479" max="9479"/>
    <col width="13" customWidth="1" style="162" min="9480" max="9480"/>
    <col width="9" customWidth="1" style="162" min="9481" max="9725"/>
    <col width="18" customWidth="1" style="162" min="9726" max="9726"/>
    <col width="15" customWidth="1" style="162" min="9727" max="9727"/>
    <col width="13.3984375" customWidth="1" style="162" min="9728" max="9728"/>
    <col width="12.09765625" customWidth="1" style="162" min="9729" max="9729"/>
    <col width="12.59765625" customWidth="1" style="162" min="9730" max="9730"/>
    <col width="13" customWidth="1" style="162" min="9731" max="9731"/>
    <col width="12.69921875" customWidth="1" style="162" min="9732" max="9732"/>
    <col width="10.3984375" customWidth="1" style="162" min="9733" max="9733"/>
    <col width="12.3984375" customWidth="1" style="162" min="9734" max="9734"/>
    <col width="12.09765625" customWidth="1" style="162" min="9735" max="9735"/>
    <col width="13" customWidth="1" style="162" min="9736" max="9736"/>
    <col width="9" customWidth="1" style="162" min="9737" max="9981"/>
    <col width="18" customWidth="1" style="162" min="9982" max="9982"/>
    <col width="15" customWidth="1" style="162" min="9983" max="9983"/>
    <col width="13.3984375" customWidth="1" style="162" min="9984" max="9984"/>
    <col width="12.09765625" customWidth="1" style="162" min="9985" max="9985"/>
    <col width="12.59765625" customWidth="1" style="162" min="9986" max="9986"/>
    <col width="13" customWidth="1" style="162" min="9987" max="9987"/>
    <col width="12.69921875" customWidth="1" style="162" min="9988" max="9988"/>
    <col width="10.3984375" customWidth="1" style="162" min="9989" max="9989"/>
    <col width="12.3984375" customWidth="1" style="162" min="9990" max="9990"/>
    <col width="12.09765625" customWidth="1" style="162" min="9991" max="9991"/>
    <col width="13" customWidth="1" style="162" min="9992" max="9992"/>
    <col width="9" customWidth="1" style="162" min="9993" max="10237"/>
    <col width="18" customWidth="1" style="162" min="10238" max="10238"/>
    <col width="15" customWidth="1" style="162" min="10239" max="10239"/>
    <col width="13.3984375" customWidth="1" style="162" min="10240" max="10240"/>
    <col width="12.09765625" customWidth="1" style="162" min="10241" max="10241"/>
    <col width="12.59765625" customWidth="1" style="162" min="10242" max="10242"/>
    <col width="13" customWidth="1" style="162" min="10243" max="10243"/>
    <col width="12.69921875" customWidth="1" style="162" min="10244" max="10244"/>
    <col width="10.3984375" customWidth="1" style="162" min="10245" max="10245"/>
    <col width="12.3984375" customWidth="1" style="162" min="10246" max="10246"/>
    <col width="12.09765625" customWidth="1" style="162" min="10247" max="10247"/>
    <col width="13" customWidth="1" style="162" min="10248" max="10248"/>
    <col width="9" customWidth="1" style="162" min="10249" max="10493"/>
    <col width="18" customWidth="1" style="162" min="10494" max="10494"/>
    <col width="15" customWidth="1" style="162" min="10495" max="10495"/>
    <col width="13.3984375" customWidth="1" style="162" min="10496" max="10496"/>
    <col width="12.09765625" customWidth="1" style="162" min="10497" max="10497"/>
    <col width="12.59765625" customWidth="1" style="162" min="10498" max="10498"/>
    <col width="13" customWidth="1" style="162" min="10499" max="10499"/>
    <col width="12.69921875" customWidth="1" style="162" min="10500" max="10500"/>
    <col width="10.3984375" customWidth="1" style="162" min="10501" max="10501"/>
    <col width="12.3984375" customWidth="1" style="162" min="10502" max="10502"/>
    <col width="12.09765625" customWidth="1" style="162" min="10503" max="10503"/>
    <col width="13" customWidth="1" style="162" min="10504" max="10504"/>
    <col width="9" customWidth="1" style="162" min="10505" max="10749"/>
    <col width="18" customWidth="1" style="162" min="10750" max="10750"/>
    <col width="15" customWidth="1" style="162" min="10751" max="10751"/>
    <col width="13.3984375" customWidth="1" style="162" min="10752" max="10752"/>
    <col width="12.09765625" customWidth="1" style="162" min="10753" max="10753"/>
    <col width="12.59765625" customWidth="1" style="162" min="10754" max="10754"/>
    <col width="13" customWidth="1" style="162" min="10755" max="10755"/>
    <col width="12.69921875" customWidth="1" style="162" min="10756" max="10756"/>
    <col width="10.3984375" customWidth="1" style="162" min="10757" max="10757"/>
    <col width="12.3984375" customWidth="1" style="162" min="10758" max="10758"/>
    <col width="12.09765625" customWidth="1" style="162" min="10759" max="10759"/>
    <col width="13" customWidth="1" style="162" min="10760" max="10760"/>
    <col width="9" customWidth="1" style="162" min="10761" max="11005"/>
    <col width="18" customWidth="1" style="162" min="11006" max="11006"/>
    <col width="15" customWidth="1" style="162" min="11007" max="11007"/>
    <col width="13.3984375" customWidth="1" style="162" min="11008" max="11008"/>
    <col width="12.09765625" customWidth="1" style="162" min="11009" max="11009"/>
    <col width="12.59765625" customWidth="1" style="162" min="11010" max="11010"/>
    <col width="13" customWidth="1" style="162" min="11011" max="11011"/>
    <col width="12.69921875" customWidth="1" style="162" min="11012" max="11012"/>
    <col width="10.3984375" customWidth="1" style="162" min="11013" max="11013"/>
    <col width="12.3984375" customWidth="1" style="162" min="11014" max="11014"/>
    <col width="12.09765625" customWidth="1" style="162" min="11015" max="11015"/>
    <col width="13" customWidth="1" style="162" min="11016" max="11016"/>
    <col width="9" customWidth="1" style="162" min="11017" max="11261"/>
    <col width="18" customWidth="1" style="162" min="11262" max="11262"/>
    <col width="15" customWidth="1" style="162" min="11263" max="11263"/>
    <col width="13.3984375" customWidth="1" style="162" min="11264" max="11264"/>
    <col width="12.09765625" customWidth="1" style="162" min="11265" max="11265"/>
    <col width="12.59765625" customWidth="1" style="162" min="11266" max="11266"/>
    <col width="13" customWidth="1" style="162" min="11267" max="11267"/>
    <col width="12.69921875" customWidth="1" style="162" min="11268" max="11268"/>
    <col width="10.3984375" customWidth="1" style="162" min="11269" max="11269"/>
    <col width="12.3984375" customWidth="1" style="162" min="11270" max="11270"/>
    <col width="12.09765625" customWidth="1" style="162" min="11271" max="11271"/>
    <col width="13" customWidth="1" style="162" min="11272" max="11272"/>
    <col width="9" customWidth="1" style="162" min="11273" max="11517"/>
    <col width="18" customWidth="1" style="162" min="11518" max="11518"/>
    <col width="15" customWidth="1" style="162" min="11519" max="11519"/>
    <col width="13.3984375" customWidth="1" style="162" min="11520" max="11520"/>
    <col width="12.09765625" customWidth="1" style="162" min="11521" max="11521"/>
    <col width="12.59765625" customWidth="1" style="162" min="11522" max="11522"/>
    <col width="13" customWidth="1" style="162" min="11523" max="11523"/>
    <col width="12.69921875" customWidth="1" style="162" min="11524" max="11524"/>
    <col width="10.3984375" customWidth="1" style="162" min="11525" max="11525"/>
    <col width="12.3984375" customWidth="1" style="162" min="11526" max="11526"/>
    <col width="12.09765625" customWidth="1" style="162" min="11527" max="11527"/>
    <col width="13" customWidth="1" style="162" min="11528" max="11528"/>
    <col width="9" customWidth="1" style="162" min="11529" max="11773"/>
    <col width="18" customWidth="1" style="162" min="11774" max="11774"/>
    <col width="15" customWidth="1" style="162" min="11775" max="11775"/>
    <col width="13.3984375" customWidth="1" style="162" min="11776" max="11776"/>
    <col width="12.09765625" customWidth="1" style="162" min="11777" max="11777"/>
    <col width="12.59765625" customWidth="1" style="162" min="11778" max="11778"/>
    <col width="13" customWidth="1" style="162" min="11779" max="11779"/>
    <col width="12.69921875" customWidth="1" style="162" min="11780" max="11780"/>
    <col width="10.3984375" customWidth="1" style="162" min="11781" max="11781"/>
    <col width="12.3984375" customWidth="1" style="162" min="11782" max="11782"/>
    <col width="12.09765625" customWidth="1" style="162" min="11783" max="11783"/>
    <col width="13" customWidth="1" style="162" min="11784" max="11784"/>
    <col width="9" customWidth="1" style="162" min="11785" max="12029"/>
    <col width="18" customWidth="1" style="162" min="12030" max="12030"/>
    <col width="15" customWidth="1" style="162" min="12031" max="12031"/>
    <col width="13.3984375" customWidth="1" style="162" min="12032" max="12032"/>
    <col width="12.09765625" customWidth="1" style="162" min="12033" max="12033"/>
    <col width="12.59765625" customWidth="1" style="162" min="12034" max="12034"/>
    <col width="13" customWidth="1" style="162" min="12035" max="12035"/>
    <col width="12.69921875" customWidth="1" style="162" min="12036" max="12036"/>
    <col width="10.3984375" customWidth="1" style="162" min="12037" max="12037"/>
    <col width="12.3984375" customWidth="1" style="162" min="12038" max="12038"/>
    <col width="12.09765625" customWidth="1" style="162" min="12039" max="12039"/>
    <col width="13" customWidth="1" style="162" min="12040" max="12040"/>
    <col width="9" customWidth="1" style="162" min="12041" max="12285"/>
    <col width="18" customWidth="1" style="162" min="12286" max="12286"/>
    <col width="15" customWidth="1" style="162" min="12287" max="12287"/>
    <col width="13.3984375" customWidth="1" style="162" min="12288" max="12288"/>
    <col width="12.09765625" customWidth="1" style="162" min="12289" max="12289"/>
    <col width="12.59765625" customWidth="1" style="162" min="12290" max="12290"/>
    <col width="13" customWidth="1" style="162" min="12291" max="12291"/>
    <col width="12.69921875" customWidth="1" style="162" min="12292" max="12292"/>
    <col width="10.3984375" customWidth="1" style="162" min="12293" max="12293"/>
    <col width="12.3984375" customWidth="1" style="162" min="12294" max="12294"/>
    <col width="12.09765625" customWidth="1" style="162" min="12295" max="12295"/>
    <col width="13" customWidth="1" style="162" min="12296" max="12296"/>
    <col width="9" customWidth="1" style="162" min="12297" max="12541"/>
    <col width="18" customWidth="1" style="162" min="12542" max="12542"/>
    <col width="15" customWidth="1" style="162" min="12543" max="12543"/>
    <col width="13.3984375" customWidth="1" style="162" min="12544" max="12544"/>
    <col width="12.09765625" customWidth="1" style="162" min="12545" max="12545"/>
    <col width="12.59765625" customWidth="1" style="162" min="12546" max="12546"/>
    <col width="13" customWidth="1" style="162" min="12547" max="12547"/>
    <col width="12.69921875" customWidth="1" style="162" min="12548" max="12548"/>
    <col width="10.3984375" customWidth="1" style="162" min="12549" max="12549"/>
    <col width="12.3984375" customWidth="1" style="162" min="12550" max="12550"/>
    <col width="12.09765625" customWidth="1" style="162" min="12551" max="12551"/>
    <col width="13" customWidth="1" style="162" min="12552" max="12552"/>
    <col width="9" customWidth="1" style="162" min="12553" max="12797"/>
    <col width="18" customWidth="1" style="162" min="12798" max="12798"/>
    <col width="15" customWidth="1" style="162" min="12799" max="12799"/>
    <col width="13.3984375" customWidth="1" style="162" min="12800" max="12800"/>
    <col width="12.09765625" customWidth="1" style="162" min="12801" max="12801"/>
    <col width="12.59765625" customWidth="1" style="162" min="12802" max="12802"/>
    <col width="13" customWidth="1" style="162" min="12803" max="12803"/>
    <col width="12.69921875" customWidth="1" style="162" min="12804" max="12804"/>
    <col width="10.3984375" customWidth="1" style="162" min="12805" max="12805"/>
    <col width="12.3984375" customWidth="1" style="162" min="12806" max="12806"/>
    <col width="12.09765625" customWidth="1" style="162" min="12807" max="12807"/>
    <col width="13" customWidth="1" style="162" min="12808" max="12808"/>
    <col width="9" customWidth="1" style="162" min="12809" max="13053"/>
    <col width="18" customWidth="1" style="162" min="13054" max="13054"/>
    <col width="15" customWidth="1" style="162" min="13055" max="13055"/>
    <col width="13.3984375" customWidth="1" style="162" min="13056" max="13056"/>
    <col width="12.09765625" customWidth="1" style="162" min="13057" max="13057"/>
    <col width="12.59765625" customWidth="1" style="162" min="13058" max="13058"/>
    <col width="13" customWidth="1" style="162" min="13059" max="13059"/>
    <col width="12.69921875" customWidth="1" style="162" min="13060" max="13060"/>
    <col width="10.3984375" customWidth="1" style="162" min="13061" max="13061"/>
    <col width="12.3984375" customWidth="1" style="162" min="13062" max="13062"/>
    <col width="12.09765625" customWidth="1" style="162" min="13063" max="13063"/>
    <col width="13" customWidth="1" style="162" min="13064" max="13064"/>
    <col width="9" customWidth="1" style="162" min="13065" max="13309"/>
    <col width="18" customWidth="1" style="162" min="13310" max="13310"/>
    <col width="15" customWidth="1" style="162" min="13311" max="13311"/>
    <col width="13.3984375" customWidth="1" style="162" min="13312" max="13312"/>
    <col width="12.09765625" customWidth="1" style="162" min="13313" max="13313"/>
    <col width="12.59765625" customWidth="1" style="162" min="13314" max="13314"/>
    <col width="13" customWidth="1" style="162" min="13315" max="13315"/>
    <col width="12.69921875" customWidth="1" style="162" min="13316" max="13316"/>
    <col width="10.3984375" customWidth="1" style="162" min="13317" max="13317"/>
    <col width="12.3984375" customWidth="1" style="162" min="13318" max="13318"/>
    <col width="12.09765625" customWidth="1" style="162" min="13319" max="13319"/>
    <col width="13" customWidth="1" style="162" min="13320" max="13320"/>
    <col width="9" customWidth="1" style="162" min="13321" max="13565"/>
    <col width="18" customWidth="1" style="162" min="13566" max="13566"/>
    <col width="15" customWidth="1" style="162" min="13567" max="13567"/>
    <col width="13.3984375" customWidth="1" style="162" min="13568" max="13568"/>
    <col width="12.09765625" customWidth="1" style="162" min="13569" max="13569"/>
    <col width="12.59765625" customWidth="1" style="162" min="13570" max="13570"/>
    <col width="13" customWidth="1" style="162" min="13571" max="13571"/>
    <col width="12.69921875" customWidth="1" style="162" min="13572" max="13572"/>
    <col width="10.3984375" customWidth="1" style="162" min="13573" max="13573"/>
    <col width="12.3984375" customWidth="1" style="162" min="13574" max="13574"/>
    <col width="12.09765625" customWidth="1" style="162" min="13575" max="13575"/>
    <col width="13" customWidth="1" style="162" min="13576" max="13576"/>
    <col width="9" customWidth="1" style="162" min="13577" max="13821"/>
    <col width="18" customWidth="1" style="162" min="13822" max="13822"/>
    <col width="15" customWidth="1" style="162" min="13823" max="13823"/>
    <col width="13.3984375" customWidth="1" style="162" min="13824" max="13824"/>
    <col width="12.09765625" customWidth="1" style="162" min="13825" max="13825"/>
    <col width="12.59765625" customWidth="1" style="162" min="13826" max="13826"/>
    <col width="13" customWidth="1" style="162" min="13827" max="13827"/>
    <col width="12.69921875" customWidth="1" style="162" min="13828" max="13828"/>
    <col width="10.3984375" customWidth="1" style="162" min="13829" max="13829"/>
    <col width="12.3984375" customWidth="1" style="162" min="13830" max="13830"/>
    <col width="12.09765625" customWidth="1" style="162" min="13831" max="13831"/>
    <col width="13" customWidth="1" style="162" min="13832" max="13832"/>
    <col width="9" customWidth="1" style="162" min="13833" max="14077"/>
    <col width="18" customWidth="1" style="162" min="14078" max="14078"/>
    <col width="15" customWidth="1" style="162" min="14079" max="14079"/>
    <col width="13.3984375" customWidth="1" style="162" min="14080" max="14080"/>
    <col width="12.09765625" customWidth="1" style="162" min="14081" max="14081"/>
    <col width="12.59765625" customWidth="1" style="162" min="14082" max="14082"/>
    <col width="13" customWidth="1" style="162" min="14083" max="14083"/>
    <col width="12.69921875" customWidth="1" style="162" min="14084" max="14084"/>
    <col width="10.3984375" customWidth="1" style="162" min="14085" max="14085"/>
    <col width="12.3984375" customWidth="1" style="162" min="14086" max="14086"/>
    <col width="12.09765625" customWidth="1" style="162" min="14087" max="14087"/>
    <col width="13" customWidth="1" style="162" min="14088" max="14088"/>
    <col width="9" customWidth="1" style="162" min="14089" max="14333"/>
    <col width="18" customWidth="1" style="162" min="14334" max="14334"/>
    <col width="15" customWidth="1" style="162" min="14335" max="14335"/>
    <col width="13.3984375" customWidth="1" style="162" min="14336" max="14336"/>
    <col width="12.09765625" customWidth="1" style="162" min="14337" max="14337"/>
    <col width="12.59765625" customWidth="1" style="162" min="14338" max="14338"/>
    <col width="13" customWidth="1" style="162" min="14339" max="14339"/>
    <col width="12.69921875" customWidth="1" style="162" min="14340" max="14340"/>
    <col width="10.3984375" customWidth="1" style="162" min="14341" max="14341"/>
    <col width="12.3984375" customWidth="1" style="162" min="14342" max="14342"/>
    <col width="12.09765625" customWidth="1" style="162" min="14343" max="14343"/>
    <col width="13" customWidth="1" style="162" min="14344" max="14344"/>
    <col width="9" customWidth="1" style="162" min="14345" max="14589"/>
    <col width="18" customWidth="1" style="162" min="14590" max="14590"/>
    <col width="15" customWidth="1" style="162" min="14591" max="14591"/>
    <col width="13.3984375" customWidth="1" style="162" min="14592" max="14592"/>
    <col width="12.09765625" customWidth="1" style="162" min="14593" max="14593"/>
    <col width="12.59765625" customWidth="1" style="162" min="14594" max="14594"/>
    <col width="13" customWidth="1" style="162" min="14595" max="14595"/>
    <col width="12.69921875" customWidth="1" style="162" min="14596" max="14596"/>
    <col width="10.3984375" customWidth="1" style="162" min="14597" max="14597"/>
    <col width="12.3984375" customWidth="1" style="162" min="14598" max="14598"/>
    <col width="12.09765625" customWidth="1" style="162" min="14599" max="14599"/>
    <col width="13" customWidth="1" style="162" min="14600" max="14600"/>
    <col width="9" customWidth="1" style="162" min="14601" max="14845"/>
    <col width="18" customWidth="1" style="162" min="14846" max="14846"/>
    <col width="15" customWidth="1" style="162" min="14847" max="14847"/>
    <col width="13.3984375" customWidth="1" style="162" min="14848" max="14848"/>
    <col width="12.09765625" customWidth="1" style="162" min="14849" max="14849"/>
    <col width="12.59765625" customWidth="1" style="162" min="14850" max="14850"/>
    <col width="13" customWidth="1" style="162" min="14851" max="14851"/>
    <col width="12.69921875" customWidth="1" style="162" min="14852" max="14852"/>
    <col width="10.3984375" customWidth="1" style="162" min="14853" max="14853"/>
    <col width="12.3984375" customWidth="1" style="162" min="14854" max="14854"/>
    <col width="12.09765625" customWidth="1" style="162" min="14855" max="14855"/>
    <col width="13" customWidth="1" style="162" min="14856" max="14856"/>
    <col width="9" customWidth="1" style="162" min="14857" max="15101"/>
    <col width="18" customWidth="1" style="162" min="15102" max="15102"/>
    <col width="15" customWidth="1" style="162" min="15103" max="15103"/>
    <col width="13.3984375" customWidth="1" style="162" min="15104" max="15104"/>
    <col width="12.09765625" customWidth="1" style="162" min="15105" max="15105"/>
    <col width="12.59765625" customWidth="1" style="162" min="15106" max="15106"/>
    <col width="13" customWidth="1" style="162" min="15107" max="15107"/>
    <col width="12.69921875" customWidth="1" style="162" min="15108" max="15108"/>
    <col width="10.3984375" customWidth="1" style="162" min="15109" max="15109"/>
    <col width="12.3984375" customWidth="1" style="162" min="15110" max="15110"/>
    <col width="12.09765625" customWidth="1" style="162" min="15111" max="15111"/>
    <col width="13" customWidth="1" style="162" min="15112" max="15112"/>
    <col width="9" customWidth="1" style="162" min="15113" max="15357"/>
    <col width="18" customWidth="1" style="162" min="15358" max="15358"/>
    <col width="15" customWidth="1" style="162" min="15359" max="15359"/>
    <col width="13.3984375" customWidth="1" style="162" min="15360" max="15360"/>
    <col width="12.09765625" customWidth="1" style="162" min="15361" max="15361"/>
    <col width="12.59765625" customWidth="1" style="162" min="15362" max="15362"/>
    <col width="13" customWidth="1" style="162" min="15363" max="15363"/>
    <col width="12.69921875" customWidth="1" style="162" min="15364" max="15364"/>
    <col width="10.3984375" customWidth="1" style="162" min="15365" max="15365"/>
    <col width="12.3984375" customWidth="1" style="162" min="15366" max="15366"/>
    <col width="12.09765625" customWidth="1" style="162" min="15367" max="15367"/>
    <col width="13" customWidth="1" style="162" min="15368" max="15368"/>
    <col width="9" customWidth="1" style="162" min="15369" max="15613"/>
    <col width="18" customWidth="1" style="162" min="15614" max="15614"/>
    <col width="15" customWidth="1" style="162" min="15615" max="15615"/>
    <col width="13.3984375" customWidth="1" style="162" min="15616" max="15616"/>
    <col width="12.09765625" customWidth="1" style="162" min="15617" max="15617"/>
    <col width="12.59765625" customWidth="1" style="162" min="15618" max="15618"/>
    <col width="13" customWidth="1" style="162" min="15619" max="15619"/>
    <col width="12.69921875" customWidth="1" style="162" min="15620" max="15620"/>
    <col width="10.3984375" customWidth="1" style="162" min="15621" max="15621"/>
    <col width="12.3984375" customWidth="1" style="162" min="15622" max="15622"/>
    <col width="12.09765625" customWidth="1" style="162" min="15623" max="15623"/>
    <col width="13" customWidth="1" style="162" min="15624" max="15624"/>
    <col width="9" customWidth="1" style="162" min="15625" max="15869"/>
    <col width="18" customWidth="1" style="162" min="15870" max="15870"/>
    <col width="15" customWidth="1" style="162" min="15871" max="15871"/>
    <col width="13.3984375" customWidth="1" style="162" min="15872" max="15872"/>
    <col width="12.09765625" customWidth="1" style="162" min="15873" max="15873"/>
    <col width="12.59765625" customWidth="1" style="162" min="15874" max="15874"/>
    <col width="13" customWidth="1" style="162" min="15875" max="15875"/>
    <col width="12.69921875" customWidth="1" style="162" min="15876" max="15876"/>
    <col width="10.3984375" customWidth="1" style="162" min="15877" max="15877"/>
    <col width="12.3984375" customWidth="1" style="162" min="15878" max="15878"/>
    <col width="12.09765625" customWidth="1" style="162" min="15879" max="15879"/>
    <col width="13" customWidth="1" style="162" min="15880" max="15880"/>
    <col width="9" customWidth="1" style="162" min="15881" max="16125"/>
    <col width="18" customWidth="1" style="162" min="16126" max="16126"/>
    <col width="15" customWidth="1" style="162" min="16127" max="16127"/>
    <col width="13.3984375" customWidth="1" style="162" min="16128" max="16128"/>
    <col width="12.09765625" customWidth="1" style="162" min="16129" max="16129"/>
    <col width="12.59765625" customWidth="1" style="162" min="16130" max="16130"/>
    <col width="13" customWidth="1" style="162" min="16131" max="16131"/>
    <col width="12.69921875" customWidth="1" style="162" min="16132" max="16132"/>
    <col width="10.3984375" customWidth="1" style="162" min="16133" max="16133"/>
    <col width="12.3984375" customWidth="1" style="162" min="16134" max="16134"/>
    <col width="12.09765625" customWidth="1" style="162" min="16135" max="16135"/>
    <col width="13" customWidth="1" style="162" min="16136" max="16136"/>
    <col width="9" customWidth="1" style="162" min="16137" max="16384"/>
  </cols>
  <sheetData>
    <row r="1" ht="19.95" customFormat="1" customHeight="1" s="621">
      <c r="A1" s="1009" t="inlineStr">
        <is>
          <t>致同会计师事务所</t>
        </is>
      </c>
      <c r="B1" s="0" t="n"/>
      <c r="C1" s="0" t="n"/>
      <c r="D1" s="0" t="n"/>
      <c r="E1" s="0" t="n"/>
      <c r="F1" s="0" t="n"/>
      <c r="G1" s="0" t="n"/>
      <c r="H1" s="0" t="n"/>
      <c r="I1" s="0" t="n"/>
      <c r="J1" s="0" t="n"/>
      <c r="K1" s="0" t="n"/>
      <c r="L1" s="0" t="n"/>
      <c r="M1" s="0" t="n"/>
      <c r="N1" s="622" t="n"/>
      <c r="O1" s="622" t="n"/>
      <c r="P1" s="622" t="n"/>
      <c r="Q1" s="622" t="n"/>
    </row>
    <row r="2" ht="19.95" customFormat="1" customHeight="1" s="632">
      <c r="A2" s="1010" t="inlineStr">
        <is>
          <t>合营、联营企业投资成本测试表</t>
        </is>
      </c>
      <c r="B2" s="0" t="n"/>
      <c r="C2" s="0" t="n"/>
      <c r="D2" s="0" t="n"/>
      <c r="E2" s="0" t="n"/>
      <c r="F2" s="0" t="n"/>
      <c r="G2" s="0" t="n"/>
      <c r="H2" s="0" t="n"/>
      <c r="I2" s="0" t="n"/>
      <c r="J2" s="0" t="n"/>
      <c r="K2" s="0" t="n"/>
      <c r="L2" s="0" t="n"/>
      <c r="M2" s="0" t="n"/>
      <c r="N2" s="633" t="n"/>
      <c r="O2" s="633" t="n"/>
      <c r="P2" s="633" t="n"/>
      <c r="Q2" s="633" t="n"/>
    </row>
    <row r="3" ht="19.95" customFormat="1" customHeight="1" s="674">
      <c r="A3" s="207">
        <f>底稿目录!A2</f>
        <v/>
      </c>
      <c r="C3" s="207" t="n"/>
      <c r="F3" s="207">
        <f>底稿目录!A4</f>
        <v/>
      </c>
      <c r="G3" s="207" t="n"/>
      <c r="I3" s="229">
        <f>底稿目录!A5</f>
        <v/>
      </c>
      <c r="L3" s="207" t="inlineStr">
        <is>
          <t>索引号：</t>
        </is>
      </c>
      <c r="M3" s="1096">
        <f>底稿目录!F19</f>
        <v/>
      </c>
    </row>
    <row r="4" ht="19.95" customFormat="1" customHeight="1" s="674">
      <c r="A4" s="207">
        <f>底稿目录!A3</f>
        <v/>
      </c>
      <c r="C4" s="207" t="n"/>
      <c r="F4" s="207">
        <f>底稿目录!A6</f>
        <v/>
      </c>
      <c r="G4" s="207" t="n"/>
      <c r="I4" s="229">
        <f>底稿目录!A7</f>
        <v/>
      </c>
      <c r="L4" s="207" t="inlineStr">
        <is>
          <t>页 次：</t>
        </is>
      </c>
    </row>
    <row r="5" ht="19.95" customFormat="1" customHeight="1" s="686">
      <c r="A5" s="74" t="inlineStr">
        <is>
          <t>一、审计目标：</t>
        </is>
      </c>
      <c r="B5" s="2" t="n"/>
      <c r="C5" s="24" t="inlineStr">
        <is>
          <t>确定合营、联营企业长期股权投资的初始投资成本确认是否恰当，差额（内含商誉/营业外收入）及公允价值基础后续调整是否符合CAS2。</t>
        </is>
      </c>
    </row>
    <row r="6" ht="19.95" customFormat="1" customHeight="1" s="686">
      <c r="A6" s="37" t="inlineStr">
        <is>
          <t>二、审计过程</t>
        </is>
      </c>
      <c r="C6" s="431" t="inlineStr">
        <is>
          <t>1、检查与长期股权投资相关的原始文件或其他支持文件（股权投资协议及框架协议（如有）、交易双方对于交易事项的审批文件、相关政府机关的批准文件、权利交接手续（特别是董事会改选）、款项的收付凭据）。</t>
        </is>
      </c>
    </row>
    <row r="7" ht="19.95" customFormat="1" customHeight="1" s="686">
      <c r="B7" s="431" t="n"/>
      <c r="C7" s="686" t="inlineStr">
        <is>
          <t>2、综合判断长期股权投资是否满足共同控制/重大影响。</t>
        </is>
      </c>
    </row>
    <row r="8" ht="19.95" customFormat="1" customHeight="1" s="686">
      <c r="A8" s="156" t="n"/>
      <c r="C8" s="686" t="inlineStr">
        <is>
          <t>3、取得被审计单位管理层对被投资单位可辨认净资产公允价值的认定及依据的中介机构报告。检查被投资单位可辨认净资产公允价值的确认依据是否充分；</t>
        </is>
      </c>
    </row>
    <row r="9" ht="19.95" customFormat="1" customHeight="1" s="686">
      <c r="A9" s="156" t="n"/>
      <c r="C9" s="686" t="inlineStr">
        <is>
          <t>4、识别期后发生的长期股权投资的增加，检查至支持性文件，确定是否是被记录在恰当的期间内。</t>
        </is>
      </c>
    </row>
    <row r="10" ht="48" customFormat="1" customHeight="1" s="686">
      <c r="A10" s="156" t="n"/>
      <c r="C10" s="1552" t="inlineStr">
        <is>
          <t>5、对于不纳入合并范围的被投资单位的预付投资款项或预收处置款项，确认重大条款和金额。 ｜ 程序链：识别形成路径（一次投入/金融资产转权益法/主动增资）→核实共同控制或重大影响→测算初始成本与净资产份额差额→建立购买日公允价值差异台账→勾稽G7-2/G7-4/G7-14→结论。 ｜ 边界：取得子公司控制权见G7-8/G7-9；权益法后续计量见G7-14；丧失重大影响见G7-11/G7-12。</t>
        </is>
      </c>
    </row>
    <row r="11" ht="19.95" customFormat="1" customHeight="1" s="686">
      <c r="A11" s="154" t="inlineStr">
        <is>
          <t>（一）被投资单位基本情况</t>
        </is>
      </c>
    </row>
    <row r="12" ht="19.95" customFormat="1" customHeight="1" s="686">
      <c r="A12" s="165" t="inlineStr">
        <is>
          <t>被投资单位名称：</t>
        </is>
      </c>
      <c r="B12" s="1553" t="inlineStr"/>
    </row>
    <row r="13" ht="19.95" customFormat="1" customHeight="1" s="686">
      <c r="B13" s="1019" t="inlineStr">
        <is>
          <t>出资单位名称</t>
        </is>
      </c>
      <c r="C13" s="1328" t="n"/>
      <c r="D13" s="1022" t="inlineStr">
        <is>
          <t>注册资本</t>
        </is>
      </c>
      <c r="E13" s="1293" t="n"/>
      <c r="F13" s="1293" t="n"/>
      <c r="G13" s="1294" t="n"/>
      <c r="H13" s="1022" t="inlineStr">
        <is>
          <t>实收资本</t>
        </is>
      </c>
      <c r="I13" s="1293" t="n"/>
      <c r="J13" s="1293" t="n"/>
      <c r="K13" s="1294" t="n"/>
      <c r="L13" s="1554" t="inlineStr">
        <is>
          <t>复核</t>
        </is>
      </c>
    </row>
    <row r="14" ht="24" customFormat="1" customHeight="1" s="686">
      <c r="B14" s="1329" t="n"/>
      <c r="C14" s="1330" t="n"/>
      <c r="D14" s="1022" t="inlineStr">
        <is>
          <t>期初注册资本</t>
        </is>
      </c>
      <c r="E14" s="1022" t="inlineStr">
        <is>
          <t>本期增加</t>
        </is>
      </c>
      <c r="F14" s="1022" t="inlineStr">
        <is>
          <t>本期减少</t>
        </is>
      </c>
      <c r="G14" s="1019" t="inlineStr">
        <is>
          <t>期末注册资本</t>
        </is>
      </c>
      <c r="H14" s="1019" t="inlineStr">
        <is>
          <t>期初实收资本
（股本）</t>
        </is>
      </c>
      <c r="I14" s="1022" t="inlineStr">
        <is>
          <t>本期增加</t>
        </is>
      </c>
      <c r="J14" s="1022" t="inlineStr">
        <is>
          <t>本期减少</t>
        </is>
      </c>
      <c r="K14" s="1019" t="inlineStr">
        <is>
          <t>期末实收资本
（股本）</t>
        </is>
      </c>
      <c r="L14" s="1554" t="inlineStr">
        <is>
          <t>自动</t>
        </is>
      </c>
    </row>
    <row r="15" ht="19.95" customFormat="1" customHeight="1" s="686">
      <c r="B15" s="1555" t="inlineStr">
        <is>
          <t>1、本公司</t>
        </is>
      </c>
      <c r="C15" s="163" t="n"/>
      <c r="D15" s="1556" t="n"/>
      <c r="E15" s="1556" t="n"/>
      <c r="F15" s="1556" t="n"/>
      <c r="G15" s="1557">
        <f>IF(COUNTA(D15:F15)=0,"",D15+E15-F15)</f>
        <v/>
      </c>
      <c r="H15" s="1556" t="n"/>
      <c r="I15" s="1556" t="n"/>
      <c r="J15" s="1556" t="n"/>
      <c r="K15" s="1557">
        <f>IF(COUNTA(H15:J15)=0,"",H15+I15-J15)</f>
        <v/>
      </c>
      <c r="L15" s="1558">
        <f>IF(AND(G15="",K15=""),"",IF(OR(G15&lt;0,K15&lt;0),"资本金额异常",IF(AND(ISNUMBER(G15),ISNUMBER(K15),K15&gt;G15),"实收&gt;注册需说明","通过")))</f>
        <v/>
      </c>
    </row>
    <row r="16" ht="19.95" customFormat="1" customHeight="1" s="686">
      <c r="B16" s="1555" t="inlineStr">
        <is>
          <t>2、 …股东</t>
        </is>
      </c>
      <c r="C16" s="163" t="n"/>
      <c r="D16" s="1556" t="n"/>
      <c r="E16" s="1556" t="n"/>
      <c r="F16" s="1556" t="n"/>
      <c r="G16" s="1557">
        <f>IF(COUNTA(D16:F16)=0,"",D16+E16-F16)</f>
        <v/>
      </c>
      <c r="H16" s="1556" t="n"/>
      <c r="I16" s="1556" t="n"/>
      <c r="J16" s="1556" t="n"/>
      <c r="K16" s="1557">
        <f>IF(COUNTA(H16:J16)=0,"",H16+I16-J16)</f>
        <v/>
      </c>
      <c r="L16" s="1558">
        <f>IF(AND(G16="",K16=""),"",IF(OR(G16&lt;0,K16&lt;0),"资本金额异常",IF(AND(ISNUMBER(G16),ISNUMBER(K16),K16&gt;G16),"实收&gt;注册需说明","通过")))</f>
        <v/>
      </c>
    </row>
    <row r="17" ht="19.95" customFormat="1" customHeight="1" s="686">
      <c r="B17" s="1555" t="inlineStr">
        <is>
          <t>3、 …股东</t>
        </is>
      </c>
      <c r="C17" s="163" t="n"/>
      <c r="D17" s="1556" t="n"/>
      <c r="E17" s="1556" t="n"/>
      <c r="F17" s="1556" t="n"/>
      <c r="G17" s="1557">
        <f>IF(COUNTA(D17:F17)=0,"",D17+E17-F17)</f>
        <v/>
      </c>
      <c r="H17" s="1556" t="n"/>
      <c r="I17" s="1556" t="n"/>
      <c r="J17" s="1556" t="n"/>
      <c r="K17" s="1557">
        <f>IF(COUNTA(H17:J17)=0,"",H17+I17-J17)</f>
        <v/>
      </c>
      <c r="L17" s="1558">
        <f>IF(AND(G17="",K17=""),"",IF(OR(G17&lt;0,K17&lt;0),"资本金额异常",IF(AND(ISNUMBER(G17),ISNUMBER(K17),K17&gt;G17),"实收&gt;注册需说明","通过")))</f>
        <v/>
      </c>
    </row>
    <row r="18" ht="19.95" customFormat="1" customHeight="1" s="686">
      <c r="B18" s="1022" t="inlineStr">
        <is>
          <t>合计</t>
        </is>
      </c>
      <c r="C18" s="1294" t="n"/>
      <c r="D18" s="1557">
        <f>SUM(D15:D17)</f>
        <v/>
      </c>
      <c r="E18" s="1557">
        <f>SUM(E15:E17)</f>
        <v/>
      </c>
      <c r="F18" s="1557">
        <f>SUM(F15:F17)</f>
        <v/>
      </c>
      <c r="G18" s="1557">
        <f>SUM(G15:G17)</f>
        <v/>
      </c>
      <c r="H18" s="1557">
        <f>SUM(H15:H17)</f>
        <v/>
      </c>
      <c r="I18" s="1557">
        <f>SUM(I15:I17)</f>
        <v/>
      </c>
      <c r="J18" s="1557">
        <f>SUM(J15:J17)</f>
        <v/>
      </c>
      <c r="K18" s="1557">
        <f>SUM(K15:K17)</f>
        <v/>
      </c>
      <c r="L18" s="1558">
        <f>IF(COUNTA(B15:B17)=0,"",IF(SUMPRODUCT((L15:L17&lt;&gt;"")*(L15:L17&lt;&gt;"通过"))&gt;0,"存在异常","通过"))</f>
        <v/>
      </c>
    </row>
    <row r="19" ht="19.95" customFormat="1" customHeight="1" s="686">
      <c r="A19" s="563" t="inlineStr">
        <is>
          <t>（二）公司对其历次投资情况检查</t>
        </is>
      </c>
    </row>
    <row r="20" ht="19.95" customFormat="1" customHeight="1" s="686">
      <c r="B20" s="154" t="inlineStr">
        <is>
          <t>1、一次投入投资成本确认：</t>
        </is>
      </c>
    </row>
    <row r="21" ht="25.95" customFormat="1" customHeight="1" s="686">
      <c r="B21" s="1022" t="inlineStr">
        <is>
          <t>被投资单位名称</t>
        </is>
      </c>
      <c r="C21" s="1022" t="inlineStr">
        <is>
          <t>投资时间</t>
        </is>
      </c>
      <c r="D21" s="1019" t="inlineStr">
        <is>
          <t>初始投资成本(支付对价)(A)</t>
        </is>
      </c>
      <c r="E21" s="1019" t="inlineStr">
        <is>
          <t>投资发生时被投资单位可辨认净资产公允价值</t>
        </is>
      </c>
      <c r="F21" s="1294" t="n"/>
      <c r="G21" s="1019" t="inlineStr">
        <is>
          <t>差额(D)=A−B×C</t>
        </is>
      </c>
      <c r="H21" s="1019" t="inlineStr">
        <is>
          <t>确认本次投资成本(E)</t>
        </is>
      </c>
      <c r="I21" s="1019" t="inlineStr">
        <is>
          <t>计入营业外收入(F)</t>
        </is>
      </c>
      <c r="J21" s="1554" t="inlineStr">
        <is>
          <t>类型复核</t>
        </is>
      </c>
    </row>
    <row r="22" ht="37.95" customFormat="1" customHeight="1" s="686">
      <c r="B22" s="1292" t="n"/>
      <c r="C22" s="1292" t="n"/>
      <c r="D22" s="1292" t="n"/>
      <c r="E22" s="1022" t="inlineStr">
        <is>
          <t>金额(B)</t>
        </is>
      </c>
      <c r="F22" s="1022" t="inlineStr">
        <is>
          <t>投资比例(C)</t>
        </is>
      </c>
      <c r="G22" s="1292" t="n"/>
      <c r="H22" s="1292" t="n"/>
      <c r="I22" s="1292" t="n"/>
      <c r="J22" s="1554" t="n"/>
    </row>
    <row r="23" ht="19.95" customFormat="1" customHeight="1" s="686">
      <c r="B23" s="1553" t="n"/>
      <c r="C23" s="1559" t="n"/>
      <c r="D23" s="1560" t="n"/>
      <c r="E23" s="1560" t="n"/>
      <c r="F23" s="1561" t="n"/>
      <c r="G23" s="1562">
        <f>IF(OR(B23="",D23="",E23="",F23=""),"",D23-E23*F23)</f>
        <v/>
      </c>
      <c r="H23" s="1562">
        <f>IF(G23="","",IF(G23&gt;0,D23,D23-G23))</f>
        <v/>
      </c>
      <c r="I23" s="1562">
        <f>IF(G23="","",IF(G23&lt;0,-G23,0))</f>
        <v/>
      </c>
      <c r="J23" s="1558">
        <f>IF(B23="","",IF(OR(D23="",E23="",F23=""),"一次投入要素不完整",IF(OR(F23&lt;0,F23&gt;1),"投资比例异常",IF(OR(D23&lt;=0,E23&lt;=0),"对价/净资产异常","通过"))))</f>
        <v/>
      </c>
    </row>
    <row r="24" ht="19.95" customFormat="1" customHeight="1" s="686">
      <c r="B24" s="1553" t="n"/>
      <c r="C24" s="1559" t="n"/>
      <c r="D24" s="1560" t="n"/>
      <c r="E24" s="1560" t="n"/>
      <c r="F24" s="1561" t="n"/>
      <c r="G24" s="1562">
        <f>IF(OR(B24="",D24="",E24="",F24=""),"",D24-E24*F24)</f>
        <v/>
      </c>
      <c r="H24" s="1562">
        <f>IF(G24="","",IF(G24&gt;0,D24,D24-G24))</f>
        <v/>
      </c>
      <c r="I24" s="1562">
        <f>IF(G24="","",IF(G24&lt;0,-G24,0))</f>
        <v/>
      </c>
      <c r="J24" s="1558">
        <f>IF(B24="","",IF(OR(D24="",E24="",F24=""),"一次投入要素不完整",IF(OR(F24&lt;0,F24&gt;1),"投资比例异常",IF(OR(D24&lt;=0,E24&lt;=0),"对价/净资产异常","通过"))))</f>
        <v/>
      </c>
    </row>
    <row r="25" ht="19.95" customFormat="1" customHeight="1" s="686">
      <c r="B25" s="1553" t="n"/>
      <c r="C25" s="1559" t="n"/>
      <c r="D25" s="1560" t="n"/>
      <c r="E25" s="1560" t="n"/>
      <c r="F25" s="1561" t="n"/>
      <c r="G25" s="1562">
        <f>IF(OR(B25="",D25="",E25="",F25=""),"",D25-E25*F25)</f>
        <v/>
      </c>
      <c r="H25" s="1562">
        <f>IF(G25="","",IF(G25&gt;0,D25,D25-G25))</f>
        <v/>
      </c>
      <c r="I25" s="1562">
        <f>IF(G25="","",IF(G25&lt;0,-G25,0))</f>
        <v/>
      </c>
      <c r="J25" s="1558">
        <f>IF(B25="","",IF(OR(D25="",E25="",F25=""),"一次投入要素不完整",IF(OR(F25&lt;0,F25&gt;1),"投资比例异常",IF(OR(D25&lt;=0,E25&lt;=0),"对价/净资产异常","通过"))))</f>
        <v/>
      </c>
    </row>
    <row r="26" ht="19.95" customFormat="1" customHeight="1" s="686">
      <c r="B26" s="1553" t="n"/>
      <c r="C26" s="1559" t="n"/>
      <c r="D26" s="1560" t="n"/>
      <c r="E26" s="1560" t="n"/>
      <c r="F26" s="1561" t="n"/>
      <c r="G26" s="1562">
        <f>IF(OR(B26="",D26="",E26="",F26=""),"",D26-E26*F26)</f>
        <v/>
      </c>
      <c r="H26" s="1562">
        <f>IF(G26="","",IF(G26&gt;0,D26,D26-G26))</f>
        <v/>
      </c>
      <c r="I26" s="1562">
        <f>IF(G26="","",IF(G26&lt;0,-G26,0))</f>
        <v/>
      </c>
      <c r="J26" s="1558">
        <f>IF(B26="","",IF(OR(D26="",E26="",F26=""),"一次投入要素不完整",IF(OR(F26&lt;0,F26&gt;1),"投资比例异常",IF(OR(D26&lt;=0,E26&lt;=0),"对价/净资产异常","通过"))))</f>
        <v/>
      </c>
    </row>
    <row r="27" ht="19.95" customFormat="1" customHeight="1" s="686">
      <c r="B27" s="1025" t="inlineStr">
        <is>
          <t>合计</t>
        </is>
      </c>
      <c r="C27" s="1294" t="n"/>
      <c r="D27" s="1563">
        <f>SUM(D23:D26)</f>
        <v/>
      </c>
      <c r="E27" s="1563">
        <f>SUM(E23:E26)</f>
        <v/>
      </c>
      <c r="F27" s="168" t="inlineStr">
        <is>
          <t>--</t>
        </is>
      </c>
      <c r="G27" s="1562">
        <f>SUM(G23:G26)</f>
        <v/>
      </c>
      <c r="H27" s="1562">
        <f>SUM(H23:H26)</f>
        <v/>
      </c>
      <c r="I27" s="1562">
        <f>SUM(I23:I26)</f>
        <v/>
      </c>
      <c r="J27" s="1558">
        <f>IF(COUNTA(B23:B26)=0,"",IF(SUMPRODUCT((J23:J26&lt;&gt;"")*(J23:J26&lt;&gt;"通过"))&gt;0,"存在异常","通过"))</f>
        <v/>
      </c>
    </row>
    <row r="28" ht="40" customFormat="1" customHeight="1" s="686">
      <c r="B28" s="1564" t="inlineStr">
        <is>
          <t>2、原持有的对被投资单位不具有控制、共同控制或重大影响的金融资产，因追加投资导致持股比例上升，能够对被投资单位施加重大影响或实施共同控制的，长期股权投资初始投资成本测算：</t>
        </is>
      </c>
      <c r="C28" s="1333" t="n"/>
      <c r="D28" s="1333" t="n"/>
      <c r="E28" s="1333" t="n"/>
      <c r="F28" s="1333" t="n"/>
      <c r="G28" s="1333" t="n"/>
      <c r="H28" s="1333" t="n"/>
      <c r="I28" s="1333" t="n"/>
      <c r="J28" s="1333" t="n"/>
      <c r="K28" s="1333" t="n"/>
      <c r="L28" s="1333" t="n"/>
      <c r="M28" s="1333" t="n"/>
    </row>
    <row r="29" ht="28.2" customFormat="1" customHeight="1" s="686">
      <c r="B29" s="1022" t="inlineStr">
        <is>
          <t>被投资单位名称</t>
        </is>
      </c>
      <c r="C29" s="1019" t="inlineStr">
        <is>
          <t>原投资在追加投资日的公允价值(A)</t>
        </is>
      </c>
      <c r="D29" s="1019" t="inlineStr">
        <is>
          <t>原投资比例(B)</t>
        </is>
      </c>
      <c r="E29" s="1019" t="inlineStr">
        <is>
          <t>新增投资确认的投资成本（C）</t>
        </is>
      </c>
      <c r="F29" s="1019" t="inlineStr">
        <is>
          <t>追加的投资比例(D)</t>
        </is>
      </c>
      <c r="G29" s="1019" t="inlineStr">
        <is>
          <t>追加投资时被投资单位可辨认净资产公允价值(E)</t>
        </is>
      </c>
      <c r="H29" s="1019" t="inlineStr">
        <is>
          <t>新增投资与应享有的被投资单位可辨认净资产公允价值份额的差额（F）=(A)+(C)-(B+D)*E</t>
        </is>
      </c>
      <c r="I29" s="1019" t="inlineStr">
        <is>
          <t xml:space="preserve">确认本次投资的投资成本（G） </t>
        </is>
      </c>
      <c r="J29" s="1019" t="inlineStr">
        <is>
          <t>计入营业外收入金额（H）</t>
        </is>
      </c>
      <c r="K29" s="1021" t="inlineStr">
        <is>
          <t>原取得投资后至追加投资的交易日之间被投资单位公允价值的变动</t>
        </is>
      </c>
      <c r="L29" s="1293" t="n"/>
      <c r="M29" s="1294" t="n"/>
      <c r="N29" s="1554" t="inlineStr">
        <is>
          <t>类型复核</t>
        </is>
      </c>
    </row>
    <row r="30" ht="72.45" customFormat="1" customHeight="1" s="686">
      <c r="B30" s="1292" t="n"/>
      <c r="C30" s="1292" t="n"/>
      <c r="D30" s="1292" t="n"/>
      <c r="E30" s="1292" t="n"/>
      <c r="F30" s="1292" t="n"/>
      <c r="G30" s="1292" t="n"/>
      <c r="H30" s="1292" t="n"/>
      <c r="I30" s="1292" t="n"/>
      <c r="J30" s="1292" t="n"/>
      <c r="K30" s="1021" t="inlineStr">
        <is>
          <t>原取得投资至追加投资当期期初已计入其他综合收益的累计公允价值变动（I）</t>
        </is>
      </c>
      <c r="L30" s="1334" t="inlineStr">
        <is>
          <t>追加投资当期期初至追加投资交易日之间的公允价值变动（J）</t>
        </is>
      </c>
      <c r="M30" s="1334" t="inlineStr">
        <is>
          <t>转入投资收益：公允价值变动合计（K=I+J）</t>
        </is>
      </c>
      <c r="N30" s="1554" t="inlineStr">
        <is>
          <t>自动</t>
        </is>
      </c>
    </row>
    <row r="31" ht="19.95" customFormat="1" customHeight="1" s="686">
      <c r="B31" s="1565" t="n"/>
      <c r="C31" s="1566" t="n"/>
      <c r="D31" s="1567" t="n"/>
      <c r="E31" s="1568" t="n"/>
      <c r="F31" s="1567" t="n"/>
      <c r="G31" s="1568" t="n"/>
      <c r="H31" s="1562">
        <f>IF(OR(B31="",C31="",E31="",G31=""),"",C31+E31-(D31+F31)*G31)</f>
        <v/>
      </c>
      <c r="I31" s="1562">
        <f>IF(H31="","",IF(H31&gt;0,C31+E31,C31+E31-H31))</f>
        <v/>
      </c>
      <c r="J31" s="1562">
        <f>IF(H31="","",IF(H31&lt;0,-H31,0))</f>
        <v/>
      </c>
      <c r="K31" s="1568" t="n"/>
      <c r="L31" s="1568" t="n"/>
      <c r="M31" s="1562">
        <f>IF(OR(B31="",AND(K31="",L31="")),"",N(K31)+N(L31))</f>
        <v/>
      </c>
      <c r="N31" s="1558">
        <f>IF(B31="","",IF(OR(C31="",E31="",G31="",D31="",F31=""),"追加投资要素不完整",IF(OR(D31&lt;0,F31&lt;0,D31+F31&gt;1),"持股比例异常",IF(AND(K31="",L31=""),"OCI结转区建议复核-区分可否转损益","通过"))))</f>
        <v/>
      </c>
    </row>
    <row r="32" ht="19.95" customFormat="1" customHeight="1" s="686">
      <c r="B32" s="1569" t="n"/>
      <c r="C32" s="1568" t="n"/>
      <c r="D32" s="1567" t="n"/>
      <c r="E32" s="1568" t="n"/>
      <c r="F32" s="1567" t="n"/>
      <c r="G32" s="1568" t="n"/>
      <c r="H32" s="1562">
        <f>IF(OR(B32="",C32="",E32="",G32=""),"",C32+E32-(D32+F32)*G32)</f>
        <v/>
      </c>
      <c r="I32" s="1562">
        <f>IF(H32="","",IF(H32&gt;0,C32+E32,C32+E32-H32))</f>
        <v/>
      </c>
      <c r="J32" s="1562">
        <f>IF(H32="","",IF(H32&lt;0,-H32,0))</f>
        <v/>
      </c>
      <c r="K32" s="1556" t="n"/>
      <c r="L32" s="1556" t="n"/>
      <c r="M32" s="1562">
        <f>IF(OR(B32="",AND(K32="",L32="")),"",N(K32)+N(L32))</f>
        <v/>
      </c>
      <c r="N32" s="1558">
        <f>IF(B32="","",IF(OR(C32="",E32="",G32="",D32="",F32=""),"追加投资要素不完整",IF(OR(D32&lt;0,F32&lt;0,D32+F32&gt;1),"持股比例异常",IF(AND(K32="",L32=""),"OCI结转区建议复核-区分可否转损益","通过"))))</f>
        <v/>
      </c>
    </row>
    <row r="33" ht="19.95" customFormat="1" customHeight="1" s="686">
      <c r="B33" s="1569" t="n"/>
      <c r="C33" s="1568" t="n"/>
      <c r="D33" s="1567" t="n"/>
      <c r="E33" s="1568" t="n"/>
      <c r="F33" s="1567" t="n"/>
      <c r="G33" s="1568" t="n"/>
      <c r="H33" s="1562">
        <f>IF(OR(B33="",C33="",E33="",G33=""),"",C33+E33-(D33+F33)*G33)</f>
        <v/>
      </c>
      <c r="I33" s="1562">
        <f>IF(H33="","",IF(H33&gt;0,C33+E33,C33+E33-H33))</f>
        <v/>
      </c>
      <c r="J33" s="1562">
        <f>IF(H33="","",IF(H33&lt;0,-H33,0))</f>
        <v/>
      </c>
      <c r="K33" s="1556" t="n"/>
      <c r="L33" s="1556" t="n"/>
      <c r="M33" s="1562">
        <f>IF(OR(B33="",AND(K33="",L33="")),"",N(K33)+N(L33))</f>
        <v/>
      </c>
      <c r="N33" s="1558">
        <f>IF(B33="","",IF(OR(C33="",E33="",G33="",D33="",F33=""),"追加投资要素不完整",IF(OR(D33&lt;0,F33&lt;0,D33+F33&gt;1),"持股比例异常",IF(AND(K33="",L33=""),"OCI结转区建议复核-区分可否转损益","通过"))))</f>
        <v/>
      </c>
    </row>
    <row r="34" ht="19.95" customFormat="1" customHeight="1" s="686">
      <c r="B34" s="1336" t="inlineStr">
        <is>
          <t>合计</t>
        </is>
      </c>
      <c r="C34" s="1570">
        <f>SUM(C31:C33)</f>
        <v/>
      </c>
      <c r="D34" s="1337" t="inlineStr">
        <is>
          <t>--</t>
        </is>
      </c>
      <c r="E34" s="1570">
        <f>SUM(E31:E33)</f>
        <v/>
      </c>
      <c r="F34" s="1337" t="inlineStr">
        <is>
          <t>--</t>
        </is>
      </c>
      <c r="G34" s="1337" t="inlineStr">
        <is>
          <t>--</t>
        </is>
      </c>
      <c r="H34" s="1570">
        <f>SUM(H31:H33)</f>
        <v/>
      </c>
      <c r="I34" s="1570">
        <f>SUM(I31:I33)</f>
        <v/>
      </c>
      <c r="J34" s="1562">
        <f>SUM(J31:J33)</f>
        <v/>
      </c>
      <c r="K34" s="1337" t="inlineStr">
        <is>
          <t>--</t>
        </is>
      </c>
      <c r="L34" s="1337" t="inlineStr">
        <is>
          <t>--</t>
        </is>
      </c>
      <c r="M34" s="1562">
        <f>SUM(M31:M33)</f>
        <v/>
      </c>
      <c r="N34" s="1558">
        <f>IF(COUNTA(B31:B33)=0,"",IF(SUMPRODUCT((N31:N33&lt;&gt;"")*(N31:N33&lt;&gt;"通过"))&gt;0,"存在异常","通过"))</f>
        <v/>
      </c>
    </row>
    <row r="35" ht="19.95" customHeight="1" s="1097"/>
    <row r="36" ht="36" customFormat="1" customHeight="1" s="686">
      <c r="B36" s="1571" t="inlineStr">
        <is>
          <t>3、主动增资：投资单位对联营企业/合营企业的持股比例增加，但被投资单位仍然是投资单位的联营企业或合营企业时，长期股权投资成本测算：</t>
        </is>
      </c>
      <c r="C36" s="1338" t="n"/>
      <c r="D36" s="1338" t="n"/>
      <c r="E36" s="158" t="n"/>
      <c r="F36" s="1338" t="n"/>
      <c r="G36" s="1338" t="n"/>
      <c r="H36" s="1338" t="n"/>
    </row>
    <row r="37" ht="61.8" customFormat="1" customHeight="1" s="686">
      <c r="B37" s="1019" t="inlineStr">
        <is>
          <t>被投资单位名称</t>
        </is>
      </c>
      <c r="C37" s="1572" t="inlineStr">
        <is>
          <t>新增投资时原账面价值(A)</t>
        </is>
      </c>
      <c r="D37" s="1573" t="inlineStr">
        <is>
          <t>其中:原投资内含商誉(B)</t>
        </is>
      </c>
      <c r="E37" s="1573" t="inlineStr">
        <is>
          <t>原投资比例(C)</t>
        </is>
      </c>
      <c r="F37" s="1573" t="inlineStr">
        <is>
          <t>新增投资确认的投资成本(D)</t>
        </is>
      </c>
      <c r="G37" s="1574" t="inlineStr">
        <is>
          <t>新增投资比例(E)</t>
        </is>
      </c>
      <c r="H37" s="1573" t="inlineStr">
        <is>
          <t>新增投资时可辨认净资产公允价值(F)</t>
        </is>
      </c>
      <c r="I37" s="1573" t="inlineStr">
        <is>
          <t>新增差额(G)=D−E×F</t>
        </is>
      </c>
      <c r="J37" s="1573" t="inlineStr">
        <is>
          <t>确认本次新增投资成本(H)</t>
        </is>
      </c>
      <c r="K37" s="1573" t="inlineStr">
        <is>
          <t>计入营业外收入(I)</t>
        </is>
      </c>
      <c r="L37" s="1572" t="inlineStr">
        <is>
          <t>类型复核</t>
        </is>
      </c>
    </row>
    <row r="38" ht="19.95" customFormat="1" customHeight="1" s="686">
      <c r="B38" s="1569" t="n"/>
      <c r="C38" s="1566" t="n"/>
      <c r="D38" s="1568" t="n"/>
      <c r="E38" s="1575" t="n"/>
      <c r="F38" s="1568" t="n"/>
      <c r="G38" s="1575" t="n"/>
      <c r="H38" s="1568" t="n"/>
      <c r="I38" s="1562">
        <f>IF(OR(B38="",F38="",G38="",H38=""),"",F38-G38*H38)</f>
        <v/>
      </c>
      <c r="J38" s="1562">
        <f>IF(I38="","",IF(N(D38)+I38&gt;=0,F38,F38-(N(D38)+I38)))</f>
        <v/>
      </c>
      <c r="K38" s="1562">
        <f>IF(I38="","",MAX(-(N(D38)+I38),0))</f>
        <v/>
      </c>
      <c r="L38" s="1558">
        <f>IF(B38="","",IF(OR(C38="",F38="",G38="",H38=""),"主动增资要素不完整",IF(OR(E38&lt;0,G38&lt;0,E38+G38&gt;1),"持股比例异常",IF(AND(D38&lt;&gt;"",D38&lt;0),"原内含商誉为负需复核","通过"))))</f>
        <v/>
      </c>
      <c r="M38" s="1339" t="n"/>
    </row>
    <row r="39" ht="19.95" customFormat="1" customHeight="1" s="686">
      <c r="B39" s="1569" t="n"/>
      <c r="C39" s="1566" t="n"/>
      <c r="D39" s="1568" t="n"/>
      <c r="E39" s="1575" t="n"/>
      <c r="F39" s="1568" t="n"/>
      <c r="G39" s="1575" t="n"/>
      <c r="H39" s="1568" t="n"/>
      <c r="I39" s="1562">
        <f>IF(OR(B39="",F39="",G39="",H39=""),"",F39-G39*H39)</f>
        <v/>
      </c>
      <c r="J39" s="1562">
        <f>IF(I39="","",IF(N(D39)+I39&gt;=0,F39,F39-(N(D39)+I39)))</f>
        <v/>
      </c>
      <c r="K39" s="1562">
        <f>IF(I39="","",MAX(-(N(D39)+I39),0))</f>
        <v/>
      </c>
      <c r="L39" s="1558">
        <f>IF(B39="","",IF(OR(C39="",F39="",G39="",H39=""),"主动增资要素不完整",IF(OR(E39&lt;0,G39&lt;0,E39+G39&gt;1),"持股比例异常",IF(AND(D39&lt;&gt;"",D39&lt;0),"原内含商誉为负需复核","通过"))))</f>
        <v/>
      </c>
      <c r="M39" s="1339" t="n"/>
    </row>
    <row r="40" ht="19.95" customFormat="1" customHeight="1" s="686">
      <c r="B40" s="1569" t="n"/>
      <c r="C40" s="1566" t="n"/>
      <c r="D40" s="1568" t="n"/>
      <c r="E40" s="1575" t="n"/>
      <c r="F40" s="1568" t="n"/>
      <c r="G40" s="1575" t="n"/>
      <c r="H40" s="1568" t="n"/>
      <c r="I40" s="1562">
        <f>IF(OR(B40="",F40="",G40="",H40=""),"",F40-G40*H40)</f>
        <v/>
      </c>
      <c r="J40" s="1562">
        <f>IF(I40="","",IF(N(D40)+I40&gt;=0,F40,F40-(N(D40)+I40)))</f>
        <v/>
      </c>
      <c r="K40" s="1562">
        <f>IF(I40="","",MAX(-(N(D40)+I40),0))</f>
        <v/>
      </c>
      <c r="L40" s="1558">
        <f>IF(B40="","",IF(OR(C40="",F40="",G40="",H40=""),"主动增资要素不完整",IF(OR(E40&lt;0,G40&lt;0,E40+G40&gt;1),"持股比例异常",IF(AND(D40&lt;&gt;"",D40&lt;0),"原内含商誉为负需复核","通过"))))</f>
        <v/>
      </c>
      <c r="M40" s="1339" t="n"/>
    </row>
    <row r="41" ht="19.95" customFormat="1" customHeight="1" s="686">
      <c r="B41" s="1569" t="n"/>
      <c r="C41" s="1566" t="n"/>
      <c r="D41" s="1568" t="n"/>
      <c r="E41" s="1575" t="n"/>
      <c r="F41" s="1568" t="n"/>
      <c r="G41" s="1575" t="n"/>
      <c r="H41" s="1568" t="n"/>
      <c r="I41" s="1562">
        <f>IF(OR(B41="",F41="",G41="",H41=""),"",F41-G41*H41)</f>
        <v/>
      </c>
      <c r="J41" s="1562">
        <f>IF(I41="","",IF(N(D41)+I41&gt;=0,F41,F41-(N(D41)+I41)))</f>
        <v/>
      </c>
      <c r="K41" s="1562">
        <f>IF(I41="","",MAX(-(N(D41)+I41),0))</f>
        <v/>
      </c>
      <c r="L41" s="1558">
        <f>IF(B41="","",IF(OR(C41="",F41="",G41="",H41=""),"主动增资要素不完整",IF(OR(E41&lt;0,G41&lt;0,E41+G41&gt;1),"持股比例异常",IF(AND(D41&lt;&gt;"",D41&lt;0),"原内含商誉为负需复核","通过"))))</f>
        <v/>
      </c>
      <c r="M41" s="1339" t="n"/>
    </row>
    <row r="42" ht="19.95" customFormat="1" customHeight="1" s="686">
      <c r="B42" s="1336" t="inlineStr">
        <is>
          <t>合计</t>
        </is>
      </c>
      <c r="C42" s="1337" t="inlineStr">
        <is>
          <t>--</t>
        </is>
      </c>
      <c r="D42" s="1337" t="inlineStr">
        <is>
          <t>--</t>
        </is>
      </c>
      <c r="E42" s="1337" t="inlineStr">
        <is>
          <t>--</t>
        </is>
      </c>
      <c r="F42" s="1337" t="inlineStr">
        <is>
          <t>--</t>
        </is>
      </c>
      <c r="G42" s="653" t="inlineStr">
        <is>
          <t>--</t>
        </is>
      </c>
      <c r="H42" s="1337" t="inlineStr">
        <is>
          <t>--</t>
        </is>
      </c>
      <c r="I42" s="1562">
        <f>SUM(I38:I41)</f>
        <v/>
      </c>
      <c r="J42" s="1562">
        <f>SUM(J38:J41)</f>
        <v/>
      </c>
      <c r="K42" s="1562">
        <f>SUM(K38:K41)</f>
        <v/>
      </c>
      <c r="L42" s="1558">
        <f>IF(COUNTA(B38:B41)=0,"",IF(SUMPRODUCT((L38:L41&lt;&gt;"")*(L38:L41&lt;&gt;"通过"))&gt;0,"存在异常","通过"))</f>
        <v/>
      </c>
      <c r="M42" s="1339" t="n"/>
    </row>
    <row r="43" ht="19.95" customHeight="1" s="1097"/>
    <row r="44" ht="19.95" customFormat="1" customHeight="1" s="686">
      <c r="A44" s="1576" t="inlineStr">
        <is>
          <t>（三）取得投资时被投资单位可辨认净资产账面价值与公允价值差异及以后年度对账面净利润的调整</t>
        </is>
      </c>
    </row>
    <row r="45" ht="19.95" customFormat="1" customHeight="1" s="686">
      <c r="B45" s="1572" t="inlineStr">
        <is>
          <t>项目</t>
        </is>
      </c>
      <c r="C45" s="1572" t="inlineStr">
        <is>
          <t>取得投资时</t>
        </is>
      </c>
      <c r="D45" s="1583" t="n"/>
      <c r="E45" s="1584" t="n"/>
      <c r="F45" s="1572" t="inlineStr">
        <is>
          <t>差异在取得投资以后期间的调整数（调增净利润填正，调减填负）</t>
        </is>
      </c>
      <c r="G45" s="1583" t="n"/>
      <c r="H45" s="1583" t="n"/>
      <c r="I45" s="1583" t="n"/>
      <c r="J45" s="1583" t="n"/>
      <c r="K45" s="1583" t="n"/>
      <c r="L45" s="1583" t="n"/>
      <c r="M45" s="1584" t="n"/>
    </row>
    <row r="46" ht="25.8" customFormat="1" customHeight="1" s="686">
      <c r="B46" s="1551" t="n"/>
      <c r="C46" s="1572" t="inlineStr">
        <is>
          <t>账面价值</t>
        </is>
      </c>
      <c r="D46" s="1572" t="inlineStr">
        <is>
          <t>公允价值</t>
        </is>
      </c>
      <c r="E46" s="1572" t="inlineStr">
        <is>
          <t>差异△=公允−账面</t>
        </is>
      </c>
      <c r="F46" s="1572" t="inlineStr">
        <is>
          <t>××年</t>
        </is>
      </c>
      <c r="G46" s="1572" t="inlineStr">
        <is>
          <t>××年</t>
        </is>
      </c>
      <c r="H46" s="1572" t="inlineStr">
        <is>
          <t>××年</t>
        </is>
      </c>
      <c r="I46" s="1572" t="inlineStr">
        <is>
          <t>××年</t>
        </is>
      </c>
      <c r="J46" s="1572" t="inlineStr">
        <is>
          <t>××年</t>
        </is>
      </c>
      <c r="K46" s="1572" t="inlineStr">
        <is>
          <t>××年</t>
        </is>
      </c>
      <c r="L46" s="1572" t="inlineStr">
        <is>
          <t>以后年度小计</t>
        </is>
      </c>
      <c r="M46" s="1572" t="inlineStr">
        <is>
          <t>累计调整(含取得年度)</t>
        </is>
      </c>
      <c r="N46" s="1554" t="inlineStr">
        <is>
          <t>复核</t>
        </is>
      </c>
    </row>
    <row r="47" ht="19.95" customFormat="1" customHeight="1" s="686">
      <c r="B47" s="155" t="inlineStr">
        <is>
          <t>存货</t>
        </is>
      </c>
      <c r="C47" s="1577" t="n"/>
      <c r="D47" s="1577" t="n"/>
      <c r="E47" s="1557">
        <f>IF(OR(C47="",D47=""),"",D47-C47)</f>
        <v/>
      </c>
      <c r="F47" s="1577" t="n"/>
      <c r="G47" s="1577" t="n"/>
      <c r="H47" s="1577" t="n"/>
      <c r="I47" s="1577" t="n"/>
      <c r="J47" s="1577" t="n"/>
      <c r="K47" s="1577" t="n"/>
      <c r="L47" s="1578">
        <f>IF(COUNTA(F47:K47)=0,"",SUM(F47:K47))</f>
        <v/>
      </c>
      <c r="M47" s="1557">
        <f>IF(L47="","",L47)</f>
        <v/>
      </c>
      <c r="N47" s="1558">
        <f>IF(E47="","",IF(AND(L47&lt;&gt;"",ABS(N(L47))&gt;ABS(N(E47))+0.01),"转回合计超差异需说明","通过"))</f>
        <v/>
      </c>
    </row>
    <row r="48" ht="19.95" customFormat="1" customHeight="1" s="686">
      <c r="B48" s="155" t="inlineStr">
        <is>
          <t>固定资产</t>
        </is>
      </c>
      <c r="C48" s="1577" t="n"/>
      <c r="D48" s="1577" t="n"/>
      <c r="E48" s="1557">
        <f>IF(OR(C48="",D48=""),"",D48-C48)</f>
        <v/>
      </c>
      <c r="F48" s="1577" t="n"/>
      <c r="G48" s="1577" t="n"/>
      <c r="H48" s="1577" t="n"/>
      <c r="I48" s="1577" t="n"/>
      <c r="J48" s="1577" t="n"/>
      <c r="K48" s="1577" t="n"/>
      <c r="L48" s="1578">
        <f>IF(COUNTA(F48:K48)=0,"",SUM(F48:K48))</f>
        <v/>
      </c>
      <c r="M48" s="1557">
        <f>IF(L48="","",L48)</f>
        <v/>
      </c>
      <c r="N48" s="1558">
        <f>IF(E48="","",IF(AND(L48&lt;&gt;"",ABS(N(L48))&gt;ABS(N(E48))+0.01),"转回合计超差异需说明","通过"))</f>
        <v/>
      </c>
    </row>
    <row r="49" ht="19.95" customFormat="1" customHeight="1" s="686">
      <c r="B49" s="155" t="inlineStr">
        <is>
          <t>无形资产</t>
        </is>
      </c>
      <c r="C49" s="1577" t="n"/>
      <c r="D49" s="1577" t="n"/>
      <c r="E49" s="1557">
        <f>IF(OR(C49="",D49=""),"",D49-C49)</f>
        <v/>
      </c>
      <c r="F49" s="1577" t="n"/>
      <c r="G49" s="1577" t="n"/>
      <c r="H49" s="1577" t="n"/>
      <c r="I49" s="1577" t="n"/>
      <c r="J49" s="1577" t="n"/>
      <c r="K49" s="1577" t="n"/>
      <c r="L49" s="1578">
        <f>IF(COUNTA(F49:K49)=0,"",SUM(F49:K49))</f>
        <v/>
      </c>
      <c r="M49" s="1557">
        <f>IF(L49="","",L49)</f>
        <v/>
      </c>
      <c r="N49" s="1558">
        <f>IF(E49="","",IF(AND(L49&lt;&gt;"",ABS(N(L49))&gt;ABS(N(E49))+0.01),"转回合计超差异需说明","通过"))</f>
        <v/>
      </c>
    </row>
    <row r="50" ht="19.95" customFormat="1" customHeight="1" s="686">
      <c r="B50" s="984" t="inlineStr">
        <is>
          <t>资产类合计</t>
        </is>
      </c>
      <c r="C50" s="1578">
        <f>SUM(C47:C49)</f>
        <v/>
      </c>
      <c r="D50" s="1578">
        <f>SUM(D47:D49)</f>
        <v/>
      </c>
      <c r="E50" s="1557">
        <f>IF(COUNTA(E47:E49)=0,"",SUM(E47:E49))</f>
        <v/>
      </c>
      <c r="F50" s="1557">
        <f>IF(COUNTA(F47:F49)=0,"",SUM(F47:F49))</f>
        <v/>
      </c>
      <c r="G50" s="1557">
        <f>IF(COUNTA(G47:G49)=0,"",SUM(G47:G49))</f>
        <v/>
      </c>
      <c r="H50" s="1557">
        <f>IF(COUNTA(H47:H49)=0,"",SUM(H47:H49))</f>
        <v/>
      </c>
      <c r="I50" s="1557">
        <f>IF(COUNTA(I47:I49)=0,"",SUM(I47:I49))</f>
        <v/>
      </c>
      <c r="J50" s="1557">
        <f>IF(COUNTA(J47:J49)=0,"",SUM(J47:J49))</f>
        <v/>
      </c>
      <c r="K50" s="1557">
        <f>IF(COUNTA(K47:K49)=0,"",SUM(K47:K49))</f>
        <v/>
      </c>
      <c r="L50" s="1557">
        <f>IF(COUNTA(L47:L49)=0,"",SUM(L47:L49))</f>
        <v/>
      </c>
      <c r="M50" s="1557">
        <f>IF(COUNTA(M47:M49)=0,"",SUM(M47:M49))</f>
        <v/>
      </c>
      <c r="N50" s="1558">
        <f>IF(COUNTA(B47:B49)=0,"",IF(SUMPRODUCT((N47:N49&lt;&gt;"")*(N47:N49&lt;&gt;"通过"))&gt;0,"存在异常","通过"))</f>
        <v/>
      </c>
    </row>
    <row r="51" ht="19.95" customFormat="1" customHeight="1" s="686">
      <c r="B51" s="155" t="inlineStr">
        <is>
          <t>应付账款等负债</t>
        </is>
      </c>
      <c r="C51" s="1577" t="n"/>
      <c r="D51" s="1577" t="n"/>
      <c r="E51" s="1557">
        <f>IF(OR(C51="",D51=""),"",D51-C51)</f>
        <v/>
      </c>
      <c r="F51" s="1577" t="n"/>
      <c r="G51" s="1577" t="n"/>
      <c r="H51" s="1577" t="n"/>
      <c r="I51" s="1577" t="n"/>
      <c r="J51" s="1577" t="n"/>
      <c r="K51" s="1577" t="n"/>
      <c r="L51" s="1578">
        <f>IF(COUNTA(F51:K51)=0,"",SUM(F51:K51))</f>
        <v/>
      </c>
      <c r="M51" s="1557">
        <f>IF(L51="","",L51)</f>
        <v/>
      </c>
      <c r="N51" s="1558">
        <f>IF(E51="","",IF(AND(L51&lt;&gt;"",ABS(N(L51))&gt;ABS(N(E51))+0.01),"转回合计超差异需说明","通过"))</f>
        <v/>
      </c>
    </row>
    <row r="52" ht="19.95" customFormat="1" customHeight="1" s="686">
      <c r="B52" s="984" t="inlineStr">
        <is>
          <t>负债类合计</t>
        </is>
      </c>
      <c r="C52" s="1578">
        <f>C51</f>
        <v/>
      </c>
      <c r="D52" s="1578">
        <f>D51</f>
        <v/>
      </c>
      <c r="E52" s="1557">
        <f>IF(E51="","",E51)</f>
        <v/>
      </c>
      <c r="F52" s="1557">
        <f>IF(COUNTA(F51)=0,"",F51)</f>
        <v/>
      </c>
      <c r="G52" s="1557">
        <f>IF(COUNTA(G51)=0,"",G51)</f>
        <v/>
      </c>
      <c r="H52" s="1557">
        <f>IF(COUNTA(H51)=0,"",H51)</f>
        <v/>
      </c>
      <c r="I52" s="1557">
        <f>IF(COUNTA(I51)=0,"",I51)</f>
        <v/>
      </c>
      <c r="J52" s="1557">
        <f>IF(COUNTA(J51)=0,"",J51)</f>
        <v/>
      </c>
      <c r="K52" s="1557">
        <f>IF(COUNTA(K51)=0,"",K51)</f>
        <v/>
      </c>
      <c r="L52" s="1557">
        <f>IF(COUNTA(L51)=0,"",L51)</f>
        <v/>
      </c>
      <c r="M52" s="1557">
        <f>IF(COUNTA(M51)=0,"",M51)</f>
        <v/>
      </c>
      <c r="N52" s="1558">
        <f>IF(E51="","",N51)</f>
        <v/>
      </c>
    </row>
    <row r="53" ht="19.95" customFormat="1" customHeight="1" s="686">
      <c r="B53" s="984" t="inlineStr">
        <is>
          <t>可辨认净资产</t>
        </is>
      </c>
      <c r="C53" s="1578">
        <f>IF(AND(C50="",C52=""),"",N(C50)-N(C52))</f>
        <v/>
      </c>
      <c r="D53" s="1578">
        <f>IF(AND(D50="",D52=""),"",N(D50)-N(D52))</f>
        <v/>
      </c>
      <c r="E53" s="1557">
        <f>IF(OR(E50="",E52=""),IF(E50="","",E50),E50-N(E52))</f>
        <v/>
      </c>
      <c r="F53" s="1557">
        <f>IF(AND(F50="",F52=""),"",N(F50)-N(F52))</f>
        <v/>
      </c>
      <c r="G53" s="1557">
        <f>IF(AND(G50="",G52=""),"",N(G50)-N(G52))</f>
        <v/>
      </c>
      <c r="H53" s="1557">
        <f>IF(AND(H50="",H52=""),"",N(H50)-N(H52))</f>
        <v/>
      </c>
      <c r="I53" s="1557">
        <f>IF(AND(I50="",I52=""),"",N(I50)-N(I52))</f>
        <v/>
      </c>
      <c r="J53" s="1557">
        <f>IF(AND(J50="",J52=""),"",N(J50)-N(J52))</f>
        <v/>
      </c>
      <c r="K53" s="1557">
        <f>IF(AND(K50="",K52=""),"",N(K50)-N(K52))</f>
        <v/>
      </c>
      <c r="L53" s="1557">
        <f>IF(AND(L50="",L52=""),"",N(L50)-N(L52))</f>
        <v/>
      </c>
      <c r="M53" s="1557">
        <f>IF(AND(M50="",M52=""),"",N(M50)-N(M52))</f>
        <v/>
      </c>
      <c r="N53" s="1558">
        <f>IF(E53="","",IF(ABS(N(E53)-(N(E50)-N(E52)))&gt;0.01,"净资产差异勾稽异常","通过"))</f>
        <v/>
      </c>
    </row>
    <row r="54" ht="19.95" customFormat="1" customHeight="1" s="686">
      <c r="B54" s="1023" t="inlineStr">
        <is>
          <t>当期/累计净利润调整数（差异转回合计，供G7-14权益法测算引用）</t>
        </is>
      </c>
      <c r="C54" s="1293" t="n"/>
      <c r="D54" s="1293" t="n"/>
      <c r="E54" s="1294" t="n"/>
      <c r="F54" s="1557">
        <f>IF(AND(F50="",F52=""),"",N(F50)-N(F52))</f>
        <v/>
      </c>
      <c r="G54" s="1557">
        <f>IF(AND(G50="",G52=""),"",N(G50)-N(G52))</f>
        <v/>
      </c>
      <c r="H54" s="1557">
        <f>IF(AND(H50="",H52=""),"",N(H50)-N(H52))</f>
        <v/>
      </c>
      <c r="I54" s="1557">
        <f>IF(AND(I50="",I52=""),"",N(I50)-N(I52))</f>
        <v/>
      </c>
      <c r="J54" s="1557">
        <f>IF(AND(J50="",J52=""),"",N(J50)-N(J52))</f>
        <v/>
      </c>
      <c r="K54" s="1557">
        <f>IF(AND(K50="",K52=""),"",N(K50)-N(K52))</f>
        <v/>
      </c>
      <c r="L54" s="1557">
        <f>IF(AND(L50="",L52=""),"",N(L50)-N(L52))</f>
        <v/>
      </c>
      <c r="M54" s="1557">
        <f>IF(AND(M50="",M52=""),"",N(M50)-N(M52))</f>
        <v/>
      </c>
      <c r="N54" s="1558">
        <f>IF(M54="","",IF(ABS(N(M54)-N(M53))&gt;0.01,"与净资产累计调整不一致","通过"))</f>
        <v/>
      </c>
    </row>
    <row r="55" ht="19.95" customFormat="1" customHeight="1" s="686">
      <c r="B55" s="431" t="inlineStr">
        <is>
          <t>审计说明（公允价值基础）：</t>
        </is>
      </c>
    </row>
    <row r="56" ht="19.95" customFormat="1" customHeight="1" s="686">
      <c r="B56" s="1579" t="inlineStr">
        <is>
          <t>1.取得投资时公允价值依据是【评估报告/管理层认定】：________________ 索引：____</t>
        </is>
      </c>
    </row>
    <row r="57" ht="19.95" customFormat="1" customHeight="1" s="686">
      <c r="B57" s="1579" t="inlineStr">
        <is>
          <t>2.账面价值与公允价值差异在以后期间的调整依据：【存货结转/剩余折旧年限/摊销年限】：________________</t>
        </is>
      </c>
    </row>
    <row r="58" ht="19.95" customFormat="1" customHeight="1" s="686">
      <c r="B58" s="1579" t="inlineStr">
        <is>
          <t>3.评估基准日与投资时点存在时间差的，已/未（ ）将基准日至投资日账面变动调整至取得时点公允价值。</t>
        </is>
      </c>
    </row>
    <row r="59" ht="19.95" customHeight="1" s="1097"/>
    <row r="60" ht="19.95" customHeight="1" s="1097">
      <c r="A60" s="23" t="inlineStr">
        <is>
          <t>（四）投资成本与账面勾稽（可选）</t>
        </is>
      </c>
      <c r="B60" s="2" t="n"/>
    </row>
    <row r="61" ht="19.95" customHeight="1" s="1097">
      <c r="A61" s="2" t="n"/>
      <c r="B61" s="1580" t="inlineStr">
        <is>
          <t>被投资单位</t>
        </is>
      </c>
      <c r="C61" s="1554" t="inlineStr">
        <is>
          <t>本表确认投资成本</t>
        </is>
      </c>
      <c r="D61" s="1554" t="inlineStr">
        <is>
          <t>G7-2可匹配账面(参考)</t>
        </is>
      </c>
      <c r="E61" s="1554" t="inlineStr">
        <is>
          <t>差异</t>
        </is>
      </c>
      <c r="F61" s="1554" t="inlineStr">
        <is>
          <t>重要性水平</t>
        </is>
      </c>
      <c r="G61" s="1554" t="inlineStr">
        <is>
          <t>勾稽结论</t>
        </is>
      </c>
    </row>
    <row r="62" ht="19.95" customHeight="1" s="1097">
      <c r="A62" s="23" t="inlineStr">
        <is>
          <t>四、审计结论</t>
        </is>
      </c>
      <c r="B62" s="2">
        <f>IF(B23&lt;&gt;"",B23,IF(B31&lt;&gt;"",B31,IF(B38&lt;&gt;"",B38,"")))</f>
        <v/>
      </c>
      <c r="C62" s="1525">
        <f>IF(B62="","",IF(B23&lt;&gt;"",H23,IF(B31&lt;&gt;"",I31,IF(B38&lt;&gt;"",J38,""))))</f>
        <v/>
      </c>
      <c r="D62" s="1525">
        <f>IF(B62="","",IFERROR(INDEX('明细表G7-2'!$H$33:$H$37,MATCH(B62,'明细表G7-2'!$B$33:$B$37,0)),IFERROR(INDEX('明细表G7-2'!$H$40:$H$44,MATCH(B62,'明细表G7-2'!$B$40:$B$44,0)),IFERROR(INDEX('明细表G7-2'!$M$16:$M$25,MATCH(B62,'明细表G7-2'!$B$16:$B$25,0)),"未匹配"))))</f>
        <v/>
      </c>
      <c r="E62" s="1525">
        <f>IF(OR(B62="",D62="未匹配",D62=""),"",N(C62)-N(D62))</f>
        <v/>
      </c>
      <c r="F62" s="1527" t="n"/>
      <c r="G62" s="1558">
        <f>IF(B62="","",IF(OR(D62="未匹配",D62=""),"未匹配G7-2",IF(F62="","请填重要性水平",IF(ABS(N(E62))&gt;N(F62),"超过重要性-需说明","通过"))))</f>
        <v/>
      </c>
    </row>
    <row r="63" ht="19.95" customHeight="1" s="1097"/>
    <row r="64" ht="20.1" customHeight="1" s="1097">
      <c r="A64" s="547" t="inlineStr">
        <is>
          <t>三、审计说明</t>
        </is>
      </c>
    </row>
    <row r="65" ht="13.8" customFormat="1" customHeight="1" s="686">
      <c r="A65" s="547" t="inlineStr">
        <is>
          <t>（自动汇总各区复核未通过事项；可继续手工补充）</t>
        </is>
      </c>
      <c r="C65" s="546" t="n"/>
      <c r="D65" s="546" t="n"/>
      <c r="E65" s="546" t="n"/>
      <c r="F65" s="546" t="n"/>
      <c r="G65" s="546" t="n"/>
      <c r="H65" s="546" t="n"/>
      <c r="I65" s="546" t="n"/>
      <c r="J65" s="546" t="n"/>
      <c r="K65" s="546" t="n"/>
      <c r="L65" s="546" t="n"/>
      <c r="M65" s="546" t="n"/>
    </row>
    <row r="66" ht="50" customFormat="1" customHeight="1" s="686">
      <c r="A66" s="1581">
        <f>IF(AND(COUNTA(B23:B26)=0,COUNTA(B31:B33)=0,COUNTA(B38:B41)=0),"（尚未录入投资成本测试数据。请按形成路径填写第（二）节对应区段。）",IF(TEXTJOIN("；",TRUE,IF(AND(L15&lt;&gt;"",L15&lt;&gt;"通过"),L15,""),IF(AND(L16&lt;&gt;"",L16&lt;&gt;"通过"),L16,""),IF(AND(L17&lt;&gt;"",L17&lt;&gt;"通过"),L17,""),IF(AND(L18&lt;&gt;"",L18&lt;&gt;"通过"),L18,""),IF(AND(J23&lt;&gt;"",J23&lt;&gt;"通过"),J23,""),IF(AND(J24&lt;&gt;"",J24&lt;&gt;"通过"),J24,""),IF(AND(J25&lt;&gt;"",J25&lt;&gt;"通过"),J25,""),IF(AND(J26&lt;&gt;"",J26&lt;&gt;"通过"),J26,""),IF(AND(J27&lt;&gt;"",J27&lt;&gt;"通过"),J27,""),IF(AND(N31&lt;&gt;"",N31&lt;&gt;"通过"),N31,""),IF(AND(N32&lt;&gt;"",N32&lt;&gt;"通过"),N32,""),IF(AND(N33&lt;&gt;"",N33&lt;&gt;"通过"),N33,""),IF(AND(N34&lt;&gt;"",N34&lt;&gt;"通过"),N34,""),IF(AND(L38&lt;&gt;"",L38&lt;&gt;"通过"),L38,""),IF(AND(L39&lt;&gt;"",L39&lt;&gt;"通过"),L39,""),IF(AND(L40&lt;&gt;"",L40&lt;&gt;"通过"),L40,""),IF(AND(L41&lt;&gt;"",L41&lt;&gt;"通过"),L41,""),IF(AND(L42&lt;&gt;"",L42&lt;&gt;"通过"),L42,""),IF(AND(N47&lt;&gt;"",N47&lt;&gt;"通过"),N47,""),IF(AND(N48&lt;&gt;"",N48&lt;&gt;"通过"),N48,""),IF(AND(N49&lt;&gt;"",N49&lt;&gt;"通过"),N49,""),IF(AND(N50&lt;&gt;"",N50&lt;&gt;"通过"),N50,""),IF(AND(N51&lt;&gt;"",N51&lt;&gt;"通过"),N51,""),IF(AND(N52&lt;&gt;"",N52&lt;&gt;"通过"),N52,""),IF(AND(N53&lt;&gt;"",N53&lt;&gt;"通过"),N53,""),IF(AND(N54&lt;&gt;"",N54&lt;&gt;"通过"),N54,""),IF(AND(G62&lt;&gt;"",G62&lt;&gt;"通过"),G62,""))="","各节自动复核未发现未通过项，请结合协议/评估/付款证据完成结论勾选。",TEXTJOIN("；",TRUE,IF(AND(L15&lt;&gt;"",L15&lt;&gt;"通过"),L15,""),IF(AND(L16&lt;&gt;"",L16&lt;&gt;"通过"),L16,""),IF(AND(L17&lt;&gt;"",L17&lt;&gt;"通过"),L17,""),IF(AND(L18&lt;&gt;"",L18&lt;&gt;"通过"),L18,""),IF(AND(J23&lt;&gt;"",J23&lt;&gt;"通过"),J23,""),IF(AND(J24&lt;&gt;"",J24&lt;&gt;"通过"),J24,""),IF(AND(J25&lt;&gt;"",J25&lt;&gt;"通过"),J25,""),IF(AND(J26&lt;&gt;"",J26&lt;&gt;"通过"),J26,""),IF(AND(J27&lt;&gt;"",J27&lt;&gt;"通过"),J27,""),IF(AND(N31&lt;&gt;"",N31&lt;&gt;"通过"),N31,""),IF(AND(N32&lt;&gt;"",N32&lt;&gt;"通过"),N32,""),IF(AND(N33&lt;&gt;"",N33&lt;&gt;"通过"),N33,""),IF(AND(N34&lt;&gt;"",N34&lt;&gt;"通过"),N34,""),IF(AND(L38&lt;&gt;"",L38&lt;&gt;"通过"),L38,""),IF(AND(L39&lt;&gt;"",L39&lt;&gt;"通过"),L39,""),IF(AND(L40&lt;&gt;"",L40&lt;&gt;"通过"),L40,""),IF(AND(L41&lt;&gt;"",L41&lt;&gt;"通过"),L41,""),IF(AND(L42&lt;&gt;"",L42&lt;&gt;"通过"),L42,""),IF(AND(N47&lt;&gt;"",N47&lt;&gt;"通过"),N47,""),IF(AND(N48&lt;&gt;"",N48&lt;&gt;"通过"),N48,""),IF(AND(N49&lt;&gt;"",N49&lt;&gt;"通过"),N49,""),IF(AND(N50&lt;&gt;"",N50&lt;&gt;"通过"),N50,""),IF(AND(N51&lt;&gt;"",N51&lt;&gt;"通过"),N51,""),IF(AND(N52&lt;&gt;"",N52&lt;&gt;"通过"),N52,""),IF(AND(N53&lt;&gt;"",N53&lt;&gt;"通过"),N53,""),IF(AND(N54&lt;&gt;"",N54&lt;&gt;"通过"),N54,""),IF(AND(G62&lt;&gt;"",G62&lt;&gt;"通过"),G62,""))))</f>
        <v/>
      </c>
      <c r="B66" s="1582" t="n"/>
      <c r="C66" s="1582" t="n"/>
      <c r="D66" s="1582" t="n"/>
      <c r="E66" s="1582" t="n"/>
      <c r="F66" s="1582" t="n"/>
      <c r="G66" s="1582" t="n"/>
      <c r="H66" s="1582" t="n"/>
      <c r="I66" s="1582" t="n"/>
      <c r="J66" s="1582" t="n"/>
      <c r="K66" s="1582" t="n"/>
      <c r="L66" s="1582" t="n"/>
      <c r="M66" s="1582" t="n"/>
      <c r="N66" s="1582" t="n"/>
    </row>
    <row r="67" ht="13.8" customFormat="1" customHeight="1" s="686"/>
    <row r="68" ht="13.8" customFormat="1" customHeight="1" s="686"/>
    <row r="70">
      <c r="A70" s="0" t="inlineStr">
        <is>
          <t>四、审计结论</t>
        </is>
      </c>
    </row>
    <row r="71" ht="40" customHeight="1" s="1097">
      <c r="A71" s="1505" t="inlineStr">
        <is>
          <t>经审计，本期合营、联营企业投资成本的会计处理 □恰当  □不恰当（说明：__________）。已按形成路径分别测试；公允价值差异后续调整已与G7-14衔接安排。复核人确认异常事项已关闭或已在说明中充分披露。</t>
        </is>
      </c>
    </row>
    <row r="72"/>
    <row r="74">
      <c r="A74" s="0" t="inlineStr">
        <is>
          <t>五、审计轨迹</t>
        </is>
      </c>
    </row>
    <row r="75">
      <c r="B75" s="1554" t="inlineStr">
        <is>
          <t>编制人</t>
        </is>
      </c>
      <c r="D75" s="1554" t="inlineStr">
        <is>
          <t>编制日期</t>
        </is>
      </c>
      <c r="F75" s="1554" t="inlineStr">
        <is>
          <t>复核人</t>
        </is>
      </c>
      <c r="H75" s="1554" t="inlineStr">
        <is>
          <t>复核日期</t>
        </is>
      </c>
    </row>
    <row r="76">
      <c r="B76" s="1526" t="n"/>
      <c r="D76" s="1526" t="n"/>
      <c r="F76" s="1526" t="n"/>
      <c r="H76" s="1526" t="n"/>
    </row>
    <row r="77">
      <c r="B77" s="0" t="inlineStr">
        <is>
          <t>关键证据索引（投资协议/审批/评估报告/付款凭证/董事会改选文件）</t>
        </is>
      </c>
      <c r="E77" s="1526" t="n"/>
      <c r="F77" s="1583" t="n"/>
      <c r="G77" s="1583" t="n"/>
      <c r="H77" s="1583" t="n"/>
      <c r="I77" s="1583" t="n"/>
      <c r="J77" s="1583" t="n"/>
      <c r="K77" s="1583" t="n"/>
      <c r="L77" s="1583" t="n"/>
      <c r="M77" s="1583" t="n"/>
      <c r="N77" s="1584" t="n"/>
    </row>
    <row r="79">
      <c r="A79" s="0" t="inlineStr">
        <is>
          <t>提示（准则摘要）：</t>
        </is>
      </c>
    </row>
    <row r="80">
      <c r="A80" s="1505" t="inlineStr">
        <is>
          <t>1) 一次投入：初始成本与应享有可辨认净资产公允价值份额比较，前者大不调整（内含商誉），前者小调增长投并计入营业外收入。</t>
        </is>
      </c>
    </row>
    <row r="81">
      <c r="A81" s="1505" t="inlineStr">
        <is>
          <t>2) 金融资产转权益法：初始成本=原股权追加日FV+新增对价；原计入OCI的累计公允价值变动，按原分类判断转入当期损益或留存收益。</t>
        </is>
      </c>
    </row>
    <row r="82">
      <c r="A82" s="1505" t="inlineStr">
        <is>
          <t>3) 主动增资但仍为联营/合营：按新增比例比较新增成本与新增份额，并综合考虑原投资相关商誉或已计入损益金额后确认是否调整及营业外收入。</t>
        </is>
      </c>
    </row>
  </sheetData>
  <mergeCells count="35">
    <mergeCell ref="B13:C14"/>
    <mergeCell ref="H29:H30"/>
    <mergeCell ref="A71:N72"/>
    <mergeCell ref="H13:K13"/>
    <mergeCell ref="C29:C30"/>
    <mergeCell ref="D21:D22"/>
    <mergeCell ref="A82:N82"/>
    <mergeCell ref="E29:E30"/>
    <mergeCell ref="H21:H22"/>
    <mergeCell ref="B27:C27"/>
    <mergeCell ref="B18:C18"/>
    <mergeCell ref="B29:B30"/>
    <mergeCell ref="B28:M28"/>
    <mergeCell ref="B54:E54"/>
    <mergeCell ref="C21:C22"/>
    <mergeCell ref="I21:I22"/>
    <mergeCell ref="F45:M45"/>
    <mergeCell ref="A80:N80"/>
    <mergeCell ref="G29:G30"/>
    <mergeCell ref="A66:N68"/>
    <mergeCell ref="A1:M1"/>
    <mergeCell ref="I29:I30"/>
    <mergeCell ref="D13:G13"/>
    <mergeCell ref="A2:M2"/>
    <mergeCell ref="D29:D30"/>
    <mergeCell ref="B45:B46"/>
    <mergeCell ref="F29:F30"/>
    <mergeCell ref="C45:E45"/>
    <mergeCell ref="K29:M29"/>
    <mergeCell ref="G21:G22"/>
    <mergeCell ref="A81:N81"/>
    <mergeCell ref="J29:J30"/>
    <mergeCell ref="E77:N77"/>
    <mergeCell ref="B21:B22"/>
    <mergeCell ref="E21:F21"/>
  </mergeCells>
  <conditionalFormatting sqref="L15:L18">
    <cfRule type="expression" priority="1" dxfId="4">
      <formula>AND(L15&lt;&gt;"",L15&lt;&gt;"通过")</formula>
    </cfRule>
  </conditionalFormatting>
  <conditionalFormatting sqref="J23:J27">
    <cfRule type="expression" priority="2" dxfId="4">
      <formula>AND(J23&lt;&gt;"",J23&lt;&gt;"通过")</formula>
    </cfRule>
  </conditionalFormatting>
  <conditionalFormatting sqref="N31:N34">
    <cfRule type="expression" priority="3" dxfId="4">
      <formula>AND(N31&lt;&gt;"",N31&lt;&gt;"通过")</formula>
    </cfRule>
  </conditionalFormatting>
  <conditionalFormatting sqref="L38:L42">
    <cfRule type="expression" priority="4" dxfId="4">
      <formula>AND(L38&lt;&gt;"",L38&lt;&gt;"通过")</formula>
    </cfRule>
  </conditionalFormatting>
  <conditionalFormatting sqref="N47:N54">
    <cfRule type="expression" priority="5" dxfId="4">
      <formula>AND(N47&lt;&gt;"",N47&lt;&gt;"通过")</formula>
    </cfRule>
  </conditionalFormatting>
  <conditionalFormatting sqref="G62">
    <cfRule type="expression" priority="6" dxfId="4">
      <formula>AND(G62&lt;&gt;"",G62&lt;&gt;"通过")</formula>
    </cfRule>
  </conditionalFormatting>
  <dataValidations count="1">
    <dataValidation sqref="D31:D33 E38:E41 F23:F26 F31:F33 G38:G41" showDropDown="0" showInputMessage="0" showErrorMessage="0" allowBlank="1" errorTitle="比例格式" error="请填写0至1之间的小数比例（如0.30）" type="decimal" operator="between">
      <formula1>0</formula1>
      <formula2>1</formula2>
    </dataValidation>
  </dataValidations>
  <hyperlinks>
    <hyperlink ref="M3" location="底稿目录!F19" display="底稿目录!F19"/>
  </hyperlinks>
  <pageMargins left="0.7086614173228347" right="0.7086614173228347" top="0.7480314960629921" bottom="0.7480314960629921" header="0.3149606299212598" footer="0.3149606299212598"/>
  <pageSetup orientation="landscape" paperSize="9" scale="65" fitToHeight="2" blackAndWhite="1"/>
  <headerFooter>
    <oddHeader/>
    <oddFooter>&amp;C&amp;P/&amp;N</oddFooter>
    <evenHeader/>
    <evenFooter/>
    <firstHeader/>
    <firstFooter/>
  </headerFooter>
  <rowBreaks count="1" manualBreakCount="1">
    <brk id="34" min="0" max="12" man="1"/>
  </rowBreaks>
  <legacyDrawing xmlns:r="http://schemas.openxmlformats.org/officeDocument/2006/relationships" r:id="anysvml"/>
</worksheet>
</file>

<file path=xl/worksheets/sheet18.xml><?xml version="1.0" encoding="utf-8"?>
<worksheet xmlns="http://schemas.openxmlformats.org/spreadsheetml/2006/main">
  <sheetPr codeName="Sheet24">
    <outlinePr summaryBelow="1" summaryRight="1"/>
    <pageSetUpPr/>
  </sheetPr>
  <dimension ref="A1:X71"/>
  <sheetViews>
    <sheetView showZeros="0" view="pageBreakPreview" zoomScale="90" zoomScaleSheetLayoutView="90" workbookViewId="0">
      <selection activeCell="A1" sqref="A1:I1"/>
    </sheetView>
  </sheetViews>
  <sheetFormatPr baseColWidth="8" defaultRowHeight="15.6" outlineLevelCol="0"/>
  <cols>
    <col width="3.19921875" customWidth="1" style="162" min="1" max="1"/>
    <col width="18" customWidth="1" style="162" min="2" max="2"/>
    <col width="8.296875" customWidth="1" style="162" min="3" max="3"/>
    <col width="13.3984375" customWidth="1" style="162" min="4" max="4"/>
    <col width="13.5" customWidth="1" style="162" min="5" max="5"/>
    <col width="12.59765625" customWidth="1" style="162" min="6" max="6"/>
    <col width="13" customWidth="1" style="162" min="7" max="7"/>
    <col width="13.19921875" customWidth="1" style="162" min="8" max="8"/>
    <col width="13.09765625" customWidth="1" style="162" min="9" max="9"/>
    <col width="14.3984375" customWidth="1" style="162" min="10" max="10"/>
    <col width="13.3984375" customWidth="1" style="162" min="11" max="11"/>
    <col width="13" customWidth="1" style="162" min="12" max="12"/>
    <col width="11.19921875" bestFit="1" customWidth="1" style="162" min="13" max="13"/>
    <col width="13.5" customWidth="1" style="162" min="14" max="14"/>
    <col width="8.69921875" customWidth="1" style="162" min="15" max="15"/>
    <col width="11" customWidth="1" style="162" min="16" max="16"/>
    <col width="11" customWidth="1" style="162" min="17" max="17"/>
    <col width="11" customWidth="1" style="162" min="18" max="19"/>
    <col width="11" customWidth="1" style="1097" min="19" max="19"/>
    <col width="8.69921875" customWidth="1" style="162" min="20" max="253"/>
    <col width="14" customWidth="1" style="1097" min="21" max="21"/>
    <col width="14" customWidth="1" style="1097" min="22" max="22"/>
    <col width="14" customWidth="1" style="1097" min="23" max="23"/>
    <col width="14" customWidth="1" style="1097" min="24" max="24"/>
    <col width="18" customWidth="1" style="162" min="254" max="254"/>
    <col width="15" customWidth="1" style="162" min="255" max="255"/>
    <col width="13.3984375" customWidth="1" style="162" min="256" max="256"/>
    <col width="12.09765625" customWidth="1" style="162" min="257" max="257"/>
    <col width="12.59765625" customWidth="1" style="162" min="258" max="258"/>
    <col width="13" customWidth="1" style="162" min="259" max="259"/>
    <col width="12.69921875" customWidth="1" style="162" min="260" max="260"/>
    <col width="10.3984375" customWidth="1" style="162" min="261" max="261"/>
    <col width="12.3984375" customWidth="1" style="162" min="262" max="262"/>
    <col width="12.09765625" customWidth="1" style="162" min="263" max="263"/>
    <col width="13" customWidth="1" style="162" min="264" max="264"/>
    <col width="8.69921875" customWidth="1" style="162" min="265" max="509"/>
    <col width="18" customWidth="1" style="162" min="510" max="510"/>
    <col width="15" customWidth="1" style="162" min="511" max="511"/>
    <col width="13.3984375" customWidth="1" style="162" min="512" max="512"/>
    <col width="12.09765625" customWidth="1" style="162" min="513" max="513"/>
    <col width="12.59765625" customWidth="1" style="162" min="514" max="514"/>
    <col width="13" customWidth="1" style="162" min="515" max="515"/>
    <col width="12.69921875" customWidth="1" style="162" min="516" max="516"/>
    <col width="10.3984375" customWidth="1" style="162" min="517" max="517"/>
    <col width="12.3984375" customWidth="1" style="162" min="518" max="518"/>
    <col width="12.09765625" customWidth="1" style="162" min="519" max="519"/>
    <col width="13" customWidth="1" style="162" min="520" max="520"/>
    <col width="8.69921875" customWidth="1" style="162" min="521" max="765"/>
    <col width="18" customWidth="1" style="162" min="766" max="766"/>
    <col width="15" customWidth="1" style="162" min="767" max="767"/>
    <col width="13.3984375" customWidth="1" style="162" min="768" max="768"/>
    <col width="12.09765625" customWidth="1" style="162" min="769" max="769"/>
    <col width="12.59765625" customWidth="1" style="162" min="770" max="770"/>
    <col width="13" customWidth="1" style="162" min="771" max="771"/>
    <col width="12.69921875" customWidth="1" style="162" min="772" max="772"/>
    <col width="10.3984375" customWidth="1" style="162" min="773" max="773"/>
    <col width="12.3984375" customWidth="1" style="162" min="774" max="774"/>
    <col width="12.09765625" customWidth="1" style="162" min="775" max="775"/>
    <col width="13" customWidth="1" style="162" min="776" max="776"/>
    <col width="8.69921875" customWidth="1" style="162" min="777" max="1021"/>
    <col width="18" customWidth="1" style="162" min="1022" max="1022"/>
    <col width="15" customWidth="1" style="162" min="1023" max="1023"/>
    <col width="13.3984375" customWidth="1" style="162" min="1024" max="1024"/>
    <col width="12.09765625" customWidth="1" style="162" min="1025" max="1025"/>
    <col width="12.59765625" customWidth="1" style="162" min="1026" max="1026"/>
    <col width="13" customWidth="1" style="162" min="1027" max="1027"/>
    <col width="12.69921875" customWidth="1" style="162" min="1028" max="1028"/>
    <col width="10.3984375" customWidth="1" style="162" min="1029" max="1029"/>
    <col width="12.3984375" customWidth="1" style="162" min="1030" max="1030"/>
    <col width="12.09765625" customWidth="1" style="162" min="1031" max="1031"/>
    <col width="13" customWidth="1" style="162" min="1032" max="1032"/>
    <col width="8.69921875" customWidth="1" style="162" min="1033" max="1277"/>
    <col width="18" customWidth="1" style="162" min="1278" max="1278"/>
    <col width="15" customWidth="1" style="162" min="1279" max="1279"/>
    <col width="13.3984375" customWidth="1" style="162" min="1280" max="1280"/>
    <col width="12.09765625" customWidth="1" style="162" min="1281" max="1281"/>
    <col width="12.59765625" customWidth="1" style="162" min="1282" max="1282"/>
    <col width="13" customWidth="1" style="162" min="1283" max="1283"/>
    <col width="12.69921875" customWidth="1" style="162" min="1284" max="1284"/>
    <col width="10.3984375" customWidth="1" style="162" min="1285" max="1285"/>
    <col width="12.3984375" customWidth="1" style="162" min="1286" max="1286"/>
    <col width="12.09765625" customWidth="1" style="162" min="1287" max="1287"/>
    <col width="13" customWidth="1" style="162" min="1288" max="1288"/>
    <col width="8.69921875" customWidth="1" style="162" min="1289" max="1533"/>
    <col width="18" customWidth="1" style="162" min="1534" max="1534"/>
    <col width="15" customWidth="1" style="162" min="1535" max="1535"/>
    <col width="13.3984375" customWidth="1" style="162" min="1536" max="1536"/>
    <col width="12.09765625" customWidth="1" style="162" min="1537" max="1537"/>
    <col width="12.59765625" customWidth="1" style="162" min="1538" max="1538"/>
    <col width="13" customWidth="1" style="162" min="1539" max="1539"/>
    <col width="12.69921875" customWidth="1" style="162" min="1540" max="1540"/>
    <col width="10.3984375" customWidth="1" style="162" min="1541" max="1541"/>
    <col width="12.3984375" customWidth="1" style="162" min="1542" max="1542"/>
    <col width="12.09765625" customWidth="1" style="162" min="1543" max="1543"/>
    <col width="13" customWidth="1" style="162" min="1544" max="1544"/>
    <col width="8.69921875" customWidth="1" style="162" min="1545" max="1789"/>
    <col width="18" customWidth="1" style="162" min="1790" max="1790"/>
    <col width="15" customWidth="1" style="162" min="1791" max="1791"/>
    <col width="13.3984375" customWidth="1" style="162" min="1792" max="1792"/>
    <col width="12.09765625" customWidth="1" style="162" min="1793" max="1793"/>
    <col width="12.59765625" customWidth="1" style="162" min="1794" max="1794"/>
    <col width="13" customWidth="1" style="162" min="1795" max="1795"/>
    <col width="12.69921875" customWidth="1" style="162" min="1796" max="1796"/>
    <col width="10.3984375" customWidth="1" style="162" min="1797" max="1797"/>
    <col width="12.3984375" customWidth="1" style="162" min="1798" max="1798"/>
    <col width="12.09765625" customWidth="1" style="162" min="1799" max="1799"/>
    <col width="13" customWidth="1" style="162" min="1800" max="1800"/>
    <col width="8.69921875" customWidth="1" style="162" min="1801" max="2045"/>
    <col width="18" customWidth="1" style="162" min="2046" max="2046"/>
    <col width="15" customWidth="1" style="162" min="2047" max="2047"/>
    <col width="13.3984375" customWidth="1" style="162" min="2048" max="2048"/>
    <col width="12.09765625" customWidth="1" style="162" min="2049" max="2049"/>
    <col width="12.59765625" customWidth="1" style="162" min="2050" max="2050"/>
    <col width="13" customWidth="1" style="162" min="2051" max="2051"/>
    <col width="12.69921875" customWidth="1" style="162" min="2052" max="2052"/>
    <col width="10.3984375" customWidth="1" style="162" min="2053" max="2053"/>
    <col width="12.3984375" customWidth="1" style="162" min="2054" max="2054"/>
    <col width="12.09765625" customWidth="1" style="162" min="2055" max="2055"/>
    <col width="13" customWidth="1" style="162" min="2056" max="2056"/>
    <col width="8.69921875" customWidth="1" style="162" min="2057" max="2301"/>
    <col width="18" customWidth="1" style="162" min="2302" max="2302"/>
    <col width="15" customWidth="1" style="162" min="2303" max="2303"/>
    <col width="13.3984375" customWidth="1" style="162" min="2304" max="2304"/>
    <col width="12.09765625" customWidth="1" style="162" min="2305" max="2305"/>
    <col width="12.59765625" customWidth="1" style="162" min="2306" max="2306"/>
    <col width="13" customWidth="1" style="162" min="2307" max="2307"/>
    <col width="12.69921875" customWidth="1" style="162" min="2308" max="2308"/>
    <col width="10.3984375" customWidth="1" style="162" min="2309" max="2309"/>
    <col width="12.3984375" customWidth="1" style="162" min="2310" max="2310"/>
    <col width="12.09765625" customWidth="1" style="162" min="2311" max="2311"/>
    <col width="13" customWidth="1" style="162" min="2312" max="2312"/>
    <col width="8.69921875" customWidth="1" style="162" min="2313" max="2557"/>
    <col width="18" customWidth="1" style="162" min="2558" max="2558"/>
    <col width="15" customWidth="1" style="162" min="2559" max="2559"/>
    <col width="13.3984375" customWidth="1" style="162" min="2560" max="2560"/>
    <col width="12.09765625" customWidth="1" style="162" min="2561" max="2561"/>
    <col width="12.59765625" customWidth="1" style="162" min="2562" max="2562"/>
    <col width="13" customWidth="1" style="162" min="2563" max="2563"/>
    <col width="12.69921875" customWidth="1" style="162" min="2564" max="2564"/>
    <col width="10.3984375" customWidth="1" style="162" min="2565" max="2565"/>
    <col width="12.3984375" customWidth="1" style="162" min="2566" max="2566"/>
    <col width="12.09765625" customWidth="1" style="162" min="2567" max="2567"/>
    <col width="13" customWidth="1" style="162" min="2568" max="2568"/>
    <col width="8.69921875" customWidth="1" style="162" min="2569" max="2813"/>
    <col width="18" customWidth="1" style="162" min="2814" max="2814"/>
    <col width="15" customWidth="1" style="162" min="2815" max="2815"/>
    <col width="13.3984375" customWidth="1" style="162" min="2816" max="2816"/>
    <col width="12.09765625" customWidth="1" style="162" min="2817" max="2817"/>
    <col width="12.59765625" customWidth="1" style="162" min="2818" max="2818"/>
    <col width="13" customWidth="1" style="162" min="2819" max="2819"/>
    <col width="12.69921875" customWidth="1" style="162" min="2820" max="2820"/>
    <col width="10.3984375" customWidth="1" style="162" min="2821" max="2821"/>
    <col width="12.3984375" customWidth="1" style="162" min="2822" max="2822"/>
    <col width="12.09765625" customWidth="1" style="162" min="2823" max="2823"/>
    <col width="13" customWidth="1" style="162" min="2824" max="2824"/>
    <col width="8.69921875" customWidth="1" style="162" min="2825" max="3069"/>
    <col width="18" customWidth="1" style="162" min="3070" max="3070"/>
    <col width="15" customWidth="1" style="162" min="3071" max="3071"/>
    <col width="13.3984375" customWidth="1" style="162" min="3072" max="3072"/>
    <col width="12.09765625" customWidth="1" style="162" min="3073" max="3073"/>
    <col width="12.59765625" customWidth="1" style="162" min="3074" max="3074"/>
    <col width="13" customWidth="1" style="162" min="3075" max="3075"/>
    <col width="12.69921875" customWidth="1" style="162" min="3076" max="3076"/>
    <col width="10.3984375" customWidth="1" style="162" min="3077" max="3077"/>
    <col width="12.3984375" customWidth="1" style="162" min="3078" max="3078"/>
    <col width="12.09765625" customWidth="1" style="162" min="3079" max="3079"/>
    <col width="13" customWidth="1" style="162" min="3080" max="3080"/>
    <col width="8.69921875" customWidth="1" style="162" min="3081" max="3325"/>
    <col width="18" customWidth="1" style="162" min="3326" max="3326"/>
    <col width="15" customWidth="1" style="162" min="3327" max="3327"/>
    <col width="13.3984375" customWidth="1" style="162" min="3328" max="3328"/>
    <col width="12.09765625" customWidth="1" style="162" min="3329" max="3329"/>
    <col width="12.59765625" customWidth="1" style="162" min="3330" max="3330"/>
    <col width="13" customWidth="1" style="162" min="3331" max="3331"/>
    <col width="12.69921875" customWidth="1" style="162" min="3332" max="3332"/>
    <col width="10.3984375" customWidth="1" style="162" min="3333" max="3333"/>
    <col width="12.3984375" customWidth="1" style="162" min="3334" max="3334"/>
    <col width="12.09765625" customWidth="1" style="162" min="3335" max="3335"/>
    <col width="13" customWidth="1" style="162" min="3336" max="3336"/>
    <col width="8.69921875" customWidth="1" style="162" min="3337" max="3581"/>
    <col width="18" customWidth="1" style="162" min="3582" max="3582"/>
    <col width="15" customWidth="1" style="162" min="3583" max="3583"/>
    <col width="13.3984375" customWidth="1" style="162" min="3584" max="3584"/>
    <col width="12.09765625" customWidth="1" style="162" min="3585" max="3585"/>
    <col width="12.59765625" customWidth="1" style="162" min="3586" max="3586"/>
    <col width="13" customWidth="1" style="162" min="3587" max="3587"/>
    <col width="12.69921875" customWidth="1" style="162" min="3588" max="3588"/>
    <col width="10.3984375" customWidth="1" style="162" min="3589" max="3589"/>
    <col width="12.3984375" customWidth="1" style="162" min="3590" max="3590"/>
    <col width="12.09765625" customWidth="1" style="162" min="3591" max="3591"/>
    <col width="13" customWidth="1" style="162" min="3592" max="3592"/>
    <col width="8.69921875" customWidth="1" style="162" min="3593" max="3837"/>
    <col width="18" customWidth="1" style="162" min="3838" max="3838"/>
    <col width="15" customWidth="1" style="162" min="3839" max="3839"/>
    <col width="13.3984375" customWidth="1" style="162" min="3840" max="3840"/>
    <col width="12.09765625" customWidth="1" style="162" min="3841" max="3841"/>
    <col width="12.59765625" customWidth="1" style="162" min="3842" max="3842"/>
    <col width="13" customWidth="1" style="162" min="3843" max="3843"/>
    <col width="12.69921875" customWidth="1" style="162" min="3844" max="3844"/>
    <col width="10.3984375" customWidth="1" style="162" min="3845" max="3845"/>
    <col width="12.3984375" customWidth="1" style="162" min="3846" max="3846"/>
    <col width="12.09765625" customWidth="1" style="162" min="3847" max="3847"/>
    <col width="13" customWidth="1" style="162" min="3848" max="3848"/>
    <col width="8.69921875" customWidth="1" style="162" min="3849" max="4093"/>
    <col width="18" customWidth="1" style="162" min="4094" max="4094"/>
    <col width="15" customWidth="1" style="162" min="4095" max="4095"/>
    <col width="13.3984375" customWidth="1" style="162" min="4096" max="4096"/>
    <col width="12.09765625" customWidth="1" style="162" min="4097" max="4097"/>
    <col width="12.59765625" customWidth="1" style="162" min="4098" max="4098"/>
    <col width="13" customWidth="1" style="162" min="4099" max="4099"/>
    <col width="12.69921875" customWidth="1" style="162" min="4100" max="4100"/>
    <col width="10.3984375" customWidth="1" style="162" min="4101" max="4101"/>
    <col width="12.3984375" customWidth="1" style="162" min="4102" max="4102"/>
    <col width="12.09765625" customWidth="1" style="162" min="4103" max="4103"/>
    <col width="13" customWidth="1" style="162" min="4104" max="4104"/>
    <col width="8.69921875" customWidth="1" style="162" min="4105" max="4349"/>
    <col width="18" customWidth="1" style="162" min="4350" max="4350"/>
    <col width="15" customWidth="1" style="162" min="4351" max="4351"/>
    <col width="13.3984375" customWidth="1" style="162" min="4352" max="4352"/>
    <col width="12.09765625" customWidth="1" style="162" min="4353" max="4353"/>
    <col width="12.59765625" customWidth="1" style="162" min="4354" max="4354"/>
    <col width="13" customWidth="1" style="162" min="4355" max="4355"/>
    <col width="12.69921875" customWidth="1" style="162" min="4356" max="4356"/>
    <col width="10.3984375" customWidth="1" style="162" min="4357" max="4357"/>
    <col width="12.3984375" customWidth="1" style="162" min="4358" max="4358"/>
    <col width="12.09765625" customWidth="1" style="162" min="4359" max="4359"/>
    <col width="13" customWidth="1" style="162" min="4360" max="4360"/>
    <col width="8.69921875" customWidth="1" style="162" min="4361" max="4605"/>
    <col width="18" customWidth="1" style="162" min="4606" max="4606"/>
    <col width="15" customWidth="1" style="162" min="4607" max="4607"/>
    <col width="13.3984375" customWidth="1" style="162" min="4608" max="4608"/>
    <col width="12.09765625" customWidth="1" style="162" min="4609" max="4609"/>
    <col width="12.59765625" customWidth="1" style="162" min="4610" max="4610"/>
    <col width="13" customWidth="1" style="162" min="4611" max="4611"/>
    <col width="12.69921875" customWidth="1" style="162" min="4612" max="4612"/>
    <col width="10.3984375" customWidth="1" style="162" min="4613" max="4613"/>
    <col width="12.3984375" customWidth="1" style="162" min="4614" max="4614"/>
    <col width="12.09765625" customWidth="1" style="162" min="4615" max="4615"/>
    <col width="13" customWidth="1" style="162" min="4616" max="4616"/>
    <col width="8.69921875" customWidth="1" style="162" min="4617" max="4861"/>
    <col width="18" customWidth="1" style="162" min="4862" max="4862"/>
    <col width="15" customWidth="1" style="162" min="4863" max="4863"/>
    <col width="13.3984375" customWidth="1" style="162" min="4864" max="4864"/>
    <col width="12.09765625" customWidth="1" style="162" min="4865" max="4865"/>
    <col width="12.59765625" customWidth="1" style="162" min="4866" max="4866"/>
    <col width="13" customWidth="1" style="162" min="4867" max="4867"/>
    <col width="12.69921875" customWidth="1" style="162" min="4868" max="4868"/>
    <col width="10.3984375" customWidth="1" style="162" min="4869" max="4869"/>
    <col width="12.3984375" customWidth="1" style="162" min="4870" max="4870"/>
    <col width="12.09765625" customWidth="1" style="162" min="4871" max="4871"/>
    <col width="13" customWidth="1" style="162" min="4872" max="4872"/>
    <col width="8.69921875" customWidth="1" style="162" min="4873" max="5117"/>
    <col width="18" customWidth="1" style="162" min="5118" max="5118"/>
    <col width="15" customWidth="1" style="162" min="5119" max="5119"/>
    <col width="13.3984375" customWidth="1" style="162" min="5120" max="5120"/>
    <col width="12.09765625" customWidth="1" style="162" min="5121" max="5121"/>
    <col width="12.59765625" customWidth="1" style="162" min="5122" max="5122"/>
    <col width="13" customWidth="1" style="162" min="5123" max="5123"/>
    <col width="12.69921875" customWidth="1" style="162" min="5124" max="5124"/>
    <col width="10.3984375" customWidth="1" style="162" min="5125" max="5125"/>
    <col width="12.3984375" customWidth="1" style="162" min="5126" max="5126"/>
    <col width="12.09765625" customWidth="1" style="162" min="5127" max="5127"/>
    <col width="13" customWidth="1" style="162" min="5128" max="5128"/>
    <col width="8.69921875" customWidth="1" style="162" min="5129" max="5373"/>
    <col width="18" customWidth="1" style="162" min="5374" max="5374"/>
    <col width="15" customWidth="1" style="162" min="5375" max="5375"/>
    <col width="13.3984375" customWidth="1" style="162" min="5376" max="5376"/>
    <col width="12.09765625" customWidth="1" style="162" min="5377" max="5377"/>
    <col width="12.59765625" customWidth="1" style="162" min="5378" max="5378"/>
    <col width="13" customWidth="1" style="162" min="5379" max="5379"/>
    <col width="12.69921875" customWidth="1" style="162" min="5380" max="5380"/>
    <col width="10.3984375" customWidth="1" style="162" min="5381" max="5381"/>
    <col width="12.3984375" customWidth="1" style="162" min="5382" max="5382"/>
    <col width="12.09765625" customWidth="1" style="162" min="5383" max="5383"/>
    <col width="13" customWidth="1" style="162" min="5384" max="5384"/>
    <col width="8.69921875" customWidth="1" style="162" min="5385" max="5629"/>
    <col width="18" customWidth="1" style="162" min="5630" max="5630"/>
    <col width="15" customWidth="1" style="162" min="5631" max="5631"/>
    <col width="13.3984375" customWidth="1" style="162" min="5632" max="5632"/>
    <col width="12.09765625" customWidth="1" style="162" min="5633" max="5633"/>
    <col width="12.59765625" customWidth="1" style="162" min="5634" max="5634"/>
    <col width="13" customWidth="1" style="162" min="5635" max="5635"/>
    <col width="12.69921875" customWidth="1" style="162" min="5636" max="5636"/>
    <col width="10.3984375" customWidth="1" style="162" min="5637" max="5637"/>
    <col width="12.3984375" customWidth="1" style="162" min="5638" max="5638"/>
    <col width="12.09765625" customWidth="1" style="162" min="5639" max="5639"/>
    <col width="13" customWidth="1" style="162" min="5640" max="5640"/>
    <col width="8.69921875" customWidth="1" style="162" min="5641" max="5885"/>
    <col width="18" customWidth="1" style="162" min="5886" max="5886"/>
    <col width="15" customWidth="1" style="162" min="5887" max="5887"/>
    <col width="13.3984375" customWidth="1" style="162" min="5888" max="5888"/>
    <col width="12.09765625" customWidth="1" style="162" min="5889" max="5889"/>
    <col width="12.59765625" customWidth="1" style="162" min="5890" max="5890"/>
    <col width="13" customWidth="1" style="162" min="5891" max="5891"/>
    <col width="12.69921875" customWidth="1" style="162" min="5892" max="5892"/>
    <col width="10.3984375" customWidth="1" style="162" min="5893" max="5893"/>
    <col width="12.3984375" customWidth="1" style="162" min="5894" max="5894"/>
    <col width="12.09765625" customWidth="1" style="162" min="5895" max="5895"/>
    <col width="13" customWidth="1" style="162" min="5896" max="5896"/>
    <col width="8.69921875" customWidth="1" style="162" min="5897" max="6141"/>
    <col width="18" customWidth="1" style="162" min="6142" max="6142"/>
    <col width="15" customWidth="1" style="162" min="6143" max="6143"/>
    <col width="13.3984375" customWidth="1" style="162" min="6144" max="6144"/>
    <col width="12.09765625" customWidth="1" style="162" min="6145" max="6145"/>
    <col width="12.59765625" customWidth="1" style="162" min="6146" max="6146"/>
    <col width="13" customWidth="1" style="162" min="6147" max="6147"/>
    <col width="12.69921875" customWidth="1" style="162" min="6148" max="6148"/>
    <col width="10.3984375" customWidth="1" style="162" min="6149" max="6149"/>
    <col width="12.3984375" customWidth="1" style="162" min="6150" max="6150"/>
    <col width="12.09765625" customWidth="1" style="162" min="6151" max="6151"/>
    <col width="13" customWidth="1" style="162" min="6152" max="6152"/>
    <col width="8.69921875" customWidth="1" style="162" min="6153" max="6397"/>
    <col width="18" customWidth="1" style="162" min="6398" max="6398"/>
    <col width="15" customWidth="1" style="162" min="6399" max="6399"/>
    <col width="13.3984375" customWidth="1" style="162" min="6400" max="6400"/>
    <col width="12.09765625" customWidth="1" style="162" min="6401" max="6401"/>
    <col width="12.59765625" customWidth="1" style="162" min="6402" max="6402"/>
    <col width="13" customWidth="1" style="162" min="6403" max="6403"/>
    <col width="12.69921875" customWidth="1" style="162" min="6404" max="6404"/>
    <col width="10.3984375" customWidth="1" style="162" min="6405" max="6405"/>
    <col width="12.3984375" customWidth="1" style="162" min="6406" max="6406"/>
    <col width="12.09765625" customWidth="1" style="162" min="6407" max="6407"/>
    <col width="13" customWidth="1" style="162" min="6408" max="6408"/>
    <col width="8.69921875" customWidth="1" style="162" min="6409" max="6653"/>
    <col width="18" customWidth="1" style="162" min="6654" max="6654"/>
    <col width="15" customWidth="1" style="162" min="6655" max="6655"/>
    <col width="13.3984375" customWidth="1" style="162" min="6656" max="6656"/>
    <col width="12.09765625" customWidth="1" style="162" min="6657" max="6657"/>
    <col width="12.59765625" customWidth="1" style="162" min="6658" max="6658"/>
    <col width="13" customWidth="1" style="162" min="6659" max="6659"/>
    <col width="12.69921875" customWidth="1" style="162" min="6660" max="6660"/>
    <col width="10.3984375" customWidth="1" style="162" min="6661" max="6661"/>
    <col width="12.3984375" customWidth="1" style="162" min="6662" max="6662"/>
    <col width="12.09765625" customWidth="1" style="162" min="6663" max="6663"/>
    <col width="13" customWidth="1" style="162" min="6664" max="6664"/>
    <col width="8.69921875" customWidth="1" style="162" min="6665" max="6909"/>
    <col width="18" customWidth="1" style="162" min="6910" max="6910"/>
    <col width="15" customWidth="1" style="162" min="6911" max="6911"/>
    <col width="13.3984375" customWidth="1" style="162" min="6912" max="6912"/>
    <col width="12.09765625" customWidth="1" style="162" min="6913" max="6913"/>
    <col width="12.59765625" customWidth="1" style="162" min="6914" max="6914"/>
    <col width="13" customWidth="1" style="162" min="6915" max="6915"/>
    <col width="12.69921875" customWidth="1" style="162" min="6916" max="6916"/>
    <col width="10.3984375" customWidth="1" style="162" min="6917" max="6917"/>
    <col width="12.3984375" customWidth="1" style="162" min="6918" max="6918"/>
    <col width="12.09765625" customWidth="1" style="162" min="6919" max="6919"/>
    <col width="13" customWidth="1" style="162" min="6920" max="6920"/>
    <col width="8.69921875" customWidth="1" style="162" min="6921" max="7165"/>
    <col width="18" customWidth="1" style="162" min="7166" max="7166"/>
    <col width="15" customWidth="1" style="162" min="7167" max="7167"/>
    <col width="13.3984375" customWidth="1" style="162" min="7168" max="7168"/>
    <col width="12.09765625" customWidth="1" style="162" min="7169" max="7169"/>
    <col width="12.59765625" customWidth="1" style="162" min="7170" max="7170"/>
    <col width="13" customWidth="1" style="162" min="7171" max="7171"/>
    <col width="12.69921875" customWidth="1" style="162" min="7172" max="7172"/>
    <col width="10.3984375" customWidth="1" style="162" min="7173" max="7173"/>
    <col width="12.3984375" customWidth="1" style="162" min="7174" max="7174"/>
    <col width="12.09765625" customWidth="1" style="162" min="7175" max="7175"/>
    <col width="13" customWidth="1" style="162" min="7176" max="7176"/>
    <col width="8.69921875" customWidth="1" style="162" min="7177" max="7421"/>
    <col width="18" customWidth="1" style="162" min="7422" max="7422"/>
    <col width="15" customWidth="1" style="162" min="7423" max="7423"/>
    <col width="13.3984375" customWidth="1" style="162" min="7424" max="7424"/>
    <col width="12.09765625" customWidth="1" style="162" min="7425" max="7425"/>
    <col width="12.59765625" customWidth="1" style="162" min="7426" max="7426"/>
    <col width="13" customWidth="1" style="162" min="7427" max="7427"/>
    <col width="12.69921875" customWidth="1" style="162" min="7428" max="7428"/>
    <col width="10.3984375" customWidth="1" style="162" min="7429" max="7429"/>
    <col width="12.3984375" customWidth="1" style="162" min="7430" max="7430"/>
    <col width="12.09765625" customWidth="1" style="162" min="7431" max="7431"/>
    <col width="13" customWidth="1" style="162" min="7432" max="7432"/>
    <col width="8.69921875" customWidth="1" style="162" min="7433" max="7677"/>
    <col width="18" customWidth="1" style="162" min="7678" max="7678"/>
    <col width="15" customWidth="1" style="162" min="7679" max="7679"/>
    <col width="13.3984375" customWidth="1" style="162" min="7680" max="7680"/>
    <col width="12.09765625" customWidth="1" style="162" min="7681" max="7681"/>
    <col width="12.59765625" customWidth="1" style="162" min="7682" max="7682"/>
    <col width="13" customWidth="1" style="162" min="7683" max="7683"/>
    <col width="12.69921875" customWidth="1" style="162" min="7684" max="7684"/>
    <col width="10.3984375" customWidth="1" style="162" min="7685" max="7685"/>
    <col width="12.3984375" customWidth="1" style="162" min="7686" max="7686"/>
    <col width="12.09765625" customWidth="1" style="162" min="7687" max="7687"/>
    <col width="13" customWidth="1" style="162" min="7688" max="7688"/>
    <col width="8.69921875" customWidth="1" style="162" min="7689" max="7933"/>
    <col width="18" customWidth="1" style="162" min="7934" max="7934"/>
    <col width="15" customWidth="1" style="162" min="7935" max="7935"/>
    <col width="13.3984375" customWidth="1" style="162" min="7936" max="7936"/>
    <col width="12.09765625" customWidth="1" style="162" min="7937" max="7937"/>
    <col width="12.59765625" customWidth="1" style="162" min="7938" max="7938"/>
    <col width="13" customWidth="1" style="162" min="7939" max="7939"/>
    <col width="12.69921875" customWidth="1" style="162" min="7940" max="7940"/>
    <col width="10.3984375" customWidth="1" style="162" min="7941" max="7941"/>
    <col width="12.3984375" customWidth="1" style="162" min="7942" max="7942"/>
    <col width="12.09765625" customWidth="1" style="162" min="7943" max="7943"/>
    <col width="13" customWidth="1" style="162" min="7944" max="7944"/>
    <col width="8.69921875" customWidth="1" style="162" min="7945" max="8189"/>
    <col width="18" customWidth="1" style="162" min="8190" max="8190"/>
    <col width="15" customWidth="1" style="162" min="8191" max="8191"/>
    <col width="13.3984375" customWidth="1" style="162" min="8192" max="8192"/>
    <col width="12.09765625" customWidth="1" style="162" min="8193" max="8193"/>
    <col width="12.59765625" customWidth="1" style="162" min="8194" max="8194"/>
    <col width="13" customWidth="1" style="162" min="8195" max="8195"/>
    <col width="12.69921875" customWidth="1" style="162" min="8196" max="8196"/>
    <col width="10.3984375" customWidth="1" style="162" min="8197" max="8197"/>
    <col width="12.3984375" customWidth="1" style="162" min="8198" max="8198"/>
    <col width="12.09765625" customWidth="1" style="162" min="8199" max="8199"/>
    <col width="13" customWidth="1" style="162" min="8200" max="8200"/>
    <col width="8.69921875" customWidth="1" style="162" min="8201" max="8445"/>
    <col width="18" customWidth="1" style="162" min="8446" max="8446"/>
    <col width="15" customWidth="1" style="162" min="8447" max="8447"/>
    <col width="13.3984375" customWidth="1" style="162" min="8448" max="8448"/>
    <col width="12.09765625" customWidth="1" style="162" min="8449" max="8449"/>
    <col width="12.59765625" customWidth="1" style="162" min="8450" max="8450"/>
    <col width="13" customWidth="1" style="162" min="8451" max="8451"/>
    <col width="12.69921875" customWidth="1" style="162" min="8452" max="8452"/>
    <col width="10.3984375" customWidth="1" style="162" min="8453" max="8453"/>
    <col width="12.3984375" customWidth="1" style="162" min="8454" max="8454"/>
    <col width="12.09765625" customWidth="1" style="162" min="8455" max="8455"/>
    <col width="13" customWidth="1" style="162" min="8456" max="8456"/>
    <col width="8.69921875" customWidth="1" style="162" min="8457" max="8701"/>
    <col width="18" customWidth="1" style="162" min="8702" max="8702"/>
    <col width="15" customWidth="1" style="162" min="8703" max="8703"/>
    <col width="13.3984375" customWidth="1" style="162" min="8704" max="8704"/>
    <col width="12.09765625" customWidth="1" style="162" min="8705" max="8705"/>
    <col width="12.59765625" customWidth="1" style="162" min="8706" max="8706"/>
    <col width="13" customWidth="1" style="162" min="8707" max="8707"/>
    <col width="12.69921875" customWidth="1" style="162" min="8708" max="8708"/>
    <col width="10.3984375" customWidth="1" style="162" min="8709" max="8709"/>
    <col width="12.3984375" customWidth="1" style="162" min="8710" max="8710"/>
    <col width="12.09765625" customWidth="1" style="162" min="8711" max="8711"/>
    <col width="13" customWidth="1" style="162" min="8712" max="8712"/>
    <col width="8.69921875" customWidth="1" style="162" min="8713" max="8957"/>
    <col width="18" customWidth="1" style="162" min="8958" max="8958"/>
    <col width="15" customWidth="1" style="162" min="8959" max="8959"/>
    <col width="13.3984375" customWidth="1" style="162" min="8960" max="8960"/>
    <col width="12.09765625" customWidth="1" style="162" min="8961" max="8961"/>
    <col width="12.59765625" customWidth="1" style="162" min="8962" max="8962"/>
    <col width="13" customWidth="1" style="162" min="8963" max="8963"/>
    <col width="12.69921875" customWidth="1" style="162" min="8964" max="8964"/>
    <col width="10.3984375" customWidth="1" style="162" min="8965" max="8965"/>
    <col width="12.3984375" customWidth="1" style="162" min="8966" max="8966"/>
    <col width="12.09765625" customWidth="1" style="162" min="8967" max="8967"/>
    <col width="13" customWidth="1" style="162" min="8968" max="8968"/>
    <col width="8.69921875" customWidth="1" style="162" min="8969" max="9213"/>
    <col width="18" customWidth="1" style="162" min="9214" max="9214"/>
    <col width="15" customWidth="1" style="162" min="9215" max="9215"/>
    <col width="13.3984375" customWidth="1" style="162" min="9216" max="9216"/>
    <col width="12.09765625" customWidth="1" style="162" min="9217" max="9217"/>
    <col width="12.59765625" customWidth="1" style="162" min="9218" max="9218"/>
    <col width="13" customWidth="1" style="162" min="9219" max="9219"/>
    <col width="12.69921875" customWidth="1" style="162" min="9220" max="9220"/>
    <col width="10.3984375" customWidth="1" style="162" min="9221" max="9221"/>
    <col width="12.3984375" customWidth="1" style="162" min="9222" max="9222"/>
    <col width="12.09765625" customWidth="1" style="162" min="9223" max="9223"/>
    <col width="13" customWidth="1" style="162" min="9224" max="9224"/>
    <col width="8.69921875" customWidth="1" style="162" min="9225" max="9469"/>
    <col width="18" customWidth="1" style="162" min="9470" max="9470"/>
    <col width="15" customWidth="1" style="162" min="9471" max="9471"/>
    <col width="13.3984375" customWidth="1" style="162" min="9472" max="9472"/>
    <col width="12.09765625" customWidth="1" style="162" min="9473" max="9473"/>
    <col width="12.59765625" customWidth="1" style="162" min="9474" max="9474"/>
    <col width="13" customWidth="1" style="162" min="9475" max="9475"/>
    <col width="12.69921875" customWidth="1" style="162" min="9476" max="9476"/>
    <col width="10.3984375" customWidth="1" style="162" min="9477" max="9477"/>
    <col width="12.3984375" customWidth="1" style="162" min="9478" max="9478"/>
    <col width="12.09765625" customWidth="1" style="162" min="9479" max="9479"/>
    <col width="13" customWidth="1" style="162" min="9480" max="9480"/>
    <col width="8.69921875" customWidth="1" style="162" min="9481" max="9725"/>
    <col width="18" customWidth="1" style="162" min="9726" max="9726"/>
    <col width="15" customWidth="1" style="162" min="9727" max="9727"/>
    <col width="13.3984375" customWidth="1" style="162" min="9728" max="9728"/>
    <col width="12.09765625" customWidth="1" style="162" min="9729" max="9729"/>
    <col width="12.59765625" customWidth="1" style="162" min="9730" max="9730"/>
    <col width="13" customWidth="1" style="162" min="9731" max="9731"/>
    <col width="12.69921875" customWidth="1" style="162" min="9732" max="9732"/>
    <col width="10.3984375" customWidth="1" style="162" min="9733" max="9733"/>
    <col width="12.3984375" customWidth="1" style="162" min="9734" max="9734"/>
    <col width="12.09765625" customWidth="1" style="162" min="9735" max="9735"/>
    <col width="13" customWidth="1" style="162" min="9736" max="9736"/>
    <col width="8.69921875" customWidth="1" style="162" min="9737" max="9981"/>
    <col width="18" customWidth="1" style="162" min="9982" max="9982"/>
    <col width="15" customWidth="1" style="162" min="9983" max="9983"/>
    <col width="13.3984375" customWidth="1" style="162" min="9984" max="9984"/>
    <col width="12.09765625" customWidth="1" style="162" min="9985" max="9985"/>
    <col width="12.59765625" customWidth="1" style="162" min="9986" max="9986"/>
    <col width="13" customWidth="1" style="162" min="9987" max="9987"/>
    <col width="12.69921875" customWidth="1" style="162" min="9988" max="9988"/>
    <col width="10.3984375" customWidth="1" style="162" min="9989" max="9989"/>
    <col width="12.3984375" customWidth="1" style="162" min="9990" max="9990"/>
    <col width="12.09765625" customWidth="1" style="162" min="9991" max="9991"/>
    <col width="13" customWidth="1" style="162" min="9992" max="9992"/>
    <col width="8.69921875" customWidth="1" style="162" min="9993" max="10237"/>
    <col width="18" customWidth="1" style="162" min="10238" max="10238"/>
    <col width="15" customWidth="1" style="162" min="10239" max="10239"/>
    <col width="13.3984375" customWidth="1" style="162" min="10240" max="10240"/>
    <col width="12.09765625" customWidth="1" style="162" min="10241" max="10241"/>
    <col width="12.59765625" customWidth="1" style="162" min="10242" max="10242"/>
    <col width="13" customWidth="1" style="162" min="10243" max="10243"/>
    <col width="12.69921875" customWidth="1" style="162" min="10244" max="10244"/>
    <col width="10.3984375" customWidth="1" style="162" min="10245" max="10245"/>
    <col width="12.3984375" customWidth="1" style="162" min="10246" max="10246"/>
    <col width="12.09765625" customWidth="1" style="162" min="10247" max="10247"/>
    <col width="13" customWidth="1" style="162" min="10248" max="10248"/>
    <col width="8.69921875" customWidth="1" style="162" min="10249" max="10493"/>
    <col width="18" customWidth="1" style="162" min="10494" max="10494"/>
    <col width="15" customWidth="1" style="162" min="10495" max="10495"/>
    <col width="13.3984375" customWidth="1" style="162" min="10496" max="10496"/>
    <col width="12.09765625" customWidth="1" style="162" min="10497" max="10497"/>
    <col width="12.59765625" customWidth="1" style="162" min="10498" max="10498"/>
    <col width="13" customWidth="1" style="162" min="10499" max="10499"/>
    <col width="12.69921875" customWidth="1" style="162" min="10500" max="10500"/>
    <col width="10.3984375" customWidth="1" style="162" min="10501" max="10501"/>
    <col width="12.3984375" customWidth="1" style="162" min="10502" max="10502"/>
    <col width="12.09765625" customWidth="1" style="162" min="10503" max="10503"/>
    <col width="13" customWidth="1" style="162" min="10504" max="10504"/>
    <col width="8.69921875" customWidth="1" style="162" min="10505" max="10749"/>
    <col width="18" customWidth="1" style="162" min="10750" max="10750"/>
    <col width="15" customWidth="1" style="162" min="10751" max="10751"/>
    <col width="13.3984375" customWidth="1" style="162" min="10752" max="10752"/>
    <col width="12.09765625" customWidth="1" style="162" min="10753" max="10753"/>
    <col width="12.59765625" customWidth="1" style="162" min="10754" max="10754"/>
    <col width="13" customWidth="1" style="162" min="10755" max="10755"/>
    <col width="12.69921875" customWidth="1" style="162" min="10756" max="10756"/>
    <col width="10.3984375" customWidth="1" style="162" min="10757" max="10757"/>
    <col width="12.3984375" customWidth="1" style="162" min="10758" max="10758"/>
    <col width="12.09765625" customWidth="1" style="162" min="10759" max="10759"/>
    <col width="13" customWidth="1" style="162" min="10760" max="10760"/>
    <col width="8.69921875" customWidth="1" style="162" min="10761" max="11005"/>
    <col width="18" customWidth="1" style="162" min="11006" max="11006"/>
    <col width="15" customWidth="1" style="162" min="11007" max="11007"/>
    <col width="13.3984375" customWidth="1" style="162" min="11008" max="11008"/>
    <col width="12.09765625" customWidth="1" style="162" min="11009" max="11009"/>
    <col width="12.59765625" customWidth="1" style="162" min="11010" max="11010"/>
    <col width="13" customWidth="1" style="162" min="11011" max="11011"/>
    <col width="12.69921875" customWidth="1" style="162" min="11012" max="11012"/>
    <col width="10.3984375" customWidth="1" style="162" min="11013" max="11013"/>
    <col width="12.3984375" customWidth="1" style="162" min="11014" max="11014"/>
    <col width="12.09765625" customWidth="1" style="162" min="11015" max="11015"/>
    <col width="13" customWidth="1" style="162" min="11016" max="11016"/>
    <col width="8.69921875" customWidth="1" style="162" min="11017" max="11261"/>
    <col width="18" customWidth="1" style="162" min="11262" max="11262"/>
    <col width="15" customWidth="1" style="162" min="11263" max="11263"/>
    <col width="13.3984375" customWidth="1" style="162" min="11264" max="11264"/>
    <col width="12.09765625" customWidth="1" style="162" min="11265" max="11265"/>
    <col width="12.59765625" customWidth="1" style="162" min="11266" max="11266"/>
    <col width="13" customWidth="1" style="162" min="11267" max="11267"/>
    <col width="12.69921875" customWidth="1" style="162" min="11268" max="11268"/>
    <col width="10.3984375" customWidth="1" style="162" min="11269" max="11269"/>
    <col width="12.3984375" customWidth="1" style="162" min="11270" max="11270"/>
    <col width="12.09765625" customWidth="1" style="162" min="11271" max="11271"/>
    <col width="13" customWidth="1" style="162" min="11272" max="11272"/>
    <col width="8.69921875" customWidth="1" style="162" min="11273" max="11517"/>
    <col width="18" customWidth="1" style="162" min="11518" max="11518"/>
    <col width="15" customWidth="1" style="162" min="11519" max="11519"/>
    <col width="13.3984375" customWidth="1" style="162" min="11520" max="11520"/>
    <col width="12.09765625" customWidth="1" style="162" min="11521" max="11521"/>
    <col width="12.59765625" customWidth="1" style="162" min="11522" max="11522"/>
    <col width="13" customWidth="1" style="162" min="11523" max="11523"/>
    <col width="12.69921875" customWidth="1" style="162" min="11524" max="11524"/>
    <col width="10.3984375" customWidth="1" style="162" min="11525" max="11525"/>
    <col width="12.3984375" customWidth="1" style="162" min="11526" max="11526"/>
    <col width="12.09765625" customWidth="1" style="162" min="11527" max="11527"/>
    <col width="13" customWidth="1" style="162" min="11528" max="11528"/>
    <col width="8.69921875" customWidth="1" style="162" min="11529" max="11773"/>
    <col width="18" customWidth="1" style="162" min="11774" max="11774"/>
    <col width="15" customWidth="1" style="162" min="11775" max="11775"/>
    <col width="13.3984375" customWidth="1" style="162" min="11776" max="11776"/>
    <col width="12.09765625" customWidth="1" style="162" min="11777" max="11777"/>
    <col width="12.59765625" customWidth="1" style="162" min="11778" max="11778"/>
    <col width="13" customWidth="1" style="162" min="11779" max="11779"/>
    <col width="12.69921875" customWidth="1" style="162" min="11780" max="11780"/>
    <col width="10.3984375" customWidth="1" style="162" min="11781" max="11781"/>
    <col width="12.3984375" customWidth="1" style="162" min="11782" max="11782"/>
    <col width="12.09765625" customWidth="1" style="162" min="11783" max="11783"/>
    <col width="13" customWidth="1" style="162" min="11784" max="11784"/>
    <col width="8.69921875" customWidth="1" style="162" min="11785" max="12029"/>
    <col width="18" customWidth="1" style="162" min="12030" max="12030"/>
    <col width="15" customWidth="1" style="162" min="12031" max="12031"/>
    <col width="13.3984375" customWidth="1" style="162" min="12032" max="12032"/>
    <col width="12.09765625" customWidth="1" style="162" min="12033" max="12033"/>
    <col width="12.59765625" customWidth="1" style="162" min="12034" max="12034"/>
    <col width="13" customWidth="1" style="162" min="12035" max="12035"/>
    <col width="12.69921875" customWidth="1" style="162" min="12036" max="12036"/>
    <col width="10.3984375" customWidth="1" style="162" min="12037" max="12037"/>
    <col width="12.3984375" customWidth="1" style="162" min="12038" max="12038"/>
    <col width="12.09765625" customWidth="1" style="162" min="12039" max="12039"/>
    <col width="13" customWidth="1" style="162" min="12040" max="12040"/>
    <col width="8.69921875" customWidth="1" style="162" min="12041" max="12285"/>
    <col width="18" customWidth="1" style="162" min="12286" max="12286"/>
    <col width="15" customWidth="1" style="162" min="12287" max="12287"/>
    <col width="13.3984375" customWidth="1" style="162" min="12288" max="12288"/>
    <col width="12.09765625" customWidth="1" style="162" min="12289" max="12289"/>
    <col width="12.59765625" customWidth="1" style="162" min="12290" max="12290"/>
    <col width="13" customWidth="1" style="162" min="12291" max="12291"/>
    <col width="12.69921875" customWidth="1" style="162" min="12292" max="12292"/>
    <col width="10.3984375" customWidth="1" style="162" min="12293" max="12293"/>
    <col width="12.3984375" customWidth="1" style="162" min="12294" max="12294"/>
    <col width="12.09765625" customWidth="1" style="162" min="12295" max="12295"/>
    <col width="13" customWidth="1" style="162" min="12296" max="12296"/>
    <col width="8.69921875" customWidth="1" style="162" min="12297" max="12541"/>
    <col width="18" customWidth="1" style="162" min="12542" max="12542"/>
    <col width="15" customWidth="1" style="162" min="12543" max="12543"/>
    <col width="13.3984375" customWidth="1" style="162" min="12544" max="12544"/>
    <col width="12.09765625" customWidth="1" style="162" min="12545" max="12545"/>
    <col width="12.59765625" customWidth="1" style="162" min="12546" max="12546"/>
    <col width="13" customWidth="1" style="162" min="12547" max="12547"/>
    <col width="12.69921875" customWidth="1" style="162" min="12548" max="12548"/>
    <col width="10.3984375" customWidth="1" style="162" min="12549" max="12549"/>
    <col width="12.3984375" customWidth="1" style="162" min="12550" max="12550"/>
    <col width="12.09765625" customWidth="1" style="162" min="12551" max="12551"/>
    <col width="13" customWidth="1" style="162" min="12552" max="12552"/>
    <col width="8.69921875" customWidth="1" style="162" min="12553" max="12797"/>
    <col width="18" customWidth="1" style="162" min="12798" max="12798"/>
    <col width="15" customWidth="1" style="162" min="12799" max="12799"/>
    <col width="13.3984375" customWidth="1" style="162" min="12800" max="12800"/>
    <col width="12.09765625" customWidth="1" style="162" min="12801" max="12801"/>
    <col width="12.59765625" customWidth="1" style="162" min="12802" max="12802"/>
    <col width="13" customWidth="1" style="162" min="12803" max="12803"/>
    <col width="12.69921875" customWidth="1" style="162" min="12804" max="12804"/>
    <col width="10.3984375" customWidth="1" style="162" min="12805" max="12805"/>
    <col width="12.3984375" customWidth="1" style="162" min="12806" max="12806"/>
    <col width="12.09765625" customWidth="1" style="162" min="12807" max="12807"/>
    <col width="13" customWidth="1" style="162" min="12808" max="12808"/>
    <col width="8.69921875" customWidth="1" style="162" min="12809" max="13053"/>
    <col width="18" customWidth="1" style="162" min="13054" max="13054"/>
    <col width="15" customWidth="1" style="162" min="13055" max="13055"/>
    <col width="13.3984375" customWidth="1" style="162" min="13056" max="13056"/>
    <col width="12.09765625" customWidth="1" style="162" min="13057" max="13057"/>
    <col width="12.59765625" customWidth="1" style="162" min="13058" max="13058"/>
    <col width="13" customWidth="1" style="162" min="13059" max="13059"/>
    <col width="12.69921875" customWidth="1" style="162" min="13060" max="13060"/>
    <col width="10.3984375" customWidth="1" style="162" min="13061" max="13061"/>
    <col width="12.3984375" customWidth="1" style="162" min="13062" max="13062"/>
    <col width="12.09765625" customWidth="1" style="162" min="13063" max="13063"/>
    <col width="13" customWidth="1" style="162" min="13064" max="13064"/>
    <col width="8.69921875" customWidth="1" style="162" min="13065" max="13309"/>
    <col width="18" customWidth="1" style="162" min="13310" max="13310"/>
    <col width="15" customWidth="1" style="162" min="13311" max="13311"/>
    <col width="13.3984375" customWidth="1" style="162" min="13312" max="13312"/>
    <col width="12.09765625" customWidth="1" style="162" min="13313" max="13313"/>
    <col width="12.59765625" customWidth="1" style="162" min="13314" max="13314"/>
    <col width="13" customWidth="1" style="162" min="13315" max="13315"/>
    <col width="12.69921875" customWidth="1" style="162" min="13316" max="13316"/>
    <col width="10.3984375" customWidth="1" style="162" min="13317" max="13317"/>
    <col width="12.3984375" customWidth="1" style="162" min="13318" max="13318"/>
    <col width="12.09765625" customWidth="1" style="162" min="13319" max="13319"/>
    <col width="13" customWidth="1" style="162" min="13320" max="13320"/>
    <col width="8.69921875" customWidth="1" style="162" min="13321" max="13565"/>
    <col width="18" customWidth="1" style="162" min="13566" max="13566"/>
    <col width="15" customWidth="1" style="162" min="13567" max="13567"/>
    <col width="13.3984375" customWidth="1" style="162" min="13568" max="13568"/>
    <col width="12.09765625" customWidth="1" style="162" min="13569" max="13569"/>
    <col width="12.59765625" customWidth="1" style="162" min="13570" max="13570"/>
    <col width="13" customWidth="1" style="162" min="13571" max="13571"/>
    <col width="12.69921875" customWidth="1" style="162" min="13572" max="13572"/>
    <col width="10.3984375" customWidth="1" style="162" min="13573" max="13573"/>
    <col width="12.3984375" customWidth="1" style="162" min="13574" max="13574"/>
    <col width="12.09765625" customWidth="1" style="162" min="13575" max="13575"/>
    <col width="13" customWidth="1" style="162" min="13576" max="13576"/>
    <col width="8.69921875" customWidth="1" style="162" min="13577" max="13821"/>
    <col width="18" customWidth="1" style="162" min="13822" max="13822"/>
    <col width="15" customWidth="1" style="162" min="13823" max="13823"/>
    <col width="13.3984375" customWidth="1" style="162" min="13824" max="13824"/>
    <col width="12.09765625" customWidth="1" style="162" min="13825" max="13825"/>
    <col width="12.59765625" customWidth="1" style="162" min="13826" max="13826"/>
    <col width="13" customWidth="1" style="162" min="13827" max="13827"/>
    <col width="12.69921875" customWidth="1" style="162" min="13828" max="13828"/>
    <col width="10.3984375" customWidth="1" style="162" min="13829" max="13829"/>
    <col width="12.3984375" customWidth="1" style="162" min="13830" max="13830"/>
    <col width="12.09765625" customWidth="1" style="162" min="13831" max="13831"/>
    <col width="13" customWidth="1" style="162" min="13832" max="13832"/>
    <col width="8.69921875" customWidth="1" style="162" min="13833" max="14077"/>
    <col width="18" customWidth="1" style="162" min="14078" max="14078"/>
    <col width="15" customWidth="1" style="162" min="14079" max="14079"/>
    <col width="13.3984375" customWidth="1" style="162" min="14080" max="14080"/>
    <col width="12.09765625" customWidth="1" style="162" min="14081" max="14081"/>
    <col width="12.59765625" customWidth="1" style="162" min="14082" max="14082"/>
    <col width="13" customWidth="1" style="162" min="14083" max="14083"/>
    <col width="12.69921875" customWidth="1" style="162" min="14084" max="14084"/>
    <col width="10.3984375" customWidth="1" style="162" min="14085" max="14085"/>
    <col width="12.3984375" customWidth="1" style="162" min="14086" max="14086"/>
    <col width="12.09765625" customWidth="1" style="162" min="14087" max="14087"/>
    <col width="13" customWidth="1" style="162" min="14088" max="14088"/>
    <col width="8.69921875" customWidth="1" style="162" min="14089" max="14333"/>
    <col width="18" customWidth="1" style="162" min="14334" max="14334"/>
    <col width="15" customWidth="1" style="162" min="14335" max="14335"/>
    <col width="13.3984375" customWidth="1" style="162" min="14336" max="14336"/>
    <col width="12.09765625" customWidth="1" style="162" min="14337" max="14337"/>
    <col width="12.59765625" customWidth="1" style="162" min="14338" max="14338"/>
    <col width="13" customWidth="1" style="162" min="14339" max="14339"/>
    <col width="12.69921875" customWidth="1" style="162" min="14340" max="14340"/>
    <col width="10.3984375" customWidth="1" style="162" min="14341" max="14341"/>
    <col width="12.3984375" customWidth="1" style="162" min="14342" max="14342"/>
    <col width="12.09765625" customWidth="1" style="162" min="14343" max="14343"/>
    <col width="13" customWidth="1" style="162" min="14344" max="14344"/>
    <col width="8.69921875" customWidth="1" style="162" min="14345" max="14589"/>
    <col width="18" customWidth="1" style="162" min="14590" max="14590"/>
    <col width="15" customWidth="1" style="162" min="14591" max="14591"/>
    <col width="13.3984375" customWidth="1" style="162" min="14592" max="14592"/>
    <col width="12.09765625" customWidth="1" style="162" min="14593" max="14593"/>
    <col width="12.59765625" customWidth="1" style="162" min="14594" max="14594"/>
    <col width="13" customWidth="1" style="162" min="14595" max="14595"/>
    <col width="12.69921875" customWidth="1" style="162" min="14596" max="14596"/>
    <col width="10.3984375" customWidth="1" style="162" min="14597" max="14597"/>
    <col width="12.3984375" customWidth="1" style="162" min="14598" max="14598"/>
    <col width="12.09765625" customWidth="1" style="162" min="14599" max="14599"/>
    <col width="13" customWidth="1" style="162" min="14600" max="14600"/>
    <col width="8.69921875" customWidth="1" style="162" min="14601" max="14845"/>
    <col width="18" customWidth="1" style="162" min="14846" max="14846"/>
    <col width="15" customWidth="1" style="162" min="14847" max="14847"/>
    <col width="13.3984375" customWidth="1" style="162" min="14848" max="14848"/>
    <col width="12.09765625" customWidth="1" style="162" min="14849" max="14849"/>
    <col width="12.59765625" customWidth="1" style="162" min="14850" max="14850"/>
    <col width="13" customWidth="1" style="162" min="14851" max="14851"/>
    <col width="12.69921875" customWidth="1" style="162" min="14852" max="14852"/>
    <col width="10.3984375" customWidth="1" style="162" min="14853" max="14853"/>
    <col width="12.3984375" customWidth="1" style="162" min="14854" max="14854"/>
    <col width="12.09765625" customWidth="1" style="162" min="14855" max="14855"/>
    <col width="13" customWidth="1" style="162" min="14856" max="14856"/>
    <col width="8.69921875" customWidth="1" style="162" min="14857" max="15101"/>
    <col width="18" customWidth="1" style="162" min="15102" max="15102"/>
    <col width="15" customWidth="1" style="162" min="15103" max="15103"/>
    <col width="13.3984375" customWidth="1" style="162" min="15104" max="15104"/>
    <col width="12.09765625" customWidth="1" style="162" min="15105" max="15105"/>
    <col width="12.59765625" customWidth="1" style="162" min="15106" max="15106"/>
    <col width="13" customWidth="1" style="162" min="15107" max="15107"/>
    <col width="12.69921875" customWidth="1" style="162" min="15108" max="15108"/>
    <col width="10.3984375" customWidth="1" style="162" min="15109" max="15109"/>
    <col width="12.3984375" customWidth="1" style="162" min="15110" max="15110"/>
    <col width="12.09765625" customWidth="1" style="162" min="15111" max="15111"/>
    <col width="13" customWidth="1" style="162" min="15112" max="15112"/>
    <col width="8.69921875" customWidth="1" style="162" min="15113" max="15357"/>
    <col width="18" customWidth="1" style="162" min="15358" max="15358"/>
    <col width="15" customWidth="1" style="162" min="15359" max="15359"/>
    <col width="13.3984375" customWidth="1" style="162" min="15360" max="15360"/>
    <col width="12.09765625" customWidth="1" style="162" min="15361" max="15361"/>
    <col width="12.59765625" customWidth="1" style="162" min="15362" max="15362"/>
    <col width="13" customWidth="1" style="162" min="15363" max="15363"/>
    <col width="12.69921875" customWidth="1" style="162" min="15364" max="15364"/>
    <col width="10.3984375" customWidth="1" style="162" min="15365" max="15365"/>
    <col width="12.3984375" customWidth="1" style="162" min="15366" max="15366"/>
    <col width="12.09765625" customWidth="1" style="162" min="15367" max="15367"/>
    <col width="13" customWidth="1" style="162" min="15368" max="15368"/>
    <col width="8.69921875" customWidth="1" style="162" min="15369" max="15613"/>
    <col width="18" customWidth="1" style="162" min="15614" max="15614"/>
    <col width="15" customWidth="1" style="162" min="15615" max="15615"/>
    <col width="13.3984375" customWidth="1" style="162" min="15616" max="15616"/>
    <col width="12.09765625" customWidth="1" style="162" min="15617" max="15617"/>
    <col width="12.59765625" customWidth="1" style="162" min="15618" max="15618"/>
    <col width="13" customWidth="1" style="162" min="15619" max="15619"/>
    <col width="12.69921875" customWidth="1" style="162" min="15620" max="15620"/>
    <col width="10.3984375" customWidth="1" style="162" min="15621" max="15621"/>
    <col width="12.3984375" customWidth="1" style="162" min="15622" max="15622"/>
    <col width="12.09765625" customWidth="1" style="162" min="15623" max="15623"/>
    <col width="13" customWidth="1" style="162" min="15624" max="15624"/>
    <col width="8.69921875" customWidth="1" style="162" min="15625" max="15869"/>
    <col width="18" customWidth="1" style="162" min="15870" max="15870"/>
    <col width="15" customWidth="1" style="162" min="15871" max="15871"/>
    <col width="13.3984375" customWidth="1" style="162" min="15872" max="15872"/>
    <col width="12.09765625" customWidth="1" style="162" min="15873" max="15873"/>
    <col width="12.59765625" customWidth="1" style="162" min="15874" max="15874"/>
    <col width="13" customWidth="1" style="162" min="15875" max="15875"/>
    <col width="12.69921875" customWidth="1" style="162" min="15876" max="15876"/>
    <col width="10.3984375" customWidth="1" style="162" min="15877" max="15877"/>
    <col width="12.3984375" customWidth="1" style="162" min="15878" max="15878"/>
    <col width="12.09765625" customWidth="1" style="162" min="15879" max="15879"/>
    <col width="13" customWidth="1" style="162" min="15880" max="15880"/>
    <col width="8.69921875" customWidth="1" style="162" min="15881" max="16125"/>
    <col width="18" customWidth="1" style="162" min="16126" max="16126"/>
    <col width="15" customWidth="1" style="162" min="16127" max="16127"/>
    <col width="13.3984375" customWidth="1" style="162" min="16128" max="16128"/>
    <col width="12.09765625" customWidth="1" style="162" min="16129" max="16129"/>
    <col width="12.59765625" customWidth="1" style="162" min="16130" max="16130"/>
    <col width="13" customWidth="1" style="162" min="16131" max="16131"/>
    <col width="12.69921875" customWidth="1" style="162" min="16132" max="16132"/>
    <col width="10.3984375" customWidth="1" style="162" min="16133" max="16133"/>
    <col width="12.3984375" customWidth="1" style="162" min="16134" max="16134"/>
    <col width="12.09765625" customWidth="1" style="162" min="16135" max="16135"/>
    <col width="13" customWidth="1" style="162" min="16136" max="16136"/>
    <col width="8.69921875" customWidth="1" style="162" min="16137" max="16384"/>
  </cols>
  <sheetData>
    <row r="1" ht="19.95" customFormat="1" customHeight="1" s="621">
      <c r="A1" s="1009" t="inlineStr">
        <is>
          <t>致同会计师事务所</t>
        </is>
      </c>
      <c r="B1" s="0" t="n"/>
      <c r="C1" s="0" t="n"/>
      <c r="D1" s="0" t="n"/>
      <c r="E1" s="0" t="n"/>
      <c r="F1" s="0" t="n"/>
      <c r="G1" s="0" t="n"/>
      <c r="H1" s="0" t="n"/>
      <c r="I1" s="0" t="n"/>
      <c r="J1" s="1009" t="inlineStr">
        <is>
          <t>致同会计师事务所</t>
        </is>
      </c>
      <c r="K1" s="0" t="n"/>
      <c r="L1" s="0" t="n"/>
      <c r="M1" s="0" t="n"/>
      <c r="N1" s="0" t="n"/>
      <c r="O1" s="0" t="n"/>
      <c r="P1" s="0" t="n"/>
      <c r="Q1" s="0" t="n"/>
      <c r="R1" s="0" t="n"/>
      <c r="S1" s="0" t="n"/>
      <c r="T1" s="0" t="n"/>
    </row>
    <row r="2" ht="19.95" customFormat="1" customHeight="1" s="632">
      <c r="A2" s="1010" t="inlineStr">
        <is>
          <t>权益法测算表</t>
        </is>
      </c>
      <c r="B2" s="0" t="n"/>
      <c r="C2" s="0" t="n"/>
      <c r="D2" s="0" t="n"/>
      <c r="E2" s="0" t="n"/>
      <c r="F2" s="0" t="n"/>
      <c r="G2" s="0" t="n"/>
      <c r="H2" s="0" t="n"/>
      <c r="I2" s="0" t="n"/>
      <c r="J2" s="1010" t="inlineStr">
        <is>
          <t>权益法测算表</t>
        </is>
      </c>
      <c r="K2" s="0" t="n"/>
      <c r="L2" s="0" t="n"/>
      <c r="M2" s="0" t="n"/>
      <c r="N2" s="0" t="n"/>
      <c r="O2" s="0" t="n"/>
      <c r="P2" s="0" t="n"/>
      <c r="Q2" s="0" t="n"/>
      <c r="R2" s="0" t="n"/>
      <c r="S2" s="0" t="n"/>
      <c r="T2" s="0" t="n"/>
    </row>
    <row r="3" ht="19.95" customFormat="1" customHeight="1" s="674">
      <c r="A3" s="207">
        <f>底稿目录!A2</f>
        <v/>
      </c>
      <c r="C3" s="207" t="n"/>
      <c r="D3" s="207">
        <f>底稿目录!A4</f>
        <v/>
      </c>
      <c r="F3" s="229">
        <f>底稿目录!A5</f>
        <v/>
      </c>
      <c r="G3" s="207" t="n"/>
      <c r="H3" s="207" t="inlineStr">
        <is>
          <t>索引号：</t>
        </is>
      </c>
      <c r="I3" s="1096">
        <f>底稿目录!F20</f>
        <v/>
      </c>
      <c r="J3" s="674">
        <f>A3</f>
        <v/>
      </c>
      <c r="L3" s="675">
        <f>D3</f>
        <v/>
      </c>
      <c r="N3" s="675">
        <f>F3</f>
        <v/>
      </c>
      <c r="S3" s="674">
        <f>H3</f>
        <v/>
      </c>
      <c r="T3" s="1096">
        <f>I3</f>
        <v/>
      </c>
    </row>
    <row r="4" ht="19.95" customFormat="1" customHeight="1" s="674">
      <c r="A4" s="207">
        <f>底稿目录!A3</f>
        <v/>
      </c>
      <c r="C4" s="207" t="n"/>
      <c r="D4" s="207">
        <f>底稿目录!A6</f>
        <v/>
      </c>
      <c r="F4" s="229">
        <f>底稿目录!A7</f>
        <v/>
      </c>
      <c r="G4" s="207" t="n"/>
      <c r="H4" s="207" t="inlineStr">
        <is>
          <t>页 次：</t>
        </is>
      </c>
      <c r="J4" s="674">
        <f>A4</f>
        <v/>
      </c>
      <c r="L4" s="675">
        <f>D4</f>
        <v/>
      </c>
      <c r="N4" s="675">
        <f>F4</f>
        <v/>
      </c>
      <c r="S4" s="674">
        <f>H4</f>
        <v/>
      </c>
      <c r="T4" s="674">
        <f>I4</f>
        <v/>
      </c>
    </row>
    <row r="5" ht="19.95" customFormat="1" customHeight="1" s="686">
      <c r="A5" s="74" t="inlineStr">
        <is>
          <t>一、审计目标：</t>
        </is>
      </c>
      <c r="B5" s="2" t="n"/>
      <c r="C5" s="4" t="inlineStr">
        <is>
          <t>确定权益法核算的会计处理是否恰当，包括本期投资收益/OCI/其他权益变动测算、期末长投余额与应享净资产核对，以及差异原因分析。</t>
        </is>
      </c>
      <c r="J5" s="686">
        <f>A5</f>
        <v/>
      </c>
      <c r="K5" s="686">
        <f>B5</f>
        <v/>
      </c>
      <c r="L5" s="686">
        <f>C5</f>
        <v/>
      </c>
    </row>
    <row r="6" ht="19.95" customFormat="1" customHeight="1" s="686">
      <c r="A6" s="37" t="inlineStr">
        <is>
          <t>二、审计过程</t>
        </is>
      </c>
      <c r="J6" s="686">
        <f>A6</f>
        <v/>
      </c>
      <c r="K6" s="686">
        <f>B6</f>
        <v/>
      </c>
      <c r="L6" s="686">
        <f>C6</f>
        <v/>
      </c>
    </row>
    <row r="7" ht="19.95" customFormat="1" customHeight="1" s="686">
      <c r="A7" s="37" t="inlineStr">
        <is>
          <t>1、被投资单位权益法调整测算</t>
        </is>
      </c>
      <c r="J7" s="686">
        <f>A7</f>
        <v/>
      </c>
      <c r="K7" s="686">
        <f>B7</f>
        <v/>
      </c>
      <c r="L7" s="686">
        <f>C7</f>
        <v/>
      </c>
    </row>
    <row r="8" ht="19.95" customFormat="1" customHeight="1" s="686">
      <c r="B8" s="951" t="inlineStr">
        <is>
          <t>被投资单位名称</t>
        </is>
      </c>
      <c r="C8" s="951" t="inlineStr">
        <is>
          <t>持股比例</t>
        </is>
      </c>
      <c r="D8" s="951" t="inlineStr">
        <is>
          <t>被投资单位</t>
        </is>
      </c>
      <c r="E8" s="1285" t="n"/>
      <c r="F8" s="1270" t="n"/>
      <c r="G8" s="951" t="inlineStr">
        <is>
          <t>测算</t>
        </is>
      </c>
      <c r="H8" s="1285" t="n"/>
      <c r="I8" s="1270" t="n"/>
      <c r="J8" s="951" t="inlineStr">
        <is>
          <t>已宣告发放的归属于被审计单位单位的股利</t>
        </is>
      </c>
      <c r="K8" s="951" t="inlineStr">
        <is>
          <t>账面确认投资收益</t>
        </is>
      </c>
      <c r="L8" s="951" t="inlineStr">
        <is>
          <t>投资收益差异</t>
        </is>
      </c>
      <c r="M8" s="951" t="inlineStr">
        <is>
          <t>账面确认的其他综合收益</t>
        </is>
      </c>
      <c r="N8" s="951" t="inlineStr">
        <is>
          <t>差异</t>
        </is>
      </c>
      <c r="O8" s="951" t="inlineStr">
        <is>
          <t>账面确认的其他权益变动</t>
        </is>
      </c>
      <c r="P8" s="951" t="inlineStr">
        <is>
          <t>差异</t>
        </is>
      </c>
      <c r="Q8" s="950" t="inlineStr">
        <is>
          <t>备注/差异解释</t>
        </is>
      </c>
    </row>
    <row r="9" ht="25.8" customFormat="1" customHeight="1" s="686">
      <c r="B9" s="1273" t="n"/>
      <c r="C9" s="1273" t="n"/>
      <c r="D9" s="951" t="inlineStr">
        <is>
          <t>本期净利润</t>
        </is>
      </c>
      <c r="E9" s="951" t="inlineStr">
        <is>
          <t>其他综合收益</t>
        </is>
      </c>
      <c r="F9" s="951" t="inlineStr">
        <is>
          <t>其他权益变动</t>
        </is>
      </c>
      <c r="G9" s="951" t="inlineStr">
        <is>
          <t>投资收益</t>
        </is>
      </c>
      <c r="H9" s="951" t="inlineStr">
        <is>
          <t>长期投资-其他综合收益</t>
        </is>
      </c>
      <c r="I9" s="951" t="inlineStr">
        <is>
          <t>其他权益变动</t>
        </is>
      </c>
      <c r="J9" s="1273" t="n"/>
      <c r="K9" s="1273" t="n"/>
      <c r="L9" s="1273" t="n"/>
      <c r="M9" s="1273" t="n"/>
      <c r="N9" s="1273" t="n"/>
      <c r="O9" s="1273" t="n"/>
      <c r="P9" s="1273" t="n"/>
      <c r="Q9" s="1273" t="n"/>
    </row>
    <row r="10" ht="19.95" customFormat="1" customHeight="1" s="686">
      <c r="B10" s="206" t="n"/>
      <c r="C10" s="951" t="inlineStr">
        <is>
          <t>①</t>
        </is>
      </c>
      <c r="D10" s="951" t="inlineStr">
        <is>
          <t>②</t>
        </is>
      </c>
      <c r="E10" s="951" t="inlineStr">
        <is>
          <t>③</t>
        </is>
      </c>
      <c r="F10" s="951" t="inlineStr">
        <is>
          <t>④</t>
        </is>
      </c>
      <c r="G10" s="951" t="inlineStr">
        <is>
          <t>⑤=①×②</t>
        </is>
      </c>
      <c r="H10" s="951" t="inlineStr">
        <is>
          <t>⑥=①×③</t>
        </is>
      </c>
      <c r="I10" s="951" t="inlineStr">
        <is>
          <t>⑦=①×④</t>
        </is>
      </c>
      <c r="J10" s="951" t="inlineStr">
        <is>
          <t>⑧</t>
        </is>
      </c>
      <c r="K10" s="951" t="inlineStr">
        <is>
          <t>⑨</t>
        </is>
      </c>
      <c r="L10" s="951" t="inlineStr">
        <is>
          <t>⑩=⑨-⑤+⑧</t>
        </is>
      </c>
      <c r="M10" s="951" t="inlineStr">
        <is>
          <t>⑪</t>
        </is>
      </c>
      <c r="N10" s="951" t="inlineStr">
        <is>
          <t>⑫=⑪-⑥</t>
        </is>
      </c>
      <c r="O10" s="951" t="inlineStr">
        <is>
          <t>⑬</t>
        </is>
      </c>
      <c r="P10" s="951" t="inlineStr">
        <is>
          <t>⑭=⑬-⑦</t>
        </is>
      </c>
      <c r="Q10" s="951" t="n"/>
    </row>
    <row r="11" ht="19.95" customFormat="1" customHeight="1" s="686">
      <c r="A11" s="1642" t="n"/>
      <c r="B11" s="1654">
        <f>IF(OR('明细表G7-2'!B33="",'明细表G7-2'!B33="……"),"",'明细表G7-2'!B33)</f>
        <v/>
      </c>
      <c r="C11" s="1655">
        <f>IF(B11="","",'明细表G7-2'!D33)</f>
        <v/>
      </c>
      <c r="D11" s="1626" t="n"/>
      <c r="E11" s="1626" t="n"/>
      <c r="F11" s="1626" t="n"/>
      <c r="G11" s="1627">
        <f>IF(B11="","",C11*D11)</f>
        <v/>
      </c>
      <c r="H11" s="1627">
        <f>IF(B11="","",C11*E11)</f>
        <v/>
      </c>
      <c r="I11" s="1627">
        <f>IF(B11="","",C11*F11)</f>
        <v/>
      </c>
      <c r="J11" s="1626" t="n"/>
      <c r="K11" s="1626" t="n"/>
      <c r="L11" s="1627">
        <f>IF(B11="","",K11-G11+J11)</f>
        <v/>
      </c>
      <c r="M11" s="1626" t="n"/>
      <c r="N11" s="1627">
        <f>IF(B11="","",M11-H11)</f>
        <v/>
      </c>
      <c r="O11" s="1626" t="n"/>
      <c r="P11" s="1641" t="n"/>
      <c r="Q11" s="1641" t="n"/>
      <c r="R11" s="1642" t="n"/>
      <c r="S11" s="1642" t="n"/>
      <c r="T11" s="1642" t="n"/>
    </row>
    <row r="12" ht="19.95" customFormat="1" customHeight="1" s="686">
      <c r="A12" s="1642" t="n"/>
      <c r="B12" s="1654">
        <f>IF(OR('明细表G7-2'!B34="",'明细表G7-2'!B34="……"),"",'明细表G7-2'!B34)</f>
        <v/>
      </c>
      <c r="C12" s="1655">
        <f>IF(B12="","",'明细表G7-2'!D34)</f>
        <v/>
      </c>
      <c r="D12" s="1626" t="n"/>
      <c r="E12" s="1626" t="n"/>
      <c r="F12" s="1626" t="n"/>
      <c r="G12" s="1627">
        <f>IF(B12="","",C12*D12)</f>
        <v/>
      </c>
      <c r="H12" s="1627">
        <f>IF(B12="","",C12*E12)</f>
        <v/>
      </c>
      <c r="I12" s="1627">
        <f>IF(B12="","",C12*F12)</f>
        <v/>
      </c>
      <c r="J12" s="1626" t="n"/>
      <c r="K12" s="1626" t="n"/>
      <c r="L12" s="1627">
        <f>IF(B12="","",K12-G12+J12)</f>
        <v/>
      </c>
      <c r="M12" s="1626" t="n"/>
      <c r="N12" s="1627">
        <f>IF(B12="","",M12-H12)</f>
        <v/>
      </c>
      <c r="O12" s="1626" t="n"/>
      <c r="P12" s="1641" t="n"/>
      <c r="Q12" s="1641" t="n"/>
      <c r="R12" s="1642" t="n"/>
      <c r="S12" s="1642" t="n"/>
      <c r="T12" s="1642" t="n"/>
    </row>
    <row r="13" ht="19.95" customFormat="1" customHeight="1" s="686">
      <c r="A13" s="1642" t="n"/>
      <c r="B13" s="1654">
        <f>IF(OR('明细表G7-2'!B35="",'明细表G7-2'!B35="……"),"",'明细表G7-2'!B35)</f>
        <v/>
      </c>
      <c r="C13" s="1655">
        <f>IF(B13="","",'明细表G7-2'!D35)</f>
        <v/>
      </c>
      <c r="D13" s="1626" t="n"/>
      <c r="E13" s="1626" t="n"/>
      <c r="F13" s="1626" t="n"/>
      <c r="G13" s="1627">
        <f>IF(B13="","",C13*D13)</f>
        <v/>
      </c>
      <c r="H13" s="1627">
        <f>IF(B13="","",C13*E13)</f>
        <v/>
      </c>
      <c r="I13" s="1627">
        <f>IF(B13="","",C13*F13)</f>
        <v/>
      </c>
      <c r="J13" s="1626" t="n"/>
      <c r="K13" s="1626" t="n"/>
      <c r="L13" s="1627">
        <f>IF(B13="","",K13-G13+J13)</f>
        <v/>
      </c>
      <c r="M13" s="1626" t="n"/>
      <c r="N13" s="1627">
        <f>IF(B13="","",M13-H13)</f>
        <v/>
      </c>
      <c r="O13" s="1626" t="n"/>
      <c r="P13" s="1641" t="n"/>
      <c r="Q13" s="1641" t="n"/>
      <c r="R13" s="1642" t="n"/>
      <c r="S13" s="1642" t="n"/>
      <c r="T13" s="1642" t="n"/>
    </row>
    <row r="14" ht="19.95" customFormat="1" customHeight="1" s="686">
      <c r="A14" s="1642" t="n"/>
      <c r="B14" s="1654">
        <f>IF(OR('明细表G7-2'!B36="",'明细表G7-2'!B36="……"),"",'明细表G7-2'!B36)</f>
        <v/>
      </c>
      <c r="C14" s="1655">
        <f>IF(B14="","",'明细表G7-2'!D36)</f>
        <v/>
      </c>
      <c r="D14" s="1626" t="n"/>
      <c r="E14" s="1626" t="n"/>
      <c r="F14" s="1626" t="n"/>
      <c r="G14" s="1627">
        <f>IF(B14="","",C14*D14)</f>
        <v/>
      </c>
      <c r="H14" s="1627">
        <f>IF(B14="","",C14*E14)</f>
        <v/>
      </c>
      <c r="I14" s="1627">
        <f>IF(B14="","",C14*F14)</f>
        <v/>
      </c>
      <c r="J14" s="1626" t="n"/>
      <c r="K14" s="1626" t="n"/>
      <c r="L14" s="1627">
        <f>IF(B14="","",K14-G14+J14)</f>
        <v/>
      </c>
      <c r="M14" s="1626" t="n"/>
      <c r="N14" s="1627">
        <f>IF(B14="","",M14-H14)</f>
        <v/>
      </c>
      <c r="O14" s="1626" t="n"/>
      <c r="P14" s="1641" t="n"/>
      <c r="Q14" s="1641" t="n"/>
      <c r="R14" s="1642" t="n"/>
      <c r="S14" s="1642" t="n"/>
      <c r="T14" s="1642" t="n"/>
    </row>
    <row r="15" ht="19.95" customFormat="1" customHeight="1" s="686">
      <c r="A15" s="1642" t="n"/>
      <c r="B15" s="1654">
        <f>IF(OR('明细表G7-2'!B37="",'明细表G7-2'!B37="……"),"",'明细表G7-2'!B37)</f>
        <v/>
      </c>
      <c r="C15" s="1655">
        <f>IF(B15="","",'明细表G7-2'!D37)</f>
        <v/>
      </c>
      <c r="D15" s="1626" t="n"/>
      <c r="E15" s="1626" t="n"/>
      <c r="F15" s="1626" t="n"/>
      <c r="G15" s="1627">
        <f>IF(B15="","",C15*D15)</f>
        <v/>
      </c>
      <c r="H15" s="1627">
        <f>IF(B15="","",C15*E15)</f>
        <v/>
      </c>
      <c r="I15" s="1627">
        <f>IF(B15="","",C15*F15)</f>
        <v/>
      </c>
      <c r="J15" s="1626" t="n"/>
      <c r="K15" s="1626" t="n"/>
      <c r="L15" s="1627">
        <f>IF(B15="","",K15-G15+J15)</f>
        <v/>
      </c>
      <c r="M15" s="1626" t="n"/>
      <c r="N15" s="1627">
        <f>IF(B15="","",M15-H15)</f>
        <v/>
      </c>
      <c r="O15" s="1626" t="n"/>
      <c r="P15" s="1641" t="n"/>
      <c r="Q15" s="1641" t="n"/>
      <c r="R15" s="1642" t="n"/>
      <c r="S15" s="1642" t="n"/>
      <c r="T15" s="1642" t="n"/>
    </row>
    <row r="16" ht="19.95" customFormat="1" customHeight="1" s="686">
      <c r="A16" s="1656" t="n"/>
      <c r="B16" s="1654">
        <f>IF(OR('明细表G7-2'!B40="",'明细表G7-2'!B40="……"),"",'明细表G7-2'!B40)</f>
        <v/>
      </c>
      <c r="C16" s="1655">
        <f>IF(B16="","",'明细表G7-2'!D40)</f>
        <v/>
      </c>
      <c r="D16" s="1626" t="n"/>
      <c r="E16" s="1626" t="n"/>
      <c r="F16" s="1626" t="n"/>
      <c r="G16" s="1627">
        <f>IF(B16="","",C16*D16)</f>
        <v/>
      </c>
      <c r="H16" s="1627">
        <f>IF(B16="","",C16*E16)</f>
        <v/>
      </c>
      <c r="I16" s="1627">
        <f>IF(B16="","",C16*F16)</f>
        <v/>
      </c>
      <c r="J16" s="1626" t="n"/>
      <c r="K16" s="1626" t="n"/>
      <c r="L16" s="1627">
        <f>IF(B16="","",K16-G16+J16)</f>
        <v/>
      </c>
      <c r="M16" s="1626" t="n"/>
      <c r="N16" s="1627">
        <f>IF(B16="","",M16-H16)</f>
        <v/>
      </c>
      <c r="O16" s="1626" t="n"/>
      <c r="P16" s="1641" t="n"/>
      <c r="Q16" s="1641" t="n"/>
      <c r="R16" s="1642" t="n"/>
      <c r="S16" s="1642" t="n"/>
      <c r="T16" s="1642" t="n"/>
    </row>
    <row r="17" ht="19.95" customFormat="1" customHeight="1" s="686">
      <c r="A17" s="1642" t="n"/>
      <c r="B17" s="1654">
        <f>IF(OR('明细表G7-2'!B41="",'明细表G7-2'!B41="……"),"",'明细表G7-2'!B41)</f>
        <v/>
      </c>
      <c r="C17" s="1655">
        <f>IF(B17="","",'明细表G7-2'!D41)</f>
        <v/>
      </c>
      <c r="D17" s="1657" t="n"/>
      <c r="E17" s="1630" t="n"/>
      <c r="F17" s="1630" t="n"/>
      <c r="G17" s="1658">
        <f>IF(B17="","",C17*D17)</f>
        <v/>
      </c>
      <c r="H17" s="1628">
        <f>IF(B17="","",C17*E17)</f>
        <v/>
      </c>
      <c r="I17" s="1628">
        <f>IF(B17="","",C17*F17)</f>
        <v/>
      </c>
      <c r="J17" s="1657" t="n"/>
      <c r="K17" s="1630" t="n"/>
      <c r="L17" s="1628">
        <f>IF(B17="","",K17-G17+J17)</f>
        <v/>
      </c>
      <c r="M17" s="1657" t="n"/>
      <c r="N17" s="1628">
        <f>IF(B17="","",M17-H17)</f>
        <v/>
      </c>
      <c r="O17" s="1630" t="n"/>
      <c r="P17" s="1641" t="n"/>
      <c r="Q17" s="1641" t="n"/>
      <c r="R17" s="1641" t="n"/>
      <c r="S17" s="1641" t="n"/>
      <c r="T17" s="1641" t="n"/>
      <c r="U17" s="1585" t="inlineStr">
        <is>
          <t>商誉/初始差额</t>
        </is>
      </c>
      <c r="V17" s="1585" t="inlineStr">
        <is>
          <t>累计公允价值调整</t>
        </is>
      </c>
      <c r="W17" s="1585" t="inlineStr">
        <is>
          <t>减值准备</t>
        </is>
      </c>
      <c r="X17" s="1585" t="inlineStr">
        <is>
          <t>未解释差额</t>
        </is>
      </c>
    </row>
    <row r="18" ht="25.8" customFormat="1" customHeight="1" s="686">
      <c r="A18" s="1642" t="n"/>
      <c r="B18" s="1659">
        <f>IF(OR('明细表G7-2'!B42="",'明细表G7-2'!B42="……"),"",'明细表G7-2'!B42)</f>
        <v/>
      </c>
      <c r="C18" s="1660">
        <f>IF(B18="","",'明细表G7-2'!D42)</f>
        <v/>
      </c>
      <c r="D18" s="1657" t="n"/>
      <c r="E18" s="1657" t="n"/>
      <c r="F18" s="1657" t="n"/>
      <c r="G18" s="1658">
        <f>IF(B18="","",C18*D18)</f>
        <v/>
      </c>
      <c r="H18" s="1658">
        <f>IF(B18="","",C18*E18)</f>
        <v/>
      </c>
      <c r="I18" s="1658">
        <f>IF(B18="","",C18*F18)</f>
        <v/>
      </c>
      <c r="J18" s="1657" t="n"/>
      <c r="K18" s="1657" t="n"/>
      <c r="L18" s="1658">
        <f>IF(B18="","",K18-G18+J18)</f>
        <v/>
      </c>
      <c r="M18" s="1657" t="n"/>
      <c r="N18" s="1658">
        <f>IF(B18="","",M18-H18)</f>
        <v/>
      </c>
      <c r="O18" s="1657" t="n"/>
      <c r="P18" s="1642" t="n"/>
      <c r="Q18" s="1642" t="n"/>
      <c r="R18" s="1642" t="n"/>
      <c r="S18" s="1642" t="n"/>
      <c r="T18" s="1642" t="n"/>
      <c r="U18" s="1586" t="inlineStr">
        <is>
          <t>（填列）</t>
        </is>
      </c>
      <c r="V18" s="1586" t="inlineStr">
        <is>
          <t>（填列）</t>
        </is>
      </c>
      <c r="W18" s="1586" t="inlineStr">
        <is>
          <t>（填列）</t>
        </is>
      </c>
      <c r="X18" s="1586" t="inlineStr">
        <is>
          <t>⑮=S-U-V+W</t>
        </is>
      </c>
    </row>
    <row r="19" ht="19.95" customFormat="1" customHeight="1" s="686">
      <c r="A19" s="1642" t="n"/>
      <c r="B19" s="1654">
        <f>IF(OR('明细表G7-2'!B43="",'明细表G7-2'!B43="……"),"",'明细表G7-2'!B43)</f>
        <v/>
      </c>
      <c r="C19" s="1661">
        <f>IF(B19="","",'明细表G7-2'!D43)</f>
        <v/>
      </c>
      <c r="D19" s="1657" t="n"/>
      <c r="E19" s="1657" t="n"/>
      <c r="F19" s="1626" t="n"/>
      <c r="G19" s="1658">
        <f>IF(B19="","",C19*D19)</f>
        <v/>
      </c>
      <c r="H19" s="1627">
        <f>IF(B19="","",C19*E19)</f>
        <v/>
      </c>
      <c r="I19" s="1627">
        <f>IF(B19="","",C19*F19)</f>
        <v/>
      </c>
      <c r="J19" s="1657" t="n"/>
      <c r="K19" s="1626" t="n"/>
      <c r="L19" s="1627">
        <f>IF(B19="","",K19-G19+J19)</f>
        <v/>
      </c>
      <c r="M19" s="1657" t="n"/>
      <c r="N19" s="1627">
        <f>IF(B19="","",M19-H19)</f>
        <v/>
      </c>
      <c r="O19" s="1626" t="n"/>
      <c r="P19" s="1641" t="n"/>
      <c r="Q19" s="1641" t="n"/>
      <c r="R19" s="1641" t="n"/>
      <c r="S19" s="1641" t="n"/>
      <c r="T19" s="1656" t="n"/>
      <c r="U19" s="1219" t="n"/>
      <c r="V19" s="1219" t="n"/>
      <c r="W19" s="1219" t="n"/>
      <c r="X19" s="1219">
        <f>S19-U19-V19+W19</f>
        <v/>
      </c>
    </row>
    <row r="20" ht="19.95" customFormat="1" customHeight="1" s="686">
      <c r="A20" s="1642" t="n"/>
      <c r="B20" s="1654">
        <f>IF(OR('明细表G7-2'!B44="",'明细表G7-2'!B44="……"),"",'明细表G7-2'!B44)</f>
        <v/>
      </c>
      <c r="C20" s="1661">
        <f>IF(B20="","",'明细表G7-2'!D44)</f>
        <v/>
      </c>
      <c r="D20" s="1657" t="n"/>
      <c r="E20" s="1657" t="n"/>
      <c r="F20" s="1626" t="n"/>
      <c r="G20" s="1658">
        <f>IF(B20="","",C20*D20)</f>
        <v/>
      </c>
      <c r="H20" s="1627">
        <f>IF(B20="","",C20*E20)</f>
        <v/>
      </c>
      <c r="I20" s="1627">
        <f>IF(B20="","",C20*F20)</f>
        <v/>
      </c>
      <c r="J20" s="1657" t="n"/>
      <c r="K20" s="1626" t="n"/>
      <c r="L20" s="1627">
        <f>IF(B20="","",K20-G20+J20)</f>
        <v/>
      </c>
      <c r="M20" s="1657" t="n"/>
      <c r="N20" s="1627">
        <f>IF(B20="","",M20-H20)</f>
        <v/>
      </c>
      <c r="O20" s="1626" t="n"/>
      <c r="P20" s="1641" t="n"/>
      <c r="Q20" s="1641" t="n"/>
      <c r="R20" s="1641" t="n"/>
      <c r="S20" s="1641" t="n"/>
      <c r="T20" s="1656" t="n"/>
      <c r="U20" s="1219" t="n"/>
      <c r="V20" s="1219" t="n"/>
      <c r="W20" s="1219" t="n"/>
      <c r="X20" s="1219">
        <f>S20-U20-V20+W20</f>
        <v/>
      </c>
    </row>
    <row r="21" ht="19.95" customFormat="1" customHeight="1" s="686">
      <c r="A21" s="1662" t="n"/>
      <c r="B21" s="1634" t="inlineStr">
        <is>
          <t>合计</t>
        </is>
      </c>
      <c r="C21" s="1634" t="n"/>
      <c r="D21" s="1663">
        <f>SUM(D11:D20)</f>
        <v/>
      </c>
      <c r="E21" s="1663">
        <f>SUM(E11:E20)</f>
        <v/>
      </c>
      <c r="F21" s="1636">
        <f>SUM(F11:F20)</f>
        <v/>
      </c>
      <c r="G21" s="1636">
        <f>SUM(G11:G20)</f>
        <v/>
      </c>
      <c r="H21" s="1636">
        <f>SUM(H11:H20)</f>
        <v/>
      </c>
      <c r="I21" s="1636">
        <f>SUM(I11:I20)</f>
        <v/>
      </c>
      <c r="J21" s="1664">
        <f>SUM(J11:J20)</f>
        <v/>
      </c>
      <c r="K21" s="1636">
        <f>SUM(K11:K20)</f>
        <v/>
      </c>
      <c r="L21" s="1636">
        <f>SUM(L11:L20)</f>
        <v/>
      </c>
      <c r="M21" s="1636">
        <f>SUM(M11:M20)</f>
        <v/>
      </c>
      <c r="N21" s="1636">
        <f>SUM(N11:N20)</f>
        <v/>
      </c>
      <c r="O21" s="1636">
        <f>SUM(O11:O20)</f>
        <v/>
      </c>
      <c r="P21" s="1641" t="n"/>
      <c r="Q21" s="1641" t="n"/>
      <c r="R21" s="1641" t="n"/>
      <c r="S21" s="1641" t="n"/>
      <c r="T21" s="1656" t="n"/>
      <c r="U21" s="1219" t="n"/>
      <c r="V21" s="1219" t="n"/>
      <c r="W21" s="1219" t="n"/>
      <c r="X21" s="1219">
        <f>S21-U21-V21+W21</f>
        <v/>
      </c>
    </row>
    <row r="22" ht="19.95" customFormat="1" customHeight="1" s="686">
      <c r="A22" s="1665" t="inlineStr">
        <is>
          <t>2、长期股权投资期末余额审核</t>
        </is>
      </c>
      <c r="B22" s="1641" t="n"/>
      <c r="C22" s="1641" t="n"/>
      <c r="D22" s="1666" t="n"/>
      <c r="E22" s="1666" t="n"/>
      <c r="F22" s="1641" t="n"/>
      <c r="G22" s="1641" t="n"/>
      <c r="H22" s="1641" t="n"/>
      <c r="I22" s="1641" t="n"/>
      <c r="J22" s="1656" t="n"/>
      <c r="K22" s="1641" t="n"/>
      <c r="L22" s="1641" t="n"/>
      <c r="M22" s="1641" t="n"/>
      <c r="N22" s="1641" t="n"/>
      <c r="O22" s="1641" t="n"/>
      <c r="P22" s="1641" t="n"/>
      <c r="Q22" s="1641" t="n"/>
      <c r="R22" s="1641" t="n"/>
      <c r="S22" s="1641" t="n"/>
      <c r="T22" s="1656" t="n"/>
      <c r="U22" s="1219" t="n"/>
      <c r="V22" s="1219" t="n"/>
      <c r="W22" s="1219" t="n"/>
      <c r="X22" s="1219">
        <f>S22-U22-V22+W22</f>
        <v/>
      </c>
    </row>
    <row r="23" ht="19.95" customFormat="1" customHeight="1" s="686">
      <c r="A23" s="1642" t="n"/>
      <c r="B23" s="1667" t="inlineStr">
        <is>
          <t>被投资单位</t>
        </is>
      </c>
      <c r="C23" s="1668" t="inlineStr">
        <is>
          <t>持股比例</t>
        </is>
      </c>
      <c r="D23" s="1669" t="inlineStr">
        <is>
          <t>投资成本</t>
        </is>
      </c>
      <c r="E23" s="1666" t="n"/>
      <c r="F23" s="1641" t="n"/>
      <c r="G23" s="1667" t="inlineStr">
        <is>
          <t>损益调整</t>
        </is>
      </c>
      <c r="H23" s="1641" t="n"/>
      <c r="I23" s="1641" t="n"/>
      <c r="J23" s="1670" t="inlineStr">
        <is>
          <t>其他综合收益</t>
        </is>
      </c>
      <c r="K23" s="1641" t="n"/>
      <c r="L23" s="1641" t="n"/>
      <c r="M23" s="1667" t="inlineStr">
        <is>
          <t>其他权益变动</t>
        </is>
      </c>
      <c r="N23" s="1641" t="n"/>
      <c r="O23" s="1641" t="n"/>
      <c r="P23" s="1728" t="inlineStr">
        <is>
          <t>期初勾稽
差异</t>
        </is>
      </c>
      <c r="Q23" s="1728" t="inlineStr">
        <is>
          <t>期末账面
合计</t>
        </is>
      </c>
      <c r="R23" s="1728" t="inlineStr">
        <is>
          <t>G7-2
期末总额</t>
        </is>
      </c>
      <c r="S23" s="1728" t="inlineStr">
        <is>
          <t>期末勾稽
差异</t>
        </is>
      </c>
      <c r="T23" s="1642" t="n"/>
      <c r="U23" s="1219">
        <f>SUM(U19:U22)</f>
        <v/>
      </c>
      <c r="V23" s="1219">
        <f>SUM(V19:V22)</f>
        <v/>
      </c>
      <c r="W23" s="1219">
        <f>SUM(W19:W22)</f>
        <v/>
      </c>
      <c r="X23" s="1219">
        <f>SUM(X19:X22)</f>
        <v/>
      </c>
    </row>
    <row r="24" ht="19.95" customFormat="1" customHeight="1" s="686">
      <c r="A24" s="1656" t="n"/>
      <c r="B24" s="1642" t="n"/>
      <c r="C24" s="1642" t="n"/>
      <c r="D24" s="1671" t="inlineStr">
        <is>
          <t>期初余额</t>
        </is>
      </c>
      <c r="E24" s="1671" t="inlineStr">
        <is>
          <t>本期增减（+/-）金额</t>
        </is>
      </c>
      <c r="F24" s="1671" t="inlineStr">
        <is>
          <t>期末余额</t>
        </is>
      </c>
      <c r="G24" s="1671" t="inlineStr">
        <is>
          <t>期初余额</t>
        </is>
      </c>
      <c r="H24" s="1671" t="inlineStr">
        <is>
          <t>本期增减（+/-）金额</t>
        </is>
      </c>
      <c r="I24" s="1671" t="inlineStr">
        <is>
          <t>期末余额</t>
        </is>
      </c>
      <c r="J24" s="1671" t="inlineStr">
        <is>
          <t>期初余额</t>
        </is>
      </c>
      <c r="K24" s="1671" t="inlineStr">
        <is>
          <t>本期增减（+/-）金额</t>
        </is>
      </c>
      <c r="L24" s="1671" t="inlineStr">
        <is>
          <t>期末余额</t>
        </is>
      </c>
      <c r="M24" s="1671" t="inlineStr">
        <is>
          <t>期初余额</t>
        </is>
      </c>
      <c r="N24" s="1671" t="inlineStr">
        <is>
          <t>本期增减（+/-）金额</t>
        </is>
      </c>
      <c r="O24" s="1671" t="inlineStr">
        <is>
          <t>期末余额</t>
        </is>
      </c>
      <c r="P24" s="1729" t="inlineStr"/>
      <c r="Q24" s="1729" t="inlineStr"/>
      <c r="R24" s="1729" t="inlineStr"/>
      <c r="S24" s="1729" t="inlineStr"/>
      <c r="T24" s="1642" t="n"/>
    </row>
    <row r="25" ht="19.95" customFormat="1" customHeight="1" s="686">
      <c r="A25" s="1642" t="n"/>
      <c r="B25" s="1672">
        <f>B11</f>
        <v/>
      </c>
      <c r="C25" s="1660">
        <f>C11</f>
        <v/>
      </c>
      <c r="D25" s="1673">
        <f>IF(B25="","",'明细表G7-2'!AO33)</f>
        <v/>
      </c>
      <c r="E25" s="1673">
        <f>IF(B25="","",N('明细表G7-2'!AQ33)-N('明细表G7-2'!AX33))</f>
        <v/>
      </c>
      <c r="F25" s="1673">
        <f>IF(B25="","",D25+E25)</f>
        <v/>
      </c>
      <c r="G25" s="1674" t="n"/>
      <c r="H25" s="1673">
        <f>IF(B25="","",N('明细表G7-2'!AR33)-N('明细表G7-2'!AY33))</f>
        <v/>
      </c>
      <c r="I25" s="1673">
        <f>IF(B25="","",N(G25)+N(H25))</f>
        <v/>
      </c>
      <c r="J25" s="1674" t="n"/>
      <c r="K25" s="1673">
        <f>IF(B25="","",'明细表G7-2'!AS33)</f>
        <v/>
      </c>
      <c r="L25" s="1673">
        <f>IF(B25="","",N(J25)+N(K25))</f>
        <v/>
      </c>
      <c r="M25" s="1630" t="n"/>
      <c r="N25" s="1628">
        <f>IF(B25="","",'明细表G7-2'!AT33)</f>
        <v/>
      </c>
      <c r="O25" s="1628">
        <f>IF(B25="","",N(M25)+N(N25))</f>
        <v/>
      </c>
      <c r="P25" s="1628">
        <f>IF(B25="","",N(D25)+N(G25)+N(J25)+N(M25)-N('明细表G7-2'!AO33))</f>
        <v/>
      </c>
      <c r="Q25" s="1628">
        <f>IF(B25="","",N(F25)+N(I25)+N(L25)+N(O25))</f>
        <v/>
      </c>
      <c r="R25" s="1628">
        <f>IF(B25="","",'明细表G7-2'!BB33)</f>
        <v/>
      </c>
      <c r="S25" s="1628">
        <f>IF(B25="","",N(Q25)-N(R25))</f>
        <v/>
      </c>
      <c r="T25" s="1642" t="n"/>
    </row>
    <row r="26" ht="19.95" customFormat="1" customHeight="1" s="686">
      <c r="A26" s="1642" t="n"/>
      <c r="B26" s="1672">
        <f>B12</f>
        <v/>
      </c>
      <c r="C26" s="1660">
        <f>C12</f>
        <v/>
      </c>
      <c r="D26" s="1675">
        <f>IF(B26="","",'明细表G7-2'!AO34)</f>
        <v/>
      </c>
      <c r="E26" s="1675">
        <f>IF(B26="","",N('明细表G7-2'!AQ34)-N('明细表G7-2'!AX34))</f>
        <v/>
      </c>
      <c r="F26" s="1675">
        <f>IF(B26="","",D26+E26)</f>
        <v/>
      </c>
      <c r="G26" s="1676" t="n"/>
      <c r="H26" s="1675">
        <f>IF(B26="","",N('明细表G7-2'!AR34)-N('明细表G7-2'!AY34))</f>
        <v/>
      </c>
      <c r="I26" s="1675">
        <f>IF(B26="","",N(G26)+N(H26))</f>
        <v/>
      </c>
      <c r="J26" s="1674" t="n"/>
      <c r="K26" s="1673">
        <f>IF(B26="","",'明细表G7-2'!AS34)</f>
        <v/>
      </c>
      <c r="L26" s="1673">
        <f>IF(B26="","",N(J26)+N(K26))</f>
        <v/>
      </c>
      <c r="M26" s="1630" t="n"/>
      <c r="N26" s="1628">
        <f>IF(B26="","",'明细表G7-2'!AT34)</f>
        <v/>
      </c>
      <c r="O26" s="1628">
        <f>IF(B26="","",N(M26)+N(N26))</f>
        <v/>
      </c>
      <c r="P26" s="1628">
        <f>IF(B26="","",N(D26)+N(G26)+N(J26)+N(M26)-N('明细表G7-2'!AO34))</f>
        <v/>
      </c>
      <c r="Q26" s="1628">
        <f>IF(B26="","",N(F26)+N(I26)+N(L26)+N(O26))</f>
        <v/>
      </c>
      <c r="R26" s="1628">
        <f>IF(B26="","",'明细表G7-2'!BB34)</f>
        <v/>
      </c>
      <c r="S26" s="1628">
        <f>IF(B26="","",N(Q26)-N(R26))</f>
        <v/>
      </c>
      <c r="T26" s="1642" t="n"/>
    </row>
    <row r="27" ht="19.95" customFormat="1" customHeight="1" s="686">
      <c r="A27" s="1642" t="n"/>
      <c r="B27" s="1672">
        <f>B13</f>
        <v/>
      </c>
      <c r="C27" s="1660">
        <f>C13</f>
        <v/>
      </c>
      <c r="D27" s="1675">
        <f>IF(B27="","",'明细表G7-2'!AO35)</f>
        <v/>
      </c>
      <c r="E27" s="1675">
        <f>IF(B27="","",N('明细表G7-2'!AQ35)-N('明细表G7-2'!AX35))</f>
        <v/>
      </c>
      <c r="F27" s="1675">
        <f>IF(B27="","",D27+E27)</f>
        <v/>
      </c>
      <c r="G27" s="1676" t="n"/>
      <c r="H27" s="1675">
        <f>IF(B27="","",N('明细表G7-2'!AR35)-N('明细表G7-2'!AY35))</f>
        <v/>
      </c>
      <c r="I27" s="1675">
        <f>IF(B27="","",N(G27)+N(H27))</f>
        <v/>
      </c>
      <c r="J27" s="1676" t="n"/>
      <c r="K27" s="1675">
        <f>IF(B27="","",'明细表G7-2'!AS35)</f>
        <v/>
      </c>
      <c r="L27" s="1673">
        <f>IF(B27="","",N(J27)+N(K27))</f>
        <v/>
      </c>
      <c r="M27" s="1630" t="n"/>
      <c r="N27" s="1628">
        <f>IF(B27="","",'明细表G7-2'!AT35)</f>
        <v/>
      </c>
      <c r="O27" s="1628">
        <f>IF(B27="","",N(M27)+N(N27))</f>
        <v/>
      </c>
      <c r="P27" s="1628">
        <f>IF(B27="","",N(D27)+N(G27)+N(J27)+N(M27)-N('明细表G7-2'!AO35))</f>
        <v/>
      </c>
      <c r="Q27" s="1628">
        <f>IF(B27="","",N(F27)+N(I27)+N(L27)+N(O27))</f>
        <v/>
      </c>
      <c r="R27" s="1628">
        <f>IF(B27="","",'明细表G7-2'!BB35)</f>
        <v/>
      </c>
      <c r="S27" s="1628">
        <f>IF(B27="","",N(Q27)-N(R27))</f>
        <v/>
      </c>
      <c r="T27" s="1642" t="n"/>
    </row>
    <row r="28" ht="19.95" customFormat="1" customHeight="1" s="686">
      <c r="A28" s="1642" t="n"/>
      <c r="B28" s="1672">
        <f>B14</f>
        <v/>
      </c>
      <c r="C28" s="1660">
        <f>C14</f>
        <v/>
      </c>
      <c r="D28" s="1675">
        <f>IF(B28="","",'明细表G7-2'!AO36)</f>
        <v/>
      </c>
      <c r="E28" s="1675">
        <f>IF(B28="","",N('明细表G7-2'!AQ36)-N('明细表G7-2'!AX36))</f>
        <v/>
      </c>
      <c r="F28" s="1675">
        <f>IF(B28="","",D28+E28)</f>
        <v/>
      </c>
      <c r="G28" s="1676" t="n"/>
      <c r="H28" s="1675">
        <f>IF(B28="","",N('明细表G7-2'!AR36)-N('明细表G7-2'!AY36))</f>
        <v/>
      </c>
      <c r="I28" s="1675">
        <f>IF(B28="","",N(G28)+N(H28))</f>
        <v/>
      </c>
      <c r="J28" s="1676" t="n"/>
      <c r="K28" s="1675">
        <f>IF(B28="","",'明细表G7-2'!AS36)</f>
        <v/>
      </c>
      <c r="L28" s="1673">
        <f>IF(B28="","",N(J28)+N(K28))</f>
        <v/>
      </c>
      <c r="M28" s="1630" t="n"/>
      <c r="N28" s="1628">
        <f>IF(B28="","",'明细表G7-2'!AT36)</f>
        <v/>
      </c>
      <c r="O28" s="1628">
        <f>IF(B28="","",N(M28)+N(N28))</f>
        <v/>
      </c>
      <c r="P28" s="1628">
        <f>IF(B28="","",N(D28)+N(G28)+N(J28)+N(M28)-N('明细表G7-2'!AO36))</f>
        <v/>
      </c>
      <c r="Q28" s="1628">
        <f>IF(B28="","",N(F28)+N(I28)+N(L28)+N(O28))</f>
        <v/>
      </c>
      <c r="R28" s="1628">
        <f>IF(B28="","",'明细表G7-2'!BB36)</f>
        <v/>
      </c>
      <c r="S28" s="1628">
        <f>IF(B28="","",N(Q28)-N(R28))</f>
        <v/>
      </c>
      <c r="T28" s="1642" t="n"/>
    </row>
    <row r="29" ht="19.95" customFormat="1" customHeight="1" s="686">
      <c r="A29" s="1642" t="n"/>
      <c r="B29" s="1672">
        <f>B15</f>
        <v/>
      </c>
      <c r="C29" s="1660">
        <f>C15</f>
        <v/>
      </c>
      <c r="D29" s="1675">
        <f>IF(B29="","",'明细表G7-2'!AO37)</f>
        <v/>
      </c>
      <c r="E29" s="1675">
        <f>IF(B29="","",N('明细表G7-2'!AQ37)-N('明细表G7-2'!AX37))</f>
        <v/>
      </c>
      <c r="F29" s="1675">
        <f>IF(B29="","",D29+E29)</f>
        <v/>
      </c>
      <c r="G29" s="1676" t="n"/>
      <c r="H29" s="1675">
        <f>IF(B29="","",N('明细表G7-2'!AR37)-N('明细表G7-2'!AY37))</f>
        <v/>
      </c>
      <c r="I29" s="1675">
        <f>IF(B29="","",N(G29)+N(H29))</f>
        <v/>
      </c>
      <c r="J29" s="1676" t="n"/>
      <c r="K29" s="1675">
        <f>IF(B29="","",'明细表G7-2'!AS37)</f>
        <v/>
      </c>
      <c r="L29" s="1673">
        <f>IF(B29="","",N(J29)+N(K29))</f>
        <v/>
      </c>
      <c r="M29" s="1630" t="n"/>
      <c r="N29" s="1628">
        <f>IF(B29="","",'明细表G7-2'!AT37)</f>
        <v/>
      </c>
      <c r="O29" s="1628">
        <f>IF(B29="","",N(M29)+N(N29))</f>
        <v/>
      </c>
      <c r="P29" s="1628">
        <f>IF(B29="","",N(D29)+N(G29)+N(J29)+N(M29)-N('明细表G7-2'!AO37))</f>
        <v/>
      </c>
      <c r="Q29" s="1628">
        <f>IF(B29="","",N(F29)+N(I29)+N(L29)+N(O29))</f>
        <v/>
      </c>
      <c r="R29" s="1628">
        <f>IF(B29="","",'明细表G7-2'!BB37)</f>
        <v/>
      </c>
      <c r="S29" s="1628">
        <f>IF(B29="","",N(Q29)-N(R29))</f>
        <v/>
      </c>
      <c r="T29" s="1642" t="n"/>
    </row>
    <row r="30" ht="19.95" customFormat="1" customHeight="1" s="686">
      <c r="A30" s="1642" t="n"/>
      <c r="B30" s="1672">
        <f>B16</f>
        <v/>
      </c>
      <c r="C30" s="1660">
        <f>C16</f>
        <v/>
      </c>
      <c r="D30" s="1675">
        <f>IF(B30="","",'明细表G7-2'!AO40)</f>
        <v/>
      </c>
      <c r="E30" s="1675">
        <f>IF(B30="","",N('明细表G7-2'!AQ40)-N('明细表G7-2'!AX40))</f>
        <v/>
      </c>
      <c r="F30" s="1675">
        <f>IF(B30="","",D30+E30)</f>
        <v/>
      </c>
      <c r="G30" s="1676" t="n"/>
      <c r="H30" s="1675">
        <f>IF(B30="","",N('明细表G7-2'!AR40)-N('明细表G7-2'!AY40))</f>
        <v/>
      </c>
      <c r="I30" s="1675">
        <f>IF(B30="","",N(G30)+N(H30))</f>
        <v/>
      </c>
      <c r="J30" s="1676" t="n"/>
      <c r="K30" s="1675">
        <f>IF(B30="","",'明细表G7-2'!AS40)</f>
        <v/>
      </c>
      <c r="L30" s="1673">
        <f>IF(B30="","",N(J30)+N(K30))</f>
        <v/>
      </c>
      <c r="M30" s="1630" t="n"/>
      <c r="N30" s="1628">
        <f>IF(B30="","",'明细表G7-2'!AT40)</f>
        <v/>
      </c>
      <c r="O30" s="1628">
        <f>IF(B30="","",N(M30)+N(N30))</f>
        <v/>
      </c>
      <c r="P30" s="1628">
        <f>IF(B30="","",N(D30)+N(G30)+N(J30)+N(M30)-N('明细表G7-2'!AO40))</f>
        <v/>
      </c>
      <c r="Q30" s="1628">
        <f>IF(B30="","",N(F30)+N(I30)+N(L30)+N(O30))</f>
        <v/>
      </c>
      <c r="R30" s="1628">
        <f>IF(B30="","",'明细表G7-2'!BB40)</f>
        <v/>
      </c>
      <c r="S30" s="1628">
        <f>IF(B30="","",N(Q30)-N(R30))</f>
        <v/>
      </c>
      <c r="T30" s="1642" t="n"/>
    </row>
    <row r="31" ht="19.95" customFormat="1" customHeight="1" s="686">
      <c r="A31" s="1642" t="n"/>
      <c r="B31" s="1672">
        <f>B17</f>
        <v/>
      </c>
      <c r="C31" s="1660">
        <f>C17</f>
        <v/>
      </c>
      <c r="D31" s="1675">
        <f>IF(B31="","",'明细表G7-2'!AO41)</f>
        <v/>
      </c>
      <c r="E31" s="1675">
        <f>IF(B31="","",N('明细表G7-2'!AQ41)-N('明细表G7-2'!AX41))</f>
        <v/>
      </c>
      <c r="F31" s="1675">
        <f>IF(B31="","",D31+E31)</f>
        <v/>
      </c>
      <c r="G31" s="1676" t="n"/>
      <c r="H31" s="1675">
        <f>IF(B31="","",N('明细表G7-2'!AR41)-N('明细表G7-2'!AY41))</f>
        <v/>
      </c>
      <c r="I31" s="1675">
        <f>IF(B31="","",N(G31)+N(H31))</f>
        <v/>
      </c>
      <c r="J31" s="1676" t="n"/>
      <c r="K31" s="1675">
        <f>IF(B31="","",'明细表G7-2'!AS41)</f>
        <v/>
      </c>
      <c r="L31" s="1673">
        <f>IF(B31="","",N(J31)+N(K31))</f>
        <v/>
      </c>
      <c r="M31" s="1630" t="n"/>
      <c r="N31" s="1628">
        <f>IF(B31="","",'明细表G7-2'!AT41)</f>
        <v/>
      </c>
      <c r="O31" s="1628">
        <f>IF(B31="","",N(M31)+N(N31))</f>
        <v/>
      </c>
      <c r="P31" s="1628">
        <f>IF(B31="","",N(D31)+N(G31)+N(J31)+N(M31)-N('明细表G7-2'!AO41))</f>
        <v/>
      </c>
      <c r="Q31" s="1628">
        <f>IF(B31="","",N(F31)+N(I31)+N(L31)+N(O31))</f>
        <v/>
      </c>
      <c r="R31" s="1628">
        <f>IF(B31="","",'明细表G7-2'!BB41)</f>
        <v/>
      </c>
      <c r="S31" s="1628">
        <f>IF(B31="","",N(Q31)-N(R31))</f>
        <v/>
      </c>
      <c r="T31" s="1642" t="n"/>
    </row>
    <row r="32" ht="19.95" customFormat="1" customHeight="1" s="686">
      <c r="A32" s="1642" t="n"/>
      <c r="B32" s="1672">
        <f>B18</f>
        <v/>
      </c>
      <c r="C32" s="1660">
        <f>C18</f>
        <v/>
      </c>
      <c r="D32" s="1675">
        <f>IF(B32="","",'明细表G7-2'!AO42)</f>
        <v/>
      </c>
      <c r="E32" s="1675">
        <f>IF(B32="","",N('明细表G7-2'!AQ42)-N('明细表G7-2'!AX42))</f>
        <v/>
      </c>
      <c r="F32" s="1675">
        <f>IF(B32="","",D32+E32)</f>
        <v/>
      </c>
      <c r="G32" s="1676" t="n"/>
      <c r="H32" s="1675">
        <f>IF(B32="","",N('明细表G7-2'!AR42)-N('明细表G7-2'!AY42))</f>
        <v/>
      </c>
      <c r="I32" s="1675">
        <f>IF(B32="","",N(G32)+N(H32))</f>
        <v/>
      </c>
      <c r="J32" s="1676" t="n"/>
      <c r="K32" s="1675">
        <f>IF(B32="","",'明细表G7-2'!AS42)</f>
        <v/>
      </c>
      <c r="L32" s="1673">
        <f>IF(B32="","",N(J32)+N(K32))</f>
        <v/>
      </c>
      <c r="M32" s="1630" t="n"/>
      <c r="N32" s="1628">
        <f>IF(B32="","",'明细表G7-2'!AT42)</f>
        <v/>
      </c>
      <c r="O32" s="1628">
        <f>IF(B32="","",N(M32)+N(N32))</f>
        <v/>
      </c>
      <c r="P32" s="1628">
        <f>IF(B32="","",N(D32)+N(G32)+N(J32)+N(M32)-N('明细表G7-2'!AO42))</f>
        <v/>
      </c>
      <c r="Q32" s="1628">
        <f>IF(B32="","",N(F32)+N(I32)+N(L32)+N(O32))</f>
        <v/>
      </c>
      <c r="R32" s="1628">
        <f>IF(B32="","",'明细表G7-2'!BB42)</f>
        <v/>
      </c>
      <c r="S32" s="1628">
        <f>IF(B32="","",N(Q32)-N(R32))</f>
        <v/>
      </c>
      <c r="T32" s="1642" t="n"/>
    </row>
    <row r="33" ht="19.95" customFormat="1" customHeight="1" s="686">
      <c r="A33" s="1642" t="n"/>
      <c r="B33" s="1672">
        <f>B19</f>
        <v/>
      </c>
      <c r="C33" s="1660">
        <f>C19</f>
        <v/>
      </c>
      <c r="D33" s="1675">
        <f>IF(B33="","",'明细表G7-2'!AO43)</f>
        <v/>
      </c>
      <c r="E33" s="1675">
        <f>IF(B33="","",N('明细表G7-2'!AQ43)-N('明细表G7-2'!AX43))</f>
        <v/>
      </c>
      <c r="F33" s="1675">
        <f>IF(B33="","",D33+E33)</f>
        <v/>
      </c>
      <c r="G33" s="1676" t="n"/>
      <c r="H33" s="1675">
        <f>IF(B33="","",N('明细表G7-2'!AR43)-N('明细表G7-2'!AY43))</f>
        <v/>
      </c>
      <c r="I33" s="1675">
        <f>IF(B33="","",N(G33)+N(H33))</f>
        <v/>
      </c>
      <c r="J33" s="1676" t="n"/>
      <c r="K33" s="1675">
        <f>IF(B33="","",'明细表G7-2'!AS43)</f>
        <v/>
      </c>
      <c r="L33" s="1673">
        <f>IF(B33="","",N(J33)+N(K33))</f>
        <v/>
      </c>
      <c r="M33" s="1630" t="n"/>
      <c r="N33" s="1628">
        <f>IF(B33="","",'明细表G7-2'!AT43)</f>
        <v/>
      </c>
      <c r="O33" s="1628">
        <f>IF(B33="","",N(M33)+N(N33))</f>
        <v/>
      </c>
      <c r="P33" s="1628">
        <f>IF(B33="","",N(D33)+N(G33)+N(J33)+N(M33)-N('明细表G7-2'!AO43))</f>
        <v/>
      </c>
      <c r="Q33" s="1628">
        <f>IF(B33="","",N(F33)+N(I33)+N(L33)+N(O33))</f>
        <v/>
      </c>
      <c r="R33" s="1628">
        <f>IF(B33="","",'明细表G7-2'!BB43)</f>
        <v/>
      </c>
      <c r="S33" s="1628">
        <f>IF(B33="","",N(Q33)-N(R33))</f>
        <v/>
      </c>
      <c r="T33" s="1642" t="n"/>
    </row>
    <row r="34" ht="19.95" customFormat="1" customHeight="1" s="686">
      <c r="A34" s="1642" t="n"/>
      <c r="B34" s="1672">
        <f>B20</f>
        <v/>
      </c>
      <c r="C34" s="1660">
        <f>C20</f>
        <v/>
      </c>
      <c r="D34" s="1675">
        <f>IF(B34="","",'明细表G7-2'!AO44)</f>
        <v/>
      </c>
      <c r="E34" s="1675">
        <f>IF(B34="","",N('明细表G7-2'!AQ44)-N('明细表G7-2'!AX44))</f>
        <v/>
      </c>
      <c r="F34" s="1675">
        <f>IF(B34="","",D34+E34)</f>
        <v/>
      </c>
      <c r="G34" s="1676" t="n"/>
      <c r="H34" s="1675">
        <f>IF(B34="","",N('明细表G7-2'!AR44)-N('明细表G7-2'!AY44))</f>
        <v/>
      </c>
      <c r="I34" s="1675">
        <f>IF(B34="","",N(G34)+N(H34))</f>
        <v/>
      </c>
      <c r="J34" s="1676" t="n"/>
      <c r="K34" s="1675">
        <f>IF(B34="","",'明细表G7-2'!AS44)</f>
        <v/>
      </c>
      <c r="L34" s="1673">
        <f>IF(B34="","",N(J34)+N(K34))</f>
        <v/>
      </c>
      <c r="M34" s="1630" t="n"/>
      <c r="N34" s="1628">
        <f>IF(B34="","",'明细表G7-2'!AT44)</f>
        <v/>
      </c>
      <c r="O34" s="1628">
        <f>IF(B34="","",N(M34)+N(N34))</f>
        <v/>
      </c>
      <c r="P34" s="1628">
        <f>IF(B34="","",N(D34)+N(G34)+N(J34)+N(M34)-N('明细表G7-2'!AO44))</f>
        <v/>
      </c>
      <c r="Q34" s="1628">
        <f>IF(B34="","",N(F34)+N(I34)+N(L34)+N(O34))</f>
        <v/>
      </c>
      <c r="R34" s="1628">
        <f>IF(B34="","",'明细表G7-2'!BB44)</f>
        <v/>
      </c>
      <c r="S34" s="1628">
        <f>IF(B34="","",N(Q34)-N(R34))</f>
        <v/>
      </c>
      <c r="T34" s="1642" t="n"/>
    </row>
    <row r="35" ht="19.95" customFormat="1" customHeight="1" s="686">
      <c r="A35" s="1536" t="n"/>
      <c r="B35" s="1677" t="inlineStr">
        <is>
          <t>合计</t>
        </is>
      </c>
      <c r="C35" s="1536" t="n"/>
      <c r="D35" s="1678">
        <f>SUM(D25:D34)</f>
        <v/>
      </c>
      <c r="E35" s="1678">
        <f>SUM(E25:E34)</f>
        <v/>
      </c>
      <c r="F35" s="1678">
        <f>SUM(F25:F34)</f>
        <v/>
      </c>
      <c r="G35" s="1678">
        <f>SUM(G25:G34)</f>
        <v/>
      </c>
      <c r="H35" s="1678">
        <f>SUM(H25:H34)</f>
        <v/>
      </c>
      <c r="I35" s="1678">
        <f>SUM(I25:I34)</f>
        <v/>
      </c>
      <c r="J35" s="1678">
        <f>SUM(J25:J34)</f>
        <v/>
      </c>
      <c r="K35" s="1678">
        <f>SUM(K25:K34)</f>
        <v/>
      </c>
      <c r="L35" s="1664">
        <f>SUM(L25:L34)</f>
        <v/>
      </c>
      <c r="M35" s="1535">
        <f>SUM(M25:M34)</f>
        <v/>
      </c>
      <c r="N35" s="1535">
        <f>SUM(N25:N34)</f>
        <v/>
      </c>
      <c r="O35" s="1535">
        <f>SUM(O25:O34)</f>
        <v/>
      </c>
      <c r="P35" s="1535">
        <f>SUM(P25:P34)</f>
        <v/>
      </c>
      <c r="Q35" s="1535">
        <f>SUM(Q25:Q34)</f>
        <v/>
      </c>
      <c r="R35" s="1535">
        <f>SUM(R25:R34)</f>
        <v/>
      </c>
      <c r="S35" s="1535">
        <f>SUM(S25:S34)</f>
        <v/>
      </c>
      <c r="T35" s="1642" t="n"/>
    </row>
    <row r="36" ht="19.95" customFormat="1" customHeight="1" s="686">
      <c r="A36" s="574" t="inlineStr">
        <is>
          <t>3、被投资单位所有者权益账面价值变动及调整情况</t>
        </is>
      </c>
      <c r="B36" s="1679" t="n"/>
      <c r="D36" s="1680" t="n"/>
      <c r="E36" s="1680" t="n"/>
      <c r="F36" s="1680" t="n"/>
      <c r="G36" s="1680" t="n"/>
      <c r="H36" s="1680" t="n"/>
      <c r="I36" s="1680" t="n"/>
      <c r="J36" s="1680" t="n"/>
      <c r="K36" s="1680" t="n"/>
      <c r="L36" s="1679" t="n"/>
      <c r="M36" s="1681" t="n"/>
      <c r="N36" s="1681" t="n"/>
      <c r="O36" s="1681" t="n"/>
      <c r="P36" s="1681" t="n"/>
      <c r="Q36" s="1681" t="n"/>
      <c r="R36" s="1681" t="n"/>
      <c r="S36" s="1681" t="n"/>
      <c r="T36" s="1681" t="n"/>
    </row>
    <row r="37" ht="19.95" customFormat="1" customHeight="1" s="686">
      <c r="A37" s="1681" t="n"/>
      <c r="B37" s="1022" t="inlineStr">
        <is>
          <t>项目</t>
        </is>
      </c>
      <c r="C37" s="1294" t="n"/>
      <c r="D37" s="1682" t="inlineStr">
        <is>
          <t>年初净资产</t>
        </is>
      </c>
      <c r="E37" s="1683" t="inlineStr">
        <is>
          <t xml:space="preserve"> 本期增加</t>
        </is>
      </c>
      <c r="F37" s="1683" t="inlineStr">
        <is>
          <t>本期减少</t>
        </is>
      </c>
      <c r="G37" s="1684" t="inlineStr">
        <is>
          <t>期末净资产</t>
        </is>
      </c>
      <c r="H37" s="1685" t="n"/>
      <c r="I37" s="1685" t="n"/>
      <c r="J37" s="686" t="n"/>
      <c r="K37" s="687" t="n"/>
      <c r="L37" s="686" t="n"/>
      <c r="M37" s="1681" t="n"/>
      <c r="N37" s="1681" t="n"/>
      <c r="O37" s="1681" t="n"/>
      <c r="P37" s="1681" t="n"/>
      <c r="Q37" s="1681" t="n"/>
      <c r="R37" s="1681" t="n"/>
      <c r="S37" s="1681" t="n"/>
      <c r="T37" s="1681" t="n"/>
    </row>
    <row r="38" ht="19.95" customFormat="1" customHeight="1" s="686">
      <c r="A38" s="1681" t="n"/>
      <c r="B38" s="1029" t="inlineStr">
        <is>
          <t>账面数：</t>
        </is>
      </c>
      <c r="C38" s="1294" t="n"/>
      <c r="D38" s="1314" t="n"/>
      <c r="E38" s="1314" t="n"/>
      <c r="F38" s="1350" t="n"/>
      <c r="G38" s="1278">
        <f>D37+E37-F37</f>
        <v/>
      </c>
      <c r="H38" s="1351" t="n"/>
      <c r="I38" s="1352" t="n"/>
      <c r="J38" s="1686" t="n"/>
      <c r="K38" s="1686" t="n"/>
      <c r="L38" s="686" t="n"/>
      <c r="M38" s="1681" t="n"/>
      <c r="N38" s="1681" t="n"/>
      <c r="O38" s="1681" t="n"/>
      <c r="P38" s="1681" t="n"/>
      <c r="Q38" s="1681" t="n"/>
      <c r="R38" s="1681" t="n"/>
      <c r="S38" s="1681" t="n"/>
      <c r="T38" s="1681" t="n"/>
    </row>
    <row r="39" ht="19.95" customFormat="1" customHeight="1" s="686">
      <c r="A39" s="1681" t="n"/>
      <c r="B39" s="1023" t="inlineStr">
        <is>
          <t xml:space="preserve">　实收资本（或股本）</t>
        </is>
      </c>
      <c r="C39" s="1294" t="n"/>
      <c r="D39" s="1314" t="n"/>
      <c r="E39" s="1314" t="n"/>
      <c r="F39" s="1350" t="n"/>
      <c r="G39" s="1278">
        <f>D38+E38-F38</f>
        <v/>
      </c>
      <c r="H39" s="1352" t="n"/>
      <c r="I39" s="1352" t="n"/>
      <c r="J39" s="1352" t="n"/>
      <c r="K39" s="1352" t="n"/>
      <c r="L39" s="686" t="n"/>
      <c r="M39" s="1681" t="n"/>
      <c r="N39" s="1681" t="n"/>
      <c r="O39" s="1681" t="n"/>
      <c r="P39" s="1681" t="n"/>
      <c r="Q39" s="1681" t="n"/>
      <c r="R39" s="1681" t="n"/>
      <c r="S39" s="1681" t="n"/>
      <c r="T39" s="1681" t="n"/>
    </row>
    <row r="40" ht="19.95" customFormat="1" customHeight="1" s="686">
      <c r="A40" s="1681" t="n"/>
      <c r="B40" s="1023" t="inlineStr">
        <is>
          <t xml:space="preserve">　资本公积</t>
        </is>
      </c>
      <c r="C40" s="1294" t="n"/>
      <c r="D40" s="1314" t="n"/>
      <c r="E40" s="1314" t="n"/>
      <c r="F40" s="1350" t="n"/>
      <c r="G40" s="1278">
        <f>D39+E39-F39</f>
        <v/>
      </c>
      <c r="H40" s="1352" t="n"/>
      <c r="I40" s="1352" t="n"/>
      <c r="J40" s="1352" t="n"/>
      <c r="K40" s="1352" t="n"/>
      <c r="L40" s="686" t="n"/>
      <c r="M40" s="1681" t="n"/>
      <c r="N40" s="1681" t="n"/>
      <c r="O40" s="1681" t="n"/>
      <c r="P40" s="1681" t="n"/>
      <c r="Q40" s="1681" t="n"/>
      <c r="R40" s="1681" t="n"/>
      <c r="S40" s="1681" t="n"/>
      <c r="T40" s="1681" t="n"/>
    </row>
    <row r="41" ht="19.95" customFormat="1" customHeight="1" s="686">
      <c r="A41" s="1681" t="n"/>
      <c r="B41" s="1023" t="inlineStr">
        <is>
          <t xml:space="preserve">　减：库存股</t>
        </is>
      </c>
      <c r="C41" s="1294" t="n"/>
      <c r="D41" s="1314" t="n"/>
      <c r="E41" s="1314" t="n"/>
      <c r="F41" s="1350" t="n"/>
      <c r="G41" s="1278">
        <f>D40+E40-F40</f>
        <v/>
      </c>
      <c r="H41" s="1352" t="n"/>
      <c r="I41" s="1352" t="n"/>
      <c r="J41" s="1352" t="n"/>
      <c r="K41" s="1352" t="n"/>
      <c r="L41" s="686" t="n"/>
      <c r="M41" s="1681" t="n"/>
      <c r="N41" s="1681" t="n"/>
      <c r="O41" s="1681" t="n"/>
      <c r="P41" s="1681" t="n"/>
      <c r="Q41" s="1681" t="n"/>
      <c r="R41" s="1681" t="n"/>
      <c r="S41" s="1681" t="n"/>
      <c r="T41" s="1681" t="n"/>
    </row>
    <row r="42" ht="19.95" customFormat="1" customHeight="1" s="686">
      <c r="A42" s="1681" t="n"/>
      <c r="B42" s="1023" t="inlineStr">
        <is>
          <t xml:space="preserve">    其他综合收益</t>
        </is>
      </c>
      <c r="C42" s="1294" t="n"/>
      <c r="D42" s="1314" t="n"/>
      <c r="E42" s="1314" t="n"/>
      <c r="F42" s="1350" t="n"/>
      <c r="G42" s="1278">
        <f>D41+E41-F41</f>
        <v/>
      </c>
      <c r="H42" s="1352" t="n"/>
      <c r="I42" s="1352" t="n"/>
      <c r="J42" s="1352" t="n"/>
      <c r="K42" s="1352" t="n"/>
      <c r="L42" s="686" t="n"/>
      <c r="M42" s="1681" t="n"/>
      <c r="N42" s="1681" t="n"/>
      <c r="O42" s="1681" t="n"/>
      <c r="P42" s="1681" t="n"/>
      <c r="Q42" s="1681" t="n"/>
      <c r="R42" s="1681" t="n"/>
      <c r="S42" s="1681" t="n"/>
      <c r="T42" s="1681" t="n"/>
    </row>
    <row r="43" ht="19.95" customFormat="1" customHeight="1" s="686">
      <c r="A43" s="1681" t="n"/>
      <c r="B43" s="1023" t="inlineStr">
        <is>
          <t xml:space="preserve">　盈余公积</t>
        </is>
      </c>
      <c r="C43" s="1294" t="n"/>
      <c r="D43" s="1314" t="n"/>
      <c r="E43" s="1314" t="n"/>
      <c r="F43" s="1350" t="n"/>
      <c r="G43" s="1278">
        <f>D42+E42-F42</f>
        <v/>
      </c>
      <c r="H43" s="1352" t="n"/>
      <c r="I43" s="1352" t="n"/>
      <c r="J43" s="1352" t="n"/>
      <c r="K43" s="1352" t="n"/>
      <c r="L43" s="686" t="n"/>
      <c r="M43" s="1681" t="n"/>
      <c r="N43" s="1681" t="n"/>
      <c r="O43" s="1681" t="n"/>
      <c r="P43" s="1681" t="n"/>
      <c r="Q43" s="1681" t="n"/>
      <c r="R43" s="1681" t="n"/>
      <c r="S43" s="1681" t="n"/>
      <c r="T43" s="1681" t="n"/>
    </row>
    <row r="44" ht="19.95" customFormat="1" customHeight="1" s="686">
      <c r="A44" s="1681" t="n"/>
      <c r="B44" s="1023" t="inlineStr">
        <is>
          <t xml:space="preserve">    专项储备</t>
        </is>
      </c>
      <c r="C44" s="1294" t="n"/>
      <c r="D44" s="1314" t="n"/>
      <c r="E44" s="1314" t="n"/>
      <c r="F44" s="1350" t="n"/>
      <c r="G44" s="1278">
        <f>D43+E43-F43</f>
        <v/>
      </c>
      <c r="H44" s="1352" t="n"/>
      <c r="I44" s="1352" t="n"/>
      <c r="J44" s="1339" t="n"/>
      <c r="K44" s="1339" t="n"/>
      <c r="L44" s="686" t="n"/>
      <c r="M44" s="1681" t="n"/>
      <c r="N44" s="1681" t="n"/>
      <c r="O44" s="1681" t="n"/>
      <c r="P44" s="1681" t="n"/>
      <c r="Q44" s="1681" t="n"/>
      <c r="R44" s="1681" t="n"/>
      <c r="S44" s="1681" t="n"/>
      <c r="T44" s="1681" t="n"/>
    </row>
    <row r="45" ht="19.95" customFormat="1" customHeight="1" s="686">
      <c r="A45" s="1681" t="n"/>
      <c r="B45" s="1023" t="inlineStr">
        <is>
          <t xml:space="preserve">　未分配利润</t>
        </is>
      </c>
      <c r="C45" s="1294" t="n"/>
      <c r="D45" s="1687" t="n"/>
      <c r="E45" s="1687" t="n"/>
      <c r="F45" s="1688" t="n"/>
      <c r="G45" s="1278">
        <f>D44+E44-F44</f>
        <v/>
      </c>
      <c r="H45" s="1689" t="n"/>
      <c r="I45" s="1689" t="n"/>
      <c r="J45" s="1352" t="n"/>
      <c r="K45" s="1352" t="n"/>
      <c r="L45" s="686" t="n"/>
      <c r="M45" s="1681" t="n"/>
      <c r="N45" s="1681" t="n"/>
      <c r="O45" s="1681" t="n"/>
      <c r="P45" s="1681" t="n"/>
      <c r="Q45" s="1681" t="n"/>
      <c r="R45" s="1681" t="n"/>
      <c r="S45" s="1681" t="n"/>
      <c r="T45" s="1681" t="n"/>
    </row>
    <row r="46" ht="19.95" customFormat="1" customHeight="1" s="686">
      <c r="A46" s="1681" t="n"/>
      <c r="B46" s="1023" t="inlineStr">
        <is>
          <t xml:space="preserve">    归属于母公司所有者权益合计</t>
        </is>
      </c>
      <c r="C46" s="1294" t="n"/>
      <c r="D46" s="1316">
        <f>SUM(D38:D39,-D40,D41:D44)</f>
        <v/>
      </c>
      <c r="E46" s="1316">
        <f>SUM(E38:E39,-E40,E41:E44)</f>
        <v/>
      </c>
      <c r="F46" s="1353">
        <f>SUM(F38:F39,-F40,F41:F44)</f>
        <v/>
      </c>
      <c r="G46" s="1278">
        <f>SUM(G38:G39,-G40,G41:G44)</f>
        <v/>
      </c>
      <c r="H46" s="1352" t="n"/>
      <c r="I46" s="1352" t="n"/>
      <c r="J46" s="1352" t="n"/>
      <c r="K46" s="1352" t="n"/>
      <c r="L46" s="686" t="n"/>
      <c r="M46" s="1681" t="n"/>
      <c r="N46" s="1681" t="n"/>
      <c r="O46" s="1681" t="n"/>
      <c r="P46" s="1681" t="n"/>
      <c r="Q46" s="1681" t="n"/>
      <c r="R46" s="1681" t="n"/>
      <c r="S46" s="1681" t="n"/>
      <c r="T46" s="1681" t="n"/>
    </row>
    <row r="47" ht="19.95" customFormat="1" customHeight="1" s="686">
      <c r="A47" s="1681" t="n"/>
      <c r="B47" s="1023" t="inlineStr">
        <is>
          <t xml:space="preserve">    少数股东权益</t>
        </is>
      </c>
      <c r="C47" s="1294" t="n"/>
      <c r="D47" s="1690" t="n"/>
      <c r="E47" s="1690" t="n"/>
      <c r="F47" s="1691" t="n"/>
      <c r="G47" s="1692">
        <f>D46+E46-F46</f>
        <v/>
      </c>
      <c r="H47" s="1339" t="n"/>
      <c r="I47" s="1339" t="n"/>
      <c r="J47" s="1339" t="n"/>
      <c r="K47" s="1339" t="n"/>
      <c r="L47" s="686" t="n"/>
      <c r="M47" s="1681" t="n"/>
      <c r="N47" s="1681" t="n"/>
      <c r="O47" s="1681" t="n"/>
      <c r="P47" s="1681" t="n"/>
      <c r="Q47" s="1681" t="n"/>
      <c r="R47" s="1681" t="n"/>
      <c r="S47" s="1681" t="n"/>
      <c r="T47" s="1681" t="n"/>
    </row>
    <row r="48" ht="19.95" customHeight="1" s="1097">
      <c r="A48" s="1681" t="n"/>
      <c r="B48" s="1023" t="inlineStr">
        <is>
          <t xml:space="preserve">             所有者权益合计</t>
        </is>
      </c>
      <c r="C48" s="1693" t="n"/>
      <c r="D48" s="1318">
        <f>D46+D45</f>
        <v/>
      </c>
      <c r="E48" s="1318">
        <f>E46+E45</f>
        <v/>
      </c>
      <c r="F48" s="1694">
        <f>F46+F45</f>
        <v/>
      </c>
      <c r="G48" s="1695">
        <f>G46+G45</f>
        <v/>
      </c>
      <c r="H48" s="1696" t="n"/>
      <c r="I48" s="1696" t="n"/>
      <c r="J48" s="1339" t="n"/>
      <c r="K48" s="1696" t="n"/>
      <c r="L48" s="56" t="n"/>
      <c r="M48" s="1681" t="n"/>
      <c r="N48" s="1681" t="n"/>
      <c r="O48" s="1681" t="n"/>
      <c r="P48" s="1681" t="n"/>
      <c r="Q48" s="1681" t="n"/>
      <c r="R48" s="1681" t="n"/>
      <c r="S48" s="1681" t="n"/>
      <c r="T48" s="1681" t="n"/>
    </row>
    <row r="49" ht="19.95" customHeight="1" s="1097">
      <c r="A49" s="1681" t="n"/>
      <c r="B49" s="1697" t="inlineStr">
        <is>
          <t>加：</t>
        </is>
      </c>
      <c r="C49" s="1285" t="n"/>
      <c r="D49" s="1690" t="n"/>
      <c r="E49" s="1690" t="n"/>
      <c r="F49" s="1698" t="n"/>
      <c r="G49" s="1695">
        <f>D48+E48-F48</f>
        <v/>
      </c>
      <c r="H49" s="1696" t="n"/>
      <c r="I49" s="1696" t="n"/>
      <c r="J49" s="1699" t="n"/>
      <c r="K49" s="1699" t="n"/>
      <c r="L49" s="56" t="n"/>
      <c r="M49" s="1681" t="n"/>
      <c r="N49" s="1681" t="n"/>
      <c r="O49" s="1681" t="n"/>
      <c r="P49" s="1681" t="n"/>
      <c r="Q49" s="1681" t="n"/>
      <c r="R49" s="1681" t="n"/>
      <c r="S49" s="1681" t="n"/>
      <c r="T49" s="1681" t="n"/>
    </row>
    <row r="50" ht="19.95" customHeight="1" s="1097">
      <c r="A50" s="1681" t="n"/>
      <c r="B50" s="1002" t="inlineStr">
        <is>
          <t>取得投资时公允价值与账面价值差异调整数（表四）</t>
        </is>
      </c>
      <c r="C50" s="1270" t="n"/>
      <c r="D50" s="1690" t="n"/>
      <c r="E50" s="1690" t="n"/>
      <c r="F50" s="1698" t="n"/>
      <c r="G50" s="1695">
        <f>D49+E49-F49</f>
        <v/>
      </c>
      <c r="H50" s="1696" t="n"/>
      <c r="I50" s="1696" t="n"/>
      <c r="J50" s="1696" t="n"/>
      <c r="K50" s="1696" t="n"/>
      <c r="L50" s="56" t="n"/>
      <c r="M50" s="1681" t="n"/>
      <c r="N50" s="1681" t="n"/>
      <c r="O50" s="1681" t="n"/>
      <c r="P50" s="1681" t="n"/>
      <c r="Q50" s="1681" t="n"/>
      <c r="R50" s="1681" t="n"/>
      <c r="S50" s="1681" t="n"/>
      <c r="T50" s="1681" t="n"/>
    </row>
    <row r="51" ht="19.95" customHeight="1" s="1097">
      <c r="A51" s="1681" t="n"/>
      <c r="B51" s="1700" t="inlineStr">
        <is>
          <t>本期净利润的其他调整数</t>
        </is>
      </c>
      <c r="C51" s="1270" t="n"/>
      <c r="D51" s="1690" t="n"/>
      <c r="E51" s="1690" t="n"/>
      <c r="F51" s="1698" t="n"/>
      <c r="G51" s="1695">
        <f>D50+E50-F50</f>
        <v/>
      </c>
      <c r="H51" s="1696" t="n"/>
      <c r="I51" s="1696" t="n"/>
      <c r="J51" s="1696" t="n"/>
      <c r="K51" s="1696" t="n"/>
      <c r="L51" s="56" t="n"/>
      <c r="M51" s="1681" t="n"/>
      <c r="N51" s="1681" t="n"/>
      <c r="O51" s="1681" t="n"/>
      <c r="P51" s="1681" t="n"/>
      <c r="Q51" s="1681" t="n"/>
      <c r="R51" s="1681" t="n"/>
      <c r="S51" s="1681" t="n"/>
      <c r="T51" s="1681" t="n"/>
    </row>
    <row r="52" ht="19.95" customHeight="1" s="1097">
      <c r="A52" s="1701" t="n"/>
      <c r="B52" s="1700" t="inlineStr">
        <is>
          <t>期初公允价值差异累计调整数</t>
        </is>
      </c>
      <c r="C52" s="1693" t="n"/>
      <c r="D52" s="1690" t="n"/>
      <c r="E52" s="1690" t="n"/>
      <c r="F52" s="1698" t="n"/>
      <c r="G52" s="1695">
        <f>D51+E51-F51</f>
        <v/>
      </c>
      <c r="H52" s="1696" t="n"/>
      <c r="I52" s="1696" t="n"/>
      <c r="J52" s="1339" t="n"/>
      <c r="K52" s="1696" t="n"/>
      <c r="L52" s="56" t="n"/>
      <c r="M52" s="1681" t="n"/>
      <c r="N52" s="1681" t="n"/>
      <c r="O52" s="1681" t="n"/>
      <c r="P52" s="1681" t="n"/>
      <c r="Q52" s="1681" t="n"/>
      <c r="R52" s="1681" t="n"/>
      <c r="S52" s="1681" t="n"/>
      <c r="T52" s="1681" t="n"/>
    </row>
    <row r="53" ht="19.95" customHeight="1" s="1097">
      <c r="A53" s="1701" t="n"/>
      <c r="B53" s="1702" t="inlineStr">
        <is>
          <t>减：</t>
        </is>
      </c>
      <c r="C53" s="1703" t="n"/>
      <c r="D53" s="1690" t="n"/>
      <c r="E53" s="1690" t="n"/>
      <c r="F53" s="1698" t="n"/>
      <c r="G53" s="1695">
        <f>D52+E52-F52</f>
        <v/>
      </c>
      <c r="H53" s="1696" t="n"/>
      <c r="I53" s="1696" t="n"/>
      <c r="J53" s="1339" t="n"/>
      <c r="K53" s="1696" t="n"/>
      <c r="L53" s="56" t="n"/>
      <c r="M53" s="1681" t="n"/>
      <c r="N53" s="1681" t="n"/>
      <c r="O53" s="1681" t="n"/>
      <c r="P53" s="1681" t="n"/>
      <c r="Q53" s="1681" t="n"/>
      <c r="R53" s="1681" t="n"/>
      <c r="S53" s="1681" t="n"/>
      <c r="T53" s="1681" t="n"/>
    </row>
    <row r="54" ht="20.1" customHeight="1" s="1097">
      <c r="A54" s="1701" t="n"/>
      <c r="B54" s="1700" t="inlineStr">
        <is>
          <t xml:space="preserve">未实现内部交易损益抵消（见内部交易抵销测算表 ）  </t>
        </is>
      </c>
      <c r="C54" s="1270" t="n"/>
      <c r="D54" s="1690" t="n"/>
      <c r="E54" s="1733">
        <f>IFERROR(ABS(N('权益法未实现内部交易抵销测算表G7-15'!G32)),"")</f>
        <v/>
      </c>
      <c r="F54" s="1698" t="n"/>
      <c r="G54" s="1734">
        <f>IFERROR(N('权益法未实现内部交易抵销测算表G7-15'!C32)*N('权益法未实现内部交易抵销测算表G7-15'!F8),N(D54)+N(E54)-N(F54))</f>
        <v/>
      </c>
      <c r="H54" s="1696" t="n"/>
      <c r="I54" s="1696" t="n"/>
      <c r="J54" s="1339" t="n"/>
      <c r="K54" s="1696" t="n"/>
      <c r="L54" s="56" t="n"/>
      <c r="M54" s="1681" t="n"/>
      <c r="N54" s="1681" t="n"/>
      <c r="O54" s="1681" t="n"/>
      <c r="P54" s="1681" t="n"/>
      <c r="Q54" s="1681" t="n"/>
      <c r="R54" s="1681" t="n"/>
      <c r="S54" s="1681" t="n"/>
      <c r="T54" s="1681" t="n"/>
    </row>
    <row r="55">
      <c r="A55" s="1701" t="n"/>
      <c r="B55" s="1704" t="inlineStr">
        <is>
          <t>调整后所有者权益合计</t>
        </is>
      </c>
      <c r="C55" s="1270" t="n"/>
      <c r="D55" s="1733">
        <f>D47+D49+D50+D51-D54</f>
        <v/>
      </c>
      <c r="E55" s="1733">
        <f>E47+E49+E50+E51-E54</f>
        <v/>
      </c>
      <c r="F55" s="1735">
        <f>F47+F49+F50+F51-F54</f>
        <v/>
      </c>
      <c r="G55" s="1736">
        <f>G47+G49+G50+G51-G54</f>
        <v/>
      </c>
      <c r="H55" s="1696" t="n"/>
      <c r="I55" s="1696" t="n"/>
      <c r="J55" s="1339" t="n"/>
      <c r="K55" s="1696" t="n"/>
      <c r="L55" s="56" t="n"/>
      <c r="M55" s="1681" t="n"/>
      <c r="N55" s="1681" t="n"/>
      <c r="O55" s="1681" t="n"/>
      <c r="P55" s="1681" t="n"/>
      <c r="Q55" s="1681" t="n"/>
      <c r="R55" s="1681" t="n"/>
      <c r="S55" s="1681" t="n"/>
      <c r="T55" s="1681" t="n"/>
    </row>
    <row r="56">
      <c r="A56" s="1681" t="n"/>
      <c r="B56" s="1705" t="inlineStr">
        <is>
          <t>（备用调整项，无则留空）</t>
        </is>
      </c>
      <c r="C56" s="1294" t="n"/>
      <c r="D56" s="1690" t="n"/>
      <c r="E56" s="1690" t="n"/>
      <c r="F56" s="1698" t="n"/>
      <c r="G56" s="1695">
        <f>D56+E56-F56</f>
        <v/>
      </c>
      <c r="H56" s="1696" t="n"/>
      <c r="I56" s="1696" t="n"/>
      <c r="J56" s="687" t="n"/>
      <c r="K56" s="1699" t="n"/>
      <c r="L56" s="56" t="n"/>
      <c r="M56" s="1681" t="n"/>
      <c r="N56" s="1681" t="n"/>
      <c r="O56" s="1681" t="n"/>
      <c r="P56" s="1681" t="n"/>
      <c r="Q56" s="1681" t="n"/>
      <c r="R56" s="1681" t="n"/>
      <c r="S56" s="1681" t="n"/>
      <c r="T56" s="1681" t="n"/>
    </row>
    <row r="57">
      <c r="A57" s="1681" t="n"/>
      <c r="B57" s="71" t="inlineStr">
        <is>
          <t>本公司持股比例</t>
        </is>
      </c>
      <c r="C57" s="1294" t="n"/>
      <c r="D57" s="85" t="n"/>
      <c r="E57" s="85" t="n"/>
      <c r="F57" s="1706" t="n"/>
      <c r="G57" s="1695">
        <f>D56+E56-F56</f>
        <v/>
      </c>
      <c r="H57" s="1707" t="n"/>
      <c r="I57" s="1707" t="n"/>
      <c r="J57" s="1696" t="n"/>
      <c r="K57" s="1696" t="n"/>
      <c r="L57" s="56" t="n"/>
      <c r="M57" s="1681" t="n"/>
      <c r="N57" s="1681" t="n"/>
      <c r="O57" s="1681" t="n"/>
      <c r="P57" s="1681" t="n"/>
      <c r="Q57" s="1681" t="n"/>
      <c r="R57" s="1681" t="n"/>
      <c r="S57" s="1681" t="n"/>
      <c r="T57" s="1681" t="n"/>
    </row>
    <row r="58">
      <c r="A58" s="1681" t="n"/>
      <c r="B58" s="71" t="inlineStr">
        <is>
          <t xml:space="preserve">        本公司应享有的所有者权益</t>
        </is>
      </c>
      <c r="C58" s="1693" t="n"/>
      <c r="D58" s="1318">
        <f>D55*D57</f>
        <v/>
      </c>
      <c r="E58" s="1318">
        <f>E55*E57</f>
        <v/>
      </c>
      <c r="F58" s="1694">
        <f>F55*F57</f>
        <v/>
      </c>
      <c r="G58" s="1695">
        <f>G55*G57</f>
        <v/>
      </c>
      <c r="H58" s="1696" t="n"/>
      <c r="I58" s="1696" t="n"/>
      <c r="J58" s="1696" t="n"/>
      <c r="K58" s="1696" t="n"/>
      <c r="L58" s="56" t="n"/>
      <c r="M58" s="1681" t="n"/>
      <c r="N58" s="1681" t="n"/>
      <c r="O58" s="1681" t="n"/>
      <c r="P58" s="1681" t="n"/>
      <c r="Q58" s="1681" t="n"/>
      <c r="R58" s="1681" t="n"/>
      <c r="S58" s="1681" t="n"/>
      <c r="T58" s="1681" t="n"/>
    </row>
    <row r="59">
      <c r="A59" s="1681" t="n"/>
      <c r="B59" s="77" t="inlineStr">
        <is>
          <t>注：1、上表中被投资单位与投资单位的会计政策应当一致，如不一致应按调整后的账面价值数据填入上表。</t>
        </is>
      </c>
      <c r="C59" s="1681" t="n"/>
      <c r="D59" s="1681" t="n"/>
      <c r="E59" s="1681" t="n"/>
      <c r="F59" s="64" t="n"/>
      <c r="G59" s="64" t="n"/>
      <c r="H59" s="56" t="n"/>
      <c r="I59" s="56" t="n"/>
      <c r="J59" s="56" t="n"/>
      <c r="K59" s="56" t="n"/>
      <c r="L59" s="56" t="n"/>
      <c r="M59" s="1681" t="n"/>
      <c r="N59" s="1681" t="n"/>
      <c r="O59" s="1681" t="n"/>
      <c r="P59" s="1681" t="n"/>
      <c r="Q59" s="1681" t="n"/>
      <c r="R59" s="1681" t="n"/>
      <c r="S59" s="1681" t="n"/>
      <c r="T59" s="1681" t="n"/>
    </row>
    <row r="60">
      <c r="A60" s="1681" t="n"/>
      <c r="B60" s="77" t="inlineStr">
        <is>
          <t xml:space="preserve">         2、请关注本公司持股比例与表决权比例不一致时需要对上表数据调整，如不一致，必须作出说明。</t>
        </is>
      </c>
      <c r="C60" s="1681" t="n"/>
      <c r="D60" s="1681" t="n"/>
      <c r="E60" s="1681" t="n"/>
      <c r="F60" s="1681" t="n"/>
      <c r="G60" s="1681" t="n"/>
      <c r="H60" s="1681" t="n"/>
      <c r="I60" s="1681" t="n"/>
      <c r="J60" s="56" t="n"/>
      <c r="K60" s="1681" t="n"/>
      <c r="L60" s="1681" t="n"/>
      <c r="M60" s="1681" t="n"/>
      <c r="N60" s="1681" t="n"/>
      <c r="O60" s="1681" t="n"/>
      <c r="P60" s="1681" t="n"/>
      <c r="Q60" s="1681" t="n"/>
      <c r="R60" s="1681" t="n"/>
      <c r="S60" s="1681" t="n"/>
      <c r="T60" s="1681" t="n"/>
    </row>
    <row r="61">
      <c r="A61" s="1681" t="n"/>
      <c r="B61" s="1681" t="inlineStr">
        <is>
          <t xml:space="preserve">         3、第2部分“与享有净资产差额”应通过商誉/累计公允价值调整/减值准备解释；“未解释差额”接近0。</t>
        </is>
      </c>
      <c r="C61" s="1681" t="n"/>
      <c r="D61" s="1681" t="n"/>
      <c r="E61" s="1681" t="n"/>
      <c r="F61" s="1681" t="n"/>
      <c r="G61" s="1681" t="n"/>
      <c r="H61" s="1681" t="n"/>
      <c r="I61" s="1681" t="n"/>
      <c r="J61" s="1681" t="n"/>
      <c r="K61" s="1681" t="n"/>
      <c r="L61" s="1681" t="n"/>
      <c r="M61" s="1681" t="n"/>
      <c r="N61" s="1681" t="n"/>
      <c r="O61" s="1681" t="n"/>
      <c r="P61" s="1681" t="n"/>
      <c r="Q61" s="1681" t="n"/>
      <c r="R61" s="1681" t="n"/>
      <c r="S61" s="1681" t="n"/>
      <c r="T61" s="1681" t="n"/>
    </row>
    <row r="62">
      <c r="A62" s="1681" t="n"/>
      <c r="B62" s="1681" t="inlineStr">
        <is>
          <t xml:space="preserve">         4、投资收益差异⑩=⑨-⑤+⑧：⑨建议取损益调整本期净增加；若取投资收益科目发生额，则正确时⑨≈⑤，股利冲减长投另行核对。</t>
        </is>
      </c>
      <c r="C62" s="1681" t="n"/>
      <c r="D62" s="1681" t="n"/>
      <c r="E62" s="1681" t="n"/>
      <c r="F62" s="1681" t="n"/>
      <c r="G62" s="1681" t="n"/>
      <c r="H62" s="1681" t="n"/>
      <c r="I62" s="1681" t="n"/>
      <c r="J62" s="1681" t="n"/>
      <c r="K62" s="1681" t="n"/>
      <c r="L62" s="1681" t="n"/>
      <c r="M62" s="1681" t="n"/>
      <c r="N62" s="1681" t="n"/>
      <c r="O62" s="1681" t="n"/>
      <c r="P62" s="1681" t="n"/>
      <c r="Q62" s="1681" t="n"/>
      <c r="R62" s="1681" t="n"/>
      <c r="S62" s="1681" t="n"/>
      <c r="T62" s="1681" t="n"/>
    </row>
    <row r="63">
      <c r="A63" s="1681" t="n"/>
      <c r="B63" s="1681" t="inlineStr">
        <is>
          <t xml:space="preserve">         5、第1部分与第2部分被投资单位行次应一一对应；第3部分按公司分别编制或附多公司附表。</t>
        </is>
      </c>
      <c r="C63" s="1681" t="n"/>
      <c r="D63" s="1681" t="n"/>
      <c r="E63" s="1681" t="n"/>
      <c r="F63" s="1681" t="n"/>
      <c r="G63" s="1681" t="n"/>
      <c r="H63" s="1681" t="n"/>
      <c r="I63" s="1681" t="n"/>
      <c r="J63" s="1681" t="n"/>
      <c r="K63" s="1681" t="n"/>
      <c r="L63" s="1681" t="n"/>
      <c r="M63" s="1681" t="n"/>
      <c r="N63" s="1681" t="n"/>
      <c r="O63" s="1681" t="n"/>
      <c r="P63" s="1681" t="n"/>
      <c r="Q63" s="1681" t="n"/>
      <c r="R63" s="1681" t="n"/>
      <c r="S63" s="1681" t="n"/>
      <c r="T63" s="1681" t="n"/>
    </row>
    <row r="64">
      <c r="A64" s="54" t="inlineStr">
        <is>
          <t>三、审计说明</t>
        </is>
      </c>
      <c r="B64" s="56" t="n"/>
      <c r="C64" s="1681" t="n"/>
      <c r="D64" s="1681" t="n"/>
      <c r="E64" s="1681" t="n"/>
      <c r="F64" s="1681" t="n"/>
      <c r="G64" s="1681" t="n"/>
      <c r="H64" s="1681" t="n"/>
      <c r="I64" s="1681" t="n"/>
      <c r="J64" s="56" t="n"/>
      <c r="K64" s="1681" t="n"/>
      <c r="L64" s="1681" t="n"/>
      <c r="M64" s="1681" t="n"/>
      <c r="N64" s="1681" t="n"/>
      <c r="O64" s="1681" t="n"/>
      <c r="P64" s="1681" t="n"/>
      <c r="Q64" s="1681" t="n"/>
      <c r="R64" s="1681" t="n"/>
      <c r="S64" s="1681" t="n"/>
      <c r="T64" s="1681" t="n"/>
    </row>
    <row r="65">
      <c r="A65" s="56" t="n"/>
      <c r="B65" s="56" t="inlineStr">
        <is>
          <t xml:space="preserve">         4、投资收益差异⑩=⑨-⑤+⑧：⑨建议取损益调整本期净增加；若取投资收益科目发生额，则正确时⑨≈⑤，股利冲减长投另行核对。</t>
        </is>
      </c>
      <c r="C65" s="1681" t="n"/>
      <c r="D65" s="1681" t="n"/>
      <c r="E65" s="1681" t="n"/>
      <c r="F65" s="1681" t="n"/>
      <c r="G65" s="1681" t="n"/>
      <c r="H65" s="1681" t="n"/>
      <c r="I65" s="1681" t="n"/>
      <c r="J65" s="56" t="n"/>
      <c r="K65" s="1681" t="n"/>
      <c r="L65" s="1681" t="n"/>
      <c r="M65" s="1681" t="n"/>
      <c r="N65" s="1681" t="n"/>
      <c r="O65" s="1681" t="n"/>
      <c r="P65" s="1681" t="n"/>
      <c r="Q65" s="1681" t="n"/>
      <c r="R65" s="1681" t="n"/>
      <c r="S65" s="1681" t="n"/>
      <c r="T65" s="1681" t="n"/>
    </row>
    <row r="66">
      <c r="A66" s="56" t="n"/>
      <c r="B66" s="56" t="inlineStr">
        <is>
          <t xml:space="preserve">         5、第1部分与第2部分被投资单位行次应一一对应；第3部分按公司分别编制或附多公司附表。</t>
        </is>
      </c>
      <c r="C66" s="1681" t="n"/>
      <c r="D66" s="1681" t="n"/>
      <c r="E66" s="1681" t="n"/>
      <c r="F66" s="1681" t="n"/>
      <c r="G66" s="1681" t="n"/>
      <c r="H66" s="1681" t="n"/>
      <c r="I66" s="1681" t="n"/>
      <c r="J66" s="56" t="n"/>
      <c r="K66" s="1681" t="n"/>
      <c r="L66" s="1681" t="n"/>
      <c r="M66" s="1681" t="n"/>
      <c r="N66" s="1681" t="n"/>
      <c r="O66" s="1681" t="n"/>
      <c r="P66" s="1681" t="n"/>
      <c r="Q66" s="1681" t="n"/>
      <c r="R66" s="1681" t="n"/>
      <c r="S66" s="1681" t="n"/>
      <c r="T66" s="1681" t="n"/>
    </row>
    <row r="67">
      <c r="A67" s="54" t="inlineStr">
        <is>
          <t>四、审计结论</t>
        </is>
      </c>
      <c r="B67" s="56" t="n"/>
      <c r="C67" s="1681" t="n"/>
      <c r="D67" s="1681" t="n"/>
      <c r="E67" s="1681" t="n"/>
      <c r="F67" s="1681" t="n"/>
      <c r="G67" s="1681" t="n"/>
      <c r="H67" s="1681" t="n"/>
      <c r="I67" s="1681" t="n"/>
      <c r="J67" s="56" t="n"/>
      <c r="K67" s="1681" t="n"/>
      <c r="L67" s="1681" t="n"/>
      <c r="M67" s="1681" t="n"/>
      <c r="N67" s="1681" t="n"/>
      <c r="O67" s="1681" t="n"/>
      <c r="P67" s="1681" t="n"/>
      <c r="Q67" s="1681" t="n"/>
      <c r="R67" s="1681" t="n"/>
      <c r="S67" s="1681" t="n"/>
      <c r="T67" s="1681" t="n"/>
    </row>
    <row r="68">
      <c r="A68" s="1681" t="n"/>
      <c r="B68" s="1681" t="n"/>
      <c r="C68" s="1681" t="n"/>
      <c r="D68" s="1681" t="n"/>
      <c r="E68" s="1681" t="n"/>
      <c r="F68" s="1681" t="n"/>
      <c r="G68" s="1681" t="n"/>
      <c r="H68" s="1681" t="n"/>
      <c r="I68" s="1681" t="n"/>
      <c r="J68" s="56" t="n"/>
      <c r="K68" s="1681" t="n"/>
      <c r="L68" s="1681" t="n"/>
      <c r="M68" s="1681" t="n"/>
      <c r="N68" s="1681" t="n"/>
      <c r="O68" s="1681" t="n"/>
      <c r="P68" s="1681" t="n"/>
      <c r="Q68" s="1681" t="n"/>
      <c r="R68" s="1681" t="n"/>
      <c r="S68" s="1681" t="n"/>
      <c r="T68" s="1681" t="n"/>
    </row>
    <row r="69">
      <c r="A69" s="1642" t="n"/>
      <c r="B69" s="1642" t="n"/>
      <c r="C69" s="1642" t="n"/>
      <c r="D69" s="1642" t="n"/>
      <c r="E69" s="1642" t="n"/>
      <c r="F69" s="1642" t="n"/>
      <c r="G69" s="1642" t="n"/>
      <c r="H69" s="1642" t="n"/>
      <c r="I69" s="1642" t="n"/>
      <c r="J69" s="1642" t="n"/>
      <c r="K69" s="1642" t="n"/>
      <c r="L69" s="1642" t="n"/>
      <c r="M69" s="1642" t="n"/>
      <c r="N69" s="1642" t="n"/>
      <c r="O69" s="1642" t="n"/>
      <c r="P69" s="1642" t="n"/>
      <c r="Q69" s="1642" t="n"/>
      <c r="R69" s="1642" t="n"/>
      <c r="S69" s="1642" t="n"/>
      <c r="T69" s="1642" t="n"/>
    </row>
    <row r="70">
      <c r="A70" s="1642" t="n"/>
      <c r="B70" s="1642" t="n"/>
      <c r="C70" s="1642" t="n"/>
      <c r="D70" s="1642" t="n"/>
      <c r="E70" s="1642" t="n"/>
      <c r="F70" s="1642" t="n"/>
      <c r="G70" s="1642" t="n"/>
      <c r="H70" s="1642" t="n"/>
      <c r="I70" s="1642" t="n"/>
      <c r="J70" s="1642" t="n"/>
      <c r="K70" s="1642" t="n"/>
      <c r="L70" s="1642" t="n"/>
      <c r="M70" s="1642" t="n"/>
      <c r="N70" s="1642" t="n"/>
      <c r="O70" s="1642" t="n"/>
      <c r="P70" s="1642" t="n"/>
      <c r="Q70" s="1642" t="n"/>
      <c r="R70" s="1642" t="n"/>
      <c r="S70" s="1642" t="n"/>
      <c r="T70" s="1642" t="n"/>
    </row>
    <row r="71">
      <c r="A71" s="1642" t="n"/>
      <c r="B71" s="1642" t="n"/>
      <c r="C71" s="1642" t="n"/>
      <c r="D71" s="1642" t="n"/>
      <c r="E71" s="1642" t="n"/>
      <c r="F71" s="1642" t="n"/>
      <c r="G71" s="1642" t="n"/>
      <c r="H71" s="1642" t="n"/>
      <c r="I71" s="1642" t="n"/>
      <c r="J71" s="1642" t="n"/>
      <c r="K71" s="1642" t="n"/>
      <c r="L71" s="1642" t="n"/>
      <c r="M71" s="1642" t="n"/>
      <c r="N71" s="1642" t="n"/>
      <c r="O71" s="1642" t="n"/>
      <c r="P71" s="1642" t="n"/>
      <c r="Q71" s="1642" t="n"/>
      <c r="R71" s="1642" t="n"/>
      <c r="S71" s="1642" t="n"/>
      <c r="T71" s="1642" t="n"/>
    </row>
  </sheetData>
  <mergeCells count="35">
    <mergeCell ref="B47:C47"/>
    <mergeCell ref="B54:C54"/>
    <mergeCell ref="Q8:Q9"/>
    <mergeCell ref="B46:C46"/>
    <mergeCell ref="B8:B9"/>
    <mergeCell ref="J1:T1"/>
    <mergeCell ref="B56:C56"/>
    <mergeCell ref="B43:C43"/>
    <mergeCell ref="B39:C39"/>
    <mergeCell ref="A2:I2"/>
    <mergeCell ref="L8:L9"/>
    <mergeCell ref="N8:N9"/>
    <mergeCell ref="B42:C42"/>
    <mergeCell ref="P8:P9"/>
    <mergeCell ref="D8:F8"/>
    <mergeCell ref="B57:C57"/>
    <mergeCell ref="B38:C38"/>
    <mergeCell ref="B44:C44"/>
    <mergeCell ref="C8:C9"/>
    <mergeCell ref="K8:K9"/>
    <mergeCell ref="B37:C37"/>
    <mergeCell ref="M8:M9"/>
    <mergeCell ref="O8:O9"/>
    <mergeCell ref="B40:C40"/>
    <mergeCell ref="B49:C49"/>
    <mergeCell ref="B55:C55"/>
    <mergeCell ref="J8:J9"/>
    <mergeCell ref="B51:C51"/>
    <mergeCell ref="B45:C45"/>
    <mergeCell ref="J2:T2"/>
    <mergeCell ref="G8:I8"/>
    <mergeCell ref="A1:I1"/>
    <mergeCell ref="B36:C36"/>
    <mergeCell ref="B50:C50"/>
    <mergeCell ref="B41:C41"/>
  </mergeCells>
  <conditionalFormatting sqref="P25:P34">
    <cfRule type="cellIs" priority="1" operator="notEqual" dxfId="2">
      <formula>0</formula>
    </cfRule>
  </conditionalFormatting>
  <conditionalFormatting sqref="S25:S34">
    <cfRule type="cellIs" priority="2" operator="notEqual" dxfId="2">
      <formula>0</formula>
    </cfRule>
  </conditionalFormatting>
  <hyperlinks>
    <hyperlink ref="I3" location="底稿目录!F20" display="底稿目录!F20"/>
    <hyperlink ref="T3" location="底稿目录!F20" display="底稿目录!F20"/>
  </hyperlinks>
  <pageMargins left="0.7086614173228347" right="0.7086614173228347" top="0.7480314960629921" bottom="0.7480314960629921" header="0.3149606299212598" footer="0.3149606299212598"/>
  <pageSetup orientation="landscape" paperSize="9" scale="80" fitToHeight="0" fitToWidth="2" blackAndWhite="1"/>
  <headerFooter>
    <oddHeader/>
    <oddFooter>&amp;C&amp;P/&amp;N</oddFooter>
    <evenHeader/>
    <evenFooter/>
    <firstHeader/>
    <firstFooter/>
  </headerFooter>
  <rowBreaks count="1" manualBreakCount="1">
    <brk id="22" min="0" max="19" man="1"/>
  </rowBreaks>
  <colBreaks count="1" manualBreakCount="1">
    <brk id="9" min="0" max="52" man="1"/>
  </colBreaks>
  <legacyDrawing xmlns:r="http://schemas.openxmlformats.org/officeDocument/2006/relationships" r:id="anysvml"/>
</worksheet>
</file>

<file path=xl/worksheets/sheet19.xml><?xml version="1.0" encoding="utf-8"?>
<worksheet xmlns="http://schemas.openxmlformats.org/spreadsheetml/2006/main">
  <sheetPr codeName="Sheet19">
    <outlinePr summaryBelow="1" summaryRight="1"/>
    <pageSetUpPr fitToPage="1"/>
  </sheetPr>
  <dimension ref="A1:N55"/>
  <sheetViews>
    <sheetView view="pageBreakPreview" zoomScaleSheetLayoutView="100" workbookViewId="0">
      <selection activeCell="A1" sqref="A1:L1"/>
    </sheetView>
  </sheetViews>
  <sheetFormatPr baseColWidth="8" defaultColWidth="9" defaultRowHeight="15.6" outlineLevelCol="0"/>
  <cols>
    <col width="14" customWidth="1" style="90" min="1" max="1"/>
    <col width="12" customWidth="1" style="90" min="2" max="2"/>
    <col width="16" customWidth="1" style="90" min="3" max="3"/>
    <col width="18" customWidth="1" style="90" min="4" max="4"/>
    <col width="9.296875" customWidth="1" style="90" min="5" max="5"/>
    <col width="11.5" customWidth="1" style="90" min="6" max="9"/>
    <col width="13.5" customWidth="1" style="90" min="10" max="10"/>
    <col width="16.19921875" customWidth="1" style="90" min="11" max="11"/>
    <col width="12" customWidth="1" style="90" min="12" max="12"/>
    <col width="14" customWidth="1" style="90" min="13" max="16384"/>
    <col width="16" customWidth="1" style="1097" min="14" max="14"/>
  </cols>
  <sheetData>
    <row r="1" ht="19.95" customFormat="1" customHeight="1" s="617">
      <c r="A1" s="942" t="inlineStr">
        <is>
          <t>致同会计师事务所</t>
        </is>
      </c>
    </row>
    <row r="2" ht="19.95" customFormat="1" customHeight="1" s="630">
      <c r="A2" s="943" t="inlineStr">
        <is>
          <t>权益法未实现内部交易抵销测算表</t>
        </is>
      </c>
    </row>
    <row r="3" ht="19.95" customFormat="1" customHeight="1" s="673">
      <c r="A3" s="673">
        <f>底稿目录!A2</f>
        <v/>
      </c>
      <c r="E3" s="673">
        <f>底稿目录!A4</f>
        <v/>
      </c>
      <c r="H3" s="673">
        <f>底稿目录!A5</f>
        <v/>
      </c>
      <c r="K3" s="672" t="inlineStr">
        <is>
          <t>索引号：</t>
        </is>
      </c>
      <c r="L3" s="1096">
        <f>底稿目录!F21</f>
        <v/>
      </c>
    </row>
    <row r="4" ht="19.95" customFormat="1" customHeight="1" s="673">
      <c r="A4" s="673">
        <f>底稿目录!A3</f>
        <v/>
      </c>
      <c r="E4" s="673">
        <f>底稿目录!A6</f>
        <v/>
      </c>
      <c r="H4" s="673">
        <f>底稿目录!A7</f>
        <v/>
      </c>
      <c r="K4" s="672" t="inlineStr">
        <is>
          <t>页 次：</t>
        </is>
      </c>
    </row>
    <row r="5" ht="19.95" customFormat="1" customHeight="1" s="2">
      <c r="A5" s="37" t="inlineStr">
        <is>
          <t>一、审计目标：</t>
        </is>
      </c>
      <c r="B5" s="37" t="n"/>
      <c r="D5" s="1587" t="inlineStr">
        <is>
          <t>确定投资方与联营、合营企业之间未实现内部交易损益的抵销金额是否正确，并正确计算对权益法投资收益的调整（×持股比例）。</t>
        </is>
      </c>
    </row>
    <row r="6" ht="40" customFormat="1" customHeight="1" s="2">
      <c r="A6" s="37" t="inlineStr">
        <is>
          <t>二、审计过程</t>
        </is>
      </c>
      <c r="B6" s="37" t="n"/>
      <c r="D6" s="1588" t="inlineStr">
        <is>
          <t>程序链：①识别与联营/合营内部交易并区分顺流/逆流 → ②确认标的资产期末是否仍持有及已实现部分（折旧/对外出售）→ ③测算期末未实现④及本期变动⑤ → ④属资产减值的未实现损失不抵销（L列选是）→ ⑤按持股比例计算投资收益调整⑦ → ⑥汇总索引G7-14（名称/比例自动勾稽）→ ⑦结论</t>
        </is>
      </c>
    </row>
    <row r="7" ht="36" customFormat="1" customHeight="1" s="2">
      <c r="D7" s="1588" t="inlineStr">
        <is>
          <t>边界：子公司之间内部交易抵销见合并底稿，不在本表。橙色=输入，绿色=公式。被投资单位从G7-14下拉选择，比例自动带出。</t>
        </is>
      </c>
    </row>
    <row r="8" ht="19.95" customFormat="1" customHeight="1" s="2">
      <c r="B8" s="143" t="inlineStr">
        <is>
          <t>被投资单位：</t>
        </is>
      </c>
      <c r="C8" s="1589" t="inlineStr"/>
      <c r="D8" s="149" t="n"/>
      <c r="E8" s="143" t="inlineStr">
        <is>
          <t>持股比例：</t>
        </is>
      </c>
      <c r="F8" s="1737">
        <f>IF(C8="","",IFERROR(INDEX('权益法测算表G7-14'!$C$11:$C$20,MATCH(C8,'权益法测算表G7-14'!$B$11:$B$20,0)),""))</f>
        <v/>
      </c>
      <c r="G8" s="150" t="inlineStr">
        <is>
          <t>与G7-14匹配</t>
        </is>
      </c>
      <c r="H8" s="1738">
        <f>IF(C8="","",IFERROR(IF(ABS(N(F8)-N(INDEX('权益法测算表G7-14'!$C$11:$C$20,MATCH(C8,'权益法测算表G7-14'!$B$11:$B$20,0))))&lt;=0.000001,"名称/比例均匹配G7-14","名称匹配但比例不一致"),IF(ISNUMBER(MATCH(C8,'明细表G7-2'!$B$33:$B$44,0)),"已匹配G7-2-请核对G7-14","未匹配-请核对名称")))</f>
        <v/>
      </c>
      <c r="I8" s="143" t="inlineStr">
        <is>
          <t>重要性水平(可选)</t>
        </is>
      </c>
      <c r="J8" s="1592" t="n"/>
      <c r="K8" s="143" t="n"/>
      <c r="L8" s="143" t="n"/>
    </row>
    <row r="9" ht="28" customFormat="1" customHeight="1" s="2">
      <c r="A9" s="1593" t="inlineStr">
        <is>
          <t>1、未实现的内部顺流交易（投资方出售给联营/合营；含①期初未实现余额项目与②本期发生且期末仍未实现项目）</t>
        </is>
      </c>
    </row>
    <row r="10" ht="30" customFormat="1" customHeight="1" s="2">
      <c r="A10" s="1594" t="inlineStr">
        <is>
          <t>出售项目</t>
        </is>
      </c>
      <c r="B10" s="1595" t="n"/>
      <c r="C10" s="1594" t="inlineStr">
        <is>
          <t>出售方(投资企业)损益科目</t>
        </is>
      </c>
      <c r="D10" s="1594" t="inlineStr">
        <is>
          <t>购买方(联营/合营)资产负债科目</t>
        </is>
      </c>
      <c r="E10" s="1594" t="inlineStr">
        <is>
          <t>出售期间</t>
        </is>
      </c>
      <c r="F10" s="1594" t="inlineStr">
        <is>
          <t>出售金额①</t>
        </is>
      </c>
      <c r="G10" s="1594" t="inlineStr">
        <is>
          <t>出售成本②</t>
        </is>
      </c>
      <c r="H10" s="1594" t="inlineStr">
        <is>
          <t>期末已实现③</t>
        </is>
      </c>
      <c r="I10" s="1594" t="inlineStr">
        <is>
          <t>期末未实现④=①−②−③</t>
        </is>
      </c>
      <c r="J10" s="1594" t="inlineStr">
        <is>
          <t>未实现变动与投资收益调整</t>
        </is>
      </c>
      <c r="K10" s="1584" t="n"/>
      <c r="L10" s="1594" t="inlineStr">
        <is>
          <t>减值损失不抵销</t>
        </is>
      </c>
      <c r="M10" s="1596" t="inlineStr">
        <is>
          <t>投资收益调整额⑦=−⑤×持股比例（调增+ / 调减−）</t>
        </is>
      </c>
      <c r="N10" s="1597" t="inlineStr">
        <is>
          <t>复核</t>
        </is>
      </c>
    </row>
    <row r="11" ht="22" customFormat="1" customHeight="1" s="2">
      <c r="A11" s="1598" t="n"/>
      <c r="B11" s="1599" t="n"/>
      <c r="C11" s="1551" t="n"/>
      <c r="D11" s="1551" t="n"/>
      <c r="E11" s="1551" t="n"/>
      <c r="F11" s="1551" t="n"/>
      <c r="G11" s="1551" t="n"/>
      <c r="H11" s="1551" t="n"/>
      <c r="I11" s="1551" t="n"/>
      <c r="J11" s="1594" t="inlineStr">
        <is>
          <t>本期变动⑤=④−⑥</t>
        </is>
      </c>
      <c r="K11" s="1594" t="inlineStr">
        <is>
          <t>以前年度累计⑥</t>
        </is>
      </c>
      <c r="L11" s="1551" t="n"/>
      <c r="M11" s="1550" t="n"/>
      <c r="N11" s="1551" t="n"/>
    </row>
    <row r="12" ht="19.95" customFormat="1" customHeight="1" s="2">
      <c r="A12" s="1600" t="inlineStr">
        <is>
          <t>出售库存商品</t>
        </is>
      </c>
      <c r="B12" s="1584" t="n"/>
      <c r="C12" s="1589" t="inlineStr">
        <is>
          <t>主营业务收入</t>
        </is>
      </c>
      <c r="D12" s="1601" t="inlineStr">
        <is>
          <t>库存商品（固定资产）</t>
        </is>
      </c>
      <c r="E12" s="1589" t="n"/>
      <c r="F12" s="1592" t="n"/>
      <c r="G12" s="1592" t="n"/>
      <c r="H12" s="1592" t="n"/>
      <c r="I12" s="1557">
        <f>IF(AND(F12="",G12=""),"",N(F12)-N(G12)-N(H12))</f>
        <v/>
      </c>
      <c r="J12" s="1557">
        <f>IF(I12="","",IF(OR(L12="是",L12="Y",L12="y"),0,N(I12)-N(K12)))</f>
        <v/>
      </c>
      <c r="K12" s="1602" t="n"/>
      <c r="L12" s="1603" t="n"/>
      <c r="M12" s="1604">
        <f>IF(OR(J12="",$F$8=""),"",-N(J12)*N($F$8))</f>
        <v/>
      </c>
      <c r="N12" s="1558">
        <f>IF(AND(F12="",G12=""),"",IF($F$8="","请填持股比例",IF(OR($F$8&lt;0,$F$8&gt;1),"持股比例异常",IF(AND(N(F12)&lt;N(G12),L12&lt;&gt;"是",L12&lt;&gt;"Y",L12&lt;&gt;"y"),"毛利为负-若属减值请选是",IF(AND(K12&lt;&gt;"",ABS(N(K12))&gt;ABS(N(F12)-N(G12))+0.01),"以前年度累计异常","通过"))))))</f>
        <v/>
      </c>
    </row>
    <row r="13" ht="19.95" customFormat="1" customHeight="1" s="2">
      <c r="A13" s="1600" t="inlineStr">
        <is>
          <t>出售固定资产</t>
        </is>
      </c>
      <c r="B13" s="1584" t="n"/>
      <c r="C13" s="1589" t="inlineStr">
        <is>
          <t>营业外收入</t>
        </is>
      </c>
      <c r="D13" s="1601" t="inlineStr">
        <is>
          <t>固定资产（库存商品）</t>
        </is>
      </c>
      <c r="E13" s="1589" t="n"/>
      <c r="F13" s="1592" t="n"/>
      <c r="G13" s="1592" t="n"/>
      <c r="H13" s="1592" t="n"/>
      <c r="I13" s="1557">
        <f>IF(AND(F13="",G13=""),"",N(F13)-N(G13)-N(H13))</f>
        <v/>
      </c>
      <c r="J13" s="1557">
        <f>IF(I13="","",IF(OR(L13="是",L13="Y",L13="y"),0,N(I13)-N(K13)))</f>
        <v/>
      </c>
      <c r="K13" s="1602" t="n"/>
      <c r="L13" s="1603" t="n"/>
      <c r="M13" s="1604">
        <f>IF(OR(J13="",$F$8=""),"",-N(J13)*N($F$8))</f>
        <v/>
      </c>
      <c r="N13" s="1558">
        <f>IF(AND(F13="",G13=""),"",IF($F$8="","请填持股比例",IF(OR($F$8&lt;0,$F$8&gt;1),"持股比例异常",IF(AND(N(F13)&lt;N(G13),L13&lt;&gt;"是",L13&lt;&gt;"Y",L13&lt;&gt;"y"),"毛利为负-若属减值请选是",IF(AND(K13&lt;&gt;"",ABS(N(K13))&gt;ABS(N(F13)-N(G13))+0.01),"以前年度累计异常","通过"))))))</f>
        <v/>
      </c>
    </row>
    <row r="14" ht="19.95" customFormat="1" customHeight="1" s="2">
      <c r="A14" s="1605" t="inlineStr"/>
      <c r="B14" s="1584" t="n"/>
      <c r="C14" s="1589" t="n"/>
      <c r="D14" s="1589" t="n"/>
      <c r="E14" s="1589" t="n"/>
      <c r="F14" s="1592" t="n"/>
      <c r="G14" s="1592" t="n"/>
      <c r="H14" s="1592" t="n"/>
      <c r="I14" s="1557">
        <f>IF(AND(F14="",G14=""),"",N(F14)-N(G14)-N(H14))</f>
        <v/>
      </c>
      <c r="J14" s="1557">
        <f>IF(I14="","",IF(OR(L14="是",L14="Y",L14="y"),0,N(I14)-N(K14)))</f>
        <v/>
      </c>
      <c r="K14" s="1602" t="n"/>
      <c r="L14" s="1603" t="n"/>
      <c r="M14" s="1604">
        <f>IF(OR(J14="",$F$8=""),"",-N(J14)*N($F$8))</f>
        <v/>
      </c>
      <c r="N14" s="1558">
        <f>IF(AND(F14="",G14=""),"",IF($F$8="","请填持股比例",IF(OR($F$8&lt;0,$F$8&gt;1),"持股比例异常",IF(AND(N(F14)&lt;N(G14),L14&lt;&gt;"是",L14&lt;&gt;"Y",L14&lt;&gt;"y"),"毛利为负-若属减值请选是",IF(AND(K14&lt;&gt;"",ABS(N(K14))&gt;ABS(N(F14)-N(G14))+0.01),"以前年度累计异常","通过"))))))</f>
        <v/>
      </c>
    </row>
    <row r="15" ht="19.95" customFormat="1" customHeight="1" s="2">
      <c r="A15" s="1605" t="inlineStr"/>
      <c r="B15" s="1584" t="n"/>
      <c r="C15" s="1589" t="n"/>
      <c r="D15" s="1589" t="n"/>
      <c r="E15" s="1589" t="n"/>
      <c r="F15" s="1592" t="n"/>
      <c r="G15" s="1592" t="n"/>
      <c r="H15" s="1592" t="n"/>
      <c r="I15" s="1557">
        <f>IF(AND(F15="",G15=""),"",N(F15)-N(G15)-N(H15))</f>
        <v/>
      </c>
      <c r="J15" s="1557">
        <f>IF(I15="","",IF(OR(L15="是",L15="Y",L15="y"),0,N(I15)-N(K15)))</f>
        <v/>
      </c>
      <c r="K15" s="1602" t="n"/>
      <c r="L15" s="1603" t="n"/>
      <c r="M15" s="1604">
        <f>IF(OR(J15="",$F$8=""),"",-N(J15)*N($F$8))</f>
        <v/>
      </c>
      <c r="N15" s="1558">
        <f>IF(AND(F15="",G15=""),"",IF($F$8="","请填持股比例",IF(OR($F$8&lt;0,$F$8&gt;1),"持股比例异常",IF(AND(N(F15)&lt;N(G15),L15&lt;&gt;"是",L15&lt;&gt;"Y",L15&lt;&gt;"y"),"毛利为负-若属减值请选是",IF(AND(K15&lt;&gt;"",ABS(N(K15))&gt;ABS(N(F15)-N(G15))+0.01),"以前年度累计异常","通过"))))))</f>
        <v/>
      </c>
    </row>
    <row r="16" ht="19.95" customFormat="1" customHeight="1" s="2">
      <c r="A16" s="1605" t="inlineStr"/>
      <c r="B16" s="1584" t="n"/>
      <c r="C16" s="1589" t="n"/>
      <c r="D16" s="1589" t="n"/>
      <c r="E16" s="1589" t="n"/>
      <c r="F16" s="1592" t="n"/>
      <c r="G16" s="1592" t="n"/>
      <c r="H16" s="1592" t="n"/>
      <c r="I16" s="1557">
        <f>IF(AND(F16="",G16=""),"",N(F16)-N(G16)-N(H16))</f>
        <v/>
      </c>
      <c r="J16" s="1557">
        <f>IF(I16="","",IF(OR(L16="是",L16="Y",L16="y"),0,N(I16)-N(K16)))</f>
        <v/>
      </c>
      <c r="K16" s="1602" t="n"/>
      <c r="L16" s="1603" t="n"/>
      <c r="M16" s="1604">
        <f>IF(OR(J16="",$F$8=""),"",-N(J16)*N($F$8))</f>
        <v/>
      </c>
      <c r="N16" s="1558">
        <f>IF(AND(F16="",G16=""),"",IF($F$8="","请填持股比例",IF(OR($F$8&lt;0,$F$8&gt;1),"持股比例异常",IF(AND(N(F16)&lt;N(G16),L16&lt;&gt;"是",L16&lt;&gt;"Y",L16&lt;&gt;"y"),"毛利为负-若属减值请选是",IF(AND(K16&lt;&gt;"",ABS(N(K16))&gt;ABS(N(F16)-N(G16))+0.01),"以前年度累计异常","通过"))))))</f>
        <v/>
      </c>
    </row>
    <row r="17" ht="19.95" customFormat="1" customHeight="1" s="2">
      <c r="A17" s="1606" t="inlineStr">
        <is>
          <t>顺流合计</t>
        </is>
      </c>
      <c r="B17" s="1294" t="n"/>
      <c r="C17" s="151" t="n"/>
      <c r="D17" s="151" t="n"/>
      <c r="E17" s="151" t="n"/>
      <c r="F17" s="1557">
        <f>SUM(F12:F16)</f>
        <v/>
      </c>
      <c r="G17" s="1557">
        <f>SUM(G12:G16)</f>
        <v/>
      </c>
      <c r="H17" s="1557">
        <f>SUM(H12:H16)</f>
        <v/>
      </c>
      <c r="I17" s="1557">
        <f>SUM(I12:I16)</f>
        <v/>
      </c>
      <c r="J17" s="1557">
        <f>SUM(J12:J16)</f>
        <v/>
      </c>
      <c r="K17" s="1557">
        <f>SUM(K12:K16)</f>
        <v/>
      </c>
      <c r="L17" s="144" t="n"/>
      <c r="M17" s="1525">
        <f>SUM(M12:M16)</f>
        <v/>
      </c>
      <c r="N17" s="1558">
        <f>IF(COUNTA(F12:G16)=0,"",IF(SUMPRODUCT((N12:N16&lt;&gt;"")*(N12:N16&lt;&gt;"通过"))&gt;0,"存在异常","通过"))</f>
        <v/>
      </c>
    </row>
    <row r="18" ht="28" customFormat="1" customHeight="1" s="2">
      <c r="A18" s="1593" t="inlineStr">
        <is>
          <t>2、未实现的内部逆流交易（联营/合营出售给投资方；含①期初未实现余额项目与②本期发生且期末仍未实现项目）</t>
        </is>
      </c>
    </row>
    <row r="19" ht="19.95" customFormat="1" customHeight="1" s="2">
      <c r="A19" s="1594" t="inlineStr">
        <is>
          <t>出售项目</t>
        </is>
      </c>
      <c r="B19" s="1595" t="n"/>
      <c r="C19" s="1594" t="inlineStr">
        <is>
          <t>出售方(联营/合营)损益科目</t>
        </is>
      </c>
      <c r="D19" s="1594" t="inlineStr">
        <is>
          <t>购买方(投资企业)资产负债科目</t>
        </is>
      </c>
      <c r="E19" s="1594" t="inlineStr">
        <is>
          <t>出售期间</t>
        </is>
      </c>
      <c r="F19" s="1594" t="inlineStr">
        <is>
          <t>出售金额①</t>
        </is>
      </c>
      <c r="G19" s="1594" t="inlineStr">
        <is>
          <t>出售成本②</t>
        </is>
      </c>
      <c r="H19" s="1594" t="inlineStr">
        <is>
          <t>期末已实现③</t>
        </is>
      </c>
      <c r="I19" s="1594" t="inlineStr">
        <is>
          <t>期末未实现④=①−②−③</t>
        </is>
      </c>
      <c r="J19" s="1594" t="inlineStr">
        <is>
          <t>未实现变动与投资收益调整</t>
        </is>
      </c>
      <c r="K19" s="1584" t="n"/>
      <c r="L19" s="1594" t="inlineStr">
        <is>
          <t>减值损失不抵销</t>
        </is>
      </c>
      <c r="M19" s="1596" t="inlineStr">
        <is>
          <t>投资收益调整额⑦=−⑤×持股比例（调增+ / 调减−）</t>
        </is>
      </c>
      <c r="N19" s="1597" t="inlineStr">
        <is>
          <t>复核</t>
        </is>
      </c>
    </row>
    <row r="20" ht="36" customFormat="1" customHeight="1" s="2">
      <c r="A20" s="1598" t="n"/>
      <c r="B20" s="1599" t="n"/>
      <c r="C20" s="1551" t="n"/>
      <c r="D20" s="1551" t="n"/>
      <c r="E20" s="1551" t="n"/>
      <c r="F20" s="1551" t="n"/>
      <c r="G20" s="1551" t="n"/>
      <c r="H20" s="1551" t="n"/>
      <c r="I20" s="1551" t="n"/>
      <c r="J20" s="1594" t="inlineStr">
        <is>
          <t>本期变动⑤=④−⑥</t>
        </is>
      </c>
      <c r="K20" s="1594" t="inlineStr">
        <is>
          <t>以前年度累计⑥</t>
        </is>
      </c>
      <c r="L20" s="1551" t="n"/>
      <c r="M20" s="1550" t="n"/>
      <c r="N20" s="1551" t="n"/>
    </row>
    <row r="21" ht="19.95" customFormat="1" customHeight="1" s="2">
      <c r="A21" s="1600" t="inlineStr">
        <is>
          <t>出售库存商品</t>
        </is>
      </c>
      <c r="B21" s="1584" t="n"/>
      <c r="C21" s="1589" t="inlineStr">
        <is>
          <t>主营业务收入</t>
        </is>
      </c>
      <c r="D21" s="1601" t="inlineStr">
        <is>
          <t>库存商品（固定资产）</t>
        </is>
      </c>
      <c r="E21" s="1589" t="n"/>
      <c r="F21" s="1592" t="n"/>
      <c r="G21" s="1592" t="n"/>
      <c r="H21" s="1592" t="n"/>
      <c r="I21" s="1557">
        <f>IF(AND(F21="",G21=""),"",N(F21)-N(G21)-N(H21))</f>
        <v/>
      </c>
      <c r="J21" s="1557">
        <f>IF(I21="","",IF(OR(L21="是",L21="Y",L21="y"),0,N(I21)-N(K21)))</f>
        <v/>
      </c>
      <c r="K21" s="1602" t="n"/>
      <c r="L21" s="1603" t="n"/>
      <c r="M21" s="1604">
        <f>IF(OR(J21="",$F$8=""),"",-N(J21)*N($F$8))</f>
        <v/>
      </c>
      <c r="N21" s="1558">
        <f>IF(AND(F21="",G21=""),"",IF($F$8="","请填持股比例",IF(OR($F$8&lt;0,$F$8&gt;1),"持股比例异常",IF(AND(N(F21)&lt;N(G21),L21&lt;&gt;"是",L21&lt;&gt;"Y",L21&lt;&gt;"y"),"毛利为负-若属减值请选是",IF(AND(K21&lt;&gt;"",ABS(N(K21))&gt;ABS(N(F21)-N(G21))+0.01),"以前年度累计异常","通过"))))))</f>
        <v/>
      </c>
    </row>
    <row r="22" ht="19.95" customFormat="1" customHeight="1" s="2">
      <c r="A22" s="1600" t="inlineStr">
        <is>
          <t>出售固定资产</t>
        </is>
      </c>
      <c r="B22" s="1584" t="n"/>
      <c r="C22" s="1589" t="inlineStr">
        <is>
          <t>营业外收入</t>
        </is>
      </c>
      <c r="D22" s="1601" t="inlineStr">
        <is>
          <t>固定资产（库存商品）</t>
        </is>
      </c>
      <c r="E22" s="1589" t="n"/>
      <c r="F22" s="1592" t="n"/>
      <c r="G22" s="1592" t="n"/>
      <c r="H22" s="1592" t="n"/>
      <c r="I22" s="1557">
        <f>IF(AND(F22="",G22=""),"",N(F22)-N(G22)-N(H22))</f>
        <v/>
      </c>
      <c r="J22" s="1557">
        <f>IF(I22="","",IF(OR(L22="是",L22="Y",L22="y"),0,N(I22)-N(K22)))</f>
        <v/>
      </c>
      <c r="K22" s="1602" t="n"/>
      <c r="L22" s="1603" t="n"/>
      <c r="M22" s="1604">
        <f>IF(OR(J22="",$F$8=""),"",-N(J22)*N($F$8))</f>
        <v/>
      </c>
      <c r="N22" s="1558">
        <f>IF(AND(F22="",G22=""),"",IF($F$8="","请填持股比例",IF(OR($F$8&lt;0,$F$8&gt;1),"持股比例异常",IF(AND(N(F22)&lt;N(G22),L22&lt;&gt;"是",L22&lt;&gt;"Y",L22&lt;&gt;"y"),"毛利为负-若属减值请选是",IF(AND(K22&lt;&gt;"",ABS(N(K22))&gt;ABS(N(F22)-N(G22))+0.01),"以前年度累计异常","通过"))))))</f>
        <v/>
      </c>
    </row>
    <row r="23" ht="19.95" customFormat="1" customHeight="1" s="2">
      <c r="A23" s="1605" t="inlineStr"/>
      <c r="B23" s="1584" t="n"/>
      <c r="C23" s="1589" t="n"/>
      <c r="D23" s="1589" t="n"/>
      <c r="E23" s="1589" t="n"/>
      <c r="F23" s="1592" t="n"/>
      <c r="G23" s="1592" t="n"/>
      <c r="H23" s="1592" t="n"/>
      <c r="I23" s="1557">
        <f>IF(AND(F23="",G23=""),"",N(F23)-N(G23)-N(H23))</f>
        <v/>
      </c>
      <c r="J23" s="1557">
        <f>IF(I23="","",IF(OR(L23="是",L23="Y",L23="y"),0,N(I23)-N(K23)))</f>
        <v/>
      </c>
      <c r="K23" s="1602" t="n"/>
      <c r="L23" s="1603" t="n"/>
      <c r="M23" s="1604">
        <f>IF(OR(J23="",$F$8=""),"",-N(J23)*N($F$8))</f>
        <v/>
      </c>
      <c r="N23" s="1558">
        <f>IF(AND(F23="",G23=""),"",IF($F$8="","请填持股比例",IF(OR($F$8&lt;0,$F$8&gt;1),"持股比例异常",IF(AND(N(F23)&lt;N(G23),L23&lt;&gt;"是",L23&lt;&gt;"Y",L23&lt;&gt;"y"),"毛利为负-若属减值请选是",IF(AND(K23&lt;&gt;"",ABS(N(K23))&gt;ABS(N(F23)-N(G23))+0.01),"以前年度累计异常","通过"))))))</f>
        <v/>
      </c>
    </row>
    <row r="24" ht="19.95" customFormat="1" customHeight="1" s="2">
      <c r="A24" s="1605" t="inlineStr"/>
      <c r="B24" s="1584" t="n"/>
      <c r="C24" s="1589" t="n"/>
      <c r="D24" s="1589" t="n"/>
      <c r="E24" s="1589" t="n"/>
      <c r="F24" s="1592" t="n"/>
      <c r="G24" s="1592" t="n"/>
      <c r="H24" s="1592" t="n"/>
      <c r="I24" s="1557">
        <f>IF(AND(F24="",G24=""),"",N(F24)-N(G24)-N(H24))</f>
        <v/>
      </c>
      <c r="J24" s="1557">
        <f>IF(I24="","",IF(OR(L24="是",L24="Y",L24="y"),0,N(I24)-N(K24)))</f>
        <v/>
      </c>
      <c r="K24" s="1602" t="n"/>
      <c r="L24" s="1603" t="n"/>
      <c r="M24" s="1604">
        <f>IF(OR(J24="",$F$8=""),"",-N(J24)*N($F$8))</f>
        <v/>
      </c>
      <c r="N24" s="1558">
        <f>IF(AND(F24="",G24=""),"",IF($F$8="","请填持股比例",IF(OR($F$8&lt;0,$F$8&gt;1),"持股比例异常",IF(AND(N(F24)&lt;N(G24),L24&lt;&gt;"是",L24&lt;&gt;"Y",L24&lt;&gt;"y"),"毛利为负-若属减值请选是",IF(AND(K24&lt;&gt;"",ABS(N(K24))&gt;ABS(N(F24)-N(G24))+0.01),"以前年度累计异常","通过"))))))</f>
        <v/>
      </c>
    </row>
    <row r="25" ht="19.95" customFormat="1" customHeight="1" s="2">
      <c r="A25" s="1605" t="inlineStr"/>
      <c r="B25" s="1584" t="n"/>
      <c r="C25" s="1589" t="n"/>
      <c r="D25" s="1589" t="n"/>
      <c r="E25" s="1589" t="n"/>
      <c r="F25" s="1592" t="n"/>
      <c r="G25" s="1592" t="n"/>
      <c r="H25" s="1592" t="n"/>
      <c r="I25" s="1557">
        <f>IF(AND(F25="",G25=""),"",N(F25)-N(G25)-N(H25))</f>
        <v/>
      </c>
      <c r="J25" s="1557">
        <f>IF(I25="","",IF(OR(L25="是",L25="Y",L25="y"),0,N(I25)-N(K25)))</f>
        <v/>
      </c>
      <c r="K25" s="1602" t="n"/>
      <c r="L25" s="1603" t="n"/>
      <c r="M25" s="1604">
        <f>IF(OR(J25="",$F$8=""),"",-N(J25)*N($F$8))</f>
        <v/>
      </c>
      <c r="N25" s="1558">
        <f>IF(AND(F25="",G25=""),"",IF($F$8="","请填持股比例",IF(OR($F$8&lt;0,$F$8&gt;1),"持股比例异常",IF(AND(N(F25)&lt;N(G25),L25&lt;&gt;"是",L25&lt;&gt;"Y",L25&lt;&gt;"y"),"毛利为负-若属减值请选是",IF(AND(K25&lt;&gt;"",ABS(N(K25))&gt;ABS(N(F25)-N(G25))+0.01),"以前年度累计异常","通过"))))))</f>
        <v/>
      </c>
    </row>
    <row r="26" ht="19.95" customFormat="1" customHeight="1" s="2">
      <c r="A26" s="1606" t="inlineStr">
        <is>
          <t>逆流合计</t>
        </is>
      </c>
      <c r="B26" s="1294" t="n"/>
      <c r="C26" s="401" t="n"/>
      <c r="D26" s="401" t="n"/>
      <c r="E26" s="401" t="n"/>
      <c r="F26" s="1607">
        <f>SUM(F21:F25)</f>
        <v/>
      </c>
      <c r="G26" s="1607">
        <f>SUM(G21:G25)</f>
        <v/>
      </c>
      <c r="H26" s="1607">
        <f>SUM(H21:H25)</f>
        <v/>
      </c>
      <c r="I26" s="1607">
        <f>SUM(I21:I25)</f>
        <v/>
      </c>
      <c r="J26" s="1607">
        <f>SUM(J21:J25)</f>
        <v/>
      </c>
      <c r="K26" s="1607">
        <f>SUM(K21:K25)</f>
        <v/>
      </c>
      <c r="L26" s="403" t="n"/>
      <c r="M26" s="1525">
        <f>SUM(M21:M25)</f>
        <v/>
      </c>
      <c r="N26" s="1558">
        <f>IF(COUNTA(F21:G25)=0,"",IF(SUMPRODUCT((N21:N25&lt;&gt;"")*(N21:N25&lt;&gt;"通过"))&gt;0,"存在异常","通过"))</f>
        <v/>
      </c>
    </row>
    <row r="27" ht="20.1" customFormat="1" customHeight="1" s="2">
      <c r="A27" s="564" t="inlineStr">
        <is>
          <t>提示：</t>
        </is>
      </c>
      <c r="B27" s="599" t="n"/>
      <c r="C27" s="595" t="n"/>
      <c r="D27" s="595" t="n"/>
      <c r="E27" s="595" t="n"/>
      <c r="F27" s="1357" t="n"/>
      <c r="G27" s="1357" t="n"/>
      <c r="H27" s="1357" t="n"/>
      <c r="I27" s="1357" t="n"/>
      <c r="J27" s="1357" t="n"/>
      <c r="K27" s="1357" t="n"/>
      <c r="L27" s="597" t="n"/>
    </row>
    <row r="28" ht="13.8" customFormat="1" customHeight="1" s="567">
      <c r="A28" s="1739" t="inlineStr">
        <is>
          <t>3、抵销结果汇总（G32可索引至G7-14投资收益调整；期末未实现份额同步G7-14第3部分）</t>
        </is>
      </c>
    </row>
    <row r="29" ht="13.8" customFormat="1" customHeight="1" s="567">
      <c r="A29" s="1594" t="inlineStr">
        <is>
          <t>项目</t>
        </is>
      </c>
      <c r="B29" s="2" t="n"/>
      <c r="C29" s="1597" t="inlineStr">
        <is>
          <t>期末未实现④合计</t>
        </is>
      </c>
      <c r="D29" s="570" t="n"/>
      <c r="E29" s="1594" t="inlineStr">
        <is>
          <t>本期变动⑤合计</t>
        </is>
      </c>
      <c r="F29" s="570" t="n"/>
      <c r="G29" s="1594" t="inlineStr">
        <is>
          <t>投资收益调整额⑦（调增+ / 调减−）</t>
        </is>
      </c>
      <c r="H29" s="570" t="n"/>
      <c r="I29" s="1594" t="inlineStr">
        <is>
          <t>方向说明</t>
        </is>
      </c>
      <c r="J29" s="570" t="n"/>
      <c r="K29" s="1594" t="inlineStr">
        <is>
          <t>与重要性比较</t>
        </is>
      </c>
      <c r="L29" s="570" t="n"/>
    </row>
    <row r="30" ht="20.1" customFormat="1" customHeight="1" s="567">
      <c r="A30" s="1609" t="inlineStr">
        <is>
          <t>顺流</t>
        </is>
      </c>
      <c r="B30" s="152" t="n"/>
      <c r="C30" s="1610">
        <f>I17</f>
        <v/>
      </c>
      <c r="D30" s="568" t="n"/>
      <c r="E30" s="1611">
        <f>J17</f>
        <v/>
      </c>
      <c r="F30" s="568" t="n"/>
      <c r="G30" s="1611">
        <f>M17</f>
        <v/>
      </c>
      <c r="H30" s="568" t="n"/>
      <c r="I30" s="568" t="inlineStr">
        <is>
          <t>顺流新增未实现利润调减投资收益；以前年度转回调增</t>
        </is>
      </c>
      <c r="J30" s="568" t="n"/>
      <c r="K30" s="1612">
        <f>IF(OR($J$8="",G30=""),"",IF(ABS(N(G30))&gt;N($J$8),"超过重要性","未超过"))</f>
        <v/>
      </c>
      <c r="L30" s="568" t="n"/>
      <c r="M30" s="569" t="n"/>
      <c r="N30" s="569" t="n"/>
    </row>
    <row r="31" ht="13.8" customFormat="1" customHeight="1" s="567">
      <c r="A31" s="1613" t="inlineStr">
        <is>
          <t>逆流</t>
        </is>
      </c>
      <c r="B31" s="565" t="n"/>
      <c r="C31" s="1611">
        <f>I26</f>
        <v/>
      </c>
      <c r="D31" s="568" t="n"/>
      <c r="E31" s="1611">
        <f>J26</f>
        <v/>
      </c>
      <c r="F31" s="568" t="n"/>
      <c r="G31" s="1611">
        <f>M26</f>
        <v/>
      </c>
      <c r="H31" s="568" t="n"/>
      <c r="I31" s="568" t="inlineStr">
        <is>
          <t>逆流按持股比例调整；正负方向同顺流</t>
        </is>
      </c>
      <c r="J31" s="568" t="n"/>
      <c r="K31" s="1612">
        <f>IF(OR($J$8="",G31=""),"",IF(ABS(N(G31))&gt;N($J$8),"超过重要性","未超过"))</f>
        <v/>
      </c>
      <c r="L31" s="568" t="n"/>
      <c r="M31" s="569" t="n"/>
      <c r="N31" s="569" t="n"/>
    </row>
    <row r="32" ht="20.1" customFormat="1" customHeight="1" s="567">
      <c r="A32" s="1613" t="inlineStr">
        <is>
          <t>合计</t>
        </is>
      </c>
      <c r="B32" s="565" t="n"/>
      <c r="C32" s="1611">
        <f>C30+C31</f>
        <v/>
      </c>
      <c r="D32" s="568" t="n"/>
      <c r="E32" s="1611">
        <f>E30+E31</f>
        <v/>
      </c>
      <c r="F32" s="568" t="n"/>
      <c r="G32" s="1611">
        <f>G30+G31</f>
        <v/>
      </c>
      <c r="H32" s="568" t="n"/>
      <c r="I32" s="568" t="inlineStr">
        <is>
          <t>本列合计可直接作为G7-14投资收益调整金额</t>
        </is>
      </c>
      <c r="J32" s="568" t="n"/>
      <c r="K32" s="1612">
        <f>IF(OR($J$8="",G32=""),"",IF(ABS(N(G32))&gt;N($J$8),"超过重要性","未超过"))</f>
        <v/>
      </c>
      <c r="L32" s="568" t="n"/>
      <c r="M32" s="569" t="n"/>
      <c r="N32" s="569" t="n"/>
    </row>
    <row r="33" ht="20.1" customFormat="1" customHeight="1" s="567">
      <c r="A33" s="152" t="n"/>
      <c r="B33" s="565" t="n"/>
      <c r="C33" s="571" t="inlineStr">
        <is>
          <t>借：主营业务收入（营业外收入等）</t>
        </is>
      </c>
      <c r="D33" s="571" t="n"/>
      <c r="E33" s="571" t="n"/>
      <c r="F33" s="571" t="inlineStr">
        <is>
          <t>→按（本期出售金额（1）*投资比例）确认</t>
        </is>
      </c>
      <c r="G33" s="571" t="n"/>
      <c r="H33" s="571" t="n"/>
      <c r="I33" s="571" t="n"/>
      <c r="J33" s="571" t="n"/>
      <c r="K33" s="571" t="n"/>
      <c r="L33" s="571" t="n"/>
      <c r="M33" s="569" t="n"/>
      <c r="N33" s="569" t="n"/>
    </row>
    <row r="34" ht="20.1" customFormat="1" customHeight="1" s="567">
      <c r="A34" s="1614" t="inlineStr">
        <is>
          <t>提示（编制要点）：</t>
        </is>
      </c>
      <c r="B34" s="571" t="n"/>
      <c r="C34" s="571" t="inlineStr">
        <is>
          <t xml:space="preserve">         贷：主营业务成本（……）</t>
        </is>
      </c>
      <c r="D34" s="571" t="n"/>
      <c r="E34" s="571" t="n"/>
      <c r="F34" s="571" t="n"/>
      <c r="G34" s="571" t="inlineStr">
        <is>
          <t>→按（本期出售成本（2）*投资比例）确认</t>
        </is>
      </c>
      <c r="H34" s="571" t="n"/>
      <c r="I34" s="571" t="n"/>
      <c r="J34" s="571" t="n"/>
      <c r="K34" s="571" t="n"/>
      <c r="L34" s="571" t="n"/>
      <c r="M34" s="569" t="n"/>
      <c r="N34" s="569" t="n"/>
    </row>
    <row r="35" ht="32" customFormat="1" customHeight="1" s="567">
      <c r="A35" s="1615" t="inlineStr">
        <is>
          <t>1、重要性：不具重要性的内部交易项目可不予调整，但应在审计说明中说明判断。</t>
        </is>
      </c>
      <c r="B35" s="0" t="n"/>
      <c r="C35" s="0" t="n"/>
      <c r="D35" s="0" t="n"/>
      <c r="E35" s="0" t="n"/>
      <c r="F35" s="0" t="n"/>
      <c r="G35" s="0" t="n"/>
      <c r="H35" s="0" t="n"/>
      <c r="I35" s="0" t="n"/>
      <c r="J35" s="0" t="n"/>
      <c r="K35" s="0" t="n"/>
      <c r="L35" s="0" t="n"/>
      <c r="M35" s="0" t="n"/>
      <c r="N35" s="0" t="n"/>
    </row>
    <row r="36" ht="32" customFormat="1" customHeight="1" s="2">
      <c r="A36" s="1616" t="inlineStr">
        <is>
          <t>2、本表与G7-14交叉索引：名称取G7-14的B11:B20（合营5+联营5），比例自动勾稽；投资收益调整见G32；期末未实现份额同步至G7-14「未实现内部交易损益抵消」行。</t>
        </is>
      </c>
    </row>
    <row r="37" ht="32" customFormat="1" customHeight="1" s="152">
      <c r="A37" s="1616" t="inlineStr">
        <is>
          <t>3、减值：顺流/逆流产生的未实现内部交易损失，若属于所转让资产减值损失，不应抵销（L列选「是」）。</t>
        </is>
      </c>
    </row>
    <row r="38" ht="32" customFormat="1" customHeight="1" s="152">
      <c r="A38" s="1616" t="inlineStr">
        <is>
          <t>4、顺流—投资方个别报表：按⑤×持股比例调整投资收益；若需编制合并报表，合并层面还须按份额抵销收入/成本（收入①×比例、成本②×比例、差额进投资收益）。</t>
        </is>
      </c>
    </row>
    <row r="39" ht="32" customFormat="1" customHeight="1" s="152">
      <c r="A39" s="1617" t="inlineStr">
        <is>
          <t>5、逆流—合并报表示意：未实现损益体现在投资方持有资产中，按④份额抵销存货/固定资产等，并调整长期股权投资—损益调整；已实现部分③相应调整累计折旧等。</t>
        </is>
      </c>
    </row>
    <row r="40" ht="32" customFormat="1" customHeight="1" s="152">
      <c r="A40" s="1618" t="inlineStr">
        <is>
          <t>6、投资收益调整额⑦=−本期未实现变动⑤×持股比例：⑦负数调减G7-14投资收益，⑦正数调增G7-14投资收益；⑤=期末未实现④−以前年度累计⑥，转回时⑤可为负。</t>
        </is>
      </c>
      <c r="B40" s="0" t="n"/>
      <c r="C40" s="0" t="n"/>
      <c r="D40" s="0" t="n"/>
      <c r="E40" s="0" t="n"/>
      <c r="F40" s="0" t="n"/>
      <c r="G40" s="0" t="n"/>
      <c r="H40" s="0" t="n"/>
      <c r="I40" s="0" t="n"/>
      <c r="J40" s="0" t="n"/>
      <c r="K40" s="0" t="n"/>
      <c r="L40" s="0" t="n"/>
      <c r="M40" s="0" t="n"/>
      <c r="N40" s="0" t="n"/>
    </row>
    <row r="41" ht="20.1" customFormat="1" customHeight="1" s="152">
      <c r="B41" s="565" t="n"/>
      <c r="C41" s="565" t="inlineStr">
        <is>
          <t xml:space="preserve">         贷：库存商品（或固定资产等）</t>
        </is>
      </c>
      <c r="D41" s="565" t="n"/>
      <c r="E41" s="565" t="n"/>
      <c r="F41" s="1358" t="n"/>
      <c r="G41" s="565" t="inlineStr">
        <is>
          <t>→按未实现内部损益项目的（出售金额（1）-出售成本（2））确认</t>
        </is>
      </c>
      <c r="H41" s="565" t="n"/>
      <c r="I41" s="565" t="n"/>
      <c r="J41" s="565" t="n"/>
      <c r="K41" s="565" t="n"/>
      <c r="L41" s="565" t="n"/>
    </row>
    <row r="42">
      <c r="A42" s="1619" t="inlineStr">
        <is>
          <t>三、审计说明</t>
        </is>
      </c>
    </row>
    <row r="43">
      <c r="A43" s="0" t="inlineStr">
        <is>
          <t>（自动汇总复核未通过项；可手工补充）</t>
        </is>
      </c>
    </row>
    <row r="44" ht="48" customHeight="1" s="1097">
      <c r="A44" s="1618">
        <f>IF(AND(COUNTA(F12:G16)=0,COUNTA(F21:G25)=0),"（尚未录入内部交易。请先填写被投资单位与持股比例，再分顺流/逆流填列未实现项目。）",IF(TEXTJOIN("；",TRUE,IF(AND(H8&lt;&gt;"",H8&lt;&gt;"名称/比例均匹配G7-14"),H8,""),IF(AND(N17&lt;&gt;"",N17&lt;&gt;"通过"),"顺流:"&amp;N17,""),IF(AND(N26&lt;&gt;"",N26&lt;&gt;"通过"),"逆流:"&amp;N26,""),IF(AND(N12&lt;&gt;"",N12&lt;&gt;"通过"),IF(A12="","行12",A12)&amp;"："&amp;N12,""),IF(AND(N13&lt;&gt;"",N13&lt;&gt;"通过"),IF(A13="","行13",A13)&amp;"："&amp;N13,""),IF(AND(N14&lt;&gt;"",N14&lt;&gt;"通过"),IF(A14="","行14",A14)&amp;"："&amp;N14,""),IF(AND(N15&lt;&gt;"",N15&lt;&gt;"通过"),IF(A15="","行15",A15)&amp;"："&amp;N15,""),IF(AND(N16&lt;&gt;"",N16&lt;&gt;"通过"),IF(A16="","行16",A16)&amp;"："&amp;N16,""),IF(AND(N21&lt;&gt;"",N21&lt;&gt;"通过"),IF(A21="","行21",A21)&amp;"："&amp;N21,""),IF(AND(N22&lt;&gt;"",N22&lt;&gt;"通过"),IF(A22="","行22",A22)&amp;"："&amp;N22,""),IF(AND(N23&lt;&gt;"",N23&lt;&gt;"通过"),IF(A23="","行23",A23)&amp;"："&amp;N23,""),IF(AND(N24&lt;&gt;"",N24&lt;&gt;"通过"),IF(A24="","行24",A24)&amp;"："&amp;N24,""),IF(AND(N25&lt;&gt;"",N25&lt;&gt;"通过"),IF(A25="","行25",A25)&amp;"："&amp;N25,""),IF(AND(K30&lt;&gt;"",K30="超过重要性"),A30&amp;"调整额超过重要性",""),IF(AND(K31&lt;&gt;"",K31="超过重要性"),A31&amp;"调整额超过重要性",""),IF(AND(K32&lt;&gt;"",K32="超过重要性"),A32&amp;"调整额超过重要性",""))="","各节自动复核未发现未通过项。本期带方向投资收益调整额见G32（调增+、调减−），请索引至G7-14。",TEXTJOIN("；",TRUE,IF(AND(H8&lt;&gt;"",H8&lt;&gt;"名称/比例均匹配G7-14"),H8,""),IF(AND(N17&lt;&gt;"",N17&lt;&gt;"通过"),"顺流:"&amp;N17,""),IF(AND(N26&lt;&gt;"",N26&lt;&gt;"通过"),"逆流:"&amp;N26,""),IF(AND(N12&lt;&gt;"",N12&lt;&gt;"通过"),IF(A12="","行12",A12)&amp;"："&amp;N12,""),IF(AND(N13&lt;&gt;"",N13&lt;&gt;"通过"),IF(A13="","行13",A13)&amp;"："&amp;N13,""),IF(AND(N14&lt;&gt;"",N14&lt;&gt;"通过"),IF(A14="","行14",A14)&amp;"："&amp;N14,""),IF(AND(N15&lt;&gt;"",N15&lt;&gt;"通过"),IF(A15="","行15",A15)&amp;"："&amp;N15,""),IF(AND(N16&lt;&gt;"",N16&lt;&gt;"通过"),IF(A16="","行16",A16)&amp;"："&amp;N16,""),IF(AND(N21&lt;&gt;"",N21&lt;&gt;"通过"),IF(A21="","行21",A21)&amp;"："&amp;N21,""),IF(AND(N22&lt;&gt;"",N22&lt;&gt;"通过"),IF(A22="","行22",A22)&amp;"："&amp;N22,""),IF(AND(N23&lt;&gt;"",N23&lt;&gt;"通过"),IF(A23="","行23",A23)&amp;"："&amp;N23,""),IF(AND(N24&lt;&gt;"",N24&lt;&gt;"通过"),IF(A24="","行24",A24)&amp;"："&amp;N24,""),IF(AND(N25&lt;&gt;"",N25&lt;&gt;"通过"),IF(A25="","行25",A25)&amp;"："&amp;N25,""),IF(AND(K30&lt;&gt;"",K30="超过重要性"),A30&amp;"调整额超过重要性",""),IF(AND(K31&lt;&gt;"",K31="超过重要性"),A31&amp;"调整额超过重要性",""),IF(AND(K32&lt;&gt;"",K32="超过重要性"),A32&amp;"调整额超过重要性",""))))</f>
        <v/>
      </c>
      <c r="B44" s="0" t="n"/>
      <c r="C44" s="0" t="n"/>
      <c r="D44" s="0" t="n"/>
      <c r="E44" s="0" t="n"/>
      <c r="F44" s="0" t="n"/>
      <c r="G44" s="0" t="n"/>
      <c r="H44" s="0" t="n"/>
      <c r="I44" s="0" t="n"/>
      <c r="J44" s="0" t="n"/>
      <c r="K44" s="0" t="n"/>
      <c r="L44" s="0" t="n"/>
      <c r="M44" s="0" t="n"/>
      <c r="N44" s="0" t="n"/>
    </row>
    <row r="45">
      <c r="A45" s="0" t="n"/>
      <c r="B45" s="0" t="n"/>
      <c r="C45" s="0" t="n"/>
      <c r="D45" s="0" t="n"/>
      <c r="E45" s="0" t="n"/>
      <c r="F45" s="0" t="n"/>
      <c r="G45" s="0" t="n"/>
      <c r="H45" s="0" t="n"/>
      <c r="I45" s="0" t="n"/>
      <c r="J45" s="0" t="n"/>
      <c r="K45" s="0" t="n"/>
      <c r="L45" s="0" t="n"/>
      <c r="M45" s="0" t="n"/>
      <c r="N45" s="0" t="n"/>
    </row>
    <row r="46">
      <c r="A46" s="0" t="n"/>
      <c r="B46" s="0" t="n"/>
      <c r="C46" s="0" t="n"/>
      <c r="D46" s="0" t="n"/>
      <c r="E46" s="0" t="n"/>
      <c r="F46" s="0" t="n"/>
      <c r="G46" s="0" t="n"/>
      <c r="H46" s="0" t="n"/>
      <c r="I46" s="0" t="n"/>
      <c r="J46" s="0" t="n"/>
      <c r="K46" s="0" t="n"/>
      <c r="L46" s="0" t="n"/>
      <c r="M46" s="0" t="n"/>
      <c r="N46" s="0" t="n"/>
    </row>
    <row r="48">
      <c r="A48" s="1619" t="inlineStr">
        <is>
          <t>四、审计结论</t>
        </is>
      </c>
    </row>
    <row r="49">
      <c r="A49" s="1617" t="inlineStr">
        <is>
          <t>经审计，本期与联营、合营企业未实现内部交易损益的抵销调整 □恰当  □不恰当（说明：__________）。已区分顺流/逆流，减值损失未予抵销（如适用），调整额已与G7-14交叉索引。复核人确认异常事项已关闭或已在说明中充分披露。</t>
        </is>
      </c>
    </row>
    <row r="50"/>
    <row r="52">
      <c r="A52" s="1619" t="inlineStr">
        <is>
          <t>五、审计轨迹</t>
        </is>
      </c>
    </row>
    <row r="53">
      <c r="B53" s="1597" t="inlineStr">
        <is>
          <t>编制人</t>
        </is>
      </c>
      <c r="D53" s="1597" t="inlineStr">
        <is>
          <t>编制日期</t>
        </is>
      </c>
      <c r="F53" s="1597" t="inlineStr">
        <is>
          <t>复核人</t>
        </is>
      </c>
      <c r="H53" s="1597" t="inlineStr">
        <is>
          <t>复核日期</t>
        </is>
      </c>
    </row>
    <row r="54">
      <c r="B54" s="1526" t="n"/>
      <c r="D54" s="1526" t="n"/>
      <c r="F54" s="1526" t="n"/>
      <c r="H54" s="1526" t="n"/>
    </row>
    <row r="55">
      <c r="B55" s="0" t="inlineStr">
        <is>
          <t>关键证据索引（内部交易合同/出入库/固定资产卡片/联营报表/上期底稿）</t>
        </is>
      </c>
      <c r="E55" s="1526" t="n"/>
      <c r="F55" s="1583" t="n"/>
      <c r="G55" s="1583" t="n"/>
      <c r="H55" s="1583" t="n"/>
      <c r="I55" s="1583" t="n"/>
      <c r="J55" s="1583" t="n"/>
      <c r="K55" s="1583" t="n"/>
      <c r="L55" s="1583" t="n"/>
      <c r="M55" s="1583" t="n"/>
      <c r="N55" s="1584" t="n"/>
    </row>
  </sheetData>
  <mergeCells count="50">
    <mergeCell ref="A40:N40"/>
    <mergeCell ref="A9:N9"/>
    <mergeCell ref="A24:B24"/>
    <mergeCell ref="A44:N46"/>
    <mergeCell ref="A15:B15"/>
    <mergeCell ref="A39:N39"/>
    <mergeCell ref="J10:K10"/>
    <mergeCell ref="J19:K19"/>
    <mergeCell ref="C10:C11"/>
    <mergeCell ref="E19:E20"/>
    <mergeCell ref="E10:E11"/>
    <mergeCell ref="G19:G20"/>
    <mergeCell ref="A36:N36"/>
    <mergeCell ref="G10:G11"/>
    <mergeCell ref="M10:M11"/>
    <mergeCell ref="A2:L2"/>
    <mergeCell ref="A16:B16"/>
    <mergeCell ref="A25:B25"/>
    <mergeCell ref="A19:B20"/>
    <mergeCell ref="A10:B11"/>
    <mergeCell ref="A37:N37"/>
    <mergeCell ref="E55:N55"/>
    <mergeCell ref="H19:H20"/>
    <mergeCell ref="N19:N20"/>
    <mergeCell ref="L10:L11"/>
    <mergeCell ref="A12:B12"/>
    <mergeCell ref="N10:N11"/>
    <mergeCell ref="A18:N18"/>
    <mergeCell ref="A21:B21"/>
    <mergeCell ref="A26:B26"/>
    <mergeCell ref="A14:B14"/>
    <mergeCell ref="A23:B23"/>
    <mergeCell ref="A17:B17"/>
    <mergeCell ref="I19:I20"/>
    <mergeCell ref="A49:N50"/>
    <mergeCell ref="I10:I11"/>
    <mergeCell ref="A22:B22"/>
    <mergeCell ref="C19:C20"/>
    <mergeCell ref="D19:D20"/>
    <mergeCell ref="F19:F20"/>
    <mergeCell ref="D10:D11"/>
    <mergeCell ref="A35:N35"/>
    <mergeCell ref="A38:N38"/>
    <mergeCell ref="A1:L1"/>
    <mergeCell ref="M19:M20"/>
    <mergeCell ref="A13:B13"/>
    <mergeCell ref="A28:N28"/>
    <mergeCell ref="F10:F11"/>
    <mergeCell ref="H10:H11"/>
    <mergeCell ref="L19:L20"/>
  </mergeCells>
  <conditionalFormatting sqref="N12:N17">
    <cfRule type="expression" priority="1" dxfId="4">
      <formula>AND(N12&lt;&gt;"",N12&lt;&gt;"通过",N12&lt;&gt;"已匹配",N12&lt;&gt;"未超过")</formula>
    </cfRule>
  </conditionalFormatting>
  <conditionalFormatting sqref="N21:N26">
    <cfRule type="expression" priority="2" dxfId="4">
      <formula>AND(N21&lt;&gt;"",N21&lt;&gt;"通过",N21&lt;&gt;"已匹配",N21&lt;&gt;"未超过")</formula>
    </cfRule>
  </conditionalFormatting>
  <conditionalFormatting sqref="H8">
    <cfRule type="expression" priority="3" dxfId="4">
      <formula>AND(H8&lt;&gt;"",H8&lt;&gt;"通过",H8&lt;&gt;"已匹配",H8&lt;&gt;"未超过")</formula>
    </cfRule>
  </conditionalFormatting>
  <conditionalFormatting sqref="K30:K32">
    <cfRule type="expression" priority="4" dxfId="4">
      <formula>AND(K30&lt;&gt;"",K30&lt;&gt;"通过",K30&lt;&gt;"已匹配",K30&lt;&gt;"未超过")</formula>
    </cfRule>
  </conditionalFormatting>
  <dataValidations count="3">
    <dataValidation sqref="F8" showDropDown="0" showInputMessage="0" showErrorMessage="0" allowBlank="1" errorTitle="比例" error="持股比例请填0至1的小数" type="decimal" operator="between">
      <formula1>0</formula1>
      <formula2>1</formula2>
    </dataValidation>
    <dataValidation sqref="C8" showDropDown="0" showInputMessage="0" showErrorMessage="1" allowBlank="1" errorTitle="被投资单位" error="请从G7-14名称列表选择，或确认G7-14已取到G7-2名称。" type="list">
      <formula1>='权益法测算表G7-14'!$B$11:$B$20</formula1>
    </dataValidation>
    <dataValidation sqref="L12:L16 L21:L25" showDropDown="0" showInputMessage="0" showErrorMessage="1" allowBlank="1" errorTitle="减值不抵销" error="请选择：是 / 否" type="list">
      <formula1>"是,否"</formula1>
    </dataValidation>
  </dataValidations>
  <hyperlinks>
    <hyperlink ref="L3" location="底稿目录!F21" display="底稿目录!F21"/>
  </hyperlinks>
  <pageMargins left="0.7086614173228347" right="0.7086614173228347" top="0.7480314960629921" bottom="0.7480314960629921" header="0.3149606299212598" footer="0.3149606299212598"/>
  <pageSetup orientation="landscape" paperSize="9" scale="88" blackAndWhite="1"/>
  <headerFooter>
    <oddHeader/>
    <oddFooter>&amp;C&amp;P/&amp;N</oddFooter>
    <evenHeader/>
    <evenFooter/>
    <firstHeader/>
    <firstFooter/>
  </headerFooter>
  <rowBreaks count="1" manualBreakCount="1">
    <brk id="17" min="0" max="16383" man="1"/>
  </rowBreaks>
  <legacyDrawing xmlns:r="http://schemas.openxmlformats.org/officeDocument/2006/relationships" r:id="anysvml"/>
</worksheet>
</file>

<file path=xl/worksheets/sheet20.xml><?xml version="1.0" encoding="utf-8"?>
<worksheet xmlns="http://schemas.openxmlformats.org/spreadsheetml/2006/main">
  <sheetPr codeName="Sheet20">
    <outlinePr summaryBelow="1" summaryRight="1"/>
    <pageSetUpPr fitToPage="1"/>
  </sheetPr>
  <dimension ref="A1:T55"/>
  <sheetViews>
    <sheetView view="pageBreakPreview" zoomScaleSheetLayoutView="100" workbookViewId="0">
      <selection activeCell="A1" sqref="A1:K1"/>
    </sheetView>
  </sheetViews>
  <sheetFormatPr baseColWidth="8" defaultColWidth="9" defaultRowHeight="13.8" outlineLevelCol="0"/>
  <cols>
    <col width="4.5" customWidth="1" style="29" min="1" max="1"/>
    <col width="18" customWidth="1" style="29" min="2" max="2"/>
    <col width="10" customWidth="1" style="29" min="3" max="3"/>
    <col width="12" customWidth="1" style="29" min="4" max="4"/>
    <col width="12" customWidth="1" style="29" min="5" max="5"/>
    <col width="12" customWidth="1" style="29" min="6" max="6"/>
    <col width="12" customWidth="1" style="29" min="7" max="7"/>
    <col width="12" customWidth="1" style="29" min="8" max="8"/>
    <col width="12" customWidth="1" style="29" min="9" max="9"/>
    <col width="12" customWidth="1" style="29" min="10" max="10"/>
    <col width="12" customWidth="1" style="29" min="11" max="16384"/>
    <col width="12" customWidth="1" style="1097" min="12" max="12"/>
    <col width="10" customWidth="1" style="1097" min="13" max="13"/>
    <col width="12" customWidth="1" style="1097" min="14" max="14"/>
    <col width="12" customWidth="1" style="1097" min="15" max="15"/>
    <col width="12" customWidth="1" style="1097" min="16" max="16"/>
    <col width="22" customWidth="1" style="1097" min="17" max="17"/>
    <col width="13" customWidth="1" style="1097" min="18" max="18"/>
    <col width="12" customWidth="1" style="1097" min="19" max="19"/>
    <col width="28" customWidth="1" style="1097" min="20" max="20"/>
  </cols>
  <sheetData>
    <row r="1" ht="19.95" customFormat="1" customHeight="1" s="620">
      <c r="A1" s="1050" t="inlineStr">
        <is>
          <t>致同会计师事务所</t>
        </is>
      </c>
    </row>
    <row r="2" ht="19.95" customFormat="1" customHeight="1" s="631">
      <c r="A2" s="1507" t="inlineStr">
        <is>
          <t>未确认投资损失测试表</t>
        </is>
      </c>
    </row>
    <row r="3" ht="19.95" customFormat="1" customHeight="1" s="694">
      <c r="A3" s="673">
        <f>底稿目录!A2</f>
        <v/>
      </c>
      <c r="B3" s="673" t="n"/>
      <c r="C3" s="673" t="n"/>
      <c r="D3" s="673" t="n"/>
      <c r="E3" s="673">
        <f>底稿目录!A4</f>
        <v/>
      </c>
      <c r="F3" s="673" t="n"/>
      <c r="G3" s="681">
        <f>底稿目录!A5</f>
        <v/>
      </c>
      <c r="H3" s="681" t="n"/>
      <c r="J3" s="672" t="inlineStr">
        <is>
          <t>索引号：</t>
        </is>
      </c>
      <c r="K3" s="1096">
        <f>底稿目录!F22</f>
        <v/>
      </c>
    </row>
    <row r="4" ht="19.95" customFormat="1" customHeight="1" s="694">
      <c r="A4" s="673">
        <f>底稿目录!A3</f>
        <v/>
      </c>
      <c r="B4" s="673" t="n"/>
      <c r="C4" s="673" t="n"/>
      <c r="D4" s="673" t="n"/>
      <c r="E4" s="673">
        <f>底稿目录!A6</f>
        <v/>
      </c>
      <c r="F4" s="673" t="n"/>
      <c r="G4" s="681">
        <f>底稿目录!A7</f>
        <v/>
      </c>
      <c r="H4" s="681" t="n"/>
      <c r="J4" s="672" t="inlineStr">
        <is>
          <t>页 次：</t>
        </is>
      </c>
      <c r="K4" s="673" t="n"/>
    </row>
    <row r="5" ht="36" customFormat="1" customHeight="1" s="24">
      <c r="A5" s="1508" t="inlineStr">
        <is>
          <t>一、审计目标：</t>
        </is>
      </c>
      <c r="B5" s="74" t="n"/>
      <c r="C5" s="1509" t="inlineStr">
        <is>
          <t>依据《企业会计准则第2号——长期股权投资》第12条/应用指南及超额亏损相关规定，验证对合营、联营企业超额亏损的确认、冲减顺序及未确认投资损失（备查）是否恰当。</t>
        </is>
      </c>
      <c r="D5" s="0" t="n"/>
      <c r="E5" s="0" t="n"/>
      <c r="F5" s="0" t="n"/>
      <c r="G5" s="0" t="n"/>
      <c r="H5" s="0" t="n"/>
      <c r="I5" s="0" t="n"/>
      <c r="J5" s="0" t="n"/>
      <c r="K5" s="0" t="n"/>
      <c r="L5" s="0" t="n"/>
      <c r="M5" s="0" t="n"/>
      <c r="N5" s="0" t="n"/>
      <c r="O5" s="0" t="n"/>
      <c r="P5" s="0" t="n"/>
      <c r="Q5" s="0" t="n"/>
    </row>
    <row r="6" ht="48" customFormat="1" customHeight="1" s="24">
      <c r="A6" s="1510" t="inlineStr">
        <is>
          <t>二、审计过程：</t>
        </is>
      </c>
      <c r="B6" s="75" t="n"/>
      <c r="C6" s="1509" t="inlineStr">
        <is>
          <t>程序链：①取得被投资单位报表/净资产变动说明（期中比例变动则按时段拆行）→ ②核对持股比例与G7-4/G7-5 → ③从G7-14取账面长期股权投资（本表⑯自动勾稽）及损益调整轨迹 → ④识别其他实质上构成净投资的长期权益（长应收等）→ ⑤按CAS2顺序测算可确认损失 vs 未确认损失 → ⑥查合同是否负有额外损失义务（预计负债）→ ⑦与未确认投资损失备查簿勾稽 → ⑧结论与轨迹</t>
        </is>
      </c>
      <c r="D6" s="0" t="n"/>
      <c r="E6" s="0" t="n"/>
      <c r="F6" s="0" t="n"/>
      <c r="G6" s="0" t="n"/>
      <c r="H6" s="0" t="n"/>
      <c r="I6" s="0" t="n"/>
      <c r="J6" s="0" t="n"/>
      <c r="K6" s="0" t="n"/>
      <c r="L6" s="0" t="n"/>
      <c r="M6" s="0" t="n"/>
      <c r="N6" s="0" t="n"/>
      <c r="O6" s="0" t="n"/>
      <c r="P6" s="0" t="n"/>
      <c r="Q6" s="0" t="n"/>
    </row>
    <row r="7" ht="32" customFormat="1" customHeight="1" s="24">
      <c r="A7" s="2" t="n"/>
      <c r="C7" s="1509" t="inlineStr">
        <is>
          <t>执行要点：取得备查簿及上年审定数；区分合营/联营；关注持股比例变动、处置、减值（G7-17）及内部交易（G7-15）对净资产/损益的影响；橙色为输入，绿色为公式。</t>
        </is>
      </c>
      <c r="D7" s="0" t="n"/>
      <c r="E7" s="0" t="n"/>
      <c r="F7" s="0" t="n"/>
      <c r="G7" s="0" t="n"/>
      <c r="H7" s="0" t="n"/>
      <c r="I7" s="0" t="n"/>
      <c r="J7" s="0" t="n"/>
      <c r="K7" s="0" t="n"/>
      <c r="L7" s="0" t="n"/>
      <c r="M7" s="0" t="n"/>
      <c r="N7" s="0" t="n"/>
      <c r="O7" s="0" t="n"/>
      <c r="P7" s="0" t="n"/>
      <c r="Q7" s="0" t="n"/>
    </row>
    <row r="8" ht="22" customHeight="1" s="1097">
      <c r="A8" s="1511" t="inlineStr">
        <is>
          <t>被投资单位名称</t>
        </is>
      </c>
      <c r="B8" s="1546" t="n"/>
      <c r="C8" s="1511" t="inlineStr">
        <is>
          <t>持股比例
(小数)</t>
        </is>
      </c>
      <c r="D8" s="1511" t="inlineStr">
        <is>
          <t>账面期末余额</t>
        </is>
      </c>
      <c r="E8" s="1516" t="n"/>
      <c r="F8" s="1511" t="inlineStr">
        <is>
          <t>被投资单位净资产</t>
        </is>
      </c>
      <c r="G8" s="1516" t="n"/>
      <c r="H8" s="1511" t="inlineStr">
        <is>
          <t>未确认投资损失</t>
        </is>
      </c>
      <c r="I8" s="1547" t="n"/>
      <c r="J8" s="1516" t="n"/>
      <c r="K8" s="1511" t="inlineStr">
        <is>
          <t>备注</t>
        </is>
      </c>
      <c r="L8" s="1512" t="inlineStr">
        <is>
          <t>应享有净资产
变动</t>
        </is>
      </c>
      <c r="M8" s="1512" t="inlineStr">
        <is>
          <t>额外损失
义务</t>
        </is>
      </c>
      <c r="N8" s="1512" t="inlineStr">
        <is>
          <t>应确认
预计负债</t>
        </is>
      </c>
      <c r="O8" s="1512" t="inlineStr">
        <is>
          <t>备查簿
期末数</t>
        </is>
      </c>
      <c r="P8" s="1512" t="inlineStr">
        <is>
          <t>与备查簿
差异</t>
        </is>
      </c>
      <c r="Q8" s="1512" t="inlineStr">
        <is>
          <t>勾稽复核</t>
        </is>
      </c>
      <c r="R8" s="1512" t="inlineStr">
        <is>
          <t>G7-14长投
期末(取数)</t>
        </is>
      </c>
      <c r="S8" s="1512" t="inlineStr">
        <is>
          <t>与G7-14
差异</t>
        </is>
      </c>
      <c r="T8" s="1730" t="inlineStr">
        <is>
          <t>关注提示</t>
        </is>
      </c>
    </row>
    <row r="9" ht="22" customHeight="1" s="1097">
      <c r="A9" s="1548" t="n"/>
      <c r="B9" s="1549" t="n"/>
      <c r="C9" s="1550" t="n"/>
      <c r="D9" s="1511" t="inlineStr">
        <is>
          <t>长期投资</t>
        </is>
      </c>
      <c r="E9" s="1511" t="inlineStr">
        <is>
          <t>长期权益</t>
        </is>
      </c>
      <c r="F9" s="1511" t="inlineStr">
        <is>
          <t>期初数</t>
        </is>
      </c>
      <c r="G9" s="1511" t="inlineStr">
        <is>
          <t>期末数</t>
        </is>
      </c>
      <c r="H9" s="1511" t="inlineStr">
        <is>
          <t>期初数</t>
        </is>
      </c>
      <c r="I9" s="1511" t="inlineStr">
        <is>
          <t>本期数</t>
        </is>
      </c>
      <c r="J9" s="1511" t="inlineStr">
        <is>
          <t>期末数</t>
        </is>
      </c>
      <c r="K9" s="1550" t="n"/>
      <c r="L9" s="1551" t="n"/>
      <c r="M9" s="1551" t="n"/>
      <c r="N9" s="1551" t="n"/>
      <c r="O9" s="1551" t="n"/>
      <c r="P9" s="1551" t="n"/>
      <c r="Q9" s="1551" t="n"/>
      <c r="R9" s="1551" t="n"/>
      <c r="S9" s="1551" t="n"/>
      <c r="T9" s="1551" t="n"/>
    </row>
    <row r="10" ht="28" customHeight="1" s="1097">
      <c r="A10" s="1513" t="inlineStr">
        <is>
          <t>①</t>
        </is>
      </c>
      <c r="B10" s="1516" t="n"/>
      <c r="C10" s="1513" t="inlineStr">
        <is>
          <t>②</t>
        </is>
      </c>
      <c r="D10" s="1513" t="inlineStr">
        <is>
          <t>③</t>
        </is>
      </c>
      <c r="E10" s="1513" t="inlineStr">
        <is>
          <t>④</t>
        </is>
      </c>
      <c r="F10" s="1513" t="inlineStr">
        <is>
          <t>⑤</t>
        </is>
      </c>
      <c r="G10" s="1513" t="inlineStr">
        <is>
          <t>⑥</t>
        </is>
      </c>
      <c r="H10" s="1513" t="inlineStr">
        <is>
          <t>⑦</t>
        </is>
      </c>
      <c r="I10" s="1513" t="inlineStr">
        <is>
          <t>⑧分支公式</t>
        </is>
      </c>
      <c r="J10" s="1513" t="inlineStr">
        <is>
          <t>⑨=⑦+⑧</t>
        </is>
      </c>
      <c r="K10" s="104" t="n"/>
      <c r="L10" s="1514" t="inlineStr">
        <is>
          <t>⑩=(⑥-⑤)×②</t>
        </is>
      </c>
      <c r="M10" s="1514" t="inlineStr">
        <is>
          <t>⑪</t>
        </is>
      </c>
      <c r="N10" s="1514" t="inlineStr">
        <is>
          <t>⑫</t>
        </is>
      </c>
      <c r="O10" s="1514" t="inlineStr">
        <is>
          <t>⑬</t>
        </is>
      </c>
      <c r="P10" s="1514" t="inlineStr">
        <is>
          <t>⑭=⑨-⑬</t>
        </is>
      </c>
      <c r="Q10" s="1514" t="inlineStr">
        <is>
          <t>⑮</t>
        </is>
      </c>
      <c r="R10" s="1514" t="inlineStr">
        <is>
          <t>⑯</t>
        </is>
      </c>
      <c r="S10" s="1514" t="inlineStr">
        <is>
          <t>⑰=③-⑯</t>
        </is>
      </c>
      <c r="T10" s="1731" t="inlineStr">
        <is>
          <t>⑱</t>
        </is>
      </c>
    </row>
    <row r="11" ht="19.95" customHeight="1" s="1097">
      <c r="A11" s="1620" t="inlineStr">
        <is>
          <t>合营企业</t>
        </is>
      </c>
      <c r="B11" s="1516" t="n"/>
      <c r="C11" s="1621" t="n"/>
      <c r="D11" s="1622" t="n"/>
      <c r="E11" s="1622" t="n"/>
      <c r="F11" s="1622" t="n"/>
      <c r="G11" s="1622" t="n"/>
      <c r="H11" s="1622" t="n"/>
      <c r="I11" s="1622" t="n"/>
      <c r="J11" s="1622" t="n"/>
      <c r="K11" s="1622" t="n"/>
      <c r="L11" s="1623" t="n"/>
      <c r="M11" s="1623" t="n"/>
      <c r="N11" s="1623" t="n"/>
      <c r="O11" s="1623" t="n"/>
      <c r="P11" s="1623" t="n"/>
      <c r="Q11" s="1623" t="n"/>
      <c r="R11" s="1623" t="n"/>
      <c r="S11" s="1623" t="n"/>
    </row>
    <row r="12" ht="19.95" customHeight="1" s="1097">
      <c r="A12" s="1654">
        <f>IF('权益法测算表G7-14'!B11="","",'权益法测算表G7-14'!B11)</f>
        <v/>
      </c>
      <c r="B12" s="1624" t="n"/>
      <c r="C12" s="1655">
        <f>IF(A12="","",'权益法测算表G7-14'!C11)</f>
        <v/>
      </c>
      <c r="D12" s="1626" t="n"/>
      <c r="E12" s="1626" t="n"/>
      <c r="F12" s="1626" t="n"/>
      <c r="G12" s="1626" t="n"/>
      <c r="H12" s="1626" t="n"/>
      <c r="I12" s="1627">
        <f>IF(OR(A12="",C12=""),"",IF((G12-F12)*C12&gt;=0,-MIN(N(H12),(G12-F12)*C12),MAX(0,-(G12-F12)*C12-N(D12)-N(E12)-N(N12))))</f>
        <v/>
      </c>
      <c r="J12" s="1627">
        <f>IF(A12="","",N(H12)+N(I12))</f>
        <v/>
      </c>
      <c r="K12" s="1624" t="n"/>
      <c r="L12" s="1628">
        <f>IF(OR(A12="",C12=""),"",(G12-F12)*C12)</f>
        <v/>
      </c>
      <c r="M12" s="1629" t="n"/>
      <c r="N12" s="1630" t="n"/>
      <c r="O12" s="1630" t="n"/>
      <c r="P12" s="1628">
        <f>IF(OR(A12="",O12=""),"",N(J12)-N(O12))</f>
        <v/>
      </c>
      <c r="Q12" s="1631">
        <f>IF(A12="","",IF(OR(C12&lt;0,C12&gt;1),"持股比例异常",IF(AND(N(I12)&gt;0,N(D12)+N(E12)&gt;0.005),"仍有账面余额却新增未确认，请复核冲减顺序",IF(AND(M12="是",N(N12)&lt;=0),"有额外义务但未填预计负债",IF(AND(M12="否",N(N12)&lt;&gt;0),"无额外义务但填了预计负债",IF(AND(O12&lt;&gt;"",ABS(N(P12))&gt;0.005),"与备查簿不一致",IF(N(J12)&lt;-0.005,"期末未确认不能为负",IF(AND(R12&lt;&gt;"",ABS(N(S12))&gt;0.005,N(J12)&lt;=0.005,N(I12)&lt;=0.005),"与G7-14长投期末不一致",IF(AND(R12&lt;&gt;"",ABS(N(S12))&gt;0.005,OR(N(J12)&gt;0.005,N(I12)&gt;0.005)),"通过(超额亏损致长投差异，已关注)","通过")))))))))</f>
        <v/>
      </c>
      <c r="R12" s="1628">
        <f>IF(A12="","",IFERROR(N('权益法测算表G7-14'!F25)+N('权益法测算表G7-14'!I25)+N('权益法测算表G7-14'!L25)+N('权益法测算表G7-14'!O25),""))</f>
        <v/>
      </c>
      <c r="S12" s="1628">
        <f>IF(OR(A12="",R12=""),"",N(D12)-N(R12))</f>
        <v/>
      </c>
      <c r="T12" s="1528">
        <f>IF(A12="","",IF(N(I12)&gt;0.005,"▲本期新增未确认",IF(N(J12)&gt;0.005,"●期末仍有未确认",IF(AND(O12&lt;&gt;"",ABS(N(P12))&gt;0.005),"备查差异",IF(AND(R12&lt;&gt;"",ABS(N(S12))&gt;0.005,OR(N(I12)&gt;0.005,N(J12)&gt;0.005)),"超额亏损·长投已冲减","—"))))</f>
        <v/>
      </c>
    </row>
    <row r="13" ht="19.95" customHeight="1" s="1097">
      <c r="A13" s="1654">
        <f>IF('权益法测算表G7-14'!B12="","",'权益法测算表G7-14'!B12)</f>
        <v/>
      </c>
      <c r="B13" s="1624" t="n"/>
      <c r="C13" s="1655">
        <f>IF(A13="","",'权益法测算表G7-14'!C12)</f>
        <v/>
      </c>
      <c r="D13" s="1626" t="n"/>
      <c r="E13" s="1626" t="n"/>
      <c r="F13" s="1626" t="n"/>
      <c r="G13" s="1626" t="n"/>
      <c r="H13" s="1626" t="n"/>
      <c r="I13" s="1627">
        <f>IF(OR(A13="",C13=""),"",IF((G13-F13)*C13&gt;=0,-MIN(N(H13),(G13-F13)*C13),MAX(0,-(G13-F13)*C13-N(D13)-N(E13)-N(N13))))</f>
        <v/>
      </c>
      <c r="J13" s="1627">
        <f>IF(A13="","",N(H13)+N(I13))</f>
        <v/>
      </c>
      <c r="K13" s="1624" t="n"/>
      <c r="L13" s="1628">
        <f>IF(OR(A13="",C13=""),"",(G13-F13)*C13)</f>
        <v/>
      </c>
      <c r="M13" s="1629" t="n"/>
      <c r="N13" s="1630" t="n"/>
      <c r="O13" s="1630" t="n"/>
      <c r="P13" s="1628">
        <f>IF(OR(A13="",O13=""),"",N(J13)-N(O13))</f>
        <v/>
      </c>
      <c r="Q13" s="1631">
        <f>IF(A13="","",IF(OR(C13&lt;0,C13&gt;1),"持股比例异常",IF(AND(N(I13)&gt;0,N(D13)+N(E13)&gt;0.005),"仍有账面余额却新增未确认，请复核冲减顺序",IF(AND(M13="是",N(N13)&lt;=0),"有额外义务但未填预计负债",IF(AND(M13="否",N(N13)&lt;&gt;0),"无额外义务但填了预计负债",IF(AND(O13&lt;&gt;"",ABS(N(P13))&gt;0.005),"与备查簿不一致",IF(N(J13)&lt;-0.005,"期末未确认不能为负",IF(AND(R13&lt;&gt;"",ABS(N(S13))&gt;0.005,N(J13)&lt;=0.005,N(I13)&lt;=0.005),"与G7-14长投期末不一致",IF(AND(R13&lt;&gt;"",ABS(N(S13))&gt;0.005,OR(N(J13)&gt;0.005,N(I13)&gt;0.005)),"通过(超额亏损致长投差异，已关注)","通过")))))))))</f>
        <v/>
      </c>
      <c r="R13" s="1628">
        <f>IF(A13="","",IFERROR(N('权益法测算表G7-14'!F26)+N('权益法测算表G7-14'!I26)+N('权益法测算表G7-14'!L26)+N('权益法测算表G7-14'!O26),""))</f>
        <v/>
      </c>
      <c r="S13" s="1628">
        <f>IF(OR(A13="",R13=""),"",N(D13)-N(R13))</f>
        <v/>
      </c>
      <c r="T13" s="1528">
        <f>IF(A13="","",IF(N(I13)&gt;0.005,"▲本期新增未确认",IF(N(J13)&gt;0.005,"●期末仍有未确认",IF(AND(O13&lt;&gt;"",ABS(N(P13))&gt;0.005),"备查差异",IF(AND(R13&lt;&gt;"",ABS(N(S13))&gt;0.005,OR(N(I13)&gt;0.005,N(J13)&gt;0.005)),"超额亏损·长投已冲减","—"))))</f>
        <v/>
      </c>
    </row>
    <row r="14" ht="19.95" customHeight="1" s="1097">
      <c r="A14" s="1654">
        <f>IF('权益法测算表G7-14'!B13="","",'权益法测算表G7-14'!B13)</f>
        <v/>
      </c>
      <c r="B14" s="1624" t="n"/>
      <c r="C14" s="1655">
        <f>IF(A14="","",'权益法测算表G7-14'!C13)</f>
        <v/>
      </c>
      <c r="D14" s="1626" t="n"/>
      <c r="E14" s="1626" t="n"/>
      <c r="F14" s="1626" t="n"/>
      <c r="G14" s="1626" t="n"/>
      <c r="H14" s="1626" t="n"/>
      <c r="I14" s="1627">
        <f>IF(OR(A14="",C14=""),"",IF((G14-F14)*C14&gt;=0,-MIN(N(H14),(G14-F14)*C14),MAX(0,-(G14-F14)*C14-N(D14)-N(E14)-N(N14))))</f>
        <v/>
      </c>
      <c r="J14" s="1627">
        <f>IF(A14="","",N(H14)+N(I14))</f>
        <v/>
      </c>
      <c r="K14" s="1624" t="n"/>
      <c r="L14" s="1628">
        <f>IF(OR(A14="",C14=""),"",(G14-F14)*C14)</f>
        <v/>
      </c>
      <c r="M14" s="1629" t="n"/>
      <c r="N14" s="1630" t="n"/>
      <c r="O14" s="1630" t="n"/>
      <c r="P14" s="1628">
        <f>IF(OR(A14="",O14=""),"",N(J14)-N(O14))</f>
        <v/>
      </c>
      <c r="Q14" s="1631">
        <f>IF(A14="","",IF(OR(C14&lt;0,C14&gt;1),"持股比例异常",IF(AND(N(I14)&gt;0,N(D14)+N(E14)&gt;0.005),"仍有账面余额却新增未确认，请复核冲减顺序",IF(AND(M14="是",N(N14)&lt;=0),"有额外义务但未填预计负债",IF(AND(M14="否",N(N14)&lt;&gt;0),"无额外义务但填了预计负债",IF(AND(O14&lt;&gt;"",ABS(N(P14))&gt;0.005),"与备查簿不一致",IF(N(J14)&lt;-0.005,"期末未确认不能为负",IF(AND(R14&lt;&gt;"",ABS(N(S14))&gt;0.005,N(J14)&lt;=0.005,N(I14)&lt;=0.005),"与G7-14长投期末不一致",IF(AND(R14&lt;&gt;"",ABS(N(S14))&gt;0.005,OR(N(J14)&gt;0.005,N(I14)&gt;0.005)),"通过(超额亏损致长投差异，已关注)","通过")))))))))</f>
        <v/>
      </c>
      <c r="R14" s="1628">
        <f>IF(A14="","",IFERROR(N('权益法测算表G7-14'!F27)+N('权益法测算表G7-14'!I27)+N('权益法测算表G7-14'!L27)+N('权益法测算表G7-14'!O27),""))</f>
        <v/>
      </c>
      <c r="S14" s="1628">
        <f>IF(OR(A14="",R14=""),"",N(D14)-N(R14))</f>
        <v/>
      </c>
      <c r="T14" s="1528">
        <f>IF(A14="","",IF(N(I14)&gt;0.005,"▲本期新增未确认",IF(N(J14)&gt;0.005,"●期末仍有未确认",IF(AND(O14&lt;&gt;"",ABS(N(P14))&gt;0.005),"备查差异",IF(AND(R14&lt;&gt;"",ABS(N(S14))&gt;0.005,OR(N(I14)&gt;0.005,N(J14)&gt;0.005)),"超额亏损·长投已冲减","—"))))</f>
        <v/>
      </c>
    </row>
    <row r="15" ht="19.95" customHeight="1" s="1097">
      <c r="A15" s="1654">
        <f>IF('权益法测算表G7-14'!B14="","",'权益法测算表G7-14'!B14)</f>
        <v/>
      </c>
      <c r="B15" s="1629" t="n"/>
      <c r="C15" s="1708">
        <f>IF(A15="","",'权益法测算表G7-14'!C14)</f>
        <v/>
      </c>
      <c r="D15" s="1626" t="n"/>
      <c r="E15" s="1626" t="n"/>
      <c r="F15" s="1626" t="n"/>
      <c r="G15" s="1626" t="n"/>
      <c r="H15" s="1626" t="n"/>
      <c r="I15" s="1633">
        <f>IF(OR(A15="",C15=""),"",IF((G15-F15)*C15&gt;=0,-MIN(N(H15),(G15-F15)*C15),MAX(0,-(G15-F15)*C15-N(D15)-N(E15)-N(N15))))</f>
        <v/>
      </c>
      <c r="J15" s="1633">
        <f>IF(A15="","",N(H15)+N(I15))</f>
        <v/>
      </c>
      <c r="K15" s="1624" t="n"/>
      <c r="L15" s="1628">
        <f>IF(OR(A15="",C15=""),"",(G15-F15)*C15)</f>
        <v/>
      </c>
      <c r="M15" s="1629" t="n"/>
      <c r="N15" s="1630" t="n"/>
      <c r="O15" s="1630" t="n"/>
      <c r="P15" s="1628">
        <f>IF(OR(A15="",O15=""),"",N(J15)-N(O15))</f>
        <v/>
      </c>
      <c r="Q15" s="1631">
        <f>IF(A15="","",IF(OR(C15&lt;0,C15&gt;1),"持股比例异常",IF(AND(N(I15)&gt;0,N(D15)+N(E15)&gt;0.005),"仍有账面余额却新增未确认，请复核冲减顺序",IF(AND(M15="是",N(N15)&lt;=0),"有额外义务但未填预计负债",IF(AND(M15="否",N(N15)&lt;&gt;0),"无额外义务但填了预计负债",IF(AND(O15&lt;&gt;"",ABS(N(P15))&gt;0.005),"与备查簿不一致",IF(N(J15)&lt;-0.005,"期末未确认不能为负",IF(AND(R15&lt;&gt;"",ABS(N(S15))&gt;0.005,N(J15)&lt;=0.005,N(I15)&lt;=0.005),"与G7-14长投期末不一致",IF(AND(R15&lt;&gt;"",ABS(N(S15))&gt;0.005,OR(N(J15)&gt;0.005,N(I15)&gt;0.005)),"通过(超额亏损致长投差异，已关注)","通过")))))))))</f>
        <v/>
      </c>
      <c r="R15" s="1628">
        <f>IF(A15="","",IFERROR(N('权益法测算表G7-14'!F28)+N('权益法测算表G7-14'!I28)+N('权益法测算表G7-14'!L28)+N('权益法测算表G7-14'!O28),""))</f>
        <v/>
      </c>
      <c r="S15" s="1628">
        <f>IF(OR(A15="",R15=""),"",N(D15)-N(R15))</f>
        <v/>
      </c>
      <c r="T15" s="1528">
        <f>IF(A15="","",IF(N(I15)&gt;0.005,"▲本期新增未确认",IF(N(J15)&gt;0.005,"●期末仍有未确认",IF(AND(O15&lt;&gt;"",ABS(N(P15))&gt;0.005),"备查差异",IF(AND(R15&lt;&gt;"",ABS(N(S15))&gt;0.005,OR(N(I15)&gt;0.005,N(J15)&gt;0.005)),"超额亏损·长投已冲减","—"))))</f>
        <v/>
      </c>
    </row>
    <row r="16" ht="19.95" customHeight="1" s="1097">
      <c r="A16" s="1654">
        <f>IF('权益法测算表G7-14'!B15="","",'权益法测算表G7-14'!B15)</f>
        <v/>
      </c>
      <c r="B16" s="1629" t="n"/>
      <c r="C16" s="1655">
        <f>IF(A16="","",'权益法测算表G7-14'!C15)</f>
        <v/>
      </c>
      <c r="D16" s="1626" t="n"/>
      <c r="E16" s="1626" t="n"/>
      <c r="F16" s="1626" t="n"/>
      <c r="G16" s="1626" t="n"/>
      <c r="H16" s="1626" t="n"/>
      <c r="I16" s="1627">
        <f>IF(OR(A16="",C16=""),"",IF((G16-F16)*C16&gt;=0,-MIN(N(H16),(G16-F16)*C16),MAX(0,-(G16-F16)*C16-N(D16)-N(E16)-N(N16))))</f>
        <v/>
      </c>
      <c r="J16" s="1627">
        <f>IF(A16="","",N(H16)+N(I16))</f>
        <v/>
      </c>
      <c r="K16" s="1624" t="n"/>
      <c r="L16" s="1628">
        <f>IF(OR(A16="",C16=""),"",(G16-F16)*C16)</f>
        <v/>
      </c>
      <c r="M16" s="1629" t="n"/>
      <c r="N16" s="1630" t="n"/>
      <c r="O16" s="1630" t="n"/>
      <c r="P16" s="1628">
        <f>IF(OR(A16="",O16=""),"",N(J16)-N(O16))</f>
        <v/>
      </c>
      <c r="Q16" s="1631">
        <f>IF(A16="","",IF(OR(C16&lt;0,C16&gt;1),"持股比例异常",IF(AND(N(I16)&gt;0,N(D16)+N(E16)&gt;0.005),"仍有账面余额却新增未确认，请复核冲减顺序",IF(AND(M16="是",N(N16)&lt;=0),"有额外义务但未填预计负债",IF(AND(M16="否",N(N16)&lt;&gt;0),"无额外义务但填了预计负债",IF(AND(O16&lt;&gt;"",ABS(N(P16))&gt;0.005),"与备查簿不一致",IF(N(J16)&lt;-0.005,"期末未确认不能为负",IF(AND(R16&lt;&gt;"",ABS(N(S16))&gt;0.005,N(J16)&lt;=0.005,N(I16)&lt;=0.005),"与G7-14长投期末不一致",IF(AND(R16&lt;&gt;"",ABS(N(S16))&gt;0.005,OR(N(J16)&gt;0.005,N(I16)&gt;0.005)),"通过(超额亏损致长投差异，已关注)","通过")))))))))</f>
        <v/>
      </c>
      <c r="R16" s="1628">
        <f>IF(A16="","",IFERROR(N('权益法测算表G7-14'!F29)+N('权益法测算表G7-14'!I29)+N('权益法测算表G7-14'!L29)+N('权益法测算表G7-14'!O29),""))</f>
        <v/>
      </c>
      <c r="S16" s="1628">
        <f>IF(OR(A16="",R16=""),"",N(D16)-N(R16))</f>
        <v/>
      </c>
      <c r="T16" s="1528">
        <f>IF(A16="","",IF(N(I16)&gt;0.005,"▲本期新增未确认",IF(N(J16)&gt;0.005,"●期末仍有未确认",IF(AND(O16&lt;&gt;"",ABS(N(P16))&gt;0.005),"备查差异",IF(AND(R16&lt;&gt;"",ABS(N(S16))&gt;0.005,OR(N(I16)&gt;0.005,N(J16)&gt;0.005)),"超额亏损·长投已冲减","—"))))</f>
        <v/>
      </c>
    </row>
    <row r="17" ht="19.95" customHeight="1" s="1097">
      <c r="A17" s="1634" t="inlineStr">
        <is>
          <t>小  计</t>
        </is>
      </c>
      <c r="B17" s="1516" t="n"/>
      <c r="C17" s="1635" t="inlineStr">
        <is>
          <t>—</t>
        </is>
      </c>
      <c r="D17" s="1636">
        <f>SUM(D12:D16)</f>
        <v/>
      </c>
      <c r="E17" s="1636">
        <f>SUM(E12:E16)</f>
        <v/>
      </c>
      <c r="F17" s="1634" t="inlineStr">
        <is>
          <t>—</t>
        </is>
      </c>
      <c r="G17" s="1634" t="inlineStr">
        <is>
          <t>—</t>
        </is>
      </c>
      <c r="H17" s="1636">
        <f>SUM(H12:H16)</f>
        <v/>
      </c>
      <c r="I17" s="1636">
        <f>SUM(I12:I16)</f>
        <v/>
      </c>
      <c r="J17" s="1636">
        <f>SUM(J12:J16)</f>
        <v/>
      </c>
      <c r="K17" s="1634" t="n"/>
      <c r="L17" s="1535">
        <f>SUM(L12:L16)</f>
        <v/>
      </c>
      <c r="M17" s="1536" t="n"/>
      <c r="N17" s="1535">
        <f>SUM(N12:N16)</f>
        <v/>
      </c>
      <c r="O17" s="1535">
        <f>SUM(O12:O16)</f>
        <v/>
      </c>
      <c r="P17" s="1535">
        <f>SUM(P12:P16)</f>
        <v/>
      </c>
      <c r="Q17" s="1536">
        <f>IF(COUNTA(A12:A16)=0,"","—")</f>
        <v/>
      </c>
      <c r="R17" s="1535">
        <f>SUM(R12:R16)</f>
        <v/>
      </c>
      <c r="S17" s="1535">
        <f>SUM(S12:S16)</f>
        <v/>
      </c>
      <c r="T17" s="1536">
        <f>IF(COUNTA(A12:16)=0,"","未确认"&amp;COUNTIF(J12:16,"&gt;0")&amp;"家")</f>
        <v/>
      </c>
    </row>
    <row r="18" ht="19.95" customHeight="1" s="1097">
      <c r="A18" s="1620" t="inlineStr">
        <is>
          <t>联营企业</t>
        </is>
      </c>
      <c r="B18" s="1516" t="n"/>
      <c r="C18" s="1621" t="n"/>
      <c r="D18" s="1622" t="n"/>
      <c r="E18" s="1622" t="n"/>
      <c r="F18" s="1622" t="n"/>
      <c r="G18" s="1622" t="n"/>
      <c r="H18" s="1622" t="n"/>
      <c r="I18" s="1622" t="n"/>
      <c r="J18" s="1622" t="n"/>
      <c r="K18" s="1622" t="n"/>
      <c r="L18" s="1623" t="n"/>
      <c r="M18" s="1623" t="n"/>
      <c r="N18" s="1623" t="n"/>
      <c r="O18" s="1623" t="n"/>
      <c r="P18" s="1623" t="n"/>
      <c r="Q18" s="1623" t="n"/>
      <c r="R18" s="1623" t="n"/>
      <c r="S18" s="1623" t="n"/>
    </row>
    <row r="19" ht="19.95" customHeight="1" s="1097">
      <c r="A19" s="1654">
        <f>IF('权益法测算表G7-14'!B16="","",'权益法测算表G7-14'!B16)</f>
        <v/>
      </c>
      <c r="B19" s="1624" t="n"/>
      <c r="C19" s="1655">
        <f>IF(A19="","",'权益法测算表G7-14'!C16)</f>
        <v/>
      </c>
      <c r="D19" s="1626" t="n"/>
      <c r="E19" s="1626" t="n"/>
      <c r="F19" s="1626" t="n"/>
      <c r="G19" s="1626" t="n"/>
      <c r="H19" s="1626" t="n"/>
      <c r="I19" s="1627">
        <f>IF(OR(A19="",C19=""),"",IF((G19-F19)*C19&gt;=0,-MIN(N(H19),(G19-F19)*C19),MAX(0,-(G19-F19)*C19-N(D19)-N(E19)-N(N19))))</f>
        <v/>
      </c>
      <c r="J19" s="1627">
        <f>IF(A19="","",N(H19)+N(I19))</f>
        <v/>
      </c>
      <c r="K19" s="1624" t="n"/>
      <c r="L19" s="1628">
        <f>IF(OR(A19="",C19=""),"",(G19-F19)*C19)</f>
        <v/>
      </c>
      <c r="M19" s="1629" t="n"/>
      <c r="N19" s="1630" t="n"/>
      <c r="O19" s="1630" t="n"/>
      <c r="P19" s="1628">
        <f>IF(OR(A19="",O19=""),"",N(J19)-N(O19))</f>
        <v/>
      </c>
      <c r="Q19" s="1631">
        <f>IF(A19="","",IF(OR(C19&lt;0,C19&gt;1),"持股比例异常",IF(AND(N(I19)&gt;0,N(D19)+N(E19)&gt;0.005),"仍有账面余额却新增未确认，请复核冲减顺序",IF(AND(M19="是",N(N19)&lt;=0),"有额外义务但未填预计负债",IF(AND(M19="否",N(N19)&lt;&gt;0),"无额外义务但填了预计负债",IF(AND(O19&lt;&gt;"",ABS(N(P19))&gt;0.005),"与备查簿不一致",IF(N(J19)&lt;-0.005,"期末未确认不能为负",IF(AND(R19&lt;&gt;"",ABS(N(S19))&gt;0.005,N(J19)&lt;=0.005,N(I19)&lt;=0.005),"与G7-14长投期末不一致",IF(AND(R19&lt;&gt;"",ABS(N(S19))&gt;0.005,OR(N(J19)&gt;0.005,N(I19)&gt;0.005)),"通过(超额亏损致长投差异，已关注)","通过")))))))))</f>
        <v/>
      </c>
      <c r="R19" s="1628">
        <f>IF(A19="","",IFERROR(N('权益法测算表G7-14'!F30)+N('权益法测算表G7-14'!I30)+N('权益法测算表G7-14'!L30)+N('权益法测算表G7-14'!O30),""))</f>
        <v/>
      </c>
      <c r="S19" s="1628">
        <f>IF(OR(A19="",R19=""),"",N(D19)-N(R19))</f>
        <v/>
      </c>
      <c r="T19" s="1528">
        <f>IF(A19="","",IF(N(I19)&gt;0.005,"▲本期新增未确认",IF(N(J19)&gt;0.005,"●期末仍有未确认",IF(AND(O19&lt;&gt;"",ABS(N(P19))&gt;0.005),"备查差异",IF(AND(R19&lt;&gt;"",ABS(N(S19))&gt;0.005,OR(N(I19)&gt;0.005,N(J19)&gt;0.005)),"超额亏损·长投已冲减","—"))))</f>
        <v/>
      </c>
    </row>
    <row r="20" ht="19.95" customHeight="1" s="1097">
      <c r="A20" s="1654">
        <f>IF('权益法测算表G7-14'!B17="","",'权益法测算表G7-14'!B17)</f>
        <v/>
      </c>
      <c r="B20" s="1629" t="n"/>
      <c r="C20" s="1708">
        <f>IF(A20="","",'权益法测算表G7-14'!C17)</f>
        <v/>
      </c>
      <c r="D20" s="1626" t="n"/>
      <c r="E20" s="1626" t="n"/>
      <c r="F20" s="1626" t="n"/>
      <c r="G20" s="1626" t="n"/>
      <c r="H20" s="1626" t="n"/>
      <c r="I20" s="1633">
        <f>IF(OR(A20="",C20=""),"",IF((G20-F20)*C20&gt;=0,-MIN(N(H20),(G20-F20)*C20),MAX(0,-(G20-F20)*C20-N(D20)-N(E20)-N(N20))))</f>
        <v/>
      </c>
      <c r="J20" s="1633">
        <f>IF(A20="","",N(H20)+N(I20))</f>
        <v/>
      </c>
      <c r="K20" s="1624" t="n"/>
      <c r="L20" s="1628">
        <f>IF(OR(A20="",C20=""),"",(G20-F20)*C20)</f>
        <v/>
      </c>
      <c r="M20" s="1629" t="n"/>
      <c r="N20" s="1630" t="n"/>
      <c r="O20" s="1630" t="n"/>
      <c r="P20" s="1628">
        <f>IF(OR(A20="",O20=""),"",N(J20)-N(O20))</f>
        <v/>
      </c>
      <c r="Q20" s="1631">
        <f>IF(A20="","",IF(OR(C20&lt;0,C20&gt;1),"持股比例异常",IF(AND(N(I20)&gt;0,N(D20)+N(E20)&gt;0.005),"仍有账面余额却新增未确认，请复核冲减顺序",IF(AND(M20="是",N(N20)&lt;=0),"有额外义务但未填预计负债",IF(AND(M20="否",N(N20)&lt;&gt;0),"无额外义务但填了预计负债",IF(AND(O20&lt;&gt;"",ABS(N(P20))&gt;0.005),"与备查簿不一致",IF(N(J20)&lt;-0.005,"期末未确认不能为负",IF(AND(R20&lt;&gt;"",ABS(N(S20))&gt;0.005,N(J20)&lt;=0.005,N(I20)&lt;=0.005),"与G7-14长投期末不一致",IF(AND(R20&lt;&gt;"",ABS(N(S20))&gt;0.005,OR(N(J20)&gt;0.005,N(I20)&gt;0.005)),"通过(超额亏损致长投差异，已关注)","通过")))))))))</f>
        <v/>
      </c>
      <c r="R20" s="1628">
        <f>IF(A20="","",IFERROR(N('权益法测算表G7-14'!F31)+N('权益法测算表G7-14'!I31)+N('权益法测算表G7-14'!L31)+N('权益法测算表G7-14'!O31),""))</f>
        <v/>
      </c>
      <c r="S20" s="1628">
        <f>IF(OR(A20="",R20=""),"",N(D20)-N(R20))</f>
        <v/>
      </c>
      <c r="T20" s="1528">
        <f>IF(A20="","",IF(N(I20)&gt;0.005,"▲本期新增未确认",IF(N(J20)&gt;0.005,"●期末仍有未确认",IF(AND(O20&lt;&gt;"",ABS(N(P20))&gt;0.005),"备查差异",IF(AND(R20&lt;&gt;"",ABS(N(S20))&gt;0.005,OR(N(I20)&gt;0.005,N(J20)&gt;0.005)),"超额亏损·长投已冲减","—"))))</f>
        <v/>
      </c>
    </row>
    <row r="21" ht="19.95" customHeight="1" s="1097">
      <c r="A21" s="1654">
        <f>IF('权益法测算表G7-14'!B18="","",'权益法测算表G7-14'!B18)</f>
        <v/>
      </c>
      <c r="B21" s="1629" t="n"/>
      <c r="C21" s="1655">
        <f>IF(A21="","",'权益法测算表G7-14'!C18)</f>
        <v/>
      </c>
      <c r="D21" s="1626" t="n"/>
      <c r="E21" s="1626" t="n"/>
      <c r="F21" s="1626" t="n"/>
      <c r="G21" s="1626" t="n"/>
      <c r="H21" s="1626" t="n"/>
      <c r="I21" s="1627">
        <f>IF(OR(A21="",C21=""),"",IF((G21-F21)*C21&gt;=0,-MIN(N(H21),(G21-F21)*C21),MAX(0,-(G21-F21)*C21-N(D21)-N(E21)-N(N21))))</f>
        <v/>
      </c>
      <c r="J21" s="1627">
        <f>IF(A21="","",N(H21)+N(I21))</f>
        <v/>
      </c>
      <c r="K21" s="1624" t="n"/>
      <c r="L21" s="1628">
        <f>IF(OR(A21="",C21=""),"",(G21-F21)*C21)</f>
        <v/>
      </c>
      <c r="M21" s="1629" t="n"/>
      <c r="N21" s="1630" t="n"/>
      <c r="O21" s="1630" t="n"/>
      <c r="P21" s="1628">
        <f>IF(OR(A21="",O21=""),"",N(J21)-N(O21))</f>
        <v/>
      </c>
      <c r="Q21" s="1631">
        <f>IF(A21="","",IF(OR(C21&lt;0,C21&gt;1),"持股比例异常",IF(AND(N(I21)&gt;0,N(D21)+N(E21)&gt;0.005),"仍有账面余额却新增未确认，请复核冲减顺序",IF(AND(M21="是",N(N21)&lt;=0),"有额外义务但未填预计负债",IF(AND(M21="否",N(N21)&lt;&gt;0),"无额外义务但填了预计负债",IF(AND(O21&lt;&gt;"",ABS(N(P21))&gt;0.005),"与备查簿不一致",IF(N(J21)&lt;-0.005,"期末未确认不能为负",IF(AND(R21&lt;&gt;"",ABS(N(S21))&gt;0.005,N(J21)&lt;=0.005,N(I21)&lt;=0.005),"与G7-14长投期末不一致",IF(AND(R21&lt;&gt;"",ABS(N(S21))&gt;0.005,OR(N(J21)&gt;0.005,N(I21)&gt;0.005)),"通过(超额亏损致长投差异，已关注)","通过")))))))))</f>
        <v/>
      </c>
      <c r="R21" s="1628">
        <f>IF(A21="","",IFERROR(N('权益法测算表G7-14'!F32)+N('权益法测算表G7-14'!I32)+N('权益法测算表G7-14'!L32)+N('权益法测算表G7-14'!O32),""))</f>
        <v/>
      </c>
      <c r="S21" s="1628">
        <f>IF(OR(A21="",R21=""),"",N(D21)-N(R21))</f>
        <v/>
      </c>
      <c r="T21" s="1528">
        <f>IF(A21="","",IF(N(I21)&gt;0.005,"▲本期新增未确认",IF(N(J21)&gt;0.005,"●期末仍有未确认",IF(AND(O21&lt;&gt;"",ABS(N(P21))&gt;0.005),"备查差异",IF(AND(R21&lt;&gt;"",ABS(N(S21))&gt;0.005,OR(N(I21)&gt;0.005,N(J21)&gt;0.005)),"超额亏损·长投已冲减","—"))))</f>
        <v/>
      </c>
    </row>
    <row r="22" ht="19.95" customHeight="1" s="1097">
      <c r="A22" s="1654">
        <f>IF('权益法测算表G7-14'!B19="","",'权益法测算表G7-14'!B19)</f>
        <v/>
      </c>
      <c r="B22" s="1624" t="n"/>
      <c r="C22" s="1661">
        <f>IF(A22="","",'权益法测算表G7-14'!C19)</f>
        <v/>
      </c>
      <c r="D22" s="1626" t="n"/>
      <c r="E22" s="1626" t="n"/>
      <c r="F22" s="1626" t="n"/>
      <c r="G22" s="1626" t="n"/>
      <c r="H22" s="1626" t="n"/>
      <c r="I22" s="1627">
        <f>IF(OR(A22="",C22=""),"",IF((G22-F22)*C22&gt;=0,-MIN(N(H22),(G22-F22)*C22),MAX(0,-(G22-F22)*C22-N(D22)-N(E22)-N(N22))))</f>
        <v/>
      </c>
      <c r="J22" s="1627">
        <f>IF(A22="","",N(H22)+N(I22))</f>
        <v/>
      </c>
      <c r="K22" s="1624" t="n"/>
      <c r="L22" s="1628">
        <f>IF(OR(A22="",C22=""),"",(G22-F22)*C22)</f>
        <v/>
      </c>
      <c r="M22" s="1629" t="n"/>
      <c r="N22" s="1630" t="n"/>
      <c r="O22" s="1630" t="n"/>
      <c r="P22" s="1628">
        <f>IF(OR(A22="",O22=""),"",N(J22)-N(O22))</f>
        <v/>
      </c>
      <c r="Q22" s="1631">
        <f>IF(A22="","",IF(OR(C22&lt;0,C22&gt;1),"持股比例异常",IF(AND(N(I22)&gt;0,N(D22)+N(E22)&gt;0.005),"仍有账面余额却新增未确认，请复核冲减顺序",IF(AND(M22="是",N(N22)&lt;=0),"有额外义务但未填预计负债",IF(AND(M22="否",N(N22)&lt;&gt;0),"无额外义务但填了预计负债",IF(AND(O22&lt;&gt;"",ABS(N(P22))&gt;0.005),"与备查簿不一致",IF(N(J22)&lt;-0.005,"期末未确认不能为负",IF(AND(R22&lt;&gt;"",ABS(N(S22))&gt;0.005,N(J22)&lt;=0.005,N(I22)&lt;=0.005),"与G7-14长投期末不一致",IF(AND(R22&lt;&gt;"",ABS(N(S22))&gt;0.005,OR(N(J22)&gt;0.005,N(I22)&gt;0.005)),"通过(超额亏损致长投差异，已关注)","通过")))))))))</f>
        <v/>
      </c>
      <c r="R22" s="1628">
        <f>IF(A22="","",IFERROR(N('权益法测算表G7-14'!F33)+N('权益法测算表G7-14'!I33)+N('权益法测算表G7-14'!L33)+N('权益法测算表G7-14'!O33),""))</f>
        <v/>
      </c>
      <c r="S22" s="1628">
        <f>IF(OR(A22="",R22=""),"",N(D22)-N(R22))</f>
        <v/>
      </c>
      <c r="T22" s="1528">
        <f>IF(A22="","",IF(N(I22)&gt;0.005,"▲本期新增未确认",IF(N(J22)&gt;0.005,"●期末仍有未确认",IF(AND(O22&lt;&gt;"",ABS(N(P22))&gt;0.005),"备查差异",IF(AND(R22&lt;&gt;"",ABS(N(S22))&gt;0.005,OR(N(I22)&gt;0.005,N(J22)&gt;0.005)),"超额亏损·长投已冲减","—"))))</f>
        <v/>
      </c>
    </row>
    <row r="23" ht="28" customHeight="1" s="1097">
      <c r="A23" s="1654">
        <f>IF('权益法测算表G7-14'!B20="","",'权益法测算表G7-14'!B20)</f>
        <v/>
      </c>
      <c r="B23" s="1629" t="n"/>
      <c r="C23" s="1660">
        <f>IF(A23="","",'权益法测算表G7-14'!C20)</f>
        <v/>
      </c>
      <c r="D23" s="1630" t="n"/>
      <c r="E23" s="1630" t="n"/>
      <c r="F23" s="1630" t="n"/>
      <c r="G23" s="1630" t="n"/>
      <c r="H23" s="1630" t="n"/>
      <c r="I23" s="1628">
        <f>IF(OR(A23="",C23=""),"",IF((G23-F23)*C23&gt;=0,-MIN(N(H23),(G23-F23)*C23),MAX(0,-(G23-F23)*C23-N(D23)-N(E23)-N(N23))))</f>
        <v/>
      </c>
      <c r="J23" s="1628">
        <f>IF(A23="","",N(H23)+N(I23))</f>
        <v/>
      </c>
      <c r="K23" s="1629" t="n"/>
      <c r="L23" s="1628">
        <f>IF(OR(A23="",C23=""),"",(G23-F23)*C23)</f>
        <v/>
      </c>
      <c r="M23" s="1629" t="n"/>
      <c r="N23" s="1630" t="n"/>
      <c r="O23" s="1630" t="n"/>
      <c r="P23" s="1628">
        <f>IF(OR(A23="",O23=""),"",N(J23)-N(O23))</f>
        <v/>
      </c>
      <c r="Q23" s="1631">
        <f>IF(A23="","",IF(OR(C23&lt;0,C23&gt;1),"持股比例异常",IF(AND(N(I23)&gt;0,N(D23)+N(E23)&gt;0.005),"仍有账面余额却新增未确认，请复核冲减顺序",IF(AND(M23="是",N(N23)&lt;=0),"有额外义务但未填预计负债",IF(AND(M23="否",N(N23)&lt;&gt;0),"无额外义务但填了预计负债",IF(AND(O23&lt;&gt;"",ABS(N(P23))&gt;0.005),"与备查簿不一致",IF(N(J23)&lt;-0.005,"期末未确认不能为负",IF(AND(R23&lt;&gt;"",ABS(N(S23))&gt;0.005,N(J23)&lt;=0.005,N(I23)&lt;=0.005),"与G7-14长投期末不一致",IF(AND(R23&lt;&gt;"",ABS(N(S23))&gt;0.005,OR(N(J23)&gt;0.005,N(I23)&gt;0.005)),"通过(超额亏损致长投差异，已关注)","通过")))))))))</f>
        <v/>
      </c>
      <c r="R23" s="1628">
        <f>IF(A23="","",IFERROR(N('权益法测算表G7-14'!F34)+N('权益法测算表G7-14'!I34)+N('权益法测算表G7-14'!L34)+N('权益法测算表G7-14'!O34),""))</f>
        <v/>
      </c>
      <c r="S23" s="1628">
        <f>IF(OR(A23="",R23=""),"",N(D23)-N(R23))</f>
        <v/>
      </c>
      <c r="T23" s="1528">
        <f>IF(A23="","",IF(N(I23)&gt;0.005,"▲本期新增未确认",IF(N(J23)&gt;0.005,"●期末仍有未确认",IF(AND(O23&lt;&gt;"",ABS(N(P23))&gt;0.005),"备查差异",IF(AND(R23&lt;&gt;"",ABS(N(S23))&gt;0.005,OR(N(I23)&gt;0.005,N(J23)&gt;0.005)),"超额亏损·长投已冲减","—"))))</f>
        <v/>
      </c>
    </row>
    <row r="24" ht="28" customHeight="1" s="1097">
      <c r="A24" s="1536" t="inlineStr">
        <is>
          <t>小  计</t>
        </is>
      </c>
      <c r="B24" s="1584" t="n"/>
      <c r="C24" s="1536" t="inlineStr">
        <is>
          <t>—</t>
        </is>
      </c>
      <c r="D24" s="1535">
        <f>SUM(D19:D23)</f>
        <v/>
      </c>
      <c r="E24" s="1535">
        <f>SUM(E19:E23)</f>
        <v/>
      </c>
      <c r="F24" s="1536" t="inlineStr">
        <is>
          <t>—</t>
        </is>
      </c>
      <c r="G24" s="1536" t="inlineStr">
        <is>
          <t>—</t>
        </is>
      </c>
      <c r="H24" s="1535">
        <f>SUM(H19:H23)</f>
        <v/>
      </c>
      <c r="I24" s="1535">
        <f>SUM(I19:I23)</f>
        <v/>
      </c>
      <c r="J24" s="1535">
        <f>SUM(J19:J23)</f>
        <v/>
      </c>
      <c r="K24" s="1536" t="n"/>
      <c r="L24" s="1535">
        <f>SUM(L19:L23)</f>
        <v/>
      </c>
      <c r="M24" s="1536" t="n"/>
      <c r="N24" s="1535">
        <f>SUM(N19:N23)</f>
        <v/>
      </c>
      <c r="O24" s="1535">
        <f>SUM(O19:O23)</f>
        <v/>
      </c>
      <c r="P24" s="1535">
        <f>SUM(P19:P23)</f>
        <v/>
      </c>
      <c r="Q24" s="1536">
        <f>IF(COUNTA(A19:A23)=0,"","—")</f>
        <v/>
      </c>
      <c r="R24" s="1535">
        <f>SUM(R19:R23)</f>
        <v/>
      </c>
      <c r="S24" s="1535">
        <f>SUM(S19:S23)</f>
        <v/>
      </c>
      <c r="T24" s="1536">
        <f>IF(COUNTA(A19:23)=0,"","未确认"&amp;COUNTIF(J19:23,"&gt;0")&amp;"家")</f>
        <v/>
      </c>
    </row>
    <row r="25" ht="19.95" customHeight="1" s="1097">
      <c r="A25" s="1634" t="inlineStr">
        <is>
          <t>合  计</t>
        </is>
      </c>
      <c r="B25" s="1516" t="n"/>
      <c r="C25" s="1634" t="inlineStr">
        <is>
          <t>—</t>
        </is>
      </c>
      <c r="D25" s="1636">
        <f>D17+D24</f>
        <v/>
      </c>
      <c r="E25" s="1636">
        <f>E17+E24</f>
        <v/>
      </c>
      <c r="F25" s="1536" t="inlineStr">
        <is>
          <t>—</t>
        </is>
      </c>
      <c r="G25" s="1536" t="inlineStr">
        <is>
          <t>—</t>
        </is>
      </c>
      <c r="H25" s="1535">
        <f>H17+H24</f>
        <v/>
      </c>
      <c r="I25" s="1535">
        <f>I17+I24</f>
        <v/>
      </c>
      <c r="J25" s="1535">
        <f>J17+J24</f>
        <v/>
      </c>
      <c r="K25" s="1536" t="n"/>
      <c r="L25" s="1535">
        <f>L17+L24</f>
        <v/>
      </c>
      <c r="M25" s="1536" t="n"/>
      <c r="N25" s="1535">
        <f>N17+N24</f>
        <v/>
      </c>
      <c r="O25" s="1535">
        <f>O17+O24</f>
        <v/>
      </c>
      <c r="P25" s="1535">
        <f>P17+P24</f>
        <v/>
      </c>
      <c r="Q25" s="1536">
        <f>IF(J25="","",IF(ABS(N(P25))&gt;0.005,"合计与备查簿存在差异，见审计说明",IF(AND(ABS(N(S25))&gt;0.005,N(J25)&lt;=0.005),"合计与G7-14长投存在差异，见审计说明",IF(AND(ABS(N(S25))&gt;0.005,N(J25)&gt;0.005),"通过(含超额亏损长投差异)",IF(N(N25)&gt;0,"存在应确认预计负债，请与负债科目勾稽","通过")))))</f>
        <v/>
      </c>
      <c r="R25" s="1535">
        <f>R17+R24</f>
        <v/>
      </c>
      <c r="S25" s="1535">
        <f>S17+S24</f>
        <v/>
      </c>
      <c r="T25" s="1732">
        <f>IF(J25="","","合计未确认"&amp;(COUNTIF(J12:J16,"&gt;0")+COUNTIF(J19:J23,"&gt;0"))&amp;"家；"&amp;IF(ABS(N(P25))&gt;0.005,"备查有差；","")&amp;IF(ABS(N(S25))&gt;0.005,"与G7-14有差","勾稽正常"))</f>
        <v/>
      </c>
    </row>
    <row r="26" ht="42" customHeight="1" s="1097">
      <c r="A26" s="1649" t="inlineStr">
        <is>
          <t>【填写提示】①名称/比例由G7-14自动带出；②期中比例变动请拆行；③⑯取G7-14长投期末，超额亏损冲减后③&lt;⑯为常见可解释差异（关注列会提示）；④⑱关注列筛选需重点说明的被投资单位；⑤备查簿⑬与⑨必须勾稽。</t>
        </is>
      </c>
      <c r="B26" s="0" t="n"/>
      <c r="C26" s="0" t="n"/>
      <c r="D26" s="0" t="n"/>
      <c r="E26" s="0" t="n"/>
      <c r="F26" s="0" t="n"/>
      <c r="G26" s="0" t="n"/>
      <c r="H26" s="0" t="n"/>
      <c r="I26" s="0" t="n"/>
      <c r="J26" s="0" t="n"/>
      <c r="K26" s="0" t="n"/>
      <c r="L26" s="0" t="n"/>
      <c r="M26" s="0" t="n"/>
      <c r="N26" s="0" t="n"/>
      <c r="O26" s="0" t="n"/>
      <c r="P26" s="0" t="n"/>
      <c r="Q26" s="0" t="n"/>
      <c r="R26" s="0" t="n"/>
      <c r="S26" s="0" t="n"/>
    </row>
    <row r="27" ht="19.95" customHeight="1" s="1097">
      <c r="A27" s="1640" t="inlineStr">
        <is>
          <t>三、审计说明：</t>
        </is>
      </c>
      <c r="B27" s="1641" t="n"/>
      <c r="C27" s="1641" t="n"/>
      <c r="D27" s="1641" t="n"/>
      <c r="E27" s="1641" t="n"/>
      <c r="F27" s="1641" t="n"/>
      <c r="G27" s="1641" t="n"/>
      <c r="H27" s="1641" t="n"/>
      <c r="I27" s="1641" t="n"/>
      <c r="J27" s="1641" t="n"/>
      <c r="K27" s="1641" t="n"/>
      <c r="L27" s="1642" t="n"/>
      <c r="M27" s="1642" t="n"/>
      <c r="N27" s="1642" t="n"/>
      <c r="O27" s="1642" t="n"/>
      <c r="P27" s="1642" t="n"/>
      <c r="Q27" s="1642" t="n"/>
      <c r="R27" s="1642" t="n"/>
      <c r="S27" s="1642" t="n"/>
    </row>
    <row r="28" ht="30" customHeight="1" s="1097">
      <c r="A28" s="1650" t="inlineStr">
        <is>
          <t>【引导】无超额亏损：本期合营/联营企业未发生需登记备查的未确认投资损失，与备查簿及G7-14一致。
有数据时按被投资单位说明：①净资产变动及比例是否拆行；②冲减顺序；③额外义务/预计负债；④与备查簿差异；⑤与G7-14长投差异原因及是否提调整。</t>
        </is>
      </c>
      <c r="B28" s="0" t="n"/>
      <c r="C28" s="0" t="n"/>
      <c r="D28" s="0" t="n"/>
      <c r="E28" s="0" t="n"/>
      <c r="F28" s="0" t="n"/>
      <c r="G28" s="0" t="n"/>
      <c r="H28" s="0" t="n"/>
      <c r="I28" s="0" t="n"/>
      <c r="J28" s="0" t="n"/>
      <c r="K28" s="0" t="n"/>
      <c r="L28" s="0" t="n"/>
      <c r="M28" s="0" t="n"/>
      <c r="N28" s="0" t="n"/>
      <c r="O28" s="0" t="n"/>
      <c r="P28" s="0" t="n"/>
      <c r="Q28" s="0" t="n"/>
      <c r="R28" s="0" t="n"/>
      <c r="S28" s="0" t="n"/>
    </row>
    <row r="29" ht="30" customFormat="1" customHeight="1" s="33">
      <c r="A29" s="0" t="n"/>
      <c r="B29" s="0" t="n"/>
      <c r="C29" s="0" t="n"/>
      <c r="D29" s="0" t="n"/>
      <c r="E29" s="0" t="n"/>
      <c r="F29" s="0" t="n"/>
      <c r="G29" s="0" t="n"/>
      <c r="H29" s="0" t="n"/>
      <c r="I29" s="0" t="n"/>
      <c r="J29" s="0" t="n"/>
      <c r="K29" s="0" t="n"/>
      <c r="L29" s="0" t="n"/>
      <c r="M29" s="0" t="n"/>
      <c r="N29" s="0" t="n"/>
      <c r="O29" s="0" t="n"/>
      <c r="P29" s="0" t="n"/>
      <c r="Q29" s="0" t="n"/>
      <c r="R29" s="0" t="n"/>
      <c r="S29" s="0" t="n"/>
    </row>
    <row r="30" ht="32" customFormat="1" customHeight="1" s="33">
      <c r="A30" s="1640" t="inlineStr">
        <is>
          <t>四、审计结论：</t>
        </is>
      </c>
      <c r="B30" s="1642" t="n"/>
      <c r="C30" s="1642" t="inlineStr">
        <is>
          <t>结论选用：</t>
        </is>
      </c>
      <c r="D30" s="1629" t="inlineStr">
        <is>
          <t>A</t>
        </is>
      </c>
      <c r="E30" s="1644" t="inlineStr"/>
    </row>
    <row r="31" ht="32" customFormat="1" customHeight="1" s="33">
      <c r="A31" s="1641" t="n"/>
      <c r="B31" s="1642" t="n"/>
      <c r="C31" s="1642" t="n"/>
      <c r="D31" s="1642" t="n"/>
    </row>
    <row r="32" ht="32" customHeight="1" s="1097">
      <c r="A32" s="1641" t="n"/>
      <c r="B32" s="1642" t="n"/>
      <c r="C32" s="1642" t="n"/>
      <c r="D32" s="1642" t="n"/>
      <c r="E32" s="1642" t="n"/>
      <c r="F32" s="1642" t="n"/>
      <c r="G32" s="1642" t="n"/>
      <c r="H32" s="1642" t="n"/>
      <c r="I32" s="1642" t="n"/>
      <c r="J32" s="1642" t="n"/>
      <c r="K32" s="1642" t="n"/>
      <c r="L32" s="1642" t="n"/>
      <c r="M32" s="1642" t="n"/>
      <c r="N32" s="1642" t="n"/>
      <c r="O32" s="1642" t="n"/>
      <c r="P32" s="1642" t="n"/>
      <c r="Q32" s="1642" t="n"/>
      <c r="R32" s="1642" t="n"/>
      <c r="S32" s="1642" t="n"/>
    </row>
    <row r="33" ht="32" customFormat="1" customHeight="1" s="19">
      <c r="A33" s="1640" t="inlineStr">
        <is>
          <t>编制说明：</t>
        </is>
      </c>
      <c r="B33" s="1642" t="n"/>
      <c r="C33" s="1642" t="n"/>
      <c r="D33" s="1642" t="n"/>
      <c r="E33" s="1642" t="n"/>
      <c r="F33" s="1642" t="n"/>
      <c r="G33" s="1642" t="n"/>
      <c r="H33" s="1642" t="n"/>
      <c r="I33" s="1642" t="n"/>
      <c r="J33" s="1642" t="n"/>
      <c r="K33" s="1642" t="n"/>
      <c r="L33" s="1642" t="n"/>
      <c r="M33" s="1642" t="n"/>
      <c r="N33" s="1642" t="n"/>
      <c r="O33" s="1642" t="n"/>
      <c r="P33" s="1642" t="n"/>
      <c r="Q33" s="1642" t="n"/>
      <c r="R33" s="1642" t="n"/>
      <c r="S33" s="1642" t="n"/>
    </row>
    <row r="34" ht="34" customFormat="1" customHeight="1" s="19">
      <c r="A34" s="1651" t="inlineStr">
        <is>
          <t>1、③长期投资、④长期权益：取权益法核算后仍可抵减超额亏损的账面余额；④通常为长期应收款等实质净投资。跨主体的⑤⑥净资产不得合计。合营/联营各预留5行；不够可在同区段下方自行插入并同步公式。</t>
        </is>
      </c>
      <c r="B34" s="0" t="n"/>
      <c r="C34" s="0" t="n"/>
      <c r="D34" s="0" t="n"/>
      <c r="E34" s="0" t="n"/>
      <c r="F34" s="0" t="n"/>
      <c r="G34" s="0" t="n"/>
      <c r="H34" s="0" t="n"/>
      <c r="I34" s="0" t="n"/>
      <c r="J34" s="0" t="n"/>
      <c r="K34" s="0" t="n"/>
      <c r="L34" s="0" t="n"/>
      <c r="M34" s="0" t="n"/>
      <c r="N34" s="0" t="n"/>
      <c r="O34" s="0" t="n"/>
      <c r="P34" s="0" t="n"/>
      <c r="Q34" s="0" t="n"/>
      <c r="R34" s="0" t="n"/>
      <c r="S34" s="0" t="n"/>
    </row>
    <row r="35" ht="34" customFormat="1" customHeight="1" s="19">
      <c r="A35" s="1651" t="inlineStr">
        <is>
          <t>2、⑧公式：S=(⑥-⑤)×②；S≥0时⑧=-MIN(⑦,S)；S&lt;0时⑧=MAX(0,-S-③-④-⑫)。旧版“③+④-S”已废止。</t>
        </is>
      </c>
      <c r="B35" s="0" t="n"/>
      <c r="C35" s="0" t="n"/>
      <c r="D35" s="0" t="n"/>
      <c r="E35" s="0" t="n"/>
      <c r="F35" s="0" t="n"/>
      <c r="G35" s="0" t="n"/>
      <c r="H35" s="0" t="n"/>
      <c r="I35" s="0" t="n"/>
      <c r="J35" s="0" t="n"/>
      <c r="K35" s="0" t="n"/>
      <c r="L35" s="0" t="n"/>
      <c r="M35" s="0" t="n"/>
      <c r="N35" s="0" t="n"/>
      <c r="O35" s="0" t="n"/>
      <c r="P35" s="0" t="n"/>
      <c r="Q35" s="0" t="n"/>
      <c r="R35" s="0" t="n"/>
      <c r="S35" s="0" t="n"/>
    </row>
    <row r="36" ht="34" customFormat="1" customHeight="1" s="19">
      <c r="A36" s="1651" t="inlineStr">
        <is>
          <t>3、期中比例变动必须拆行：每一行对应一个稳定持股区间的S测算；禁止用变动后比例乘全年净资产变动。变动依据索引至G7-4/工商/协议。</t>
        </is>
      </c>
      <c r="B36" s="0" t="n"/>
      <c r="C36" s="0" t="n"/>
      <c r="D36" s="0" t="n"/>
      <c r="E36" s="0" t="n"/>
      <c r="F36" s="0" t="n"/>
      <c r="G36" s="0" t="n"/>
      <c r="H36" s="0" t="n"/>
      <c r="I36" s="0" t="n"/>
      <c r="J36" s="0" t="n"/>
      <c r="K36" s="0" t="n"/>
      <c r="L36" s="0" t="n"/>
      <c r="M36" s="0" t="n"/>
      <c r="N36" s="0" t="n"/>
      <c r="O36" s="0" t="n"/>
      <c r="P36" s="0" t="n"/>
      <c r="Q36" s="0" t="n"/>
      <c r="R36" s="0" t="n"/>
      <c r="S36" s="0" t="n"/>
    </row>
    <row r="37" ht="34" customFormat="1" customHeight="1" s="19">
      <c r="A37" s="1651" t="inlineStr">
        <is>
          <t>4、⑯从G7-14第2部分按名称汇总长投四明细期末；⑰=③-⑯。若④长期权益已单独列示，③应仅含长期股权投资科目，避免与G7-14重复。⑪选“是”时⑫填预计负债并与负债勾稽。</t>
        </is>
      </c>
      <c r="B37" s="0" t="n"/>
      <c r="C37" s="0" t="n"/>
      <c r="D37" s="0" t="n"/>
      <c r="E37" s="0" t="n"/>
      <c r="F37" s="0" t="n"/>
      <c r="G37" s="0" t="n"/>
      <c r="H37" s="0" t="n"/>
      <c r="I37" s="0" t="n"/>
      <c r="J37" s="0" t="n"/>
      <c r="K37" s="0" t="n"/>
      <c r="L37" s="0" t="n"/>
      <c r="M37" s="0" t="n"/>
      <c r="N37" s="0" t="n"/>
      <c r="O37" s="0" t="n"/>
      <c r="P37" s="0" t="n"/>
      <c r="Q37" s="0" t="n"/>
      <c r="R37" s="0" t="n"/>
      <c r="S37" s="0" t="n"/>
    </row>
    <row r="38" ht="34" customFormat="1" customHeight="1" s="19">
      <c r="A38" s="1651" t="inlineStr">
        <is>
          <t>5、⑬备查簿与⑨勾稽；⑮自动提示比例/冲减顺序/义务/备查/G7-14异常。交叉索引：G7-14权益法、G7-15内部交易、G7-17减值。</t>
        </is>
      </c>
      <c r="B38" s="0" t="n"/>
      <c r="C38" s="0" t="n"/>
      <c r="D38" s="0" t="n"/>
      <c r="E38" s="0" t="n"/>
      <c r="F38" s="0" t="n"/>
      <c r="G38" s="0" t="n"/>
      <c r="H38" s="0" t="n"/>
      <c r="I38" s="0" t="n"/>
      <c r="J38" s="0" t="n"/>
      <c r="K38" s="0" t="n"/>
      <c r="L38" s="0" t="n"/>
      <c r="M38" s="0" t="n"/>
      <c r="N38" s="0" t="n"/>
      <c r="O38" s="0" t="n"/>
      <c r="P38" s="0" t="n"/>
      <c r="Q38" s="0" t="n"/>
      <c r="R38" s="0" t="n"/>
      <c r="S38" s="0" t="n"/>
    </row>
    <row r="39" ht="18" customHeight="1" s="1097">
      <c r="A39" s="1652" t="inlineStr">
        <is>
          <t>参考结论：</t>
        </is>
      </c>
      <c r="B39" s="0" t="n"/>
      <c r="C39" s="0" t="n"/>
      <c r="D39" s="0" t="n"/>
      <c r="E39" s="0" t="n"/>
      <c r="F39" s="0" t="n"/>
      <c r="G39" s="0" t="n"/>
      <c r="H39" s="0" t="n"/>
      <c r="I39" s="0" t="n"/>
      <c r="J39" s="0" t="n"/>
      <c r="K39" s="0" t="n"/>
      <c r="L39" s="0" t="n"/>
      <c r="M39" s="0" t="n"/>
      <c r="N39" s="0" t="n"/>
      <c r="O39" s="0" t="n"/>
      <c r="P39" s="0" t="n"/>
      <c r="Q39" s="0" t="n"/>
      <c r="R39" s="0" t="n"/>
      <c r="S39" s="0" t="n"/>
    </row>
    <row r="40" ht="18" customHeight="1" s="1097">
      <c r="A40" s="1653" t="inlineStr">
        <is>
          <t>A、未见异常。</t>
        </is>
      </c>
      <c r="B40" s="0" t="n"/>
      <c r="C40" s="0" t="n"/>
      <c r="D40" s="0" t="n"/>
      <c r="E40" s="0" t="n"/>
      <c r="F40" s="0" t="n"/>
      <c r="G40" s="0" t="n"/>
      <c r="H40" s="0" t="n"/>
      <c r="I40" s="0" t="n"/>
      <c r="J40" s="0" t="n"/>
      <c r="K40" s="0" t="n"/>
      <c r="L40" s="0" t="n"/>
      <c r="M40" s="0" t="n"/>
      <c r="N40" s="0" t="n"/>
      <c r="O40" s="0" t="n"/>
      <c r="P40" s="0" t="n"/>
      <c r="Q40" s="0" t="n"/>
      <c r="R40" s="0" t="n"/>
      <c r="S40" s="0" t="n"/>
    </row>
    <row r="41" ht="18" customHeight="1" s="1097">
      <c r="A41" s="1648" t="inlineStr">
        <is>
          <t>B、除以下重大不符事项应当作为调整事项予以调整外，其余未见异常。</t>
        </is>
      </c>
    </row>
    <row r="42" ht="18" customHeight="1" s="1097">
      <c r="A42" s="1648" t="inlineStr">
        <is>
          <t>C、由于存在以下重大未调整事项（或审计范围受到限制无法获取充分、适当证据），不可确认。</t>
        </is>
      </c>
    </row>
    <row r="43">
      <c r="A43" s="1642" t="n"/>
      <c r="B43" s="1642" t="n"/>
      <c r="C43" s="1642" t="n"/>
      <c r="D43" s="1642" t="n"/>
      <c r="E43" s="1642" t="n"/>
      <c r="F43" s="1642" t="n"/>
      <c r="G43" s="1642" t="n"/>
      <c r="H43" s="1642" t="n"/>
      <c r="I43" s="1642" t="n"/>
      <c r="J43" s="1642" t="n"/>
      <c r="K43" s="1642" t="n"/>
      <c r="L43" s="1642" t="n"/>
      <c r="M43" s="1642" t="n"/>
      <c r="N43" s="1642" t="n"/>
      <c r="O43" s="1642" t="n"/>
      <c r="P43" s="1642" t="n"/>
      <c r="Q43" s="1642" t="n"/>
      <c r="R43" s="1642" t="n"/>
      <c r="S43" s="1642" t="n"/>
    </row>
    <row r="44">
      <c r="A44" s="1642" t="n"/>
      <c r="B44" s="1642" t="n"/>
      <c r="C44" s="1642" t="n"/>
      <c r="D44" s="1642" t="n"/>
      <c r="E44" s="1642" t="n"/>
      <c r="F44" s="1642" t="n"/>
      <c r="G44" s="1642" t="n"/>
      <c r="H44" s="1642" t="n"/>
      <c r="I44" s="1642" t="n"/>
      <c r="J44" s="1642" t="n"/>
      <c r="K44" s="1642" t="n"/>
      <c r="L44" s="1642" t="n"/>
      <c r="M44" s="1642" t="n"/>
      <c r="N44" s="1642" t="n"/>
      <c r="O44" s="1642" t="n"/>
      <c r="P44" s="1642" t="n"/>
      <c r="Q44" s="1642" t="n"/>
      <c r="R44" s="1642" t="n"/>
      <c r="S44" s="1642" t="n"/>
    </row>
    <row r="45">
      <c r="A45" s="1642" t="n"/>
      <c r="B45" s="1642" t="n"/>
      <c r="C45" s="1642" t="n"/>
      <c r="D45" s="1642" t="n"/>
      <c r="E45" s="1642" t="n"/>
      <c r="F45" s="1642" t="n"/>
      <c r="G45" s="1642" t="n"/>
      <c r="H45" s="1642" t="n"/>
      <c r="I45" s="1642" t="n"/>
      <c r="J45" s="1642" t="n"/>
      <c r="K45" s="1642" t="n"/>
      <c r="L45" s="1642" t="n"/>
      <c r="M45" s="1642" t="n"/>
      <c r="N45" s="1642" t="n"/>
      <c r="O45" s="1642" t="n"/>
      <c r="P45" s="1642" t="n"/>
      <c r="Q45" s="1642" t="n"/>
      <c r="R45" s="1642" t="n"/>
      <c r="S45" s="1642" t="n"/>
    </row>
    <row r="46">
      <c r="A46" s="1642" t="n"/>
      <c r="B46" s="1642" t="n"/>
      <c r="C46" s="1642" t="n"/>
      <c r="D46" s="1642" t="n"/>
      <c r="E46" s="1642" t="n"/>
      <c r="F46" s="1642" t="n"/>
      <c r="G46" s="1642" t="n"/>
      <c r="H46" s="1642" t="n"/>
      <c r="I46" s="1642" t="n"/>
      <c r="J46" s="1642" t="n"/>
      <c r="K46" s="1642" t="n"/>
      <c r="L46" s="1642" t="n"/>
      <c r="M46" s="1642" t="n"/>
      <c r="N46" s="1642" t="n"/>
      <c r="O46" s="1642" t="n"/>
      <c r="P46" s="1642" t="n"/>
      <c r="Q46" s="1642" t="n"/>
      <c r="R46" s="1642" t="n"/>
      <c r="S46" s="1642" t="n"/>
    </row>
    <row r="47">
      <c r="A47" s="1642" t="n"/>
      <c r="B47" s="1642" t="n"/>
      <c r="C47" s="1642" t="n"/>
      <c r="D47" s="1642" t="n"/>
      <c r="E47" s="1642" t="n"/>
      <c r="F47" s="1642" t="n"/>
      <c r="G47" s="1642" t="n"/>
      <c r="H47" s="1642" t="n"/>
      <c r="I47" s="1642" t="n"/>
      <c r="J47" s="1642" t="n"/>
      <c r="K47" s="1642" t="n"/>
      <c r="L47" s="1642" t="n"/>
      <c r="M47" s="1642" t="n"/>
      <c r="N47" s="1642" t="n"/>
      <c r="O47" s="1642" t="n"/>
      <c r="P47" s="1642" t="n"/>
      <c r="Q47" s="1642" t="n"/>
      <c r="R47" s="1642" t="n"/>
      <c r="S47" s="1642" t="n"/>
    </row>
    <row r="48">
      <c r="A48" s="1642" t="n"/>
      <c r="B48" s="1642" t="n"/>
      <c r="C48" s="1642" t="n"/>
      <c r="D48" s="1642" t="n"/>
      <c r="E48" s="1642" t="n"/>
      <c r="F48" s="1642" t="n"/>
      <c r="G48" s="1642" t="n"/>
      <c r="H48" s="1642" t="n"/>
      <c r="I48" s="1642" t="n"/>
      <c r="J48" s="1642" t="n"/>
      <c r="K48" s="1642" t="n"/>
      <c r="L48" s="1642" t="n"/>
      <c r="M48" s="1642" t="n"/>
      <c r="N48" s="1642" t="n"/>
      <c r="O48" s="1642" t="n"/>
      <c r="P48" s="1642" t="n"/>
      <c r="Q48" s="1642" t="n"/>
      <c r="R48" s="1642" t="n"/>
      <c r="S48" s="1642" t="n"/>
    </row>
    <row r="49">
      <c r="A49" s="1642" t="n"/>
      <c r="B49" s="1642" t="n"/>
      <c r="C49" s="1642" t="n"/>
      <c r="D49" s="1642" t="n"/>
      <c r="E49" s="1642" t="n"/>
      <c r="F49" s="1642" t="n"/>
      <c r="G49" s="1642" t="n"/>
      <c r="H49" s="1642" t="n"/>
      <c r="I49" s="1642" t="n"/>
      <c r="J49" s="1642" t="n"/>
      <c r="K49" s="1642" t="n"/>
      <c r="L49" s="1642" t="n"/>
      <c r="M49" s="1642" t="n"/>
      <c r="N49" s="1642" t="n"/>
      <c r="O49" s="1642" t="n"/>
      <c r="P49" s="1642" t="n"/>
      <c r="Q49" s="1642" t="n"/>
      <c r="R49" s="1642" t="n"/>
      <c r="S49" s="1642" t="n"/>
    </row>
    <row r="50">
      <c r="A50" s="1642" t="n"/>
      <c r="B50" s="1642" t="n"/>
      <c r="C50" s="1642" t="n"/>
      <c r="D50" s="1642" t="n"/>
      <c r="E50" s="1642" t="n"/>
      <c r="F50" s="1642" t="n"/>
      <c r="G50" s="1642" t="n"/>
      <c r="H50" s="1642" t="n"/>
      <c r="I50" s="1642" t="n"/>
      <c r="J50" s="1642" t="n"/>
      <c r="K50" s="1642" t="n"/>
      <c r="L50" s="1642" t="n"/>
      <c r="M50" s="1642" t="n"/>
      <c r="N50" s="1642" t="n"/>
      <c r="O50" s="1642" t="n"/>
      <c r="P50" s="1642" t="n"/>
      <c r="Q50" s="1642" t="n"/>
      <c r="R50" s="1642" t="n"/>
      <c r="S50" s="1642" t="n"/>
    </row>
    <row r="51">
      <c r="A51" s="1642" t="n"/>
      <c r="B51" s="1642" t="n"/>
      <c r="C51" s="1642" t="n"/>
      <c r="D51" s="1642" t="n"/>
      <c r="E51" s="1642" t="n"/>
      <c r="F51" s="1642" t="n"/>
      <c r="G51" s="1642" t="n"/>
      <c r="H51" s="1642" t="n"/>
      <c r="I51" s="1642" t="n"/>
      <c r="J51" s="1642" t="n"/>
      <c r="K51" s="1642" t="n"/>
      <c r="L51" s="1642" t="n"/>
      <c r="M51" s="1642" t="n"/>
      <c r="N51" s="1642" t="n"/>
      <c r="O51" s="1642" t="n"/>
      <c r="P51" s="1642" t="n"/>
      <c r="Q51" s="1642" t="n"/>
      <c r="R51" s="1642" t="n"/>
      <c r="S51" s="1642" t="n"/>
    </row>
    <row r="52">
      <c r="A52" s="1642" t="n"/>
      <c r="B52" s="1642" t="n"/>
      <c r="C52" s="1642" t="n"/>
      <c r="D52" s="1642" t="n"/>
      <c r="E52" s="1642" t="n"/>
      <c r="F52" s="1642" t="n"/>
      <c r="G52" s="1642" t="n"/>
      <c r="H52" s="1642" t="n"/>
      <c r="I52" s="1642" t="n"/>
      <c r="J52" s="1642" t="n"/>
      <c r="K52" s="1642" t="n"/>
      <c r="L52" s="1642" t="n"/>
      <c r="M52" s="1642" t="n"/>
      <c r="N52" s="1642" t="n"/>
      <c r="O52" s="1642" t="n"/>
      <c r="P52" s="1642" t="n"/>
      <c r="Q52" s="1642" t="n"/>
      <c r="R52" s="1642" t="n"/>
      <c r="S52" s="1642" t="n"/>
    </row>
    <row r="53">
      <c r="A53" s="1642" t="n"/>
      <c r="B53" s="1642" t="n"/>
      <c r="C53" s="1642" t="n"/>
      <c r="D53" s="1642" t="n"/>
      <c r="E53" s="1642" t="n"/>
      <c r="F53" s="1642" t="n"/>
      <c r="G53" s="1642" t="n"/>
      <c r="H53" s="1642" t="n"/>
      <c r="I53" s="1642" t="n"/>
      <c r="J53" s="1642" t="n"/>
      <c r="K53" s="1642" t="n"/>
      <c r="L53" s="1642" t="n"/>
      <c r="M53" s="1642" t="n"/>
      <c r="N53" s="1642" t="n"/>
      <c r="O53" s="1642" t="n"/>
      <c r="P53" s="1642" t="n"/>
      <c r="Q53" s="1642" t="n"/>
      <c r="R53" s="1642" t="n"/>
      <c r="S53" s="1642" t="n"/>
    </row>
    <row r="54">
      <c r="A54" s="1642" t="n"/>
      <c r="B54" s="1642" t="n"/>
      <c r="C54" s="1642" t="n"/>
      <c r="D54" s="1642" t="n"/>
      <c r="E54" s="1642" t="n"/>
      <c r="F54" s="1642" t="n"/>
      <c r="G54" s="1642" t="n"/>
      <c r="H54" s="1642" t="n"/>
      <c r="I54" s="1642" t="n"/>
      <c r="J54" s="1642" t="n"/>
      <c r="K54" s="1642" t="n"/>
      <c r="L54" s="1642" t="n"/>
      <c r="M54" s="1642" t="n"/>
      <c r="N54" s="1642" t="n"/>
      <c r="O54" s="1642" t="n"/>
      <c r="P54" s="1642" t="n"/>
      <c r="Q54" s="1642" t="n"/>
      <c r="R54" s="1642" t="n"/>
      <c r="S54" s="1642" t="n"/>
    </row>
    <row r="55">
      <c r="A55" s="1642" t="n"/>
      <c r="B55" s="1642" t="n"/>
      <c r="C55" s="1642" t="n"/>
      <c r="D55" s="1642" t="n"/>
      <c r="E55" s="1642" t="n"/>
      <c r="F55" s="1642" t="n"/>
      <c r="G55" s="1642" t="n"/>
      <c r="H55" s="1642" t="n"/>
      <c r="I55" s="1642" t="n"/>
      <c r="J55" s="1642" t="n"/>
      <c r="K55" s="1642" t="n"/>
      <c r="L55" s="1642" t="n"/>
      <c r="M55" s="1642" t="n"/>
      <c r="N55" s="1642" t="n"/>
      <c r="O55" s="1642" t="n"/>
      <c r="P55" s="1642" t="n"/>
      <c r="Q55" s="1642" t="n"/>
      <c r="R55" s="1642" t="n"/>
      <c r="S55" s="1642" t="n"/>
    </row>
  </sheetData>
  <mergeCells count="38">
    <mergeCell ref="A42:S42"/>
    <mergeCell ref="A24:B24"/>
    <mergeCell ref="A11:B11"/>
    <mergeCell ref="Q8:Q9"/>
    <mergeCell ref="S8:S9"/>
    <mergeCell ref="A35:S35"/>
    <mergeCell ref="A38:S38"/>
    <mergeCell ref="A1:Q1"/>
    <mergeCell ref="A8:B9"/>
    <mergeCell ref="A25:B25"/>
    <mergeCell ref="L8:L9"/>
    <mergeCell ref="N8:N9"/>
    <mergeCell ref="A40:S40"/>
    <mergeCell ref="P8:P9"/>
    <mergeCell ref="A39:S39"/>
    <mergeCell ref="A34:S34"/>
    <mergeCell ref="T8:T9"/>
    <mergeCell ref="A18:B18"/>
    <mergeCell ref="F8:G8"/>
    <mergeCell ref="C7:Q7"/>
    <mergeCell ref="C8:C9"/>
    <mergeCell ref="A36:S36"/>
    <mergeCell ref="K8:K9"/>
    <mergeCell ref="M8:M9"/>
    <mergeCell ref="H8:J8"/>
    <mergeCell ref="O8:O9"/>
    <mergeCell ref="A2:Q2"/>
    <mergeCell ref="A17:B17"/>
    <mergeCell ref="D8:E8"/>
    <mergeCell ref="A41:S41"/>
    <mergeCell ref="C6:Q6"/>
    <mergeCell ref="A37:S37"/>
    <mergeCell ref="A10:B10"/>
    <mergeCell ref="R8:R9"/>
    <mergeCell ref="C5:Q5"/>
    <mergeCell ref="E30:S31"/>
    <mergeCell ref="A26:S26"/>
    <mergeCell ref="A28:S29"/>
  </mergeCells>
  <conditionalFormatting sqref="P12:P16">
    <cfRule type="cellIs" priority="1" operator="notEqual" dxfId="2">
      <formula>0</formula>
    </cfRule>
  </conditionalFormatting>
  <conditionalFormatting sqref="P19:P23">
    <cfRule type="cellIs" priority="2" operator="notEqual" dxfId="2">
      <formula>0</formula>
    </cfRule>
  </conditionalFormatting>
  <conditionalFormatting sqref="P25">
    <cfRule type="cellIs" priority="3" operator="notEqual" dxfId="2">
      <formula>0</formula>
    </cfRule>
  </conditionalFormatting>
  <conditionalFormatting sqref="S12:S16">
    <cfRule type="cellIs" priority="4" operator="notEqual" dxfId="2">
      <formula>0</formula>
    </cfRule>
  </conditionalFormatting>
  <conditionalFormatting sqref="S19:S23">
    <cfRule type="cellIs" priority="5" operator="notEqual" dxfId="2">
      <formula>0</formula>
    </cfRule>
  </conditionalFormatting>
  <conditionalFormatting sqref="S25">
    <cfRule type="cellIs" priority="6" operator="notEqual" dxfId="2">
      <formula>0</formula>
    </cfRule>
  </conditionalFormatting>
  <conditionalFormatting sqref="Q12:Q16">
    <cfRule type="expression" priority="7" dxfId="3">
      <formula>AND(A12&lt;&gt;"",Q12&lt;&gt;"通过",Q12&lt;&gt;"")</formula>
    </cfRule>
  </conditionalFormatting>
  <conditionalFormatting sqref="Q19:Q23">
    <cfRule type="expression" priority="8" dxfId="3">
      <formula>AND(A19&lt;&gt;"",Q19&lt;&gt;"通过",Q19&lt;&gt;"")</formula>
    </cfRule>
  </conditionalFormatting>
  <conditionalFormatting sqref="Q25">
    <cfRule type="expression" priority="9" dxfId="3">
      <formula>AND(Q25&lt;&gt;"通过",Q25&lt;&gt;"")</formula>
    </cfRule>
  </conditionalFormatting>
  <conditionalFormatting sqref="T12:T16">
    <cfRule type="expression" priority="10" dxfId="3">
      <formula>AND(A12&lt;&gt;"",T12&lt;&gt;"—",T12&lt;&gt;"")</formula>
    </cfRule>
  </conditionalFormatting>
  <conditionalFormatting sqref="T19:T23">
    <cfRule type="expression" priority="11" dxfId="3">
      <formula>AND(A19&lt;&gt;"",T19&lt;&gt;"—",T19&lt;&gt;"")</formula>
    </cfRule>
  </conditionalFormatting>
  <dataValidations count="3">
    <dataValidation sqref="C12:C16 C19:C23" showDropDown="0" showInputMessage="0" showErrorMessage="1" allowBlank="1" errorTitle="持股比例" error="请填0-1小数，如0.30表示30%。" type="decimal" operator="between">
      <formula1>0</formula1>
      <formula2>1</formula2>
    </dataValidation>
    <dataValidation sqref="M12:M16 M19:M23" showDropDown="0" showInputMessage="0" showErrorMessage="1" allowBlank="1" errorTitle="额外义务" error="请选择：是 / 否" type="list">
      <formula1>"是,否"</formula1>
    </dataValidation>
    <dataValidation sqref="D30" showDropDown="0" showInputMessage="0" showErrorMessage="1" allowBlank="1" errorTitle="结论" error="请选择 A / B / C" type="list">
      <formula1>"A,B,C"</formula1>
    </dataValidation>
  </dataValidations>
  <hyperlinks>
    <hyperlink ref="K3" location="底稿目录!F22" display="底稿目录!F22"/>
  </hyperlinks>
  <pageMargins left="0.7086614173228347" right="0.7086614173228347" top="0.7480314960629921" bottom="0.7480314960629921" header="0.3149606299212598" footer="0.3149606299212598"/>
  <pageSetup orientation="landscape" paperSize="9" scale="95" fitToHeight="0" blackAndWhite="1"/>
  <headerFooter>
    <oddHeader/>
    <oddFooter>&amp;C&amp;P/&amp;N</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codeName="Sheet21">
    <outlinePr summaryBelow="1" summaryRight="1"/>
    <pageSetUpPr fitToPage="1"/>
  </sheetPr>
  <dimension ref="A1:Y102"/>
  <sheetViews>
    <sheetView view="pageBreakPreview" zoomScaleSheetLayoutView="100" workbookViewId="0">
      <selection activeCell="A1" sqref="A1:I1"/>
    </sheetView>
  </sheetViews>
  <sheetFormatPr baseColWidth="8" defaultColWidth="9" defaultRowHeight="15.6" outlineLevelCol="0"/>
  <cols>
    <col width="28" customWidth="1" style="90" min="1" max="1"/>
    <col width="14" customWidth="1" style="90" min="2" max="2"/>
    <col width="12" customWidth="1" style="90" min="3" max="3"/>
    <col width="14" customWidth="1" style="90" min="4" max="4"/>
    <col width="14" customWidth="1" style="90" min="5" max="5"/>
    <col width="14" customWidth="1" style="90" min="6" max="6"/>
    <col width="14" customWidth="1" style="90" min="7" max="7"/>
    <col width="14" customWidth="1" style="90" min="8" max="8"/>
    <col width="14" customWidth="1" style="90" min="9" max="9"/>
    <col width="14" customWidth="1" style="90" min="10" max="16384"/>
    <col width="16" customWidth="1" style="1097" min="11" max="11"/>
    <col width="14" customWidth="1" style="1097" min="12" max="12"/>
    <col width="16" customWidth="1" style="1097" min="13" max="13"/>
    <col width="18" customWidth="1" style="1097" min="14" max="14"/>
    <col width="14" customWidth="1" style="1097" min="15" max="15"/>
    <col width="12" customWidth="1" style="1097" min="16" max="16"/>
    <col width="14" customWidth="1" style="1097" min="17" max="17"/>
    <col width="14" customWidth="1" style="1097" min="18" max="18"/>
    <col width="16" customWidth="1" style="1097" min="19" max="19"/>
    <col width="18" customWidth="1" style="1097" min="20" max="20"/>
    <col width="16" customWidth="1" style="1097" min="21" max="21"/>
    <col width="14" customWidth="1" style="1097" min="22" max="22"/>
    <col width="16" customWidth="1" style="1097" min="23" max="23"/>
    <col width="12" customWidth="1" style="1097" min="24" max="24"/>
    <col width="28" customWidth="1" style="1097" min="25" max="25"/>
  </cols>
  <sheetData>
    <row r="1" ht="19.95" customFormat="1" customHeight="1" s="617">
      <c r="A1" s="1709" t="inlineStr">
        <is>
          <t>致同会计师事务所</t>
        </is>
      </c>
    </row>
    <row r="2" ht="19.95" customFormat="1" customHeight="1" s="630">
      <c r="A2" s="1710" t="inlineStr">
        <is>
          <t>长期股权投资减值测试表</t>
        </is>
      </c>
    </row>
    <row r="3" ht="19.95" customFormat="1" customHeight="1" s="207">
      <c r="A3" s="207">
        <f>底稿目录!A2</f>
        <v/>
      </c>
      <c r="E3" s="207">
        <f>底稿目录!A4</f>
        <v/>
      </c>
      <c r="G3" s="229">
        <f>底稿目录!A5</f>
        <v/>
      </c>
      <c r="H3" s="672" t="n"/>
      <c r="I3" s="1096" t="inlineStr">
        <is>
          <t>底稿目录!F23</t>
        </is>
      </c>
      <c r="M3" s="0" t="inlineStr">
        <is>
          <t>索引号：</t>
        </is>
      </c>
      <c r="N3" s="0">
        <f>底稿目录!F23</f>
        <v/>
      </c>
    </row>
    <row r="4" ht="19.95" customFormat="1" customHeight="1" s="207">
      <c r="A4" s="207">
        <f>底稿目录!A3</f>
        <v/>
      </c>
      <c r="E4" s="207">
        <f>底稿目录!A6</f>
        <v/>
      </c>
      <c r="G4" s="229">
        <f>底稿目录!A7</f>
        <v/>
      </c>
      <c r="H4" s="672" t="n"/>
      <c r="M4" s="0" t="inlineStr">
        <is>
          <t>页 次：</t>
        </is>
      </c>
    </row>
    <row r="5" ht="28" customHeight="1" s="1097">
      <c r="A5" s="74" t="inlineStr">
        <is>
          <t>一、审计目标：</t>
        </is>
      </c>
      <c r="B5" s="74" t="n"/>
      <c r="C5" s="1509" t="inlineStr">
        <is>
          <t>确认长期股权投资是否存在减值迹象；可收回金额测算是否恰当；减值准备计提是否充分、准确，且减值损失未不当转回。</t>
        </is>
      </c>
      <c r="D5" s="0" t="n"/>
      <c r="E5" s="0" t="n"/>
      <c r="F5" s="0" t="n"/>
      <c r="G5" s="0" t="n"/>
      <c r="H5" s="0" t="n"/>
      <c r="I5" s="0" t="n"/>
      <c r="J5" s="0" t="n"/>
      <c r="K5" s="0" t="n"/>
      <c r="L5" s="0" t="n"/>
      <c r="M5" s="0" t="n"/>
      <c r="N5" s="0" t="n"/>
    </row>
    <row r="6" ht="48" customHeight="1" s="1097">
      <c r="A6" s="75" t="inlineStr">
        <is>
          <t>二、审计过程：</t>
        </is>
      </c>
      <c r="B6" s="75" t="n"/>
      <c r="C6" s="1617" t="inlineStr">
        <is>
          <t>程序链：①从G7-14带出测试对象 → ②识别减值迹象（关注持续亏损与G7-16未确认损失）→ ③确定账面净额（勾稽G7-14/G7-2）→ ④双路径测算可收回金额 → ⑤应补提与账面计提比较 → ⑥检查不得转回 → ⑦与G7-16超额亏损衔接 → ⑧结论。 ｜ 边界：金融资产/商誉减值见相应底稿；账面已因超额亏损冲至零时，重点关注其他长期权益与预计负债。</t>
        </is>
      </c>
    </row>
    <row r="7" ht="19.95" customHeight="1" s="1097">
      <c r="A7" s="1850" t="inlineStr">
        <is>
          <t>【联动】名称取数见M9；第3节比例/账面/类型自动取G7-14；X/Y列勾稽G7-16未确认损失。橙色输入、绿色公式。</t>
        </is>
      </c>
      <c r="B7" s="56" t="n"/>
      <c r="C7" s="56" t="n"/>
      <c r="D7" s="56" t="n"/>
      <c r="E7" s="56" t="n"/>
      <c r="F7" s="56" t="n"/>
      <c r="G7" s="56" t="n"/>
      <c r="H7" s="56" t="n"/>
      <c r="I7" s="56" t="n"/>
    </row>
    <row r="8" ht="19.95" customFormat="1" customHeight="1" s="88">
      <c r="A8" s="1711" t="inlineStr">
        <is>
          <t>1. 减值迹象识别（按被投资单位填列；存在任一“是”则通常进入金额测试）</t>
        </is>
      </c>
      <c r="B8" s="1293" t="n"/>
      <c r="C8" s="1293" t="n"/>
      <c r="D8" s="1293" t="n"/>
      <c r="E8" s="1293" t="n"/>
      <c r="F8" s="1293" t="n"/>
      <c r="G8" s="1293" t="n"/>
      <c r="H8" s="1293" t="n"/>
      <c r="I8" s="1293" t="n"/>
      <c r="J8" s="1293" t="n"/>
      <c r="K8" s="1293" t="n"/>
      <c r="L8" s="1293" t="n"/>
      <c r="M8" s="1293" t="n"/>
      <c r="N8" s="1294" t="n"/>
    </row>
    <row r="9" ht="30" customHeight="1" s="1097">
      <c r="A9" s="1597" t="inlineStr">
        <is>
          <t>考虑事项（长期股权投资）</t>
        </is>
      </c>
      <c r="F9" s="1597" t="inlineStr">
        <is>
          <t>公司1</t>
        </is>
      </c>
      <c r="G9" s="1597" t="inlineStr">
        <is>
          <t>公司2</t>
        </is>
      </c>
      <c r="H9" s="1597" t="inlineStr">
        <is>
          <t>公司3</t>
        </is>
      </c>
      <c r="I9" s="1597" t="inlineStr">
        <is>
          <t>公司4</t>
        </is>
      </c>
      <c r="J9" s="1597" t="inlineStr">
        <is>
          <t>公司5</t>
        </is>
      </c>
      <c r="K9" s="1597" t="inlineStr">
        <is>
          <t>证据/索引</t>
        </is>
      </c>
      <c r="L9" s="1851" t="inlineStr">
        <is>
          <t>名称取数</t>
        </is>
      </c>
      <c r="M9" s="1526" t="inlineStr">
        <is>
          <t>合营前5</t>
        </is>
      </c>
    </row>
    <row r="10" ht="30" customHeight="1" s="1097">
      <c r="A10" s="977" t="inlineStr">
        <is>
          <t>被投资单位名称</t>
        </is>
      </c>
      <c r="F10" s="1852">
        <f>IF($M$9="联营前5",IF('权益法测算表G7-14'!B16="","",'权益法测算表G7-14'!B16),IF('权益法测算表G7-14'!B11="","",'权益法测算表G7-14'!B11))</f>
        <v/>
      </c>
      <c r="G10" s="1852">
        <f>IF($M$9="联营前5",IF('权益法测算表G7-14'!B17="","",'权益法测算表G7-14'!B17),IF('权益法测算表G7-14'!B12="","",'权益法测算表G7-14'!B12))</f>
        <v/>
      </c>
      <c r="H10" s="1852">
        <f>IF($M$9="联营前5",IF('权益法测算表G7-14'!B18="","",'权益法测算表G7-14'!B18),IF('权益法测算表G7-14'!B13="","",'权益法测算表G7-14'!B13))</f>
        <v/>
      </c>
      <c r="I10" s="1852">
        <f>IF($M$9="联营前5",IF('权益法测算表G7-14'!B19="","",'权益法测算表G7-14'!B19),IF('权益法测算表G7-14'!B14="","",'权益法测算表G7-14'!B14))</f>
        <v/>
      </c>
      <c r="J10" s="1528">
        <f>IF($M$9="联营前5",IF('权益法测算表G7-14'!B20="","",'权益法测算表G7-14'!B20),IF('权益法测算表G7-14'!B15="","",'权益法测算表G7-14'!B15))</f>
        <v/>
      </c>
      <c r="K10" s="1713" t="n"/>
    </row>
    <row r="11" ht="24" customHeight="1" s="1097">
      <c r="A11" s="1714" t="inlineStr">
        <is>
          <t>市价/估值显著低于账面价值，且非暂时性</t>
        </is>
      </c>
      <c r="F11" s="1712" t="n"/>
      <c r="G11" s="1712" t="n"/>
      <c r="H11" s="1712" t="n"/>
      <c r="I11" s="1712" t="n"/>
      <c r="J11" s="1713" t="n"/>
      <c r="K11" s="1713" t="n"/>
    </row>
    <row r="12" ht="24" customHeight="1" s="1097">
      <c r="A12" s="1714" t="inlineStr">
        <is>
          <t>被投资单位持续亏损或净资产大幅下降</t>
        </is>
      </c>
      <c r="F12" s="1712" t="n"/>
      <c r="G12" s="1712" t="n"/>
      <c r="H12" s="1712" t="n"/>
      <c r="I12" s="1712" t="n"/>
      <c r="J12" s="1713" t="n"/>
      <c r="K12" s="1713" t="n"/>
    </row>
    <row r="13" ht="24" customHeight="1" s="1097">
      <c r="A13" s="1714" t="inlineStr">
        <is>
          <t>经营现金流恶化、债务违约或资金链紧张</t>
        </is>
      </c>
      <c r="F13" s="1712" t="n"/>
      <c r="G13" s="1712" t="n"/>
      <c r="H13" s="1712" t="n"/>
      <c r="I13" s="1712" t="n"/>
      <c r="J13" s="1713" t="n"/>
      <c r="K13" s="1713" t="n"/>
    </row>
    <row r="14" ht="24" customHeight="1" s="1097">
      <c r="A14" s="1714" t="inlineStr">
        <is>
          <t>行业/政策/许可等外部环境发生重大不利变化</t>
        </is>
      </c>
      <c r="F14" s="1712" t="n"/>
      <c r="G14" s="1712" t="n"/>
      <c r="H14" s="1712" t="n"/>
      <c r="I14" s="1712" t="n"/>
      <c r="J14" s="1713" t="n"/>
      <c r="K14" s="1713" t="n"/>
    </row>
    <row r="15" ht="24" customHeight="1" s="1097">
      <c r="A15" s="1714" t="inlineStr">
        <is>
          <t>实际业绩显著低于投资决策时的盈利预测</t>
        </is>
      </c>
      <c r="F15" s="1712" t="n"/>
      <c r="G15" s="1712" t="n"/>
      <c r="H15" s="1712" t="n"/>
      <c r="I15" s="1712" t="n"/>
      <c r="J15" s="1713" t="n"/>
      <c r="K15" s="1713" t="n"/>
    </row>
    <row r="16" ht="24" customHeight="1" s="1097">
      <c r="A16" s="1715" t="inlineStr">
        <is>
          <t>关键客户流失、核心业务停滞或计划提前处置/退出</t>
        </is>
      </c>
      <c r="B16" s="605" t="n"/>
      <c r="C16" s="605" t="n"/>
      <c r="D16" s="605" t="n"/>
      <c r="E16" s="605" t="n"/>
      <c r="F16" s="1712" t="n"/>
      <c r="G16" s="1712" t="n"/>
      <c r="H16" s="1712" t="n"/>
      <c r="I16" s="1712" t="n"/>
      <c r="J16" s="1713" t="n"/>
      <c r="K16" s="1713" t="n"/>
    </row>
    <row r="17" ht="24" customHeight="1" s="1097">
      <c r="A17" s="1716" t="inlineStr">
        <is>
          <t>市场利率或必要报酬率上升，导致现值大幅降低</t>
        </is>
      </c>
      <c r="B17" s="56" t="n"/>
      <c r="C17" s="56" t="n"/>
      <c r="D17" s="56" t="n"/>
      <c r="E17" s="56" t="n"/>
      <c r="F17" s="1712" t="n"/>
      <c r="G17" s="1712" t="n"/>
      <c r="H17" s="1712" t="n"/>
      <c r="I17" s="1712" t="n"/>
      <c r="J17" s="1713" t="n"/>
      <c r="K17" s="1713" t="n"/>
    </row>
    <row r="18" ht="24" customHeight="1" s="1097">
      <c r="A18" s="1716" t="inlineStr">
        <is>
          <t>其他减值迹象（请在说明中描述）</t>
        </is>
      </c>
      <c r="B18" s="56" t="n"/>
      <c r="C18" s="56" t="n"/>
      <c r="D18" s="56" t="n"/>
      <c r="E18" s="56" t="n"/>
      <c r="F18" s="1712" t="n"/>
      <c r="G18" s="1712" t="n"/>
      <c r="H18" s="1712" t="n"/>
      <c r="I18" s="1712" t="n"/>
      <c r="J18" s="1713" t="n"/>
      <c r="K18" s="1713" t="n"/>
    </row>
    <row r="19" ht="19.95" customHeight="1" s="1097">
      <c r="A19" s="1717" t="inlineStr">
        <is>
          <t>是否存在减值迹象（自动）</t>
        </is>
      </c>
      <c r="B19" s="93" t="n"/>
      <c r="D19" s="93" t="n"/>
      <c r="E19" s="56" t="n"/>
      <c r="F19" s="1718">
        <f>IF(F10="","",IF(COUNTIF(F11:F18,"是")&gt;0,"是",IF(COUNTIF(F11:F18,"否")=8,"否","请完整填列迹象")))</f>
        <v/>
      </c>
      <c r="G19" s="1718">
        <f>IF(G10="","",IF(COUNTIF(G11:G18,"是")&gt;0,"是",IF(COUNTIF(G11:G18,"否")=8,"否","请完整填列迹象")))</f>
        <v/>
      </c>
      <c r="H19" s="1718">
        <f>IF(H10="","",IF(COUNTIF(H11:H18,"是")&gt;0,"是",IF(COUNTIF(H11:H18,"否")=8,"否","请完整填列迹象")))</f>
        <v/>
      </c>
      <c r="I19" s="1718">
        <f>IF(I10="","",IF(COUNTIF(I11:I18,"是")&gt;0,"是",IF(COUNTIF(I11:I18,"否")=8,"否","请完整填列迹象")))</f>
        <v/>
      </c>
      <c r="J19" s="1558">
        <f>IF(J10="","",IF(COUNTIF(J11:J18,"是")&gt;0,"是",IF(COUNTIF(J11:J18,"否")=8,"否","请完整填列迹象")))</f>
        <v/>
      </c>
      <c r="K19" s="1713" t="n"/>
    </row>
    <row r="20" ht="19.95" customHeight="1" s="1097">
      <c r="A20" s="1719" t="inlineStr">
        <is>
          <t>进入金额测试？</t>
        </is>
      </c>
      <c r="B20" s="95" t="n"/>
      <c r="C20" s="96" t="n"/>
      <c r="D20" s="760" t="n"/>
      <c r="E20" s="56" t="n"/>
      <c r="F20" s="1718">
        <f>IF(F19="","",IF(F19="是","是-进入第3节",IF(F19="否","否-记录证据即可","待补全")))</f>
        <v/>
      </c>
      <c r="G20" s="1718">
        <f>IF(G19="","",IF(G19="是","是-进入第3节",IF(G19="否","否-记录证据即可","待补全")))</f>
        <v/>
      </c>
      <c r="H20" s="1718">
        <f>IF(H19="","",IF(H19="是","是-进入第3节",IF(H19="否","否-记录证据即可","待补全")))</f>
        <v/>
      </c>
      <c r="I20" s="1718">
        <f>IF(I19="","",IF(I19="是","是-进入第3节",IF(I19="否","否-记录证据即可","待补全")))</f>
        <v/>
      </c>
      <c r="J20" s="1558">
        <f>IF(J19="","",IF(J19="是","是-进入第3节",IF(J19="否","否-记录证据即可","待补全")))</f>
        <v/>
      </c>
    </row>
    <row r="21" ht="19.95" customHeight="1" s="1097">
      <c r="A21" s="94" t="n"/>
      <c r="B21" s="95" t="n"/>
      <c r="C21" s="96" t="n"/>
      <c r="D21" s="760" t="n"/>
      <c r="E21" s="56" t="n"/>
      <c r="F21" s="56" t="n"/>
      <c r="G21" s="56" t="n"/>
      <c r="H21" s="56" t="n"/>
      <c r="I21" s="56" t="n"/>
    </row>
    <row r="22" ht="19.95" customHeight="1" s="1097">
      <c r="A22" s="1720" t="inlineStr">
        <is>
          <t>2. 利用专家工作（依赖评估/现金流折现模型时填列）</t>
        </is>
      </c>
    </row>
    <row r="23" ht="19.95" customFormat="1" customHeight="1" s="2">
      <c r="A23" s="1597" t="inlineStr">
        <is>
          <t>序号</t>
        </is>
      </c>
      <c r="B23" s="1597" t="inlineStr">
        <is>
          <t>复核事项</t>
        </is>
      </c>
      <c r="C23" s="1583" t="n"/>
      <c r="D23" s="1584" t="n"/>
      <c r="E23" s="1597" t="inlineStr">
        <is>
          <t>公司1</t>
        </is>
      </c>
      <c r="F23" s="1597" t="inlineStr">
        <is>
          <t>公司2</t>
        </is>
      </c>
      <c r="G23" s="1597" t="inlineStr">
        <is>
          <t>公司3</t>
        </is>
      </c>
      <c r="H23" s="1597" t="inlineStr">
        <is>
          <t>公司4</t>
        </is>
      </c>
      <c r="I23" s="1596" t="inlineStr">
        <is>
          <t>公司5</t>
        </is>
      </c>
      <c r="J23" s="1597" t="inlineStr">
        <is>
          <t>结论/说明</t>
        </is>
      </c>
      <c r="K23" s="1584" t="n"/>
      <c r="L23" s="1597" t="inlineStr">
        <is>
          <t>索引号</t>
        </is>
      </c>
    </row>
    <row r="24" ht="36" customFormat="1" customHeight="1" s="2">
      <c r="A24" s="0" t="inlineStr">
        <is>
          <t>1</t>
        </is>
      </c>
      <c r="B24" s="1715" t="inlineStr">
        <is>
          <t>专家胜任能力、资质与客观性</t>
        </is>
      </c>
      <c r="C24" s="1583" t="n"/>
      <c r="D24" s="1584" t="n"/>
      <c r="E24" s="1713" t="n"/>
      <c r="F24" s="1713" t="n"/>
      <c r="G24" s="1713" t="n"/>
      <c r="H24" s="1713" t="n"/>
      <c r="I24" s="1713" t="n"/>
      <c r="J24" s="1713" t="n"/>
      <c r="K24" s="1584" t="n"/>
      <c r="L24" s="1713" t="n"/>
    </row>
    <row r="25" ht="19.95" customFormat="1" customHeight="1" s="2">
      <c r="A25" s="1363" t="inlineStr">
        <is>
          <t>2</t>
        </is>
      </c>
      <c r="B25" s="1721" t="inlineStr">
        <is>
          <t>工作范围、估值目的与报告日是否适当</t>
        </is>
      </c>
      <c r="C25" s="1583" t="n"/>
      <c r="D25" s="1584" t="n"/>
      <c r="E25" s="1722" t="n"/>
      <c r="F25" s="1722" t="n"/>
      <c r="G25" s="1722" t="n"/>
      <c r="H25" s="1722" t="n"/>
      <c r="I25" s="1723" t="n"/>
      <c r="J25" s="1713" t="n"/>
      <c r="K25" s="1584" t="n"/>
      <c r="L25" s="1713" t="n"/>
    </row>
    <row r="26" ht="19.95" customFormat="1" customHeight="1" s="2">
      <c r="A26" s="1363" t="inlineStr">
        <is>
          <t>3</t>
        </is>
      </c>
      <c r="B26" s="1721" t="inlineStr">
        <is>
          <t>估值方法是否符合CAS8/相关指南</t>
        </is>
      </c>
      <c r="C26" s="1583" t="n"/>
      <c r="D26" s="1584" t="n"/>
      <c r="E26" s="1722" t="n"/>
      <c r="F26" s="1722" t="n"/>
      <c r="G26" s="1722" t="n"/>
      <c r="H26" s="1722" t="n"/>
      <c r="I26" s="1723" t="n"/>
      <c r="J26" s="1713" t="n"/>
      <c r="K26" s="1584" t="n"/>
      <c r="L26" s="1713" t="n"/>
    </row>
    <row r="27" ht="19.95" customFormat="1" customHeight="1" s="2">
      <c r="A27" s="1363" t="inlineStr">
        <is>
          <t>4</t>
        </is>
      </c>
      <c r="B27" s="1721" t="inlineStr">
        <is>
          <t>关键假设：折现率、增长率、预测期、终值</t>
        </is>
      </c>
      <c r="C27" s="1583" t="n"/>
      <c r="D27" s="1584" t="n"/>
      <c r="E27" s="1722" t="n"/>
      <c r="F27" s="1722" t="n"/>
      <c r="G27" s="1722" t="n"/>
      <c r="H27" s="1722" t="n"/>
      <c r="I27" s="1723" t="n"/>
      <c r="J27" s="1713" t="n"/>
      <c r="K27" s="1584" t="n"/>
      <c r="L27" s="1713" t="n"/>
    </row>
    <row r="28" ht="19.95" customFormat="1" customHeight="1" s="2">
      <c r="A28" s="54" t="inlineStr">
        <is>
          <t>5</t>
        </is>
      </c>
      <c r="B28" s="1714" t="inlineStr">
        <is>
          <t>基础数据来源及与实际业绩/预算的勾稽</t>
        </is>
      </c>
      <c r="C28" s="1583" t="n"/>
      <c r="D28" s="1584" t="n"/>
      <c r="E28" s="1712" t="n"/>
      <c r="F28" s="1712" t="n"/>
      <c r="G28" s="1712" t="n"/>
      <c r="H28" s="1712" t="n"/>
      <c r="I28" s="1712" t="n"/>
      <c r="J28" s="1713" t="n"/>
      <c r="K28" s="1584" t="n"/>
      <c r="L28" s="1713" t="n"/>
    </row>
    <row r="29" ht="19.95" customHeight="1" s="1097">
      <c r="A29" s="35" t="inlineStr">
        <is>
          <t>6</t>
        </is>
      </c>
      <c r="B29" s="1714" t="inlineStr">
        <is>
          <t>审计人员复核结论：可否依赖</t>
        </is>
      </c>
      <c r="C29" s="1583" t="n"/>
      <c r="D29" s="1584" t="n"/>
      <c r="E29" s="1712" t="n"/>
      <c r="F29" s="1712" t="n"/>
      <c r="G29" s="1712" t="n"/>
      <c r="H29" s="1712" t="n"/>
      <c r="I29" s="1712" t="n"/>
      <c r="J29" s="1713" t="n"/>
      <c r="K29" s="1584" t="n"/>
      <c r="L29" s="1713" t="n"/>
    </row>
    <row r="30" ht="19.95" customHeight="1" s="1097">
      <c r="A30" s="35" t="n"/>
    </row>
    <row r="31" ht="19.95" customHeight="1" s="1097">
      <c r="A31" s="1720" t="inlineStr">
        <is>
          <t>3. 减值金额测试（可收回金额=MAX(公允价值减处置费用, 预计未来现金流量现值)）</t>
        </is>
      </c>
    </row>
    <row r="32" ht="32" customHeight="1" s="1097">
      <c r="A32" s="1597" t="inlineStr">
        <is>
          <t>被投资单位</t>
        </is>
      </c>
      <c r="B32" s="1597" t="inlineStr">
        <is>
          <t>长投账面原值</t>
        </is>
      </c>
      <c r="C32" s="1597" t="inlineStr">
        <is>
          <t>测试前累计减值准备</t>
        </is>
      </c>
      <c r="D32" s="1597" t="inlineStr">
        <is>
          <t>测试前账面净额①=B−C</t>
        </is>
      </c>
      <c r="E32" s="1597" t="inlineStr">
        <is>
          <t>持股比例</t>
        </is>
      </c>
      <c r="F32" s="1597" t="inlineStr">
        <is>
          <t>路径一：公允价值减处置费用</t>
        </is>
      </c>
      <c r="G32" s="1583" t="n"/>
      <c r="H32" s="1584" t="n"/>
      <c r="I32" s="1597" t="inlineStr">
        <is>
          <t>路径二：预计未来现金流量现值</t>
        </is>
      </c>
      <c r="J32" s="1584" t="n"/>
      <c r="K32" s="1597" t="inlineStr">
        <is>
          <t>可收回金额②=MAX(H,J)</t>
        </is>
      </c>
      <c r="L32" s="1597" t="inlineStr">
        <is>
          <t>本期应补提减值③=MAX(①−②,0)</t>
        </is>
      </c>
      <c r="M32" s="1597" t="inlineStr">
        <is>
          <t>本期账面实际计提④</t>
        </is>
      </c>
      <c r="N32" s="1597" t="inlineStr">
        <is>
          <t>少提/(多提)⑤=③−④</t>
        </is>
      </c>
      <c r="O32" s="1597" t="inlineStr">
        <is>
          <t>是否超重要性</t>
        </is>
      </c>
      <c r="P32" s="1597" t="inlineStr">
        <is>
          <t>复核</t>
        </is>
      </c>
      <c r="Q32" s="1597" t="inlineStr">
        <is>
          <t>投资类型</t>
        </is>
      </c>
      <c r="R32" s="1597" t="inlineStr">
        <is>
          <t>权益法内含商誉</t>
        </is>
      </c>
      <c r="S32" s="1597" t="inlineStr">
        <is>
          <t>合并层单独商誉?</t>
        </is>
      </c>
      <c r="T32" s="1597" t="inlineStr">
        <is>
          <t>未采用另一路径原因</t>
        </is>
      </c>
      <c r="U32" s="1597" t="inlineStr">
        <is>
          <t>安全边际=②−①</t>
        </is>
      </c>
      <c r="V32" s="1597" t="inlineStr">
        <is>
          <t>安全边际率</t>
        </is>
      </c>
      <c r="W32" s="1597" t="inlineStr">
        <is>
          <t>应计提≤净额?</t>
        </is>
      </c>
      <c r="X32" s="1730" t="inlineStr">
        <is>
          <t>G7-16期末
未确认损失</t>
        </is>
      </c>
      <c r="Y32" s="1730" t="inlineStr">
        <is>
          <t>超额亏损/
减值衔接提示</t>
        </is>
      </c>
    </row>
    <row r="33" ht="22" customHeight="1" s="1097">
      <c r="A33" s="1551" t="n"/>
      <c r="B33" s="1551" t="n"/>
      <c r="C33" s="1551" t="n"/>
      <c r="D33" s="1551" t="n"/>
      <c r="E33" s="1551" t="n"/>
      <c r="F33" s="1597" t="inlineStr">
        <is>
          <t>公允价值</t>
        </is>
      </c>
      <c r="G33" s="1597" t="inlineStr">
        <is>
          <t>处置费用</t>
        </is>
      </c>
      <c r="H33" s="1597" t="inlineStr">
        <is>
          <t>FV−费用</t>
        </is>
      </c>
      <c r="I33" s="1597" t="inlineStr">
        <is>
          <t>现值依据/索引</t>
        </is>
      </c>
      <c r="J33" s="1597" t="inlineStr">
        <is>
          <t>预计现金流量现值</t>
        </is>
      </c>
      <c r="K33" s="1551" t="n"/>
      <c r="L33" s="1551" t="n"/>
      <c r="M33" s="1551" t="n"/>
      <c r="N33" s="1551" t="n"/>
      <c r="O33" s="1551" t="n"/>
      <c r="P33" s="1551" t="n"/>
      <c r="Q33" s="1551" t="n"/>
      <c r="R33" s="1551" t="n"/>
      <c r="S33" s="1551" t="n"/>
      <c r="T33" s="1551" t="n"/>
      <c r="U33" s="1551" t="n"/>
      <c r="V33" s="1551" t="n"/>
      <c r="W33" s="1551" t="n"/>
    </row>
    <row r="34">
      <c r="A34" s="1597" t="inlineStr">
        <is>
          <t>辅助参考（可选）：被投资单位净资产公允价值×持股比例</t>
        </is>
      </c>
      <c r="B34" s="1583" t="n"/>
      <c r="C34" s="1583" t="n"/>
      <c r="D34" s="1583" t="n"/>
      <c r="E34" s="1584" t="n"/>
      <c r="F34" s="1597" t="inlineStr">
        <is>
          <t>净资产FV</t>
        </is>
      </c>
      <c r="G34" s="1597" t="inlineStr">
        <is>
          <t>×比例份额</t>
        </is>
      </c>
      <c r="H34" s="1597" t="inlineStr">
        <is>
          <t>与可收回金额差异</t>
        </is>
      </c>
      <c r="I34" s="1597" t="inlineStr">
        <is>
          <t>说明：仅作参考，不得直接替代可收回金额</t>
        </is>
      </c>
      <c r="J34" s="1583" t="n"/>
      <c r="K34" s="1583" t="n"/>
      <c r="L34" s="1583" t="n"/>
      <c r="M34" s="1583" t="n"/>
      <c r="N34" s="1584" t="n"/>
      <c r="O34" s="1597" t="inlineStr">
        <is>
          <t>重要性水平</t>
        </is>
      </c>
      <c r="P34" s="1724" t="n"/>
    </row>
    <row r="35">
      <c r="A35" s="1558">
        <f>F10</f>
        <v/>
      </c>
      <c r="B35" s="1853">
        <f>IF(A35="","",IFERROR(INDEX('权益法测算表G7-14'!$Q$25:$Q$34,MATCH(A35,'权益法测算表G7-14'!$B$25:$B$34,0)),""))</f>
        <v/>
      </c>
      <c r="C35" s="1724" t="n"/>
      <c r="D35" s="1525">
        <f>IF(A35="","",N(B35)-N(C35))</f>
        <v/>
      </c>
      <c r="E35" s="1854">
        <f>IF(A35="","",IFERROR(INDEX('权益法测算表G7-14'!$C$11:$C$20,MATCH(A35,'权益法测算表G7-14'!$B$11:$B$20,0)),""))</f>
        <v/>
      </c>
      <c r="F35" s="1724" t="n"/>
      <c r="G35" s="1724" t="n"/>
      <c r="H35" s="1525">
        <f>IF(OR(A35="",F35=""),"",N(F35)-N(G35))</f>
        <v/>
      </c>
      <c r="I35" s="1713" t="n"/>
      <c r="J35" s="1724" t="n"/>
      <c r="K35" s="1525">
        <f>IF(A35="","",IF(AND(H35="",J35=""),"",MAX(IF(H35="",0,N(H35)),IF(J35="",0,N(J35)),0)))</f>
        <v/>
      </c>
      <c r="L35" s="1525">
        <f>IF(OR(A35="",K35=""),"",MAX(N(D35)-N(K35),0))</f>
        <v/>
      </c>
      <c r="M35" s="1724" t="n"/>
      <c r="N35" s="1525">
        <f>IF(OR(A35="",L35=""),"",N(L35)-N(M35))</f>
        <v/>
      </c>
      <c r="O35" s="1558">
        <f>IF(A35="","",IF($P$34="","请填重要性水平",IF(ABS(N(N35))&gt;N($P$34),"超过","未超过")))</f>
        <v/>
      </c>
      <c r="P35" s="1558">
        <f>IF(A35="","",IF(B35="","账面原值未填",IF(AND(H35="",J35=""),"可收回金额两路径均未填",IF(AND(OR(AND(H35&lt;&gt;"",J35=""),AND(H35="",J35&lt;&gt;"")),T35=""),"单路径须说明未采用另一路径原因",IF(Q35="","投资类型未填",IF(AND(H35&lt;&gt;"",H35&lt;0),"公允价值减费用为负已按0计入可收回-请复核",IF(M35="","本期实际计提未填",IF(W35&lt;&gt;"通过",W35,IF(O35="超过","存在超重要性差异-需说明",IF(O35="请填重要性水平","待填重要性水平",IF(AND(U35&lt;&gt;"",U35&gt;=0,U35&lt;N(D35)*0.1),"安全边际偏低-建议敏感性分析","通过")))))))))))</f>
        <v/>
      </c>
      <c r="Q35" s="1558">
        <f>IF(A35="","",IF(ISNUMBER(MATCH(A35,'权益法测算表G7-14'!$B$11:$B$15,0)),"合营企业",IF(ISNUMBER(MATCH(A35,'权益法测算表G7-14'!$B$16:$B$20,0)),"联营企业","请核对")))</f>
        <v/>
      </c>
      <c r="R35" s="1527" t="n"/>
      <c r="S35" s="1526" t="n"/>
      <c r="T35" s="1526" t="n"/>
      <c r="U35" s="1525">
        <f>IF(OR(A35="",K35=""),"",N(K35)-N(D35))</f>
        <v/>
      </c>
      <c r="V35" s="1727">
        <f>IF(OR(A35="",D35="",N(D35)=0),"",N(U35)/N(D35))</f>
        <v/>
      </c>
      <c r="W35" s="1558">
        <f>IF(OR(A35="",L35=""),"",IF(N(L35)-N(D35)&gt;0.01,"异常-应计提超过账面净额","通过"))</f>
        <v/>
      </c>
      <c r="X35" s="1525">
        <f>IF(A35="","",IFERROR(SUMIF('未确认投资损失测试表G7-16'!$A$12:$A$16,A35,'未确认投资损失测试表G7-16'!$J$12:$J$16),0)+IFERROR(SUMIF('未确认投资损失测试表G7-16'!$A$19:$A$23,A35,'未确认投资损失测试表G7-16'!$J$19:$J$23),0))</f>
        <v/>
      </c>
      <c r="Y35" s="1528">
        <f>IF(A35="","",IF(AND(N(X35)&gt;0.005,N(D35)&lt;=0.005),"▲账面≈0且有未确认损失：长投减值空间有限，转查G7-16长权益/预计负债",IF(AND(N(X35)&gt;0.005,N(D35)&gt;0.005),"●有未确认损失但仍有账面-核对冲减顺序与减值是否重复",IF(N(X35)&gt;0.005,"见G7-16未确认损失","—"))))</f>
        <v/>
      </c>
    </row>
    <row r="36">
      <c r="A36" s="1558">
        <f>G10</f>
        <v/>
      </c>
      <c r="B36" s="1853">
        <f>IF(A36="","",IFERROR(INDEX('权益法测算表G7-14'!$Q$25:$Q$34,MATCH(A36,'权益法测算表G7-14'!$B$25:$B$34,0)),""))</f>
        <v/>
      </c>
      <c r="C36" s="1724" t="n"/>
      <c r="D36" s="1525">
        <f>IF(A36="","",N(B36)-N(C36))</f>
        <v/>
      </c>
      <c r="E36" s="1854">
        <f>IF(A36="","",IFERROR(INDEX('权益法测算表G7-14'!$C$11:$C$20,MATCH(A36,'权益法测算表G7-14'!$B$11:$B$20,0)),""))</f>
        <v/>
      </c>
      <c r="F36" s="1724" t="n"/>
      <c r="G36" s="1724" t="n"/>
      <c r="H36" s="1525">
        <f>IF(OR(A36="",F36=""),"",N(F36)-N(G36))</f>
        <v/>
      </c>
      <c r="I36" s="1713" t="n"/>
      <c r="J36" s="1724" t="n"/>
      <c r="K36" s="1525">
        <f>IF(A36="","",IF(AND(H36="",J36=""),"",MAX(IF(H36="",0,N(H36)),IF(J36="",0,N(J36)),0)))</f>
        <v/>
      </c>
      <c r="L36" s="1525">
        <f>IF(OR(A36="",K36=""),"",MAX(N(D36)-N(K36),0))</f>
        <v/>
      </c>
      <c r="M36" s="1724" t="n"/>
      <c r="N36" s="1525">
        <f>IF(OR(A36="",L36=""),"",N(L36)-N(M36))</f>
        <v/>
      </c>
      <c r="O36" s="1558">
        <f>IF(A36="","",IF($P$34="","请填重要性水平",IF(ABS(N(N36))&gt;N($P$34),"超过","未超过")))</f>
        <v/>
      </c>
      <c r="P36" s="1558">
        <f>IF(A36="","",IF(B36="","账面原值未填",IF(AND(H36="",J36=""),"可收回金额两路径均未填",IF(AND(OR(AND(H36&lt;&gt;"",J36=""),AND(H36="",J36&lt;&gt;"")),T36=""),"单路径须说明未采用另一路径原因",IF(Q36="","投资类型未填",IF(AND(H36&lt;&gt;"",H36&lt;0),"公允价值减费用为负已按0计入可收回-请复核",IF(M36="","本期实际计提未填",IF(W36&lt;&gt;"通过",W36,IF(O36="超过","存在超重要性差异-需说明",IF(O36="请填重要性水平","待填重要性水平",IF(AND(U36&lt;&gt;"",U36&gt;=0,U36&lt;N(D36)*0.1),"安全边际偏低-建议敏感性分析","通过")))))))))))</f>
        <v/>
      </c>
      <c r="Q36" s="1558">
        <f>IF(A36="","",IF(ISNUMBER(MATCH(A36,'权益法测算表G7-14'!$B$11:$B$15,0)),"合营企业",IF(ISNUMBER(MATCH(A36,'权益法测算表G7-14'!$B$16:$B$20,0)),"联营企业","请核对")))</f>
        <v/>
      </c>
      <c r="R36" s="1527" t="n"/>
      <c r="S36" s="1526" t="n"/>
      <c r="T36" s="1526" t="n"/>
      <c r="U36" s="1525">
        <f>IF(OR(A36="",K36=""),"",N(K36)-N(D36))</f>
        <v/>
      </c>
      <c r="V36" s="1727">
        <f>IF(OR(A36="",D36="",N(D36)=0),"",N(U36)/N(D36))</f>
        <v/>
      </c>
      <c r="W36" s="1558">
        <f>IF(OR(A36="",L36=""),"",IF(N(L36)-N(D36)&gt;0.01,"异常-应计提超过账面净额","通过"))</f>
        <v/>
      </c>
      <c r="X36" s="1525">
        <f>IF(A36="","",IFERROR(SUMIF('未确认投资损失测试表G7-16'!$A$12:$A$16,A36,'未确认投资损失测试表G7-16'!$J$12:$J$16),0)+IFERROR(SUMIF('未确认投资损失测试表G7-16'!$A$19:$A$23,A36,'未确认投资损失测试表G7-16'!$J$19:$J$23),0))</f>
        <v/>
      </c>
      <c r="Y36" s="1528">
        <f>IF(A36="","",IF(AND(N(X36)&gt;0.005,N(D36)&lt;=0.005),"▲账面≈0且有未确认损失：长投减值空间有限，转查G7-16长权益/预计负债",IF(AND(N(X36)&gt;0.005,N(D36)&gt;0.005),"●有未确认损失但仍有账面-核对冲减顺序与减值是否重复",IF(N(X36)&gt;0.005,"见G7-16未确认损失","—"))))</f>
        <v/>
      </c>
    </row>
    <row r="37">
      <c r="A37" s="1558">
        <f>H10</f>
        <v/>
      </c>
      <c r="B37" s="1853">
        <f>IF(A37="","",IFERROR(INDEX('权益法测算表G7-14'!$Q$25:$Q$34,MATCH(A37,'权益法测算表G7-14'!$B$25:$B$34,0)),""))</f>
        <v/>
      </c>
      <c r="C37" s="1724" t="n"/>
      <c r="D37" s="1525">
        <f>IF(A37="","",N(B37)-N(C37))</f>
        <v/>
      </c>
      <c r="E37" s="1854">
        <f>IF(A37="","",IFERROR(INDEX('权益法测算表G7-14'!$C$11:$C$20,MATCH(A37,'权益法测算表G7-14'!$B$11:$B$20,0)),""))</f>
        <v/>
      </c>
      <c r="F37" s="1724" t="n"/>
      <c r="G37" s="1724" t="n"/>
      <c r="H37" s="1525">
        <f>IF(OR(A37="",F37=""),"",N(F37)-N(G37))</f>
        <v/>
      </c>
      <c r="I37" s="1713" t="n"/>
      <c r="J37" s="1724" t="n"/>
      <c r="K37" s="1525">
        <f>IF(A37="","",IF(AND(H37="",J37=""),"",MAX(IF(H37="",0,N(H37)),IF(J37="",0,N(J37)),0)))</f>
        <v/>
      </c>
      <c r="L37" s="1525">
        <f>IF(OR(A37="",K37=""),"",MAX(N(D37)-N(K37),0))</f>
        <v/>
      </c>
      <c r="M37" s="1724" t="n"/>
      <c r="N37" s="1525">
        <f>IF(OR(A37="",L37=""),"",N(L37)-N(M37))</f>
        <v/>
      </c>
      <c r="O37" s="1558">
        <f>IF(A37="","",IF($P$34="","请填重要性水平",IF(ABS(N(N37))&gt;N($P$34),"超过","未超过")))</f>
        <v/>
      </c>
      <c r="P37" s="1558">
        <f>IF(A37="","",IF(B37="","账面原值未填",IF(AND(H37="",J37=""),"可收回金额两路径均未填",IF(AND(OR(AND(H37&lt;&gt;"",J37=""),AND(H37="",J37&lt;&gt;"")),T37=""),"单路径须说明未采用另一路径原因",IF(Q37="","投资类型未填",IF(AND(H37&lt;&gt;"",H37&lt;0),"公允价值减费用为负已按0计入可收回-请复核",IF(M37="","本期实际计提未填",IF(W37&lt;&gt;"通过",W37,IF(O37="超过","存在超重要性差异-需说明",IF(O37="请填重要性水平","待填重要性水平",IF(AND(U37&lt;&gt;"",U37&gt;=0,U37&lt;N(D37)*0.1),"安全边际偏低-建议敏感性分析","通过")))))))))))</f>
        <v/>
      </c>
      <c r="Q37" s="1558">
        <f>IF(A37="","",IF(ISNUMBER(MATCH(A37,'权益法测算表G7-14'!$B$11:$B$15,0)),"合营企业",IF(ISNUMBER(MATCH(A37,'权益法测算表G7-14'!$B$16:$B$20,0)),"联营企业","请核对")))</f>
        <v/>
      </c>
      <c r="R37" s="1527" t="n"/>
      <c r="S37" s="1526" t="n"/>
      <c r="T37" s="1526" t="n"/>
      <c r="U37" s="1525">
        <f>IF(OR(A37="",K37=""),"",N(K37)-N(D37))</f>
        <v/>
      </c>
      <c r="V37" s="1727">
        <f>IF(OR(A37="",D37="",N(D37)=0),"",N(U37)/N(D37))</f>
        <v/>
      </c>
      <c r="W37" s="1558">
        <f>IF(OR(A37="",L37=""),"",IF(N(L37)-N(D37)&gt;0.01,"异常-应计提超过账面净额","通过"))</f>
        <v/>
      </c>
      <c r="X37" s="1525">
        <f>IF(A37="","",IFERROR(SUMIF('未确认投资损失测试表G7-16'!$A$12:$A$16,A37,'未确认投资损失测试表G7-16'!$J$12:$J$16),0)+IFERROR(SUMIF('未确认投资损失测试表G7-16'!$A$19:$A$23,A37,'未确认投资损失测试表G7-16'!$J$19:$J$23),0))</f>
        <v/>
      </c>
      <c r="Y37" s="1528">
        <f>IF(A37="","",IF(AND(N(X37)&gt;0.005,N(D37)&lt;=0.005),"▲账面≈0且有未确认损失：长投减值空间有限，转查G7-16长权益/预计负债",IF(AND(N(X37)&gt;0.005,N(D37)&gt;0.005),"●有未确认损失但仍有账面-核对冲减顺序与减值是否重复",IF(N(X37)&gt;0.005,"见G7-16未确认损失","—"))))</f>
        <v/>
      </c>
    </row>
    <row r="38">
      <c r="A38" s="1558">
        <f>I10</f>
        <v/>
      </c>
      <c r="B38" s="1853">
        <f>IF(A38="","",IFERROR(INDEX('权益法测算表G7-14'!$Q$25:$Q$34,MATCH(A38,'权益法测算表G7-14'!$B$25:$B$34,0)),""))</f>
        <v/>
      </c>
      <c r="C38" s="1724" t="n"/>
      <c r="D38" s="1525">
        <f>IF(A38="","",N(B38)-N(C38))</f>
        <v/>
      </c>
      <c r="E38" s="1854">
        <f>IF(A38="","",IFERROR(INDEX('权益法测算表G7-14'!$C$11:$C$20,MATCH(A38,'权益法测算表G7-14'!$B$11:$B$20,0)),""))</f>
        <v/>
      </c>
      <c r="F38" s="1724" t="n"/>
      <c r="G38" s="1724" t="n"/>
      <c r="H38" s="1525">
        <f>IF(OR(A38="",F38=""),"",N(F38)-N(G38))</f>
        <v/>
      </c>
      <c r="I38" s="1713" t="n"/>
      <c r="J38" s="1724" t="n"/>
      <c r="K38" s="1525">
        <f>IF(A38="","",IF(AND(H38="",J38=""),"",MAX(IF(H38="",0,N(H38)),IF(J38="",0,N(J38)),0)))</f>
        <v/>
      </c>
      <c r="L38" s="1525">
        <f>IF(OR(A38="",K38=""),"",MAX(N(D38)-N(K38),0))</f>
        <v/>
      </c>
      <c r="M38" s="1724" t="n"/>
      <c r="N38" s="1525">
        <f>IF(OR(A38="",L38=""),"",N(L38)-N(M38))</f>
        <v/>
      </c>
      <c r="O38" s="1558">
        <f>IF(A38="","",IF($P$34="","请填重要性水平",IF(ABS(N(N38))&gt;N($P$34),"超过","未超过")))</f>
        <v/>
      </c>
      <c r="P38" s="1558">
        <f>IF(A38="","",IF(B38="","账面原值未填",IF(AND(H38="",J38=""),"可收回金额两路径均未填",IF(AND(OR(AND(H38&lt;&gt;"",J38=""),AND(H38="",J38&lt;&gt;"")),T38=""),"单路径须说明未采用另一路径原因",IF(Q38="","投资类型未填",IF(AND(H38&lt;&gt;"",H38&lt;0),"公允价值减费用为负已按0计入可收回-请复核",IF(M38="","本期实际计提未填",IF(W38&lt;&gt;"通过",W38,IF(O38="超过","存在超重要性差异-需说明",IF(O38="请填重要性水平","待填重要性水平",IF(AND(U38&lt;&gt;"",U38&gt;=0,U38&lt;N(D38)*0.1),"安全边际偏低-建议敏感性分析","通过")))))))))))</f>
        <v/>
      </c>
      <c r="Q38" s="1558">
        <f>IF(A38="","",IF(ISNUMBER(MATCH(A38,'权益法测算表G7-14'!$B$11:$B$15,0)),"合营企业",IF(ISNUMBER(MATCH(A38,'权益法测算表G7-14'!$B$16:$B$20,0)),"联营企业","请核对")))</f>
        <v/>
      </c>
      <c r="R38" s="1527" t="n"/>
      <c r="S38" s="1526" t="n"/>
      <c r="T38" s="1526" t="n"/>
      <c r="U38" s="1525">
        <f>IF(OR(A38="",K38=""),"",N(K38)-N(D38))</f>
        <v/>
      </c>
      <c r="V38" s="1727">
        <f>IF(OR(A38="",D38="",N(D38)=0),"",N(U38)/N(D38))</f>
        <v/>
      </c>
      <c r="W38" s="1558">
        <f>IF(OR(A38="",L38=""),"",IF(N(L38)-N(D38)&gt;0.01,"异常-应计提超过账面净额","通过"))</f>
        <v/>
      </c>
      <c r="X38" s="1525">
        <f>IF(A38="","",IFERROR(SUMIF('未确认投资损失测试表G7-16'!$A$12:$A$16,A38,'未确认投资损失测试表G7-16'!$J$12:$J$16),0)+IFERROR(SUMIF('未确认投资损失测试表G7-16'!$A$19:$A$23,A38,'未确认投资损失测试表G7-16'!$J$19:$J$23),0))</f>
        <v/>
      </c>
      <c r="Y38" s="1528">
        <f>IF(A38="","",IF(AND(N(X38)&gt;0.005,N(D38)&lt;=0.005),"▲账面≈0且有未确认损失：长投减值空间有限，转查G7-16长权益/预计负债",IF(AND(N(X38)&gt;0.005,N(D38)&gt;0.005),"●有未确认损失但仍有账面-核对冲减顺序与减值是否重复",IF(N(X38)&gt;0.005,"见G7-16未确认损失","—"))))</f>
        <v/>
      </c>
    </row>
    <row r="39">
      <c r="A39" s="1558">
        <f>J10</f>
        <v/>
      </c>
      <c r="B39" s="1853">
        <f>IF(A39="","",IFERROR(INDEX('权益法测算表G7-14'!$Q$25:$Q$34,MATCH(A39,'权益法测算表G7-14'!$B$25:$B$34,0)),""))</f>
        <v/>
      </c>
      <c r="C39" s="1724" t="n"/>
      <c r="D39" s="1525">
        <f>IF(A39="","",N(B39)-N(C39))</f>
        <v/>
      </c>
      <c r="E39" s="1854">
        <f>IF(A39="","",IFERROR(INDEX('权益法测算表G7-14'!$C$11:$C$20,MATCH(A39,'权益法测算表G7-14'!$B$11:$B$20,0)),""))</f>
        <v/>
      </c>
      <c r="F39" s="1724" t="n"/>
      <c r="G39" s="1724" t="n"/>
      <c r="H39" s="1525">
        <f>IF(OR(A39="",F39=""),"",N(F39)-N(G39))</f>
        <v/>
      </c>
      <c r="I39" s="1713" t="n"/>
      <c r="J39" s="1724" t="n"/>
      <c r="K39" s="1525">
        <f>IF(A39="","",IF(AND(H39="",J39=""),"",MAX(IF(H39="",0,N(H39)),IF(J39="",0,N(J39)),0)))</f>
        <v/>
      </c>
      <c r="L39" s="1525">
        <f>IF(OR(A39="",K39=""),"",MAX(N(D39)-N(K39),0))</f>
        <v/>
      </c>
      <c r="M39" s="1724" t="n"/>
      <c r="N39" s="1525">
        <f>IF(OR(A39="",L39=""),"",N(L39)-N(M39))</f>
        <v/>
      </c>
      <c r="O39" s="1558">
        <f>IF(A39="","",IF($P$34="","请填重要性水平",IF(ABS(N(N39))&gt;N($P$34),"超过","未超过")))</f>
        <v/>
      </c>
      <c r="P39" s="1558">
        <f>IF(A39="","",IF(B39="","账面原值未填",IF(AND(H39="",J39=""),"可收回金额两路径均未填",IF(AND(OR(AND(H39&lt;&gt;"",J39=""),AND(H39="",J39&lt;&gt;"")),T39=""),"单路径须说明未采用另一路径原因",IF(Q39="","投资类型未填",IF(AND(H39&lt;&gt;"",H39&lt;0),"公允价值减费用为负已按0计入可收回-请复核",IF(M39="","本期实际计提未填",IF(W39&lt;&gt;"通过",W39,IF(O39="超过","存在超重要性差异-需说明",IF(O39="请填重要性水平","待填重要性水平",IF(AND(U39&lt;&gt;"",U39&gt;=0,U39&lt;N(D39)*0.1),"安全边际偏低-建议敏感性分析","通过")))))))))))</f>
        <v/>
      </c>
      <c r="Q39" s="1558">
        <f>IF(A39="","",IF(ISNUMBER(MATCH(A39,'权益法测算表G7-14'!$B$11:$B$15,0)),"合营企业",IF(ISNUMBER(MATCH(A39,'权益法测算表G7-14'!$B$16:$B$20,0)),"联营企业","请核对")))</f>
        <v/>
      </c>
      <c r="R39" s="1527" t="n"/>
      <c r="S39" s="1526" t="n"/>
      <c r="T39" s="1526" t="n"/>
      <c r="U39" s="1525">
        <f>IF(OR(A39="",K39=""),"",N(K39)-N(D39))</f>
        <v/>
      </c>
      <c r="V39" s="1727">
        <f>IF(OR(A39="",D39="",N(D39)=0),"",N(U39)/N(D39))</f>
        <v/>
      </c>
      <c r="W39" s="1558">
        <f>IF(OR(A39="",L39=""),"",IF(N(L39)-N(D39)&gt;0.01,"异常-应计提超过账面净额","通过"))</f>
        <v/>
      </c>
      <c r="X39" s="1525">
        <f>IF(A39="","",IFERROR(SUMIF('未确认投资损失测试表G7-16'!$A$12:$A$16,A39,'未确认投资损失测试表G7-16'!$J$12:$J$16),0)+IFERROR(SUMIF('未确认投资损失测试表G7-16'!$A$19:$A$23,A39,'未确认投资损失测试表G7-16'!$J$19:$J$23),0))</f>
        <v/>
      </c>
      <c r="Y39" s="1528">
        <f>IF(A39="","",IF(AND(N(X39)&gt;0.005,N(D39)&lt;=0.005),"▲账面≈0且有未确认损失：长投减值空间有限，转查G7-16长权益/预计负债",IF(AND(N(X39)&gt;0.005,N(D39)&gt;0.005),"●有未确认损失但仍有账面-核对冲减顺序与减值是否重复",IF(N(X39)&gt;0.005,"见G7-16未确认损失","—"))))</f>
        <v/>
      </c>
    </row>
    <row r="40">
      <c r="A40" s="1726" t="inlineStr">
        <is>
          <t>辅助参考明细（可选填）：净资产公允价值份额 vs 可收回金额</t>
        </is>
      </c>
    </row>
    <row r="41">
      <c r="A41" s="1597" t="inlineStr">
        <is>
          <t>被投资单位</t>
        </is>
      </c>
      <c r="B41" s="1597" t="inlineStr">
        <is>
          <t>净资产公允价值</t>
        </is>
      </c>
      <c r="C41" s="1597" t="inlineStr">
        <is>
          <t>持股比例</t>
        </is>
      </c>
      <c r="D41" s="1597" t="inlineStr">
        <is>
          <t>份额=B×C</t>
        </is>
      </c>
      <c r="E41" s="1597" t="inlineStr">
        <is>
          <t>可收回金额(引自上表)</t>
        </is>
      </c>
      <c r="F41" s="1597" t="inlineStr">
        <is>
          <t>份额−可收回</t>
        </is>
      </c>
      <c r="G41" s="1597" t="inlineStr">
        <is>
          <t>说明</t>
        </is>
      </c>
    </row>
    <row r="42">
      <c r="A42" s="1558">
        <f>A35</f>
        <v/>
      </c>
      <c r="B42" s="1724" t="n"/>
      <c r="C42" s="1727">
        <f>E35</f>
        <v/>
      </c>
      <c r="D42" s="1525">
        <f>IF(OR(A42="",B42=""),"",N(B42)*N(C42))</f>
        <v/>
      </c>
      <c r="E42" s="1525">
        <f>K35</f>
        <v/>
      </c>
      <c r="F42" s="1525">
        <f>IF(OR(D42="",E42=""),"",N(D42)-N(E42))</f>
        <v/>
      </c>
      <c r="G42" s="1713" t="n"/>
    </row>
    <row r="43">
      <c r="A43" s="1558">
        <f>A36</f>
        <v/>
      </c>
      <c r="B43" s="1724" t="n"/>
      <c r="C43" s="1727">
        <f>E36</f>
        <v/>
      </c>
      <c r="D43" s="1525">
        <f>IF(OR(A43="",B43=""),"",N(B43)*N(C43))</f>
        <v/>
      </c>
      <c r="E43" s="1525">
        <f>K36</f>
        <v/>
      </c>
      <c r="F43" s="1525">
        <f>IF(OR(D43="",E43=""),"",N(D43)-N(E43))</f>
        <v/>
      </c>
      <c r="G43" s="1713" t="n"/>
    </row>
    <row r="44">
      <c r="A44" s="1558">
        <f>A37</f>
        <v/>
      </c>
      <c r="B44" s="1724" t="n"/>
      <c r="C44" s="1727">
        <f>E37</f>
        <v/>
      </c>
      <c r="D44" s="1525">
        <f>IF(OR(A44="",B44=""),"",N(B44)*N(C44))</f>
        <v/>
      </c>
      <c r="E44" s="1525">
        <f>K37</f>
        <v/>
      </c>
      <c r="F44" s="1525">
        <f>IF(OR(D44="",E44=""),"",N(D44)-N(E44))</f>
        <v/>
      </c>
      <c r="G44" s="1713" t="n"/>
    </row>
    <row r="45">
      <c r="A45" s="1558">
        <f>A38</f>
        <v/>
      </c>
      <c r="B45" s="1724" t="n"/>
      <c r="C45" s="1727">
        <f>E38</f>
        <v/>
      </c>
      <c r="D45" s="1525">
        <f>IF(OR(A45="",B45=""),"",N(B45)*N(C45))</f>
        <v/>
      </c>
      <c r="E45" s="1525">
        <f>K38</f>
        <v/>
      </c>
      <c r="F45" s="1525">
        <f>IF(OR(D45="",E45=""),"",N(D45)-N(E45))</f>
        <v/>
      </c>
      <c r="G45" s="1713" t="n"/>
    </row>
    <row r="46">
      <c r="A46" s="1558">
        <f>A39</f>
        <v/>
      </c>
      <c r="B46" s="1724" t="n"/>
      <c r="C46" s="1727">
        <f>E39</f>
        <v/>
      </c>
      <c r="D46" s="1525">
        <f>IF(OR(A46="",B46=""),"",N(B46)*N(C46))</f>
        <v/>
      </c>
      <c r="E46" s="1525">
        <f>K39</f>
        <v/>
      </c>
      <c r="F46" s="1525">
        <f>IF(OR(D46="",E46=""),"",N(D46)-N(E46))</f>
        <v/>
      </c>
      <c r="G46" s="1713" t="n"/>
    </row>
    <row r="49">
      <c r="A49" s="1720" t="inlineStr">
        <is>
          <t>4. 测试结果汇总</t>
        </is>
      </c>
    </row>
    <row r="50">
      <c r="A50" s="1597" t="inlineStr">
        <is>
          <t>项目</t>
        </is>
      </c>
      <c r="C50" s="1597" t="inlineStr">
        <is>
          <t>金额</t>
        </is>
      </c>
      <c r="E50" s="1597" t="inlineStr">
        <is>
          <t>说明</t>
        </is>
      </c>
    </row>
    <row r="51">
      <c r="A51" s="0" t="inlineStr">
        <is>
          <t>本期应补提减值合计③</t>
        </is>
      </c>
      <c r="C51" s="1525">
        <f>SUM(L35:L39)</f>
        <v/>
      </c>
      <c r="E51" s="0" t="inlineStr">
        <is>
          <t>各被投资单位应计提减值之和</t>
        </is>
      </c>
    </row>
    <row r="52">
      <c r="A52" s="0" t="inlineStr">
        <is>
          <t>本期账面实际计提合计④</t>
        </is>
      </c>
      <c r="C52" s="1525">
        <f>SUM(M35:M39)</f>
        <v/>
      </c>
      <c r="E52" s="0" t="inlineStr">
        <is>
          <t>与G7-2减值准备勾稽</t>
        </is>
      </c>
    </row>
    <row r="53">
      <c r="A53" s="0" t="inlineStr">
        <is>
          <t>各项目少提合计（仅正差异，禁止净额）</t>
        </is>
      </c>
      <c r="C53" s="1525">
        <f>SUMIF(N35:N39,"&gt;0")</f>
        <v/>
      </c>
      <c r="E53" s="0" t="inlineStr">
        <is>
          <t>不同被投资单位不得正负抵销</t>
        </is>
      </c>
    </row>
    <row r="54">
      <c r="A54" s="0" t="inlineStr">
        <is>
          <t>建议补提金额（=少提合计）</t>
        </is>
      </c>
      <c r="C54" s="1525">
        <f>C53</f>
        <v/>
      </c>
      <c r="E54" s="0" t="inlineStr">
        <is>
          <t>可据以编制补提调整分录</t>
        </is>
      </c>
    </row>
    <row r="55">
      <c r="A55" s="0" t="inlineStr">
        <is>
          <t>可能计提偏高合计（仅负差异绝对值）</t>
        </is>
      </c>
      <c r="C55" s="1525">
        <f>ABS(SUMIF(N35:N39,"&lt;0"))</f>
        <v/>
      </c>
      <c r="E55" s="0" t="inlineStr">
        <is>
          <t>不得据此转回；仅作调查/说明事项</t>
        </is>
      </c>
    </row>
    <row r="56">
      <c r="A56" s="1720" t="inlineStr">
        <is>
          <t>5. 减值转回检查（长期股权投资减值损失原则上不得转回）</t>
        </is>
      </c>
    </row>
    <row r="57">
      <c r="A57" s="1597" t="inlineStr">
        <is>
          <t>被投资单位</t>
        </is>
      </c>
      <c r="B57" s="1597" t="inlineStr">
        <is>
          <t>本期是否转回以前年度减值</t>
        </is>
      </c>
      <c r="C57" s="1597" t="inlineStr">
        <is>
          <t>转回金额</t>
        </is>
      </c>
      <c r="D57" s="1597" t="inlineStr">
        <is>
          <t>转回理由（账面）</t>
        </is>
      </c>
      <c r="E57" s="1597" t="inlineStr">
        <is>
          <t>审计结论</t>
        </is>
      </c>
      <c r="F57" s="1597" t="inlineStr">
        <is>
          <t>索引</t>
        </is>
      </c>
    </row>
    <row r="58">
      <c r="A58" s="1558">
        <f>A35</f>
        <v/>
      </c>
      <c r="B58" s="1713" t="n"/>
      <c r="C58" s="1724" t="n"/>
      <c r="D58" s="1713" t="n"/>
      <c r="E58" s="1558">
        <f>IF(A58="","",IF(OR(B58="否",B58=""),"通过",IF(OR(B58="是",N(C58)&gt;0),"异常-减值原则上不得转回-需追查","请填是/否")))</f>
        <v/>
      </c>
      <c r="F58" s="1713" t="n"/>
    </row>
    <row r="59">
      <c r="A59" s="1558">
        <f>A36</f>
        <v/>
      </c>
      <c r="B59" s="1713" t="n"/>
      <c r="C59" s="1724" t="n"/>
      <c r="D59" s="1713" t="n"/>
      <c r="E59" s="1558">
        <f>IF(A59="","",IF(OR(B59="否",B59=""),"通过",IF(OR(B59="是",N(C59)&gt;0),"异常-减值原则上不得转回-需追查","请填是/否")))</f>
        <v/>
      </c>
      <c r="F59" s="1713" t="n"/>
    </row>
    <row r="60">
      <c r="A60" s="1558">
        <f>A37</f>
        <v/>
      </c>
      <c r="B60" s="1713" t="n"/>
      <c r="C60" s="1724" t="n"/>
      <c r="D60" s="1713" t="n"/>
      <c r="E60" s="1558">
        <f>IF(A60="","",IF(OR(B60="否",B60=""),"通过",IF(OR(B60="是",N(C60)&gt;0),"异常-减值原则上不得转回-需追查","请填是/否")))</f>
        <v/>
      </c>
      <c r="F60" s="1713" t="n"/>
    </row>
    <row r="61">
      <c r="A61" s="1558">
        <f>A38</f>
        <v/>
      </c>
      <c r="B61" s="1713" t="n"/>
      <c r="C61" s="1724" t="n"/>
      <c r="D61" s="1713" t="n"/>
      <c r="E61" s="1558">
        <f>IF(A61="","",IF(OR(B61="否",B61=""),"通过",IF(OR(B61="是",N(C61)&gt;0),"异常-减值原则上不得转回-需追查","请填是/否")))</f>
        <v/>
      </c>
      <c r="F61" s="1713" t="n"/>
    </row>
    <row r="62">
      <c r="A62" s="1558">
        <f>A39</f>
        <v/>
      </c>
      <c r="B62" s="1713" t="n"/>
      <c r="C62" s="1724" t="n"/>
      <c r="D62" s="1713" t="n"/>
      <c r="E62" s="1558">
        <f>IF(A62="","",IF(OR(B62="否",B62=""),"通过",IF(OR(B62="是",N(C62)&gt;0),"异常-减值原则上不得转回-需追查","请填是/否")))</f>
        <v/>
      </c>
      <c r="F62" s="1713" t="n"/>
    </row>
    <row r="65">
      <c r="A65" s="1720" t="inlineStr">
        <is>
          <t>6. 与明细表G7-2审定期末账面勾稽</t>
        </is>
      </c>
    </row>
    <row r="66">
      <c r="A66" s="1597" t="inlineStr">
        <is>
          <t>被投资单位</t>
        </is>
      </c>
      <c r="B66" s="1597" t="inlineStr">
        <is>
          <t>本表测试前净额</t>
        </is>
      </c>
      <c r="C66" s="1597" t="inlineStr">
        <is>
          <t>G7-2审定期末金额</t>
        </is>
      </c>
      <c r="D66" s="1597" t="inlineStr">
        <is>
          <t>差异</t>
        </is>
      </c>
      <c r="E66" s="1597" t="inlineStr">
        <is>
          <t>勾稽结论</t>
        </is>
      </c>
    </row>
    <row r="67">
      <c r="A67" s="1558">
        <f>A35</f>
        <v/>
      </c>
      <c r="B67" s="1525">
        <f>D35</f>
        <v/>
      </c>
      <c r="C67" s="1525">
        <f>IF(A67="","",IFERROR(INDEX('明细表G7-2'!$AI$16:$AI$25,MATCH(A67,'明细表G7-2'!$B$16:$B$25,0)),IFERROR(INDEX('明细表G7-2'!$BB$33:$BB$37,MATCH(A67,'明细表G7-2'!$B$33:$B$37,0)),IFERROR(INDEX('明细表G7-2'!$BB$40:$BB$44,MATCH(A67,'明细表G7-2'!$B$40:$B$44,0)),"未匹配"))))</f>
        <v/>
      </c>
      <c r="D67" s="1525">
        <f>IF(OR(A67="",C67="未匹配",C67=""),"",N(B67)-N(C67))</f>
        <v/>
      </c>
      <c r="E67" s="1558">
        <f>IF(A67="","",IF(OR(C67="未匹配",C67=""),"未匹配G7-2",IF($P$34="","请填重要性水平",IF(ABS(N(D67))&gt;N($P$34),"超过重要性-需说明","通过"))))</f>
        <v/>
      </c>
    </row>
    <row r="68">
      <c r="A68" s="1558">
        <f>A36</f>
        <v/>
      </c>
      <c r="B68" s="1525">
        <f>D36</f>
        <v/>
      </c>
      <c r="C68" s="1525">
        <f>IF(A68="","",IFERROR(INDEX('明细表G7-2'!$AI$16:$AI$25,MATCH(A68,'明细表G7-2'!$B$16:$B$25,0)),IFERROR(INDEX('明细表G7-2'!$BB$33:$BB$37,MATCH(A68,'明细表G7-2'!$B$33:$B$37,0)),IFERROR(INDEX('明细表G7-2'!$BB$40:$BB$44,MATCH(A68,'明细表G7-2'!$B$40:$B$44,0)),"未匹配"))))</f>
        <v/>
      </c>
      <c r="D68" s="1525">
        <f>IF(OR(A68="",C68="未匹配",C68=""),"",N(B68)-N(C68))</f>
        <v/>
      </c>
      <c r="E68" s="1558">
        <f>IF(A68="","",IF(OR(C68="未匹配",C68=""),"未匹配G7-2",IF($P$34="","请填重要性水平",IF(ABS(N(D68))&gt;N($P$34),"超过重要性-需说明","通过"))))</f>
        <v/>
      </c>
    </row>
    <row r="69">
      <c r="A69" s="1558">
        <f>A37</f>
        <v/>
      </c>
      <c r="B69" s="1525">
        <f>D37</f>
        <v/>
      </c>
      <c r="C69" s="1525">
        <f>IF(A69="","",IFERROR(INDEX('明细表G7-2'!$AI$16:$AI$25,MATCH(A69,'明细表G7-2'!$B$16:$B$25,0)),IFERROR(INDEX('明细表G7-2'!$BB$33:$BB$37,MATCH(A69,'明细表G7-2'!$B$33:$B$37,0)),IFERROR(INDEX('明细表G7-2'!$BB$40:$BB$44,MATCH(A69,'明细表G7-2'!$B$40:$B$44,0)),"未匹配"))))</f>
        <v/>
      </c>
      <c r="D69" s="1525">
        <f>IF(OR(A69="",C69="未匹配",C69=""),"",N(B69)-N(C69))</f>
        <v/>
      </c>
      <c r="E69" s="1558">
        <f>IF(A69="","",IF(OR(C69="未匹配",C69=""),"未匹配G7-2",IF($P$34="","请填重要性水平",IF(ABS(N(D69))&gt;N($P$34),"超过重要性-需说明","通过"))))</f>
        <v/>
      </c>
    </row>
    <row r="70">
      <c r="A70" s="1558">
        <f>A38</f>
        <v/>
      </c>
      <c r="B70" s="1525">
        <f>D38</f>
        <v/>
      </c>
      <c r="C70" s="1525">
        <f>IF(A70="","",IFERROR(INDEX('明细表G7-2'!$AI$16:$AI$25,MATCH(A70,'明细表G7-2'!$B$16:$B$25,0)),IFERROR(INDEX('明细表G7-2'!$BB$33:$BB$37,MATCH(A70,'明细表G7-2'!$B$33:$B$37,0)),IFERROR(INDEX('明细表G7-2'!$BB$40:$BB$44,MATCH(A70,'明细表G7-2'!$B$40:$B$44,0)),"未匹配"))))</f>
        <v/>
      </c>
      <c r="D70" s="1525">
        <f>IF(OR(A70="",C70="未匹配",C70=""),"",N(B70)-N(C70))</f>
        <v/>
      </c>
      <c r="E70" s="1558">
        <f>IF(A70="","",IF(OR(C70="未匹配",C70=""),"未匹配G7-2",IF($P$34="","请填重要性水平",IF(ABS(N(D70))&gt;N($P$34),"超过重要性-需说明","通过"))))</f>
        <v/>
      </c>
    </row>
    <row r="71">
      <c r="A71" s="1558">
        <f>A39</f>
        <v/>
      </c>
      <c r="B71" s="1525">
        <f>D39</f>
        <v/>
      </c>
      <c r="C71" s="1525">
        <f>IF(A71="","",IFERROR(INDEX('明细表G7-2'!$AI$16:$AI$25,MATCH(A71,'明细表G7-2'!$B$16:$B$25,0)),IFERROR(INDEX('明细表G7-2'!$BB$33:$BB$37,MATCH(A71,'明细表G7-2'!$B$33:$B$37,0)),IFERROR(INDEX('明细表G7-2'!$BB$40:$BB$44,MATCH(A71,'明细表G7-2'!$B$40:$B$44,0)),"未匹配"))))</f>
        <v/>
      </c>
      <c r="D71" s="1525">
        <f>IF(OR(A71="",C71="未匹配",C71=""),"",N(B71)-N(C71))</f>
        <v/>
      </c>
      <c r="E71" s="1558">
        <f>IF(A71="","",IF(OR(C71="未匹配",C71=""),"未匹配G7-2",IF($P$34="","请填重要性水平",IF(ABS(N(D71))&gt;N($P$34),"超过重要性-需说明","通过"))))</f>
        <v/>
      </c>
    </row>
    <row r="74">
      <c r="A74" s="1619" t="inlineStr">
        <is>
          <t>三、审计说明</t>
        </is>
      </c>
    </row>
    <row r="75">
      <c r="A75" s="0" t="inlineStr">
        <is>
          <t>（自动汇总异常/待跟进；可继续手工补充）</t>
        </is>
      </c>
    </row>
    <row r="76" ht="48" customHeight="1" s="1097">
      <c r="A76" s="1617">
        <f>IF(COUNTA(F10:J10)=0,"（尚未录入被投资单位。请先在第1节填写公司名称并判断减值迹象。）",IF(TEXTJOIN("；",TRUE,IF(AND(F19&lt;&gt;"",F19&lt;&gt;"是",F19&lt;&gt;"否"),F10&amp;"迹象:"&amp;F19,""),IF(AND(G19&lt;&gt;"",G19&lt;&gt;"是",G19&lt;&gt;"否"),G10&amp;"迹象:"&amp;G19,""),IF(AND(H19&lt;&gt;"",H19&lt;&gt;"是",H19&lt;&gt;"否"),H10&amp;"迹象:"&amp;H19,""),IF(AND(I19&lt;&gt;"",I19&lt;&gt;"是",I19&lt;&gt;"否"),I10&amp;"迹象:"&amp;I19,""),IF(AND(J19&lt;&gt;"",J19&lt;&gt;"是",J19&lt;&gt;"否"),J10&amp;"迹象:"&amp;J19,""),IF(AND(P35&lt;&gt;"",P35&lt;&gt;"通过"),IF(A35="","行35",A35)&amp;"："&amp;P35,""),IF(AND(W35&lt;&gt;"",W35&lt;&gt;"通过"),IF(A35="","",A35&amp;"：")&amp;W35,""),IF(AND(P36&lt;&gt;"",P36&lt;&gt;"通过"),IF(A36="","行36",A36)&amp;"："&amp;P36,""),IF(AND(W36&lt;&gt;"",W36&lt;&gt;"通过"),IF(A36="","",A36&amp;"：")&amp;W36,""),IF(AND(P37&lt;&gt;"",P37&lt;&gt;"通过"),IF(A37="","行37",A37)&amp;"："&amp;P37,""),IF(AND(W37&lt;&gt;"",W37&lt;&gt;"通过"),IF(A37="","",A37&amp;"：")&amp;W37,""),IF(AND(P38&lt;&gt;"",P38&lt;&gt;"通过"),IF(A38="","行38",A38)&amp;"："&amp;P38,""),IF(AND(W38&lt;&gt;"",W38&lt;&gt;"通过"),IF(A38="","",A38&amp;"：")&amp;W38,""),IF(AND(P39&lt;&gt;"",P39&lt;&gt;"通过"),IF(A39="","行39",A39)&amp;"："&amp;P39,""),IF(AND(W39&lt;&gt;"",W39&lt;&gt;"通过"),IF(A39="","",A39&amp;"：")&amp;W39,""),IF(AND(E58&lt;&gt;"",E58&lt;&gt;"通过"),IF(A58="","",A58&amp;"：")&amp;E58,""),IF(AND(E59&lt;&gt;"",E59&lt;&gt;"通过"),IF(A59="","",A59&amp;"：")&amp;E59,""),IF(AND(E60&lt;&gt;"",E60&lt;&gt;"通过"),IF(A60="","",A60&amp;"：")&amp;E60,""),IF(AND(E61&lt;&gt;"",E61&lt;&gt;"通过"),IF(A61="","",A61&amp;"：")&amp;E61,""),IF(AND(E62&lt;&gt;"",E62&lt;&gt;"通过"),IF(A62="","",A62&amp;"：")&amp;E62,""),IF(AND(E67&lt;&gt;"",E67&lt;&gt;"通过"),IF(A67="","",A67&amp;"勾稽：")&amp;E67,""),IF(AND(E68&lt;&gt;"",E68&lt;&gt;"通过"),IF(A68="","",A68&amp;"勾稽：")&amp;E68,""),IF(AND(E69&lt;&gt;"",E69&lt;&gt;"通过"),IF(A69="","",A69&amp;"勾稽：")&amp;E69,""),IF(AND(E70&lt;&gt;"",E70&lt;&gt;"通过"),IF(A70="","",A70&amp;"勾稽：")&amp;E70,""),IF(AND(E71&lt;&gt;"",E71&lt;&gt;"通过"),IF(A71="","",A71&amp;"勾稽：")&amp;E71,""),IF(AND(I98&lt;&gt;"",I98&lt;&gt;"通过"),IF(A98="","",A98&amp;"敏感性：")&amp;I98,""),IF(AND(I99&lt;&gt;"",I99&lt;&gt;"通过"),IF(A99="","",A99&amp;"敏感性：")&amp;I99,""),IF(AND(I100&lt;&gt;"",I100&lt;&gt;"通过"),IF(A100="","",A100&amp;"敏感性：")&amp;I100,""),IF(AND(I101&lt;&gt;"",I101&lt;&gt;"通过"),IF(A101="","",A101&amp;"敏感性：")&amp;I101,""),IF(AND(I102&lt;&gt;"",I102&lt;&gt;"通过"),IF(A102="","",A102&amp;"敏感性：")&amp;I102,""))="","各节自动复核未发现未通过项。少提合计见C53，建议补提见C54；可能偏高见C55（不得转回）。",TEXTJOIN("；",TRUE,IF(AND(F19&lt;&gt;"",F19&lt;&gt;"是",F19&lt;&gt;"否"),F10&amp;"迹象:"&amp;F19,""),IF(AND(G19&lt;&gt;"",G19&lt;&gt;"是",G19&lt;&gt;"否"),G10&amp;"迹象:"&amp;G19,""),IF(AND(H19&lt;&gt;"",H19&lt;&gt;"是",H19&lt;&gt;"否"),H10&amp;"迹象:"&amp;H19,""),IF(AND(I19&lt;&gt;"",I19&lt;&gt;"是",I19&lt;&gt;"否"),I10&amp;"迹象:"&amp;I19,""),IF(AND(J19&lt;&gt;"",J19&lt;&gt;"是",J19&lt;&gt;"否"),J10&amp;"迹象:"&amp;J19,""),IF(AND(P35&lt;&gt;"",P35&lt;&gt;"通过"),IF(A35="","行35",A35)&amp;"："&amp;P35,""),IF(AND(W35&lt;&gt;"",W35&lt;&gt;"通过"),IF(A35="","",A35&amp;"：")&amp;W35,""),IF(AND(P36&lt;&gt;"",P36&lt;&gt;"通过"),IF(A36="","行36",A36)&amp;"："&amp;P36,""),IF(AND(W36&lt;&gt;"",W36&lt;&gt;"通过"),IF(A36="","",A36&amp;"：")&amp;W36,""),IF(AND(P37&lt;&gt;"",P37&lt;&gt;"通过"),IF(A37="","行37",A37)&amp;"："&amp;P37,""),IF(AND(W37&lt;&gt;"",W37&lt;&gt;"通过"),IF(A37="","",A37&amp;"：")&amp;W37,""),IF(AND(P38&lt;&gt;"",P38&lt;&gt;"通过"),IF(A38="","行38",A38)&amp;"："&amp;P38,""),IF(AND(W38&lt;&gt;"",W38&lt;&gt;"通过"),IF(A38="","",A38&amp;"：")&amp;W38,""),IF(AND(P39&lt;&gt;"",P39&lt;&gt;"通过"),IF(A39="","行39",A39)&amp;"："&amp;P39,""),IF(AND(W39&lt;&gt;"",W39&lt;&gt;"通过"),IF(A39="","",A39&amp;"：")&amp;W39,""),IF(AND(E58&lt;&gt;"",E58&lt;&gt;"通过"),IF(A58="","",A58&amp;"：")&amp;E58,""),IF(AND(E59&lt;&gt;"",E59&lt;&gt;"通过"),IF(A59="","",A59&amp;"：")&amp;E59,""),IF(AND(E60&lt;&gt;"",E60&lt;&gt;"通过"),IF(A60="","",A60&amp;"：")&amp;E60,""),IF(AND(E61&lt;&gt;"",E61&lt;&gt;"通过"),IF(A61="","",A61&amp;"：")&amp;E61,""),IF(AND(E62&lt;&gt;"",E62&lt;&gt;"通过"),IF(A62="","",A62&amp;"：")&amp;E62,""),IF(AND(E67&lt;&gt;"",E67&lt;&gt;"通过"),IF(A67="","",A67&amp;"勾稽：")&amp;E67,""),IF(AND(E68&lt;&gt;"",E68&lt;&gt;"通过"),IF(A68="","",A68&amp;"勾稽：")&amp;E68,""),IF(AND(E69&lt;&gt;"",E69&lt;&gt;"通过"),IF(A69="","",A69&amp;"勾稽：")&amp;E69,""),IF(AND(E70&lt;&gt;"",E70&lt;&gt;"通过"),IF(A70="","",A70&amp;"勾稽：")&amp;E70,""),IF(AND(E71&lt;&gt;"",E71&lt;&gt;"通过"),IF(A71="","",A71&amp;"勾稽：")&amp;E71,""),IF(AND(I98&lt;&gt;"",I98&lt;&gt;"通过"),IF(A98="","",A98&amp;"敏感性：")&amp;I98,""),IF(AND(I99&lt;&gt;"",I99&lt;&gt;"通过"),IF(A99="","",A99&amp;"敏感性：")&amp;I99,""),IF(AND(I100&lt;&gt;"",I100&lt;&gt;"通过"),IF(A100="","",A100&amp;"敏感性：")&amp;I100,""),IF(AND(I101&lt;&gt;"",I101&lt;&gt;"通过"),IF(A101="","",A101&amp;"敏感性：")&amp;I101,""),IF(AND(I102&lt;&gt;"",I102&lt;&gt;"通过"),IF(A102="","",A102&amp;"敏感性：")&amp;I102,""))))</f>
        <v/>
      </c>
    </row>
    <row r="77"/>
    <row r="78"/>
    <row r="80">
      <c r="A80" s="1619" t="inlineStr">
        <is>
          <t>四、审计结论</t>
        </is>
      </c>
    </row>
    <row r="81" ht="40" customHeight="1" s="1097">
      <c r="A81" s="1617" t="inlineStr">
        <is>
          <t>经审计，本期长期股权投资减值准备计提 □充分准确  □不充分/不准确（说明：__________）。已按CAS8采用可收回金额双路径测试；未发现不当转回减值（或已在说明中披露）。复核人确认异常事项已关闭或已在说明中充分披露。</t>
        </is>
      </c>
    </row>
    <row r="82"/>
    <row r="84">
      <c r="A84" s="1619" t="inlineStr">
        <is>
          <t>五、审计轨迹</t>
        </is>
      </c>
    </row>
    <row r="85">
      <c r="B85" s="1597" t="inlineStr">
        <is>
          <t>编制人</t>
        </is>
      </c>
      <c r="D85" s="1597" t="inlineStr">
        <is>
          <t>编制日期</t>
        </is>
      </c>
      <c r="F85" s="1597" t="inlineStr">
        <is>
          <t>复核人</t>
        </is>
      </c>
      <c r="H85" s="1597" t="inlineStr">
        <is>
          <t>复核日期</t>
        </is>
      </c>
    </row>
    <row r="86">
      <c r="B86" s="1713" t="n"/>
      <c r="D86" s="1713" t="n"/>
      <c r="F86" s="1713" t="n"/>
      <c r="H86" s="1713" t="n"/>
    </row>
    <row r="87">
      <c r="B87" s="0" t="inlineStr">
        <is>
          <t>关键证据索引（评估报告/现金流预测/折现率底稿/市价资料/董事会决议/G7-2）</t>
        </is>
      </c>
      <c r="E87" s="1713" t="n"/>
      <c r="F87" s="1583" t="n"/>
      <c r="G87" s="1583" t="n"/>
      <c r="H87" s="1583" t="n"/>
      <c r="I87" s="1583" t="n"/>
      <c r="J87" s="1583" t="n"/>
      <c r="K87" s="1583" t="n"/>
      <c r="L87" s="1583" t="n"/>
      <c r="M87" s="1583" t="n"/>
      <c r="N87" s="1584" t="n"/>
    </row>
    <row r="89">
      <c r="A89" s="1619" t="inlineStr">
        <is>
          <t>提示（准则摘要）：</t>
        </is>
      </c>
    </row>
    <row r="90" ht="22" customHeight="1" s="1097">
      <c r="A90" s="1617" t="inlineStr">
        <is>
          <t>1) 可收回金额=MAX(公允价值减处置费用, 预计未来现金流量现值, 0)；不得为负。</t>
        </is>
      </c>
    </row>
    <row r="91" ht="22" customHeight="1" s="1097">
      <c r="A91" s="1617" t="inlineStr">
        <is>
          <t>2) 净资产公允价值×持股比例仅为辅助参考，不能直接替代可收回金额。</t>
        </is>
      </c>
    </row>
    <row r="92" ht="22" customHeight="1" s="1097">
      <c r="A92" s="1617" t="inlineStr">
        <is>
          <t>3) 本期应补提=MAX(测试前账面净额−可收回金额,0)；少提合计按项目正差异SUMIF，禁止跨项目净额抵销。</t>
        </is>
      </c>
    </row>
    <row r="93" ht="22" customHeight="1" s="1097">
      <c r="A93" s="1617" t="inlineStr">
        <is>
          <t>4) 长期股权投资减值损失一经确认不得转回；“可能计提偏高”仅作调查，不得直接冲回。</t>
        </is>
      </c>
    </row>
    <row r="94" ht="22" customHeight="1" s="1097">
      <c r="A94" s="1617" t="inlineStr">
        <is>
          <t>5) 本表与G7-2勾稽优先使用审定期末金额（成本法AI列/权益法BB列）。</t>
        </is>
      </c>
    </row>
    <row r="95" ht="22" customHeight="1" s="1097">
      <c r="A95" s="1617" t="inlineStr">
        <is>
          <t>6) 仅用单路径估值须说明未采用另一路径原因；安全边际偏低时应做敏感性分析。与G7-16衔接：超额亏损冲减后账面为零的，长投减值测试可记录“无余额”，并索引未确认损失备查；存在其他长期权益的，评估是否对其减值/坏账。</t>
        </is>
      </c>
    </row>
    <row r="96">
      <c r="A96" s="1720" t="inlineStr">
        <is>
          <t>7. 敏感性分析（安全边际偏低或依赖现金流现值时填列）</t>
        </is>
      </c>
    </row>
    <row r="97">
      <c r="A97" s="1597" t="inlineStr">
        <is>
          <t>被投资单位</t>
        </is>
      </c>
      <c r="B97" s="1597" t="inlineStr">
        <is>
          <t>基准现值</t>
        </is>
      </c>
      <c r="C97" s="1597" t="inlineStr">
        <is>
          <t>折现率+1%后现值</t>
        </is>
      </c>
      <c r="D97" s="1597" t="inlineStr">
        <is>
          <t>永续增长率-0.5%后现值</t>
        </is>
      </c>
      <c r="E97" s="1597" t="inlineStr">
        <is>
          <t>收入/现金流-10%后现值</t>
        </is>
      </c>
      <c r="F97" s="1597" t="inlineStr">
        <is>
          <t>最不利情景可收回</t>
        </is>
      </c>
      <c r="G97" s="1597" t="inlineStr">
        <is>
          <t>最不利下应补提</t>
        </is>
      </c>
      <c r="H97" s="1597" t="inlineStr">
        <is>
          <t>临界说明</t>
        </is>
      </c>
      <c r="I97" s="1597" t="inlineStr">
        <is>
          <t>复核</t>
        </is>
      </c>
    </row>
    <row r="98">
      <c r="A98" s="1558">
        <f>A35</f>
        <v/>
      </c>
      <c r="B98" s="1525">
        <f>IF(J35="","",J35)</f>
        <v/>
      </c>
      <c r="C98" s="1527" t="n"/>
      <c r="D98" s="1527" t="n"/>
      <c r="E98" s="1527" t="n"/>
      <c r="F98" s="1525">
        <f>IF(A98="","",IF(COUNTA(C98:E98)=0,"",MAX(0,MIN(IF(C98="",9E99,N(C98)),IF(D98="",9E99,N(D98)),IF(E98="",9E99,N(E98))))))</f>
        <v/>
      </c>
      <c r="G98" s="1525">
        <f>IF(OR(A98="",F98=""),"",MAX(N(D35)-MAX(N(H35),N(F98)),0))</f>
        <v/>
      </c>
      <c r="H98" s="1526" t="n"/>
      <c r="I98" s="1558">
        <f>IF(A98="","",IF(AND(P35="安全边际偏低-建议敏感性分析",COUNTA(C98:E98)=0),"建议补做敏感性",IF(AND(G98&lt;&gt;"",G98&gt;N(L35)),"不利情景下需追加减值-需说明","通过")))</f>
        <v/>
      </c>
    </row>
    <row r="99">
      <c r="A99" s="1558">
        <f>A36</f>
        <v/>
      </c>
      <c r="B99" s="1525">
        <f>IF(J36="","",J36)</f>
        <v/>
      </c>
      <c r="C99" s="1527" t="n"/>
      <c r="D99" s="1527" t="n"/>
      <c r="E99" s="1527" t="n"/>
      <c r="F99" s="1525">
        <f>IF(A99="","",IF(COUNTA(C99:E99)=0,"",MAX(0,MIN(IF(C99="",9E99,N(C99)),IF(D99="",9E99,N(D99)),IF(E99="",9E99,N(E99))))))</f>
        <v/>
      </c>
      <c r="G99" s="1525">
        <f>IF(OR(A99="",F99=""),"",MAX(N(D36)-MAX(N(H36),N(F99)),0))</f>
        <v/>
      </c>
      <c r="H99" s="1526" t="n"/>
      <c r="I99" s="1558">
        <f>IF(A99="","",IF(AND(P36="安全边际偏低-建议敏感性分析",COUNTA(C99:E99)=0),"建议补做敏感性",IF(AND(G99&lt;&gt;"",G99&gt;N(L36)),"不利情景下需追加减值-需说明","通过")))</f>
        <v/>
      </c>
    </row>
    <row r="100">
      <c r="A100" s="1558">
        <f>A37</f>
        <v/>
      </c>
      <c r="B100" s="1525">
        <f>IF(J37="","",J37)</f>
        <v/>
      </c>
      <c r="C100" s="1527" t="n"/>
      <c r="D100" s="1527" t="n"/>
      <c r="E100" s="1527" t="n"/>
      <c r="F100" s="1525">
        <f>IF(A100="","",IF(COUNTA(C100:E100)=0,"",MAX(0,MIN(IF(C100="",9E99,N(C100)),IF(D100="",9E99,N(D100)),IF(E100="",9E99,N(E100))))))</f>
        <v/>
      </c>
      <c r="G100" s="1525">
        <f>IF(OR(A100="",F100=""),"",MAX(N(D37)-MAX(N(H37),N(F100)),0))</f>
        <v/>
      </c>
      <c r="H100" s="1526" t="n"/>
      <c r="I100" s="1558">
        <f>IF(A100="","",IF(AND(P37="安全边际偏低-建议敏感性分析",COUNTA(C100:E100)=0),"建议补做敏感性",IF(AND(G100&lt;&gt;"",G100&gt;N(L37)),"不利情景下需追加减值-需说明","通过")))</f>
        <v/>
      </c>
    </row>
    <row r="101">
      <c r="A101" s="1558">
        <f>A38</f>
        <v/>
      </c>
      <c r="B101" s="1525">
        <f>IF(J38="","",J38)</f>
        <v/>
      </c>
      <c r="C101" s="1527" t="n"/>
      <c r="D101" s="1527" t="n"/>
      <c r="E101" s="1527" t="n"/>
      <c r="F101" s="1525">
        <f>IF(A101="","",IF(COUNTA(C101:E101)=0,"",MAX(0,MIN(IF(C101="",9E99,N(C101)),IF(D101="",9E99,N(D101)),IF(E101="",9E99,N(E101))))))</f>
        <v/>
      </c>
      <c r="G101" s="1525">
        <f>IF(OR(A101="",F101=""),"",MAX(N(D38)-MAX(N(H38),N(F101)),0))</f>
        <v/>
      </c>
      <c r="H101" s="1526" t="n"/>
      <c r="I101" s="1558">
        <f>IF(A101="","",IF(AND(P38="安全边际偏低-建议敏感性分析",COUNTA(C101:E101)=0),"建议补做敏感性",IF(AND(G101&lt;&gt;"",G101&gt;N(L38)),"不利情景下需追加减值-需说明","通过")))</f>
        <v/>
      </c>
    </row>
    <row r="102">
      <c r="A102" s="1558">
        <f>A39</f>
        <v/>
      </c>
      <c r="B102" s="1525">
        <f>IF(J39="","",J39)</f>
        <v/>
      </c>
      <c r="C102" s="1527" t="n"/>
      <c r="D102" s="1527" t="n"/>
      <c r="E102" s="1527" t="n"/>
      <c r="F102" s="1525">
        <f>IF(A102="","",IF(COUNTA(C102:E102)=0,"",MAX(0,MIN(IF(C102="",9E99,N(C102)),IF(D102="",9E99,N(D102)),IF(E102="",9E99,N(E102))))))</f>
        <v/>
      </c>
      <c r="G102" s="1525">
        <f>IF(OR(A102="",F102=""),"",MAX(N(D39)-MAX(N(H39),N(F102)),0))</f>
        <v/>
      </c>
      <c r="H102" s="1526" t="n"/>
      <c r="I102" s="1558">
        <f>IF(A102="","",IF(AND(P39="安全边际偏低-建议敏感性分析",COUNTA(C102:E102)=0),"建议补做敏感性",IF(AND(G102&lt;&gt;"",G102&gt;N(L39)),"不利情景下需追加减值-需说明","通过")))</f>
        <v/>
      </c>
    </row>
  </sheetData>
  <mergeCells count="57">
    <mergeCell ref="N32:N33"/>
    <mergeCell ref="A40:N40"/>
    <mergeCell ref="A34:E34"/>
    <mergeCell ref="A31:N31"/>
    <mergeCell ref="K32:K33"/>
    <mergeCell ref="J29:K29"/>
    <mergeCell ref="B23:D23"/>
    <mergeCell ref="A92:N92"/>
    <mergeCell ref="L32:L33"/>
    <mergeCell ref="F32:H32"/>
    <mergeCell ref="A49:N49"/>
    <mergeCell ref="J28:K28"/>
    <mergeCell ref="B29:D29"/>
    <mergeCell ref="A1:N1"/>
    <mergeCell ref="W32:W33"/>
    <mergeCell ref="B28:D28"/>
    <mergeCell ref="A94:N94"/>
    <mergeCell ref="O32:O33"/>
    <mergeCell ref="D32:D33"/>
    <mergeCell ref="J24:K24"/>
    <mergeCell ref="I32:J32"/>
    <mergeCell ref="A65:N65"/>
    <mergeCell ref="A90:N90"/>
    <mergeCell ref="J27:K27"/>
    <mergeCell ref="A81:N82"/>
    <mergeCell ref="U32:U33"/>
    <mergeCell ref="R32:R33"/>
    <mergeCell ref="B24:D24"/>
    <mergeCell ref="J26:K26"/>
    <mergeCell ref="A56:N56"/>
    <mergeCell ref="A32:A33"/>
    <mergeCell ref="M32:M33"/>
    <mergeCell ref="E32:E33"/>
    <mergeCell ref="A2:N2"/>
    <mergeCell ref="J25:K25"/>
    <mergeCell ref="B26:D26"/>
    <mergeCell ref="P32:P33"/>
    <mergeCell ref="A95:N95"/>
    <mergeCell ref="C32:C33"/>
    <mergeCell ref="E87:N87"/>
    <mergeCell ref="I34:N34"/>
    <mergeCell ref="V32:V33"/>
    <mergeCell ref="B25:D25"/>
    <mergeCell ref="S32:S33"/>
    <mergeCell ref="A8:N8"/>
    <mergeCell ref="C6:N6"/>
    <mergeCell ref="B32:B33"/>
    <mergeCell ref="A22:N22"/>
    <mergeCell ref="A91:N91"/>
    <mergeCell ref="T32:T33"/>
    <mergeCell ref="C5:N5"/>
    <mergeCell ref="A96:N96"/>
    <mergeCell ref="B27:D27"/>
    <mergeCell ref="A76:N78"/>
    <mergeCell ref="Q32:Q33"/>
    <mergeCell ref="J23:K23"/>
    <mergeCell ref="A93:N93"/>
  </mergeCells>
  <conditionalFormatting sqref="F19:J20">
    <cfRule type="expression" priority="1" dxfId="4">
      <formula>AND(F19&lt;&gt;"",F19&lt;&gt;"通过",F19&lt;&gt;"未超过",F19&lt;&gt;"是",F19&lt;&gt;"否",F19&lt;&gt;"是-进入第3节",F19&lt;&gt;"否-记录证据即可")</formula>
    </cfRule>
  </conditionalFormatting>
  <conditionalFormatting sqref="P35:P39">
    <cfRule type="expression" priority="2" dxfId="4">
      <formula>AND(P35&lt;&gt;"",P35&lt;&gt;"通过",P35&lt;&gt;"未超过",P35&lt;&gt;"是",P35&lt;&gt;"否",P35&lt;&gt;"是-进入第3节",P35&lt;&gt;"否-记录证据即可")</formula>
    </cfRule>
    <cfRule type="expression" priority="6" dxfId="4">
      <formula>AND(P35&lt;&gt;"",P35&lt;&gt;"通过")</formula>
    </cfRule>
  </conditionalFormatting>
  <conditionalFormatting sqref="O35:O39">
    <cfRule type="expression" priority="3" dxfId="4">
      <formula>AND(O35&lt;&gt;"",O35&lt;&gt;"通过",O35&lt;&gt;"未超过",O35&lt;&gt;"是",O35&lt;&gt;"否",O35&lt;&gt;"是-进入第3节",O35&lt;&gt;"否-记录证据即可")</formula>
    </cfRule>
  </conditionalFormatting>
  <conditionalFormatting sqref="E58:E62">
    <cfRule type="expression" priority="4" dxfId="4">
      <formula>AND(E58&lt;&gt;"",E58&lt;&gt;"通过",E58&lt;&gt;"未超过",E58&lt;&gt;"是",E58&lt;&gt;"否",E58&lt;&gt;"是-进入第3节",E58&lt;&gt;"否-记录证据即可")</formula>
    </cfRule>
  </conditionalFormatting>
  <conditionalFormatting sqref="E67:E71">
    <cfRule type="expression" priority="5" dxfId="4">
      <formula>AND(E67&lt;&gt;"",E67&lt;&gt;"通过",E67&lt;&gt;"未超过",E67&lt;&gt;"是",E67&lt;&gt;"否",E67&lt;&gt;"是-进入第3节",E67&lt;&gt;"否-记录证据即可")</formula>
    </cfRule>
  </conditionalFormatting>
  <conditionalFormatting sqref="W35:W39">
    <cfRule type="expression" priority="7" dxfId="4">
      <formula>AND(W35&lt;&gt;"",W35&lt;&gt;"通过")</formula>
    </cfRule>
  </conditionalFormatting>
  <conditionalFormatting sqref="I98:I102">
    <cfRule type="expression" priority="8" dxfId="4">
      <formula>AND(I98&lt;&gt;"",I98&lt;&gt;"通过")</formula>
    </cfRule>
  </conditionalFormatting>
  <dataValidations count="5">
    <dataValidation sqref="B58:B62 E24:I29 F11:J18" showDropDown="0" showInputMessage="0" showErrorMessage="0" allowBlank="1" errorTitle="减值迹象" error="请选择是或否" type="list">
      <formula1>"是,否"</formula1>
    </dataValidation>
    <dataValidation sqref="E35:E39" showDropDown="0" showInputMessage="0" showErrorMessage="0" allowBlank="1" type="decimal" operator="between">
      <formula1>0</formula1>
      <formula2>1</formula2>
    </dataValidation>
    <dataValidation sqref="Q35:Q39" showDropDown="0" showInputMessage="0" showErrorMessage="0" allowBlank="1" type="list">
      <formula1>"子公司,合营,联营"</formula1>
    </dataValidation>
    <dataValidation sqref="S35:S39" showDropDown="0" showInputMessage="0" showErrorMessage="0" allowBlank="1" type="list">
      <formula1>"是,否"</formula1>
    </dataValidation>
    <dataValidation sqref="M9" showDropDown="0" showInputMessage="0" showErrorMessage="1" allowBlank="0" errorTitle="名称取数" error="请选择：合营前5 / 联营前5" type="list">
      <formula1>"合营前5,联营前5"</formula1>
    </dataValidation>
  </dataValidations>
  <hyperlinks>
    <hyperlink ref="I3" location="底稿目录!F23" display="底稿目录!F23"/>
  </hyperlinks>
  <pageMargins left="0.7086614173228347" right="0.7086614173228347" top="0.7480314960629921" bottom="0.7480314960629921" header="0.3149606299212598" footer="0.3149606299212598"/>
  <pageSetup orientation="landscape" paperSize="9" fitToHeight="0" blackAndWhite="1"/>
  <headerFooter>
    <oddHeader/>
    <oddFooter>&amp;C&amp;P/&amp;N</oddFooter>
    <evenHeader/>
    <evenFooter/>
    <firstHeader/>
    <firstFooter/>
  </headerFooter>
  <rowBreaks count="1" manualBreakCount="1">
    <brk id="21" min="0" max="8" man="1"/>
  </rowBreaks>
  <legacyDrawing xmlns:r="http://schemas.openxmlformats.org/officeDocument/2006/relationships" r:id="anysvml"/>
</worksheet>
</file>

<file path=xl/worksheets/sheet22.xml><?xml version="1.0" encoding="utf-8"?>
<worksheet xmlns="http://schemas.openxmlformats.org/spreadsheetml/2006/main">
  <sheetPr codeName="Sheet30">
    <outlinePr summaryBelow="1" summaryRight="1"/>
    <pageSetUpPr/>
  </sheetPr>
  <dimension ref="A1:V99"/>
  <sheetViews>
    <sheetView view="pageBreakPreview" zoomScaleNormal="100" workbookViewId="0">
      <selection activeCell="Q3" sqref="Q3"/>
    </sheetView>
  </sheetViews>
  <sheetFormatPr baseColWidth="8" defaultColWidth="8.09765625" defaultRowHeight="13.8" outlineLevelCol="0"/>
  <cols>
    <col width="12" customWidth="1" style="439" min="1" max="1"/>
    <col width="12" customWidth="1" style="439" min="2" max="2"/>
    <col width="16" customWidth="1" style="439" min="3" max="3"/>
    <col width="12" customWidth="1" style="439" min="4" max="4"/>
    <col width="12" customWidth="1" style="439" min="5" max="5"/>
    <col width="12" customWidth="1" style="439" min="6" max="6"/>
    <col width="12" customWidth="1" style="439" min="7" max="7"/>
    <col width="14" customWidth="1" style="439" min="8" max="8"/>
    <col width="8" customWidth="1" style="439" min="9" max="14"/>
    <col width="8" customWidth="1" style="1097" min="10" max="10"/>
    <col width="8" customWidth="1" style="1097" min="11" max="11"/>
    <col width="8" customWidth="1" style="1097" min="12" max="12"/>
    <col width="8" customWidth="1" style="1097" min="13" max="13"/>
    <col width="8" customWidth="1" style="1097" min="14" max="14"/>
    <col width="12" customWidth="1" style="439" min="15" max="15"/>
    <col width="12" customWidth="1" style="439" min="16" max="16"/>
    <col width="12" customWidth="1" style="439" min="17" max="17"/>
    <col width="12" customWidth="1" style="439" min="18" max="16384"/>
    <col width="14" customWidth="1" style="1097" min="19" max="19"/>
    <col width="12" customWidth="1" style="1097" min="20" max="20"/>
    <col width="14" customWidth="1" style="1097" min="21" max="21"/>
    <col width="12" customWidth="1" style="1097" min="22" max="22"/>
  </cols>
  <sheetData>
    <row r="1" ht="20.1" customFormat="1" customHeight="1" s="625">
      <c r="A1" s="1709" t="inlineStr">
        <is>
          <t>致同会计师事务所</t>
        </is>
      </c>
    </row>
    <row r="2" ht="25.2" customFormat="1" customHeight="1" s="636">
      <c r="A2" s="1710" t="inlineStr">
        <is>
          <t>长期股权投资凭证检查表</t>
        </is>
      </c>
    </row>
    <row r="3" ht="20.1" customFormat="1" customHeight="1" s="678">
      <c r="A3" s="678">
        <f>底稿目录!A2</f>
        <v/>
      </c>
      <c r="B3" s="761" t="n"/>
      <c r="E3" s="678">
        <f>底稿目录!A4</f>
        <v/>
      </c>
      <c r="G3" s="761" t="n"/>
      <c r="H3" s="762">
        <f>底稿目录!A5</f>
        <v/>
      </c>
      <c r="I3" s="762" t="n"/>
      <c r="P3" s="678" t="n"/>
      <c r="Q3" s="1096" t="inlineStr">
        <is>
          <t>底稿目录!F18</t>
        </is>
      </c>
      <c r="U3" s="0" t="inlineStr">
        <is>
          <t>索引号：</t>
        </is>
      </c>
      <c r="V3" s="0">
        <f>底稿目录!F24</f>
        <v/>
      </c>
    </row>
    <row r="4" ht="20.1" customFormat="1" customHeight="1" s="678">
      <c r="A4" s="764">
        <f>底稿目录!A3</f>
        <v/>
      </c>
      <c r="B4" s="761" t="n"/>
      <c r="E4" s="678">
        <f>底稿目录!A6</f>
        <v/>
      </c>
      <c r="G4" s="761" t="n"/>
      <c r="H4" s="762">
        <f>底稿目录!A7</f>
        <v/>
      </c>
      <c r="I4" s="762" t="n"/>
      <c r="P4" s="678" t="n"/>
      <c r="U4" s="0" t="inlineStr">
        <is>
          <t>页 次：</t>
        </is>
      </c>
    </row>
    <row r="5" ht="20.1" customFormat="1" customHeight="1" s="773">
      <c r="A5" s="1740" t="inlineStr">
        <is>
          <t>一、审计目标</t>
        </is>
      </c>
      <c r="B5" s="766" t="n"/>
      <c r="D5" s="766" t="n"/>
      <c r="E5" s="766" t="n"/>
      <c r="F5" s="766" t="n"/>
      <c r="G5" s="766" t="n"/>
      <c r="H5" s="766" t="n"/>
      <c r="I5" s="766" t="n"/>
      <c r="J5" s="766" t="n"/>
      <c r="K5" s="766" t="n"/>
    </row>
    <row r="6" ht="28" customFormat="1" customHeight="1" s="773">
      <c r="A6" s="1741" t="inlineStr">
        <is>
          <t>确认长期股权投资相关交易的存在性、完整性、权利和义务、准确性、截止、分类及披露；通过凭证细节测试获取充分、适当的审计证据。</t>
        </is>
      </c>
    </row>
    <row r="7" ht="42" customFormat="1" customHeight="1" s="773">
      <c r="A7" s="1861" t="inlineStr">
        <is>
          <t>程序链：①与G7-1勾稽发生额总体 → ②设重要性/可容忍错报并算参考样本量 → ③特定项目全查+剩余抽样 → ④按交易类型抽凭并索引G7-8~17专项底稿 → ⑤六要素打√/X → ⑥金额差异与评价 → ⑦期后截止 → ⑧结论与待关闭事项。 ｜ 橙色输入、绿色公式；S列自动提示关联底稿。</t>
        </is>
      </c>
      <c r="B7" s="766" t="n"/>
      <c r="D7" s="766" t="n"/>
      <c r="E7" s="766" t="n"/>
      <c r="F7" s="766" t="n"/>
      <c r="G7" s="766" t="n"/>
      <c r="H7" s="766" t="n"/>
      <c r="I7" s="766" t="n"/>
      <c r="J7" s="766" t="n"/>
      <c r="K7" s="766" t="n"/>
    </row>
    <row r="8" ht="20.1" customFormat="1" customHeight="1" s="773">
      <c r="A8" s="1742" t="inlineStr">
        <is>
          <t>二、样本选取标准与规模（数字化勾稽）</t>
        </is>
      </c>
    </row>
    <row r="9" ht="19.95" customFormat="1" customHeight="1" s="773">
      <c r="A9" s="1743" t="inlineStr">
        <is>
          <t>项目</t>
        </is>
      </c>
      <c r="B9" s="1743" t="inlineStr">
        <is>
          <t>借方笔数</t>
        </is>
      </c>
      <c r="C9" s="1744" t="inlineStr">
        <is>
          <t>借方金额</t>
        </is>
      </c>
      <c r="D9" s="1743" t="inlineStr">
        <is>
          <t>贷方笔数</t>
        </is>
      </c>
      <c r="E9" s="1743" t="inlineStr">
        <is>
          <t>贷方金额</t>
        </is>
      </c>
      <c r="F9" s="1744" t="inlineStr">
        <is>
          <t>说明/索引</t>
        </is>
      </c>
      <c r="G9" s="769" t="n"/>
      <c r="H9" s="1743" t="inlineStr">
        <is>
          <t>抽样参数</t>
        </is>
      </c>
      <c r="I9" s="1743" t="inlineStr">
        <is>
          <t>数值</t>
        </is>
      </c>
      <c r="J9" s="1743" t="inlineStr">
        <is>
          <t>说明</t>
        </is>
      </c>
      <c r="L9" s="1619" t="inlineStr">
        <is>
          <t>特定项目标准</t>
        </is>
      </c>
      <c r="M9" s="774" t="n"/>
      <c r="N9" s="774" t="n"/>
      <c r="O9" s="774" t="n"/>
      <c r="P9" s="774" t="n"/>
      <c r="Q9" s="774" t="n"/>
      <c r="S9" s="775" t="n"/>
    </row>
    <row r="10" ht="19.95" customFormat="1" customHeight="1" s="773">
      <c r="A10" s="769" t="inlineStr">
        <is>
          <t>G7-1本期发生额</t>
        </is>
      </c>
      <c r="B10" s="1745" t="n"/>
      <c r="C10" s="1746">
        <f>'长期股权投资审定表G7-1'!D22</f>
        <v/>
      </c>
      <c r="D10" s="1747" t="n"/>
      <c r="E10" s="1748">
        <f>'长期股权投资审定表G7-1'!E22</f>
        <v/>
      </c>
      <c r="F10" s="1749" t="n"/>
      <c r="G10" s="769" t="n"/>
      <c r="H10" s="1750" t="inlineStr">
        <is>
          <t>重要性水平</t>
        </is>
      </c>
      <c r="I10" s="1751" t="n"/>
      <c r="J10" s="1752" t="inlineStr">
        <is>
          <t>可填账户/报表整体重要性</t>
        </is>
      </c>
      <c r="L10" s="0" t="inlineStr">
        <is>
          <t>大额阈值：</t>
        </is>
      </c>
      <c r="M10" s="1753" t="n"/>
      <c r="N10" s="774" t="n"/>
      <c r="O10" s="774" t="n"/>
      <c r="P10" s="774" t="n"/>
      <c r="Q10" s="774" t="n"/>
      <c r="S10" s="775" t="n"/>
    </row>
    <row r="11" ht="19.95" customFormat="1" customHeight="1" s="773">
      <c r="A11" s="769" t="inlineStr">
        <is>
          <t>凭证总体（测试范围）</t>
        </is>
      </c>
      <c r="B11" s="1745" t="n"/>
      <c r="C11" s="1754" t="n"/>
      <c r="D11" s="1747" t="n"/>
      <c r="E11" s="1751" t="n"/>
      <c r="F11" s="1749" t="n"/>
      <c r="G11" s="769" t="n"/>
      <c r="H11" s="1750" t="inlineStr">
        <is>
          <t>可容忍错报</t>
        </is>
      </c>
      <c r="I11" s="1755" t="n"/>
      <c r="J11" s="1756" t="inlineStr">
        <is>
          <t>通常为重要性的一定比例</t>
        </is>
      </c>
      <c r="L11" s="0" t="inlineStr">
        <is>
          <t>关联方交易：</t>
        </is>
      </c>
      <c r="M11" s="1757" t="n"/>
      <c r="N11" s="774" t="n"/>
      <c r="O11" s="774" t="n"/>
      <c r="P11" s="774" t="n"/>
      <c r="Q11" s="774" t="n"/>
      <c r="S11" s="775" t="n"/>
    </row>
    <row r="12" ht="20.1" customHeight="1" s="1097">
      <c r="A12" s="776" t="inlineStr">
        <is>
          <t>与G7-1差异</t>
        </is>
      </c>
      <c r="B12" s="777" t="n"/>
      <c r="C12" s="1758">
        <f>IF(OR(C10="",C11=""),"",N(C11)-N(C10))</f>
        <v/>
      </c>
      <c r="D12" s="778" t="n"/>
      <c r="E12" s="1759">
        <f>IF(OR(E10="",E11=""),"",N(E11)-N(E10))</f>
        <v/>
      </c>
      <c r="F12" s="1760">
        <f>IF(OR(C12="",E12=""),"",IF(AND(ABS(N(C12))&lt;0.01,ABS(N(E12))&lt;0.01),"勾稽一致","与G7-1不一致-需说明"))</f>
        <v/>
      </c>
      <c r="G12" s="773" t="n"/>
      <c r="H12" s="1761" t="inlineStr">
        <is>
          <t>预计错报</t>
        </is>
      </c>
      <c r="I12" s="1762" t="n"/>
      <c r="J12" s="1763" t="inlineStr">
        <is>
          <t>基于以前经验/风险</t>
        </is>
      </c>
      <c r="K12" s="773" t="n"/>
      <c r="L12" s="773" t="inlineStr">
        <is>
          <t>异常/特别风险：</t>
        </is>
      </c>
      <c r="M12" s="1764" t="n"/>
      <c r="N12" s="773" t="n"/>
      <c r="O12" s="773" t="n"/>
      <c r="P12" s="773" t="n"/>
    </row>
    <row r="13" ht="20.1" customHeight="1" s="1097">
      <c r="A13" s="780" t="inlineStr">
        <is>
          <t>特定项目（全部测试）</t>
        </is>
      </c>
      <c r="B13" s="1765" t="n"/>
      <c r="C13" s="1766" t="n"/>
      <c r="D13" s="1767" t="n"/>
      <c r="E13" s="1768" t="n"/>
      <c r="F13" s="1769" t="n"/>
      <c r="G13" s="773" t="n"/>
      <c r="H13" s="1761" t="inlineStr">
        <is>
          <t>误受风险%</t>
        </is>
      </c>
      <c r="I13" s="1770" t="n"/>
      <c r="J13" s="1763" t="inlineStr">
        <is>
          <t>如5表示5%</t>
        </is>
      </c>
      <c r="K13" s="773" t="n"/>
      <c r="L13" s="773" t="inlineStr">
        <is>
          <t>抽样工具：</t>
        </is>
      </c>
      <c r="M13" s="1764" t="n"/>
      <c r="N13" s="1547" t="n"/>
      <c r="O13" s="1516" t="n"/>
      <c r="P13" s="773" t="n"/>
    </row>
    <row r="14" ht="19.95" customFormat="1" customHeight="1" s="771">
      <c r="A14" s="1365" t="inlineStr">
        <is>
          <t>剩余抽样总体</t>
        </is>
      </c>
      <c r="B14" s="1558">
        <f>IF(OR(B11="",B13=""),"",N(B11)-N(B13))</f>
        <v/>
      </c>
      <c r="C14" s="1525">
        <f>IF(OR(C11="",C13=""),"",N(C11)-N(C13))</f>
        <v/>
      </c>
      <c r="D14" s="1558">
        <f>IF(OR(D11="",D13=""),"",N(D11)-N(D13))</f>
        <v/>
      </c>
      <c r="E14" s="1525">
        <f>IF(OR(E11="",E13=""),"",N(E11)-N(E13))</f>
        <v/>
      </c>
      <c r="F14" s="1558">
        <f>IF(OR(B14="",C14=""),"",IF(OR(B14&lt;0,C14&lt;0,D14&lt;0,E14&lt;0),"特定项目超出总体-异常","通过"))</f>
        <v/>
      </c>
      <c r="H14" s="1771" t="inlineStr">
        <is>
          <t>风险系数</t>
        </is>
      </c>
      <c r="I14" s="1527" t="n"/>
      <c r="J14" s="1617" t="inlineStr">
        <is>
          <t>可参考：误受5%时风险系数约1.6（MUS）</t>
        </is>
      </c>
    </row>
    <row r="15" ht="19.95" customFormat="1" customHeight="1" s="782">
      <c r="A15" s="1070" t="n"/>
      <c r="H15" s="1772" t="inlineStr">
        <is>
          <t>扩展系数</t>
        </is>
      </c>
      <c r="I15" s="1855">
        <f>IF(I13="","",IFERROR(INDEX($C$85:$C$87,MATCH(N(I13),$B$85:$B$87,0)),IFERROR(INDEX($C$85:$C$87,MATCH(N(I13),$B$85:$B$87,1)),"")))</f>
        <v/>
      </c>
      <c r="J15" s="1617" t="inlineStr">
        <is>
          <t>预计错报&gt;0时使用</t>
        </is>
      </c>
      <c r="O15" s="1075" t="n"/>
      <c r="P15" s="1075" t="n"/>
      <c r="Q15" s="1367" t="n"/>
    </row>
    <row r="16" ht="19.95" customFormat="1" customHeight="1" s="786">
      <c r="A16" s="1070" t="n"/>
      <c r="B16" s="1070" t="n"/>
      <c r="C16" s="1070" t="n"/>
      <c r="D16" s="1070" t="n"/>
      <c r="E16" s="1070" t="n"/>
      <c r="F16" s="784" t="n"/>
      <c r="G16" s="784" t="n"/>
      <c r="H16" s="0" t="inlineStr">
        <is>
          <t>参考计算样本量</t>
        </is>
      </c>
      <c r="I16" s="1774">
        <f>IF(OR(I11="",I14=""),"",IF(AND(C14="",E14=""),"",IF(N(I11)-N(I12)*IF(I15="",1,N(I15))&lt;=0,"参数异常-分母≤0",ROUNDUP(MAX(N(C14),N(E14))*N(I14)/(N(I11)-N(I12)*IF(I15="",1,N(I15))),0))))</f>
        <v/>
      </c>
      <c r="J16" s="785" t="n"/>
      <c r="K16" s="785" t="n"/>
      <c r="L16" s="785" t="n"/>
      <c r="M16" s="785" t="n"/>
      <c r="N16" s="785" t="n"/>
    </row>
    <row r="17" ht="19.95" customFormat="1" customHeight="1" s="795">
      <c r="A17" s="787" t="n"/>
      <c r="B17" s="788" t="n"/>
      <c r="C17" s="789" t="n"/>
      <c r="D17" s="790" t="n"/>
      <c r="E17" s="789" t="n"/>
      <c r="F17" s="1369" t="n"/>
      <c r="G17" s="1369" t="n"/>
      <c r="H17" s="792" t="inlineStr">
        <is>
          <t>实际抽取样本量(笔)</t>
        </is>
      </c>
      <c r="I17" s="1775" t="n"/>
      <c r="J17" s="1370" t="n"/>
      <c r="K17" s="1370" t="n"/>
      <c r="L17" s="1370" t="n"/>
      <c r="M17" s="1370" t="n"/>
      <c r="N17" s="1370" t="n"/>
      <c r="O17" s="788" t="n"/>
      <c r="P17" s="788" t="n"/>
      <c r="Q17" s="794" t="n"/>
    </row>
    <row r="18" ht="19.95" customFormat="1" customHeight="1" s="795">
      <c r="A18" s="787" t="n"/>
      <c r="B18" s="788" t="n"/>
      <c r="C18" s="789" t="n"/>
      <c r="D18" s="790" t="n"/>
      <c r="E18" s="789" t="n"/>
      <c r="F18" s="1369" t="n"/>
      <c r="G18" s="1369" t="n"/>
      <c r="H18" s="792" t="inlineStr">
        <is>
          <t>抽样方法</t>
        </is>
      </c>
      <c r="I18" s="1775" t="n"/>
      <c r="J18" s="1370" t="n"/>
      <c r="K18" s="1370" t="n"/>
      <c r="L18" s="1370" t="n"/>
      <c r="M18" s="1370" t="n"/>
      <c r="N18" s="1370" t="n"/>
      <c r="O18" s="788" t="n"/>
      <c r="P18" s="788" t="n"/>
      <c r="Q18" s="794" t="n"/>
    </row>
    <row r="19" ht="19.95" customFormat="1" customHeight="1" s="795">
      <c r="A19" s="787" t="n"/>
      <c r="B19" s="788" t="n"/>
      <c r="C19" s="789" t="n"/>
      <c r="D19" s="790" t="n"/>
      <c r="E19" s="789" t="n"/>
      <c r="F19" s="1369" t="n"/>
      <c r="G19" s="1369" t="n"/>
      <c r="H19" s="792" t="inlineStr">
        <is>
          <t>随机种子/工具索引</t>
        </is>
      </c>
      <c r="I19" s="1775" t="n"/>
      <c r="J19" s="1516" t="n"/>
      <c r="K19" s="1370" t="n"/>
      <c r="L19" s="1370" t="n"/>
      <c r="M19" s="1370" t="n"/>
      <c r="N19" s="1370" t="n"/>
      <c r="O19" s="788" t="n"/>
      <c r="P19" s="788" t="n"/>
      <c r="Q19" s="794" t="n"/>
    </row>
    <row r="20" ht="19.95" customFormat="1" customHeight="1" s="795">
      <c r="A20" s="787" t="n"/>
      <c r="B20" s="788" t="n"/>
      <c r="C20" s="789" t="n"/>
      <c r="D20" s="790" t="n"/>
      <c r="E20" s="789" t="n"/>
      <c r="F20" s="1369" t="n"/>
      <c r="G20" s="1369" t="n"/>
      <c r="H20" s="792" t="inlineStr">
        <is>
          <t>样本量复核</t>
        </is>
      </c>
      <c r="I20" s="1776">
        <f>IF(OR(I16="",I17=""),"",IF(I16="参数异常-分母≤0",I16,IF(N(I17)&lt;N(I16),"实际样本&lt;参考值-需说明","通过")))</f>
        <v/>
      </c>
      <c r="J20" s="1370" t="n"/>
      <c r="K20" s="1370" t="n"/>
      <c r="L20" s="1370" t="n"/>
      <c r="M20" s="1370" t="n"/>
      <c r="N20" s="1370" t="n"/>
      <c r="O20" s="788" t="n"/>
      <c r="P20" s="788" t="n"/>
      <c r="Q20" s="794" t="n"/>
    </row>
    <row r="21" ht="19.95" customFormat="1" customHeight="1" s="795">
      <c r="A21" s="787" t="n"/>
      <c r="B21" s="788" t="n"/>
      <c r="C21" s="789" t="n"/>
      <c r="D21" s="790" t="n"/>
      <c r="E21" s="789" t="n"/>
      <c r="F21" s="1369" t="n"/>
      <c r="G21" s="1369" t="n"/>
      <c r="H21" s="792" t="n"/>
      <c r="I21" s="1370" t="n"/>
      <c r="J21" s="1370" t="n"/>
      <c r="K21" s="1370" t="n"/>
      <c r="L21" s="1370" t="n"/>
      <c r="M21" s="1370" t="n"/>
      <c r="N21" s="1370" t="n"/>
      <c r="O21" s="788" t="n"/>
      <c r="P21" s="788" t="n"/>
      <c r="Q21" s="794" t="n"/>
    </row>
    <row r="22" ht="19.95" customFormat="1" customHeight="1" s="795">
      <c r="A22" s="1777" t="inlineStr">
        <is>
          <t>三、本期发生额凭证检查（核对：1完整 2授权 3真实权利 4账务 5成本/权益法 6截止分类关联方）</t>
        </is>
      </c>
      <c r="B22" s="1103" t="n"/>
      <c r="C22" s="1103" t="n"/>
      <c r="D22" s="1103" t="n"/>
      <c r="E22" s="1103" t="n"/>
      <c r="F22" s="1103" t="n"/>
      <c r="G22" s="1103" t="n"/>
      <c r="H22" s="1103" t="n"/>
      <c r="I22" s="1103" t="n"/>
      <c r="J22" s="1103" t="n"/>
      <c r="K22" s="1103" t="n"/>
      <c r="L22" s="1103" t="n"/>
      <c r="M22" s="1103" t="n"/>
      <c r="N22" s="1103" t="n"/>
      <c r="O22" s="1103" t="n"/>
      <c r="P22" s="1103" t="n"/>
      <c r="Q22" s="1103" t="n"/>
      <c r="R22" s="1103" t="n"/>
      <c r="S22" s="1103" t="n"/>
      <c r="T22" s="1103" t="n"/>
      <c r="U22" s="1103" t="n"/>
      <c r="V22" s="1104" t="n"/>
    </row>
    <row r="23" ht="19.95" customFormat="1" customHeight="1" s="795">
      <c r="A23" s="1778" t="inlineStr">
        <is>
          <t>结果填√/X/N/A。任一X→异常；存在空且无X→待完成；全部√或N/A→通过。交易类型用于提示关联G7-8/9/10/11/12/13/14/15/16/17；权益法链：核算→G7-14，内部交易→G7-15，超额亏损→G7-16，减值→G7-17。</t>
        </is>
      </c>
      <c r="B23" s="1103" t="n"/>
      <c r="C23" s="1103" t="n"/>
      <c r="D23" s="1103" t="n"/>
      <c r="E23" s="1103" t="n"/>
      <c r="F23" s="1103" t="n"/>
      <c r="G23" s="1103" t="n"/>
      <c r="H23" s="1103" t="n"/>
      <c r="I23" s="1103" t="n"/>
      <c r="J23" s="1103" t="n"/>
      <c r="K23" s="1103" t="n"/>
      <c r="L23" s="1103" t="n"/>
      <c r="M23" s="1103" t="n"/>
      <c r="N23" s="1103" t="n"/>
      <c r="O23" s="1103" t="n"/>
      <c r="P23" s="1103" t="n"/>
      <c r="Q23" s="1103" t="n"/>
      <c r="R23" s="1103" t="n"/>
      <c r="S23" s="1103" t="n"/>
      <c r="T23" s="1103" t="n"/>
      <c r="U23" s="1103" t="n"/>
      <c r="V23" s="1104" t="n"/>
    </row>
    <row r="24" ht="30" customFormat="1" customHeight="1" s="795">
      <c r="A24" s="1779" t="inlineStr">
        <is>
          <t>日期</t>
        </is>
      </c>
      <c r="B24" s="1780" t="inlineStr">
        <is>
          <t>凭证编号</t>
        </is>
      </c>
      <c r="C24" s="1744" t="inlineStr">
        <is>
          <t>业务内容</t>
        </is>
      </c>
      <c r="D24" s="1744" t="inlineStr">
        <is>
          <t>交易类型</t>
        </is>
      </c>
      <c r="E24" s="1744" t="inlineStr">
        <is>
          <t>对方科目</t>
        </is>
      </c>
      <c r="F24" s="1781" t="inlineStr">
        <is>
          <t>借方金额</t>
        </is>
      </c>
      <c r="G24" s="1781" t="inlineStr">
        <is>
          <t>贷方金额</t>
        </is>
      </c>
      <c r="H24" s="1744" t="inlineStr">
        <is>
          <t>支持性文件</t>
        </is>
      </c>
      <c r="I24" s="1782" t="inlineStr">
        <is>
          <t>1完整</t>
        </is>
      </c>
      <c r="J24" s="1782" t="inlineStr">
        <is>
          <t>2授权</t>
        </is>
      </c>
      <c r="K24" s="1782" t="inlineStr">
        <is>
          <t>3真实</t>
        </is>
      </c>
      <c r="L24" s="1782" t="inlineStr">
        <is>
          <t>4账务</t>
        </is>
      </c>
      <c r="M24" s="1782" t="inlineStr">
        <is>
          <t>5计价</t>
        </is>
      </c>
      <c r="N24" s="1782" t="inlineStr">
        <is>
          <t>6截止等</t>
        </is>
      </c>
      <c r="O24" s="1780" t="inlineStr">
        <is>
          <t>支持金额</t>
        </is>
      </c>
      <c r="P24" s="1780" t="inlineStr">
        <is>
          <t>错报金额</t>
        </is>
      </c>
      <c r="Q24" s="1783" t="inlineStr">
        <is>
          <t>自动异常</t>
        </is>
      </c>
      <c r="R24" s="1597" t="inlineStr">
        <is>
          <t>处理结果</t>
        </is>
      </c>
      <c r="S24" s="1597" t="inlineStr">
        <is>
          <t>关联底稿提示</t>
        </is>
      </c>
      <c r="T24" s="1597" t="inlineStr">
        <is>
          <t>样本来源</t>
        </is>
      </c>
      <c r="U24" s="1597" t="inlineStr">
        <is>
          <t>索引号</t>
        </is>
      </c>
      <c r="V24" s="1597" t="inlineStr">
        <is>
          <t>备注</t>
        </is>
      </c>
    </row>
    <row r="25" ht="19.95" customFormat="1" customHeight="1" s="795">
      <c r="A25" s="1784" t="n"/>
      <c r="B25" s="1785" t="n"/>
      <c r="C25" s="1786" t="n"/>
      <c r="D25" s="1786" t="n"/>
      <c r="E25" s="1786" t="n"/>
      <c r="F25" s="1787" t="n"/>
      <c r="G25" s="1787" t="n"/>
      <c r="H25" s="1786" t="inlineStr">
        <is>
          <t>付款审批/投资协议/评估/银行回单/决议…</t>
        </is>
      </c>
      <c r="I25" s="1775" t="n"/>
      <c r="J25" s="1775" t="n"/>
      <c r="K25" s="1775" t="n"/>
      <c r="L25" s="1775" t="n"/>
      <c r="M25" s="1775" t="n"/>
      <c r="N25" s="1775" t="n"/>
      <c r="O25" s="1788" t="n"/>
      <c r="P25" s="1789">
        <f>IF(OR(AND(F25="",G25=""),O25=""),"",ABS(N(O25)-IF(AND(F25&lt;&gt;"",G25&lt;&gt;""),N(F25)+N(G25),IF(N(F25)&gt;=N(G25),N(F25),N(G25)))))</f>
        <v/>
      </c>
      <c r="Q25" s="1790">
        <f>IF(AND(B25="",C25=""),"",IF(OR(I25="X",J25="X",K25="X",L25="X",M25="X",N25="X"),IF(OR(R25="",R25="无需处理"),"异常-待关闭","异常-已处理"),IF(OR(I25="",J25="",K25="",L25="",M25="",N25=""),"待完成",IF(AND(P25&lt;&gt;"",N(P25)&gt;0),"金额差异待解释","通过"))))</f>
        <v/>
      </c>
      <c r="R25" s="1526" t="n"/>
      <c r="S25" s="1528">
        <f>IF(D25="","",IF(OR(D25="取得子公司-同控",D25="取得子公司-非同控"),"查G7-8/G7-9",IF(D25="后续计量/划转","查G7-10",IF(OR(D25="处置-非一揽子",D25="处置-一揽子"),"查G7-11/G7-12",IF(D25="合营联营初始","查G7-13",IF(D25="权益法核算","查G7-14",IF(D25="内部交易抵销","查G7-15→G7-14",IF(D25="超额亏损/未确认损失","查G7-16",IF(D25="减值","查G7-17",IF(D25="预计负债(额外义务)","查G7-16预计负债+负债科目","查G7-2/G7-4"))))))))))</f>
        <v/>
      </c>
      <c r="T25" s="1526" t="n"/>
      <c r="U25" s="1526" t="n"/>
      <c r="V25" s="1526" t="n"/>
    </row>
    <row r="26" ht="19.95" customFormat="1" customHeight="1" s="795">
      <c r="A26" s="1784" t="n"/>
      <c r="B26" s="1785" t="n"/>
      <c r="C26" s="1786" t="n"/>
      <c r="D26" s="1786" t="n"/>
      <c r="E26" s="1786" t="n"/>
      <c r="F26" s="1787" t="n"/>
      <c r="G26" s="1787" t="n"/>
      <c r="H26" s="1786" t="n"/>
      <c r="I26" s="1786" t="n"/>
      <c r="J26" s="1784" t="n"/>
      <c r="K26" s="1786" t="n"/>
      <c r="L26" s="1791" t="n"/>
      <c r="M26" s="1786" t="n"/>
      <c r="N26" s="1786" t="n"/>
      <c r="O26" s="1788" t="n"/>
      <c r="P26" s="1789">
        <f>IF(OR(AND(F26="",G26=""),O26=""),"",ABS(N(O26)-IF(AND(F26&lt;&gt;"",G26&lt;&gt;""),N(F26)+N(G26),IF(N(F26)&gt;=N(G26),N(F26),N(G26)))))</f>
        <v/>
      </c>
      <c r="Q26" s="1792">
        <f>IF(AND(B26="",C26=""),"",IF(OR(I26="X",J26="X",K26="X",L26="X",M26="X",N26="X"),IF(OR(R26="",R26="无需处理"),"异常-待关闭","异常-已处理"),IF(OR(I26="",J26="",K26="",L26="",M26="",N26=""),"待完成",IF(AND(P26&lt;&gt;"",N(P26)&gt;0),"金额差异待解释","通过"))))</f>
        <v/>
      </c>
      <c r="R26" s="1526" t="n"/>
      <c r="S26" s="1528">
        <f>IF(D26="","",IF(OR(D26="取得子公司-同控",D26="取得子公司-非同控"),"查G7-8/G7-9",IF(D26="后续计量/划转","查G7-10",IF(OR(D26="处置-非一揽子",D26="处置-一揽子"),"查G7-11/G7-12",IF(D26="合营联营初始","查G7-13",IF(D26="权益法核算","查G7-14",IF(D26="内部交易抵销","查G7-15→G7-14",IF(D26="超额亏损/未确认损失","查G7-16",IF(D26="减值","查G7-17",IF(D26="预计负债(额外义务)","查G7-16预计负债+负债科目","查G7-2/G7-4"))))))))))</f>
        <v/>
      </c>
      <c r="T26" s="1526" t="n"/>
      <c r="U26" s="1526" t="n"/>
      <c r="V26" s="1526" t="n"/>
    </row>
    <row r="27" ht="19.95" customFormat="1" customHeight="1" s="846">
      <c r="A27" s="1793" t="n"/>
      <c r="B27" s="1526" t="n"/>
      <c r="C27" s="1526" t="n"/>
      <c r="D27" s="1526" t="n"/>
      <c r="E27" s="1794" t="n"/>
      <c r="F27" s="1795" t="n"/>
      <c r="G27" s="1795" t="n"/>
      <c r="H27" s="1794" t="n"/>
      <c r="I27" s="1794" t="n"/>
      <c r="J27" s="1796" t="n"/>
      <c r="K27" s="1794" t="n"/>
      <c r="L27" s="1797" t="n"/>
      <c r="M27" s="1794" t="n"/>
      <c r="N27" s="1794" t="n"/>
      <c r="O27" s="1798" t="n"/>
      <c r="P27" s="1799">
        <f>IF(OR(AND(F27="",G27=""),O27=""),"",ABS(N(O27)-IF(AND(F27&lt;&gt;"",G27&lt;&gt;""),N(F27)+N(G27),IF(N(F27)&gt;=N(G27),N(F27),N(G27)))))</f>
        <v/>
      </c>
      <c r="Q27" s="1800">
        <f>IF(AND(B27="",C27=""),"",IF(OR(I27="X",J27="X",K27="X",L27="X",M27="X",N27="X"),IF(OR(R27="",R27="无需处理"),"异常-待关闭","异常-已处理"),IF(OR(I27="",J27="",K27="",L27="",M27="",N27=""),"待完成",IF(AND(P27&lt;&gt;"",N(P27)&gt;0),"金额差异待解释","通过"))))</f>
        <v/>
      </c>
      <c r="R27" s="1526" t="n"/>
      <c r="S27" s="1528">
        <f>IF(D27="","",IF(OR(D27="取得子公司-同控",D27="取得子公司-非同控"),"查G7-8/G7-9",IF(D27="后续计量/划转","查G7-10",IF(OR(D27="处置-非一揽子",D27="处置-一揽子"),"查G7-11/G7-12",IF(D27="合营联营初始","查G7-13",IF(D27="权益法核算","查G7-14",IF(D27="内部交易抵销","查G7-15→G7-14",IF(D27="超额亏损/未确认损失","查G7-16",IF(D27="减值","查G7-17",IF(D27="预计负债(额外义务)","查G7-16预计负债+负债科目","查G7-2/G7-4"))))))))))</f>
        <v/>
      </c>
      <c r="T27" s="1526" t="n"/>
      <c r="U27" s="1526" t="n"/>
      <c r="V27" s="1526" t="n"/>
    </row>
    <row r="28" ht="19.95" customFormat="1" customHeight="1" s="846">
      <c r="A28" s="1793" t="n"/>
      <c r="B28" s="1526" t="n"/>
      <c r="C28" s="1526" t="n"/>
      <c r="D28" s="1526" t="n"/>
      <c r="E28" s="1794" t="n"/>
      <c r="F28" s="1795" t="n"/>
      <c r="G28" s="1795" t="n"/>
      <c r="H28" s="1794" t="n"/>
      <c r="I28" s="1794" t="n"/>
      <c r="J28" s="1796" t="n"/>
      <c r="K28" s="1794" t="n"/>
      <c r="L28" s="1797" t="n"/>
      <c r="M28" s="1794" t="n"/>
      <c r="N28" s="1794" t="n"/>
      <c r="O28" s="1798" t="n"/>
      <c r="P28" s="1799">
        <f>IF(OR(AND(F28="",G28=""),O28=""),"",ABS(N(O28)-IF(AND(F28&lt;&gt;"",G28&lt;&gt;""),N(F28)+N(G28),IF(N(F28)&gt;=N(G28),N(F28),N(G28)))))</f>
        <v/>
      </c>
      <c r="Q28" s="1800">
        <f>IF(AND(B28="",C28=""),"",IF(OR(I28="X",J28="X",K28="X",L28="X",M28="X",N28="X"),IF(OR(R28="",R28="无需处理"),"异常-待关闭","异常-已处理"),IF(OR(I28="",J28="",K28="",L28="",M28="",N28=""),"待完成",IF(AND(P28&lt;&gt;"",N(P28)&gt;0),"金额差异待解释","通过"))))</f>
        <v/>
      </c>
      <c r="R28" s="1526" t="n"/>
      <c r="S28" s="1528">
        <f>IF(D28="","",IF(OR(D28="取得子公司-同控",D28="取得子公司-非同控"),"查G7-8/G7-9",IF(D28="后续计量/划转","查G7-10",IF(OR(D28="处置-非一揽子",D28="处置-一揽子"),"查G7-11/G7-12",IF(D28="合营联营初始","查G7-13",IF(D28="权益法核算","查G7-14",IF(D28="内部交易抵销","查G7-15→G7-14",IF(D28="超额亏损/未确认损失","查G7-16",IF(D28="减值","查G7-17",IF(D28="预计负债(额外义务)","查G7-16预计负债+负债科目","查G7-2/G7-4"))))))))))</f>
        <v/>
      </c>
      <c r="T28" s="1526" t="n"/>
      <c r="U28" s="1526" t="n"/>
      <c r="V28" s="1526" t="n"/>
    </row>
    <row r="29" ht="19.95" customFormat="1" customHeight="1" s="846">
      <c r="A29" s="1793" t="n"/>
      <c r="B29" s="1526" t="n"/>
      <c r="C29" s="1526" t="n"/>
      <c r="D29" s="1526" t="n"/>
      <c r="E29" s="1794" t="n"/>
      <c r="F29" s="1801" t="n"/>
      <c r="G29" s="1801" t="n"/>
      <c r="H29" s="1794" t="n"/>
      <c r="I29" s="1794" t="n"/>
      <c r="J29" s="1796" t="n"/>
      <c r="K29" s="1794" t="n"/>
      <c r="L29" s="1797" t="n"/>
      <c r="M29" s="1794" t="n"/>
      <c r="N29" s="1794" t="n"/>
      <c r="O29" s="1798" t="n"/>
      <c r="P29" s="1799">
        <f>IF(OR(AND(F29="",G29=""),O29=""),"",ABS(N(O29)-IF(AND(F29&lt;&gt;"",G29&lt;&gt;""),N(F29)+N(G29),IF(N(F29)&gt;=N(G29),N(F29),N(G29)))))</f>
        <v/>
      </c>
      <c r="Q29" s="1800">
        <f>IF(AND(B29="",C29=""),"",IF(OR(I29="X",J29="X",K29="X",L29="X",M29="X",N29="X"),IF(OR(R29="",R29="无需处理"),"异常-待关闭","异常-已处理"),IF(OR(I29="",J29="",K29="",L29="",M29="",N29=""),"待完成",IF(AND(P29&lt;&gt;"",N(P29)&gt;0),"金额差异待解释","通过"))))</f>
        <v/>
      </c>
      <c r="R29" s="1526" t="n"/>
      <c r="S29" s="1528">
        <f>IF(D29="","",IF(OR(D29="取得子公司-同控",D29="取得子公司-非同控"),"查G7-8/G7-9",IF(D29="后续计量/划转","查G7-10",IF(OR(D29="处置-非一揽子",D29="处置-一揽子"),"查G7-11/G7-12",IF(D29="合营联营初始","查G7-13",IF(D29="权益法核算","查G7-14",IF(D29="内部交易抵销","查G7-15→G7-14",IF(D29="超额亏损/未确认损失","查G7-16",IF(D29="减值","查G7-17",IF(D29="预计负债(额外义务)","查G7-16预计负债+负债科目","查G7-2/G7-4"))))))))))</f>
        <v/>
      </c>
      <c r="T29" s="1526" t="n"/>
      <c r="U29" s="1526" t="n"/>
      <c r="V29" s="1526" t="n"/>
    </row>
    <row r="30" ht="19.95" customFormat="1" customHeight="1" s="795">
      <c r="A30" s="1802" t="n"/>
      <c r="B30" s="1803" t="n"/>
      <c r="C30" s="1803" t="n"/>
      <c r="D30" s="1803" t="n"/>
      <c r="E30" s="1803" t="n"/>
      <c r="F30" s="1804" t="n"/>
      <c r="G30" s="1804" t="n"/>
      <c r="H30" s="1803" t="n"/>
      <c r="I30" s="1803" t="n"/>
      <c r="J30" s="1803" t="n"/>
      <c r="K30" s="1803" t="n"/>
      <c r="L30" s="1803" t="n"/>
      <c r="M30" s="1803" t="n"/>
      <c r="N30" s="1803" t="n"/>
      <c r="O30" s="1804" t="n"/>
      <c r="P30" s="1805">
        <f>IF(OR(AND(F30="",G30=""),O30=""),"",ABS(N(O30)-IF(AND(F30&lt;&gt;"",G30&lt;&gt;""),N(F30)+N(G30),IF(N(F30)&gt;=N(G30),N(F30),N(G30)))))</f>
        <v/>
      </c>
      <c r="Q30" s="1806">
        <f>IF(AND(B30="",C30=""),"",IF(OR(I30="X",J30="X",K30="X",L30="X",M30="X",N30="X"),IF(OR(R30="",R30="无需处理"),"异常-待关闭","异常-已处理"),IF(OR(I30="",J30="",K30="",L30="",M30="",N30=""),"待完成",IF(AND(P30&lt;&gt;"",N(P30)&gt;0),"金额差异待解释","通过"))))</f>
        <v/>
      </c>
      <c r="R30" s="1526" t="n"/>
      <c r="S30" s="1528">
        <f>IF(D30="","",IF(OR(D30="取得子公司-同控",D30="取得子公司-非同控"),"查G7-8/G7-9",IF(D30="后续计量/划转","查G7-10",IF(OR(D30="处置-非一揽子",D30="处置-一揽子"),"查G7-11/G7-12",IF(D30="合营联营初始","查G7-13",IF(D30="权益法核算","查G7-14",IF(D30="内部交易抵销","查G7-15→G7-14",IF(D30="超额亏损/未确认损失","查G7-16",IF(D30="减值","查G7-17",IF(D30="预计负债(额外义务)","查G7-16预计负债+负债科目","查G7-2/G7-4"))))))))))</f>
        <v/>
      </c>
      <c r="T30" s="1526" t="n"/>
      <c r="U30" s="1526" t="n"/>
      <c r="V30" s="1526" t="n"/>
    </row>
    <row r="31" ht="19.95" customFormat="1" customHeight="1" s="802">
      <c r="A31" s="1807" t="n"/>
      <c r="B31" s="1807" t="n"/>
      <c r="C31" s="1807" t="n"/>
      <c r="D31" s="1807" t="n"/>
      <c r="E31" s="1807" t="n"/>
      <c r="F31" s="1808" t="n"/>
      <c r="G31" s="1808" t="n"/>
      <c r="H31" s="1809" t="n"/>
      <c r="I31" s="1810" t="n"/>
      <c r="J31" s="1526" t="n"/>
      <c r="K31" s="1526" t="n"/>
      <c r="L31" s="1526" t="n"/>
      <c r="M31" s="1526" t="n"/>
      <c r="N31" s="1526" t="n"/>
      <c r="O31" s="1811" t="n"/>
      <c r="P31" s="1812">
        <f>IF(OR(AND(F31="",G31=""),O31=""),"",ABS(N(O31)-IF(AND(F31&lt;&gt;"",G31&lt;&gt;""),N(F31)+N(G31),IF(N(F31)&gt;=N(G31),N(F31),N(G31)))))</f>
        <v/>
      </c>
      <c r="Q31" s="1813">
        <f>IF(AND(B31="",C31=""),"",IF(OR(I31="X",J31="X",K31="X",L31="X",M31="X",N31="X"),IF(OR(R31="",R31="无需处理"),"异常-待关闭","异常-已处理"),IF(OR(I31="",J31="",K31="",L31="",M31="",N31=""),"待完成",IF(AND(P31&lt;&gt;"",N(P31)&gt;0),"金额差异待解释","通过"))))</f>
        <v/>
      </c>
      <c r="R31" s="1526" t="n"/>
      <c r="S31" s="1528">
        <f>IF(D31="","",IF(OR(D31="取得子公司-同控",D31="取得子公司-非同控"),"查G7-8/G7-9",IF(D31="后续计量/划转","查G7-10",IF(OR(D31="处置-非一揽子",D31="处置-一揽子"),"查G7-11/G7-12",IF(D31="合营联营初始","查G7-13",IF(D31="权益法核算","查G7-14",IF(D31="内部交易抵销","查G7-15→G7-14",IF(D31="超额亏损/未确认损失","查G7-16",IF(D31="减值","查G7-17",IF(D31="预计负债(额外义务)","查G7-16预计负债+负债科目","查G7-2/G7-4"))))))))))</f>
        <v/>
      </c>
      <c r="T31" s="1526" t="n"/>
      <c r="U31" s="1526" t="n"/>
      <c r="V31" s="1526" t="n"/>
    </row>
    <row r="32" ht="19.95" customFormat="1" customHeight="1" s="802">
      <c r="A32" s="1814" t="n"/>
      <c r="B32" s="1814" t="n"/>
      <c r="C32" s="1814" t="n"/>
      <c r="D32" s="1814" t="n"/>
      <c r="E32" s="1814" t="n"/>
      <c r="F32" s="1815" t="n"/>
      <c r="G32" s="1815" t="n"/>
      <c r="H32" s="1526" t="n"/>
      <c r="I32" s="1816" t="n"/>
      <c r="J32" s="1816" t="n"/>
      <c r="K32" s="1816" t="n"/>
      <c r="L32" s="1816" t="n"/>
      <c r="M32" s="1816" t="n"/>
      <c r="N32" s="1816" t="n"/>
      <c r="O32" s="1527" t="n"/>
      <c r="P32" s="1525">
        <f>IF(OR(AND(F32="",G32=""),O32=""),"",ABS(N(O32)-IF(AND(F32&lt;&gt;"",G32&lt;&gt;""),N(F32)+N(G32),IF(N(F32)&gt;=N(G32),N(F32),N(G32)))))</f>
        <v/>
      </c>
      <c r="Q32" s="1558">
        <f>IF(AND(B32="",C32=""),"",IF(OR(I32="X",J32="X",K32="X",L32="X",M32="X",N32="X"),IF(OR(R32="",R32="无需处理"),"异常-待关闭","异常-已处理"),IF(OR(I32="",J32="",K32="",L32="",M32="",N32=""),"待完成",IF(AND(P32&lt;&gt;"",N(P32)&gt;0),"金额差异待解释","通过"))))</f>
        <v/>
      </c>
      <c r="R32" s="1526" t="n"/>
      <c r="S32" s="1528">
        <f>IF(D32="","",IF(OR(D32="取得子公司-同控",D32="取得子公司-非同控"),"查G7-8/G7-9",IF(D32="后续计量/划转","查G7-10",IF(OR(D32="处置-非一揽子",D32="处置-一揽子"),"查G7-11/G7-12",IF(D32="合营联营初始","查G7-13",IF(D32="权益法核算","查G7-14",IF(D32="内部交易抵销","查G7-15→G7-14",IF(D32="超额亏损/未确认损失","查G7-16",IF(D32="减值","查G7-17",IF(D32="预计负债(额外义务)","查G7-16预计负债+负债科目","查G7-2/G7-4"))))))))))</f>
        <v/>
      </c>
      <c r="T32" s="1526" t="n"/>
      <c r="U32" s="1526" t="n"/>
      <c r="V32" s="1526" t="n"/>
    </row>
    <row r="33" ht="19.95" customFormat="1" customHeight="1" s="795">
      <c r="A33" s="1817" t="n"/>
      <c r="B33" s="1818" t="n"/>
      <c r="C33" s="1819" t="n"/>
      <c r="D33" s="1820" t="n"/>
      <c r="E33" s="1820" t="n"/>
      <c r="F33" s="1821" t="n"/>
      <c r="G33" s="1821" t="n"/>
      <c r="H33" s="1818" t="n"/>
      <c r="I33" s="1775" t="n"/>
      <c r="J33" s="1775" t="n"/>
      <c r="K33" s="1775" t="n"/>
      <c r="L33" s="1775" t="n"/>
      <c r="M33" s="1775" t="n"/>
      <c r="N33" s="1775" t="n"/>
      <c r="O33" s="1822" t="n"/>
      <c r="P33" s="1823">
        <f>IF(OR(AND(F33="",G33=""),O33=""),"",ABS(N(O33)-IF(AND(F33&lt;&gt;"",G33&lt;&gt;""),N(F33)+N(G33),IF(N(F33)&gt;=N(G33),N(F33),N(G33)))))</f>
        <v/>
      </c>
      <c r="Q33" s="1790">
        <f>IF(AND(B33="",C33=""),"",IF(OR(I33="X",J33="X",K33="X",L33="X",M33="X",N33="X"),IF(OR(R33="",R33="无需处理"),"异常-待关闭","异常-已处理"),IF(OR(I33="",J33="",K33="",L33="",M33="",N33=""),"待完成",IF(AND(P33&lt;&gt;"",N(P33)&gt;0),"金额差异待解释","通过"))))</f>
        <v/>
      </c>
      <c r="R33" s="1526" t="n"/>
      <c r="S33" s="1528">
        <f>IF(D33="","",IF(OR(D33="取得子公司-同控",D33="取得子公司-非同控"),"查G7-8/G7-9",IF(D33="后续计量/划转","查G7-10",IF(OR(D33="处置-非一揽子",D33="处置-一揽子"),"查G7-11/G7-12",IF(D33="合营联营初始","查G7-13",IF(D33="权益法核算","查G7-14",IF(D33="内部交易抵销","查G7-15→G7-14",IF(D33="超额亏损/未确认损失","查G7-16",IF(D33="减值","查G7-17",IF(D33="预计负债(额外义务)","查G7-16预计负债+负债科目","查G7-2/G7-4"))))))))))</f>
        <v/>
      </c>
      <c r="T33" s="1526" t="n"/>
      <c r="U33" s="1526" t="n"/>
      <c r="V33" s="1526" t="n"/>
    </row>
    <row r="34" ht="19.95" customFormat="1" customHeight="1" s="795">
      <c r="A34" s="1817" t="n"/>
      <c r="B34" s="1818" t="n"/>
      <c r="C34" s="1820" t="n"/>
      <c r="D34" s="1820" t="n"/>
      <c r="E34" s="1820" t="n"/>
      <c r="F34" s="1821" t="n"/>
      <c r="G34" s="1821" t="n"/>
      <c r="H34" s="1818" t="n"/>
      <c r="I34" s="1775" t="n"/>
      <c r="J34" s="1775" t="n"/>
      <c r="K34" s="1775" t="n"/>
      <c r="L34" s="1775" t="n"/>
      <c r="M34" s="1775" t="n"/>
      <c r="N34" s="1775" t="n"/>
      <c r="O34" s="1822" t="n"/>
      <c r="P34" s="1823">
        <f>IF(OR(AND(F34="",G34=""),O34=""),"",ABS(N(O34)-IF(AND(F34&lt;&gt;"",G34&lt;&gt;""),N(F34)+N(G34),IF(N(F34)&gt;=N(G34),N(F34),N(G34)))))</f>
        <v/>
      </c>
      <c r="Q34" s="1790">
        <f>IF(AND(B34="",C34=""),"",IF(OR(I34="X",J34="X",K34="X",L34="X",M34="X",N34="X"),IF(OR(R34="",R34="无需处理"),"异常-待关闭","异常-已处理"),IF(OR(I34="",J34="",K34="",L34="",M34="",N34=""),"待完成",IF(AND(P34&lt;&gt;"",N(P34)&gt;0),"金额差异待解释","通过"))))</f>
        <v/>
      </c>
      <c r="R34" s="1526" t="n"/>
      <c r="S34" s="1528">
        <f>IF(D34="","",IF(OR(D34="取得子公司-同控",D34="取得子公司-非同控"),"查G7-8/G7-9",IF(D34="后续计量/划转","查G7-10",IF(OR(D34="处置-非一揽子",D34="处置-一揽子"),"查G7-11/G7-12",IF(D34="合营联营初始","查G7-13",IF(D34="权益法核算","查G7-14",IF(D34="内部交易抵销","查G7-15→G7-14",IF(D34="超额亏损/未确认损失","查G7-16",IF(D34="减值","查G7-17",IF(D34="预计负债(额外义务)","查G7-16预计负债+负债科目","查G7-2/G7-4"))))))))))</f>
        <v/>
      </c>
      <c r="T34" s="1526" t="n"/>
      <c r="U34" s="1526" t="n"/>
      <c r="V34" s="1526" t="n"/>
    </row>
    <row r="35" ht="19.95" customFormat="1" customHeight="1" s="795">
      <c r="A35" s="1824" t="inlineStr">
        <is>
          <t>样本合计</t>
        </is>
      </c>
      <c r="B35" s="811" t="n"/>
      <c r="C35" s="1385" t="n"/>
      <c r="D35" s="1385" t="n"/>
      <c r="E35" s="1385" t="n"/>
      <c r="F35" s="1825">
        <f>SUM(F25:F34)</f>
        <v/>
      </c>
      <c r="G35" s="1825">
        <f>SUM(G25:G34)</f>
        <v/>
      </c>
      <c r="H35" s="811" t="n"/>
      <c r="I35" s="1370" t="n"/>
      <c r="J35" s="1370" t="n"/>
      <c r="K35" s="1370" t="n"/>
      <c r="L35" s="1370" t="n"/>
      <c r="M35" s="1370" t="n"/>
      <c r="N35" s="1370" t="n"/>
      <c r="O35" s="1826">
        <f>SUM(O25:O34)</f>
        <v/>
      </c>
      <c r="P35" s="1823">
        <f>SUM(P25:P34)</f>
        <v/>
      </c>
      <c r="Q35" s="794" t="n"/>
    </row>
    <row r="36" ht="19.95" customFormat="1" customHeight="1" s="795">
      <c r="A36" s="1383" t="inlineStr">
        <is>
          <t>已填样本笔数</t>
        </is>
      </c>
      <c r="B36" s="1827">
        <f>COUNTA(B25:B34)</f>
        <v/>
      </c>
      <c r="C36" s="1385" t="inlineStr">
        <is>
          <t>异常笔数</t>
        </is>
      </c>
      <c r="D36" s="1828">
        <f>COUNTIF(Q25:Q34,"异常*")</f>
        <v/>
      </c>
      <c r="E36" s="1385" t="inlineStr">
        <is>
          <t>待完成笔数</t>
        </is>
      </c>
      <c r="F36" s="1829">
        <f>COUNTIF(Q25:Q34,"待完成")</f>
        <v/>
      </c>
      <c r="G36" s="1386" t="n"/>
      <c r="H36" s="811" t="n"/>
      <c r="I36" s="1856" t="inlineStr">
        <is>
          <t>待关闭异常</t>
        </is>
      </c>
      <c r="J36" s="1776">
        <f>COUNTIF(Q25:Q34,"异常-待关闭")+COUNTIF(Q42:Q46,"异常-待关闭")+COUNTIF(Q25:Q34,"金额差异待解释")+COUNTIF(Q42:Q46,"调整事项待处理")</f>
        <v/>
      </c>
      <c r="K36" s="1370" t="n"/>
      <c r="L36" s="1856" t="inlineStr">
        <is>
          <t>特定项目样本笔数</t>
        </is>
      </c>
      <c r="M36" s="1776">
        <f>COUNTIF(T25:T34,"特定项目")</f>
        <v/>
      </c>
      <c r="N36" s="1856" t="inlineStr">
        <is>
          <t>抽样样本笔数</t>
        </is>
      </c>
      <c r="O36" s="1827">
        <f>COUNTIF(T25:T34,"随机/系统抽样")+COUNTIF(T25:T34,"MUS")+COUNTIF(T25:T34,"补充样本")</f>
        <v/>
      </c>
      <c r="P36" s="794" t="n"/>
      <c r="Q36" s="794" t="n"/>
    </row>
    <row r="37" ht="20.1" customHeight="1" s="1097">
      <c r="A37" s="1383" t="inlineStr">
        <is>
          <t>借方金额覆盖率</t>
        </is>
      </c>
      <c r="B37" s="1830">
        <f>IF(OR(C11="",C11=0),"",F35/C11)</f>
        <v/>
      </c>
      <c r="C37" s="1385" t="inlineStr">
        <is>
          <t>贷方金额覆盖率</t>
        </is>
      </c>
      <c r="D37" s="1830">
        <f>IF(OR(E11="",E11=0),"",G35/E11)</f>
        <v/>
      </c>
      <c r="E37" s="1385" t="inlineStr">
        <is>
          <t>笔数覆盖率</t>
        </is>
      </c>
      <c r="F37" s="1831">
        <f>IF(OR(B11="",B11=0),"",B36/B11)</f>
        <v/>
      </c>
      <c r="G37" s="1386" t="inlineStr">
        <is>
          <t>异常率</t>
        </is>
      </c>
      <c r="H37" s="1830">
        <f>IF(B36=0,"",D36/B36)</f>
        <v/>
      </c>
      <c r="I37" s="1370" t="n"/>
      <c r="J37" s="1370" t="n"/>
      <c r="K37" s="1370" t="n"/>
      <c r="L37" s="1856" t="inlineStr">
        <is>
          <t>特定项目借方金额</t>
        </is>
      </c>
      <c r="M37" s="1857">
        <f>SUMIF(T25:T34,"特定项目",F25:F34)</f>
        <v/>
      </c>
      <c r="N37" s="1856" t="inlineStr">
        <is>
          <t>抽样借方金额</t>
        </is>
      </c>
      <c r="O37" s="1826">
        <f>SUM(F35)-M37</f>
        <v/>
      </c>
      <c r="P37" s="794" t="n"/>
      <c r="Q37" s="794" t="n"/>
    </row>
    <row r="38" ht="20.1" customFormat="1" customHeight="1" s="817">
      <c r="A38" s="1381" t="n"/>
      <c r="B38" s="812" t="n"/>
      <c r="C38" s="1387" t="n"/>
      <c r="D38" s="1387" t="n"/>
      <c r="E38" s="1387" t="n"/>
      <c r="F38" s="1388" t="n"/>
      <c r="G38" s="1388" t="n"/>
      <c r="H38" s="1389" t="n"/>
      <c r="I38" s="1389" t="n"/>
      <c r="J38" s="1389" t="n"/>
      <c r="K38" s="1390" t="n"/>
      <c r="L38" s="1858" t="inlineStr">
        <is>
          <t>特定覆盖率(借)</t>
        </is>
      </c>
      <c r="M38" s="1859">
        <f>IF(OR(C13="",C13=0),"",M37/C13)</f>
        <v/>
      </c>
      <c r="N38" s="1858" t="inlineStr">
        <is>
          <t>抽样占剩余(借)</t>
        </is>
      </c>
      <c r="O38" s="1860">
        <f>IF(OR(C14="",C14=0),"",O37/C14)</f>
        <v/>
      </c>
      <c r="P38" s="1389" t="n"/>
      <c r="Q38" s="1389" t="n"/>
    </row>
    <row r="39" ht="20.1" customHeight="1" s="1097">
      <c r="A39" s="1832" t="inlineStr">
        <is>
          <t>四、期后新增/处置及截止检查（资产负债表日至检查日）</t>
        </is>
      </c>
      <c r="B39" s="0" t="n"/>
      <c r="C39" s="0" t="n"/>
      <c r="D39" s="0" t="n"/>
      <c r="E39" s="0" t="n"/>
      <c r="F39" s="0" t="n"/>
      <c r="G39" s="0" t="n"/>
      <c r="H39" s="0" t="n"/>
      <c r="I39" s="0" t="n"/>
      <c r="J39" s="0" t="n"/>
      <c r="K39" s="0" t="n"/>
      <c r="L39" s="0" t="n"/>
      <c r="M39" s="0" t="n"/>
      <c r="N39" s="0" t="n"/>
      <c r="O39" s="0" t="n"/>
      <c r="P39" s="0" t="n"/>
      <c r="Q39" s="0" t="n"/>
      <c r="R39" s="0" t="n"/>
      <c r="S39" s="0" t="n"/>
      <c r="T39" s="0" t="n"/>
      <c r="U39" s="0" t="n"/>
      <c r="V39" s="0" t="n"/>
    </row>
    <row r="40" ht="20.1" customHeight="1" s="1097">
      <c r="A40" s="0" t="inlineStr">
        <is>
          <t>资产负债表日</t>
        </is>
      </c>
      <c r="B40" s="1526" t="n"/>
      <c r="C40" s="0" t="inlineStr">
        <is>
          <t>检查截止日</t>
        </is>
      </c>
      <c r="D40" s="1526" t="n"/>
      <c r="E40" s="0" t="inlineStr">
        <is>
          <t>期后总体笔数</t>
        </is>
      </c>
      <c r="F40" s="1527" t="n"/>
      <c r="G40" s="0" t="inlineStr">
        <is>
          <t>期后总体金额</t>
        </is>
      </c>
      <c r="H40" s="1527" t="n"/>
      <c r="I40" s="0" t="inlineStr">
        <is>
          <t>检查说明</t>
        </is>
      </c>
      <c r="J40" s="1526" t="n"/>
      <c r="K40" s="1583" t="n"/>
      <c r="L40" s="1583" t="n"/>
      <c r="M40" s="1583" t="n"/>
      <c r="N40" s="1584" t="n"/>
      <c r="O40" s="824" t="n"/>
      <c r="P40" s="824" t="n"/>
    </row>
    <row r="41" ht="30" customHeight="1" s="1097">
      <c r="A41" s="1833" t="inlineStr">
        <is>
          <t>日期</t>
        </is>
      </c>
      <c r="B41" s="1597" t="inlineStr">
        <is>
          <t>凭证编号</t>
        </is>
      </c>
      <c r="C41" s="1597" t="inlineStr">
        <is>
          <t>业务内容</t>
        </is>
      </c>
      <c r="D41" s="1597" t="inlineStr">
        <is>
          <t>交易类型</t>
        </is>
      </c>
      <c r="E41" s="1597" t="inlineStr">
        <is>
          <t>是否属期前交易</t>
        </is>
      </c>
      <c r="F41" s="1597" t="inlineStr">
        <is>
          <t>借方金额</t>
        </is>
      </c>
      <c r="G41" s="1597" t="inlineStr">
        <is>
          <t>贷方金额</t>
        </is>
      </c>
      <c r="H41" s="1597" t="inlineStr">
        <is>
          <t>支持性文件</t>
        </is>
      </c>
      <c r="I41" s="1833" t="inlineStr">
        <is>
          <t>1完整</t>
        </is>
      </c>
      <c r="J41" s="1833" t="inlineStr">
        <is>
          <t>2授权</t>
        </is>
      </c>
      <c r="K41" s="1833" t="inlineStr">
        <is>
          <t>3真实</t>
        </is>
      </c>
      <c r="L41" s="1833" t="inlineStr">
        <is>
          <t>4账务</t>
        </is>
      </c>
      <c r="M41" s="1833" t="inlineStr">
        <is>
          <t>5计价</t>
        </is>
      </c>
      <c r="N41" s="1833" t="inlineStr">
        <is>
          <t>6截止等</t>
        </is>
      </c>
      <c r="O41" s="1833" t="inlineStr">
        <is>
          <t>事项性质</t>
        </is>
      </c>
      <c r="P41" s="1833" t="inlineStr">
        <is>
          <t>错报/影响金额</t>
        </is>
      </c>
      <c r="Q41" s="1597" t="inlineStr">
        <is>
          <t>自动异常</t>
        </is>
      </c>
      <c r="R41" s="1597" t="inlineStr">
        <is>
          <t>处理结果</t>
        </is>
      </c>
      <c r="S41" s="1597" t="inlineStr">
        <is>
          <t>关联底稿提示</t>
        </is>
      </c>
      <c r="T41" s="1597" t="inlineStr">
        <is>
          <t>是否调整事项</t>
        </is>
      </c>
      <c r="U41" s="1597" t="inlineStr">
        <is>
          <t>索引号</t>
        </is>
      </c>
      <c r="V41" s="1597" t="inlineStr">
        <is>
          <t>备注</t>
        </is>
      </c>
    </row>
    <row r="42" ht="24.75" customHeight="1" s="1097">
      <c r="A42" s="1834" t="n"/>
      <c r="B42" s="1834" t="n"/>
      <c r="C42" s="1834" t="n"/>
      <c r="D42" s="1834" t="n"/>
      <c r="E42" s="1834" t="n"/>
      <c r="F42" s="1835" t="n"/>
      <c r="G42" s="1835" t="n"/>
      <c r="H42" s="1834" t="n"/>
      <c r="I42" s="1834" t="n"/>
      <c r="J42" s="1834" t="n"/>
      <c r="K42" s="1834" t="n"/>
      <c r="L42" s="1834" t="n"/>
      <c r="M42" s="1834" t="n"/>
      <c r="N42" s="1834" t="n"/>
      <c r="O42" s="1834" t="n"/>
      <c r="P42" s="1835" t="n"/>
      <c r="Q42" s="1558">
        <f>IF(AND(B42="",C42=""),"",IF(OR(I42="X",J42="X",K42="X",L42="X",M42="X",N42="X"),IF(OR(R42="",R42="无需处理"),"异常-待关闭","异常-已处理"),IF(OR(I42="",J42="",K42="",L42="",M42="",N42=""),"待完成",IF(AND(OR(E42="是",T42="是"),OR(R42="",R42="无需处理")),"调整事项待处理","通过"))))</f>
        <v/>
      </c>
      <c r="R42" s="1526" t="n"/>
      <c r="S42" s="1528">
        <f>IF(D42="","",IF(OR(D42="取得子公司-同控",D42="取得子公司-非同控"),"查G7-8/G7-9",IF(D42="后续计量/划转","查G7-10",IF(OR(D42="处置-非一揽子",D42="处置-一揽子"),"查G7-11/G7-12",IF(D42="合营联营初始","查G7-13",IF(D42="权益法核算","查G7-14",IF(D42="内部交易抵销","查G7-15→G7-14",IF(D42="超额亏损/未确认损失","查G7-16",IF(D42="减值","查G7-17",IF(D42="预计负债(额外义务)","查G7-16预计负债+负债科目","查G7-2/G7-4"))))))))))</f>
        <v/>
      </c>
      <c r="T42" s="1526" t="n"/>
      <c r="U42" s="1526" t="n"/>
      <c r="V42" s="1526" t="n"/>
    </row>
    <row r="43" ht="24.75" customHeight="1" s="1097">
      <c r="A43" s="1834" t="n"/>
      <c r="B43" s="1834" t="n"/>
      <c r="C43" s="1834" t="n"/>
      <c r="D43" s="1834" t="n"/>
      <c r="E43" s="1834" t="n"/>
      <c r="F43" s="1835" t="n"/>
      <c r="G43" s="1835" t="n"/>
      <c r="H43" s="1834" t="n"/>
      <c r="I43" s="1834" t="n"/>
      <c r="J43" s="1834" t="n"/>
      <c r="K43" s="1834" t="n"/>
      <c r="L43" s="1834" t="n"/>
      <c r="M43" s="1834" t="n"/>
      <c r="N43" s="1834" t="n"/>
      <c r="O43" s="1834" t="n"/>
      <c r="P43" s="1835" t="n"/>
      <c r="Q43" s="1558">
        <f>IF(AND(B43="",C43=""),"",IF(OR(I43="X",J43="X",K43="X",L43="X",M43="X",N43="X"),IF(OR(R43="",R43="无需处理"),"异常-待关闭","异常-已处理"),IF(OR(I43="",J43="",K43="",L43="",M43="",N43=""),"待完成",IF(AND(OR(E43="是",T43="是"),OR(R43="",R43="无需处理")),"调整事项待处理","通过"))))</f>
        <v/>
      </c>
      <c r="R43" s="1526" t="n"/>
      <c r="S43" s="1528">
        <f>IF(D43="","",IF(OR(D43="取得子公司-同控",D43="取得子公司-非同控"),"查G7-8/G7-9",IF(D43="后续计量/划转","查G7-10",IF(OR(D43="处置-非一揽子",D43="处置-一揽子"),"查G7-11/G7-12",IF(D43="合营联营初始","查G7-13",IF(D43="权益法核算","查G7-14",IF(D43="内部交易抵销","查G7-15→G7-14",IF(D43="超额亏损/未确认损失","查G7-16",IF(D43="减值","查G7-17",IF(D43="预计负债(额外义务)","查G7-16预计负债+负债科目","查G7-2/G7-4"))))))))))</f>
        <v/>
      </c>
      <c r="T43" s="1526" t="n"/>
      <c r="U43" s="1526" t="n"/>
      <c r="V43" s="1526" t="n"/>
    </row>
    <row r="44" ht="18" customHeight="1" s="1097">
      <c r="A44" s="1836" t="n"/>
      <c r="B44" s="1526" t="n"/>
      <c r="C44" s="1834" t="n"/>
      <c r="D44" s="1834" t="n"/>
      <c r="E44" s="1834" t="n"/>
      <c r="F44" s="1835" t="n"/>
      <c r="G44" s="1835" t="n"/>
      <c r="H44" s="1834" t="n"/>
      <c r="I44" s="1834" t="n"/>
      <c r="J44" s="1834" t="n"/>
      <c r="K44" s="1834" t="n"/>
      <c r="L44" s="1834" t="n"/>
      <c r="M44" s="1834" t="n"/>
      <c r="N44" s="1834" t="n"/>
      <c r="O44" s="1834" t="n"/>
      <c r="P44" s="1835" t="n"/>
      <c r="Q44" s="1558">
        <f>IF(AND(B44="",C44=""),"",IF(OR(I44="X",J44="X",K44="X",L44="X",M44="X",N44="X"),IF(OR(R44="",R44="无需处理"),"异常-待关闭","异常-已处理"),IF(OR(I44="",J44="",K44="",L44="",M44="",N44=""),"待完成",IF(AND(OR(E44="是",T44="是"),OR(R44="",R44="无需处理")),"调整事项待处理","通过"))))</f>
        <v/>
      </c>
      <c r="R44" s="1526" t="n"/>
      <c r="S44" s="1528">
        <f>IF(D44="","",IF(OR(D44="取得子公司-同控",D44="取得子公司-非同控"),"查G7-8/G7-9",IF(D44="后续计量/划转","查G7-10",IF(OR(D44="处置-非一揽子",D44="处置-一揽子"),"查G7-11/G7-12",IF(D44="合营联营初始","查G7-13",IF(D44="权益法核算","查G7-14",IF(D44="内部交易抵销","查G7-15→G7-14",IF(D44="超额亏损/未确认损失","查G7-16",IF(D44="减值","查G7-17",IF(D44="预计负债(额外义务)","查G7-16预计负债+负债科目","查G7-2/G7-4"))))))))))</f>
        <v/>
      </c>
      <c r="T44" s="1526" t="n"/>
      <c r="U44" s="1526" t="n"/>
      <c r="V44" s="1526" t="n"/>
    </row>
    <row r="45" ht="18" customHeight="1" s="1097">
      <c r="A45" s="1837" t="n"/>
      <c r="B45" s="1837" t="n"/>
      <c r="C45" s="1834" t="n"/>
      <c r="D45" s="1834" t="n"/>
      <c r="E45" s="1834" t="n"/>
      <c r="F45" s="1835" t="n"/>
      <c r="G45" s="1835" t="n"/>
      <c r="H45" s="1834" t="n"/>
      <c r="I45" s="1834" t="n"/>
      <c r="J45" s="1834" t="n"/>
      <c r="K45" s="1834" t="n"/>
      <c r="L45" s="1834" t="n"/>
      <c r="M45" s="1834" t="n"/>
      <c r="N45" s="1834" t="n"/>
      <c r="O45" s="1834" t="n"/>
      <c r="P45" s="1835" t="n"/>
      <c r="Q45" s="1558">
        <f>IF(AND(B45="",C45=""),"",IF(OR(I45="X",J45="X",K45="X",L45="X",M45="X",N45="X"),IF(OR(R45="",R45="无需处理"),"异常-待关闭","异常-已处理"),IF(OR(I45="",J45="",K45="",L45="",M45="",N45=""),"待完成",IF(AND(OR(E45="是",T45="是"),OR(R45="",R45="无需处理")),"调整事项待处理","通过"))))</f>
        <v/>
      </c>
      <c r="R45" s="1526" t="n"/>
      <c r="S45" s="1528">
        <f>IF(D45="","",IF(OR(D45="取得子公司-同控",D45="取得子公司-非同控"),"查G7-8/G7-9",IF(D45="后续计量/划转","查G7-10",IF(OR(D45="处置-非一揽子",D45="处置-一揽子"),"查G7-11/G7-12",IF(D45="合营联营初始","查G7-13",IF(D45="权益法核算","查G7-14",IF(D45="内部交易抵销","查G7-15→G7-14",IF(D45="超额亏损/未确认损失","查G7-16",IF(D45="减值","查G7-17",IF(D45="预计负债(额外义务)","查G7-16预计负债+负债科目","查G7-2/G7-4"))))))))))</f>
        <v/>
      </c>
      <c r="T45" s="1526" t="n"/>
      <c r="U45" s="1526" t="n"/>
      <c r="V45" s="1526" t="n"/>
    </row>
    <row r="46" ht="18" customHeight="1" s="1097">
      <c r="A46" s="1838" t="n"/>
      <c r="B46" s="1838" t="n"/>
      <c r="C46" s="1834" t="n"/>
      <c r="D46" s="1834" t="n"/>
      <c r="E46" s="1834" t="n"/>
      <c r="F46" s="1835" t="n"/>
      <c r="G46" s="1835" t="n"/>
      <c r="H46" s="1834" t="n"/>
      <c r="I46" s="1834" t="n"/>
      <c r="J46" s="1834" t="n"/>
      <c r="K46" s="1834" t="n"/>
      <c r="L46" s="1834" t="n"/>
      <c r="M46" s="1834" t="n"/>
      <c r="N46" s="1834" t="n"/>
      <c r="O46" s="1834" t="n"/>
      <c r="P46" s="1835" t="n"/>
      <c r="Q46" s="1558">
        <f>IF(AND(B46="",C46=""),"",IF(OR(I46="X",J46="X",K46="X",L46="X",M46="X",N46="X"),IF(OR(R46="",R46="无需处理"),"异常-待关闭","异常-已处理"),IF(OR(I46="",J46="",K46="",L46="",M46="",N46=""),"待完成",IF(AND(OR(E46="是",T46="是"),OR(R46="",R46="无需处理")),"调整事项待处理","通过"))))</f>
        <v/>
      </c>
      <c r="R46" s="1526" t="n"/>
      <c r="S46" s="1528">
        <f>IF(D46="","",IF(OR(D46="取得子公司-同控",D46="取得子公司-非同控"),"查G7-8/G7-9",IF(D46="后续计量/划转","查G7-10",IF(OR(D46="处置-非一揽子",D46="处置-一揽子"),"查G7-11/G7-12",IF(D46="合营联营初始","查G7-13",IF(D46="权益法核算","查G7-14",IF(D46="内部交易抵销","查G7-15→G7-14",IF(D46="超额亏损/未确认损失","查G7-16",IF(D46="减值","查G7-17",IF(D46="预计负债(额外义务)","查G7-16预计负债+负债科目","查G7-2/G7-4"))))))))))</f>
        <v/>
      </c>
      <c r="T46" s="1526" t="n"/>
      <c r="U46" s="1526" t="n"/>
      <c r="V46" s="1526" t="n"/>
    </row>
    <row r="47" ht="18" customHeight="1" s="1097">
      <c r="A47" s="827" t="inlineStr">
        <is>
          <t>期后样本合计</t>
        </is>
      </c>
      <c r="B47" s="658" t="n"/>
      <c r="C47" s="824" t="n"/>
      <c r="D47" s="824" t="n"/>
      <c r="E47" s="824" t="n"/>
      <c r="F47" s="1839">
        <f>SUM(F42:F46)</f>
        <v/>
      </c>
      <c r="G47" s="1839">
        <f>SUM(G42:G46)</f>
        <v/>
      </c>
      <c r="H47" s="824" t="n"/>
      <c r="I47" s="824" t="n"/>
      <c r="J47" s="824" t="n"/>
      <c r="K47" s="824" t="n"/>
      <c r="L47" s="824" t="n"/>
      <c r="M47" s="824" t="n"/>
      <c r="N47" s="824" t="n"/>
      <c r="O47" s="824" t="n"/>
      <c r="P47" s="1839">
        <f>SUM(P42:P46)</f>
        <v/>
      </c>
    </row>
    <row r="48" ht="18" customHeight="1" s="1097">
      <c r="A48" s="828" t="inlineStr">
        <is>
          <t>期后异常笔数</t>
        </is>
      </c>
      <c r="B48" s="1840">
        <f>COUNTIF(Q42:Q46,"异常*")</f>
        <v/>
      </c>
      <c r="C48" s="0" t="inlineStr">
        <is>
          <t>期后待完成</t>
        </is>
      </c>
      <c r="D48" s="1558">
        <f>COUNTIF(Q42:Q46,"待完成")</f>
        <v/>
      </c>
    </row>
    <row r="49" ht="18" customHeight="1" s="1097">
      <c r="A49" s="828" t="n"/>
      <c r="B49" s="658" t="n"/>
    </row>
    <row r="50" ht="18" customHeight="1" s="1097">
      <c r="A50" s="1841" t="inlineStr">
        <is>
          <t>五、样本结果评价</t>
        </is>
      </c>
      <c r="B50" s="0" t="n"/>
      <c r="C50" s="0" t="n"/>
      <c r="D50" s="0" t="n"/>
      <c r="E50" s="0" t="n"/>
      <c r="F50" s="0" t="n"/>
      <c r="G50" s="0" t="n"/>
      <c r="H50" s="0" t="n"/>
      <c r="I50" s="0" t="n"/>
      <c r="J50" s="0" t="n"/>
      <c r="K50" s="0" t="n"/>
      <c r="L50" s="0" t="n"/>
      <c r="M50" s="0" t="n"/>
      <c r="N50" s="0" t="n"/>
      <c r="O50" s="0" t="n"/>
      <c r="P50" s="0" t="n"/>
      <c r="Q50" s="0" t="n"/>
      <c r="R50" s="0" t="n"/>
      <c r="S50" s="0" t="n"/>
      <c r="T50" s="0" t="n"/>
      <c r="U50" s="0" t="n"/>
      <c r="V50" s="0" t="n"/>
    </row>
    <row r="51" ht="15.75" customHeight="1" s="1097">
      <c r="A51" s="1597" t="inlineStr">
        <is>
          <t>评价项目</t>
        </is>
      </c>
      <c r="C51" s="1597" t="inlineStr">
        <is>
          <t>金额/结果</t>
        </is>
      </c>
      <c r="E51" s="1597" t="inlineStr">
        <is>
          <t>说明</t>
        </is>
      </c>
    </row>
    <row r="52">
      <c r="A52" s="1842" t="inlineStr">
        <is>
          <t>本期已识别错报(含特定项目)</t>
        </is>
      </c>
      <c r="C52" s="1525">
        <f>P35</f>
        <v/>
      </c>
      <c r="E52" s="1617" t="inlineStr">
        <is>
          <t>样本中支持金额与账面差异合计</t>
        </is>
      </c>
    </row>
    <row r="53" customFormat="1" s="826">
      <c r="A53" s="1843" t="inlineStr">
        <is>
          <t>期后影响金额合计</t>
        </is>
      </c>
      <c r="B53" s="826" t="n"/>
      <c r="C53" s="1525">
        <f>P47</f>
        <v/>
      </c>
      <c r="E53" s="1617" t="inlineStr">
        <is>
          <t>期后检查识别的影响</t>
        </is>
      </c>
    </row>
    <row r="54" customFormat="1" s="826">
      <c r="A54" s="1843" t="inlineStr">
        <is>
          <t>已识别错报合计</t>
        </is>
      </c>
      <c r="B54" s="826" t="n"/>
      <c r="C54" s="1525">
        <f>N(C52)+N(C53)</f>
        <v/>
      </c>
      <c r="E54" s="1617" t="inlineStr">
        <is>
          <t>未含推断</t>
        </is>
      </c>
    </row>
    <row r="55" customFormat="1" s="826">
      <c r="A55" s="1843" t="inlineStr">
        <is>
          <t>推断总体错报(建议)</t>
        </is>
      </c>
      <c r="B55" s="826" t="n"/>
      <c r="C55" s="1525">
        <f>IF(OR(O37="",O37=0,C14=""),"",IF(SUMIF(T25:T34,"随机/系统抽样",P25:P34)+SUMIF(T25:T34,"MUS",P25:P34)+SUMIF(T25:T34,"补充样本",P25:P34)=0,0,ROUND((SUMIF(T25:T34,"随机/系统抽样",P25:P34)+SUMIF(T25:T34,"MUS",P25:P34)+SUMIF(T25:T34,"补充样本",P25:P34))/O37*N(C14),2)))</f>
        <v/>
      </c>
      <c r="E55" s="1617" t="inlineStr">
        <is>
          <t>≈抽样样本错报合计÷抽样借方金额×剩余借方总体；可手工覆盖</t>
        </is>
      </c>
    </row>
    <row r="56" customFormat="1" s="826">
      <c r="A56" s="1843" t="inlineStr">
        <is>
          <t>与可容忍错报比较</t>
        </is>
      </c>
      <c r="B56" s="826" t="n"/>
      <c r="C56" s="1558">
        <f>IF(OR(I11="",C54=""),"",IF(N(C54)+N(C55)&gt;N(I11),"超过可容忍错报","未超过可容忍错报"))</f>
        <v/>
      </c>
      <c r="E56" s="1617" t="inlineStr">
        <is>
          <t>自动</t>
        </is>
      </c>
    </row>
    <row r="57" customFormat="1" s="826">
      <c r="A57" s="1843" t="inlineStr">
        <is>
          <t>是否需要扩大样本</t>
        </is>
      </c>
      <c r="C57" s="1558">
        <f>IF(C56="","",IF(OR(C56="超过可容忍错报",H37&gt;0.05,D36&gt;=2,J36&gt;0,N(C55)&gt;N(I11)*0.5),"建议扩大样本/改全查","可维持现有样本-需判断"))</f>
        <v/>
      </c>
      <c r="E57" s="1617" t="inlineStr">
        <is>
          <t>自动</t>
        </is>
      </c>
    </row>
    <row r="58" customFormat="1" s="826">
      <c r="A58" s="1843" t="inlineStr">
        <is>
          <t>系统性错误迹象</t>
        </is>
      </c>
      <c r="B58" s="1138" t="n"/>
      <c r="C58" s="1844" t="n"/>
      <c r="E58" s="1617" t="inlineStr">
        <is>
          <t>是/否，手工</t>
        </is>
      </c>
    </row>
    <row r="59" customFormat="1" s="826">
      <c r="A59" s="1862" t="inlineStr">
        <is>
          <t>五(附)、权益法专项底稿交叉索引（选样前对照；金额取自各表公式）</t>
        </is>
      </c>
      <c r="B59" s="0" t="n"/>
      <c r="C59" s="0" t="n"/>
      <c r="D59" s="0" t="n"/>
      <c r="E59" s="0" t="n"/>
      <c r="F59" s="0" t="n"/>
      <c r="G59" s="0" t="n"/>
      <c r="H59" s="0" t="n"/>
      <c r="I59" s="0" t="n"/>
      <c r="J59" s="0" t="n"/>
      <c r="K59" s="0" t="n"/>
      <c r="L59" s="0" t="n"/>
    </row>
    <row r="60" customFormat="1" s="826">
      <c r="A60" s="1845" t="inlineStr">
        <is>
          <t>六、审计说明</t>
        </is>
      </c>
      <c r="B60" s="1136" t="n"/>
      <c r="C60" s="1136" t="n"/>
    </row>
    <row r="61" customFormat="1" s="826">
      <c r="A61" s="830" t="inlineStr">
        <is>
          <t>（自动汇总异常/待完成；可继续手工补充）</t>
        </is>
      </c>
      <c r="B61" s="1136" t="n"/>
      <c r="C61" s="1109" t="n"/>
    </row>
    <row r="62" ht="48" customFormat="1" customHeight="1" s="826">
      <c r="A62" s="1617">
        <f>IF(AND(COUNTA(B25:B34)=0,COUNTA(B42:B46)=0),"（尚未录入凭证样本。请先完成第二节抽样参数，再抽凭填列第三节/第四节。）",IF(TEXTJOIN("；",TRUE,IF(AND(F12&lt;&gt;"",F12&lt;&gt;"勾稽一致"),"总体:"&amp;F12,""),IF(AND(F14&lt;&gt;"",F14&lt;&gt;"通过"),"剩余总体:"&amp;F14,""),IF(AND(I20&lt;&gt;"",I20&lt;&gt;"通过"),"样本量:"&amp;I20,""),IF(D36&gt;0,"本期异常"&amp;D36&amp;"笔",""),IF(F36&gt;0,"本期待完成"&amp;F36&amp;"笔",""),IF(B48&gt;0,"期后异常"&amp;B48&amp;"笔",""),IF(D48&gt;0,"期后待完成"&amp;D48&amp;"笔",""),IF(J36&gt;0,"待关闭/待解释事项"&amp;J36&amp;"项",""),IF(AND(M38&lt;&gt;"",M38&lt;0.95),"特定项目借方覆盖不足",""),IF(AND(C56&lt;&gt;"",C56&lt;&gt;"未超过可容忍错报"),C56,""),IF(AND(C57&lt;&gt;"",LEFT(C57,2)="建议"),C57,""),IF(AND(Q25&lt;&gt;"",Q25&lt;&gt;"通过"),IF(B25="","行25",B25)&amp;"："&amp;Q25,""),IF(AND(Q26&lt;&gt;"",Q26&lt;&gt;"通过"),IF(B26="","行26",B26)&amp;"："&amp;Q26,""),IF(AND(Q27&lt;&gt;"",Q27&lt;&gt;"通过"),IF(B27="","行27",B27)&amp;"："&amp;Q27,""),IF(AND(Q28&lt;&gt;"",Q28&lt;&gt;"通过"),IF(B28="","行28",B28)&amp;"："&amp;Q28,""),IF(AND(Q29&lt;&gt;"",Q29&lt;&gt;"通过"),IF(B29="","行29",B29)&amp;"："&amp;Q29,""),IF(AND(Q30&lt;&gt;"",Q30&lt;&gt;"通过"),IF(B30="","行30",B30)&amp;"："&amp;Q30,""),IF(AND(Q31&lt;&gt;"",Q31&lt;&gt;"通过"),IF(B31="","行31",B31)&amp;"："&amp;Q31,""),IF(AND(Q32&lt;&gt;"",Q32&lt;&gt;"通过"),IF(B32="","行32",B32)&amp;"："&amp;Q32,""),IF(AND(Q33&lt;&gt;"",Q33&lt;&gt;"通过"),IF(B33="","行33",B33)&amp;"："&amp;Q33,""),IF(AND(Q34&lt;&gt;"",Q34&lt;&gt;"通过"),IF(B34="","行34",B34)&amp;"："&amp;Q34,""),IF(AND(Q42&lt;&gt;"",Q42&lt;&gt;"通过"),IF(B42="","行42",B42)&amp;"："&amp;Q42,""),IF(AND(Q43&lt;&gt;"",Q43&lt;&gt;"通过"),IF(B43="","行43",B43)&amp;"："&amp;Q43,""),IF(AND(Q44&lt;&gt;"",Q44&lt;&gt;"通过"),IF(B44="","行44",B44)&amp;"："&amp;Q44,""),IF(AND(Q45&lt;&gt;"",Q45&lt;&gt;"通过"),IF(B45="","行45",B45)&amp;"："&amp;Q45,""),IF(AND(Q46&lt;&gt;"",Q46&lt;&gt;"通过"),IF(B46="","行46",B46)&amp;"："&amp;Q46,""))="","自动复核未见未通过项。请结合覆盖率与样本评价完成结论勾选。",TEXTJOIN("；",TRUE,IF(AND(F12&lt;&gt;"",F12&lt;&gt;"勾稽一致"),"总体:"&amp;F12,""),IF(AND(F14&lt;&gt;"",F14&lt;&gt;"通过"),"剩余总体:"&amp;F14,""),IF(AND(I20&lt;&gt;"",I20&lt;&gt;"通过"),"样本量:"&amp;I20,""),IF(D36&gt;0,"本期异常"&amp;D36&amp;"笔",""),IF(F36&gt;0,"本期待完成"&amp;F36&amp;"笔",""),IF(B48&gt;0,"期后异常"&amp;B48&amp;"笔",""),IF(D48&gt;0,"期后待完成"&amp;D48&amp;"笔",""),IF(J36&gt;0,"待关闭/待解释事项"&amp;J36&amp;"项",""),IF(AND(M38&lt;&gt;"",M38&lt;0.95),"特定项目借方覆盖不足",""),IF(AND(C56&lt;&gt;"",C56&lt;&gt;"未超过可容忍错报"),C56,""),IF(AND(C57&lt;&gt;"",LEFT(C57,2)="建议"),C57,""),IF(AND(Q25&lt;&gt;"",Q25&lt;&gt;"通过"),IF(B25="","行25",B25)&amp;"："&amp;Q25,""),IF(AND(Q26&lt;&gt;"",Q26&lt;&gt;"通过"),IF(B26="","行26",B26)&amp;"："&amp;Q26,""),IF(AND(Q27&lt;&gt;"",Q27&lt;&gt;"通过"),IF(B27="","行27",B27)&amp;"："&amp;Q27,""),IF(AND(Q28&lt;&gt;"",Q28&lt;&gt;"通过"),IF(B28="","行28",B28)&amp;"："&amp;Q28,""),IF(AND(Q29&lt;&gt;"",Q29&lt;&gt;"通过"),IF(B29="","行29",B29)&amp;"："&amp;Q29,""),IF(AND(Q30&lt;&gt;"",Q30&lt;&gt;"通过"),IF(B30="","行30",B30)&amp;"："&amp;Q30,""),IF(AND(Q31&lt;&gt;"",Q31&lt;&gt;"通过"),IF(B31="","行31",B31)&amp;"："&amp;Q31,""),IF(AND(Q32&lt;&gt;"",Q32&lt;&gt;"通过"),IF(B32="","行32",B32)&amp;"："&amp;Q32,""),IF(AND(Q33&lt;&gt;"",Q33&lt;&gt;"通过"),IF(B33="","行33",B33)&amp;"："&amp;Q33,""),IF(AND(Q34&lt;&gt;"",Q34&lt;&gt;"通过"),IF(B34="","行34",B34)&amp;"："&amp;Q34,""),IF(AND(Q42&lt;&gt;"",Q42&lt;&gt;"通过"),IF(B42="","行42",B42)&amp;"："&amp;Q42,""),IF(AND(Q43&lt;&gt;"",Q43&lt;&gt;"通过"),IF(B43="","行43",B43)&amp;"："&amp;Q43,""),IF(AND(Q44&lt;&gt;"",Q44&lt;&gt;"通过"),IF(B44="","行44",B44)&amp;"："&amp;Q44,""),IF(AND(Q45&lt;&gt;"",Q45&lt;&gt;"通过"),IF(B45="","行45",B45)&amp;"："&amp;Q45,""),IF(AND(Q46&lt;&gt;"",Q46&lt;&gt;"通过"),IF(B46="","行46",B46)&amp;"："&amp;Q46,""))))</f>
        <v/>
      </c>
    </row>
    <row r="63" customFormat="1" s="826"/>
    <row r="64"/>
    <row r="65">
      <c r="B65" s="826" t="n"/>
    </row>
    <row r="66">
      <c r="A66" s="1619" t="inlineStr">
        <is>
          <t>七、审计结论</t>
        </is>
      </c>
      <c r="B66" s="826" t="n"/>
    </row>
    <row r="67" ht="40" customHeight="1" s="1097">
      <c r="A67" s="1617" t="inlineStr">
        <is>
          <t>经凭证检查，长期股权投资相关交易 □未见异常  □除下列重大不符事项应调整外其余未见异常  □因重大未调整事项或范围受限不可确认（说明：__________）。样本覆盖与评价见第五部分；异常及金额差异事项已关闭或已在说明中充分披露；待关闭事项见J36。</t>
        </is>
      </c>
    </row>
    <row r="68"/>
    <row r="69">
      <c r="B69" s="826" t="n"/>
    </row>
    <row r="70">
      <c r="A70" s="1619" t="inlineStr">
        <is>
          <t>八、审计轨迹</t>
        </is>
      </c>
      <c r="B70" s="826" t="n"/>
    </row>
    <row r="71">
      <c r="B71" s="1597" t="inlineStr">
        <is>
          <t>编制人</t>
        </is>
      </c>
      <c r="D71" s="1597" t="inlineStr">
        <is>
          <t>编制日期</t>
        </is>
      </c>
      <c r="F71" s="1597" t="inlineStr">
        <is>
          <t>复核人</t>
        </is>
      </c>
      <c r="H71" s="1597" t="inlineStr">
        <is>
          <t>复核日期</t>
        </is>
      </c>
    </row>
    <row r="72">
      <c r="B72" s="1846" t="n"/>
      <c r="D72" s="1526" t="n"/>
      <c r="F72" s="1526" t="n"/>
      <c r="H72" s="1526" t="n"/>
    </row>
    <row r="73">
      <c r="B73" s="826" t="inlineStr">
        <is>
          <t>关键证据索引（总账导出/IDEA抽样文件/凭证复印件/协议/G7-1/G7-14权益法/G7-15内部交易/G7-16未确认损失/G7-17减值）</t>
        </is>
      </c>
      <c r="E73" s="1526" t="n"/>
      <c r="F73" s="1583" t="n"/>
      <c r="G73" s="1583" t="n"/>
      <c r="H73" s="1583" t="n"/>
      <c r="I73" s="1583" t="n"/>
      <c r="J73" s="1583" t="n"/>
      <c r="K73" s="1583" t="n"/>
      <c r="L73" s="1583" t="n"/>
      <c r="M73" s="1583" t="n"/>
      <c r="N73" s="1583" t="n"/>
      <c r="O73" s="1583" t="n"/>
      <c r="P73" s="1583" t="n"/>
      <c r="Q73" s="1583" t="n"/>
      <c r="R73" s="1583" t="n"/>
      <c r="S73" s="1583" t="n"/>
      <c r="T73" s="1583" t="n"/>
      <c r="U73" s="1583" t="n"/>
      <c r="V73" s="1584" t="n"/>
    </row>
    <row r="74">
      <c r="B74" s="826" t="n"/>
    </row>
    <row r="75">
      <c r="A75" s="1619" t="inlineStr">
        <is>
          <t>附录：抽样参考（非本项目执行记录）</t>
        </is>
      </c>
    </row>
    <row r="76">
      <c r="A76" s="1847" t="inlineStr">
        <is>
          <t>1) 特定项目（大额/关联方/特别风险）应全部测试，不构成审计抽样。</t>
        </is>
      </c>
      <c r="B76" s="0" t="n"/>
      <c r="C76" s="0" t="n"/>
      <c r="D76" s="0" t="n"/>
      <c r="E76" s="0" t="n"/>
      <c r="F76" s="0" t="n"/>
      <c r="G76" s="0" t="n"/>
      <c r="H76" s="0" t="n"/>
      <c r="I76" s="0" t="n"/>
      <c r="J76" s="0" t="n"/>
      <c r="K76" s="0" t="n"/>
      <c r="L76" s="0" t="n"/>
      <c r="M76" s="0" t="n"/>
      <c r="N76" s="0" t="n"/>
      <c r="O76" s="0" t="n"/>
      <c r="P76" s="0" t="n"/>
      <c r="Q76" s="0" t="n"/>
      <c r="R76" s="0" t="n"/>
      <c r="S76" s="0" t="n"/>
      <c r="T76" s="0" t="n"/>
      <c r="U76" s="0" t="n"/>
      <c r="V76" s="0" t="n"/>
    </row>
    <row r="77">
      <c r="A77" s="1617" t="inlineStr">
        <is>
          <t>2) 统计抽样需随机选样并用概率论评价；否则为非统计抽样，依赖职业判断。</t>
        </is>
      </c>
    </row>
    <row r="78">
      <c r="A78" s="1617" t="inlineStr">
        <is>
          <t>3) 参考样本量≈剩余总体金额×风险系数/(可容忍错报−预计错报×扩展系数)。</t>
        </is>
      </c>
    </row>
    <row r="79">
      <c r="A79" s="1617" t="inlineStr">
        <is>
          <t>4) 误受风险1%/5%/10%时，预计错报扩展系数常见参考为1.9/1.6/1.5。</t>
        </is>
      </c>
    </row>
    <row r="80">
      <c r="A80" s="1617" t="inlineStr">
        <is>
          <t>5) 发现错报应评价是否系统性错误，并决定扩大样本、调整或修改风险应对。</t>
        </is>
      </c>
    </row>
    <row r="81">
      <c r="A81" s="1617" t="inlineStr">
        <is>
          <t>6) 期后检查重点：截止错误、期后处置/新增、减值迹象恶化、调整 vs 非调整事项。</t>
        </is>
      </c>
    </row>
    <row r="82">
      <c r="B82" s="826" t="n"/>
    </row>
    <row r="83">
      <c r="A83" s="0" t="inlineStr">
        <is>
          <t>预计错报扩展系数参考</t>
        </is>
      </c>
      <c r="B83" s="826" t="n"/>
    </row>
    <row r="84">
      <c r="B84" s="1833" t="inlineStr">
        <is>
          <t>误受风险%</t>
        </is>
      </c>
      <c r="C84" s="1597" t="inlineStr">
        <is>
          <t>扩展系数</t>
        </is>
      </c>
    </row>
    <row r="85">
      <c r="B85" s="1848" t="n">
        <v>1</v>
      </c>
      <c r="C85" s="1849" t="n">
        <v>1.9</v>
      </c>
    </row>
    <row r="86">
      <c r="B86" s="1849" t="n">
        <v>5</v>
      </c>
      <c r="C86" s="1849" t="n">
        <v>1.6</v>
      </c>
    </row>
    <row r="87">
      <c r="B87" s="1849" t="n">
        <v>10</v>
      </c>
      <c r="C87" s="1849" t="n">
        <v>1.5</v>
      </c>
    </row>
    <row r="88">
      <c r="A88" s="1863" t="inlineStr">
        <is>
          <t>附录B：权益法专项底稿交叉索引（选样/核对用）</t>
        </is>
      </c>
    </row>
    <row r="89">
      <c r="A89" s="1864" t="inlineStr">
        <is>
          <t>底稿</t>
        </is>
      </c>
      <c r="B89" s="1865" t="inlineStr">
        <is>
          <t>关键指标</t>
        </is>
      </c>
      <c r="C89" s="1865" t="inlineStr">
        <is>
          <t>金额/结果</t>
        </is>
      </c>
      <c r="D89" s="1864" t="inlineStr">
        <is>
          <t>抽凭关注点</t>
        </is>
      </c>
      <c r="E89" s="1864" t="inlineStr">
        <is>
          <t>索引</t>
        </is>
      </c>
    </row>
    <row r="90" ht="28" customHeight="1" s="1097">
      <c r="A90" s="1771" t="inlineStr">
        <is>
          <t>G7-14</t>
        </is>
      </c>
      <c r="B90" s="1842" t="inlineStr">
        <is>
          <t>权益法投资收益测算差异等</t>
        </is>
      </c>
      <c r="C90" s="1866">
        <f>IFERROR('权益法测算表G7-14'!L21,"")</f>
        <v/>
      </c>
      <c r="D90" s="1867" t="inlineStr">
        <is>
          <t>抽「权益法核算」类凭证；核对损益调整分录</t>
        </is>
      </c>
      <c r="E90" s="1771" t="inlineStr">
        <is>
          <t>G7-14</t>
        </is>
      </c>
    </row>
    <row r="91" ht="28" customHeight="1" s="1097">
      <c r="A91" s="1771" t="inlineStr">
        <is>
          <t>G7-15</t>
        </is>
      </c>
      <c r="B91" s="1842" t="inlineStr">
        <is>
          <t>内部交易投资收益调整⑦合计</t>
        </is>
      </c>
      <c r="C91" s="1866">
        <f>IFERROR('权益法未实现内部交易抵销测算表G7-15'!G32,"")</f>
        <v/>
      </c>
      <c r="D91" s="1867" t="inlineStr">
        <is>
          <t>抽「内部交易抵销」类；核对抵销分录与比例</t>
        </is>
      </c>
      <c r="E91" s="1771" t="inlineStr">
        <is>
          <t>G7-15</t>
        </is>
      </c>
    </row>
    <row r="92" ht="28" customHeight="1" s="1097">
      <c r="A92" s="1771" t="inlineStr">
        <is>
          <t>G7-16</t>
        </is>
      </c>
      <c r="B92" s="1842" t="inlineStr">
        <is>
          <t>未确认投资损失期末合计</t>
        </is>
      </c>
      <c r="C92" s="1866">
        <f>IFERROR('未确认投资损失测试表G7-16'!J25,"")</f>
        <v/>
      </c>
      <c r="D92" s="1867" t="inlineStr">
        <is>
          <t>抽「超额亏损/未确认损失」「预计负债」；备查与冲减顺序</t>
        </is>
      </c>
      <c r="E92" s="1771" t="inlineStr">
        <is>
          <t>G7-16</t>
        </is>
      </c>
    </row>
    <row r="93" ht="28" customHeight="1" s="1097">
      <c r="A93" s="1771" t="inlineStr">
        <is>
          <t>G7-17</t>
        </is>
      </c>
      <c r="B93" s="1842" t="inlineStr">
        <is>
          <t>建议补提减值（少提合计）</t>
        </is>
      </c>
      <c r="C93" s="1866">
        <f>IFERROR('减值测试表G7-17'!C54,"")</f>
        <v/>
      </c>
      <c r="D93" s="1867" t="inlineStr">
        <is>
          <t>抽「减值」类凭证；禁止转回检查</t>
        </is>
      </c>
      <c r="E93" s="1771" t="inlineStr">
        <is>
          <t>G7-17</t>
        </is>
      </c>
    </row>
    <row r="94">
      <c r="A94" s="1868" t="inlineStr">
        <is>
          <t>说明：上表便于对照专项测算是否需抽对应凭证；C列为空表示源表未出数。G7-14的L21为第1部分投资收益差异合计。</t>
        </is>
      </c>
    </row>
    <row r="95">
      <c r="B95" s="831" t="n"/>
      <c r="C95" s="826" t="n"/>
    </row>
    <row r="96" ht="25.8" customHeight="1" s="1097">
      <c r="B96" s="832" t="n"/>
      <c r="C96" s="832" t="n"/>
    </row>
    <row r="97">
      <c r="B97" s="833" t="n"/>
      <c r="C97" s="833" t="n"/>
    </row>
    <row r="98">
      <c r="B98" s="833" t="n"/>
      <c r="C98" s="833" t="n"/>
    </row>
    <row r="99">
      <c r="B99" s="833" t="n"/>
      <c r="C99" s="833" t="n"/>
    </row>
  </sheetData>
  <mergeCells count="30">
    <mergeCell ref="A2:V2"/>
    <mergeCell ref="E73:V73"/>
    <mergeCell ref="A76:V76"/>
    <mergeCell ref="A67:V68"/>
    <mergeCell ref="E57:H57"/>
    <mergeCell ref="A23:V23"/>
    <mergeCell ref="A8:V8"/>
    <mergeCell ref="M13:O13"/>
    <mergeCell ref="A22:V22"/>
    <mergeCell ref="E54:H54"/>
    <mergeCell ref="A94:H94"/>
    <mergeCell ref="A81:V81"/>
    <mergeCell ref="A88:H88"/>
    <mergeCell ref="J40:N40"/>
    <mergeCell ref="E56:H56"/>
    <mergeCell ref="E53:H53"/>
    <mergeCell ref="E58:H58"/>
    <mergeCell ref="A62:V64"/>
    <mergeCell ref="A39:V39"/>
    <mergeCell ref="A77:V77"/>
    <mergeCell ref="E55:H55"/>
    <mergeCell ref="E52:H52"/>
    <mergeCell ref="A1:V1"/>
    <mergeCell ref="A79:V79"/>
    <mergeCell ref="A6:V6"/>
    <mergeCell ref="A78:V78"/>
    <mergeCell ref="A59:L59"/>
    <mergeCell ref="A80:V80"/>
    <mergeCell ref="I19:J19"/>
    <mergeCell ref="A50:V50"/>
  </mergeCells>
  <conditionalFormatting sqref="Q25:Q34">
    <cfRule type="expression" priority="1" dxfId="4">
      <formula>AND(Q25&lt;&gt;"",Q25&lt;&gt;"通过",Q25&lt;&gt;"勾稽一致",Q25&lt;&gt;"未超过可容忍错报",Q25&lt;&gt;"可维持现有样本-需判断")</formula>
    </cfRule>
  </conditionalFormatting>
  <conditionalFormatting sqref="Q42:Q46">
    <cfRule type="expression" priority="2" dxfId="4">
      <formula>AND(Q42&lt;&gt;"",Q42&lt;&gt;"通过",Q42&lt;&gt;"勾稽一致",Q42&lt;&gt;"未超过可容忍错报",Q42&lt;&gt;"可维持现有样本-需判断")</formula>
    </cfRule>
  </conditionalFormatting>
  <conditionalFormatting sqref="F12">
    <cfRule type="expression" priority="3" dxfId="4">
      <formula>AND(F12&lt;&gt;"",F12&lt;&gt;"通过",F12&lt;&gt;"勾稽一致",F12&lt;&gt;"未超过可容忍错报",F12&lt;&gt;"可维持现有样本-需判断")</formula>
    </cfRule>
  </conditionalFormatting>
  <conditionalFormatting sqref="F14">
    <cfRule type="expression" priority="4" dxfId="4">
      <formula>AND(F14&lt;&gt;"",F14&lt;&gt;"通过",F14&lt;&gt;"勾稽一致",F14&lt;&gt;"未超过可容忍错报",F14&lt;&gt;"可维持现有样本-需判断")</formula>
    </cfRule>
  </conditionalFormatting>
  <conditionalFormatting sqref="I20">
    <cfRule type="expression" priority="5" dxfId="4">
      <formula>AND(I20&lt;&gt;"",I20&lt;&gt;"通过",I20&lt;&gt;"勾稽一致",I20&lt;&gt;"未超过可容忍错报",I20&lt;&gt;"可维持现有样本-需判断")</formula>
    </cfRule>
  </conditionalFormatting>
  <conditionalFormatting sqref="C56">
    <cfRule type="expression" priority="6" dxfId="4">
      <formula>AND(C56&lt;&gt;"",C56&lt;&gt;"通过",C56&lt;&gt;"勾稽一致",C56&lt;&gt;"未超过可容忍错报",C56&lt;&gt;"可维持现有样本-需判断")</formula>
    </cfRule>
  </conditionalFormatting>
  <conditionalFormatting sqref="C57">
    <cfRule type="expression" priority="7" dxfId="4">
      <formula>AND(C57&lt;&gt;"",C57&lt;&gt;"通过",C57&lt;&gt;"勾稽一致",C57&lt;&gt;"未超过可容忍错报",C57&lt;&gt;"可维持现有样本-需判断")</formula>
    </cfRule>
  </conditionalFormatting>
  <dataValidations count="7">
    <dataValidation sqref="I25:N34 I42:N46" showDropDown="0" showInputMessage="0" showErrorMessage="0" allowBlank="1" type="list">
      <formula1>"√,X,N/A"</formula1>
    </dataValidation>
    <dataValidation sqref="T25:T34" showDropDown="0" showInputMessage="0" showErrorMessage="0" allowBlank="1" type="list">
      <formula1>"特定项目,随机/系统抽样,MUS,补充样本"</formula1>
    </dataValidation>
    <dataValidation sqref="I18" showDropDown="0" showInputMessage="0" showErrorMessage="0" allowBlank="1" type="list">
      <formula1>"随机选样,系统选样,货币单元抽样,随意选样,全部项目,特定项目"</formula1>
    </dataValidation>
    <dataValidation sqref="C58 E42:E46 T42:T46" showDropDown="0" showInputMessage="0" showErrorMessage="0" allowBlank="1" type="list">
      <formula1>"是,否"</formula1>
    </dataValidation>
    <dataValidation sqref="O42:O46" showDropDown="0" showInputMessage="0" showErrorMessage="0" allowBlank="1" type="list">
      <formula1>"调整事项,非调整披露事项,无关"</formula1>
    </dataValidation>
    <dataValidation sqref="R25:R34 R42:R46" showDropDown="0" showInputMessage="0" showErrorMessage="0" allowBlank="1" type="list">
      <formula1>"无需处理,建议调整已接受,建议调整未接受,扩大样本,关闭-不重大"</formula1>
    </dataValidation>
    <dataValidation sqref="D25:D34 D42:D46" showDropDown="0" showInputMessage="0" showErrorMessage="1" allowBlank="1" errorTitle="交易类型" error="请从列表选择交易类型。" type="list">
      <formula1>"取得子公司-同控,取得子公司-非同控,合营联营初始,后续计量/划转,处置-非一揽子,处置-一揽子,权益法核算,内部交易抵销,超额亏损/未确认损失,减值,预计负债(额外义务),其他"</formula1>
    </dataValidation>
  </dataValidations>
  <hyperlinks>
    <hyperlink ref="Q3" location="底稿目录!F18" display="=底稿目录!F19"/>
  </hyperlinks>
  <pageMargins left="0.7086614173228351" right="0.7086614173228351" top="0.748031496062992" bottom="0.748031496062992" header="0.31496062992126" footer="0.31496062992126"/>
  <pageSetup orientation="landscape" paperSize="9" scale="70" fitToHeight="0" blackAndWhite="1"/>
  <headerFooter>
    <oddHeader/>
    <oddFooter>&amp;C&amp;P/&amp;N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2014-10-22T06:57:25Z</dcterms:created>
  <dcterms:modified xmlns:dcterms="http://purl.org/dc/terms/" xmlns:xsi="http://www.w3.org/2001/XMLSchema-instance" xsi:type="dcterms:W3CDTF">2026-07-19T14:45:43Z</dcterms:modified>
  <cp:lastModifiedBy>何先琴</cp:lastModifiedBy>
  <cp:lastPrinted>2025-10-27T03:07:09Z</cp:lastPrinted>
</cp:coreProperties>
</file>