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893"/>
  </bookViews>
  <sheets>
    <sheet name="底稿目录" sheetId="11" r:id="rId1"/>
    <sheet name="交易性金融负债实质性程序表G10A" sheetId="25" r:id="rId2"/>
    <sheet name="审定表G10-1" sheetId="19" r:id="rId3"/>
    <sheet name="附注披露信息（上市公司）" sheetId="2" r:id="rId4"/>
    <sheet name="附注披露信息（国企）" sheetId="3" r:id="rId5"/>
    <sheet name="明细表G10-2" sheetId="4" r:id="rId6"/>
    <sheet name="调整分录汇总G10-3" sheetId="28" r:id="rId7"/>
    <sheet name="分类的适当性检查表G10-4" sheetId="23" r:id="rId8"/>
    <sheet name="公允价值测试表G10-5" sheetId="20" r:id="rId9"/>
    <sheet name="第三层次公允价值计量的调节表G10-6" sheetId="13" r:id="rId10"/>
    <sheet name="凭证检查表G10-7" sheetId="22" r:id="rId11"/>
    <sheet name="衍生金融工具核查表G10-8" sheetId="24" r:id="rId12"/>
  </sheets>
  <definedNames>
    <definedName name="_xlnm.Print_Area" localSheetId="9">'第三层次公允价值计量的调节表G10-6'!$A$1:$M$23</definedName>
    <definedName name="_xlnm.Print_Area" localSheetId="6">'调整分录汇总G10-3'!$A$1:$J$23</definedName>
    <definedName name="_xlnm.Print_Area" localSheetId="7">'分类的适当性检查表G10-4'!$A$1:$H$28</definedName>
    <definedName name="_xlnm.Print_Area" localSheetId="4">'附注披露信息（国企）'!$A$1:$E$24</definedName>
    <definedName name="_xlnm.Print_Area" localSheetId="3">'附注披露信息（上市公司）'!$A$1:$E$42</definedName>
    <definedName name="_xlnm.Print_Area" localSheetId="8">'公允价值测试表G10-5'!$A$1:$R$25</definedName>
    <definedName name="_xlnm.Print_Area" localSheetId="1">交易性金融负债实质性程序表G10A!$A$1:$I$30</definedName>
    <definedName name="_xlnm.Print_Area" localSheetId="5">'明细表G10-2'!$A$1:$S$29</definedName>
    <definedName name="_xlnm.Print_Area" localSheetId="10">'凭证检查表G10-7'!$A$1:$Q$41</definedName>
    <definedName name="_xlnm.Print_Area" localSheetId="2">'审定表G10-1'!$A$1:$J$47</definedName>
    <definedName name="_xlnm.Print_Area" localSheetId="11">'衍生金融工具核查表G10-8'!$A$1:$H$78</definedName>
    <definedName name="_xlnm.Print_Titles" localSheetId="1">交易性金融负债实质性程序表G10A!$15:$16</definedName>
    <definedName name="_xlnm.Print_Titles" localSheetId="2">'审定表G10-1'!$2:$6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22" l="1"/>
  <c r="G28" i="22" s="1"/>
  <c r="L4" i="4"/>
  <c r="M3" i="13" l="1"/>
  <c r="G37" i="22" l="1"/>
  <c r="F37" i="22"/>
  <c r="H18" i="20" l="1"/>
  <c r="J18" i="20" s="1"/>
  <c r="H17" i="20"/>
  <c r="J17" i="20" s="1"/>
  <c r="H16" i="20"/>
  <c r="J16" i="20" s="1"/>
  <c r="H15" i="20"/>
  <c r="J15" i="20" s="1"/>
  <c r="H14" i="20"/>
  <c r="J14" i="20" s="1"/>
  <c r="H13" i="20"/>
  <c r="H12" i="20"/>
  <c r="J12" i="20" s="1"/>
  <c r="H11" i="20"/>
  <c r="J11" i="20" s="1"/>
  <c r="H10" i="20"/>
  <c r="D10" i="20"/>
  <c r="H9" i="20"/>
  <c r="D9" i="20"/>
  <c r="D19" i="20" s="1"/>
  <c r="J10" i="20" l="1"/>
  <c r="H19" i="20"/>
  <c r="J13" i="20"/>
  <c r="J9" i="20"/>
  <c r="J19" i="20" s="1"/>
  <c r="F26" i="22" l="1"/>
  <c r="F28" i="22" s="1"/>
  <c r="H3" i="24" l="1"/>
  <c r="Q3" i="22"/>
  <c r="H3" i="23"/>
  <c r="R3" i="20"/>
  <c r="J3" i="28"/>
  <c r="S3" i="4"/>
  <c r="E3" i="3"/>
  <c r="E3" i="2"/>
  <c r="J3" i="19"/>
  <c r="I3" i="25"/>
  <c r="L12" i="4" l="1"/>
  <c r="L13" i="4"/>
  <c r="L14" i="4"/>
  <c r="L15" i="4"/>
  <c r="L16" i="4"/>
  <c r="L17" i="4"/>
  <c r="L18" i="4"/>
  <c r="L19" i="4"/>
  <c r="L20" i="4"/>
  <c r="L11" i="4"/>
  <c r="C4" i="2"/>
  <c r="B4" i="2"/>
  <c r="C4" i="3"/>
  <c r="B4" i="3"/>
  <c r="B22" i="3"/>
  <c r="D22" i="3" l="1"/>
  <c r="C22" i="3"/>
  <c r="C41" i="2"/>
  <c r="B41" i="2"/>
  <c r="G4" i="19" l="1"/>
  <c r="D4" i="19"/>
  <c r="G25" i="19"/>
  <c r="G24" i="19"/>
  <c r="G23" i="19"/>
  <c r="D25" i="19"/>
  <c r="D24" i="19"/>
  <c r="D23" i="19"/>
  <c r="G21" i="19"/>
  <c r="G20" i="19"/>
  <c r="G19" i="19"/>
  <c r="D21" i="19"/>
  <c r="D20" i="19"/>
  <c r="D19" i="19"/>
  <c r="G15" i="19"/>
  <c r="G14" i="19"/>
  <c r="G13" i="19"/>
  <c r="G11" i="19"/>
  <c r="G10" i="19"/>
  <c r="G9" i="19"/>
  <c r="D15" i="19"/>
  <c r="D14" i="19"/>
  <c r="D13" i="19"/>
  <c r="D10" i="19"/>
  <c r="D11" i="19"/>
  <c r="D9" i="19"/>
  <c r="G4" i="28"/>
  <c r="G3" i="28"/>
  <c r="D4" i="28"/>
  <c r="D3" i="28"/>
  <c r="A4" i="28"/>
  <c r="A3" i="28"/>
  <c r="F4" i="24"/>
  <c r="D4" i="24"/>
  <c r="R21" i="4"/>
  <c r="K15" i="4"/>
  <c r="F21" i="4"/>
  <c r="K11" i="4"/>
  <c r="M11" i="4" s="1"/>
  <c r="E4" i="20"/>
  <c r="L4" i="20"/>
  <c r="I4" i="13"/>
  <c r="F4" i="13"/>
  <c r="F4" i="23"/>
  <c r="D4" i="23"/>
  <c r="E4" i="22"/>
  <c r="J4" i="22"/>
  <c r="F4" i="25"/>
  <c r="C4" i="25"/>
  <c r="C3" i="25"/>
  <c r="D29" i="19" l="1"/>
  <c r="H3" i="4"/>
  <c r="H21" i="4"/>
  <c r="B9" i="2" l="1"/>
  <c r="C9" i="3"/>
  <c r="G8" i="19"/>
  <c r="D8" i="19"/>
  <c r="G12" i="19"/>
  <c r="F3" i="25" l="1"/>
  <c r="A4" i="25"/>
  <c r="A3" i="25"/>
  <c r="N21" i="4"/>
  <c r="F3" i="24" l="1"/>
  <c r="D3" i="24"/>
  <c r="A4" i="24"/>
  <c r="A3" i="24"/>
  <c r="B34" i="19" l="1"/>
  <c r="C34" i="19"/>
  <c r="E34" i="19"/>
  <c r="F34" i="19"/>
  <c r="I24" i="19"/>
  <c r="D34" i="19"/>
  <c r="H24" i="19" l="1"/>
  <c r="G34" i="19"/>
  <c r="H14" i="19"/>
  <c r="I14" i="19"/>
  <c r="F3" i="23"/>
  <c r="D3" i="23"/>
  <c r="A4" i="23"/>
  <c r="A3" i="23"/>
  <c r="I34" i="19" l="1"/>
  <c r="H34" i="19"/>
  <c r="J3" i="22"/>
  <c r="E3" i="22"/>
  <c r="A4" i="22"/>
  <c r="A3" i="22"/>
  <c r="L3" i="20"/>
  <c r="E3" i="20"/>
  <c r="A4" i="20"/>
  <c r="A3" i="20"/>
  <c r="E12" i="4" l="1"/>
  <c r="G12" i="4" s="1"/>
  <c r="E13" i="4"/>
  <c r="G13" i="4" s="1"/>
  <c r="E14" i="4"/>
  <c r="G14" i="4" s="1"/>
  <c r="E15" i="4"/>
  <c r="G15" i="4" s="1"/>
  <c r="E16" i="4"/>
  <c r="G16" i="4" s="1"/>
  <c r="E17" i="4"/>
  <c r="G17" i="4" s="1"/>
  <c r="E18" i="4"/>
  <c r="G18" i="4" s="1"/>
  <c r="E19" i="4"/>
  <c r="G19" i="4" s="1"/>
  <c r="E20" i="4"/>
  <c r="G20" i="4" s="1"/>
  <c r="E11" i="4"/>
  <c r="G11" i="4" s="1"/>
  <c r="K12" i="4"/>
  <c r="K13" i="4"/>
  <c r="K14" i="4"/>
  <c r="K16" i="4"/>
  <c r="K17" i="4"/>
  <c r="K18" i="4"/>
  <c r="K19" i="4"/>
  <c r="K20" i="4"/>
  <c r="J21" i="4"/>
  <c r="D21" i="4"/>
  <c r="C21" i="4"/>
  <c r="B29" i="19"/>
  <c r="C29" i="19"/>
  <c r="E29" i="19"/>
  <c r="F29" i="19"/>
  <c r="B30" i="19"/>
  <c r="C30" i="19"/>
  <c r="E30" i="19"/>
  <c r="F30" i="19"/>
  <c r="B31" i="19"/>
  <c r="C31" i="19"/>
  <c r="E31" i="19"/>
  <c r="F31" i="19"/>
  <c r="B33" i="19"/>
  <c r="C33" i="19"/>
  <c r="E33" i="19"/>
  <c r="F33" i="19"/>
  <c r="B35" i="19"/>
  <c r="C35" i="19"/>
  <c r="E35" i="19"/>
  <c r="F35" i="19"/>
  <c r="D22" i="19"/>
  <c r="F22" i="19"/>
  <c r="E22" i="19"/>
  <c r="C22" i="19"/>
  <c r="B22" i="19"/>
  <c r="F18" i="19"/>
  <c r="E18" i="19"/>
  <c r="C18" i="19"/>
  <c r="B18" i="19"/>
  <c r="C12" i="19"/>
  <c r="E12" i="19"/>
  <c r="F12" i="19"/>
  <c r="B12" i="19"/>
  <c r="F8" i="19"/>
  <c r="E8" i="19"/>
  <c r="C8" i="19"/>
  <c r="B8" i="19"/>
  <c r="D12" i="19"/>
  <c r="G3" i="19"/>
  <c r="D3" i="19"/>
  <c r="A4" i="19"/>
  <c r="A3" i="19"/>
  <c r="G21" i="4" l="1"/>
  <c r="C32" i="19"/>
  <c r="F16" i="19"/>
  <c r="G30" i="19"/>
  <c r="D31" i="19"/>
  <c r="I23" i="19"/>
  <c r="D35" i="19"/>
  <c r="B32" i="19"/>
  <c r="E28" i="19"/>
  <c r="C16" i="19"/>
  <c r="I20" i="19"/>
  <c r="E21" i="4"/>
  <c r="M18" i="4"/>
  <c r="M14" i="4"/>
  <c r="G31" i="19"/>
  <c r="D30" i="19"/>
  <c r="F32" i="19"/>
  <c r="B26" i="19"/>
  <c r="I21" i="19"/>
  <c r="E32" i="19"/>
  <c r="B16" i="19"/>
  <c r="C26" i="19"/>
  <c r="M19" i="4"/>
  <c r="M15" i="4"/>
  <c r="M17" i="4"/>
  <c r="M13" i="4"/>
  <c r="M20" i="4"/>
  <c r="M16" i="4"/>
  <c r="M12" i="4"/>
  <c r="K21" i="4"/>
  <c r="L21" i="4"/>
  <c r="I21" i="4"/>
  <c r="G35" i="19"/>
  <c r="E16" i="19"/>
  <c r="B28" i="19"/>
  <c r="F28" i="19"/>
  <c r="C28" i="19"/>
  <c r="C36" i="19" s="1"/>
  <c r="D32" i="19"/>
  <c r="G33" i="19"/>
  <c r="E13" i="2" s="1"/>
  <c r="D33" i="19"/>
  <c r="B13" i="2" s="1"/>
  <c r="E26" i="19"/>
  <c r="H20" i="19"/>
  <c r="D18" i="19"/>
  <c r="H11" i="19"/>
  <c r="F26" i="19"/>
  <c r="H19" i="19"/>
  <c r="I19" i="19" s="1"/>
  <c r="H21" i="19"/>
  <c r="G22" i="19"/>
  <c r="I22" i="19" s="1"/>
  <c r="I25" i="19"/>
  <c r="H13" i="19"/>
  <c r="G18" i="19"/>
  <c r="I15" i="19"/>
  <c r="I10" i="19"/>
  <c r="H23" i="19"/>
  <c r="H25" i="19"/>
  <c r="I13" i="19"/>
  <c r="H10" i="19"/>
  <c r="H15" i="19"/>
  <c r="I11" i="19"/>
  <c r="C11" i="3" l="1"/>
  <c r="B11" i="2"/>
  <c r="C10" i="3"/>
  <c r="B10" i="2"/>
  <c r="B8" i="2" s="1"/>
  <c r="B11" i="3"/>
  <c r="E11" i="2"/>
  <c r="B14" i="2"/>
  <c r="B12" i="2" s="1"/>
  <c r="C13" i="3"/>
  <c r="B10" i="3"/>
  <c r="E10" i="2"/>
  <c r="B13" i="3"/>
  <c r="E14" i="2"/>
  <c r="E12" i="2" s="1"/>
  <c r="I30" i="19"/>
  <c r="D26" i="19"/>
  <c r="I35" i="19"/>
  <c r="I31" i="19"/>
  <c r="O11" i="4"/>
  <c r="B14" i="23"/>
  <c r="B21" i="23"/>
  <c r="O20" i="4"/>
  <c r="B19" i="23"/>
  <c r="O16" i="4"/>
  <c r="B16" i="23"/>
  <c r="O13" i="4"/>
  <c r="B17" i="23"/>
  <c r="O14" i="4"/>
  <c r="B15" i="23"/>
  <c r="O12" i="4"/>
  <c r="E36" i="19"/>
  <c r="B18" i="23"/>
  <c r="O15" i="4"/>
  <c r="O17" i="4"/>
  <c r="O18" i="4"/>
  <c r="B20" i="23"/>
  <c r="O19" i="4"/>
  <c r="B36" i="19"/>
  <c r="F36" i="19"/>
  <c r="M21" i="4"/>
  <c r="O21" i="4" s="1"/>
  <c r="H30" i="19"/>
  <c r="H35" i="19"/>
  <c r="H31" i="19"/>
  <c r="G32" i="19"/>
  <c r="D28" i="19"/>
  <c r="H33" i="19"/>
  <c r="I33" i="19" s="1"/>
  <c r="D16" i="19"/>
  <c r="H18" i="19"/>
  <c r="I18" i="19" s="1"/>
  <c r="H12" i="19"/>
  <c r="G26" i="19"/>
  <c r="H22" i="19"/>
  <c r="C8" i="3" l="1"/>
  <c r="C14" i="3" s="1"/>
  <c r="B22" i="23"/>
  <c r="H32" i="19"/>
  <c r="I32" i="19" s="1"/>
  <c r="D36" i="19"/>
  <c r="D38" i="19" s="1"/>
  <c r="H26" i="19"/>
  <c r="I26" i="19" l="1"/>
  <c r="L10" i="13" l="1"/>
  <c r="G19" i="13" l="1"/>
  <c r="A4" i="13" l="1"/>
  <c r="I3" i="13"/>
  <c r="F3" i="13"/>
  <c r="A3" i="13"/>
  <c r="D19" i="13"/>
  <c r="E19" i="13"/>
  <c r="F19" i="13"/>
  <c r="H19" i="13"/>
  <c r="I19" i="13"/>
  <c r="J19" i="13"/>
  <c r="K19" i="13"/>
  <c r="C19" i="13"/>
  <c r="L11" i="13"/>
  <c r="L12" i="13"/>
  <c r="L13" i="13"/>
  <c r="L14" i="13"/>
  <c r="L15" i="13"/>
  <c r="L16" i="13"/>
  <c r="L17" i="13"/>
  <c r="L18" i="13"/>
  <c r="L19" i="13" l="1"/>
  <c r="A4" i="4" l="1"/>
  <c r="L3" i="4"/>
  <c r="A3" i="4"/>
  <c r="A4" i="3"/>
  <c r="C3" i="3"/>
  <c r="B3" i="3"/>
  <c r="A3" i="3"/>
  <c r="C3" i="2"/>
  <c r="B3" i="2"/>
  <c r="A4" i="2"/>
  <c r="A3" i="2"/>
  <c r="B15" i="2" l="1"/>
  <c r="I12" i="19" l="1"/>
  <c r="G29" i="19"/>
  <c r="G28" i="19"/>
  <c r="H9" i="19"/>
  <c r="H29" i="19" s="1"/>
  <c r="G16" i="19"/>
  <c r="I9" i="19" l="1"/>
  <c r="I29" i="19"/>
  <c r="B9" i="3"/>
  <c r="B8" i="3" s="1"/>
  <c r="B14" i="3" s="1"/>
  <c r="E9" i="2"/>
  <c r="E8" i="2" s="1"/>
  <c r="E15" i="2" s="1"/>
  <c r="G36" i="19"/>
  <c r="H8" i="19"/>
  <c r="I8" i="19" s="1"/>
  <c r="D41" i="19" l="1"/>
  <c r="G38" i="19"/>
  <c r="H28" i="19"/>
  <c r="H16" i="19"/>
  <c r="I16" i="19" s="1"/>
  <c r="H36" i="19" l="1"/>
  <c r="I36" i="19" s="1"/>
  <c r="I28" i="1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B5" authorId="0" shapeId="0">
      <text>
        <r>
          <rPr>
            <b/>
            <sz val="9"/>
            <color indexed="81"/>
            <rFont val="宋体"/>
            <family val="3"/>
            <charset val="134"/>
          </rPr>
          <t>技术部:</t>
        </r>
        <r>
          <rPr>
            <sz val="9"/>
            <color indexed="81"/>
            <rFont val="宋体"/>
            <family val="3"/>
            <charset val="134"/>
          </rPr>
          <t xml:space="preserve">
若系首次执行新金融工具准则，则无期初数。</t>
        </r>
      </text>
    </comment>
  </commentList>
</comments>
</file>

<file path=xl/comments3.xml><?xml version="1.0" encoding="utf-8"?>
<comments xmlns="http://schemas.openxmlformats.org/spreadsheetml/2006/main">
  <authors>
    <author>Windows 用户</author>
    <author>tc={4B85E099-5449-40BA-9A80-B0106B706EE8}</author>
  </authors>
  <commentList>
    <comment ref="A9" authorId="0" shapeId="0">
      <text>
        <r>
          <rPr>
            <b/>
            <sz val="9"/>
            <color indexed="81"/>
            <rFont val="宋体"/>
            <family val="3"/>
            <charset val="134"/>
          </rPr>
          <t>技术部:</t>
        </r>
        <r>
          <rPr>
            <sz val="9"/>
            <color indexed="81"/>
            <rFont val="宋体"/>
            <family val="3"/>
            <charset val="134"/>
          </rPr>
          <t xml:space="preserve">
如交易性、指定类（初始确认时指定）、衍生工具等</t>
        </r>
      </text>
    </comment>
    <comment ref="J10" authorId="1" shapeId="0">
      <text>
        <r>
          <rPr>
            <sz val="11"/>
            <color theme="1"/>
            <rFont val="宋体"/>
            <family val="2"/>
            <charset val="134"/>
            <scheme val="minor"/>
          </rPr>
          <t>[线程批注]
你的Excel版本可读取此线程批注; 但如果在更新版本的Excel中打开文件，则对批注所作的任何改动都将被删除。了解详细信息: https://go.microsoft.com/fwlink/?linkid=870924
注释:
    若公允价值变动已经包含利息，则单独计提的应付利息不应重复计入账面价值；若公允价值变动不含利息，则账面价值应包含计提的利息。</t>
        </r>
      </text>
    </comment>
  </commentList>
</comments>
</file>

<file path=xl/sharedStrings.xml><?xml version="1.0" encoding="utf-8"?>
<sst xmlns="http://schemas.openxmlformats.org/spreadsheetml/2006/main" count="688" uniqueCount="559">
  <si>
    <t>致同会计师事务所</t>
  </si>
  <si>
    <t>索引号：</t>
  </si>
  <si>
    <t>期末公允价值</t>
  </si>
  <si>
    <t>（2）拟调整事项及其调整分录、未调整事项及其影响，审计范围受到限制情况及其影响。</t>
  </si>
  <si>
    <t>1、概述：（1）程序的测试情况、结果；</t>
  </si>
  <si>
    <t>A</t>
  </si>
  <si>
    <t>B</t>
  </si>
  <si>
    <t>C</t>
  </si>
  <si>
    <t>附注披露信息（国企）</t>
    <phoneticPr fontId="8" type="noConversion"/>
  </si>
  <si>
    <r>
      <rPr>
        <b/>
        <sz val="10"/>
        <rFont val="宋体"/>
        <family val="3"/>
        <charset val="134"/>
      </rPr>
      <t>账项调整</t>
    </r>
    <phoneticPr fontId="8" type="noConversion"/>
  </si>
  <si>
    <r>
      <rPr>
        <b/>
        <sz val="9"/>
        <color indexed="8"/>
        <rFont val="宋体"/>
        <family val="3"/>
        <charset val="134"/>
      </rPr>
      <t>凭证编号</t>
    </r>
  </si>
  <si>
    <r>
      <rPr>
        <b/>
        <sz val="9"/>
        <color indexed="8"/>
        <rFont val="宋体"/>
        <family val="3"/>
        <charset val="134"/>
      </rPr>
      <t>业务内容</t>
    </r>
  </si>
  <si>
    <r>
      <rPr>
        <b/>
        <sz val="9"/>
        <color indexed="8"/>
        <rFont val="宋体"/>
        <family val="3"/>
        <charset val="134"/>
      </rPr>
      <t>明细科目</t>
    </r>
  </si>
  <si>
    <r>
      <rPr>
        <b/>
        <sz val="9"/>
        <color indexed="8"/>
        <rFont val="宋体"/>
        <family val="3"/>
        <charset val="134"/>
      </rPr>
      <t>对方科目</t>
    </r>
  </si>
  <si>
    <r>
      <rPr>
        <b/>
        <sz val="9"/>
        <color indexed="8"/>
        <rFont val="宋体"/>
        <family val="3"/>
        <charset val="134"/>
      </rPr>
      <t>借方</t>
    </r>
  </si>
  <si>
    <r>
      <rPr>
        <b/>
        <sz val="9"/>
        <color indexed="8"/>
        <rFont val="宋体"/>
        <family val="3"/>
        <charset val="134"/>
      </rPr>
      <t>贷方</t>
    </r>
  </si>
  <si>
    <r>
      <rPr>
        <b/>
        <sz val="10"/>
        <color theme="1"/>
        <rFont val="宋体"/>
        <family val="3"/>
        <charset val="134"/>
      </rPr>
      <t>二、审计过程</t>
    </r>
    <phoneticPr fontId="4" type="noConversion"/>
  </si>
  <si>
    <r>
      <rPr>
        <b/>
        <sz val="10"/>
        <color theme="1"/>
        <rFont val="宋体"/>
        <family val="3"/>
        <charset val="134"/>
      </rPr>
      <t>期初余额</t>
    </r>
  </si>
  <si>
    <r>
      <rPr>
        <b/>
        <sz val="10"/>
        <color theme="1"/>
        <rFont val="宋体"/>
        <family val="3"/>
        <charset val="134"/>
      </rPr>
      <t>转入第三层次</t>
    </r>
  </si>
  <si>
    <r>
      <rPr>
        <b/>
        <sz val="10"/>
        <color theme="1"/>
        <rFont val="宋体"/>
        <family val="3"/>
        <charset val="134"/>
      </rPr>
      <t>转出第三层次</t>
    </r>
  </si>
  <si>
    <r>
      <rPr>
        <b/>
        <sz val="10"/>
        <color theme="1"/>
        <rFont val="宋体"/>
        <family val="3"/>
        <charset val="134"/>
      </rPr>
      <t>购买、发行、出售和结算</t>
    </r>
  </si>
  <si>
    <r>
      <rPr>
        <b/>
        <sz val="10"/>
        <color theme="1"/>
        <rFont val="宋体"/>
        <family val="3"/>
        <charset val="134"/>
      </rPr>
      <t>期末余额</t>
    </r>
  </si>
  <si>
    <r>
      <rPr>
        <b/>
        <sz val="10"/>
        <color theme="1"/>
        <rFont val="宋体"/>
        <family val="3"/>
        <charset val="134"/>
      </rPr>
      <t>购入</t>
    </r>
  </si>
  <si>
    <r>
      <rPr>
        <b/>
        <sz val="10"/>
        <color theme="1"/>
        <rFont val="宋体"/>
        <family val="3"/>
        <charset val="134"/>
      </rPr>
      <t>发行</t>
    </r>
  </si>
  <si>
    <r>
      <rPr>
        <b/>
        <sz val="10"/>
        <color theme="1"/>
        <rFont val="宋体"/>
        <family val="3"/>
        <charset val="134"/>
      </rPr>
      <t>出售</t>
    </r>
  </si>
  <si>
    <r>
      <rPr>
        <b/>
        <sz val="10"/>
        <color theme="1"/>
        <rFont val="宋体"/>
        <family val="3"/>
        <charset val="134"/>
      </rPr>
      <t>结算</t>
    </r>
  </si>
  <si>
    <t>当期利得或损失总额</t>
    <phoneticPr fontId="4" type="noConversion"/>
  </si>
  <si>
    <t>公允价值变动损益</t>
    <phoneticPr fontId="4" type="noConversion"/>
  </si>
  <si>
    <t>投资收益</t>
    <phoneticPr fontId="4" type="noConversion"/>
  </si>
  <si>
    <t>一、审计目标</t>
    <phoneticPr fontId="4" type="noConversion"/>
  </si>
  <si>
    <t>第三层次公允价值计量的调节表</t>
    <phoneticPr fontId="8" type="noConversion"/>
  </si>
  <si>
    <t>二、审计过程</t>
    <phoneticPr fontId="4" type="noConversion"/>
  </si>
  <si>
    <t>三、审计说明：</t>
    <phoneticPr fontId="4" type="noConversion"/>
  </si>
  <si>
    <t>四、审计结论：</t>
    <phoneticPr fontId="4" type="noConversion"/>
  </si>
  <si>
    <r>
      <rPr>
        <b/>
        <sz val="10"/>
        <rFont val="宋体"/>
        <family val="3"/>
        <charset val="134"/>
      </rPr>
      <t>工具名称：</t>
    </r>
    <r>
      <rPr>
        <b/>
        <sz val="10"/>
        <rFont val="Arial Narrow"/>
        <family val="2"/>
      </rPr>
      <t>___________________________________________</t>
    </r>
  </si>
  <si>
    <r>
      <rPr>
        <b/>
        <sz val="10"/>
        <rFont val="宋体"/>
        <family val="3"/>
        <charset val="134"/>
      </rPr>
      <t>回答</t>
    </r>
  </si>
  <si>
    <r>
      <rPr>
        <sz val="10"/>
        <rFont val="宋体"/>
        <family val="3"/>
        <charset val="134"/>
      </rPr>
      <t>合同所要求的部分</t>
    </r>
    <r>
      <rPr>
        <sz val="10"/>
        <rFont val="Arial Narrow"/>
        <family val="2"/>
      </rPr>
      <t>/</t>
    </r>
    <r>
      <rPr>
        <sz val="10"/>
        <rFont val="宋体"/>
        <family val="3"/>
        <charset val="134"/>
      </rPr>
      <t>全部现金流量将依据以下各特定项目予以修正：</t>
    </r>
  </si>
  <si>
    <r>
      <t>(1)</t>
    </r>
    <r>
      <rPr>
        <sz val="10"/>
        <rFont val="宋体"/>
        <family val="3"/>
        <charset val="134"/>
      </rPr>
      <t>利率</t>
    </r>
  </si>
  <si>
    <r>
      <t>(</t>
    </r>
    <r>
      <rPr>
        <sz val="10"/>
        <rFont val="宋体"/>
        <family val="3"/>
        <charset val="134"/>
      </rPr>
      <t>是或否</t>
    </r>
    <r>
      <rPr>
        <sz val="10"/>
        <rFont val="Arial Narrow"/>
        <family val="2"/>
      </rPr>
      <t>)</t>
    </r>
  </si>
  <si>
    <r>
      <t>(2)</t>
    </r>
    <r>
      <rPr>
        <sz val="10"/>
        <rFont val="宋体"/>
        <family val="3"/>
        <charset val="134"/>
      </rPr>
      <t>金融工具价格</t>
    </r>
  </si>
  <si>
    <r>
      <t>(3)</t>
    </r>
    <r>
      <rPr>
        <sz val="10"/>
        <rFont val="宋体"/>
        <family val="3"/>
        <charset val="134"/>
      </rPr>
      <t>商品价格</t>
    </r>
  </si>
  <si>
    <r>
      <t>(4)</t>
    </r>
    <r>
      <rPr>
        <sz val="10"/>
        <rFont val="宋体"/>
        <family val="3"/>
        <charset val="134"/>
      </rPr>
      <t>汇率</t>
    </r>
  </si>
  <si>
    <r>
      <t>(5)</t>
    </r>
    <r>
      <rPr>
        <sz val="10"/>
        <rFont val="宋体"/>
        <family val="3"/>
        <charset val="134"/>
      </rPr>
      <t>价格或利率指数</t>
    </r>
  </si>
  <si>
    <r>
      <t>(6)</t>
    </r>
    <r>
      <rPr>
        <sz val="10"/>
        <rFont val="宋体"/>
        <family val="3"/>
        <charset val="134"/>
      </rPr>
      <t>信用等级</t>
    </r>
    <r>
      <rPr>
        <sz val="10"/>
        <rFont val="Arial Narrow"/>
        <family val="2"/>
      </rPr>
      <t>/</t>
    </r>
    <r>
      <rPr>
        <sz val="10"/>
        <rFont val="宋体"/>
        <family val="3"/>
        <charset val="134"/>
      </rPr>
      <t>信用指数</t>
    </r>
  </si>
  <si>
    <r>
      <t>(7)</t>
    </r>
    <r>
      <rPr>
        <sz val="10"/>
        <rFont val="宋体"/>
        <family val="3"/>
        <charset val="134"/>
      </rPr>
      <t>其它非金融变量</t>
    </r>
    <r>
      <rPr>
        <sz val="10"/>
        <rFont val="Arial Narrow"/>
        <family val="2"/>
      </rPr>
      <t>(</t>
    </r>
    <r>
      <rPr>
        <sz val="10"/>
        <rFont val="宋体"/>
        <family val="3"/>
        <charset val="134"/>
      </rPr>
      <t>请注明：</t>
    </r>
    <r>
      <rPr>
        <sz val="10"/>
        <rFont val="Arial Narrow"/>
        <family val="2"/>
      </rPr>
      <t>______________)</t>
    </r>
  </si>
  <si>
    <r>
      <t>(8)</t>
    </r>
    <r>
      <rPr>
        <sz val="10"/>
        <rFont val="宋体"/>
        <family val="3"/>
        <charset val="134"/>
      </rPr>
      <t>其它非金融变量非合同某一方特有的</t>
    </r>
    <r>
      <rPr>
        <sz val="10"/>
        <rFont val="Arial Narrow"/>
        <family val="2"/>
      </rPr>
      <t>(</t>
    </r>
    <r>
      <rPr>
        <sz val="10"/>
        <rFont val="宋体"/>
        <family val="3"/>
        <charset val="134"/>
      </rPr>
      <t>请注明：</t>
    </r>
    <r>
      <rPr>
        <sz val="10"/>
        <rFont val="Arial Narrow"/>
        <family val="2"/>
      </rPr>
      <t>________)</t>
    </r>
  </si>
  <si>
    <r>
      <rPr>
        <b/>
        <sz val="10"/>
        <rFont val="宋体"/>
        <family val="3"/>
        <charset val="134"/>
      </rPr>
      <t>所包含的衍生工具是否属于嵌入衍生工具？</t>
    </r>
  </si>
  <si>
    <r>
      <t>(1)</t>
    </r>
    <r>
      <rPr>
        <sz val="10"/>
        <rFont val="宋体"/>
        <family val="3"/>
        <charset val="134"/>
      </rPr>
      <t>有关衍生工具不可以独立于该金融工具进行合约转让</t>
    </r>
  </si>
  <si>
    <r>
      <t>(2)</t>
    </r>
    <r>
      <rPr>
        <sz val="10"/>
        <rFont val="宋体"/>
        <family val="3"/>
        <charset val="134"/>
      </rPr>
      <t>有关衍生工具具有与主金融工具</t>
    </r>
    <r>
      <rPr>
        <sz val="10"/>
        <rFont val="Arial Narrow"/>
        <family val="2"/>
      </rPr>
      <t>(</t>
    </r>
    <r>
      <rPr>
        <sz val="10"/>
        <rFont val="宋体"/>
        <family val="3"/>
        <charset val="134"/>
      </rPr>
      <t>主合同</t>
    </r>
    <r>
      <rPr>
        <sz val="10"/>
        <rFont val="Arial Narrow"/>
        <family val="2"/>
      </rPr>
      <t>)</t>
    </r>
    <r>
      <rPr>
        <sz val="10"/>
        <rFont val="宋体"/>
        <family val="3"/>
        <charset val="134"/>
      </rPr>
      <t>相同的交易对方</t>
    </r>
  </si>
  <si>
    <r>
      <rPr>
        <sz val="10"/>
        <rFont val="宋体"/>
        <family val="3"/>
        <charset val="134"/>
      </rPr>
      <t>对衍生工具</t>
    </r>
    <r>
      <rPr>
        <sz val="10"/>
        <rFont val="Arial Narrow"/>
        <family val="2"/>
      </rPr>
      <t>(</t>
    </r>
    <r>
      <rPr>
        <sz val="10"/>
        <rFont val="宋体"/>
        <family val="3"/>
        <charset val="134"/>
      </rPr>
      <t>不是嵌入衍生工具</t>
    </r>
    <r>
      <rPr>
        <sz val="10"/>
        <rFont val="Arial Narrow"/>
        <family val="2"/>
      </rPr>
      <t>)</t>
    </r>
    <r>
      <rPr>
        <sz val="10"/>
        <rFont val="宋体"/>
        <family val="3"/>
        <charset val="134"/>
      </rPr>
      <t>执行的额外工作：</t>
    </r>
  </si>
  <si>
    <r>
      <t>(a)</t>
    </r>
    <r>
      <rPr>
        <sz val="10"/>
        <rFont val="宋体"/>
        <family val="3"/>
        <charset val="134"/>
      </rPr>
      <t>说明有关性质</t>
    </r>
  </si>
  <si>
    <r>
      <t>(</t>
    </r>
    <r>
      <rPr>
        <sz val="10"/>
        <rFont val="宋体"/>
        <family val="3"/>
        <charset val="134"/>
      </rPr>
      <t>描述性</t>
    </r>
    <r>
      <rPr>
        <sz val="10"/>
        <rFont val="Arial Narrow"/>
        <family val="2"/>
      </rPr>
      <t>)</t>
    </r>
  </si>
  <si>
    <r>
      <t>(b)</t>
    </r>
    <r>
      <rPr>
        <sz val="10"/>
        <rFont val="宋体"/>
        <family val="3"/>
        <charset val="134"/>
      </rPr>
      <t>增设新的科目描述及编码以确认所包含的衍生工具</t>
    </r>
  </si>
  <si>
    <r>
      <t>(c)</t>
    </r>
    <r>
      <rPr>
        <sz val="10"/>
        <rFont val="宋体"/>
        <family val="3"/>
        <charset val="134"/>
      </rPr>
      <t>说明适用于有关衍生工具的会计政策</t>
    </r>
  </si>
  <si>
    <r>
      <rPr>
        <b/>
        <sz val="10"/>
        <rFont val="宋体"/>
        <family val="3"/>
        <charset val="134"/>
      </rPr>
      <t>结论：</t>
    </r>
  </si>
  <si>
    <r>
      <rPr>
        <sz val="10"/>
        <color indexed="12"/>
        <rFont val="宋体"/>
        <family val="3"/>
        <charset val="134"/>
      </rPr>
      <t>衍生工具名称：</t>
    </r>
    <r>
      <rPr>
        <sz val="10"/>
        <color indexed="12"/>
        <rFont val="Arial Narrow"/>
        <family val="2"/>
      </rPr>
      <t>(</t>
    </r>
    <r>
      <rPr>
        <sz val="10"/>
        <color indexed="12"/>
        <rFont val="宋体"/>
        <family val="3"/>
        <charset val="134"/>
      </rPr>
      <t>如不适用无需填写</t>
    </r>
    <r>
      <rPr>
        <sz val="10"/>
        <color indexed="12"/>
        <rFont val="Arial Narrow"/>
        <family val="2"/>
      </rPr>
      <t>)</t>
    </r>
  </si>
  <si>
    <r>
      <rPr>
        <sz val="10"/>
        <color indexed="12"/>
        <rFont val="宋体"/>
        <family val="3"/>
        <charset val="134"/>
      </rPr>
      <t>衍生工具的特征：</t>
    </r>
    <r>
      <rPr>
        <sz val="10"/>
        <color indexed="12"/>
        <rFont val="Arial Narrow"/>
        <family val="2"/>
      </rPr>
      <t>(</t>
    </r>
    <r>
      <rPr>
        <sz val="10"/>
        <color indexed="12"/>
        <rFont val="宋体"/>
        <family val="3"/>
        <charset val="134"/>
      </rPr>
      <t>嵌入</t>
    </r>
    <r>
      <rPr>
        <sz val="10"/>
        <color indexed="12"/>
        <rFont val="Arial Narrow"/>
        <family val="2"/>
      </rPr>
      <t>/</t>
    </r>
    <r>
      <rPr>
        <sz val="10"/>
        <color indexed="12"/>
        <rFont val="宋体"/>
        <family val="3"/>
        <charset val="134"/>
      </rPr>
      <t>非嵌入</t>
    </r>
    <r>
      <rPr>
        <sz val="10"/>
        <color indexed="12"/>
        <rFont val="Arial Narrow"/>
        <family val="2"/>
      </rPr>
      <t>)(</t>
    </r>
    <r>
      <rPr>
        <sz val="10"/>
        <color indexed="12"/>
        <rFont val="宋体"/>
        <family val="3"/>
        <charset val="134"/>
      </rPr>
      <t>删除不适用的部分</t>
    </r>
    <r>
      <rPr>
        <sz val="10"/>
        <color indexed="12"/>
        <rFont val="Arial Narrow"/>
        <family val="2"/>
      </rPr>
      <t>)</t>
    </r>
  </si>
  <si>
    <t>确定第三层次公允价值计量披露是否适当</t>
    <phoneticPr fontId="4" type="noConversion"/>
  </si>
  <si>
    <t>附注披露信息</t>
    <phoneticPr fontId="8" type="noConversion"/>
  </si>
  <si>
    <t>项  目</t>
  </si>
  <si>
    <r>
      <rPr>
        <sz val="12"/>
        <rFont val="仿宋_GB2312"/>
        <family val="3"/>
        <charset val="134"/>
      </rPr>
      <t>附注披露信息</t>
    </r>
    <phoneticPr fontId="8" type="noConversion"/>
  </si>
  <si>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</si>
  <si>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合</t>
    </r>
    <r>
      <rPr>
        <b/>
        <sz val="12"/>
        <rFont val="Arial Narrow"/>
        <family val="2"/>
      </rPr>
      <t xml:space="preserve">  </t>
    </r>
    <r>
      <rPr>
        <b/>
        <sz val="12"/>
        <rFont val="仿宋_GB2312"/>
        <family val="3"/>
        <charset val="134"/>
      </rPr>
      <t>计</t>
    </r>
  </si>
  <si>
    <t>取得第三层次公允价值计量金融资产明细清单，复核加计是否正确；</t>
    <phoneticPr fontId="4" type="noConversion"/>
  </si>
  <si>
    <t>确定第三层次公允价值计量调节过程披露是否适当</t>
    <phoneticPr fontId="4" type="noConversion"/>
  </si>
  <si>
    <r>
      <t xml:space="preserve">              </t>
    </r>
    <r>
      <rPr>
        <sz val="12"/>
        <rFont val="仿宋_GB2312"/>
        <family val="3"/>
        <charset val="134"/>
      </rPr>
      <t>其他</t>
    </r>
    <phoneticPr fontId="4" type="noConversion"/>
  </si>
  <si>
    <r>
      <rPr>
        <b/>
        <sz val="10"/>
        <rFont val="宋体"/>
        <family val="3"/>
        <charset val="134"/>
      </rPr>
      <t>三、审计说明：</t>
    </r>
    <phoneticPr fontId="8" type="noConversion"/>
  </si>
  <si>
    <t>复核人：</t>
    <phoneticPr fontId="8" type="noConversion"/>
  </si>
  <si>
    <t>项目</t>
    <phoneticPr fontId="8" type="noConversion"/>
  </si>
  <si>
    <r>
      <rPr>
        <b/>
        <sz val="10"/>
        <rFont val="宋体"/>
        <family val="3"/>
        <charset val="134"/>
      </rPr>
      <t>期初数</t>
    </r>
    <phoneticPr fontId="8" type="noConversion"/>
  </si>
  <si>
    <r>
      <rPr>
        <b/>
        <sz val="10"/>
        <rFont val="宋体"/>
        <family val="3"/>
        <charset val="134"/>
      </rPr>
      <t>期末数</t>
    </r>
    <phoneticPr fontId="8" type="noConversion"/>
  </si>
  <si>
    <r>
      <rPr>
        <b/>
        <sz val="10"/>
        <color indexed="8"/>
        <rFont val="宋体"/>
        <family val="3"/>
        <charset val="134"/>
      </rPr>
      <t>原因分析</t>
    </r>
    <phoneticPr fontId="8" type="noConversion"/>
  </si>
  <si>
    <r>
      <rPr>
        <b/>
        <sz val="10"/>
        <rFont val="宋体"/>
        <family val="3"/>
        <charset val="134"/>
      </rPr>
      <t>未审数</t>
    </r>
    <phoneticPr fontId="8" type="noConversion"/>
  </si>
  <si>
    <r>
      <rPr>
        <b/>
        <sz val="10"/>
        <rFont val="宋体"/>
        <family val="3"/>
        <charset val="134"/>
      </rPr>
      <t>未审数</t>
    </r>
    <phoneticPr fontId="8" type="noConversion"/>
  </si>
  <si>
    <r>
      <rPr>
        <b/>
        <sz val="10"/>
        <rFont val="宋体"/>
        <family val="3"/>
        <charset val="134"/>
      </rPr>
      <t>账项调整</t>
    </r>
    <phoneticPr fontId="8" type="noConversion"/>
  </si>
  <si>
    <r>
      <rPr>
        <b/>
        <sz val="10"/>
        <rFont val="宋体"/>
        <family val="3"/>
        <charset val="134"/>
      </rPr>
      <t>审定数</t>
    </r>
    <phoneticPr fontId="8" type="noConversion"/>
  </si>
  <si>
    <r>
      <rPr>
        <b/>
        <sz val="10"/>
        <rFont val="宋体"/>
        <family val="3"/>
        <charset val="134"/>
      </rPr>
      <t>变动额</t>
    </r>
    <phoneticPr fontId="8" type="noConversion"/>
  </si>
  <si>
    <r>
      <rPr>
        <b/>
        <sz val="10"/>
        <color indexed="8"/>
        <rFont val="宋体"/>
        <family val="3"/>
        <charset val="134"/>
      </rPr>
      <t>变动率</t>
    </r>
    <phoneticPr fontId="8" type="noConversion"/>
  </si>
  <si>
    <r>
      <t>1</t>
    </r>
    <r>
      <rPr>
        <b/>
        <sz val="10"/>
        <rFont val="宋体"/>
        <family val="3"/>
        <charset val="134"/>
      </rPr>
      <t>、审计说明</t>
    </r>
    <r>
      <rPr>
        <sz val="10"/>
        <color indexed="12"/>
        <rFont val="宋体"/>
        <family val="3"/>
        <charset val="134"/>
      </rPr>
      <t/>
    </r>
    <phoneticPr fontId="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</si>
  <si>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8" type="noConversion"/>
  </si>
  <si>
    <r>
      <rPr>
        <sz val="10"/>
        <rFont val="宋体"/>
        <family val="3"/>
        <charset val="134"/>
      </rPr>
      <t>（</t>
    </r>
    <r>
      <rPr>
        <sz val="10"/>
        <rFont val="Arial Narrow"/>
        <family val="2"/>
      </rPr>
      <t>2</t>
    </r>
    <r>
      <rPr>
        <sz val="10"/>
        <rFont val="宋体"/>
        <family val="3"/>
        <charset val="134"/>
      </rPr>
      <t>）情况说明</t>
    </r>
    <phoneticPr fontId="8" type="noConversion"/>
  </si>
  <si>
    <r>
      <t>2</t>
    </r>
    <r>
      <rPr>
        <b/>
        <sz val="10"/>
        <rFont val="宋体"/>
        <family val="3"/>
        <charset val="134"/>
      </rPr>
      <t>、审计结论</t>
    </r>
    <phoneticPr fontId="8" type="noConversion"/>
  </si>
  <si>
    <t xml:space="preserve">     其他</t>
    <phoneticPr fontId="4" type="noConversion"/>
  </si>
  <si>
    <t>公允价值变动小计</t>
    <phoneticPr fontId="4" type="noConversion"/>
  </si>
  <si>
    <t>（三）账面余额（公允价值）</t>
    <phoneticPr fontId="8" type="noConversion"/>
  </si>
  <si>
    <t>账面余额（公允价值）合计</t>
    <phoneticPr fontId="4" type="noConversion"/>
  </si>
  <si>
    <r>
      <rPr>
        <sz val="10"/>
        <rFont val="宋体"/>
        <family val="3"/>
        <charset val="134"/>
      </rPr>
      <t>金融资产或金融负债满足下列条件之一的，表明企业持有该金融资产或承担该金融负债的目的是交易性的：</t>
    </r>
    <r>
      <rPr>
        <sz val="10"/>
        <rFont val="Arial Narrow"/>
        <family val="2"/>
      </rPr>
      <t/>
    </r>
    <phoneticPr fontId="4" type="noConversion"/>
  </si>
  <si>
    <r>
      <rPr>
        <sz val="10"/>
        <rFont val="宋体"/>
        <family val="3"/>
        <charset val="134"/>
      </rPr>
      <t>（二）相关金融资产或金融负债在初始确认时属于集中管理的可辨认金融工具组合的一部分，且有客观证据表明近期实际存在短期获利模式。</t>
    </r>
    <r>
      <rPr>
        <sz val="10"/>
        <rFont val="Arial Narrow"/>
        <family val="2"/>
      </rPr>
      <t xml:space="preserve"> </t>
    </r>
    <phoneticPr fontId="4" type="noConversion"/>
  </si>
  <si>
    <t>编制说明【非打印内容】</t>
    <phoneticPr fontId="4" type="noConversion"/>
  </si>
  <si>
    <r>
      <rPr>
        <sz val="10"/>
        <rFont val="宋体"/>
        <family val="3"/>
        <charset val="134"/>
      </rPr>
      <t>（一）取得相关金融资产或承担相关金融负债的目的，主要是为了近期出售或回购。</t>
    </r>
    <r>
      <rPr>
        <sz val="10"/>
        <rFont val="Arial Narrow"/>
        <family val="2"/>
      </rPr>
      <t/>
    </r>
    <phoneticPr fontId="4" type="noConversion"/>
  </si>
  <si>
    <t>期初余额</t>
    <phoneticPr fontId="15" type="noConversion"/>
  </si>
  <si>
    <t>期末余额</t>
    <phoneticPr fontId="15" type="noConversion"/>
  </si>
  <si>
    <t>公允价值</t>
    <phoneticPr fontId="4" type="noConversion"/>
  </si>
  <si>
    <t>本期公允价值变动</t>
    <phoneticPr fontId="4" type="noConversion"/>
  </si>
  <si>
    <t>累计公允价值变动</t>
    <phoneticPr fontId="4" type="noConversion"/>
  </si>
  <si>
    <t>合计</t>
    <phoneticPr fontId="15" type="noConversion"/>
  </si>
  <si>
    <t>三、审计说明：</t>
    <phoneticPr fontId="8" type="noConversion"/>
  </si>
  <si>
    <t>四、审计结论：</t>
    <phoneticPr fontId="8" type="noConversion"/>
  </si>
  <si>
    <t>类别</t>
    <phoneticPr fontId="8" type="noConversion"/>
  </si>
  <si>
    <t>（二）累计公允价值变动</t>
    <phoneticPr fontId="8" type="noConversion"/>
  </si>
  <si>
    <t>公允价值</t>
    <phoneticPr fontId="4" type="noConversion"/>
  </si>
  <si>
    <t>（三）相关金融资产或金融负债属于衍生工具。但符合财务担保合同定义的衍生工具以及被指定为有效套期工具的衍生工具除外。</t>
    <phoneticPr fontId="4" type="noConversion"/>
  </si>
  <si>
    <t>致同会计师事务所</t>
    <phoneticPr fontId="4" type="noConversion"/>
  </si>
  <si>
    <t>页  次：</t>
    <phoneticPr fontId="4" type="noConversion"/>
  </si>
  <si>
    <t>一、审计目标</t>
    <phoneticPr fontId="4" type="noConversion"/>
  </si>
  <si>
    <t>二、审计过程</t>
    <phoneticPr fontId="4" type="noConversion"/>
  </si>
  <si>
    <t>第二层次</t>
    <phoneticPr fontId="4" type="noConversion"/>
  </si>
  <si>
    <t>第三层次</t>
    <phoneticPr fontId="4" type="noConversion"/>
  </si>
  <si>
    <t>估值文件索引号</t>
    <phoneticPr fontId="4" type="noConversion"/>
  </si>
  <si>
    <t>输入值来源及调整考虑因素</t>
    <phoneticPr fontId="4" type="noConversion"/>
  </si>
  <si>
    <r>
      <rPr>
        <b/>
        <sz val="10"/>
        <color theme="1"/>
        <rFont val="宋体"/>
        <family val="3"/>
        <charset val="134"/>
      </rPr>
      <t>估值技术</t>
    </r>
    <phoneticPr fontId="4" type="noConversion"/>
  </si>
  <si>
    <r>
      <rPr>
        <b/>
        <sz val="10"/>
        <color theme="1"/>
        <rFont val="宋体"/>
        <family val="3"/>
        <charset val="134"/>
      </rPr>
      <t>不可观察输入值</t>
    </r>
    <phoneticPr fontId="4" type="noConversion"/>
  </si>
  <si>
    <t>数值</t>
    <phoneticPr fontId="4" type="noConversion"/>
  </si>
  <si>
    <t>以合同规定的未来现金流量按照市场上具有可比信用等级并在相同条件下提供几乎相同现金流量的利率进行折现后的现值确定</t>
    <phoneticPr fontId="4" type="noConversion"/>
  </si>
  <si>
    <r>
      <t>了解专家资质及利用估值专家的工作详见：</t>
    </r>
    <r>
      <rPr>
        <sz val="10"/>
        <color rgb="FFFF0000"/>
        <rFont val="宋体"/>
        <family val="3"/>
        <charset val="134"/>
      </rPr>
      <t>B21、C25、S12、S13</t>
    </r>
    <phoneticPr fontId="4" type="noConversion"/>
  </si>
  <si>
    <t>编制说明：</t>
    <phoneticPr fontId="8" type="noConversion"/>
  </si>
  <si>
    <r>
      <t>参考结论：</t>
    </r>
    <r>
      <rPr>
        <sz val="12"/>
        <rFont val="Arial Narrow"/>
        <family val="2"/>
      </rPr>
      <t/>
    </r>
    <phoneticPr fontId="8" type="noConversion"/>
  </si>
  <si>
    <r>
      <t>A</t>
    </r>
    <r>
      <rPr>
        <sz val="10"/>
        <color indexed="12"/>
        <rFont val="宋体"/>
        <family val="3"/>
        <charset val="134"/>
      </rPr>
      <t>、</t>
    </r>
    <phoneticPr fontId="8" type="noConversion"/>
  </si>
  <si>
    <t>未见异常。</t>
    <phoneticPr fontId="8" type="noConversion"/>
  </si>
  <si>
    <r>
      <t>B</t>
    </r>
    <r>
      <rPr>
        <sz val="10"/>
        <color indexed="12"/>
        <rFont val="宋体"/>
        <family val="3"/>
        <charset val="134"/>
      </rPr>
      <t>、</t>
    </r>
    <phoneticPr fontId="8" type="noConversion"/>
  </si>
  <si>
    <t>除以下重大不符事项应当作为调整事项予以调整外，其余未见异常。</t>
    <phoneticPr fontId="8" type="noConversion"/>
  </si>
  <si>
    <r>
      <t>C</t>
    </r>
    <r>
      <rPr>
        <sz val="10"/>
        <color indexed="12"/>
        <rFont val="宋体"/>
        <family val="3"/>
        <charset val="134"/>
      </rPr>
      <t>、</t>
    </r>
    <phoneticPr fontId="8" type="noConversion"/>
  </si>
  <si>
    <t>由于存在以下重大未调整事项（或审计范围受到限制无法获取充分、适当证据），不可确认。</t>
    <phoneticPr fontId="8" type="noConversion"/>
  </si>
  <si>
    <t>页次：</t>
    <phoneticPr fontId="4" type="noConversion"/>
  </si>
  <si>
    <t>合 计</t>
    <phoneticPr fontId="4" type="noConversion"/>
  </si>
  <si>
    <r>
      <rPr>
        <b/>
        <sz val="10"/>
        <rFont val="宋体"/>
        <family val="3"/>
        <charset val="134"/>
      </rPr>
      <t>三、测试：</t>
    </r>
    <phoneticPr fontId="124" type="noConversion"/>
  </si>
  <si>
    <r>
      <rPr>
        <b/>
        <sz val="10"/>
        <rFont val="宋体"/>
        <family val="3"/>
        <charset val="134"/>
      </rPr>
      <t>四、审计说明：</t>
    </r>
    <phoneticPr fontId="124" type="noConversion"/>
  </si>
  <si>
    <r>
      <rPr>
        <b/>
        <sz val="10"/>
        <rFont val="宋体"/>
        <family val="3"/>
        <charset val="134"/>
      </rPr>
      <t>五、审计结论：</t>
    </r>
    <phoneticPr fontId="8" type="noConversion"/>
  </si>
  <si>
    <r>
      <rPr>
        <i/>
        <sz val="10"/>
        <color indexed="12"/>
        <rFont val="宋体"/>
        <family val="3"/>
        <charset val="134"/>
      </rPr>
      <t>编制说明：</t>
    </r>
    <phoneticPr fontId="8" type="noConversion"/>
  </si>
  <si>
    <r>
      <rPr>
        <b/>
        <sz val="10"/>
        <color indexed="12"/>
        <rFont val="宋体"/>
        <family val="3"/>
        <charset val="134"/>
      </rPr>
      <t>参考结论：</t>
    </r>
    <r>
      <rPr>
        <sz val="12"/>
        <rFont val="Arial Narrow"/>
        <family val="2"/>
      </rPr>
      <t/>
    </r>
    <phoneticPr fontId="8" type="noConversion"/>
  </si>
  <si>
    <r>
      <rPr>
        <sz val="10"/>
        <color indexed="12"/>
        <rFont val="宋体"/>
        <family val="3"/>
        <charset val="134"/>
      </rPr>
      <t>未见异常。</t>
    </r>
    <phoneticPr fontId="8" type="noConversion"/>
  </si>
  <si>
    <r>
      <rPr>
        <sz val="10"/>
        <color indexed="12"/>
        <rFont val="宋体"/>
        <family val="3"/>
        <charset val="134"/>
      </rPr>
      <t>除以下重大不符事项应当作为调整事项予以调整外，其余未见异常。</t>
    </r>
    <phoneticPr fontId="8" type="noConversion"/>
  </si>
  <si>
    <r>
      <rPr>
        <sz val="10"/>
        <color indexed="12"/>
        <rFont val="宋体"/>
        <family val="3"/>
        <charset val="134"/>
      </rPr>
      <t>由于存在以下重大未调整事项（或审计范围受到限制无法获取充分、适当证据），不可确认。</t>
    </r>
    <phoneticPr fontId="8" type="noConversion"/>
  </si>
  <si>
    <t>2、选取测试项目的方法：包括选取全部项目、选取特定项目和审计抽样。</t>
  </si>
  <si>
    <r>
      <rPr>
        <sz val="10"/>
        <color indexed="12"/>
        <rFont val="宋体"/>
        <family val="3"/>
        <charset val="134"/>
      </rPr>
      <t>（</t>
    </r>
    <r>
      <rPr>
        <sz val="10"/>
        <color indexed="12"/>
        <rFont val="Arial Narrow"/>
        <family val="2"/>
      </rPr>
      <t>1</t>
    </r>
    <r>
      <rPr>
        <sz val="10"/>
        <color indexed="12"/>
        <rFont val="宋体"/>
        <family val="3"/>
        <charset val="134"/>
      </rPr>
      <t>）</t>
    </r>
    <phoneticPr fontId="8" type="noConversion"/>
  </si>
  <si>
    <r>
      <rPr>
        <sz val="10"/>
        <color indexed="12"/>
        <rFont val="宋体"/>
        <family val="3"/>
        <charset val="134"/>
      </rPr>
      <t>当存在下列情形之一时，注册会计师应当考虑选取全部项目进行测试：</t>
    </r>
    <phoneticPr fontId="8" type="noConversion"/>
  </si>
  <si>
    <r>
      <rPr>
        <sz val="10"/>
        <color indexed="12"/>
        <rFont val="宋体"/>
        <family val="3"/>
        <charset val="134"/>
      </rPr>
      <t>（一）总体由少量的大额项目构成；</t>
    </r>
    <phoneticPr fontId="8" type="noConversion"/>
  </si>
  <si>
    <r>
      <rPr>
        <sz val="10"/>
        <color indexed="12"/>
        <rFont val="宋体"/>
        <family val="3"/>
        <charset val="134"/>
      </rPr>
      <t>（二）存在特别风险且其他方法未提供充分、适当的审计证据；</t>
    </r>
    <phoneticPr fontId="8" type="noConversion"/>
  </si>
  <si>
    <r>
      <rPr>
        <sz val="10"/>
        <color indexed="12"/>
        <rFont val="宋体"/>
        <family val="3"/>
        <charset val="134"/>
      </rPr>
      <t>（三）由于信息系统自动执行的计算或其他程序具有重复性，对全部项目进行检查符合成本效益原则。</t>
    </r>
    <phoneticPr fontId="8" type="noConversion"/>
  </si>
  <si>
    <r>
      <rPr>
        <b/>
        <sz val="10"/>
        <color indexed="12"/>
        <rFont val="宋体"/>
        <family val="3"/>
        <charset val="134"/>
      </rPr>
      <t>特别风险涉及的事项包括但不限于：</t>
    </r>
    <r>
      <rPr>
        <sz val="10"/>
        <color indexed="12"/>
        <rFont val="Arial Narrow"/>
        <family val="2"/>
      </rPr>
      <t/>
    </r>
    <phoneticPr fontId="8"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</si>
  <si>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8"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</si>
  <si>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</si>
  <si>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</si>
  <si>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8"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</si>
  <si>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8" type="noConversion"/>
  </si>
  <si>
    <r>
      <rPr>
        <sz val="10"/>
        <color indexed="12"/>
        <rFont val="宋体"/>
        <family val="3"/>
        <charset val="134"/>
      </rPr>
      <t>选取的特定项目可能包括：</t>
    </r>
  </si>
  <si>
    <r>
      <rPr>
        <sz val="10"/>
        <color indexed="12"/>
        <rFont val="宋体"/>
        <family val="3"/>
        <charset val="134"/>
      </rPr>
      <t>（一）大额或关键项目；</t>
    </r>
    <phoneticPr fontId="8" type="noConversion"/>
  </si>
  <si>
    <r>
      <rPr>
        <sz val="10"/>
        <color indexed="12"/>
        <rFont val="宋体"/>
        <family val="3"/>
        <charset val="134"/>
      </rPr>
      <t>（二）超过某一金额的全部项目；</t>
    </r>
    <phoneticPr fontId="8" type="noConversion"/>
  </si>
  <si>
    <r>
      <rPr>
        <sz val="10"/>
        <color indexed="12"/>
        <rFont val="宋体"/>
        <family val="3"/>
        <charset val="134"/>
      </rPr>
      <t>（三）被用于获取某些信息的项目；</t>
    </r>
    <phoneticPr fontId="8" type="noConversion"/>
  </si>
  <si>
    <r>
      <rPr>
        <sz val="10"/>
        <color indexed="12"/>
        <rFont val="宋体"/>
        <family val="3"/>
        <charset val="134"/>
      </rPr>
      <t>（四）被用于测试控制活动的项目。</t>
    </r>
    <phoneticPr fontId="8" type="noConversion"/>
  </si>
  <si>
    <r>
      <rPr>
        <sz val="10"/>
        <color indexed="12"/>
        <rFont val="宋体"/>
        <family val="3"/>
        <charset val="134"/>
      </rPr>
      <t>根据判断选取特定项目，容易产生非抽样风险。</t>
    </r>
    <phoneticPr fontId="8" type="noConversion"/>
  </si>
  <si>
    <r>
      <rPr>
        <sz val="10"/>
        <color indexed="12"/>
        <rFont val="宋体"/>
        <family val="3"/>
        <charset val="134"/>
      </rPr>
      <t>选取特定项目实施检查，通常是获取审计证据的有效手段，但并不构成审计抽样。</t>
    </r>
    <phoneticPr fontId="8"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</si>
  <si>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8" type="noConversion"/>
  </si>
  <si>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</si>
  <si>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</si>
  <si>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phoneticPr fontId="8"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</si>
  <si>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8" type="noConversion"/>
  </si>
  <si>
    <r>
      <rPr>
        <sz val="10"/>
        <color indexed="12"/>
        <rFont val="宋体"/>
        <family val="3"/>
        <charset val="134"/>
      </rPr>
      <t>统计抽样是指同时具备下列特征的抽样方法：</t>
    </r>
  </si>
  <si>
    <r>
      <rPr>
        <sz val="10"/>
        <color indexed="12"/>
        <rFont val="宋体"/>
        <family val="3"/>
        <charset val="134"/>
      </rPr>
      <t>（一）随机选取样本；</t>
    </r>
    <phoneticPr fontId="8" type="noConversion"/>
  </si>
  <si>
    <r>
      <rPr>
        <sz val="10"/>
        <color indexed="12"/>
        <rFont val="宋体"/>
        <family val="3"/>
        <charset val="134"/>
      </rPr>
      <t>（二）运用概率论评价样本结果，包括计量抽样风险。</t>
    </r>
    <phoneticPr fontId="8" type="noConversion"/>
  </si>
  <si>
    <r>
      <rPr>
        <sz val="10"/>
        <color indexed="12"/>
        <rFont val="宋体"/>
        <family val="3"/>
        <charset val="134"/>
      </rPr>
      <t>不同时具备上述两个特征的抽样方法为非统计抽样。</t>
    </r>
    <phoneticPr fontId="8"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</si>
  <si>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8" type="noConversion"/>
  </si>
  <si>
    <r>
      <rPr>
        <sz val="10"/>
        <color indexed="12"/>
        <rFont val="宋体"/>
        <family val="3"/>
        <charset val="134"/>
      </rPr>
      <t>即在测试存在性时，选择大额项目的效率较高。</t>
    </r>
    <phoneticPr fontId="8"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</si>
  <si>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8"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</si>
  <si>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8" type="noConversion"/>
  </si>
  <si>
    <r>
      <rPr>
        <sz val="10"/>
        <color indexed="12"/>
        <rFont val="宋体"/>
        <family val="3"/>
        <charset val="134"/>
      </rPr>
      <t>在统计抽样中，注册会计师应当随机选取样本项目，以使每一抽样单元以已知的机会被选中。</t>
    </r>
    <phoneticPr fontId="8" type="noConversion"/>
  </si>
  <si>
    <r>
      <rPr>
        <sz val="10"/>
        <color indexed="12"/>
        <rFont val="宋体"/>
        <family val="3"/>
        <charset val="134"/>
      </rPr>
      <t>在非统计抽样中，注册会计师应当运用职业判断选取样本项目。</t>
    </r>
    <phoneticPr fontId="8" type="noConversion"/>
  </si>
  <si>
    <r>
      <rPr>
        <sz val="10"/>
        <color indexed="12"/>
        <rFont val="宋体"/>
        <family val="3"/>
        <charset val="134"/>
      </rPr>
      <t>注册会计师可以使用统计学公式或运用职业判断，确定样本规模。</t>
    </r>
    <phoneticPr fontId="8"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</si>
  <si>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8"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</si>
  <si>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8" type="noConversion"/>
  </si>
  <si>
    <r>
      <rPr>
        <b/>
        <sz val="10"/>
        <color indexed="12"/>
        <rFont val="宋体"/>
        <family val="3"/>
        <charset val="134"/>
      </rPr>
      <t>预计错报的扩展系数</t>
    </r>
    <phoneticPr fontId="8" type="noConversion"/>
  </si>
  <si>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</si>
  <si>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</si>
  <si>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t>编制说明【非打印内容】：</t>
    <phoneticPr fontId="8" type="noConversion"/>
  </si>
  <si>
    <t>确定衍生工具</t>
    <phoneticPr fontId="4" type="noConversion"/>
  </si>
  <si>
    <r>
      <rPr>
        <b/>
        <sz val="10"/>
        <rFont val="宋体"/>
        <family val="3"/>
        <charset val="134"/>
      </rPr>
      <t>在协议中有无提及任何有下列影响的项目</t>
    </r>
    <r>
      <rPr>
        <b/>
        <sz val="10"/>
        <rFont val="Arial Narrow"/>
        <family val="2"/>
      </rPr>
      <t>(</t>
    </r>
    <r>
      <rPr>
        <b/>
        <sz val="10"/>
        <rFont val="宋体"/>
        <family val="3"/>
        <charset val="134"/>
      </rPr>
      <t>即是否存在任何衍生工具或附于主合同的衍生工具？</t>
    </r>
    <r>
      <rPr>
        <b/>
        <sz val="10"/>
        <rFont val="Arial Narrow"/>
        <family val="2"/>
      </rPr>
      <t>)</t>
    </r>
    <phoneticPr fontId="4" type="noConversion"/>
  </si>
  <si>
    <r>
      <rPr>
        <b/>
        <sz val="10"/>
        <color theme="1"/>
        <rFont val="宋体"/>
        <family val="3"/>
        <charset val="134"/>
      </rPr>
      <t>一、审计目标</t>
    </r>
    <phoneticPr fontId="4" type="noConversion"/>
  </si>
  <si>
    <r>
      <t xml:space="preserve">2. </t>
    </r>
    <r>
      <rPr>
        <sz val="10"/>
        <color theme="1"/>
        <rFont val="宋体"/>
        <family val="3"/>
        <charset val="134"/>
      </rPr>
      <t>就管理层将投资确定为非交易性的目的获取书面声明，询问管理层持有相关资产的目的，实施以下程序印证管理层的答复，确定相关资产的分类是否正确：</t>
    </r>
    <phoneticPr fontId="4" type="noConversion"/>
  </si>
  <si>
    <r>
      <t xml:space="preserve">4. </t>
    </r>
    <r>
      <rPr>
        <sz val="10"/>
        <color theme="1"/>
        <rFont val="宋体"/>
        <family val="3"/>
        <charset val="134"/>
      </rPr>
      <t>是否发现管理层在以前年度运用的重大判断和估计存在不合理的情形。如果存在，记录管理层是否在当年进行了恰当的会计处理和披露，并选用了更为准确的判断和假设。</t>
    </r>
    <phoneticPr fontId="4" type="noConversion"/>
  </si>
  <si>
    <t>期末账面价值</t>
    <phoneticPr fontId="4" type="noConversion"/>
  </si>
  <si>
    <t>书面文件索引号</t>
    <phoneticPr fontId="4" type="noConversion"/>
  </si>
  <si>
    <r>
      <rPr>
        <b/>
        <sz val="10"/>
        <rFont val="宋体"/>
        <family val="3"/>
        <charset val="134"/>
      </rPr>
      <t>四、审计结论</t>
    </r>
    <phoneticPr fontId="4" type="noConversion"/>
  </si>
  <si>
    <r>
      <t>“</t>
    </r>
    <r>
      <rPr>
        <b/>
        <sz val="10"/>
        <color theme="1"/>
        <rFont val="宋体"/>
        <family val="3"/>
        <charset val="134"/>
      </rPr>
      <t>交易性</t>
    </r>
    <r>
      <rPr>
        <b/>
        <sz val="10"/>
        <color theme="1"/>
        <rFont val="Arial Narrow"/>
        <family val="2"/>
      </rPr>
      <t>”[</t>
    </r>
    <r>
      <rPr>
        <b/>
        <sz val="10"/>
        <color theme="1"/>
        <rFont val="宋体"/>
        <family val="3"/>
        <charset val="134"/>
      </rPr>
      <t>需属于下列任一情形之一</t>
    </r>
    <r>
      <rPr>
        <b/>
        <sz val="10"/>
        <color theme="1"/>
        <rFont val="Arial Narrow"/>
        <family val="2"/>
      </rPr>
      <t>]</t>
    </r>
    <phoneticPr fontId="4" type="noConversion"/>
  </si>
  <si>
    <t>交易性金融负债审定表</t>
    <phoneticPr fontId="8" type="noConversion"/>
  </si>
  <si>
    <t>其中：发行的交易性债券</t>
    <phoneticPr fontId="4" type="noConversion"/>
  </si>
  <si>
    <t xml:space="preserve">     衍生金融负债</t>
    <phoneticPr fontId="4" type="noConversion"/>
  </si>
  <si>
    <t>交易性金融负债</t>
    <phoneticPr fontId="4" type="noConversion"/>
  </si>
  <si>
    <t>指定为以公允价值计量且其变动计入当期损益的金融负债</t>
    <phoneticPr fontId="4" type="noConversion"/>
  </si>
  <si>
    <t>其中：债券</t>
    <phoneticPr fontId="4" type="noConversion"/>
  </si>
  <si>
    <t>初始成本小计</t>
    <phoneticPr fontId="4" type="noConversion"/>
  </si>
  <si>
    <r>
      <rPr>
        <sz val="10"/>
        <rFont val="宋体"/>
        <family val="3"/>
        <charset val="134"/>
      </rPr>
      <t>（</t>
    </r>
    <r>
      <rPr>
        <sz val="10"/>
        <rFont val="Arial Narrow"/>
        <family val="2"/>
      </rPr>
      <t>1</t>
    </r>
    <r>
      <rPr>
        <sz val="10"/>
        <rFont val="宋体"/>
        <family val="3"/>
        <charset val="134"/>
      </rPr>
      <t>）交易性金融负债本期较上期增加（负数为减少）：</t>
    </r>
    <phoneticPr fontId="8" type="noConversion"/>
  </si>
  <si>
    <t>在初始确认时，为了提供更相关的会计信息，企业可以将金融负债指定为以公允价值计量且其变动计入当期损益的金融负债，但该指定应当满足下列条件之一：</t>
    <phoneticPr fontId="4" type="noConversion"/>
  </si>
  <si>
    <t>（一）能够消除或显著减少会计错配。</t>
    <phoneticPr fontId="4" type="noConversion"/>
  </si>
  <si>
    <t>（二）根据正式书面文件载明的企业风险管理或投资策略，以公允价值为基础对金融负债组合或金融资产和金融负债组合进行管理和业绩评价，并在企业内部以此为基础向关键管理人员报告。</t>
    <phoneticPr fontId="4" type="noConversion"/>
  </si>
  <si>
    <t>该指定一经做出，不得撤销。</t>
    <phoneticPr fontId="4" type="noConversion"/>
  </si>
  <si>
    <t>交易性金融负债</t>
    <phoneticPr fontId="4" type="noConversion"/>
  </si>
  <si>
    <t>交易性金融负债</t>
    <phoneticPr fontId="4" type="noConversion"/>
  </si>
  <si>
    <t>其中：发行的交易性债券</t>
    <phoneticPr fontId="4" type="noConversion"/>
  </si>
  <si>
    <r>
      <t xml:space="preserve">  </t>
    </r>
    <r>
      <rPr>
        <sz val="12"/>
        <rFont val="仿宋_GB2312"/>
        <family val="3"/>
        <charset val="134"/>
      </rPr>
      <t>其中：债券</t>
    </r>
    <phoneticPr fontId="4" type="noConversion"/>
  </si>
  <si>
    <r>
      <t>X</t>
    </r>
    <r>
      <rPr>
        <sz val="12"/>
        <rFont val="仿宋_GB2312"/>
        <family val="3"/>
        <charset val="134"/>
      </rPr>
      <t>、衍生金融负债</t>
    </r>
    <phoneticPr fontId="4" type="noConversion"/>
  </si>
  <si>
    <r>
      <t xml:space="preserve">              </t>
    </r>
    <r>
      <rPr>
        <sz val="12"/>
        <rFont val="仿宋_GB2312"/>
        <family val="3"/>
        <charset val="134"/>
      </rPr>
      <t>衍生金融负债</t>
    </r>
    <phoneticPr fontId="4" type="noConversion"/>
  </si>
  <si>
    <t xml:space="preserve">     混合工具</t>
    <phoneticPr fontId="4" type="noConversion"/>
  </si>
  <si>
    <t>（一）初始金额</t>
    <phoneticPr fontId="8" type="noConversion"/>
  </si>
  <si>
    <t>交易性金融负债明细表</t>
    <phoneticPr fontId="8" type="noConversion"/>
  </si>
  <si>
    <t>短期融资券</t>
  </si>
  <si>
    <t>短期融资券</t>
    <phoneticPr fontId="4" type="noConversion"/>
  </si>
  <si>
    <t>计入财务费用的利息</t>
    <phoneticPr fontId="4" type="noConversion"/>
  </si>
  <si>
    <t>票面利率</t>
    <phoneticPr fontId="15" type="noConversion"/>
  </si>
  <si>
    <t>发行文件索引</t>
    <phoneticPr fontId="15" type="noConversion"/>
  </si>
  <si>
    <t>--</t>
    <phoneticPr fontId="4" type="noConversion"/>
  </si>
  <si>
    <t>本期计入“财务费用”的利息金额为：</t>
    <phoneticPr fontId="4" type="noConversion"/>
  </si>
  <si>
    <t>初始确认金额</t>
    <phoneticPr fontId="4" type="noConversion"/>
  </si>
  <si>
    <t>交易性金融负债公允价值测试表</t>
    <phoneticPr fontId="8" type="noConversion"/>
  </si>
  <si>
    <t>划分为以公允价值计量且其变动计入当期损益的金融负债的适当性检查表</t>
    <phoneticPr fontId="8" type="noConversion"/>
  </si>
  <si>
    <t>确定以公允价值计量且其变动计入当期损益的金融负债分类是否正确。</t>
    <phoneticPr fontId="4" type="noConversion"/>
  </si>
  <si>
    <r>
      <t xml:space="preserve">1. </t>
    </r>
    <r>
      <rPr>
        <sz val="10"/>
        <color theme="1"/>
        <rFont val="宋体"/>
        <family val="3"/>
        <charset val="134"/>
      </rPr>
      <t>以公允价值计量且其变动计入当期损益的金融负债的指定是否符合准则要求、会计处理是否合理并与前期一致。</t>
    </r>
    <phoneticPr fontId="4" type="noConversion"/>
  </si>
  <si>
    <r>
      <t xml:space="preserve">2.1 </t>
    </r>
    <r>
      <rPr>
        <sz val="10"/>
        <color theme="1"/>
        <rFont val="宋体"/>
        <family val="3"/>
        <charset val="134"/>
      </rPr>
      <t>考虑管理层以前所述的对于负债管理模式的实际实施情况；</t>
    </r>
    <phoneticPr fontId="4" type="noConversion"/>
  </si>
  <si>
    <r>
      <t xml:space="preserve">2.2 </t>
    </r>
    <r>
      <rPr>
        <sz val="10"/>
        <color theme="1"/>
        <rFont val="宋体"/>
        <family val="3"/>
        <charset val="134"/>
      </rPr>
      <t>复核包括预算、管理层会议纪要等在内的文件和报告记录，检查管理层是否对负债的管理模式的进行了明确的书面指定</t>
    </r>
    <r>
      <rPr>
        <sz val="10"/>
        <color theme="1"/>
        <rFont val="宋体"/>
        <family val="3"/>
        <charset val="134"/>
      </rPr>
      <t>。</t>
    </r>
    <phoneticPr fontId="4" type="noConversion"/>
  </si>
  <si>
    <r>
      <t xml:space="preserve">3. </t>
    </r>
    <r>
      <rPr>
        <sz val="10"/>
        <color theme="1"/>
        <rFont val="宋体"/>
        <family val="3"/>
        <charset val="134"/>
      </rPr>
      <t>与管理层讨论金融负债分类是否符合企业会计准则，是否根据确定的分类选用了正确的核算方法。</t>
    </r>
    <phoneticPr fontId="4" type="noConversion"/>
  </si>
  <si>
    <t>能够消除或显著减少会计错配</t>
    <phoneticPr fontId="4" type="noConversion"/>
  </si>
  <si>
    <t>根据正式书面文件载明的企业风险管理或投资策略，以公允价值为基础对金融负债组合或金融资产和金融负债组合进行管理和业绩评价，并在企业内部以此为基础向关键管理人员报告</t>
    <phoneticPr fontId="4" type="noConversion"/>
  </si>
  <si>
    <r>
      <t>“</t>
    </r>
    <r>
      <rPr>
        <b/>
        <sz val="10"/>
        <color theme="1"/>
        <rFont val="宋体"/>
        <family val="3"/>
        <charset val="134"/>
      </rPr>
      <t>初始确认时指定</t>
    </r>
    <r>
      <rPr>
        <b/>
        <sz val="10"/>
        <color theme="1"/>
        <rFont val="Arial Narrow"/>
        <family val="2"/>
      </rPr>
      <t>”[</t>
    </r>
    <r>
      <rPr>
        <b/>
        <sz val="10"/>
        <color theme="1"/>
        <rFont val="宋体"/>
        <family val="3"/>
        <charset val="134"/>
      </rPr>
      <t>满足下列条件之一</t>
    </r>
    <r>
      <rPr>
        <b/>
        <sz val="10"/>
        <color theme="1"/>
        <rFont val="Arial Narrow"/>
        <family val="2"/>
      </rPr>
      <t>]</t>
    </r>
    <phoneticPr fontId="4" type="noConversion"/>
  </si>
  <si>
    <t>项目名称</t>
    <phoneticPr fontId="4" type="noConversion"/>
  </si>
  <si>
    <t>取得相关金融负债的目的，主要是为了近期出售或回购</t>
    <phoneticPr fontId="4" type="noConversion"/>
  </si>
  <si>
    <t>相关金融负债在初始确认时属于集中管理的可辨认金融工具组合的一部分，且有客观证据表明近期实际存在短期获利模式</t>
    <phoneticPr fontId="4" type="noConversion"/>
  </si>
  <si>
    <t>相关金融负债属于衍生工具（但符合财务担保合同定义的衍生工具以及被指定为有效套期工具的衍生工具除外）</t>
    <phoneticPr fontId="4" type="noConversion"/>
  </si>
  <si>
    <t>项目名称</t>
    <phoneticPr fontId="4" type="noConversion"/>
  </si>
  <si>
    <t>对于在报告期末发行的负债，计入损益的当期未实现利得或损失的变动</t>
    <phoneticPr fontId="4" type="noConversion"/>
  </si>
  <si>
    <t>页  次：</t>
    <phoneticPr fontId="4" type="noConversion"/>
  </si>
  <si>
    <r>
      <rPr>
        <b/>
        <sz val="10"/>
        <rFont val="宋体"/>
        <family val="3"/>
        <charset val="134"/>
      </rPr>
      <t>一、审计目标</t>
    </r>
    <phoneticPr fontId="4" type="noConversion"/>
  </si>
  <si>
    <t>确定衍生工具投资活动计量是否准确。</t>
    <phoneticPr fontId="4" type="noConversion"/>
  </si>
  <si>
    <r>
      <rPr>
        <b/>
        <sz val="10"/>
        <rFont val="宋体"/>
        <family val="3"/>
        <charset val="134"/>
      </rPr>
      <t>二、审计过程</t>
    </r>
    <phoneticPr fontId="4" type="noConversion"/>
  </si>
  <si>
    <r>
      <rPr>
        <b/>
        <sz val="10"/>
        <rFont val="宋体"/>
        <family val="3"/>
        <charset val="134"/>
      </rPr>
      <t>复核与</t>
    </r>
    <r>
      <rPr>
        <b/>
        <sz val="10"/>
        <rFont val="Arial Narrow"/>
        <family val="2"/>
      </rPr>
      <t>(</t>
    </r>
    <r>
      <rPr>
        <b/>
        <sz val="10"/>
        <rFont val="宋体"/>
        <family val="3"/>
        <charset val="134"/>
      </rPr>
      <t>主合同的</t>
    </r>
    <r>
      <rPr>
        <b/>
        <sz val="10"/>
        <rFont val="Arial Narrow"/>
        <family val="2"/>
      </rPr>
      <t>)</t>
    </r>
    <r>
      <rPr>
        <b/>
        <sz val="10"/>
        <rFont val="宋体"/>
        <family val="3"/>
        <charset val="134"/>
      </rPr>
      <t>交易对方所签订贷款、投资、存款或其它工具的协议</t>
    </r>
  </si>
  <si>
    <r>
      <t>(</t>
    </r>
    <r>
      <rPr>
        <sz val="10"/>
        <color indexed="12"/>
        <rFont val="宋体"/>
        <family val="3"/>
        <charset val="134"/>
      </rPr>
      <t>如果对于上述</t>
    </r>
    <r>
      <rPr>
        <sz val="10"/>
        <color indexed="12"/>
        <rFont val="Arial Narrow"/>
        <family val="2"/>
      </rPr>
      <t>B</t>
    </r>
    <r>
      <rPr>
        <sz val="10"/>
        <color indexed="12"/>
        <rFont val="宋体"/>
        <family val="3"/>
        <charset val="134"/>
      </rPr>
      <t>项的任何答案为否，即表示不附有任何衍生工具，则无需回答下列问题</t>
    </r>
    <r>
      <rPr>
        <sz val="10"/>
        <color indexed="12"/>
        <rFont val="Arial Narrow"/>
        <family val="2"/>
      </rPr>
      <t>)</t>
    </r>
    <phoneticPr fontId="8" type="noConversion"/>
  </si>
  <si>
    <r>
      <rPr>
        <sz val="10"/>
        <rFont val="宋体"/>
        <family val="3"/>
        <charset val="134"/>
      </rPr>
      <t>如果上述</t>
    </r>
    <r>
      <rPr>
        <sz val="10"/>
        <rFont val="Arial Narrow"/>
        <family val="2"/>
      </rPr>
      <t>B</t>
    </r>
    <r>
      <rPr>
        <sz val="10"/>
        <rFont val="宋体"/>
        <family val="3"/>
        <charset val="134"/>
      </rPr>
      <t>项的任何答案为是，即表明存在附于主合同的衍生工具，请回答下列问题：</t>
    </r>
    <phoneticPr fontId="8" type="noConversion"/>
  </si>
  <si>
    <r>
      <rPr>
        <sz val="10"/>
        <color indexed="12"/>
        <rFont val="宋体"/>
        <family val="3"/>
        <charset val="134"/>
      </rPr>
      <t>如果上述</t>
    </r>
    <r>
      <rPr>
        <sz val="10"/>
        <color indexed="12"/>
        <rFont val="Arial Narrow"/>
        <family val="2"/>
      </rPr>
      <t>C</t>
    </r>
    <r>
      <rPr>
        <sz val="10"/>
        <color indexed="12"/>
        <rFont val="宋体"/>
        <family val="3"/>
        <charset val="134"/>
      </rPr>
      <t>项的任何答案为否，即表明不存在任何嵌入衍生工具，则无需回答下列问题。有关衍生工具应与主合同相分离并进行不同核算。</t>
    </r>
    <phoneticPr fontId="8" type="noConversion"/>
  </si>
  <si>
    <t>D</t>
  </si>
  <si>
    <r>
      <rPr>
        <b/>
        <sz val="10"/>
        <rFont val="宋体"/>
        <family val="3"/>
        <charset val="134"/>
      </rPr>
      <t>嵌入衍生工具是否应与主合同分离？</t>
    </r>
  </si>
  <si>
    <r>
      <rPr>
        <sz val="10"/>
        <rFont val="宋体"/>
        <family val="3"/>
        <charset val="134"/>
      </rPr>
      <t>如果上述</t>
    </r>
    <r>
      <rPr>
        <sz val="10"/>
        <rFont val="Arial Narrow"/>
        <family val="2"/>
      </rPr>
      <t>1C</t>
    </r>
    <r>
      <rPr>
        <sz val="10"/>
        <rFont val="宋体"/>
        <family val="3"/>
        <charset val="134"/>
      </rPr>
      <t>的任何答案为是，即表明衍生工具嵌入主合同。请针对各项确定的嵌入衍生工具回答下列问题以总结有关嵌入衍生工具是否与主合同分离并作为衍生工具进行会计处理？</t>
    </r>
  </si>
  <si>
    <r>
      <t>(1)</t>
    </r>
    <r>
      <rPr>
        <sz val="10"/>
        <rFont val="宋体"/>
        <family val="3"/>
        <charset val="134"/>
      </rPr>
      <t>嵌入衍生工具的经济特征及风险与主合同的经济特征及风险并不紧密相关。</t>
    </r>
  </si>
  <si>
    <r>
      <rPr>
        <sz val="10"/>
        <rFont val="宋体"/>
        <family val="3"/>
        <charset val="134"/>
      </rPr>
      <t>是或否</t>
    </r>
  </si>
  <si>
    <r>
      <rPr>
        <sz val="10"/>
        <color indexed="12"/>
        <rFont val="宋体"/>
        <family val="3"/>
        <charset val="134"/>
      </rPr>
      <t>指引：</t>
    </r>
  </si>
  <si>
    <r>
      <rPr>
        <sz val="10"/>
        <color indexed="12"/>
        <rFont val="宋体"/>
        <family val="3"/>
        <charset val="134"/>
      </rPr>
      <t>嵌入衍生工具与主合同并不紧密相关的例子，这种情况下需要与主合同分离</t>
    </r>
  </si>
  <si>
    <r>
      <t>(a)</t>
    </r>
    <r>
      <rPr>
        <sz val="10"/>
        <color indexed="12"/>
        <rFont val="宋体"/>
        <family val="3"/>
        <charset val="134"/>
      </rPr>
      <t>在债务工具中是否嵌入了信用衍生工具？</t>
    </r>
  </si>
  <si>
    <r>
      <t>(b)</t>
    </r>
    <r>
      <rPr>
        <sz val="10"/>
        <color indexed="12"/>
        <rFont val="宋体"/>
        <family val="3"/>
        <charset val="134"/>
      </rPr>
      <t>是否存在可转换债券？</t>
    </r>
  </si>
  <si>
    <r>
      <t>(c)</t>
    </r>
    <r>
      <rPr>
        <sz val="10"/>
        <color indexed="12"/>
        <rFont val="宋体"/>
        <family val="3"/>
        <charset val="134"/>
      </rPr>
      <t>金融工具中是否嵌入了卖出</t>
    </r>
    <r>
      <rPr>
        <sz val="10"/>
        <color indexed="12"/>
        <rFont val="Arial Narrow"/>
        <family val="2"/>
      </rPr>
      <t>/</t>
    </r>
    <r>
      <rPr>
        <sz val="10"/>
        <color indexed="12"/>
        <rFont val="宋体"/>
        <family val="3"/>
        <charset val="134"/>
      </rPr>
      <t>买入期权？</t>
    </r>
  </si>
  <si>
    <r>
      <t>(d)</t>
    </r>
    <r>
      <rPr>
        <sz val="10"/>
        <color indexed="12"/>
        <rFont val="宋体"/>
        <family val="3"/>
        <charset val="134"/>
      </rPr>
      <t>是否拥有将某项债务工具到期日予以展期的选择权？</t>
    </r>
  </si>
  <si>
    <r>
      <t>(e)</t>
    </r>
    <r>
      <rPr>
        <sz val="10"/>
        <color indexed="12"/>
        <rFont val="宋体"/>
        <family val="3"/>
        <charset val="134"/>
      </rPr>
      <t>是否存在任何债务性证券</t>
    </r>
    <r>
      <rPr>
        <sz val="10"/>
        <color indexed="12"/>
        <rFont val="Arial Narrow"/>
        <family val="2"/>
      </rPr>
      <t>/</t>
    </r>
    <r>
      <rPr>
        <sz val="10"/>
        <color indexed="12"/>
        <rFont val="宋体"/>
        <family val="3"/>
        <charset val="134"/>
      </rPr>
      <t>带息的租赁保险合同</t>
    </r>
    <r>
      <rPr>
        <sz val="10"/>
        <color indexed="12"/>
        <rFont val="Arial Narrow"/>
        <family val="2"/>
      </rPr>
      <t>/</t>
    </r>
    <r>
      <rPr>
        <sz val="10"/>
        <color indexed="12"/>
        <rFont val="宋体"/>
        <family val="3"/>
        <charset val="134"/>
      </rPr>
      <t>与货物</t>
    </r>
    <r>
      <rPr>
        <sz val="10"/>
        <color indexed="12"/>
        <rFont val="Arial Narrow"/>
        <family val="2"/>
      </rPr>
      <t>/</t>
    </r>
    <r>
      <rPr>
        <sz val="10"/>
        <color indexed="12"/>
        <rFont val="宋体"/>
        <family val="3"/>
        <charset val="134"/>
      </rPr>
      <t>权益价格挂钩的本金金额？</t>
    </r>
  </si>
  <si>
    <r>
      <rPr>
        <sz val="10"/>
        <color indexed="12"/>
        <rFont val="宋体"/>
        <family val="3"/>
        <charset val="134"/>
      </rPr>
      <t>嵌入衍生工具与主合同紧密相关的例子</t>
    </r>
  </si>
  <si>
    <r>
      <t>(a)</t>
    </r>
    <r>
      <rPr>
        <sz val="10"/>
        <color indexed="12"/>
        <rFont val="宋体"/>
        <family val="3"/>
        <charset val="134"/>
      </rPr>
      <t>是否存在以利率或利率指数为基础、并且能改变主合同所支付或收取的利息金额的嵌入衍生工具</t>
    </r>
  </si>
  <si>
    <r>
      <t>(b)</t>
    </r>
    <r>
      <rPr>
        <sz val="10"/>
        <color indexed="12"/>
        <rFont val="宋体"/>
        <family val="3"/>
        <charset val="134"/>
      </rPr>
      <t>在债务合同或保险合同中是否存在嵌入利率下限或嵌入利率上限？</t>
    </r>
    <r>
      <rPr>
        <sz val="10"/>
        <color indexed="12"/>
        <rFont val="Arial Narrow"/>
        <family val="2"/>
      </rPr>
      <t>(</t>
    </r>
    <r>
      <rPr>
        <sz val="10"/>
        <color indexed="12"/>
        <rFont val="宋体"/>
        <family val="3"/>
        <charset val="134"/>
      </rPr>
      <t>倘若在签发合同时，该利率上限等于或高于市场利率，而利率下限等于或低于市场利率</t>
    </r>
    <r>
      <rPr>
        <sz val="10"/>
        <color indexed="12"/>
        <rFont val="Arial Narrow"/>
        <family val="2"/>
      </rPr>
      <t>)</t>
    </r>
  </si>
  <si>
    <r>
      <t>(c)</t>
    </r>
    <r>
      <rPr>
        <sz val="10"/>
        <color indexed="12"/>
        <rFont val="宋体"/>
        <family val="3"/>
        <charset val="134"/>
      </rPr>
      <t>是否存在可以产生以外币表示的本金流或利息付款流的嵌入外币衍生工具</t>
    </r>
    <r>
      <rPr>
        <sz val="10"/>
        <color indexed="12"/>
        <rFont val="Arial Narrow"/>
        <family val="2"/>
      </rPr>
      <t>(</t>
    </r>
    <r>
      <rPr>
        <sz val="10"/>
        <color indexed="12"/>
        <rFont val="宋体"/>
        <family val="3"/>
        <charset val="134"/>
      </rPr>
      <t>如：双重货币债券</t>
    </r>
    <r>
      <rPr>
        <sz val="10"/>
        <color indexed="12"/>
        <rFont val="Arial Narrow"/>
        <family val="2"/>
      </rPr>
      <t>)</t>
    </r>
  </si>
  <si>
    <r>
      <t>(d)</t>
    </r>
    <r>
      <rPr>
        <sz val="10"/>
        <color indexed="12"/>
        <rFont val="宋体"/>
        <family val="3"/>
        <charset val="134"/>
      </rPr>
      <t>是否存在利息剥离或本金剥离中的嵌入提前支付选择权</t>
    </r>
    <r>
      <rPr>
        <sz val="10"/>
        <color indexed="12"/>
        <rFont val="Arial Narrow"/>
        <family val="2"/>
      </rPr>
      <t>(</t>
    </r>
    <r>
      <rPr>
        <sz val="10"/>
        <color indexed="12"/>
        <rFont val="宋体"/>
        <family val="3"/>
        <charset val="134"/>
      </rPr>
      <t>详情请参见财务报告准则</t>
    </r>
    <r>
      <rPr>
        <sz val="10"/>
        <color indexed="12"/>
        <rFont val="Arial Narrow"/>
        <family val="2"/>
      </rPr>
      <t>39</t>
    </r>
    <r>
      <rPr>
        <sz val="10"/>
        <color indexed="12"/>
        <rFont val="宋体"/>
        <family val="3"/>
        <charset val="134"/>
      </rPr>
      <t>号的应用指南</t>
    </r>
    <r>
      <rPr>
        <sz val="10"/>
        <color indexed="12"/>
        <rFont val="Arial Narrow"/>
        <family val="2"/>
      </rPr>
      <t>33)</t>
    </r>
  </si>
  <si>
    <r>
      <t>(e)</t>
    </r>
    <r>
      <rPr>
        <sz val="10"/>
        <color indexed="12"/>
        <rFont val="宋体"/>
        <family val="3"/>
        <charset val="134"/>
      </rPr>
      <t>其它例子请参见香港会计准则</t>
    </r>
    <r>
      <rPr>
        <sz val="10"/>
        <color indexed="12"/>
        <rFont val="Arial Narrow"/>
        <family val="2"/>
      </rPr>
      <t>/</t>
    </r>
    <r>
      <rPr>
        <sz val="10"/>
        <color indexed="12"/>
        <rFont val="宋体"/>
        <family val="3"/>
        <charset val="134"/>
      </rPr>
      <t>国际会计准则</t>
    </r>
    <r>
      <rPr>
        <sz val="10"/>
        <color indexed="12"/>
        <rFont val="Arial Narrow"/>
        <family val="2"/>
      </rPr>
      <t>39</t>
    </r>
    <r>
      <rPr>
        <sz val="10"/>
        <color indexed="12"/>
        <rFont val="宋体"/>
        <family val="3"/>
        <charset val="134"/>
      </rPr>
      <t>号的应用指南</t>
    </r>
    <r>
      <rPr>
        <sz val="10"/>
        <color indexed="12"/>
        <rFont val="Arial Narrow"/>
        <family val="2"/>
      </rPr>
      <t>33)</t>
    </r>
  </si>
  <si>
    <r>
      <t>(2)</t>
    </r>
    <r>
      <rPr>
        <sz val="10"/>
        <rFont val="宋体"/>
        <family val="3"/>
        <charset val="134"/>
      </rPr>
      <t>与嵌入衍生工具条款相同的单独工具符合衍生工具的定义</t>
    </r>
  </si>
  <si>
    <r>
      <t>(3)</t>
    </r>
    <r>
      <rPr>
        <sz val="10"/>
        <rFont val="宋体"/>
        <family val="3"/>
        <charset val="134"/>
      </rPr>
      <t>混合</t>
    </r>
    <r>
      <rPr>
        <sz val="10"/>
        <rFont val="Arial Narrow"/>
        <family val="2"/>
      </rPr>
      <t>(</t>
    </r>
    <r>
      <rPr>
        <sz val="10"/>
        <rFont val="宋体"/>
        <family val="3"/>
        <charset val="134"/>
      </rPr>
      <t>组合</t>
    </r>
    <r>
      <rPr>
        <sz val="10"/>
        <rFont val="Arial Narrow"/>
        <family val="2"/>
      </rPr>
      <t>)</t>
    </r>
    <r>
      <rPr>
        <sz val="10"/>
        <rFont val="宋体"/>
        <family val="3"/>
        <charset val="134"/>
      </rPr>
      <t>金融工具不以公允价值</t>
    </r>
    <r>
      <rPr>
        <sz val="10"/>
        <rFont val="Arial Narrow"/>
        <family val="2"/>
      </rPr>
      <t>(</t>
    </r>
    <r>
      <rPr>
        <sz val="10"/>
        <rFont val="宋体"/>
        <family val="3"/>
        <charset val="134"/>
      </rPr>
      <t>公允价值变动计入损益</t>
    </r>
    <r>
      <rPr>
        <sz val="10"/>
        <rFont val="Arial Narrow"/>
        <family val="2"/>
      </rPr>
      <t>)</t>
    </r>
    <r>
      <rPr>
        <sz val="10"/>
        <rFont val="宋体"/>
        <family val="3"/>
        <charset val="134"/>
      </rPr>
      <t>计量。</t>
    </r>
  </si>
  <si>
    <r>
      <rPr>
        <b/>
        <sz val="10"/>
        <color indexed="10"/>
        <rFont val="宋体"/>
        <family val="3"/>
        <charset val="134"/>
      </rPr>
      <t>操作指南：</t>
    </r>
    <phoneticPr fontId="8" type="noConversion"/>
  </si>
  <si>
    <r>
      <rPr>
        <sz val="10"/>
        <color indexed="10"/>
        <rFont val="宋体"/>
        <family val="3"/>
        <charset val="134"/>
      </rPr>
      <t>如果对上述</t>
    </r>
    <r>
      <rPr>
        <sz val="10"/>
        <color indexed="10"/>
        <rFont val="Arial Narrow"/>
        <family val="2"/>
      </rPr>
      <t>D</t>
    </r>
    <r>
      <rPr>
        <sz val="10"/>
        <color indexed="10"/>
        <rFont val="宋体"/>
        <family val="3"/>
        <charset val="134"/>
      </rPr>
      <t>项内所列示的</t>
    </r>
    <r>
      <rPr>
        <sz val="10"/>
        <color indexed="10"/>
        <rFont val="Arial Narrow"/>
        <family val="2"/>
      </rPr>
      <t>3</t>
    </r>
    <r>
      <rPr>
        <sz val="10"/>
        <color indexed="10"/>
        <rFont val="宋体"/>
        <family val="3"/>
        <charset val="134"/>
      </rPr>
      <t>项条件的回答均为</t>
    </r>
    <r>
      <rPr>
        <sz val="10"/>
        <color indexed="10"/>
        <rFont val="Arial Narrow"/>
        <family val="2"/>
      </rPr>
      <t>"</t>
    </r>
    <r>
      <rPr>
        <sz val="10"/>
        <color indexed="10"/>
        <rFont val="宋体"/>
        <family val="3"/>
        <charset val="134"/>
      </rPr>
      <t>是</t>
    </r>
    <r>
      <rPr>
        <sz val="10"/>
        <color indexed="10"/>
        <rFont val="Arial Narrow"/>
        <family val="2"/>
      </rPr>
      <t>"</t>
    </r>
    <r>
      <rPr>
        <sz val="10"/>
        <color indexed="10"/>
        <rFont val="宋体"/>
        <family val="3"/>
        <charset val="134"/>
      </rPr>
      <t>，</t>
    </r>
    <phoneticPr fontId="8" type="noConversion"/>
  </si>
  <si>
    <r>
      <rPr>
        <sz val="10"/>
        <color indexed="10"/>
        <rFont val="宋体"/>
        <family val="3"/>
        <charset val="134"/>
      </rPr>
      <t>将嵌入衍生工具予以分离并单独核算</t>
    </r>
  </si>
  <si>
    <r>
      <rPr>
        <sz val="10"/>
        <color indexed="10"/>
        <rFont val="宋体"/>
        <family val="3"/>
        <charset val="134"/>
      </rPr>
      <t>如果对上述</t>
    </r>
    <r>
      <rPr>
        <sz val="10"/>
        <color indexed="10"/>
        <rFont val="Arial Narrow"/>
        <family val="2"/>
      </rPr>
      <t>D</t>
    </r>
    <r>
      <rPr>
        <sz val="10"/>
        <color indexed="10"/>
        <rFont val="宋体"/>
        <family val="3"/>
        <charset val="134"/>
      </rPr>
      <t>项内所列示的</t>
    </r>
    <r>
      <rPr>
        <sz val="10"/>
        <color indexed="10"/>
        <rFont val="Arial Narrow"/>
        <family val="2"/>
      </rPr>
      <t>3</t>
    </r>
    <r>
      <rPr>
        <sz val="10"/>
        <color indexed="10"/>
        <rFont val="宋体"/>
        <family val="3"/>
        <charset val="134"/>
      </rPr>
      <t>项中的一个或多个条件的回答为</t>
    </r>
    <r>
      <rPr>
        <sz val="10"/>
        <color indexed="10"/>
        <rFont val="Arial Narrow"/>
        <family val="2"/>
      </rPr>
      <t>"</t>
    </r>
    <r>
      <rPr>
        <sz val="10"/>
        <color indexed="10"/>
        <rFont val="宋体"/>
        <family val="3"/>
        <charset val="134"/>
      </rPr>
      <t>否</t>
    </r>
    <r>
      <rPr>
        <sz val="10"/>
        <color indexed="10"/>
        <rFont val="Arial Narrow"/>
        <family val="2"/>
      </rPr>
      <t>"</t>
    </r>
    <r>
      <rPr>
        <sz val="10"/>
        <color indexed="10"/>
        <rFont val="宋体"/>
        <family val="3"/>
        <charset val="134"/>
      </rPr>
      <t>，</t>
    </r>
    <phoneticPr fontId="8" type="noConversion"/>
  </si>
  <si>
    <r>
      <rPr>
        <sz val="10"/>
        <color indexed="10"/>
        <rFont val="宋体"/>
        <family val="3"/>
        <charset val="134"/>
      </rPr>
      <t>不要把嵌入衍生工具从主工具中分离</t>
    </r>
  </si>
  <si>
    <t>E</t>
  </si>
  <si>
    <r>
      <rPr>
        <b/>
        <sz val="10"/>
        <rFont val="宋体"/>
        <family val="3"/>
        <charset val="134"/>
      </rPr>
      <t>计量</t>
    </r>
  </si>
  <si>
    <r>
      <rPr>
        <sz val="10"/>
        <rFont val="宋体"/>
        <family val="3"/>
        <charset val="134"/>
      </rPr>
      <t>如果对上述</t>
    </r>
    <r>
      <rPr>
        <sz val="10"/>
        <rFont val="Arial Narrow"/>
        <family val="2"/>
      </rPr>
      <t>D</t>
    </r>
    <r>
      <rPr>
        <sz val="10"/>
        <rFont val="宋体"/>
        <family val="3"/>
        <charset val="134"/>
      </rPr>
      <t>项内所列示的</t>
    </r>
    <r>
      <rPr>
        <sz val="10"/>
        <rFont val="Arial Narrow"/>
        <family val="2"/>
      </rPr>
      <t>3</t>
    </r>
    <r>
      <rPr>
        <sz val="10"/>
        <rFont val="宋体"/>
        <family val="3"/>
        <charset val="134"/>
      </rPr>
      <t>项条件的回答均为</t>
    </r>
    <r>
      <rPr>
        <sz val="10"/>
        <rFont val="Arial Narrow"/>
        <family val="2"/>
      </rPr>
      <t>"</t>
    </r>
    <r>
      <rPr>
        <sz val="10"/>
        <rFont val="宋体"/>
        <family val="3"/>
        <charset val="134"/>
      </rPr>
      <t>是</t>
    </r>
    <r>
      <rPr>
        <sz val="10"/>
        <rFont val="Arial Narrow"/>
        <family val="2"/>
      </rPr>
      <t>"</t>
    </r>
    <r>
      <rPr>
        <sz val="10"/>
        <rFont val="宋体"/>
        <family val="3"/>
        <charset val="134"/>
      </rPr>
      <t>，请将嵌入衍生工具予以分离并单独核算</t>
    </r>
    <phoneticPr fontId="8" type="noConversion"/>
  </si>
  <si>
    <r>
      <rPr>
        <sz val="10"/>
        <rFont val="宋体"/>
        <family val="3"/>
        <charset val="134"/>
      </rPr>
      <t>请进一步回答下列问题：</t>
    </r>
  </si>
  <si>
    <r>
      <t>(1)</t>
    </r>
    <r>
      <rPr>
        <sz val="10"/>
        <rFont val="宋体"/>
        <family val="3"/>
        <charset val="134"/>
      </rPr>
      <t>有关嵌入衍生工具是否能够在购买日</t>
    </r>
    <r>
      <rPr>
        <sz val="10"/>
        <rFont val="Arial Narrow"/>
        <family val="2"/>
      </rPr>
      <t>/</t>
    </r>
    <r>
      <rPr>
        <sz val="10"/>
        <rFont val="宋体"/>
        <family val="3"/>
        <charset val="134"/>
      </rPr>
      <t>之后的财务报告日单独计量？</t>
    </r>
  </si>
  <si>
    <r>
      <rPr>
        <sz val="10"/>
        <color indexed="10"/>
        <rFont val="宋体"/>
        <family val="3"/>
        <charset val="134"/>
      </rPr>
      <t>如果对上述</t>
    </r>
    <r>
      <rPr>
        <sz val="10"/>
        <color indexed="10"/>
        <rFont val="Arial Narrow"/>
        <family val="2"/>
      </rPr>
      <t>E(1)</t>
    </r>
    <r>
      <rPr>
        <sz val="10"/>
        <color indexed="10"/>
        <rFont val="宋体"/>
        <family val="3"/>
        <charset val="134"/>
      </rPr>
      <t>的回答为</t>
    </r>
    <r>
      <rPr>
        <sz val="10"/>
        <color indexed="10"/>
        <rFont val="Arial Narrow"/>
        <family val="2"/>
      </rPr>
      <t>"</t>
    </r>
    <r>
      <rPr>
        <sz val="10"/>
        <color indexed="10"/>
        <rFont val="宋体"/>
        <family val="3"/>
        <charset val="134"/>
      </rPr>
      <t>是</t>
    </r>
    <r>
      <rPr>
        <sz val="10"/>
        <color indexed="10"/>
        <rFont val="Arial Narrow"/>
        <family val="2"/>
      </rPr>
      <t>"</t>
    </r>
    <r>
      <rPr>
        <sz val="10"/>
        <color indexed="10"/>
        <rFont val="宋体"/>
        <family val="3"/>
        <charset val="134"/>
      </rPr>
      <t>，</t>
    </r>
  </si>
  <si>
    <r>
      <rPr>
        <sz val="10"/>
        <color indexed="10"/>
        <rFont val="宋体"/>
        <family val="3"/>
        <charset val="134"/>
      </rPr>
      <t>单独计量衍生工具的公允价值，并回答下一问题</t>
    </r>
  </si>
  <si>
    <r>
      <rPr>
        <sz val="10"/>
        <color indexed="10"/>
        <rFont val="宋体"/>
        <family val="3"/>
        <charset val="134"/>
      </rPr>
      <t>如果对上述</t>
    </r>
    <r>
      <rPr>
        <sz val="10"/>
        <color indexed="10"/>
        <rFont val="Arial Narrow"/>
        <family val="2"/>
      </rPr>
      <t>E(1)</t>
    </r>
    <r>
      <rPr>
        <sz val="10"/>
        <color indexed="10"/>
        <rFont val="宋体"/>
        <family val="3"/>
        <charset val="134"/>
      </rPr>
      <t>的回答为</t>
    </r>
    <r>
      <rPr>
        <sz val="10"/>
        <color indexed="10"/>
        <rFont val="Arial Narrow"/>
        <family val="2"/>
      </rPr>
      <t>"</t>
    </r>
    <r>
      <rPr>
        <sz val="10"/>
        <color indexed="10"/>
        <rFont val="宋体"/>
        <family val="3"/>
        <charset val="134"/>
      </rPr>
      <t>否</t>
    </r>
    <r>
      <rPr>
        <sz val="10"/>
        <color indexed="10"/>
        <rFont val="Arial Narrow"/>
        <family val="2"/>
      </rPr>
      <t>"</t>
    </r>
    <r>
      <rPr>
        <sz val="10"/>
        <color indexed="10"/>
        <rFont val="宋体"/>
        <family val="3"/>
        <charset val="134"/>
      </rPr>
      <t>，</t>
    </r>
  </si>
  <si>
    <r>
      <rPr>
        <sz val="10"/>
        <color indexed="10"/>
        <rFont val="宋体"/>
        <family val="3"/>
        <charset val="134"/>
      </rPr>
      <t>将整个组合合同当作一项为交易而持有的金融资产</t>
    </r>
    <r>
      <rPr>
        <sz val="10"/>
        <color indexed="10"/>
        <rFont val="Arial Narrow"/>
        <family val="2"/>
      </rPr>
      <t>/</t>
    </r>
    <r>
      <rPr>
        <sz val="10"/>
        <color indexed="10"/>
        <rFont val="宋体"/>
        <family val="3"/>
        <charset val="134"/>
      </rPr>
      <t>金融负债处理</t>
    </r>
  </si>
  <si>
    <r>
      <t>(</t>
    </r>
    <r>
      <rPr>
        <sz val="10"/>
        <color indexed="12"/>
        <rFont val="宋体"/>
        <family val="3"/>
        <charset val="134"/>
      </rPr>
      <t>如果对上述</t>
    </r>
    <r>
      <rPr>
        <sz val="10"/>
        <color indexed="12"/>
        <rFont val="Arial Narrow"/>
        <family val="2"/>
      </rPr>
      <t>E</t>
    </r>
    <r>
      <rPr>
        <sz val="10"/>
        <color indexed="12"/>
        <rFont val="宋体"/>
        <family val="3"/>
        <charset val="134"/>
      </rPr>
      <t>项的回答为</t>
    </r>
    <r>
      <rPr>
        <sz val="10"/>
        <color indexed="12"/>
        <rFont val="Arial Narrow"/>
        <family val="2"/>
      </rPr>
      <t>"</t>
    </r>
    <r>
      <rPr>
        <sz val="10"/>
        <color indexed="12"/>
        <rFont val="宋体"/>
        <family val="3"/>
        <charset val="134"/>
      </rPr>
      <t>否</t>
    </r>
    <r>
      <rPr>
        <sz val="10"/>
        <color indexed="12"/>
        <rFont val="Arial Narrow"/>
        <family val="2"/>
      </rPr>
      <t>"</t>
    </r>
    <r>
      <rPr>
        <sz val="10"/>
        <color indexed="12"/>
        <rFont val="宋体"/>
        <family val="3"/>
        <charset val="134"/>
      </rPr>
      <t>，则无需回答余下问题。</t>
    </r>
    <r>
      <rPr>
        <sz val="10"/>
        <color indexed="12"/>
        <rFont val="Arial Narrow"/>
        <family val="2"/>
      </rPr>
      <t>)</t>
    </r>
    <phoneticPr fontId="8" type="noConversion"/>
  </si>
  <si>
    <r>
      <rPr>
        <sz val="10"/>
        <color indexed="12"/>
        <rFont val="宋体"/>
        <family val="3"/>
        <charset val="134"/>
      </rPr>
      <t>衍生工具的计量：</t>
    </r>
    <r>
      <rPr>
        <sz val="10"/>
        <color indexed="12"/>
        <rFont val="Arial Narrow"/>
        <family val="2"/>
      </rPr>
      <t>(</t>
    </r>
    <r>
      <rPr>
        <sz val="10"/>
        <color indexed="12"/>
        <rFont val="宋体"/>
        <family val="3"/>
        <charset val="134"/>
      </rPr>
      <t>独立于主合同的公允价值</t>
    </r>
    <r>
      <rPr>
        <sz val="10"/>
        <color indexed="12"/>
        <rFont val="Arial Narrow"/>
        <family val="2"/>
      </rPr>
      <t>/</t>
    </r>
    <r>
      <rPr>
        <sz val="10"/>
        <color indexed="12"/>
        <rFont val="宋体"/>
        <family val="3"/>
        <charset val="134"/>
      </rPr>
      <t>与主合同组合的公允价值</t>
    </r>
    <r>
      <rPr>
        <sz val="10"/>
        <color indexed="12"/>
        <rFont val="Arial Narrow"/>
        <family val="2"/>
      </rPr>
      <t>)(</t>
    </r>
    <r>
      <rPr>
        <sz val="10"/>
        <color indexed="12"/>
        <rFont val="宋体"/>
        <family val="3"/>
        <charset val="134"/>
      </rPr>
      <t>删除不适用的部分</t>
    </r>
    <r>
      <rPr>
        <sz val="10"/>
        <color indexed="12"/>
        <rFont val="Arial Narrow"/>
        <family val="2"/>
      </rPr>
      <t>)</t>
    </r>
  </si>
  <si>
    <r>
      <rPr>
        <sz val="10"/>
        <color indexed="12"/>
        <rFont val="宋体"/>
        <family val="3"/>
        <charset val="134"/>
      </rPr>
      <t>其它附注：</t>
    </r>
    <r>
      <rPr>
        <sz val="10"/>
        <color indexed="12"/>
        <rFont val="Arial Narrow"/>
        <family val="2"/>
      </rPr>
      <t>(</t>
    </r>
    <r>
      <rPr>
        <sz val="10"/>
        <color indexed="12"/>
        <rFont val="宋体"/>
        <family val="3"/>
        <charset val="134"/>
      </rPr>
      <t>在必要时请予以描述</t>
    </r>
    <r>
      <rPr>
        <sz val="10"/>
        <color indexed="12"/>
        <rFont val="Arial Narrow"/>
        <family val="2"/>
      </rPr>
      <t>)</t>
    </r>
  </si>
  <si>
    <t>抽查嵌入衍生工具的会计处理</t>
    <phoneticPr fontId="4" type="noConversion"/>
  </si>
  <si>
    <r>
      <rPr>
        <b/>
        <sz val="9"/>
        <color indexed="8"/>
        <rFont val="宋体"/>
        <family val="3"/>
        <charset val="134"/>
      </rPr>
      <t>日</t>
    </r>
    <r>
      <rPr>
        <b/>
        <sz val="9"/>
        <color indexed="8"/>
        <rFont val="Arial Narrow"/>
        <family val="2"/>
      </rPr>
      <t xml:space="preserve">   </t>
    </r>
    <r>
      <rPr>
        <b/>
        <sz val="9"/>
        <color indexed="8"/>
        <rFont val="宋体"/>
        <family val="3"/>
        <charset val="134"/>
      </rPr>
      <t>期</t>
    </r>
    <phoneticPr fontId="8" type="noConversion"/>
  </si>
  <si>
    <r>
      <rPr>
        <b/>
        <sz val="9"/>
        <color indexed="8"/>
        <rFont val="宋体"/>
        <family val="3"/>
        <charset val="134"/>
      </rPr>
      <t>金</t>
    </r>
    <r>
      <rPr>
        <b/>
        <sz val="9"/>
        <color indexed="8"/>
        <rFont val="Arial Narrow"/>
        <family val="2"/>
      </rPr>
      <t xml:space="preserve">   </t>
    </r>
    <r>
      <rPr>
        <b/>
        <sz val="9"/>
        <color indexed="8"/>
        <rFont val="宋体"/>
        <family val="3"/>
        <charset val="134"/>
      </rPr>
      <t>额</t>
    </r>
    <phoneticPr fontId="8" type="noConversion"/>
  </si>
  <si>
    <r>
      <rPr>
        <b/>
        <sz val="9"/>
        <color indexed="8"/>
        <rFont val="宋体"/>
        <family val="3"/>
        <charset val="134"/>
      </rPr>
      <t>结论</t>
    </r>
    <phoneticPr fontId="8" type="noConversion"/>
  </si>
  <si>
    <t>专家资质及利用估值专家的工作</t>
    <phoneticPr fontId="4" type="noConversion"/>
  </si>
  <si>
    <r>
      <rPr>
        <b/>
        <sz val="10"/>
        <rFont val="宋体"/>
        <family val="3"/>
        <charset val="134"/>
      </rPr>
      <t>序号</t>
    </r>
    <phoneticPr fontId="8" type="noConversion"/>
  </si>
  <si>
    <r>
      <rPr>
        <b/>
        <sz val="10"/>
        <rFont val="宋体"/>
        <family val="3"/>
        <charset val="134"/>
      </rPr>
      <t>项目</t>
    </r>
    <phoneticPr fontId="8" type="noConversion"/>
  </si>
  <si>
    <r>
      <rPr>
        <b/>
        <sz val="10"/>
        <rFont val="宋体"/>
        <family val="3"/>
        <charset val="134"/>
      </rPr>
      <t>索引号</t>
    </r>
    <phoneticPr fontId="8" type="noConversion"/>
  </si>
  <si>
    <r>
      <rPr>
        <sz val="10"/>
        <rFont val="宋体"/>
        <family val="3"/>
        <charset val="134"/>
      </rPr>
      <t>了解专家的资质</t>
    </r>
    <phoneticPr fontId="8" type="noConversion"/>
  </si>
  <si>
    <r>
      <rPr>
        <sz val="10"/>
        <rFont val="宋体"/>
        <family val="3"/>
        <charset val="134"/>
      </rPr>
      <t>利用专家的工作</t>
    </r>
    <phoneticPr fontId="8" type="noConversion"/>
  </si>
  <si>
    <t>指定类</t>
    <phoneticPr fontId="4" type="noConversion"/>
  </si>
  <si>
    <t>本期与上期比较</t>
    <phoneticPr fontId="8" type="noConversion"/>
  </si>
  <si>
    <t>1、公允价值的层次</t>
  </si>
  <si>
    <t>（1）第一层次——相同资产或负债在活跃市场中的报价（未经调整的）。只有在交易所或活跃指数/市场上进行交易的工具才能归入第一层次。</t>
  </si>
  <si>
    <t>这一层次包括上市的权益证券和债权工具以及交易所交易的衍生产品如股指期货（基于Nasdaq、S&amp;P500等指数）等。</t>
  </si>
  <si>
    <t>（2）第二层次——直接（即价格）或间接（即从价格推导出）地使用除第一层次中的资产或负债的市场报价之外的可观察输入值。</t>
  </si>
  <si>
    <t>这一层次包括大部分场外交易的衍生工具和债券，交易性贷款和发行的结构型债务工具。</t>
  </si>
  <si>
    <t>（3）第三层次——资产或负债使用了任何非基于可观察市场数据的输入值（不可观察输入值）。</t>
  </si>
  <si>
    <t>这一层次包括一项或多项重大输入为不可观察变量的股权和债券工具。所采用的估值模型通常为现金流折现模型。</t>
  </si>
  <si>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8" type="noConversion"/>
  </si>
  <si>
    <r>
      <rPr>
        <b/>
        <sz val="10"/>
        <rFont val="宋体"/>
        <family val="3"/>
        <charset val="134"/>
      </rPr>
      <t>一、本账户涉及的科目</t>
    </r>
    <phoneticPr fontId="8" type="noConversion"/>
  </si>
  <si>
    <r>
      <rPr>
        <b/>
        <sz val="10"/>
        <rFont val="宋体"/>
        <family val="3"/>
        <charset val="134"/>
      </rPr>
      <t>财务报表的认定　</t>
    </r>
  </si>
  <si>
    <t>3</t>
  </si>
  <si>
    <t>4</t>
  </si>
  <si>
    <t>5</t>
  </si>
  <si>
    <t>6</t>
  </si>
  <si>
    <t>7</t>
  </si>
  <si>
    <t>8</t>
  </si>
  <si>
    <t>9</t>
  </si>
  <si>
    <t>10</t>
  </si>
  <si>
    <t>11</t>
  </si>
  <si>
    <t>12</t>
  </si>
  <si>
    <t>交易性金融负债</t>
  </si>
  <si>
    <t>调整数</t>
    <phoneticPr fontId="4" type="noConversion"/>
  </si>
  <si>
    <t>审定数</t>
    <phoneticPr fontId="4" type="noConversion"/>
  </si>
  <si>
    <t>第一层次</t>
    <phoneticPr fontId="4" type="noConversion"/>
  </si>
  <si>
    <t>公允价值来源机构</t>
    <phoneticPr fontId="4" type="noConversion"/>
  </si>
  <si>
    <r>
      <t>项目</t>
    </r>
    <r>
      <rPr>
        <b/>
        <sz val="10"/>
        <color rgb="FF0000FF"/>
        <rFont val="宋体"/>
        <family val="3"/>
        <charset val="134"/>
      </rPr>
      <t>【按明细项目列示，如债券名称】</t>
    </r>
    <phoneticPr fontId="8" type="noConversion"/>
  </si>
  <si>
    <t>本期变动（增加“+”/减少“—”）</t>
    <phoneticPr fontId="15" type="noConversion"/>
  </si>
  <si>
    <t>期初调整数</t>
    <phoneticPr fontId="4" type="noConversion"/>
  </si>
  <si>
    <t>期初审定数</t>
    <phoneticPr fontId="4" type="noConversion"/>
  </si>
  <si>
    <t>期末应付利息</t>
    <phoneticPr fontId="4" type="noConversion"/>
  </si>
  <si>
    <t>到期日</t>
    <phoneticPr fontId="4" type="noConversion"/>
  </si>
  <si>
    <r>
      <t>项目</t>
    </r>
    <r>
      <rPr>
        <b/>
        <sz val="10"/>
        <color rgb="FF0000FF"/>
        <rFont val="宋体"/>
        <family val="3"/>
        <charset val="134"/>
      </rPr>
      <t>【按明细项目列示，如债券名称】</t>
    </r>
    <phoneticPr fontId="8" type="noConversion"/>
  </si>
  <si>
    <t>交易性金融负债凭证检查表</t>
    <phoneticPr fontId="8" type="noConversion"/>
  </si>
  <si>
    <t>页  次：</t>
    <phoneticPr fontId="4" type="noConversion"/>
  </si>
  <si>
    <t>调整事项说明</t>
    <phoneticPr fontId="8" type="noConversion"/>
  </si>
  <si>
    <t>类别（报表调整/账项调整/其他）</t>
    <phoneticPr fontId="8" type="noConversion"/>
  </si>
  <si>
    <t>科目名称</t>
    <phoneticPr fontId="8" type="noConversion"/>
  </si>
  <si>
    <t>附注项目</t>
    <phoneticPr fontId="8" type="noConversion"/>
  </si>
  <si>
    <t>……</t>
    <phoneticPr fontId="8" type="noConversion"/>
  </si>
  <si>
    <t>借方调整金额</t>
    <phoneticPr fontId="8" type="noConversion"/>
  </si>
  <si>
    <t>贷方调整金额</t>
    <phoneticPr fontId="8" type="noConversion"/>
  </si>
  <si>
    <t>索引</t>
    <phoneticPr fontId="8" type="noConversion"/>
  </si>
  <si>
    <t>备注</t>
    <phoneticPr fontId="8" type="noConversion"/>
  </si>
  <si>
    <t>交易性金融负债调整分录汇总表</t>
    <phoneticPr fontId="8" type="noConversion"/>
  </si>
  <si>
    <t>试算平衡表数</t>
    <phoneticPr fontId="8" type="noConversion"/>
  </si>
  <si>
    <t>差异数</t>
    <phoneticPr fontId="8" type="noConversion"/>
  </si>
  <si>
    <t>因自身信用风险变动引起的公允价值本年变动额</t>
  </si>
  <si>
    <t>因自身信用风险变动引起的公允价值累计变动额</t>
  </si>
  <si>
    <t>发行的普通债权</t>
  </si>
  <si>
    <t>合  计</t>
  </si>
  <si>
    <t>说明：（衍生金融负债产生的原因以及相关会计处理。）</t>
  </si>
  <si>
    <t>期初公允价值</t>
  </si>
  <si>
    <t xml:space="preserve">   其中：发行的交易性债券</t>
  </si>
  <si>
    <t>指定为以公允价值计量且其变动计入当期损益的金融负债</t>
  </si>
  <si>
    <t xml:space="preserve">注： [对于指定为以公允价值计量且其变动计入当期损益的金融负债，需区分企业自身信用风险变动引起的该金融负债公允价值变动金额计入其他综合收益和该金融负债 (包括企业自身信用风险变动的影响) 的全部利得或损失计入当期损益两种情况，按照《企业会计准则第37号——金融工具列报》第41-43条的规定进行披露。] </t>
  </si>
  <si>
    <t>[例如：</t>
  </si>
  <si>
    <t xml:space="preserve">     衍生金融负债</t>
  </si>
  <si>
    <t xml:space="preserve">     其他</t>
  </si>
  <si>
    <r>
      <rPr>
        <sz val="10"/>
        <rFont val="宋体"/>
        <family val="3"/>
        <charset val="134"/>
      </rPr>
      <t>交易性金融负债</t>
    </r>
  </si>
  <si>
    <r>
      <t>[</t>
    </r>
    <r>
      <rPr>
        <sz val="12"/>
        <color rgb="FF0000FF"/>
        <rFont val="仿宋_GB2312"/>
        <family val="3"/>
        <charset val="134"/>
      </rPr>
      <t>对于指定为以公允价值计量且其变动计入当期损益的金融负债，</t>
    </r>
  </si>
  <si>
    <r>
      <t>1</t>
    </r>
    <r>
      <rPr>
        <sz val="12"/>
        <color rgb="FF0000FF"/>
        <rFont val="仿宋_GB2312"/>
        <family val="3"/>
        <charset val="134"/>
      </rPr>
      <t>、对于指定为以公允价值计量且其变动计入当期损益的金融负债，应单独列示期初余额、期末余额，并披露指定的理由和依据。</t>
    </r>
  </si>
  <si>
    <r>
      <t>项</t>
    </r>
    <r>
      <rPr>
        <b/>
        <sz val="10.5"/>
        <color theme="1"/>
        <rFont val="Arial Narrow"/>
        <family val="2"/>
      </rPr>
      <t xml:space="preserve">  </t>
    </r>
    <r>
      <rPr>
        <b/>
        <sz val="10.5"/>
        <color theme="1"/>
        <rFont val="仿宋_GB2312"/>
        <family val="3"/>
        <charset val="134"/>
      </rPr>
      <t>目</t>
    </r>
  </si>
  <si>
    <t>期初余额</t>
  </si>
  <si>
    <t>期末余额</t>
  </si>
  <si>
    <t>指定的理由和依据</t>
  </si>
  <si>
    <r>
      <t>合</t>
    </r>
    <r>
      <rPr>
        <b/>
        <sz val="10.5"/>
        <color theme="1"/>
        <rFont val="Arial Narrow"/>
        <family val="2"/>
      </rPr>
      <t xml:space="preserve">  </t>
    </r>
    <r>
      <rPr>
        <b/>
        <sz val="10.5"/>
        <color theme="1"/>
        <rFont val="仿宋_GB2312"/>
        <family val="3"/>
        <charset val="134"/>
      </rPr>
      <t>计</t>
    </r>
  </si>
  <si>
    <r>
      <t>2</t>
    </r>
    <r>
      <rPr>
        <sz val="12"/>
        <color rgb="FF0000FF"/>
        <rFont val="仿宋_GB2312"/>
        <family val="3"/>
        <charset val="134"/>
      </rPr>
      <t>、需区分企业自身信用风险变动引起的该金融负债公允价值变动金额计入其他综合收益和该金融负债</t>
    </r>
    <r>
      <rPr>
        <sz val="12"/>
        <color rgb="FF0000FF"/>
        <rFont val="Arial Narrow"/>
        <family val="2"/>
      </rPr>
      <t xml:space="preserve"> (</t>
    </r>
    <r>
      <rPr>
        <sz val="12"/>
        <color rgb="FF0000FF"/>
        <rFont val="仿宋_GB2312"/>
        <family val="3"/>
        <charset val="134"/>
      </rPr>
      <t>包括企业自身信用风险变动的影响</t>
    </r>
    <r>
      <rPr>
        <sz val="12"/>
        <color rgb="FF0000FF"/>
        <rFont val="Arial Narrow"/>
        <family val="2"/>
      </rPr>
      <t xml:space="preserve">) </t>
    </r>
    <r>
      <rPr>
        <sz val="12"/>
        <color rgb="FF0000FF"/>
        <rFont val="仿宋_GB2312"/>
        <family val="3"/>
        <charset val="134"/>
      </rPr>
      <t>的全部利得或损失计入当期损益两种情况，按照《企业会计准则第</t>
    </r>
    <r>
      <rPr>
        <sz val="12"/>
        <color rgb="FF0000FF"/>
        <rFont val="Arial Narrow"/>
        <family val="2"/>
      </rPr>
      <t>37</t>
    </r>
    <r>
      <rPr>
        <sz val="12"/>
        <color rgb="FF0000FF"/>
        <rFont val="仿宋_GB2312"/>
        <family val="3"/>
        <charset val="134"/>
      </rPr>
      <t>号</t>
    </r>
    <r>
      <rPr>
        <sz val="12"/>
        <color rgb="FF0000FF"/>
        <rFont val="Arial Narrow"/>
        <family val="2"/>
      </rPr>
      <t>——</t>
    </r>
    <r>
      <rPr>
        <sz val="12"/>
        <color rgb="FF0000FF"/>
        <rFont val="仿宋_GB2312"/>
        <family val="3"/>
        <charset val="134"/>
      </rPr>
      <t>金融工具列报》第</t>
    </r>
    <r>
      <rPr>
        <sz val="12"/>
        <color rgb="FF0000FF"/>
        <rFont val="Arial Narrow"/>
        <family val="2"/>
      </rPr>
      <t>41-43</t>
    </r>
    <r>
      <rPr>
        <sz val="12"/>
        <color rgb="FF0000FF"/>
        <rFont val="仿宋_GB2312"/>
        <family val="3"/>
        <charset val="134"/>
      </rPr>
      <t>条的规定进行披露。</t>
    </r>
    <r>
      <rPr>
        <sz val="12"/>
        <color rgb="FF0000FF"/>
        <rFont val="Arial Narrow"/>
        <family val="2"/>
      </rPr>
      <t xml:space="preserve">] </t>
    </r>
  </si>
  <si>
    <r>
      <t>[</t>
    </r>
    <r>
      <rPr>
        <sz val="12"/>
        <color rgb="FF0000FF"/>
        <rFont val="仿宋_GB2312"/>
        <family val="3"/>
        <charset val="134"/>
      </rPr>
      <t>例如：</t>
    </r>
    <r>
      <rPr>
        <sz val="12"/>
        <color rgb="FF0000FF"/>
        <rFont val="Arial Narrow"/>
        <family val="2"/>
      </rPr>
      <t xml:space="preserve"> </t>
    </r>
  </si>
  <si>
    <r>
      <t>对于指定为以公允价值计量且其变动计入当期损益的金融负债，</t>
    </r>
    <r>
      <rPr>
        <sz val="12"/>
        <color rgb="FF0000FF"/>
        <rFont val="Arial Narrow"/>
        <family val="2"/>
      </rPr>
      <t>2023</t>
    </r>
    <r>
      <rPr>
        <sz val="12"/>
        <color rgb="FF0000FF"/>
        <rFont val="仿宋_GB2312"/>
        <family val="3"/>
        <charset val="134"/>
      </rPr>
      <t>年公允价值的变动情况如下表所示：</t>
    </r>
    <r>
      <rPr>
        <sz val="12"/>
        <color rgb="FF0000FF"/>
        <rFont val="Arial Narrow"/>
        <family val="2"/>
      </rPr>
      <t xml:space="preserve"> </t>
    </r>
  </si>
  <si>
    <r>
      <t>2023</t>
    </r>
    <r>
      <rPr>
        <b/>
        <sz val="10.5"/>
        <color theme="1"/>
        <rFont val="仿宋_GB2312"/>
        <family val="3"/>
        <charset val="134"/>
      </rPr>
      <t>年公允价值变动额</t>
    </r>
  </si>
  <si>
    <r>
      <t>2023</t>
    </r>
    <r>
      <rPr>
        <sz val="12"/>
        <color rgb="FF0000FF"/>
        <rFont val="仿宋_GB2312"/>
        <family val="3"/>
        <charset val="134"/>
      </rPr>
      <t>年</t>
    </r>
    <r>
      <rPr>
        <sz val="12"/>
        <color rgb="FF0000FF"/>
        <rFont val="Arial Narrow"/>
        <family val="2"/>
      </rPr>
      <t>12</t>
    </r>
    <r>
      <rPr>
        <sz val="12"/>
        <color rgb="FF0000FF"/>
        <rFont val="仿宋_GB2312"/>
        <family val="3"/>
        <charset val="134"/>
      </rPr>
      <t>月</t>
    </r>
    <r>
      <rPr>
        <sz val="12"/>
        <color rgb="FF0000FF"/>
        <rFont val="Arial Narrow"/>
        <family val="2"/>
      </rPr>
      <t>31</t>
    </r>
    <r>
      <rPr>
        <sz val="12"/>
        <color rgb="FF0000FF"/>
        <rFont val="仿宋_GB2312"/>
        <family val="3"/>
        <charset val="134"/>
      </rPr>
      <t>日，指定为以公允价值计量且其变动计入当期损益的金融负债的账面价值与按合同约定到期应支付债权人金额之间的差额为</t>
    </r>
    <r>
      <rPr>
        <sz val="12"/>
        <color rgb="FF0000FF"/>
        <rFont val="Arial Narrow"/>
        <family val="2"/>
      </rPr>
      <t>[XX]</t>
    </r>
    <r>
      <rPr>
        <sz val="12"/>
        <color rgb="FF0000FF"/>
        <rFont val="仿宋_GB2312"/>
        <family val="3"/>
        <charset val="134"/>
      </rPr>
      <t>元。</t>
    </r>
    <r>
      <rPr>
        <sz val="12"/>
        <color rgb="FF0000FF"/>
        <rFont val="Arial Narrow"/>
        <family val="2"/>
      </rPr>
      <t xml:space="preserve">] </t>
    </r>
  </si>
  <si>
    <t>上年年末余额</t>
  </si>
  <si>
    <t>（提示：企业衍生金融工具业务具有重要性的，单独披露衍生金融负债。）</t>
  </si>
  <si>
    <r>
      <t>（</t>
    </r>
    <r>
      <rPr>
        <sz val="12"/>
        <color rgb="FF0000FF"/>
        <rFont val="Arial Narrow"/>
        <family val="2"/>
      </rPr>
      <t>15</t>
    </r>
    <r>
      <rPr>
        <sz val="12"/>
        <color rgb="FF0000FF"/>
        <rFont val="仿宋_GB2312"/>
        <family val="3"/>
        <charset val="134"/>
      </rPr>
      <t>号文第二十条（三），分类列示衍生金融负债期初余额、期末余额，披露其形成的原因以及相关会计处理。）</t>
    </r>
  </si>
  <si>
    <t>项  目</t>
    <phoneticPr fontId="4" type="noConversion"/>
  </si>
  <si>
    <t>本期增加</t>
  </si>
  <si>
    <t>本期减少</t>
  </si>
  <si>
    <t>索引号：</t>
    <phoneticPr fontId="4" type="noConversion"/>
  </si>
  <si>
    <t>索引号：</t>
    <phoneticPr fontId="8" type="noConversion"/>
  </si>
  <si>
    <t>索引号：</t>
    <phoneticPr fontId="4" type="noConversion"/>
  </si>
  <si>
    <t>索引号：</t>
    <phoneticPr fontId="8" type="noConversion"/>
  </si>
  <si>
    <t>G10A</t>
  </si>
  <si>
    <t>G10-2</t>
  </si>
  <si>
    <t>G10-4</t>
  </si>
  <si>
    <t>G10-6</t>
  </si>
  <si>
    <t xml:space="preserve">对于指定为以公允价值计量且其变动计入当期损益的金融负债，202X年公允价值的变动情况如下表所示： </t>
    <phoneticPr fontId="4" type="noConversion"/>
  </si>
  <si>
    <t>202X年公允价值变动额</t>
    <phoneticPr fontId="4" type="noConversion"/>
  </si>
  <si>
    <t xml:space="preserve">202X年12月31日，指定为以公允价值计量且其变动计入当期损益的金融负债的账面价值与按合同约定到期应支付债权人金额之间的差额为人民币[XX]元。] </t>
    <phoneticPr fontId="4" type="noConversion"/>
  </si>
  <si>
    <t>衍生金融工具核查表</t>
    <phoneticPr fontId="8" type="noConversion"/>
  </si>
  <si>
    <t>记账凭证</t>
    <phoneticPr fontId="8" type="noConversion"/>
  </si>
  <si>
    <t>索引号</t>
    <phoneticPr fontId="8" type="noConversion"/>
  </si>
  <si>
    <t>是否异常</t>
    <phoneticPr fontId="8" type="noConversion"/>
  </si>
  <si>
    <t>日期</t>
  </si>
  <si>
    <t>凭证编号</t>
  </si>
  <si>
    <t>业务内容</t>
    <phoneticPr fontId="8" type="noConversion"/>
  </si>
  <si>
    <t>业务内容</t>
    <phoneticPr fontId="8" type="noConversion"/>
  </si>
  <si>
    <t>对方科目</t>
    <phoneticPr fontId="8" type="noConversion"/>
  </si>
  <si>
    <t>借方金额</t>
    <phoneticPr fontId="8" type="noConversion"/>
  </si>
  <si>
    <t>贷方金额</t>
    <phoneticPr fontId="8" type="noConversion"/>
  </si>
  <si>
    <t>二、审计目标与认定的对应关系</t>
    <phoneticPr fontId="8" type="noConversion"/>
  </si>
  <si>
    <t>审计目标</t>
    <phoneticPr fontId="8" type="noConversion"/>
  </si>
  <si>
    <t>存在</t>
    <phoneticPr fontId="8" type="noConversion"/>
  </si>
  <si>
    <t>完整性</t>
    <phoneticPr fontId="8" type="noConversion"/>
  </si>
  <si>
    <t>准确性、计价和分摊</t>
    <phoneticPr fontId="8" type="noConversion"/>
  </si>
  <si>
    <t>列报</t>
    <phoneticPr fontId="8" type="noConversion"/>
  </si>
  <si>
    <r>
      <rPr>
        <b/>
        <sz val="10"/>
        <rFont val="宋体"/>
        <family val="3"/>
        <charset val="134"/>
      </rPr>
      <t>序号</t>
    </r>
    <phoneticPr fontId="8" type="noConversion"/>
  </si>
  <si>
    <r>
      <rPr>
        <b/>
        <sz val="10"/>
        <rFont val="宋体"/>
        <family val="3"/>
        <charset val="134"/>
      </rPr>
      <t>程序分类</t>
    </r>
    <phoneticPr fontId="8" type="noConversion"/>
  </si>
  <si>
    <t>财务报表的认定</t>
    <phoneticPr fontId="8" type="noConversion"/>
  </si>
  <si>
    <t>底稿索引号</t>
    <phoneticPr fontId="8" type="noConversion"/>
  </si>
  <si>
    <t>存在</t>
    <phoneticPr fontId="8" type="noConversion"/>
  </si>
  <si>
    <t>权利和
义务</t>
    <phoneticPr fontId="8" type="noConversion"/>
  </si>
  <si>
    <t>1</t>
    <phoneticPr fontId="4" type="noConversion"/>
  </si>
  <si>
    <t>常规★</t>
    <phoneticPr fontId="4" type="noConversion"/>
  </si>
  <si>
    <t>√</t>
    <phoneticPr fontId="8" type="noConversion"/>
  </si>
  <si>
    <t>√</t>
    <phoneticPr fontId="8" type="noConversion"/>
  </si>
  <si>
    <t>2</t>
    <phoneticPr fontId="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</si>
  <si>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 type="noConversion"/>
  </si>
  <si>
    <t>√</t>
    <phoneticPr fontId="8" type="noConversion"/>
  </si>
  <si>
    <t>常规★</t>
    <phoneticPr fontId="4" type="noConversion"/>
  </si>
  <si>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t>
    <phoneticPr fontId="4" type="noConversion"/>
  </si>
  <si>
    <t>常规★</t>
    <phoneticPr fontId="4" type="noConversion"/>
  </si>
  <si>
    <t>√</t>
  </si>
  <si>
    <t>常规★</t>
    <phoneticPr fontId="4" type="noConversion"/>
  </si>
  <si>
    <t>√</t>
    <phoneticPr fontId="8" type="noConversion"/>
  </si>
  <si>
    <t>√</t>
    <phoneticPr fontId="8" type="noConversion"/>
  </si>
  <si>
    <t>实施函证程序：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4" type="noConversion"/>
  </si>
  <si>
    <t>常规★</t>
    <phoneticPr fontId="4" type="noConversion"/>
  </si>
  <si>
    <t>常规★</t>
    <phoneticPr fontId="4" type="noConversion"/>
  </si>
  <si>
    <t>13</t>
  </si>
  <si>
    <t>资产负债表日至审计工作日间，新增、售出、兑换、处置或偿付的大额出售或购买交易，确认是否被记录在恰当时期内；检查报表日后的证券处置是否出现亏损，如果确认亏损，确定这些亏损是否应该记录在报表期。</t>
    <phoneticPr fontId="4" type="noConversion"/>
  </si>
  <si>
    <t>1．编制时应列入交易性金融负债的每一明细账户。2．外币交易性金融负债应列明原币金额及折合汇率（自行添加项目）。</t>
  </si>
  <si>
    <t>二、审计过程</t>
    <phoneticPr fontId="4" type="noConversion"/>
  </si>
  <si>
    <t>二、样本选取方法与规模：</t>
    <phoneticPr fontId="124" type="noConversion"/>
  </si>
  <si>
    <t>特定样本：</t>
    <phoneticPr fontId="8" type="noConversion"/>
  </si>
  <si>
    <t>抽样总体：</t>
    <phoneticPr fontId="8" type="noConversion"/>
  </si>
  <si>
    <t>抽样方法：</t>
    <phoneticPr fontId="8" type="noConversion"/>
  </si>
  <si>
    <t>抽样过程：</t>
    <phoneticPr fontId="8" type="noConversion"/>
  </si>
  <si>
    <t>报表项目</t>
    <phoneticPr fontId="4" type="noConversion"/>
  </si>
  <si>
    <t>确定被审计单位交易性金融负债以公允价值计量。</t>
  </si>
  <si>
    <t>确认交易性金融负债会计政策、会计处理是否合理并与前期一致，会计估计是否合理，实施以下程序：
（1）关注被审计单位管理金融工具的业务模式，并结合合同现金流量特征，分析管理层对投资分类是否合理；
（2）与管理层讨论交易性金融负债分类是否符合企业会计准则，是否根据确定的分类选用了正确的核算方法；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t>
    <phoneticPr fontId="4" type="noConversion"/>
  </si>
  <si>
    <t>期末未审数</t>
    <phoneticPr fontId="15" type="noConversion"/>
  </si>
  <si>
    <t>期末审定数</t>
    <phoneticPr fontId="15" type="noConversion"/>
  </si>
  <si>
    <t>差异</t>
    <phoneticPr fontId="4" type="noConversion"/>
  </si>
  <si>
    <t>估值方法</t>
    <phoneticPr fontId="4" type="noConversion"/>
  </si>
  <si>
    <t>估值方法与上期是否一致</t>
    <phoneticPr fontId="4" type="noConversion"/>
  </si>
  <si>
    <t>数量（张/股）</t>
    <phoneticPr fontId="4" type="noConversion"/>
  </si>
  <si>
    <t>单位公允价值</t>
    <phoneticPr fontId="4" type="noConversion"/>
  </si>
  <si>
    <t>公允价值</t>
    <phoneticPr fontId="4" type="noConversion"/>
  </si>
  <si>
    <t>公允价值层次</t>
    <phoneticPr fontId="4" type="noConversion"/>
  </si>
  <si>
    <t>数量（张/股）</t>
    <phoneticPr fontId="4" type="noConversion"/>
  </si>
  <si>
    <t>第二层次</t>
    <phoneticPr fontId="4" type="noConversion"/>
  </si>
  <si>
    <t>第三层次</t>
    <phoneticPr fontId="4" type="noConversion"/>
  </si>
  <si>
    <r>
      <rPr>
        <sz val="10"/>
        <color theme="1"/>
        <rFont val="宋体"/>
        <family val="3"/>
        <charset val="134"/>
      </rPr>
      <t>根据评估的舞弊风险等因素增加的审计程序。</t>
    </r>
    <phoneticPr fontId="4" type="noConversion"/>
  </si>
  <si>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phoneticPr fontId="4" type="noConversion"/>
  </si>
  <si>
    <t>G10-1</t>
    <phoneticPr fontId="4" type="noConversion"/>
  </si>
  <si>
    <t>G10-3</t>
  </si>
  <si>
    <t>G10-5</t>
  </si>
  <si>
    <t>G10-7</t>
  </si>
  <si>
    <t>对于衍生金融工具，执行以下程序：
（1）复核衍生金融工具交易对手的信用状况，确定衍生金融资产的交易对手能够履行他们的合同义务；
（2）检查贷款或权益、投资协议、销售合同等，了解其中是否包含嵌入衍生金融工具；
（3）阅读治理层的会议纪要，以及治理层收到的与衍生活动相关的文件和报告等其他信息；
（4）确定金融工具的会计处理是合理的，估值结果是恰当的；
（5）确定是否应引入估价专家，以协助评价该企业估值专家对该金融工具的估值工作。若选择利用专家工作的审计程序，参考“S12利用专家的工作”相关程序执行。</t>
    <phoneticPr fontId="4" type="noConversion"/>
  </si>
  <si>
    <t>常规★</t>
    <phoneticPr fontId="4" type="noConversion"/>
  </si>
  <si>
    <t>14</t>
  </si>
  <si>
    <t>G0</t>
    <phoneticPr fontId="4" type="noConversion"/>
  </si>
  <si>
    <t>致同会计师事务所</t>
    <phoneticPr fontId="4" type="noConversion"/>
  </si>
  <si>
    <t>交易性金融负债实质性程序表</t>
    <phoneticPr fontId="4" type="noConversion"/>
  </si>
  <si>
    <t>附注披露信息（上市公司）</t>
    <phoneticPr fontId="8" type="noConversion"/>
  </si>
  <si>
    <t>测试总体：</t>
    <phoneticPr fontId="8" type="noConversion"/>
  </si>
  <si>
    <t>XX金额以上（大额）、关联方/关联交易形成的款项、XX异常款项全部测试，共XX笔；</t>
    <phoneticPr fontId="8" type="noConversion"/>
  </si>
  <si>
    <t>测试总体扣除特定样本以外的样本，共XX笔、金额XX</t>
    <phoneticPr fontId="8" type="noConversion"/>
  </si>
  <si>
    <t>确定的抽样样本量：</t>
    <phoneticPr fontId="8" type="noConversion"/>
  </si>
  <si>
    <t>使用IDEA（XX抽样工具）选择XX数量、金额XX的样本进行测试，抽样工具中的样本选择过程和结果见&lt;XX&gt;底稿</t>
    <phoneticPr fontId="8" type="noConversion"/>
  </si>
  <si>
    <t>如交易性金融负债借方发生额所有凭证共XX笔金额XX、贷方发生额所有凭证共XX笔金额XX</t>
    <phoneticPr fontId="8" type="noConversion"/>
  </si>
  <si>
    <r>
      <rPr>
        <sz val="10"/>
        <color indexed="12"/>
        <rFont val="Arial Narrow"/>
        <family val="2"/>
      </rP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4"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</si>
  <si>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4" type="noConversion"/>
  </si>
  <si>
    <r>
      <rPr>
        <b/>
        <sz val="12"/>
        <rFont val="宋体"/>
        <family val="3"/>
        <charset val="134"/>
      </rPr>
      <t>底稿开列时，可先在以下单元格填写有关内容，以便其他底稿引用有关数据：</t>
    </r>
    <phoneticPr fontId="8" type="noConversion"/>
  </si>
  <si>
    <r>
      <rPr>
        <sz val="10"/>
        <rFont val="宋体"/>
        <family val="3"/>
        <charset val="134"/>
      </rPr>
      <t>被审计单位：</t>
    </r>
    <phoneticPr fontId="8" type="noConversion"/>
  </si>
  <si>
    <r>
      <rPr>
        <sz val="10"/>
        <rFont val="宋体"/>
        <family val="3"/>
        <charset val="134"/>
      </rPr>
      <t>编制人：</t>
    </r>
    <phoneticPr fontId="8" type="noConversion"/>
  </si>
  <si>
    <r>
      <rPr>
        <sz val="10"/>
        <rFont val="宋体"/>
        <family val="3"/>
        <charset val="134"/>
      </rPr>
      <t>编制日期：</t>
    </r>
    <phoneticPr fontId="8" type="noConversion"/>
  </si>
  <si>
    <r>
      <rPr>
        <sz val="10"/>
        <rFont val="宋体"/>
        <family val="3"/>
        <charset val="134"/>
      </rPr>
      <t>复核人：</t>
    </r>
    <phoneticPr fontId="4" type="noConversion"/>
  </si>
  <si>
    <r>
      <rPr>
        <sz val="11"/>
        <rFont val="宋体"/>
        <family val="3"/>
        <charset val="134"/>
      </rPr>
      <t>无需打印</t>
    </r>
    <phoneticPr fontId="4" type="noConversion"/>
  </si>
  <si>
    <r>
      <rPr>
        <sz val="10"/>
        <rFont val="宋体"/>
        <family val="3"/>
        <charset val="134"/>
      </rPr>
      <t>复核日期：</t>
    </r>
    <phoneticPr fontId="4" type="noConversion"/>
  </si>
  <si>
    <r>
      <rPr>
        <sz val="11"/>
        <rFont val="宋体"/>
        <family val="3"/>
        <charset val="134"/>
      </rPr>
      <t>无需打印</t>
    </r>
    <phoneticPr fontId="4" type="noConversion"/>
  </si>
  <si>
    <t>页次：</t>
  </si>
  <si>
    <t>页  次：</t>
    <phoneticPr fontId="4" type="noConversion"/>
  </si>
  <si>
    <t>页  次：</t>
    <phoneticPr fontId="4" type="noConversion"/>
  </si>
  <si>
    <t>页 次：</t>
    <phoneticPr fontId="4" type="noConversion"/>
  </si>
  <si>
    <t>附注披露信息（上市公司）</t>
    <phoneticPr fontId="4" type="noConversion"/>
  </si>
  <si>
    <t>附注披露信息（国企）</t>
    <phoneticPr fontId="4" type="noConversion"/>
  </si>
  <si>
    <t>1、资产负债表中记录的交易性金融负债是存在的，且已经记录在恰当的账户中；2、所有应记录的交易性金融负债均已记录，所有应当包括在财务报表中的相关披露均已包括；</t>
    <phoneticPr fontId="4" type="noConversion"/>
  </si>
  <si>
    <t xml:space="preserve">3、交易性金融负债以恰当的金额包括在财务报表中，与之相关的计价或分摊调整已恰当记录，相关披露已得到恰当计量和描述 </t>
    <phoneticPr fontId="4" type="noConversion"/>
  </si>
  <si>
    <t>页 次：1</t>
    <phoneticPr fontId="4" type="noConversion"/>
  </si>
  <si>
    <t>1、资产负债表中记录的交易性金融负债是存在的，且已经记录在恰当的账户中；2、记录的交易性金融负债由被审计单位拥有或控制；</t>
    <phoneticPr fontId="4" type="noConversion"/>
  </si>
  <si>
    <t>支持性文件</t>
    <phoneticPr fontId="8" type="noConversion"/>
  </si>
  <si>
    <r>
      <rPr>
        <b/>
        <sz val="10"/>
        <rFont val="宋体"/>
        <family val="3"/>
        <charset val="134"/>
      </rPr>
      <t>核对内容</t>
    </r>
  </si>
  <si>
    <t>备注说明</t>
    <phoneticPr fontId="8" type="noConversion"/>
  </si>
  <si>
    <r>
      <t>1.</t>
    </r>
    <r>
      <rPr>
        <b/>
        <sz val="10"/>
        <rFont val="宋体"/>
        <family val="3"/>
        <charset val="134"/>
      </rPr>
      <t>本期发生额检查</t>
    </r>
    <phoneticPr fontId="8" type="noConversion"/>
  </si>
  <si>
    <r>
      <t>2.</t>
    </r>
    <r>
      <rPr>
        <b/>
        <sz val="10"/>
        <rFont val="宋体"/>
        <family val="3"/>
        <charset val="134"/>
      </rPr>
      <t>期后处置、新增检查表</t>
    </r>
    <r>
      <rPr>
        <b/>
        <sz val="10"/>
        <rFont val="Arial Narrow"/>
        <family val="2"/>
      </rPr>
      <t/>
    </r>
    <phoneticPr fontId="8" type="noConversion"/>
  </si>
  <si>
    <t>索引号</t>
  </si>
  <si>
    <t>合计</t>
    <phoneticPr fontId="8" type="noConversion"/>
  </si>
  <si>
    <r>
      <rPr>
        <u/>
        <sz val="10"/>
        <color theme="10"/>
        <rFont val="宋体"/>
        <family val="3"/>
        <charset val="134"/>
      </rPr>
      <t>交易性金融负债实质性程序表</t>
    </r>
  </si>
  <si>
    <r>
      <rPr>
        <u/>
        <sz val="10"/>
        <color theme="10"/>
        <rFont val="宋体"/>
        <family val="3"/>
        <charset val="134"/>
      </rPr>
      <t>审定表</t>
    </r>
    <phoneticPr fontId="4" type="noConversion"/>
  </si>
  <si>
    <r>
      <rPr>
        <u/>
        <sz val="10"/>
        <color theme="10"/>
        <rFont val="宋体"/>
        <family val="3"/>
        <charset val="134"/>
      </rPr>
      <t>明细表</t>
    </r>
    <phoneticPr fontId="4" type="noConversion"/>
  </si>
  <si>
    <r>
      <rPr>
        <u/>
        <sz val="10"/>
        <color theme="10"/>
        <rFont val="宋体"/>
        <family val="3"/>
        <charset val="134"/>
      </rPr>
      <t>调整分录汇总</t>
    </r>
  </si>
  <si>
    <t>序号</t>
    <phoneticPr fontId="8" type="noConversion"/>
  </si>
  <si>
    <t>内容</t>
  </si>
  <si>
    <t>索引号</t>
    <phoneticPr fontId="4" type="noConversion"/>
  </si>
  <si>
    <t>对方明细科目</t>
    <phoneticPr fontId="8" type="noConversion"/>
  </si>
  <si>
    <t>对方明细科目</t>
    <phoneticPr fontId="4" type="noConversion"/>
  </si>
  <si>
    <t>G10-6</t>
    <phoneticPr fontId="4" type="noConversion"/>
  </si>
  <si>
    <t>G10-8</t>
  </si>
  <si>
    <t>分类的适当性检查表</t>
    <phoneticPr fontId="4" type="noConversion"/>
  </si>
  <si>
    <t>凭证检查表</t>
  </si>
  <si>
    <t>衍生金融工具核查表</t>
  </si>
  <si>
    <t>三、计划实施的实质性程序</t>
    <phoneticPr fontId="8" type="noConversion"/>
  </si>
  <si>
    <r>
      <t xml:space="preserve">A. </t>
    </r>
    <r>
      <rPr>
        <sz val="10"/>
        <rFont val="宋体"/>
        <family val="3"/>
        <charset val="134"/>
      </rPr>
      <t>资产负债表中记录的交易性金融负债是存在的，且已记录于恰当的账户</t>
    </r>
  </si>
  <si>
    <r>
      <t xml:space="preserve">B. </t>
    </r>
    <r>
      <rPr>
        <sz val="10"/>
        <rFont val="宋体"/>
        <family val="3"/>
        <charset val="134"/>
      </rPr>
      <t>所有应记录的交易性金融负债均已记录，所有应当包括在财务报表中的相关披露均已包括</t>
    </r>
  </si>
  <si>
    <r>
      <t xml:space="preserve">C. </t>
    </r>
    <r>
      <rPr>
        <sz val="10"/>
        <rFont val="宋体"/>
        <family val="3"/>
        <charset val="134"/>
      </rPr>
      <t>记录的交易性金融负债由被审计单位拥有或控制</t>
    </r>
  </si>
  <si>
    <r>
      <t xml:space="preserve">E. </t>
    </r>
    <r>
      <rPr>
        <sz val="10"/>
        <rFont val="宋体"/>
        <family val="3"/>
        <charset val="134"/>
      </rPr>
      <t>交易性金融负债已被恰当地汇总或分解且表述清楚，相关披露在按照企业会计准则的编制基础下是相关的、可理解的</t>
    </r>
  </si>
  <si>
    <r>
      <t xml:space="preserve">D. </t>
    </r>
    <r>
      <rPr>
        <sz val="10"/>
        <rFont val="宋体"/>
        <family val="3"/>
        <charset val="134"/>
      </rPr>
      <t>交易性金融负债以恰当的金额包括在财务报表中，与之相关的计价或分摊调整已恰当记录，相关披露已得到恰当计量和描述</t>
    </r>
    <r>
      <rPr>
        <sz val="10"/>
        <rFont val="Arial Narrow"/>
        <family val="2"/>
      </rPr>
      <t xml:space="preserve"> </t>
    </r>
  </si>
  <si>
    <t>备选</t>
    <phoneticPr fontId="4" type="noConversion"/>
  </si>
  <si>
    <t>获取或编制交易性金融负债的明细表，完成以下工作，并编制审定表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（4）与应付利息、投资收益、公允价值变动损益等项目的变动进行核对，复核其勾稽关系；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（6）检查非记账本位币计量的交易性金融负债的折算汇率及折算是否正确。</t>
    <phoneticPr fontId="4" type="noConversion"/>
  </si>
  <si>
    <r>
      <t>对期初余额的审计，取得交易性金融负债期初余额明细表复核加计是否正确，与总账、明细账合计数是否相符，确定会计政策及程序是否适当，确定计算的准确性；检查期初负债是否在本期支付；将重大负债与其支持性文件核对一致；确定是否需要补充必要的程序，如果是，执行适当的应对程序。</t>
    </r>
    <r>
      <rPr>
        <sz val="10"/>
        <color rgb="FFFF0000"/>
        <rFont val="宋体"/>
        <family val="3"/>
        <charset val="134"/>
      </rPr>
      <t>（适用于首次承接）</t>
    </r>
    <phoneticPr fontId="4" type="noConversion"/>
  </si>
  <si>
    <t>对于本期新增的交易性金融负债，执行以下程序：
（1）获取本期增加的金融负债投资的合约、协议、中介机构报告等（若适用），查验金融负债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（2）对本期增加中的特定项目（如金额重大或性质特殊的）进行以下测试：检查非货币性资产交换、债务重组、企业合并、投资等发生取得金融负债的会计处理是否正确；</t>
    <phoneticPr fontId="4" type="noConversion"/>
  </si>
  <si>
    <t>关注单独的重大交易性金融负债转移或处置，考虑实施以下程序：
（1）获取本期减少的金融负债投资的合约、协议、中介机构报告等（若适用），查验金融负债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（2）对本期减少中的特定项目进行以下测试：检查非货币性资产交换、债务重组、企业合并、投资等发生金融负债转移的会计处理是否正确；
（3）重新计算相关的利得或损失；
（4）关注处置日期是否记录恰当，会计处理是否恰当。</t>
    <phoneticPr fontId="4" type="noConversion"/>
  </si>
  <si>
    <t>检查交易性金融负债是否已按企业会计准则或其他适用的规定在财务报表中做出恰当列报和披露。</t>
    <phoneticPr fontId="8" type="noConversion"/>
  </si>
  <si>
    <t>IPO/上市/新三板/重组/舞弊应对</t>
    <phoneticPr fontId="4" type="noConversion"/>
  </si>
  <si>
    <t>复核交易性金融负债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phoneticPr fontId="4" type="noConversion"/>
  </si>
  <si>
    <t>G10-1
/G10-2</t>
    <phoneticPr fontId="4" type="noConversion"/>
  </si>
  <si>
    <t>T1
/G0-2</t>
    <phoneticPr fontId="4" type="noConversion"/>
  </si>
  <si>
    <t>√</t>
    <phoneticPr fontId="8" type="noConversion"/>
  </si>
  <si>
    <t>√</t>
    <phoneticPr fontId="8" type="noConversion"/>
  </si>
  <si>
    <t>√</t>
    <phoneticPr fontId="8" type="noConversion"/>
  </si>
  <si>
    <r>
      <t>A1-1/</t>
    </r>
    <r>
      <rPr>
        <sz val="10"/>
        <color rgb="FFFF0000"/>
        <rFont val="Arial Narrow"/>
        <family val="2"/>
      </rPr>
      <t>A1-15 /A1-16</t>
    </r>
    <phoneticPr fontId="8" type="noConversion"/>
  </si>
  <si>
    <t>G10-1
/G10-2</t>
    <phoneticPr fontId="4" type="noConversion"/>
  </si>
  <si>
    <r>
      <rPr>
        <sz val="10"/>
        <color rgb="FFFF0000"/>
        <rFont val="宋体"/>
        <family val="3"/>
        <charset val="134"/>
      </rPr>
      <t>测试内容说明：</t>
    </r>
    <r>
      <rPr>
        <sz val="10"/>
        <color rgb="FFFF0000"/>
        <rFont val="Arial Narrow"/>
        <family val="2"/>
      </rPr>
      <t>1.</t>
    </r>
    <r>
      <rPr>
        <sz val="10"/>
        <color rgb="FFFF0000"/>
        <rFont val="宋体"/>
        <family val="3"/>
        <charset val="134"/>
      </rPr>
      <t>原始凭证内容完整；</t>
    </r>
    <r>
      <rPr>
        <sz val="10"/>
        <color rgb="FFFF0000"/>
        <rFont val="Arial Narrow"/>
        <family val="2"/>
      </rPr>
      <t>2.</t>
    </r>
    <r>
      <rPr>
        <sz val="10"/>
        <color rgb="FFFF0000"/>
        <rFont val="宋体"/>
        <family val="3"/>
        <charset val="134"/>
      </rPr>
      <t>有授权批准；</t>
    </r>
    <r>
      <rPr>
        <sz val="10"/>
        <color rgb="FFFF0000"/>
        <rFont val="Arial Narrow"/>
        <family val="2"/>
      </rPr>
      <t>3.</t>
    </r>
    <r>
      <rPr>
        <sz val="10"/>
        <color rgb="FFFF0000"/>
        <rFont val="宋体"/>
        <family val="3"/>
        <charset val="134"/>
      </rPr>
      <t>账务处理正确；</t>
    </r>
    <r>
      <rPr>
        <sz val="10"/>
        <color rgb="FFFF0000"/>
        <rFont val="Arial Narrow"/>
        <family val="2"/>
      </rPr>
      <t>4.</t>
    </r>
    <r>
      <rPr>
        <sz val="10"/>
        <color rgb="FFFF0000"/>
        <rFont val="宋体"/>
        <family val="3"/>
        <charset val="134"/>
      </rPr>
      <t>初始成本计算正确；</t>
    </r>
    <r>
      <rPr>
        <sz val="10"/>
        <color rgb="FFFF0000"/>
        <rFont val="Arial Narrow"/>
        <family val="2"/>
      </rPr>
      <t>5.</t>
    </r>
    <r>
      <rPr>
        <sz val="10"/>
        <color rgb="FFFF0000"/>
        <rFont val="宋体"/>
        <family val="3"/>
        <charset val="134"/>
      </rPr>
      <t>利息计算正确；</t>
    </r>
    <r>
      <rPr>
        <sz val="10"/>
        <color rgb="FFFF0000"/>
        <rFont val="Arial Narrow"/>
        <family val="2"/>
      </rPr>
      <t>6.</t>
    </r>
    <r>
      <rPr>
        <sz val="10"/>
        <color rgb="FFFF0000"/>
        <rFont val="宋体"/>
        <family val="3"/>
        <charset val="134"/>
      </rPr>
      <t>公允价值符合准则要求。</t>
    </r>
    <phoneticPr fontId="8" type="noConversion"/>
  </si>
  <si>
    <t>G10-8</t>
    <phoneticPr fontId="4" type="noConversion"/>
  </si>
  <si>
    <t>G10-2
/G10-7</t>
    <phoneticPr fontId="4" type="noConversion"/>
  </si>
  <si>
    <t>完整性</t>
    <phoneticPr fontId="8" type="noConversion"/>
  </si>
  <si>
    <t>权利和义务</t>
    <phoneticPr fontId="8" type="noConversion"/>
  </si>
  <si>
    <t>准确性、计价和分摊</t>
    <phoneticPr fontId="8" type="noConversion"/>
  </si>
  <si>
    <t>列报</t>
    <phoneticPr fontId="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</si>
  <si>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</si>
  <si>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8" type="noConversion"/>
  </si>
  <si>
    <r>
      <t>1.</t>
    </r>
    <r>
      <rPr>
        <b/>
        <sz val="12"/>
        <rFont val="宋体"/>
        <family val="3"/>
        <charset val="134"/>
      </rPr>
      <t>编制的审计工作底稿应与审计程序对应。</t>
    </r>
    <r>
      <rPr>
        <sz val="11"/>
        <color theme="1"/>
        <rFont val="宋体"/>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 type="noConversion"/>
  </si>
  <si>
    <r>
      <t>2.</t>
    </r>
    <r>
      <rPr>
        <b/>
        <sz val="12"/>
        <rFont val="宋体"/>
        <family val="3"/>
        <charset val="134"/>
      </rPr>
      <t>获取的支持性证据应与审计底稿或程序对应。</t>
    </r>
    <r>
      <rPr>
        <sz val="11"/>
        <color theme="1"/>
        <rFont val="宋体"/>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2"/>
        <charset val="134"/>
        <scheme val="minor"/>
      </rPr>
      <t>、</t>
    </r>
    <r>
      <rPr>
        <sz val="12"/>
        <rFont val="Arial Narrow"/>
        <family val="2"/>
      </rPr>
      <t>D1-2-2</t>
    </r>
    <r>
      <rPr>
        <sz val="11"/>
        <color theme="1"/>
        <rFont val="宋体"/>
        <family val="2"/>
        <charset val="134"/>
        <scheme val="minor"/>
      </rPr>
      <t>、</t>
    </r>
    <r>
      <rPr>
        <sz val="12"/>
        <rFont val="Arial Narrow"/>
        <family val="2"/>
      </rPr>
      <t>……</t>
    </r>
    <r>
      <rPr>
        <sz val="11"/>
        <color theme="1"/>
        <rFont val="宋体"/>
        <family val="2"/>
        <charset val="134"/>
        <scheme val="minor"/>
      </rPr>
      <t>），并在底稿中说明引用的支持性证据、关联索引号。</t>
    </r>
    <phoneticPr fontId="8" type="noConversion"/>
  </si>
  <si>
    <r>
      <rPr>
        <b/>
        <sz val="12"/>
        <rFont val="Arial Narrow"/>
        <family val="2"/>
      </rPr>
      <t>3.</t>
    </r>
    <r>
      <rPr>
        <b/>
        <sz val="12"/>
        <rFont val="宋体"/>
        <family val="3"/>
        <charset val="134"/>
      </rPr>
      <t>工作底稿索引号的编码规则：</t>
    </r>
    <r>
      <rPr>
        <sz val="11"/>
        <color theme="1"/>
        <rFont val="宋体"/>
        <family val="2"/>
        <charset val="134"/>
        <scheme val="minor"/>
      </rPr>
      <t>实质性程序索引号按循环从</t>
    </r>
    <r>
      <rPr>
        <sz val="12"/>
        <rFont val="Arial Narrow"/>
        <family val="2"/>
      </rPr>
      <t>“D”</t>
    </r>
    <r>
      <rPr>
        <sz val="11"/>
        <color theme="1"/>
        <rFont val="宋体"/>
        <family val="2"/>
        <charset val="134"/>
        <scheme val="minor"/>
      </rPr>
      <t>到</t>
    </r>
    <r>
      <rPr>
        <sz val="12"/>
        <rFont val="Arial Narrow"/>
        <family val="2"/>
      </rPr>
      <t>“N”,</t>
    </r>
    <r>
      <rPr>
        <sz val="11"/>
        <color theme="1"/>
        <rFont val="宋体"/>
        <family val="2"/>
        <charset val="134"/>
        <scheme val="minor"/>
      </rPr>
      <t>循环内账户以顺序号排列，模板中底稿索引号按账户顺序</t>
    </r>
    <r>
      <rPr>
        <sz val="12"/>
        <rFont val="Arial Narrow"/>
        <family val="2"/>
      </rPr>
      <t>+</t>
    </r>
    <r>
      <rPr>
        <sz val="11"/>
        <color theme="1"/>
        <rFont val="宋体"/>
        <family val="2"/>
        <charset val="134"/>
        <scheme val="minor"/>
      </rPr>
      <t>自然数顺序（即模板中索引号按二级自然顺序排列，如</t>
    </r>
    <r>
      <rPr>
        <sz val="12"/>
        <rFont val="Arial Narrow"/>
        <family val="2"/>
      </rPr>
      <t>D1-1</t>
    </r>
    <r>
      <rPr>
        <sz val="11"/>
        <color theme="1"/>
        <rFont val="宋体"/>
        <family val="2"/>
        <charset val="134"/>
        <scheme val="minor"/>
      </rPr>
      <t>、</t>
    </r>
    <r>
      <rPr>
        <sz val="12"/>
        <rFont val="Arial Narrow"/>
        <family val="2"/>
      </rPr>
      <t>D1-2</t>
    </r>
    <r>
      <rPr>
        <sz val="11"/>
        <color theme="1"/>
        <rFont val="宋体"/>
        <family val="2"/>
        <charset val="134"/>
        <scheme val="minor"/>
      </rPr>
      <t>、</t>
    </r>
    <r>
      <rPr>
        <sz val="12"/>
        <rFont val="Arial Narrow"/>
        <family val="2"/>
      </rPr>
      <t>D1-3</t>
    </r>
    <r>
      <rPr>
        <sz val="11"/>
        <color theme="1"/>
        <rFont val="宋体"/>
        <family val="2"/>
        <charset val="134"/>
        <scheme val="minor"/>
      </rPr>
      <t>、</t>
    </r>
    <r>
      <rPr>
        <sz val="12"/>
        <rFont val="Arial Narrow"/>
        <family val="2"/>
      </rPr>
      <t>……D1-N</t>
    </r>
    <r>
      <rPr>
        <sz val="11"/>
        <color theme="1"/>
        <rFont val="宋体"/>
        <family val="2"/>
        <charset val="134"/>
        <scheme val="minor"/>
      </rPr>
      <t>）。</t>
    </r>
    <phoneticPr fontId="8" type="noConversion"/>
  </si>
  <si>
    <t>函证结果汇总表</t>
    <phoneticPr fontId="8" type="noConversion"/>
  </si>
  <si>
    <t>G0-1</t>
    <phoneticPr fontId="4" type="noConversion"/>
  </si>
  <si>
    <t>核实被函证单位信息</t>
  </si>
  <si>
    <t>G0-2</t>
  </si>
  <si>
    <t>跟函函证过程控制</t>
    <phoneticPr fontId="8" type="noConversion"/>
  </si>
  <si>
    <t>G0-3</t>
  </si>
  <si>
    <t>函证差异核对表（证券投资）</t>
    <phoneticPr fontId="4" type="noConversion"/>
  </si>
  <si>
    <t>G0-4</t>
  </si>
  <si>
    <t>函证差异核对表(非证券投资)</t>
    <phoneticPr fontId="4" type="noConversion"/>
  </si>
  <si>
    <t>G0-5</t>
  </si>
  <si>
    <t>替代程序检查表</t>
  </si>
  <si>
    <t>G0-6</t>
  </si>
  <si>
    <t>邮件传真回函可靠性验证</t>
  </si>
  <si>
    <t>G0-7</t>
  </si>
  <si>
    <t>函证程序舞弊风险评价表</t>
  </si>
  <si>
    <t>G0-8</t>
  </si>
  <si>
    <t>根据被审计单位实际情况和风险评估情况裁剪、修改或增加审计程序</t>
    <phoneticPr fontId="8" type="noConversion"/>
  </si>
  <si>
    <t>审计程序</t>
    <phoneticPr fontId="4" type="noConversion"/>
  </si>
  <si>
    <t>公允价值测试表</t>
    <phoneticPr fontId="4" type="noConversion"/>
  </si>
  <si>
    <t>第三层次公允价值计量的调节表</t>
    <phoneticPr fontId="4" type="noConversion"/>
  </si>
  <si>
    <t>G10-1
/G10-2
/G10-4</t>
    <phoneticPr fontId="4" type="noConversion"/>
  </si>
  <si>
    <t>G10-2
/G10-7</t>
    <phoneticPr fontId="4" type="noConversion"/>
  </si>
  <si>
    <t>G10-2
/G10-7</t>
    <phoneticPr fontId="4" type="noConversion"/>
  </si>
  <si>
    <t>G10-5
/G10-6</t>
    <phoneticPr fontId="4" type="noConversion"/>
  </si>
  <si>
    <t>合计</t>
    <phoneticPr fontId="8" type="noConversion"/>
  </si>
  <si>
    <t>本期发生额</t>
    <phoneticPr fontId="8" type="noConversion"/>
  </si>
  <si>
    <t>检查比例</t>
    <phoneticPr fontId="8" type="noConversion"/>
  </si>
  <si>
    <t>随机选样/系统选样/货币单元抽样/随意选样（非统计抽样适用）</t>
    <phoneticPr fontId="8" type="noConversion"/>
  </si>
  <si>
    <t>抽取XX笔（如果使用了样本计算器计算样本量，样本量计算过程见&lt;XX&gt;底稿）</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</si>
</sst>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 numFmtId="227" formatCode="yyyy\-mm\-dd;@"/>
    <numFmt numFmtId="228" formatCode="_(* #,##0.00_);_(* \(#,##0.00\);_(* &quot;-&quot;??_);_(@_)"/>
  </numFmts>
  <fonts count="159">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b/>
      <sz val="10"/>
      <color indexed="12"/>
      <name val="宋体"/>
      <family val="3"/>
      <charset val="134"/>
    </font>
    <font>
      <b/>
      <sz val="10"/>
      <color indexed="12"/>
      <name val="Arial Narrow"/>
      <family val="2"/>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theme="1"/>
      <name val="宋体"/>
      <family val="3"/>
      <charset val="134"/>
      <scheme val="minor"/>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i/>
      <sz val="10"/>
      <color indexed="12"/>
      <name val="宋体"/>
      <family val="3"/>
      <charset val="134"/>
    </font>
    <font>
      <sz val="10"/>
      <color indexed="12"/>
      <name val="Arial Narrow"/>
      <family val="2"/>
    </font>
    <font>
      <sz val="10"/>
      <color indexed="12"/>
      <name val="宋体"/>
      <family val="3"/>
      <charset val="134"/>
    </font>
    <font>
      <b/>
      <sz val="10"/>
      <color indexed="8"/>
      <name val="宋体"/>
      <family val="3"/>
      <charset val="134"/>
    </font>
    <font>
      <b/>
      <sz val="10"/>
      <color indexed="8"/>
      <name val="Arial Narrow"/>
      <family val="2"/>
    </font>
    <font>
      <sz val="10"/>
      <color indexed="10"/>
      <name val="宋体"/>
      <family val="3"/>
      <charset val="134"/>
    </font>
    <font>
      <sz val="10"/>
      <color indexed="8"/>
      <name val="宋体"/>
      <family val="3"/>
      <charset val="134"/>
    </font>
    <font>
      <sz val="12"/>
      <name val="Arial"/>
      <family val="2"/>
    </font>
    <font>
      <u/>
      <sz val="11"/>
      <color theme="10"/>
      <name val="宋体"/>
      <family val="3"/>
      <charset val="134"/>
    </font>
    <font>
      <sz val="12"/>
      <name val="仿宋_GB2312"/>
      <family val="3"/>
      <charset val="134"/>
    </font>
    <font>
      <b/>
      <sz val="12"/>
      <name val="仿宋_GB2312"/>
      <family val="3"/>
      <charset val="134"/>
    </font>
    <font>
      <b/>
      <sz val="12"/>
      <color rgb="FF000000"/>
      <name val="仿宋_GB2312"/>
      <family val="3"/>
      <charset val="134"/>
    </font>
    <font>
      <sz val="12"/>
      <color rgb="FFFF0000"/>
      <name val="仿宋_GB2312"/>
      <family val="3"/>
      <charset val="134"/>
    </font>
    <font>
      <sz val="12"/>
      <color rgb="FF0000FF"/>
      <name val="仿宋_GB2312"/>
      <family val="3"/>
      <charset val="134"/>
    </font>
    <font>
      <sz val="12"/>
      <color rgb="FF0000FF"/>
      <name val="Arial Narrow"/>
      <family val="2"/>
    </font>
    <font>
      <sz val="12"/>
      <color rgb="FF000000"/>
      <name val="仿宋_GB2312"/>
      <family val="3"/>
      <charset val="134"/>
    </font>
    <font>
      <i/>
      <sz val="10"/>
      <color indexed="12"/>
      <name val="Arial Narrow"/>
      <family val="2"/>
    </font>
    <font>
      <sz val="11"/>
      <color theme="1"/>
      <name val="宋体"/>
      <family val="2"/>
      <charset val="134"/>
      <scheme val="minor"/>
    </font>
    <font>
      <sz val="10"/>
      <color theme="1"/>
      <name val="Arial Narrow"/>
      <family val="2"/>
    </font>
    <font>
      <sz val="10"/>
      <color theme="1"/>
      <name val="宋体"/>
      <family val="3"/>
      <charset val="134"/>
    </font>
    <font>
      <b/>
      <sz val="10"/>
      <color theme="1"/>
      <name val="宋体"/>
      <family val="3"/>
      <charset val="134"/>
    </font>
    <font>
      <b/>
      <sz val="10"/>
      <color theme="1"/>
      <name val="Arial Narrow"/>
      <family val="2"/>
    </font>
    <font>
      <b/>
      <sz val="9"/>
      <color indexed="8"/>
      <name val="Arial Narrow"/>
      <family val="2"/>
    </font>
    <font>
      <b/>
      <sz val="9"/>
      <color indexed="8"/>
      <name val="宋体"/>
      <family val="3"/>
      <charset val="134"/>
    </font>
    <font>
      <b/>
      <sz val="9"/>
      <name val="Arial Narrow"/>
      <family val="2"/>
    </font>
    <font>
      <sz val="9"/>
      <name val="Arial Narrow"/>
      <family val="2"/>
    </font>
    <font>
      <b/>
      <sz val="9"/>
      <name val="宋体"/>
      <family val="3"/>
      <charset val="134"/>
    </font>
    <font>
      <b/>
      <u/>
      <sz val="10"/>
      <name val="Arial Narrow"/>
      <family val="2"/>
    </font>
    <font>
      <sz val="10"/>
      <color indexed="10"/>
      <name val="Arial Narrow"/>
      <family val="2"/>
    </font>
    <font>
      <sz val="10"/>
      <color indexed="9"/>
      <name val="Arial Narrow"/>
      <family val="2"/>
    </font>
    <font>
      <sz val="10"/>
      <color indexed="8"/>
      <name val="Arial Narrow"/>
      <family val="2"/>
    </font>
    <font>
      <sz val="9"/>
      <color indexed="81"/>
      <name val="宋体"/>
      <family val="3"/>
      <charset val="134"/>
    </font>
    <font>
      <b/>
      <sz val="9"/>
      <color indexed="81"/>
      <name val="宋体"/>
      <family val="3"/>
      <charset val="134"/>
    </font>
    <font>
      <sz val="11"/>
      <name val="宋体"/>
      <family val="3"/>
      <charset val="134"/>
    </font>
    <font>
      <sz val="10"/>
      <color rgb="FFFF0000"/>
      <name val="宋体"/>
      <family val="3"/>
      <charset val="134"/>
    </font>
    <font>
      <sz val="12"/>
      <name val="???"/>
      <family val="1"/>
    </font>
    <font>
      <sz val="11"/>
      <color indexed="8"/>
      <name val="Calibri"/>
      <family val="2"/>
    </font>
    <font>
      <sz val="11"/>
      <color indexed="9"/>
      <name val="Calibri"/>
      <family val="2"/>
    </font>
    <font>
      <sz val="8"/>
      <name val="Times New Roman"/>
      <family val="1"/>
    </font>
    <font>
      <sz val="11"/>
      <color indexed="20"/>
      <name val="Calibri"/>
      <family val="2"/>
    </font>
    <font>
      <b/>
      <sz val="11"/>
      <color indexed="52"/>
      <name val="Calibri"/>
      <family val="2"/>
    </font>
    <font>
      <b/>
      <sz val="11"/>
      <color indexed="9"/>
      <name val="Calibri"/>
      <family val="2"/>
    </font>
    <font>
      <sz val="10"/>
      <name val="MS Serif"/>
      <family val="1"/>
    </font>
    <font>
      <sz val="12"/>
      <name val="Tms Rmn"/>
      <family val="1"/>
    </font>
    <font>
      <sz val="10"/>
      <color indexed="16"/>
      <name val="MS Serif"/>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name val="Tms Rmn"/>
      <family val="1"/>
    </font>
    <font>
      <sz val="9"/>
      <color indexed="8"/>
      <name val="宋体"/>
      <family val="3"/>
      <charset val="134"/>
    </font>
    <font>
      <b/>
      <sz val="8"/>
      <color indexed="8"/>
      <name val="Helv"/>
      <family val="2"/>
    </font>
    <font>
      <b/>
      <sz val="11"/>
      <color indexed="8"/>
      <name val="Calibri"/>
      <family val="2"/>
    </font>
    <font>
      <sz val="11"/>
      <color indexed="10"/>
      <name val="Calibri"/>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i/>
      <u/>
      <sz val="10"/>
      <color indexed="12"/>
      <name val="Arial Narrow"/>
      <family val="2"/>
    </font>
    <font>
      <u/>
      <sz val="10"/>
      <name val="Arial Narrow"/>
      <family val="2"/>
    </font>
    <font>
      <sz val="18"/>
      <color indexed="48"/>
      <name val="魏碑"/>
      <family val="3"/>
      <charset val="134"/>
    </font>
    <font>
      <b/>
      <sz val="10"/>
      <color indexed="10"/>
      <name val="宋体"/>
      <family val="3"/>
      <charset val="134"/>
    </font>
    <font>
      <b/>
      <sz val="10"/>
      <color indexed="10"/>
      <name val="Arial Narrow"/>
      <family val="2"/>
    </font>
    <font>
      <sz val="10"/>
      <color rgb="FFFF0000"/>
      <name val="Arial Narrow"/>
      <family val="2"/>
    </font>
    <font>
      <sz val="11"/>
      <color indexed="9"/>
      <name val="宋体"/>
      <family val="3"/>
      <charset val="134"/>
    </font>
    <font>
      <sz val="11"/>
      <color theme="1"/>
      <name val="宋体"/>
      <family val="2"/>
      <scheme val="minor"/>
    </font>
    <font>
      <b/>
      <sz val="10"/>
      <color rgb="FF0000FF"/>
      <name val="宋体"/>
      <family val="3"/>
      <charset val="134"/>
    </font>
    <font>
      <b/>
      <sz val="10"/>
      <color rgb="FFE92841"/>
      <name val="Arial Narrow"/>
      <family val="2"/>
    </font>
    <font>
      <sz val="12"/>
      <name val="宋体"/>
      <family val="3"/>
      <charset val="134"/>
      <scheme val="minor"/>
    </font>
    <font>
      <b/>
      <sz val="10.5"/>
      <name val="仿宋_GB2312"/>
      <family val="3"/>
      <charset val="134"/>
    </font>
    <font>
      <sz val="10"/>
      <name val="仿宋_GB2312"/>
      <family val="3"/>
      <charset val="134"/>
    </font>
    <font>
      <sz val="10.5"/>
      <name val="仿宋_GB2312"/>
      <family val="3"/>
      <charset val="134"/>
    </font>
    <font>
      <b/>
      <sz val="10.5"/>
      <color rgb="FFFF0000"/>
      <name val="仿宋_GB2312"/>
      <family val="3"/>
      <charset val="134"/>
    </font>
    <font>
      <sz val="10.5"/>
      <color rgb="FFFF0000"/>
      <name val="仿宋_GB2312"/>
      <family val="3"/>
      <charset val="134"/>
    </font>
    <font>
      <b/>
      <sz val="10.5"/>
      <color theme="1"/>
      <name val="仿宋_GB2312"/>
      <family val="3"/>
      <charset val="134"/>
    </font>
    <font>
      <b/>
      <sz val="10.5"/>
      <color theme="1"/>
      <name val="Arial Narrow"/>
      <family val="2"/>
    </font>
    <font>
      <sz val="10.5"/>
      <color theme="1"/>
      <name val="Arial Narrow"/>
      <family val="2"/>
    </font>
    <font>
      <sz val="10.5"/>
      <color theme="1"/>
      <name val="仿宋_GB2312"/>
      <family val="3"/>
      <charset val="134"/>
    </font>
    <font>
      <sz val="10"/>
      <name val="宋体"/>
      <family val="3"/>
      <charset val="134"/>
      <scheme val="minor"/>
    </font>
    <font>
      <sz val="10"/>
      <color rgb="FF0000FF"/>
      <name val="宋体"/>
      <family val="3"/>
      <charset val="134"/>
    </font>
    <font>
      <b/>
      <sz val="12"/>
      <name val="宋体"/>
      <family val="3"/>
      <charset val="134"/>
      <scheme val="minor"/>
    </font>
    <font>
      <sz val="12"/>
      <color theme="1"/>
      <name val="宋体"/>
      <family val="3"/>
      <charset val="134"/>
      <scheme val="minor"/>
    </font>
    <font>
      <b/>
      <sz val="14"/>
      <name val="宋体"/>
      <family val="3"/>
      <charset val="134"/>
      <scheme val="minor"/>
    </font>
    <font>
      <sz val="14"/>
      <name val="宋体"/>
      <family val="3"/>
      <charset val="134"/>
      <scheme val="minor"/>
    </font>
    <font>
      <sz val="14"/>
      <color theme="1"/>
      <name val="宋体"/>
      <family val="3"/>
      <charset val="134"/>
      <scheme val="minor"/>
    </font>
    <font>
      <sz val="11"/>
      <color theme="1"/>
      <name val="Arial Narrow"/>
      <family val="2"/>
    </font>
    <font>
      <sz val="10.5"/>
      <name val="Arial Narrow"/>
      <family val="2"/>
    </font>
    <font>
      <sz val="11"/>
      <name val="Arial Narrow"/>
      <family val="2"/>
    </font>
    <font>
      <b/>
      <sz val="10"/>
      <color rgb="FF0000FF"/>
      <name val="Arial Narrow"/>
      <family val="2"/>
    </font>
    <font>
      <sz val="10"/>
      <color theme="1"/>
      <name val="宋体"/>
      <family val="3"/>
      <charset val="134"/>
      <scheme val="minor"/>
    </font>
    <font>
      <u/>
      <sz val="10"/>
      <color theme="10"/>
      <name val="宋体"/>
      <family val="3"/>
      <charset val="134"/>
    </font>
    <font>
      <u/>
      <sz val="10"/>
      <color theme="10"/>
      <name val="Arial Narrow"/>
      <family val="2"/>
    </font>
    <font>
      <sz val="10"/>
      <color theme="10"/>
      <name val="Arial Narrow"/>
      <family val="2"/>
    </font>
    <font>
      <b/>
      <sz val="14"/>
      <name val="宋体"/>
      <family val="3"/>
      <charset val="134"/>
    </font>
    <font>
      <sz val="10"/>
      <color theme="1"/>
      <name val="宋体"/>
      <family val="2"/>
      <charset val="134"/>
      <scheme val="minor"/>
    </font>
  </fonts>
  <fills count="42">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rgb="FF00B050"/>
        <bgColor indexed="64"/>
      </patternFill>
    </fill>
    <fill>
      <patternFill patternType="solid">
        <fgColor theme="9" tint="0.39997558519241921"/>
        <bgColor indexed="64"/>
      </patternFill>
    </fill>
    <fill>
      <patternFill patternType="solid">
        <fgColor rgb="FFE4DFEC"/>
        <bgColor indexed="64"/>
      </patternFill>
    </fill>
    <fill>
      <patternFill patternType="solid">
        <fgColor rgb="FFFF0000"/>
        <bgColor indexed="64"/>
      </patternFill>
    </fill>
    <fill>
      <patternFill patternType="solid">
        <fgColor rgb="FFE4DFEC"/>
        <bgColor rgb="FFB7DEE8"/>
      </patternFill>
    </fill>
  </fills>
  <borders count="28">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s>
  <cellStyleXfs count="401">
    <xf numFmtId="0" fontId="0" fillId="0" borderId="0">
      <alignment vertical="center"/>
    </xf>
    <xf numFmtId="0" fontId="2" fillId="0" borderId="0">
      <alignment vertical="center"/>
    </xf>
    <xf numFmtId="0" fontId="2" fillId="0" borderId="0">
      <alignment vertical="center"/>
    </xf>
    <xf numFmtId="0" fontId="2" fillId="0" borderId="0">
      <alignment vertical="center"/>
    </xf>
    <xf numFmtId="0" fontId="14" fillId="0" borderId="0"/>
    <xf numFmtId="0" fontId="14" fillId="0" borderId="0"/>
    <xf numFmtId="0" fontId="14" fillId="0" borderId="0"/>
    <xf numFmtId="0" fontId="14" fillId="0" borderId="0"/>
    <xf numFmtId="0" fontId="14" fillId="0" borderId="0"/>
    <xf numFmtId="49" fontId="15" fillId="0" borderId="0" applyProtection="0">
      <alignment horizontal="left"/>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7" fillId="0" borderId="0"/>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176" fontId="15" fillId="0" borderId="0" applyFill="0" applyBorder="0" applyProtection="0">
      <alignment horizontal="right"/>
    </xf>
    <xf numFmtId="177" fontId="15" fillId="0" borderId="0" applyFill="0" applyBorder="0" applyProtection="0">
      <alignment horizontal="right"/>
    </xf>
    <xf numFmtId="178" fontId="18" fillId="0" borderId="0" applyFill="0" applyBorder="0" applyProtection="0">
      <alignment horizontal="center"/>
    </xf>
    <xf numFmtId="179" fontId="18" fillId="0" borderId="0" applyFill="0" applyBorder="0" applyProtection="0">
      <alignment horizontal="center"/>
    </xf>
    <xf numFmtId="180" fontId="19" fillId="0" borderId="0" applyFill="0" applyBorder="0" applyProtection="0">
      <alignment horizontal="right"/>
    </xf>
    <xf numFmtId="181" fontId="15"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20" fillId="0" borderId="0" applyFont="0" applyFill="0" applyBorder="0" applyAlignment="0" applyProtection="0"/>
    <xf numFmtId="0" fontId="17" fillId="0" borderId="0"/>
    <xf numFmtId="186" fontId="20" fillId="0" borderId="0" applyFont="0" applyFill="0" applyBorder="0" applyAlignment="0" applyProtection="0"/>
    <xf numFmtId="10" fontId="20" fillId="0" borderId="0" applyFont="0" applyFill="0" applyBorder="0" applyAlignment="0" applyProtection="0"/>
    <xf numFmtId="3" fontId="21" fillId="0" borderId="0"/>
    <xf numFmtId="187" fontId="22" fillId="0" borderId="2" applyAlignment="0" applyProtection="0"/>
    <xf numFmtId="188" fontId="16" fillId="0" borderId="0" applyFill="0" applyBorder="0" applyAlignment="0"/>
    <xf numFmtId="189" fontId="14" fillId="0" borderId="0" applyFill="0" applyBorder="0" applyAlignment="0"/>
    <xf numFmtId="190" fontId="14" fillId="0" borderId="0" applyFill="0" applyBorder="0" applyAlignment="0"/>
    <xf numFmtId="191" fontId="14" fillId="0" borderId="0" applyFill="0" applyBorder="0" applyAlignment="0"/>
    <xf numFmtId="192"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3" fillId="0" borderId="0"/>
    <xf numFmtId="0" fontId="24" fillId="0" borderId="3" applyNumberFormat="0" applyFill="0" applyProtection="0">
      <alignment horizontal="center"/>
    </xf>
    <xf numFmtId="0" fontId="25" fillId="0" borderId="4">
      <alignment horizontal="center"/>
    </xf>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38" fontId="26" fillId="0" borderId="0" applyFont="0" applyFill="0" applyBorder="0" applyAlignment="0" applyProtection="0"/>
    <xf numFmtId="193" fontId="14" fillId="0" borderId="0" applyFont="0" applyFill="0" applyBorder="0" applyAlignment="0" applyProtection="0"/>
    <xf numFmtId="43" fontId="2" fillId="0" borderId="0" applyFont="0" applyFill="0" applyBorder="0" applyAlignment="0" applyProtection="0"/>
    <xf numFmtId="196" fontId="15" fillId="0" borderId="0"/>
    <xf numFmtId="37" fontId="20" fillId="0" borderId="0" applyFont="0" applyFill="0" applyBorder="0" applyAlignment="0" applyProtection="0"/>
    <xf numFmtId="197" fontId="20" fillId="0" borderId="0" applyFont="0" applyFill="0" applyBorder="0" applyAlignment="0" applyProtection="0"/>
    <xf numFmtId="39" fontId="20" fillId="0" borderId="0" applyFont="0" applyFill="0" applyBorder="0" applyAlignment="0" applyProtection="0"/>
    <xf numFmtId="40" fontId="26" fillId="0" borderId="0" applyFont="0" applyFill="0" applyBorder="0" applyAlignment="0" applyProtection="0"/>
    <xf numFmtId="198" fontId="2" fillId="0" borderId="0" applyFont="0" applyFill="0" applyBorder="0" applyAlignment="0" applyProtection="0"/>
    <xf numFmtId="189" fontId="14" fillId="0" borderId="0" applyFont="0" applyFill="0" applyBorder="0" applyAlignment="0" applyProtection="0"/>
    <xf numFmtId="187" fontId="20" fillId="0" borderId="0" applyFont="0" applyFill="0" applyBorder="0" applyAlignment="0" applyProtection="0"/>
    <xf numFmtId="199" fontId="20" fillId="0" borderId="0" applyFont="0" applyFill="0" applyBorder="0" applyAlignment="0" applyProtection="0"/>
    <xf numFmtId="200" fontId="2" fillId="0" borderId="0" applyFont="0" applyFill="0" applyBorder="0" applyAlignment="0" applyProtection="0"/>
    <xf numFmtId="201" fontId="15" fillId="0" borderId="0"/>
    <xf numFmtId="14" fontId="16"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202" fontId="15" fillId="0" borderId="0"/>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7" fillId="0" borderId="0">
      <alignment horizontal="left"/>
    </xf>
    <xf numFmtId="0" fontId="28" fillId="2" borderId="5"/>
    <xf numFmtId="203" fontId="15" fillId="0" borderId="0" applyFont="0" applyFill="0" applyBorder="0" applyAlignment="0" applyProtection="0"/>
    <xf numFmtId="0" fontId="29" fillId="0" borderId="0" applyNumberFormat="0" applyFill="0" applyBorder="0" applyAlignment="0" applyProtection="0">
      <alignment vertical="top"/>
      <protection locked="0"/>
    </xf>
    <xf numFmtId="38" fontId="28" fillId="3"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4" borderId="8">
      <alignment horizontal="center" vertical="center" wrapText="1"/>
    </xf>
    <xf numFmtId="0" fontId="33" fillId="0" borderId="0" applyNumberFormat="0" applyFill="0" applyBorder="0" applyAlignment="0" applyProtection="0">
      <alignment vertical="top"/>
      <protection locked="0"/>
    </xf>
    <xf numFmtId="10" fontId="28" fillId="5" borderId="5" applyNumberFormat="0" applyBorder="0" applyAlignment="0" applyProtection="0"/>
    <xf numFmtId="0" fontId="15" fillId="0" borderId="0" applyNumberFormat="0" applyFont="0" applyFill="0" applyBorder="0" applyProtection="0">
      <alignment horizontal="left" vertical="center"/>
    </xf>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0" fontId="34" fillId="0" borderId="8"/>
    <xf numFmtId="205" fontId="14" fillId="0" borderId="0" applyFont="0" applyFill="0" applyBorder="0" applyAlignment="0" applyProtection="0"/>
    <xf numFmtId="206" fontId="14" fillId="0" borderId="0" applyFont="0" applyFill="0" applyBorder="0" applyAlignment="0" applyProtection="0"/>
    <xf numFmtId="207" fontId="14" fillId="0" borderId="0" applyFont="0" applyFill="0" applyBorder="0" applyAlignment="0" applyProtection="0"/>
    <xf numFmtId="208" fontId="2" fillId="0" borderId="0" applyFont="0" applyFill="0" applyBorder="0" applyAlignment="0" applyProtection="0"/>
    <xf numFmtId="37" fontId="35" fillId="0" borderId="0"/>
    <xf numFmtId="0" fontId="36" fillId="0" borderId="0"/>
    <xf numFmtId="209" fontId="2" fillId="0" borderId="0"/>
    <xf numFmtId="0" fontId="2" fillId="0" borderId="0"/>
    <xf numFmtId="0" fontId="26" fillId="0" borderId="0"/>
    <xf numFmtId="0" fontId="37" fillId="0" borderId="0"/>
    <xf numFmtId="210" fontId="14" fillId="0" borderId="0" applyFont="0" applyFill="0" applyBorder="0" applyAlignment="0" applyProtection="0"/>
    <xf numFmtId="192" fontId="14" fillId="0" borderId="0" applyFont="0" applyFill="0" applyBorder="0" applyAlignment="0" applyProtection="0"/>
    <xf numFmtId="185" fontId="14" fillId="0" borderId="0" applyFont="0" applyFill="0" applyBorder="0" applyAlignment="0" applyProtection="0"/>
    <xf numFmtId="10" fontId="14" fillId="0" borderId="0" applyFont="0" applyFill="0" applyBorder="0" applyAlignment="0" applyProtection="0"/>
    <xf numFmtId="0" fontId="28" fillId="3" borderId="5"/>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 fontId="27" fillId="0" borderId="0">
      <alignment horizontal="right"/>
    </xf>
    <xf numFmtId="3" fontId="38" fillId="0" borderId="0"/>
    <xf numFmtId="4" fontId="39" fillId="0" borderId="0">
      <alignment horizontal="right"/>
    </xf>
    <xf numFmtId="0" fontId="40" fillId="0" borderId="0">
      <alignment horizontal="left"/>
    </xf>
    <xf numFmtId="43" fontId="28" fillId="0" borderId="1"/>
    <xf numFmtId="0" fontId="41" fillId="0" borderId="5">
      <alignment horizontal="center"/>
    </xf>
    <xf numFmtId="0" fontId="41" fillId="0" borderId="0">
      <alignment horizontal="center" vertical="center"/>
    </xf>
    <xf numFmtId="0" fontId="42" fillId="6" borderId="0" applyNumberFormat="0" applyFill="0">
      <alignment horizontal="left" vertical="center"/>
    </xf>
    <xf numFmtId="0" fontId="34" fillId="0" borderId="0"/>
    <xf numFmtId="49" fontId="16" fillId="0" borderId="0" applyFill="0" applyBorder="0" applyAlignment="0"/>
    <xf numFmtId="211" fontId="16" fillId="0" borderId="0" applyFill="0" applyBorder="0" applyAlignment="0"/>
    <xf numFmtId="212" fontId="14" fillId="0" borderId="0" applyFill="0" applyBorder="0" applyAlignment="0"/>
    <xf numFmtId="0" fontId="43" fillId="0" borderId="0" applyFill="0" applyBorder="0" applyProtection="0">
      <alignment horizontal="left" vertical="top"/>
    </xf>
    <xf numFmtId="0" fontId="44" fillId="0" borderId="0">
      <alignment horizontal="center"/>
    </xf>
    <xf numFmtId="0" fontId="45" fillId="0" borderId="0" applyNumberFormat="0" applyFont="0" applyFill="0" applyBorder="0" applyProtection="0">
      <alignment horizontal="center" vertical="center" wrapText="1"/>
    </xf>
    <xf numFmtId="9" fontId="46" fillId="0" borderId="0" applyFont="0" applyFill="0" applyBorder="0" applyAlignment="0" applyProtection="0"/>
    <xf numFmtId="0" fontId="17" fillId="0" borderId="0"/>
    <xf numFmtId="213" fontId="17" fillId="0" borderId="0" applyFont="0" applyFill="0" applyBorder="0" applyAlignment="0" applyProtection="0"/>
    <xf numFmtId="214" fontId="17" fillId="0" borderId="0" applyFont="0" applyFill="0" applyBorder="0" applyAlignment="0" applyProtection="0"/>
    <xf numFmtId="41" fontId="14"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4" fontId="47" fillId="0" borderId="0">
      <alignment horizontal="right"/>
    </xf>
    <xf numFmtId="0" fontId="48" fillId="7" borderId="0" applyNumberFormat="0" applyBorder="0" applyAlignment="0" applyProtection="0">
      <alignment vertical="center"/>
    </xf>
    <xf numFmtId="0" fontId="49" fillId="0" borderId="0">
      <alignment vertical="center"/>
    </xf>
    <xf numFmtId="0" fontId="2" fillId="0" borderId="0">
      <alignment vertical="center"/>
      <protection locked="0"/>
    </xf>
    <xf numFmtId="0" fontId="2" fillId="0" borderId="0">
      <protection locked="0"/>
    </xf>
    <xf numFmtId="0" fontId="50" fillId="0" borderId="0">
      <alignment vertical="center"/>
    </xf>
    <xf numFmtId="0" fontId="14" fillId="0" borderId="0"/>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2" fillId="0" borderId="0" applyNumberFormat="0" applyFill="0" applyBorder="0" applyAlignment="0" applyProtection="0"/>
    <xf numFmtId="0" fontId="53" fillId="8" borderId="0" applyNumberFormat="0" applyBorder="0" applyAlignment="0" applyProtection="0">
      <alignment vertical="center"/>
    </xf>
    <xf numFmtId="4" fontId="45" fillId="0" borderId="0" applyFont="0" applyFill="0" applyBorder="0" applyAlignment="0" applyProtection="0"/>
    <xf numFmtId="41" fontId="14" fillId="0" borderId="0" applyFont="0" applyFill="0" applyBorder="0" applyAlignment="0" applyProtection="0"/>
    <xf numFmtId="215" fontId="17" fillId="0" borderId="0" applyFont="0" applyFill="0" applyBorder="0" applyAlignment="0" applyProtection="0"/>
    <xf numFmtId="216" fontId="17" fillId="0" borderId="0" applyFont="0" applyFill="0" applyBorder="0" applyAlignment="0" applyProtection="0"/>
    <xf numFmtId="0" fontId="15" fillId="0" borderId="0"/>
    <xf numFmtId="41" fontId="15" fillId="0" borderId="0" applyFont="0" applyFill="0" applyBorder="0" applyAlignment="0" applyProtection="0"/>
    <xf numFmtId="43" fontId="15"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alignment vertical="center"/>
    </xf>
    <xf numFmtId="206" fontId="14" fillId="0" borderId="0" applyFont="0" applyFill="0" applyBorder="0" applyAlignment="0" applyProtection="0"/>
    <xf numFmtId="217" fontId="45" fillId="0" borderId="0" applyFont="0" applyFill="0" applyBorder="0" applyAlignment="0" applyProtection="0"/>
    <xf numFmtId="0" fontId="16" fillId="0" borderId="0">
      <alignment vertical="top"/>
    </xf>
    <xf numFmtId="38" fontId="54" fillId="0" borderId="0" applyFont="0" applyFill="0" applyBorder="0" applyAlignment="0" applyProtection="0"/>
    <xf numFmtId="4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5" fillId="0" borderId="0"/>
    <xf numFmtId="0" fontId="17" fillId="0" borderId="0"/>
    <xf numFmtId="0" fontId="17" fillId="0" borderId="0"/>
    <xf numFmtId="0" fontId="64" fillId="0" borderId="0" applyNumberFormat="0" applyFill="0" applyBorder="0" applyAlignment="0" applyProtection="0">
      <alignment vertical="top"/>
      <protection locked="0"/>
    </xf>
    <xf numFmtId="43" fontId="73" fillId="0" borderId="0" applyFont="0" applyFill="0" applyBorder="0" applyAlignment="0" applyProtection="0">
      <alignment vertical="center"/>
    </xf>
    <xf numFmtId="0" fontId="2" fillId="0" borderId="0">
      <protection locked="0"/>
    </xf>
    <xf numFmtId="43" fontId="2" fillId="0" borderId="0" applyFont="0" applyFill="0" applyBorder="0" applyAlignment="0" applyProtection="0"/>
    <xf numFmtId="0" fontId="2" fillId="0" borderId="0">
      <protection locked="0"/>
    </xf>
    <xf numFmtId="0" fontId="2" fillId="0" borderId="0"/>
    <xf numFmtId="0" fontId="2" fillId="0" borderId="0">
      <protection locked="0"/>
    </xf>
    <xf numFmtId="0" fontId="2" fillId="0" borderId="0" applyNumberForma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91" fillId="0" borderId="0"/>
    <xf numFmtId="49" fontId="15" fillId="0" borderId="0" applyProtection="0">
      <alignment horizontal="left"/>
    </xf>
    <xf numFmtId="0" fontId="16" fillId="0" borderId="0">
      <alignment vertical="top"/>
      <protection locked="0"/>
    </xf>
    <xf numFmtId="0" fontId="16" fillId="0" borderId="0">
      <alignment vertical="top"/>
    </xf>
    <xf numFmtId="0" fontId="14" fillId="0" borderId="0" applyNumberFormat="0" applyFill="0" applyBorder="0" applyAlignment="0">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4" fillId="0" borderId="0" applyNumberFormat="0" applyFill="0" applyBorder="0" applyAlignment="0">
      <protection locked="0"/>
    </xf>
    <xf numFmtId="0" fontId="16" fillId="0" borderId="0">
      <alignment vertical="top"/>
    </xf>
    <xf numFmtId="0" fontId="16" fillId="0" borderId="0">
      <alignment vertical="top"/>
    </xf>
    <xf numFmtId="0" fontId="14" fillId="0" borderId="0" applyNumberFormat="0" applyFill="0" applyBorder="0" applyAlignment="0" applyProtection="0"/>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218" fontId="2" fillId="0" borderId="0" applyFont="0" applyFill="0" applyBorder="0" applyAlignment="0" applyProtection="0"/>
    <xf numFmtId="203" fontId="92" fillId="14" borderId="0" applyNumberFormat="0" applyBorder="0" applyAlignment="0" applyProtection="0"/>
    <xf numFmtId="203" fontId="92" fillId="7" borderId="0" applyNumberFormat="0" applyBorder="0" applyAlignment="0" applyProtection="0"/>
    <xf numFmtId="203" fontId="92" fillId="8" borderId="0" applyNumberFormat="0" applyBorder="0" applyAlignment="0" applyProtection="0"/>
    <xf numFmtId="203" fontId="92" fillId="15" borderId="0" applyNumberFormat="0" applyBorder="0" applyAlignment="0" applyProtection="0"/>
    <xf numFmtId="203" fontId="92" fillId="16" borderId="0" applyNumberFormat="0" applyBorder="0" applyAlignment="0" applyProtection="0"/>
    <xf numFmtId="203" fontId="92" fillId="17" borderId="0" applyNumberFormat="0" applyBorder="0" applyAlignment="0" applyProtection="0"/>
    <xf numFmtId="203" fontId="92" fillId="18" borderId="0" applyNumberFormat="0" applyBorder="0" applyAlignment="0" applyProtection="0"/>
    <xf numFmtId="203" fontId="92" fillId="19" borderId="0" applyNumberFormat="0" applyBorder="0" applyAlignment="0" applyProtection="0"/>
    <xf numFmtId="203" fontId="92" fillId="20" borderId="0" applyNumberFormat="0" applyBorder="0" applyAlignment="0" applyProtection="0"/>
    <xf numFmtId="203" fontId="92" fillId="15" borderId="0" applyNumberFormat="0" applyBorder="0" applyAlignment="0" applyProtection="0"/>
    <xf numFmtId="203" fontId="92" fillId="18" borderId="0" applyNumberFormat="0" applyBorder="0" applyAlignment="0" applyProtection="0"/>
    <xf numFmtId="203" fontId="92" fillId="21" borderId="0" applyNumberFormat="0" applyBorder="0" applyAlignment="0" applyProtection="0"/>
    <xf numFmtId="203" fontId="93" fillId="22" borderId="0" applyNumberFormat="0" applyBorder="0" applyAlignment="0" applyProtection="0"/>
    <xf numFmtId="203" fontId="93" fillId="19" borderId="0" applyNumberFormat="0" applyBorder="0" applyAlignment="0" applyProtection="0"/>
    <xf numFmtId="203" fontId="93" fillId="20" borderId="0" applyNumberFormat="0" applyBorder="0" applyAlignment="0" applyProtection="0"/>
    <xf numFmtId="203" fontId="93" fillId="23" borderId="0" applyNumberFormat="0" applyBorder="0" applyAlignment="0" applyProtection="0"/>
    <xf numFmtId="203" fontId="93" fillId="24" borderId="0" applyNumberFormat="0" applyBorder="0" applyAlignment="0" applyProtection="0"/>
    <xf numFmtId="203" fontId="93" fillId="25" borderId="0" applyNumberFormat="0" applyBorder="0" applyAlignment="0" applyProtection="0"/>
    <xf numFmtId="203" fontId="93" fillId="26" borderId="0" applyNumberFormat="0" applyBorder="0" applyAlignment="0" applyProtection="0"/>
    <xf numFmtId="203" fontId="93" fillId="27" borderId="0" applyNumberFormat="0" applyBorder="0" applyAlignment="0" applyProtection="0"/>
    <xf numFmtId="203" fontId="93" fillId="28" borderId="0" applyNumberFormat="0" applyBorder="0" applyAlignment="0" applyProtection="0"/>
    <xf numFmtId="203" fontId="93" fillId="23" borderId="0" applyNumberFormat="0" applyBorder="0" applyAlignment="0" applyProtection="0"/>
    <xf numFmtId="203" fontId="93" fillId="24" borderId="0" applyNumberFormat="0" applyBorder="0" applyAlignment="0" applyProtection="0"/>
    <xf numFmtId="203" fontId="93" fillId="29" borderId="0" applyNumberFormat="0" applyBorder="0" applyAlignment="0" applyProtection="0"/>
    <xf numFmtId="0" fontId="94" fillId="0" borderId="0">
      <alignment horizontal="center" wrapText="1"/>
      <protection locked="0"/>
    </xf>
    <xf numFmtId="203" fontId="95" fillId="7" borderId="0" applyNumberFormat="0" applyBorder="0" applyAlignment="0" applyProtection="0"/>
    <xf numFmtId="203" fontId="96" fillId="30" borderId="16" applyNumberFormat="0" applyAlignment="0" applyProtection="0"/>
    <xf numFmtId="203" fontId="97" fillId="31" borderId="17" applyNumberFormat="0" applyAlignment="0" applyProtection="0"/>
    <xf numFmtId="0" fontId="98" fillId="0" borderId="0" applyNumberFormat="0" applyAlignment="0">
      <alignment horizontal="left"/>
    </xf>
    <xf numFmtId="0" fontId="36" fillId="0" borderId="0" applyNumberFormat="0" applyAlignment="0"/>
    <xf numFmtId="15" fontId="26" fillId="0" borderId="0"/>
    <xf numFmtId="0" fontId="99" fillId="0" borderId="0" applyNumberFormat="0" applyFill="0" applyBorder="0" applyAlignment="0" applyProtection="0"/>
    <xf numFmtId="0" fontId="100" fillId="0" borderId="0" applyNumberFormat="0" applyAlignment="0">
      <alignment horizontal="left"/>
    </xf>
    <xf numFmtId="203" fontId="101" fillId="0" borderId="0" applyNumberFormat="0" applyFill="0" applyBorder="0" applyAlignment="0" applyProtection="0"/>
    <xf numFmtId="203" fontId="102" fillId="8" borderId="0" applyNumberFormat="0" applyBorder="0" applyAlignment="0" applyProtection="0"/>
    <xf numFmtId="203" fontId="103" fillId="0" borderId="18" applyNumberFormat="0" applyFill="0" applyAlignment="0" applyProtection="0"/>
    <xf numFmtId="203" fontId="104" fillId="0" borderId="19" applyNumberFormat="0" applyFill="0" applyAlignment="0" applyProtection="0"/>
    <xf numFmtId="203" fontId="105" fillId="0" borderId="20" applyNumberFormat="0" applyFill="0" applyAlignment="0" applyProtection="0"/>
    <xf numFmtId="203" fontId="105" fillId="0" borderId="0" applyNumberFormat="0" applyFill="0" applyBorder="0" applyAlignment="0" applyProtection="0"/>
    <xf numFmtId="203" fontId="106" fillId="17" borderId="16" applyNumberFormat="0" applyAlignment="0" applyProtection="0"/>
    <xf numFmtId="219" fontId="2" fillId="32" borderId="0"/>
    <xf numFmtId="203" fontId="107" fillId="0" borderId="21" applyNumberFormat="0" applyFill="0" applyAlignment="0" applyProtection="0"/>
    <xf numFmtId="219" fontId="2" fillId="33" borderId="0"/>
    <xf numFmtId="220" fontId="2" fillId="0" borderId="0" applyFont="0" applyFill="0" applyBorder="0" applyAlignment="0" applyProtection="0"/>
    <xf numFmtId="221" fontId="2" fillId="0" borderId="0" applyFont="0" applyFill="0" applyBorder="0" applyAlignment="0" applyProtection="0"/>
    <xf numFmtId="222" fontId="2" fillId="0" borderId="0" applyFont="0" applyFill="0" applyBorder="0" applyAlignment="0" applyProtection="0"/>
    <xf numFmtId="186" fontId="2" fillId="0" borderId="0" applyFont="0" applyFill="0" applyBorder="0" applyAlignment="0" applyProtection="0"/>
    <xf numFmtId="203" fontId="108" fillId="34" borderId="0" applyNumberFormat="0" applyBorder="0" applyAlignment="0" applyProtection="0"/>
    <xf numFmtId="0" fontId="15" fillId="0" borderId="0"/>
    <xf numFmtId="0" fontId="14" fillId="0" borderId="0"/>
    <xf numFmtId="0" fontId="14" fillId="0" borderId="0"/>
    <xf numFmtId="0" fontId="2" fillId="0" borderId="0">
      <alignment vertical="center"/>
    </xf>
    <xf numFmtId="203" fontId="14" fillId="35" borderId="22" applyNumberFormat="0" applyFont="0" applyAlignment="0" applyProtection="0"/>
    <xf numFmtId="214" fontId="14" fillId="0" borderId="0" applyFont="0" applyFill="0" applyBorder="0" applyAlignment="0" applyProtection="0"/>
    <xf numFmtId="213" fontId="14" fillId="0" borderId="0" applyFont="0" applyFill="0" applyBorder="0" applyAlignment="0" applyProtection="0"/>
    <xf numFmtId="203" fontId="109" fillId="30" borderId="23" applyNumberFormat="0" applyAlignment="0" applyProtection="0"/>
    <xf numFmtId="14" fontId="94" fillId="0" borderId="0">
      <alignment horizontal="center" wrapText="1"/>
      <protection locked="0"/>
    </xf>
    <xf numFmtId="218" fontId="110" fillId="0" borderId="0"/>
    <xf numFmtId="0" fontId="26" fillId="0" borderId="0" applyNumberFormat="0" applyFont="0" applyFill="0" applyBorder="0" applyAlignment="0" applyProtection="0">
      <alignment horizontal="left"/>
    </xf>
    <xf numFmtId="223" fontId="2" fillId="0" borderId="0" applyNumberFormat="0" applyFill="0" applyBorder="0" applyAlignment="0" applyProtection="0">
      <alignment horizontal="left"/>
    </xf>
    <xf numFmtId="41" fontId="15" fillId="0" borderId="0" applyFont="0" applyFill="0" applyBorder="0" applyAlignment="0" applyProtection="0"/>
    <xf numFmtId="0" fontId="111" fillId="36" borderId="0">
      <alignment horizontal="left" vertical="center"/>
    </xf>
    <xf numFmtId="0" fontId="111" fillId="36" borderId="0">
      <alignment horizontal="right" vertical="center"/>
    </xf>
    <xf numFmtId="40" fontId="112" fillId="0" borderId="0" applyBorder="0">
      <alignment horizontal="right"/>
    </xf>
    <xf numFmtId="203" fontId="113" fillId="0" borderId="24" applyNumberFormat="0" applyFill="0" applyAlignment="0" applyProtection="0"/>
    <xf numFmtId="203" fontId="114" fillId="0" borderId="0" applyNumberFormat="0" applyFill="0" applyBorder="0" applyAlignment="0" applyProtection="0"/>
    <xf numFmtId="0" fontId="6" fillId="0" borderId="0"/>
    <xf numFmtId="9" fontId="17" fillId="0" borderId="0" applyFont="0" applyFill="0" applyBorder="0" applyAlignment="0" applyProtection="0"/>
    <xf numFmtId="0" fontId="115" fillId="0" borderId="0" applyFont="0" applyFill="0" applyBorder="0" applyAlignment="0" applyProtection="0"/>
    <xf numFmtId="0" fontId="115" fillId="0" borderId="0" applyFont="0" applyFill="0" applyBorder="0" applyAlignment="0" applyProtection="0"/>
    <xf numFmtId="0" fontId="116" fillId="13" borderId="0" applyNumberFormat="0" applyBorder="0" applyAlignment="0" applyProtection="0">
      <alignment vertical="center"/>
    </xf>
    <xf numFmtId="0" fontId="117" fillId="15" borderId="0" applyNumberFormat="0" applyBorder="0" applyAlignment="0" applyProtection="0">
      <alignment vertical="center"/>
    </xf>
    <xf numFmtId="0" fontId="14" fillId="0" borderId="0"/>
    <xf numFmtId="0" fontId="49" fillId="0" borderId="0">
      <alignment vertical="center"/>
    </xf>
    <xf numFmtId="203" fontId="2" fillId="0" borderId="0">
      <protection locked="0"/>
    </xf>
    <xf numFmtId="0" fontId="2" fillId="0" borderId="0">
      <protection locked="0"/>
    </xf>
    <xf numFmtId="203" fontId="2" fillId="0" borderId="0"/>
    <xf numFmtId="0" fontId="49" fillId="0" borderId="0">
      <alignment vertical="center"/>
    </xf>
    <xf numFmtId="0" fontId="2" fillId="0" borderId="0" applyNumberFormat="0" applyFill="0" applyBorder="0" applyAlignment="0" applyProtection="0"/>
    <xf numFmtId="0" fontId="73" fillId="0" borderId="0">
      <alignment vertical="center"/>
    </xf>
    <xf numFmtId="203" fontId="52"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118" fillId="12" borderId="0" applyNumberFormat="0" applyBorder="0" applyAlignment="0" applyProtection="0">
      <alignment vertical="center"/>
    </xf>
    <xf numFmtId="0" fontId="53" fillId="16" borderId="0" applyNumberFormat="0" applyBorder="0" applyAlignment="0" applyProtection="0">
      <alignment vertical="center"/>
    </xf>
    <xf numFmtId="204" fontId="14" fillId="0" borderId="0" applyFont="0" applyFill="0" applyBorder="0" applyAlignment="0" applyProtection="0"/>
    <xf numFmtId="224" fontId="14" fillId="0" borderId="0" applyFont="0" applyFill="0" applyBorder="0" applyAlignment="0" applyProtection="0"/>
    <xf numFmtId="225" fontId="119" fillId="0" borderId="0" applyFont="0" applyFill="0" applyBorder="0" applyAlignment="0" applyProtection="0"/>
    <xf numFmtId="226" fontId="119" fillId="0" borderId="0" applyFont="0" applyFill="0" applyBorder="0" applyAlignment="0" applyProtection="0"/>
    <xf numFmtId="43" fontId="2" fillId="0" borderId="0" applyFont="0" applyFill="0" applyBorder="0" applyAlignment="0" applyProtection="0">
      <alignment vertical="center"/>
    </xf>
    <xf numFmtId="41" fontId="2" fillId="0" borderId="0" applyFont="0" applyFill="0" applyBorder="0" applyAlignment="0" applyProtection="0"/>
    <xf numFmtId="0" fontId="120" fillId="0" borderId="0"/>
    <xf numFmtId="0" fontId="121" fillId="0" borderId="0"/>
    <xf numFmtId="40" fontId="115" fillId="0" borderId="0" applyFont="0" applyFill="0" applyBorder="0" applyAlignment="0" applyProtection="0"/>
    <xf numFmtId="38" fontId="115" fillId="0" borderId="0" applyFont="0" applyFill="0" applyBorder="0" applyAlignment="0" applyProtection="0"/>
    <xf numFmtId="214" fontId="14" fillId="0" borderId="5" applyNumberFormat="0"/>
    <xf numFmtId="0" fontId="2" fillId="0" borderId="0" applyFill="0" applyBorder="0"/>
    <xf numFmtId="0" fontId="15" fillId="0" borderId="0">
      <protection locked="0"/>
    </xf>
    <xf numFmtId="0" fontId="16" fillId="0" borderId="0">
      <alignment vertical="top"/>
      <protection locked="0"/>
    </xf>
    <xf numFmtId="0" fontId="2" fillId="0" borderId="0"/>
    <xf numFmtId="0" fontId="16" fillId="0" borderId="0">
      <alignment vertical="top"/>
      <protection locked="0"/>
    </xf>
    <xf numFmtId="203" fontId="2" fillId="0" borderId="0">
      <alignment vertical="center"/>
    </xf>
    <xf numFmtId="203" fontId="2" fillId="0" borderId="0">
      <alignment vertical="center"/>
      <protection locked="0"/>
    </xf>
    <xf numFmtId="203" fontId="2" fillId="0" borderId="0">
      <alignment vertical="center"/>
    </xf>
    <xf numFmtId="0" fontId="128" fillId="22" borderId="0" applyNumberFormat="0" applyBorder="0" applyAlignment="0" applyProtection="0">
      <alignment vertical="center"/>
    </xf>
    <xf numFmtId="9" fontId="2" fillId="0" borderId="0" applyFont="0" applyFill="0" applyBorder="0" applyAlignment="0" applyProtection="0"/>
    <xf numFmtId="9" fontId="73" fillId="0" borderId="0" applyFont="0" applyFill="0" applyBorder="0" applyAlignment="0" applyProtection="0">
      <alignment vertical="center"/>
    </xf>
    <xf numFmtId="9" fontId="73" fillId="0" borderId="0" applyFont="0" applyFill="0" applyBorder="0" applyAlignment="0" applyProtection="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2" fillId="0" borderId="0">
      <alignment vertical="center"/>
    </xf>
    <xf numFmtId="0" fontId="2" fillId="0" borderId="0">
      <alignment vertical="center"/>
    </xf>
    <xf numFmtId="0" fontId="2"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2" fillId="0" borderId="0"/>
    <xf numFmtId="0" fontId="2" fillId="0" borderId="0"/>
    <xf numFmtId="0" fontId="2" fillId="0" borderId="0">
      <protection locked="0"/>
    </xf>
    <xf numFmtId="0" fontId="2" fillId="0" borderId="0">
      <protection locked="0"/>
    </xf>
    <xf numFmtId="0" fontId="129" fillId="0" borderId="0"/>
    <xf numFmtId="0" fontId="2" fillId="0" borderId="0"/>
    <xf numFmtId="0" fontId="73" fillId="0" borderId="0">
      <alignment vertical="center"/>
    </xf>
    <xf numFmtId="203" fontId="2" fillId="0" borderId="0">
      <protection locked="0"/>
    </xf>
    <xf numFmtId="0" fontId="2" fillId="0" borderId="0">
      <alignment vertical="center"/>
    </xf>
    <xf numFmtId="0" fontId="50" fillId="0" borderId="0" applyNumberFormat="0" applyBorder="0" applyProtection="0">
      <alignment vertical="center"/>
    </xf>
    <xf numFmtId="0" fontId="2" fillId="0" borderId="0">
      <alignment vertical="center"/>
    </xf>
    <xf numFmtId="0" fontId="2" fillId="0" borderId="0">
      <alignment vertical="center"/>
    </xf>
    <xf numFmtId="203" fontId="2" fillId="0" borderId="0"/>
    <xf numFmtId="203" fontId="49" fillId="0" borderId="0">
      <alignment vertical="center"/>
    </xf>
    <xf numFmtId="0" fontId="2" fillId="0" borderId="0">
      <alignment vertical="center"/>
    </xf>
    <xf numFmtId="0" fontId="2" fillId="0" borderId="0">
      <alignment vertical="center"/>
    </xf>
    <xf numFmtId="0" fontId="49" fillId="0" borderId="0">
      <alignment vertical="center"/>
    </xf>
    <xf numFmtId="0" fontId="73" fillId="0" borderId="0">
      <alignment vertical="center"/>
    </xf>
    <xf numFmtId="0" fontId="2" fillId="0" borderId="0">
      <protection locked="0"/>
    </xf>
    <xf numFmtId="0" fontId="73"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43" fontId="2" fillId="0" borderId="0" applyFont="0" applyFill="0" applyBorder="0" applyAlignment="0" applyProtection="0">
      <alignment vertical="center"/>
    </xf>
    <xf numFmtId="43" fontId="73"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73" fillId="0" borderId="0" applyFont="0" applyFill="0" applyBorder="0" applyAlignment="0" applyProtection="0">
      <alignment vertical="center"/>
    </xf>
    <xf numFmtId="203" fontId="2" fillId="0" borderId="0">
      <alignment vertical="center"/>
      <protection locked="0"/>
    </xf>
    <xf numFmtId="203" fontId="2" fillId="0" borderId="0">
      <protection locked="0"/>
    </xf>
    <xf numFmtId="203" fontId="2" fillId="0" borderId="0"/>
    <xf numFmtId="203" fontId="1" fillId="0" borderId="0"/>
    <xf numFmtId="43" fontId="2" fillId="0" borderId="0" applyFont="0" applyFill="0" applyBorder="0" applyAlignment="0" applyProtection="0">
      <alignment vertical="center"/>
    </xf>
    <xf numFmtId="203" fontId="73" fillId="0" borderId="0">
      <alignment vertical="center"/>
    </xf>
    <xf numFmtId="9" fontId="73" fillId="0" borderId="0" applyFont="0" applyFill="0" applyBorder="0" applyAlignment="0" applyProtection="0">
      <alignment vertical="center"/>
    </xf>
    <xf numFmtId="203" fontId="73" fillId="0" borderId="0">
      <alignment vertical="center"/>
    </xf>
  </cellStyleXfs>
  <cellXfs count="501">
    <xf numFmtId="0" fontId="0" fillId="0" borderId="0" xfId="0">
      <alignment vertical="center"/>
    </xf>
    <xf numFmtId="0" fontId="6" fillId="0" borderId="0" xfId="2" applyFont="1" applyAlignment="1">
      <alignment horizontal="justify" vertical="center" wrapText="1"/>
    </xf>
    <xf numFmtId="0" fontId="6" fillId="0" borderId="0" xfId="2" applyFont="1">
      <alignment vertical="center"/>
    </xf>
    <xf numFmtId="0" fontId="5" fillId="0" borderId="0" xfId="164" applyFont="1" applyAlignment="1">
      <alignment vertical="center"/>
      <protection locked="0"/>
    </xf>
    <xf numFmtId="0" fontId="11" fillId="0" borderId="0" xfId="164" applyFont="1" applyAlignment="1">
      <alignment vertical="center"/>
      <protection locked="0"/>
    </xf>
    <xf numFmtId="0" fontId="6" fillId="0" borderId="0" xfId="164" applyFont="1" applyAlignment="1">
      <alignment vertical="center"/>
      <protection locked="0"/>
    </xf>
    <xf numFmtId="0" fontId="57" fillId="0" borderId="0" xfId="164" applyFont="1" applyAlignment="1">
      <alignment vertical="center"/>
      <protection locked="0"/>
    </xf>
    <xf numFmtId="0" fontId="57" fillId="0" borderId="0" xfId="164" applyFont="1">
      <protection locked="0"/>
    </xf>
    <xf numFmtId="0" fontId="57" fillId="0" borderId="0" xfId="164" applyFont="1" applyAlignment="1">
      <alignment horizontal="right"/>
      <protection locked="0"/>
    </xf>
    <xf numFmtId="0" fontId="63" fillId="0" borderId="0" xfId="0" applyFont="1" applyProtection="1">
      <alignment vertical="center"/>
      <protection locked="0"/>
    </xf>
    <xf numFmtId="0" fontId="0" fillId="0" borderId="0" xfId="0" applyProtection="1">
      <alignment vertical="center"/>
      <protection locked="0"/>
    </xf>
    <xf numFmtId="0" fontId="65" fillId="0" borderId="0" xfId="0" applyFont="1" applyAlignment="1" applyProtection="1">
      <alignment horizontal="left" vertical="center"/>
      <protection locked="0"/>
    </xf>
    <xf numFmtId="0" fontId="10" fillId="0" borderId="0" xfId="0" applyFont="1" applyAlignment="1" applyProtection="1">
      <alignment horizontal="justify" vertical="center"/>
      <protection locked="0"/>
    </xf>
    <xf numFmtId="0" fontId="13" fillId="0" borderId="0" xfId="164" applyFont="1" applyAlignment="1">
      <alignment horizontal="right"/>
      <protection locked="0"/>
    </xf>
    <xf numFmtId="0" fontId="6" fillId="0" borderId="0" xfId="164" applyFont="1" applyAlignment="1">
      <alignment horizontal="center" vertical="center"/>
      <protection locked="0"/>
    </xf>
    <xf numFmtId="0" fontId="3" fillId="0" borderId="0" xfId="2" applyFont="1" applyAlignment="1">
      <alignment horizontal="left" vertical="center"/>
    </xf>
    <xf numFmtId="0" fontId="11" fillId="0" borderId="0" xfId="2" applyFont="1">
      <alignment vertical="center"/>
    </xf>
    <xf numFmtId="0" fontId="6" fillId="0" borderId="0" xfId="2" applyFont="1" applyAlignment="1">
      <alignment horizontal="center" vertical="center"/>
    </xf>
    <xf numFmtId="0" fontId="10" fillId="0" borderId="0" xfId="164" applyFont="1" applyAlignment="1">
      <alignment vertical="center"/>
      <protection locked="0"/>
    </xf>
    <xf numFmtId="0" fontId="10" fillId="0" borderId="0" xfId="0" applyFont="1" applyProtection="1">
      <alignment vertical="center"/>
      <protection locked="0"/>
    </xf>
    <xf numFmtId="0" fontId="74" fillId="0" borderId="0" xfId="0" applyFont="1">
      <alignment vertical="center"/>
    </xf>
    <xf numFmtId="0" fontId="74" fillId="0" borderId="1" xfId="0" applyFont="1" applyBorder="1">
      <alignment vertical="center"/>
    </xf>
    <xf numFmtId="0" fontId="74" fillId="0" borderId="0" xfId="0" applyFont="1" applyAlignment="1">
      <alignment horizontal="center" vertical="center"/>
    </xf>
    <xf numFmtId="0" fontId="76" fillId="10" borderId="1" xfId="0" applyFont="1" applyFill="1" applyBorder="1" applyAlignment="1">
      <alignment horizontal="center" vertical="center" wrapText="1"/>
    </xf>
    <xf numFmtId="0" fontId="75" fillId="0" borderId="0" xfId="0" applyFont="1">
      <alignment vertical="center"/>
    </xf>
    <xf numFmtId="0" fontId="76" fillId="0" borderId="0" xfId="0" applyFont="1">
      <alignment vertical="center"/>
    </xf>
    <xf numFmtId="0" fontId="77" fillId="0" borderId="0" xfId="0" applyFont="1">
      <alignment vertical="center"/>
    </xf>
    <xf numFmtId="0" fontId="74" fillId="0" borderId="12" xfId="0" applyFont="1" applyBorder="1">
      <alignment vertical="center"/>
    </xf>
    <xf numFmtId="0" fontId="74" fillId="0" borderId="14" xfId="0" applyFont="1" applyBorder="1">
      <alignment vertical="center"/>
    </xf>
    <xf numFmtId="0" fontId="76" fillId="10" borderId="1" xfId="0" applyFont="1" applyFill="1" applyBorder="1" applyAlignment="1">
      <alignment vertical="center" wrapText="1"/>
    </xf>
    <xf numFmtId="0" fontId="77" fillId="10" borderId="1" xfId="0" applyFont="1" applyFill="1" applyBorder="1" applyAlignment="1">
      <alignment horizontal="center" vertical="center" wrapText="1"/>
    </xf>
    <xf numFmtId="0" fontId="6" fillId="0" borderId="0" xfId="193" applyFont="1" applyAlignment="1">
      <alignment vertical="center"/>
      <protection locked="0"/>
    </xf>
    <xf numFmtId="0" fontId="6" fillId="0" borderId="0" xfId="193" applyFont="1" applyAlignment="1">
      <alignment horizontal="left" vertical="center"/>
      <protection locked="0"/>
    </xf>
    <xf numFmtId="0" fontId="57" fillId="0" borderId="0" xfId="193" applyFont="1">
      <protection locked="0"/>
    </xf>
    <xf numFmtId="0" fontId="57" fillId="0" borderId="0" xfId="193" applyFont="1" applyAlignment="1">
      <alignment vertical="center"/>
      <protection locked="0"/>
    </xf>
    <xf numFmtId="0" fontId="57" fillId="0" borderId="0" xfId="193" applyFont="1" applyAlignment="1">
      <alignment horizontal="right"/>
      <protection locked="0"/>
    </xf>
    <xf numFmtId="0" fontId="14" fillId="0" borderId="0" xfId="0" applyFont="1" applyProtection="1">
      <alignment vertical="center"/>
      <protection locked="0"/>
    </xf>
    <xf numFmtId="0" fontId="2" fillId="0" borderId="0" xfId="0" applyFont="1" applyAlignment="1" applyProtection="1">
      <alignment horizontal="left" vertical="center"/>
      <protection locked="0"/>
    </xf>
    <xf numFmtId="0" fontId="65" fillId="0" borderId="0" xfId="164" applyFont="1" applyAlignment="1">
      <alignment vertical="center"/>
      <protection locked="0"/>
    </xf>
    <xf numFmtId="0" fontId="65" fillId="0" borderId="0" xfId="0" applyFont="1" applyProtection="1">
      <alignment vertical="center"/>
      <protection locked="0"/>
    </xf>
    <xf numFmtId="0" fontId="9" fillId="0" borderId="8" xfId="0" applyFont="1" applyBorder="1" applyAlignment="1" applyProtection="1">
      <alignment horizontal="justify" vertical="center" wrapText="1"/>
      <protection locked="0"/>
    </xf>
    <xf numFmtId="43" fontId="10" fillId="0" borderId="0" xfId="0" applyNumberFormat="1" applyFont="1" applyProtection="1">
      <alignment vertical="center"/>
      <protection locked="0"/>
    </xf>
    <xf numFmtId="43" fontId="10" fillId="0" borderId="8" xfId="0" applyNumberFormat="1" applyFont="1" applyBorder="1" applyProtection="1">
      <alignment vertical="center"/>
      <protection locked="0"/>
    </xf>
    <xf numFmtId="43" fontId="9" fillId="0" borderId="8" xfId="0" applyNumberFormat="1" applyFont="1" applyBorder="1" applyProtection="1">
      <alignment vertical="center"/>
      <protection locked="0"/>
    </xf>
    <xf numFmtId="43" fontId="6" fillId="0" borderId="0" xfId="332" applyNumberFormat="1" applyFont="1" applyBorder="1" applyAlignment="1">
      <alignment vertical="center"/>
    </xf>
    <xf numFmtId="43" fontId="6" fillId="0" borderId="0" xfId="332" applyNumberFormat="1" applyFont="1" applyBorder="1" applyAlignment="1">
      <alignment horizontal="left" vertical="center"/>
    </xf>
    <xf numFmtId="203" fontId="5" fillId="10" borderId="1" xfId="313" applyFont="1" applyFill="1" applyBorder="1" applyAlignment="1" applyProtection="1">
      <alignment horizontal="center" vertical="center" wrapText="1"/>
      <protection locked="0"/>
    </xf>
    <xf numFmtId="203" fontId="5" fillId="10" borderId="1" xfId="195" applyNumberFormat="1" applyFont="1" applyFill="1" applyBorder="1" applyAlignment="1">
      <alignment horizontal="center" vertical="center"/>
      <protection locked="0"/>
    </xf>
    <xf numFmtId="203" fontId="60" fillId="10" borderId="1" xfId="195" applyNumberFormat="1" applyFont="1" applyFill="1" applyBorder="1" applyAlignment="1">
      <alignment horizontal="center" vertical="center" wrapText="1"/>
      <protection locked="0"/>
    </xf>
    <xf numFmtId="0" fontId="59" fillId="10" borderId="1" xfId="197" applyFont="1" applyFill="1" applyBorder="1" applyAlignment="1" applyProtection="1">
      <alignment vertical="center"/>
    </xf>
    <xf numFmtId="43" fontId="86" fillId="10" borderId="1" xfId="194" applyFont="1" applyFill="1" applyBorder="1" applyAlignment="1">
      <alignment horizontal="right" vertical="center"/>
    </xf>
    <xf numFmtId="43" fontId="6" fillId="10" borderId="1" xfId="194" applyFont="1" applyFill="1" applyBorder="1" applyAlignment="1">
      <alignment horizontal="right" vertical="center" wrapText="1"/>
    </xf>
    <xf numFmtId="10" fontId="6" fillId="10" borderId="1" xfId="159" applyNumberFormat="1" applyFont="1" applyFill="1" applyBorder="1" applyAlignment="1">
      <alignment horizontal="right" vertical="center" wrapText="1"/>
    </xf>
    <xf numFmtId="43" fontId="5" fillId="0" borderId="0" xfId="332" applyNumberFormat="1" applyFont="1" applyBorder="1" applyAlignment="1">
      <alignment vertical="center"/>
    </xf>
    <xf numFmtId="0" fontId="62" fillId="0" borderId="1" xfId="197" applyFont="1" applyBorder="1" applyAlignment="1" applyProtection="1">
      <alignment vertical="center"/>
    </xf>
    <xf numFmtId="43" fontId="86" fillId="0" borderId="1" xfId="194" applyFont="1" applyFill="1" applyBorder="1" applyAlignment="1">
      <alignment horizontal="right" vertical="center"/>
    </xf>
    <xf numFmtId="43" fontId="5" fillId="0" borderId="0" xfId="332" applyNumberFormat="1" applyFont="1" applyFill="1" applyBorder="1" applyAlignment="1">
      <alignment vertical="center"/>
    </xf>
    <xf numFmtId="0" fontId="6" fillId="0" borderId="0" xfId="189" applyFont="1" applyAlignment="1">
      <alignment vertical="center"/>
    </xf>
    <xf numFmtId="10" fontId="123" fillId="0" borderId="0" xfId="159" applyNumberFormat="1" applyFont="1" applyBorder="1" applyAlignment="1">
      <alignment horizontal="left" vertical="center"/>
    </xf>
    <xf numFmtId="43" fontId="6" fillId="0" borderId="0" xfId="332" applyNumberFormat="1" applyFont="1" applyFill="1" applyBorder="1" applyAlignment="1">
      <alignment vertical="center"/>
    </xf>
    <xf numFmtId="0" fontId="6" fillId="0" borderId="0" xfId="189" applyFont="1" applyAlignment="1">
      <alignment horizontal="left" vertical="center"/>
    </xf>
    <xf numFmtId="0" fontId="5" fillId="0" borderId="0" xfId="189" applyFont="1" applyAlignment="1">
      <alignment vertical="center"/>
    </xf>
    <xf numFmtId="0" fontId="62" fillId="0" borderId="1" xfId="197" applyFont="1" applyBorder="1" applyAlignment="1" applyProtection="1">
      <alignment vertical="center" wrapText="1"/>
    </xf>
    <xf numFmtId="43" fontId="3" fillId="0" borderId="0" xfId="332" applyNumberFormat="1" applyFont="1" applyBorder="1" applyAlignment="1">
      <alignment vertical="center"/>
    </xf>
    <xf numFmtId="0" fontId="6" fillId="0" borderId="0" xfId="333" applyFont="1">
      <protection locked="0"/>
    </xf>
    <xf numFmtId="0" fontId="3" fillId="10" borderId="1" xfId="197" applyFont="1" applyFill="1" applyBorder="1" applyAlignment="1">
      <alignment horizontal="center" vertical="center" wrapText="1"/>
      <protection locked="0"/>
    </xf>
    <xf numFmtId="0" fontId="5" fillId="0" borderId="0" xfId="333" applyFont="1">
      <protection locked="0"/>
    </xf>
    <xf numFmtId="0" fontId="6" fillId="11" borderId="0" xfId="333" applyFont="1" applyFill="1">
      <protection locked="0"/>
    </xf>
    <xf numFmtId="0" fontId="11" fillId="0" borderId="0" xfId="193" applyFont="1" applyAlignment="1">
      <alignment horizontal="left" vertical="center"/>
      <protection locked="0"/>
    </xf>
    <xf numFmtId="0" fontId="3" fillId="0" borderId="0" xfId="193" applyFont="1" applyAlignment="1">
      <alignment vertical="center"/>
      <protection locked="0"/>
    </xf>
    <xf numFmtId="0" fontId="5" fillId="0" borderId="0" xfId="193" applyFont="1" applyAlignment="1">
      <alignment vertical="center"/>
      <protection locked="0"/>
    </xf>
    <xf numFmtId="43" fontId="6" fillId="0" borderId="1" xfId="197" applyNumberFormat="1" applyFont="1" applyBorder="1" applyAlignment="1" applyProtection="1">
      <alignment horizontal="right" vertical="center" shrinkToFit="1"/>
    </xf>
    <xf numFmtId="0" fontId="6" fillId="0" borderId="0" xfId="193" applyFont="1" applyAlignment="1">
      <alignment horizontal="center" vertical="center"/>
      <protection locked="0"/>
    </xf>
    <xf numFmtId="0" fontId="6" fillId="0" borderId="0" xfId="164" applyFont="1" applyAlignment="1">
      <alignment horizontal="left" vertical="center" indent="1"/>
      <protection locked="0"/>
    </xf>
    <xf numFmtId="0" fontId="11" fillId="0" borderId="0" xfId="193" applyFont="1" applyAlignment="1">
      <alignment vertical="center"/>
      <protection locked="0"/>
    </xf>
    <xf numFmtId="0" fontId="58" fillId="0" borderId="0" xfId="193" applyFont="1" applyAlignment="1">
      <alignment vertical="center"/>
      <protection locked="0"/>
    </xf>
    <xf numFmtId="0" fontId="12" fillId="0" borderId="0" xfId="193" applyFont="1" applyAlignment="1">
      <alignment horizontal="right"/>
      <protection locked="0"/>
    </xf>
    <xf numFmtId="0" fontId="58" fillId="0" borderId="0" xfId="193" applyFont="1">
      <protection locked="0"/>
    </xf>
    <xf numFmtId="43" fontId="6" fillId="0" borderId="3" xfId="192" applyFont="1" applyBorder="1" applyAlignment="1" applyProtection="1">
      <alignment vertical="center"/>
      <protection locked="0"/>
    </xf>
    <xf numFmtId="0" fontId="6" fillId="0" borderId="0" xfId="196" applyFont="1" applyAlignment="1" applyProtection="1">
      <alignment vertical="center"/>
      <protection locked="0"/>
    </xf>
    <xf numFmtId="0" fontId="5" fillId="0" borderId="0" xfId="196" applyFont="1" applyAlignment="1">
      <alignment vertical="center"/>
    </xf>
    <xf numFmtId="0" fontId="57" fillId="0" borderId="0" xfId="196" applyFont="1" applyAlignment="1" applyProtection="1">
      <alignment horizontal="center" vertical="center"/>
      <protection hidden="1"/>
    </xf>
    <xf numFmtId="0" fontId="6" fillId="0" borderId="0" xfId="196" applyFont="1" applyAlignment="1" applyProtection="1">
      <alignment horizontal="left" vertical="center"/>
      <protection hidden="1"/>
    </xf>
    <xf numFmtId="0" fontId="57" fillId="0" borderId="0" xfId="196" applyFont="1" applyAlignment="1" applyProtection="1">
      <alignment horizontal="left" vertical="center"/>
      <protection locked="0"/>
    </xf>
    <xf numFmtId="0" fontId="5" fillId="0" borderId="0" xfId="193" applyFont="1" applyAlignment="1">
      <alignment horizontal="left" vertical="center"/>
      <protection locked="0"/>
    </xf>
    <xf numFmtId="0" fontId="72" fillId="0" borderId="0" xfId="193" applyFont="1" applyAlignment="1">
      <alignment vertical="center"/>
      <protection locked="0"/>
    </xf>
    <xf numFmtId="0" fontId="13" fillId="0" borderId="0" xfId="193" applyFont="1" applyAlignment="1">
      <alignment horizontal="left"/>
      <protection locked="0"/>
    </xf>
    <xf numFmtId="49" fontId="57" fillId="0" borderId="0" xfId="193" applyNumberFormat="1" applyFont="1" applyAlignment="1">
      <alignment horizontal="right" vertical="center"/>
      <protection locked="0"/>
    </xf>
    <xf numFmtId="43" fontId="13" fillId="0" borderId="0" xfId="332" applyNumberFormat="1" applyFont="1" applyBorder="1" applyAlignment="1">
      <alignment vertical="center"/>
    </xf>
    <xf numFmtId="43" fontId="57" fillId="0" borderId="0" xfId="332" applyNumberFormat="1" applyFont="1" applyBorder="1" applyAlignment="1">
      <alignment vertical="center"/>
    </xf>
    <xf numFmtId="0" fontId="57" fillId="0" borderId="0" xfId="193" applyFont="1" applyAlignment="1">
      <alignment horizontal="right" vertical="center"/>
      <protection locked="0"/>
    </xf>
    <xf numFmtId="0" fontId="13" fillId="0" borderId="0" xfId="193" applyFont="1" applyAlignment="1">
      <alignment vertical="center"/>
      <protection locked="0"/>
    </xf>
    <xf numFmtId="0" fontId="13" fillId="0" borderId="0" xfId="193" applyFont="1" applyAlignment="1">
      <alignment horizontal="center" vertical="center" wrapText="1"/>
      <protection locked="0"/>
    </xf>
    <xf numFmtId="0" fontId="57" fillId="0" borderId="0" xfId="193" applyFont="1" applyAlignment="1">
      <alignment horizontal="center" wrapText="1"/>
      <protection locked="0"/>
    </xf>
    <xf numFmtId="0" fontId="56" fillId="0" borderId="0" xfId="164" applyFont="1" applyAlignment="1">
      <alignment vertical="center"/>
      <protection locked="0"/>
    </xf>
    <xf numFmtId="43" fontId="122" fillId="0" borderId="0" xfId="168" applyNumberFormat="1" applyFont="1" applyBorder="1" applyAlignment="1" applyProtection="1">
      <alignment horizontal="center" vertical="center"/>
    </xf>
    <xf numFmtId="0" fontId="6" fillId="0" borderId="11" xfId="189" applyFont="1" applyBorder="1" applyAlignment="1">
      <alignment vertical="center"/>
    </xf>
    <xf numFmtId="0" fontId="75" fillId="0" borderId="0" xfId="0" applyFont="1" applyAlignment="1">
      <alignment horizontal="left" vertical="center" indent="1"/>
    </xf>
    <xf numFmtId="0" fontId="74" fillId="0" borderId="0" xfId="0" applyFont="1" applyAlignment="1">
      <alignment horizontal="left" vertical="center" indent="1"/>
    </xf>
    <xf numFmtId="0" fontId="75" fillId="10" borderId="1" xfId="0" applyFont="1" applyFill="1" applyBorder="1" applyAlignment="1">
      <alignment horizontal="center" vertical="center" wrapText="1"/>
    </xf>
    <xf numFmtId="0" fontId="6" fillId="0" borderId="0" xfId="3" applyFont="1">
      <alignment vertical="center"/>
    </xf>
    <xf numFmtId="0" fontId="3" fillId="0" borderId="0" xfId="166" applyFont="1" applyAlignment="1">
      <alignment vertical="center"/>
    </xf>
    <xf numFmtId="0" fontId="5" fillId="10" borderId="1" xfId="162" applyFont="1" applyFill="1" applyBorder="1" applyAlignment="1" applyProtection="1">
      <alignment horizontal="center" vertical="center"/>
      <protection locked="0"/>
    </xf>
    <xf numFmtId="0" fontId="6" fillId="0" borderId="1" xfId="162" applyFont="1" applyBorder="1" applyAlignment="1" applyProtection="1">
      <alignment horizontal="center" vertical="center"/>
      <protection locked="0"/>
    </xf>
    <xf numFmtId="0" fontId="6" fillId="0" borderId="12" xfId="162" applyFont="1" applyBorder="1" applyProtection="1">
      <alignment vertical="center"/>
      <protection locked="0"/>
    </xf>
    <xf numFmtId="0" fontId="78" fillId="10" borderId="1" xfId="0" applyFont="1" applyFill="1" applyBorder="1" applyAlignment="1" applyProtection="1">
      <alignment horizontal="center" vertical="center" wrapText="1"/>
      <protection locked="0"/>
    </xf>
    <xf numFmtId="43" fontId="81" fillId="0" borderId="1" xfId="0" applyNumberFormat="1" applyFont="1" applyBorder="1" applyAlignment="1" applyProtection="1">
      <alignment horizontal="right" vertical="center" shrinkToFit="1"/>
      <protection locked="0"/>
    </xf>
    <xf numFmtId="0" fontId="83" fillId="0" borderId="0" xfId="166" applyFont="1" applyAlignment="1">
      <alignment vertical="center"/>
    </xf>
    <xf numFmtId="0" fontId="5" fillId="0" borderId="0" xfId="166" applyFont="1" applyAlignment="1">
      <alignment vertical="center"/>
    </xf>
    <xf numFmtId="0" fontId="5" fillId="0" borderId="0" xfId="166" applyFont="1" applyAlignment="1">
      <alignment horizontal="right" vertical="center"/>
    </xf>
    <xf numFmtId="0" fontId="5" fillId="0" borderId="0" xfId="166" applyFont="1" applyAlignment="1">
      <alignment horizontal="center" vertical="center"/>
    </xf>
    <xf numFmtId="0" fontId="6" fillId="0" borderId="0" xfId="166" applyFont="1" applyAlignment="1">
      <alignment vertical="center"/>
    </xf>
    <xf numFmtId="0" fontId="6" fillId="0" borderId="3" xfId="166" applyFont="1" applyBorder="1" applyAlignment="1">
      <alignment vertical="center"/>
    </xf>
    <xf numFmtId="0" fontId="6" fillId="0" borderId="7" xfId="166" applyFont="1" applyBorder="1" applyAlignment="1">
      <alignment vertical="center"/>
    </xf>
    <xf numFmtId="0" fontId="6" fillId="0" borderId="0" xfId="166" quotePrefix="1" applyFont="1" applyAlignment="1">
      <alignment vertical="center"/>
    </xf>
    <xf numFmtId="0" fontId="72" fillId="0" borderId="0" xfId="166" applyFont="1" applyAlignment="1">
      <alignment vertical="center"/>
    </xf>
    <xf numFmtId="0" fontId="126" fillId="0" borderId="0" xfId="166" applyFont="1" applyAlignment="1">
      <alignment vertical="center" wrapText="1"/>
    </xf>
    <xf numFmtId="0" fontId="84" fillId="0" borderId="0" xfId="166" applyFont="1" applyAlignment="1">
      <alignment vertical="center"/>
    </xf>
    <xf numFmtId="0" fontId="57" fillId="0" borderId="0" xfId="166" applyFont="1" applyAlignment="1">
      <alignment vertical="center"/>
    </xf>
    <xf numFmtId="0" fontId="85" fillId="0" borderId="0" xfId="166" applyFont="1" applyAlignment="1">
      <alignment vertical="center"/>
    </xf>
    <xf numFmtId="0" fontId="5" fillId="10" borderId="12" xfId="162" applyFont="1" applyFill="1" applyBorder="1" applyAlignment="1" applyProtection="1">
      <alignment horizontal="center" vertical="center"/>
      <protection locked="0"/>
    </xf>
    <xf numFmtId="0" fontId="74" fillId="0" borderId="1" xfId="0" applyFont="1" applyBorder="1" applyAlignment="1">
      <alignment vertical="center" wrapText="1"/>
    </xf>
    <xf numFmtId="0" fontId="7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10" borderId="13" xfId="197" applyFont="1" applyFill="1" applyBorder="1" applyAlignment="1">
      <alignment horizontal="center" vertical="center" wrapText="1"/>
      <protection locked="0"/>
    </xf>
    <xf numFmtId="43" fontId="6" fillId="37" borderId="0" xfId="390" applyFont="1" applyFill="1" applyBorder="1" applyAlignment="1">
      <alignment horizontal="right" vertical="center" wrapText="1"/>
    </xf>
    <xf numFmtId="10" fontId="6" fillId="37" borderId="0" xfId="341" applyNumberFormat="1" applyFont="1" applyFill="1" applyBorder="1" applyAlignment="1">
      <alignment horizontal="right" vertical="center" wrapText="1"/>
    </xf>
    <xf numFmtId="0" fontId="10" fillId="37" borderId="0" xfId="0" applyFont="1" applyFill="1" applyAlignment="1" applyProtection="1">
      <protection locked="0"/>
    </xf>
    <xf numFmtId="10" fontId="6" fillId="0" borderId="1" xfId="333" applyNumberFormat="1" applyFont="1" applyBorder="1" applyAlignment="1">
      <alignment vertical="center"/>
      <protection locked="0"/>
    </xf>
    <xf numFmtId="14" fontId="6" fillId="0" borderId="1" xfId="197" applyNumberFormat="1" applyFont="1" applyBorder="1" applyAlignment="1" applyProtection="1">
      <alignment horizontal="center" vertical="center" shrinkToFit="1"/>
    </xf>
    <xf numFmtId="0" fontId="2" fillId="0" borderId="0" xfId="193">
      <protection locked="0"/>
    </xf>
    <xf numFmtId="203" fontId="3" fillId="10" borderId="1" xfId="313" applyFont="1" applyFill="1" applyBorder="1" applyAlignment="1" applyProtection="1">
      <alignment horizontal="center" vertical="center" wrapText="1"/>
      <protection locked="0"/>
    </xf>
    <xf numFmtId="203" fontId="131" fillId="10" borderId="1" xfId="313" applyFont="1" applyFill="1" applyBorder="1" applyAlignment="1" applyProtection="1">
      <alignment horizontal="center" vertical="center" wrapText="1"/>
      <protection locked="0"/>
    </xf>
    <xf numFmtId="0" fontId="62" fillId="0" borderId="1" xfId="193" applyFont="1" applyBorder="1" applyAlignment="1" applyProtection="1">
      <alignment vertical="center"/>
    </xf>
    <xf numFmtId="0" fontId="11" fillId="0" borderId="1" xfId="193" applyFont="1" applyBorder="1" applyAlignment="1" applyProtection="1">
      <alignment vertical="center"/>
    </xf>
    <xf numFmtId="0" fontId="90" fillId="0" borderId="1" xfId="193" applyFont="1" applyBorder="1" applyAlignment="1" applyProtection="1">
      <alignment horizontal="left" vertical="center" indent="1"/>
    </xf>
    <xf numFmtId="0" fontId="60" fillId="0" borderId="1" xfId="193" applyFont="1" applyBorder="1" applyAlignment="1" applyProtection="1">
      <alignment horizontal="center" vertical="center"/>
    </xf>
    <xf numFmtId="43" fontId="5" fillId="0" borderId="11" xfId="332" applyNumberFormat="1" applyFont="1" applyBorder="1" applyAlignment="1">
      <alignment horizontal="left" vertical="center"/>
    </xf>
    <xf numFmtId="43" fontId="6" fillId="0" borderId="11" xfId="332" applyNumberFormat="1" applyFont="1" applyBorder="1" applyAlignment="1">
      <alignment horizontal="left" vertical="center"/>
    </xf>
    <xf numFmtId="43" fontId="122" fillId="0" borderId="11" xfId="168" applyNumberFormat="1" applyFont="1" applyBorder="1" applyAlignment="1" applyProtection="1">
      <alignment horizontal="center" vertical="center"/>
    </xf>
    <xf numFmtId="9" fontId="123" fillId="0" borderId="0" xfId="341" applyFont="1" applyBorder="1" applyAlignment="1">
      <alignment horizontal="left" vertical="center"/>
    </xf>
    <xf numFmtId="10" fontId="123" fillId="0" borderId="0" xfId="341" applyNumberFormat="1" applyFont="1" applyBorder="1" applyAlignment="1">
      <alignment horizontal="left" vertical="center"/>
    </xf>
    <xf numFmtId="43" fontId="3" fillId="0" borderId="0" xfId="332" applyNumberFormat="1" applyFont="1" applyFill="1" applyBorder="1" applyAlignment="1">
      <alignment vertical="center"/>
    </xf>
    <xf numFmtId="0" fontId="2" fillId="0" borderId="0" xfId="0" applyFont="1">
      <alignment vertical="center"/>
    </xf>
    <xf numFmtId="0" fontId="10" fillId="0" borderId="0" xfId="0" applyFont="1">
      <alignment vertical="center"/>
    </xf>
    <xf numFmtId="0" fontId="132" fillId="0" borderId="0" xfId="0" applyFont="1" applyAlignment="1">
      <alignment horizontal="center" vertical="center"/>
    </xf>
    <xf numFmtId="0" fontId="10" fillId="0" borderId="0" xfId="0" applyFont="1" applyAlignment="1">
      <alignment horizontal="justify" vertical="center" wrapText="1"/>
    </xf>
    <xf numFmtId="0" fontId="10" fillId="0" borderId="8" xfId="0" applyFont="1" applyBorder="1" applyAlignment="1">
      <alignment horizontal="justify" vertical="center" wrapText="1"/>
    </xf>
    <xf numFmtId="0" fontId="71" fillId="0" borderId="0" xfId="0" applyFont="1">
      <alignment vertical="center"/>
    </xf>
    <xf numFmtId="43" fontId="17" fillId="0" borderId="0" xfId="192" applyFont="1">
      <alignment vertical="center"/>
    </xf>
    <xf numFmtId="43" fontId="134" fillId="0" borderId="0" xfId="0" applyNumberFormat="1" applyFont="1">
      <alignment vertical="center"/>
    </xf>
    <xf numFmtId="43" fontId="135" fillId="0" borderId="0" xfId="0" applyNumberFormat="1" applyFont="1" applyAlignment="1">
      <alignment horizontal="justify" vertical="center" wrapText="1"/>
    </xf>
    <xf numFmtId="43" fontId="68" fillId="0" borderId="0" xfId="0" applyNumberFormat="1" applyFont="1">
      <alignment vertical="center"/>
    </xf>
    <xf numFmtId="43" fontId="137" fillId="0" borderId="0" xfId="0" applyNumberFormat="1" applyFont="1" applyAlignment="1">
      <alignment horizontal="justify" vertical="center" wrapText="1"/>
    </xf>
    <xf numFmtId="43" fontId="137" fillId="0" borderId="8" xfId="0" applyNumberFormat="1" applyFont="1" applyBorder="1" applyAlignment="1">
      <alignment horizontal="justify" vertical="center" wrapText="1"/>
    </xf>
    <xf numFmtId="43" fontId="134" fillId="38" borderId="0" xfId="0" applyNumberFormat="1" applyFont="1" applyFill="1">
      <alignment vertical="center"/>
    </xf>
    <xf numFmtId="43" fontId="136" fillId="0" borderId="6" xfId="0" applyNumberFormat="1" applyFont="1" applyBorder="1" applyAlignment="1">
      <alignment horizontal="center" vertical="center" wrapText="1"/>
    </xf>
    <xf numFmtId="43" fontId="136" fillId="0" borderId="8" xfId="0" applyNumberFormat="1" applyFont="1" applyBorder="1" applyAlignment="1">
      <alignment horizontal="center" vertical="center" wrapText="1"/>
    </xf>
    <xf numFmtId="43" fontId="137" fillId="0" borderId="0" xfId="0" applyNumberFormat="1" applyFont="1">
      <alignment vertical="center"/>
    </xf>
    <xf numFmtId="43" fontId="137" fillId="0" borderId="8" xfId="0" applyNumberFormat="1" applyFont="1" applyBorder="1">
      <alignment vertical="center"/>
    </xf>
    <xf numFmtId="43" fontId="136" fillId="0" borderId="8" xfId="0" applyNumberFormat="1" applyFont="1" applyBorder="1">
      <alignment vertical="center"/>
    </xf>
    <xf numFmtId="43" fontId="135" fillId="0" borderId="0" xfId="0" applyNumberFormat="1" applyFont="1">
      <alignment vertical="center"/>
    </xf>
    <xf numFmtId="43" fontId="135" fillId="0" borderId="8" xfId="0" applyNumberFormat="1" applyFont="1" applyBorder="1">
      <alignment vertical="center"/>
    </xf>
    <xf numFmtId="43" fontId="133" fillId="0" borderId="8" xfId="0" applyNumberFormat="1" applyFont="1" applyBorder="1">
      <alignment vertical="center"/>
    </xf>
    <xf numFmtId="43" fontId="133" fillId="0" borderId="6" xfId="0" applyNumberFormat="1" applyFont="1" applyBorder="1" applyAlignment="1">
      <alignment horizontal="center" vertical="center" wrapText="1"/>
    </xf>
    <xf numFmtId="43" fontId="133" fillId="0" borderId="8" xfId="0" applyNumberFormat="1" applyFont="1" applyBorder="1" applyAlignment="1">
      <alignment horizontal="center" vertical="center" wrapText="1"/>
    </xf>
    <xf numFmtId="0" fontId="9" fillId="0" borderId="6" xfId="0" applyFont="1" applyBorder="1" applyAlignment="1" applyProtection="1">
      <alignment horizontal="justify" vertical="center" wrapText="1"/>
      <protection locked="0"/>
    </xf>
    <xf numFmtId="0" fontId="65" fillId="0" borderId="0" xfId="0" applyFont="1" applyAlignment="1" applyProtection="1">
      <alignment horizontal="justify" vertical="center" wrapText="1"/>
      <protection locked="0"/>
    </xf>
    <xf numFmtId="0" fontId="10" fillId="0" borderId="0" xfId="0" applyFont="1" applyAlignment="1" applyProtection="1">
      <alignment horizontal="justify" vertical="center" wrapText="1"/>
      <protection locked="0"/>
    </xf>
    <xf numFmtId="0" fontId="65" fillId="0" borderId="0" xfId="0" applyFont="1" applyAlignment="1" applyProtection="1">
      <alignment horizontal="left" vertical="center" wrapText="1"/>
      <protection locked="0"/>
    </xf>
    <xf numFmtId="0" fontId="10" fillId="0" borderId="8" xfId="0" applyFont="1" applyBorder="1" applyAlignment="1" applyProtection="1">
      <alignment horizontal="justify" vertical="center" wrapText="1"/>
      <protection locked="0"/>
    </xf>
    <xf numFmtId="0" fontId="66" fillId="0" borderId="6" xfId="0" applyFont="1" applyBorder="1" applyAlignment="1">
      <alignment horizontal="center" vertical="center" wrapText="1"/>
    </xf>
    <xf numFmtId="0" fontId="66" fillId="0" borderId="8" xfId="0" applyFont="1" applyBorder="1" applyAlignment="1">
      <alignment horizontal="center" vertical="center" wrapText="1"/>
    </xf>
    <xf numFmtId="43" fontId="9" fillId="0" borderId="8" xfId="192" applyFont="1" applyBorder="1" applyAlignment="1">
      <alignment vertical="center"/>
    </xf>
    <xf numFmtId="0" fontId="10" fillId="0" borderId="8" xfId="0" applyFont="1" applyBorder="1">
      <alignment vertical="center"/>
    </xf>
    <xf numFmtId="203" fontId="6" fillId="0" borderId="0" xfId="339" applyFont="1">
      <alignment vertical="center"/>
    </xf>
    <xf numFmtId="49" fontId="5" fillId="0" borderId="0" xfId="339" applyNumberFormat="1" applyFont="1" applyAlignment="1">
      <alignment horizontal="left" vertical="center"/>
    </xf>
    <xf numFmtId="0" fontId="70" fillId="0" borderId="0" xfId="0" applyFont="1" applyAlignment="1">
      <alignment horizontal="justify" vertical="center"/>
    </xf>
    <xf numFmtId="0" fontId="138" fillId="0" borderId="6" xfId="0" applyFont="1" applyBorder="1" applyAlignment="1">
      <alignment horizontal="justify" vertical="center" wrapText="1"/>
    </xf>
    <xf numFmtId="0" fontId="138" fillId="0" borderId="6" xfId="0" applyFont="1" applyBorder="1" applyAlignment="1">
      <alignment horizontal="right" vertical="center" wrapText="1"/>
    </xf>
    <xf numFmtId="0" fontId="140" fillId="0" borderId="0" xfId="0" applyFont="1" applyAlignment="1">
      <alignment horizontal="justify" vertical="center" wrapText="1"/>
    </xf>
    <xf numFmtId="0" fontId="140" fillId="0" borderId="0" xfId="0" applyFont="1" applyAlignment="1">
      <alignment horizontal="right" vertical="center" wrapText="1"/>
    </xf>
    <xf numFmtId="0" fontId="140" fillId="0" borderId="8" xfId="0" applyFont="1" applyBorder="1" applyAlignment="1">
      <alignment horizontal="justify" vertical="center" wrapText="1"/>
    </xf>
    <xf numFmtId="0" fontId="140" fillId="0" borderId="8" xfId="0" applyFont="1" applyBorder="1" applyAlignment="1">
      <alignment horizontal="right" vertical="center" wrapText="1"/>
    </xf>
    <xf numFmtId="0" fontId="138" fillId="0" borderId="8" xfId="0" applyFont="1" applyBorder="1" applyAlignment="1">
      <alignment horizontal="justify" vertical="center" wrapText="1"/>
    </xf>
    <xf numFmtId="0" fontId="139" fillId="0" borderId="8" xfId="0" applyFont="1" applyBorder="1" applyAlignment="1">
      <alignment horizontal="right" vertical="center" wrapText="1"/>
    </xf>
    <xf numFmtId="0" fontId="139" fillId="0" borderId="6" xfId="0" applyFont="1" applyBorder="1" applyAlignment="1">
      <alignment horizontal="right" vertical="center" wrapText="1"/>
    </xf>
    <xf numFmtId="0" fontId="141" fillId="0" borderId="0" xfId="0" applyFont="1" applyAlignment="1">
      <alignment horizontal="justify" vertical="center" wrapText="1"/>
    </xf>
    <xf numFmtId="0" fontId="67" fillId="0" borderId="6" xfId="0" applyFont="1" applyBorder="1" applyAlignment="1">
      <alignment horizontal="right" vertical="center" wrapText="1"/>
    </xf>
    <xf numFmtId="0" fontId="136" fillId="0" borderId="6" xfId="0" applyFont="1" applyBorder="1" applyAlignment="1">
      <alignment horizontal="right" vertical="center" wrapText="1"/>
    </xf>
    <xf numFmtId="0" fontId="134" fillId="0" borderId="0" xfId="164" applyFont="1" applyAlignment="1">
      <alignment vertical="center"/>
      <protection locked="0"/>
    </xf>
    <xf numFmtId="203" fontId="5" fillId="39" borderId="1" xfId="313" applyFont="1" applyFill="1" applyBorder="1" applyAlignment="1" applyProtection="1">
      <alignment horizontal="center" vertical="center" wrapText="1"/>
      <protection locked="0"/>
    </xf>
    <xf numFmtId="43" fontId="86" fillId="39" borderId="1" xfId="194" applyFont="1" applyFill="1" applyBorder="1" applyAlignment="1">
      <alignment horizontal="right" vertical="center"/>
    </xf>
    <xf numFmtId="43" fontId="86" fillId="39" borderId="1" xfId="194" applyFont="1" applyFill="1" applyBorder="1" applyAlignment="1" applyProtection="1">
      <alignment horizontal="right" vertical="center"/>
    </xf>
    <xf numFmtId="43" fontId="86" fillId="39" borderId="1" xfId="390" applyFont="1" applyFill="1" applyBorder="1" applyAlignment="1" applyProtection="1">
      <alignment horizontal="right" vertical="center"/>
    </xf>
    <xf numFmtId="10" fontId="6" fillId="39" borderId="1" xfId="159" applyNumberFormat="1" applyFont="1" applyFill="1" applyBorder="1" applyAlignment="1">
      <alignment horizontal="right" vertical="center" wrapText="1"/>
    </xf>
    <xf numFmtId="43" fontId="6" fillId="39" borderId="1" xfId="194" applyFont="1" applyFill="1" applyBorder="1" applyAlignment="1">
      <alignment horizontal="right" vertical="center" wrapText="1"/>
    </xf>
    <xf numFmtId="10" fontId="5" fillId="39" borderId="1" xfId="159" applyNumberFormat="1" applyFont="1" applyFill="1" applyBorder="1" applyAlignment="1">
      <alignment horizontal="right" vertical="center" wrapText="1"/>
    </xf>
    <xf numFmtId="0" fontId="59" fillId="39" borderId="1" xfId="197" applyFont="1" applyFill="1" applyBorder="1" applyAlignment="1" applyProtection="1">
      <alignment horizontal="center" vertical="center"/>
    </xf>
    <xf numFmtId="10" fontId="123" fillId="39" borderId="0" xfId="159" applyNumberFormat="1" applyFont="1" applyFill="1" applyBorder="1" applyAlignment="1">
      <alignment horizontal="center" vertical="center"/>
    </xf>
    <xf numFmtId="0" fontId="3" fillId="39" borderId="13" xfId="197" applyFont="1" applyFill="1" applyBorder="1" applyAlignment="1" applyProtection="1">
      <alignment vertical="center" wrapText="1"/>
    </xf>
    <xf numFmtId="43" fontId="60" fillId="39" borderId="1" xfId="194" quotePrefix="1" applyFont="1" applyFill="1" applyBorder="1" applyAlignment="1">
      <alignment horizontal="center" vertical="center"/>
    </xf>
    <xf numFmtId="0" fontId="3" fillId="39" borderId="12" xfId="197" applyFont="1" applyFill="1" applyBorder="1" applyAlignment="1" applyProtection="1">
      <alignment horizontal="center" vertical="center" wrapText="1"/>
    </xf>
    <xf numFmtId="0" fontId="5" fillId="39" borderId="1" xfId="333" applyFont="1" applyFill="1" applyBorder="1">
      <protection locked="0"/>
    </xf>
    <xf numFmtId="0" fontId="82" fillId="39" borderId="12" xfId="197" applyFont="1" applyFill="1" applyBorder="1" applyAlignment="1" applyProtection="1">
      <alignment horizontal="center" vertical="center" wrapText="1"/>
    </xf>
    <xf numFmtId="43" fontId="60" fillId="39" borderId="1" xfId="194" applyFont="1" applyFill="1" applyBorder="1" applyAlignment="1">
      <alignment horizontal="centerContinuous" vertical="center"/>
    </xf>
    <xf numFmtId="43" fontId="60" fillId="39" borderId="1" xfId="194" applyFont="1" applyFill="1" applyBorder="1" applyAlignment="1" applyProtection="1">
      <alignment horizontal="right" vertical="center"/>
    </xf>
    <xf numFmtId="43" fontId="135" fillId="40" borderId="0" xfId="0" applyNumberFormat="1" applyFont="1" applyFill="1" applyAlignment="1">
      <alignment horizontal="justify" vertical="center" wrapText="1"/>
    </xf>
    <xf numFmtId="43" fontId="135" fillId="40" borderId="8" xfId="0" applyNumberFormat="1" applyFont="1" applyFill="1" applyBorder="1" applyAlignment="1">
      <alignment horizontal="justify" vertical="center" wrapText="1"/>
    </xf>
    <xf numFmtId="0" fontId="3" fillId="10" borderId="1" xfId="193" applyFont="1" applyFill="1" applyBorder="1" applyAlignment="1">
      <alignment horizontal="center" vertical="center"/>
      <protection locked="0"/>
    </xf>
    <xf numFmtId="0" fontId="3" fillId="10" borderId="1" xfId="193" applyFont="1" applyFill="1" applyBorder="1" applyAlignment="1">
      <alignment horizontal="center" vertical="center" wrapText="1"/>
      <protection locked="0"/>
    </xf>
    <xf numFmtId="0" fontId="0" fillId="0" borderId="0" xfId="0" applyAlignment="1" applyProtection="1">
      <protection locked="0"/>
    </xf>
    <xf numFmtId="0" fontId="11" fillId="0" borderId="0" xfId="0" applyFont="1" applyAlignment="1" applyProtection="1">
      <protection locked="0"/>
    </xf>
    <xf numFmtId="0" fontId="11" fillId="0" borderId="0" xfId="0" applyFont="1" applyAlignment="1" applyProtection="1">
      <alignment horizontal="center"/>
      <protection locked="0"/>
    </xf>
    <xf numFmtId="203" fontId="14" fillId="0" borderId="0" xfId="338" applyFont="1">
      <alignment vertical="center"/>
      <protection locked="0"/>
    </xf>
    <xf numFmtId="203" fontId="14" fillId="0" borderId="1" xfId="338" applyFont="1" applyBorder="1" applyAlignment="1">
      <alignment horizontal="center" vertical="center" wrapText="1"/>
      <protection locked="0"/>
    </xf>
    <xf numFmtId="49" fontId="6" fillId="0" borderId="1" xfId="339" applyNumberFormat="1" applyFont="1" applyBorder="1" applyAlignment="1">
      <alignment horizontal="center" vertical="center"/>
    </xf>
    <xf numFmtId="0" fontId="75" fillId="0" borderId="1" xfId="316" applyFont="1" applyBorder="1" applyAlignment="1">
      <alignment vertical="center" wrapText="1"/>
    </xf>
    <xf numFmtId="0" fontId="75" fillId="0" borderId="1" xfId="316" applyFont="1" applyBorder="1" applyAlignment="1">
      <alignment horizontal="center" vertical="center" wrapText="1"/>
    </xf>
    <xf numFmtId="0" fontId="74" fillId="0" borderId="1" xfId="316" applyFont="1" applyBorder="1" applyAlignment="1">
      <alignment horizontal="center" vertical="center" wrapText="1"/>
    </xf>
    <xf numFmtId="0" fontId="76" fillId="0" borderId="1" xfId="316" applyFont="1" applyBorder="1" applyAlignment="1">
      <alignment horizontal="center" vertical="center" wrapText="1"/>
    </xf>
    <xf numFmtId="203" fontId="14" fillId="0" borderId="0" xfId="339" applyFont="1">
      <alignment vertical="center"/>
    </xf>
    <xf numFmtId="0" fontId="75" fillId="0" borderId="1" xfId="0" applyFont="1" applyBorder="1" applyAlignment="1">
      <alignment vertical="center" wrapText="1"/>
    </xf>
    <xf numFmtId="0" fontId="11" fillId="0" borderId="1" xfId="0" applyFont="1" applyBorder="1" applyAlignment="1">
      <alignment vertical="center" wrapText="1"/>
    </xf>
    <xf numFmtId="0" fontId="75" fillId="0" borderId="1" xfId="0" applyFont="1" applyBorder="1" applyAlignment="1">
      <alignment horizontal="center" vertical="center" wrapText="1"/>
    </xf>
    <xf numFmtId="0" fontId="11" fillId="0" borderId="0" xfId="196" applyFont="1" applyAlignment="1">
      <alignment horizontal="left" vertical="center"/>
    </xf>
    <xf numFmtId="0" fontId="143" fillId="0" borderId="0" xfId="196" applyFont="1" applyAlignment="1">
      <alignment horizontal="left" vertical="center"/>
    </xf>
    <xf numFmtId="0" fontId="59" fillId="10" borderId="1" xfId="360" applyFont="1" applyFill="1" applyBorder="1" applyAlignment="1" applyProtection="1">
      <alignment horizontal="center" vertical="center" wrapText="1"/>
    </xf>
    <xf numFmtId="0" fontId="62" fillId="0" borderId="1" xfId="360" applyFont="1" applyBorder="1" applyAlignment="1" applyProtection="1">
      <alignment vertical="center"/>
    </xf>
    <xf numFmtId="0" fontId="2" fillId="0" borderId="0" xfId="360">
      <protection locked="0"/>
    </xf>
    <xf numFmtId="43" fontId="81" fillId="0" borderId="1" xfId="197" applyNumberFormat="1" applyFont="1" applyBorder="1" applyAlignment="1" applyProtection="1">
      <alignment horizontal="right" vertical="center" shrinkToFit="1"/>
    </xf>
    <xf numFmtId="43" fontId="60" fillId="39" borderId="1" xfId="194" applyFont="1" applyFill="1" applyBorder="1" applyAlignment="1">
      <alignment horizontal="right" vertical="center"/>
    </xf>
    <xf numFmtId="0" fontId="132" fillId="0" borderId="0" xfId="193" applyFont="1">
      <protection locked="0"/>
    </xf>
    <xf numFmtId="43" fontId="132" fillId="0" borderId="0" xfId="332" applyNumberFormat="1" applyFont="1" applyBorder="1" applyAlignment="1">
      <alignment vertical="center"/>
    </xf>
    <xf numFmtId="0" fontId="144" fillId="0" borderId="0" xfId="1" applyFont="1">
      <alignment vertical="center"/>
    </xf>
    <xf numFmtId="0" fontId="132" fillId="0" borderId="0" xfId="1" applyFont="1">
      <alignment vertical="center"/>
    </xf>
    <xf numFmtId="0" fontId="145" fillId="0" borderId="0" xfId="0" applyFont="1">
      <alignment vertical="center"/>
    </xf>
    <xf numFmtId="0" fontId="144" fillId="0" borderId="0" xfId="164" applyFont="1" applyAlignment="1">
      <alignment vertical="center"/>
      <protection locked="0"/>
    </xf>
    <xf numFmtId="203" fontId="132" fillId="0" borderId="0" xfId="337" applyFont="1">
      <alignment vertical="center"/>
    </xf>
    <xf numFmtId="0" fontId="146" fillId="0" borderId="0" xfId="1" applyFont="1">
      <alignment vertical="center"/>
    </xf>
    <xf numFmtId="0" fontId="147" fillId="0" borderId="0" xfId="1" applyFont="1">
      <alignment vertical="center"/>
    </xf>
    <xf numFmtId="0" fontId="148" fillId="0" borderId="0" xfId="0" applyFont="1">
      <alignment vertical="center"/>
    </xf>
    <xf numFmtId="0" fontId="147" fillId="0" borderId="0" xfId="193" applyFont="1">
      <protection locked="0"/>
    </xf>
    <xf numFmtId="0" fontId="146" fillId="0" borderId="0" xfId="164" applyFont="1" applyAlignment="1">
      <alignment vertical="center"/>
      <protection locked="0"/>
    </xf>
    <xf numFmtId="43" fontId="147" fillId="0" borderId="0" xfId="332" applyNumberFormat="1" applyFont="1" applyBorder="1" applyAlignment="1">
      <alignment vertical="center"/>
    </xf>
    <xf numFmtId="203" fontId="147" fillId="0" borderId="0" xfId="337" applyFont="1">
      <alignment vertical="center"/>
    </xf>
    <xf numFmtId="43" fontId="6" fillId="0" borderId="1" xfId="333" applyNumberFormat="1" applyFont="1" applyBorder="1" applyAlignment="1">
      <alignment horizontal="center" vertical="center"/>
      <protection locked="0"/>
    </xf>
    <xf numFmtId="43" fontId="5" fillId="0" borderId="1" xfId="333" applyNumberFormat="1" applyFont="1" applyBorder="1" applyAlignment="1">
      <alignment horizontal="center" vertical="center"/>
      <protection locked="0"/>
    </xf>
    <xf numFmtId="14"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1" xfId="0" applyFont="1" applyBorder="1" applyProtection="1">
      <alignment vertical="center"/>
      <protection locked="0"/>
    </xf>
    <xf numFmtId="43" fontId="6" fillId="0" borderId="1" xfId="180" applyFont="1" applyBorder="1" applyAlignment="1" applyProtection="1">
      <alignment vertical="center"/>
      <protection locked="0"/>
    </xf>
    <xf numFmtId="0" fontId="6" fillId="0" borderId="0" xfId="0" applyFont="1" applyProtection="1">
      <alignment vertical="center"/>
      <protection locked="0"/>
    </xf>
    <xf numFmtId="0" fontId="9" fillId="0" borderId="0" xfId="0" applyFont="1" applyProtection="1">
      <alignment vertical="center"/>
      <protection locked="0"/>
    </xf>
    <xf numFmtId="0" fontId="149" fillId="0" borderId="0" xfId="0" applyFont="1" applyProtection="1">
      <alignment vertical="center"/>
      <protection locked="0"/>
    </xf>
    <xf numFmtId="0" fontId="6" fillId="9" borderId="0" xfId="0" applyFont="1" applyFill="1" applyAlignment="1" applyProtection="1">
      <alignment horizontal="justify" vertical="center" wrapText="1"/>
      <protection locked="0"/>
    </xf>
    <xf numFmtId="0" fontId="150" fillId="0" borderId="0" xfId="0" applyFont="1" applyAlignment="1" applyProtection="1">
      <alignment horizontal="justify" vertical="center" wrapText="1"/>
      <protection locked="0"/>
    </xf>
    <xf numFmtId="0" fontId="151" fillId="0" borderId="0" xfId="193" applyFont="1">
      <protection locked="0"/>
    </xf>
    <xf numFmtId="0" fontId="126" fillId="0" borderId="0" xfId="0" applyFont="1" applyAlignment="1" applyProtection="1">
      <alignment horizontal="justify" vertical="center"/>
      <protection locked="0"/>
    </xf>
    <xf numFmtId="0" fontId="143" fillId="0" borderId="0" xfId="193" applyFont="1" applyAlignment="1">
      <alignment horizontal="left" vertical="center"/>
      <protection locked="0"/>
    </xf>
    <xf numFmtId="0" fontId="152" fillId="0" borderId="0" xfId="193" applyFont="1" applyAlignment="1">
      <alignment vertical="center"/>
      <protection locked="0"/>
    </xf>
    <xf numFmtId="0" fontId="152" fillId="0" borderId="0" xfId="193" applyFont="1" applyAlignment="1">
      <alignment horizontal="left" vertical="center"/>
      <protection locked="0"/>
    </xf>
    <xf numFmtId="0" fontId="3" fillId="0" borderId="0" xfId="2" applyFont="1" applyAlignment="1">
      <alignment horizontal="left" vertical="center" wrapText="1"/>
    </xf>
    <xf numFmtId="0" fontId="11" fillId="0" borderId="0" xfId="196" applyFont="1" applyAlignment="1">
      <alignment horizontal="left" vertical="center" wrapText="1"/>
    </xf>
    <xf numFmtId="203" fontId="142" fillId="0" borderId="0" xfId="338" applyFont="1">
      <alignment vertical="center"/>
      <protection locked="0"/>
    </xf>
    <xf numFmtId="0" fontId="142" fillId="0" borderId="0" xfId="164" applyFont="1" applyAlignment="1">
      <alignment vertical="center"/>
      <protection locked="0"/>
    </xf>
    <xf numFmtId="0" fontId="142" fillId="0" borderId="0" xfId="164" applyFont="1" applyAlignment="1">
      <alignment horizontal="left" vertical="center"/>
      <protection locked="0"/>
    </xf>
    <xf numFmtId="0" fontId="142" fillId="0" borderId="0" xfId="193" applyFont="1" applyAlignment="1">
      <alignment vertical="center"/>
      <protection locked="0"/>
    </xf>
    <xf numFmtId="0" fontId="142" fillId="0" borderId="0" xfId="190" applyFont="1" applyAlignment="1">
      <alignment vertical="center"/>
    </xf>
    <xf numFmtId="0" fontId="142" fillId="0" borderId="0" xfId="193" applyFont="1" applyAlignment="1">
      <alignment horizontal="left" vertical="center"/>
      <protection locked="0"/>
    </xf>
    <xf numFmtId="14" fontId="142" fillId="0" borderId="0" xfId="193" applyNumberFormat="1" applyFont="1" applyAlignment="1">
      <alignment horizontal="left" vertical="center"/>
      <protection locked="0"/>
    </xf>
    <xf numFmtId="14" fontId="142" fillId="0" borderId="0" xfId="193" applyNumberFormat="1" applyFont="1" applyAlignment="1">
      <alignment vertical="center"/>
      <protection locked="0"/>
    </xf>
    <xf numFmtId="0" fontId="142" fillId="0" borderId="0" xfId="193" applyFont="1" applyAlignment="1">
      <alignment horizontal="right" vertical="center"/>
      <protection locked="0"/>
    </xf>
    <xf numFmtId="0" fontId="142" fillId="0" borderId="0" xfId="2" applyFont="1" applyAlignment="1">
      <alignment horizontal="left" vertical="center"/>
    </xf>
    <xf numFmtId="0" fontId="153" fillId="0" borderId="0" xfId="0" applyFont="1">
      <alignment vertical="center"/>
    </xf>
    <xf numFmtId="0" fontId="142" fillId="0" borderId="0" xfId="2" applyFont="1" applyAlignment="1">
      <alignment horizontal="justify" vertical="center" wrapText="1"/>
    </xf>
    <xf numFmtId="14" fontId="142" fillId="0" borderId="0" xfId="2" applyNumberFormat="1" applyFont="1" applyAlignment="1">
      <alignment horizontal="left" vertical="center" wrapText="1"/>
    </xf>
    <xf numFmtId="0" fontId="142" fillId="0" borderId="0" xfId="2" applyFont="1">
      <alignment vertical="center"/>
    </xf>
    <xf numFmtId="0" fontId="142" fillId="0" borderId="0" xfId="164" applyFont="1" applyAlignment="1">
      <alignment horizontal="left" vertical="center" wrapText="1"/>
      <protection locked="0"/>
    </xf>
    <xf numFmtId="0" fontId="142" fillId="0" borderId="0" xfId="164" applyFont="1" applyAlignment="1">
      <alignment horizontal="justify" vertical="center" wrapText="1"/>
      <protection locked="0"/>
    </xf>
    <xf numFmtId="0" fontId="142" fillId="0" borderId="0" xfId="193" applyFont="1" applyAlignment="1">
      <alignment horizontal="center" vertical="center"/>
      <protection locked="0"/>
    </xf>
    <xf numFmtId="43" fontId="142" fillId="0" borderId="0" xfId="332" applyNumberFormat="1" applyFont="1" applyBorder="1" applyAlignment="1">
      <alignment vertical="center"/>
    </xf>
    <xf numFmtId="43" fontId="142" fillId="0" borderId="0" xfId="332" applyNumberFormat="1" applyFont="1" applyBorder="1" applyAlignment="1">
      <alignment horizontal="left" vertical="center"/>
    </xf>
    <xf numFmtId="49" fontId="142" fillId="0" borderId="0" xfId="332" applyNumberFormat="1" applyFont="1" applyBorder="1" applyAlignment="1">
      <alignment vertical="center"/>
    </xf>
    <xf numFmtId="203" fontId="142" fillId="0" borderId="0" xfId="338" applyFont="1" applyBorder="1">
      <alignment vertical="center"/>
      <protection locked="0"/>
    </xf>
    <xf numFmtId="203" fontId="142" fillId="0" borderId="0" xfId="338" applyFont="1" applyBorder="1" applyAlignment="1">
      <alignment horizontal="left" vertical="center"/>
      <protection locked="0"/>
    </xf>
    <xf numFmtId="203" fontId="6" fillId="0" borderId="0" xfId="339" applyFont="1" applyBorder="1">
      <alignment vertical="center"/>
    </xf>
    <xf numFmtId="49" fontId="3" fillId="0" borderId="0" xfId="316" applyNumberFormat="1" applyFont="1" applyBorder="1" applyAlignment="1" applyProtection="1">
      <alignment horizontal="left" vertical="center"/>
      <protection locked="0"/>
    </xf>
    <xf numFmtId="203" fontId="32" fillId="0" borderId="0" xfId="338" applyFont="1" applyBorder="1" applyAlignment="1">
      <alignment horizontal="left" vertical="center"/>
      <protection locked="0"/>
    </xf>
    <xf numFmtId="203" fontId="32" fillId="0" borderId="0" xfId="338" applyFont="1" applyBorder="1" applyAlignment="1">
      <alignment horizontal="justify" vertical="center"/>
      <protection locked="0"/>
    </xf>
    <xf numFmtId="203" fontId="14" fillId="0" borderId="0" xfId="338" applyFont="1" applyBorder="1">
      <alignment vertical="center"/>
      <protection locked="0"/>
    </xf>
    <xf numFmtId="203" fontId="14" fillId="0" borderId="0" xfId="338" applyFont="1" applyBorder="1" applyAlignment="1">
      <alignment horizontal="center" vertical="center" wrapText="1"/>
      <protection locked="0"/>
    </xf>
    <xf numFmtId="0" fontId="6" fillId="0" borderId="1" xfId="316" applyFont="1" applyBorder="1" applyAlignment="1">
      <alignment horizontal="center" vertical="center" wrapText="1"/>
    </xf>
    <xf numFmtId="0" fontId="6" fillId="10" borderId="1" xfId="194" applyNumberFormat="1" applyFont="1" applyFill="1" applyBorder="1" applyAlignment="1">
      <alignment horizontal="right" vertical="center" wrapText="1"/>
    </xf>
    <xf numFmtId="0" fontId="6" fillId="0" borderId="1" xfId="194" applyNumberFormat="1" applyFont="1" applyFill="1" applyBorder="1" applyAlignment="1">
      <alignment horizontal="right" vertical="center" wrapText="1"/>
    </xf>
    <xf numFmtId="0" fontId="6" fillId="0" borderId="11" xfId="332" applyNumberFormat="1" applyFont="1" applyBorder="1" applyAlignment="1">
      <alignment vertical="center"/>
    </xf>
    <xf numFmtId="0" fontId="6" fillId="0" borderId="0" xfId="332" applyNumberFormat="1" applyFont="1" applyBorder="1" applyAlignment="1">
      <alignment vertical="center"/>
    </xf>
    <xf numFmtId="0" fontId="11" fillId="0" borderId="0" xfId="2" applyFont="1" applyAlignment="1">
      <alignment horizontal="left" vertical="center"/>
    </xf>
    <xf numFmtId="0" fontId="3" fillId="0" borderId="0" xfId="2" applyFont="1" applyAlignment="1">
      <alignment vertical="center" wrapText="1"/>
    </xf>
    <xf numFmtId="0" fontId="3" fillId="0" borderId="0" xfId="2" applyFont="1" applyAlignment="1">
      <alignment vertical="center"/>
    </xf>
    <xf numFmtId="0" fontId="11" fillId="0" borderId="1" xfId="197" applyNumberFormat="1" applyFont="1" applyBorder="1" applyAlignment="1" applyProtection="1">
      <alignment horizontal="center" vertical="center" wrapText="1"/>
    </xf>
    <xf numFmtId="0" fontId="11" fillId="0" borderId="1" xfId="197" quotePrefix="1" applyNumberFormat="1" applyFont="1" applyBorder="1" applyAlignment="1" applyProtection="1">
      <alignment horizontal="left" vertical="center" shrinkToFit="1"/>
    </xf>
    <xf numFmtId="0" fontId="6" fillId="0" borderId="1" xfId="197" applyNumberFormat="1" applyFont="1" applyBorder="1" applyAlignment="1" applyProtection="1">
      <alignment horizontal="right" vertical="center" shrinkToFit="1"/>
    </xf>
    <xf numFmtId="0" fontId="6" fillId="0" borderId="1" xfId="197" applyNumberFormat="1" applyFont="1" applyBorder="1" applyAlignment="1" applyProtection="1">
      <alignment horizontal="center" vertical="center" wrapText="1"/>
    </xf>
    <xf numFmtId="0" fontId="6" fillId="0" borderId="1" xfId="197" quotePrefix="1" applyNumberFormat="1" applyFont="1" applyBorder="1" applyAlignment="1" applyProtection="1">
      <alignment horizontal="left" vertical="center" shrinkToFit="1"/>
    </xf>
    <xf numFmtId="0" fontId="6" fillId="0" borderId="1" xfId="197" applyNumberFormat="1" applyFont="1" applyBorder="1" applyAlignment="1" applyProtection="1">
      <alignment horizontal="left" vertical="center" shrinkToFit="1"/>
    </xf>
    <xf numFmtId="10" fontId="5" fillId="0" borderId="1" xfId="333" applyNumberFormat="1" applyFont="1" applyBorder="1" applyAlignment="1">
      <alignment vertical="center"/>
      <protection locked="0"/>
    </xf>
    <xf numFmtId="0" fontId="6" fillId="0" borderId="1" xfId="333" applyNumberFormat="1" applyFont="1" applyBorder="1" applyAlignment="1">
      <alignment horizontal="center" vertical="center"/>
      <protection locked="0"/>
    </xf>
    <xf numFmtId="0" fontId="5" fillId="0" borderId="1" xfId="333" applyNumberFormat="1" applyFont="1" applyBorder="1" applyAlignment="1">
      <alignment horizontal="center" vertical="center"/>
      <protection locked="0"/>
    </xf>
    <xf numFmtId="0" fontId="154" fillId="0" borderId="5" xfId="191" quotePrefix="1" applyFont="1" applyBorder="1" applyAlignment="1">
      <alignment vertical="center"/>
      <protection locked="0"/>
    </xf>
    <xf numFmtId="0" fontId="142" fillId="0" borderId="0" xfId="193" applyFont="1" applyAlignment="1">
      <alignment horizontal="left"/>
      <protection locked="0"/>
    </xf>
    <xf numFmtId="0" fontId="59" fillId="10" borderId="1" xfId="193" applyFont="1" applyFill="1" applyBorder="1" applyAlignment="1" applyProtection="1">
      <alignment horizontal="center" vertical="center" wrapText="1"/>
    </xf>
    <xf numFmtId="0" fontId="59" fillId="10" borderId="1" xfId="193" applyFont="1" applyFill="1" applyBorder="1" applyAlignment="1" applyProtection="1">
      <alignment horizontal="center" vertical="center"/>
    </xf>
    <xf numFmtId="0" fontId="86" fillId="0" borderId="1" xfId="194" applyNumberFormat="1" applyFont="1" applyFill="1" applyBorder="1" applyAlignment="1">
      <alignment horizontal="right" vertical="center"/>
    </xf>
    <xf numFmtId="0" fontId="6" fillId="0" borderId="0" xfId="333" applyNumberFormat="1" applyFont="1">
      <protection locked="0"/>
    </xf>
    <xf numFmtId="0" fontId="8" fillId="0" borderId="1" xfId="197" applyNumberFormat="1" applyFont="1" applyBorder="1" applyAlignment="1" applyProtection="1">
      <alignment horizontal="center" vertical="center" shrinkToFit="1"/>
    </xf>
    <xf numFmtId="0" fontId="8" fillId="0" borderId="1" xfId="197" applyNumberFormat="1" applyFont="1" applyBorder="1" applyAlignment="1" applyProtection="1">
      <alignment vertical="center" wrapText="1" shrinkToFit="1"/>
    </xf>
    <xf numFmtId="0" fontId="8" fillId="0" borderId="1" xfId="197" applyNumberFormat="1" applyFont="1" applyBorder="1" applyAlignment="1" applyProtection="1">
      <alignment horizontal="center" vertical="center" wrapText="1" shrinkToFit="1"/>
    </xf>
    <xf numFmtId="0" fontId="81" fillId="0" borderId="1" xfId="197" applyNumberFormat="1" applyFont="1" applyBorder="1" applyAlignment="1" applyProtection="1">
      <alignment horizontal="center" vertical="center" wrapText="1" shrinkToFit="1"/>
    </xf>
    <xf numFmtId="0" fontId="6" fillId="0" borderId="1" xfId="333" applyNumberFormat="1" applyFont="1" applyBorder="1">
      <protection locked="0"/>
    </xf>
    <xf numFmtId="0" fontId="81" fillId="0" borderId="1" xfId="197" applyNumberFormat="1" applyFont="1" applyBorder="1" applyAlignment="1" applyProtection="1">
      <alignment horizontal="center" vertical="center" shrinkToFit="1"/>
    </xf>
    <xf numFmtId="0" fontId="5" fillId="0" borderId="1" xfId="333" applyNumberFormat="1" applyFont="1" applyBorder="1">
      <protection locked="0"/>
    </xf>
    <xf numFmtId="0" fontId="81" fillId="0" borderId="1" xfId="197" quotePrefix="1" applyNumberFormat="1" applyFont="1" applyBorder="1" applyAlignment="1" applyProtection="1">
      <alignment horizontal="left" vertical="center" shrinkToFit="1"/>
    </xf>
    <xf numFmtId="0" fontId="153" fillId="0" borderId="0" xfId="0" applyFont="1" applyAlignment="1">
      <alignment horizontal="left" vertical="center"/>
    </xf>
    <xf numFmtId="0" fontId="142" fillId="0" borderId="0" xfId="2" applyFont="1" applyAlignment="1">
      <alignment horizontal="left" vertical="center" wrapText="1"/>
    </xf>
    <xf numFmtId="0" fontId="6" fillId="0" borderId="1" xfId="2" applyNumberFormat="1" applyFont="1" applyBorder="1" applyAlignment="1">
      <alignment horizontal="left" vertical="center"/>
    </xf>
    <xf numFmtId="0" fontId="75" fillId="0" borderId="1" xfId="0" applyNumberFormat="1" applyFont="1" applyBorder="1" applyAlignment="1">
      <alignment horizontal="center" vertical="center"/>
    </xf>
    <xf numFmtId="0" fontId="74" fillId="0" borderId="1" xfId="0" applyNumberFormat="1" applyFont="1" applyBorder="1">
      <alignment vertical="center"/>
    </xf>
    <xf numFmtId="0" fontId="74" fillId="0" borderId="1" xfId="0" applyNumberFormat="1" applyFont="1" applyBorder="1" applyAlignment="1">
      <alignment horizontal="center" vertical="center"/>
    </xf>
    <xf numFmtId="0" fontId="11" fillId="0" borderId="0" xfId="196" applyFont="1" applyAlignment="1">
      <alignment vertical="center" wrapText="1"/>
    </xf>
    <xf numFmtId="0" fontId="3" fillId="0" borderId="0" xfId="196" applyFont="1" applyAlignment="1">
      <alignment vertical="center"/>
    </xf>
    <xf numFmtId="0" fontId="6" fillId="0" borderId="1" xfId="0" applyFont="1" applyBorder="1" applyAlignment="1" applyProtection="1">
      <protection locked="0"/>
    </xf>
    <xf numFmtId="0" fontId="5" fillId="10" borderId="1" xfId="364" applyNumberFormat="1" applyFont="1" applyFill="1" applyBorder="1" applyAlignment="1">
      <alignment horizontal="center" vertical="center"/>
      <protection locked="0"/>
    </xf>
    <xf numFmtId="49" fontId="6" fillId="0" borderId="1" xfId="394" applyNumberFormat="1" applyFont="1" applyBorder="1" applyAlignment="1">
      <alignment horizontal="center" vertical="center"/>
      <protection locked="0"/>
    </xf>
    <xf numFmtId="203" fontId="6" fillId="0" borderId="1" xfId="364" applyFont="1" applyBorder="1" applyAlignment="1">
      <alignment horizontal="center" vertical="center"/>
      <protection locked="0"/>
    </xf>
    <xf numFmtId="49" fontId="6" fillId="0" borderId="1" xfId="394" applyNumberFormat="1" applyFont="1" applyBorder="1" applyAlignment="1">
      <alignment vertical="center"/>
      <protection locked="0"/>
    </xf>
    <xf numFmtId="203" fontId="5" fillId="0" borderId="25" xfId="395" applyFont="1" applyBorder="1" applyAlignment="1">
      <alignment vertical="center"/>
    </xf>
    <xf numFmtId="203" fontId="2" fillId="0" borderId="0" xfId="394">
      <protection locked="0"/>
    </xf>
    <xf numFmtId="203" fontId="3" fillId="10" borderId="1" xfId="394" applyFont="1" applyFill="1" applyBorder="1" applyAlignment="1">
      <alignment vertical="center"/>
      <protection locked="0"/>
    </xf>
    <xf numFmtId="43" fontId="5" fillId="10" borderId="1" xfId="397" applyFont="1" applyFill="1" applyBorder="1" applyAlignment="1" applyProtection="1">
      <alignment vertical="center"/>
      <protection locked="0"/>
    </xf>
    <xf numFmtId="14" fontId="81" fillId="0" borderId="1" xfId="0" applyNumberFormat="1" applyFont="1" applyBorder="1" applyAlignment="1" applyProtection="1">
      <alignment vertical="center" wrapText="1"/>
      <protection locked="0"/>
    </xf>
    <xf numFmtId="49" fontId="81" fillId="0" borderId="1" xfId="0" applyNumberFormat="1" applyFont="1" applyBorder="1" applyAlignment="1" applyProtection="1">
      <alignment vertical="center" wrapText="1"/>
      <protection locked="0"/>
    </xf>
    <xf numFmtId="0" fontId="81" fillId="0" borderId="1" xfId="0" applyNumberFormat="1" applyFont="1" applyBorder="1" applyAlignment="1" applyProtection="1">
      <alignment vertical="center" wrapText="1"/>
      <protection locked="0"/>
    </xf>
    <xf numFmtId="0" fontId="155" fillId="0" borderId="5" xfId="191" applyFont="1" applyBorder="1" applyAlignment="1">
      <alignment vertical="center"/>
      <protection locked="0"/>
    </xf>
    <xf numFmtId="0" fontId="155" fillId="0" borderId="5" xfId="191" quotePrefix="1" applyFont="1" applyBorder="1" applyAlignment="1">
      <alignment vertical="center"/>
      <protection locked="0"/>
    </xf>
    <xf numFmtId="0" fontId="6" fillId="0" borderId="5" xfId="0" applyFont="1" applyBorder="1" applyAlignment="1" applyProtection="1">
      <alignment horizontal="center" vertical="center"/>
      <protection locked="0"/>
    </xf>
    <xf numFmtId="0" fontId="142" fillId="0" borderId="0" xfId="0" applyFont="1" applyAlignment="1" applyProtection="1">
      <alignment horizontal="center" vertical="center"/>
      <protection locked="0"/>
    </xf>
    <xf numFmtId="0" fontId="11" fillId="0" borderId="1" xfId="0" applyFont="1" applyBorder="1" applyProtection="1">
      <alignment vertical="center"/>
      <protection locked="0"/>
    </xf>
    <xf numFmtId="0" fontId="64" fillId="0" borderId="5" xfId="191" quotePrefix="1" applyBorder="1" applyAlignment="1">
      <alignment vertical="center"/>
      <protection locked="0"/>
    </xf>
    <xf numFmtId="203" fontId="74" fillId="0" borderId="1" xfId="398" applyFont="1" applyFill="1" applyBorder="1" applyAlignment="1">
      <alignment vertical="center" wrapText="1"/>
    </xf>
    <xf numFmtId="203" fontId="75" fillId="0" borderId="1" xfId="398" applyFont="1" applyFill="1" applyBorder="1" applyAlignment="1">
      <alignment vertical="center" wrapText="1"/>
    </xf>
    <xf numFmtId="0" fontId="75" fillId="0" borderId="1" xfId="316" applyFont="1" applyFill="1" applyBorder="1" applyAlignment="1">
      <alignment horizontal="center" vertical="center" wrapText="1"/>
    </xf>
    <xf numFmtId="0" fontId="127" fillId="0" borderId="1" xfId="316" applyFont="1" applyBorder="1" applyAlignment="1">
      <alignment horizontal="center" vertical="center" wrapText="1"/>
    </xf>
    <xf numFmtId="0" fontId="76" fillId="0" borderId="1" xfId="377" applyFont="1" applyFill="1" applyBorder="1" applyAlignment="1">
      <alignment horizontal="center" vertical="center" wrapText="1"/>
    </xf>
    <xf numFmtId="0" fontId="75" fillId="0" borderId="1" xfId="377" applyFont="1" applyFill="1" applyBorder="1" applyAlignment="1">
      <alignment horizontal="center" vertical="center" wrapText="1"/>
    </xf>
    <xf numFmtId="0" fontId="76" fillId="0" borderId="1" xfId="316" applyFont="1" applyFill="1" applyBorder="1" applyAlignment="1">
      <alignment horizontal="center" vertical="center" wrapText="1"/>
    </xf>
    <xf numFmtId="0" fontId="74" fillId="0" borderId="1" xfId="316" applyFont="1" applyFill="1" applyBorder="1" applyAlignment="1">
      <alignment horizontal="center" vertical="center" wrapText="1"/>
    </xf>
    <xf numFmtId="0" fontId="6" fillId="0" borderId="1" xfId="0" applyFont="1" applyFill="1" applyBorder="1" applyAlignment="1" applyProtection="1">
      <alignment vertical="center" wrapText="1"/>
    </xf>
    <xf numFmtId="0" fontId="74" fillId="0" borderId="1" xfId="377" applyFont="1" applyFill="1" applyBorder="1" applyAlignment="1">
      <alignment horizontal="center" vertical="center" wrapText="1"/>
    </xf>
    <xf numFmtId="0" fontId="6" fillId="0" borderId="1" xfId="197" applyFont="1" applyBorder="1" applyAlignment="1">
      <alignment horizontal="center" vertical="center" wrapText="1"/>
      <protection locked="0"/>
    </xf>
    <xf numFmtId="0" fontId="6" fillId="0" borderId="0" xfId="189" applyFont="1" applyBorder="1" applyAlignment="1">
      <alignment vertical="center"/>
    </xf>
    <xf numFmtId="0" fontId="127" fillId="0" borderId="0" xfId="193" applyFont="1" applyAlignment="1">
      <alignment vertical="center"/>
      <protection locked="0"/>
    </xf>
    <xf numFmtId="203" fontId="156" fillId="0" borderId="0" xfId="191" applyNumberFormat="1" applyFont="1" applyBorder="1" applyAlignment="1">
      <alignment vertical="center"/>
      <protection locked="0"/>
    </xf>
    <xf numFmtId="0" fontId="142" fillId="0" borderId="0" xfId="164" applyFont="1" applyAlignment="1">
      <alignment horizontal="right" vertical="center"/>
      <protection locked="0"/>
    </xf>
    <xf numFmtId="0" fontId="3" fillId="39" borderId="1" xfId="197" applyFont="1" applyFill="1" applyBorder="1" applyAlignment="1">
      <alignment horizontal="center" vertical="center" wrapText="1"/>
      <protection locked="0"/>
    </xf>
    <xf numFmtId="0" fontId="3" fillId="39" borderId="12" xfId="197" applyFont="1" applyFill="1" applyBorder="1" applyAlignment="1">
      <alignment horizontal="center" vertical="center" wrapText="1"/>
      <protection locked="0"/>
    </xf>
    <xf numFmtId="0" fontId="3" fillId="39" borderId="10" xfId="197" applyFont="1" applyFill="1" applyBorder="1" applyAlignment="1">
      <alignment horizontal="center" vertical="center" wrapText="1"/>
      <protection locked="0"/>
    </xf>
    <xf numFmtId="0" fontId="77" fillId="39" borderId="1" xfId="0" applyFont="1" applyFill="1" applyBorder="1" applyAlignment="1">
      <alignment horizontal="center" vertical="center" wrapText="1"/>
    </xf>
    <xf numFmtId="0" fontId="76" fillId="39" borderId="1" xfId="0" applyFont="1" applyFill="1" applyBorder="1" applyAlignment="1">
      <alignment horizontal="center" vertical="center" wrapText="1"/>
    </xf>
    <xf numFmtId="203" fontId="3" fillId="39" borderId="13" xfId="394" applyFont="1" applyFill="1" applyBorder="1" applyAlignment="1">
      <alignment vertical="center"/>
      <protection locked="0"/>
    </xf>
    <xf numFmtId="203" fontId="3" fillId="39" borderId="12" xfId="394" applyFont="1" applyFill="1" applyBorder="1" applyAlignment="1">
      <alignment vertical="center"/>
      <protection locked="0"/>
    </xf>
    <xf numFmtId="203" fontId="3" fillId="39" borderId="14" xfId="394" applyFont="1" applyFill="1" applyBorder="1" applyAlignment="1">
      <alignment vertical="center"/>
      <protection locked="0"/>
    </xf>
    <xf numFmtId="203" fontId="3" fillId="39" borderId="1" xfId="394" applyFont="1" applyFill="1" applyBorder="1" applyAlignment="1">
      <alignment horizontal="center" vertical="center"/>
      <protection locked="0"/>
    </xf>
    <xf numFmtId="203" fontId="3" fillId="39" borderId="1" xfId="394" applyFont="1" applyFill="1" applyBorder="1" applyAlignment="1">
      <alignment horizontal="center" vertical="center" wrapText="1"/>
      <protection locked="0"/>
    </xf>
    <xf numFmtId="0" fontId="5" fillId="39" borderId="1" xfId="364" applyNumberFormat="1" applyFont="1" applyFill="1" applyBorder="1" applyAlignment="1">
      <alignment horizontal="center" vertical="center"/>
      <protection locked="0"/>
    </xf>
    <xf numFmtId="49" fontId="5" fillId="39" borderId="1" xfId="394" applyNumberFormat="1" applyFont="1" applyFill="1" applyBorder="1" applyAlignment="1">
      <alignment horizontal="center" vertical="center"/>
      <protection locked="0"/>
    </xf>
    <xf numFmtId="203" fontId="5" fillId="39" borderId="1" xfId="394" applyFont="1" applyFill="1" applyBorder="1" applyAlignment="1">
      <alignment vertical="center"/>
      <protection locked="0"/>
    </xf>
    <xf numFmtId="228" fontId="5" fillId="39" borderId="1" xfId="394" applyNumberFormat="1" applyFont="1" applyFill="1" applyBorder="1" applyAlignment="1">
      <alignment horizontal="right" vertical="center" shrinkToFit="1"/>
      <protection locked="0"/>
    </xf>
    <xf numFmtId="203" fontId="5" fillId="0" borderId="25" xfId="395" applyFont="1" applyFill="1" applyBorder="1" applyAlignment="1">
      <alignment vertical="center"/>
    </xf>
    <xf numFmtId="227" fontId="6" fillId="0" borderId="1" xfId="394" applyNumberFormat="1" applyFont="1" applyFill="1" applyBorder="1" applyAlignment="1">
      <alignment horizontal="center" vertical="center" wrapText="1"/>
      <protection locked="0"/>
    </xf>
    <xf numFmtId="49" fontId="6" fillId="0" borderId="1" xfId="394" applyNumberFormat="1" applyFont="1" applyFill="1" applyBorder="1" applyAlignment="1">
      <alignment horizontal="center" vertical="center"/>
      <protection locked="0"/>
    </xf>
    <xf numFmtId="203" fontId="11" fillId="0" borderId="1" xfId="394" applyFont="1" applyFill="1" applyBorder="1" applyAlignment="1">
      <alignment horizontal="center" vertical="center"/>
      <protection locked="0"/>
    </xf>
    <xf numFmtId="203" fontId="6" fillId="0" borderId="1" xfId="394" applyFont="1" applyFill="1" applyBorder="1" applyAlignment="1">
      <alignment horizontal="center" vertical="center"/>
      <protection locked="0"/>
    </xf>
    <xf numFmtId="228" fontId="6" fillId="0" borderId="1" xfId="394" applyNumberFormat="1" applyFont="1" applyFill="1" applyBorder="1" applyAlignment="1">
      <alignment horizontal="right" vertical="center" shrinkToFit="1"/>
      <protection locked="0"/>
    </xf>
    <xf numFmtId="0" fontId="3" fillId="10" borderId="1" xfId="316" applyFont="1" applyFill="1" applyBorder="1" applyAlignment="1" applyProtection="1">
      <alignment horizontal="center" vertical="center"/>
      <protection locked="0"/>
    </xf>
    <xf numFmtId="0" fontId="3" fillId="10" borderId="1" xfId="316" applyFont="1" applyFill="1" applyBorder="1" applyAlignment="1" applyProtection="1">
      <alignment horizontal="center" vertical="center" wrapText="1"/>
      <protection locked="0"/>
    </xf>
    <xf numFmtId="0" fontId="6" fillId="9" borderId="0" xfId="193" applyFont="1" applyFill="1" applyBorder="1" applyAlignment="1">
      <alignment horizontal="justify" vertical="center" wrapText="1"/>
      <protection locked="0"/>
    </xf>
    <xf numFmtId="0" fontId="157" fillId="0" borderId="0" xfId="0" applyFont="1" applyAlignment="1" applyProtection="1">
      <alignment horizontal="center" vertical="center"/>
      <protection locked="0"/>
    </xf>
    <xf numFmtId="0" fontId="158" fillId="0" borderId="5" xfId="0" applyFont="1" applyBorder="1">
      <alignment vertical="center"/>
    </xf>
    <xf numFmtId="0" fontId="6" fillId="0" borderId="5" xfId="193" applyFont="1" applyBorder="1" applyAlignment="1">
      <alignment horizontal="center"/>
      <protection locked="0"/>
    </xf>
    <xf numFmtId="0" fontId="158" fillId="0" borderId="5" xfId="0" quotePrefix="1" applyFont="1" applyBorder="1">
      <alignment vertical="center"/>
    </xf>
    <xf numFmtId="0" fontId="154" fillId="0" borderId="5" xfId="191" applyFont="1" applyBorder="1" applyAlignment="1">
      <alignment vertical="center"/>
      <protection locked="0"/>
    </xf>
    <xf numFmtId="203" fontId="143" fillId="0" borderId="0" xfId="400" applyFont="1" applyFill="1" applyAlignment="1">
      <alignment horizontal="left" vertical="center"/>
    </xf>
    <xf numFmtId="0" fontId="6" fillId="0" borderId="1" xfId="0" applyFont="1" applyFill="1" applyBorder="1" applyAlignment="1" applyProtection="1">
      <alignment horizontal="center" vertical="center" wrapText="1"/>
    </xf>
    <xf numFmtId="43" fontId="6" fillId="0" borderId="1" xfId="192" applyFont="1" applyBorder="1" applyAlignment="1" applyProtection="1">
      <protection locked="0"/>
    </xf>
    <xf numFmtId="0" fontId="5" fillId="10" borderId="1" xfId="0" applyFont="1" applyFill="1" applyBorder="1" applyProtection="1">
      <alignment vertical="center"/>
      <protection locked="0"/>
    </xf>
    <xf numFmtId="43" fontId="5" fillId="10" borderId="1" xfId="180" applyFont="1" applyFill="1" applyBorder="1" applyAlignment="1" applyProtection="1">
      <alignment horizontal="right" vertical="center"/>
      <protection locked="0"/>
    </xf>
    <xf numFmtId="0" fontId="3" fillId="10" borderId="1" xfId="0" applyFont="1" applyFill="1" applyBorder="1" applyAlignment="1" applyProtection="1">
      <protection locked="0"/>
    </xf>
    <xf numFmtId="43" fontId="5" fillId="10" borderId="1" xfId="180" applyFont="1" applyFill="1" applyBorder="1" applyAlignment="1" applyProtection="1">
      <protection locked="0"/>
    </xf>
    <xf numFmtId="14" fontId="3" fillId="10" borderId="1" xfId="0" applyNumberFormat="1" applyFont="1" applyFill="1" applyBorder="1" applyAlignment="1" applyProtection="1">
      <protection locked="0"/>
    </xf>
    <xf numFmtId="0" fontId="5" fillId="0" borderId="0" xfId="0" applyFont="1" applyProtection="1">
      <alignment vertical="center"/>
      <protection locked="0"/>
    </xf>
    <xf numFmtId="43" fontId="5" fillId="0" borderId="1" xfId="192" applyFont="1" applyBorder="1" applyAlignment="1" applyProtection="1">
      <alignment horizontal="right" vertical="center"/>
      <protection locked="0"/>
    </xf>
    <xf numFmtId="43" fontId="6" fillId="0" borderId="1" xfId="192" applyFont="1" applyBorder="1" applyAlignment="1" applyProtection="1">
      <alignment horizontal="center" vertical="center"/>
      <protection locked="0"/>
    </xf>
    <xf numFmtId="203" fontId="2" fillId="0" borderId="0" xfId="394" applyBorder="1">
      <protection locked="0"/>
    </xf>
    <xf numFmtId="10" fontId="5" fillId="10" borderId="1" xfId="399" applyNumberFormat="1" applyFont="1" applyFill="1" applyBorder="1" applyAlignment="1" applyProtection="1">
      <alignment horizontal="right" vertical="center"/>
      <protection locked="0"/>
    </xf>
    <xf numFmtId="0" fontId="9" fillId="0" borderId="0" xfId="0" applyFont="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6" fillId="0" borderId="1" xfId="316" applyFont="1" applyBorder="1" applyAlignment="1" applyProtection="1">
      <alignment horizontal="left" vertical="center" wrapText="1"/>
      <protection locked="0"/>
    </xf>
    <xf numFmtId="203" fontId="32" fillId="10" borderId="1" xfId="338" applyFont="1" applyFill="1" applyBorder="1" applyAlignment="1">
      <alignment horizontal="center" vertical="center" wrapText="1"/>
      <protection locked="0"/>
    </xf>
    <xf numFmtId="0" fontId="3" fillId="10" borderId="1" xfId="316" applyFont="1" applyFill="1" applyBorder="1" applyAlignment="1" applyProtection="1">
      <alignment horizontal="center" vertical="center"/>
      <protection locked="0"/>
    </xf>
    <xf numFmtId="0" fontId="5" fillId="10" borderId="1" xfId="316" applyFont="1" applyFill="1" applyBorder="1" applyAlignment="1" applyProtection="1">
      <alignment horizontal="center" vertical="center"/>
      <protection locked="0"/>
    </xf>
    <xf numFmtId="0" fontId="3" fillId="10" borderId="1" xfId="316" applyFont="1" applyFill="1" applyBorder="1" applyAlignment="1" applyProtection="1">
      <alignment horizontal="center" vertical="center" wrapText="1"/>
      <protection locked="0"/>
    </xf>
    <xf numFmtId="0" fontId="3" fillId="0" borderId="0" xfId="197" applyFont="1" applyAlignment="1">
      <alignment horizontal="left" vertical="center"/>
      <protection locked="0"/>
    </xf>
    <xf numFmtId="0" fontId="5" fillId="0" borderId="0" xfId="197" applyFont="1" applyAlignment="1">
      <alignment horizontal="left" vertical="center"/>
      <protection locked="0"/>
    </xf>
    <xf numFmtId="49" fontId="32" fillId="10" borderId="1" xfId="338" applyNumberFormat="1" applyFont="1" applyFill="1" applyBorder="1" applyAlignment="1">
      <alignment horizontal="center" vertical="center"/>
      <protection locked="0"/>
    </xf>
    <xf numFmtId="0" fontId="3" fillId="10" borderId="1" xfId="377" applyFont="1" applyFill="1" applyBorder="1" applyAlignment="1" applyProtection="1">
      <alignment horizontal="center" vertical="center" wrapText="1"/>
      <protection locked="0"/>
    </xf>
    <xf numFmtId="0" fontId="11" fillId="0" borderId="1" xfId="316" applyFont="1" applyBorder="1" applyAlignment="1" applyProtection="1">
      <alignment horizontal="center" vertical="center" wrapText="1"/>
      <protection locked="0"/>
    </xf>
    <xf numFmtId="203" fontId="144" fillId="0" borderId="0" xfId="337" applyFont="1" applyBorder="1" applyAlignment="1">
      <alignment horizontal="center" vertical="center"/>
    </xf>
    <xf numFmtId="203" fontId="146" fillId="0" borderId="0" xfId="337" applyFont="1" applyBorder="1" applyAlignment="1">
      <alignment horizontal="center" vertical="center"/>
    </xf>
    <xf numFmtId="203" fontId="142" fillId="0" borderId="0" xfId="338" applyFont="1" applyBorder="1" applyAlignment="1">
      <alignment horizontal="left" vertical="center"/>
      <protection locked="0"/>
    </xf>
    <xf numFmtId="203" fontId="5" fillId="0" borderId="0" xfId="338" applyFont="1" applyBorder="1" applyAlignment="1">
      <alignment horizontal="left" vertical="center"/>
      <protection locked="0"/>
    </xf>
    <xf numFmtId="203" fontId="6" fillId="0" borderId="0" xfId="338" applyFont="1" applyBorder="1" applyAlignment="1">
      <alignment horizontal="left" vertical="center" wrapText="1"/>
      <protection locked="0"/>
    </xf>
    <xf numFmtId="0" fontId="32" fillId="10" borderId="1" xfId="316" applyFont="1" applyFill="1" applyBorder="1" applyAlignment="1" applyProtection="1">
      <alignment horizontal="center" vertical="center"/>
      <protection locked="0"/>
    </xf>
    <xf numFmtId="43" fontId="144" fillId="0" borderId="0" xfId="332" applyNumberFormat="1" applyFont="1" applyBorder="1" applyAlignment="1">
      <alignment horizontal="center" vertical="center"/>
    </xf>
    <xf numFmtId="43" fontId="146" fillId="0" borderId="0" xfId="332" applyNumberFormat="1" applyFont="1" applyBorder="1" applyAlignment="1">
      <alignment horizontal="center" vertical="center"/>
    </xf>
    <xf numFmtId="0" fontId="59" fillId="10" borderId="9" xfId="197" applyFont="1" applyFill="1" applyBorder="1" applyAlignment="1" applyProtection="1">
      <alignment horizontal="center" vertical="center" wrapText="1"/>
    </xf>
    <xf numFmtId="0" fontId="60" fillId="10" borderId="10" xfId="197" applyFont="1" applyFill="1" applyBorder="1" applyAlignment="1" applyProtection="1">
      <alignment vertical="center" wrapText="1"/>
    </xf>
    <xf numFmtId="203" fontId="5" fillId="10" borderId="12" xfId="313" applyFont="1" applyFill="1" applyBorder="1" applyAlignment="1" applyProtection="1">
      <alignment horizontal="center" vertical="center" wrapText="1"/>
      <protection locked="0"/>
    </xf>
    <xf numFmtId="203" fontId="5" fillId="10" borderId="13" xfId="313" applyFont="1" applyFill="1" applyBorder="1" applyAlignment="1" applyProtection="1">
      <alignment horizontal="center" vertical="center" wrapText="1"/>
      <protection locked="0"/>
    </xf>
    <xf numFmtId="203" fontId="5" fillId="10" borderId="14" xfId="313" applyFont="1" applyFill="1" applyBorder="1" applyAlignment="1" applyProtection="1">
      <alignment horizontal="center" vertical="center" wrapText="1"/>
      <protection locked="0"/>
    </xf>
    <xf numFmtId="203" fontId="59" fillId="10" borderId="1" xfId="195" applyNumberFormat="1" applyFont="1" applyFill="1" applyBorder="1" applyAlignment="1">
      <alignment horizontal="center" vertical="center" wrapText="1"/>
      <protection locked="0"/>
    </xf>
    <xf numFmtId="0" fontId="5" fillId="10" borderId="1" xfId="195" applyFont="1" applyFill="1" applyBorder="1" applyAlignment="1">
      <alignment horizontal="center" vertical="center" wrapText="1"/>
      <protection locked="0"/>
    </xf>
    <xf numFmtId="0" fontId="60" fillId="10" borderId="1" xfId="197" applyFont="1" applyFill="1" applyBorder="1" applyAlignment="1" applyProtection="1">
      <alignment horizontal="center" vertical="center"/>
    </xf>
    <xf numFmtId="0" fontId="86" fillId="10" borderId="1" xfId="197" applyFont="1" applyFill="1" applyBorder="1" applyAlignment="1" applyProtection="1">
      <alignment vertical="center"/>
    </xf>
    <xf numFmtId="0" fontId="70" fillId="0" borderId="15" xfId="0" applyFont="1" applyBorder="1" applyAlignment="1">
      <alignment horizontal="left" vertical="center" wrapText="1"/>
    </xf>
    <xf numFmtId="0" fontId="69" fillId="0" borderId="15" xfId="0" applyFont="1" applyBorder="1" applyAlignment="1">
      <alignment horizontal="left" vertical="center" wrapText="1"/>
    </xf>
    <xf numFmtId="0" fontId="144" fillId="0" borderId="0" xfId="164" applyFont="1" applyAlignment="1">
      <alignment horizontal="center" vertical="center"/>
      <protection locked="0"/>
    </xf>
    <xf numFmtId="0" fontId="146" fillId="0" borderId="0" xfId="164" applyFont="1" applyAlignment="1">
      <alignment horizontal="center" vertical="center"/>
      <protection locked="0"/>
    </xf>
    <xf numFmtId="0" fontId="70" fillId="0" borderId="8" xfId="0" applyFont="1" applyBorder="1" applyAlignment="1">
      <alignment horizontal="left" vertical="center" wrapText="1"/>
    </xf>
    <xf numFmtId="0" fontId="69" fillId="0" borderId="0" xfId="0" applyFont="1" applyAlignment="1">
      <alignment horizontal="left" vertical="center" wrapText="1"/>
    </xf>
    <xf numFmtId="43" fontId="68" fillId="0" borderId="15" xfId="0" applyNumberFormat="1" applyFont="1" applyBorder="1" applyAlignment="1">
      <alignment horizontal="left" vertical="center" wrapText="1"/>
    </xf>
    <xf numFmtId="43" fontId="69" fillId="0" borderId="0" xfId="0" applyNumberFormat="1" applyFont="1" applyAlignment="1">
      <alignment horizontal="left" vertical="center" wrapText="1"/>
    </xf>
    <xf numFmtId="43" fontId="68" fillId="0" borderId="8" xfId="0" applyNumberFormat="1" applyFont="1" applyBorder="1" applyAlignment="1">
      <alignment horizontal="left" vertical="center" wrapText="1"/>
    </xf>
    <xf numFmtId="0" fontId="3" fillId="10" borderId="9" xfId="197" applyFont="1" applyFill="1" applyBorder="1" applyAlignment="1">
      <alignment horizontal="center" vertical="center" wrapText="1"/>
      <protection locked="0"/>
    </xf>
    <xf numFmtId="0" fontId="3" fillId="10" borderId="10" xfId="197" applyFont="1" applyFill="1" applyBorder="1" applyAlignment="1">
      <alignment horizontal="center" vertical="center" wrapText="1"/>
      <protection locked="0"/>
    </xf>
    <xf numFmtId="0" fontId="146" fillId="0" borderId="0" xfId="1" applyFont="1" applyAlignment="1">
      <alignment horizontal="center" vertical="center"/>
    </xf>
    <xf numFmtId="0" fontId="148" fillId="0" borderId="0" xfId="0" applyFont="1" applyAlignment="1">
      <alignment horizontal="center" vertical="center"/>
    </xf>
    <xf numFmtId="0" fontId="144" fillId="0" borderId="0" xfId="1" applyFont="1" applyAlignment="1">
      <alignment horizontal="center" vertical="center"/>
    </xf>
    <xf numFmtId="0" fontId="145" fillId="0" borderId="0" xfId="0" applyFont="1" applyAlignment="1">
      <alignment horizontal="center" vertical="center"/>
    </xf>
    <xf numFmtId="0" fontId="3" fillId="10" borderId="12" xfId="197" applyFont="1" applyFill="1" applyBorder="1" applyAlignment="1">
      <alignment horizontal="center" vertical="center" wrapText="1"/>
      <protection locked="0"/>
    </xf>
    <xf numFmtId="0" fontId="3" fillId="10" borderId="13" xfId="197" applyFont="1" applyFill="1" applyBorder="1" applyAlignment="1">
      <alignment horizontal="center" vertical="center" wrapText="1"/>
      <protection locked="0"/>
    </xf>
    <xf numFmtId="0" fontId="3" fillId="10" borderId="14" xfId="197" applyFont="1" applyFill="1" applyBorder="1" applyAlignment="1">
      <alignment horizontal="center" vertical="center" wrapText="1"/>
      <protection locked="0"/>
    </xf>
    <xf numFmtId="0" fontId="0" fillId="0" borderId="10" xfId="0" applyBorder="1" applyAlignment="1">
      <alignment horizontal="center" vertical="center" wrapText="1"/>
    </xf>
    <xf numFmtId="0" fontId="3" fillId="10" borderId="9" xfId="193" applyFont="1" applyFill="1" applyBorder="1" applyAlignment="1">
      <alignment horizontal="center" vertical="center" wrapText="1"/>
      <protection locked="0"/>
    </xf>
    <xf numFmtId="0" fontId="3" fillId="10" borderId="1" xfId="164" applyFont="1" applyFill="1" applyBorder="1" applyAlignment="1">
      <alignment horizontal="center" vertical="center" wrapText="1"/>
      <protection locked="0"/>
    </xf>
    <xf numFmtId="0" fontId="5" fillId="10" borderId="1" xfId="164" applyFont="1" applyFill="1" applyBorder="1" applyAlignment="1">
      <alignment horizontal="center" vertical="center" wrapText="1"/>
      <protection locked="0"/>
    </xf>
    <xf numFmtId="0" fontId="3" fillId="10" borderId="9" xfId="164" applyFont="1" applyFill="1" applyBorder="1" applyAlignment="1">
      <alignment horizontal="center" vertical="center" wrapText="1"/>
      <protection locked="0"/>
    </xf>
    <xf numFmtId="0" fontId="5" fillId="10" borderId="10" xfId="164" applyFont="1" applyFill="1" applyBorder="1" applyAlignment="1">
      <alignment horizontal="center" vertical="center" wrapText="1"/>
      <protection locked="0"/>
    </xf>
    <xf numFmtId="0" fontId="77" fillId="10" borderId="12"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76" fillId="10" borderId="1" xfId="0" applyFont="1" applyFill="1" applyBorder="1" applyAlignment="1">
      <alignment horizontal="center" vertical="center" wrapText="1"/>
    </xf>
    <xf numFmtId="0" fontId="77" fillId="10" borderId="1" xfId="0" applyFont="1" applyFill="1" applyBorder="1" applyAlignment="1">
      <alignment horizontal="center" vertical="center" wrapText="1"/>
    </xf>
    <xf numFmtId="0" fontId="3" fillId="39" borderId="12" xfId="197" applyFont="1" applyFill="1" applyBorder="1" applyAlignment="1">
      <alignment horizontal="center" vertical="center" wrapText="1"/>
      <protection locked="0"/>
    </xf>
    <xf numFmtId="0" fontId="0" fillId="39" borderId="13" xfId="0" applyFill="1" applyBorder="1" applyAlignment="1">
      <alignment horizontal="center" vertical="center" wrapText="1"/>
    </xf>
    <xf numFmtId="0" fontId="0" fillId="39" borderId="14" xfId="0" applyFill="1" applyBorder="1" applyAlignment="1">
      <alignment horizontal="center" vertical="center" wrapText="1"/>
    </xf>
    <xf numFmtId="0" fontId="3" fillId="39" borderId="1" xfId="197" applyFont="1" applyFill="1" applyBorder="1" applyAlignment="1">
      <alignment horizontal="center" vertical="center" wrapText="1"/>
      <protection locked="0"/>
    </xf>
    <xf numFmtId="0" fontId="0" fillId="39" borderId="1" xfId="0" applyFill="1" applyBorder="1" applyAlignment="1">
      <alignment horizontal="center" vertical="center" wrapText="1"/>
    </xf>
    <xf numFmtId="0" fontId="3" fillId="39" borderId="13" xfId="197" applyFont="1" applyFill="1" applyBorder="1" applyAlignment="1">
      <alignment horizontal="center" vertical="center" wrapText="1"/>
      <protection locked="0"/>
    </xf>
    <xf numFmtId="0" fontId="3" fillId="39" borderId="9" xfId="197" applyFont="1" applyFill="1" applyBorder="1" applyAlignment="1">
      <alignment horizontal="center" vertical="center" wrapText="1"/>
      <protection locked="0"/>
    </xf>
    <xf numFmtId="0" fontId="3" fillId="39" borderId="10" xfId="197" applyFont="1" applyFill="1" applyBorder="1" applyAlignment="1">
      <alignment horizontal="center" vertical="center" wrapText="1"/>
      <protection locked="0"/>
    </xf>
    <xf numFmtId="203" fontId="5" fillId="10" borderId="12" xfId="364" applyFont="1" applyFill="1" applyBorder="1" applyAlignment="1">
      <alignment horizontal="center" vertical="center"/>
      <protection locked="0"/>
    </xf>
    <xf numFmtId="203" fontId="5" fillId="10" borderId="13" xfId="364" applyFont="1" applyFill="1" applyBorder="1" applyAlignment="1">
      <alignment horizontal="center" vertical="center"/>
      <protection locked="0"/>
    </xf>
    <xf numFmtId="203" fontId="5" fillId="10" borderId="14" xfId="364" applyFont="1" applyFill="1" applyBorder="1" applyAlignment="1">
      <alignment horizontal="center" vertical="center"/>
      <protection locked="0"/>
    </xf>
    <xf numFmtId="203" fontId="3" fillId="10" borderId="1" xfId="393" applyFont="1" applyFill="1" applyBorder="1" applyAlignment="1">
      <alignment horizontal="center" vertical="center"/>
      <protection locked="0"/>
    </xf>
    <xf numFmtId="203" fontId="5" fillId="10" borderId="1" xfId="393" applyFont="1" applyFill="1" applyBorder="1" applyAlignment="1">
      <alignment horizontal="center" vertical="center"/>
      <protection locked="0"/>
    </xf>
    <xf numFmtId="0" fontId="3" fillId="10" borderId="26" xfId="193" applyFont="1" applyFill="1" applyBorder="1" applyAlignment="1">
      <alignment horizontal="center" vertical="center"/>
      <protection locked="0"/>
    </xf>
    <xf numFmtId="0" fontId="3" fillId="10" borderId="25" xfId="193" applyFont="1" applyFill="1" applyBorder="1" applyAlignment="1">
      <alignment horizontal="center" vertical="center"/>
      <protection locked="0"/>
    </xf>
    <xf numFmtId="0" fontId="3" fillId="10" borderId="27" xfId="193" applyFont="1" applyFill="1" applyBorder="1" applyAlignment="1">
      <alignment horizontal="center" vertical="center"/>
      <protection locked="0"/>
    </xf>
    <xf numFmtId="203" fontId="3" fillId="39" borderId="1" xfId="393" applyFont="1" applyFill="1" applyBorder="1" applyAlignment="1">
      <alignment horizontal="center" vertical="center" wrapText="1"/>
      <protection locked="0"/>
    </xf>
    <xf numFmtId="203" fontId="5" fillId="39" borderId="1" xfId="393" applyFont="1" applyFill="1" applyBorder="1" applyAlignment="1">
      <alignment horizontal="center" vertical="center" wrapText="1"/>
      <protection locked="0"/>
    </xf>
    <xf numFmtId="203" fontId="3" fillId="41" borderId="1" xfId="396" applyFont="1" applyFill="1" applyBorder="1" applyAlignment="1">
      <alignment horizontal="center" vertical="center" wrapText="1"/>
    </xf>
    <xf numFmtId="203" fontId="3" fillId="41" borderId="9" xfId="396" applyFont="1" applyFill="1" applyBorder="1" applyAlignment="1">
      <alignment horizontal="center" vertical="center" wrapText="1"/>
    </xf>
    <xf numFmtId="203" fontId="3" fillId="41" borderId="10" xfId="396" applyFont="1" applyFill="1" applyBorder="1" applyAlignment="1">
      <alignment horizontal="center" vertical="center" wrapText="1"/>
    </xf>
    <xf numFmtId="203" fontId="5" fillId="39" borderId="12" xfId="364" applyFont="1" applyFill="1" applyBorder="1" applyAlignment="1">
      <alignment horizontal="center" vertical="center"/>
      <protection locked="0"/>
    </xf>
    <xf numFmtId="203" fontId="5" fillId="39" borderId="13" xfId="364" applyFont="1" applyFill="1" applyBorder="1" applyAlignment="1">
      <alignment horizontal="center" vertical="center"/>
      <protection locked="0"/>
    </xf>
    <xf numFmtId="203" fontId="5" fillId="39" borderId="14" xfId="364" applyFont="1" applyFill="1" applyBorder="1" applyAlignment="1">
      <alignment horizontal="center" vertical="center"/>
      <protection locked="0"/>
    </xf>
    <xf numFmtId="14" fontId="3" fillId="39" borderId="1" xfId="364" applyNumberFormat="1" applyFont="1" applyFill="1" applyBorder="1" applyAlignment="1">
      <alignment horizontal="center" vertical="center"/>
      <protection locked="0"/>
    </xf>
    <xf numFmtId="0" fontId="3" fillId="41" borderId="1" xfId="193" applyFont="1" applyFill="1" applyBorder="1" applyAlignment="1" applyProtection="1">
      <alignment horizontal="center" vertical="center" wrapText="1"/>
    </xf>
    <xf numFmtId="0" fontId="3" fillId="0" borderId="0" xfId="196" applyFont="1" applyAlignment="1">
      <alignment horizontal="left" vertical="center"/>
    </xf>
    <xf numFmtId="0" fontId="5" fillId="0" borderId="0" xfId="196" applyFont="1" applyAlignment="1">
      <alignment horizontal="left" vertical="center"/>
    </xf>
    <xf numFmtId="0" fontId="78" fillId="10" borderId="1" xfId="0" applyFont="1" applyFill="1" applyBorder="1" applyAlignment="1" applyProtection="1">
      <alignment horizontal="center" vertical="center" wrapText="1"/>
      <protection locked="0"/>
    </xf>
    <xf numFmtId="0" fontId="80" fillId="10" borderId="1" xfId="0" applyFont="1" applyFill="1" applyBorder="1" applyAlignment="1" applyProtection="1">
      <alignment horizontal="center" vertical="center" wrapText="1"/>
      <protection locked="0"/>
    </xf>
    <xf numFmtId="0" fontId="57" fillId="0" borderId="0" xfId="166" applyFont="1" applyAlignment="1">
      <alignment horizontal="left" vertical="center" wrapText="1"/>
    </xf>
    <xf numFmtId="0" fontId="0" fillId="0" borderId="0" xfId="0">
      <alignment vertical="center"/>
    </xf>
    <xf numFmtId="0" fontId="5" fillId="0" borderId="0" xfId="166" applyFont="1" applyAlignment="1">
      <alignment horizontal="left" vertical="center" wrapText="1"/>
    </xf>
    <xf numFmtId="0" fontId="6" fillId="0" borderId="0" xfId="166" applyFont="1" applyAlignment="1">
      <alignment horizontal="left" vertical="center" wrapText="1"/>
    </xf>
    <xf numFmtId="0" fontId="6" fillId="0" borderId="0" xfId="166" applyFont="1" applyAlignment="1">
      <alignment horizontal="left" vertical="center"/>
    </xf>
    <xf numFmtId="0" fontId="84" fillId="0" borderId="0" xfId="166" applyFont="1" applyAlignment="1">
      <alignment horizontal="left" vertical="center"/>
    </xf>
    <xf numFmtId="0" fontId="84" fillId="0" borderId="0" xfId="166" applyFont="1" applyAlignment="1">
      <alignment horizontal="left" vertical="center" wrapText="1"/>
    </xf>
    <xf numFmtId="0" fontId="6" fillId="0" borderId="0" xfId="166" applyFont="1" applyAlignment="1">
      <alignment vertical="center" wrapText="1"/>
    </xf>
  </cellXfs>
  <cellStyles count="401">
    <cellStyle name="%" xfId="4"/>
    <cellStyle name="% 2" xfId="198"/>
    <cellStyle name="?" xfId="5"/>
    <cellStyle name="? 2" xfId="340"/>
    <cellStyle name="??" xfId="199"/>
    <cellStyle name="?? [0]" xfId="200"/>
    <cellStyle name="??_0N-HANDLING " xfId="201"/>
    <cellStyle name="?餡_x000c_k" xfId="6"/>
    <cellStyle name="?餡_x000c_k?_x000d_^" xfId="7"/>
    <cellStyle name="?餡_x000c_k?_x000d_^黇_x0001_??_x0007__x0001__x0001_" xfId="8"/>
    <cellStyle name="@_text" xfId="9"/>
    <cellStyle name="@_text_子公司附注汇总(房开公司)" xfId="202"/>
    <cellStyle name="_(本部)2006年年报审计PBC表" xfId="203"/>
    <cellStyle name="_07930建造合同" xfId="204"/>
    <cellStyle name="_12月项目部访问及审计-德勤" xfId="205"/>
    <cellStyle name="_2005-08-31审计底稿－李" xfId="206"/>
    <cellStyle name="_2005审计报表及附注-中国建材股份模板（房屋）" xfId="10"/>
    <cellStyle name="_2006年年报审计PBC表（合并）" xfId="207"/>
    <cellStyle name="_2006年年报审计PBC表-XX" xfId="208"/>
    <cellStyle name="_2006年年报审计PBC表-XXX" xfId="11"/>
    <cellStyle name="_2006年年报审计PBC表-福州分公司" xfId="209"/>
    <cellStyle name="_2006年年报审计PBC表-云南分公司" xfId="210"/>
    <cellStyle name="_2006年年报审计填报资料" xfId="12"/>
    <cellStyle name="_2007调整分录-鲁佳" xfId="211"/>
    <cellStyle name="_Book1" xfId="13"/>
    <cellStyle name="_CREC(Huo" xfId="212"/>
    <cellStyle name="_ET_STYLE_NoName_00_" xfId="213"/>
    <cellStyle name="_ET_STYLE_NoName_00__2007调整分录-鲁佳" xfId="214"/>
    <cellStyle name="_ET_STYLE_NoName_00__股份本部" xfId="215"/>
    <cellStyle name="_ET_STYLE_NoName_00__股份本部_1" xfId="216"/>
    <cellStyle name="_ET_STYLE_NoName_00__股份本部_3" xfId="217"/>
    <cellStyle name="_ET_STYLE_NoName_00__股份本部_6_股份本部_2" xfId="218"/>
    <cellStyle name="_ET_STYLE_NoName_00__股份本部_7_股份本部_3" xfId="219"/>
    <cellStyle name="_J1000-存货-ZHHG"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本部其他应收应付年审底稿--鲁佳pb" xfId="220"/>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合并报表审计调整模板(CREC)" xfId="221"/>
    <cellStyle name="_合并公司2006年度科目明细表(定稿)" xfId="222"/>
    <cellStyle name="_建造合同-宜万指（正式版）" xfId="32"/>
    <cellStyle name="_科目核对表" xfId="33"/>
    <cellStyle name="_刘青分工填列信息统计" xfId="223"/>
    <cellStyle name="_刘青分工－子公司审计模板-电务" xfId="224"/>
    <cellStyle name="_刘青分工－子公司审计模板－铁达本部" xfId="225"/>
    <cellStyle name="_母PL" xfId="34"/>
    <cellStyle name="_母公司底稿-鲁佳" xfId="226"/>
    <cellStyle name="_年审筹资循环资料清单" xfId="227"/>
    <cellStyle name="_人员分工备忘录" xfId="35"/>
    <cellStyle name="_审计底稿-轩" xfId="228"/>
    <cellStyle name="_审计所需资料清单－子公司" xfId="36"/>
    <cellStyle name="_审计提示模版" xfId="229"/>
    <cellStyle name="_审计提示模版-母公司部分" xfId="230"/>
    <cellStyle name="_铁鸿源－刘青分工－子公司审计模板" xfId="231"/>
    <cellStyle name="_兴华审计成本" xfId="232"/>
    <cellStyle name="_岩土长投--急0121报王占学" xfId="233"/>
    <cellStyle name="_一公司建造合同前5名" xfId="37"/>
    <cellStyle name="_一公司－刘丰收" xfId="38"/>
    <cellStyle name="_银行询证函统计－大表" xfId="234"/>
    <cellStyle name="_长期借款－江阴" xfId="39"/>
    <cellStyle name="_子公司筹资循环－刘青" xfId="235"/>
    <cellStyle name="_子公司审计提示模版-Liufs" xfId="40"/>
    <cellStyle name="{Comma [0]}" xfId="41"/>
    <cellStyle name="{Comma}" xfId="42"/>
    <cellStyle name="{Date}" xfId="43"/>
    <cellStyle name="{Month}" xfId="44"/>
    <cellStyle name="{Percent}" xfId="45"/>
    <cellStyle name="{Thousand [0]}" xfId="46"/>
    <cellStyle name="{Thousand}" xfId="47"/>
    <cellStyle name="{Z'0000(1 dec)}" xfId="48"/>
    <cellStyle name="{Z'0000(4 dec)}" xfId="49"/>
    <cellStyle name="0%" xfId="50"/>
    <cellStyle name="0,0_x000d__x000a_NA_x000d__x000a_" xfId="51"/>
    <cellStyle name="0,0_x000d__x000a_NA_x000d__x000a_ 2" xfId="334"/>
    <cellStyle name="0.0%" xfId="52"/>
    <cellStyle name="0.00%" xfId="53"/>
    <cellStyle name="00" xfId="236"/>
    <cellStyle name="20% - Accent1" xfId="237"/>
    <cellStyle name="20% - Accent2" xfId="238"/>
    <cellStyle name="20% - Accent3" xfId="239"/>
    <cellStyle name="20% - Accent4" xfId="240"/>
    <cellStyle name="20% - Accent5" xfId="241"/>
    <cellStyle name="20% - Accent6" xfId="242"/>
    <cellStyle name="40% - Accent1" xfId="243"/>
    <cellStyle name="40% - Accent2" xfId="244"/>
    <cellStyle name="40% - Accent3" xfId="245"/>
    <cellStyle name="40% - Accent4" xfId="246"/>
    <cellStyle name="40% - Accent5" xfId="247"/>
    <cellStyle name="40% - Accent6" xfId="248"/>
    <cellStyle name="60% - Accent1" xfId="249"/>
    <cellStyle name="60% - Accent2" xfId="250"/>
    <cellStyle name="60% - Accent3" xfId="251"/>
    <cellStyle name="60% - Accent4" xfId="252"/>
    <cellStyle name="60% - Accent5" xfId="253"/>
    <cellStyle name="60% - Accent6" xfId="254"/>
    <cellStyle name="Accent1" xfId="255"/>
    <cellStyle name="Accent2" xfId="256"/>
    <cellStyle name="Accent3" xfId="257"/>
    <cellStyle name="Accent4" xfId="258"/>
    <cellStyle name="Accent5" xfId="259"/>
    <cellStyle name="Accent6" xfId="260"/>
    <cellStyle name="args.style" xfId="261"/>
    <cellStyle name="Bad" xfId="262"/>
    <cellStyle name="Black" xfId="54"/>
    <cellStyle name="Border" xfId="55"/>
    <cellStyle name="Calc Currency (0)" xfId="56"/>
    <cellStyle name="Calc Currency (2)" xfId="57"/>
    <cellStyle name="Calc Percent (0)" xfId="58"/>
    <cellStyle name="Calc Percent (1)" xfId="59"/>
    <cellStyle name="Calc Percent (2)" xfId="60"/>
    <cellStyle name="Calc Units (0)" xfId="61"/>
    <cellStyle name="Calc Units (1)" xfId="62"/>
    <cellStyle name="Calc Units (2)" xfId="63"/>
    <cellStyle name="Calculation" xfId="263"/>
    <cellStyle name="category" xfId="64"/>
    <cellStyle name="Check Cell" xfId="264"/>
    <cellStyle name="Col Heads" xfId="65"/>
    <cellStyle name="Column_Title" xfId="66"/>
    <cellStyle name="Comma  - Style1" xfId="67"/>
    <cellStyle name="Comma  - Style2" xfId="68"/>
    <cellStyle name="Comma  - Style3" xfId="69"/>
    <cellStyle name="Comma  - Style4" xfId="70"/>
    <cellStyle name="Comma  - Style5" xfId="71"/>
    <cellStyle name="Comma  - Style6" xfId="72"/>
    <cellStyle name="Comma  - Style7" xfId="73"/>
    <cellStyle name="Comma  - Style8" xfId="74"/>
    <cellStyle name="Comma [0]_ rislugp" xfId="75"/>
    <cellStyle name="Comma [00]" xfId="76"/>
    <cellStyle name="Comma 28" xfId="77"/>
    <cellStyle name="comma zerodec" xfId="78"/>
    <cellStyle name="Comma,0" xfId="79"/>
    <cellStyle name="Comma,1" xfId="80"/>
    <cellStyle name="Comma,2" xfId="81"/>
    <cellStyle name="Comma_ rislugp" xfId="82"/>
    <cellStyle name="Copied" xfId="265"/>
    <cellStyle name="COST1" xfId="266"/>
    <cellStyle name="Currency [0]_ rislugp" xfId="83"/>
    <cellStyle name="Currency [00]" xfId="84"/>
    <cellStyle name="Currency,0" xfId="85"/>
    <cellStyle name="Currency,2" xfId="86"/>
    <cellStyle name="Currency_ rislugp" xfId="87"/>
    <cellStyle name="Currency1" xfId="88"/>
    <cellStyle name="Date" xfId="267"/>
    <cellStyle name="Date Short" xfId="89"/>
    <cellStyle name="Dezimal [0]_laroux" xfId="90"/>
    <cellStyle name="Dezimal_laroux" xfId="91"/>
    <cellStyle name="Dollar (zero dec)" xfId="92"/>
    <cellStyle name="E&amp;Y House" xfId="268"/>
    <cellStyle name="Enter Currency (0)" xfId="93"/>
    <cellStyle name="Enter Currency (2)" xfId="94"/>
    <cellStyle name="Enter Units (0)" xfId="95"/>
    <cellStyle name="Enter Units (1)" xfId="96"/>
    <cellStyle name="Enter Units (2)" xfId="97"/>
    <cellStyle name="Entered" xfId="269"/>
    <cellStyle name="entry" xfId="98"/>
    <cellStyle name="entry box" xfId="99"/>
    <cellStyle name="Euro" xfId="100"/>
    <cellStyle name="Explanatory Text" xfId="270"/>
    <cellStyle name="Followed Hyperlink_AheadBehind.xls Chart 23" xfId="101"/>
    <cellStyle name="Good" xfId="271"/>
    <cellStyle name="Grey" xfId="102"/>
    <cellStyle name="HEADER" xfId="103"/>
    <cellStyle name="Header1" xfId="104"/>
    <cellStyle name="Header2" xfId="105"/>
    <cellStyle name="Heading" xfId="106"/>
    <cellStyle name="Heading 1" xfId="272"/>
    <cellStyle name="Heading 2" xfId="273"/>
    <cellStyle name="Heading 3" xfId="274"/>
    <cellStyle name="Heading 4" xfId="275"/>
    <cellStyle name="Hyperlink_AheadBehind.xls Chart 23" xfId="107"/>
    <cellStyle name="Input" xfId="276"/>
    <cellStyle name="Input [yellow]" xfId="108"/>
    <cellStyle name="Input Cells" xfId="277"/>
    <cellStyle name="left" xfId="109"/>
    <cellStyle name="Link Currency (0)" xfId="110"/>
    <cellStyle name="Link Currency (2)" xfId="111"/>
    <cellStyle name="Link Units (0)" xfId="112"/>
    <cellStyle name="Link Units (1)" xfId="113"/>
    <cellStyle name="Link Units (2)" xfId="114"/>
    <cellStyle name="Linked Cell" xfId="278"/>
    <cellStyle name="Linked Cells" xfId="279"/>
    <cellStyle name="Millares [0]_laroux" xfId="115"/>
    <cellStyle name="Millares_laroux" xfId="116"/>
    <cellStyle name="Milliers [0]_!!!GO" xfId="280"/>
    <cellStyle name="Milliers_!!!GO" xfId="281"/>
    <cellStyle name="Model" xfId="117"/>
    <cellStyle name="Moneda [0]_laroux" xfId="118"/>
    <cellStyle name="Moneda_laroux" xfId="119"/>
    <cellStyle name="Monétaire [0]_!!!GO" xfId="282"/>
    <cellStyle name="Monétaire_!!!GO" xfId="283"/>
    <cellStyle name="Mon閠aire [0]_laroux" xfId="120"/>
    <cellStyle name="Mon閠aire_laroux" xfId="121"/>
    <cellStyle name="Neutral" xfId="284"/>
    <cellStyle name="New Times Roman" xfId="285"/>
    <cellStyle name="no dec" xfId="122"/>
    <cellStyle name="Non défini" xfId="123"/>
    <cellStyle name="Normal - Style1" xfId="124"/>
    <cellStyle name="Normal 2" xfId="286"/>
    <cellStyle name="Normal 2 2" xfId="287"/>
    <cellStyle name="Normal 21" xfId="125"/>
    <cellStyle name="Normal 3 2" xfId="288"/>
    <cellStyle name="Normal_ rislugp" xfId="126"/>
    <cellStyle name="Normalny_Arkusz1" xfId="127"/>
    <cellStyle name="Note" xfId="289"/>
    <cellStyle name="Œ…‹æØ‚è [0.00]_Region Orders (2)" xfId="290"/>
    <cellStyle name="Œ…‹æØ‚è_Region Orders (2)" xfId="291"/>
    <cellStyle name="Output" xfId="292"/>
    <cellStyle name="per.style" xfId="293"/>
    <cellStyle name="Percent (0)" xfId="128"/>
    <cellStyle name="Percent [0]" xfId="129"/>
    <cellStyle name="Percent [00]" xfId="130"/>
    <cellStyle name="Percent [2]" xfId="131"/>
    <cellStyle name="Prefilled" xfId="132"/>
    <cellStyle name="PrePop Currency (0)" xfId="133"/>
    <cellStyle name="PrePop Currency (2)" xfId="134"/>
    <cellStyle name="PrePop Units (0)" xfId="135"/>
    <cellStyle name="PrePop Units (1)" xfId="136"/>
    <cellStyle name="PrePop Units (2)" xfId="137"/>
    <cellStyle name="price" xfId="138"/>
    <cellStyle name="pricing" xfId="294"/>
    <cellStyle name="PSChar" xfId="295"/>
    <cellStyle name="Red" xfId="139"/>
    <cellStyle name="revised" xfId="140"/>
    <cellStyle name="RevList" xfId="296"/>
    <cellStyle name="row_def_array" xfId="297"/>
    <cellStyle name="S4" xfId="298"/>
    <cellStyle name="S5" xfId="299"/>
    <cellStyle name="section" xfId="141"/>
    <cellStyle name="SOR" xfId="142"/>
    <cellStyle name="style" xfId="143"/>
    <cellStyle name="style1" xfId="144"/>
    <cellStyle name="style2" xfId="145"/>
    <cellStyle name="subhead" xfId="146"/>
    <cellStyle name="Subtotal" xfId="300"/>
    <cellStyle name="Text Indent A" xfId="147"/>
    <cellStyle name="Text Indent B" xfId="148"/>
    <cellStyle name="Text Indent C" xfId="149"/>
    <cellStyle name="Tickmark" xfId="150"/>
    <cellStyle name="title" xfId="151"/>
    <cellStyle name="Total" xfId="301"/>
    <cellStyle name="Warning Text" xfId="302"/>
    <cellStyle name="wrap" xfId="152"/>
    <cellStyle name="パーセント_laroux" xfId="153"/>
    <cellStyle name="_PLDT" xfId="154"/>
    <cellStyle name="_laroux" xfId="303"/>
    <cellStyle name="だ[0]_PLDT" xfId="155"/>
    <cellStyle name="だ_PLDT" xfId="156"/>
    <cellStyle name="だ[0]_Total (2)" xfId="157"/>
    <cellStyle name="だ_laroux" xfId="304"/>
    <cellStyle name="百分比" xfId="399" builtinId="5"/>
    <cellStyle name="百分比 2" xfId="158"/>
    <cellStyle name="百分比 2 2" xfId="341"/>
    <cellStyle name="百分比 2 3" xfId="342"/>
    <cellStyle name="百分比 3" xfId="159"/>
    <cellStyle name="百分比 3 2" xfId="343"/>
    <cellStyle name="捠壿 [0.00]_PRODUCT DETAIL Q1" xfId="305"/>
    <cellStyle name="捠壿_PRODUCT DETAIL Q1" xfId="306"/>
    <cellStyle name="標準_１１月価格表" xfId="160"/>
    <cellStyle name="差_StartUp" xfId="307"/>
    <cellStyle name="差_T1000-主营业务收入-LJCH" xfId="161"/>
    <cellStyle name="差_子公司附注汇总(房开公司)" xfId="308"/>
    <cellStyle name="常规" xfId="0" builtinId="0"/>
    <cellStyle name="常规 10" xfId="344"/>
    <cellStyle name="常规 10 2" xfId="345"/>
    <cellStyle name="常规 10 3" xfId="346"/>
    <cellStyle name="常规 10 4" xfId="347"/>
    <cellStyle name="常规 11 2" xfId="348"/>
    <cellStyle name="常规 11 3" xfId="349"/>
    <cellStyle name="常规 11 4" xfId="350"/>
    <cellStyle name="常规 11 5" xfId="400"/>
    <cellStyle name="常规 12 2" xfId="351"/>
    <cellStyle name="常规 12 3" xfId="352"/>
    <cellStyle name="常规 12 4" xfId="353"/>
    <cellStyle name="常规 13" xfId="398"/>
    <cellStyle name="常规 13 2" xfId="354"/>
    <cellStyle name="常规 13 3" xfId="355"/>
    <cellStyle name="常规 13 4" xfId="356"/>
    <cellStyle name="常规 2" xfId="162"/>
    <cellStyle name="常规 2 2" xfId="193"/>
    <cellStyle name="常规 2 2 2" xfId="309"/>
    <cellStyle name="常规 2 2 2 2" xfId="357"/>
    <cellStyle name="常规 2 2 3" xfId="335"/>
    <cellStyle name="常规 2 2 3 2" xfId="358"/>
    <cellStyle name="常规 2 2 3 3" xfId="359"/>
    <cellStyle name="常规 2 2 4" xfId="360"/>
    <cellStyle name="常规 2 2 5" xfId="393"/>
    <cellStyle name="常规 2 3" xfId="310"/>
    <cellStyle name="常规 2 3 2" xfId="361"/>
    <cellStyle name="常规 2 3 3" xfId="362"/>
    <cellStyle name="常规 2 3 4" xfId="338"/>
    <cellStyle name="常规 2 4" xfId="363"/>
    <cellStyle name="常规 2 5" xfId="364"/>
    <cellStyle name="常规 2 6" xfId="365"/>
    <cellStyle name="常规 2 7" xfId="366"/>
    <cellStyle name="常规 2 8" xfId="197"/>
    <cellStyle name="常规 2 8 2" xfId="394"/>
    <cellStyle name="常规 2 9" xfId="396"/>
    <cellStyle name="常规 2_经销商信息-1-原始表" xfId="367"/>
    <cellStyle name="常规 3" xfId="163"/>
    <cellStyle name="常规 3 2" xfId="311"/>
    <cellStyle name="常规 3 2 2" xfId="195"/>
    <cellStyle name="常规 3 2 2 2" xfId="368"/>
    <cellStyle name="常规 3 3" xfId="312"/>
    <cellStyle name="常规 3 4" xfId="369"/>
    <cellStyle name="常规 4" xfId="164"/>
    <cellStyle name="常规 4 2" xfId="313"/>
    <cellStyle name="常规 4 3" xfId="370"/>
    <cellStyle name="常规 4 4" xfId="371"/>
    <cellStyle name="常规 5" xfId="165"/>
    <cellStyle name="常规 5 2" xfId="314"/>
    <cellStyle name="常规 5 3" xfId="372"/>
    <cellStyle name="常规 5 4" xfId="373"/>
    <cellStyle name="常规 6" xfId="166"/>
    <cellStyle name="常规 6 2" xfId="315"/>
    <cellStyle name="常规 6 3" xfId="374"/>
    <cellStyle name="常规 6 4" xfId="375"/>
    <cellStyle name="常规 6 5" xfId="376"/>
    <cellStyle name="常规 7" xfId="316"/>
    <cellStyle name="常规 7 2" xfId="377"/>
    <cellStyle name="常规 7 3" xfId="378"/>
    <cellStyle name="常规 7 4" xfId="379"/>
    <cellStyle name="常规 8" xfId="380"/>
    <cellStyle name="常规 8 2" xfId="381"/>
    <cellStyle name="常规 8 3" xfId="382"/>
    <cellStyle name="常规 8 4" xfId="383"/>
    <cellStyle name="常规 9" xfId="384"/>
    <cellStyle name="常规 9 2" xfId="385"/>
    <cellStyle name="常规 9 3" xfId="386"/>
    <cellStyle name="常规 9 4" xfId="387"/>
    <cellStyle name="常规_2-1项目审定表－模板" xfId="2"/>
    <cellStyle name="常规_Book1" xfId="1"/>
    <cellStyle name="常规_Book1 2" xfId="337"/>
    <cellStyle name="常规_c-资产类" xfId="189"/>
    <cellStyle name="常规_F1短期投资及跌价准备" xfId="190"/>
    <cellStyle name="常规_sheet" xfId="333"/>
    <cellStyle name="常规_进一步审计程序--销售与收款循环" xfId="196"/>
    <cellStyle name="常规_进一步审计程序--销售与收款循环 2" xfId="395"/>
    <cellStyle name="常规_新审定表" xfId="332"/>
    <cellStyle name="常规_制造费用" xfId="3"/>
    <cellStyle name="常规_制造费用 2" xfId="339"/>
    <cellStyle name="超级链接_B4-1审计项目工时预算与控制表(集团)" xfId="167"/>
    <cellStyle name="超链接" xfId="191" builtinId="8"/>
    <cellStyle name="超链接 2" xfId="168"/>
    <cellStyle name="超链接 2 2" xfId="317"/>
    <cellStyle name="超链接 3" xfId="318"/>
    <cellStyle name="分级显示行_1_4附件二凯旋评估表" xfId="169"/>
    <cellStyle name="好_StartUp" xfId="319"/>
    <cellStyle name="好_T1000-主营业务收入" xfId="170"/>
    <cellStyle name="好_子公司附注汇总(房开公司)" xfId="320"/>
    <cellStyle name="桁区切り [0.00]_１１月価格表" xfId="171"/>
    <cellStyle name="桁区切り_１１月価格表" xfId="172"/>
    <cellStyle name="霓付 [0]_1202" xfId="321"/>
    <cellStyle name="霓付_1202" xfId="322"/>
    <cellStyle name="烹拳 [0]_1202" xfId="323"/>
    <cellStyle name="烹拳_1202" xfId="324"/>
    <cellStyle name="砯刽 [0]_PLDT" xfId="173"/>
    <cellStyle name="砯刽_PLDT" xfId="174"/>
    <cellStyle name="普通_ 白土" xfId="175"/>
    <cellStyle name="千分位[0]_ 白土" xfId="176"/>
    <cellStyle name="千分位_ 白土" xfId="177"/>
    <cellStyle name="千位[0]_ 应交税金审定表" xfId="178"/>
    <cellStyle name="千位_ 应交税金审定表" xfId="179"/>
    <cellStyle name="千位分隔" xfId="192" builtinId="3"/>
    <cellStyle name="千位分隔 2" xfId="180"/>
    <cellStyle name="千位分隔 2 2" xfId="388"/>
    <cellStyle name="千位分隔 2 3" xfId="325"/>
    <cellStyle name="千位分隔 2 3 2" xfId="389"/>
    <cellStyle name="千位分隔 2 4" xfId="390"/>
    <cellStyle name="千位分隔 3" xfId="194"/>
    <cellStyle name="千位分隔 3 2" xfId="391"/>
    <cellStyle name="千位分隔 3 3" xfId="392"/>
    <cellStyle name="千位分隔 6" xfId="397"/>
    <cellStyle name="千位分隔[0] 2" xfId="326"/>
    <cellStyle name="钎霖_(沥焊何巩)岿喊牢盔拌裙" xfId="327"/>
    <cellStyle name="通貨 [0.00]_１１月価格表" xfId="181"/>
    <cellStyle name="通貨_１１月価格表" xfId="182"/>
    <cellStyle name="样式 1" xfId="183"/>
    <cellStyle name="样式 1 2" xfId="336"/>
    <cellStyle name="昗弨_BOOKSHIP" xfId="328"/>
    <cellStyle name="寘嬫愗傝 [0.00]_PRODUCT DETAIL Q1" xfId="329"/>
    <cellStyle name="寘嬫愗傝_PRODUCT DETAIL Q1" xfId="330"/>
    <cellStyle name="资产" xfId="331"/>
    <cellStyle name="콤마 [0]_BOILER-CO1" xfId="184"/>
    <cellStyle name="콤마_BOILER-CO1" xfId="185"/>
    <cellStyle name="통화 [0]_BOILER-CO1" xfId="186"/>
    <cellStyle name="통화_BOILER-CO1" xfId="187"/>
    <cellStyle name="표준_0N-HANDLING " xfId="188"/>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Zhang Juan 张娟" id="{423D90FC-A937-43D6-8061-990765FCADAE}" userId="S-1-5-21-2973868822-3583477969-1381510699-45323"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0" dT="2023-10-26T06:25:32.76" personId="{423D90FC-A937-43D6-8061-990765FCADAE}" id="{4B85E099-5449-40BA-9A80-B0106B706EE8}">
    <text>若公允价值变动已经包含利息，则单独计提的应付利息不应重复计入账面价值；若公允价值变动不含利息，则账面价值应包含计提的利息。</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5"/>
  <sheetViews>
    <sheetView tabSelected="1" workbookViewId="0"/>
  </sheetViews>
  <sheetFormatPr defaultColWidth="9" defaultRowHeight="15"/>
  <cols>
    <col min="1" max="1" width="84.5546875" style="9" customWidth="1"/>
    <col min="2" max="2" width="2" style="9" customWidth="1"/>
    <col min="3" max="3" width="2.109375" style="9" customWidth="1"/>
    <col min="4" max="4" width="6.109375" style="36" customWidth="1"/>
    <col min="5" max="5" width="33.33203125" style="36" customWidth="1"/>
    <col min="6" max="6" width="12.77734375" style="36" customWidth="1"/>
    <col min="7" max="16384" width="9" style="10"/>
  </cols>
  <sheetData>
    <row r="1" spans="1:8" s="254" customFormat="1" ht="19.95" customHeight="1">
      <c r="A1" s="253" t="s">
        <v>458</v>
      </c>
      <c r="B1" s="19"/>
      <c r="C1" s="19"/>
    </row>
    <row r="2" spans="1:8" s="254" customFormat="1" ht="19.95" customHeight="1">
      <c r="A2" s="255" t="s">
        <v>459</v>
      </c>
      <c r="B2" s="256"/>
      <c r="C2" s="256"/>
      <c r="D2" s="252"/>
      <c r="E2" s="252"/>
      <c r="F2" s="252"/>
      <c r="G2" s="256"/>
      <c r="H2" s="256"/>
    </row>
    <row r="3" spans="1:8" s="254" customFormat="1" ht="19.95" customHeight="1">
      <c r="A3" s="386" t="s">
        <v>525</v>
      </c>
      <c r="B3" s="256"/>
      <c r="C3" s="256"/>
      <c r="D3" s="346" t="s">
        <v>487</v>
      </c>
      <c r="E3" s="346" t="s">
        <v>488</v>
      </c>
      <c r="F3" s="346" t="s">
        <v>489</v>
      </c>
      <c r="G3" s="256"/>
      <c r="H3" s="256"/>
    </row>
    <row r="4" spans="1:8" s="254" customFormat="1" ht="19.95" customHeight="1">
      <c r="A4" s="255" t="s">
        <v>460</v>
      </c>
      <c r="B4" s="19"/>
      <c r="C4" s="19"/>
      <c r="D4" s="345"/>
      <c r="E4" s="343" t="s">
        <v>483</v>
      </c>
      <c r="F4" s="345" t="s">
        <v>366</v>
      </c>
      <c r="G4" s="256"/>
      <c r="H4" s="256"/>
    </row>
    <row r="5" spans="1:8" s="254" customFormat="1" ht="19.95" customHeight="1">
      <c r="A5" s="255" t="s">
        <v>461</v>
      </c>
      <c r="B5" s="19"/>
      <c r="C5" s="19"/>
      <c r="D5" s="345">
        <v>1</v>
      </c>
      <c r="E5" s="343" t="s">
        <v>484</v>
      </c>
      <c r="F5" s="345" t="s">
        <v>439</v>
      </c>
      <c r="G5" s="257"/>
    </row>
    <row r="6" spans="1:8" s="254" customFormat="1" ht="19.95" customHeight="1">
      <c r="A6" s="255" t="s">
        <v>462</v>
      </c>
      <c r="B6" s="19"/>
      <c r="C6" s="19"/>
      <c r="D6" s="345">
        <v>2</v>
      </c>
      <c r="E6" s="309" t="s">
        <v>470</v>
      </c>
      <c r="F6" s="345"/>
      <c r="G6" s="257" t="s">
        <v>463</v>
      </c>
    </row>
    <row r="7" spans="1:8" s="254" customFormat="1" ht="19.95" customHeight="1">
      <c r="A7" s="255" t="s">
        <v>464</v>
      </c>
      <c r="B7" s="19"/>
      <c r="C7" s="19"/>
      <c r="D7" s="345">
        <v>3</v>
      </c>
      <c r="E7" s="309" t="s">
        <v>471</v>
      </c>
      <c r="F7" s="345"/>
      <c r="G7" s="257" t="s">
        <v>465</v>
      </c>
    </row>
    <row r="8" spans="1:8" s="254" customFormat="1" ht="19.95" customHeight="1">
      <c r="A8" s="258"/>
      <c r="B8" s="19"/>
      <c r="C8" s="19"/>
      <c r="D8" s="345">
        <v>4</v>
      </c>
      <c r="E8" s="344" t="s">
        <v>485</v>
      </c>
      <c r="F8" s="345" t="s">
        <v>367</v>
      </c>
    </row>
    <row r="9" spans="1:8" s="254" customFormat="1" ht="19.95" customHeight="1">
      <c r="A9" s="387" t="s">
        <v>526</v>
      </c>
      <c r="B9" s="19"/>
      <c r="C9" s="19"/>
      <c r="D9" s="345">
        <v>5</v>
      </c>
      <c r="E9" s="344" t="s">
        <v>486</v>
      </c>
      <c r="F9" s="345" t="s">
        <v>440</v>
      </c>
    </row>
    <row r="10" spans="1:8" s="254" customFormat="1" ht="19.95" customHeight="1">
      <c r="A10" s="405" t="s">
        <v>527</v>
      </c>
      <c r="B10" s="19"/>
      <c r="C10" s="19"/>
      <c r="D10" s="345">
        <v>6</v>
      </c>
      <c r="E10" s="391" t="s">
        <v>494</v>
      </c>
      <c r="F10" s="345" t="s">
        <v>368</v>
      </c>
    </row>
    <row r="11" spans="1:8" s="254" customFormat="1" ht="19.95" customHeight="1">
      <c r="A11" s="405"/>
      <c r="B11" s="19"/>
      <c r="C11" s="19"/>
      <c r="D11" s="345">
        <v>7</v>
      </c>
      <c r="E11" s="309" t="s">
        <v>548</v>
      </c>
      <c r="F11" s="345" t="s">
        <v>441</v>
      </c>
    </row>
    <row r="12" spans="1:8" s="254" customFormat="1" ht="19.95" customHeight="1">
      <c r="A12" s="405"/>
      <c r="B12" s="19"/>
      <c r="C12" s="19"/>
      <c r="D12" s="345">
        <v>8</v>
      </c>
      <c r="E12" s="309" t="s">
        <v>549</v>
      </c>
      <c r="F12" s="345" t="s">
        <v>369</v>
      </c>
    </row>
    <row r="13" spans="1:8" s="254" customFormat="1" ht="19.95" customHeight="1">
      <c r="A13" s="405"/>
      <c r="B13" s="19"/>
      <c r="C13" s="19"/>
      <c r="D13" s="345">
        <v>9</v>
      </c>
      <c r="E13" s="388" t="s">
        <v>530</v>
      </c>
      <c r="F13" s="389" t="s">
        <v>531</v>
      </c>
    </row>
    <row r="14" spans="1:8" s="254" customFormat="1" ht="19.95" customHeight="1">
      <c r="A14" s="405" t="s">
        <v>528</v>
      </c>
      <c r="B14" s="19"/>
      <c r="C14" s="19"/>
      <c r="D14" s="345">
        <v>10</v>
      </c>
      <c r="E14" s="390" t="s">
        <v>532</v>
      </c>
      <c r="F14" s="389" t="s">
        <v>533</v>
      </c>
    </row>
    <row r="15" spans="1:8" s="254" customFormat="1" ht="19.95" customHeight="1">
      <c r="A15" s="405"/>
      <c r="B15" s="19"/>
      <c r="C15" s="19"/>
      <c r="D15" s="345">
        <v>11</v>
      </c>
      <c r="E15" s="388" t="s">
        <v>534</v>
      </c>
      <c r="F15" s="389" t="s">
        <v>535</v>
      </c>
    </row>
    <row r="16" spans="1:8" ht="19.95" customHeight="1">
      <c r="A16" s="405"/>
      <c r="D16" s="345">
        <v>12</v>
      </c>
      <c r="E16" s="390" t="s">
        <v>536</v>
      </c>
      <c r="F16" s="389" t="s">
        <v>537</v>
      </c>
    </row>
    <row r="17" spans="1:6" ht="19.95" customHeight="1">
      <c r="A17" s="406" t="s">
        <v>529</v>
      </c>
      <c r="D17" s="345">
        <v>13</v>
      </c>
      <c r="E17" s="390" t="s">
        <v>538</v>
      </c>
      <c r="F17" s="389" t="s">
        <v>539</v>
      </c>
    </row>
    <row r="18" spans="1:6" ht="19.95" customHeight="1">
      <c r="A18" s="406"/>
      <c r="D18" s="345">
        <v>14</v>
      </c>
      <c r="E18" s="388" t="s">
        <v>540</v>
      </c>
      <c r="F18" s="389" t="s">
        <v>541</v>
      </c>
    </row>
    <row r="19" spans="1:6" ht="19.95" customHeight="1">
      <c r="A19" s="406"/>
      <c r="D19" s="345">
        <v>15</v>
      </c>
      <c r="E19" s="388" t="s">
        <v>542</v>
      </c>
      <c r="F19" s="389" t="s">
        <v>543</v>
      </c>
    </row>
    <row r="20" spans="1:6" ht="19.95" customHeight="1">
      <c r="D20" s="345">
        <v>16</v>
      </c>
      <c r="E20" s="388" t="s">
        <v>544</v>
      </c>
      <c r="F20" s="389" t="s">
        <v>545</v>
      </c>
    </row>
    <row r="21" spans="1:6" ht="19.95" customHeight="1">
      <c r="A21" s="37"/>
      <c r="D21" s="345">
        <v>17</v>
      </c>
      <c r="E21" s="348" t="s">
        <v>495</v>
      </c>
      <c r="F21" s="345" t="s">
        <v>442</v>
      </c>
    </row>
    <row r="22" spans="1:6" ht="19.95" customHeight="1">
      <c r="D22" s="345">
        <v>18</v>
      </c>
      <c r="E22" s="348" t="s">
        <v>496</v>
      </c>
      <c r="F22" s="345" t="s">
        <v>493</v>
      </c>
    </row>
    <row r="23" spans="1:6" ht="19.95" customHeight="1"/>
    <row r="24" spans="1:6" ht="19.95" customHeight="1"/>
    <row r="25" spans="1:6" ht="19.95" customHeight="1"/>
  </sheetData>
  <mergeCells count="3">
    <mergeCell ref="A10:A13"/>
    <mergeCell ref="A14:A16"/>
    <mergeCell ref="A17:A19"/>
  </mergeCells>
  <phoneticPr fontId="4" type="noConversion"/>
  <hyperlinks>
    <hyperlink ref="E5" location="'审定表G10-1'!A1" display="审定表"/>
    <hyperlink ref="E6" location="'附注披露信息（上市公司）'!A1" display="附注披露信息（上市公司）"/>
    <hyperlink ref="E7" location="'附注披露信息（国企）'!A1" display="附注披露信息（国企）"/>
    <hyperlink ref="E8" location="'明细表G10-2'!A1" display="明细表"/>
    <hyperlink ref="E11" location="'公允价值测试表G10-5'!A1" display="公允价值测试表"/>
    <hyperlink ref="E21" location="'凭证检查表G10-7'!A1" display="凭证检查表"/>
    <hyperlink ref="E22" location="'衍生金融工具核查表G10-8'!A1" display="衍生金融工具核查表"/>
    <hyperlink ref="E10" location="'分类的适当性检查表G10-4'!A1" display="分类的适当性检查表"/>
    <hyperlink ref="E4" location="交易性金融负债实质性程序表G10A!A1" display="交易性金融负债实质性程序表"/>
    <hyperlink ref="E9" location="'调整分录汇总G10-3'!A1" display="调整分录汇总"/>
    <hyperlink ref="E12" location="'第三层次公允价值计量的调节表G10-6'!A1" display="第三层次公允价值计量的调节表"/>
  </hyperlinks>
  <printOptions horizontalCentered="1"/>
  <pageMargins left="0.70866141732283472" right="0.70866141732283472" top="0.74803149606299213" bottom="0.74803149606299213" header="0.31496062992125984" footer="0.31496062992125984"/>
  <pageSetup paperSize="9" orientation="landscape" blackAndWhite="1" verticalDpi="0"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J30"/>
  <sheetViews>
    <sheetView view="pageBreakPreview" zoomScaleNormal="100" zoomScaleSheetLayoutView="100" workbookViewId="0">
      <selection sqref="A1:I1"/>
    </sheetView>
  </sheetViews>
  <sheetFormatPr defaultColWidth="9" defaultRowHeight="13.8"/>
  <cols>
    <col min="1" max="1" width="4.33203125" style="176" customWidth="1"/>
    <col min="2" max="2" width="72.21875" style="175" customWidth="1"/>
    <col min="3" max="3" width="10.5546875" style="175" customWidth="1"/>
    <col min="4" max="4" width="6" style="175" customWidth="1"/>
    <col min="5" max="5" width="6.5546875" style="175" customWidth="1"/>
    <col min="6" max="6" width="6.109375" style="175" customWidth="1"/>
    <col min="7" max="7" width="7.88671875" style="175" customWidth="1"/>
    <col min="8" max="8" width="5.88671875" style="175" customWidth="1"/>
    <col min="9" max="9" width="7.6640625" style="175" customWidth="1"/>
    <col min="10" max="16384" width="9" style="175"/>
  </cols>
  <sheetData>
    <row r="1" spans="1:10" s="238" customFormat="1" ht="19.95" customHeight="1">
      <c r="A1" s="417" t="s">
        <v>447</v>
      </c>
      <c r="B1" s="417"/>
      <c r="C1" s="417"/>
      <c r="D1" s="417"/>
      <c r="E1" s="417"/>
      <c r="F1" s="417"/>
      <c r="G1" s="417"/>
      <c r="H1" s="417"/>
      <c r="I1" s="417"/>
    </row>
    <row r="2" spans="1:10" s="245" customFormat="1" ht="19.95" customHeight="1">
      <c r="A2" s="418" t="s">
        <v>448</v>
      </c>
      <c r="B2" s="418"/>
      <c r="C2" s="418"/>
      <c r="D2" s="418"/>
      <c r="E2" s="418"/>
      <c r="F2" s="418"/>
      <c r="G2" s="418"/>
      <c r="H2" s="418"/>
      <c r="I2" s="418"/>
    </row>
    <row r="3" spans="1:10" s="264" customFormat="1" ht="19.95" customHeight="1">
      <c r="A3" s="419" t="str">
        <f>底稿目录!A2</f>
        <v>被审计单位：</v>
      </c>
      <c r="B3" s="419"/>
      <c r="C3" s="284" t="str">
        <f>底稿目录!A4</f>
        <v>编制人：</v>
      </c>
      <c r="D3" s="284"/>
      <c r="E3" s="284"/>
      <c r="F3" s="284" t="str">
        <f>底稿目录!A5</f>
        <v>编制日期：</v>
      </c>
      <c r="G3" s="284"/>
      <c r="H3" s="284" t="s">
        <v>362</v>
      </c>
      <c r="I3" s="362" t="str">
        <f>底稿目录!F4</f>
        <v>G10A</v>
      </c>
    </row>
    <row r="4" spans="1:10" s="264" customFormat="1" ht="19.95" customHeight="1">
      <c r="A4" s="419" t="str">
        <f>底稿目录!A3</f>
        <v>截止日：202X年12月31日</v>
      </c>
      <c r="B4" s="419"/>
      <c r="C4" s="284" t="str">
        <f>底稿目录!A6</f>
        <v>复核人：</v>
      </c>
      <c r="D4" s="284"/>
      <c r="E4" s="284"/>
      <c r="F4" s="284" t="str">
        <f>底稿目录!A7</f>
        <v>复核日期：</v>
      </c>
      <c r="G4" s="284"/>
      <c r="H4" s="285" t="s">
        <v>467</v>
      </c>
      <c r="I4" s="284"/>
    </row>
    <row r="5" spans="1:10" ht="19.95" customHeight="1">
      <c r="A5" s="420" t="s">
        <v>293</v>
      </c>
      <c r="B5" s="420"/>
      <c r="C5" s="286"/>
      <c r="D5" s="286"/>
      <c r="E5" s="286"/>
      <c r="F5" s="286"/>
      <c r="G5" s="286"/>
      <c r="H5" s="286"/>
      <c r="I5" s="286"/>
    </row>
    <row r="6" spans="1:10" ht="19.95" customHeight="1">
      <c r="A6" s="421" t="s">
        <v>343</v>
      </c>
      <c r="B6" s="421"/>
      <c r="C6" s="421"/>
      <c r="D6" s="421"/>
      <c r="E6" s="421"/>
      <c r="F6" s="421"/>
      <c r="G6" s="421"/>
      <c r="H6" s="421"/>
      <c r="I6" s="421"/>
    </row>
    <row r="7" spans="1:10" s="214" customFormat="1" ht="19.95" customHeight="1">
      <c r="A7" s="287" t="s">
        <v>384</v>
      </c>
      <c r="B7" s="288"/>
      <c r="C7" s="289"/>
      <c r="D7" s="290"/>
      <c r="E7" s="290"/>
      <c r="F7" s="290"/>
      <c r="G7" s="290"/>
      <c r="H7" s="290"/>
      <c r="I7" s="290"/>
    </row>
    <row r="8" spans="1:10" s="214" customFormat="1" ht="19.95" customHeight="1">
      <c r="A8" s="411" t="s">
        <v>385</v>
      </c>
      <c r="B8" s="411"/>
      <c r="C8" s="411"/>
      <c r="D8" s="411"/>
      <c r="E8" s="411"/>
      <c r="F8" s="411"/>
      <c r="G8" s="422" t="s">
        <v>294</v>
      </c>
      <c r="H8" s="422"/>
      <c r="I8" s="422"/>
    </row>
    <row r="9" spans="1:10" s="214" customFormat="1" ht="19.95" customHeight="1">
      <c r="A9" s="407" t="s">
        <v>498</v>
      </c>
      <c r="B9" s="407"/>
      <c r="C9" s="407"/>
      <c r="D9" s="407"/>
      <c r="E9" s="407"/>
      <c r="F9" s="407"/>
      <c r="G9" s="416" t="s">
        <v>386</v>
      </c>
      <c r="H9" s="416"/>
      <c r="I9" s="416"/>
    </row>
    <row r="10" spans="1:10" s="214" customFormat="1" ht="19.95" customHeight="1">
      <c r="A10" s="407" t="s">
        <v>499</v>
      </c>
      <c r="B10" s="407"/>
      <c r="C10" s="407"/>
      <c r="D10" s="407"/>
      <c r="E10" s="407"/>
      <c r="F10" s="407"/>
      <c r="G10" s="416" t="s">
        <v>521</v>
      </c>
      <c r="H10" s="416"/>
      <c r="I10" s="416"/>
    </row>
    <row r="11" spans="1:10" s="214" customFormat="1" ht="19.95" customHeight="1">
      <c r="A11" s="407" t="s">
        <v>500</v>
      </c>
      <c r="B11" s="407"/>
      <c r="C11" s="407"/>
      <c r="D11" s="407"/>
      <c r="E11" s="407"/>
      <c r="F11" s="407"/>
      <c r="G11" s="416" t="s">
        <v>522</v>
      </c>
      <c r="H11" s="416"/>
      <c r="I11" s="416"/>
    </row>
    <row r="12" spans="1:10" s="214" customFormat="1" ht="19.95" customHeight="1">
      <c r="A12" s="407" t="s">
        <v>502</v>
      </c>
      <c r="B12" s="407"/>
      <c r="C12" s="407"/>
      <c r="D12" s="407"/>
      <c r="E12" s="407"/>
      <c r="F12" s="407"/>
      <c r="G12" s="416" t="s">
        <v>523</v>
      </c>
      <c r="H12" s="416"/>
      <c r="I12" s="416"/>
    </row>
    <row r="13" spans="1:10" s="214" customFormat="1" ht="19.95" customHeight="1">
      <c r="A13" s="407" t="s">
        <v>501</v>
      </c>
      <c r="B13" s="407"/>
      <c r="C13" s="407"/>
      <c r="D13" s="407"/>
      <c r="E13" s="407"/>
      <c r="F13" s="407"/>
      <c r="G13" s="416" t="s">
        <v>524</v>
      </c>
      <c r="H13" s="416"/>
      <c r="I13" s="416"/>
    </row>
    <row r="14" spans="1:10" s="214" customFormat="1" ht="19.95" customHeight="1">
      <c r="A14" s="412" t="s">
        <v>497</v>
      </c>
      <c r="B14" s="413"/>
      <c r="C14" s="289"/>
      <c r="D14" s="291"/>
      <c r="E14" s="291"/>
      <c r="F14" s="291"/>
      <c r="G14" s="291"/>
      <c r="H14" s="291"/>
      <c r="I14" s="291"/>
    </row>
    <row r="15" spans="1:10" s="214" customFormat="1" ht="19.95" customHeight="1">
      <c r="A15" s="414" t="s">
        <v>390</v>
      </c>
      <c r="B15" s="415" t="s">
        <v>547</v>
      </c>
      <c r="C15" s="408" t="s">
        <v>391</v>
      </c>
      <c r="D15" s="409" t="s">
        <v>392</v>
      </c>
      <c r="E15" s="410"/>
      <c r="F15" s="410"/>
      <c r="G15" s="410"/>
      <c r="H15" s="410"/>
      <c r="I15" s="411" t="s">
        <v>393</v>
      </c>
    </row>
    <row r="16" spans="1:10" s="214" customFormat="1" ht="36">
      <c r="A16" s="414"/>
      <c r="B16" s="415"/>
      <c r="C16" s="408"/>
      <c r="D16" s="384" t="s">
        <v>394</v>
      </c>
      <c r="E16" s="384" t="s">
        <v>387</v>
      </c>
      <c r="F16" s="385" t="s">
        <v>395</v>
      </c>
      <c r="G16" s="385" t="s">
        <v>388</v>
      </c>
      <c r="H16" s="385" t="s">
        <v>389</v>
      </c>
      <c r="I16" s="411"/>
      <c r="J16" s="392" t="s">
        <v>546</v>
      </c>
    </row>
    <row r="17" spans="1:9" s="221" customFormat="1" ht="148.19999999999999" customHeight="1">
      <c r="A17" s="216" t="s">
        <v>396</v>
      </c>
      <c r="B17" s="217" t="s">
        <v>504</v>
      </c>
      <c r="C17" s="224" t="s">
        <v>397</v>
      </c>
      <c r="D17" s="218" t="s">
        <v>399</v>
      </c>
      <c r="E17" s="218" t="s">
        <v>399</v>
      </c>
      <c r="F17" s="219"/>
      <c r="G17" s="220" t="s">
        <v>399</v>
      </c>
      <c r="H17" s="215"/>
      <c r="I17" s="292" t="s">
        <v>511</v>
      </c>
    </row>
    <row r="18" spans="1:9" s="221" customFormat="1" ht="48" customHeight="1">
      <c r="A18" s="216" t="s">
        <v>400</v>
      </c>
      <c r="B18" s="217" t="s">
        <v>401</v>
      </c>
      <c r="C18" s="224" t="s">
        <v>397</v>
      </c>
      <c r="D18" s="215"/>
      <c r="E18" s="220" t="s">
        <v>399</v>
      </c>
      <c r="F18" s="218"/>
      <c r="G18" s="218" t="s">
        <v>402</v>
      </c>
      <c r="H18" s="220"/>
      <c r="I18" s="352" t="s">
        <v>512</v>
      </c>
    </row>
    <row r="19" spans="1:9" s="221" customFormat="1" ht="55.2" customHeight="1" collapsed="1">
      <c r="A19" s="216" t="s">
        <v>295</v>
      </c>
      <c r="B19" s="222" t="s">
        <v>505</v>
      </c>
      <c r="C19" s="224" t="s">
        <v>503</v>
      </c>
      <c r="D19" s="354" t="s">
        <v>406</v>
      </c>
      <c r="E19" s="353" t="s">
        <v>406</v>
      </c>
      <c r="F19" s="354" t="s">
        <v>406</v>
      </c>
      <c r="G19" s="354" t="s">
        <v>406</v>
      </c>
      <c r="H19" s="393"/>
      <c r="I19" s="292"/>
    </row>
    <row r="20" spans="1:9" s="221" customFormat="1" ht="57.6" customHeight="1">
      <c r="A20" s="216" t="s">
        <v>296</v>
      </c>
      <c r="B20" s="222" t="s">
        <v>404</v>
      </c>
      <c r="C20" s="224" t="s">
        <v>403</v>
      </c>
      <c r="D20" s="355" t="s">
        <v>513</v>
      </c>
      <c r="E20" s="355"/>
      <c r="F20" s="356"/>
      <c r="G20" s="351" t="s">
        <v>513</v>
      </c>
      <c r="H20" s="349"/>
      <c r="I20" s="292" t="s">
        <v>517</v>
      </c>
    </row>
    <row r="21" spans="1:9" s="221" customFormat="1" ht="115.2" customHeight="1">
      <c r="A21" s="216" t="s">
        <v>297</v>
      </c>
      <c r="B21" s="222" t="s">
        <v>424</v>
      </c>
      <c r="C21" s="224" t="s">
        <v>397</v>
      </c>
      <c r="D21" s="351" t="s">
        <v>514</v>
      </c>
      <c r="E21" s="351" t="s">
        <v>514</v>
      </c>
      <c r="F21" s="356"/>
      <c r="G21" s="351" t="s">
        <v>514</v>
      </c>
      <c r="H21" s="349"/>
      <c r="I21" s="292" t="s">
        <v>550</v>
      </c>
    </row>
    <row r="22" spans="1:9" s="221" customFormat="1" ht="111" customHeight="1">
      <c r="A22" s="216" t="s">
        <v>298</v>
      </c>
      <c r="B22" s="222" t="s">
        <v>506</v>
      </c>
      <c r="C22" s="224" t="s">
        <v>397</v>
      </c>
      <c r="D22" s="353" t="s">
        <v>406</v>
      </c>
      <c r="E22" s="354"/>
      <c r="F22" s="353" t="s">
        <v>406</v>
      </c>
      <c r="G22" s="354" t="s">
        <v>406</v>
      </c>
      <c r="H22" s="357"/>
      <c r="I22" s="123" t="s">
        <v>520</v>
      </c>
    </row>
    <row r="23" spans="1:9" s="221" customFormat="1" ht="103.8" customHeight="1">
      <c r="A23" s="216" t="s">
        <v>299</v>
      </c>
      <c r="B23" s="222" t="s">
        <v>507</v>
      </c>
      <c r="C23" s="224" t="s">
        <v>403</v>
      </c>
      <c r="D23" s="354" t="s">
        <v>406</v>
      </c>
      <c r="E23" s="353" t="s">
        <v>406</v>
      </c>
      <c r="F23" s="354" t="s">
        <v>406</v>
      </c>
      <c r="G23" s="353" t="s">
        <v>406</v>
      </c>
      <c r="H23" s="357"/>
      <c r="I23" s="123" t="s">
        <v>551</v>
      </c>
    </row>
    <row r="24" spans="1:9" s="221" customFormat="1" ht="45" customHeight="1">
      <c r="A24" s="216" t="s">
        <v>300</v>
      </c>
      <c r="B24" s="222" t="s">
        <v>414</v>
      </c>
      <c r="C24" s="224" t="s">
        <v>405</v>
      </c>
      <c r="D24" s="354" t="s">
        <v>409</v>
      </c>
      <c r="E24" s="353" t="s">
        <v>515</v>
      </c>
      <c r="F24" s="358"/>
      <c r="G24" s="354" t="s">
        <v>515</v>
      </c>
      <c r="H24" s="354"/>
      <c r="I24" s="123" t="s">
        <v>552</v>
      </c>
    </row>
    <row r="25" spans="1:9" s="221" customFormat="1" ht="66" customHeight="1">
      <c r="A25" s="216" t="s">
        <v>301</v>
      </c>
      <c r="B25" s="222" t="s">
        <v>510</v>
      </c>
      <c r="C25" s="224" t="s">
        <v>407</v>
      </c>
      <c r="D25" s="122"/>
      <c r="E25" s="122"/>
      <c r="F25" s="122"/>
      <c r="G25" s="220" t="s">
        <v>408</v>
      </c>
      <c r="H25" s="218"/>
      <c r="I25" s="123" t="s">
        <v>553</v>
      </c>
    </row>
    <row r="26" spans="1:9" s="221" customFormat="1" ht="132.6" customHeight="1">
      <c r="A26" s="216" t="s">
        <v>302</v>
      </c>
      <c r="B26" s="222" t="s">
        <v>443</v>
      </c>
      <c r="C26" s="224" t="s">
        <v>444</v>
      </c>
      <c r="D26" s="218" t="s">
        <v>409</v>
      </c>
      <c r="E26" s="220" t="s">
        <v>409</v>
      </c>
      <c r="F26" s="220" t="s">
        <v>409</v>
      </c>
      <c r="G26" s="220" t="s">
        <v>409</v>
      </c>
      <c r="H26" s="123"/>
      <c r="I26" s="123" t="s">
        <v>519</v>
      </c>
    </row>
    <row r="27" spans="1:9" s="221" customFormat="1" ht="153.6" customHeight="1">
      <c r="A27" s="216" t="s">
        <v>303</v>
      </c>
      <c r="B27" s="223" t="s">
        <v>410</v>
      </c>
      <c r="C27" s="224" t="s">
        <v>407</v>
      </c>
      <c r="D27" s="220" t="s">
        <v>409</v>
      </c>
      <c r="E27" s="218" t="s">
        <v>398</v>
      </c>
      <c r="F27" s="220" t="s">
        <v>409</v>
      </c>
      <c r="G27" s="218" t="s">
        <v>409</v>
      </c>
      <c r="H27" s="123"/>
      <c r="I27" s="123" t="s">
        <v>446</v>
      </c>
    </row>
    <row r="28" spans="1:9" s="221" customFormat="1" ht="117.6" customHeight="1">
      <c r="A28" s="216" t="s">
        <v>304</v>
      </c>
      <c r="B28" s="222" t="s">
        <v>438</v>
      </c>
      <c r="C28" s="224" t="s">
        <v>411</v>
      </c>
      <c r="D28" s="220" t="s">
        <v>406</v>
      </c>
      <c r="E28" s="218" t="s">
        <v>406</v>
      </c>
      <c r="F28" s="218" t="s">
        <v>406</v>
      </c>
      <c r="G28" s="220" t="s">
        <v>406</v>
      </c>
      <c r="H28" s="218" t="s">
        <v>406</v>
      </c>
      <c r="I28" s="123" t="s">
        <v>492</v>
      </c>
    </row>
    <row r="29" spans="1:9" s="221" customFormat="1" ht="43.2" customHeight="1">
      <c r="A29" s="216" t="s">
        <v>413</v>
      </c>
      <c r="B29" s="121" t="s">
        <v>437</v>
      </c>
      <c r="C29" s="351" t="s">
        <v>509</v>
      </c>
      <c r="D29" s="220"/>
      <c r="E29" s="218"/>
      <c r="F29" s="220"/>
      <c r="G29" s="218"/>
      <c r="H29" s="123"/>
      <c r="I29" s="123"/>
    </row>
    <row r="30" spans="1:9" s="221" customFormat="1" ht="31.8" customHeight="1">
      <c r="A30" s="216" t="s">
        <v>445</v>
      </c>
      <c r="B30" s="350" t="s">
        <v>508</v>
      </c>
      <c r="C30" s="224" t="s">
        <v>412</v>
      </c>
      <c r="D30" s="122"/>
      <c r="E30" s="122"/>
      <c r="F30" s="122"/>
      <c r="G30" s="122"/>
      <c r="H30" s="218" t="s">
        <v>398</v>
      </c>
      <c r="I30" s="359" t="s">
        <v>516</v>
      </c>
    </row>
  </sheetData>
  <mergeCells count="24">
    <mergeCell ref="A6:I6"/>
    <mergeCell ref="A13:F13"/>
    <mergeCell ref="G8:I8"/>
    <mergeCell ref="G9:I9"/>
    <mergeCell ref="G10:I10"/>
    <mergeCell ref="G11:I11"/>
    <mergeCell ref="G12:I12"/>
    <mergeCell ref="A8:F8"/>
    <mergeCell ref="A1:I1"/>
    <mergeCell ref="A2:I2"/>
    <mergeCell ref="A3:B3"/>
    <mergeCell ref="A4:B4"/>
    <mergeCell ref="A5:B5"/>
    <mergeCell ref="A9:F9"/>
    <mergeCell ref="A10:F10"/>
    <mergeCell ref="C15:C16"/>
    <mergeCell ref="D15:H15"/>
    <mergeCell ref="I15:I16"/>
    <mergeCell ref="A14:B14"/>
    <mergeCell ref="A15:A16"/>
    <mergeCell ref="B15:B16"/>
    <mergeCell ref="A11:F11"/>
    <mergeCell ref="A12:F12"/>
    <mergeCell ref="G13:I13"/>
  </mergeCells>
  <phoneticPr fontId="4" type="noConversion"/>
  <hyperlinks>
    <hyperlink ref="I3" location="底稿目录!F4" display="底稿目录!F4"/>
  </hyperlinks>
  <printOptions horizontalCentered="1"/>
  <pageMargins left="0.70866141732283472" right="0.70866141732283472" top="0.74803149606299213" bottom="0.74803149606299213" header="0.31496062992125984" footer="0.31496062992125984"/>
  <pageSetup paperSize="9" scale="70" fitToWidth="0"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63"/>
  <sheetViews>
    <sheetView view="pageBreakPreview" zoomScaleSheetLayoutView="100" workbookViewId="0">
      <pane xSplit="1" ySplit="6" topLeftCell="B7" activePane="bottomRight" state="frozen"/>
      <selection activeCell="E4" sqref="E4"/>
      <selection pane="topRight" activeCell="E4" sqref="E4"/>
      <selection pane="bottomLeft" activeCell="E4" sqref="E4"/>
      <selection pane="bottomRight" sqref="A1:J1"/>
    </sheetView>
  </sheetViews>
  <sheetFormatPr defaultColWidth="9" defaultRowHeight="23.25" customHeight="1"/>
  <cols>
    <col min="1" max="1" width="23.77734375" style="44" customWidth="1"/>
    <col min="2" max="2" width="14.21875" style="44" customWidth="1"/>
    <col min="3" max="3" width="9.44140625" style="44" customWidth="1"/>
    <col min="4" max="4" width="14.33203125" style="44" bestFit="1" customWidth="1"/>
    <col min="5" max="5" width="13" style="44" customWidth="1"/>
    <col min="6" max="6" width="9.44140625" style="44" customWidth="1"/>
    <col min="7" max="7" width="14.33203125" style="44" bestFit="1" customWidth="1"/>
    <col min="8" max="8" width="12" style="44" customWidth="1"/>
    <col min="9" max="9" width="10.21875" style="44" customWidth="1"/>
    <col min="10" max="10" width="11" style="44" customWidth="1"/>
    <col min="11" max="11" width="13.44140625" style="44" customWidth="1"/>
    <col min="12" max="16384" width="9" style="44"/>
  </cols>
  <sheetData>
    <row r="1" spans="1:10" s="233" customFormat="1" ht="19.95" customHeight="1">
      <c r="A1" s="423" t="s">
        <v>0</v>
      </c>
      <c r="B1" s="423"/>
      <c r="C1" s="423"/>
      <c r="D1" s="423"/>
      <c r="E1" s="423"/>
      <c r="F1" s="423"/>
      <c r="G1" s="423"/>
      <c r="H1" s="423"/>
      <c r="I1" s="423"/>
      <c r="J1" s="423"/>
    </row>
    <row r="2" spans="1:10" s="244" customFormat="1" ht="19.95" customHeight="1">
      <c r="A2" s="424" t="s">
        <v>183</v>
      </c>
      <c r="B2" s="424"/>
      <c r="C2" s="424"/>
      <c r="D2" s="424"/>
      <c r="E2" s="424"/>
      <c r="F2" s="424"/>
      <c r="G2" s="424"/>
      <c r="H2" s="424"/>
      <c r="I2" s="424"/>
      <c r="J2" s="424"/>
    </row>
    <row r="3" spans="1:10" s="281" customFormat="1" ht="19.95" customHeight="1">
      <c r="A3" s="281" t="str">
        <f>底稿目录!A2</f>
        <v>被审计单位：</v>
      </c>
      <c r="D3" s="282" t="str">
        <f>底稿目录!A4</f>
        <v>编制人：</v>
      </c>
      <c r="G3" s="282" t="str">
        <f>底稿目录!A5</f>
        <v>编制日期：</v>
      </c>
      <c r="I3" s="282" t="s">
        <v>362</v>
      </c>
      <c r="J3" s="362" t="str">
        <f>底稿目录!F5</f>
        <v>G10-1</v>
      </c>
    </row>
    <row r="4" spans="1:10" s="281" customFormat="1" ht="19.95" customHeight="1">
      <c r="A4" s="281" t="str">
        <f>底稿目录!A3</f>
        <v>截止日：202X年12月31日</v>
      </c>
      <c r="B4" s="283"/>
      <c r="D4" s="282" t="str">
        <f>底稿目录!A6</f>
        <v>复核人：</v>
      </c>
      <c r="G4" s="282" t="str">
        <f>底稿目录!A7</f>
        <v>复核日期：</v>
      </c>
      <c r="I4" s="282" t="s">
        <v>469</v>
      </c>
    </row>
    <row r="5" spans="1:10" ht="19.95" customHeight="1">
      <c r="A5" s="425" t="s">
        <v>68</v>
      </c>
      <c r="B5" s="427" t="s">
        <v>69</v>
      </c>
      <c r="C5" s="428"/>
      <c r="D5" s="429"/>
      <c r="E5" s="427" t="s">
        <v>70</v>
      </c>
      <c r="F5" s="428"/>
      <c r="G5" s="429"/>
      <c r="H5" s="430" t="s">
        <v>284</v>
      </c>
      <c r="I5" s="431"/>
      <c r="J5" s="432" t="s">
        <v>71</v>
      </c>
    </row>
    <row r="6" spans="1:10" ht="19.95" customHeight="1">
      <c r="A6" s="426"/>
      <c r="B6" s="191" t="s">
        <v>73</v>
      </c>
      <c r="C6" s="46" t="s">
        <v>74</v>
      </c>
      <c r="D6" s="46" t="s">
        <v>75</v>
      </c>
      <c r="E6" s="46" t="s">
        <v>72</v>
      </c>
      <c r="F6" s="46" t="s">
        <v>9</v>
      </c>
      <c r="G6" s="46" t="s">
        <v>75</v>
      </c>
      <c r="H6" s="47" t="s">
        <v>76</v>
      </c>
      <c r="I6" s="48" t="s">
        <v>77</v>
      </c>
      <c r="J6" s="433"/>
    </row>
    <row r="7" spans="1:10" s="53" customFormat="1" ht="19.95" customHeight="1">
      <c r="A7" s="49" t="s">
        <v>202</v>
      </c>
      <c r="B7" s="50"/>
      <c r="C7" s="50"/>
      <c r="D7" s="50"/>
      <c r="E7" s="50"/>
      <c r="F7" s="50"/>
      <c r="G7" s="50"/>
      <c r="H7" s="51"/>
      <c r="I7" s="52"/>
      <c r="J7" s="293"/>
    </row>
    <row r="8" spans="1:10" s="53" customFormat="1" ht="19.95" customHeight="1">
      <c r="A8" s="54" t="s">
        <v>186</v>
      </c>
      <c r="B8" s="193">
        <f t="shared" ref="B8:H8" si="0">SUM(B9:B11)</f>
        <v>0</v>
      </c>
      <c r="C8" s="193">
        <f t="shared" si="0"/>
        <v>0</v>
      </c>
      <c r="D8" s="193">
        <f>SUM(D9:D11)</f>
        <v>0</v>
      </c>
      <c r="E8" s="193">
        <f t="shared" si="0"/>
        <v>0</v>
      </c>
      <c r="F8" s="193">
        <f t="shared" si="0"/>
        <v>0</v>
      </c>
      <c r="G8" s="193">
        <f>SUM(G9:G11)</f>
        <v>0</v>
      </c>
      <c r="H8" s="196">
        <f t="shared" si="0"/>
        <v>0</v>
      </c>
      <c r="I8" s="195" t="str">
        <f>IF(AND(D8=0,G8=0),"",IF(AND(D8=0,G8&gt;0),1,H8/D8))</f>
        <v/>
      </c>
      <c r="J8" s="294"/>
    </row>
    <row r="9" spans="1:10" s="53" customFormat="1" ht="19.95" customHeight="1">
      <c r="A9" s="54" t="s">
        <v>184</v>
      </c>
      <c r="B9" s="55"/>
      <c r="C9" s="55"/>
      <c r="D9" s="193">
        <f>B9+C9</f>
        <v>0</v>
      </c>
      <c r="E9" s="55"/>
      <c r="F9" s="55"/>
      <c r="G9" s="193">
        <f>E9+F9</f>
        <v>0</v>
      </c>
      <c r="H9" s="196">
        <f>G9-D9</f>
        <v>0</v>
      </c>
      <c r="I9" s="195" t="str">
        <f>IF(AND(D9=0,G9=0),"",IF(AND(D9=0,G9&gt;0),1,H9/D9))</f>
        <v/>
      </c>
      <c r="J9" s="294"/>
    </row>
    <row r="10" spans="1:10" s="53" customFormat="1" ht="19.95" customHeight="1">
      <c r="A10" s="54" t="s">
        <v>185</v>
      </c>
      <c r="B10" s="55"/>
      <c r="C10" s="55"/>
      <c r="D10" s="193">
        <f t="shared" ref="D10:D11" si="1">B10+C10</f>
        <v>0</v>
      </c>
      <c r="E10" s="55"/>
      <c r="F10" s="55"/>
      <c r="G10" s="193">
        <f t="shared" ref="G10:G11" si="2">E10+F10</f>
        <v>0</v>
      </c>
      <c r="H10" s="196">
        <f>G10-D10</f>
        <v>0</v>
      </c>
      <c r="I10" s="195" t="str">
        <f t="shared" ref="I10:I16" si="3">IF(AND(D10=0,G10=0),"",IF(AND(D10=0,G10&gt;0),1,H10/D10))</f>
        <v/>
      </c>
      <c r="J10" s="294"/>
    </row>
    <row r="11" spans="1:10" s="53" customFormat="1" ht="19.95" customHeight="1">
      <c r="A11" s="54" t="s">
        <v>82</v>
      </c>
      <c r="B11" s="55"/>
      <c r="C11" s="55"/>
      <c r="D11" s="193">
        <f t="shared" si="1"/>
        <v>0</v>
      </c>
      <c r="E11" s="55"/>
      <c r="F11" s="55"/>
      <c r="G11" s="193">
        <f t="shared" si="2"/>
        <v>0</v>
      </c>
      <c r="H11" s="196">
        <f>G11-D11</f>
        <v>0</v>
      </c>
      <c r="I11" s="195" t="str">
        <f t="shared" si="3"/>
        <v/>
      </c>
      <c r="J11" s="294"/>
    </row>
    <row r="12" spans="1:10" s="53" customFormat="1" ht="36">
      <c r="A12" s="62" t="s">
        <v>187</v>
      </c>
      <c r="B12" s="193">
        <f>SUM(B13:B15)</f>
        <v>0</v>
      </c>
      <c r="C12" s="193">
        <f t="shared" ref="C12:H12" si="4">SUM(C13:C15)</f>
        <v>0</v>
      </c>
      <c r="D12" s="193">
        <f>SUM(D13:D15)</f>
        <v>0</v>
      </c>
      <c r="E12" s="193">
        <f t="shared" si="4"/>
        <v>0</v>
      </c>
      <c r="F12" s="193">
        <f t="shared" si="4"/>
        <v>0</v>
      </c>
      <c r="G12" s="193">
        <f>SUM(G13:G15)</f>
        <v>0</v>
      </c>
      <c r="H12" s="193">
        <f t="shared" si="4"/>
        <v>0</v>
      </c>
      <c r="I12" s="195" t="str">
        <f t="shared" si="3"/>
        <v/>
      </c>
      <c r="J12" s="294"/>
    </row>
    <row r="13" spans="1:10" s="53" customFormat="1" ht="19.95" customHeight="1">
      <c r="A13" s="54" t="s">
        <v>188</v>
      </c>
      <c r="B13" s="55"/>
      <c r="C13" s="55"/>
      <c r="D13" s="193">
        <f>B13+C13</f>
        <v>0</v>
      </c>
      <c r="E13" s="55"/>
      <c r="F13" s="55"/>
      <c r="G13" s="193">
        <f>E13+F13</f>
        <v>0</v>
      </c>
      <c r="H13" s="196">
        <f>G13-D13</f>
        <v>0</v>
      </c>
      <c r="I13" s="195" t="str">
        <f t="shared" si="3"/>
        <v/>
      </c>
      <c r="J13" s="294"/>
    </row>
    <row r="14" spans="1:10" s="53" customFormat="1" ht="19.95" customHeight="1">
      <c r="A14" s="54" t="s">
        <v>201</v>
      </c>
      <c r="B14" s="55"/>
      <c r="C14" s="55"/>
      <c r="D14" s="193">
        <f>B14+C14</f>
        <v>0</v>
      </c>
      <c r="E14" s="55"/>
      <c r="F14" s="55"/>
      <c r="G14" s="193">
        <f t="shared" ref="G14:G15" si="5">E14+F14</f>
        <v>0</v>
      </c>
      <c r="H14" s="196">
        <f>G14-D14</f>
        <v>0</v>
      </c>
      <c r="I14" s="195" t="str">
        <f t="shared" si="3"/>
        <v/>
      </c>
      <c r="J14" s="294"/>
    </row>
    <row r="15" spans="1:10" s="53" customFormat="1" ht="19.95" customHeight="1">
      <c r="A15" s="54" t="s">
        <v>82</v>
      </c>
      <c r="B15" s="55"/>
      <c r="C15" s="55"/>
      <c r="D15" s="193">
        <f>B15+C15</f>
        <v>0</v>
      </c>
      <c r="E15" s="55"/>
      <c r="F15" s="55"/>
      <c r="G15" s="193">
        <f t="shared" si="5"/>
        <v>0</v>
      </c>
      <c r="H15" s="196">
        <f>G15-D15</f>
        <v>0</v>
      </c>
      <c r="I15" s="195" t="str">
        <f t="shared" si="3"/>
        <v/>
      </c>
      <c r="J15" s="294"/>
    </row>
    <row r="16" spans="1:10" s="53" customFormat="1" ht="19.95" customHeight="1">
      <c r="A16" s="198" t="s">
        <v>189</v>
      </c>
      <c r="B16" s="193">
        <f t="shared" ref="B16:H16" si="6">SUM(B8,B12)</f>
        <v>0</v>
      </c>
      <c r="C16" s="193">
        <f t="shared" si="6"/>
        <v>0</v>
      </c>
      <c r="D16" s="193">
        <f t="shared" si="6"/>
        <v>0</v>
      </c>
      <c r="E16" s="193">
        <f t="shared" si="6"/>
        <v>0</v>
      </c>
      <c r="F16" s="193">
        <f t="shared" si="6"/>
        <v>0</v>
      </c>
      <c r="G16" s="193">
        <f t="shared" si="6"/>
        <v>0</v>
      </c>
      <c r="H16" s="193">
        <f t="shared" si="6"/>
        <v>0</v>
      </c>
      <c r="I16" s="197" t="str">
        <f t="shared" si="3"/>
        <v/>
      </c>
      <c r="J16" s="294"/>
    </row>
    <row r="17" spans="1:10" s="53" customFormat="1" ht="19.95" customHeight="1">
      <c r="A17" s="49" t="s">
        <v>99</v>
      </c>
      <c r="B17" s="50"/>
      <c r="C17" s="50"/>
      <c r="D17" s="50"/>
      <c r="E17" s="50"/>
      <c r="F17" s="50"/>
      <c r="G17" s="50"/>
      <c r="H17" s="51"/>
      <c r="I17" s="52"/>
      <c r="J17" s="293"/>
    </row>
    <row r="18" spans="1:10" s="53" customFormat="1" ht="19.95" customHeight="1">
      <c r="A18" s="54" t="s">
        <v>186</v>
      </c>
      <c r="B18" s="193">
        <f t="shared" ref="B18:H18" si="7">SUM(B19:B21)</f>
        <v>0</v>
      </c>
      <c r="C18" s="193">
        <f t="shared" si="7"/>
        <v>0</v>
      </c>
      <c r="D18" s="193">
        <f t="shared" si="7"/>
        <v>0</v>
      </c>
      <c r="E18" s="193">
        <f t="shared" si="7"/>
        <v>0</v>
      </c>
      <c r="F18" s="193">
        <f t="shared" si="7"/>
        <v>0</v>
      </c>
      <c r="G18" s="193">
        <f t="shared" si="7"/>
        <v>0</v>
      </c>
      <c r="H18" s="196">
        <f t="shared" si="7"/>
        <v>0</v>
      </c>
      <c r="I18" s="195" t="str">
        <f t="shared" ref="I18:I26" si="8">IF(AND(D18=0,G18=0),"",IF(AND(D18=0,G18&gt;0),1,H18/D18))</f>
        <v/>
      </c>
      <c r="J18" s="294"/>
    </row>
    <row r="19" spans="1:10" s="53" customFormat="1" ht="19.95" customHeight="1">
      <c r="A19" s="54" t="s">
        <v>184</v>
      </c>
      <c r="B19" s="55"/>
      <c r="C19" s="55"/>
      <c r="D19" s="193">
        <f>B19+C19</f>
        <v>0</v>
      </c>
      <c r="E19" s="55"/>
      <c r="F19" s="55"/>
      <c r="G19" s="193">
        <f>E19+F19</f>
        <v>0</v>
      </c>
      <c r="H19" s="196">
        <f>G19-D19</f>
        <v>0</v>
      </c>
      <c r="I19" s="195" t="str">
        <f t="shared" si="8"/>
        <v/>
      </c>
      <c r="J19" s="294"/>
    </row>
    <row r="20" spans="1:10" s="53" customFormat="1" ht="19.95" customHeight="1">
      <c r="A20" s="54" t="s">
        <v>185</v>
      </c>
      <c r="B20" s="55"/>
      <c r="C20" s="55"/>
      <c r="D20" s="193">
        <f>B20+C20</f>
        <v>0</v>
      </c>
      <c r="E20" s="55"/>
      <c r="F20" s="55"/>
      <c r="G20" s="193">
        <f t="shared" ref="G20:G21" si="9">E20+F20</f>
        <v>0</v>
      </c>
      <c r="H20" s="196">
        <f>G20-D20</f>
        <v>0</v>
      </c>
      <c r="I20" s="195" t="str">
        <f t="shared" si="8"/>
        <v/>
      </c>
      <c r="J20" s="294"/>
    </row>
    <row r="21" spans="1:10" s="53" customFormat="1" ht="19.95" customHeight="1">
      <c r="A21" s="54" t="s">
        <v>82</v>
      </c>
      <c r="B21" s="55"/>
      <c r="C21" s="55"/>
      <c r="D21" s="193">
        <f>B21+C21</f>
        <v>0</v>
      </c>
      <c r="E21" s="55"/>
      <c r="F21" s="55"/>
      <c r="G21" s="193">
        <f t="shared" si="9"/>
        <v>0</v>
      </c>
      <c r="H21" s="196">
        <f>G21-D21</f>
        <v>0</v>
      </c>
      <c r="I21" s="195" t="str">
        <f t="shared" si="8"/>
        <v/>
      </c>
      <c r="J21" s="294"/>
    </row>
    <row r="22" spans="1:10" s="53" customFormat="1" ht="36">
      <c r="A22" s="62" t="s">
        <v>187</v>
      </c>
      <c r="B22" s="192">
        <f>SUM(B23:B25)</f>
        <v>0</v>
      </c>
      <c r="C22" s="193">
        <f t="shared" ref="C22" si="10">SUM(C23:C25)</f>
        <v>0</v>
      </c>
      <c r="D22" s="193">
        <f t="shared" ref="D22" si="11">SUM(D23:D25)</f>
        <v>0</v>
      </c>
      <c r="E22" s="193">
        <f t="shared" ref="E22" si="12">SUM(E23:E25)</f>
        <v>0</v>
      </c>
      <c r="F22" s="193">
        <f t="shared" ref="F22" si="13">SUM(F23:F25)</f>
        <v>0</v>
      </c>
      <c r="G22" s="193">
        <f t="shared" ref="G22" si="14">SUM(G23:G25)</f>
        <v>0</v>
      </c>
      <c r="H22" s="193">
        <f t="shared" ref="H22" si="15">SUM(H23:H25)</f>
        <v>0</v>
      </c>
      <c r="I22" s="195" t="str">
        <f t="shared" si="8"/>
        <v/>
      </c>
      <c r="J22" s="294"/>
    </row>
    <row r="23" spans="1:10" s="53" customFormat="1" ht="19.95" customHeight="1">
      <c r="A23" s="54" t="s">
        <v>188</v>
      </c>
      <c r="B23" s="55"/>
      <c r="C23" s="55"/>
      <c r="D23" s="193">
        <f>B23+C23</f>
        <v>0</v>
      </c>
      <c r="E23" s="55"/>
      <c r="F23" s="55"/>
      <c r="G23" s="193">
        <f>E23+F23</f>
        <v>0</v>
      </c>
      <c r="H23" s="196">
        <f>G23-D23</f>
        <v>0</v>
      </c>
      <c r="I23" s="195" t="str">
        <f t="shared" si="8"/>
        <v/>
      </c>
      <c r="J23" s="294"/>
    </row>
    <row r="24" spans="1:10" s="53" customFormat="1" ht="19.95" customHeight="1">
      <c r="A24" s="54" t="s">
        <v>201</v>
      </c>
      <c r="B24" s="55"/>
      <c r="C24" s="55"/>
      <c r="D24" s="193">
        <f>B24+C24</f>
        <v>0</v>
      </c>
      <c r="E24" s="55"/>
      <c r="F24" s="55"/>
      <c r="G24" s="193">
        <f t="shared" ref="G24:G25" si="16">E24+F24</f>
        <v>0</v>
      </c>
      <c r="H24" s="196">
        <f>G24-D24</f>
        <v>0</v>
      </c>
      <c r="I24" s="195" t="str">
        <f t="shared" si="8"/>
        <v/>
      </c>
      <c r="J24" s="294"/>
    </row>
    <row r="25" spans="1:10" s="53" customFormat="1" ht="19.95" customHeight="1">
      <c r="A25" s="54" t="s">
        <v>82</v>
      </c>
      <c r="B25" s="55"/>
      <c r="C25" s="55"/>
      <c r="D25" s="193">
        <f>B25+C25</f>
        <v>0</v>
      </c>
      <c r="E25" s="55"/>
      <c r="F25" s="55"/>
      <c r="G25" s="193">
        <f t="shared" si="16"/>
        <v>0</v>
      </c>
      <c r="H25" s="196">
        <f>G25-D25</f>
        <v>0</v>
      </c>
      <c r="I25" s="195" t="str">
        <f t="shared" si="8"/>
        <v/>
      </c>
      <c r="J25" s="294"/>
    </row>
    <row r="26" spans="1:10" s="53" customFormat="1" ht="19.95" customHeight="1">
      <c r="A26" s="198" t="s">
        <v>83</v>
      </c>
      <c r="B26" s="193">
        <f t="shared" ref="B26:H26" si="17">SUM(B18,B22)</f>
        <v>0</v>
      </c>
      <c r="C26" s="193">
        <f t="shared" si="17"/>
        <v>0</v>
      </c>
      <c r="D26" s="193">
        <f t="shared" si="17"/>
        <v>0</v>
      </c>
      <c r="E26" s="193">
        <f t="shared" si="17"/>
        <v>0</v>
      </c>
      <c r="F26" s="193">
        <f t="shared" si="17"/>
        <v>0</v>
      </c>
      <c r="G26" s="193">
        <f t="shared" si="17"/>
        <v>0</v>
      </c>
      <c r="H26" s="193">
        <f t="shared" si="17"/>
        <v>0</v>
      </c>
      <c r="I26" s="197" t="str">
        <f t="shared" si="8"/>
        <v/>
      </c>
      <c r="J26" s="294"/>
    </row>
    <row r="27" spans="1:10" s="53" customFormat="1" ht="19.95" customHeight="1">
      <c r="A27" s="49" t="s">
        <v>84</v>
      </c>
      <c r="B27" s="50"/>
      <c r="C27" s="50"/>
      <c r="D27" s="50"/>
      <c r="E27" s="50"/>
      <c r="F27" s="50"/>
      <c r="G27" s="50"/>
      <c r="H27" s="51"/>
      <c r="I27" s="52"/>
      <c r="J27" s="293"/>
    </row>
    <row r="28" spans="1:10" s="53" customFormat="1" ht="19.95" customHeight="1">
      <c r="A28" s="54" t="s">
        <v>186</v>
      </c>
      <c r="B28" s="193">
        <f t="shared" ref="B28:H28" si="18">B8+B18</f>
        <v>0</v>
      </c>
      <c r="C28" s="193">
        <f t="shared" si="18"/>
        <v>0</v>
      </c>
      <c r="D28" s="193">
        <f t="shared" si="18"/>
        <v>0</v>
      </c>
      <c r="E28" s="193">
        <f t="shared" si="18"/>
        <v>0</v>
      </c>
      <c r="F28" s="193">
        <f t="shared" si="18"/>
        <v>0</v>
      </c>
      <c r="G28" s="193">
        <f t="shared" si="18"/>
        <v>0</v>
      </c>
      <c r="H28" s="193">
        <f t="shared" si="18"/>
        <v>0</v>
      </c>
      <c r="I28" s="195" t="str">
        <f t="shared" ref="I28:I36" si="19">IF(AND(D28=0,G28=0),"",IF(AND(D28=0,G28&gt;0),1,H28/D28))</f>
        <v/>
      </c>
      <c r="J28" s="294"/>
    </row>
    <row r="29" spans="1:10" s="53" customFormat="1" ht="19.95" customHeight="1">
      <c r="A29" s="54" t="s">
        <v>184</v>
      </c>
      <c r="B29" s="193">
        <f t="shared" ref="B29:H29" si="20">B9+B19</f>
        <v>0</v>
      </c>
      <c r="C29" s="193">
        <f t="shared" si="20"/>
        <v>0</v>
      </c>
      <c r="D29" s="193">
        <f>D9+D19</f>
        <v>0</v>
      </c>
      <c r="E29" s="193">
        <f t="shared" si="20"/>
        <v>0</v>
      </c>
      <c r="F29" s="193">
        <f t="shared" si="20"/>
        <v>0</v>
      </c>
      <c r="G29" s="193">
        <f>G9+G19</f>
        <v>0</v>
      </c>
      <c r="H29" s="193">
        <f t="shared" si="20"/>
        <v>0</v>
      </c>
      <c r="I29" s="195" t="str">
        <f t="shared" si="19"/>
        <v/>
      </c>
      <c r="J29" s="294"/>
    </row>
    <row r="30" spans="1:10" s="53" customFormat="1" ht="19.95" customHeight="1">
      <c r="A30" s="54" t="s">
        <v>185</v>
      </c>
      <c r="B30" s="193">
        <f t="shared" ref="B30:H30" si="21">B10+B20</f>
        <v>0</v>
      </c>
      <c r="C30" s="193">
        <f t="shared" si="21"/>
        <v>0</v>
      </c>
      <c r="D30" s="193">
        <f t="shared" si="21"/>
        <v>0</v>
      </c>
      <c r="E30" s="193">
        <f t="shared" si="21"/>
        <v>0</v>
      </c>
      <c r="F30" s="193">
        <f t="shared" si="21"/>
        <v>0</v>
      </c>
      <c r="G30" s="193">
        <f t="shared" si="21"/>
        <v>0</v>
      </c>
      <c r="H30" s="193">
        <f t="shared" si="21"/>
        <v>0</v>
      </c>
      <c r="I30" s="195" t="str">
        <f t="shared" si="19"/>
        <v/>
      </c>
      <c r="J30" s="294"/>
    </row>
    <row r="31" spans="1:10" s="53" customFormat="1" ht="19.95" customHeight="1">
      <c r="A31" s="54" t="s">
        <v>82</v>
      </c>
      <c r="B31" s="193">
        <f t="shared" ref="B31:H31" si="22">B11+B21</f>
        <v>0</v>
      </c>
      <c r="C31" s="193">
        <f t="shared" si="22"/>
        <v>0</v>
      </c>
      <c r="D31" s="193">
        <f t="shared" si="22"/>
        <v>0</v>
      </c>
      <c r="E31" s="193">
        <f t="shared" si="22"/>
        <v>0</v>
      </c>
      <c r="F31" s="193">
        <f t="shared" si="22"/>
        <v>0</v>
      </c>
      <c r="G31" s="193">
        <f t="shared" si="22"/>
        <v>0</v>
      </c>
      <c r="H31" s="193">
        <f t="shared" si="22"/>
        <v>0</v>
      </c>
      <c r="I31" s="195" t="str">
        <f t="shared" si="19"/>
        <v/>
      </c>
      <c r="J31" s="294"/>
    </row>
    <row r="32" spans="1:10" s="53" customFormat="1" ht="36">
      <c r="A32" s="62" t="s">
        <v>187</v>
      </c>
      <c r="B32" s="193">
        <f t="shared" ref="B32:H32" si="23">B12+B22</f>
        <v>0</v>
      </c>
      <c r="C32" s="193">
        <f t="shared" si="23"/>
        <v>0</v>
      </c>
      <c r="D32" s="193">
        <f t="shared" si="23"/>
        <v>0</v>
      </c>
      <c r="E32" s="193">
        <f t="shared" si="23"/>
        <v>0</v>
      </c>
      <c r="F32" s="193">
        <f t="shared" si="23"/>
        <v>0</v>
      </c>
      <c r="G32" s="193">
        <f t="shared" si="23"/>
        <v>0</v>
      </c>
      <c r="H32" s="193">
        <f t="shared" si="23"/>
        <v>0</v>
      </c>
      <c r="I32" s="195" t="str">
        <f t="shared" si="19"/>
        <v/>
      </c>
      <c r="J32" s="294"/>
    </row>
    <row r="33" spans="1:12" s="53" customFormat="1" ht="19.95" customHeight="1">
      <c r="A33" s="54" t="s">
        <v>188</v>
      </c>
      <c r="B33" s="193">
        <f t="shared" ref="B33:H33" si="24">B13+B23</f>
        <v>0</v>
      </c>
      <c r="C33" s="193">
        <f t="shared" si="24"/>
        <v>0</v>
      </c>
      <c r="D33" s="193">
        <f t="shared" si="24"/>
        <v>0</v>
      </c>
      <c r="E33" s="193">
        <f t="shared" si="24"/>
        <v>0</v>
      </c>
      <c r="F33" s="193">
        <f t="shared" si="24"/>
        <v>0</v>
      </c>
      <c r="G33" s="193">
        <f t="shared" si="24"/>
        <v>0</v>
      </c>
      <c r="H33" s="193">
        <f t="shared" si="24"/>
        <v>0</v>
      </c>
      <c r="I33" s="195" t="str">
        <f t="shared" si="19"/>
        <v/>
      </c>
      <c r="J33" s="294"/>
    </row>
    <row r="34" spans="1:12" s="53" customFormat="1" ht="19.95" customHeight="1">
      <c r="A34" s="54" t="s">
        <v>201</v>
      </c>
      <c r="B34" s="193">
        <f t="shared" ref="B34:H34" si="25">B14+B24</f>
        <v>0</v>
      </c>
      <c r="C34" s="193">
        <f t="shared" si="25"/>
        <v>0</v>
      </c>
      <c r="D34" s="193">
        <f t="shared" si="25"/>
        <v>0</v>
      </c>
      <c r="E34" s="193">
        <f t="shared" si="25"/>
        <v>0</v>
      </c>
      <c r="F34" s="193">
        <f t="shared" si="25"/>
        <v>0</v>
      </c>
      <c r="G34" s="193">
        <f t="shared" si="25"/>
        <v>0</v>
      </c>
      <c r="H34" s="193">
        <f t="shared" si="25"/>
        <v>0</v>
      </c>
      <c r="I34" s="195" t="str">
        <f t="shared" si="19"/>
        <v/>
      </c>
      <c r="J34" s="294"/>
    </row>
    <row r="35" spans="1:12" s="53" customFormat="1" ht="19.95" customHeight="1">
      <c r="A35" s="54" t="s">
        <v>82</v>
      </c>
      <c r="B35" s="193">
        <f t="shared" ref="B35:H35" si="26">B15+B25</f>
        <v>0</v>
      </c>
      <c r="C35" s="193">
        <f t="shared" si="26"/>
        <v>0</v>
      </c>
      <c r="D35" s="193">
        <f t="shared" si="26"/>
        <v>0</v>
      </c>
      <c r="E35" s="193">
        <f t="shared" si="26"/>
        <v>0</v>
      </c>
      <c r="F35" s="193">
        <f t="shared" si="26"/>
        <v>0</v>
      </c>
      <c r="G35" s="193">
        <f t="shared" si="26"/>
        <v>0</v>
      </c>
      <c r="H35" s="193">
        <f t="shared" si="26"/>
        <v>0</v>
      </c>
      <c r="I35" s="195" t="str">
        <f t="shared" si="19"/>
        <v/>
      </c>
      <c r="J35" s="294"/>
    </row>
    <row r="36" spans="1:12" s="53" customFormat="1" ht="19.95" customHeight="1">
      <c r="A36" s="198" t="s">
        <v>85</v>
      </c>
      <c r="B36" s="193">
        <f t="shared" ref="B36:H36" si="27">SUM(B28,B32)</f>
        <v>0</v>
      </c>
      <c r="C36" s="193">
        <f t="shared" si="27"/>
        <v>0</v>
      </c>
      <c r="D36" s="193">
        <f t="shared" si="27"/>
        <v>0</v>
      </c>
      <c r="E36" s="193">
        <f t="shared" si="27"/>
        <v>0</v>
      </c>
      <c r="F36" s="193">
        <f t="shared" si="27"/>
        <v>0</v>
      </c>
      <c r="G36" s="193">
        <f t="shared" si="27"/>
        <v>0</v>
      </c>
      <c r="H36" s="193">
        <f t="shared" si="27"/>
        <v>0</v>
      </c>
      <c r="I36" s="197" t="str">
        <f t="shared" si="19"/>
        <v/>
      </c>
      <c r="J36" s="294"/>
    </row>
    <row r="37" spans="1:12" s="127" customFormat="1" ht="19.95" customHeight="1">
      <c r="A37" s="142" t="s">
        <v>329</v>
      </c>
      <c r="B37" s="56"/>
      <c r="C37" s="96"/>
      <c r="D37" s="96"/>
      <c r="E37" s="96"/>
      <c r="F37" s="96"/>
      <c r="G37" s="96"/>
      <c r="H37" s="96"/>
      <c r="I37" s="96"/>
      <c r="J37" s="295"/>
      <c r="K37" s="126"/>
      <c r="L37" s="125"/>
    </row>
    <row r="38" spans="1:12" s="127" customFormat="1" ht="19.95" customHeight="1">
      <c r="A38" s="142" t="s">
        <v>330</v>
      </c>
      <c r="B38" s="56"/>
      <c r="C38" s="56"/>
      <c r="D38" s="194">
        <f>D36-D37</f>
        <v>0</v>
      </c>
      <c r="E38" s="56"/>
      <c r="F38" s="56"/>
      <c r="G38" s="194">
        <f>G36-G37</f>
        <v>0</v>
      </c>
      <c r="H38" s="360"/>
      <c r="I38" s="360"/>
      <c r="J38" s="296"/>
      <c r="K38" s="126"/>
      <c r="L38" s="125"/>
    </row>
    <row r="39" spans="1:12" s="59" customFormat="1" ht="19.95" customHeight="1">
      <c r="A39" s="360"/>
      <c r="B39" s="360"/>
      <c r="C39" s="360"/>
      <c r="D39" s="360"/>
      <c r="E39" s="360"/>
      <c r="F39" s="360"/>
      <c r="G39" s="360"/>
      <c r="H39" s="360"/>
      <c r="I39" s="360"/>
      <c r="J39" s="296"/>
      <c r="K39" s="44"/>
    </row>
    <row r="40" spans="1:12" s="56" customFormat="1" ht="19.95" customHeight="1">
      <c r="A40" s="61" t="s">
        <v>78</v>
      </c>
      <c r="B40" s="45"/>
      <c r="C40" s="45"/>
      <c r="D40" s="45"/>
      <c r="E40" s="95"/>
      <c r="F40" s="95"/>
      <c r="G40" s="61"/>
      <c r="H40" s="44"/>
      <c r="I40" s="44"/>
      <c r="J40" s="296"/>
      <c r="K40" s="44"/>
    </row>
    <row r="41" spans="1:12" s="59" customFormat="1" ht="19.95" customHeight="1">
      <c r="A41" s="57" t="s">
        <v>190</v>
      </c>
      <c r="B41" s="57"/>
      <c r="C41" s="57"/>
      <c r="D41" s="199">
        <f>IF(AND(D36=0,G36=0),0,IF(AND(D36=0,G36&gt;0),1,(G36-D36)/D36))</f>
        <v>0</v>
      </c>
      <c r="E41" s="58"/>
      <c r="F41" s="58"/>
      <c r="G41" s="58"/>
      <c r="H41" s="58"/>
      <c r="I41" s="58"/>
      <c r="J41" s="296"/>
      <c r="K41" s="44"/>
    </row>
    <row r="42" spans="1:12" s="56" customFormat="1" ht="19.95" customHeight="1">
      <c r="A42" s="57" t="s">
        <v>79</v>
      </c>
      <c r="B42" s="57"/>
      <c r="C42" s="57"/>
      <c r="D42" s="57"/>
      <c r="E42" s="57"/>
      <c r="F42" s="57"/>
      <c r="G42" s="57"/>
      <c r="H42" s="57"/>
      <c r="I42" s="57"/>
      <c r="J42" s="296"/>
      <c r="K42" s="44"/>
    </row>
    <row r="43" spans="1:12" s="59" customFormat="1" ht="19.95" customHeight="1">
      <c r="A43" s="57"/>
      <c r="B43" s="57"/>
      <c r="C43" s="57"/>
      <c r="D43" s="57"/>
      <c r="E43" s="57"/>
      <c r="F43" s="57"/>
      <c r="G43" s="57"/>
      <c r="H43" s="57"/>
      <c r="I43" s="57"/>
      <c r="J43" s="296"/>
      <c r="K43" s="44"/>
    </row>
    <row r="44" spans="1:12" s="59" customFormat="1" ht="19.95" customHeight="1">
      <c r="A44" s="60" t="s">
        <v>80</v>
      </c>
      <c r="B44" s="57"/>
      <c r="C44" s="57"/>
      <c r="D44" s="57"/>
      <c r="E44" s="57"/>
      <c r="F44" s="57"/>
      <c r="G44" s="57"/>
      <c r="H44" s="57"/>
      <c r="I44" s="57"/>
      <c r="J44" s="296"/>
      <c r="K44" s="44"/>
    </row>
    <row r="45" spans="1:12" s="59" customFormat="1" ht="19.95" customHeight="1">
      <c r="B45" s="60"/>
      <c r="C45" s="60"/>
      <c r="D45" s="60"/>
      <c r="E45" s="60"/>
      <c r="F45" s="60"/>
      <c r="G45" s="60"/>
      <c r="H45" s="60"/>
      <c r="I45" s="60"/>
      <c r="J45" s="296"/>
      <c r="K45" s="44"/>
    </row>
    <row r="46" spans="1:12" s="59" customFormat="1" ht="19.95" customHeight="1">
      <c r="A46" s="61" t="s">
        <v>81</v>
      </c>
      <c r="B46" s="60"/>
      <c r="C46" s="60"/>
      <c r="D46" s="60"/>
      <c r="E46" s="60"/>
      <c r="F46" s="60"/>
      <c r="G46" s="60"/>
      <c r="H46" s="60"/>
      <c r="I46" s="60"/>
      <c r="J46" s="296"/>
      <c r="K46" s="44"/>
    </row>
    <row r="47" spans="1:12" ht="19.95" customHeight="1">
      <c r="A47" s="61"/>
      <c r="B47" s="57"/>
      <c r="C47" s="57"/>
      <c r="D47" s="57"/>
      <c r="E47" s="57"/>
      <c r="F47" s="57"/>
      <c r="G47" s="57"/>
      <c r="H47" s="57"/>
      <c r="I47" s="57"/>
    </row>
    <row r="49" spans="1:1" ht="18" customHeight="1">
      <c r="A49" s="63" t="s">
        <v>88</v>
      </c>
    </row>
    <row r="50" spans="1:1" ht="18" customHeight="1">
      <c r="A50" s="44" t="s">
        <v>86</v>
      </c>
    </row>
    <row r="51" spans="1:1" ht="18" customHeight="1">
      <c r="A51" s="44" t="s">
        <v>89</v>
      </c>
    </row>
    <row r="52" spans="1:1" ht="18" customHeight="1">
      <c r="A52" s="44" t="s">
        <v>87</v>
      </c>
    </row>
    <row r="53" spans="1:1" ht="18" customHeight="1">
      <c r="A53" s="44" t="s">
        <v>101</v>
      </c>
    </row>
    <row r="54" spans="1:1" ht="18" customHeight="1"/>
    <row r="55" spans="1:1" ht="18" customHeight="1">
      <c r="A55" s="44" t="s">
        <v>191</v>
      </c>
    </row>
    <row r="56" spans="1:1" ht="18" customHeight="1">
      <c r="A56" s="44" t="s">
        <v>192</v>
      </c>
    </row>
    <row r="57" spans="1:1" ht="18.75" customHeight="1">
      <c r="A57" s="44" t="s">
        <v>193</v>
      </c>
    </row>
    <row r="58" spans="1:1" ht="18.75" customHeight="1">
      <c r="A58" s="44" t="s">
        <v>194</v>
      </c>
    </row>
    <row r="59" spans="1:1" ht="18.75" customHeight="1"/>
    <row r="60" spans="1:1" ht="18.75" customHeight="1"/>
    <row r="61" spans="1:1" ht="18.75" customHeight="1"/>
    <row r="62" spans="1:1" ht="18.75" customHeight="1"/>
    <row r="63" spans="1:1" ht="18.75" customHeight="1"/>
  </sheetData>
  <mergeCells count="7">
    <mergeCell ref="A1:J1"/>
    <mergeCell ref="A2:J2"/>
    <mergeCell ref="A5:A6"/>
    <mergeCell ref="B5:D5"/>
    <mergeCell ref="E5:G5"/>
    <mergeCell ref="H5:I5"/>
    <mergeCell ref="J5:J6"/>
  </mergeCells>
  <phoneticPr fontId="4" type="noConversion"/>
  <hyperlinks>
    <hyperlink ref="J3" location="底稿目录!F5" display="底稿目录!F5"/>
  </hyperlinks>
  <printOptions horizontalCentered="1"/>
  <pageMargins left="0.70866141732283472" right="0.70866141732283472" top="0.74803149606299213" bottom="0.74803149606299213" header="0.31496062992125984" footer="0.31496062992125984"/>
  <pageSetup paperSize="9" scale="84" fitToHeight="3" orientation="landscape" blackAndWhite="1" r:id="rId1"/>
  <headerFooter>
    <oddFooter>&amp;C&amp;P/&amp;N</oddFooter>
  </headerFooter>
  <rowBreaks count="1" manualBreakCount="1">
    <brk id="23" max="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42"/>
  <sheetViews>
    <sheetView view="pageBreakPreview" zoomScaleSheetLayoutView="100" workbookViewId="0">
      <selection activeCell="E4" sqref="E4"/>
    </sheetView>
  </sheetViews>
  <sheetFormatPr defaultColWidth="9" defaultRowHeight="13.8"/>
  <cols>
    <col min="1" max="1" width="31.33203125" style="5" customWidth="1"/>
    <col min="2" max="2" width="23.44140625" style="5" customWidth="1"/>
    <col min="3" max="3" width="20.33203125" style="5" customWidth="1"/>
    <col min="4" max="4" width="18.5546875" style="5" bestFit="1" customWidth="1"/>
    <col min="5" max="5" width="22.21875" style="5" customWidth="1"/>
    <col min="6" max="16384" width="9" style="5"/>
  </cols>
  <sheetData>
    <row r="1" spans="1:5" s="237" customFormat="1" ht="20.25" customHeight="1">
      <c r="A1" s="436" t="s">
        <v>0</v>
      </c>
      <c r="B1" s="436"/>
      <c r="C1" s="436"/>
      <c r="D1" s="436"/>
    </row>
    <row r="2" spans="1:5" s="243" customFormat="1" ht="25.2" customHeight="1">
      <c r="A2" s="437" t="s">
        <v>449</v>
      </c>
      <c r="B2" s="437"/>
      <c r="C2" s="437"/>
      <c r="D2" s="437"/>
    </row>
    <row r="3" spans="1:5" s="265" customFormat="1" ht="20.25" customHeight="1">
      <c r="A3" s="265" t="str">
        <f>底稿目录!A2</f>
        <v>被审计单位：</v>
      </c>
      <c r="B3" s="266" t="str">
        <f>底稿目录!A4</f>
        <v>编制人：</v>
      </c>
      <c r="C3" s="266" t="str">
        <f>底稿目录!A5</f>
        <v>编制日期：</v>
      </c>
      <c r="D3" s="266" t="s">
        <v>363</v>
      </c>
      <c r="E3" s="265">
        <f>底稿目录!F6</f>
        <v>0</v>
      </c>
    </row>
    <row r="4" spans="1:5" s="265" customFormat="1" ht="20.25" customHeight="1">
      <c r="A4" s="265" t="str">
        <f>底稿目录!A3</f>
        <v>截止日：202X年12月31日</v>
      </c>
      <c r="B4" s="266" t="str">
        <f>底稿目录!A6</f>
        <v>复核人：</v>
      </c>
      <c r="C4" s="266" t="str">
        <f>底稿目录!A7</f>
        <v>复核日期：</v>
      </c>
      <c r="D4" s="266" t="s">
        <v>466</v>
      </c>
    </row>
    <row r="5" spans="1:5" s="18" customFormat="1" ht="20.25" customHeight="1">
      <c r="A5" s="18" t="s">
        <v>60</v>
      </c>
    </row>
    <row r="6" spans="1:5" s="19" customFormat="1" ht="20.25" customHeight="1" thickBot="1">
      <c r="A6" s="11" t="s">
        <v>195</v>
      </c>
    </row>
    <row r="7" spans="1:5" s="19" customFormat="1" ht="20.25" customHeight="1" thickBot="1">
      <c r="A7" s="166" t="s">
        <v>61</v>
      </c>
      <c r="B7" s="179" t="s">
        <v>347</v>
      </c>
      <c r="C7" s="179" t="s">
        <v>360</v>
      </c>
      <c r="D7" s="179" t="s">
        <v>361</v>
      </c>
      <c r="E7" s="179" t="s">
        <v>348</v>
      </c>
    </row>
    <row r="8" spans="1:5" s="19" customFormat="1" ht="20.25" customHeight="1">
      <c r="A8" s="167" t="s">
        <v>196</v>
      </c>
      <c r="B8" s="41">
        <f>B9+B10+B11</f>
        <v>0</v>
      </c>
      <c r="C8" s="41"/>
      <c r="E8" s="41">
        <f>E9+E10+E11</f>
        <v>0</v>
      </c>
    </row>
    <row r="9" spans="1:5" s="19" customFormat="1" ht="20.25" customHeight="1">
      <c r="A9" s="167" t="s">
        <v>197</v>
      </c>
      <c r="B9" s="41">
        <f>'审定表G10-1'!D29</f>
        <v>0</v>
      </c>
      <c r="C9" s="41"/>
      <c r="E9" s="41">
        <f>'审定表G10-1'!G29</f>
        <v>0</v>
      </c>
    </row>
    <row r="10" spans="1:5" s="19" customFormat="1" ht="20.25" customHeight="1">
      <c r="A10" s="168" t="s">
        <v>200</v>
      </c>
      <c r="B10" s="41">
        <f>'审定表G10-1'!D30</f>
        <v>0</v>
      </c>
      <c r="C10" s="41"/>
      <c r="E10" s="41">
        <f>'审定表G10-1'!G30</f>
        <v>0</v>
      </c>
    </row>
    <row r="11" spans="1:5" s="19" customFormat="1" ht="20.25" customHeight="1">
      <c r="A11" s="168" t="s">
        <v>65</v>
      </c>
      <c r="B11" s="41">
        <f>'审定表G10-1'!D31</f>
        <v>0</v>
      </c>
      <c r="C11" s="41"/>
      <c r="E11" s="41">
        <f>'审定表G10-1'!G31</f>
        <v>0</v>
      </c>
    </row>
    <row r="12" spans="1:5" s="19" customFormat="1" ht="36" customHeight="1">
      <c r="A12" s="169" t="s">
        <v>187</v>
      </c>
      <c r="B12" s="41">
        <f>B13+B14</f>
        <v>0</v>
      </c>
      <c r="C12" s="41"/>
      <c r="E12" s="41">
        <f>E13+E14</f>
        <v>0</v>
      </c>
    </row>
    <row r="13" spans="1:5" s="19" customFormat="1" ht="20.25" customHeight="1">
      <c r="A13" s="168" t="s">
        <v>198</v>
      </c>
      <c r="B13" s="41">
        <f>'审定表G10-1'!D33</f>
        <v>0</v>
      </c>
      <c r="C13" s="41"/>
      <c r="E13" s="41">
        <f>'审定表G10-1'!G33</f>
        <v>0</v>
      </c>
    </row>
    <row r="14" spans="1:5" s="19" customFormat="1" ht="20.25" customHeight="1" thickBot="1">
      <c r="A14" s="170" t="s">
        <v>65</v>
      </c>
      <c r="B14" s="42">
        <f>'审定表G10-1'!D34+'审定表G10-1'!D35</f>
        <v>0</v>
      </c>
      <c r="C14" s="42"/>
      <c r="D14" s="43"/>
      <c r="E14" s="42">
        <f>'审定表G10-1'!G34+'审定表G10-1'!G35</f>
        <v>0</v>
      </c>
    </row>
    <row r="15" spans="1:5" s="19" customFormat="1" ht="20.25" customHeight="1" thickBot="1">
      <c r="A15" s="40" t="s">
        <v>62</v>
      </c>
      <c r="B15" s="43">
        <f>B8+B12</f>
        <v>0</v>
      </c>
      <c r="C15" s="43"/>
      <c r="D15" s="43"/>
      <c r="E15" s="43">
        <f>E8+E12</f>
        <v>0</v>
      </c>
    </row>
    <row r="16" spans="1:5" s="143" customFormat="1" ht="19.5" customHeight="1">
      <c r="A16" s="177" t="s">
        <v>344</v>
      </c>
      <c r="B16"/>
      <c r="C16"/>
      <c r="D16"/>
    </row>
    <row r="17" spans="1:4" s="143" customFormat="1" ht="36.450000000000003" customHeight="1" thickBot="1">
      <c r="A17" s="438" t="s">
        <v>345</v>
      </c>
      <c r="B17" s="438"/>
      <c r="C17" s="438"/>
      <c r="D17" s="438"/>
    </row>
    <row r="18" spans="1:4" s="143" customFormat="1" ht="19.5" customHeight="1" thickBot="1">
      <c r="A18" s="178" t="s">
        <v>346</v>
      </c>
      <c r="B18" s="179" t="s">
        <v>347</v>
      </c>
      <c r="C18" s="179" t="s">
        <v>348</v>
      </c>
      <c r="D18" s="179" t="s">
        <v>349</v>
      </c>
    </row>
    <row r="19" spans="1:4" s="143" customFormat="1" ht="19.5" customHeight="1">
      <c r="A19" s="180"/>
      <c r="B19" s="181"/>
      <c r="C19" s="181"/>
      <c r="D19" s="181"/>
    </row>
    <row r="20" spans="1:4" s="143" customFormat="1" ht="19.5" customHeight="1">
      <c r="A20" s="180"/>
      <c r="B20" s="181"/>
      <c r="C20" s="181"/>
      <c r="D20" s="181"/>
    </row>
    <row r="21" spans="1:4" s="143" customFormat="1" ht="19.5" customHeight="1" thickBot="1">
      <c r="A21" s="182"/>
      <c r="B21" s="183"/>
      <c r="C21" s="183"/>
      <c r="D21" s="183"/>
    </row>
    <row r="22" spans="1:4" s="143" customFormat="1" ht="19.5" customHeight="1" thickBot="1">
      <c r="A22" s="184" t="s">
        <v>350</v>
      </c>
      <c r="B22" s="185"/>
      <c r="C22" s="185"/>
      <c r="D22" s="185"/>
    </row>
    <row r="23" spans="1:4" s="143" customFormat="1" ht="51" customHeight="1">
      <c r="A23" s="434" t="s">
        <v>351</v>
      </c>
      <c r="B23" s="434"/>
      <c r="C23" s="434"/>
      <c r="D23" s="434"/>
    </row>
    <row r="24" spans="1:4" s="143" customFormat="1" ht="19.5" customHeight="1">
      <c r="A24" s="177" t="s">
        <v>352</v>
      </c>
      <c r="B24"/>
      <c r="C24"/>
      <c r="D24"/>
    </row>
    <row r="25" spans="1:4" s="143" customFormat="1" ht="36.450000000000003" customHeight="1" thickBot="1">
      <c r="A25" s="439" t="s">
        <v>353</v>
      </c>
      <c r="B25" s="439"/>
      <c r="C25" s="439"/>
      <c r="D25" s="439"/>
    </row>
    <row r="26" spans="1:4" s="143" customFormat="1" ht="25.95" customHeight="1" thickBot="1">
      <c r="A26" s="178" t="s">
        <v>346</v>
      </c>
      <c r="B26" s="186" t="s">
        <v>354</v>
      </c>
      <c r="C26" s="179" t="s">
        <v>331</v>
      </c>
      <c r="D26" s="179" t="s">
        <v>332</v>
      </c>
    </row>
    <row r="27" spans="1:4" s="143" customFormat="1" ht="19.5" customHeight="1">
      <c r="A27" s="187" t="s">
        <v>333</v>
      </c>
      <c r="B27" s="181"/>
      <c r="C27" s="181"/>
      <c r="D27" s="181"/>
    </row>
    <row r="28" spans="1:4" s="143" customFormat="1" ht="19.5" customHeight="1">
      <c r="A28" s="180"/>
      <c r="B28" s="181"/>
      <c r="C28" s="181"/>
      <c r="D28" s="181"/>
    </row>
    <row r="29" spans="1:4" s="143" customFormat="1" ht="19.5" customHeight="1" thickBot="1">
      <c r="A29" s="182"/>
      <c r="B29" s="183"/>
      <c r="C29" s="183"/>
      <c r="D29" s="183"/>
    </row>
    <row r="30" spans="1:4" s="143" customFormat="1" ht="19.5" customHeight="1" thickBot="1">
      <c r="A30" s="184" t="s">
        <v>350</v>
      </c>
      <c r="B30" s="185"/>
      <c r="C30" s="185"/>
      <c r="D30" s="185"/>
    </row>
    <row r="31" spans="1:4" s="143" customFormat="1" ht="35.549999999999997" customHeight="1">
      <c r="A31" s="434" t="s">
        <v>355</v>
      </c>
      <c r="B31" s="434"/>
      <c r="C31" s="434"/>
      <c r="D31" s="434"/>
    </row>
    <row r="32" spans="1:4" s="19" customFormat="1" ht="20.25" customHeight="1" thickBot="1">
      <c r="A32" s="12" t="s">
        <v>199</v>
      </c>
    </row>
    <row r="33" spans="1:5" s="19" customFormat="1" ht="20.25" customHeight="1" thickBot="1">
      <c r="A33" s="435" t="s">
        <v>357</v>
      </c>
      <c r="B33" s="435"/>
      <c r="C33" s="435"/>
      <c r="D33" s="435"/>
    </row>
    <row r="34" spans="1:5" s="19" customFormat="1" ht="34.049999999999997" customHeight="1" thickBot="1">
      <c r="A34" s="434" t="s">
        <v>358</v>
      </c>
      <c r="B34" s="434"/>
      <c r="C34" s="434"/>
      <c r="D34" s="434"/>
    </row>
    <row r="35" spans="1:5" s="145" customFormat="1" ht="20.25" customHeight="1" thickBot="1">
      <c r="A35" s="171" t="s">
        <v>359</v>
      </c>
      <c r="B35" s="188" t="s">
        <v>348</v>
      </c>
      <c r="C35" s="188" t="s">
        <v>356</v>
      </c>
      <c r="D35" s="144"/>
      <c r="E35" s="144"/>
    </row>
    <row r="36" spans="1:5" s="143" customFormat="1" ht="20.25" customHeight="1">
      <c r="A36" s="146"/>
      <c r="B36" s="144"/>
      <c r="C36" s="144"/>
      <c r="D36" s="144"/>
      <c r="E36" s="144"/>
    </row>
    <row r="37" spans="1:5" s="143" customFormat="1" ht="20.25" customHeight="1">
      <c r="A37" s="146"/>
      <c r="B37" s="144"/>
      <c r="C37" s="144"/>
      <c r="D37" s="144"/>
      <c r="E37" s="144"/>
    </row>
    <row r="38" spans="1:5" s="143" customFormat="1" ht="20.25" customHeight="1">
      <c r="A38" s="146"/>
      <c r="B38" s="144"/>
      <c r="C38" s="144"/>
      <c r="D38" s="144"/>
      <c r="E38" s="144"/>
    </row>
    <row r="39" spans="1:5" s="143" customFormat="1" ht="20.25" customHeight="1">
      <c r="A39" s="146"/>
      <c r="B39" s="144"/>
      <c r="C39" s="144"/>
      <c r="D39" s="144"/>
      <c r="E39" s="144"/>
    </row>
    <row r="40" spans="1:5" s="143" customFormat="1" ht="20.25" customHeight="1" thickBot="1">
      <c r="A40" s="147"/>
      <c r="B40" s="174"/>
      <c r="C40" s="174"/>
      <c r="D40" s="144"/>
      <c r="E40" s="144"/>
    </row>
    <row r="41" spans="1:5" s="143" customFormat="1" ht="20.25" customHeight="1" thickBot="1">
      <c r="A41" s="172" t="s">
        <v>334</v>
      </c>
      <c r="B41" s="173">
        <f>SUM(B36:B40)</f>
        <v>0</v>
      </c>
      <c r="C41" s="173">
        <f>SUM(C36:C40)</f>
        <v>0</v>
      </c>
      <c r="D41" s="144"/>
      <c r="E41" s="144"/>
    </row>
    <row r="42" spans="1:5" s="149" customFormat="1" ht="20.25" customHeight="1">
      <c r="A42" s="148" t="s">
        <v>335</v>
      </c>
      <c r="B42" s="143"/>
      <c r="C42" s="143"/>
      <c r="D42" s="144"/>
      <c r="E42" s="144"/>
    </row>
  </sheetData>
  <mergeCells count="8">
    <mergeCell ref="A31:D31"/>
    <mergeCell ref="A33:D33"/>
    <mergeCell ref="A34:D34"/>
    <mergeCell ref="A1:D1"/>
    <mergeCell ref="A2:D2"/>
    <mergeCell ref="A17:D17"/>
    <mergeCell ref="A23:D23"/>
    <mergeCell ref="A25:D25"/>
  </mergeCells>
  <phoneticPr fontId="4"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79"/>
  <sheetViews>
    <sheetView view="pageBreakPreview" zoomScaleSheetLayoutView="100" workbookViewId="0">
      <selection activeCell="G17" sqref="G17"/>
    </sheetView>
  </sheetViews>
  <sheetFormatPr defaultColWidth="9" defaultRowHeight="12"/>
  <cols>
    <col min="1" max="1" width="42.21875" style="190" customWidth="1"/>
    <col min="2" max="2" width="14.44140625" style="190" customWidth="1"/>
    <col min="3" max="3" width="17.44140625" style="190" customWidth="1"/>
    <col min="4" max="4" width="18.21875" style="190" customWidth="1"/>
    <col min="5" max="16384" width="9" style="190"/>
  </cols>
  <sheetData>
    <row r="1" spans="1:5" s="237" customFormat="1" ht="20.25" customHeight="1">
      <c r="A1" s="436" t="s">
        <v>0</v>
      </c>
      <c r="B1" s="436"/>
      <c r="C1" s="436"/>
      <c r="D1" s="436"/>
    </row>
    <row r="2" spans="1:5" s="243" customFormat="1" ht="25.2" customHeight="1">
      <c r="A2" s="437" t="s">
        <v>8</v>
      </c>
      <c r="B2" s="437"/>
      <c r="C2" s="437"/>
      <c r="D2" s="437"/>
    </row>
    <row r="3" spans="1:5" s="265" customFormat="1" ht="20.25" customHeight="1">
      <c r="A3" s="265" t="str">
        <f>底稿目录!A2</f>
        <v>被审计单位：</v>
      </c>
      <c r="B3" s="266" t="str">
        <f>底稿目录!A4</f>
        <v>编制人：</v>
      </c>
      <c r="C3" s="266" t="str">
        <f>底稿目录!A5</f>
        <v>编制日期：</v>
      </c>
      <c r="D3" s="266" t="s">
        <v>363</v>
      </c>
      <c r="E3" s="265">
        <f>底稿目录!F7</f>
        <v>0</v>
      </c>
    </row>
    <row r="4" spans="1:5" s="265" customFormat="1" ht="20.25" customHeight="1">
      <c r="A4" s="265" t="str">
        <f>底稿目录!A3</f>
        <v>截止日：202X年12月31日</v>
      </c>
      <c r="B4" s="266" t="str">
        <f>底稿目录!A6</f>
        <v>复核人：</v>
      </c>
      <c r="C4" s="266" t="str">
        <f>底稿目录!A7</f>
        <v>复核日期：</v>
      </c>
      <c r="D4" s="266" t="s">
        <v>466</v>
      </c>
    </row>
    <row r="5" spans="1:5" s="38" customFormat="1" ht="20.25" customHeight="1">
      <c r="A5" s="38" t="s">
        <v>58</v>
      </c>
    </row>
    <row r="6" spans="1:5" s="39" customFormat="1" ht="20.25" customHeight="1" thickBot="1">
      <c r="A6" s="11" t="s">
        <v>195</v>
      </c>
      <c r="B6" s="11"/>
    </row>
    <row r="7" spans="1:5" s="150" customFormat="1" ht="29.4" thickBot="1">
      <c r="A7" s="164" t="s">
        <v>59</v>
      </c>
      <c r="B7" s="164" t="s">
        <v>2</v>
      </c>
      <c r="C7" s="164" t="s">
        <v>336</v>
      </c>
    </row>
    <row r="8" spans="1:5" s="150" customFormat="1" ht="14.4">
      <c r="A8" s="151" t="s">
        <v>305</v>
      </c>
      <c r="B8" s="161">
        <f>B9+B10+B11</f>
        <v>0</v>
      </c>
      <c r="C8" s="161">
        <f>C9+C10+C11</f>
        <v>0</v>
      </c>
    </row>
    <row r="9" spans="1:5" s="150" customFormat="1" ht="14.4">
      <c r="A9" s="151" t="s">
        <v>337</v>
      </c>
      <c r="B9" s="161">
        <f>'审定表G10-1'!G29</f>
        <v>0</v>
      </c>
      <c r="C9" s="161">
        <f>'审定表G10-1'!D29</f>
        <v>0</v>
      </c>
    </row>
    <row r="10" spans="1:5" s="155" customFormat="1" ht="14.4">
      <c r="A10" s="151" t="s">
        <v>341</v>
      </c>
      <c r="B10" s="161">
        <f>'审定表G10-1'!G30</f>
        <v>0</v>
      </c>
      <c r="C10" s="161">
        <f>'审定表G10-1'!D30</f>
        <v>0</v>
      </c>
      <c r="D10" s="150"/>
      <c r="E10" s="150"/>
    </row>
    <row r="11" spans="1:5" s="155" customFormat="1" ht="14.4">
      <c r="A11" s="151" t="s">
        <v>342</v>
      </c>
      <c r="B11" s="161">
        <f>'审定表G10-1'!G31</f>
        <v>0</v>
      </c>
      <c r="C11" s="161">
        <f>'审定表G10-1'!D31</f>
        <v>0</v>
      </c>
      <c r="D11" s="150"/>
      <c r="E11" s="150"/>
    </row>
    <row r="12" spans="1:5" s="150" customFormat="1" ht="33" customHeight="1">
      <c r="A12" s="207" t="s">
        <v>338</v>
      </c>
      <c r="B12" s="161"/>
      <c r="C12" s="161"/>
    </row>
    <row r="13" spans="1:5" s="155" customFormat="1" ht="15" thickBot="1">
      <c r="A13" s="208" t="s">
        <v>342</v>
      </c>
      <c r="B13" s="162">
        <f>'审定表G10-1'!G34+'审定表G10-1'!G35</f>
        <v>0</v>
      </c>
      <c r="C13" s="162">
        <f>'审定表G10-1'!D34+'审定表G10-1'!D35</f>
        <v>0</v>
      </c>
      <c r="D13" s="150"/>
      <c r="E13" s="150"/>
    </row>
    <row r="14" spans="1:5" s="150" customFormat="1" ht="15" thickBot="1">
      <c r="A14" s="165" t="s">
        <v>334</v>
      </c>
      <c r="B14" s="163">
        <f>SUM(B8:B13)-B9</f>
        <v>0</v>
      </c>
      <c r="C14" s="163">
        <f>SUM(C8:C13)-C9</f>
        <v>0</v>
      </c>
    </row>
    <row r="15" spans="1:5" s="150" customFormat="1" ht="60" customHeight="1">
      <c r="A15" s="441" t="s">
        <v>339</v>
      </c>
      <c r="B15" s="441"/>
      <c r="C15" s="441"/>
      <c r="D15" s="441"/>
    </row>
    <row r="16" spans="1:5" s="150" customFormat="1" ht="15.6">
      <c r="A16" s="152" t="s">
        <v>340</v>
      </c>
    </row>
    <row r="17" spans="1:4" s="150" customFormat="1" ht="34.200000000000003" customHeight="1" thickBot="1">
      <c r="A17" s="442" t="s">
        <v>370</v>
      </c>
      <c r="B17" s="442"/>
      <c r="C17" s="442"/>
      <c r="D17" s="442"/>
    </row>
    <row r="18" spans="1:4" s="150" customFormat="1" ht="78.75" customHeight="1" thickBot="1">
      <c r="A18" s="156" t="s">
        <v>59</v>
      </c>
      <c r="B18" s="189" t="s">
        <v>371</v>
      </c>
      <c r="C18" s="189" t="s">
        <v>331</v>
      </c>
      <c r="D18" s="189" t="s">
        <v>332</v>
      </c>
    </row>
    <row r="19" spans="1:4" s="150" customFormat="1" ht="14.4">
      <c r="A19" s="153" t="s">
        <v>333</v>
      </c>
      <c r="B19" s="158"/>
      <c r="C19" s="158"/>
      <c r="D19" s="158"/>
    </row>
    <row r="20" spans="1:4" s="150" customFormat="1" ht="14.4">
      <c r="A20" s="153"/>
      <c r="B20" s="158"/>
      <c r="C20" s="158"/>
      <c r="D20" s="158"/>
    </row>
    <row r="21" spans="1:4" s="150" customFormat="1" ht="15" thickBot="1">
      <c r="A21" s="154"/>
      <c r="B21" s="159"/>
      <c r="C21" s="159"/>
      <c r="D21" s="159"/>
    </row>
    <row r="22" spans="1:4" s="150" customFormat="1" ht="15" thickBot="1">
      <c r="A22" s="157" t="s">
        <v>334</v>
      </c>
      <c r="B22" s="160">
        <f>SUM(B19:B21)</f>
        <v>0</v>
      </c>
      <c r="C22" s="160">
        <f>SUM(C19:C21)</f>
        <v>0</v>
      </c>
      <c r="D22" s="160">
        <f>SUM(D19:D21)</f>
        <v>0</v>
      </c>
    </row>
    <row r="23" spans="1:4" s="150" customFormat="1" ht="39" customHeight="1">
      <c r="A23" s="440" t="s">
        <v>372</v>
      </c>
      <c r="B23" s="440"/>
      <c r="C23" s="440"/>
      <c r="D23" s="440"/>
    </row>
    <row r="24" spans="1:4" s="150" customFormat="1" ht="18.75" customHeight="1"/>
    <row r="25" spans="1:4" s="150" customFormat="1" ht="18.75" customHeight="1"/>
    <row r="26" spans="1:4" s="150" customFormat="1" ht="18.75" customHeight="1"/>
    <row r="27" spans="1:4" s="150" customFormat="1" ht="18.75" customHeight="1"/>
    <row r="28" spans="1:4" s="150" customFormat="1" ht="18.75" customHeight="1"/>
    <row r="29" spans="1:4" s="150" customFormat="1" ht="18.75" customHeight="1"/>
    <row r="30" spans="1:4" s="150" customFormat="1" ht="18.75" customHeight="1"/>
    <row r="31" spans="1:4" s="150" customFormat="1" ht="18.75" customHeight="1"/>
    <row r="32" spans="1:4" s="150" customFormat="1" ht="18.75" customHeight="1"/>
    <row r="33" s="150" customFormat="1" ht="18.75" customHeight="1"/>
    <row r="34" s="150" customFormat="1"/>
    <row r="35" s="150" customFormat="1"/>
    <row r="36" s="150" customFormat="1"/>
    <row r="37" s="150" customFormat="1"/>
    <row r="38" s="150" customFormat="1"/>
    <row r="39" s="150" customFormat="1"/>
    <row r="40" s="150" customFormat="1"/>
    <row r="41" s="150" customFormat="1"/>
    <row r="42" s="150" customFormat="1"/>
    <row r="43" s="150" customFormat="1"/>
    <row r="44" s="150" customFormat="1"/>
    <row r="45" s="150" customFormat="1"/>
    <row r="46" s="150" customFormat="1"/>
    <row r="47" s="150" customFormat="1"/>
    <row r="48" s="150" customFormat="1"/>
    <row r="49" s="150" customFormat="1"/>
    <row r="50" s="150" customFormat="1"/>
    <row r="51" s="150" customFormat="1"/>
    <row r="52" s="150" customFormat="1"/>
    <row r="53" s="150" customFormat="1"/>
    <row r="54" s="150" customFormat="1"/>
    <row r="55" s="150" customFormat="1"/>
    <row r="56" s="150" customFormat="1"/>
    <row r="57" s="150" customFormat="1"/>
    <row r="58" s="150" customFormat="1"/>
    <row r="59" s="150" customFormat="1"/>
    <row r="60" s="150" customFormat="1"/>
    <row r="61" s="150" customFormat="1"/>
    <row r="62" s="150" customFormat="1"/>
    <row r="63" s="150" customFormat="1"/>
    <row r="64" s="150" customFormat="1"/>
    <row r="65" s="150" customFormat="1"/>
    <row r="66" s="150" customFormat="1"/>
    <row r="67" s="150" customFormat="1"/>
    <row r="68" s="150" customFormat="1"/>
    <row r="69" s="150" customFormat="1"/>
    <row r="70" s="150" customFormat="1"/>
    <row r="71" s="150" customFormat="1"/>
    <row r="72" s="150" customFormat="1"/>
    <row r="73" s="150" customFormat="1"/>
    <row r="74" s="150" customFormat="1"/>
    <row r="75" s="150" customFormat="1"/>
    <row r="76" s="150" customFormat="1"/>
    <row r="77" s="150" customFormat="1"/>
    <row r="78" s="150" customFormat="1"/>
    <row r="79" s="150" customFormat="1"/>
  </sheetData>
  <mergeCells count="5">
    <mergeCell ref="A23:D23"/>
    <mergeCell ref="A1:D1"/>
    <mergeCell ref="A2:D2"/>
    <mergeCell ref="A15:D15"/>
    <mergeCell ref="A17:D17"/>
  </mergeCells>
  <phoneticPr fontId="4"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X39"/>
  <sheetViews>
    <sheetView view="pageBreakPreview" zoomScaleSheetLayoutView="100" workbookViewId="0">
      <selection sqref="A1:S1"/>
    </sheetView>
  </sheetViews>
  <sheetFormatPr defaultColWidth="9" defaultRowHeight="13.8"/>
  <cols>
    <col min="1" max="1" width="8" style="5" customWidth="1"/>
    <col min="2" max="2" width="14.33203125" style="5" customWidth="1"/>
    <col min="3" max="3" width="12.88671875" style="5" customWidth="1"/>
    <col min="4" max="4" width="9.44140625" style="5" customWidth="1"/>
    <col min="5" max="5" width="11.77734375" style="5" customWidth="1"/>
    <col min="6" max="6" width="8.21875" style="5" customWidth="1"/>
    <col min="7" max="7" width="11.77734375" style="5" customWidth="1"/>
    <col min="8" max="8" width="13.109375" style="5" customWidth="1"/>
    <col min="9" max="9" width="11.5546875" style="5" customWidth="1"/>
    <col min="10" max="10" width="10.44140625" style="5" customWidth="1"/>
    <col min="11" max="11" width="12.77734375" style="5" customWidth="1"/>
    <col min="12" max="12" width="10.109375" style="5" customWidth="1"/>
    <col min="13" max="13" width="9.44140625" style="5" customWidth="1"/>
    <col min="14" max="14" width="8.77734375" style="5" customWidth="1"/>
    <col min="15" max="15" width="9.88671875" style="5" customWidth="1"/>
    <col min="16" max="16" width="10.109375" style="5" customWidth="1"/>
    <col min="17" max="17" width="5.5546875" style="5" customWidth="1"/>
    <col min="18" max="18" width="8" style="5" customWidth="1"/>
    <col min="19" max="19" width="8.5546875" style="5" customWidth="1"/>
    <col min="20" max="16384" width="9" style="5"/>
  </cols>
  <sheetData>
    <row r="1" spans="1:24" s="235" customFormat="1" ht="19.95" customHeight="1">
      <c r="A1" s="447" t="s">
        <v>0</v>
      </c>
      <c r="B1" s="447"/>
      <c r="C1" s="447"/>
      <c r="D1" s="447"/>
      <c r="E1" s="447"/>
      <c r="F1" s="447"/>
      <c r="G1" s="447"/>
      <c r="H1" s="447"/>
      <c r="I1" s="447"/>
      <c r="J1" s="447"/>
      <c r="K1" s="447"/>
      <c r="L1" s="447"/>
      <c r="M1" s="447"/>
      <c r="N1" s="447"/>
      <c r="O1" s="447"/>
      <c r="P1" s="447"/>
      <c r="Q1" s="447"/>
      <c r="R1" s="447"/>
      <c r="S1" s="448"/>
    </row>
    <row r="2" spans="1:24" s="240" customFormat="1" ht="19.95" customHeight="1">
      <c r="A2" s="445" t="s">
        <v>203</v>
      </c>
      <c r="B2" s="445"/>
      <c r="C2" s="445"/>
      <c r="D2" s="445"/>
      <c r="E2" s="445"/>
      <c r="F2" s="445"/>
      <c r="G2" s="445"/>
      <c r="H2" s="445"/>
      <c r="I2" s="445"/>
      <c r="J2" s="445"/>
      <c r="K2" s="445"/>
      <c r="L2" s="445"/>
      <c r="M2" s="445"/>
      <c r="N2" s="445"/>
      <c r="O2" s="445"/>
      <c r="P2" s="445"/>
      <c r="Q2" s="445"/>
      <c r="R2" s="445"/>
      <c r="S2" s="446"/>
    </row>
    <row r="3" spans="1:24" s="265" customFormat="1" ht="19.95" customHeight="1">
      <c r="A3" s="273" t="str">
        <f>底稿目录!A2</f>
        <v>被审计单位：</v>
      </c>
      <c r="C3" s="277"/>
      <c r="H3" s="282" t="str">
        <f>底稿目录!A4</f>
        <v>编制人：</v>
      </c>
      <c r="I3" s="277"/>
      <c r="J3" s="277"/>
      <c r="L3" s="281" t="str">
        <f>底稿目录!A5</f>
        <v>编制日期：</v>
      </c>
      <c r="R3" s="265" t="s">
        <v>1</v>
      </c>
      <c r="S3" s="362" t="str">
        <f>底稿目录!F8</f>
        <v>G10-2</v>
      </c>
    </row>
    <row r="4" spans="1:24" s="265" customFormat="1" ht="19.95" customHeight="1">
      <c r="A4" s="273" t="str">
        <f>底稿目录!A3</f>
        <v>截止日：202X年12月31日</v>
      </c>
      <c r="C4" s="277"/>
      <c r="H4" s="282" t="s">
        <v>67</v>
      </c>
      <c r="I4" s="277"/>
      <c r="J4" s="277"/>
      <c r="L4" s="281" t="str">
        <f>底稿目录!A7</f>
        <v>复核日期：</v>
      </c>
      <c r="R4" s="265" t="s">
        <v>469</v>
      </c>
    </row>
    <row r="5" spans="1:24" s="31" customFormat="1" ht="19.95" customHeight="1">
      <c r="A5" s="299" t="s">
        <v>29</v>
      </c>
      <c r="B5" s="298"/>
      <c r="C5" s="298"/>
      <c r="D5" s="298"/>
      <c r="E5" s="298"/>
      <c r="F5" s="298"/>
      <c r="G5" s="298"/>
      <c r="H5" s="298"/>
      <c r="I5" s="298"/>
      <c r="J5" s="298"/>
      <c r="K5" s="298"/>
      <c r="L5" s="298"/>
      <c r="M5" s="298"/>
      <c r="N5" s="298"/>
      <c r="O5" s="298"/>
      <c r="P5" s="298"/>
      <c r="Q5" s="298"/>
      <c r="R5" s="298"/>
      <c r="S5" s="298"/>
      <c r="T5" s="68"/>
      <c r="W5" s="68"/>
      <c r="X5" s="68"/>
    </row>
    <row r="6" spans="1:24" s="31" customFormat="1" ht="19.95" customHeight="1">
      <c r="A6" s="297" t="s">
        <v>472</v>
      </c>
      <c r="B6" s="262"/>
      <c r="C6" s="262"/>
      <c r="D6" s="262"/>
      <c r="E6" s="262"/>
      <c r="F6" s="262"/>
      <c r="G6" s="262"/>
      <c r="H6" s="262"/>
      <c r="I6" s="262"/>
      <c r="J6" s="262"/>
      <c r="K6" s="262"/>
      <c r="L6" s="262"/>
      <c r="M6" s="262"/>
      <c r="N6" s="262"/>
      <c r="O6" s="262"/>
      <c r="P6" s="262"/>
      <c r="Q6" s="262"/>
      <c r="R6" s="262"/>
      <c r="S6" s="262"/>
      <c r="T6" s="68"/>
      <c r="W6" s="68"/>
      <c r="X6" s="68"/>
    </row>
    <row r="7" spans="1:24" s="31" customFormat="1" ht="19.95" customHeight="1">
      <c r="A7" s="297" t="s">
        <v>473</v>
      </c>
      <c r="B7" s="262"/>
      <c r="C7" s="262"/>
      <c r="D7" s="262"/>
      <c r="E7" s="262"/>
      <c r="F7" s="262"/>
      <c r="G7" s="262"/>
      <c r="H7" s="262"/>
      <c r="I7" s="262"/>
      <c r="J7" s="262"/>
      <c r="K7" s="262"/>
      <c r="L7" s="262"/>
      <c r="M7" s="262"/>
      <c r="N7" s="262"/>
      <c r="O7" s="262"/>
      <c r="P7" s="262"/>
      <c r="Q7" s="262"/>
      <c r="R7" s="262"/>
      <c r="S7" s="262"/>
      <c r="T7" s="68"/>
      <c r="W7" s="68"/>
      <c r="X7" s="68"/>
    </row>
    <row r="8" spans="1:24" ht="19.95" customHeight="1">
      <c r="A8" s="15" t="s">
        <v>416</v>
      </c>
      <c r="C8" s="16"/>
      <c r="E8" s="1"/>
      <c r="F8" s="1"/>
      <c r="G8" s="1"/>
      <c r="H8" s="1"/>
      <c r="I8" s="1"/>
      <c r="J8" s="1"/>
      <c r="K8" s="1"/>
      <c r="L8" s="1"/>
      <c r="N8" s="2"/>
      <c r="O8" s="2"/>
      <c r="P8" s="1"/>
      <c r="Q8" s="2"/>
      <c r="U8" s="1"/>
      <c r="V8" s="2"/>
    </row>
    <row r="9" spans="1:24" s="64" customFormat="1" ht="19.95" customHeight="1">
      <c r="A9" s="453" t="s">
        <v>98</v>
      </c>
      <c r="B9" s="453" t="s">
        <v>316</v>
      </c>
      <c r="C9" s="449" t="s">
        <v>90</v>
      </c>
      <c r="D9" s="450"/>
      <c r="E9" s="450"/>
      <c r="F9" s="124"/>
      <c r="G9" s="124"/>
      <c r="H9" s="449" t="s">
        <v>311</v>
      </c>
      <c r="I9" s="450"/>
      <c r="J9" s="451"/>
      <c r="K9" s="449" t="s">
        <v>91</v>
      </c>
      <c r="L9" s="450"/>
      <c r="M9" s="450"/>
      <c r="N9" s="450"/>
      <c r="O9" s="451"/>
      <c r="P9" s="443" t="s">
        <v>315</v>
      </c>
      <c r="Q9" s="443" t="s">
        <v>207</v>
      </c>
      <c r="R9" s="443" t="s">
        <v>314</v>
      </c>
      <c r="S9" s="443" t="s">
        <v>208</v>
      </c>
    </row>
    <row r="10" spans="1:24" s="64" customFormat="1" ht="36">
      <c r="A10" s="452"/>
      <c r="B10" s="452"/>
      <c r="C10" s="65" t="s">
        <v>211</v>
      </c>
      <c r="D10" s="65" t="s">
        <v>94</v>
      </c>
      <c r="E10" s="65" t="s">
        <v>100</v>
      </c>
      <c r="F10" s="65" t="s">
        <v>312</v>
      </c>
      <c r="G10" s="65" t="s">
        <v>313</v>
      </c>
      <c r="H10" s="65" t="s">
        <v>211</v>
      </c>
      <c r="I10" s="65" t="s">
        <v>93</v>
      </c>
      <c r="J10" s="65" t="s">
        <v>206</v>
      </c>
      <c r="K10" s="65" t="s">
        <v>211</v>
      </c>
      <c r="L10" s="65" t="s">
        <v>94</v>
      </c>
      <c r="M10" s="65" t="s">
        <v>92</v>
      </c>
      <c r="N10" s="65" t="s">
        <v>306</v>
      </c>
      <c r="O10" s="65" t="s">
        <v>307</v>
      </c>
      <c r="P10" s="452"/>
      <c r="Q10" s="444"/>
      <c r="R10" s="444"/>
      <c r="S10" s="444"/>
    </row>
    <row r="11" spans="1:24" s="64" customFormat="1" ht="19.95" customHeight="1">
      <c r="A11" s="300" t="s">
        <v>283</v>
      </c>
      <c r="B11" s="301" t="s">
        <v>205</v>
      </c>
      <c r="C11" s="302"/>
      <c r="D11" s="71"/>
      <c r="E11" s="193">
        <f>C11+D11</f>
        <v>0</v>
      </c>
      <c r="F11" s="193"/>
      <c r="G11" s="193">
        <f>E11+F11</f>
        <v>0</v>
      </c>
      <c r="H11" s="71"/>
      <c r="I11" s="71"/>
      <c r="J11" s="71"/>
      <c r="K11" s="193">
        <f>C11+H11</f>
        <v>0</v>
      </c>
      <c r="L11" s="193">
        <f>D11+I11+J11</f>
        <v>0</v>
      </c>
      <c r="M11" s="193">
        <f>K11+L11</f>
        <v>0</v>
      </c>
      <c r="N11" s="193"/>
      <c r="O11" s="193">
        <f>M11+N11</f>
        <v>0</v>
      </c>
      <c r="P11" s="129"/>
      <c r="Q11" s="128"/>
      <c r="R11" s="246"/>
      <c r="S11" s="307"/>
    </row>
    <row r="12" spans="1:24" s="64" customFormat="1" ht="19.95" customHeight="1">
      <c r="A12" s="303"/>
      <c r="B12" s="304"/>
      <c r="C12" s="302"/>
      <c r="D12" s="71"/>
      <c r="E12" s="193">
        <f t="shared" ref="E12:E20" si="0">C12+D12</f>
        <v>0</v>
      </c>
      <c r="F12" s="193"/>
      <c r="G12" s="193">
        <f t="shared" ref="G12:G20" si="1">E12+F12</f>
        <v>0</v>
      </c>
      <c r="H12" s="71"/>
      <c r="I12" s="71"/>
      <c r="J12" s="71"/>
      <c r="K12" s="193">
        <f t="shared" ref="K12:K20" si="2">C12+H12</f>
        <v>0</v>
      </c>
      <c r="L12" s="193">
        <f t="shared" ref="L12:L20" si="3">D12+I12+J12</f>
        <v>0</v>
      </c>
      <c r="M12" s="193">
        <f t="shared" ref="M12:M20" si="4">K12+L12</f>
        <v>0</v>
      </c>
      <c r="N12" s="193"/>
      <c r="O12" s="193">
        <f t="shared" ref="O12:O21" si="5">M12+N12</f>
        <v>0</v>
      </c>
      <c r="P12" s="129"/>
      <c r="Q12" s="128"/>
      <c r="R12" s="246"/>
      <c r="S12" s="307"/>
    </row>
    <row r="13" spans="1:24" s="64" customFormat="1" ht="19.95" customHeight="1">
      <c r="A13" s="303"/>
      <c r="B13" s="304"/>
      <c r="C13" s="302"/>
      <c r="D13" s="71"/>
      <c r="E13" s="193">
        <f t="shared" si="0"/>
        <v>0</v>
      </c>
      <c r="F13" s="193"/>
      <c r="G13" s="193">
        <f t="shared" si="1"/>
        <v>0</v>
      </c>
      <c r="H13" s="71"/>
      <c r="I13" s="71"/>
      <c r="J13" s="71"/>
      <c r="K13" s="193">
        <f t="shared" si="2"/>
        <v>0</v>
      </c>
      <c r="L13" s="193">
        <f t="shared" si="3"/>
        <v>0</v>
      </c>
      <c r="M13" s="193">
        <f t="shared" si="4"/>
        <v>0</v>
      </c>
      <c r="N13" s="193"/>
      <c r="O13" s="193">
        <f t="shared" si="5"/>
        <v>0</v>
      </c>
      <c r="P13" s="129"/>
      <c r="Q13" s="128"/>
      <c r="R13" s="246"/>
      <c r="S13" s="307"/>
    </row>
    <row r="14" spans="1:24" s="64" customFormat="1" ht="19.95" customHeight="1">
      <c r="A14" s="303"/>
      <c r="B14" s="304"/>
      <c r="C14" s="302"/>
      <c r="D14" s="71"/>
      <c r="E14" s="193">
        <f t="shared" si="0"/>
        <v>0</v>
      </c>
      <c r="F14" s="193"/>
      <c r="G14" s="193">
        <f t="shared" si="1"/>
        <v>0</v>
      </c>
      <c r="H14" s="71"/>
      <c r="I14" s="71"/>
      <c r="J14" s="71"/>
      <c r="K14" s="193">
        <f t="shared" si="2"/>
        <v>0</v>
      </c>
      <c r="L14" s="193">
        <f t="shared" si="3"/>
        <v>0</v>
      </c>
      <c r="M14" s="193">
        <f t="shared" si="4"/>
        <v>0</v>
      </c>
      <c r="N14" s="193"/>
      <c r="O14" s="193">
        <f t="shared" si="5"/>
        <v>0</v>
      </c>
      <c r="P14" s="129"/>
      <c r="Q14" s="128"/>
      <c r="R14" s="246"/>
      <c r="S14" s="307"/>
    </row>
    <row r="15" spans="1:24" s="64" customFormat="1" ht="19.95" customHeight="1">
      <c r="A15" s="303"/>
      <c r="B15" s="304"/>
      <c r="C15" s="302"/>
      <c r="D15" s="71"/>
      <c r="E15" s="193">
        <f t="shared" si="0"/>
        <v>0</v>
      </c>
      <c r="F15" s="193"/>
      <c r="G15" s="193">
        <f t="shared" si="1"/>
        <v>0</v>
      </c>
      <c r="H15" s="71"/>
      <c r="I15" s="71"/>
      <c r="J15" s="71"/>
      <c r="K15" s="193">
        <f>C15+H15</f>
        <v>0</v>
      </c>
      <c r="L15" s="193">
        <f t="shared" si="3"/>
        <v>0</v>
      </c>
      <c r="M15" s="193">
        <f t="shared" si="4"/>
        <v>0</v>
      </c>
      <c r="N15" s="193"/>
      <c r="O15" s="193">
        <f t="shared" si="5"/>
        <v>0</v>
      </c>
      <c r="P15" s="129"/>
      <c r="Q15" s="128"/>
      <c r="R15" s="246"/>
      <c r="S15" s="307"/>
    </row>
    <row r="16" spans="1:24" s="64" customFormat="1" ht="19.95" customHeight="1">
      <c r="A16" s="303"/>
      <c r="B16" s="304"/>
      <c r="C16" s="302"/>
      <c r="D16" s="71"/>
      <c r="E16" s="193">
        <f t="shared" si="0"/>
        <v>0</v>
      </c>
      <c r="F16" s="193"/>
      <c r="G16" s="193">
        <f t="shared" si="1"/>
        <v>0</v>
      </c>
      <c r="H16" s="71"/>
      <c r="I16" s="71"/>
      <c r="J16" s="71"/>
      <c r="K16" s="193">
        <f t="shared" si="2"/>
        <v>0</v>
      </c>
      <c r="L16" s="193">
        <f t="shared" si="3"/>
        <v>0</v>
      </c>
      <c r="M16" s="193">
        <f t="shared" si="4"/>
        <v>0</v>
      </c>
      <c r="N16" s="193"/>
      <c r="O16" s="193">
        <f t="shared" si="5"/>
        <v>0</v>
      </c>
      <c r="P16" s="129"/>
      <c r="Q16" s="128"/>
      <c r="R16" s="246"/>
      <c r="S16" s="307"/>
    </row>
    <row r="17" spans="1:19" s="64" customFormat="1" ht="19.95" customHeight="1">
      <c r="A17" s="303"/>
      <c r="B17" s="305"/>
      <c r="C17" s="302"/>
      <c r="D17" s="71"/>
      <c r="E17" s="193">
        <f t="shared" si="0"/>
        <v>0</v>
      </c>
      <c r="F17" s="193"/>
      <c r="G17" s="193">
        <f t="shared" si="1"/>
        <v>0</v>
      </c>
      <c r="H17" s="71"/>
      <c r="I17" s="71"/>
      <c r="J17" s="71"/>
      <c r="K17" s="193">
        <f t="shared" si="2"/>
        <v>0</v>
      </c>
      <c r="L17" s="193">
        <f t="shared" si="3"/>
        <v>0</v>
      </c>
      <c r="M17" s="193">
        <f t="shared" si="4"/>
        <v>0</v>
      </c>
      <c r="N17" s="193"/>
      <c r="O17" s="193">
        <f t="shared" si="5"/>
        <v>0</v>
      </c>
      <c r="P17" s="129"/>
      <c r="Q17" s="128"/>
      <c r="R17" s="246"/>
      <c r="S17" s="307"/>
    </row>
    <row r="18" spans="1:19" s="66" customFormat="1" ht="19.95" customHeight="1">
      <c r="A18" s="303"/>
      <c r="B18" s="305"/>
      <c r="C18" s="302"/>
      <c r="D18" s="71"/>
      <c r="E18" s="193">
        <f t="shared" si="0"/>
        <v>0</v>
      </c>
      <c r="F18" s="193"/>
      <c r="G18" s="193">
        <f t="shared" si="1"/>
        <v>0</v>
      </c>
      <c r="H18" s="71"/>
      <c r="I18" s="71"/>
      <c r="J18" s="71"/>
      <c r="K18" s="193">
        <f t="shared" si="2"/>
        <v>0</v>
      </c>
      <c r="L18" s="193">
        <f t="shared" si="3"/>
        <v>0</v>
      </c>
      <c r="M18" s="193">
        <f t="shared" si="4"/>
        <v>0</v>
      </c>
      <c r="N18" s="193"/>
      <c r="O18" s="193">
        <f t="shared" si="5"/>
        <v>0</v>
      </c>
      <c r="P18" s="129"/>
      <c r="Q18" s="306"/>
      <c r="R18" s="247"/>
      <c r="S18" s="308"/>
    </row>
    <row r="19" spans="1:19" s="64" customFormat="1" ht="19.95" customHeight="1">
      <c r="A19" s="303"/>
      <c r="B19" s="305"/>
      <c r="C19" s="302"/>
      <c r="D19" s="71"/>
      <c r="E19" s="193">
        <f t="shared" si="0"/>
        <v>0</v>
      </c>
      <c r="F19" s="193"/>
      <c r="G19" s="193">
        <f t="shared" si="1"/>
        <v>0</v>
      </c>
      <c r="H19" s="71"/>
      <c r="I19" s="71"/>
      <c r="J19" s="71"/>
      <c r="K19" s="193">
        <f t="shared" si="2"/>
        <v>0</v>
      </c>
      <c r="L19" s="193">
        <f t="shared" si="3"/>
        <v>0</v>
      </c>
      <c r="M19" s="193">
        <f t="shared" si="4"/>
        <v>0</v>
      </c>
      <c r="N19" s="193"/>
      <c r="O19" s="193">
        <f t="shared" si="5"/>
        <v>0</v>
      </c>
      <c r="P19" s="129"/>
      <c r="Q19" s="128"/>
      <c r="R19" s="246"/>
      <c r="S19" s="307"/>
    </row>
    <row r="20" spans="1:19" s="64" customFormat="1" ht="19.95" customHeight="1">
      <c r="A20" s="303"/>
      <c r="B20" s="305"/>
      <c r="C20" s="302"/>
      <c r="D20" s="71"/>
      <c r="E20" s="193">
        <f t="shared" si="0"/>
        <v>0</v>
      </c>
      <c r="F20" s="193"/>
      <c r="G20" s="193">
        <f t="shared" si="1"/>
        <v>0</v>
      </c>
      <c r="H20" s="71"/>
      <c r="I20" s="71"/>
      <c r="J20" s="71"/>
      <c r="K20" s="193">
        <f t="shared" si="2"/>
        <v>0</v>
      </c>
      <c r="L20" s="193">
        <f t="shared" si="3"/>
        <v>0</v>
      </c>
      <c r="M20" s="193">
        <f t="shared" si="4"/>
        <v>0</v>
      </c>
      <c r="N20" s="193"/>
      <c r="O20" s="193">
        <f t="shared" si="5"/>
        <v>0</v>
      </c>
      <c r="P20" s="129"/>
      <c r="Q20" s="128"/>
      <c r="R20" s="246"/>
      <c r="S20" s="307"/>
    </row>
    <row r="21" spans="1:19" s="67" customFormat="1" ht="19.95" customHeight="1">
      <c r="A21" s="202" t="s">
        <v>95</v>
      </c>
      <c r="B21" s="200"/>
      <c r="C21" s="206">
        <f t="shared" ref="C21:N21" si="6">SUM(C11:C20)</f>
        <v>0</v>
      </c>
      <c r="D21" s="206">
        <f t="shared" si="6"/>
        <v>0</v>
      </c>
      <c r="E21" s="206">
        <f t="shared" si="6"/>
        <v>0</v>
      </c>
      <c r="F21" s="206">
        <f t="shared" si="6"/>
        <v>0</v>
      </c>
      <c r="G21" s="206">
        <f t="shared" si="6"/>
        <v>0</v>
      </c>
      <c r="H21" s="206">
        <f t="shared" si="6"/>
        <v>0</v>
      </c>
      <c r="I21" s="206">
        <f t="shared" si="6"/>
        <v>0</v>
      </c>
      <c r="J21" s="206">
        <f t="shared" ref="J21" si="7">SUM(J11:J20)</f>
        <v>0</v>
      </c>
      <c r="K21" s="206">
        <f t="shared" si="6"/>
        <v>0</v>
      </c>
      <c r="L21" s="206">
        <f t="shared" si="6"/>
        <v>0</v>
      </c>
      <c r="M21" s="206">
        <f t="shared" si="6"/>
        <v>0</v>
      </c>
      <c r="N21" s="206">
        <f t="shared" si="6"/>
        <v>0</v>
      </c>
      <c r="O21" s="206">
        <f t="shared" si="5"/>
        <v>0</v>
      </c>
      <c r="P21" s="201" t="s">
        <v>209</v>
      </c>
      <c r="Q21" s="201" t="s">
        <v>209</v>
      </c>
      <c r="R21" s="201">
        <f t="shared" ref="R21" si="8">SUM(R11:R20)</f>
        <v>0</v>
      </c>
      <c r="S21" s="201" t="s">
        <v>209</v>
      </c>
    </row>
    <row r="22" spans="1:19" s="31" customFormat="1" ht="19.95" customHeight="1">
      <c r="A22" s="69" t="s">
        <v>96</v>
      </c>
      <c r="B22" s="69"/>
      <c r="M22" s="69"/>
      <c r="N22" s="69"/>
      <c r="O22" s="69"/>
    </row>
    <row r="23" spans="1:19" s="31" customFormat="1" ht="19.95" customHeight="1">
      <c r="B23" s="74" t="s">
        <v>210</v>
      </c>
      <c r="D23" s="78"/>
    </row>
    <row r="24" spans="1:19" s="31" customFormat="1" ht="19.95" customHeight="1"/>
    <row r="25" spans="1:19" s="31" customFormat="1" ht="19.95" customHeight="1"/>
    <row r="26" spans="1:19" s="31" customFormat="1" ht="19.95" customHeight="1">
      <c r="B26" s="70"/>
    </row>
    <row r="27" spans="1:19" s="31" customFormat="1" ht="19.95" customHeight="1">
      <c r="A27" s="69" t="s">
        <v>97</v>
      </c>
    </row>
    <row r="28" spans="1:19" ht="19.95" customHeight="1">
      <c r="A28" s="14"/>
      <c r="B28" s="16"/>
      <c r="E28" s="17"/>
      <c r="F28" s="17"/>
      <c r="G28" s="17"/>
      <c r="I28" s="2"/>
      <c r="J28" s="2"/>
      <c r="K28" s="1"/>
      <c r="L28" s="2"/>
    </row>
    <row r="29" spans="1:19" ht="19.95" customHeight="1">
      <c r="A29" s="14"/>
      <c r="B29" s="16"/>
      <c r="E29" s="17"/>
      <c r="F29" s="17"/>
      <c r="G29" s="17"/>
      <c r="I29" s="2"/>
      <c r="J29" s="2"/>
      <c r="K29" s="1"/>
      <c r="L29" s="2"/>
    </row>
    <row r="30" spans="1:19" ht="20.25" customHeight="1">
      <c r="A30" s="16"/>
      <c r="D30" s="17"/>
      <c r="H30" s="2"/>
      <c r="I30" s="2"/>
      <c r="J30" s="1"/>
      <c r="K30" s="2"/>
    </row>
    <row r="31" spans="1:19" ht="18" customHeight="1">
      <c r="A31" s="94" t="s">
        <v>173</v>
      </c>
    </row>
    <row r="32" spans="1:19" ht="18" customHeight="1">
      <c r="A32" s="6" t="s">
        <v>415</v>
      </c>
    </row>
    <row r="33" spans="1:2" ht="18" customHeight="1">
      <c r="A33" s="75" t="s">
        <v>456</v>
      </c>
      <c r="B33" s="6"/>
    </row>
    <row r="34" spans="1:2" ht="18" customHeight="1">
      <c r="A34" s="33" t="s">
        <v>457</v>
      </c>
      <c r="B34" s="7"/>
    </row>
    <row r="35" spans="1:2" ht="18" customHeight="1">
      <c r="A35" s="13"/>
      <c r="B35" s="7"/>
    </row>
    <row r="36" spans="1:2" ht="18" customHeight="1">
      <c r="A36" s="8"/>
      <c r="B36" s="7"/>
    </row>
    <row r="37" spans="1:2" ht="18" customHeight="1">
      <c r="A37" s="8"/>
      <c r="B37" s="7"/>
    </row>
    <row r="38" spans="1:2" ht="18" customHeight="1">
      <c r="A38" s="8"/>
      <c r="B38" s="7"/>
    </row>
    <row r="39" spans="1:2" ht="18" customHeight="1"/>
  </sheetData>
  <mergeCells count="11">
    <mergeCell ref="S9:S10"/>
    <mergeCell ref="A2:S2"/>
    <mergeCell ref="A1:S1"/>
    <mergeCell ref="Q9:Q10"/>
    <mergeCell ref="C9:E9"/>
    <mergeCell ref="H9:J9"/>
    <mergeCell ref="P9:P10"/>
    <mergeCell ref="A9:A10"/>
    <mergeCell ref="B9:B10"/>
    <mergeCell ref="R9:R10"/>
    <mergeCell ref="K9:O9"/>
  </mergeCells>
  <phoneticPr fontId="4" type="noConversion"/>
  <hyperlinks>
    <hyperlink ref="S3" location="底稿目录!F8" display="底稿目录!F8"/>
  </hyperlinks>
  <printOptions horizontalCentered="1"/>
  <pageMargins left="0.70866141732283472" right="0.70866141732283472" top="0.74803149606299213" bottom="0.74803149606299213" header="0.31496062992125984" footer="0.31496062992125984"/>
  <pageSetup paperSize="9" scale="68" fitToHeight="0" orientation="landscape" blackAndWhite="1" r:id="rId1"/>
  <headerFooter>
    <oddFooter>&amp;C&amp;P/&amp;N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23"/>
  <sheetViews>
    <sheetView view="pageBreakPreview" zoomScaleNormal="100" zoomScaleSheetLayoutView="100" workbookViewId="0">
      <selection sqref="A1:J1"/>
    </sheetView>
  </sheetViews>
  <sheetFormatPr defaultColWidth="8.88671875" defaultRowHeight="15.6"/>
  <cols>
    <col min="1" max="1" width="23" style="130" customWidth="1"/>
    <col min="2" max="2" width="16.88671875" style="130" customWidth="1"/>
    <col min="3" max="3" width="15.21875" style="229" customWidth="1"/>
    <col min="4" max="4" width="14.6640625" style="130" customWidth="1"/>
    <col min="5" max="5" width="14.33203125" style="130" customWidth="1"/>
    <col min="6" max="6" width="10.33203125" style="130" customWidth="1"/>
    <col min="7" max="7" width="11.109375" style="130" customWidth="1"/>
    <col min="8" max="8" width="11.6640625" style="130" customWidth="1"/>
    <col min="9" max="9" width="8.88671875" style="130"/>
    <col min="10" max="10" width="14" style="130" customWidth="1"/>
    <col min="11" max="16384" width="8.88671875" style="130"/>
  </cols>
  <sheetData>
    <row r="1" spans="1:10" s="232" customFormat="1" ht="19.95" customHeight="1">
      <c r="A1" s="423" t="s">
        <v>0</v>
      </c>
      <c r="B1" s="423"/>
      <c r="C1" s="423"/>
      <c r="D1" s="423"/>
      <c r="E1" s="423"/>
      <c r="F1" s="423"/>
      <c r="G1" s="423"/>
      <c r="H1" s="423"/>
      <c r="I1" s="423"/>
      <c r="J1" s="423"/>
    </row>
    <row r="2" spans="1:10" s="242" customFormat="1" ht="19.95" customHeight="1">
      <c r="A2" s="424" t="s">
        <v>328</v>
      </c>
      <c r="B2" s="424"/>
      <c r="C2" s="424"/>
      <c r="D2" s="424"/>
      <c r="E2" s="424"/>
      <c r="F2" s="424"/>
      <c r="G2" s="424"/>
      <c r="H2" s="424"/>
      <c r="I2" s="424"/>
      <c r="J2" s="424"/>
    </row>
    <row r="3" spans="1:10" s="310" customFormat="1" ht="19.95" customHeight="1">
      <c r="A3" s="282" t="str">
        <f>底稿目录!A2</f>
        <v>被审计单位：</v>
      </c>
      <c r="B3" s="282"/>
      <c r="C3" s="282"/>
      <c r="D3" s="282" t="str">
        <f>底稿目录!A4</f>
        <v>编制人：</v>
      </c>
      <c r="E3" s="282"/>
      <c r="F3" s="282"/>
      <c r="G3" s="282" t="str">
        <f>底稿目录!A5</f>
        <v>编制日期：</v>
      </c>
      <c r="H3" s="282"/>
      <c r="I3" s="282" t="s">
        <v>363</v>
      </c>
      <c r="J3" s="362" t="str">
        <f>底稿目录!F9</f>
        <v>G10-3</v>
      </c>
    </row>
    <row r="4" spans="1:10" s="310" customFormat="1" ht="19.95" customHeight="1">
      <c r="A4" s="282" t="str">
        <f>底稿目录!A3</f>
        <v>截止日：202X年12月31日</v>
      </c>
      <c r="B4" s="282"/>
      <c r="C4" s="282"/>
      <c r="D4" s="282" t="str">
        <f>底稿目录!A6</f>
        <v>复核人：</v>
      </c>
      <c r="E4" s="282"/>
      <c r="F4" s="282"/>
      <c r="G4" s="282" t="str">
        <f>底稿目录!A7</f>
        <v>复核日期：</v>
      </c>
      <c r="H4" s="282"/>
      <c r="I4" s="282" t="s">
        <v>474</v>
      </c>
    </row>
    <row r="5" spans="1:10" ht="24">
      <c r="A5" s="312" t="s">
        <v>319</v>
      </c>
      <c r="B5" s="311" t="s">
        <v>320</v>
      </c>
      <c r="C5" s="227" t="s">
        <v>422</v>
      </c>
      <c r="D5" s="131" t="s">
        <v>321</v>
      </c>
      <c r="E5" s="131" t="s">
        <v>322</v>
      </c>
      <c r="F5" s="132" t="s">
        <v>323</v>
      </c>
      <c r="G5" s="131" t="s">
        <v>324</v>
      </c>
      <c r="H5" s="131" t="s">
        <v>325</v>
      </c>
      <c r="I5" s="131" t="s">
        <v>326</v>
      </c>
      <c r="J5" s="131" t="s">
        <v>327</v>
      </c>
    </row>
    <row r="6" spans="1:10" ht="19.95" customHeight="1">
      <c r="A6" s="133"/>
      <c r="B6" s="133"/>
      <c r="C6" s="228"/>
      <c r="D6" s="133"/>
      <c r="E6" s="133"/>
      <c r="F6" s="133"/>
      <c r="G6" s="133"/>
      <c r="H6" s="133"/>
      <c r="I6" s="133"/>
      <c r="J6" s="133"/>
    </row>
    <row r="7" spans="1:10" ht="19.95" customHeight="1">
      <c r="A7" s="134"/>
      <c r="B7" s="133"/>
      <c r="C7" s="228"/>
      <c r="D7" s="133"/>
      <c r="E7" s="133"/>
      <c r="F7" s="133"/>
      <c r="G7" s="133"/>
      <c r="H7" s="133"/>
      <c r="I7" s="133"/>
      <c r="J7" s="133"/>
    </row>
    <row r="8" spans="1:10" ht="19.95" customHeight="1">
      <c r="A8" s="135"/>
      <c r="B8" s="133"/>
      <c r="C8" s="228"/>
      <c r="D8" s="133"/>
      <c r="E8" s="133"/>
      <c r="F8" s="133"/>
      <c r="G8" s="133"/>
      <c r="H8" s="133"/>
      <c r="I8" s="133"/>
      <c r="J8" s="133"/>
    </row>
    <row r="9" spans="1:10" ht="19.95" customHeight="1">
      <c r="A9" s="135"/>
      <c r="B9" s="133"/>
      <c r="C9" s="228"/>
      <c r="D9" s="133"/>
      <c r="E9" s="133"/>
      <c r="F9" s="133"/>
      <c r="G9" s="133"/>
      <c r="H9" s="133"/>
      <c r="I9" s="133"/>
      <c r="J9" s="133"/>
    </row>
    <row r="10" spans="1:10" ht="19.95" customHeight="1">
      <c r="A10" s="135"/>
      <c r="B10" s="133"/>
      <c r="C10" s="228"/>
      <c r="D10" s="133"/>
      <c r="E10" s="133"/>
      <c r="F10" s="133"/>
      <c r="G10" s="133"/>
      <c r="H10" s="133"/>
      <c r="I10" s="133"/>
      <c r="J10" s="133"/>
    </row>
    <row r="11" spans="1:10" ht="19.95" customHeight="1">
      <c r="A11" s="136"/>
      <c r="B11" s="133"/>
      <c r="C11" s="228"/>
      <c r="D11" s="133"/>
      <c r="E11" s="133"/>
      <c r="F11" s="133"/>
      <c r="G11" s="133"/>
      <c r="H11" s="133"/>
      <c r="I11" s="133"/>
      <c r="J11" s="133"/>
    </row>
    <row r="12" spans="1:10" ht="19.95" customHeight="1">
      <c r="A12" s="135"/>
      <c r="B12" s="133"/>
      <c r="C12" s="228"/>
      <c r="D12" s="133"/>
      <c r="E12" s="133"/>
      <c r="F12" s="133"/>
      <c r="G12" s="133"/>
      <c r="H12" s="133"/>
      <c r="I12" s="133"/>
      <c r="J12" s="133"/>
    </row>
    <row r="13" spans="1:10" ht="19.95" customHeight="1">
      <c r="A13" s="135"/>
      <c r="B13" s="133"/>
      <c r="C13" s="228"/>
      <c r="D13" s="133"/>
      <c r="E13" s="133"/>
      <c r="F13" s="133"/>
      <c r="G13" s="133"/>
      <c r="H13" s="133"/>
      <c r="I13" s="133"/>
      <c r="J13" s="133"/>
    </row>
    <row r="14" spans="1:10" ht="19.95" customHeight="1">
      <c r="A14" s="135"/>
      <c r="B14" s="133"/>
      <c r="C14" s="228"/>
      <c r="D14" s="133"/>
      <c r="E14" s="133"/>
      <c r="F14" s="133"/>
      <c r="G14" s="133"/>
      <c r="H14" s="133"/>
      <c r="I14" s="133"/>
      <c r="J14" s="133"/>
    </row>
    <row r="15" spans="1:10" ht="19.95" customHeight="1">
      <c r="A15" s="135"/>
      <c r="B15" s="133"/>
      <c r="C15" s="228"/>
      <c r="D15" s="133"/>
      <c r="E15" s="133"/>
      <c r="F15" s="133"/>
      <c r="G15" s="133"/>
      <c r="H15" s="133"/>
      <c r="I15" s="133"/>
      <c r="J15" s="133"/>
    </row>
    <row r="16" spans="1:10" ht="19.95" customHeight="1">
      <c r="A16" s="135"/>
      <c r="B16" s="133"/>
      <c r="C16" s="228"/>
      <c r="D16" s="133"/>
      <c r="E16" s="133"/>
      <c r="F16" s="133"/>
      <c r="G16" s="133"/>
      <c r="H16" s="133"/>
      <c r="I16" s="133"/>
      <c r="J16" s="133"/>
    </row>
    <row r="17" spans="1:10" ht="19.95" customHeight="1">
      <c r="A17" s="135"/>
      <c r="B17" s="133"/>
      <c r="C17" s="228"/>
      <c r="D17" s="133"/>
      <c r="E17" s="133"/>
      <c r="F17" s="133"/>
      <c r="G17" s="133"/>
      <c r="H17" s="133"/>
      <c r="I17" s="133"/>
      <c r="J17" s="133"/>
    </row>
    <row r="18" spans="1:10" ht="19.95" customHeight="1">
      <c r="A18" s="135"/>
      <c r="B18" s="133"/>
      <c r="C18" s="228"/>
      <c r="D18" s="133"/>
      <c r="E18" s="133"/>
      <c r="F18" s="133"/>
      <c r="G18" s="133"/>
      <c r="H18" s="133"/>
      <c r="I18" s="133"/>
      <c r="J18" s="133"/>
    </row>
    <row r="19" spans="1:10" ht="19.95" customHeight="1">
      <c r="A19" s="135"/>
      <c r="B19" s="133"/>
      <c r="C19" s="228"/>
      <c r="D19" s="133"/>
      <c r="E19" s="133"/>
      <c r="F19" s="133"/>
      <c r="G19" s="133"/>
      <c r="H19" s="133"/>
      <c r="I19" s="133"/>
      <c r="J19" s="133"/>
    </row>
    <row r="20" spans="1:10" ht="19.95" customHeight="1">
      <c r="A20" s="135"/>
      <c r="B20" s="133"/>
      <c r="C20" s="228"/>
      <c r="D20" s="133"/>
      <c r="E20" s="133"/>
      <c r="F20" s="133"/>
      <c r="G20" s="133"/>
      <c r="H20" s="133"/>
      <c r="I20" s="133"/>
      <c r="J20" s="133"/>
    </row>
    <row r="21" spans="1:10" ht="19.95" customHeight="1">
      <c r="A21" s="137"/>
      <c r="B21" s="137"/>
      <c r="C21" s="137"/>
      <c r="D21" s="138"/>
      <c r="E21" s="138"/>
      <c r="F21" s="138"/>
      <c r="G21" s="139"/>
      <c r="H21" s="139"/>
      <c r="I21" s="138"/>
      <c r="J21" s="61"/>
    </row>
    <row r="22" spans="1:10" ht="19.95" customHeight="1">
      <c r="A22" s="57"/>
      <c r="B22" s="57"/>
      <c r="C22" s="57"/>
      <c r="D22" s="57"/>
      <c r="E22" s="140"/>
      <c r="F22" s="60"/>
      <c r="G22" s="141"/>
      <c r="H22" s="141"/>
      <c r="I22" s="141"/>
      <c r="J22" s="141"/>
    </row>
    <row r="23" spans="1:10" ht="19.95" customHeight="1"/>
  </sheetData>
  <mergeCells count="2">
    <mergeCell ref="A1:J1"/>
    <mergeCell ref="A2:J2"/>
  </mergeCells>
  <phoneticPr fontId="4"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28"/>
  <sheetViews>
    <sheetView view="pageBreakPreview" zoomScaleSheetLayoutView="100" workbookViewId="0">
      <selection sqref="A1:H1"/>
    </sheetView>
  </sheetViews>
  <sheetFormatPr defaultColWidth="9" defaultRowHeight="13.8"/>
  <cols>
    <col min="1" max="1" width="20.5546875" style="20" customWidth="1"/>
    <col min="2" max="2" width="11" style="20" bestFit="1" customWidth="1"/>
    <col min="3" max="3" width="15.21875" style="20" customWidth="1"/>
    <col min="4" max="4" width="31.109375" style="20" customWidth="1"/>
    <col min="5" max="5" width="28.21875" style="20" customWidth="1"/>
    <col min="6" max="6" width="10.77734375" style="20" customWidth="1"/>
    <col min="7" max="7" width="33.33203125" style="20" customWidth="1"/>
    <col min="8" max="8" width="10.33203125" style="20" customWidth="1"/>
    <col min="9" max="16384" width="9" style="20"/>
  </cols>
  <sheetData>
    <row r="1" spans="1:9" s="236" customFormat="1" ht="20.25" customHeight="1">
      <c r="A1" s="447" t="s">
        <v>0</v>
      </c>
      <c r="B1" s="447"/>
      <c r="C1" s="447"/>
      <c r="D1" s="447"/>
      <c r="E1" s="447"/>
      <c r="F1" s="447"/>
      <c r="G1" s="447"/>
      <c r="H1" s="447"/>
      <c r="I1" s="234"/>
    </row>
    <row r="2" spans="1:9" s="241" customFormat="1" ht="25.2" customHeight="1">
      <c r="A2" s="445" t="s">
        <v>213</v>
      </c>
      <c r="B2" s="445"/>
      <c r="C2" s="445"/>
      <c r="D2" s="445"/>
      <c r="E2" s="445"/>
      <c r="F2" s="445"/>
      <c r="G2" s="445"/>
      <c r="H2" s="445"/>
      <c r="I2" s="239"/>
    </row>
    <row r="3" spans="1:9" s="323" customFormat="1" ht="20.25" customHeight="1">
      <c r="A3" s="273" t="str">
        <f>底稿目录!A2</f>
        <v>被审计单位：</v>
      </c>
      <c r="D3" s="324" t="str">
        <f>底稿目录!A4</f>
        <v>编制人：</v>
      </c>
      <c r="F3" s="276" t="str">
        <f>底稿目录!A5</f>
        <v>编制日期：</v>
      </c>
      <c r="G3" s="363" t="s">
        <v>362</v>
      </c>
      <c r="H3" s="362" t="str">
        <f>底稿目录!F10</f>
        <v>G10-4</v>
      </c>
      <c r="I3" s="273"/>
    </row>
    <row r="4" spans="1:9" s="323" customFormat="1" ht="20.25" customHeight="1">
      <c r="A4" s="273" t="str">
        <f>底稿目录!A3</f>
        <v>截止日：202X年12月31日</v>
      </c>
      <c r="D4" s="324" t="str">
        <f>底稿目录!A6</f>
        <v>复核人：</v>
      </c>
      <c r="F4" s="276" t="str">
        <f>底稿目录!A7</f>
        <v>复核日期：</v>
      </c>
      <c r="G4" s="363" t="s">
        <v>468</v>
      </c>
      <c r="I4" s="273"/>
    </row>
    <row r="5" spans="1:9" ht="20.25" customHeight="1">
      <c r="A5" s="26" t="s">
        <v>176</v>
      </c>
      <c r="B5" s="97" t="s">
        <v>214</v>
      </c>
    </row>
    <row r="6" spans="1:9" ht="20.25" customHeight="1">
      <c r="A6" s="26" t="s">
        <v>16</v>
      </c>
      <c r="B6" s="98" t="s">
        <v>215</v>
      </c>
    </row>
    <row r="7" spans="1:9" ht="20.25" customHeight="1">
      <c r="B7" s="98" t="s">
        <v>177</v>
      </c>
    </row>
    <row r="8" spans="1:9" ht="20.25" customHeight="1">
      <c r="B8" s="98" t="s">
        <v>216</v>
      </c>
    </row>
    <row r="9" spans="1:9" ht="20.25" customHeight="1">
      <c r="B9" s="98" t="s">
        <v>217</v>
      </c>
    </row>
    <row r="10" spans="1:9" ht="20.25" customHeight="1">
      <c r="B10" s="98" t="s">
        <v>218</v>
      </c>
      <c r="G10" s="98"/>
    </row>
    <row r="11" spans="1:9" ht="20.25" customHeight="1">
      <c r="B11" s="98" t="s">
        <v>178</v>
      </c>
    </row>
    <row r="12" spans="1:9" ht="20.25" customHeight="1">
      <c r="A12" s="454" t="s">
        <v>222</v>
      </c>
      <c r="B12" s="456" t="s">
        <v>179</v>
      </c>
      <c r="C12" s="458" t="s">
        <v>182</v>
      </c>
      <c r="D12" s="459"/>
      <c r="E12" s="460"/>
      <c r="F12" s="458" t="s">
        <v>221</v>
      </c>
      <c r="G12" s="460"/>
      <c r="H12" s="461" t="s">
        <v>180</v>
      </c>
    </row>
    <row r="13" spans="1:9" s="22" customFormat="1" ht="60">
      <c r="A13" s="455"/>
      <c r="B13" s="457"/>
      <c r="C13" s="99" t="s">
        <v>223</v>
      </c>
      <c r="D13" s="99" t="s">
        <v>224</v>
      </c>
      <c r="E13" s="99" t="s">
        <v>225</v>
      </c>
      <c r="F13" s="99" t="s">
        <v>219</v>
      </c>
      <c r="G13" s="99" t="s">
        <v>220</v>
      </c>
      <c r="H13" s="462"/>
    </row>
    <row r="14" spans="1:9" ht="20.25" customHeight="1">
      <c r="A14" s="325" t="s">
        <v>204</v>
      </c>
      <c r="B14" s="193">
        <f>'明细表G10-2'!M11</f>
        <v>0</v>
      </c>
      <c r="C14" s="326"/>
      <c r="D14" s="326"/>
      <c r="E14" s="326"/>
      <c r="F14" s="326"/>
      <c r="G14" s="326"/>
      <c r="H14" s="327"/>
    </row>
    <row r="15" spans="1:9" ht="20.25" customHeight="1">
      <c r="A15" s="325"/>
      <c r="B15" s="193">
        <f>'明细表G10-2'!M12</f>
        <v>0</v>
      </c>
      <c r="C15" s="328"/>
      <c r="D15" s="328"/>
      <c r="E15" s="328"/>
      <c r="F15" s="328"/>
      <c r="G15" s="328"/>
      <c r="H15" s="327"/>
    </row>
    <row r="16" spans="1:9" ht="20.25" customHeight="1">
      <c r="A16" s="325"/>
      <c r="B16" s="193">
        <f>'明细表G10-2'!M13</f>
        <v>0</v>
      </c>
      <c r="C16" s="328"/>
      <c r="D16" s="328"/>
      <c r="E16" s="328"/>
      <c r="F16" s="328"/>
      <c r="G16" s="328"/>
      <c r="H16" s="327"/>
    </row>
    <row r="17" spans="1:8" ht="20.25" customHeight="1">
      <c r="A17" s="325"/>
      <c r="B17" s="193">
        <f>'明细表G10-2'!M14</f>
        <v>0</v>
      </c>
      <c r="C17" s="328"/>
      <c r="D17" s="328"/>
      <c r="E17" s="328"/>
      <c r="F17" s="328"/>
      <c r="G17" s="328"/>
      <c r="H17" s="327"/>
    </row>
    <row r="18" spans="1:8" ht="20.25" customHeight="1">
      <c r="A18" s="325"/>
      <c r="B18" s="193">
        <f>'明细表G10-2'!M15</f>
        <v>0</v>
      </c>
      <c r="C18" s="328"/>
      <c r="D18" s="328"/>
      <c r="E18" s="328"/>
      <c r="F18" s="328"/>
      <c r="G18" s="328"/>
      <c r="H18" s="327"/>
    </row>
    <row r="19" spans="1:8" ht="20.25" customHeight="1">
      <c r="A19" s="325"/>
      <c r="B19" s="193">
        <f>'明细表G10-2'!M16</f>
        <v>0</v>
      </c>
      <c r="C19" s="328"/>
      <c r="D19" s="328"/>
      <c r="E19" s="328"/>
      <c r="F19" s="328"/>
      <c r="G19" s="328"/>
      <c r="H19" s="327"/>
    </row>
    <row r="20" spans="1:8" ht="20.25" customHeight="1">
      <c r="A20" s="325"/>
      <c r="B20" s="193">
        <f>'明细表G10-2'!M19</f>
        <v>0</v>
      </c>
      <c r="C20" s="328"/>
      <c r="D20" s="328"/>
      <c r="E20" s="328"/>
      <c r="F20" s="328"/>
      <c r="G20" s="328"/>
      <c r="H20" s="327"/>
    </row>
    <row r="21" spans="1:8" ht="20.25" customHeight="1">
      <c r="A21" s="325"/>
      <c r="B21" s="193">
        <f>'明细表G10-2'!M20</f>
        <v>0</v>
      </c>
      <c r="C21" s="328"/>
      <c r="D21" s="328"/>
      <c r="E21" s="328"/>
      <c r="F21" s="328"/>
      <c r="G21" s="328"/>
      <c r="H21" s="327"/>
    </row>
    <row r="22" spans="1:8" ht="20.25" customHeight="1">
      <c r="A22" s="204" t="s">
        <v>95</v>
      </c>
      <c r="B22" s="206">
        <f>SUM(B14:B21)</f>
        <v>0</v>
      </c>
      <c r="C22" s="206"/>
      <c r="D22" s="206"/>
      <c r="E22" s="206"/>
      <c r="F22" s="206"/>
      <c r="G22" s="206"/>
      <c r="H22" s="193"/>
    </row>
    <row r="23" spans="1:8" ht="20.25" customHeight="1">
      <c r="A23" s="4"/>
    </row>
    <row r="24" spans="1:8" ht="20.25" customHeight="1">
      <c r="A24" s="3" t="s">
        <v>66</v>
      </c>
    </row>
    <row r="25" spans="1:8" ht="20.25" customHeight="1">
      <c r="A25" s="5"/>
    </row>
    <row r="26" spans="1:8" ht="20.25" customHeight="1">
      <c r="A26" s="5"/>
    </row>
    <row r="27" spans="1:8" ht="20.25" customHeight="1">
      <c r="A27" s="3" t="s">
        <v>181</v>
      </c>
    </row>
    <row r="28" spans="1:8" ht="20.25" customHeight="1"/>
  </sheetData>
  <mergeCells count="7">
    <mergeCell ref="A1:H1"/>
    <mergeCell ref="A2:H2"/>
    <mergeCell ref="A12:A13"/>
    <mergeCell ref="B12:B13"/>
    <mergeCell ref="C12:E12"/>
    <mergeCell ref="H12:H13"/>
    <mergeCell ref="F12:G12"/>
  </mergeCells>
  <phoneticPr fontId="4" type="noConversion"/>
  <hyperlinks>
    <hyperlink ref="H3" location="底稿目录!F11" display="底稿目录!F11"/>
  </hyperlinks>
  <printOptions horizontalCentered="1"/>
  <pageMargins left="0.70866141732283472" right="0.70866141732283472" top="0.74803149606299213" bottom="0.74803149606299213" header="0.31496062992125984" footer="0.31496062992125984"/>
  <pageSetup paperSize="9" scale="83"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39"/>
  <sheetViews>
    <sheetView view="pageBreakPreview" zoomScaleNormal="115" zoomScaleSheetLayoutView="100" workbookViewId="0">
      <selection sqref="A1:R1"/>
    </sheetView>
  </sheetViews>
  <sheetFormatPr defaultColWidth="9" defaultRowHeight="13.8"/>
  <cols>
    <col min="1" max="1" width="18.77734375" style="31" customWidth="1"/>
    <col min="2" max="2" width="9.33203125" style="31" customWidth="1"/>
    <col min="3" max="3" width="7.21875" style="31" customWidth="1"/>
    <col min="4" max="4" width="11.88671875" style="31" customWidth="1"/>
    <col min="5" max="5" width="8.88671875" style="31" customWidth="1"/>
    <col min="6" max="6" width="10.77734375" style="31" customWidth="1"/>
    <col min="7" max="7" width="7.88671875" style="31" customWidth="1"/>
    <col min="8" max="8" width="11.5546875" style="31" customWidth="1"/>
    <col min="9" max="9" width="9.33203125" style="31" customWidth="1"/>
    <col min="10" max="10" width="11.5546875" style="31" customWidth="1"/>
    <col min="11" max="11" width="9.21875" style="31" customWidth="1"/>
    <col min="12" max="12" width="8.77734375" style="31" customWidth="1"/>
    <col min="13" max="13" width="11.33203125" style="31" customWidth="1"/>
    <col min="14" max="14" width="19.109375" style="31" customWidth="1"/>
    <col min="15" max="15" width="6.77734375" style="31" customWidth="1"/>
    <col min="16" max="16" width="9" style="31" customWidth="1"/>
    <col min="17" max="17" width="8.21875" style="31" customWidth="1"/>
    <col min="18" max="18" width="9.21875" style="31" customWidth="1"/>
    <col min="19" max="16384" width="9" style="31"/>
  </cols>
  <sheetData>
    <row r="1" spans="1:18" s="235" customFormat="1" ht="19.95" customHeight="1">
      <c r="A1" s="447" t="s">
        <v>102</v>
      </c>
      <c r="B1" s="447"/>
      <c r="C1" s="447"/>
      <c r="D1" s="447"/>
      <c r="E1" s="447"/>
      <c r="F1" s="447"/>
      <c r="G1" s="447"/>
      <c r="H1" s="447"/>
      <c r="I1" s="447"/>
      <c r="J1" s="447"/>
      <c r="K1" s="447"/>
      <c r="L1" s="447"/>
      <c r="M1" s="447"/>
      <c r="N1" s="447"/>
      <c r="O1" s="447"/>
      <c r="P1" s="447"/>
      <c r="Q1" s="447"/>
      <c r="R1" s="447"/>
    </row>
    <row r="2" spans="1:18" s="240" customFormat="1" ht="19.95" customHeight="1">
      <c r="A2" s="445" t="s">
        <v>212</v>
      </c>
      <c r="B2" s="445"/>
      <c r="C2" s="445"/>
      <c r="D2" s="445"/>
      <c r="E2" s="445"/>
      <c r="F2" s="445"/>
      <c r="G2" s="445"/>
      <c r="H2" s="445"/>
      <c r="I2" s="445"/>
      <c r="J2" s="445"/>
      <c r="K2" s="445"/>
      <c r="L2" s="445"/>
      <c r="M2" s="445"/>
      <c r="N2" s="445"/>
      <c r="O2" s="445"/>
      <c r="P2" s="445"/>
      <c r="Q2" s="445"/>
      <c r="R2" s="445"/>
    </row>
    <row r="3" spans="1:18" s="267" customFormat="1" ht="19.95" customHeight="1">
      <c r="A3" s="267" t="str">
        <f>底稿目录!A2</f>
        <v>被审计单位：</v>
      </c>
      <c r="E3" s="269" t="str">
        <f>底稿目录!A4</f>
        <v>编制人：</v>
      </c>
      <c r="L3" s="269" t="str">
        <f>底稿目录!A5</f>
        <v>编制日期：</v>
      </c>
      <c r="M3" s="269"/>
      <c r="Q3" s="272" t="s">
        <v>1</v>
      </c>
      <c r="R3" s="362" t="str">
        <f>底稿目录!F11</f>
        <v>G10-5</v>
      </c>
    </row>
    <row r="4" spans="1:18" s="267" customFormat="1" ht="19.95" customHeight="1">
      <c r="A4" s="273" t="str">
        <f>底稿目录!A3</f>
        <v>截止日：202X年12月31日</v>
      </c>
      <c r="B4" s="273"/>
      <c r="E4" s="269" t="str">
        <f>底稿目录!A6</f>
        <v>复核人：</v>
      </c>
      <c r="L4" s="269" t="str">
        <f>底稿目录!A7</f>
        <v>复核日期：</v>
      </c>
      <c r="M4" s="269"/>
      <c r="Q4" s="272" t="s">
        <v>103</v>
      </c>
      <c r="R4" s="280"/>
    </row>
    <row r="5" spans="1:18" ht="19.95" customHeight="1">
      <c r="A5" s="15" t="s">
        <v>104</v>
      </c>
      <c r="B5" s="16" t="s">
        <v>423</v>
      </c>
      <c r="C5" s="5"/>
      <c r="D5" s="5"/>
      <c r="E5" s="5"/>
      <c r="F5" s="68"/>
      <c r="H5" s="68"/>
      <c r="I5" s="68"/>
      <c r="J5" s="68"/>
      <c r="K5" s="68"/>
    </row>
    <row r="6" spans="1:18" ht="19.95" customHeight="1">
      <c r="A6" s="15" t="s">
        <v>105</v>
      </c>
      <c r="B6" s="73"/>
      <c r="C6" s="73"/>
      <c r="G6" s="73"/>
      <c r="H6" s="68"/>
      <c r="I6" s="68"/>
      <c r="J6" s="68"/>
      <c r="K6" s="68"/>
    </row>
    <row r="7" spans="1:18" s="64" customFormat="1" ht="19.95" customHeight="1">
      <c r="A7" s="453" t="s">
        <v>310</v>
      </c>
      <c r="B7" s="463" t="s">
        <v>425</v>
      </c>
      <c r="C7" s="464"/>
      <c r="D7" s="464"/>
      <c r="E7" s="465"/>
      <c r="F7" s="463" t="s">
        <v>426</v>
      </c>
      <c r="G7" s="468"/>
      <c r="H7" s="468"/>
      <c r="I7" s="468"/>
      <c r="J7" s="469" t="s">
        <v>427</v>
      </c>
      <c r="K7" s="469" t="s">
        <v>428</v>
      </c>
      <c r="L7" s="469" t="s">
        <v>429</v>
      </c>
      <c r="M7" s="364" t="s">
        <v>308</v>
      </c>
      <c r="N7" s="364" t="s">
        <v>106</v>
      </c>
      <c r="O7" s="466" t="s">
        <v>107</v>
      </c>
      <c r="P7" s="467"/>
      <c r="Q7" s="467"/>
      <c r="R7" s="443" t="s">
        <v>108</v>
      </c>
    </row>
    <row r="8" spans="1:18" s="64" customFormat="1" ht="24">
      <c r="A8" s="452"/>
      <c r="B8" s="364" t="s">
        <v>430</v>
      </c>
      <c r="C8" s="364" t="s">
        <v>431</v>
      </c>
      <c r="D8" s="364" t="s">
        <v>432</v>
      </c>
      <c r="E8" s="364" t="s">
        <v>433</v>
      </c>
      <c r="F8" s="364" t="s">
        <v>434</v>
      </c>
      <c r="G8" s="364" t="s">
        <v>431</v>
      </c>
      <c r="H8" s="364" t="s">
        <v>432</v>
      </c>
      <c r="I8" s="365" t="s">
        <v>433</v>
      </c>
      <c r="J8" s="470"/>
      <c r="K8" s="470"/>
      <c r="L8" s="470"/>
      <c r="M8" s="366" t="s">
        <v>309</v>
      </c>
      <c r="N8" s="366" t="s">
        <v>109</v>
      </c>
      <c r="O8" s="367" t="s">
        <v>110</v>
      </c>
      <c r="P8" s="367" t="s">
        <v>111</v>
      </c>
      <c r="Q8" s="368" t="s">
        <v>112</v>
      </c>
      <c r="R8" s="444"/>
    </row>
    <row r="9" spans="1:18" s="64" customFormat="1" ht="54">
      <c r="A9" s="322"/>
      <c r="B9" s="230"/>
      <c r="C9" s="230"/>
      <c r="D9" s="192">
        <f>B9*C9</f>
        <v>0</v>
      </c>
      <c r="E9" s="315" t="s">
        <v>435</v>
      </c>
      <c r="F9" s="55"/>
      <c r="G9" s="55"/>
      <c r="H9" s="192">
        <f>F9*G9</f>
        <v>0</v>
      </c>
      <c r="I9" s="315" t="s">
        <v>435</v>
      </c>
      <c r="J9" s="192">
        <f>H9-D9</f>
        <v>0</v>
      </c>
      <c r="K9" s="313"/>
      <c r="L9" s="314"/>
      <c r="M9" s="315"/>
      <c r="N9" s="316" t="s">
        <v>113</v>
      </c>
      <c r="O9" s="317"/>
      <c r="P9" s="318"/>
      <c r="Q9" s="318"/>
      <c r="R9" s="319"/>
    </row>
    <row r="10" spans="1:18" s="64" customFormat="1" ht="19.95" customHeight="1">
      <c r="A10" s="322"/>
      <c r="B10" s="230"/>
      <c r="C10" s="230"/>
      <c r="D10" s="192">
        <f>B10*C10</f>
        <v>0</v>
      </c>
      <c r="E10" s="320"/>
      <c r="F10" s="55"/>
      <c r="G10" s="55"/>
      <c r="H10" s="192">
        <f t="shared" ref="H10:H18" si="0">F10*G10</f>
        <v>0</v>
      </c>
      <c r="I10" s="315" t="s">
        <v>436</v>
      </c>
      <c r="J10" s="192">
        <f t="shared" ref="J10:J18" si="1">H10-D10</f>
        <v>0</v>
      </c>
      <c r="K10" s="313"/>
      <c r="L10" s="314"/>
      <c r="M10" s="315"/>
      <c r="N10" s="317"/>
      <c r="O10" s="317"/>
      <c r="P10" s="317"/>
      <c r="Q10" s="318"/>
      <c r="R10" s="319"/>
    </row>
    <row r="11" spans="1:18" s="64" customFormat="1" ht="19.95" customHeight="1">
      <c r="A11" s="322"/>
      <c r="B11" s="230"/>
      <c r="C11" s="230"/>
      <c r="D11" s="192"/>
      <c r="E11" s="320"/>
      <c r="F11" s="55"/>
      <c r="G11" s="55"/>
      <c r="H11" s="192">
        <f t="shared" si="0"/>
        <v>0</v>
      </c>
      <c r="I11" s="313"/>
      <c r="J11" s="192">
        <f t="shared" si="1"/>
        <v>0</v>
      </c>
      <c r="K11" s="313"/>
      <c r="L11" s="320"/>
      <c r="M11" s="320"/>
      <c r="N11" s="317"/>
      <c r="O11" s="317"/>
      <c r="P11" s="320"/>
      <c r="Q11" s="320"/>
      <c r="R11" s="319"/>
    </row>
    <row r="12" spans="1:18" s="64" customFormat="1" ht="19.95" customHeight="1">
      <c r="A12" s="322"/>
      <c r="B12" s="230"/>
      <c r="C12" s="230"/>
      <c r="D12" s="192"/>
      <c r="E12" s="320"/>
      <c r="F12" s="55"/>
      <c r="G12" s="55"/>
      <c r="H12" s="192">
        <f t="shared" si="0"/>
        <v>0</v>
      </c>
      <c r="I12" s="313"/>
      <c r="J12" s="192">
        <f t="shared" si="1"/>
        <v>0</v>
      </c>
      <c r="K12" s="313"/>
      <c r="L12" s="320"/>
      <c r="M12" s="320"/>
      <c r="N12" s="317"/>
      <c r="O12" s="317"/>
      <c r="P12" s="320"/>
      <c r="Q12" s="320"/>
      <c r="R12" s="319"/>
    </row>
    <row r="13" spans="1:18" s="64" customFormat="1" ht="19.95" customHeight="1">
      <c r="A13" s="322"/>
      <c r="B13" s="230"/>
      <c r="C13" s="230"/>
      <c r="D13" s="192"/>
      <c r="E13" s="320"/>
      <c r="F13" s="55"/>
      <c r="G13" s="55"/>
      <c r="H13" s="192">
        <f t="shared" si="0"/>
        <v>0</v>
      </c>
      <c r="I13" s="313"/>
      <c r="J13" s="192">
        <f t="shared" si="1"/>
        <v>0</v>
      </c>
      <c r="K13" s="313"/>
      <c r="L13" s="320"/>
      <c r="M13" s="320"/>
      <c r="N13" s="317"/>
      <c r="O13" s="317"/>
      <c r="P13" s="320"/>
      <c r="Q13" s="320"/>
      <c r="R13" s="319"/>
    </row>
    <row r="14" spans="1:18" s="64" customFormat="1" ht="19.95" customHeight="1">
      <c r="A14" s="322"/>
      <c r="B14" s="230"/>
      <c r="C14" s="230"/>
      <c r="D14" s="192"/>
      <c r="E14" s="320"/>
      <c r="F14" s="55"/>
      <c r="G14" s="55"/>
      <c r="H14" s="192">
        <f t="shared" si="0"/>
        <v>0</v>
      </c>
      <c r="I14" s="313"/>
      <c r="J14" s="192">
        <f t="shared" si="1"/>
        <v>0</v>
      </c>
      <c r="K14" s="313"/>
      <c r="L14" s="320"/>
      <c r="M14" s="320"/>
      <c r="N14" s="317"/>
      <c r="O14" s="317"/>
      <c r="P14" s="320"/>
      <c r="Q14" s="320"/>
      <c r="R14" s="319"/>
    </row>
    <row r="15" spans="1:18" s="64" customFormat="1" ht="19.95" customHeight="1">
      <c r="A15" s="322"/>
      <c r="B15" s="230"/>
      <c r="C15" s="230"/>
      <c r="D15" s="192"/>
      <c r="E15" s="320"/>
      <c r="F15" s="55"/>
      <c r="G15" s="55"/>
      <c r="H15" s="192">
        <f t="shared" si="0"/>
        <v>0</v>
      </c>
      <c r="I15" s="313"/>
      <c r="J15" s="192">
        <f t="shared" si="1"/>
        <v>0</v>
      </c>
      <c r="K15" s="313"/>
      <c r="L15" s="320"/>
      <c r="M15" s="320"/>
      <c r="N15" s="317"/>
      <c r="O15" s="317"/>
      <c r="P15" s="320"/>
      <c r="Q15" s="320"/>
      <c r="R15" s="319"/>
    </row>
    <row r="16" spans="1:18" s="66" customFormat="1" ht="19.95" customHeight="1">
      <c r="A16" s="322"/>
      <c r="B16" s="230"/>
      <c r="C16" s="230"/>
      <c r="D16" s="192"/>
      <c r="E16" s="320"/>
      <c r="F16" s="55"/>
      <c r="G16" s="55"/>
      <c r="H16" s="192">
        <f t="shared" si="0"/>
        <v>0</v>
      </c>
      <c r="I16" s="313"/>
      <c r="J16" s="192">
        <f t="shared" si="1"/>
        <v>0</v>
      </c>
      <c r="K16" s="313"/>
      <c r="L16" s="320"/>
      <c r="M16" s="320"/>
      <c r="N16" s="317"/>
      <c r="O16" s="317"/>
      <c r="P16" s="320"/>
      <c r="Q16" s="320"/>
      <c r="R16" s="321"/>
    </row>
    <row r="17" spans="1:18" s="64" customFormat="1" ht="19.95" customHeight="1">
      <c r="A17" s="322"/>
      <c r="B17" s="230"/>
      <c r="C17" s="230"/>
      <c r="D17" s="192"/>
      <c r="E17" s="320"/>
      <c r="F17" s="55"/>
      <c r="G17" s="55"/>
      <c r="H17" s="192">
        <f t="shared" si="0"/>
        <v>0</v>
      </c>
      <c r="I17" s="313"/>
      <c r="J17" s="192">
        <f t="shared" si="1"/>
        <v>0</v>
      </c>
      <c r="K17" s="313"/>
      <c r="L17" s="320"/>
      <c r="M17" s="320"/>
      <c r="N17" s="317"/>
      <c r="O17" s="317"/>
      <c r="P17" s="320"/>
      <c r="Q17" s="320"/>
      <c r="R17" s="319"/>
    </row>
    <row r="18" spans="1:18" s="64" customFormat="1" ht="19.95" customHeight="1">
      <c r="A18" s="322"/>
      <c r="B18" s="230"/>
      <c r="C18" s="230"/>
      <c r="D18" s="192"/>
      <c r="E18" s="320"/>
      <c r="F18" s="55"/>
      <c r="G18" s="55"/>
      <c r="H18" s="192">
        <f t="shared" si="0"/>
        <v>0</v>
      </c>
      <c r="I18" s="313"/>
      <c r="J18" s="192">
        <f t="shared" si="1"/>
        <v>0</v>
      </c>
      <c r="K18" s="313"/>
      <c r="L18" s="320"/>
      <c r="M18" s="320"/>
      <c r="N18" s="317"/>
      <c r="O18" s="317"/>
      <c r="P18" s="320"/>
      <c r="Q18" s="320"/>
      <c r="R18" s="319"/>
    </row>
    <row r="19" spans="1:18" s="67" customFormat="1" ht="19.95" customHeight="1">
      <c r="A19" s="204" t="s">
        <v>95</v>
      </c>
      <c r="B19" s="231"/>
      <c r="C19" s="231"/>
      <c r="D19" s="231">
        <f>SUM(D9:D18)</f>
        <v>0</v>
      </c>
      <c r="E19" s="231"/>
      <c r="F19" s="231"/>
      <c r="G19" s="231"/>
      <c r="H19" s="231">
        <f>SUM(H9:H18)</f>
        <v>0</v>
      </c>
      <c r="I19" s="231"/>
      <c r="J19" s="231">
        <f>SUM(J9:J18)</f>
        <v>0</v>
      </c>
      <c r="K19" s="231"/>
      <c r="L19" s="231"/>
      <c r="M19" s="206"/>
      <c r="N19" s="206"/>
      <c r="O19" s="206"/>
      <c r="P19" s="206"/>
      <c r="Q19" s="206"/>
      <c r="R19" s="203"/>
    </row>
    <row r="20" spans="1:18" ht="19.95" customHeight="1">
      <c r="A20" s="69" t="s">
        <v>96</v>
      </c>
      <c r="B20" s="69"/>
      <c r="H20" s="69"/>
      <c r="I20" s="69"/>
      <c r="J20" s="69"/>
      <c r="K20" s="69"/>
    </row>
    <row r="21" spans="1:18" ht="19.95" customHeight="1">
      <c r="A21" s="74" t="s">
        <v>114</v>
      </c>
      <c r="C21" s="74"/>
    </row>
    <row r="22" spans="1:18" ht="19.95" customHeight="1"/>
    <row r="23" spans="1:18" ht="19.95" customHeight="1"/>
    <row r="24" spans="1:18" ht="19.95" customHeight="1">
      <c r="A24" s="69" t="s">
        <v>97</v>
      </c>
    </row>
    <row r="25" spans="1:18" ht="19.95" customHeight="1"/>
    <row r="26" spans="1:18" ht="18" customHeight="1">
      <c r="A26" s="75" t="s">
        <v>115</v>
      </c>
      <c r="B26" s="75"/>
    </row>
    <row r="27" spans="1:18" ht="19.5" customHeight="1">
      <c r="A27" s="74" t="s">
        <v>285</v>
      </c>
    </row>
    <row r="28" spans="1:18" ht="19.5" customHeight="1">
      <c r="A28" s="74" t="s">
        <v>286</v>
      </c>
    </row>
    <row r="29" spans="1:18" ht="19.5" customHeight="1">
      <c r="A29" s="74" t="s">
        <v>287</v>
      </c>
    </row>
    <row r="30" spans="1:18" ht="19.5" customHeight="1">
      <c r="A30" s="74" t="s">
        <v>288</v>
      </c>
    </row>
    <row r="31" spans="1:18" ht="19.5" customHeight="1">
      <c r="A31" s="74" t="s">
        <v>289</v>
      </c>
    </row>
    <row r="32" spans="1:18" ht="19.5" customHeight="1">
      <c r="A32" s="74" t="s">
        <v>290</v>
      </c>
    </row>
    <row r="33" spans="1:5" ht="19.5" customHeight="1">
      <c r="A33" s="74" t="s">
        <v>291</v>
      </c>
    </row>
    <row r="34" spans="1:5" ht="18" customHeight="1">
      <c r="A34" s="34" t="s">
        <v>292</v>
      </c>
      <c r="B34" s="34"/>
      <c r="C34" s="34"/>
      <c r="D34" s="34"/>
      <c r="E34" s="34"/>
    </row>
    <row r="35" spans="1:5" ht="18" customHeight="1">
      <c r="A35" s="33" t="s">
        <v>3</v>
      </c>
      <c r="B35" s="33"/>
      <c r="C35" s="33"/>
      <c r="D35" s="33"/>
      <c r="E35" s="33"/>
    </row>
    <row r="36" spans="1:5" ht="18" customHeight="1">
      <c r="A36" s="76" t="s">
        <v>116</v>
      </c>
      <c r="B36" s="76"/>
      <c r="C36" s="33"/>
      <c r="D36" s="33"/>
      <c r="E36" s="33"/>
    </row>
    <row r="37" spans="1:5" ht="18" customHeight="1">
      <c r="A37" s="35" t="s">
        <v>117</v>
      </c>
      <c r="B37" s="77" t="s">
        <v>118</v>
      </c>
      <c r="C37" s="77"/>
      <c r="D37" s="77"/>
      <c r="E37" s="77"/>
    </row>
    <row r="38" spans="1:5" ht="18" customHeight="1">
      <c r="A38" s="35" t="s">
        <v>119</v>
      </c>
      <c r="B38" s="77" t="s">
        <v>120</v>
      </c>
      <c r="C38" s="77"/>
      <c r="D38" s="77"/>
      <c r="E38" s="77"/>
    </row>
    <row r="39" spans="1:5" ht="18" customHeight="1">
      <c r="A39" s="35" t="s">
        <v>121</v>
      </c>
      <c r="B39" s="77" t="s">
        <v>122</v>
      </c>
      <c r="C39" s="77"/>
      <c r="D39" s="77"/>
      <c r="E39" s="77"/>
    </row>
  </sheetData>
  <mergeCells count="10">
    <mergeCell ref="A1:R1"/>
    <mergeCell ref="A2:R2"/>
    <mergeCell ref="A7:A8"/>
    <mergeCell ref="B7:E7"/>
    <mergeCell ref="O7:Q7"/>
    <mergeCell ref="R7:R8"/>
    <mergeCell ref="F7:I7"/>
    <mergeCell ref="J7:J8"/>
    <mergeCell ref="K7:K8"/>
    <mergeCell ref="L7:L8"/>
  </mergeCells>
  <phoneticPr fontId="4" type="noConversion"/>
  <hyperlinks>
    <hyperlink ref="R3" location="底稿目录!F10" display="底稿目录!F10"/>
  </hyperlinks>
  <printOptions horizontalCentered="1"/>
  <pageMargins left="0.70866141732283472" right="0.70866141732283472" top="0.74803149606299213" bottom="0.74803149606299213" header="0.31496062992125984" footer="0.31496062992125984"/>
  <pageSetup paperSize="9" scale="70" fitToHeight="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M23"/>
  <sheetViews>
    <sheetView view="pageBreakPreview" zoomScaleSheetLayoutView="100" workbookViewId="0">
      <selection sqref="A1:M1"/>
    </sheetView>
  </sheetViews>
  <sheetFormatPr defaultColWidth="9" defaultRowHeight="13.8"/>
  <cols>
    <col min="1" max="1" width="4" style="20" customWidth="1"/>
    <col min="2" max="2" width="14.109375" style="20" customWidth="1"/>
    <col min="3" max="5" width="9" style="20"/>
    <col min="6" max="6" width="15" style="20" customWidth="1"/>
    <col min="7" max="7" width="12.21875" style="20" customWidth="1"/>
    <col min="8" max="11" width="9" style="20"/>
    <col min="12" max="12" width="11.33203125" style="20" customWidth="1"/>
    <col min="13" max="13" width="20.5546875" style="20" customWidth="1"/>
    <col min="14" max="16384" width="9" style="20"/>
  </cols>
  <sheetData>
    <row r="1" spans="1:13" s="236" customFormat="1" ht="20.25" customHeight="1">
      <c r="A1" s="447" t="s">
        <v>0</v>
      </c>
      <c r="B1" s="447"/>
      <c r="C1" s="447"/>
      <c r="D1" s="447"/>
      <c r="E1" s="447"/>
      <c r="F1" s="447"/>
      <c r="G1" s="447"/>
      <c r="H1" s="447"/>
      <c r="I1" s="447"/>
      <c r="J1" s="447"/>
      <c r="K1" s="447"/>
      <c r="L1" s="447"/>
      <c r="M1" s="447"/>
    </row>
    <row r="2" spans="1:13" s="241" customFormat="1" ht="25.2" customHeight="1">
      <c r="A2" s="445" t="s">
        <v>30</v>
      </c>
      <c r="B2" s="445"/>
      <c r="C2" s="445"/>
      <c r="D2" s="445"/>
      <c r="E2" s="445"/>
      <c r="F2" s="445"/>
      <c r="G2" s="445"/>
      <c r="H2" s="445"/>
      <c r="I2" s="445"/>
      <c r="J2" s="445"/>
      <c r="K2" s="445"/>
      <c r="L2" s="445"/>
      <c r="M2" s="445"/>
    </row>
    <row r="3" spans="1:13" s="274" customFormat="1" ht="20.25" customHeight="1">
      <c r="A3" s="273" t="str">
        <f>底稿目录!A2</f>
        <v>被审计单位：</v>
      </c>
      <c r="B3" s="265"/>
      <c r="C3" s="277"/>
      <c r="D3" s="277"/>
      <c r="F3" s="275" t="str">
        <f>底稿目录!A4</f>
        <v>编制人：</v>
      </c>
      <c r="I3" s="277" t="str">
        <f>底稿目录!A5</f>
        <v>编制日期：</v>
      </c>
      <c r="J3" s="277"/>
      <c r="L3" s="278" t="s">
        <v>364</v>
      </c>
      <c r="M3" s="362" t="str">
        <f>底稿目录!F12</f>
        <v>G10-6</v>
      </c>
    </row>
    <row r="4" spans="1:13" s="274" customFormat="1" ht="20.25" customHeight="1">
      <c r="A4" s="273" t="str">
        <f>底稿目录!A3</f>
        <v>截止日：202X年12月31日</v>
      </c>
      <c r="B4" s="265"/>
      <c r="C4" s="277"/>
      <c r="D4" s="277"/>
      <c r="F4" s="275" t="str">
        <f>底稿目录!A6</f>
        <v>复核人：</v>
      </c>
      <c r="I4" s="277" t="str">
        <f>底稿目录!A7</f>
        <v>复核日期：</v>
      </c>
      <c r="J4" s="277"/>
      <c r="L4" s="279" t="s">
        <v>123</v>
      </c>
    </row>
    <row r="5" spans="1:13" ht="20.25" customHeight="1">
      <c r="A5" s="25" t="s">
        <v>29</v>
      </c>
      <c r="C5" s="24" t="s">
        <v>57</v>
      </c>
    </row>
    <row r="6" spans="1:13" ht="20.25" customHeight="1">
      <c r="A6" s="25" t="s">
        <v>31</v>
      </c>
      <c r="C6" s="20">
        <v>1</v>
      </c>
      <c r="D6" s="24" t="s">
        <v>63</v>
      </c>
    </row>
    <row r="7" spans="1:13" ht="20.25" customHeight="1">
      <c r="C7" s="20">
        <v>2</v>
      </c>
      <c r="D7" s="24" t="s">
        <v>64</v>
      </c>
    </row>
    <row r="8" spans="1:13" ht="20.25" customHeight="1">
      <c r="A8" s="461" t="s">
        <v>226</v>
      </c>
      <c r="B8" s="462"/>
      <c r="C8" s="462" t="s">
        <v>17</v>
      </c>
      <c r="D8" s="462" t="s">
        <v>18</v>
      </c>
      <c r="E8" s="462" t="s">
        <v>19</v>
      </c>
      <c r="F8" s="461" t="s">
        <v>26</v>
      </c>
      <c r="G8" s="461"/>
      <c r="H8" s="462" t="s">
        <v>20</v>
      </c>
      <c r="I8" s="462"/>
      <c r="J8" s="462"/>
      <c r="K8" s="462"/>
      <c r="L8" s="462" t="s">
        <v>21</v>
      </c>
      <c r="M8" s="461" t="s">
        <v>227</v>
      </c>
    </row>
    <row r="9" spans="1:13" ht="24.75" customHeight="1">
      <c r="A9" s="462"/>
      <c r="B9" s="462"/>
      <c r="C9" s="462"/>
      <c r="D9" s="462"/>
      <c r="E9" s="462"/>
      <c r="F9" s="29" t="s">
        <v>27</v>
      </c>
      <c r="G9" s="23" t="s">
        <v>28</v>
      </c>
      <c r="H9" s="30" t="s">
        <v>22</v>
      </c>
      <c r="I9" s="30" t="s">
        <v>23</v>
      </c>
      <c r="J9" s="30" t="s">
        <v>24</v>
      </c>
      <c r="K9" s="30" t="s">
        <v>25</v>
      </c>
      <c r="L9" s="462"/>
      <c r="M9" s="462"/>
    </row>
    <row r="10" spans="1:13" ht="20.25" customHeight="1">
      <c r="A10" s="27"/>
      <c r="B10" s="28"/>
      <c r="C10" s="21"/>
      <c r="D10" s="21"/>
      <c r="E10" s="21"/>
      <c r="F10" s="21"/>
      <c r="G10" s="21"/>
      <c r="H10" s="21"/>
      <c r="I10" s="21"/>
      <c r="J10" s="21"/>
      <c r="K10" s="21"/>
      <c r="L10" s="193">
        <f>C10+D10-E10+F10+H10+I10-J10-K10</f>
        <v>0</v>
      </c>
      <c r="M10" s="21"/>
    </row>
    <row r="11" spans="1:13" ht="20.25" customHeight="1">
      <c r="A11" s="27"/>
      <c r="B11" s="28"/>
      <c r="C11" s="21"/>
      <c r="D11" s="21"/>
      <c r="E11" s="21"/>
      <c r="F11" s="21"/>
      <c r="G11" s="21"/>
      <c r="H11" s="21"/>
      <c r="I11" s="21"/>
      <c r="J11" s="21"/>
      <c r="K11" s="21"/>
      <c r="L11" s="193">
        <f t="shared" ref="L11:L18" si="0">C11+D11-E11+F11+H11+I11-J11-K11</f>
        <v>0</v>
      </c>
      <c r="M11" s="21"/>
    </row>
    <row r="12" spans="1:13" ht="20.25" customHeight="1">
      <c r="A12" s="27"/>
      <c r="B12" s="28"/>
      <c r="C12" s="21"/>
      <c r="D12" s="21"/>
      <c r="E12" s="21"/>
      <c r="F12" s="21"/>
      <c r="G12" s="21"/>
      <c r="H12" s="21"/>
      <c r="I12" s="21"/>
      <c r="J12" s="21"/>
      <c r="K12" s="21"/>
      <c r="L12" s="193">
        <f t="shared" si="0"/>
        <v>0</v>
      </c>
      <c r="M12" s="21"/>
    </row>
    <row r="13" spans="1:13" ht="20.25" customHeight="1">
      <c r="A13" s="27"/>
      <c r="B13" s="28"/>
      <c r="C13" s="21"/>
      <c r="D13" s="21"/>
      <c r="E13" s="21"/>
      <c r="F13" s="21"/>
      <c r="G13" s="21"/>
      <c r="H13" s="21"/>
      <c r="I13" s="21"/>
      <c r="J13" s="21"/>
      <c r="K13" s="21"/>
      <c r="L13" s="193">
        <f t="shared" si="0"/>
        <v>0</v>
      </c>
      <c r="M13" s="21"/>
    </row>
    <row r="14" spans="1:13" ht="20.25" customHeight="1">
      <c r="A14" s="27"/>
      <c r="B14" s="28"/>
      <c r="C14" s="21"/>
      <c r="D14" s="21"/>
      <c r="E14" s="21"/>
      <c r="F14" s="21"/>
      <c r="G14" s="21"/>
      <c r="H14" s="21"/>
      <c r="I14" s="21"/>
      <c r="J14" s="21"/>
      <c r="K14" s="21"/>
      <c r="L14" s="193">
        <f t="shared" si="0"/>
        <v>0</v>
      </c>
      <c r="M14" s="21"/>
    </row>
    <row r="15" spans="1:13" ht="20.25" customHeight="1">
      <c r="A15" s="27"/>
      <c r="B15" s="28"/>
      <c r="C15" s="21"/>
      <c r="D15" s="21"/>
      <c r="E15" s="21"/>
      <c r="F15" s="21"/>
      <c r="G15" s="21"/>
      <c r="H15" s="21"/>
      <c r="I15" s="21"/>
      <c r="J15" s="21"/>
      <c r="K15" s="21"/>
      <c r="L15" s="193">
        <f t="shared" si="0"/>
        <v>0</v>
      </c>
      <c r="M15" s="21"/>
    </row>
    <row r="16" spans="1:13" ht="20.25" customHeight="1">
      <c r="A16" s="27"/>
      <c r="B16" s="28"/>
      <c r="C16" s="21"/>
      <c r="D16" s="21"/>
      <c r="E16" s="21"/>
      <c r="F16" s="21"/>
      <c r="G16" s="21"/>
      <c r="H16" s="21"/>
      <c r="I16" s="21"/>
      <c r="J16" s="21"/>
      <c r="K16" s="21"/>
      <c r="L16" s="193">
        <f t="shared" si="0"/>
        <v>0</v>
      </c>
      <c r="M16" s="21"/>
    </row>
    <row r="17" spans="1:13" ht="20.25" customHeight="1">
      <c r="A17" s="27"/>
      <c r="B17" s="28"/>
      <c r="C17" s="21"/>
      <c r="D17" s="21"/>
      <c r="E17" s="21"/>
      <c r="F17" s="21"/>
      <c r="G17" s="21"/>
      <c r="H17" s="21"/>
      <c r="I17" s="21"/>
      <c r="J17" s="21"/>
      <c r="K17" s="21"/>
      <c r="L17" s="193">
        <f t="shared" si="0"/>
        <v>0</v>
      </c>
      <c r="M17" s="21"/>
    </row>
    <row r="18" spans="1:13" ht="20.25" customHeight="1">
      <c r="A18" s="27"/>
      <c r="B18" s="28"/>
      <c r="C18" s="21"/>
      <c r="D18" s="21"/>
      <c r="E18" s="21"/>
      <c r="F18" s="21"/>
      <c r="G18" s="21"/>
      <c r="H18" s="21"/>
      <c r="I18" s="21"/>
      <c r="J18" s="21"/>
      <c r="K18" s="21"/>
      <c r="L18" s="193">
        <f t="shared" si="0"/>
        <v>0</v>
      </c>
      <c r="M18" s="21"/>
    </row>
    <row r="19" spans="1:13" ht="20.25" customHeight="1">
      <c r="A19" s="205" t="s">
        <v>124</v>
      </c>
      <c r="B19" s="205"/>
      <c r="C19" s="206">
        <f>SUM(C10:C18)</f>
        <v>0</v>
      </c>
      <c r="D19" s="206">
        <f t="shared" ref="D19:L19" si="1">SUM(D10:D18)</f>
        <v>0</v>
      </c>
      <c r="E19" s="206">
        <f t="shared" si="1"/>
        <v>0</v>
      </c>
      <c r="F19" s="206">
        <f t="shared" si="1"/>
        <v>0</v>
      </c>
      <c r="G19" s="206">
        <f t="shared" si="1"/>
        <v>0</v>
      </c>
      <c r="H19" s="206">
        <f t="shared" si="1"/>
        <v>0</v>
      </c>
      <c r="I19" s="206">
        <f t="shared" si="1"/>
        <v>0</v>
      </c>
      <c r="J19" s="206">
        <f t="shared" si="1"/>
        <v>0</v>
      </c>
      <c r="K19" s="206">
        <f t="shared" si="1"/>
        <v>0</v>
      </c>
      <c r="L19" s="206">
        <f t="shared" si="1"/>
        <v>0</v>
      </c>
      <c r="M19" s="206"/>
    </row>
    <row r="20" spans="1:13" ht="20.25" customHeight="1">
      <c r="A20" s="25" t="s">
        <v>32</v>
      </c>
    </row>
    <row r="21" spans="1:13" ht="20.25" customHeight="1"/>
    <row r="22" spans="1:13" ht="20.25" customHeight="1">
      <c r="A22" s="25" t="s">
        <v>33</v>
      </c>
    </row>
    <row r="23" spans="1:13" ht="20.25" customHeight="1"/>
  </sheetData>
  <mergeCells count="10">
    <mergeCell ref="F8:G8"/>
    <mergeCell ref="A1:M1"/>
    <mergeCell ref="A2:M2"/>
    <mergeCell ref="L8:L9"/>
    <mergeCell ref="M8:M9"/>
    <mergeCell ref="A8:B9"/>
    <mergeCell ref="C8:C9"/>
    <mergeCell ref="D8:D9"/>
    <mergeCell ref="E8:E9"/>
    <mergeCell ref="H8:K8"/>
  </mergeCells>
  <phoneticPr fontId="4" type="noConversion"/>
  <hyperlinks>
    <hyperlink ref="M3" location="底稿目录!F10" display="底稿目录!F10"/>
  </hyperlinks>
  <printOptions horizontalCentered="1"/>
  <pageMargins left="0.70866141732283472" right="0.70866141732283472" top="0.74803149606299213" bottom="0.74803149606299213" header="0.31496062992125984" footer="0.31496062992125984"/>
  <pageSetup paperSize="9" scale="90"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Q99"/>
  <sheetViews>
    <sheetView view="pageBreakPreview" zoomScaleSheetLayoutView="100" workbookViewId="0">
      <selection sqref="A1:Q1"/>
    </sheetView>
  </sheetViews>
  <sheetFormatPr defaultColWidth="9" defaultRowHeight="13.8"/>
  <cols>
    <col min="1" max="1" width="9.109375" style="31" customWidth="1"/>
    <col min="2" max="2" width="9" style="31"/>
    <col min="3" max="3" width="25.109375" style="31" customWidth="1"/>
    <col min="4" max="4" width="13.5546875" style="31" customWidth="1"/>
    <col min="5" max="5" width="13.33203125" style="31" customWidth="1"/>
    <col min="6" max="6" width="14.6640625" style="31" customWidth="1"/>
    <col min="7" max="7" width="13.77734375" style="31" customWidth="1"/>
    <col min="8" max="8" width="23.88671875" style="31" customWidth="1"/>
    <col min="9" max="14" width="4" style="31" customWidth="1"/>
    <col min="15" max="15" width="8" style="31" customWidth="1"/>
    <col min="16" max="16" width="7.5546875" style="31" customWidth="1"/>
    <col min="17" max="17" width="20.77734375" style="31" customWidth="1"/>
    <col min="18" max="16384" width="9" style="31"/>
  </cols>
  <sheetData>
    <row r="1" spans="1:17" s="235" customFormat="1" ht="19.95" customHeight="1">
      <c r="A1" s="447" t="s">
        <v>0</v>
      </c>
      <c r="B1" s="447"/>
      <c r="C1" s="447"/>
      <c r="D1" s="447"/>
      <c r="E1" s="447"/>
      <c r="F1" s="447"/>
      <c r="G1" s="447"/>
      <c r="H1" s="447"/>
      <c r="I1" s="447"/>
      <c r="J1" s="447"/>
      <c r="K1" s="447"/>
      <c r="L1" s="447"/>
      <c r="M1" s="447"/>
      <c r="N1" s="447"/>
      <c r="O1" s="447"/>
      <c r="P1" s="447"/>
      <c r="Q1" s="447"/>
    </row>
    <row r="2" spans="1:17" s="240" customFormat="1" ht="19.95" customHeight="1">
      <c r="A2" s="445" t="s">
        <v>317</v>
      </c>
      <c r="B2" s="445"/>
      <c r="C2" s="445"/>
      <c r="D2" s="445"/>
      <c r="E2" s="445"/>
      <c r="F2" s="445"/>
      <c r="G2" s="445"/>
      <c r="H2" s="445"/>
      <c r="I2" s="445"/>
      <c r="J2" s="445"/>
      <c r="K2" s="445"/>
      <c r="L2" s="445"/>
      <c r="M2" s="445"/>
      <c r="N2" s="445"/>
      <c r="O2" s="445"/>
      <c r="P2" s="445"/>
      <c r="Q2" s="445"/>
    </row>
    <row r="3" spans="1:17" s="267" customFormat="1" ht="19.95" customHeight="1">
      <c r="A3" s="267" t="str">
        <f>底稿目录!A2</f>
        <v>被审计单位：</v>
      </c>
      <c r="B3" s="268"/>
      <c r="E3" s="269" t="str">
        <f>底稿目录!A4</f>
        <v>编制人：</v>
      </c>
      <c r="F3" s="269"/>
      <c r="G3" s="268"/>
      <c r="H3" s="268"/>
      <c r="J3" s="270" t="str">
        <f>底稿目录!A5</f>
        <v>编制日期：</v>
      </c>
      <c r="K3" s="271"/>
      <c r="P3" s="272" t="s">
        <v>365</v>
      </c>
      <c r="Q3" s="362" t="str">
        <f>底稿目录!F21</f>
        <v>G10-7</v>
      </c>
    </row>
    <row r="4" spans="1:17" s="267" customFormat="1" ht="19.95" customHeight="1">
      <c r="A4" s="273" t="str">
        <f>底稿目录!A3</f>
        <v>截止日：202X年12月31日</v>
      </c>
      <c r="B4" s="268"/>
      <c r="E4" s="269" t="str">
        <f>底稿目录!A6</f>
        <v>复核人：</v>
      </c>
      <c r="F4" s="269"/>
      <c r="G4" s="268"/>
      <c r="H4" s="268"/>
      <c r="J4" s="270" t="str">
        <f>底稿目录!A7</f>
        <v>复核日期：</v>
      </c>
      <c r="K4" s="271"/>
      <c r="P4" s="272" t="s">
        <v>318</v>
      </c>
    </row>
    <row r="5" spans="1:17" s="79" customFormat="1" ht="19.95" customHeight="1">
      <c r="A5" s="330" t="s">
        <v>29</v>
      </c>
      <c r="B5" s="329"/>
      <c r="C5" s="329"/>
      <c r="D5" s="329"/>
      <c r="E5" s="329"/>
      <c r="F5" s="329"/>
      <c r="G5" s="329"/>
      <c r="H5" s="329"/>
      <c r="I5" s="329"/>
      <c r="J5" s="329"/>
      <c r="K5" s="329"/>
      <c r="L5" s="329"/>
      <c r="M5" s="329"/>
      <c r="N5" s="329"/>
      <c r="O5" s="329"/>
      <c r="P5" s="329"/>
      <c r="Q5" s="329"/>
    </row>
    <row r="6" spans="1:17" s="79" customFormat="1" ht="19.95" customHeight="1">
      <c r="A6" s="225" t="s">
        <v>475</v>
      </c>
      <c r="B6" s="263"/>
      <c r="C6" s="263"/>
      <c r="D6" s="263"/>
      <c r="E6" s="263"/>
      <c r="F6" s="263"/>
      <c r="G6" s="263"/>
      <c r="H6" s="263"/>
      <c r="I6" s="263"/>
      <c r="J6" s="263"/>
      <c r="K6" s="263"/>
      <c r="L6" s="263"/>
      <c r="M6" s="263"/>
      <c r="N6" s="263"/>
      <c r="O6" s="263"/>
      <c r="P6" s="263"/>
      <c r="Q6" s="263"/>
    </row>
    <row r="7" spans="1:17" s="79" customFormat="1" ht="19.95" customHeight="1">
      <c r="A7" s="225" t="s">
        <v>473</v>
      </c>
      <c r="B7" s="263"/>
      <c r="C7" s="263"/>
      <c r="D7" s="263"/>
      <c r="E7" s="263"/>
      <c r="F7" s="263"/>
      <c r="G7" s="263"/>
      <c r="H7" s="263"/>
      <c r="I7" s="263"/>
      <c r="J7" s="263"/>
      <c r="K7" s="263"/>
      <c r="L7" s="263"/>
      <c r="M7" s="263"/>
      <c r="N7" s="263"/>
      <c r="O7" s="263"/>
      <c r="P7" s="263"/>
      <c r="Q7" s="263"/>
    </row>
    <row r="8" spans="1:17" s="79" customFormat="1" ht="19.95" customHeight="1">
      <c r="A8" s="489" t="s">
        <v>417</v>
      </c>
      <c r="B8" s="490"/>
      <c r="C8" s="490"/>
      <c r="D8" s="490"/>
      <c r="E8" s="490"/>
      <c r="F8" s="490"/>
      <c r="G8" s="490"/>
      <c r="H8" s="490"/>
      <c r="I8" s="490"/>
      <c r="J8" s="490"/>
      <c r="K8" s="490"/>
    </row>
    <row r="9" spans="1:17" s="211" customFormat="1" ht="19.95" customHeight="1">
      <c r="A9" s="225" t="s">
        <v>450</v>
      </c>
      <c r="B9" s="226" t="s">
        <v>455</v>
      </c>
      <c r="F9" s="225"/>
      <c r="G9" s="225" t="s">
        <v>418</v>
      </c>
      <c r="H9" s="226" t="s">
        <v>451</v>
      </c>
    </row>
    <row r="10" spans="1:17" s="211" customFormat="1" ht="19.95" customHeight="1">
      <c r="A10" s="225" t="s">
        <v>419</v>
      </c>
      <c r="B10" s="226" t="s">
        <v>452</v>
      </c>
      <c r="F10" s="225" t="s">
        <v>453</v>
      </c>
      <c r="G10" s="226" t="s">
        <v>558</v>
      </c>
      <c r="H10" s="226"/>
      <c r="M10" s="226"/>
      <c r="O10" s="226"/>
    </row>
    <row r="11" spans="1:17" s="211" customFormat="1" ht="19.95" customHeight="1">
      <c r="A11" s="225" t="s">
        <v>420</v>
      </c>
      <c r="B11" s="226" t="s">
        <v>557</v>
      </c>
      <c r="F11" s="225" t="s">
        <v>421</v>
      </c>
      <c r="G11" s="226" t="s">
        <v>454</v>
      </c>
      <c r="M11" s="225"/>
      <c r="O11" s="226"/>
    </row>
    <row r="12" spans="1:17" ht="19.95" customHeight="1">
      <c r="A12" s="80" t="s">
        <v>125</v>
      </c>
      <c r="B12" s="81"/>
      <c r="C12" s="81"/>
      <c r="D12" s="82"/>
      <c r="E12" s="83"/>
      <c r="F12" s="83"/>
      <c r="G12" s="79"/>
      <c r="H12" s="79"/>
      <c r="I12" s="79"/>
      <c r="J12" s="79"/>
      <c r="K12" s="79"/>
      <c r="L12" s="79"/>
      <c r="M12" s="79"/>
      <c r="N12" s="79"/>
      <c r="O12" s="79"/>
    </row>
    <row r="13" spans="1:17" ht="19.95" customHeight="1">
      <c r="A13" s="361" t="s">
        <v>518</v>
      </c>
      <c r="B13" s="81"/>
      <c r="C13" s="81"/>
      <c r="D13" s="82"/>
      <c r="E13" s="83"/>
      <c r="F13" s="83"/>
      <c r="G13" s="79"/>
      <c r="H13" s="79"/>
      <c r="I13" s="79"/>
      <c r="J13" s="79"/>
      <c r="K13" s="79"/>
      <c r="L13" s="79"/>
      <c r="M13" s="79"/>
      <c r="N13" s="79"/>
      <c r="O13" s="79"/>
    </row>
    <row r="14" spans="1:17" s="211" customFormat="1" ht="19.95" customHeight="1">
      <c r="A14" s="336" t="s">
        <v>479</v>
      </c>
    </row>
    <row r="15" spans="1:17" s="212" customFormat="1" ht="19.95" customHeight="1">
      <c r="A15" s="476" t="s">
        <v>374</v>
      </c>
      <c r="B15" s="477"/>
      <c r="C15" s="477"/>
      <c r="D15" s="477"/>
      <c r="E15" s="477"/>
      <c r="F15" s="477"/>
      <c r="G15" s="478"/>
      <c r="H15" s="479" t="s">
        <v>476</v>
      </c>
      <c r="I15" s="471" t="s">
        <v>477</v>
      </c>
      <c r="J15" s="472"/>
      <c r="K15" s="472"/>
      <c r="L15" s="472"/>
      <c r="M15" s="472"/>
      <c r="N15" s="473"/>
      <c r="O15" s="488" t="s">
        <v>375</v>
      </c>
      <c r="P15" s="488" t="s">
        <v>376</v>
      </c>
      <c r="Q15" s="474" t="s">
        <v>478</v>
      </c>
    </row>
    <row r="16" spans="1:17" s="213" customFormat="1" ht="19.95" customHeight="1">
      <c r="A16" s="209" t="s">
        <v>377</v>
      </c>
      <c r="B16" s="209" t="s">
        <v>378</v>
      </c>
      <c r="C16" s="209" t="s">
        <v>380</v>
      </c>
      <c r="D16" s="209" t="s">
        <v>381</v>
      </c>
      <c r="E16" s="209" t="s">
        <v>491</v>
      </c>
      <c r="F16" s="210" t="s">
        <v>382</v>
      </c>
      <c r="G16" s="210" t="s">
        <v>383</v>
      </c>
      <c r="H16" s="480"/>
      <c r="I16" s="332">
        <v>1</v>
      </c>
      <c r="J16" s="332">
        <v>2</v>
      </c>
      <c r="K16" s="332">
        <v>3</v>
      </c>
      <c r="L16" s="332">
        <v>4</v>
      </c>
      <c r="M16" s="332">
        <v>5</v>
      </c>
      <c r="N16" s="332">
        <v>6</v>
      </c>
      <c r="O16" s="488"/>
      <c r="P16" s="488"/>
      <c r="Q16" s="475"/>
    </row>
    <row r="17" spans="1:17" s="252" customFormat="1" ht="19.95" customHeight="1">
      <c r="A17" s="248"/>
      <c r="B17" s="249"/>
      <c r="C17" s="347"/>
      <c r="D17" s="347"/>
      <c r="E17" s="347"/>
      <c r="F17" s="251"/>
      <c r="G17" s="402"/>
      <c r="H17" s="333"/>
      <c r="I17" s="334"/>
      <c r="J17" s="334"/>
      <c r="K17" s="334"/>
      <c r="L17" s="334"/>
      <c r="M17" s="334"/>
      <c r="N17" s="334"/>
      <c r="O17" s="331"/>
      <c r="P17" s="331"/>
      <c r="Q17" s="335"/>
    </row>
    <row r="18" spans="1:17" s="252" customFormat="1" ht="19.95" customHeight="1">
      <c r="A18" s="248"/>
      <c r="B18" s="249"/>
      <c r="C18" s="347"/>
      <c r="D18" s="347"/>
      <c r="E18" s="347"/>
      <c r="F18" s="251"/>
      <c r="G18" s="402"/>
      <c r="H18" s="333"/>
      <c r="I18" s="334"/>
      <c r="J18" s="334"/>
      <c r="K18" s="334"/>
      <c r="L18" s="334"/>
      <c r="M18" s="334"/>
      <c r="N18" s="334"/>
      <c r="O18" s="331"/>
      <c r="P18" s="331"/>
      <c r="Q18" s="335"/>
    </row>
    <row r="19" spans="1:17" s="252" customFormat="1" ht="19.95" customHeight="1">
      <c r="A19" s="248"/>
      <c r="B19" s="249"/>
      <c r="C19" s="347"/>
      <c r="D19" s="347"/>
      <c r="E19" s="347"/>
      <c r="F19" s="251"/>
      <c r="G19" s="402"/>
      <c r="H19" s="333"/>
      <c r="I19" s="334"/>
      <c r="J19" s="334"/>
      <c r="K19" s="334"/>
      <c r="L19" s="334"/>
      <c r="M19" s="334"/>
      <c r="N19" s="334"/>
      <c r="O19" s="331"/>
      <c r="P19" s="331"/>
      <c r="Q19" s="335"/>
    </row>
    <row r="20" spans="1:17" s="252" customFormat="1" ht="19.95" customHeight="1">
      <c r="A20" s="248"/>
      <c r="B20" s="249"/>
      <c r="C20" s="347"/>
      <c r="D20" s="347"/>
      <c r="E20" s="347"/>
      <c r="F20" s="251"/>
      <c r="G20" s="402"/>
      <c r="H20" s="333"/>
      <c r="I20" s="334"/>
      <c r="J20" s="334"/>
      <c r="K20" s="334"/>
      <c r="L20" s="334"/>
      <c r="M20" s="334"/>
      <c r="N20" s="334"/>
      <c r="O20" s="331"/>
      <c r="P20" s="331"/>
      <c r="Q20" s="335"/>
    </row>
    <row r="21" spans="1:17" s="252" customFormat="1" ht="19.95" customHeight="1">
      <c r="A21" s="248"/>
      <c r="B21" s="249"/>
      <c r="C21" s="250"/>
      <c r="D21" s="250"/>
      <c r="E21" s="250"/>
      <c r="F21" s="251"/>
      <c r="G21" s="402"/>
      <c r="H21" s="333"/>
      <c r="I21" s="334"/>
      <c r="J21" s="334"/>
      <c r="K21" s="334"/>
      <c r="L21" s="334"/>
      <c r="M21" s="334"/>
      <c r="N21" s="334"/>
      <c r="O21" s="331"/>
      <c r="P21" s="331"/>
      <c r="Q21" s="335"/>
    </row>
    <row r="22" spans="1:17" s="252" customFormat="1" ht="19.95" customHeight="1">
      <c r="A22" s="248"/>
      <c r="B22" s="249"/>
      <c r="C22" s="250"/>
      <c r="D22" s="250"/>
      <c r="E22" s="250"/>
      <c r="F22" s="251"/>
      <c r="G22" s="402"/>
      <c r="H22" s="333"/>
      <c r="I22" s="334"/>
      <c r="J22" s="334"/>
      <c r="K22" s="334"/>
      <c r="L22" s="334"/>
      <c r="M22" s="334"/>
      <c r="N22" s="334"/>
      <c r="O22" s="331"/>
      <c r="P22" s="331"/>
      <c r="Q22" s="335"/>
    </row>
    <row r="23" spans="1:17" s="252" customFormat="1" ht="19.95" customHeight="1">
      <c r="A23" s="248"/>
      <c r="B23" s="249"/>
      <c r="C23" s="250"/>
      <c r="D23" s="250"/>
      <c r="E23" s="250"/>
      <c r="F23" s="251"/>
      <c r="G23" s="402"/>
      <c r="H23" s="333"/>
      <c r="I23" s="334"/>
      <c r="J23" s="334"/>
      <c r="K23" s="334"/>
      <c r="L23" s="334"/>
      <c r="M23" s="334"/>
      <c r="N23" s="334"/>
      <c r="O23" s="331"/>
      <c r="P23" s="331"/>
      <c r="Q23" s="335"/>
    </row>
    <row r="24" spans="1:17" s="252" customFormat="1" ht="19.95" customHeight="1">
      <c r="A24" s="248"/>
      <c r="B24" s="249"/>
      <c r="C24" s="250"/>
      <c r="D24" s="250"/>
      <c r="E24" s="250"/>
      <c r="F24" s="251"/>
      <c r="G24" s="394"/>
      <c r="H24" s="333"/>
      <c r="I24" s="334"/>
      <c r="J24" s="334"/>
      <c r="K24" s="334"/>
      <c r="L24" s="334"/>
      <c r="M24" s="334"/>
      <c r="N24" s="334"/>
      <c r="O24" s="331"/>
      <c r="P24" s="331"/>
      <c r="Q24" s="335"/>
    </row>
    <row r="25" spans="1:17" s="252" customFormat="1" ht="19.95" customHeight="1">
      <c r="A25" s="248"/>
      <c r="B25" s="249"/>
      <c r="C25" s="250"/>
      <c r="D25" s="250"/>
      <c r="E25" s="250"/>
      <c r="F25" s="251"/>
      <c r="G25" s="394"/>
      <c r="H25" s="331"/>
      <c r="I25" s="334"/>
      <c r="J25" s="334"/>
      <c r="K25" s="334"/>
      <c r="L25" s="334"/>
      <c r="M25" s="334"/>
      <c r="N25" s="334"/>
      <c r="O25" s="331"/>
      <c r="P25" s="331"/>
      <c r="Q25" s="331"/>
    </row>
    <row r="26" spans="1:17" s="400" customFormat="1" ht="19.95" customHeight="1">
      <c r="A26" s="487" t="s">
        <v>554</v>
      </c>
      <c r="B26" s="487"/>
      <c r="C26" s="487"/>
      <c r="D26" s="487"/>
      <c r="E26" s="395"/>
      <c r="F26" s="396">
        <f>SUM(F17:F25)</f>
        <v>0</v>
      </c>
      <c r="G26" s="396">
        <f>SUM(G17:G25)</f>
        <v>0</v>
      </c>
      <c r="H26" s="397"/>
      <c r="I26" s="397"/>
      <c r="J26" s="397"/>
      <c r="K26" s="398"/>
      <c r="L26" s="399"/>
      <c r="M26" s="397"/>
      <c r="N26" s="397"/>
      <c r="O26" s="397"/>
      <c r="P26" s="397"/>
      <c r="Q26" s="397"/>
    </row>
    <row r="27" spans="1:17" s="400" customFormat="1" ht="19.95" customHeight="1">
      <c r="A27" s="487" t="s">
        <v>555</v>
      </c>
      <c r="B27" s="487"/>
      <c r="C27" s="487"/>
      <c r="D27" s="487"/>
      <c r="E27" s="395"/>
      <c r="F27" s="401"/>
      <c r="G27" s="401"/>
      <c r="H27" s="397"/>
      <c r="I27" s="397"/>
      <c r="J27" s="397"/>
      <c r="K27" s="398"/>
      <c r="L27" s="399"/>
      <c r="M27" s="397"/>
      <c r="N27" s="397"/>
      <c r="O27" s="397"/>
      <c r="P27" s="397"/>
      <c r="Q27" s="397"/>
    </row>
    <row r="28" spans="1:17" s="400" customFormat="1" ht="19.95" customHeight="1">
      <c r="A28" s="487" t="s">
        <v>556</v>
      </c>
      <c r="B28" s="487"/>
      <c r="C28" s="487"/>
      <c r="D28" s="487"/>
      <c r="E28" s="395"/>
      <c r="F28" s="404" t="e">
        <f>F26/F27</f>
        <v>#DIV/0!</v>
      </c>
      <c r="G28" s="404" t="e">
        <f>G26/G27</f>
        <v>#DIV/0!</v>
      </c>
      <c r="H28" s="397"/>
      <c r="I28" s="397"/>
      <c r="J28" s="397"/>
      <c r="K28" s="398"/>
      <c r="L28" s="399"/>
      <c r="M28" s="397"/>
      <c r="N28" s="397"/>
      <c r="O28" s="397"/>
      <c r="P28" s="397"/>
      <c r="Q28" s="397"/>
    </row>
    <row r="29" spans="1:17" s="211" customFormat="1" ht="19.95" customHeight="1">
      <c r="A29" s="378" t="s">
        <v>480</v>
      </c>
      <c r="B29" s="403"/>
      <c r="C29" s="403"/>
      <c r="D29" s="403"/>
      <c r="E29" s="403"/>
      <c r="F29" s="403"/>
      <c r="G29" s="403"/>
      <c r="H29" s="403"/>
      <c r="I29" s="403"/>
      <c r="J29" s="403"/>
      <c r="K29" s="403"/>
      <c r="L29" s="403"/>
      <c r="M29" s="403"/>
      <c r="N29" s="403"/>
      <c r="O29" s="403"/>
      <c r="P29" s="403"/>
      <c r="Q29" s="337"/>
    </row>
    <row r="30" spans="1:17" s="212" customFormat="1" ht="19.95" customHeight="1">
      <c r="A30" s="369"/>
      <c r="B30" s="369"/>
      <c r="C30" s="370" t="s">
        <v>374</v>
      </c>
      <c r="D30" s="369"/>
      <c r="E30" s="369"/>
      <c r="F30" s="369"/>
      <c r="G30" s="371"/>
      <c r="H30" s="479" t="s">
        <v>476</v>
      </c>
      <c r="I30" s="484" t="s">
        <v>477</v>
      </c>
      <c r="J30" s="485"/>
      <c r="K30" s="485"/>
      <c r="L30" s="485"/>
      <c r="M30" s="485"/>
      <c r="N30" s="486"/>
      <c r="O30" s="481" t="s">
        <v>481</v>
      </c>
      <c r="P30" s="482" t="s">
        <v>376</v>
      </c>
      <c r="Q30" s="474" t="s">
        <v>478</v>
      </c>
    </row>
    <row r="31" spans="1:17" s="213" customFormat="1" ht="19.95" customHeight="1">
      <c r="A31" s="372" t="s">
        <v>377</v>
      </c>
      <c r="B31" s="372" t="s">
        <v>378</v>
      </c>
      <c r="C31" s="372" t="s">
        <v>379</v>
      </c>
      <c r="D31" s="372" t="s">
        <v>381</v>
      </c>
      <c r="E31" s="372" t="s">
        <v>490</v>
      </c>
      <c r="F31" s="373" t="s">
        <v>382</v>
      </c>
      <c r="G31" s="373" t="s">
        <v>383</v>
      </c>
      <c r="H31" s="480"/>
      <c r="I31" s="374">
        <v>1</v>
      </c>
      <c r="J31" s="374">
        <v>2</v>
      </c>
      <c r="K31" s="374">
        <v>3</v>
      </c>
      <c r="L31" s="374">
        <v>4</v>
      </c>
      <c r="M31" s="374">
        <v>5</v>
      </c>
      <c r="N31" s="374">
        <v>6</v>
      </c>
      <c r="O31" s="481"/>
      <c r="P31" s="483"/>
      <c r="Q31" s="475"/>
    </row>
    <row r="32" spans="1:17" s="252" customFormat="1" ht="19.95" customHeight="1">
      <c r="A32" s="379"/>
      <c r="B32" s="380"/>
      <c r="C32" s="381"/>
      <c r="D32" s="382"/>
      <c r="E32" s="382"/>
      <c r="F32" s="383"/>
      <c r="G32" s="383"/>
      <c r="H32" s="333"/>
      <c r="I32" s="334"/>
      <c r="J32" s="334"/>
      <c r="K32" s="334"/>
      <c r="L32" s="334"/>
      <c r="M32" s="334"/>
      <c r="N32" s="334"/>
      <c r="O32" s="333"/>
      <c r="P32" s="335"/>
      <c r="Q32" s="335"/>
    </row>
    <row r="33" spans="1:17" s="252" customFormat="1" ht="19.95" customHeight="1">
      <c r="A33" s="379"/>
      <c r="B33" s="380"/>
      <c r="C33" s="382"/>
      <c r="D33" s="382"/>
      <c r="E33" s="382"/>
      <c r="F33" s="383"/>
      <c r="G33" s="383"/>
      <c r="H33" s="333"/>
      <c r="I33" s="334"/>
      <c r="J33" s="334"/>
      <c r="K33" s="334"/>
      <c r="L33" s="334"/>
      <c r="M33" s="334"/>
      <c r="N33" s="334"/>
      <c r="O33" s="333"/>
      <c r="P33" s="335"/>
      <c r="Q33" s="335"/>
    </row>
    <row r="34" spans="1:17" s="252" customFormat="1" ht="19.95" customHeight="1">
      <c r="A34" s="379"/>
      <c r="B34" s="380"/>
      <c r="C34" s="382"/>
      <c r="D34" s="382"/>
      <c r="E34" s="382"/>
      <c r="F34" s="383"/>
      <c r="G34" s="383"/>
      <c r="H34" s="333"/>
      <c r="I34" s="334"/>
      <c r="J34" s="334"/>
      <c r="K34" s="334"/>
      <c r="L34" s="334"/>
      <c r="M34" s="334"/>
      <c r="N34" s="334"/>
      <c r="O34" s="333"/>
      <c r="P34" s="335"/>
      <c r="Q34" s="335"/>
    </row>
    <row r="35" spans="1:17" s="252" customFormat="1" ht="19.95" customHeight="1">
      <c r="A35" s="379"/>
      <c r="B35" s="380"/>
      <c r="C35" s="382"/>
      <c r="D35" s="382"/>
      <c r="E35" s="382"/>
      <c r="F35" s="383"/>
      <c r="G35" s="383"/>
      <c r="H35" s="333"/>
      <c r="I35" s="334"/>
      <c r="J35" s="334"/>
      <c r="K35" s="334"/>
      <c r="L35" s="334"/>
      <c r="M35" s="334"/>
      <c r="N35" s="334"/>
      <c r="O35" s="333"/>
      <c r="P35" s="335"/>
      <c r="Q35" s="335"/>
    </row>
    <row r="36" spans="1:17" s="252" customFormat="1" ht="19.95" customHeight="1">
      <c r="A36" s="379"/>
      <c r="B36" s="380"/>
      <c r="C36" s="382"/>
      <c r="D36" s="382"/>
      <c r="E36" s="382"/>
      <c r="F36" s="383"/>
      <c r="G36" s="383"/>
      <c r="H36" s="333"/>
      <c r="I36" s="334"/>
      <c r="J36" s="334"/>
      <c r="K36" s="334"/>
      <c r="L36" s="334"/>
      <c r="M36" s="334"/>
      <c r="N36" s="334"/>
      <c r="O36" s="333"/>
      <c r="P36" s="335"/>
      <c r="Q36" s="335"/>
    </row>
    <row r="37" spans="1:17" s="252" customFormat="1" ht="19.95" customHeight="1">
      <c r="A37" s="372" t="s">
        <v>482</v>
      </c>
      <c r="B37" s="375"/>
      <c r="C37" s="376"/>
      <c r="D37" s="376"/>
      <c r="E37" s="376"/>
      <c r="F37" s="377">
        <f>SUM(F32:F36)</f>
        <v>0</v>
      </c>
      <c r="G37" s="377">
        <f>SUM(G32:G36)</f>
        <v>0</v>
      </c>
      <c r="H37" s="338"/>
      <c r="I37" s="338"/>
      <c r="J37" s="338"/>
      <c r="K37" s="339"/>
      <c r="L37" s="338"/>
      <c r="M37" s="338"/>
      <c r="N37" s="338"/>
      <c r="O37" s="339"/>
      <c r="P37" s="338"/>
      <c r="Q37" s="338"/>
    </row>
    <row r="38" spans="1:17" ht="19.95" customHeight="1">
      <c r="A38" s="80" t="s">
        <v>126</v>
      </c>
      <c r="H38" s="70"/>
      <c r="I38" s="72"/>
      <c r="J38" s="72"/>
      <c r="K38" s="72"/>
      <c r="L38" s="72"/>
      <c r="M38" s="72"/>
      <c r="N38" s="72"/>
      <c r="O38" s="32"/>
    </row>
    <row r="39" spans="1:17" ht="19.95" customHeight="1">
      <c r="A39" s="70"/>
      <c r="B39" s="70"/>
      <c r="C39" s="70"/>
      <c r="D39" s="70"/>
      <c r="E39" s="70"/>
      <c r="F39" s="70"/>
      <c r="G39" s="70"/>
      <c r="H39" s="259"/>
      <c r="I39" s="260"/>
      <c r="J39" s="259"/>
      <c r="K39" s="261"/>
      <c r="L39" s="259"/>
      <c r="M39" s="84"/>
      <c r="N39" s="84"/>
      <c r="O39" s="84"/>
    </row>
    <row r="40" spans="1:17" ht="19.95" customHeight="1">
      <c r="A40" s="70" t="s">
        <v>127</v>
      </c>
      <c r="I40" s="32"/>
      <c r="J40" s="32"/>
      <c r="K40" s="32"/>
      <c r="L40" s="32"/>
      <c r="M40" s="32"/>
      <c r="N40" s="32"/>
      <c r="O40" s="32"/>
    </row>
    <row r="41" spans="1:17" ht="19.95" customHeight="1">
      <c r="I41" s="32"/>
      <c r="J41" s="32"/>
      <c r="K41" s="32"/>
      <c r="L41" s="32"/>
      <c r="M41" s="32"/>
      <c r="N41" s="32"/>
      <c r="O41" s="32"/>
    </row>
    <row r="42" spans="1:17" ht="24.75" customHeight="1">
      <c r="A42" s="32"/>
      <c r="B42" s="32"/>
      <c r="C42" s="32"/>
      <c r="D42" s="32"/>
      <c r="E42" s="32"/>
      <c r="F42" s="32"/>
      <c r="G42" s="32"/>
      <c r="H42" s="32"/>
      <c r="I42" s="32"/>
      <c r="J42" s="32"/>
      <c r="K42" s="32"/>
      <c r="L42" s="32"/>
      <c r="M42" s="32"/>
      <c r="N42" s="32"/>
      <c r="O42" s="32"/>
    </row>
    <row r="43" spans="1:17" ht="24.75" customHeight="1">
      <c r="A43" s="32"/>
      <c r="B43" s="32"/>
      <c r="C43" s="32"/>
      <c r="D43" s="32"/>
      <c r="E43" s="32"/>
      <c r="F43" s="32"/>
      <c r="G43" s="32"/>
      <c r="H43" s="32"/>
      <c r="I43" s="32"/>
      <c r="J43" s="32"/>
      <c r="K43" s="32"/>
      <c r="L43" s="32"/>
      <c r="M43" s="32"/>
      <c r="N43" s="32"/>
      <c r="O43" s="32"/>
    </row>
    <row r="44" spans="1:17" ht="18" customHeight="1">
      <c r="A44" s="85" t="s">
        <v>128</v>
      </c>
      <c r="C44" s="32"/>
      <c r="D44" s="32"/>
      <c r="E44" s="32"/>
      <c r="F44" s="32"/>
      <c r="G44" s="32"/>
      <c r="H44" s="32"/>
      <c r="I44" s="32"/>
      <c r="J44" s="32"/>
      <c r="K44" s="32"/>
      <c r="L44" s="32"/>
      <c r="M44" s="32"/>
      <c r="N44" s="32"/>
      <c r="O44" s="32"/>
    </row>
    <row r="45" spans="1:17" ht="18" customHeight="1">
      <c r="A45" s="34" t="s">
        <v>4</v>
      </c>
      <c r="B45" s="34"/>
      <c r="C45" s="32"/>
      <c r="D45" s="32"/>
      <c r="E45" s="32"/>
      <c r="F45" s="32"/>
      <c r="G45" s="32"/>
      <c r="H45" s="32"/>
      <c r="I45" s="32"/>
      <c r="J45" s="32"/>
      <c r="K45" s="32"/>
      <c r="L45" s="32"/>
      <c r="M45" s="32"/>
      <c r="N45" s="32"/>
      <c r="O45" s="32"/>
    </row>
    <row r="46" spans="1:17" ht="18" customHeight="1">
      <c r="A46" s="33" t="s">
        <v>3</v>
      </c>
      <c r="B46" s="33"/>
      <c r="C46" s="32"/>
      <c r="D46" s="32"/>
      <c r="E46" s="32"/>
      <c r="F46" s="32"/>
      <c r="G46" s="32"/>
      <c r="H46" s="32"/>
      <c r="I46" s="32"/>
      <c r="J46" s="32"/>
      <c r="K46" s="32"/>
      <c r="L46" s="32"/>
      <c r="M46" s="32"/>
      <c r="N46" s="32"/>
      <c r="O46" s="32"/>
    </row>
    <row r="47" spans="1:17" ht="18" customHeight="1">
      <c r="A47" s="86" t="s">
        <v>129</v>
      </c>
      <c r="B47" s="33"/>
      <c r="C47" s="32"/>
      <c r="D47" s="32"/>
      <c r="E47" s="32"/>
      <c r="F47" s="32"/>
      <c r="G47" s="32"/>
      <c r="H47" s="32"/>
      <c r="I47" s="32"/>
      <c r="J47" s="32"/>
      <c r="K47" s="32"/>
      <c r="L47" s="32"/>
      <c r="M47" s="32"/>
      <c r="N47" s="32"/>
      <c r="O47" s="32"/>
    </row>
    <row r="48" spans="1:17" ht="18" customHeight="1">
      <c r="A48" s="35" t="s">
        <v>117</v>
      </c>
      <c r="B48" s="33" t="s">
        <v>130</v>
      </c>
    </row>
    <row r="49" spans="1:3" ht="18" customHeight="1">
      <c r="A49" s="35" t="s">
        <v>119</v>
      </c>
      <c r="B49" s="33" t="s">
        <v>131</v>
      </c>
    </row>
    <row r="50" spans="1:3" ht="18" customHeight="1">
      <c r="A50" s="35" t="s">
        <v>121</v>
      </c>
      <c r="B50" s="33" t="s">
        <v>132</v>
      </c>
    </row>
    <row r="51" spans="1:3" ht="15.75" customHeight="1"/>
    <row r="52" spans="1:3">
      <c r="A52" s="34" t="s">
        <v>133</v>
      </c>
    </row>
    <row r="53" spans="1:3" s="34" customFormat="1">
      <c r="A53" s="87" t="s">
        <v>134</v>
      </c>
      <c r="B53" s="34" t="s">
        <v>135</v>
      </c>
    </row>
    <row r="54" spans="1:3" s="34" customFormat="1">
      <c r="A54" s="87"/>
      <c r="B54" s="34" t="s">
        <v>136</v>
      </c>
    </row>
    <row r="55" spans="1:3" s="34" customFormat="1">
      <c r="A55" s="87"/>
      <c r="B55" s="34" t="s">
        <v>137</v>
      </c>
    </row>
    <row r="56" spans="1:3" s="34" customFormat="1">
      <c r="A56" s="87"/>
      <c r="B56" s="34" t="s">
        <v>138</v>
      </c>
    </row>
    <row r="57" spans="1:3" s="34" customFormat="1">
      <c r="A57" s="87"/>
    </row>
    <row r="58" spans="1:3" s="34" customFormat="1">
      <c r="A58" s="87"/>
      <c r="B58" s="88" t="s">
        <v>139</v>
      </c>
      <c r="C58" s="89"/>
    </row>
    <row r="59" spans="1:3" s="34" customFormat="1">
      <c r="A59" s="87"/>
      <c r="B59" s="89" t="s">
        <v>140</v>
      </c>
      <c r="C59" s="89"/>
    </row>
    <row r="60" spans="1:3" s="34" customFormat="1">
      <c r="A60" s="87"/>
      <c r="B60" s="89" t="s">
        <v>141</v>
      </c>
      <c r="C60" s="89"/>
    </row>
    <row r="61" spans="1:3" s="34" customFormat="1">
      <c r="A61" s="90"/>
      <c r="B61" s="89" t="s">
        <v>142</v>
      </c>
      <c r="C61" s="44"/>
    </row>
    <row r="62" spans="1:3" s="34" customFormat="1">
      <c r="B62" s="89" t="s">
        <v>143</v>
      </c>
      <c r="C62" s="44"/>
    </row>
    <row r="63" spans="1:3" s="34" customFormat="1"/>
    <row r="64" spans="1:3">
      <c r="A64" s="87" t="s">
        <v>144</v>
      </c>
      <c r="B64" s="34" t="s">
        <v>145</v>
      </c>
    </row>
    <row r="65" spans="1:3">
      <c r="B65" s="34" t="s">
        <v>146</v>
      </c>
    </row>
    <row r="66" spans="1:3">
      <c r="B66" s="34" t="s">
        <v>147</v>
      </c>
    </row>
    <row r="67" spans="1:3">
      <c r="B67" s="34" t="s">
        <v>148</v>
      </c>
    </row>
    <row r="68" spans="1:3">
      <c r="B68" s="34" t="s">
        <v>149</v>
      </c>
    </row>
    <row r="69" spans="1:3">
      <c r="B69" s="34" t="s">
        <v>150</v>
      </c>
    </row>
    <row r="70" spans="1:3">
      <c r="B70" s="34" t="s">
        <v>151</v>
      </c>
    </row>
    <row r="72" spans="1:3">
      <c r="B72" s="91" t="s">
        <v>152</v>
      </c>
    </row>
    <row r="73" spans="1:3">
      <c r="B73" s="34" t="s">
        <v>153</v>
      </c>
    </row>
    <row r="74" spans="1:3">
      <c r="B74" s="34" t="s">
        <v>154</v>
      </c>
    </row>
    <row r="76" spans="1:3">
      <c r="A76" s="87" t="s">
        <v>155</v>
      </c>
      <c r="B76" s="34" t="s">
        <v>156</v>
      </c>
      <c r="C76" s="34"/>
    </row>
    <row r="77" spans="1:3">
      <c r="B77" s="34" t="s">
        <v>157</v>
      </c>
      <c r="C77" s="34"/>
    </row>
    <row r="78" spans="1:3">
      <c r="B78" s="34" t="s">
        <v>158</v>
      </c>
      <c r="C78" s="34"/>
    </row>
    <row r="79" spans="1:3">
      <c r="B79" s="34" t="s">
        <v>159</v>
      </c>
      <c r="C79" s="34"/>
    </row>
    <row r="80" spans="1:3">
      <c r="B80" s="34" t="s">
        <v>160</v>
      </c>
      <c r="C80" s="34"/>
    </row>
    <row r="81" spans="2:3">
      <c r="B81" s="34"/>
      <c r="C81" s="34"/>
    </row>
    <row r="82" spans="2:3">
      <c r="B82" s="34" t="s">
        <v>161</v>
      </c>
    </row>
    <row r="83" spans="2:3">
      <c r="B83" s="34" t="s">
        <v>162</v>
      </c>
    </row>
    <row r="84" spans="2:3">
      <c r="B84" s="34"/>
    </row>
    <row r="85" spans="2:3">
      <c r="B85" s="91" t="s">
        <v>163</v>
      </c>
      <c r="C85" s="34"/>
    </row>
    <row r="86" spans="2:3">
      <c r="B86" s="34" t="s">
        <v>164</v>
      </c>
      <c r="C86" s="34"/>
    </row>
    <row r="87" spans="2:3">
      <c r="B87" s="34"/>
      <c r="C87" s="34"/>
    </row>
    <row r="88" spans="2:3">
      <c r="B88" s="34" t="s">
        <v>165</v>
      </c>
      <c r="C88" s="34"/>
    </row>
    <row r="89" spans="2:3">
      <c r="B89" s="34" t="s">
        <v>166</v>
      </c>
      <c r="C89" s="34"/>
    </row>
    <row r="90" spans="2:3">
      <c r="B90" s="34"/>
      <c r="C90" s="34"/>
    </row>
    <row r="91" spans="2:3">
      <c r="B91" s="34" t="s">
        <v>167</v>
      </c>
      <c r="C91" s="34"/>
    </row>
    <row r="92" spans="2:3">
      <c r="B92" s="34" t="s">
        <v>168</v>
      </c>
      <c r="C92" s="34"/>
    </row>
    <row r="93" spans="2:3">
      <c r="B93" s="34" t="s">
        <v>169</v>
      </c>
      <c r="C93" s="34"/>
    </row>
    <row r="94" spans="2:3">
      <c r="B94" s="34"/>
      <c r="C94" s="34"/>
    </row>
    <row r="95" spans="2:3">
      <c r="B95" s="91" t="s">
        <v>170</v>
      </c>
      <c r="C95" s="34"/>
    </row>
    <row r="96" spans="2:3" ht="25.8">
      <c r="B96" s="92" t="s">
        <v>171</v>
      </c>
      <c r="C96" s="92" t="s">
        <v>172</v>
      </c>
    </row>
    <row r="97" spans="2:3">
      <c r="B97" s="93">
        <v>1</v>
      </c>
      <c r="C97" s="93">
        <v>1.9</v>
      </c>
    </row>
    <row r="98" spans="2:3">
      <c r="B98" s="93">
        <v>5</v>
      </c>
      <c r="C98" s="93">
        <v>1.6</v>
      </c>
    </row>
    <row r="99" spans="2:3">
      <c r="B99" s="93">
        <v>10</v>
      </c>
      <c r="C99" s="93">
        <v>1.5</v>
      </c>
    </row>
  </sheetData>
  <mergeCells count="17">
    <mergeCell ref="A26:D26"/>
    <mergeCell ref="A27:D27"/>
    <mergeCell ref="A28:D28"/>
    <mergeCell ref="P15:P16"/>
    <mergeCell ref="A8:K8"/>
    <mergeCell ref="H15:H16"/>
    <mergeCell ref="O15:O16"/>
    <mergeCell ref="H30:H31"/>
    <mergeCell ref="O30:O31"/>
    <mergeCell ref="Q30:Q31"/>
    <mergeCell ref="P30:P31"/>
    <mergeCell ref="I30:N30"/>
    <mergeCell ref="I15:N15"/>
    <mergeCell ref="A1:Q1"/>
    <mergeCell ref="A2:Q2"/>
    <mergeCell ref="Q15:Q16"/>
    <mergeCell ref="A15:G15"/>
  </mergeCells>
  <phoneticPr fontId="4" type="noConversion"/>
  <dataValidations count="1">
    <dataValidation type="list" allowBlank="1" showInputMessage="1" showErrorMessage="1" sqref="I17:N25 I32:N36">
      <formula1>"√,X"</formula1>
    </dataValidation>
  </dataValidations>
  <hyperlinks>
    <hyperlink ref="Q3" location="底稿目录!F12" display="底稿目录!F12"/>
  </hyperlinks>
  <printOptions horizontalCentered="1"/>
  <pageMargins left="0.70866141732283472" right="0.70866141732283472" top="0.74803149606299213" bottom="0.74803149606299213" header="0.31496062992125984" footer="0.31496062992125984"/>
  <pageSetup paperSize="9" scale="69" fitToHeight="0"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J78"/>
  <sheetViews>
    <sheetView view="pageBreakPreview" zoomScaleSheetLayoutView="100" workbookViewId="0">
      <selection activeCell="H3" sqref="H3"/>
    </sheetView>
  </sheetViews>
  <sheetFormatPr defaultColWidth="9" defaultRowHeight="13.8"/>
  <cols>
    <col min="1" max="1" width="5.88671875" style="111" customWidth="1"/>
    <col min="2" max="2" width="5.33203125" style="111" customWidth="1"/>
    <col min="3" max="3" width="33.88671875" style="111" customWidth="1"/>
    <col min="4" max="4" width="19.33203125" style="111" customWidth="1"/>
    <col min="5" max="5" width="13.88671875" style="111" customWidth="1"/>
    <col min="6" max="6" width="14.44140625" style="111" customWidth="1"/>
    <col min="7" max="7" width="10.5546875" style="111" customWidth="1"/>
    <col min="8" max="8" width="11.5546875" style="111" customWidth="1"/>
    <col min="9" max="16384" width="9" style="111"/>
  </cols>
  <sheetData>
    <row r="1" spans="1:10" s="235" customFormat="1" ht="19.95" customHeight="1">
      <c r="A1" s="447" t="s">
        <v>0</v>
      </c>
      <c r="B1" s="447"/>
      <c r="C1" s="447"/>
      <c r="D1" s="447"/>
      <c r="E1" s="447"/>
      <c r="F1" s="447"/>
      <c r="G1" s="447"/>
      <c r="H1" s="447"/>
      <c r="I1" s="234"/>
      <c r="J1" s="234"/>
    </row>
    <row r="2" spans="1:10" s="240" customFormat="1" ht="19.95" customHeight="1">
      <c r="A2" s="445" t="s">
        <v>373</v>
      </c>
      <c r="B2" s="445"/>
      <c r="C2" s="445"/>
      <c r="D2" s="445"/>
      <c r="E2" s="445"/>
      <c r="F2" s="445"/>
      <c r="G2" s="445"/>
      <c r="H2" s="445"/>
      <c r="I2" s="239"/>
      <c r="J2" s="239"/>
    </row>
    <row r="3" spans="1:10" s="265" customFormat="1" ht="19.95" customHeight="1">
      <c r="A3" s="265" t="str">
        <f>底稿目录!A2</f>
        <v>被审计单位：</v>
      </c>
      <c r="B3" s="266"/>
      <c r="D3" s="266" t="str">
        <f>底稿目录!A4</f>
        <v>编制人：</v>
      </c>
      <c r="F3" s="266" t="str">
        <f>底稿目录!A5</f>
        <v>编制日期：</v>
      </c>
      <c r="G3" s="265" t="s">
        <v>363</v>
      </c>
      <c r="H3" s="362" t="str">
        <f>底稿目录!F22</f>
        <v>G10-8</v>
      </c>
    </row>
    <row r="4" spans="1:10" s="265" customFormat="1" ht="19.95" customHeight="1">
      <c r="A4" s="265" t="str">
        <f>底稿目录!A3</f>
        <v>截止日：202X年12月31日</v>
      </c>
      <c r="B4" s="266"/>
      <c r="D4" s="266" t="str">
        <f>底稿目录!A6</f>
        <v>复核人：</v>
      </c>
      <c r="F4" s="266" t="str">
        <f>底稿目录!A7</f>
        <v>复核日期：</v>
      </c>
      <c r="G4" s="265" t="s">
        <v>228</v>
      </c>
    </row>
    <row r="5" spans="1:10" s="5" customFormat="1" ht="19.95" customHeight="1">
      <c r="A5" s="3" t="s">
        <v>229</v>
      </c>
      <c r="C5" s="4" t="s">
        <v>230</v>
      </c>
      <c r="F5" s="100"/>
      <c r="G5" s="100"/>
    </row>
    <row r="6" spans="1:10" s="5" customFormat="1" ht="19.95" customHeight="1">
      <c r="A6" s="3" t="s">
        <v>231</v>
      </c>
      <c r="F6" s="100"/>
      <c r="G6" s="100"/>
    </row>
    <row r="7" spans="1:10" s="108" customFormat="1" ht="19.95" customHeight="1">
      <c r="A7" s="108">
        <v>1</v>
      </c>
      <c r="B7" s="101" t="s">
        <v>174</v>
      </c>
    </row>
    <row r="8" spans="1:10" s="108" customFormat="1" ht="19.95" customHeight="1">
      <c r="A8" s="107"/>
      <c r="C8" s="108" t="s">
        <v>34</v>
      </c>
    </row>
    <row r="9" spans="1:10" s="108" customFormat="1" ht="19.95" customHeight="1">
      <c r="A9" s="109" t="s">
        <v>5</v>
      </c>
      <c r="B9" s="108" t="s">
        <v>232</v>
      </c>
    </row>
    <row r="10" spans="1:10" s="108" customFormat="1" ht="26.7" customHeight="1">
      <c r="A10" s="109" t="s">
        <v>6</v>
      </c>
      <c r="B10" s="495" t="s">
        <v>175</v>
      </c>
      <c r="C10" s="495"/>
      <c r="D10" s="495"/>
      <c r="E10" s="494"/>
      <c r="F10" s="110" t="s">
        <v>35</v>
      </c>
    </row>
    <row r="11" spans="1:10" ht="19.95" customHeight="1">
      <c r="B11" s="496" t="s">
        <v>36</v>
      </c>
      <c r="C11" s="496"/>
      <c r="D11" s="496"/>
    </row>
    <row r="12" spans="1:10" ht="19.95" customHeight="1">
      <c r="C12" s="500" t="s">
        <v>37</v>
      </c>
      <c r="D12" s="500"/>
      <c r="F12" s="112"/>
      <c r="G12" s="111" t="s">
        <v>38</v>
      </c>
    </row>
    <row r="13" spans="1:10" ht="19.95" customHeight="1">
      <c r="C13" s="500" t="s">
        <v>39</v>
      </c>
      <c r="D13" s="500"/>
      <c r="F13" s="113"/>
      <c r="G13" s="111" t="s">
        <v>38</v>
      </c>
    </row>
    <row r="14" spans="1:10" ht="19.95" customHeight="1">
      <c r="C14" s="500" t="s">
        <v>40</v>
      </c>
      <c r="D14" s="500"/>
      <c r="F14" s="113"/>
      <c r="G14" s="111" t="s">
        <v>38</v>
      </c>
    </row>
    <row r="15" spans="1:10" ht="19.95" customHeight="1">
      <c r="C15" s="500" t="s">
        <v>41</v>
      </c>
      <c r="D15" s="500"/>
      <c r="F15" s="113"/>
      <c r="G15" s="111" t="s">
        <v>38</v>
      </c>
    </row>
    <row r="16" spans="1:10" ht="19.95" customHeight="1">
      <c r="C16" s="500" t="s">
        <v>42</v>
      </c>
      <c r="D16" s="500"/>
      <c r="F16" s="113"/>
      <c r="G16" s="111" t="s">
        <v>38</v>
      </c>
    </row>
    <row r="17" spans="1:8" ht="19.95" customHeight="1">
      <c r="C17" s="500" t="s">
        <v>43</v>
      </c>
      <c r="D17" s="500"/>
      <c r="F17" s="113"/>
      <c r="G17" s="111" t="s">
        <v>38</v>
      </c>
    </row>
    <row r="18" spans="1:8" ht="19.95" customHeight="1">
      <c r="C18" s="500" t="s">
        <v>44</v>
      </c>
      <c r="D18" s="500"/>
      <c r="F18" s="113"/>
      <c r="G18" s="111" t="s">
        <v>38</v>
      </c>
    </row>
    <row r="19" spans="1:8" ht="19.95" customHeight="1">
      <c r="C19" s="500" t="s">
        <v>45</v>
      </c>
      <c r="D19" s="500"/>
      <c r="F19" s="113"/>
      <c r="G19" s="111" t="s">
        <v>38</v>
      </c>
    </row>
    <row r="20" spans="1:8" ht="19.95" customHeight="1">
      <c r="C20" s="118" t="s">
        <v>233</v>
      </c>
      <c r="D20" s="115"/>
    </row>
    <row r="21" spans="1:8" ht="19.95" customHeight="1">
      <c r="A21" s="109" t="s">
        <v>7</v>
      </c>
      <c r="B21" s="108" t="s">
        <v>46</v>
      </c>
      <c r="C21" s="114"/>
      <c r="D21" s="114"/>
    </row>
    <row r="22" spans="1:8" ht="19.95" customHeight="1">
      <c r="C22" s="496" t="s">
        <v>234</v>
      </c>
      <c r="D22" s="496"/>
      <c r="E22" s="496"/>
      <c r="F22" s="496"/>
    </row>
    <row r="23" spans="1:8" ht="19.95" customHeight="1">
      <c r="C23" s="111" t="s">
        <v>47</v>
      </c>
      <c r="F23" s="112"/>
      <c r="G23" s="111" t="s">
        <v>38</v>
      </c>
    </row>
    <row r="24" spans="1:8" ht="19.95" customHeight="1">
      <c r="C24" s="111" t="s">
        <v>48</v>
      </c>
      <c r="F24" s="113"/>
      <c r="G24" s="111" t="s">
        <v>38</v>
      </c>
    </row>
    <row r="25" spans="1:8" ht="27" customHeight="1">
      <c r="C25" s="493" t="s">
        <v>235</v>
      </c>
      <c r="D25" s="493"/>
      <c r="E25" s="493"/>
      <c r="F25" s="493"/>
      <c r="G25" s="494"/>
      <c r="H25" s="494"/>
    </row>
    <row r="26" spans="1:8" ht="19.95" customHeight="1">
      <c r="C26" s="500" t="s">
        <v>49</v>
      </c>
      <c r="D26" s="500"/>
    </row>
    <row r="27" spans="1:8" ht="19.95" customHeight="1">
      <c r="C27" s="500" t="s">
        <v>50</v>
      </c>
      <c r="D27" s="500"/>
      <c r="F27" s="112"/>
      <c r="G27" s="111" t="s">
        <v>51</v>
      </c>
    </row>
    <row r="28" spans="1:8" ht="19.95" customHeight="1">
      <c r="C28" s="500" t="s">
        <v>52</v>
      </c>
      <c r="D28" s="500"/>
      <c r="F28" s="113"/>
      <c r="G28" s="111" t="s">
        <v>51</v>
      </c>
    </row>
    <row r="29" spans="1:8" ht="19.95" customHeight="1">
      <c r="C29" s="500" t="s">
        <v>53</v>
      </c>
      <c r="D29" s="500"/>
      <c r="F29" s="113"/>
      <c r="G29" s="111" t="s">
        <v>51</v>
      </c>
    </row>
    <row r="30" spans="1:8" ht="19.95" customHeight="1">
      <c r="A30" s="109" t="s">
        <v>236</v>
      </c>
      <c r="B30" s="108" t="s">
        <v>237</v>
      </c>
    </row>
    <row r="31" spans="1:8" ht="27" customHeight="1">
      <c r="C31" s="496" t="s">
        <v>238</v>
      </c>
      <c r="D31" s="496"/>
      <c r="E31" s="496"/>
      <c r="F31" s="496"/>
    </row>
    <row r="32" spans="1:8" ht="26.7" customHeight="1">
      <c r="C32" s="496" t="s">
        <v>239</v>
      </c>
      <c r="D32" s="496"/>
      <c r="G32" s="111" t="s">
        <v>240</v>
      </c>
    </row>
    <row r="33" spans="3:6" ht="19.95" customHeight="1">
      <c r="C33" s="493" t="s">
        <v>241</v>
      </c>
      <c r="D33" s="493"/>
      <c r="E33" s="118"/>
    </row>
    <row r="34" spans="3:6" ht="19.95" customHeight="1">
      <c r="C34" s="493" t="s">
        <v>242</v>
      </c>
      <c r="D34" s="493"/>
      <c r="E34" s="493"/>
      <c r="F34" s="493"/>
    </row>
    <row r="35" spans="3:6" ht="19.95" customHeight="1">
      <c r="C35" s="493" t="s">
        <v>243</v>
      </c>
      <c r="D35" s="493"/>
      <c r="E35" s="493"/>
      <c r="F35" s="493"/>
    </row>
    <row r="36" spans="3:6" ht="19.95" customHeight="1">
      <c r="C36" s="493" t="s">
        <v>244</v>
      </c>
      <c r="D36" s="493"/>
      <c r="E36" s="493"/>
      <c r="F36" s="493"/>
    </row>
    <row r="37" spans="3:6" ht="19.95" customHeight="1">
      <c r="C37" s="493" t="s">
        <v>245</v>
      </c>
      <c r="D37" s="493"/>
      <c r="E37" s="493"/>
      <c r="F37" s="493"/>
    </row>
    <row r="38" spans="3:6" ht="19.95" customHeight="1">
      <c r="C38" s="493" t="s">
        <v>246</v>
      </c>
      <c r="D38" s="493"/>
      <c r="E38" s="493"/>
      <c r="F38" s="493"/>
    </row>
    <row r="39" spans="3:6" ht="19.95" customHeight="1">
      <c r="C39" s="493" t="s">
        <v>247</v>
      </c>
      <c r="D39" s="493"/>
      <c r="E39" s="493"/>
      <c r="F39" s="493"/>
    </row>
    <row r="40" spans="3:6" ht="19.95" customHeight="1">
      <c r="C40" s="493" t="s">
        <v>248</v>
      </c>
      <c r="D40" s="493"/>
      <c r="E40" s="493"/>
      <c r="F40" s="493"/>
    </row>
    <row r="41" spans="3:6" ht="19.95" customHeight="1">
      <c r="C41" s="493" t="s">
        <v>249</v>
      </c>
      <c r="D41" s="493"/>
      <c r="E41" s="493"/>
      <c r="F41" s="493"/>
    </row>
    <row r="42" spans="3:6" ht="27.45" customHeight="1">
      <c r="C42" s="493" t="s">
        <v>250</v>
      </c>
      <c r="D42" s="493"/>
      <c r="E42" s="493"/>
      <c r="F42" s="493"/>
    </row>
    <row r="43" spans="3:6" ht="19.95" customHeight="1">
      <c r="C43" s="493" t="s">
        <v>251</v>
      </c>
      <c r="D43" s="493"/>
      <c r="E43" s="493"/>
      <c r="F43" s="493"/>
    </row>
    <row r="44" spans="3:6" ht="19.95" customHeight="1">
      <c r="C44" s="493" t="s">
        <v>252</v>
      </c>
      <c r="D44" s="493"/>
      <c r="E44" s="493"/>
      <c r="F44" s="493"/>
    </row>
    <row r="45" spans="3:6" ht="19.95" customHeight="1">
      <c r="C45" s="493" t="s">
        <v>253</v>
      </c>
      <c r="D45" s="493"/>
      <c r="E45" s="493"/>
      <c r="F45" s="493"/>
    </row>
    <row r="46" spans="3:6" ht="19.95" customHeight="1">
      <c r="C46" s="496" t="s">
        <v>254</v>
      </c>
      <c r="D46" s="496"/>
      <c r="E46" s="112"/>
      <c r="F46" s="111" t="s">
        <v>240</v>
      </c>
    </row>
    <row r="47" spans="3:6" ht="19.95" customHeight="1">
      <c r="C47" s="496" t="s">
        <v>255</v>
      </c>
      <c r="D47" s="496"/>
      <c r="E47" s="113"/>
      <c r="F47" s="111" t="s">
        <v>240</v>
      </c>
    </row>
    <row r="48" spans="3:6" ht="19.95" customHeight="1">
      <c r="C48" s="116" t="s">
        <v>256</v>
      </c>
      <c r="D48" s="116"/>
      <c r="E48" s="117"/>
    </row>
    <row r="49" spans="1:6" ht="19.95" customHeight="1">
      <c r="C49" s="117" t="s">
        <v>257</v>
      </c>
      <c r="D49" s="117"/>
      <c r="E49" s="498" t="s">
        <v>258</v>
      </c>
      <c r="F49" s="498"/>
    </row>
    <row r="50" spans="1:6" ht="19.95" customHeight="1">
      <c r="C50" s="117" t="s">
        <v>259</v>
      </c>
      <c r="D50" s="117"/>
      <c r="E50" s="499" t="s">
        <v>260</v>
      </c>
      <c r="F50" s="499"/>
    </row>
    <row r="51" spans="1:6" ht="19.95" customHeight="1">
      <c r="A51" s="109" t="s">
        <v>261</v>
      </c>
      <c r="B51" s="108" t="s">
        <v>262</v>
      </c>
    </row>
    <row r="52" spans="1:6" ht="19.95" customHeight="1">
      <c r="C52" s="496" t="s">
        <v>263</v>
      </c>
      <c r="D52" s="496"/>
      <c r="E52" s="496"/>
      <c r="F52" s="496"/>
    </row>
    <row r="53" spans="1:6" ht="19.95" customHeight="1">
      <c r="C53" s="497" t="s">
        <v>264</v>
      </c>
      <c r="D53" s="497"/>
    </row>
    <row r="54" spans="1:6" ht="25.95" customHeight="1">
      <c r="C54" s="496" t="s">
        <v>265</v>
      </c>
      <c r="D54" s="496"/>
      <c r="E54" s="112"/>
      <c r="F54" s="111" t="s">
        <v>240</v>
      </c>
    </row>
    <row r="55" spans="1:6" ht="19.95" customHeight="1">
      <c r="C55" s="116" t="s">
        <v>256</v>
      </c>
      <c r="D55" s="116"/>
      <c r="E55" s="117"/>
    </row>
    <row r="56" spans="1:6" ht="19.95" customHeight="1">
      <c r="C56" s="117" t="s">
        <v>266</v>
      </c>
      <c r="D56" s="117" t="s">
        <v>267</v>
      </c>
      <c r="F56" s="117"/>
    </row>
    <row r="57" spans="1:6" ht="19.95" customHeight="1">
      <c r="C57" s="117" t="s">
        <v>268</v>
      </c>
      <c r="D57" s="117" t="s">
        <v>269</v>
      </c>
      <c r="F57" s="117"/>
    </row>
    <row r="58" spans="1:6" ht="19.95" customHeight="1">
      <c r="C58" s="493" t="s">
        <v>270</v>
      </c>
      <c r="D58" s="493"/>
      <c r="E58" s="493"/>
      <c r="F58" s="493"/>
    </row>
    <row r="59" spans="1:6" ht="19.95" customHeight="1">
      <c r="A59" s="108" t="s">
        <v>54</v>
      </c>
      <c r="B59" s="108"/>
      <c r="D59" s="108"/>
      <c r="E59" s="108"/>
      <c r="F59" s="119"/>
    </row>
    <row r="60" spans="1:6" ht="19.95" customHeight="1">
      <c r="B60" s="118">
        <v>1</v>
      </c>
      <c r="C60" s="118" t="s">
        <v>55</v>
      </c>
      <c r="F60" s="119"/>
    </row>
    <row r="61" spans="1:6" ht="19.95" customHeight="1">
      <c r="B61" s="118">
        <v>2</v>
      </c>
      <c r="C61" s="118" t="s">
        <v>56</v>
      </c>
      <c r="F61" s="119"/>
    </row>
    <row r="62" spans="1:6" ht="19.95" customHeight="1">
      <c r="B62" s="118">
        <v>3</v>
      </c>
      <c r="C62" s="118" t="s">
        <v>271</v>
      </c>
      <c r="F62" s="119"/>
    </row>
    <row r="63" spans="1:6" ht="19.95" customHeight="1">
      <c r="B63" s="118">
        <v>4</v>
      </c>
      <c r="C63" s="118" t="s">
        <v>272</v>
      </c>
      <c r="F63" s="119"/>
    </row>
    <row r="64" spans="1:6" s="108" customFormat="1" ht="19.95" customHeight="1">
      <c r="A64" s="108">
        <v>2</v>
      </c>
      <c r="B64" s="101" t="s">
        <v>273</v>
      </c>
    </row>
    <row r="65" spans="1:8" ht="19.95" customHeight="1">
      <c r="A65" s="491" t="s">
        <v>274</v>
      </c>
      <c r="B65" s="491" t="s">
        <v>10</v>
      </c>
      <c r="C65" s="491" t="s">
        <v>11</v>
      </c>
      <c r="D65" s="491" t="s">
        <v>12</v>
      </c>
      <c r="E65" s="491" t="s">
        <v>13</v>
      </c>
      <c r="F65" s="491" t="s">
        <v>275</v>
      </c>
      <c r="G65" s="492"/>
      <c r="H65" s="491" t="s">
        <v>276</v>
      </c>
    </row>
    <row r="66" spans="1:8" ht="19.95" customHeight="1">
      <c r="A66" s="492"/>
      <c r="B66" s="492"/>
      <c r="C66" s="492"/>
      <c r="D66" s="492"/>
      <c r="E66" s="492"/>
      <c r="F66" s="105" t="s">
        <v>14</v>
      </c>
      <c r="G66" s="105" t="s">
        <v>15</v>
      </c>
      <c r="H66" s="492"/>
    </row>
    <row r="67" spans="1:8" ht="19.95" customHeight="1">
      <c r="A67" s="340"/>
      <c r="B67" s="341"/>
      <c r="C67" s="342"/>
      <c r="D67" s="342"/>
      <c r="E67" s="342"/>
      <c r="F67" s="106"/>
      <c r="G67" s="106"/>
      <c r="H67" s="342"/>
    </row>
    <row r="68" spans="1:8" ht="19.95" customHeight="1">
      <c r="A68" s="340"/>
      <c r="B68" s="341"/>
      <c r="C68" s="342"/>
      <c r="D68" s="342"/>
      <c r="E68" s="342"/>
      <c r="F68" s="106"/>
      <c r="G68" s="106"/>
      <c r="H68" s="342"/>
    </row>
    <row r="69" spans="1:8" ht="19.95" customHeight="1">
      <c r="A69" s="340"/>
      <c r="B69" s="341"/>
      <c r="C69" s="342"/>
      <c r="D69" s="342"/>
      <c r="E69" s="342"/>
      <c r="F69" s="106"/>
      <c r="G69" s="106"/>
      <c r="H69" s="342"/>
    </row>
    <row r="70" spans="1:8" ht="19.95" customHeight="1">
      <c r="A70" s="340"/>
      <c r="B70" s="341"/>
      <c r="C70" s="342"/>
      <c r="D70" s="342"/>
      <c r="E70" s="342"/>
      <c r="F70" s="106"/>
      <c r="G70" s="106"/>
      <c r="H70" s="342"/>
    </row>
    <row r="71" spans="1:8" ht="19.95" customHeight="1">
      <c r="A71" s="340"/>
      <c r="B71" s="341"/>
      <c r="C71" s="342"/>
      <c r="D71" s="342"/>
      <c r="E71" s="342"/>
      <c r="F71" s="106"/>
      <c r="G71" s="106"/>
      <c r="H71" s="342"/>
    </row>
    <row r="72" spans="1:8" ht="19.95" customHeight="1">
      <c r="A72" s="340"/>
      <c r="B72" s="341"/>
      <c r="C72" s="342"/>
      <c r="D72" s="342"/>
      <c r="E72" s="342"/>
      <c r="F72" s="106"/>
      <c r="G72" s="106"/>
      <c r="H72" s="342"/>
    </row>
    <row r="73" spans="1:8" ht="19.95" customHeight="1">
      <c r="A73" s="340"/>
      <c r="B73" s="341"/>
      <c r="C73" s="342"/>
      <c r="D73" s="342"/>
      <c r="E73" s="342"/>
      <c r="F73" s="106"/>
      <c r="G73" s="106"/>
      <c r="H73" s="342"/>
    </row>
    <row r="74" spans="1:8" ht="19.95" customHeight="1">
      <c r="A74" s="340"/>
      <c r="B74" s="341"/>
      <c r="C74" s="342"/>
      <c r="D74" s="342"/>
      <c r="E74" s="342"/>
      <c r="F74" s="106"/>
      <c r="G74" s="106"/>
      <c r="H74" s="342"/>
    </row>
    <row r="75" spans="1:8" ht="19.95" customHeight="1">
      <c r="A75" s="26">
        <v>3</v>
      </c>
      <c r="B75" s="24" t="s">
        <v>277</v>
      </c>
      <c r="C75" s="20"/>
      <c r="D75" s="20"/>
    </row>
    <row r="76" spans="1:8" ht="19.95" customHeight="1">
      <c r="B76" s="102" t="s">
        <v>278</v>
      </c>
      <c r="C76" s="120" t="s">
        <v>279</v>
      </c>
      <c r="D76" s="102" t="s">
        <v>280</v>
      </c>
    </row>
    <row r="77" spans="1:8" ht="19.95" customHeight="1">
      <c r="B77" s="103">
        <v>1</v>
      </c>
      <c r="C77" s="104" t="s">
        <v>281</v>
      </c>
      <c r="D77" s="103"/>
    </row>
    <row r="78" spans="1:8" ht="19.95" customHeight="1">
      <c r="B78" s="103">
        <v>2</v>
      </c>
      <c r="C78" s="104" t="s">
        <v>282</v>
      </c>
      <c r="D78" s="103"/>
    </row>
  </sheetData>
  <mergeCells count="48">
    <mergeCell ref="A1:H1"/>
    <mergeCell ref="A2:H2"/>
    <mergeCell ref="C22:F22"/>
    <mergeCell ref="B11:D11"/>
    <mergeCell ref="C12:D12"/>
    <mergeCell ref="C13:D13"/>
    <mergeCell ref="C14:D14"/>
    <mergeCell ref="C15:D15"/>
    <mergeCell ref="C16:D16"/>
    <mergeCell ref="C17:D17"/>
    <mergeCell ref="C18:D18"/>
    <mergeCell ref="C19:D19"/>
    <mergeCell ref="C26:D26"/>
    <mergeCell ref="C27:D27"/>
    <mergeCell ref="C28:D28"/>
    <mergeCell ref="C29:D29"/>
    <mergeCell ref="C31:F31"/>
    <mergeCell ref="C40:F40"/>
    <mergeCell ref="C41:F41"/>
    <mergeCell ref="C42:F42"/>
    <mergeCell ref="C43:F43"/>
    <mergeCell ref="C32:D32"/>
    <mergeCell ref="C33:D33"/>
    <mergeCell ref="C34:F34"/>
    <mergeCell ref="C35:F35"/>
    <mergeCell ref="C36:F36"/>
    <mergeCell ref="C37:F37"/>
    <mergeCell ref="A65:A66"/>
    <mergeCell ref="B65:B66"/>
    <mergeCell ref="C65:C66"/>
    <mergeCell ref="D65:D66"/>
    <mergeCell ref="E65:E66"/>
    <mergeCell ref="H65:H66"/>
    <mergeCell ref="C25:H25"/>
    <mergeCell ref="B10:E10"/>
    <mergeCell ref="C52:F52"/>
    <mergeCell ref="C53:D53"/>
    <mergeCell ref="C54:D54"/>
    <mergeCell ref="C58:F58"/>
    <mergeCell ref="F65:G65"/>
    <mergeCell ref="C44:F44"/>
    <mergeCell ref="C45:F45"/>
    <mergeCell ref="C46:D46"/>
    <mergeCell ref="C47:D47"/>
    <mergeCell ref="E49:F49"/>
    <mergeCell ref="E50:F50"/>
    <mergeCell ref="C38:F38"/>
    <mergeCell ref="C39:F39"/>
  </mergeCells>
  <phoneticPr fontId="4" type="noConversion"/>
  <hyperlinks>
    <hyperlink ref="H3" location="底稿目录!F13" display="底稿目录!F13"/>
  </hyperlinks>
  <printOptions horizontalCentered="1"/>
  <pageMargins left="0.70866141732283472" right="0.70866141732283472" top="0.74803149606299213" bottom="0.74803149606299213" header="0.31496062992125984" footer="0.31496062992125984"/>
  <pageSetup paperSize="9" scale="77" fitToHeight="0" orientation="portrait" blackAndWhite="1" r:id="rId1"/>
  <headerFooter>
    <oddFooter>&amp;C&amp;P/&amp;N</oddFooter>
  </headerFooter>
  <rowBreaks count="1" manualBreakCount="1">
    <brk id="3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13</vt:i4>
      </vt:variant>
    </vt:vector>
  </HeadingPairs>
  <TitlesOfParts>
    <vt:vector size="25" baseType="lpstr">
      <vt:lpstr>底稿目录</vt:lpstr>
      <vt:lpstr>交易性金融负债实质性程序表G10A</vt:lpstr>
      <vt:lpstr>审定表G10-1</vt:lpstr>
      <vt:lpstr>附注披露信息（上市公司）</vt:lpstr>
      <vt:lpstr>附注披露信息（国企）</vt:lpstr>
      <vt:lpstr>明细表G10-2</vt:lpstr>
      <vt:lpstr>调整分录汇总G10-3</vt:lpstr>
      <vt:lpstr>分类的适当性检查表G10-4</vt:lpstr>
      <vt:lpstr>公允价值测试表G10-5</vt:lpstr>
      <vt:lpstr>第三层次公允价值计量的调节表G10-6</vt:lpstr>
      <vt:lpstr>凭证检查表G10-7</vt:lpstr>
      <vt:lpstr>衍生金融工具核查表G10-8</vt:lpstr>
      <vt:lpstr>'第三层次公允价值计量的调节表G10-6'!Print_Area</vt:lpstr>
      <vt:lpstr>'调整分录汇总G10-3'!Print_Area</vt:lpstr>
      <vt:lpstr>'分类的适当性检查表G10-4'!Print_Area</vt:lpstr>
      <vt:lpstr>'附注披露信息（国企）'!Print_Area</vt:lpstr>
      <vt:lpstr>'附注披露信息（上市公司）'!Print_Area</vt:lpstr>
      <vt:lpstr>'公允价值测试表G10-5'!Print_Area</vt:lpstr>
      <vt:lpstr>交易性金融负债实质性程序表G10A!Print_Area</vt:lpstr>
      <vt:lpstr>'明细表G10-2'!Print_Area</vt:lpstr>
      <vt:lpstr>'凭证检查表G10-7'!Print_Area</vt:lpstr>
      <vt:lpstr>'审定表G10-1'!Print_Area</vt:lpstr>
      <vt:lpstr>'衍生金融工具核查表G10-8'!Print_Area</vt:lpstr>
      <vt:lpstr>交易性金融负债实质性程序表G10A!Print_Titles</vt:lpstr>
      <vt:lpstr>'审定表G10-1'!Print_Titles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2025-10-27T03:47:19Z</cp:lastPrinted>
  <dcterms:created xsi:type="dcterms:W3CDTF">2014-10-22T07:25:05Z</dcterms:created>
  <dcterms:modified xsi:type="dcterms:W3CDTF">2025-11-04T08:55:24Z</dcterms:modified>
</cp:coreProperties>
</file>