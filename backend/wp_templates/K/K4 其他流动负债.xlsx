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 yWindow="-120" windowWidth="29040" windowHeight="15528" tabRatio="927" firstSheet="0" activeTab="0" autoFilterDateGrouping="1"/>
  </bookViews>
  <sheets>
    <sheet xmlns:r="http://schemas.openxmlformats.org/officeDocument/2006/relationships" name="底稿目录" sheetId="1" state="visible" r:id="rId1"/>
    <sheet xmlns:r="http://schemas.openxmlformats.org/officeDocument/2006/relationships" name="实质性程序表 K4A" sheetId="2" state="visible" r:id="rId2"/>
    <sheet xmlns:r="http://schemas.openxmlformats.org/officeDocument/2006/relationships" name="审定表 K4-1" sheetId="3" state="visible" r:id="rId3"/>
    <sheet xmlns:r="http://schemas.openxmlformats.org/officeDocument/2006/relationships" name="附注披露信息（上市公司）" sheetId="4" state="visible" r:id="rId4"/>
    <sheet xmlns:r="http://schemas.openxmlformats.org/officeDocument/2006/relationships" name="附注披露信息（国企）" sheetId="5" state="visible" r:id="rId5"/>
    <sheet xmlns:r="http://schemas.openxmlformats.org/officeDocument/2006/relationships" name="明细表 K4-2" sheetId="6" state="visible" r:id="rId6"/>
    <sheet xmlns:r="http://schemas.openxmlformats.org/officeDocument/2006/relationships" name="调整分录汇总 K4-3" sheetId="7" state="visible" r:id="rId7"/>
    <sheet xmlns:r="http://schemas.openxmlformats.org/officeDocument/2006/relationships" name="其他流动负债检查表 K4-4" sheetId="8" state="visible" r:id="rId8"/>
  </sheets>
  <definedNames>
    <definedName name="aas" hidden="1">#REF!</definedName>
    <definedName name="abc" hidden="1">[1]Breakdown!#REF!</definedName>
    <definedName name="abcd" hidden="1">[1]Breakdown!#REF!</definedName>
    <definedName name="abcdefg" hidden="1">#REF!</definedName>
    <definedName name="AFV" hidden="1">#REF!</definedName>
    <definedName name="bs" hidden="1">{#N/A,#N/A,FALSE,"BBPREP"}</definedName>
    <definedName name="bs_1" hidden="1">{#N/A,#N/A,FALSE,"BBPREP"}</definedName>
    <definedName name="CCD" hidden="1">#REF!</definedName>
    <definedName name="CDE" hidden="1">#REF!</definedName>
    <definedName name="data" hidden="1">#REF!</definedName>
    <definedName name="DEX" hidden="1">#REF!</definedName>
    <definedName name="EDC" hidden="1">#REF!</definedName>
    <definedName name="FAD" hidden="1">[1]Breakdown!#REF!</definedName>
    <definedName name="FASD" hidden="1">#REF!</definedName>
    <definedName name="FEDC" hidden="1">'[2]2004'!#REF!</definedName>
    <definedName name="RDES" hidden="1">#REF!</definedName>
    <definedName name="TextRefCopyRangeCount" hidden="1">136</definedName>
    <definedName name="VFE" hidden="1">#REF!</definedName>
    <definedName name="wer" hidden="1">#REF!</definedName>
    <definedName name="XAP" hidden="1">#REF!</definedName>
    <definedName name="XAQ" hidden="1">#REF!</definedName>
    <definedName name="XCD" hidden="1">#REF!</definedName>
    <definedName name="XREF_COLUMN_1" hidden="1">#REF!</definedName>
    <definedName name="XREF_COLUMN_2" hidden="1">[1]Breakdown!#REF!</definedName>
    <definedName name="XREF_COLUMN_3" hidden="1">#REF!</definedName>
    <definedName name="XREF_COLUMN_5" hidden="1">'[2]2004'!#REF!</definedName>
    <definedName name="XRefActiveRow" hidden="1">#REF!</definedName>
    <definedName name="XRefColumnsCount" hidden="1">2</definedName>
    <definedName name="XRefCopy1" hidden="1">#REF!</definedName>
    <definedName name="XRefCopy1Row" hidden="1">#REF!</definedName>
    <definedName name="XRefCopy2Row" hidden="1">#REF!</definedName>
    <definedName name="XRefCopyRangeCount" hidden="1">2</definedName>
    <definedName name="XRefPaste1" hidden="1">#REF!</definedName>
    <definedName name="XRefPaste1Row" hidden="1">#REF!</definedName>
    <definedName name="XRefPaste2" hidden="1">#REF!</definedName>
    <definedName name="XRefPaste2Row" hidden="1">#REF!</definedName>
    <definedName name="XRefPaste3" hidden="1">#REF!</definedName>
    <definedName name="XRefPaste3Row" hidden="1">#REF!</definedName>
    <definedName name="XRefPasteRangeCount" hidden="1">2</definedName>
    <definedName name="本循环科目" hidden="1">[3]索引!$D$15:$D$76</definedName>
    <definedName name="底稿目录" hidden="1">#REF!</definedName>
    <definedName name="喂喂喂" hidden="1">#REF!</definedName>
    <definedName name="新目录" hidden="1">#REF!</definedName>
    <definedName name="_xlnm.Print_Titles" localSheetId="1">'实质性程序表 K4A'!$15:$15</definedName>
    <definedName name="_xlnm.Print_Area" localSheetId="1">'实质性程序表 K4A'!$A$1:$I$24</definedName>
    <definedName name="_xlnm.Print_Area" localSheetId="2">'审定表 K4-1'!$A$1:$L$21</definedName>
    <definedName name="_xlnm.Print_Area" localSheetId="3">'附注披露信息（上市公司）'!$A$1:$H$38</definedName>
    <definedName name="_xlnm.Print_Area" localSheetId="4">'附注披露信息（国企）'!$A$1:$E$15</definedName>
    <definedName name="_xlnm.Print_Area" localSheetId="5">'明细表 K4-2'!$A$1:$P$22</definedName>
    <definedName name="_xlnm.Print_Area" localSheetId="6">'调整分录汇总 K4-3'!$A$1:$J$20</definedName>
    <definedName name="_xlnm.Print_Area" localSheetId="7">'其他流动负债检查表 K4-4'!$A$1:$Q$37</definedName>
  </definedNames>
  <calcPr calcId="162913" fullCalcOnLoad="1"/>
</workbook>
</file>

<file path=xl/styles.xml><?xml version="1.0" encoding="utf-8"?>
<styleSheet xmlns="http://schemas.openxmlformats.org/spreadsheetml/2006/main">
  <numFmts count="19">
    <numFmt numFmtId="164" formatCode="_ * #,##0.00_ ;_ * \-#,##0.00_ ;_ * &quot;-&quot;??_ ;_ @_ "/>
    <numFmt numFmtId="165" formatCode="_([$€-2]* #,##0.00_);_([$€-2]* \(#,##0.00\);_([$€-2]* &quot;-&quot;??_)"/>
    <numFmt numFmtId="166" formatCode="_-#,##0_-;\(#,##0\);_-\ \ &quot;-&quot;_-;_-@_-"/>
    <numFmt numFmtId="167" formatCode="_-#,##0.00_-;\(#,##0.00\);_-\ \ &quot;-&quot;_-;_-@_-"/>
    <numFmt numFmtId="168" formatCode="mmm/dd/yyyy;_-\ &quot;N/A&quot;_-;_-\ &quot;-&quot;_-"/>
    <numFmt numFmtId="169" formatCode="mmm/yyyy;_-\ &quot;N/A&quot;_-;_-\ &quot;-&quot;_-"/>
    <numFmt numFmtId="170" formatCode="_-#,##0%_-;\(#,##0%\);_-\ &quot;-&quot;_-"/>
    <numFmt numFmtId="171" formatCode="_-#,###,_-;\(#,###,\);_-\ \ &quot;-&quot;_-;_-@_-"/>
    <numFmt numFmtId="172" formatCode="_-#,###.00,_-;\(#,###.00,\);_-\ \ &quot;-&quot;_-;_-@_-"/>
    <numFmt numFmtId="173" formatCode="_-#0&quot;.&quot;0,_-;\(#0&quot;.&quot;0,\);_-\ \ &quot;-&quot;_-;_-@_-"/>
    <numFmt numFmtId="174" formatCode="_-#0&quot;.&quot;0000_-;\(#0&quot;.&quot;0000\);_-\ \ &quot;-&quot;_-;_-@_-"/>
    <numFmt numFmtId="175" formatCode="&quot;$&quot;#,##0_);\(&quot;$&quot;#,##0\)"/>
    <numFmt numFmtId="176" formatCode="_-* #,##0_-;\-* #,##0_-;_-* &quot;-&quot;_-;_-@_-"/>
    <numFmt numFmtId="177" formatCode="_-* #,##0.00_-;\-* #,##0.00_-;_-* &quot;-&quot;??_-;_-@_-"/>
    <numFmt numFmtId="178" formatCode="_-&quot;$&quot;* #,##0_-;\-&quot;$&quot;* #,##0_-;_-&quot;$&quot;* &quot;-&quot;_-;_-@_-"/>
    <numFmt numFmtId="179" formatCode="_-&quot;$&quot;* #,##0.00_-;\-&quot;$&quot;* #,##0.00_-;_-&quot;$&quot;* &quot;-&quot;??_-;_-@_-"/>
    <numFmt numFmtId="180" formatCode="&quot;\&quot;#,##0;[Red]&quot;\&quot;&quot;\&quot;\-#,##0"/>
    <numFmt numFmtId="181" formatCode="&quot;\&quot;#,##0.00;[Red]&quot;\&quot;&quot;\&quot;\-#,##0.00"/>
    <numFmt numFmtId="182" formatCode="&quot;\&quot;#,##0;&quot;\&quot;&quot;\&quot;\-#,##0"/>
  </numFmts>
  <fonts count="85">
    <font>
      <name val="宋体"/>
      <charset val="134"/>
      <color theme="1"/>
      <sz val="10"/>
      <scheme val="minor"/>
    </font>
    <font>
      <name val="宋体"/>
      <charset val="134"/>
      <family val="2"/>
      <color theme="1"/>
      <sz val="11"/>
      <scheme val="minor"/>
    </font>
    <font>
      <name val="宋体"/>
      <family val="2"/>
      <color theme="1"/>
      <sz val="11"/>
      <scheme val="minor"/>
    </font>
    <font>
      <name val="宋体"/>
      <charset val="134"/>
      <family val="3"/>
      <sz val="12"/>
    </font>
    <font>
      <name val="宋体"/>
      <charset val="134"/>
      <family val="3"/>
      <b val="1"/>
      <sz val="10"/>
    </font>
    <font>
      <name val="宋体"/>
      <charset val="134"/>
      <family val="3"/>
      <sz val="9"/>
    </font>
    <font>
      <name val="Arial Narrow"/>
      <family val="2"/>
      <b val="1"/>
      <sz val="10"/>
    </font>
    <font>
      <name val="Arial Narrow"/>
      <family val="2"/>
      <sz val="12"/>
    </font>
    <font>
      <name val="宋体"/>
      <charset val="134"/>
      <family val="3"/>
      <b val="1"/>
      <sz val="12"/>
    </font>
    <font>
      <name val="Arial Narrow"/>
      <family val="2"/>
      <b val="1"/>
      <sz val="12"/>
    </font>
    <font>
      <name val="Arial Narrow"/>
      <family val="2"/>
      <sz val="10"/>
    </font>
    <font>
      <name val="宋体"/>
      <charset val="134"/>
      <family val="3"/>
      <sz val="10"/>
    </font>
    <font>
      <name val="Times New Roman"/>
      <family val="1"/>
      <sz val="10"/>
    </font>
    <font>
      <name val="宋体"/>
      <charset val="134"/>
      <family val="3"/>
      <color indexed="12"/>
      <sz val="12"/>
      <u val="single"/>
    </font>
    <font>
      <name val="Times New Roman"/>
      <family val="1"/>
      <sz val="12"/>
    </font>
    <font>
      <name val="Times New Roman"/>
      <family val="1"/>
      <sz val="10"/>
      <u val="singleAccounting"/>
      <vertAlign val="subscript"/>
    </font>
    <font>
      <name val="Times New Roman"/>
      <family val="1"/>
      <i val="1"/>
      <sz val="9"/>
    </font>
    <font>
      <name val="Helv"/>
      <family val="2"/>
      <sz val="7"/>
    </font>
    <font>
      <name val="MS Sans Serif"/>
      <family val="2"/>
      <b val="1"/>
      <sz val="10"/>
    </font>
    <font>
      <name val="Arial"/>
      <family val="2"/>
      <sz val="10"/>
    </font>
    <font>
      <name val="Arial"/>
      <family val="2"/>
      <color indexed="36"/>
      <sz val="7.5"/>
      <u val="single"/>
    </font>
    <font>
      <name val="Arial"/>
      <family val="2"/>
      <sz val="8"/>
    </font>
    <font>
      <name val="Arial"/>
      <family val="2"/>
      <color indexed="12"/>
      <sz val="7.5"/>
      <u val="single"/>
    </font>
    <font>
      <name val="Courier"/>
      <family val="3"/>
      <sz val="10"/>
    </font>
    <font>
      <name val="Garamond"/>
      <family val="1"/>
      <sz val="12"/>
    </font>
    <font>
      <name val="Helv"/>
      <family val="2"/>
      <color indexed="10"/>
      <sz val="7"/>
    </font>
    <font>
      <name val="楷体"/>
      <charset val="134"/>
      <family val="3"/>
      <sz val="12"/>
    </font>
    <font>
      <name val="楷体_GB2312"/>
      <charset val="134"/>
      <family val="3"/>
      <sz val="12"/>
    </font>
    <font>
      <name val="宋体"/>
      <charset val="134"/>
      <family val="3"/>
      <b val="1"/>
      <color indexed="8"/>
      <sz val="10"/>
    </font>
    <font>
      <name val="宋体"/>
      <charset val="134"/>
      <family val="3"/>
      <sz val="9"/>
    </font>
    <font>
      <name val="Arial Narrow"/>
      <family val="2"/>
      <color indexed="8"/>
      <sz val="10"/>
    </font>
    <font>
      <name val="Arial Narrow"/>
      <family val="2"/>
      <b val="1"/>
      <color indexed="8"/>
      <sz val="10"/>
    </font>
    <font>
      <name val="魏碑"/>
      <charset val="134"/>
      <family val="3"/>
      <color indexed="48"/>
      <sz val="18"/>
    </font>
    <font>
      <name val="Arial Narrow"/>
      <family val="2"/>
      <color indexed="12"/>
      <sz val="10"/>
    </font>
    <font>
      <name val="Arial Narrow"/>
      <family val="2"/>
      <b val="1"/>
      <color indexed="8"/>
      <sz val="12"/>
    </font>
    <font>
      <name val="宋体"/>
      <charset val="134"/>
      <family val="3"/>
      <b val="1"/>
      <color indexed="8"/>
      <sz val="12"/>
    </font>
    <font>
      <name val="宋体"/>
      <charset val="134"/>
      <family val="3"/>
      <color indexed="10"/>
      <sz val="10"/>
    </font>
    <font>
      <name val="Arial Narrow"/>
      <family val="2"/>
      <sz val="9"/>
    </font>
    <font>
      <name val="宋体"/>
      <charset val="134"/>
      <family val="3"/>
      <i val="1"/>
      <color indexed="12"/>
      <sz val="10"/>
      <u val="single"/>
    </font>
    <font>
      <name val="Arial Narrow"/>
      <family val="2"/>
      <sz val="10"/>
      <u val="single"/>
    </font>
    <font>
      <name val="Arial Narrow"/>
      <family val="2"/>
      <b val="1"/>
      <color indexed="10"/>
      <sz val="10"/>
      <u val="single"/>
    </font>
    <font>
      <name val="宋体"/>
      <charset val="134"/>
      <family val="3"/>
      <sz val="9"/>
    </font>
    <font>
      <name val="宋体"/>
      <charset val="134"/>
      <family val="3"/>
      <color indexed="12"/>
      <sz val="10"/>
      <u val="single"/>
    </font>
    <font>
      <name val="仿宋_GB2312"/>
      <charset val="134"/>
      <family val="3"/>
      <sz val="12"/>
    </font>
    <font>
      <name val="仿宋_GB2312"/>
      <charset val="134"/>
      <family val="3"/>
      <color indexed="12"/>
      <sz val="12"/>
    </font>
    <font>
      <name val="Arial Narrow"/>
      <family val="2"/>
      <i val="1"/>
      <color indexed="12"/>
      <sz val="10"/>
    </font>
    <font>
      <name val="Arial Narrow"/>
      <family val="2"/>
      <b val="1"/>
      <color indexed="12"/>
      <sz val="10"/>
    </font>
    <font>
      <name val="Arial Narrow"/>
      <family val="2"/>
      <color indexed="12"/>
      <sz val="10"/>
      <u val="single"/>
    </font>
    <font>
      <name val="宋体"/>
      <charset val="134"/>
      <family val="3"/>
      <color indexed="8"/>
      <sz val="10"/>
      <scheme val="minor"/>
    </font>
    <font>
      <name val="Arial Narrow"/>
      <family val="2"/>
      <color rgb="FFFF0000"/>
      <sz val="10"/>
    </font>
    <font>
      <name val="仿宋_GB2312"/>
      <charset val="134"/>
      <family val="3"/>
      <color rgb="FF0000FF"/>
      <sz val="12"/>
    </font>
    <font>
      <name val="仿宋_GB2312"/>
      <charset val="134"/>
      <family val="3"/>
      <i val="1"/>
      <color rgb="FFFF0000"/>
      <sz val="12"/>
    </font>
    <font>
      <name val="宋体"/>
      <charset val="134"/>
      <family val="3"/>
      <color rgb="FFFF0000"/>
      <sz val="10"/>
    </font>
    <font>
      <name val="宋体"/>
      <charset val="134"/>
      <family val="3"/>
      <sz val="9"/>
      <scheme val="minor"/>
    </font>
    <font>
      <name val="宋体"/>
      <charset val="134"/>
      <family val="3"/>
      <b val="1"/>
      <sz val="14"/>
    </font>
    <font>
      <name val="宋体"/>
      <charset val="134"/>
      <family val="3"/>
      <color indexed="8"/>
      <sz val="10"/>
    </font>
    <font>
      <name val="宋体"/>
      <charset val="134"/>
      <family val="3"/>
      <color theme="1"/>
      <sz val="10"/>
    </font>
    <font>
      <name val="Arial Narrow"/>
      <charset val="134"/>
      <family val="3"/>
      <sz val="10"/>
    </font>
    <font>
      <name val="Arial"/>
      <family val="2"/>
      <b val="1"/>
      <sz val="10"/>
    </font>
    <font>
      <name val="宋体"/>
      <charset val="134"/>
      <family val="2"/>
      <sz val="9"/>
      <scheme val="minor"/>
    </font>
    <font>
      <name val="宋体"/>
      <charset val="134"/>
      <family val="3"/>
      <color theme="1"/>
      <sz val="11"/>
      <scheme val="minor"/>
    </font>
    <font>
      <name val="Arial Narrow"/>
      <family val="2"/>
      <b val="1"/>
      <color indexed="10"/>
      <sz val="10"/>
    </font>
    <font>
      <name val="Arial Narrow"/>
      <family val="2"/>
      <b val="1"/>
      <color rgb="FFE92841"/>
      <sz val="10"/>
    </font>
    <font>
      <name val="宋体"/>
      <charset val="134"/>
      <family val="2"/>
      <color rgb="FF000000"/>
      <sz val="10"/>
    </font>
    <font>
      <name val="Arial Narrow"/>
      <family val="2"/>
      <color theme="1"/>
      <sz val="10"/>
    </font>
    <font>
      <name val="宋体"/>
      <charset val="134"/>
      <family val="3"/>
      <sz val="10"/>
      <scheme val="minor"/>
    </font>
    <font>
      <name val="宋体"/>
      <charset val="134"/>
      <family val="3"/>
      <b val="1"/>
      <sz val="10"/>
      <scheme val="minor"/>
    </font>
    <font>
      <name val="宋体"/>
      <charset val="134"/>
      <family val="3"/>
      <color rgb="FF0000FF"/>
      <sz val="10"/>
      <scheme val="minor"/>
    </font>
    <font>
      <name val="宋体"/>
      <charset val="134"/>
      <family val="3"/>
      <b val="1"/>
      <color rgb="FF000000"/>
      <sz val="10"/>
      <scheme val="minor"/>
    </font>
    <font>
      <name val="Arial Narrow"/>
      <family val="2"/>
      <b val="1"/>
      <color rgb="FF000000"/>
      <sz val="10"/>
    </font>
    <font>
      <name val="宋体"/>
      <charset val="134"/>
      <family val="3"/>
      <b val="1"/>
      <color theme="1"/>
      <sz val="10"/>
    </font>
    <font>
      <name val="Arial Narrow"/>
      <family val="2"/>
      <b val="1"/>
      <color rgb="FFFF0000"/>
      <sz val="10"/>
    </font>
    <font>
      <name val="宋体"/>
      <charset val="134"/>
      <family val="3"/>
      <b val="1"/>
      <color rgb="FFFF0000"/>
      <sz val="10"/>
    </font>
    <font>
      <name val="Arial Narrow"/>
      <family val="2"/>
      <color rgb="FF0000FF"/>
      <sz val="10"/>
    </font>
    <font>
      <name val="宋体"/>
      <charset val="134"/>
      <family val="3"/>
      <color rgb="FF0000FF"/>
      <sz val="10"/>
    </font>
    <font>
      <name val="Arial Narrow"/>
      <family val="2"/>
      <color rgb="FF0000FF"/>
      <sz val="9"/>
    </font>
    <font>
      <name val="宋体"/>
      <charset val="134"/>
      <family val="3"/>
      <color rgb="FF0000FF"/>
      <sz val="9"/>
    </font>
    <font>
      <name val="宋体"/>
      <charset val="134"/>
      <family val="3"/>
      <b val="1"/>
      <sz val="12"/>
      <scheme val="minor"/>
    </font>
    <font>
      <name val="宋体"/>
      <charset val="134"/>
      <family val="3"/>
      <b val="1"/>
      <sz val="14"/>
      <scheme val="minor"/>
    </font>
    <font>
      <name val="Arial Narrow"/>
      <family val="2"/>
      <b val="1"/>
      <sz val="14"/>
    </font>
    <font>
      <name val="宋体"/>
      <charset val="134"/>
      <family val="3"/>
      <b val="1"/>
      <color theme="1"/>
      <sz val="10"/>
      <scheme val="minor"/>
    </font>
    <font>
      <name val="宋体"/>
      <charset val="134"/>
      <family val="3"/>
      <b val="1"/>
      <color indexed="8"/>
      <sz val="10"/>
      <scheme val="minor"/>
    </font>
    <font>
      <name val="宋体"/>
      <charset val="134"/>
      <family val="3"/>
      <b val="1"/>
      <color indexed="81"/>
      <sz val="9"/>
    </font>
    <font>
      <name val="宋体"/>
      <charset val="134"/>
      <family val="3"/>
      <color indexed="81"/>
      <sz val="9"/>
    </font>
    <font>
      <name val="宋体"/>
      <charset val="134"/>
      <family val="3"/>
      <color theme="1"/>
      <sz val="10"/>
      <scheme val="minor"/>
    </font>
  </fonts>
  <fills count="11">
    <fill>
      <patternFill/>
    </fill>
    <fill>
      <patternFill patternType="gray125"/>
    </fill>
    <fill>
      <patternFill patternType="solid">
        <fgColor indexed="22"/>
        <bgColor indexed="64"/>
      </patternFill>
    </fill>
    <fill>
      <patternFill patternType="solid">
        <fgColor indexed="26"/>
        <bgColor indexed="64"/>
      </patternFill>
    </fill>
    <fill>
      <patternFill patternType="solid">
        <fgColor indexed="9"/>
        <bgColor indexed="64"/>
      </patternFill>
    </fill>
    <fill>
      <patternFill patternType="solid">
        <fgColor indexed="14"/>
        <bgColor indexed="64"/>
      </patternFill>
    </fill>
    <fill>
      <patternFill patternType="solid">
        <fgColor theme="7" tint="0.7999816888943144"/>
        <bgColor indexed="64"/>
      </patternFill>
    </fill>
    <fill>
      <patternFill patternType="solid">
        <fgColor theme="0" tint="-0.1499984740745262"/>
        <bgColor indexed="64"/>
      </patternFill>
    </fill>
    <fill>
      <patternFill patternType="solid">
        <fgColor rgb="FF92D050"/>
        <bgColor indexed="64"/>
      </patternFill>
    </fill>
    <fill>
      <patternFill patternType="solid">
        <fgColor rgb="FFE4DFEC"/>
        <bgColor indexed="64"/>
      </patternFill>
    </fill>
    <fill>
      <patternFill patternType="solid">
        <fgColor theme="7" tint="0.7999816888943144"/>
        <bgColor rgb="FFB7DEE8"/>
      </patternFill>
    </fill>
  </fills>
  <borders count="17">
    <border>
      <left/>
      <right/>
      <top/>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right/>
      <top style="hair">
        <color indexed="64"/>
      </top>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style="hair">
        <color indexed="64"/>
      </bottom>
      <diagonal/>
    </border>
    <border>
      <left/>
      <right/>
      <top style="medium">
        <color indexed="64"/>
      </top>
      <bottom style="medium">
        <color indexed="64"/>
      </bottom>
      <diagonal/>
    </border>
    <border>
      <left/>
      <right/>
      <top/>
      <bottom style="medium">
        <color indexed="64"/>
      </bottom>
      <diagonal/>
    </border>
    <border>
      <left/>
      <right/>
      <top style="medium">
        <color indexed="64"/>
      </top>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
      <left style="thin">
        <color indexed="55"/>
      </left>
      <right style="thin">
        <color indexed="55"/>
      </right>
      <top style="thin">
        <color indexed="55"/>
      </top>
      <bottom style="thin">
        <color indexed="55"/>
      </bottom>
      <diagonal/>
    </border>
    <border>
      <left style="hair">
        <color indexed="64"/>
      </left>
      <right/>
      <top/>
      <bottom/>
      <diagonal/>
    </border>
    <border>
      <left/>
      <right style="hair">
        <color indexed="64"/>
      </right>
      <top style="hair">
        <color indexed="64"/>
      </top>
      <bottom/>
      <diagonal/>
    </border>
    <border>
      <left style="hair">
        <color indexed="64"/>
      </left>
      <right style="hair">
        <color indexed="64"/>
      </right>
      <top/>
      <bottom/>
      <diagonal/>
    </border>
  </borders>
  <cellStyleXfs count="62">
    <xf numFmtId="0" fontId="0" fillId="0" borderId="0" applyAlignment="1">
      <alignment vertical="center"/>
    </xf>
    <xf numFmtId="49" fontId="12" fillId="0" borderId="0" applyAlignment="1">
      <alignment horizontal="left"/>
    </xf>
    <xf numFmtId="166" fontId="12" fillId="0" borderId="0" applyAlignment="1">
      <alignment horizontal="right"/>
    </xf>
    <xf numFmtId="167" fontId="12" fillId="0" borderId="0" applyAlignment="1">
      <alignment horizontal="right"/>
    </xf>
    <xf numFmtId="168" fontId="15" fillId="0" borderId="0" applyAlignment="1">
      <alignment horizontal="center"/>
    </xf>
    <xf numFmtId="169" fontId="15" fillId="0" borderId="0" applyAlignment="1">
      <alignment horizontal="center"/>
    </xf>
    <xf numFmtId="170" fontId="16" fillId="0" borderId="0" applyAlignment="1">
      <alignment horizontal="right"/>
    </xf>
    <xf numFmtId="171" fontId="12" fillId="0" borderId="0" applyAlignment="1">
      <alignment horizontal="right"/>
    </xf>
    <xf numFmtId="172" fontId="12" fillId="0" borderId="0" applyAlignment="1">
      <alignment horizontal="right"/>
    </xf>
    <xf numFmtId="173" fontId="12" fillId="0" borderId="0" applyAlignment="1">
      <alignment horizontal="right"/>
    </xf>
    <xf numFmtId="174" fontId="12" fillId="0" borderId="0" applyAlignment="1">
      <alignment horizontal="right"/>
    </xf>
    <xf numFmtId="3" fontId="17" fillId="0" borderId="0"/>
    <xf numFmtId="175" fontId="18" fillId="0" borderId="1"/>
    <xf numFmtId="176" fontId="19" fillId="0" borderId="0"/>
    <xf numFmtId="177" fontId="19" fillId="0" borderId="0"/>
    <xf numFmtId="178" fontId="19" fillId="0" borderId="0"/>
    <xf numFmtId="179" fontId="19" fillId="0" borderId="0"/>
    <xf numFmtId="41" fontId="19" fillId="0" borderId="0"/>
    <xf numFmtId="43" fontId="19" fillId="0" borderId="0"/>
    <xf numFmtId="165" fontId="12" fillId="0" borderId="0"/>
    <xf numFmtId="0" fontId="20" fillId="0" borderId="0" applyAlignment="1" applyProtection="1">
      <alignment vertical="top"/>
      <protection locked="0" hidden="0"/>
    </xf>
    <xf numFmtId="38" fontId="21" fillId="2" borderId="0"/>
    <xf numFmtId="0" fontId="22" fillId="0" borderId="0" applyAlignment="1" applyProtection="1">
      <alignment vertical="top"/>
      <protection locked="0" hidden="0"/>
    </xf>
    <xf numFmtId="10" fontId="21" fillId="3" borderId="2"/>
    <xf numFmtId="180" fontId="3" fillId="0" borderId="0"/>
    <xf numFmtId="181" fontId="3" fillId="0" borderId="0"/>
    <xf numFmtId="0" fontId="23" fillId="0" borderId="0"/>
    <xf numFmtId="182" fontId="3" fillId="0" borderId="0"/>
    <xf numFmtId="0" fontId="24" fillId="0" borderId="0"/>
    <xf numFmtId="10" fontId="19" fillId="0" borderId="0"/>
    <xf numFmtId="3" fontId="25" fillId="0" borderId="0"/>
    <xf numFmtId="9" fontId="3" fillId="0" borderId="0"/>
    <xf numFmtId="0" fontId="3" fillId="0" borderId="0" applyProtection="1">
      <protection locked="0" hidden="0"/>
    </xf>
    <xf numFmtId="165" fontId="3" fillId="0" borderId="0" applyProtection="1">
      <protection locked="0" hidden="0"/>
    </xf>
    <xf numFmtId="0" fontId="11" fillId="0" borderId="0"/>
    <xf numFmtId="165" fontId="3" fillId="0" borderId="0"/>
    <xf numFmtId="0" fontId="3" fillId="0" borderId="0" applyAlignment="1">
      <alignment vertical="center"/>
    </xf>
    <xf numFmtId="0" fontId="14" fillId="0" borderId="0"/>
    <xf numFmtId="0" fontId="3" fillId="0" borderId="0"/>
    <xf numFmtId="0" fontId="3" fillId="0" borderId="0"/>
    <xf numFmtId="0" fontId="3" fillId="0" borderId="0" applyAlignment="1">
      <alignment vertical="center"/>
    </xf>
    <xf numFmtId="0" fontId="13" fillId="0" borderId="0" applyAlignment="1" applyProtection="1">
      <alignment vertical="top"/>
      <protection locked="0" hidden="0"/>
    </xf>
    <xf numFmtId="0" fontId="26" fillId="0" borderId="0"/>
    <xf numFmtId="41" fontId="3" fillId="0" borderId="0"/>
    <xf numFmtId="43" fontId="3" fillId="0" borderId="0"/>
    <xf numFmtId="41" fontId="27" fillId="0" borderId="0"/>
    <xf numFmtId="43" fontId="27" fillId="0" borderId="0"/>
    <xf numFmtId="43" fontId="3" fillId="0" borderId="0"/>
    <xf numFmtId="0" fontId="2" fillId="0" borderId="0"/>
    <xf numFmtId="0" fontId="3" fillId="0" borderId="0" applyProtection="1">
      <protection locked="0" hidden="0"/>
    </xf>
    <xf numFmtId="0" fontId="60" fillId="0" borderId="0" applyAlignment="1">
      <alignment vertical="center"/>
    </xf>
    <xf numFmtId="165" fontId="60" fillId="0" borderId="0" applyAlignment="1">
      <alignment vertical="center"/>
    </xf>
    <xf numFmtId="165" fontId="3" fillId="0" borderId="0"/>
    <xf numFmtId="0" fontId="13" fillId="0" borderId="0" applyAlignment="1" applyProtection="1">
      <alignment vertical="top"/>
      <protection locked="0" hidden="0"/>
    </xf>
    <xf numFmtId="9" fontId="3" fillId="0" borderId="0"/>
    <xf numFmtId="0" fontId="12" fillId="0" borderId="0" applyProtection="1">
      <protection locked="0" hidden="0"/>
    </xf>
    <xf numFmtId="165" fontId="3" fillId="0" borderId="0"/>
    <xf numFmtId="165" fontId="3" fillId="0" borderId="0" applyProtection="1">
      <protection locked="0" hidden="0"/>
    </xf>
    <xf numFmtId="165" fontId="60" fillId="0" borderId="0" applyAlignment="1">
      <alignment vertical="center"/>
    </xf>
    <xf numFmtId="165" fontId="3" fillId="0" borderId="0" applyAlignment="1" applyProtection="1">
      <alignment vertical="center"/>
      <protection locked="0" hidden="0"/>
    </xf>
    <xf numFmtId="43" fontId="3" fillId="0" borderId="0" applyAlignment="1">
      <alignment vertical="center"/>
    </xf>
    <xf numFmtId="165" fontId="1" fillId="0" borderId="0" applyAlignment="1">
      <alignment vertical="center"/>
    </xf>
  </cellStyleXfs>
  <cellXfs count="420">
    <xf numFmtId="0" fontId="0" fillId="0" borderId="0" applyAlignment="1" pivotButton="0" quotePrefix="0" xfId="0">
      <alignment vertical="center"/>
    </xf>
    <xf numFmtId="164" fontId="7" fillId="0" borderId="0" applyAlignment="1" pivotButton="0" quotePrefix="0" xfId="39">
      <alignment vertical="center"/>
    </xf>
    <xf numFmtId="164" fontId="10" fillId="0" borderId="0" applyAlignment="1" pivotButton="0" quotePrefix="0" xfId="39">
      <alignment vertical="center"/>
    </xf>
    <xf numFmtId="164" fontId="10" fillId="0" borderId="0" applyAlignment="1" pivotButton="0" quotePrefix="0" xfId="39">
      <alignment horizontal="left" vertical="center"/>
    </xf>
    <xf numFmtId="49" fontId="10" fillId="0" borderId="0" applyAlignment="1" pivotButton="0" quotePrefix="0" xfId="39">
      <alignment vertical="center"/>
    </xf>
    <xf numFmtId="164" fontId="6" fillId="0" borderId="0" applyAlignment="1" pivotButton="0" quotePrefix="0" xfId="39">
      <alignment vertical="center"/>
    </xf>
    <xf numFmtId="0" fontId="6" fillId="0" borderId="0" applyAlignment="1" pivotButton="0" quotePrefix="0" xfId="36">
      <alignment vertical="center"/>
    </xf>
    <xf numFmtId="0" fontId="10" fillId="0" borderId="0" applyAlignment="1" pivotButton="0" quotePrefix="0" xfId="36">
      <alignment vertical="center"/>
    </xf>
    <xf numFmtId="0" fontId="9" fillId="0" borderId="0" applyAlignment="1" pivotButton="0" quotePrefix="0" xfId="36">
      <alignment vertical="center"/>
    </xf>
    <xf numFmtId="0" fontId="7" fillId="0" borderId="0" applyAlignment="1" pivotButton="0" quotePrefix="0" xfId="36">
      <alignment vertical="center"/>
    </xf>
    <xf numFmtId="0" fontId="10" fillId="0" borderId="0" applyAlignment="1" applyProtection="1" pivotButton="0" quotePrefix="0" xfId="32">
      <alignment vertical="center"/>
      <protection locked="0" hidden="0"/>
    </xf>
    <xf numFmtId="0" fontId="10" fillId="0" borderId="0" applyProtection="1" pivotButton="0" quotePrefix="0" xfId="32">
      <protection locked="0" hidden="0"/>
    </xf>
    <xf numFmtId="0" fontId="6" fillId="0" borderId="0" applyProtection="1" pivotButton="0" quotePrefix="0" xfId="32">
      <protection locked="0" hidden="0"/>
    </xf>
    <xf numFmtId="0" fontId="10" fillId="0" borderId="3" applyAlignment="1" applyProtection="1" pivotButton="0" quotePrefix="0" xfId="32">
      <alignment vertical="center"/>
      <protection locked="0" hidden="0"/>
    </xf>
    <xf numFmtId="0" fontId="7" fillId="0" borderId="0" applyProtection="1" pivotButton="0" quotePrefix="0" xfId="32">
      <protection locked="0" hidden="0"/>
    </xf>
    <xf numFmtId="0" fontId="9" fillId="0" borderId="0" applyAlignment="1" applyProtection="1" pivotButton="0" quotePrefix="0" xfId="32">
      <alignment vertical="center"/>
      <protection locked="0" hidden="0"/>
    </xf>
    <xf numFmtId="0" fontId="10" fillId="0" borderId="0" applyAlignment="1" applyProtection="1" pivotButton="0" quotePrefix="0" xfId="32">
      <alignment horizontal="left" vertical="center"/>
      <protection locked="0" hidden="0"/>
    </xf>
    <xf numFmtId="0" fontId="6" fillId="0" borderId="0" applyAlignment="1" pivotButton="0" quotePrefix="0" xfId="38">
      <alignment horizontal="left" vertical="center"/>
    </xf>
    <xf numFmtId="0" fontId="10" fillId="0" borderId="0" applyAlignment="1" applyProtection="1" pivotButton="0" quotePrefix="0" xfId="38">
      <alignment vertical="center"/>
      <protection locked="0" hidden="0"/>
    </xf>
    <xf numFmtId="0" fontId="33" fillId="0" borderId="0" applyAlignment="1" applyProtection="1" pivotButton="0" quotePrefix="0" xfId="38">
      <alignment horizontal="center" vertical="center"/>
      <protection locked="1" hidden="1"/>
    </xf>
    <xf numFmtId="0" fontId="10" fillId="0" borderId="0" applyAlignment="1" applyProtection="1" pivotButton="0" quotePrefix="0" xfId="38">
      <alignment horizontal="left" vertical="center"/>
      <protection locked="1" hidden="1"/>
    </xf>
    <xf numFmtId="0" fontId="33" fillId="0" borderId="0" applyAlignment="1" applyProtection="1" pivotButton="0" quotePrefix="0" xfId="38">
      <alignment horizontal="left" vertical="center"/>
      <protection locked="0" hidden="0"/>
    </xf>
    <xf numFmtId="0" fontId="10" fillId="0" borderId="3" applyAlignment="1" applyProtection="1" pivotButton="0" quotePrefix="0" xfId="32">
      <alignment horizontal="center" vertical="center"/>
      <protection locked="0" hidden="0"/>
    </xf>
    <xf numFmtId="0" fontId="10" fillId="0" borderId="0" applyAlignment="1" applyProtection="1" pivotButton="0" quotePrefix="0" xfId="32">
      <alignment horizontal="center" vertical="center"/>
      <protection locked="0" hidden="0"/>
    </xf>
    <xf numFmtId="0" fontId="6" fillId="0" borderId="0" applyAlignment="1" applyProtection="1" pivotButton="0" quotePrefix="0" xfId="32">
      <alignment vertical="center"/>
      <protection locked="0" hidden="0"/>
    </xf>
    <xf numFmtId="0" fontId="6" fillId="0" borderId="0" applyAlignment="1" applyProtection="1" pivotButton="0" quotePrefix="0" xfId="32">
      <alignment horizontal="left" vertical="center"/>
      <protection locked="0" hidden="0"/>
    </xf>
    <xf numFmtId="0" fontId="33" fillId="0" borderId="0" applyAlignment="1" applyProtection="1" pivotButton="0" quotePrefix="0" xfId="32">
      <alignment vertical="center"/>
      <protection locked="0" hidden="0"/>
    </xf>
    <xf numFmtId="0" fontId="7" fillId="0" borderId="0" applyAlignment="1" applyProtection="1" pivotButton="0" quotePrefix="0" xfId="32">
      <alignment vertical="center"/>
      <protection locked="0" hidden="0"/>
    </xf>
    <xf numFmtId="0" fontId="33" fillId="0" borderId="0" applyProtection="1" pivotButton="0" quotePrefix="0" xfId="32">
      <protection locked="0" hidden="0"/>
    </xf>
    <xf numFmtId="0" fontId="33" fillId="0" borderId="0" applyAlignment="1" applyProtection="1" pivotButton="0" quotePrefix="0" xfId="32">
      <alignment horizontal="right"/>
      <protection locked="0" hidden="0"/>
    </xf>
    <xf numFmtId="0" fontId="34" fillId="0" borderId="0" applyAlignment="1" pivotButton="0" quotePrefix="0" xfId="0">
      <alignment horizontal="left" vertical="center"/>
    </xf>
    <xf numFmtId="0" fontId="31" fillId="0" borderId="0" applyAlignment="1" pivotButton="0" quotePrefix="0" xfId="0">
      <alignment horizontal="left" vertical="center"/>
    </xf>
    <xf numFmtId="0" fontId="31" fillId="0" borderId="0" applyAlignment="1" pivotButton="0" quotePrefix="0" xfId="0">
      <alignment horizontal="center" vertical="center"/>
    </xf>
    <xf numFmtId="0" fontId="31" fillId="0" borderId="2" applyAlignment="1" pivotButton="0" quotePrefix="0" xfId="0">
      <alignment horizontal="center" vertical="center"/>
    </xf>
    <xf numFmtId="0" fontId="30" fillId="0" borderId="0" applyAlignment="1" pivotButton="0" quotePrefix="0" xfId="0">
      <alignment vertical="center"/>
    </xf>
    <xf numFmtId="0" fontId="30" fillId="0" borderId="2" applyAlignment="1" pivotButton="0" quotePrefix="0" xfId="0">
      <alignment horizontal="center" vertical="center"/>
    </xf>
    <xf numFmtId="0" fontId="30" fillId="0" borderId="0" applyAlignment="1" pivotButton="0" quotePrefix="0" xfId="0">
      <alignment horizontal="center" vertical="center"/>
    </xf>
    <xf numFmtId="165" fontId="4" fillId="6" borderId="4" applyAlignment="1" applyProtection="1" pivotButton="0" quotePrefix="0" xfId="35">
      <alignment horizontal="center" vertical="center" wrapText="1"/>
      <protection locked="0" hidden="0"/>
    </xf>
    <xf numFmtId="165" fontId="4" fillId="6" borderId="4" applyAlignment="1" applyProtection="1" pivotButton="0" quotePrefix="0" xfId="33">
      <alignment horizontal="center" vertical="center"/>
      <protection locked="0" hidden="0"/>
    </xf>
    <xf numFmtId="165" fontId="28" fillId="6" borderId="4" applyAlignment="1" applyProtection="1" pivotButton="0" quotePrefix="0" xfId="33">
      <alignment horizontal="center" vertical="center" wrapText="1"/>
      <protection locked="0" hidden="0"/>
    </xf>
    <xf numFmtId="164" fontId="10" fillId="0" borderId="3" applyAlignment="1" pivotButton="0" quotePrefix="0" xfId="39">
      <alignment horizontal="left" vertical="center"/>
    </xf>
    <xf numFmtId="164" fontId="38" fillId="0" borderId="3" applyAlignment="1" pivotButton="0" quotePrefix="0" xfId="41">
      <alignment horizontal="center" vertical="center"/>
    </xf>
    <xf numFmtId="164" fontId="10" fillId="0" borderId="3" applyAlignment="1" pivotButton="0" quotePrefix="0" xfId="39">
      <alignment vertical="center"/>
    </xf>
    <xf numFmtId="164" fontId="6" fillId="0" borderId="0" applyAlignment="1" pivotButton="0" quotePrefix="0" xfId="39">
      <alignment vertical="center"/>
    </xf>
    <xf numFmtId="0" fontId="11" fillId="0" borderId="0" applyAlignment="1" pivotButton="0" quotePrefix="0" xfId="37">
      <alignment vertical="center"/>
    </xf>
    <xf numFmtId="0" fontId="10" fillId="0" borderId="0" applyAlignment="1" pivotButton="0" quotePrefix="0" xfId="37">
      <alignment vertical="center"/>
    </xf>
    <xf numFmtId="9" fontId="39" fillId="0" borderId="0" applyAlignment="1" pivotButton="0" quotePrefix="0" xfId="31">
      <alignment horizontal="left" vertical="center"/>
    </xf>
    <xf numFmtId="164" fontId="10" fillId="0" borderId="0" applyAlignment="1" pivotButton="0" quotePrefix="0" xfId="39">
      <alignment vertical="center"/>
    </xf>
    <xf numFmtId="0" fontId="11" fillId="0" borderId="0" applyAlignment="1" pivotButton="0" quotePrefix="0" xfId="37">
      <alignment horizontal="left" vertical="center"/>
    </xf>
    <xf numFmtId="0" fontId="10" fillId="0" borderId="0" applyAlignment="1" pivotButton="0" quotePrefix="0" xfId="37">
      <alignment horizontal="left" vertical="center"/>
    </xf>
    <xf numFmtId="0" fontId="4" fillId="0" borderId="0" applyAlignment="1" pivotButton="0" quotePrefix="0" xfId="37">
      <alignment vertical="center"/>
    </xf>
    <xf numFmtId="0" fontId="31" fillId="0" borderId="0" applyAlignment="1" pivotButton="0" quotePrefix="0" xfId="32">
      <alignment vertical="center"/>
    </xf>
    <xf numFmtId="0" fontId="40" fillId="0" borderId="0" applyAlignment="1" pivotButton="0" quotePrefix="0" xfId="32">
      <alignment horizontal="center"/>
    </xf>
    <xf numFmtId="0" fontId="10" fillId="0" borderId="0" applyAlignment="1" applyProtection="1" pivotButton="0" quotePrefix="0" xfId="32">
      <alignment vertical="center" wrapText="1"/>
      <protection locked="0" hidden="0"/>
    </xf>
    <xf numFmtId="0" fontId="10" fillId="0" borderId="0" applyAlignment="1" applyProtection="1" pivotButton="0" quotePrefix="0" xfId="32">
      <alignment horizontal="right" vertical="center"/>
      <protection locked="0" hidden="0"/>
    </xf>
    <xf numFmtId="0" fontId="10" fillId="0" borderId="0" applyAlignment="1" applyProtection="1" pivotButton="0" quotePrefix="0" xfId="32">
      <alignment horizontal="justify" vertical="center" wrapText="1"/>
      <protection locked="0" hidden="0"/>
    </xf>
    <xf numFmtId="0" fontId="6" fillId="0" borderId="0" applyAlignment="1" pivotButton="0" quotePrefix="0" xfId="32">
      <alignment horizontal="left" vertical="center"/>
    </xf>
    <xf numFmtId="0" fontId="10" fillId="0" borderId="0" applyAlignment="1" pivotButton="0" quotePrefix="0" xfId="40">
      <alignment vertical="center"/>
    </xf>
    <xf numFmtId="164" fontId="30" fillId="4" borderId="4" applyAlignment="1" pivotButton="0" quotePrefix="0" xfId="47">
      <alignment vertical="center"/>
    </xf>
    <xf numFmtId="0" fontId="10" fillId="0" borderId="3" applyProtection="1" pivotButton="0" quotePrefix="0" xfId="32">
      <protection locked="0" hidden="0"/>
    </xf>
    <xf numFmtId="0" fontId="6" fillId="0" borderId="0" applyAlignment="1" pivotButton="0" quotePrefix="0" xfId="38">
      <alignment vertical="center"/>
    </xf>
    <xf numFmtId="0" fontId="10" fillId="0" borderId="3" applyAlignment="1" applyProtection="1" pivotButton="0" quotePrefix="0" xfId="32">
      <alignment horizontal="left" vertical="center"/>
      <protection locked="0" hidden="0"/>
    </xf>
    <xf numFmtId="0" fontId="48" fillId="0" borderId="4" applyAlignment="1" pivotButton="0" quotePrefix="0" xfId="0">
      <alignment horizontal="left" vertical="center"/>
    </xf>
    <xf numFmtId="14" fontId="10" fillId="0" borderId="0" applyAlignment="1" pivotButton="0" quotePrefix="0" xfId="39">
      <alignment vertical="center"/>
    </xf>
    <xf numFmtId="14" fontId="10" fillId="0" borderId="0" applyAlignment="1" applyProtection="1" pivotButton="0" quotePrefix="0" xfId="32">
      <alignment vertical="center"/>
      <protection locked="0" hidden="0"/>
    </xf>
    <xf numFmtId="0" fontId="31" fillId="0" borderId="4" applyAlignment="1" pivotButton="0" quotePrefix="0" xfId="0">
      <alignment horizontal="center" vertical="center"/>
    </xf>
    <xf numFmtId="164" fontId="10" fillId="0" borderId="4" applyAlignment="1" pivotButton="0" quotePrefix="0" xfId="47">
      <alignment horizontal="right" vertical="center" wrapText="1"/>
    </xf>
    <xf numFmtId="164" fontId="11" fillId="0" borderId="0" applyAlignment="1" pivotButton="0" quotePrefix="0" xfId="39">
      <alignment vertical="center"/>
    </xf>
    <xf numFmtId="164" fontId="8" fillId="0" borderId="0" applyAlignment="1" pivotButton="0" quotePrefix="0" xfId="39">
      <alignment vertical="center"/>
    </xf>
    <xf numFmtId="164" fontId="10" fillId="0" borderId="0" applyAlignment="1" pivotButton="0" quotePrefix="0" xfId="39">
      <alignment horizontal="left" vertical="center"/>
    </xf>
    <xf numFmtId="49" fontId="10" fillId="0" borderId="0" applyAlignment="1" pivotButton="0" quotePrefix="0" xfId="39">
      <alignment vertical="center"/>
    </xf>
    <xf numFmtId="0" fontId="0" fillId="0" borderId="0" applyProtection="1" pivotButton="0" quotePrefix="0" xfId="0">
      <protection locked="0" hidden="0"/>
    </xf>
    <xf numFmtId="0" fontId="0" fillId="0" borderId="0" applyAlignment="1" applyProtection="1" pivotButton="0" quotePrefix="0" xfId="0">
      <alignment vertical="center"/>
      <protection locked="0" hidden="0"/>
    </xf>
    <xf numFmtId="0" fontId="3" fillId="0" borderId="0" applyProtection="1" pivotButton="0" quotePrefix="0" xfId="32">
      <protection locked="0" hidden="0"/>
    </xf>
    <xf numFmtId="0" fontId="49" fillId="0" borderId="4" applyAlignment="1" pivotButton="0" quotePrefix="0" xfId="0">
      <alignment vertical="center"/>
    </xf>
    <xf numFmtId="0" fontId="31" fillId="0" borderId="0" applyAlignment="1" pivotButton="0" quotePrefix="0" xfId="0">
      <alignment vertical="center"/>
    </xf>
    <xf numFmtId="0" fontId="6" fillId="0" borderId="3" applyAlignment="1" pivotButton="0" quotePrefix="0" xfId="38">
      <alignment vertical="center"/>
    </xf>
    <xf numFmtId="0" fontId="6" fillId="0" borderId="3" applyAlignment="1" applyProtection="1" pivotButton="0" quotePrefix="0" xfId="32">
      <alignment vertical="center"/>
      <protection locked="0" hidden="0"/>
    </xf>
    <xf numFmtId="0" fontId="45" fillId="0" borderId="0" applyAlignment="1" applyProtection="1" pivotButton="0" quotePrefix="0" xfId="32">
      <alignment vertical="center"/>
      <protection locked="0" hidden="0"/>
    </xf>
    <xf numFmtId="0" fontId="46" fillId="0" borderId="0" applyAlignment="1" applyProtection="1" pivotButton="0" quotePrefix="0" xfId="32">
      <alignment horizontal="left"/>
      <protection locked="0" hidden="0"/>
    </xf>
    <xf numFmtId="0" fontId="9" fillId="0" borderId="0" applyAlignment="1" applyProtection="1" pivotButton="0" quotePrefix="0" xfId="0">
      <alignment vertical="center"/>
      <protection locked="0" hidden="0"/>
    </xf>
    <xf numFmtId="0" fontId="47" fillId="0" borderId="2" applyAlignment="1" pivotButton="0" quotePrefix="0" xfId="41">
      <alignment vertical="center"/>
    </xf>
    <xf numFmtId="0" fontId="47" fillId="0" borderId="2" applyAlignment="1" pivotButton="0" quotePrefix="1" xfId="41">
      <alignment vertical="center"/>
    </xf>
    <xf numFmtId="0" fontId="6" fillId="7" borderId="0" applyAlignment="1" applyProtection="1" pivotButton="0" quotePrefix="0" xfId="32">
      <alignment vertical="center"/>
      <protection locked="0" hidden="0"/>
    </xf>
    <xf numFmtId="0" fontId="10" fillId="7" borderId="0" applyAlignment="1" applyProtection="1" pivotButton="0" quotePrefix="0" xfId="32">
      <alignment vertical="center"/>
      <protection locked="0" hidden="0"/>
    </xf>
    <xf numFmtId="49" fontId="10" fillId="0" borderId="0" applyAlignment="1" pivotButton="0" quotePrefix="0" xfId="40">
      <alignment horizontal="left" vertical="center"/>
    </xf>
    <xf numFmtId="0" fontId="10" fillId="0" borderId="13" applyAlignment="1" pivotButton="0" quotePrefix="0" xfId="40">
      <alignment vertical="center"/>
    </xf>
    <xf numFmtId="0" fontId="57" fillId="0" borderId="0" applyAlignment="1" applyProtection="1" pivotButton="0" quotePrefix="0" xfId="32">
      <alignment vertical="center"/>
      <protection locked="0" hidden="0"/>
    </xf>
    <xf numFmtId="0" fontId="58" fillId="0" borderId="0" applyAlignment="1" pivotButton="0" quotePrefix="0" xfId="40">
      <alignment vertical="center"/>
    </xf>
    <xf numFmtId="0" fontId="3" fillId="0" borderId="0" applyProtection="1" pivotButton="0" quotePrefix="0" xfId="49">
      <protection locked="0" hidden="0"/>
    </xf>
    <xf numFmtId="164" fontId="43" fillId="0" borderId="0" applyAlignment="1" pivotButton="0" quotePrefix="0" xfId="39">
      <alignment vertical="center"/>
    </xf>
    <xf numFmtId="14" fontId="30" fillId="0" borderId="0" applyAlignment="1" pivotButton="0" quotePrefix="0" xfId="50">
      <alignment vertical="center"/>
    </xf>
    <xf numFmtId="165" fontId="61" fillId="0" borderId="0" applyAlignment="1" pivotButton="0" quotePrefix="0" xfId="51">
      <alignment vertical="center"/>
    </xf>
    <xf numFmtId="0" fontId="28" fillId="6" borderId="4" applyAlignment="1" pivotButton="0" quotePrefix="0" xfId="49">
      <alignment vertical="center"/>
    </xf>
    <xf numFmtId="165" fontId="4" fillId="6" borderId="4" applyAlignment="1" applyProtection="1" pivotButton="0" quotePrefix="0" xfId="52">
      <alignment horizontal="center" vertical="center" wrapText="1"/>
      <protection locked="0" hidden="0"/>
    </xf>
    <xf numFmtId="165" fontId="62" fillId="6" borderId="4" applyAlignment="1" applyProtection="1" pivotButton="0" quotePrefix="0" xfId="52">
      <alignment horizontal="center" vertical="center" wrapText="1"/>
      <protection locked="0" hidden="0"/>
    </xf>
    <xf numFmtId="164" fontId="30" fillId="0" borderId="4" applyAlignment="1" pivotButton="0" quotePrefix="0" xfId="47">
      <alignment horizontal="right" vertical="center"/>
    </xf>
    <xf numFmtId="0" fontId="10" fillId="0" borderId="4" applyAlignment="1" pivotButton="0" quotePrefix="0" xfId="0">
      <alignment vertical="center"/>
    </xf>
    <xf numFmtId="0" fontId="65" fillId="0" borderId="0" applyAlignment="1" applyProtection="1" pivotButton="0" quotePrefix="0" xfId="0">
      <alignment vertical="center"/>
      <protection locked="0" hidden="0"/>
    </xf>
    <xf numFmtId="0" fontId="66" fillId="0" borderId="6" applyAlignment="1" applyProtection="1" pivotButton="0" quotePrefix="0" xfId="0">
      <alignment horizontal="justify" vertical="center" wrapText="1"/>
      <protection locked="0" hidden="0"/>
    </xf>
    <xf numFmtId="0" fontId="65" fillId="0" borderId="0" applyAlignment="1" applyProtection="1" pivotButton="0" quotePrefix="0" xfId="0">
      <alignment horizontal="justify" vertical="center" wrapText="1"/>
      <protection locked="0" hidden="0"/>
    </xf>
    <xf numFmtId="0" fontId="65" fillId="0" borderId="0" applyAlignment="1" applyProtection="1" pivotButton="0" quotePrefix="0" xfId="0">
      <alignment horizontal="justify" vertical="center"/>
      <protection locked="0" hidden="0"/>
    </xf>
    <xf numFmtId="0" fontId="68" fillId="0" borderId="6" applyAlignment="1" pivotButton="0" quotePrefix="0" xfId="0">
      <alignment horizontal="right" vertical="center" wrapText="1"/>
    </xf>
    <xf numFmtId="0" fontId="67" fillId="0" borderId="0" applyAlignment="1" applyProtection="1" pivotButton="0" quotePrefix="0" xfId="0">
      <alignment vertical="center"/>
      <protection locked="0" hidden="0"/>
    </xf>
    <xf numFmtId="0" fontId="67" fillId="0" borderId="0" applyAlignment="1" applyProtection="1" pivotButton="0" quotePrefix="0" xfId="0">
      <alignment vertical="center" wrapText="1"/>
      <protection locked="0" hidden="0"/>
    </xf>
    <xf numFmtId="0" fontId="65" fillId="0" borderId="0" applyAlignment="1" pivotButton="0" quotePrefix="0" xfId="0">
      <alignment horizontal="left" vertical="center"/>
    </xf>
    <xf numFmtId="0" fontId="65" fillId="0" borderId="7" applyAlignment="1" applyProtection="1" pivotButton="0" quotePrefix="0" xfId="0">
      <alignment horizontal="justify" vertical="center" wrapText="1"/>
      <protection locked="0" hidden="0"/>
    </xf>
    <xf numFmtId="0" fontId="66" fillId="0" borderId="7" applyAlignment="1" applyProtection="1" pivotButton="0" quotePrefix="0" xfId="0">
      <alignment horizontal="justify" vertical="center" wrapText="1"/>
      <protection locked="0" hidden="0"/>
    </xf>
    <xf numFmtId="0" fontId="65" fillId="0" borderId="0" applyAlignment="1" pivotButton="0" quotePrefix="0" xfId="0">
      <alignment vertical="center"/>
    </xf>
    <xf numFmtId="0" fontId="66" fillId="0" borderId="6" applyAlignment="1" pivotButton="0" quotePrefix="0" xfId="0">
      <alignment horizontal="left" vertical="center" wrapText="1"/>
    </xf>
    <xf numFmtId="0" fontId="66" fillId="0" borderId="6" applyAlignment="1" pivotButton="0" quotePrefix="0" xfId="0">
      <alignment horizontal="right" vertical="center" wrapText="1"/>
    </xf>
    <xf numFmtId="0" fontId="65" fillId="0" borderId="0" applyAlignment="1" pivotButton="0" quotePrefix="0" xfId="0">
      <alignment horizontal="left" vertical="center" wrapText="1"/>
    </xf>
    <xf numFmtId="0" fontId="65" fillId="0" borderId="7" applyAlignment="1" pivotButton="0" quotePrefix="0" xfId="0">
      <alignment horizontal="left" vertical="center" wrapText="1"/>
    </xf>
    <xf numFmtId="0" fontId="66" fillId="0" borderId="7" applyAlignment="1" pivotButton="0" quotePrefix="0" xfId="0">
      <alignment horizontal="left" vertical="center" wrapText="1"/>
    </xf>
    <xf numFmtId="164" fontId="10" fillId="0" borderId="0" applyAlignment="1" applyProtection="1" pivotButton="0" quotePrefix="0" xfId="0">
      <alignment horizontal="right" vertical="center" wrapText="1"/>
      <protection locked="0" hidden="0"/>
    </xf>
    <xf numFmtId="164" fontId="6" fillId="0" borderId="6" applyAlignment="1" applyProtection="1" pivotButton="0" quotePrefix="0" xfId="47">
      <alignment horizontal="right" vertical="center" wrapText="1" shrinkToFit="1"/>
      <protection locked="0" hidden="0"/>
    </xf>
    <xf numFmtId="0" fontId="10" fillId="0" borderId="0" applyAlignment="1" applyProtection="1" pivotButton="0" quotePrefix="0" xfId="0">
      <alignment horizontal="right" vertical="center" wrapText="1"/>
      <protection locked="0" hidden="0"/>
    </xf>
    <xf numFmtId="0" fontId="10" fillId="0" borderId="7" applyAlignment="1" applyProtection="1" pivotButton="0" quotePrefix="0" xfId="0">
      <alignment horizontal="right" vertical="center" wrapText="1"/>
      <protection locked="0" hidden="0"/>
    </xf>
    <xf numFmtId="0" fontId="10" fillId="0" borderId="0" applyAlignment="1" pivotButton="0" quotePrefix="0" xfId="0">
      <alignment horizontal="right" vertical="center" wrapText="1"/>
    </xf>
    <xf numFmtId="164" fontId="10" fillId="0" borderId="0" applyAlignment="1" pivotButton="0" quotePrefix="0" xfId="47">
      <alignment horizontal="right" vertical="center" wrapText="1"/>
    </xf>
    <xf numFmtId="0" fontId="10" fillId="0" borderId="7" applyAlignment="1" pivotButton="0" quotePrefix="0" xfId="0">
      <alignment horizontal="right" vertical="center" wrapText="1"/>
    </xf>
    <xf numFmtId="164" fontId="6" fillId="0" borderId="7" applyAlignment="1" pivotButton="0" quotePrefix="0" xfId="47">
      <alignment horizontal="right" vertical="center" wrapText="1"/>
    </xf>
    <xf numFmtId="164" fontId="6" fillId="0" borderId="6" applyAlignment="1" pivotButton="0" quotePrefix="0" xfId="47">
      <alignment horizontal="right" vertical="center" wrapText="1"/>
    </xf>
    <xf numFmtId="164" fontId="10" fillId="0" borderId="8" applyAlignment="1" pivotButton="0" quotePrefix="0" xfId="47">
      <alignment horizontal="right" vertical="center" wrapText="1"/>
    </xf>
    <xf numFmtId="164" fontId="10" fillId="0" borderId="7" applyAlignment="1" pivotButton="0" quotePrefix="0" xfId="47">
      <alignment horizontal="right" vertical="center" wrapText="1"/>
    </xf>
    <xf numFmtId="0" fontId="6" fillId="0" borderId="7" applyAlignment="1" pivotButton="0" quotePrefix="0" xfId="0">
      <alignment horizontal="right" vertical="center" wrapText="1"/>
    </xf>
    <xf numFmtId="164" fontId="69" fillId="0" borderId="7" applyAlignment="1" applyProtection="1" pivotButton="0" quotePrefix="0" xfId="47">
      <alignment horizontal="right" vertical="center" wrapText="1"/>
      <protection locked="0" hidden="0"/>
    </xf>
    <xf numFmtId="164" fontId="6" fillId="0" borderId="7" applyAlignment="1" applyProtection="1" pivotButton="0" quotePrefix="0" xfId="47">
      <alignment horizontal="right" vertical="center" wrapText="1"/>
      <protection locked="0" hidden="0"/>
    </xf>
    <xf numFmtId="0" fontId="66" fillId="0" borderId="6" applyAlignment="1" applyProtection="1" pivotButton="0" quotePrefix="0" xfId="0">
      <alignment horizontal="center" vertical="center" wrapText="1"/>
      <protection locked="0" hidden="0"/>
    </xf>
    <xf numFmtId="0" fontId="66" fillId="8" borderId="6" applyAlignment="1" applyProtection="1" pivotButton="0" quotePrefix="0" xfId="0">
      <alignment horizontal="center" vertical="center" wrapText="1"/>
      <protection locked="0" hidden="0"/>
    </xf>
    <xf numFmtId="0" fontId="10" fillId="8" borderId="0" applyAlignment="1" applyProtection="1" pivotButton="0" quotePrefix="0" xfId="0">
      <alignment horizontal="right" vertical="center" wrapText="1"/>
      <protection locked="0" hidden="0"/>
    </xf>
    <xf numFmtId="0" fontId="10" fillId="8" borderId="7" applyAlignment="1" applyProtection="1" pivotButton="0" quotePrefix="0" xfId="0">
      <alignment horizontal="right" vertical="center" wrapText="1"/>
      <protection locked="0" hidden="0"/>
    </xf>
    <xf numFmtId="164" fontId="69" fillId="8" borderId="7" applyAlignment="1" applyProtection="1" pivotButton="0" quotePrefix="0" xfId="47">
      <alignment horizontal="right" vertical="center" wrapText="1"/>
      <protection locked="0" hidden="0"/>
    </xf>
    <xf numFmtId="0" fontId="66" fillId="0" borderId="6" applyAlignment="1" pivotButton="0" quotePrefix="0" xfId="0">
      <alignment horizontal="center" vertical="center" wrapText="1"/>
    </xf>
    <xf numFmtId="0" fontId="66" fillId="8" borderId="6" applyAlignment="1" pivotButton="0" quotePrefix="0" xfId="0">
      <alignment horizontal="center" vertical="center" wrapText="1"/>
    </xf>
    <xf numFmtId="164" fontId="10" fillId="8" borderId="0" applyAlignment="1" pivotButton="0" quotePrefix="0" xfId="47">
      <alignment horizontal="right" vertical="center" wrapText="1"/>
    </xf>
    <xf numFmtId="164" fontId="6" fillId="8" borderId="6" applyAlignment="1" pivotButton="0" quotePrefix="0" xfId="47">
      <alignment horizontal="right" vertical="center" wrapText="1"/>
    </xf>
    <xf numFmtId="164" fontId="11" fillId="0" borderId="0" applyAlignment="1" pivotButton="0" quotePrefix="0" xfId="39">
      <alignment horizontal="right" vertical="center"/>
    </xf>
    <xf numFmtId="49" fontId="10" fillId="0" borderId="0" applyAlignment="1" pivotButton="0" quotePrefix="0" xfId="39">
      <alignment horizontal="left" vertical="center"/>
    </xf>
    <xf numFmtId="164" fontId="30" fillId="9" borderId="4" applyAlignment="1" pivotButton="0" quotePrefix="0" xfId="47">
      <alignment horizontal="right" vertical="center"/>
    </xf>
    <xf numFmtId="164" fontId="10" fillId="9" borderId="4" applyAlignment="1" pivotButton="0" quotePrefix="0" xfId="47">
      <alignment horizontal="right" vertical="center" wrapText="1"/>
    </xf>
    <xf numFmtId="10" fontId="10" fillId="9" borderId="4" applyAlignment="1" pivotButton="0" quotePrefix="0" xfId="31">
      <alignment horizontal="right" vertical="center" wrapText="1"/>
    </xf>
    <xf numFmtId="164" fontId="10" fillId="0" borderId="0" applyAlignment="1" pivotButton="0" quotePrefix="0" xfId="39">
      <alignment horizontal="right" vertical="center"/>
    </xf>
    <xf numFmtId="164" fontId="64" fillId="0" borderId="0" applyAlignment="1" pivotButton="0" quotePrefix="0" xfId="39">
      <alignment horizontal="left" vertical="center"/>
    </xf>
    <xf numFmtId="0" fontId="11" fillId="0" borderId="0" applyAlignment="1" applyProtection="1" pivotButton="0" quotePrefix="0" xfId="32">
      <alignment horizontal="left" vertical="center"/>
      <protection locked="0" hidden="0"/>
    </xf>
    <xf numFmtId="164" fontId="37" fillId="9" borderId="4" applyAlignment="1" pivotButton="0" quotePrefix="0" xfId="35">
      <alignment horizontal="right" vertical="center" shrinkToFit="1"/>
    </xf>
    <xf numFmtId="0" fontId="28" fillId="6" borderId="4" applyAlignment="1" pivotButton="0" quotePrefix="0" xfId="49">
      <alignment vertical="center" wrapText="1"/>
    </xf>
    <xf numFmtId="0" fontId="11" fillId="0" borderId="4" applyAlignment="1" applyProtection="1" pivotButton="0" quotePrefix="0" xfId="49">
      <alignment horizontal="center" vertical="center" wrapText="1"/>
      <protection locked="0" hidden="0"/>
    </xf>
    <xf numFmtId="0" fontId="6" fillId="0" borderId="0" applyAlignment="1" applyProtection="1" pivotButton="0" quotePrefix="0" xfId="32">
      <alignment horizontal="justify" vertical="center"/>
      <protection locked="0" hidden="0"/>
    </xf>
    <xf numFmtId="0" fontId="10" fillId="0" borderId="0" applyAlignment="1" applyProtection="1" pivotButton="0" quotePrefix="0" xfId="32">
      <alignment vertical="center"/>
      <protection locked="0" hidden="0"/>
    </xf>
    <xf numFmtId="0" fontId="4" fillId="6" borderId="4" applyAlignment="1" applyProtection="1" pivotButton="0" quotePrefix="0" xfId="50">
      <alignment horizontal="center" vertical="center"/>
      <protection locked="0" hidden="0"/>
    </xf>
    <xf numFmtId="0" fontId="4" fillId="6" borderId="4" applyAlignment="1" applyProtection="1" pivotButton="0" quotePrefix="0" xfId="50">
      <alignment horizontal="center" vertical="center" wrapText="1"/>
      <protection locked="0" hidden="0"/>
    </xf>
    <xf numFmtId="0" fontId="10" fillId="0" borderId="4" applyAlignment="1" applyProtection="1" pivotButton="0" quotePrefix="0" xfId="32">
      <alignment horizontal="center" vertical="center" wrapText="1"/>
      <protection locked="0" hidden="0"/>
    </xf>
    <xf numFmtId="0" fontId="10" fillId="0" borderId="4" applyAlignment="1" applyProtection="1" pivotButton="0" quotePrefix="0" xfId="32">
      <alignment vertical="center" wrapText="1"/>
      <protection locked="0" hidden="0"/>
    </xf>
    <xf numFmtId="49" fontId="10" fillId="0" borderId="4" applyAlignment="1" pivotButton="0" quotePrefix="0" xfId="40">
      <alignment horizontal="center" vertical="center"/>
    </xf>
    <xf numFmtId="0" fontId="10" fillId="0" borderId="5" applyAlignment="1" applyProtection="1" pivotButton="0" quotePrefix="0" xfId="32">
      <alignment horizontal="center" vertical="center" wrapText="1"/>
      <protection locked="0" hidden="0"/>
    </xf>
    <xf numFmtId="0" fontId="19" fillId="0" borderId="5" applyAlignment="1" applyProtection="1" pivotButton="0" quotePrefix="0" xfId="48">
      <alignment vertical="center" wrapText="1"/>
      <protection locked="0" hidden="0"/>
    </xf>
    <xf numFmtId="0" fontId="11" fillId="0" borderId="4" applyAlignment="1" applyProtection="1" pivotButton="0" quotePrefix="0" xfId="50">
      <alignment horizontal="center" vertical="center"/>
      <protection locked="0" hidden="0"/>
    </xf>
    <xf numFmtId="0" fontId="10" fillId="0" borderId="4" applyAlignment="1" applyProtection="1" pivotButton="0" quotePrefix="0" xfId="49">
      <alignment horizontal="left" vertical="center" wrapText="1"/>
      <protection locked="0" hidden="0"/>
    </xf>
    <xf numFmtId="0" fontId="11" fillId="0" borderId="4" applyAlignment="1" applyProtection="1" pivotButton="0" quotePrefix="0" xfId="49">
      <alignment horizontal="left" vertical="center" wrapText="1"/>
      <protection locked="0" hidden="0"/>
    </xf>
    <xf numFmtId="0" fontId="64" fillId="0" borderId="4" applyAlignment="1" pivotButton="0" quotePrefix="0" xfId="50">
      <alignment horizontal="center" vertical="center" wrapText="1"/>
    </xf>
    <xf numFmtId="0" fontId="56" fillId="0" borderId="4" applyAlignment="1" pivotButton="0" quotePrefix="0" xfId="50">
      <alignment horizontal="center" vertical="center" wrapText="1"/>
    </xf>
    <xf numFmtId="0" fontId="64" fillId="0" borderId="5" applyAlignment="1" pivotButton="0" quotePrefix="0" xfId="48">
      <alignment horizontal="center" vertical="center" wrapText="1"/>
    </xf>
    <xf numFmtId="0" fontId="10" fillId="0" borderId="5" applyAlignment="1" applyProtection="1" pivotButton="0" quotePrefix="0" xfId="49">
      <alignment horizontal="center" vertical="center" wrapText="1" shrinkToFit="1"/>
      <protection locked="0" hidden="0"/>
    </xf>
    <xf numFmtId="0" fontId="70" fillId="0" borderId="4" applyAlignment="1" pivotButton="0" quotePrefix="0" xfId="50">
      <alignment horizontal="center" vertical="center" wrapText="1"/>
    </xf>
    <xf numFmtId="0" fontId="4" fillId="0" borderId="4" applyAlignment="1" applyProtection="1" pivotButton="0" quotePrefix="0" xfId="50">
      <alignment horizontal="center" vertical="center"/>
      <protection locked="0" hidden="0"/>
    </xf>
    <xf numFmtId="0" fontId="10" fillId="0" borderId="4" applyAlignment="1" applyProtection="1" pivotButton="0" quotePrefix="0" xfId="49">
      <alignment horizontal="center" vertical="center" wrapText="1"/>
      <protection locked="0" hidden="0"/>
    </xf>
    <xf numFmtId="0" fontId="10" fillId="0" borderId="0" applyAlignment="1" applyProtection="1" pivotButton="0" quotePrefix="0" xfId="55">
      <alignment vertical="center"/>
      <protection locked="0" hidden="0"/>
    </xf>
    <xf numFmtId="0" fontId="65" fillId="0" borderId="0" applyAlignment="1" pivotButton="0" quotePrefix="0" xfId="0">
      <alignment horizontal="left" vertical="center"/>
    </xf>
    <xf numFmtId="0" fontId="10" fillId="0" borderId="0" applyAlignment="1" applyProtection="1" pivotButton="0" quotePrefix="0" xfId="0">
      <alignment vertical="center"/>
      <protection locked="0" hidden="0"/>
    </xf>
    <xf numFmtId="0" fontId="10" fillId="0" borderId="0" applyProtection="1" pivotButton="0" quotePrefix="0" xfId="55">
      <protection locked="0" hidden="0"/>
    </xf>
    <xf numFmtId="0" fontId="30" fillId="0" borderId="4" applyAlignment="1" pivotButton="0" quotePrefix="0" xfId="49">
      <alignment vertical="center"/>
    </xf>
    <xf numFmtId="165" fontId="4" fillId="0" borderId="0" applyAlignment="1" pivotButton="0" quotePrefix="0" xfId="56">
      <alignment vertical="center"/>
    </xf>
    <xf numFmtId="165" fontId="4" fillId="0" borderId="0" applyAlignment="1" pivotButton="0" quotePrefix="0" xfId="56">
      <alignment vertical="center" wrapText="1"/>
    </xf>
    <xf numFmtId="165" fontId="10" fillId="0" borderId="0" applyAlignment="1" pivotButton="0" quotePrefix="0" xfId="56">
      <alignment horizontal="left" vertical="center"/>
    </xf>
    <xf numFmtId="165" fontId="4" fillId="0" borderId="0" applyAlignment="1" pivotButton="0" quotePrefix="0" xfId="56">
      <alignment horizontal="left" vertical="center" wrapText="1"/>
    </xf>
    <xf numFmtId="165" fontId="11" fillId="0" borderId="0" applyAlignment="1" pivotButton="0" quotePrefix="0" xfId="56">
      <alignment horizontal="left" vertical="center"/>
    </xf>
    <xf numFmtId="165" fontId="73" fillId="0" borderId="0" applyAlignment="1" pivotButton="0" quotePrefix="0" xfId="56">
      <alignment horizontal="left" vertical="center"/>
    </xf>
    <xf numFmtId="165" fontId="3" fillId="0" borderId="0" applyProtection="1" pivotButton="0" quotePrefix="0" xfId="57">
      <protection locked="0" hidden="0"/>
    </xf>
    <xf numFmtId="165" fontId="74" fillId="0" borderId="0" applyAlignment="1" pivotButton="0" quotePrefix="0" xfId="56">
      <alignment horizontal="left" vertical="center"/>
    </xf>
    <xf numFmtId="0" fontId="6" fillId="0" borderId="0" applyAlignment="1" pivotButton="0" quotePrefix="0" xfId="37">
      <alignment vertical="center"/>
    </xf>
    <xf numFmtId="0" fontId="10" fillId="5" borderId="0" applyAlignment="1" applyProtection="1" pivotButton="0" quotePrefix="0" xfId="0">
      <alignment horizontal="justify" vertical="center" wrapText="1"/>
      <protection locked="0" hidden="0"/>
    </xf>
    <xf numFmtId="165" fontId="10" fillId="0" borderId="4" applyAlignment="1" applyProtection="1" pivotButton="0" quotePrefix="0" xfId="57">
      <alignment vertical="center"/>
      <protection locked="0" hidden="0"/>
    </xf>
    <xf numFmtId="165" fontId="30" fillId="0" borderId="4" applyAlignment="1" pivotButton="0" quotePrefix="0" xfId="59">
      <alignment vertical="center"/>
    </xf>
    <xf numFmtId="164" fontId="30" fillId="0" borderId="4" applyAlignment="1" pivotButton="0" quotePrefix="0" xfId="47">
      <alignment vertical="center"/>
    </xf>
    <xf numFmtId="165" fontId="30" fillId="0" borderId="4" applyAlignment="1" pivotButton="0" quotePrefix="0" xfId="59">
      <alignment horizontal="center" vertical="center"/>
    </xf>
    <xf numFmtId="0" fontId="11" fillId="0" borderId="0" applyAlignment="1" applyProtection="1" pivotButton="0" quotePrefix="0" xfId="0">
      <alignment vertical="center"/>
      <protection locked="0" hidden="0"/>
    </xf>
    <xf numFmtId="0" fontId="30" fillId="0" borderId="0" applyAlignment="1" pivotButton="0" quotePrefix="0" xfId="0">
      <alignment vertical="center"/>
    </xf>
    <xf numFmtId="0" fontId="30" fillId="0" borderId="2" applyAlignment="1" pivotButton="0" quotePrefix="0" xfId="0">
      <alignment vertical="center"/>
    </xf>
    <xf numFmtId="0" fontId="31" fillId="0" borderId="2" applyAlignment="1" pivotButton="0" quotePrefix="0" xfId="0">
      <alignment vertical="center"/>
    </xf>
    <xf numFmtId="0" fontId="63" fillId="0" borderId="2" applyAlignment="1" pivotButton="0" quotePrefix="0" xfId="0">
      <alignment vertical="center"/>
    </xf>
    <xf numFmtId="0" fontId="75" fillId="7" borderId="0" applyAlignment="1" applyProtection="1" pivotButton="0" quotePrefix="0" xfId="50">
      <alignment horizontal="left" vertical="top" wrapText="1"/>
      <protection locked="0" hidden="0"/>
    </xf>
    <xf numFmtId="165" fontId="10" fillId="0" borderId="4" applyAlignment="1" applyProtection="1" pivotButton="0" quotePrefix="0" xfId="57">
      <alignment horizontal="center" vertical="center" wrapText="1"/>
      <protection locked="0" hidden="0"/>
    </xf>
    <xf numFmtId="0" fontId="31" fillId="6" borderId="4" applyAlignment="1" pivotButton="0" quotePrefix="0" xfId="0">
      <alignment horizontal="center" vertical="center"/>
    </xf>
    <xf numFmtId="0" fontId="49" fillId="0" borderId="0" applyAlignment="1" applyProtection="1" pivotButton="0" quotePrefix="0" xfId="32">
      <alignment horizontal="left" vertical="center"/>
      <protection locked="0" hidden="0"/>
    </xf>
    <xf numFmtId="165" fontId="4" fillId="6" borderId="4" applyAlignment="1" applyProtection="1" pivotButton="0" quotePrefix="0" xfId="57">
      <alignment horizontal="center" vertical="center"/>
      <protection locked="0" hidden="0"/>
    </xf>
    <xf numFmtId="14" fontId="10" fillId="0" borderId="4" applyAlignment="1" applyProtection="1" pivotButton="0" quotePrefix="0" xfId="57">
      <alignment horizontal="center" vertical="center"/>
      <protection locked="0" hidden="0"/>
    </xf>
    <xf numFmtId="49" fontId="10" fillId="0" borderId="4" applyAlignment="1" applyProtection="1" pivotButton="0" quotePrefix="0" xfId="57">
      <alignment horizontal="center" vertical="center"/>
      <protection locked="0" hidden="0"/>
    </xf>
    <xf numFmtId="164" fontId="10" fillId="0" borderId="4" applyAlignment="1" applyProtection="1" pivotButton="0" quotePrefix="0" xfId="60">
      <alignment vertical="center"/>
      <protection locked="0" hidden="0"/>
    </xf>
    <xf numFmtId="49" fontId="10" fillId="0" borderId="4" applyAlignment="1" applyProtection="1" pivotButton="0" quotePrefix="0" xfId="57">
      <alignment vertical="center"/>
      <protection locked="0" hidden="0"/>
    </xf>
    <xf numFmtId="165" fontId="11" fillId="6" borderId="4" applyAlignment="1" applyProtection="1" pivotButton="0" quotePrefix="0" xfId="57">
      <alignment vertical="center"/>
      <protection locked="0" hidden="0"/>
    </xf>
    <xf numFmtId="164" fontId="6" fillId="6" borderId="4" applyAlignment="1" applyProtection="1" pivotButton="0" quotePrefix="0" xfId="60">
      <alignment vertical="center"/>
      <protection locked="0" hidden="0"/>
    </xf>
    <xf numFmtId="165" fontId="4" fillId="6" borderId="4" applyAlignment="1" applyProtection="1" pivotButton="0" quotePrefix="0" xfId="57">
      <alignment vertical="center"/>
      <protection locked="0" hidden="0"/>
    </xf>
    <xf numFmtId="164" fontId="48" fillId="0" borderId="4" applyAlignment="1" pivotButton="0" quotePrefix="0" xfId="47">
      <alignment horizontal="left" vertical="center"/>
    </xf>
    <xf numFmtId="0" fontId="10" fillId="0" borderId="0" applyAlignment="1" pivotButton="0" quotePrefix="0" xfId="0">
      <alignment horizontal="left" vertical="center"/>
    </xf>
    <xf numFmtId="0" fontId="73" fillId="0" borderId="0" applyAlignment="1" applyProtection="1" pivotButton="0" quotePrefix="0" xfId="0">
      <alignment vertical="center"/>
      <protection locked="0" hidden="0"/>
    </xf>
    <xf numFmtId="0" fontId="10" fillId="0" borderId="0" applyAlignment="1" applyProtection="1" pivotButton="0" quotePrefix="0" xfId="0">
      <alignment horizontal="left" vertical="center"/>
      <protection locked="0" hidden="0"/>
    </xf>
    <xf numFmtId="0" fontId="10" fillId="0" borderId="0" applyAlignment="1" applyProtection="1" pivotButton="0" quotePrefix="0" xfId="0">
      <alignment vertical="center"/>
      <protection locked="0" hidden="0"/>
    </xf>
    <xf numFmtId="0" fontId="64" fillId="0" borderId="0" applyAlignment="1" applyProtection="1" pivotButton="0" quotePrefix="0" xfId="0">
      <alignment vertical="center"/>
      <protection locked="0" hidden="0"/>
    </xf>
    <xf numFmtId="0" fontId="64" fillId="0" borderId="0" applyProtection="1" pivotButton="0" quotePrefix="0" xfId="0">
      <protection locked="0" hidden="0"/>
    </xf>
    <xf numFmtId="0" fontId="6" fillId="0" borderId="6" applyAlignment="1" applyProtection="1" pivotButton="0" quotePrefix="0" xfId="0">
      <alignment horizontal="justify" vertical="center" wrapText="1"/>
      <protection locked="0" hidden="0"/>
    </xf>
    <xf numFmtId="0" fontId="6" fillId="0" borderId="6" applyAlignment="1" applyProtection="1" pivotButton="0" quotePrefix="0" xfId="0">
      <alignment horizontal="right" vertical="center" wrapText="1"/>
      <protection locked="0" hidden="0"/>
    </xf>
    <xf numFmtId="0" fontId="10" fillId="0" borderId="0" applyAlignment="1" applyProtection="1" pivotButton="0" quotePrefix="0" xfId="0">
      <alignment horizontal="justify" vertical="center" wrapText="1"/>
      <protection locked="0" hidden="0"/>
    </xf>
    <xf numFmtId="164" fontId="73" fillId="0" borderId="0" applyAlignment="1" pivotButton="0" quotePrefix="0" xfId="0">
      <alignment vertical="center"/>
    </xf>
    <xf numFmtId="164" fontId="10" fillId="0" borderId="0" applyAlignment="1" applyProtection="1" pivotButton="0" quotePrefix="0" xfId="47">
      <alignment horizontal="justify" vertical="center" wrapText="1"/>
      <protection locked="0" hidden="0"/>
    </xf>
    <xf numFmtId="165" fontId="66" fillId="6" borderId="4" applyAlignment="1" applyProtection="1" pivotButton="0" quotePrefix="0" xfId="35">
      <alignment horizontal="center" vertical="center"/>
      <protection locked="0" hidden="0"/>
    </xf>
    <xf numFmtId="165" fontId="81" fillId="6" borderId="4" applyAlignment="1" applyProtection="1" pivotButton="0" quotePrefix="0" xfId="35">
      <alignment horizontal="center" vertical="center"/>
      <protection locked="0" hidden="0"/>
    </xf>
    <xf numFmtId="165" fontId="81" fillId="6" borderId="5" applyAlignment="1" applyProtection="1" pivotButton="0" quotePrefix="0" xfId="35">
      <alignment horizontal="center" vertical="center"/>
      <protection locked="0" hidden="0"/>
    </xf>
    <xf numFmtId="0" fontId="74" fillId="0" borderId="0" applyProtection="1" pivotButton="0" quotePrefix="0" xfId="32">
      <protection locked="0" hidden="0"/>
    </xf>
    <xf numFmtId="0" fontId="73" fillId="0" borderId="0" applyProtection="1" pivotButton="0" quotePrefix="0" xfId="32">
      <protection locked="0" hidden="0"/>
    </xf>
    <xf numFmtId="0" fontId="34" fillId="0" borderId="0" applyAlignment="1" pivotButton="0" quotePrefix="0" xfId="0">
      <alignment horizontal="center" vertical="center"/>
    </xf>
    <xf numFmtId="0" fontId="10" fillId="0" borderId="4" applyAlignment="1" applyProtection="1" pivotButton="0" quotePrefix="0" xfId="49">
      <alignment horizontal="left" vertical="center" wrapText="1"/>
      <protection locked="0" hidden="0"/>
    </xf>
    <xf numFmtId="0" fontId="28" fillId="6" borderId="4" applyAlignment="1" pivotButton="0" quotePrefix="0" xfId="0">
      <alignment horizontal="center" vertical="center"/>
    </xf>
    <xf numFmtId="0" fontId="49" fillId="0" borderId="0" applyAlignment="1" applyProtection="1" pivotButton="0" quotePrefix="0" xfId="0">
      <alignment horizontal="left" vertical="center"/>
      <protection locked="0" hidden="0"/>
    </xf>
    <xf numFmtId="0" fontId="4" fillId="0" borderId="0" applyAlignment="1" applyProtection="1" pivotButton="0" quotePrefix="0" xfId="0">
      <alignment vertical="center"/>
      <protection locked="0" hidden="0"/>
    </xf>
    <xf numFmtId="0" fontId="10" fillId="0" borderId="0" applyAlignment="1" applyProtection="1" pivotButton="0" quotePrefix="0" xfId="50">
      <alignment vertical="center"/>
      <protection locked="0" hidden="0"/>
    </xf>
    <xf numFmtId="0" fontId="10" fillId="0" borderId="0" applyAlignment="1" applyProtection="1" pivotButton="0" quotePrefix="0" xfId="50">
      <alignment vertical="center"/>
      <protection locked="0" hidden="0"/>
    </xf>
    <xf numFmtId="49" fontId="4" fillId="0" borderId="0" applyAlignment="1" applyProtection="1" pivotButton="0" quotePrefix="0" xfId="50">
      <alignment horizontal="left" vertical="center"/>
      <protection locked="0" hidden="0"/>
    </xf>
    <xf numFmtId="0" fontId="6" fillId="0" borderId="0" applyAlignment="1" applyProtection="1" pivotButton="0" quotePrefix="0" xfId="50">
      <alignment horizontal="justify" vertical="center"/>
      <protection locked="0" hidden="0"/>
    </xf>
    <xf numFmtId="0" fontId="11" fillId="0" borderId="0" applyAlignment="1" applyProtection="1" pivotButton="0" quotePrefix="0" xfId="32">
      <alignment horizontal="right" vertical="center"/>
      <protection locked="0" hidden="0"/>
    </xf>
    <xf numFmtId="0" fontId="71" fillId="0" borderId="14" applyAlignment="1" applyProtection="1" pivotButton="0" quotePrefix="0" xfId="32">
      <alignment horizontal="left" vertical="center" wrapText="1"/>
      <protection locked="0" hidden="0"/>
    </xf>
    <xf numFmtId="0" fontId="49" fillId="0" borderId="0" applyAlignment="1" applyProtection="1" pivotButton="0" quotePrefix="0" xfId="32">
      <alignment vertical="center"/>
      <protection locked="0" hidden="0"/>
    </xf>
    <xf numFmtId="165" fontId="11" fillId="0" borderId="4" applyAlignment="1" applyProtection="1" pivotButton="0" quotePrefix="0" xfId="57">
      <alignment horizontal="left" vertical="center" wrapText="1"/>
      <protection locked="0" hidden="0"/>
    </xf>
    <xf numFmtId="164" fontId="30" fillId="6" borderId="4" applyAlignment="1" pivotButton="0" quotePrefix="0" xfId="47">
      <alignment horizontal="right" vertical="center"/>
    </xf>
    <xf numFmtId="0" fontId="81" fillId="6" borderId="4" applyAlignment="1" pivotButton="0" quotePrefix="0" xfId="0">
      <alignment horizontal="center" vertical="center"/>
    </xf>
    <xf numFmtId="164" fontId="30" fillId="6" borderId="4" applyAlignment="1" pivotButton="0" quotePrefix="0" xfId="47">
      <alignment vertical="center"/>
    </xf>
    <xf numFmtId="0" fontId="6" fillId="6" borderId="4" applyAlignment="1" applyProtection="1" pivotButton="0" quotePrefix="0" xfId="0">
      <alignment horizontal="center" vertical="center"/>
      <protection locked="0" hidden="0"/>
    </xf>
    <xf numFmtId="0" fontId="10" fillId="0" borderId="4" applyAlignment="1" applyProtection="1" pivotButton="0" quotePrefix="0" xfId="0">
      <alignment horizontal="center" vertical="center"/>
      <protection locked="0" hidden="0"/>
    </xf>
    <xf numFmtId="0" fontId="10" fillId="0" borderId="4" applyAlignment="1" applyProtection="1" pivotButton="0" quotePrefix="0" xfId="60">
      <alignment horizontal="center" vertical="center"/>
      <protection locked="0" hidden="0"/>
    </xf>
    <xf numFmtId="165" fontId="11" fillId="0" borderId="4" applyAlignment="1" applyProtection="1" pivotButton="0" quotePrefix="0" xfId="57">
      <alignment vertical="center"/>
      <protection locked="0" hidden="0"/>
    </xf>
    <xf numFmtId="49" fontId="11" fillId="0" borderId="4" applyAlignment="1" applyProtection="1" pivotButton="0" quotePrefix="0" xfId="57">
      <alignment horizontal="center" vertical="center"/>
      <protection locked="0" hidden="0"/>
    </xf>
    <xf numFmtId="0" fontId="42" fillId="0" borderId="2" applyAlignment="1" pivotButton="0" quotePrefix="1" xfId="41">
      <alignment vertical="center"/>
    </xf>
    <xf numFmtId="0" fontId="13" fillId="0" borderId="0" applyAlignment="1" applyProtection="1" pivotButton="0" quotePrefix="0" xfId="41">
      <alignment vertical="center"/>
      <protection locked="0" hidden="0"/>
    </xf>
    <xf numFmtId="164" fontId="33" fillId="0" borderId="0" applyAlignment="1" pivotButton="0" quotePrefix="0" xfId="41">
      <alignment vertical="center"/>
    </xf>
    <xf numFmtId="0" fontId="49" fillId="0" borderId="4" applyAlignment="1" applyProtection="1" pivotButton="0" quotePrefix="0" xfId="32">
      <alignment horizontal="center" vertical="center" wrapText="1"/>
      <protection locked="0" hidden="0"/>
    </xf>
    <xf numFmtId="0" fontId="4" fillId="6" borderId="4" applyAlignment="1" applyProtection="1" pivotButton="0" quotePrefix="0" xfId="32">
      <alignment horizontal="center" vertical="center"/>
      <protection locked="0" hidden="0"/>
    </xf>
    <xf numFmtId="0" fontId="4" fillId="6" borderId="4" applyAlignment="1" applyProtection="1" pivotButton="0" quotePrefix="0" xfId="32">
      <alignment horizontal="center" vertical="center" wrapText="1"/>
      <protection locked="0" hidden="0"/>
    </xf>
    <xf numFmtId="0" fontId="11" fillId="5" borderId="0" applyAlignment="1" applyProtection="1" pivotButton="0" quotePrefix="0" xfId="0">
      <alignment horizontal="justify" vertical="center" wrapText="1"/>
      <protection locked="0" hidden="0"/>
    </xf>
    <xf numFmtId="0" fontId="10" fillId="0" borderId="0" applyAlignment="1" applyProtection="1" pivotButton="0" quotePrefix="0" xfId="32">
      <alignment horizontal="center" vertical="center"/>
      <protection locked="0" hidden="0"/>
    </xf>
    <xf numFmtId="0" fontId="54" fillId="0" borderId="0" applyAlignment="1" applyProtection="1" pivotButton="0" quotePrefix="0" xfId="0">
      <alignment horizontal="center" vertical="center"/>
      <protection locked="0" hidden="0"/>
    </xf>
    <xf numFmtId="165" fontId="74" fillId="0" borderId="0" applyAlignment="1" pivotButton="0" quotePrefix="0" xfId="61">
      <alignment horizontal="left" vertical="center"/>
    </xf>
    <xf numFmtId="0" fontId="74" fillId="0" borderId="0" applyAlignment="1" pivotButton="0" quotePrefix="0" xfId="38">
      <alignment horizontal="left" vertical="center"/>
    </xf>
    <xf numFmtId="0" fontId="10" fillId="0" borderId="0" applyAlignment="1" applyProtection="1" pivotButton="0" quotePrefix="0" xfId="32">
      <alignment horizontal="left" vertical="center"/>
      <protection locked="0" hidden="0"/>
    </xf>
    <xf numFmtId="0" fontId="11" fillId="0" borderId="4" applyAlignment="1" applyProtection="1" pivotButton="0" quotePrefix="0" xfId="0">
      <alignment horizontal="center" vertical="center"/>
      <protection locked="0" hidden="0"/>
    </xf>
    <xf numFmtId="0" fontId="52" fillId="0" borderId="0" applyAlignment="1" applyProtection="1" pivotButton="0" quotePrefix="0" xfId="32">
      <alignment vertical="center"/>
      <protection locked="0" hidden="0"/>
    </xf>
    <xf numFmtId="164" fontId="10" fillId="0" borderId="4" applyAlignment="1" applyProtection="1" pivotButton="0" quotePrefix="0" xfId="60">
      <alignment horizontal="center" vertical="center"/>
      <protection locked="0" hidden="0"/>
    </xf>
    <xf numFmtId="10" fontId="10" fillId="0" borderId="4" applyAlignment="1" applyProtection="1" pivotButton="0" quotePrefix="0" xfId="31">
      <alignment horizontal="center" vertical="center"/>
      <protection locked="0" hidden="0"/>
    </xf>
    <xf numFmtId="0" fontId="11" fillId="0" borderId="0" applyAlignment="1" applyProtection="1" pivotButton="0" quotePrefix="0" xfId="0">
      <alignment horizontal="center" vertical="center"/>
      <protection locked="0" hidden="0"/>
    </xf>
    <xf numFmtId="164" fontId="10" fillId="0" borderId="0" applyAlignment="1" applyProtection="1" pivotButton="0" quotePrefix="0" xfId="60">
      <alignment horizontal="center" vertical="center"/>
      <protection locked="0" hidden="0"/>
    </xf>
    <xf numFmtId="10" fontId="10" fillId="0" borderId="0" applyAlignment="1" applyProtection="1" pivotButton="0" quotePrefix="0" xfId="31">
      <alignment horizontal="center" vertical="center"/>
      <protection locked="0" hidden="0"/>
    </xf>
    <xf numFmtId="0" fontId="34" fillId="0" borderId="0" applyAlignment="1" pivotButton="0" quotePrefix="0" xfId="0">
      <alignment horizontal="center" vertical="center"/>
    </xf>
    <xf numFmtId="0" fontId="9" fillId="0" borderId="0" applyAlignment="1" applyProtection="1" pivotButton="0" quotePrefix="0" xfId="0">
      <alignment horizontal="left" vertical="center" wrapText="1"/>
      <protection locked="0" hidden="0"/>
    </xf>
    <xf numFmtId="0" fontId="7" fillId="0" borderId="0" applyAlignment="1" applyProtection="1" pivotButton="0" quotePrefix="0" xfId="0">
      <alignment horizontal="left" vertical="center" wrapText="1"/>
      <protection locked="0" hidden="0"/>
    </xf>
    <xf numFmtId="0" fontId="8" fillId="0" borderId="0" applyAlignment="1" pivotButton="0" quotePrefix="0" xfId="36">
      <alignment horizontal="center" vertical="center"/>
    </xf>
    <xf numFmtId="0" fontId="54" fillId="0" borderId="0" applyAlignment="1" pivotButton="0" quotePrefix="0" xfId="36">
      <alignment horizontal="center" vertical="center"/>
    </xf>
    <xf numFmtId="0" fontId="11" fillId="0" borderId="0" applyAlignment="1" applyProtection="1" pivotButton="0" quotePrefix="0" xfId="32">
      <alignment horizontal="left" vertical="center" wrapText="1"/>
      <protection locked="0" hidden="0"/>
    </xf>
    <xf numFmtId="0" fontId="10" fillId="0" borderId="0" applyAlignment="1" applyProtection="1" pivotButton="0" quotePrefix="0" xfId="32">
      <alignment horizontal="left" vertical="center" wrapText="1"/>
      <protection locked="0" hidden="0"/>
    </xf>
    <xf numFmtId="0" fontId="6" fillId="6" borderId="4" applyAlignment="1" applyProtection="1" pivotButton="0" quotePrefix="0" xfId="49">
      <alignment horizontal="center" vertical="center" wrapText="1"/>
      <protection locked="0" hidden="0"/>
    </xf>
    <xf numFmtId="165" fontId="4" fillId="6" borderId="4" applyAlignment="1" applyProtection="1" pivotButton="0" quotePrefix="0" xfId="57">
      <alignment horizontal="center" vertical="center" wrapText="1"/>
      <protection locked="0" hidden="0"/>
    </xf>
    <xf numFmtId="0" fontId="4" fillId="0" borderId="0" applyAlignment="1" applyProtection="1" pivotButton="0" quotePrefix="0" xfId="32">
      <alignment horizontal="left" vertical="center"/>
      <protection locked="0" hidden="0"/>
    </xf>
    <xf numFmtId="0" fontId="6" fillId="0" borderId="0" applyAlignment="1" applyProtection="1" pivotButton="0" quotePrefix="0" xfId="32">
      <alignment horizontal="left" vertical="center"/>
      <protection locked="0" hidden="0"/>
    </xf>
    <xf numFmtId="0" fontId="10" fillId="0" borderId="0" applyAlignment="1" applyProtection="1" pivotButton="0" quotePrefix="0" xfId="32">
      <alignment horizontal="center" vertical="center"/>
      <protection locked="0" hidden="0"/>
    </xf>
    <xf numFmtId="0" fontId="4" fillId="6" borderId="4" applyAlignment="1" applyProtection="1" pivotButton="0" quotePrefix="0" xfId="50">
      <alignment horizontal="center" vertical="center"/>
      <protection locked="0" hidden="0"/>
    </xf>
    <xf numFmtId="0" fontId="6" fillId="6" borderId="4" applyAlignment="1" applyProtection="1" pivotButton="0" quotePrefix="0" xfId="50">
      <alignment horizontal="center" vertical="center"/>
      <protection locked="0" hidden="0"/>
    </xf>
    <xf numFmtId="49" fontId="4" fillId="6" borderId="11" applyAlignment="1" applyProtection="1" pivotButton="0" quotePrefix="0" xfId="32">
      <alignment horizontal="center" vertical="center"/>
      <protection locked="0" hidden="0"/>
    </xf>
    <xf numFmtId="49" fontId="4" fillId="6" borderId="12" applyAlignment="1" applyProtection="1" pivotButton="0" quotePrefix="0" xfId="32">
      <alignment horizontal="center" vertical="center"/>
      <protection locked="0" hidden="0"/>
    </xf>
    <xf numFmtId="0" fontId="4" fillId="6" borderId="4" applyAlignment="1" applyProtection="1" pivotButton="0" quotePrefix="0" xfId="50">
      <alignment horizontal="center" vertical="center" wrapText="1"/>
      <protection locked="0" hidden="0"/>
    </xf>
    <xf numFmtId="0" fontId="6" fillId="6" borderId="11" applyAlignment="1" applyProtection="1" pivotButton="0" quotePrefix="0" xfId="32">
      <alignment horizontal="center" vertical="center" wrapText="1"/>
      <protection locked="0" hidden="0"/>
    </xf>
    <xf numFmtId="0" fontId="6" fillId="6" borderId="12" applyAlignment="1" applyProtection="1" pivotButton="0" quotePrefix="0" xfId="32">
      <alignment horizontal="center" vertical="center" wrapText="1"/>
      <protection locked="0" hidden="0"/>
    </xf>
    <xf numFmtId="0" fontId="10" fillId="0" borderId="4" applyAlignment="1" applyProtection="1" pivotButton="0" quotePrefix="0" xfId="49">
      <alignment horizontal="left" vertical="center" wrapText="1"/>
      <protection locked="0" hidden="0"/>
    </xf>
    <xf numFmtId="0" fontId="11" fillId="0" borderId="4" applyAlignment="1" applyProtection="1" pivotButton="0" quotePrefix="0" xfId="49">
      <alignment horizontal="center" vertical="center" wrapText="1"/>
      <protection locked="0" hidden="0"/>
    </xf>
    <xf numFmtId="0" fontId="4" fillId="6" borderId="4" applyAlignment="1" applyProtection="1" pivotButton="0" quotePrefix="0" xfId="49">
      <alignment horizontal="center" vertical="center" wrapText="1"/>
      <protection locked="0" hidden="0"/>
    </xf>
    <xf numFmtId="164" fontId="8" fillId="0" borderId="0" applyAlignment="1" pivotButton="0" quotePrefix="0" xfId="39">
      <alignment horizontal="center" vertical="center"/>
    </xf>
    <xf numFmtId="164" fontId="54" fillId="0" borderId="0" applyAlignment="1" pivotButton="0" quotePrefix="0" xfId="39">
      <alignment horizontal="center" vertical="center"/>
    </xf>
    <xf numFmtId="0" fontId="28" fillId="6" borderId="4" applyAlignment="1" pivotButton="0" quotePrefix="0" xfId="0">
      <alignment horizontal="center" vertical="center"/>
    </xf>
    <xf numFmtId="0" fontId="30" fillId="6" borderId="4" applyAlignment="1" pivotButton="0" quotePrefix="0" xfId="0">
      <alignment vertical="center"/>
    </xf>
    <xf numFmtId="10" fontId="39" fillId="0" borderId="0" applyAlignment="1" pivotButton="0" quotePrefix="0" xfId="31">
      <alignment horizontal="left" vertical="center"/>
    </xf>
    <xf numFmtId="0" fontId="31" fillId="6" borderId="4" applyAlignment="1" pivotButton="0" quotePrefix="0" xfId="0">
      <alignment horizontal="center" vertical="center"/>
    </xf>
    <xf numFmtId="0" fontId="31" fillId="6" borderId="4" applyAlignment="1" pivotButton="0" quotePrefix="0" xfId="0">
      <alignment vertical="center"/>
    </xf>
    <xf numFmtId="165" fontId="4" fillId="6" borderId="5" applyAlignment="1" applyProtection="1" pivotButton="0" quotePrefix="0" xfId="35">
      <alignment horizontal="center" vertical="center" wrapText="1"/>
      <protection locked="0" hidden="0"/>
    </xf>
    <xf numFmtId="165" fontId="6" fillId="6" borderId="9" applyAlignment="1" applyProtection="1" pivotButton="0" quotePrefix="0" xfId="35">
      <alignment horizontal="center" vertical="center" wrapText="1"/>
      <protection locked="0" hidden="0"/>
    </xf>
    <xf numFmtId="165" fontId="6" fillId="6" borderId="10" applyAlignment="1" applyProtection="1" pivotButton="0" quotePrefix="0" xfId="35">
      <alignment horizontal="center" vertical="center" wrapText="1"/>
      <protection locked="0" hidden="0"/>
    </xf>
    <xf numFmtId="165" fontId="28" fillId="6" borderId="4" applyAlignment="1" applyProtection="1" pivotButton="0" quotePrefix="0" xfId="33">
      <alignment horizontal="center" vertical="center" wrapText="1"/>
      <protection locked="0" hidden="0"/>
    </xf>
    <xf numFmtId="165" fontId="4" fillId="6" borderId="4" applyAlignment="1" applyProtection="1" pivotButton="0" quotePrefix="0" xfId="33">
      <alignment horizontal="center" vertical="center" wrapText="1"/>
      <protection locked="0" hidden="0"/>
    </xf>
    <xf numFmtId="0" fontId="50" fillId="0" borderId="0" applyAlignment="1" applyProtection="1" pivotButton="0" quotePrefix="0" xfId="0">
      <alignment horizontal="left" vertical="center" wrapText="1"/>
      <protection locked="0" hidden="0"/>
    </xf>
    <xf numFmtId="0" fontId="51" fillId="0" borderId="0" applyAlignment="1" applyProtection="1" pivotButton="0" quotePrefix="0" xfId="0">
      <alignment horizontal="left" vertical="center" wrapText="1"/>
      <protection locked="0" hidden="0"/>
    </xf>
    <xf numFmtId="0" fontId="8" fillId="0" borderId="0" applyAlignment="1" pivotButton="0" quotePrefix="0" xfId="37">
      <alignment horizontal="center" vertical="center"/>
    </xf>
    <xf numFmtId="164" fontId="54" fillId="0" borderId="0" applyAlignment="1" pivotButton="0" quotePrefix="0" xfId="39">
      <alignment horizontal="center" vertical="center"/>
    </xf>
    <xf numFmtId="0" fontId="77" fillId="0" borderId="0" applyAlignment="1" pivotButton="0" quotePrefix="0" xfId="37">
      <alignment horizontal="center" vertical="center"/>
    </xf>
    <xf numFmtId="164" fontId="78" fillId="0" borderId="0" applyAlignment="1" pivotButton="0" quotePrefix="0" xfId="39">
      <alignment horizontal="center" vertical="center"/>
    </xf>
    <xf numFmtId="0" fontId="77" fillId="0" borderId="0" applyAlignment="1" pivotButton="0" quotePrefix="0" xfId="36">
      <alignment horizontal="center" vertical="center"/>
    </xf>
    <xf numFmtId="0" fontId="78" fillId="0" borderId="0" applyAlignment="1" pivotButton="0" quotePrefix="0" xfId="36">
      <alignment horizontal="center" vertical="center"/>
    </xf>
    <xf numFmtId="165" fontId="81" fillId="6" borderId="5" applyAlignment="1" applyProtection="1" pivotButton="0" quotePrefix="0" xfId="35">
      <alignment horizontal="center" vertical="center"/>
      <protection locked="0" hidden="0"/>
    </xf>
    <xf numFmtId="165" fontId="81" fillId="6" borderId="9" applyAlignment="1" applyProtection="1" pivotButton="0" quotePrefix="0" xfId="35">
      <alignment horizontal="center" vertical="center"/>
      <protection locked="0" hidden="0"/>
    </xf>
    <xf numFmtId="165" fontId="66" fillId="6" borderId="5" applyAlignment="1" applyProtection="1" pivotButton="0" quotePrefix="0" xfId="35">
      <alignment horizontal="center" vertical="center"/>
      <protection locked="0" hidden="0"/>
    </xf>
    <xf numFmtId="165" fontId="66" fillId="6" borderId="9" applyAlignment="1" applyProtection="1" pivotButton="0" quotePrefix="0" xfId="35">
      <alignment horizontal="center" vertical="center"/>
      <protection locked="0" hidden="0"/>
    </xf>
    <xf numFmtId="165" fontId="66" fillId="6" borderId="10" applyAlignment="1" applyProtection="1" pivotButton="0" quotePrefix="0" xfId="35">
      <alignment horizontal="center" vertical="center"/>
      <protection locked="0" hidden="0"/>
    </xf>
    <xf numFmtId="165" fontId="66" fillId="6" borderId="11" applyAlignment="1" applyProtection="1" pivotButton="0" quotePrefix="0" xfId="35">
      <alignment horizontal="center" vertical="center"/>
      <protection locked="0" hidden="0"/>
    </xf>
    <xf numFmtId="165" fontId="66" fillId="6" borderId="12" applyAlignment="1" applyProtection="1" pivotButton="0" quotePrefix="0" xfId="35">
      <alignment horizontal="center" vertical="center"/>
      <protection locked="0" hidden="0"/>
    </xf>
    <xf numFmtId="0" fontId="80" fillId="6" borderId="11" applyAlignment="1" pivotButton="0" quotePrefix="0" xfId="0">
      <alignment horizontal="center" vertical="center" wrapText="1"/>
    </xf>
    <xf numFmtId="0" fontId="80" fillId="6" borderId="12" applyAlignment="1" pivotButton="0" quotePrefix="0" xfId="0">
      <alignment horizontal="center" vertical="center" wrapText="1"/>
    </xf>
    <xf numFmtId="0" fontId="80" fillId="6" borderId="5" applyAlignment="1" pivotButton="0" quotePrefix="0" xfId="0">
      <alignment horizontal="center" vertical="center"/>
    </xf>
    <xf numFmtId="0" fontId="80" fillId="6" borderId="9" applyAlignment="1" pivotButton="0" quotePrefix="0" xfId="0">
      <alignment horizontal="center" vertical="center"/>
    </xf>
    <xf numFmtId="0" fontId="80" fillId="6" borderId="10" applyAlignment="1" pivotButton="0" quotePrefix="0" xfId="0">
      <alignment horizontal="center" vertical="center"/>
    </xf>
    <xf numFmtId="165" fontId="81" fillId="6" borderId="4" applyAlignment="1" applyProtection="1" pivotButton="0" quotePrefix="0" xfId="35">
      <alignment horizontal="center" vertical="center"/>
      <protection locked="0" hidden="0"/>
    </xf>
    <xf numFmtId="164" fontId="77" fillId="0" borderId="0" applyAlignment="1" pivotButton="0" quotePrefix="0" xfId="39">
      <alignment horizontal="center" vertical="center"/>
    </xf>
    <xf numFmtId="164" fontId="79" fillId="0" borderId="0" applyAlignment="1" pivotButton="0" quotePrefix="0" xfId="39">
      <alignment horizontal="center" vertical="center"/>
    </xf>
    <xf numFmtId="0" fontId="44" fillId="0" borderId="0" applyAlignment="1" applyProtection="1" pivotButton="0" quotePrefix="0" xfId="49">
      <alignment horizontal="left" vertical="center" wrapText="1"/>
      <protection locked="0" hidden="0"/>
    </xf>
    <xf numFmtId="0" fontId="7" fillId="0" borderId="0" applyAlignment="1" applyProtection="1" pivotButton="0" quotePrefix="0" xfId="49">
      <alignment horizontal="left" vertical="center" wrapText="1"/>
      <protection locked="0" hidden="0"/>
    </xf>
    <xf numFmtId="0" fontId="77" fillId="0" borderId="0" applyAlignment="1" applyProtection="1" pivotButton="0" quotePrefix="0" xfId="32">
      <alignment horizontal="center" vertical="center"/>
      <protection locked="0" hidden="0"/>
    </xf>
    <xf numFmtId="0" fontId="54" fillId="0" borderId="0" applyAlignment="1" applyProtection="1" pivotButton="0" quotePrefix="0" xfId="32">
      <alignment horizontal="center" vertical="center"/>
      <protection locked="0" hidden="0"/>
    </xf>
    <xf numFmtId="165" fontId="4" fillId="6" borderId="11" applyAlignment="1" applyProtection="1" pivotButton="0" quotePrefix="0" xfId="57">
      <alignment horizontal="center" vertical="center"/>
      <protection locked="0" hidden="0"/>
    </xf>
    <xf numFmtId="165" fontId="4" fillId="6" borderId="12" applyAlignment="1" applyProtection="1" pivotButton="0" quotePrefix="0" xfId="57">
      <alignment horizontal="center" vertical="center"/>
      <protection locked="0" hidden="0"/>
    </xf>
    <xf numFmtId="165" fontId="4" fillId="6" borderId="4" applyAlignment="1" applyProtection="1" pivotButton="0" quotePrefix="0" xfId="59">
      <alignment horizontal="center" vertical="center"/>
      <protection locked="0" hidden="0"/>
    </xf>
    <xf numFmtId="165" fontId="6" fillId="6" borderId="4" applyAlignment="1" applyProtection="1" pivotButton="0" quotePrefix="0" xfId="59">
      <alignment horizontal="center" vertical="center"/>
      <protection locked="0" hidden="0"/>
    </xf>
    <xf numFmtId="0" fontId="4" fillId="10" borderId="11" applyAlignment="1" pivotButton="0" quotePrefix="0" xfId="32">
      <alignment horizontal="center" vertical="center" wrapText="1"/>
    </xf>
    <xf numFmtId="0" fontId="4" fillId="10" borderId="12" applyAlignment="1" pivotButton="0" quotePrefix="0" xfId="32">
      <alignment horizontal="center" vertical="center" wrapText="1"/>
    </xf>
    <xf numFmtId="0" fontId="4" fillId="6" borderId="4" applyAlignment="1" applyProtection="1" pivotButton="0" quotePrefix="0" xfId="32">
      <alignment horizontal="center" vertical="center"/>
      <protection locked="0" hidden="0"/>
    </xf>
    <xf numFmtId="165" fontId="4" fillId="6" borderId="4" applyAlignment="1" applyProtection="1" pivotButton="0" quotePrefix="0" xfId="59">
      <alignment horizontal="center" vertical="center" wrapText="1"/>
      <protection locked="0" hidden="0"/>
    </xf>
    <xf numFmtId="165" fontId="6" fillId="6" borderId="4" applyAlignment="1" applyProtection="1" pivotButton="0" quotePrefix="0" xfId="59">
      <alignment horizontal="center" vertical="center" wrapText="1"/>
      <protection locked="0" hidden="0"/>
    </xf>
    <xf numFmtId="0" fontId="6" fillId="6" borderId="5" applyAlignment="1" applyProtection="1" pivotButton="0" quotePrefix="0" xfId="0">
      <alignment horizontal="center" vertical="center"/>
      <protection locked="0" hidden="0"/>
    </xf>
    <xf numFmtId="0" fontId="6" fillId="6" borderId="9" applyAlignment="1" applyProtection="1" pivotButton="0" quotePrefix="0" xfId="0">
      <alignment horizontal="center" vertical="center"/>
      <protection locked="0" hidden="0"/>
    </xf>
    <xf numFmtId="0" fontId="4" fillId="10" borderId="4" applyAlignment="1" pivotButton="0" quotePrefix="0" xfId="32">
      <alignment horizontal="center" vertical="center" wrapText="1"/>
    </xf>
    <xf numFmtId="0" fontId="0" fillId="0" borderId="0" pivotButton="0" quotePrefix="0" xfId="0"/>
    <xf numFmtId="0" fontId="0" fillId="0" borderId="9" applyProtection="1" pivotButton="0" quotePrefix="0" xfId="0">
      <protection locked="0" hidden="0"/>
    </xf>
    <xf numFmtId="0" fontId="0" fillId="0" borderId="10" applyProtection="1" pivotButton="0" quotePrefix="0" xfId="0">
      <protection locked="0" hidden="0"/>
    </xf>
    <xf numFmtId="49" fontId="4" fillId="6" borderId="4" applyAlignment="1" applyProtection="1" pivotButton="0" quotePrefix="0" xfId="32">
      <alignment horizontal="center" vertical="center"/>
      <protection locked="0" hidden="0"/>
    </xf>
    <xf numFmtId="0" fontId="6" fillId="6" borderId="4" applyAlignment="1" applyProtection="1" pivotButton="0" quotePrefix="0" xfId="32">
      <alignment horizontal="center" vertical="center" wrapText="1"/>
      <protection locked="0" hidden="0"/>
    </xf>
    <xf numFmtId="165" fontId="4" fillId="6" borderId="4" applyAlignment="1" applyProtection="1" pivotButton="0" quotePrefix="0" xfId="57">
      <alignment horizontal="center" vertical="center" wrapText="1"/>
      <protection locked="0" hidden="0"/>
    </xf>
    <xf numFmtId="0" fontId="0" fillId="0" borderId="12" applyProtection="1" pivotButton="0" quotePrefix="0" xfId="0">
      <protection locked="0" hidden="0"/>
    </xf>
    <xf numFmtId="165" fontId="74" fillId="0" borderId="0" applyAlignment="1" pivotButton="0" quotePrefix="0" xfId="61">
      <alignment horizontal="left" vertical="center"/>
    </xf>
    <xf numFmtId="165" fontId="11" fillId="0" borderId="4" applyAlignment="1" applyProtection="1" pivotButton="0" quotePrefix="0" xfId="57">
      <alignment horizontal="left" vertical="center" wrapText="1"/>
      <protection locked="0" hidden="0"/>
    </xf>
    <xf numFmtId="165" fontId="10" fillId="0" borderId="4" applyAlignment="1" applyProtection="1" pivotButton="0" quotePrefix="0" xfId="57">
      <alignment horizontal="center" vertical="center" wrapText="1"/>
      <protection locked="0" hidden="0"/>
    </xf>
    <xf numFmtId="164" fontId="10" fillId="0" borderId="0" applyAlignment="1" pivotButton="0" quotePrefix="0" xfId="39">
      <alignment vertical="center"/>
    </xf>
    <xf numFmtId="164" fontId="7" fillId="0" borderId="0" applyAlignment="1" pivotButton="0" quotePrefix="0" xfId="39">
      <alignment vertical="center"/>
    </xf>
    <xf numFmtId="164" fontId="8" fillId="0" borderId="0" applyAlignment="1" pivotButton="0" quotePrefix="0" xfId="39">
      <alignment horizontal="center" vertical="center"/>
    </xf>
    <xf numFmtId="164" fontId="54" fillId="0" borderId="0" applyAlignment="1" pivotButton="0" quotePrefix="0" xfId="39">
      <alignment horizontal="center" vertical="center"/>
    </xf>
    <xf numFmtId="164" fontId="10" fillId="0" borderId="0" applyAlignment="1" pivotButton="0" quotePrefix="0" xfId="39">
      <alignment horizontal="left" vertical="center"/>
    </xf>
    <xf numFmtId="164" fontId="11" fillId="0" borderId="0" applyAlignment="1" pivotButton="0" quotePrefix="0" xfId="39">
      <alignment horizontal="right" vertical="center"/>
    </xf>
    <xf numFmtId="164" fontId="33" fillId="0" borderId="0" applyAlignment="1" pivotButton="0" quotePrefix="0" xfId="41">
      <alignment vertical="center"/>
    </xf>
    <xf numFmtId="165" fontId="4" fillId="6" borderId="4" applyAlignment="1" applyProtection="1" pivotButton="0" quotePrefix="0" xfId="35">
      <alignment horizontal="center" vertical="center" wrapText="1"/>
      <protection locked="0" hidden="0"/>
    </xf>
    <xf numFmtId="165" fontId="28" fillId="6" borderId="4" applyAlignment="1" applyProtection="1" pivotButton="0" quotePrefix="0" xfId="33">
      <alignment horizontal="center" vertical="center" wrapText="1"/>
      <protection locked="0" hidden="0"/>
    </xf>
    <xf numFmtId="0" fontId="0" fillId="0" borderId="12" pivotButton="0" quotePrefix="0" xfId="0"/>
    <xf numFmtId="165" fontId="4" fillId="6" borderId="4" applyAlignment="1" applyProtection="1" pivotButton="0" quotePrefix="0" xfId="33">
      <alignment horizontal="center" vertical="center"/>
      <protection locked="0" hidden="0"/>
    </xf>
    <xf numFmtId="164" fontId="6" fillId="0" borderId="0" applyAlignment="1" pivotButton="0" quotePrefix="0" xfId="39">
      <alignment vertical="center"/>
    </xf>
    <xf numFmtId="164" fontId="30" fillId="9" borderId="4" applyAlignment="1" pivotButton="0" quotePrefix="0" xfId="47">
      <alignment horizontal="right" vertical="center"/>
    </xf>
    <xf numFmtId="164" fontId="10" fillId="9" borderId="4" applyAlignment="1" pivotButton="0" quotePrefix="0" xfId="47">
      <alignment horizontal="right" vertical="center" wrapText="1"/>
    </xf>
    <xf numFmtId="164" fontId="10" fillId="0" borderId="4" applyAlignment="1" pivotButton="0" quotePrefix="0" xfId="47">
      <alignment horizontal="right" vertical="center" wrapText="1"/>
    </xf>
    <xf numFmtId="164" fontId="48" fillId="0" borderId="4" applyAlignment="1" pivotButton="0" quotePrefix="0" xfId="47">
      <alignment horizontal="left" vertical="center"/>
    </xf>
    <xf numFmtId="164" fontId="30" fillId="0" borderId="4" applyAlignment="1" pivotButton="0" quotePrefix="0" xfId="47">
      <alignment horizontal="right" vertical="center"/>
    </xf>
    <xf numFmtId="164" fontId="30" fillId="6" borderId="4" applyAlignment="1" pivotButton="0" quotePrefix="0" xfId="47">
      <alignment horizontal="right" vertical="center"/>
    </xf>
    <xf numFmtId="164" fontId="10" fillId="0" borderId="3" applyAlignment="1" pivotButton="0" quotePrefix="0" xfId="39">
      <alignment horizontal="left" vertical="center"/>
    </xf>
    <xf numFmtId="164" fontId="38" fillId="0" borderId="3" applyAlignment="1" pivotButton="0" quotePrefix="0" xfId="41">
      <alignment horizontal="center" vertical="center"/>
    </xf>
    <xf numFmtId="164" fontId="10" fillId="0" borderId="3" applyAlignment="1" pivotButton="0" quotePrefix="0" xfId="39">
      <alignment vertical="center"/>
    </xf>
    <xf numFmtId="164" fontId="11" fillId="0" borderId="0" applyAlignment="1" pivotButton="0" quotePrefix="0" xfId="39">
      <alignment vertical="center"/>
    </xf>
    <xf numFmtId="164" fontId="8" fillId="0" borderId="0" applyAlignment="1" pivotButton="0" quotePrefix="0" xfId="39">
      <alignment vertical="center"/>
    </xf>
    <xf numFmtId="164" fontId="10" fillId="0" borderId="0" applyAlignment="1" pivotButton="0" quotePrefix="0" xfId="39">
      <alignment horizontal="right" vertical="center"/>
    </xf>
    <xf numFmtId="164" fontId="10" fillId="0" borderId="0" applyAlignment="1" applyProtection="1" pivotButton="0" quotePrefix="0" xfId="0">
      <alignment horizontal="right" vertical="center" wrapText="1"/>
      <protection locked="0" hidden="0"/>
    </xf>
    <xf numFmtId="164" fontId="6" fillId="0" borderId="6" applyAlignment="1" applyProtection="1" pivotButton="0" quotePrefix="0" xfId="47">
      <alignment horizontal="right" vertical="center" wrapText="1" shrinkToFit="1"/>
      <protection locked="0" hidden="0"/>
    </xf>
    <xf numFmtId="164" fontId="69" fillId="0" borderId="7" applyAlignment="1" applyProtection="1" pivotButton="0" quotePrefix="0" xfId="47">
      <alignment horizontal="right" vertical="center" wrapText="1"/>
      <protection locked="0" hidden="0"/>
    </xf>
    <xf numFmtId="164" fontId="69" fillId="8" borderId="7" applyAlignment="1" applyProtection="1" pivotButton="0" quotePrefix="0" xfId="47">
      <alignment horizontal="right" vertical="center" wrapText="1"/>
      <protection locked="0" hidden="0"/>
    </xf>
    <xf numFmtId="164" fontId="6" fillId="0" borderId="7" applyAlignment="1" applyProtection="1" pivotButton="0" quotePrefix="0" xfId="47">
      <alignment horizontal="right" vertical="center" wrapText="1"/>
      <protection locked="0" hidden="0"/>
    </xf>
    <xf numFmtId="164" fontId="10" fillId="0" borderId="0" applyAlignment="1" pivotButton="0" quotePrefix="0" xfId="47">
      <alignment horizontal="right" vertical="center" wrapText="1"/>
    </xf>
    <xf numFmtId="164" fontId="10" fillId="8" borderId="0" applyAlignment="1" pivotButton="0" quotePrefix="0" xfId="47">
      <alignment horizontal="right" vertical="center" wrapText="1"/>
    </xf>
    <xf numFmtId="164" fontId="6" fillId="0" borderId="7" applyAlignment="1" pivotButton="0" quotePrefix="0" xfId="47">
      <alignment horizontal="right" vertical="center" wrapText="1"/>
    </xf>
    <xf numFmtId="164" fontId="6" fillId="0" borderId="6" applyAlignment="1" pivotButton="0" quotePrefix="0" xfId="47">
      <alignment horizontal="right" vertical="center" wrapText="1"/>
    </xf>
    <xf numFmtId="164" fontId="6" fillId="8" borderId="6" applyAlignment="1" pivotButton="0" quotePrefix="0" xfId="47">
      <alignment horizontal="right" vertical="center" wrapText="1"/>
    </xf>
    <xf numFmtId="164" fontId="10" fillId="0" borderId="8" applyAlignment="1" pivotButton="0" quotePrefix="0" xfId="47">
      <alignment horizontal="right" vertical="center" wrapText="1"/>
    </xf>
    <xf numFmtId="164" fontId="10" fillId="0" borderId="7" applyAlignment="1" pivotButton="0" quotePrefix="0" xfId="47">
      <alignment horizontal="right" vertical="center" wrapText="1"/>
    </xf>
    <xf numFmtId="164" fontId="78" fillId="0" borderId="0" applyAlignment="1" pivotButton="0" quotePrefix="0" xfId="39">
      <alignment horizontal="center" vertical="center"/>
    </xf>
    <xf numFmtId="164" fontId="64" fillId="0" borderId="0" applyAlignment="1" pivotButton="0" quotePrefix="0" xfId="39">
      <alignment horizontal="left" vertical="center"/>
    </xf>
    <xf numFmtId="164" fontId="10" fillId="0" borderId="0" applyAlignment="1" applyProtection="1" pivotButton="0" quotePrefix="0" xfId="47">
      <alignment horizontal="justify" vertical="center" wrapText="1"/>
      <protection locked="0" hidden="0"/>
    </xf>
    <xf numFmtId="164" fontId="73" fillId="0" borderId="0" applyAlignment="1" pivotButton="0" quotePrefix="0" xfId="0">
      <alignment vertical="center"/>
    </xf>
    <xf numFmtId="0" fontId="80" fillId="6" borderId="4" applyAlignment="1" pivotButton="0" quotePrefix="0" xfId="0">
      <alignment horizontal="center" vertical="center" wrapText="1"/>
    </xf>
    <xf numFmtId="0" fontId="80" fillId="6" borderId="4" applyAlignment="1" pivotButton="0" quotePrefix="0" xfId="0">
      <alignment horizontal="center" vertical="center"/>
    </xf>
    <xf numFmtId="0" fontId="0" fillId="0" borderId="9" pivotButton="0" quotePrefix="0" xfId="0"/>
    <xf numFmtId="0" fontId="0" fillId="0" borderId="10" pivotButton="0" quotePrefix="0" xfId="0"/>
    <xf numFmtId="165" fontId="81" fillId="6" borderId="4" applyAlignment="1" applyProtection="1" pivotButton="0" quotePrefix="0" xfId="35">
      <alignment horizontal="center" vertical="center"/>
      <protection locked="0" hidden="0"/>
    </xf>
    <xf numFmtId="165" fontId="81" fillId="6" borderId="5" applyAlignment="1" applyProtection="1" pivotButton="0" quotePrefix="0" xfId="35">
      <alignment horizontal="center" vertical="center"/>
      <protection locked="0" hidden="0"/>
    </xf>
    <xf numFmtId="165" fontId="66" fillId="6" borderId="4" applyAlignment="1" applyProtection="1" pivotButton="0" quotePrefix="0" xfId="35">
      <alignment horizontal="center" vertical="center"/>
      <protection locked="0" hidden="0"/>
    </xf>
    <xf numFmtId="164" fontId="30" fillId="4" borderId="4" applyAlignment="1" pivotButton="0" quotePrefix="0" xfId="47">
      <alignment vertical="center"/>
    </xf>
    <xf numFmtId="164" fontId="37" fillId="9" borderId="4" applyAlignment="1" pivotButton="0" quotePrefix="0" xfId="35">
      <alignment horizontal="right" vertical="center" shrinkToFit="1"/>
    </xf>
    <xf numFmtId="164" fontId="30" fillId="6" borderId="4" applyAlignment="1" pivotButton="0" quotePrefix="0" xfId="47">
      <alignment vertical="center"/>
    </xf>
    <xf numFmtId="164" fontId="77" fillId="0" borderId="0" applyAlignment="1" pivotButton="0" quotePrefix="0" xfId="39">
      <alignment horizontal="center" vertical="center"/>
    </xf>
    <xf numFmtId="164" fontId="43" fillId="0" borderId="0" applyAlignment="1" pivotButton="0" quotePrefix="0" xfId="39">
      <alignment vertical="center"/>
    </xf>
    <xf numFmtId="165" fontId="61" fillId="0" borderId="0" applyAlignment="1" pivotButton="0" quotePrefix="0" xfId="51">
      <alignment vertical="center"/>
    </xf>
    <xf numFmtId="165" fontId="4" fillId="6" borderId="4" applyAlignment="1" applyProtection="1" pivotButton="0" quotePrefix="0" xfId="52">
      <alignment horizontal="center" vertical="center" wrapText="1"/>
      <protection locked="0" hidden="0"/>
    </xf>
    <xf numFmtId="165" fontId="62" fillId="6" borderId="4" applyAlignment="1" applyProtection="1" pivotButton="0" quotePrefix="0" xfId="52">
      <alignment horizontal="center" vertical="center" wrapText="1"/>
      <protection locked="0" hidden="0"/>
    </xf>
    <xf numFmtId="165" fontId="30" fillId="0" borderId="4" applyAlignment="1" pivotButton="0" quotePrefix="0" xfId="59">
      <alignment vertical="center"/>
    </xf>
    <xf numFmtId="164" fontId="30" fillId="0" borderId="4" applyAlignment="1" pivotButton="0" quotePrefix="0" xfId="47">
      <alignment vertical="center"/>
    </xf>
    <xf numFmtId="165" fontId="30" fillId="0" borderId="4" applyAlignment="1" pivotButton="0" quotePrefix="0" xfId="59">
      <alignment horizontal="center" vertical="center"/>
    </xf>
    <xf numFmtId="165" fontId="4" fillId="0" borderId="0" applyAlignment="1" pivotButton="0" quotePrefix="0" xfId="56">
      <alignment vertical="center"/>
    </xf>
    <xf numFmtId="165" fontId="4" fillId="0" borderId="0" applyAlignment="1" pivotButton="0" quotePrefix="0" xfId="56">
      <alignment vertical="center" wrapText="1"/>
    </xf>
    <xf numFmtId="165" fontId="10" fillId="0" borderId="0" applyAlignment="1" pivotButton="0" quotePrefix="0" xfId="56">
      <alignment horizontal="left" vertical="center"/>
    </xf>
    <xf numFmtId="165" fontId="4" fillId="0" borderId="0" applyAlignment="1" pivotButton="0" quotePrefix="0" xfId="56">
      <alignment horizontal="left" vertical="center" wrapText="1"/>
    </xf>
    <xf numFmtId="165" fontId="11" fillId="0" borderId="0" applyAlignment="1" pivotButton="0" quotePrefix="0" xfId="56">
      <alignment horizontal="left" vertical="center"/>
    </xf>
    <xf numFmtId="165" fontId="73" fillId="0" borderId="0" applyAlignment="1" pivotButton="0" quotePrefix="0" xfId="56">
      <alignment horizontal="left" vertical="center"/>
    </xf>
    <xf numFmtId="165" fontId="3" fillId="0" borderId="0" applyProtection="1" pivotButton="0" quotePrefix="0" xfId="57">
      <protection locked="0" hidden="0"/>
    </xf>
    <xf numFmtId="165" fontId="74" fillId="0" borderId="0" applyAlignment="1" pivotButton="0" quotePrefix="0" xfId="56">
      <alignment horizontal="left" vertical="center"/>
    </xf>
    <xf numFmtId="165" fontId="4" fillId="6" borderId="4" applyAlignment="1" applyProtection="1" pivotButton="0" quotePrefix="0" xfId="57">
      <alignment horizontal="center" vertical="center"/>
      <protection locked="0" hidden="0"/>
    </xf>
    <xf numFmtId="165" fontId="4" fillId="6" borderId="4" applyAlignment="1" applyProtection="1" pivotButton="0" quotePrefix="0" xfId="59">
      <alignment horizontal="center" vertical="center" wrapText="1"/>
      <protection locked="0" hidden="0"/>
    </xf>
    <xf numFmtId="165" fontId="4" fillId="6" borderId="4" applyAlignment="1" applyProtection="1" pivotButton="0" quotePrefix="0" xfId="59">
      <alignment horizontal="center" vertical="center"/>
      <protection locked="0" hidden="0"/>
    </xf>
    <xf numFmtId="165" fontId="10" fillId="0" borderId="4" applyAlignment="1" applyProtection="1" pivotButton="0" quotePrefix="0" xfId="57">
      <alignment vertical="center"/>
      <protection locked="0" hidden="0"/>
    </xf>
    <xf numFmtId="165" fontId="11" fillId="0" borderId="4" applyAlignment="1" applyProtection="1" pivotButton="0" quotePrefix="0" xfId="57">
      <alignment vertical="center"/>
      <protection locked="0" hidden="0"/>
    </xf>
    <xf numFmtId="164" fontId="10" fillId="0" borderId="4" applyAlignment="1" applyProtection="1" pivotButton="0" quotePrefix="0" xfId="60">
      <alignment vertical="center"/>
      <protection locked="0" hidden="0"/>
    </xf>
    <xf numFmtId="165" fontId="11" fillId="6" borderId="4" applyAlignment="1" applyProtection="1" pivotButton="0" quotePrefix="0" xfId="57">
      <alignment vertical="center"/>
      <protection locked="0" hidden="0"/>
    </xf>
    <xf numFmtId="164" fontId="6" fillId="6" borderId="4" applyAlignment="1" applyProtection="1" pivotButton="0" quotePrefix="0" xfId="60">
      <alignment vertical="center"/>
      <protection locked="0" hidden="0"/>
    </xf>
    <xf numFmtId="165" fontId="4" fillId="6" borderId="4" applyAlignment="1" applyProtection="1" pivotButton="0" quotePrefix="0" xfId="57">
      <alignment vertical="center"/>
      <protection locked="0" hidden="0"/>
    </xf>
    <xf numFmtId="164" fontId="10" fillId="0" borderId="4" applyAlignment="1" applyProtection="1" pivotButton="0" quotePrefix="0" xfId="60">
      <alignment horizontal="center" vertical="center"/>
      <protection locked="0" hidden="0"/>
    </xf>
    <xf numFmtId="164" fontId="10" fillId="0" borderId="0" applyAlignment="1" applyProtection="1" pivotButton="0" quotePrefix="0" xfId="60">
      <alignment horizontal="center" vertical="center"/>
      <protection locked="0" hidden="0"/>
    </xf>
  </cellXfs>
  <cellStyles count="62">
    <cellStyle name="常规" xfId="0" builtinId="0"/>
    <cellStyle name="@_text" xfId="1"/>
    <cellStyle name="{Comma [0]}" xfId="2"/>
    <cellStyle name="{Comma}" xfId="3"/>
    <cellStyle name="{Date}" xfId="4"/>
    <cellStyle name="{Month}" xfId="5"/>
    <cellStyle name="{Percent}" xfId="6"/>
    <cellStyle name="{Thousand [0]}" xfId="7"/>
    <cellStyle name="{Thousand}" xfId="8"/>
    <cellStyle name="{Z'0000(1 dec)}" xfId="9"/>
    <cellStyle name="{Z'0000(4 dec)}" xfId="10"/>
    <cellStyle name="Black" xfId="11"/>
    <cellStyle name="Border" xfId="12"/>
    <cellStyle name="Comma [0]_1995" xfId="13"/>
    <cellStyle name="Comma_1995" xfId="14"/>
    <cellStyle name="Currency [0]_1995" xfId="15"/>
    <cellStyle name="Currency_1995" xfId="16"/>
    <cellStyle name="Dezimal [0]_laroux" xfId="17"/>
    <cellStyle name="Dezimal_laroux" xfId="18"/>
    <cellStyle name="Euro" xfId="19"/>
    <cellStyle name="Followed Hyperlink_AheadBehind.xls Chart 23" xfId="20"/>
    <cellStyle name="Grey" xfId="21"/>
    <cellStyle name="Hyperlink_AheadBehind.xls Chart 23" xfId="22"/>
    <cellStyle name="Input [yellow]" xfId="23"/>
    <cellStyle name="Milliers [0]_laroux" xfId="24"/>
    <cellStyle name="Milliers_laroux" xfId="25"/>
    <cellStyle name="Non défini" xfId="26"/>
    <cellStyle name="Normal - Style1" xfId="27"/>
    <cellStyle name="Normal_22-Jun EUS Forecasts" xfId="28"/>
    <cellStyle name="Percent [2]" xfId="29"/>
    <cellStyle name="Red" xfId="30"/>
    <cellStyle name="百分比" xfId="31" builtinId="5"/>
    <cellStyle name="常规 2" xfId="32"/>
    <cellStyle name="常规 3" xfId="33"/>
    <cellStyle name="常规 3 2" xfId="34"/>
    <cellStyle name="常规 4" xfId="35"/>
    <cellStyle name="常规_Book1" xfId="36"/>
    <cellStyle name="常规_c-资产类" xfId="37"/>
    <cellStyle name="常规_进一步审计程序--销售与收款循环" xfId="38"/>
    <cellStyle name="常规_新审定表" xfId="39"/>
    <cellStyle name="常规_制造费用" xfId="40"/>
    <cellStyle name="超链接" xfId="41" builtinId="8"/>
    <cellStyle name="普通_ 外G9(3)" xfId="42"/>
    <cellStyle name="千分位[0]_宁波" xfId="43"/>
    <cellStyle name="千分位_宁波" xfId="44"/>
    <cellStyle name="千位[0]_laroux" xfId="45"/>
    <cellStyle name="千位_laroux" xfId="46"/>
    <cellStyle name="千位分隔" xfId="47" builtinId="3"/>
    <cellStyle name="常规 2 3" xfId="48"/>
    <cellStyle name="常规 2 8" xfId="49"/>
    <cellStyle name="常规 7" xfId="50"/>
    <cellStyle name="常规 4 2" xfId="51"/>
    <cellStyle name="常规 4 2 2" xfId="52"/>
    <cellStyle name="超链接 3 2" xfId="53"/>
    <cellStyle name="百分比 2" xfId="54"/>
    <cellStyle name="常规_sheet" xfId="55"/>
    <cellStyle name="常规_进一步审计程序--销售与收款循环 2" xfId="56"/>
    <cellStyle name="常规 2 8 2" xfId="57"/>
    <cellStyle name="常规 7 2" xfId="58"/>
    <cellStyle name="常规 2 2" xfId="59"/>
    <cellStyle name="千位分隔 6" xfId="60"/>
    <cellStyle name="常规 11 5" xfId="6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comments/comment1.xml><?xml version="1.0" encoding="utf-8"?>
<comments xmlns="http://schemas.openxmlformats.org/spreadsheetml/2006/main">
  <authors>
    <author>何先琴</author>
  </authors>
  <commentList>
    <comment ref="B15" authorId="0" shapeId="0">
      <text>
        <t>专业技术部:
根据被审计单位实际情况和风险评估情况裁剪、修改或增加审计程序</t>
      </text>
    </comment>
  </commentList>
</comment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codeName="Sheet1">
    <outlinePr summaryBelow="1" summaryRight="1"/>
    <pageSetUpPr/>
  </sheetPr>
  <dimension ref="A1:F19"/>
  <sheetViews>
    <sheetView tabSelected="1" workbookViewId="0">
      <selection activeCell="A1" sqref="A1"/>
    </sheetView>
  </sheetViews>
  <sheetFormatPr baseColWidth="8" defaultColWidth="9.109375" defaultRowHeight="13.8"/>
  <cols>
    <col width="93.88671875" bestFit="1" customWidth="1" style="187" min="1" max="1"/>
    <col width="5.6640625" bestFit="1" customWidth="1" style="36" min="2" max="2"/>
    <col width="36" customWidth="1" style="187" min="3" max="3"/>
    <col width="11.33203125" customWidth="1" style="36" min="4" max="4"/>
    <col width="8.44140625" customWidth="1" style="187" min="5" max="5"/>
    <col width="9.109375" customWidth="1" style="187" min="6" max="16384"/>
  </cols>
  <sheetData>
    <row r="1" ht="22.5" customFormat="1" customHeight="1" s="30">
      <c r="A1" s="80" t="inlineStr">
        <is>
          <t>底稿开列时，可先在以下单元格填写有关内容，以便其他底稿引用有关数据：</t>
        </is>
      </c>
      <c r="D1" s="260" t="n"/>
    </row>
    <row r="2" ht="16.2" customFormat="1" customHeight="1" s="31">
      <c r="A2" s="181" t="inlineStr">
        <is>
          <t>被审计单位：</t>
        </is>
      </c>
      <c r="B2" s="260" t="inlineStr">
        <is>
          <t>目录</t>
        </is>
      </c>
    </row>
    <row r="3" ht="22.5" customFormat="1" customHeight="1" s="32">
      <c r="A3" s="181" t="inlineStr">
        <is>
          <t>截止日：202X年12月31日</t>
        </is>
      </c>
    </row>
    <row r="4" ht="19.8" customHeight="1" s="333">
      <c r="A4" s="247" t="inlineStr">
        <is>
          <t>编制人：</t>
        </is>
      </c>
      <c r="B4" s="33" t="inlineStr">
        <is>
          <t>序号</t>
        </is>
      </c>
      <c r="C4" s="33" t="inlineStr">
        <is>
          <t>内容</t>
        </is>
      </c>
      <c r="D4" s="33" t="inlineStr">
        <is>
          <t>索引号</t>
        </is>
      </c>
      <c r="E4" s="33" t="inlineStr">
        <is>
          <t>备注</t>
        </is>
      </c>
      <c r="F4" s="187" t="n"/>
    </row>
    <row r="5" ht="19.8" customHeight="1" s="333">
      <c r="A5" s="247" t="inlineStr">
        <is>
          <t>编制日期：</t>
        </is>
      </c>
      <c r="B5" s="35" t="n">
        <v>1</v>
      </c>
      <c r="C5" s="81" t="inlineStr">
        <is>
          <t>实质性程序表</t>
        </is>
      </c>
      <c r="D5" s="35" t="inlineStr">
        <is>
          <t>K4A</t>
        </is>
      </c>
      <c r="E5" s="188" t="n"/>
      <c r="F5" s="187" t="n"/>
    </row>
    <row r="6" ht="19.8" customHeight="1" s="333">
      <c r="A6" s="247" t="inlineStr">
        <is>
          <t>复核人：</t>
        </is>
      </c>
      <c r="B6" s="35" t="n">
        <v>2</v>
      </c>
      <c r="C6" s="81" t="inlineStr">
        <is>
          <t>审定表</t>
        </is>
      </c>
      <c r="D6" s="35" t="inlineStr">
        <is>
          <t>K4-1</t>
        </is>
      </c>
      <c r="E6" s="189" t="n"/>
      <c r="F6" s="187" t="n"/>
    </row>
    <row r="7" ht="19.8" customHeight="1" s="333">
      <c r="A7" s="247" t="inlineStr">
        <is>
          <t>复核日期：</t>
        </is>
      </c>
      <c r="B7" s="35" t="n">
        <v>3</v>
      </c>
      <c r="C7" s="82" t="inlineStr">
        <is>
          <t>附注披露信息（上市公司）</t>
        </is>
      </c>
      <c r="D7" s="35" t="n"/>
      <c r="E7" s="188" t="n"/>
      <c r="F7" s="186" t="inlineStr">
        <is>
          <t>无需打印</t>
        </is>
      </c>
    </row>
    <row r="8" ht="19.8" customHeight="1" s="333">
      <c r="B8" s="35" t="n">
        <v>4</v>
      </c>
      <c r="C8" s="82" t="inlineStr">
        <is>
          <t>附注披露信息（国企）</t>
        </is>
      </c>
      <c r="D8" s="35" t="n"/>
      <c r="E8" s="188" t="n"/>
      <c r="F8" s="186" t="inlineStr">
        <is>
          <t>无需打印</t>
        </is>
      </c>
    </row>
    <row r="9" ht="19.8" customHeight="1" s="333">
      <c r="A9" s="249" t="inlineStr">
        <is>
          <t>关于工作底稿与审计程序索引号对应的说明</t>
        </is>
      </c>
      <c r="B9" s="35" t="n">
        <v>5</v>
      </c>
      <c r="C9" s="82" t="inlineStr">
        <is>
          <t>明细表</t>
        </is>
      </c>
      <c r="D9" s="35" t="inlineStr">
        <is>
          <t>K4-2</t>
        </is>
      </c>
      <c r="E9" s="188" t="n"/>
      <c r="F9" s="187" t="n"/>
    </row>
    <row r="10" ht="19.8" customHeight="1" s="333">
      <c r="A10" s="261" t="inlineStr">
        <is>
          <t>1.编制的审计工作底稿应与审计程序对应。审计项目组应根据被审计单位实际情况和风险评估情况在实质性程序表中裁剪、修改或增加审计程序，根据实际执行的审计程序完成相应审计工作底稿，编制的工作底稿中应按自然顺序依次编制索引号，并通过唯一的索引号将与实质性程序表中的程序对应关联（即将工作底稿的索引号填入实质性程序表中的底稿索引号列）。</t>
        </is>
      </c>
      <c r="B10" s="35" t="n">
        <v>6</v>
      </c>
      <c r="C10" s="82" t="inlineStr">
        <is>
          <t>调整分录汇总</t>
        </is>
      </c>
      <c r="D10" s="35" t="inlineStr">
        <is>
          <t>K4-3</t>
        </is>
      </c>
      <c r="E10" s="190" t="inlineStr">
        <is>
          <t>备选</t>
        </is>
      </c>
      <c r="F10" s="187" t="n"/>
    </row>
    <row r="11" ht="19.8" customHeight="1" s="333">
      <c r="A11" s="71" t="n"/>
      <c r="B11" s="35" t="n">
        <v>7</v>
      </c>
      <c r="C11" s="241" t="inlineStr">
        <is>
          <t>其他流动负债检查表</t>
        </is>
      </c>
      <c r="D11" s="35" t="inlineStr">
        <is>
          <t>K4-4</t>
        </is>
      </c>
      <c r="E11" s="188" t="n"/>
      <c r="F11" s="187" t="n"/>
    </row>
    <row r="12">
      <c r="A12" s="71" t="n"/>
    </row>
    <row r="13">
      <c r="A13" s="71" t="n"/>
    </row>
    <row r="14">
      <c r="A14" s="261" t="inlineStr">
        <is>
          <t>2.获取的支持性证据应与审计底稿或程序对应。审计项目组在完成底稿时获取的支持性证据应根据底稿索引号编制下一级按自然顺序排序的索引号（如D1-2-1、D1-2-2、……），并在底稿中说明引用的支持性证据、关联索引号。</t>
        </is>
      </c>
    </row>
    <row r="15">
      <c r="A15" s="71" t="n"/>
    </row>
    <row r="16">
      <c r="A16" s="71" t="n"/>
    </row>
    <row r="17">
      <c r="A17" s="262" t="inlineStr">
        <is>
          <t>3.工作底稿索引号的编码规则：实质性程序索引号按循环从“D”到“N”,循环内账户以顺序号排列，模板中底稿索引号按账户顺序+自然数顺序（即模板中索引号按二级自然顺序排列，如D1-1、D1-2、D1-3、……D1-N）。</t>
        </is>
      </c>
    </row>
    <row r="18">
      <c r="A18" s="71" t="n"/>
    </row>
    <row r="19">
      <c r="A19" s="71" t="n"/>
    </row>
  </sheetData>
  <mergeCells count="4">
    <mergeCell ref="A14:A16"/>
    <mergeCell ref="A17:A19"/>
    <mergeCell ref="A10:A13"/>
    <mergeCell ref="B2:E2"/>
  </mergeCells>
  <hyperlinks>
    <hyperlink ref="C5" location="'实质性程序表 K4A'!Print_Area" display="实质性程序表"/>
    <hyperlink ref="C6" location="'审定表 K4-1'!A1" display="审定表"/>
    <hyperlink ref="C7" location="'附注披露信息（上市公司）'!Print_Area" display="附注披露信息（上市公司）"/>
    <hyperlink ref="C8" location="'附注披露信息（国企）'!Print_Area" display="附注披露信息（国企）"/>
    <hyperlink ref="C9" location="'明细表 K4-2'!Print_Area" display="明细表"/>
    <hyperlink ref="C10" location="'调整分录汇总 K4-3'!Print_Area" display="调整分录汇总"/>
    <hyperlink ref="C11" location="'其他流动负债检查表 K4-4'!A1" display="其他流动负债检查表"/>
  </hyperlinks>
  <pageMargins left="0.7" right="0.7" top="0.75" bottom="0.75" header="0.3" footer="0.3"/>
</worksheet>
</file>

<file path=xl/worksheets/sheet2.xml><?xml version="1.0" encoding="utf-8"?>
<worksheet xmlns="http://schemas.openxmlformats.org/spreadsheetml/2006/main">
  <sheetPr codeName="Sheet2">
    <outlinePr summaryBelow="1" summaryRight="1"/>
    <pageSetUpPr/>
  </sheetPr>
  <dimension ref="A1:J207"/>
  <sheetViews>
    <sheetView view="pageBreakPreview" zoomScaleNormal="115" zoomScaleSheetLayoutView="100" workbookViewId="0">
      <selection activeCell="A1" sqref="A1:I1"/>
    </sheetView>
  </sheetViews>
  <sheetFormatPr baseColWidth="8" defaultRowHeight="13.8"/>
  <cols>
    <col width="5" customWidth="1" style="85" min="1" max="1"/>
    <col width="71.109375" customWidth="1" style="86" min="2" max="2"/>
    <col width="12.109375" customWidth="1" style="57" min="3" max="3"/>
    <col width="6.77734375" customWidth="1" style="57" min="4" max="4"/>
    <col width="7.33203125" customWidth="1" style="57" min="5" max="6"/>
    <col width="8.44140625" customWidth="1" style="57" min="7" max="7"/>
    <col width="7.21875" customWidth="1" style="57" min="8" max="8"/>
    <col width="8.33203125" customWidth="1" style="57" min="9" max="9"/>
    <col width="61.88671875" customWidth="1" style="57" min="10" max="10"/>
    <col width="9.109375" customWidth="1" style="57" min="11" max="250"/>
    <col width="9.6640625" customWidth="1" style="57" min="251" max="251"/>
    <col width="107.109375" customWidth="1" style="57" min="252" max="252"/>
    <col hidden="1" style="57" min="253" max="253"/>
    <col width="13.44140625" customWidth="1" style="57" min="254" max="254"/>
    <col width="15.44140625" customWidth="1" style="57" min="255" max="255"/>
    <col width="6.88671875" customWidth="1" style="57" min="256" max="256"/>
    <col width="6.44140625" customWidth="1" style="57" min="257" max="257"/>
    <col width="5.33203125" customWidth="1" style="57" min="258" max="258"/>
    <col width="6.33203125" customWidth="1" style="57" min="259" max="259"/>
    <col width="16" customWidth="1" style="57" min="260" max="260"/>
    <col width="12.109375" customWidth="1" style="57" min="261" max="261"/>
    <col width="36.109375" bestFit="1" customWidth="1" style="57" min="262" max="262"/>
    <col width="9.109375" customWidth="1" style="57" min="263" max="506"/>
    <col width="9.6640625" customWidth="1" style="57" min="507" max="507"/>
    <col width="107.109375" customWidth="1" style="57" min="508" max="508"/>
    <col hidden="1" style="57" min="509" max="509"/>
    <col width="13.44140625" customWidth="1" style="57" min="510" max="510"/>
    <col width="15.44140625" customWidth="1" style="57" min="511" max="511"/>
    <col width="6.88671875" customWidth="1" style="57" min="512" max="512"/>
    <col width="6.44140625" customWidth="1" style="57" min="513" max="513"/>
    <col width="5.33203125" customWidth="1" style="57" min="514" max="514"/>
    <col width="6.33203125" customWidth="1" style="57" min="515" max="515"/>
    <col width="16" customWidth="1" style="57" min="516" max="516"/>
    <col width="12.109375" customWidth="1" style="57" min="517" max="517"/>
    <col width="36.109375" bestFit="1" customWidth="1" style="57" min="518" max="518"/>
    <col width="9.109375" customWidth="1" style="57" min="519" max="762"/>
    <col width="9.6640625" customWidth="1" style="57" min="763" max="763"/>
    <col width="107.109375" customWidth="1" style="57" min="764" max="764"/>
    <col hidden="1" style="57" min="765" max="765"/>
    <col width="13.44140625" customWidth="1" style="57" min="766" max="766"/>
    <col width="15.44140625" customWidth="1" style="57" min="767" max="767"/>
    <col width="6.88671875" customWidth="1" style="57" min="768" max="768"/>
    <col width="6.44140625" customWidth="1" style="57" min="769" max="769"/>
    <col width="5.33203125" customWidth="1" style="57" min="770" max="770"/>
    <col width="6.33203125" customWidth="1" style="57" min="771" max="771"/>
    <col width="16" customWidth="1" style="57" min="772" max="772"/>
    <col width="12.109375" customWidth="1" style="57" min="773" max="773"/>
    <col width="36.109375" bestFit="1" customWidth="1" style="57" min="774" max="774"/>
    <col width="9.109375" customWidth="1" style="57" min="775" max="1018"/>
    <col width="9.6640625" customWidth="1" style="57" min="1019" max="1019"/>
    <col width="107.109375" customWidth="1" style="57" min="1020" max="1020"/>
    <col hidden="1" style="57" min="1021" max="1021"/>
    <col width="13.44140625" customWidth="1" style="57" min="1022" max="1022"/>
    <col width="15.44140625" customWidth="1" style="57" min="1023" max="1023"/>
    <col width="6.88671875" customWidth="1" style="57" min="1024" max="1024"/>
    <col width="6.44140625" customWidth="1" style="57" min="1025" max="1025"/>
    <col width="5.33203125" customWidth="1" style="57" min="1026" max="1026"/>
    <col width="6.33203125" customWidth="1" style="57" min="1027" max="1027"/>
    <col width="16" customWidth="1" style="57" min="1028" max="1028"/>
    <col width="12.109375" customWidth="1" style="57" min="1029" max="1029"/>
    <col width="36.109375" bestFit="1" customWidth="1" style="57" min="1030" max="1030"/>
    <col width="9.109375" customWidth="1" style="57" min="1031" max="1274"/>
    <col width="9.6640625" customWidth="1" style="57" min="1275" max="1275"/>
    <col width="107.109375" customWidth="1" style="57" min="1276" max="1276"/>
    <col hidden="1" style="57" min="1277" max="1277"/>
    <col width="13.44140625" customWidth="1" style="57" min="1278" max="1278"/>
    <col width="15.44140625" customWidth="1" style="57" min="1279" max="1279"/>
    <col width="6.88671875" customWidth="1" style="57" min="1280" max="1280"/>
    <col width="6.44140625" customWidth="1" style="57" min="1281" max="1281"/>
    <col width="5.33203125" customWidth="1" style="57" min="1282" max="1282"/>
    <col width="6.33203125" customWidth="1" style="57" min="1283" max="1283"/>
    <col width="16" customWidth="1" style="57" min="1284" max="1284"/>
    <col width="12.109375" customWidth="1" style="57" min="1285" max="1285"/>
    <col width="36.109375" bestFit="1" customWidth="1" style="57" min="1286" max="1286"/>
    <col width="9.109375" customWidth="1" style="57" min="1287" max="1530"/>
    <col width="9.6640625" customWidth="1" style="57" min="1531" max="1531"/>
    <col width="107.109375" customWidth="1" style="57" min="1532" max="1532"/>
    <col hidden="1" style="57" min="1533" max="1533"/>
    <col width="13.44140625" customWidth="1" style="57" min="1534" max="1534"/>
    <col width="15.44140625" customWidth="1" style="57" min="1535" max="1535"/>
    <col width="6.88671875" customWidth="1" style="57" min="1536" max="1536"/>
    <col width="6.44140625" customWidth="1" style="57" min="1537" max="1537"/>
    <col width="5.33203125" customWidth="1" style="57" min="1538" max="1538"/>
    <col width="6.33203125" customWidth="1" style="57" min="1539" max="1539"/>
    <col width="16" customWidth="1" style="57" min="1540" max="1540"/>
    <col width="12.109375" customWidth="1" style="57" min="1541" max="1541"/>
    <col width="36.109375" bestFit="1" customWidth="1" style="57" min="1542" max="1542"/>
    <col width="9.109375" customWidth="1" style="57" min="1543" max="1786"/>
    <col width="9.6640625" customWidth="1" style="57" min="1787" max="1787"/>
    <col width="107.109375" customWidth="1" style="57" min="1788" max="1788"/>
    <col hidden="1" style="57" min="1789" max="1789"/>
    <col width="13.44140625" customWidth="1" style="57" min="1790" max="1790"/>
    <col width="15.44140625" customWidth="1" style="57" min="1791" max="1791"/>
    <col width="6.88671875" customWidth="1" style="57" min="1792" max="1792"/>
    <col width="6.44140625" customWidth="1" style="57" min="1793" max="1793"/>
    <col width="5.33203125" customWidth="1" style="57" min="1794" max="1794"/>
    <col width="6.33203125" customWidth="1" style="57" min="1795" max="1795"/>
    <col width="16" customWidth="1" style="57" min="1796" max="1796"/>
    <col width="12.109375" customWidth="1" style="57" min="1797" max="1797"/>
    <col width="36.109375" bestFit="1" customWidth="1" style="57" min="1798" max="1798"/>
    <col width="9.109375" customWidth="1" style="57" min="1799" max="2042"/>
    <col width="9.6640625" customWidth="1" style="57" min="2043" max="2043"/>
    <col width="107.109375" customWidth="1" style="57" min="2044" max="2044"/>
    <col hidden="1" style="57" min="2045" max="2045"/>
    <col width="13.44140625" customWidth="1" style="57" min="2046" max="2046"/>
    <col width="15.44140625" customWidth="1" style="57" min="2047" max="2047"/>
    <col width="6.88671875" customWidth="1" style="57" min="2048" max="2048"/>
    <col width="6.44140625" customWidth="1" style="57" min="2049" max="2049"/>
    <col width="5.33203125" customWidth="1" style="57" min="2050" max="2050"/>
    <col width="6.33203125" customWidth="1" style="57" min="2051" max="2051"/>
    <col width="16" customWidth="1" style="57" min="2052" max="2052"/>
    <col width="12.109375" customWidth="1" style="57" min="2053" max="2053"/>
    <col width="36.109375" bestFit="1" customWidth="1" style="57" min="2054" max="2054"/>
    <col width="9.109375" customWidth="1" style="57" min="2055" max="2298"/>
    <col width="9.6640625" customWidth="1" style="57" min="2299" max="2299"/>
    <col width="107.109375" customWidth="1" style="57" min="2300" max="2300"/>
    <col hidden="1" style="57" min="2301" max="2301"/>
    <col width="13.44140625" customWidth="1" style="57" min="2302" max="2302"/>
    <col width="15.44140625" customWidth="1" style="57" min="2303" max="2303"/>
    <col width="6.88671875" customWidth="1" style="57" min="2304" max="2304"/>
    <col width="6.44140625" customWidth="1" style="57" min="2305" max="2305"/>
    <col width="5.33203125" customWidth="1" style="57" min="2306" max="2306"/>
    <col width="6.33203125" customWidth="1" style="57" min="2307" max="2307"/>
    <col width="16" customWidth="1" style="57" min="2308" max="2308"/>
    <col width="12.109375" customWidth="1" style="57" min="2309" max="2309"/>
    <col width="36.109375" bestFit="1" customWidth="1" style="57" min="2310" max="2310"/>
    <col width="9.109375" customWidth="1" style="57" min="2311" max="2554"/>
    <col width="9.6640625" customWidth="1" style="57" min="2555" max="2555"/>
    <col width="107.109375" customWidth="1" style="57" min="2556" max="2556"/>
    <col hidden="1" style="57" min="2557" max="2557"/>
    <col width="13.44140625" customWidth="1" style="57" min="2558" max="2558"/>
    <col width="15.44140625" customWidth="1" style="57" min="2559" max="2559"/>
    <col width="6.88671875" customWidth="1" style="57" min="2560" max="2560"/>
    <col width="6.44140625" customWidth="1" style="57" min="2561" max="2561"/>
    <col width="5.33203125" customWidth="1" style="57" min="2562" max="2562"/>
    <col width="6.33203125" customWidth="1" style="57" min="2563" max="2563"/>
    <col width="16" customWidth="1" style="57" min="2564" max="2564"/>
    <col width="12.109375" customWidth="1" style="57" min="2565" max="2565"/>
    <col width="36.109375" bestFit="1" customWidth="1" style="57" min="2566" max="2566"/>
    <col width="9.109375" customWidth="1" style="57" min="2567" max="2810"/>
    <col width="9.6640625" customWidth="1" style="57" min="2811" max="2811"/>
    <col width="107.109375" customWidth="1" style="57" min="2812" max="2812"/>
    <col hidden="1" style="57" min="2813" max="2813"/>
    <col width="13.44140625" customWidth="1" style="57" min="2814" max="2814"/>
    <col width="15.44140625" customWidth="1" style="57" min="2815" max="2815"/>
    <col width="6.88671875" customWidth="1" style="57" min="2816" max="2816"/>
    <col width="6.44140625" customWidth="1" style="57" min="2817" max="2817"/>
    <col width="5.33203125" customWidth="1" style="57" min="2818" max="2818"/>
    <col width="6.33203125" customWidth="1" style="57" min="2819" max="2819"/>
    <col width="16" customWidth="1" style="57" min="2820" max="2820"/>
    <col width="12.109375" customWidth="1" style="57" min="2821" max="2821"/>
    <col width="36.109375" bestFit="1" customWidth="1" style="57" min="2822" max="2822"/>
    <col width="9.109375" customWidth="1" style="57" min="2823" max="3066"/>
    <col width="9.6640625" customWidth="1" style="57" min="3067" max="3067"/>
    <col width="107.109375" customWidth="1" style="57" min="3068" max="3068"/>
    <col hidden="1" style="57" min="3069" max="3069"/>
    <col width="13.44140625" customWidth="1" style="57" min="3070" max="3070"/>
    <col width="15.44140625" customWidth="1" style="57" min="3071" max="3071"/>
    <col width="6.88671875" customWidth="1" style="57" min="3072" max="3072"/>
    <col width="6.44140625" customWidth="1" style="57" min="3073" max="3073"/>
    <col width="5.33203125" customWidth="1" style="57" min="3074" max="3074"/>
    <col width="6.33203125" customWidth="1" style="57" min="3075" max="3075"/>
    <col width="16" customWidth="1" style="57" min="3076" max="3076"/>
    <col width="12.109375" customWidth="1" style="57" min="3077" max="3077"/>
    <col width="36.109375" bestFit="1" customWidth="1" style="57" min="3078" max="3078"/>
    <col width="9.109375" customWidth="1" style="57" min="3079" max="3322"/>
    <col width="9.6640625" customWidth="1" style="57" min="3323" max="3323"/>
    <col width="107.109375" customWidth="1" style="57" min="3324" max="3324"/>
    <col hidden="1" style="57" min="3325" max="3325"/>
    <col width="13.44140625" customWidth="1" style="57" min="3326" max="3326"/>
    <col width="15.44140625" customWidth="1" style="57" min="3327" max="3327"/>
    <col width="6.88671875" customWidth="1" style="57" min="3328" max="3328"/>
    <col width="6.44140625" customWidth="1" style="57" min="3329" max="3329"/>
    <col width="5.33203125" customWidth="1" style="57" min="3330" max="3330"/>
    <col width="6.33203125" customWidth="1" style="57" min="3331" max="3331"/>
    <col width="16" customWidth="1" style="57" min="3332" max="3332"/>
    <col width="12.109375" customWidth="1" style="57" min="3333" max="3333"/>
    <col width="36.109375" bestFit="1" customWidth="1" style="57" min="3334" max="3334"/>
    <col width="9.109375" customWidth="1" style="57" min="3335" max="3578"/>
    <col width="9.6640625" customWidth="1" style="57" min="3579" max="3579"/>
    <col width="107.109375" customWidth="1" style="57" min="3580" max="3580"/>
    <col hidden="1" style="57" min="3581" max="3581"/>
    <col width="13.44140625" customWidth="1" style="57" min="3582" max="3582"/>
    <col width="15.44140625" customWidth="1" style="57" min="3583" max="3583"/>
    <col width="6.88671875" customWidth="1" style="57" min="3584" max="3584"/>
    <col width="6.44140625" customWidth="1" style="57" min="3585" max="3585"/>
    <col width="5.33203125" customWidth="1" style="57" min="3586" max="3586"/>
    <col width="6.33203125" customWidth="1" style="57" min="3587" max="3587"/>
    <col width="16" customWidth="1" style="57" min="3588" max="3588"/>
    <col width="12.109375" customWidth="1" style="57" min="3589" max="3589"/>
    <col width="36.109375" bestFit="1" customWidth="1" style="57" min="3590" max="3590"/>
    <col width="9.109375" customWidth="1" style="57" min="3591" max="3834"/>
    <col width="9.6640625" customWidth="1" style="57" min="3835" max="3835"/>
    <col width="107.109375" customWidth="1" style="57" min="3836" max="3836"/>
    <col hidden="1" style="57" min="3837" max="3837"/>
    <col width="13.44140625" customWidth="1" style="57" min="3838" max="3838"/>
    <col width="15.44140625" customWidth="1" style="57" min="3839" max="3839"/>
    <col width="6.88671875" customWidth="1" style="57" min="3840" max="3840"/>
    <col width="6.44140625" customWidth="1" style="57" min="3841" max="3841"/>
    <col width="5.33203125" customWidth="1" style="57" min="3842" max="3842"/>
    <col width="6.33203125" customWidth="1" style="57" min="3843" max="3843"/>
    <col width="16" customWidth="1" style="57" min="3844" max="3844"/>
    <col width="12.109375" customWidth="1" style="57" min="3845" max="3845"/>
    <col width="36.109375" bestFit="1" customWidth="1" style="57" min="3846" max="3846"/>
    <col width="9.109375" customWidth="1" style="57" min="3847" max="4090"/>
    <col width="9.6640625" customWidth="1" style="57" min="4091" max="4091"/>
    <col width="107.109375" customWidth="1" style="57" min="4092" max="4092"/>
    <col hidden="1" style="57" min="4093" max="4093"/>
    <col width="13.44140625" customWidth="1" style="57" min="4094" max="4094"/>
    <col width="15.44140625" customWidth="1" style="57" min="4095" max="4095"/>
    <col width="6.88671875" customWidth="1" style="57" min="4096" max="4096"/>
    <col width="6.44140625" customWidth="1" style="57" min="4097" max="4097"/>
    <col width="5.33203125" customWidth="1" style="57" min="4098" max="4098"/>
    <col width="6.33203125" customWidth="1" style="57" min="4099" max="4099"/>
    <col width="16" customWidth="1" style="57" min="4100" max="4100"/>
    <col width="12.109375" customWidth="1" style="57" min="4101" max="4101"/>
    <col width="36.109375" bestFit="1" customWidth="1" style="57" min="4102" max="4102"/>
    <col width="9.109375" customWidth="1" style="57" min="4103" max="4346"/>
    <col width="9.6640625" customWidth="1" style="57" min="4347" max="4347"/>
    <col width="107.109375" customWidth="1" style="57" min="4348" max="4348"/>
    <col hidden="1" style="57" min="4349" max="4349"/>
    <col width="13.44140625" customWidth="1" style="57" min="4350" max="4350"/>
    <col width="15.44140625" customWidth="1" style="57" min="4351" max="4351"/>
    <col width="6.88671875" customWidth="1" style="57" min="4352" max="4352"/>
    <col width="6.44140625" customWidth="1" style="57" min="4353" max="4353"/>
    <col width="5.33203125" customWidth="1" style="57" min="4354" max="4354"/>
    <col width="6.33203125" customWidth="1" style="57" min="4355" max="4355"/>
    <col width="16" customWidth="1" style="57" min="4356" max="4356"/>
    <col width="12.109375" customWidth="1" style="57" min="4357" max="4357"/>
    <col width="36.109375" bestFit="1" customWidth="1" style="57" min="4358" max="4358"/>
    <col width="9.109375" customWidth="1" style="57" min="4359" max="4602"/>
    <col width="9.6640625" customWidth="1" style="57" min="4603" max="4603"/>
    <col width="107.109375" customWidth="1" style="57" min="4604" max="4604"/>
    <col hidden="1" style="57" min="4605" max="4605"/>
    <col width="13.44140625" customWidth="1" style="57" min="4606" max="4606"/>
    <col width="15.44140625" customWidth="1" style="57" min="4607" max="4607"/>
    <col width="6.88671875" customWidth="1" style="57" min="4608" max="4608"/>
    <col width="6.44140625" customWidth="1" style="57" min="4609" max="4609"/>
    <col width="5.33203125" customWidth="1" style="57" min="4610" max="4610"/>
    <col width="6.33203125" customWidth="1" style="57" min="4611" max="4611"/>
    <col width="16" customWidth="1" style="57" min="4612" max="4612"/>
    <col width="12.109375" customWidth="1" style="57" min="4613" max="4613"/>
    <col width="36.109375" bestFit="1" customWidth="1" style="57" min="4614" max="4614"/>
    <col width="9.109375" customWidth="1" style="57" min="4615" max="4858"/>
    <col width="9.6640625" customWidth="1" style="57" min="4859" max="4859"/>
    <col width="107.109375" customWidth="1" style="57" min="4860" max="4860"/>
    <col hidden="1" style="57" min="4861" max="4861"/>
    <col width="13.44140625" customWidth="1" style="57" min="4862" max="4862"/>
    <col width="15.44140625" customWidth="1" style="57" min="4863" max="4863"/>
    <col width="6.88671875" customWidth="1" style="57" min="4864" max="4864"/>
    <col width="6.44140625" customWidth="1" style="57" min="4865" max="4865"/>
    <col width="5.33203125" customWidth="1" style="57" min="4866" max="4866"/>
    <col width="6.33203125" customWidth="1" style="57" min="4867" max="4867"/>
    <col width="16" customWidth="1" style="57" min="4868" max="4868"/>
    <col width="12.109375" customWidth="1" style="57" min="4869" max="4869"/>
    <col width="36.109375" bestFit="1" customWidth="1" style="57" min="4870" max="4870"/>
    <col width="9.109375" customWidth="1" style="57" min="4871" max="5114"/>
    <col width="9.6640625" customWidth="1" style="57" min="5115" max="5115"/>
    <col width="107.109375" customWidth="1" style="57" min="5116" max="5116"/>
    <col hidden="1" style="57" min="5117" max="5117"/>
    <col width="13.44140625" customWidth="1" style="57" min="5118" max="5118"/>
    <col width="15.44140625" customWidth="1" style="57" min="5119" max="5119"/>
    <col width="6.88671875" customWidth="1" style="57" min="5120" max="5120"/>
    <col width="6.44140625" customWidth="1" style="57" min="5121" max="5121"/>
    <col width="5.33203125" customWidth="1" style="57" min="5122" max="5122"/>
    <col width="6.33203125" customWidth="1" style="57" min="5123" max="5123"/>
    <col width="16" customWidth="1" style="57" min="5124" max="5124"/>
    <col width="12.109375" customWidth="1" style="57" min="5125" max="5125"/>
    <col width="36.109375" bestFit="1" customWidth="1" style="57" min="5126" max="5126"/>
    <col width="9.109375" customWidth="1" style="57" min="5127" max="5370"/>
    <col width="9.6640625" customWidth="1" style="57" min="5371" max="5371"/>
    <col width="107.109375" customWidth="1" style="57" min="5372" max="5372"/>
    <col hidden="1" style="57" min="5373" max="5373"/>
    <col width="13.44140625" customWidth="1" style="57" min="5374" max="5374"/>
    <col width="15.44140625" customWidth="1" style="57" min="5375" max="5375"/>
    <col width="6.88671875" customWidth="1" style="57" min="5376" max="5376"/>
    <col width="6.44140625" customWidth="1" style="57" min="5377" max="5377"/>
    <col width="5.33203125" customWidth="1" style="57" min="5378" max="5378"/>
    <col width="6.33203125" customWidth="1" style="57" min="5379" max="5379"/>
    <col width="16" customWidth="1" style="57" min="5380" max="5380"/>
    <col width="12.109375" customWidth="1" style="57" min="5381" max="5381"/>
    <col width="36.109375" bestFit="1" customWidth="1" style="57" min="5382" max="5382"/>
    <col width="9.109375" customWidth="1" style="57" min="5383" max="5626"/>
    <col width="9.6640625" customWidth="1" style="57" min="5627" max="5627"/>
    <col width="107.109375" customWidth="1" style="57" min="5628" max="5628"/>
    <col hidden="1" style="57" min="5629" max="5629"/>
    <col width="13.44140625" customWidth="1" style="57" min="5630" max="5630"/>
    <col width="15.44140625" customWidth="1" style="57" min="5631" max="5631"/>
    <col width="6.88671875" customWidth="1" style="57" min="5632" max="5632"/>
    <col width="6.44140625" customWidth="1" style="57" min="5633" max="5633"/>
    <col width="5.33203125" customWidth="1" style="57" min="5634" max="5634"/>
    <col width="6.33203125" customWidth="1" style="57" min="5635" max="5635"/>
    <col width="16" customWidth="1" style="57" min="5636" max="5636"/>
    <col width="12.109375" customWidth="1" style="57" min="5637" max="5637"/>
    <col width="36.109375" bestFit="1" customWidth="1" style="57" min="5638" max="5638"/>
    <col width="9.109375" customWidth="1" style="57" min="5639" max="5882"/>
    <col width="9.6640625" customWidth="1" style="57" min="5883" max="5883"/>
    <col width="107.109375" customWidth="1" style="57" min="5884" max="5884"/>
    <col hidden="1" style="57" min="5885" max="5885"/>
    <col width="13.44140625" customWidth="1" style="57" min="5886" max="5886"/>
    <col width="15.44140625" customWidth="1" style="57" min="5887" max="5887"/>
    <col width="6.88671875" customWidth="1" style="57" min="5888" max="5888"/>
    <col width="6.44140625" customWidth="1" style="57" min="5889" max="5889"/>
    <col width="5.33203125" customWidth="1" style="57" min="5890" max="5890"/>
    <col width="6.33203125" customWidth="1" style="57" min="5891" max="5891"/>
    <col width="16" customWidth="1" style="57" min="5892" max="5892"/>
    <col width="12.109375" customWidth="1" style="57" min="5893" max="5893"/>
    <col width="36.109375" bestFit="1" customWidth="1" style="57" min="5894" max="5894"/>
    <col width="9.109375" customWidth="1" style="57" min="5895" max="6138"/>
    <col width="9.6640625" customWidth="1" style="57" min="6139" max="6139"/>
    <col width="107.109375" customWidth="1" style="57" min="6140" max="6140"/>
    <col hidden="1" style="57" min="6141" max="6141"/>
    <col width="13.44140625" customWidth="1" style="57" min="6142" max="6142"/>
    <col width="15.44140625" customWidth="1" style="57" min="6143" max="6143"/>
    <col width="6.88671875" customWidth="1" style="57" min="6144" max="6144"/>
    <col width="6.44140625" customWidth="1" style="57" min="6145" max="6145"/>
    <col width="5.33203125" customWidth="1" style="57" min="6146" max="6146"/>
    <col width="6.33203125" customWidth="1" style="57" min="6147" max="6147"/>
    <col width="16" customWidth="1" style="57" min="6148" max="6148"/>
    <col width="12.109375" customWidth="1" style="57" min="6149" max="6149"/>
    <col width="36.109375" bestFit="1" customWidth="1" style="57" min="6150" max="6150"/>
    <col width="9.109375" customWidth="1" style="57" min="6151" max="6394"/>
    <col width="9.6640625" customWidth="1" style="57" min="6395" max="6395"/>
    <col width="107.109375" customWidth="1" style="57" min="6396" max="6396"/>
    <col hidden="1" style="57" min="6397" max="6397"/>
    <col width="13.44140625" customWidth="1" style="57" min="6398" max="6398"/>
    <col width="15.44140625" customWidth="1" style="57" min="6399" max="6399"/>
    <col width="6.88671875" customWidth="1" style="57" min="6400" max="6400"/>
    <col width="6.44140625" customWidth="1" style="57" min="6401" max="6401"/>
    <col width="5.33203125" customWidth="1" style="57" min="6402" max="6402"/>
    <col width="6.33203125" customWidth="1" style="57" min="6403" max="6403"/>
    <col width="16" customWidth="1" style="57" min="6404" max="6404"/>
    <col width="12.109375" customWidth="1" style="57" min="6405" max="6405"/>
    <col width="36.109375" bestFit="1" customWidth="1" style="57" min="6406" max="6406"/>
    <col width="9.109375" customWidth="1" style="57" min="6407" max="6650"/>
    <col width="9.6640625" customWidth="1" style="57" min="6651" max="6651"/>
    <col width="107.109375" customWidth="1" style="57" min="6652" max="6652"/>
    <col hidden="1" style="57" min="6653" max="6653"/>
    <col width="13.44140625" customWidth="1" style="57" min="6654" max="6654"/>
    <col width="15.44140625" customWidth="1" style="57" min="6655" max="6655"/>
    <col width="6.88671875" customWidth="1" style="57" min="6656" max="6656"/>
    <col width="6.44140625" customWidth="1" style="57" min="6657" max="6657"/>
    <col width="5.33203125" customWidth="1" style="57" min="6658" max="6658"/>
    <col width="6.33203125" customWidth="1" style="57" min="6659" max="6659"/>
    <col width="16" customWidth="1" style="57" min="6660" max="6660"/>
    <col width="12.109375" customWidth="1" style="57" min="6661" max="6661"/>
    <col width="36.109375" bestFit="1" customWidth="1" style="57" min="6662" max="6662"/>
    <col width="9.109375" customWidth="1" style="57" min="6663" max="6906"/>
    <col width="9.6640625" customWidth="1" style="57" min="6907" max="6907"/>
    <col width="107.109375" customWidth="1" style="57" min="6908" max="6908"/>
    <col hidden="1" style="57" min="6909" max="6909"/>
    <col width="13.44140625" customWidth="1" style="57" min="6910" max="6910"/>
    <col width="15.44140625" customWidth="1" style="57" min="6911" max="6911"/>
    <col width="6.88671875" customWidth="1" style="57" min="6912" max="6912"/>
    <col width="6.44140625" customWidth="1" style="57" min="6913" max="6913"/>
    <col width="5.33203125" customWidth="1" style="57" min="6914" max="6914"/>
    <col width="6.33203125" customWidth="1" style="57" min="6915" max="6915"/>
    <col width="16" customWidth="1" style="57" min="6916" max="6916"/>
    <col width="12.109375" customWidth="1" style="57" min="6917" max="6917"/>
    <col width="36.109375" bestFit="1" customWidth="1" style="57" min="6918" max="6918"/>
    <col width="9.109375" customWidth="1" style="57" min="6919" max="7162"/>
    <col width="9.6640625" customWidth="1" style="57" min="7163" max="7163"/>
    <col width="107.109375" customWidth="1" style="57" min="7164" max="7164"/>
    <col hidden="1" style="57" min="7165" max="7165"/>
    <col width="13.44140625" customWidth="1" style="57" min="7166" max="7166"/>
    <col width="15.44140625" customWidth="1" style="57" min="7167" max="7167"/>
    <col width="6.88671875" customWidth="1" style="57" min="7168" max="7168"/>
    <col width="6.44140625" customWidth="1" style="57" min="7169" max="7169"/>
    <col width="5.33203125" customWidth="1" style="57" min="7170" max="7170"/>
    <col width="6.33203125" customWidth="1" style="57" min="7171" max="7171"/>
    <col width="16" customWidth="1" style="57" min="7172" max="7172"/>
    <col width="12.109375" customWidth="1" style="57" min="7173" max="7173"/>
    <col width="36.109375" bestFit="1" customWidth="1" style="57" min="7174" max="7174"/>
    <col width="9.109375" customWidth="1" style="57" min="7175" max="7418"/>
    <col width="9.6640625" customWidth="1" style="57" min="7419" max="7419"/>
    <col width="107.109375" customWidth="1" style="57" min="7420" max="7420"/>
    <col hidden="1" style="57" min="7421" max="7421"/>
    <col width="13.44140625" customWidth="1" style="57" min="7422" max="7422"/>
    <col width="15.44140625" customWidth="1" style="57" min="7423" max="7423"/>
    <col width="6.88671875" customWidth="1" style="57" min="7424" max="7424"/>
    <col width="6.44140625" customWidth="1" style="57" min="7425" max="7425"/>
    <col width="5.33203125" customWidth="1" style="57" min="7426" max="7426"/>
    <col width="6.33203125" customWidth="1" style="57" min="7427" max="7427"/>
    <col width="16" customWidth="1" style="57" min="7428" max="7428"/>
    <col width="12.109375" customWidth="1" style="57" min="7429" max="7429"/>
    <col width="36.109375" bestFit="1" customWidth="1" style="57" min="7430" max="7430"/>
    <col width="9.109375" customWidth="1" style="57" min="7431" max="7674"/>
    <col width="9.6640625" customWidth="1" style="57" min="7675" max="7675"/>
    <col width="107.109375" customWidth="1" style="57" min="7676" max="7676"/>
    <col hidden="1" style="57" min="7677" max="7677"/>
    <col width="13.44140625" customWidth="1" style="57" min="7678" max="7678"/>
    <col width="15.44140625" customWidth="1" style="57" min="7679" max="7679"/>
    <col width="6.88671875" customWidth="1" style="57" min="7680" max="7680"/>
    <col width="6.44140625" customWidth="1" style="57" min="7681" max="7681"/>
    <col width="5.33203125" customWidth="1" style="57" min="7682" max="7682"/>
    <col width="6.33203125" customWidth="1" style="57" min="7683" max="7683"/>
    <col width="16" customWidth="1" style="57" min="7684" max="7684"/>
    <col width="12.109375" customWidth="1" style="57" min="7685" max="7685"/>
    <col width="36.109375" bestFit="1" customWidth="1" style="57" min="7686" max="7686"/>
    <col width="9.109375" customWidth="1" style="57" min="7687" max="7930"/>
    <col width="9.6640625" customWidth="1" style="57" min="7931" max="7931"/>
    <col width="107.109375" customWidth="1" style="57" min="7932" max="7932"/>
    <col hidden="1" style="57" min="7933" max="7933"/>
    <col width="13.44140625" customWidth="1" style="57" min="7934" max="7934"/>
    <col width="15.44140625" customWidth="1" style="57" min="7935" max="7935"/>
    <col width="6.88671875" customWidth="1" style="57" min="7936" max="7936"/>
    <col width="6.44140625" customWidth="1" style="57" min="7937" max="7937"/>
    <col width="5.33203125" customWidth="1" style="57" min="7938" max="7938"/>
    <col width="6.33203125" customWidth="1" style="57" min="7939" max="7939"/>
    <col width="16" customWidth="1" style="57" min="7940" max="7940"/>
    <col width="12.109375" customWidth="1" style="57" min="7941" max="7941"/>
    <col width="36.109375" bestFit="1" customWidth="1" style="57" min="7942" max="7942"/>
    <col width="9.109375" customWidth="1" style="57" min="7943" max="8186"/>
    <col width="9.6640625" customWidth="1" style="57" min="8187" max="8187"/>
    <col width="107.109375" customWidth="1" style="57" min="8188" max="8188"/>
    <col hidden="1" style="57" min="8189" max="8189"/>
    <col width="13.44140625" customWidth="1" style="57" min="8190" max="8190"/>
    <col width="15.44140625" customWidth="1" style="57" min="8191" max="8191"/>
    <col width="6.88671875" customWidth="1" style="57" min="8192" max="8192"/>
    <col width="6.44140625" customWidth="1" style="57" min="8193" max="8193"/>
    <col width="5.33203125" customWidth="1" style="57" min="8194" max="8194"/>
    <col width="6.33203125" customWidth="1" style="57" min="8195" max="8195"/>
    <col width="16" customWidth="1" style="57" min="8196" max="8196"/>
    <col width="12.109375" customWidth="1" style="57" min="8197" max="8197"/>
    <col width="36.109375" bestFit="1" customWidth="1" style="57" min="8198" max="8198"/>
    <col width="9.109375" customWidth="1" style="57" min="8199" max="8442"/>
    <col width="9.6640625" customWidth="1" style="57" min="8443" max="8443"/>
    <col width="107.109375" customWidth="1" style="57" min="8444" max="8444"/>
    <col hidden="1" style="57" min="8445" max="8445"/>
    <col width="13.44140625" customWidth="1" style="57" min="8446" max="8446"/>
    <col width="15.44140625" customWidth="1" style="57" min="8447" max="8447"/>
    <col width="6.88671875" customWidth="1" style="57" min="8448" max="8448"/>
    <col width="6.44140625" customWidth="1" style="57" min="8449" max="8449"/>
    <col width="5.33203125" customWidth="1" style="57" min="8450" max="8450"/>
    <col width="6.33203125" customWidth="1" style="57" min="8451" max="8451"/>
    <col width="16" customWidth="1" style="57" min="8452" max="8452"/>
    <col width="12.109375" customWidth="1" style="57" min="8453" max="8453"/>
    <col width="36.109375" bestFit="1" customWidth="1" style="57" min="8454" max="8454"/>
    <col width="9.109375" customWidth="1" style="57" min="8455" max="8698"/>
    <col width="9.6640625" customWidth="1" style="57" min="8699" max="8699"/>
    <col width="107.109375" customWidth="1" style="57" min="8700" max="8700"/>
    <col hidden="1" style="57" min="8701" max="8701"/>
    <col width="13.44140625" customWidth="1" style="57" min="8702" max="8702"/>
    <col width="15.44140625" customWidth="1" style="57" min="8703" max="8703"/>
    <col width="6.88671875" customWidth="1" style="57" min="8704" max="8704"/>
    <col width="6.44140625" customWidth="1" style="57" min="8705" max="8705"/>
    <col width="5.33203125" customWidth="1" style="57" min="8706" max="8706"/>
    <col width="6.33203125" customWidth="1" style="57" min="8707" max="8707"/>
    <col width="16" customWidth="1" style="57" min="8708" max="8708"/>
    <col width="12.109375" customWidth="1" style="57" min="8709" max="8709"/>
    <col width="36.109375" bestFit="1" customWidth="1" style="57" min="8710" max="8710"/>
    <col width="9.109375" customWidth="1" style="57" min="8711" max="8954"/>
    <col width="9.6640625" customWidth="1" style="57" min="8955" max="8955"/>
    <col width="107.109375" customWidth="1" style="57" min="8956" max="8956"/>
    <col hidden="1" style="57" min="8957" max="8957"/>
    <col width="13.44140625" customWidth="1" style="57" min="8958" max="8958"/>
    <col width="15.44140625" customWidth="1" style="57" min="8959" max="8959"/>
    <col width="6.88671875" customWidth="1" style="57" min="8960" max="8960"/>
    <col width="6.44140625" customWidth="1" style="57" min="8961" max="8961"/>
    <col width="5.33203125" customWidth="1" style="57" min="8962" max="8962"/>
    <col width="6.33203125" customWidth="1" style="57" min="8963" max="8963"/>
    <col width="16" customWidth="1" style="57" min="8964" max="8964"/>
    <col width="12.109375" customWidth="1" style="57" min="8965" max="8965"/>
    <col width="36.109375" bestFit="1" customWidth="1" style="57" min="8966" max="8966"/>
    <col width="9.109375" customWidth="1" style="57" min="8967" max="9210"/>
    <col width="9.6640625" customWidth="1" style="57" min="9211" max="9211"/>
    <col width="107.109375" customWidth="1" style="57" min="9212" max="9212"/>
    <col hidden="1" style="57" min="9213" max="9213"/>
    <col width="13.44140625" customWidth="1" style="57" min="9214" max="9214"/>
    <col width="15.44140625" customWidth="1" style="57" min="9215" max="9215"/>
    <col width="6.88671875" customWidth="1" style="57" min="9216" max="9216"/>
    <col width="6.44140625" customWidth="1" style="57" min="9217" max="9217"/>
    <col width="5.33203125" customWidth="1" style="57" min="9218" max="9218"/>
    <col width="6.33203125" customWidth="1" style="57" min="9219" max="9219"/>
    <col width="16" customWidth="1" style="57" min="9220" max="9220"/>
    <col width="12.109375" customWidth="1" style="57" min="9221" max="9221"/>
    <col width="36.109375" bestFit="1" customWidth="1" style="57" min="9222" max="9222"/>
    <col width="9.109375" customWidth="1" style="57" min="9223" max="9466"/>
    <col width="9.6640625" customWidth="1" style="57" min="9467" max="9467"/>
    <col width="107.109375" customWidth="1" style="57" min="9468" max="9468"/>
    <col hidden="1" style="57" min="9469" max="9469"/>
    <col width="13.44140625" customWidth="1" style="57" min="9470" max="9470"/>
    <col width="15.44140625" customWidth="1" style="57" min="9471" max="9471"/>
    <col width="6.88671875" customWidth="1" style="57" min="9472" max="9472"/>
    <col width="6.44140625" customWidth="1" style="57" min="9473" max="9473"/>
    <col width="5.33203125" customWidth="1" style="57" min="9474" max="9474"/>
    <col width="6.33203125" customWidth="1" style="57" min="9475" max="9475"/>
    <col width="16" customWidth="1" style="57" min="9476" max="9476"/>
    <col width="12.109375" customWidth="1" style="57" min="9477" max="9477"/>
    <col width="36.109375" bestFit="1" customWidth="1" style="57" min="9478" max="9478"/>
    <col width="9.109375" customWidth="1" style="57" min="9479" max="9722"/>
    <col width="9.6640625" customWidth="1" style="57" min="9723" max="9723"/>
    <col width="107.109375" customWidth="1" style="57" min="9724" max="9724"/>
    <col hidden="1" style="57" min="9725" max="9725"/>
    <col width="13.44140625" customWidth="1" style="57" min="9726" max="9726"/>
    <col width="15.44140625" customWidth="1" style="57" min="9727" max="9727"/>
    <col width="6.88671875" customWidth="1" style="57" min="9728" max="9728"/>
    <col width="6.44140625" customWidth="1" style="57" min="9729" max="9729"/>
    <col width="5.33203125" customWidth="1" style="57" min="9730" max="9730"/>
    <col width="6.33203125" customWidth="1" style="57" min="9731" max="9731"/>
    <col width="16" customWidth="1" style="57" min="9732" max="9732"/>
    <col width="12.109375" customWidth="1" style="57" min="9733" max="9733"/>
    <col width="36.109375" bestFit="1" customWidth="1" style="57" min="9734" max="9734"/>
    <col width="9.109375" customWidth="1" style="57" min="9735" max="9978"/>
    <col width="9.6640625" customWidth="1" style="57" min="9979" max="9979"/>
    <col width="107.109375" customWidth="1" style="57" min="9980" max="9980"/>
    <col hidden="1" style="57" min="9981" max="9981"/>
    <col width="13.44140625" customWidth="1" style="57" min="9982" max="9982"/>
    <col width="15.44140625" customWidth="1" style="57" min="9983" max="9983"/>
    <col width="6.88671875" customWidth="1" style="57" min="9984" max="9984"/>
    <col width="6.44140625" customWidth="1" style="57" min="9985" max="9985"/>
    <col width="5.33203125" customWidth="1" style="57" min="9986" max="9986"/>
    <col width="6.33203125" customWidth="1" style="57" min="9987" max="9987"/>
    <col width="16" customWidth="1" style="57" min="9988" max="9988"/>
    <col width="12.109375" customWidth="1" style="57" min="9989" max="9989"/>
    <col width="36.109375" bestFit="1" customWidth="1" style="57" min="9990" max="9990"/>
    <col width="9.109375" customWidth="1" style="57" min="9991" max="10234"/>
    <col width="9.6640625" customWidth="1" style="57" min="10235" max="10235"/>
    <col width="107.109375" customWidth="1" style="57" min="10236" max="10236"/>
    <col hidden="1" style="57" min="10237" max="10237"/>
    <col width="13.44140625" customWidth="1" style="57" min="10238" max="10238"/>
    <col width="15.44140625" customWidth="1" style="57" min="10239" max="10239"/>
    <col width="6.88671875" customWidth="1" style="57" min="10240" max="10240"/>
    <col width="6.44140625" customWidth="1" style="57" min="10241" max="10241"/>
    <col width="5.33203125" customWidth="1" style="57" min="10242" max="10242"/>
    <col width="6.33203125" customWidth="1" style="57" min="10243" max="10243"/>
    <col width="16" customWidth="1" style="57" min="10244" max="10244"/>
    <col width="12.109375" customWidth="1" style="57" min="10245" max="10245"/>
    <col width="36.109375" bestFit="1" customWidth="1" style="57" min="10246" max="10246"/>
    <col width="9.109375" customWidth="1" style="57" min="10247" max="10490"/>
    <col width="9.6640625" customWidth="1" style="57" min="10491" max="10491"/>
    <col width="107.109375" customWidth="1" style="57" min="10492" max="10492"/>
    <col hidden="1" style="57" min="10493" max="10493"/>
    <col width="13.44140625" customWidth="1" style="57" min="10494" max="10494"/>
    <col width="15.44140625" customWidth="1" style="57" min="10495" max="10495"/>
    <col width="6.88671875" customWidth="1" style="57" min="10496" max="10496"/>
    <col width="6.44140625" customWidth="1" style="57" min="10497" max="10497"/>
    <col width="5.33203125" customWidth="1" style="57" min="10498" max="10498"/>
    <col width="6.33203125" customWidth="1" style="57" min="10499" max="10499"/>
    <col width="16" customWidth="1" style="57" min="10500" max="10500"/>
    <col width="12.109375" customWidth="1" style="57" min="10501" max="10501"/>
    <col width="36.109375" bestFit="1" customWidth="1" style="57" min="10502" max="10502"/>
    <col width="9.109375" customWidth="1" style="57" min="10503" max="10746"/>
    <col width="9.6640625" customWidth="1" style="57" min="10747" max="10747"/>
    <col width="107.109375" customWidth="1" style="57" min="10748" max="10748"/>
    <col hidden="1" style="57" min="10749" max="10749"/>
    <col width="13.44140625" customWidth="1" style="57" min="10750" max="10750"/>
    <col width="15.44140625" customWidth="1" style="57" min="10751" max="10751"/>
    <col width="6.88671875" customWidth="1" style="57" min="10752" max="10752"/>
    <col width="6.44140625" customWidth="1" style="57" min="10753" max="10753"/>
    <col width="5.33203125" customWidth="1" style="57" min="10754" max="10754"/>
    <col width="6.33203125" customWidth="1" style="57" min="10755" max="10755"/>
    <col width="16" customWidth="1" style="57" min="10756" max="10756"/>
    <col width="12.109375" customWidth="1" style="57" min="10757" max="10757"/>
    <col width="36.109375" bestFit="1" customWidth="1" style="57" min="10758" max="10758"/>
    <col width="9.109375" customWidth="1" style="57" min="10759" max="11002"/>
    <col width="9.6640625" customWidth="1" style="57" min="11003" max="11003"/>
    <col width="107.109375" customWidth="1" style="57" min="11004" max="11004"/>
    <col hidden="1" style="57" min="11005" max="11005"/>
    <col width="13.44140625" customWidth="1" style="57" min="11006" max="11006"/>
    <col width="15.44140625" customWidth="1" style="57" min="11007" max="11007"/>
    <col width="6.88671875" customWidth="1" style="57" min="11008" max="11008"/>
    <col width="6.44140625" customWidth="1" style="57" min="11009" max="11009"/>
    <col width="5.33203125" customWidth="1" style="57" min="11010" max="11010"/>
    <col width="6.33203125" customWidth="1" style="57" min="11011" max="11011"/>
    <col width="16" customWidth="1" style="57" min="11012" max="11012"/>
    <col width="12.109375" customWidth="1" style="57" min="11013" max="11013"/>
    <col width="36.109375" bestFit="1" customWidth="1" style="57" min="11014" max="11014"/>
    <col width="9.109375" customWidth="1" style="57" min="11015" max="11258"/>
    <col width="9.6640625" customWidth="1" style="57" min="11259" max="11259"/>
    <col width="107.109375" customWidth="1" style="57" min="11260" max="11260"/>
    <col hidden="1" style="57" min="11261" max="11261"/>
    <col width="13.44140625" customWidth="1" style="57" min="11262" max="11262"/>
    <col width="15.44140625" customWidth="1" style="57" min="11263" max="11263"/>
    <col width="6.88671875" customWidth="1" style="57" min="11264" max="11264"/>
    <col width="6.44140625" customWidth="1" style="57" min="11265" max="11265"/>
    <col width="5.33203125" customWidth="1" style="57" min="11266" max="11266"/>
    <col width="6.33203125" customWidth="1" style="57" min="11267" max="11267"/>
    <col width="16" customWidth="1" style="57" min="11268" max="11268"/>
    <col width="12.109375" customWidth="1" style="57" min="11269" max="11269"/>
    <col width="36.109375" bestFit="1" customWidth="1" style="57" min="11270" max="11270"/>
    <col width="9.109375" customWidth="1" style="57" min="11271" max="11514"/>
    <col width="9.6640625" customWidth="1" style="57" min="11515" max="11515"/>
    <col width="107.109375" customWidth="1" style="57" min="11516" max="11516"/>
    <col hidden="1" style="57" min="11517" max="11517"/>
    <col width="13.44140625" customWidth="1" style="57" min="11518" max="11518"/>
    <col width="15.44140625" customWidth="1" style="57" min="11519" max="11519"/>
    <col width="6.88671875" customWidth="1" style="57" min="11520" max="11520"/>
    <col width="6.44140625" customWidth="1" style="57" min="11521" max="11521"/>
    <col width="5.33203125" customWidth="1" style="57" min="11522" max="11522"/>
    <col width="6.33203125" customWidth="1" style="57" min="11523" max="11523"/>
    <col width="16" customWidth="1" style="57" min="11524" max="11524"/>
    <col width="12.109375" customWidth="1" style="57" min="11525" max="11525"/>
    <col width="36.109375" bestFit="1" customWidth="1" style="57" min="11526" max="11526"/>
    <col width="9.109375" customWidth="1" style="57" min="11527" max="11770"/>
    <col width="9.6640625" customWidth="1" style="57" min="11771" max="11771"/>
    <col width="107.109375" customWidth="1" style="57" min="11772" max="11772"/>
    <col hidden="1" style="57" min="11773" max="11773"/>
    <col width="13.44140625" customWidth="1" style="57" min="11774" max="11774"/>
    <col width="15.44140625" customWidth="1" style="57" min="11775" max="11775"/>
    <col width="6.88671875" customWidth="1" style="57" min="11776" max="11776"/>
    <col width="6.44140625" customWidth="1" style="57" min="11777" max="11777"/>
    <col width="5.33203125" customWidth="1" style="57" min="11778" max="11778"/>
    <col width="6.33203125" customWidth="1" style="57" min="11779" max="11779"/>
    <col width="16" customWidth="1" style="57" min="11780" max="11780"/>
    <col width="12.109375" customWidth="1" style="57" min="11781" max="11781"/>
    <col width="36.109375" bestFit="1" customWidth="1" style="57" min="11782" max="11782"/>
    <col width="9.109375" customWidth="1" style="57" min="11783" max="12026"/>
    <col width="9.6640625" customWidth="1" style="57" min="12027" max="12027"/>
    <col width="107.109375" customWidth="1" style="57" min="12028" max="12028"/>
    <col hidden="1" style="57" min="12029" max="12029"/>
    <col width="13.44140625" customWidth="1" style="57" min="12030" max="12030"/>
    <col width="15.44140625" customWidth="1" style="57" min="12031" max="12031"/>
    <col width="6.88671875" customWidth="1" style="57" min="12032" max="12032"/>
    <col width="6.44140625" customWidth="1" style="57" min="12033" max="12033"/>
    <col width="5.33203125" customWidth="1" style="57" min="12034" max="12034"/>
    <col width="6.33203125" customWidth="1" style="57" min="12035" max="12035"/>
    <col width="16" customWidth="1" style="57" min="12036" max="12036"/>
    <col width="12.109375" customWidth="1" style="57" min="12037" max="12037"/>
    <col width="36.109375" bestFit="1" customWidth="1" style="57" min="12038" max="12038"/>
    <col width="9.109375" customWidth="1" style="57" min="12039" max="12282"/>
    <col width="9.6640625" customWidth="1" style="57" min="12283" max="12283"/>
    <col width="107.109375" customWidth="1" style="57" min="12284" max="12284"/>
    <col hidden="1" style="57" min="12285" max="12285"/>
    <col width="13.44140625" customWidth="1" style="57" min="12286" max="12286"/>
    <col width="15.44140625" customWidth="1" style="57" min="12287" max="12287"/>
    <col width="6.88671875" customWidth="1" style="57" min="12288" max="12288"/>
    <col width="6.44140625" customWidth="1" style="57" min="12289" max="12289"/>
    <col width="5.33203125" customWidth="1" style="57" min="12290" max="12290"/>
    <col width="6.33203125" customWidth="1" style="57" min="12291" max="12291"/>
    <col width="16" customWidth="1" style="57" min="12292" max="12292"/>
    <col width="12.109375" customWidth="1" style="57" min="12293" max="12293"/>
    <col width="36.109375" bestFit="1" customWidth="1" style="57" min="12294" max="12294"/>
    <col width="9.109375" customWidth="1" style="57" min="12295" max="12538"/>
    <col width="9.6640625" customWidth="1" style="57" min="12539" max="12539"/>
    <col width="107.109375" customWidth="1" style="57" min="12540" max="12540"/>
    <col hidden="1" style="57" min="12541" max="12541"/>
    <col width="13.44140625" customWidth="1" style="57" min="12542" max="12542"/>
    <col width="15.44140625" customWidth="1" style="57" min="12543" max="12543"/>
    <col width="6.88671875" customWidth="1" style="57" min="12544" max="12544"/>
    <col width="6.44140625" customWidth="1" style="57" min="12545" max="12545"/>
    <col width="5.33203125" customWidth="1" style="57" min="12546" max="12546"/>
    <col width="6.33203125" customWidth="1" style="57" min="12547" max="12547"/>
    <col width="16" customWidth="1" style="57" min="12548" max="12548"/>
    <col width="12.109375" customWidth="1" style="57" min="12549" max="12549"/>
    <col width="36.109375" bestFit="1" customWidth="1" style="57" min="12550" max="12550"/>
    <col width="9.109375" customWidth="1" style="57" min="12551" max="12794"/>
    <col width="9.6640625" customWidth="1" style="57" min="12795" max="12795"/>
    <col width="107.109375" customWidth="1" style="57" min="12796" max="12796"/>
    <col hidden="1" style="57" min="12797" max="12797"/>
    <col width="13.44140625" customWidth="1" style="57" min="12798" max="12798"/>
    <col width="15.44140625" customWidth="1" style="57" min="12799" max="12799"/>
    <col width="6.88671875" customWidth="1" style="57" min="12800" max="12800"/>
    <col width="6.44140625" customWidth="1" style="57" min="12801" max="12801"/>
    <col width="5.33203125" customWidth="1" style="57" min="12802" max="12802"/>
    <col width="6.33203125" customWidth="1" style="57" min="12803" max="12803"/>
    <col width="16" customWidth="1" style="57" min="12804" max="12804"/>
    <col width="12.109375" customWidth="1" style="57" min="12805" max="12805"/>
    <col width="36.109375" bestFit="1" customWidth="1" style="57" min="12806" max="12806"/>
    <col width="9.109375" customWidth="1" style="57" min="12807" max="13050"/>
    <col width="9.6640625" customWidth="1" style="57" min="13051" max="13051"/>
    <col width="107.109375" customWidth="1" style="57" min="13052" max="13052"/>
    <col hidden="1" style="57" min="13053" max="13053"/>
    <col width="13.44140625" customWidth="1" style="57" min="13054" max="13054"/>
    <col width="15.44140625" customWidth="1" style="57" min="13055" max="13055"/>
    <col width="6.88671875" customWidth="1" style="57" min="13056" max="13056"/>
    <col width="6.44140625" customWidth="1" style="57" min="13057" max="13057"/>
    <col width="5.33203125" customWidth="1" style="57" min="13058" max="13058"/>
    <col width="6.33203125" customWidth="1" style="57" min="13059" max="13059"/>
    <col width="16" customWidth="1" style="57" min="13060" max="13060"/>
    <col width="12.109375" customWidth="1" style="57" min="13061" max="13061"/>
    <col width="36.109375" bestFit="1" customWidth="1" style="57" min="13062" max="13062"/>
    <col width="9.109375" customWidth="1" style="57" min="13063" max="13306"/>
    <col width="9.6640625" customWidth="1" style="57" min="13307" max="13307"/>
    <col width="107.109375" customWidth="1" style="57" min="13308" max="13308"/>
    <col hidden="1" style="57" min="13309" max="13309"/>
    <col width="13.44140625" customWidth="1" style="57" min="13310" max="13310"/>
    <col width="15.44140625" customWidth="1" style="57" min="13311" max="13311"/>
    <col width="6.88671875" customWidth="1" style="57" min="13312" max="13312"/>
    <col width="6.44140625" customWidth="1" style="57" min="13313" max="13313"/>
    <col width="5.33203125" customWidth="1" style="57" min="13314" max="13314"/>
    <col width="6.33203125" customWidth="1" style="57" min="13315" max="13315"/>
    <col width="16" customWidth="1" style="57" min="13316" max="13316"/>
    <col width="12.109375" customWidth="1" style="57" min="13317" max="13317"/>
    <col width="36.109375" bestFit="1" customWidth="1" style="57" min="13318" max="13318"/>
    <col width="9.109375" customWidth="1" style="57" min="13319" max="13562"/>
    <col width="9.6640625" customWidth="1" style="57" min="13563" max="13563"/>
    <col width="107.109375" customWidth="1" style="57" min="13564" max="13564"/>
    <col hidden="1" style="57" min="13565" max="13565"/>
    <col width="13.44140625" customWidth="1" style="57" min="13566" max="13566"/>
    <col width="15.44140625" customWidth="1" style="57" min="13567" max="13567"/>
    <col width="6.88671875" customWidth="1" style="57" min="13568" max="13568"/>
    <col width="6.44140625" customWidth="1" style="57" min="13569" max="13569"/>
    <col width="5.33203125" customWidth="1" style="57" min="13570" max="13570"/>
    <col width="6.33203125" customWidth="1" style="57" min="13571" max="13571"/>
    <col width="16" customWidth="1" style="57" min="13572" max="13572"/>
    <col width="12.109375" customWidth="1" style="57" min="13573" max="13573"/>
    <col width="36.109375" bestFit="1" customWidth="1" style="57" min="13574" max="13574"/>
    <col width="9.109375" customWidth="1" style="57" min="13575" max="13818"/>
    <col width="9.6640625" customWidth="1" style="57" min="13819" max="13819"/>
    <col width="107.109375" customWidth="1" style="57" min="13820" max="13820"/>
    <col hidden="1" style="57" min="13821" max="13821"/>
    <col width="13.44140625" customWidth="1" style="57" min="13822" max="13822"/>
    <col width="15.44140625" customWidth="1" style="57" min="13823" max="13823"/>
    <col width="6.88671875" customWidth="1" style="57" min="13824" max="13824"/>
    <col width="6.44140625" customWidth="1" style="57" min="13825" max="13825"/>
    <col width="5.33203125" customWidth="1" style="57" min="13826" max="13826"/>
    <col width="6.33203125" customWidth="1" style="57" min="13827" max="13827"/>
    <col width="16" customWidth="1" style="57" min="13828" max="13828"/>
    <col width="12.109375" customWidth="1" style="57" min="13829" max="13829"/>
    <col width="36.109375" bestFit="1" customWidth="1" style="57" min="13830" max="13830"/>
    <col width="9.109375" customWidth="1" style="57" min="13831" max="14074"/>
    <col width="9.6640625" customWidth="1" style="57" min="14075" max="14075"/>
    <col width="107.109375" customWidth="1" style="57" min="14076" max="14076"/>
    <col hidden="1" style="57" min="14077" max="14077"/>
    <col width="13.44140625" customWidth="1" style="57" min="14078" max="14078"/>
    <col width="15.44140625" customWidth="1" style="57" min="14079" max="14079"/>
    <col width="6.88671875" customWidth="1" style="57" min="14080" max="14080"/>
    <col width="6.44140625" customWidth="1" style="57" min="14081" max="14081"/>
    <col width="5.33203125" customWidth="1" style="57" min="14082" max="14082"/>
    <col width="6.33203125" customWidth="1" style="57" min="14083" max="14083"/>
    <col width="16" customWidth="1" style="57" min="14084" max="14084"/>
    <col width="12.109375" customWidth="1" style="57" min="14085" max="14085"/>
    <col width="36.109375" bestFit="1" customWidth="1" style="57" min="14086" max="14086"/>
    <col width="9.109375" customWidth="1" style="57" min="14087" max="14330"/>
    <col width="9.6640625" customWidth="1" style="57" min="14331" max="14331"/>
    <col width="107.109375" customWidth="1" style="57" min="14332" max="14332"/>
    <col hidden="1" style="57" min="14333" max="14333"/>
    <col width="13.44140625" customWidth="1" style="57" min="14334" max="14334"/>
    <col width="15.44140625" customWidth="1" style="57" min="14335" max="14335"/>
    <col width="6.88671875" customWidth="1" style="57" min="14336" max="14336"/>
    <col width="6.44140625" customWidth="1" style="57" min="14337" max="14337"/>
    <col width="5.33203125" customWidth="1" style="57" min="14338" max="14338"/>
    <col width="6.33203125" customWidth="1" style="57" min="14339" max="14339"/>
    <col width="16" customWidth="1" style="57" min="14340" max="14340"/>
    <col width="12.109375" customWidth="1" style="57" min="14341" max="14341"/>
    <col width="36.109375" bestFit="1" customWidth="1" style="57" min="14342" max="14342"/>
    <col width="9.109375" customWidth="1" style="57" min="14343" max="14586"/>
    <col width="9.6640625" customWidth="1" style="57" min="14587" max="14587"/>
    <col width="107.109375" customWidth="1" style="57" min="14588" max="14588"/>
    <col hidden="1" style="57" min="14589" max="14589"/>
    <col width="13.44140625" customWidth="1" style="57" min="14590" max="14590"/>
    <col width="15.44140625" customWidth="1" style="57" min="14591" max="14591"/>
    <col width="6.88671875" customWidth="1" style="57" min="14592" max="14592"/>
    <col width="6.44140625" customWidth="1" style="57" min="14593" max="14593"/>
    <col width="5.33203125" customWidth="1" style="57" min="14594" max="14594"/>
    <col width="6.33203125" customWidth="1" style="57" min="14595" max="14595"/>
    <col width="16" customWidth="1" style="57" min="14596" max="14596"/>
    <col width="12.109375" customWidth="1" style="57" min="14597" max="14597"/>
    <col width="36.109375" bestFit="1" customWidth="1" style="57" min="14598" max="14598"/>
    <col width="9.109375" customWidth="1" style="57" min="14599" max="14842"/>
    <col width="9.6640625" customWidth="1" style="57" min="14843" max="14843"/>
    <col width="107.109375" customWidth="1" style="57" min="14844" max="14844"/>
    <col hidden="1" style="57" min="14845" max="14845"/>
    <col width="13.44140625" customWidth="1" style="57" min="14846" max="14846"/>
    <col width="15.44140625" customWidth="1" style="57" min="14847" max="14847"/>
    <col width="6.88671875" customWidth="1" style="57" min="14848" max="14848"/>
    <col width="6.44140625" customWidth="1" style="57" min="14849" max="14849"/>
    <col width="5.33203125" customWidth="1" style="57" min="14850" max="14850"/>
    <col width="6.33203125" customWidth="1" style="57" min="14851" max="14851"/>
    <col width="16" customWidth="1" style="57" min="14852" max="14852"/>
    <col width="12.109375" customWidth="1" style="57" min="14853" max="14853"/>
    <col width="36.109375" bestFit="1" customWidth="1" style="57" min="14854" max="14854"/>
    <col width="9.109375" customWidth="1" style="57" min="14855" max="15098"/>
    <col width="9.6640625" customWidth="1" style="57" min="15099" max="15099"/>
    <col width="107.109375" customWidth="1" style="57" min="15100" max="15100"/>
    <col hidden="1" style="57" min="15101" max="15101"/>
    <col width="13.44140625" customWidth="1" style="57" min="15102" max="15102"/>
    <col width="15.44140625" customWidth="1" style="57" min="15103" max="15103"/>
    <col width="6.88671875" customWidth="1" style="57" min="15104" max="15104"/>
    <col width="6.44140625" customWidth="1" style="57" min="15105" max="15105"/>
    <col width="5.33203125" customWidth="1" style="57" min="15106" max="15106"/>
    <col width="6.33203125" customWidth="1" style="57" min="15107" max="15107"/>
    <col width="16" customWidth="1" style="57" min="15108" max="15108"/>
    <col width="12.109375" customWidth="1" style="57" min="15109" max="15109"/>
    <col width="36.109375" bestFit="1" customWidth="1" style="57" min="15110" max="15110"/>
    <col width="9.109375" customWidth="1" style="57" min="15111" max="15354"/>
    <col width="9.6640625" customWidth="1" style="57" min="15355" max="15355"/>
    <col width="107.109375" customWidth="1" style="57" min="15356" max="15356"/>
    <col hidden="1" style="57" min="15357" max="15357"/>
    <col width="13.44140625" customWidth="1" style="57" min="15358" max="15358"/>
    <col width="15.44140625" customWidth="1" style="57" min="15359" max="15359"/>
    <col width="6.88671875" customWidth="1" style="57" min="15360" max="15360"/>
    <col width="6.44140625" customWidth="1" style="57" min="15361" max="15361"/>
    <col width="5.33203125" customWidth="1" style="57" min="15362" max="15362"/>
    <col width="6.33203125" customWidth="1" style="57" min="15363" max="15363"/>
    <col width="16" customWidth="1" style="57" min="15364" max="15364"/>
    <col width="12.109375" customWidth="1" style="57" min="15365" max="15365"/>
    <col width="36.109375" bestFit="1" customWidth="1" style="57" min="15366" max="15366"/>
    <col width="9.109375" customWidth="1" style="57" min="15367" max="15610"/>
    <col width="9.6640625" customWidth="1" style="57" min="15611" max="15611"/>
    <col width="107.109375" customWidth="1" style="57" min="15612" max="15612"/>
    <col hidden="1" style="57" min="15613" max="15613"/>
    <col width="13.44140625" customWidth="1" style="57" min="15614" max="15614"/>
    <col width="15.44140625" customWidth="1" style="57" min="15615" max="15615"/>
    <col width="6.88671875" customWidth="1" style="57" min="15616" max="15616"/>
    <col width="6.44140625" customWidth="1" style="57" min="15617" max="15617"/>
    <col width="5.33203125" customWidth="1" style="57" min="15618" max="15618"/>
    <col width="6.33203125" customWidth="1" style="57" min="15619" max="15619"/>
    <col width="16" customWidth="1" style="57" min="15620" max="15620"/>
    <col width="12.109375" customWidth="1" style="57" min="15621" max="15621"/>
    <col width="36.109375" bestFit="1" customWidth="1" style="57" min="15622" max="15622"/>
    <col width="9.109375" customWidth="1" style="57" min="15623" max="15866"/>
    <col width="9.6640625" customWidth="1" style="57" min="15867" max="15867"/>
    <col width="107.109375" customWidth="1" style="57" min="15868" max="15868"/>
    <col hidden="1" style="57" min="15869" max="15869"/>
    <col width="13.44140625" customWidth="1" style="57" min="15870" max="15870"/>
    <col width="15.44140625" customWidth="1" style="57" min="15871" max="15871"/>
    <col width="6.88671875" customWidth="1" style="57" min="15872" max="15872"/>
    <col width="6.44140625" customWidth="1" style="57" min="15873" max="15873"/>
    <col width="5.33203125" customWidth="1" style="57" min="15874" max="15874"/>
    <col width="6.33203125" customWidth="1" style="57" min="15875" max="15875"/>
    <col width="16" customWidth="1" style="57" min="15876" max="15876"/>
    <col width="12.109375" customWidth="1" style="57" min="15877" max="15877"/>
    <col width="36.109375" bestFit="1" customWidth="1" style="57" min="15878" max="15878"/>
    <col width="9.109375" customWidth="1" style="57" min="15879" max="16122"/>
    <col width="9.6640625" customWidth="1" style="57" min="16123" max="16123"/>
    <col width="107.109375" customWidth="1" style="57" min="16124" max="16124"/>
    <col hidden="1" style="57" min="16125" max="16125"/>
    <col width="13.44140625" customWidth="1" style="57" min="16126" max="16126"/>
    <col width="15.44140625" customWidth="1" style="57" min="16127" max="16127"/>
    <col width="6.88671875" customWidth="1" style="57" min="16128" max="16128"/>
    <col width="6.44140625" customWidth="1" style="57" min="16129" max="16129"/>
    <col width="5.33203125" customWidth="1" style="57" min="16130" max="16130"/>
    <col width="6.33203125" customWidth="1" style="57" min="16131" max="16131"/>
    <col width="16" customWidth="1" style="57" min="16132" max="16132"/>
    <col width="12.109375" customWidth="1" style="57" min="16133" max="16133"/>
    <col width="36.109375" bestFit="1" customWidth="1" style="57" min="16134" max="16134"/>
    <col width="9.109375" customWidth="1" style="57" min="16135" max="16379"/>
    <col width="9.109375" customWidth="1" style="57" min="16380" max="16384"/>
  </cols>
  <sheetData>
    <row r="1" ht="19.95" customFormat="1" customHeight="1" s="9">
      <c r="A1" s="263" t="inlineStr">
        <is>
          <t>致同会计师事务所</t>
        </is>
      </c>
    </row>
    <row r="2" ht="19.95" customFormat="1" customHeight="1" s="9">
      <c r="A2" s="264" t="inlineStr">
        <is>
          <t>其他流动负债实质性程序</t>
        </is>
      </c>
    </row>
    <row r="3" ht="19.95" customFormat="1" customHeight="1" s="149">
      <c r="A3" s="149">
        <f>底稿目录!A2</f>
        <v/>
      </c>
      <c r="C3" s="149">
        <f>底稿目录!A4</f>
        <v/>
      </c>
      <c r="E3" s="149">
        <f>底稿目录!A5</f>
        <v/>
      </c>
      <c r="H3" s="54" t="inlineStr">
        <is>
          <t>索引号：</t>
        </is>
      </c>
      <c r="I3" s="242">
        <f>底稿目录!D5</f>
        <v/>
      </c>
    </row>
    <row r="4" ht="19.95" customFormat="1" customHeight="1" s="149">
      <c r="A4" s="149">
        <f>底稿目录!A3</f>
        <v/>
      </c>
      <c r="C4" s="87">
        <f>底稿目录!A6</f>
        <v/>
      </c>
      <c r="E4" s="149">
        <f>底稿目录!A7</f>
        <v/>
      </c>
      <c r="H4" s="229" t="inlineStr">
        <is>
          <t>页 次：</t>
        </is>
      </c>
      <c r="I4" s="252" t="n"/>
    </row>
    <row r="5" ht="19.95" customHeight="1" s="333">
      <c r="A5" s="224" t="inlineStr">
        <is>
          <t>一、本账户涉及的科目</t>
        </is>
      </c>
      <c r="B5" s="226" t="n"/>
      <c r="C5" s="226" t="n"/>
      <c r="D5" s="226" t="n"/>
      <c r="E5" s="226" t="n"/>
      <c r="F5" s="226" t="n"/>
      <c r="G5" s="226" t="n"/>
      <c r="H5" s="226" t="n"/>
      <c r="I5" s="226" t="n"/>
    </row>
    <row r="6" ht="19.95" customHeight="1" s="333">
      <c r="A6" s="265" t="inlineStr">
        <is>
          <t>其他流动负债</t>
        </is>
      </c>
      <c r="B6" s="71" t="n"/>
      <c r="C6" s="71" t="n"/>
      <c r="D6" s="71" t="n"/>
      <c r="E6" s="71" t="n"/>
      <c r="F6" s="71" t="n"/>
      <c r="G6" s="71" t="n"/>
      <c r="H6" s="71" t="n"/>
      <c r="I6" s="71" t="n"/>
    </row>
    <row r="7" ht="19.95" customHeight="1" s="333">
      <c r="A7" s="227" t="inlineStr">
        <is>
          <t>二、审计目标与认定的对应关系</t>
        </is>
      </c>
      <c r="B7" s="228" t="n"/>
      <c r="C7" s="226" t="n"/>
      <c r="D7" s="226" t="n"/>
      <c r="E7" s="226" t="n"/>
      <c r="F7" s="226" t="n"/>
      <c r="G7" s="226" t="n"/>
      <c r="H7" s="226" t="n"/>
      <c r="I7" s="226" t="n"/>
    </row>
    <row r="8" ht="19.95" customFormat="1" customHeight="1" s="149">
      <c r="A8" s="281" t="inlineStr">
        <is>
          <t>审计目标</t>
        </is>
      </c>
      <c r="B8" s="334" t="n"/>
      <c r="C8" s="334" t="n"/>
      <c r="D8" s="334" t="n"/>
      <c r="E8" s="334" t="n"/>
      <c r="F8" s="335" t="n"/>
      <c r="G8" s="267" t="inlineStr">
        <is>
          <t xml:space="preserve">财务报表的认定　</t>
        </is>
      </c>
      <c r="H8" s="334" t="n"/>
      <c r="I8" s="335" t="n"/>
    </row>
    <row r="9" ht="19.95" customFormat="1" customHeight="1" s="149">
      <c r="A9" s="279" t="inlineStr">
        <is>
          <t>A. 资产负债表中记录的其他流动负债是存在的，且已记录于恰当的账户</t>
        </is>
      </c>
      <c r="B9" s="334" t="n"/>
      <c r="C9" s="334" t="n"/>
      <c r="D9" s="334" t="n"/>
      <c r="E9" s="334" t="n"/>
      <c r="F9" s="335" t="n"/>
      <c r="G9" s="280" t="inlineStr">
        <is>
          <t>存在</t>
        </is>
      </c>
      <c r="H9" s="334" t="n"/>
      <c r="I9" s="335" t="n"/>
    </row>
    <row r="10" ht="19.95" customFormat="1" customHeight="1" s="149">
      <c r="A10" s="279" t="inlineStr">
        <is>
          <t>B. 所有应记录的其他流动负债均已记录，所有应当包括在财务报表中的相关披露均已包括</t>
        </is>
      </c>
      <c r="B10" s="334" t="n"/>
      <c r="C10" s="334" t="n"/>
      <c r="D10" s="334" t="n"/>
      <c r="E10" s="334" t="n"/>
      <c r="F10" s="335" t="n"/>
      <c r="G10" s="280" t="inlineStr">
        <is>
          <t>完整性</t>
        </is>
      </c>
      <c r="H10" s="334" t="n"/>
      <c r="I10" s="335" t="n"/>
    </row>
    <row r="11" ht="19.95" customFormat="1" customHeight="1" s="149">
      <c r="A11" s="279" t="inlineStr">
        <is>
          <t>C. 记录的其他流动负债是被审计单位应当履行的偿还义务</t>
        </is>
      </c>
      <c r="B11" s="334" t="n"/>
      <c r="C11" s="334" t="n"/>
      <c r="D11" s="334" t="n"/>
      <c r="E11" s="334" t="n"/>
      <c r="F11" s="335" t="n"/>
      <c r="G11" s="280" t="inlineStr">
        <is>
          <t>权利和义务</t>
        </is>
      </c>
      <c r="H11" s="334" t="n"/>
      <c r="I11" s="335" t="n"/>
    </row>
    <row r="12" ht="19.95" customFormat="1" customHeight="1" s="149">
      <c r="A12" s="279" t="inlineStr">
        <is>
          <t>D. 其他流动负债以恰当的金额包括在财务报表中，与之相关的计价或分摊调整已恰当记录，相关披露已得到恰当计量和描述</t>
        </is>
      </c>
      <c r="B12" s="334" t="n"/>
      <c r="C12" s="334" t="n"/>
      <c r="D12" s="334" t="n"/>
      <c r="E12" s="334" t="n"/>
      <c r="F12" s="335" t="n"/>
      <c r="G12" s="280" t="inlineStr">
        <is>
          <t>准确性、计价和分摊</t>
        </is>
      </c>
      <c r="H12" s="334" t="n"/>
      <c r="I12" s="335" t="n"/>
    </row>
    <row r="13" ht="19.95" customFormat="1" customHeight="1" s="149">
      <c r="A13" s="279" t="inlineStr">
        <is>
          <t>E. 其他流动负债已被恰当地汇总或分解且表述清楚，相关披露在按照企业会计准则的编制基础下是相关的、可理解的</t>
        </is>
      </c>
      <c r="B13" s="334" t="n"/>
      <c r="C13" s="334" t="n"/>
      <c r="D13" s="334" t="n"/>
      <c r="E13" s="334" t="n"/>
      <c r="F13" s="335" t="n"/>
      <c r="G13" s="280" t="inlineStr">
        <is>
          <t>列报</t>
        </is>
      </c>
      <c r="H13" s="334" t="n"/>
      <c r="I13" s="335" t="n"/>
    </row>
    <row r="14" ht="19.95" customFormat="1" customHeight="1" s="149">
      <c r="A14" s="269" t="inlineStr">
        <is>
          <t>三、计划实施的实质性程序</t>
        </is>
      </c>
      <c r="B14" s="71" t="n"/>
      <c r="C14" s="148" t="n"/>
      <c r="D14" s="149" t="n"/>
      <c r="E14" s="271" t="n"/>
      <c r="F14" s="71" t="n"/>
      <c r="G14" s="71" t="n"/>
      <c r="H14" s="149" t="n"/>
      <c r="I14" s="149" t="n"/>
    </row>
    <row r="15" ht="19.95" customFormat="1" customHeight="1" s="271">
      <c r="A15" s="336" t="inlineStr">
        <is>
          <t>序号</t>
        </is>
      </c>
      <c r="B15" s="276" t="inlineStr">
        <is>
          <t>审计程序</t>
        </is>
      </c>
      <c r="C15" s="337" t="inlineStr">
        <is>
          <t>程序分类</t>
        </is>
      </c>
      <c r="D15" s="272" t="inlineStr">
        <is>
          <t>财务报表的认定</t>
        </is>
      </c>
      <c r="E15" s="334" t="n"/>
      <c r="F15" s="334" t="n"/>
      <c r="G15" s="334" t="n"/>
      <c r="H15" s="335" t="n"/>
      <c r="I15" s="338" t="inlineStr">
        <is>
          <t>底稿索引号</t>
        </is>
      </c>
    </row>
    <row r="16" ht="36.6" customFormat="1" customHeight="1" s="83">
      <c r="A16" s="339" t="n"/>
      <c r="B16" s="339" t="n"/>
      <c r="C16" s="339" t="n"/>
      <c r="D16" s="272" t="inlineStr">
        <is>
          <t>存在</t>
        </is>
      </c>
      <c r="E16" s="272" t="inlineStr">
        <is>
          <t>完整性</t>
        </is>
      </c>
      <c r="F16" s="276" t="inlineStr">
        <is>
          <t>权利和
义务</t>
        </is>
      </c>
      <c r="G16" s="276" t="inlineStr">
        <is>
          <t>准确性、计价和分摊</t>
        </is>
      </c>
      <c r="H16" s="276" t="inlineStr">
        <is>
          <t>列报</t>
        </is>
      </c>
      <c r="I16" s="339" t="n"/>
      <c r="J16" s="340" t="inlineStr">
        <is>
          <t>根据被审计单位实际情况和风险评估情况裁剪、修改或增加审计程序</t>
        </is>
      </c>
    </row>
    <row r="17" ht="69" customFormat="1" customHeight="1" s="83">
      <c r="A17" s="154" t="inlineStr">
        <is>
          <t>1</t>
        </is>
      </c>
      <c r="B17" s="279" t="inlineStr">
        <is>
          <t>获取或编制明细表、执行下列程序，并编制审定表：
（1）复核加计正确，并与总账数和明细账合计数核对是否相符，期初余额与上期审定期末余额是否相符；
（2）识别重大的账户、识别账户中单项重大的明细项目；
（3）了解明细项目的核算目的和用途；</t>
        </is>
      </c>
      <c r="C17" s="152" t="inlineStr">
        <is>
          <t>常规★</t>
        </is>
      </c>
      <c r="D17" s="157" t="inlineStr">
        <is>
          <t>√</t>
        </is>
      </c>
      <c r="E17" s="157" t="inlineStr">
        <is>
          <t>√</t>
        </is>
      </c>
      <c r="F17" s="157" t="n"/>
      <c r="G17" s="165" t="inlineStr">
        <is>
          <t>√</t>
        </is>
      </c>
      <c r="H17" s="157" t="n"/>
      <c r="I17" s="152" t="inlineStr">
        <is>
          <t>K4-1
/K4-2</t>
        </is>
      </c>
      <c r="J17" s="230" t="n"/>
    </row>
    <row r="18" ht="51" customFormat="1" customHeight="1" s="88">
      <c r="A18" s="154" t="inlineStr">
        <is>
          <t>2</t>
        </is>
      </c>
      <c r="B18" s="159" t="inlineStr">
        <is>
          <t>在使用手工编制、自定义信息报告、系统生成的非固定格式报告等由被审计单位生成的信息时，测试有关信息准确性和完整性，并考虑针对编制和维护由被审计单位生成的信息的相关控制实施控制测试，以评价该信息是否能够为实现审计目的提供基础。</t>
        </is>
      </c>
      <c r="C18" s="162" t="inlineStr">
        <is>
          <t>常规★</t>
        </is>
      </c>
      <c r="D18" s="156" t="n"/>
      <c r="E18" s="165" t="inlineStr">
        <is>
          <t>√</t>
        </is>
      </c>
      <c r="F18" s="157" t="n"/>
      <c r="G18" s="161" t="inlineStr">
        <is>
          <t>√</t>
        </is>
      </c>
      <c r="H18" s="157" t="n"/>
      <c r="I18" s="244" t="inlineStr">
        <is>
          <t>T1</t>
        </is>
      </c>
      <c r="J18" s="191" t="inlineStr">
        <is>
          <t>可参见《审计手册》4.2.6，由被审计单位生成的信息可能是由系统生成的、或手工编制的、或二者兼而有之的方式生成的。例如，由被审计单位生成的信息可能包括：
• 不涉及自定义的、由系统生成的报告（如，固定格式报告）；
• 可能通过人工自定义的、由系统生成的报告，例如，（计算机）查询信息或特别定制的报告；
• 手工编制的信息，例如，汇总信息的电子表格或用以支持分配、计算以及调节的电子表格；
• 其他系统生成或手工编制的信息，例如，由被审计单位编制的客户发票；
• 通过影印、拍摄、扫描或其他方式转换成电子形式的文件记录。</t>
        </is>
      </c>
    </row>
    <row r="19" ht="51.6" customFormat="1" customHeight="1" s="84">
      <c r="A19" s="154" t="inlineStr">
        <is>
          <t>3</t>
        </is>
      </c>
      <c r="B19" s="159" t="inlineStr">
        <is>
          <t>获取上期期末的其他流动负债明细，复核加计正确，总账与明细账核对一致；识别重大的明细项目、查找异常项目并了解该明细项目的核算目的和用途；将个别重大负债与其支持文件核对；检查期初其他流动负债在本期支付、转销情况，考虑是否需要函证期初余额以及其他必要追加的审计程序。（适用于首次承接）</t>
        </is>
      </c>
      <c r="C19" s="155" t="inlineStr">
        <is>
          <t>备选</t>
        </is>
      </c>
      <c r="D19" s="161" t="inlineStr">
        <is>
          <t>√</t>
        </is>
      </c>
      <c r="E19" s="164" t="inlineStr">
        <is>
          <t>√</t>
        </is>
      </c>
      <c r="F19" s="161" t="inlineStr">
        <is>
          <t>√</t>
        </is>
      </c>
      <c r="G19" s="161" t="inlineStr">
        <is>
          <t>√</t>
        </is>
      </c>
      <c r="H19" s="157" t="n"/>
      <c r="I19" s="152" t="n"/>
      <c r="J19" s="191" t="inlineStr">
        <is>
          <t>由被审计单位生成的信息不包括：
• 总分类账或明细分类账、试算平衡表、或经审计的财务报表；
• 第三方（除了服务机构）的报表或报告，例如，原始银行对账单，或函证的回函；
• 外部数据（例如，第三方发布的数据，如，定价来源）。</t>
        </is>
      </c>
    </row>
    <row r="20" ht="30.6" customFormat="1" customHeight="1" s="83">
      <c r="A20" s="154" t="inlineStr">
        <is>
          <t>4</t>
        </is>
      </c>
      <c r="B20" s="159" t="inlineStr">
        <is>
          <t>关注会计政策、会计估计合理性、一贯性。关注其是否利用会计政策和会计估计及其变更操纵利润。</t>
        </is>
      </c>
      <c r="C20" s="163" t="inlineStr">
        <is>
          <t>常规★</t>
        </is>
      </c>
      <c r="D20" s="161" t="inlineStr">
        <is>
          <t>√</t>
        </is>
      </c>
      <c r="E20" s="161" t="inlineStr">
        <is>
          <t>√</t>
        </is>
      </c>
      <c r="F20" s="160" t="n"/>
      <c r="G20" s="161" t="inlineStr">
        <is>
          <t>√</t>
        </is>
      </c>
      <c r="H20" s="160" t="n"/>
      <c r="I20" s="152" t="inlineStr">
        <is>
          <t>K4-1
/K4-2</t>
        </is>
      </c>
    </row>
    <row r="21" ht="131.4" customFormat="1" customHeight="1" s="83">
      <c r="A21" s="154" t="inlineStr">
        <is>
          <t>5</t>
        </is>
      </c>
      <c r="B21" s="279" t="inlineStr">
        <is>
          <t>检查关联交易：
（1）了解关联交易的商业理由、交易事项的目的、价格和条件，考虑对关联交易形成的其他流动负债的合理性、合法性；
（2）检查对关联交易形成的其他流动负债的真实性相关的支持性文件、检查会计处理是否正确；
（3）考虑向关联方或其他注册会计师函证重大的关联交易和余额（包括担保和其他重要信息）；
（4）必要时，向与交易相关的人员和机构（如银行、律师）函证或与其讨论有关信息；
（5）考虑是否存在未识别的关联方，关联交易和余额披露是否正确。</t>
        </is>
      </c>
      <c r="C21" s="155" t="inlineStr">
        <is>
          <t>常规★</t>
        </is>
      </c>
      <c r="D21" s="161" t="inlineStr">
        <is>
          <t>√</t>
        </is>
      </c>
      <c r="E21" s="164" t="inlineStr">
        <is>
          <t>√</t>
        </is>
      </c>
      <c r="F21" s="161" t="inlineStr">
        <is>
          <t>√</t>
        </is>
      </c>
      <c r="G21" s="164" t="inlineStr">
        <is>
          <t>√</t>
        </is>
      </c>
      <c r="H21" s="161" t="inlineStr">
        <is>
          <t>√</t>
        </is>
      </c>
      <c r="I21" s="152" t="n"/>
    </row>
    <row r="22" ht="30.6" customFormat="1" customHeight="1" s="83">
      <c r="A22" s="154" t="inlineStr">
        <is>
          <t>6</t>
        </is>
      </c>
      <c r="B22" s="159" t="inlineStr">
        <is>
          <t>检查与其他流动负债有关的的记账凭证和相应的支持性证据以确定交易的真实性，是否按规定进行相应的会计处理和披露。</t>
        </is>
      </c>
      <c r="C22" s="161" t="inlineStr">
        <is>
          <t>常规★</t>
        </is>
      </c>
      <c r="D22" s="164" t="inlineStr">
        <is>
          <t>√</t>
        </is>
      </c>
      <c r="E22" s="160" t="n"/>
      <c r="F22" s="161" t="inlineStr">
        <is>
          <t>√</t>
        </is>
      </c>
      <c r="G22" s="161" t="inlineStr">
        <is>
          <t>√</t>
        </is>
      </c>
      <c r="H22" s="160" t="n"/>
      <c r="I22" s="152" t="inlineStr">
        <is>
          <t>K4-4</t>
        </is>
      </c>
    </row>
    <row r="23" ht="35.4" customFormat="1" customHeight="1" s="84">
      <c r="A23" s="154" t="inlineStr">
        <is>
          <t>7</t>
        </is>
      </c>
      <c r="B23" s="341" t="inlineStr">
        <is>
          <t>考虑是否存在超出被审计单位正常经营活动的重大、异常交易等，根据评估的舞弊风险等因素增加的审计程序。</t>
        </is>
      </c>
      <c r="C23" s="161" t="inlineStr">
        <is>
          <t>IPO/上市/新三板/重组/舞弊应对</t>
        </is>
      </c>
      <c r="D23" s="280" t="n"/>
      <c r="E23" s="280" t="n"/>
      <c r="F23" s="280" t="n"/>
      <c r="G23" s="280" t="n"/>
      <c r="H23" s="166" t="n"/>
      <c r="I23" s="166" t="n"/>
    </row>
    <row r="24" ht="33" customFormat="1" customHeight="1" s="84">
      <c r="A24" s="154" t="inlineStr">
        <is>
          <t>8</t>
        </is>
      </c>
      <c r="B24" s="341" t="inlineStr">
        <is>
          <t>检查其他流动负债是否已按企业会计准则或其他适用的规定在财务报表中做出恰当列报和披露。</t>
        </is>
      </c>
      <c r="C24" s="155" t="inlineStr">
        <is>
          <t>常规★</t>
        </is>
      </c>
      <c r="D24" s="153" t="n"/>
      <c r="E24" s="153" t="n"/>
      <c r="F24" s="153" t="n"/>
      <c r="G24" s="153" t="n"/>
      <c r="H24" s="157" t="inlineStr">
        <is>
          <t>√</t>
        </is>
      </c>
      <c r="I24" s="342" t="inlineStr">
        <is>
          <t>A 1-1/A1-15 /A1-16</t>
        </is>
      </c>
    </row>
    <row r="25">
      <c r="B25" s="57" t="n"/>
    </row>
    <row r="26">
      <c r="B26" s="57" t="n"/>
    </row>
    <row r="27">
      <c r="B27" s="57" t="n"/>
    </row>
    <row r="28">
      <c r="B28" s="57" t="n"/>
    </row>
    <row r="29">
      <c r="B29" s="57" t="n"/>
    </row>
    <row r="30">
      <c r="B30" s="57" t="n"/>
    </row>
    <row r="31">
      <c r="B31" s="57" t="n"/>
    </row>
    <row r="32">
      <c r="B32" s="57" t="n"/>
    </row>
    <row r="33">
      <c r="B33" s="57" t="n"/>
    </row>
    <row r="34">
      <c r="B34" s="57" t="n"/>
    </row>
    <row r="35">
      <c r="B35" s="57" t="n"/>
    </row>
    <row r="36">
      <c r="B36" s="57" t="n"/>
    </row>
    <row r="37">
      <c r="B37" s="57" t="n"/>
    </row>
    <row r="38">
      <c r="B38" s="57" t="n"/>
    </row>
    <row r="39">
      <c r="B39" s="57" t="n"/>
    </row>
    <row r="40">
      <c r="B40" s="57" t="n"/>
    </row>
    <row r="41">
      <c r="B41" s="57" t="n"/>
    </row>
    <row r="42">
      <c r="B42" s="57" t="n"/>
    </row>
    <row r="43">
      <c r="B43" s="57" t="n"/>
    </row>
    <row r="44">
      <c r="B44" s="57" t="n"/>
    </row>
    <row r="45">
      <c r="B45" s="57" t="n"/>
    </row>
    <row r="46">
      <c r="B46" s="57" t="n"/>
    </row>
    <row r="47">
      <c r="B47" s="57" t="n"/>
    </row>
    <row r="48">
      <c r="B48" s="57" t="n"/>
    </row>
    <row r="49">
      <c r="B49" s="57" t="n"/>
    </row>
    <row r="50">
      <c r="B50" s="57" t="n"/>
    </row>
    <row r="51">
      <c r="B51" s="57" t="n"/>
    </row>
    <row r="52">
      <c r="B52" s="57" t="n"/>
    </row>
    <row r="53">
      <c r="B53" s="57" t="n"/>
    </row>
    <row r="54">
      <c r="B54" s="57" t="n"/>
    </row>
    <row r="55">
      <c r="B55" s="57" t="n"/>
    </row>
    <row r="56">
      <c r="B56" s="57" t="n"/>
    </row>
    <row r="57">
      <c r="B57" s="57" t="n"/>
    </row>
    <row r="58">
      <c r="B58" s="57" t="n"/>
    </row>
    <row r="59">
      <c r="B59" s="57" t="n"/>
    </row>
    <row r="60">
      <c r="B60" s="57" t="n"/>
    </row>
    <row r="61">
      <c r="B61" s="57" t="n"/>
    </row>
    <row r="62">
      <c r="B62" s="57" t="n"/>
    </row>
    <row r="63">
      <c r="B63" s="57" t="n"/>
    </row>
    <row r="64">
      <c r="B64" s="57" t="n"/>
    </row>
    <row r="65">
      <c r="B65" s="57" t="n"/>
    </row>
    <row r="66">
      <c r="B66" s="57" t="n"/>
    </row>
    <row r="67">
      <c r="B67" s="57" t="n"/>
    </row>
    <row r="68">
      <c r="B68" s="57" t="n"/>
    </row>
    <row r="69">
      <c r="B69" s="57" t="n"/>
    </row>
    <row r="70">
      <c r="B70" s="57" t="n"/>
    </row>
    <row r="71">
      <c r="B71" s="57" t="n"/>
    </row>
    <row r="72">
      <c r="B72" s="57" t="n"/>
    </row>
    <row r="73">
      <c r="B73" s="57" t="n"/>
    </row>
    <row r="74">
      <c r="B74" s="57" t="n"/>
    </row>
    <row r="75">
      <c r="B75" s="57" t="n"/>
    </row>
    <row r="76">
      <c r="B76" s="57" t="n"/>
    </row>
    <row r="77">
      <c r="B77" s="57" t="n"/>
    </row>
    <row r="78">
      <c r="B78" s="57" t="n"/>
    </row>
    <row r="79">
      <c r="B79" s="57" t="n"/>
    </row>
    <row r="80">
      <c r="B80" s="57" t="n"/>
    </row>
    <row r="81">
      <c r="B81" s="57" t="n"/>
    </row>
    <row r="82">
      <c r="B82" s="57" t="n"/>
    </row>
    <row r="83">
      <c r="B83" s="57" t="n"/>
    </row>
    <row r="84">
      <c r="B84" s="57" t="n"/>
    </row>
    <row r="85">
      <c r="B85" s="57" t="n"/>
    </row>
    <row r="86">
      <c r="B86" s="57" t="n"/>
    </row>
    <row r="87">
      <c r="B87" s="57" t="n"/>
    </row>
    <row r="88">
      <c r="B88" s="57" t="n"/>
    </row>
    <row r="89">
      <c r="B89" s="57" t="n"/>
    </row>
    <row r="90">
      <c r="B90" s="57" t="n"/>
    </row>
    <row r="91">
      <c r="B91" s="57" t="n"/>
    </row>
    <row r="92">
      <c r="B92" s="57" t="n"/>
    </row>
    <row r="93">
      <c r="B93" s="57" t="n"/>
    </row>
    <row r="94">
      <c r="B94" s="57" t="n"/>
    </row>
    <row r="95">
      <c r="B95" s="57" t="n"/>
    </row>
    <row r="96">
      <c r="B96" s="57" t="n"/>
    </row>
    <row r="97">
      <c r="B97" s="57" t="n"/>
    </row>
    <row r="98">
      <c r="B98" s="57" t="n"/>
    </row>
    <row r="99">
      <c r="B99" s="57" t="n"/>
    </row>
    <row r="100">
      <c r="B100" s="57" t="n"/>
    </row>
    <row r="101">
      <c r="B101" s="57" t="n"/>
    </row>
    <row r="102">
      <c r="B102" s="57" t="n"/>
    </row>
    <row r="103">
      <c r="B103" s="57" t="n"/>
    </row>
    <row r="104">
      <c r="B104" s="57" t="n"/>
    </row>
    <row r="105">
      <c r="B105" s="57" t="n"/>
    </row>
    <row r="106">
      <c r="B106" s="57" t="n"/>
    </row>
    <row r="107">
      <c r="B107" s="57" t="n"/>
    </row>
    <row r="108">
      <c r="B108" s="57" t="n"/>
    </row>
    <row r="109">
      <c r="B109" s="57" t="n"/>
    </row>
    <row r="110">
      <c r="B110" s="57" t="n"/>
    </row>
    <row r="111">
      <c r="B111" s="57" t="n"/>
    </row>
    <row r="112">
      <c r="B112" s="57" t="n"/>
    </row>
    <row r="113">
      <c r="B113" s="57" t="n"/>
    </row>
    <row r="114">
      <c r="B114" s="57" t="n"/>
    </row>
    <row r="115">
      <c r="B115" s="57" t="n"/>
    </row>
    <row r="116">
      <c r="B116" s="57" t="n"/>
    </row>
    <row r="117">
      <c r="B117" s="57" t="n"/>
    </row>
    <row r="118">
      <c r="B118" s="57" t="n"/>
    </row>
    <row r="119">
      <c r="B119" s="57" t="n"/>
    </row>
    <row r="120">
      <c r="B120" s="57" t="n"/>
    </row>
    <row r="121">
      <c r="B121" s="57" t="n"/>
    </row>
    <row r="122">
      <c r="B122" s="57" t="n"/>
    </row>
    <row r="123">
      <c r="B123" s="57" t="n"/>
    </row>
    <row r="124">
      <c r="B124" s="57" t="n"/>
    </row>
    <row r="125">
      <c r="B125" s="57" t="n"/>
    </row>
    <row r="126">
      <c r="B126" s="57" t="n"/>
    </row>
    <row r="127">
      <c r="B127" s="57" t="n"/>
    </row>
    <row r="128">
      <c r="B128" s="57" t="n"/>
    </row>
    <row r="129">
      <c r="B129" s="57" t="n"/>
    </row>
    <row r="130">
      <c r="B130" s="57" t="n"/>
    </row>
    <row r="131">
      <c r="B131" s="57" t="n"/>
    </row>
    <row r="132">
      <c r="B132" s="57" t="n"/>
    </row>
    <row r="133">
      <c r="B133" s="57" t="n"/>
    </row>
    <row r="134">
      <c r="B134" s="57" t="n"/>
    </row>
    <row r="135">
      <c r="B135" s="57" t="n"/>
    </row>
    <row r="136">
      <c r="B136" s="57" t="n"/>
    </row>
    <row r="137">
      <c r="B137" s="57" t="n"/>
    </row>
    <row r="138">
      <c r="B138" s="57" t="n"/>
    </row>
    <row r="139">
      <c r="B139" s="57" t="n"/>
    </row>
    <row r="140">
      <c r="B140" s="57" t="n"/>
    </row>
    <row r="141">
      <c r="B141" s="57" t="n"/>
    </row>
    <row r="142">
      <c r="B142" s="57" t="n"/>
    </row>
    <row r="143">
      <c r="B143" s="57" t="n"/>
    </row>
    <row r="144">
      <c r="B144" s="57" t="n"/>
    </row>
    <row r="145">
      <c r="B145" s="57" t="n"/>
    </row>
    <row r="146">
      <c r="B146" s="57" t="n"/>
    </row>
    <row r="147">
      <c r="B147" s="57" t="n"/>
    </row>
    <row r="148">
      <c r="B148" s="57" t="n"/>
    </row>
    <row r="149">
      <c r="B149" s="57" t="n"/>
    </row>
    <row r="150">
      <c r="B150" s="57" t="n"/>
    </row>
    <row r="151">
      <c r="B151" s="57" t="n"/>
    </row>
    <row r="152">
      <c r="B152" s="57" t="n"/>
    </row>
    <row r="153">
      <c r="B153" s="57" t="n"/>
    </row>
    <row r="154">
      <c r="B154" s="57" t="n"/>
    </row>
    <row r="155">
      <c r="B155" s="57" t="n"/>
    </row>
    <row r="156">
      <c r="B156" s="57" t="n"/>
    </row>
    <row r="157">
      <c r="B157" s="57" t="n"/>
    </row>
    <row r="158">
      <c r="B158" s="57" t="n"/>
    </row>
    <row r="159">
      <c r="B159" s="57" t="n"/>
    </row>
    <row r="160">
      <c r="B160" s="57" t="n"/>
    </row>
    <row r="161">
      <c r="B161" s="57" t="n"/>
    </row>
    <row r="162">
      <c r="B162" s="57" t="n"/>
    </row>
    <row r="163">
      <c r="B163" s="57" t="n"/>
    </row>
    <row r="164">
      <c r="B164" s="57" t="n"/>
    </row>
    <row r="165">
      <c r="B165" s="57" t="n"/>
    </row>
    <row r="166">
      <c r="B166" s="57" t="n"/>
    </row>
    <row r="167">
      <c r="B167" s="57" t="n"/>
    </row>
    <row r="168">
      <c r="B168" s="57" t="n"/>
    </row>
    <row r="169">
      <c r="B169" s="57" t="n"/>
    </row>
    <row r="170">
      <c r="B170" s="57" t="n"/>
    </row>
    <row r="171">
      <c r="B171" s="57" t="n"/>
    </row>
    <row r="172">
      <c r="B172" s="57" t="n"/>
    </row>
    <row r="173">
      <c r="B173" s="57" t="n"/>
    </row>
    <row r="174">
      <c r="B174" s="57" t="n"/>
    </row>
    <row r="175">
      <c r="B175" s="57" t="n"/>
    </row>
    <row r="176">
      <c r="B176" s="57" t="n"/>
    </row>
    <row r="177">
      <c r="B177" s="57" t="n"/>
    </row>
    <row r="178">
      <c r="B178" s="57" t="n"/>
    </row>
    <row r="179">
      <c r="B179" s="57" t="n"/>
    </row>
    <row r="180">
      <c r="B180" s="57" t="n"/>
    </row>
    <row r="181">
      <c r="B181" s="57" t="n"/>
    </row>
    <row r="182">
      <c r="B182" s="57" t="n"/>
    </row>
    <row r="183">
      <c r="B183" s="57" t="n"/>
    </row>
    <row r="184">
      <c r="B184" s="57" t="n"/>
    </row>
    <row r="185">
      <c r="B185" s="57" t="n"/>
    </row>
    <row r="186">
      <c r="B186" s="57" t="n"/>
    </row>
    <row r="187">
      <c r="B187" s="57" t="n"/>
    </row>
    <row r="188">
      <c r="B188" s="57" t="n"/>
    </row>
    <row r="189">
      <c r="B189" s="57" t="n"/>
    </row>
    <row r="190">
      <c r="B190" s="57" t="n"/>
    </row>
    <row r="191">
      <c r="B191" s="57" t="n"/>
    </row>
    <row r="192">
      <c r="B192" s="57" t="n"/>
    </row>
    <row r="193">
      <c r="B193" s="57" t="n"/>
    </row>
    <row r="194">
      <c r="B194" s="57" t="n"/>
    </row>
    <row r="195">
      <c r="B195" s="57" t="n"/>
    </row>
    <row r="196">
      <c r="B196" s="57" t="n"/>
    </row>
    <row r="197">
      <c r="B197" s="57" t="n"/>
    </row>
    <row r="198">
      <c r="B198" s="57" t="n"/>
    </row>
    <row r="199">
      <c r="B199" s="57" t="n"/>
    </row>
    <row r="200">
      <c r="B200" s="57" t="n"/>
    </row>
    <row r="201">
      <c r="B201" s="57" t="n"/>
    </row>
    <row r="202">
      <c r="B202" s="57" t="n"/>
    </row>
    <row r="203">
      <c r="B203" s="57" t="n"/>
    </row>
    <row r="204">
      <c r="B204" s="57" t="n"/>
    </row>
    <row r="205">
      <c r="B205" s="57" t="n"/>
    </row>
    <row r="206">
      <c r="B206" s="57" t="n"/>
    </row>
    <row r="207">
      <c r="B207" s="57" t="n"/>
    </row>
  </sheetData>
  <mergeCells count="22">
    <mergeCell ref="G10:I10"/>
    <mergeCell ref="G13:I13"/>
    <mergeCell ref="A12:F12"/>
    <mergeCell ref="A2:I2"/>
    <mergeCell ref="A8:F8"/>
    <mergeCell ref="B15:B16"/>
    <mergeCell ref="A10:F10"/>
    <mergeCell ref="A13:F13"/>
    <mergeCell ref="A9:F9"/>
    <mergeCell ref="G9:I9"/>
    <mergeCell ref="A14:B14"/>
    <mergeCell ref="G12:I12"/>
    <mergeCell ref="G11:I11"/>
    <mergeCell ref="A11:F11"/>
    <mergeCell ref="D15:H15"/>
    <mergeCell ref="E14:G14"/>
    <mergeCell ref="A1:I1"/>
    <mergeCell ref="G8:I8"/>
    <mergeCell ref="A15:A16"/>
    <mergeCell ref="C15:C16"/>
    <mergeCell ref="I15:I16"/>
    <mergeCell ref="A6:I6"/>
  </mergeCells>
  <hyperlinks>
    <hyperlink ref="I3" location="底稿目录!A1" display="底稿目录!A1"/>
  </hyperlinks>
  <printOptions horizontalCentered="1"/>
  <pageMargins left="0.7" right="0.7" top="0.75" bottom="0.75" header="0.3" footer="0.3"/>
  <pageSetup orientation="portrait" paperSize="9" scale="70" fitToHeight="50" blackAndWhite="1" cellComments="atEnd" horizontalDpi="300"/>
  <headerFooter alignWithMargins="0">
    <oddHeader/>
    <oddFooter>&amp;C&amp;P/&amp;N</oddFooter>
    <evenHeader/>
    <evenFooter/>
    <firstHeader/>
    <firstFooter/>
  </headerFooter>
  <legacyDrawing xmlns:r="http://schemas.openxmlformats.org/officeDocument/2006/relationships" r:id="anysvml"/>
</worksheet>
</file>

<file path=xl/worksheets/sheet3.xml><?xml version="1.0" encoding="utf-8"?>
<worksheet xmlns="http://schemas.openxmlformats.org/spreadsheetml/2006/main">
  <sheetPr codeName="Sheet3">
    <outlinePr summaryBelow="1" summaryRight="1"/>
    <pageSetUpPr/>
  </sheetPr>
  <dimension ref="A1:N21"/>
  <sheetViews>
    <sheetView view="pageBreakPreview" zoomScaleSheetLayoutView="100" workbookViewId="0">
      <selection activeCell="A1" sqref="A1:L1"/>
    </sheetView>
  </sheetViews>
  <sheetFormatPr baseColWidth="8" defaultColWidth="9.109375" defaultRowHeight="23.25" customHeight="1"/>
  <cols>
    <col width="22.5546875" customWidth="1" style="343" min="1" max="1"/>
    <col width="10.88671875" customWidth="1" style="343" min="2" max="8"/>
    <col width="12.33203125" customWidth="1" style="343" min="9" max="9"/>
    <col width="10.88671875" customWidth="1" style="343" min="10" max="11"/>
    <col width="8.6640625" customWidth="1" style="343" min="12" max="12"/>
    <col width="18" bestFit="1" customWidth="1" style="343" min="13" max="13"/>
    <col width="9.109375" customWidth="1" style="343" min="14" max="14"/>
    <col width="6.44140625" customWidth="1" style="343" min="15" max="15"/>
    <col width="9.109375" customWidth="1" style="343" min="16" max="16384"/>
  </cols>
  <sheetData>
    <row r="1" ht="19.95" customFormat="1" customHeight="1" s="344">
      <c r="A1" s="345" t="inlineStr">
        <is>
          <t>致同会计师事务所</t>
        </is>
      </c>
    </row>
    <row r="2" ht="19.95" customFormat="1" customHeight="1" s="344">
      <c r="A2" s="346" t="inlineStr">
        <is>
          <t>其他流动负债审定表</t>
        </is>
      </c>
    </row>
    <row r="3" ht="19.95" customHeight="1" s="333">
      <c r="A3" s="343">
        <f>底稿目录!A2</f>
        <v/>
      </c>
      <c r="D3" s="347">
        <f>底稿目录!A4</f>
        <v/>
      </c>
      <c r="H3" s="347">
        <f>底稿目录!A5</f>
        <v/>
      </c>
      <c r="K3" s="348" t="inlineStr">
        <is>
          <t>索引：</t>
        </is>
      </c>
      <c r="L3" s="349">
        <f>底稿目录!D6</f>
        <v/>
      </c>
    </row>
    <row r="4" ht="19.95" customHeight="1" s="333">
      <c r="A4" s="343">
        <f>底稿目录!A3</f>
        <v/>
      </c>
      <c r="B4" s="70" t="n"/>
      <c r="D4" s="347">
        <f>底稿目录!A6</f>
        <v/>
      </c>
      <c r="H4" s="347">
        <f>底稿目录!A7</f>
        <v/>
      </c>
      <c r="K4" s="348" t="inlineStr">
        <is>
          <t>页次：</t>
        </is>
      </c>
      <c r="L4" s="138" t="n"/>
    </row>
    <row r="5" ht="33" customHeight="1" s="333">
      <c r="A5" s="287" t="inlineStr">
        <is>
          <t>项目</t>
        </is>
      </c>
      <c r="B5" s="350" t="inlineStr">
        <is>
          <t>期初数</t>
        </is>
      </c>
      <c r="C5" s="334" t="n"/>
      <c r="D5" s="334" t="n"/>
      <c r="E5" s="335" t="n"/>
      <c r="F5" s="350" t="inlineStr">
        <is>
          <t>期末数</t>
        </is>
      </c>
      <c r="G5" s="334" t="n"/>
      <c r="H5" s="334" t="n"/>
      <c r="I5" s="335" t="n"/>
      <c r="J5" s="351" t="inlineStr">
        <is>
          <t>本期审定数与上期
审定数的比较</t>
        </is>
      </c>
      <c r="K5" s="335" t="n"/>
      <c r="L5" s="284" t="inlineStr">
        <is>
          <t>原因分析</t>
        </is>
      </c>
    </row>
    <row r="6" ht="19.95" customHeight="1" s="333">
      <c r="A6" s="352" t="n"/>
      <c r="B6" s="350" t="inlineStr">
        <is>
          <t>未审数</t>
        </is>
      </c>
      <c r="C6" s="350" t="inlineStr">
        <is>
          <t>账项调整</t>
        </is>
      </c>
      <c r="D6" s="350" t="inlineStr">
        <is>
          <t>重分类调整</t>
        </is>
      </c>
      <c r="E6" s="350" t="inlineStr">
        <is>
          <t>审定数</t>
        </is>
      </c>
      <c r="F6" s="350" t="inlineStr">
        <is>
          <t>未审数</t>
        </is>
      </c>
      <c r="G6" s="350" t="inlineStr">
        <is>
          <t>账项调整</t>
        </is>
      </c>
      <c r="H6" s="350" t="inlineStr">
        <is>
          <t>重分类调整</t>
        </is>
      </c>
      <c r="I6" s="350" t="inlineStr">
        <is>
          <t>审定数</t>
        </is>
      </c>
      <c r="J6" s="353" t="inlineStr">
        <is>
          <t>变动额</t>
        </is>
      </c>
      <c r="K6" s="351" t="inlineStr">
        <is>
          <t>变动率</t>
        </is>
      </c>
      <c r="L6" s="352" t="n"/>
    </row>
    <row r="7" ht="19.95" customFormat="1" customHeight="1" s="354">
      <c r="A7" s="62">
        <f>'明细表 K4-2'!A11</f>
        <v/>
      </c>
      <c r="B7" s="355">
        <f>'明细表 K4-2'!B11</f>
        <v/>
      </c>
      <c r="C7" s="355">
        <f>'明细表 K4-2'!F11</f>
        <v/>
      </c>
      <c r="D7" s="355">
        <f>'明细表 K4-2'!G11</f>
        <v/>
      </c>
      <c r="E7" s="355">
        <f>B7+C7+D7</f>
        <v/>
      </c>
      <c r="F7" s="355">
        <f>'明细表 K4-2'!E11</f>
        <v/>
      </c>
      <c r="G7" s="355">
        <f>'明细表 K4-2'!F11+'明细表 K4-2'!H11-'明细表 K4-2'!I11</f>
        <v/>
      </c>
      <c r="H7" s="355">
        <f>'明细表 K4-2'!G11+'明细表 K4-2'!J11-'明细表 K4-2'!K11</f>
        <v/>
      </c>
      <c r="I7" s="355">
        <f>F7+G7+H7</f>
        <v/>
      </c>
      <c r="J7" s="356">
        <f>I7-E7</f>
        <v/>
      </c>
      <c r="K7" s="141">
        <f>IF(AND(E7=0,J7=0),0,IF(AND(E7=0,J7&gt;0),1,J7/E7))</f>
        <v/>
      </c>
      <c r="L7" s="357" t="n"/>
    </row>
    <row r="8" ht="19.95" customFormat="1" customHeight="1" s="354">
      <c r="A8" s="62">
        <f>'明细表 K4-2'!A12</f>
        <v/>
      </c>
      <c r="B8" s="355">
        <f>'明细表 K4-2'!B12</f>
        <v/>
      </c>
      <c r="C8" s="355">
        <f>'明细表 K4-2'!F12</f>
        <v/>
      </c>
      <c r="D8" s="355">
        <f>'明细表 K4-2'!G12</f>
        <v/>
      </c>
      <c r="E8" s="355">
        <f>B8+C8+D8</f>
        <v/>
      </c>
      <c r="F8" s="355">
        <f>'明细表 K4-2'!E12</f>
        <v/>
      </c>
      <c r="G8" s="355">
        <f>'明细表 K4-2'!F12+'明细表 K4-2'!H12-'明细表 K4-2'!I12</f>
        <v/>
      </c>
      <c r="H8" s="355">
        <f>'明细表 K4-2'!G12+'明细表 K4-2'!J12-'明细表 K4-2'!K12</f>
        <v/>
      </c>
      <c r="I8" s="355">
        <f>F8+G8+H8</f>
        <v/>
      </c>
      <c r="J8" s="356">
        <f>I8-E8</f>
        <v/>
      </c>
      <c r="K8" s="141">
        <f>IF(AND(E8=0,J8=0),0,IF(AND(E8=0,J8&gt;0),1,J8/E8))</f>
        <v/>
      </c>
      <c r="L8" s="357" t="n"/>
    </row>
    <row r="9" ht="19.95" customFormat="1" customHeight="1" s="354">
      <c r="A9" s="62">
        <f>'明细表 K4-2'!A13</f>
        <v/>
      </c>
      <c r="B9" s="355">
        <f>'明细表 K4-2'!B13</f>
        <v/>
      </c>
      <c r="C9" s="355">
        <f>'明细表 K4-2'!F13</f>
        <v/>
      </c>
      <c r="D9" s="355">
        <f>'明细表 K4-2'!G13</f>
        <v/>
      </c>
      <c r="E9" s="355">
        <f>B9+C9+D9</f>
        <v/>
      </c>
      <c r="F9" s="355">
        <f>'明细表 K4-2'!E13</f>
        <v/>
      </c>
      <c r="G9" s="355">
        <f>'明细表 K4-2'!F13+'明细表 K4-2'!H13-'明细表 K4-2'!I13</f>
        <v/>
      </c>
      <c r="H9" s="355">
        <f>'明细表 K4-2'!G13+'明细表 K4-2'!J13-'明细表 K4-2'!K13</f>
        <v/>
      </c>
      <c r="I9" s="355">
        <f>F9+G9+H9</f>
        <v/>
      </c>
      <c r="J9" s="356">
        <f>I9-E9</f>
        <v/>
      </c>
      <c r="K9" s="141">
        <f>IF(AND(E9=0,J9=0),0,IF(AND(E9=0,J9&gt;0),1,J9/E9))</f>
        <v/>
      </c>
      <c r="L9" s="357" t="n"/>
    </row>
    <row r="10" ht="19.95" customFormat="1" customHeight="1" s="354">
      <c r="A10" s="62">
        <f>'明细表 K4-2'!A14</f>
        <v/>
      </c>
      <c r="B10" s="355">
        <f>'明细表 K4-2'!B14</f>
        <v/>
      </c>
      <c r="C10" s="355">
        <f>'明细表 K4-2'!F14</f>
        <v/>
      </c>
      <c r="D10" s="355">
        <f>'明细表 K4-2'!G14</f>
        <v/>
      </c>
      <c r="E10" s="355">
        <f>B10+C10+D10</f>
        <v/>
      </c>
      <c r="F10" s="355">
        <f>'明细表 K4-2'!E14</f>
        <v/>
      </c>
      <c r="G10" s="355">
        <f>'明细表 K4-2'!F14+'明细表 K4-2'!H14-'明细表 K4-2'!I14</f>
        <v/>
      </c>
      <c r="H10" s="355">
        <f>'明细表 K4-2'!G14+'明细表 K4-2'!J14-'明细表 K4-2'!K14</f>
        <v/>
      </c>
      <c r="I10" s="355">
        <f>F10+G10+H10</f>
        <v/>
      </c>
      <c r="J10" s="356">
        <f>I10-E10</f>
        <v/>
      </c>
      <c r="K10" s="141">
        <f>IF(AND(E10=0,J10=0),0,IF(AND(E10=0,J10&gt;0),1,J10/E10))</f>
        <v/>
      </c>
      <c r="L10" s="357" t="n"/>
    </row>
    <row r="11" ht="19.95" customFormat="1" customHeight="1" s="354">
      <c r="A11" s="358">
        <f>'明细表 K4-2'!A15</f>
        <v/>
      </c>
      <c r="B11" s="355">
        <f>'明细表 K4-2'!B15</f>
        <v/>
      </c>
      <c r="C11" s="355">
        <f>'明细表 K4-2'!F15</f>
        <v/>
      </c>
      <c r="D11" s="355">
        <f>'明细表 K4-2'!G15</f>
        <v/>
      </c>
      <c r="E11" s="355">
        <f>B11+C11+D11</f>
        <v/>
      </c>
      <c r="F11" s="355">
        <f>'明细表 K4-2'!E15</f>
        <v/>
      </c>
      <c r="G11" s="355">
        <f>'明细表 K4-2'!F15+'明细表 K4-2'!H15-'明细表 K4-2'!I15</f>
        <v/>
      </c>
      <c r="H11" s="355">
        <f>'明细表 K4-2'!G15+'明细表 K4-2'!J15-'明细表 K4-2'!K15</f>
        <v/>
      </c>
      <c r="I11" s="355">
        <f>F11+G11+H11</f>
        <v/>
      </c>
      <c r="J11" s="356">
        <f>I11-E11</f>
        <v/>
      </c>
      <c r="K11" s="141">
        <f>IF(AND(E11=0,J11=0),0,IF(AND(E11=0,J11&gt;0),1,J11/E11))</f>
        <v/>
      </c>
      <c r="L11" s="357" t="n"/>
    </row>
    <row r="12" ht="19.95" customFormat="1" customHeight="1" s="354">
      <c r="A12" s="65" t="inlineStr">
        <is>
          <t>合计</t>
        </is>
      </c>
      <c r="B12" s="355">
        <f>SUM(B7:B11)</f>
        <v/>
      </c>
      <c r="C12" s="355">
        <f>SUM(C7:C11)</f>
        <v/>
      </c>
      <c r="D12" s="355">
        <f>SUM(D7:D11)</f>
        <v/>
      </c>
      <c r="E12" s="355">
        <f>SUM(E7:E11)</f>
        <v/>
      </c>
      <c r="F12" s="355">
        <f>SUM(F7:F11)</f>
        <v/>
      </c>
      <c r="G12" s="355">
        <f>SUM(G7:G11)</f>
        <v/>
      </c>
      <c r="H12" s="355">
        <f>SUM(H7:H11)</f>
        <v/>
      </c>
      <c r="I12" s="355">
        <f>SUM(I7:I11)</f>
        <v/>
      </c>
      <c r="J12" s="356">
        <f>I12-E12</f>
        <v/>
      </c>
      <c r="K12" s="141">
        <f>IF(AND(E12=0,J12=0),0,IF(AND(E12=0,J12&gt;0),1,J12/E12))</f>
        <v/>
      </c>
      <c r="L12" s="357" t="n"/>
    </row>
    <row r="13" ht="19.95" customFormat="1" customHeight="1" s="354">
      <c r="A13" s="287" t="inlineStr">
        <is>
          <t>TB数据：</t>
        </is>
      </c>
      <c r="B13" s="359" t="n"/>
      <c r="C13" s="359" t="n"/>
      <c r="D13" s="359" t="n"/>
      <c r="E13" s="359" t="n"/>
      <c r="F13" s="359" t="n"/>
      <c r="G13" s="359" t="n"/>
      <c r="H13" s="359" t="n"/>
      <c r="I13" s="359" t="n"/>
      <c r="J13" s="359" t="n"/>
      <c r="K13" s="359" t="n"/>
      <c r="L13" s="359" t="n"/>
    </row>
    <row r="14" ht="19.95" customFormat="1" customHeight="1" s="354">
      <c r="A14" s="284" t="inlineStr">
        <is>
          <t>差异：</t>
        </is>
      </c>
      <c r="B14" s="360">
        <f>B12-B13</f>
        <v/>
      </c>
      <c r="C14" s="360">
        <f>C12-C13</f>
        <v/>
      </c>
      <c r="D14" s="360">
        <f>D12-D13</f>
        <v/>
      </c>
      <c r="E14" s="360">
        <f>E12-E13</f>
        <v/>
      </c>
      <c r="F14" s="360">
        <f>F12-F13</f>
        <v/>
      </c>
      <c r="G14" s="360">
        <f>G12-G13</f>
        <v/>
      </c>
      <c r="H14" s="360">
        <f>H12-H13</f>
        <v/>
      </c>
      <c r="I14" s="360">
        <f>I12-I13</f>
        <v/>
      </c>
      <c r="J14" s="360" t="n"/>
      <c r="K14" s="360" t="n"/>
      <c r="L14" s="360" t="n"/>
    </row>
    <row r="15" ht="19.95" customFormat="1" customHeight="1" s="354">
      <c r="A15" s="180" t="inlineStr">
        <is>
          <t>1.审计说明</t>
        </is>
      </c>
      <c r="B15" s="361" t="n"/>
      <c r="C15" s="361" t="n"/>
      <c r="D15" s="361" t="n"/>
      <c r="E15" s="361" t="n"/>
      <c r="F15" s="362" t="n"/>
      <c r="G15" s="362" t="n"/>
      <c r="H15" s="361" t="n"/>
      <c r="I15" s="363" t="n"/>
      <c r="J15" s="363" t="n"/>
      <c r="K15" s="343" t="n"/>
      <c r="L15" s="343" t="n"/>
      <c r="M15" s="343" t="n"/>
      <c r="N15" s="343" t="n"/>
    </row>
    <row r="16" ht="19.95" customFormat="1" customHeight="1" s="343">
      <c r="A16" s="44" t="inlineStr">
        <is>
          <t>（1）其他流动负债本期较上期增加（负数为减少）：</t>
        </is>
      </c>
      <c r="B16" s="45" t="n"/>
      <c r="C16" s="45" t="n"/>
      <c r="D16" s="46" t="n"/>
      <c r="E16" s="46" t="n"/>
      <c r="F16" s="286" t="n"/>
      <c r="I16" s="343" t="n"/>
      <c r="J16" s="343" t="n"/>
      <c r="K16" s="343" t="n"/>
      <c r="L16" s="343" t="n"/>
      <c r="M16" s="343" t="n"/>
      <c r="N16" s="343" t="n"/>
    </row>
    <row r="17" ht="19.95" customFormat="1" customHeight="1" s="354">
      <c r="A17" s="44" t="inlineStr">
        <is>
          <t>主要原因（比例超过30%的）：</t>
        </is>
      </c>
      <c r="B17" s="45" t="n"/>
      <c r="C17" s="45" t="n"/>
      <c r="D17" s="45" t="n"/>
      <c r="E17" s="45" t="n"/>
      <c r="F17" s="45" t="n"/>
      <c r="G17" s="45" t="n"/>
      <c r="H17" s="45" t="n"/>
      <c r="I17" s="343" t="n"/>
      <c r="J17" s="343" t="n"/>
      <c r="K17" s="343" t="n"/>
      <c r="L17" s="343" t="n"/>
      <c r="M17" s="343" t="n"/>
      <c r="N17" s="343" t="n"/>
    </row>
    <row r="18" ht="19.95" customFormat="1" customHeight="1" s="343">
      <c r="A18" s="44" t="n"/>
      <c r="B18" s="45" t="n"/>
      <c r="C18" s="45" t="n"/>
      <c r="D18" s="45" t="n"/>
      <c r="E18" s="45" t="n"/>
      <c r="F18" s="45" t="n"/>
      <c r="G18" s="45" t="n"/>
      <c r="H18" s="45" t="n"/>
      <c r="I18" s="343" t="n"/>
      <c r="J18" s="343" t="n"/>
      <c r="K18" s="343" t="n"/>
      <c r="L18" s="343" t="n"/>
      <c r="M18" s="343" t="n"/>
      <c r="N18" s="343" t="n"/>
    </row>
    <row r="19" ht="19.95" customFormat="1" customHeight="1" s="343">
      <c r="A19" s="48" t="inlineStr">
        <is>
          <t>（2）情况说明。</t>
        </is>
      </c>
      <c r="B19" s="45" t="n"/>
      <c r="C19" s="45" t="n"/>
      <c r="D19" s="45" t="n"/>
      <c r="E19" s="45" t="n"/>
      <c r="F19" s="45" t="n"/>
      <c r="G19" s="45" t="n"/>
      <c r="H19" s="45" t="n"/>
      <c r="I19" s="343" t="n"/>
      <c r="J19" s="343" t="n"/>
      <c r="K19" s="343" t="n"/>
      <c r="L19" s="343" t="n"/>
      <c r="M19" s="343" t="n"/>
      <c r="N19" s="343" t="n"/>
    </row>
    <row r="20" ht="19.95" customFormat="1" customHeight="1" s="343">
      <c r="A20" s="180" t="inlineStr">
        <is>
          <t>2.审计结论</t>
        </is>
      </c>
      <c r="B20" s="49" t="n"/>
      <c r="C20" s="49" t="n"/>
      <c r="D20" s="49" t="n"/>
      <c r="E20" s="49" t="n"/>
      <c r="F20" s="49" t="n"/>
      <c r="G20" s="49" t="n"/>
      <c r="H20" s="49" t="n"/>
      <c r="I20" s="343" t="n"/>
      <c r="J20" s="343" t="n"/>
      <c r="K20" s="343" t="n"/>
      <c r="L20" s="343" t="n"/>
      <c r="M20" s="343" t="n"/>
      <c r="N20" s="343" t="n"/>
    </row>
    <row r="21" ht="19.95" customHeight="1" s="333">
      <c r="A21" s="48" t="n"/>
      <c r="B21" s="49" t="n"/>
      <c r="C21" s="49" t="n"/>
      <c r="D21" s="49" t="n"/>
      <c r="E21" s="49" t="n"/>
      <c r="F21" s="49" t="n"/>
      <c r="G21" s="49" t="n"/>
      <c r="H21" s="49" t="n"/>
    </row>
  </sheetData>
  <mergeCells count="8">
    <mergeCell ref="A5:A6"/>
    <mergeCell ref="A2:L2"/>
    <mergeCell ref="F16:H16"/>
    <mergeCell ref="J5:K5"/>
    <mergeCell ref="A1:L1"/>
    <mergeCell ref="B5:E5"/>
    <mergeCell ref="F5:I5"/>
    <mergeCell ref="L5:L6"/>
  </mergeCells>
  <hyperlinks>
    <hyperlink ref="L3" location="底稿目录!A1" display="底稿目录!A1"/>
  </hyperlinks>
  <printOptions horizontalCentered="1"/>
  <pageMargins left="0.7480314960629921" right="0.3543307086614174" top="0.5905511811023623" bottom="0.2755905511811024" header="0.5118110236220472" footer="0.1968503937007874"/>
  <pageSetup orientation="landscape" paperSize="9" scale="95" blackAndWhite="1"/>
  <headerFooter alignWithMargins="0">
    <oddHeader/>
    <oddFooter>&amp;C&amp;P/&amp;N</oddFooter>
    <evenHeader/>
    <evenFooter/>
    <firstHeader/>
    <firstFooter/>
  </headerFooter>
</worksheet>
</file>

<file path=xl/worksheets/sheet4.xml><?xml version="1.0" encoding="utf-8"?>
<worksheet xmlns="http://schemas.openxmlformats.org/spreadsheetml/2006/main">
  <sheetPr codeName="Sheet4">
    <outlinePr summaryBelow="1" summaryRight="1"/>
    <pageSetUpPr/>
  </sheetPr>
  <dimension ref="A1:L41"/>
  <sheetViews>
    <sheetView view="pageBreakPreview" zoomScaleSheetLayoutView="100" workbookViewId="0">
      <selection activeCell="A1" sqref="A1:H38"/>
    </sheetView>
  </sheetViews>
  <sheetFormatPr baseColWidth="8" defaultColWidth="9.109375" defaultRowHeight="15.6"/>
  <cols>
    <col width="30.44140625" customWidth="1" style="73" min="1" max="1"/>
    <col width="19.6640625" customWidth="1" style="73" min="2" max="7"/>
    <col width="9.109375" customWidth="1" style="73" min="8" max="16384"/>
  </cols>
  <sheetData>
    <row r="1" ht="19.95" customFormat="1" customHeight="1" s="364">
      <c r="A1" s="296" t="inlineStr">
        <is>
          <t>致同会计师事务所</t>
        </is>
      </c>
      <c r="I1" s="50" t="n"/>
      <c r="J1" s="50" t="n"/>
      <c r="K1" s="50" t="n"/>
      <c r="L1" s="50" t="n"/>
    </row>
    <row r="2" ht="19.95" customFormat="1" customHeight="1" s="364">
      <c r="A2" s="346" t="inlineStr">
        <is>
          <t>附注披露信息（上市公司）</t>
        </is>
      </c>
      <c r="I2" s="365" t="n"/>
      <c r="J2" s="365" t="n"/>
      <c r="K2" s="365" t="n"/>
      <c r="L2" s="365" t="n"/>
    </row>
    <row r="3" ht="19.95" customFormat="1" customHeight="1" s="364">
      <c r="A3" s="343">
        <f>底稿目录!A2</f>
        <v/>
      </c>
      <c r="B3" s="347">
        <f>底稿目录!A4</f>
        <v/>
      </c>
      <c r="D3" s="343">
        <f>底稿目录!A5</f>
        <v/>
      </c>
      <c r="G3" s="366" t="inlineStr">
        <is>
          <t>索引号：</t>
        </is>
      </c>
      <c r="H3" s="343">
        <f>底稿目录!D7</f>
        <v/>
      </c>
      <c r="I3" s="343" t="n"/>
      <c r="J3" s="343" t="n"/>
      <c r="L3" s="343" t="n"/>
    </row>
    <row r="4" ht="19.95" customFormat="1" customHeight="1" s="364">
      <c r="A4" s="343">
        <f>底稿目录!A3</f>
        <v/>
      </c>
      <c r="B4" s="347">
        <f>底稿目录!A6</f>
        <v/>
      </c>
      <c r="D4" s="343">
        <f>底稿目录!A7</f>
        <v/>
      </c>
      <c r="G4" s="366" t="inlineStr">
        <is>
          <t>页次：</t>
        </is>
      </c>
      <c r="H4" s="343" t="n"/>
      <c r="I4" s="343" t="n"/>
      <c r="J4" s="343" t="n"/>
      <c r="L4" s="70" t="n"/>
    </row>
    <row r="5" ht="19.95" customFormat="1" customHeight="1" s="71" thickBot="1">
      <c r="A5" s="101" t="inlineStr">
        <is>
          <t>其他流动负债</t>
        </is>
      </c>
      <c r="B5" s="98" t="n"/>
      <c r="C5" s="98" t="n"/>
      <c r="D5" s="98" t="n"/>
      <c r="E5" s="98" t="n"/>
      <c r="F5" s="98" t="n"/>
      <c r="G5" s="98" t="n"/>
    </row>
    <row r="6" ht="19.95" customFormat="1" customHeight="1" s="71" thickBot="1">
      <c r="A6" s="99" t="inlineStr">
        <is>
          <t>项  目</t>
        </is>
      </c>
      <c r="B6" s="102" t="inlineStr">
        <is>
          <t>期末数</t>
        </is>
      </c>
      <c r="C6" s="102" t="inlineStr">
        <is>
          <t>上年年末数</t>
        </is>
      </c>
      <c r="D6" s="98" t="n"/>
      <c r="E6" s="98" t="n"/>
      <c r="F6" s="98" t="n"/>
      <c r="G6" s="98" t="n"/>
    </row>
    <row r="7" ht="19.95" customFormat="1" customHeight="1" s="71">
      <c r="A7" s="100">
        <f>'明细表 K4-2'!A11</f>
        <v/>
      </c>
      <c r="B7" s="367">
        <f>'明细表 K4-2'!O11</f>
        <v/>
      </c>
      <c r="C7" s="367">
        <f>'明细表 K4-2'!L11</f>
        <v/>
      </c>
      <c r="D7" s="98" t="n"/>
      <c r="E7" s="98" t="n"/>
      <c r="F7" s="98" t="n"/>
      <c r="G7" s="98" t="n"/>
    </row>
    <row r="8" ht="19.95" customFormat="1" customHeight="1" s="71">
      <c r="A8" s="100">
        <f>'明细表 K4-2'!A12</f>
        <v/>
      </c>
      <c r="B8" s="367">
        <f>'明细表 K4-2'!O12</f>
        <v/>
      </c>
      <c r="C8" s="367">
        <f>'明细表 K4-2'!L12</f>
        <v/>
      </c>
      <c r="D8" s="98" t="n"/>
      <c r="E8" s="98" t="n"/>
      <c r="F8" s="98" t="n"/>
      <c r="G8" s="98" t="n"/>
    </row>
    <row r="9" ht="19.95" customFormat="1" customHeight="1" s="71">
      <c r="A9" s="100">
        <f>'明细表 K4-2'!A13</f>
        <v/>
      </c>
      <c r="B9" s="367">
        <f>'明细表 K4-2'!O13</f>
        <v/>
      </c>
      <c r="C9" s="367">
        <f>'明细表 K4-2'!L13</f>
        <v/>
      </c>
      <c r="D9" s="98" t="n"/>
      <c r="E9" s="98" t="n"/>
      <c r="F9" s="98" t="n"/>
      <c r="G9" s="98" t="n"/>
    </row>
    <row r="10" ht="19.95" customFormat="1" customHeight="1" s="71">
      <c r="A10" s="100">
        <f>'明细表 K4-2'!A14</f>
        <v/>
      </c>
      <c r="B10" s="367">
        <f>'明细表 K4-2'!O14</f>
        <v/>
      </c>
      <c r="C10" s="367">
        <f>'明细表 K4-2'!L14</f>
        <v/>
      </c>
      <c r="D10" s="98" t="n"/>
      <c r="E10" s="98" t="n"/>
      <c r="F10" s="98" t="n"/>
      <c r="G10" s="98" t="n"/>
    </row>
    <row r="11" ht="19.95" customFormat="1" customHeight="1" s="71" thickBot="1">
      <c r="A11" s="100">
        <f>'明细表 K4-2'!A15</f>
        <v/>
      </c>
      <c r="B11" s="367">
        <f>'明细表 K4-2'!O15</f>
        <v/>
      </c>
      <c r="C11" s="367">
        <f>'明细表 K4-2'!L15</f>
        <v/>
      </c>
      <c r="D11" s="98" t="n"/>
      <c r="E11" s="98" t="n"/>
      <c r="F11" s="98" t="n"/>
      <c r="G11" s="98" t="n"/>
    </row>
    <row r="12" ht="19.95" customFormat="1" customHeight="1" s="71" thickBot="1">
      <c r="A12" s="99" t="inlineStr">
        <is>
          <t>合  计</t>
        </is>
      </c>
      <c r="B12" s="368">
        <f>SUM(B7:B11)</f>
        <v/>
      </c>
      <c r="C12" s="368">
        <f>SUM(C7:C11)</f>
        <v/>
      </c>
      <c r="D12" s="98" t="n"/>
      <c r="E12" s="98" t="n"/>
      <c r="F12" s="98" t="n"/>
      <c r="G12" s="98" t="n"/>
    </row>
    <row r="13" ht="19.95" customFormat="1" customHeight="1" s="71">
      <c r="A13" s="101" t="inlineStr">
        <is>
          <t>说明：</t>
        </is>
      </c>
      <c r="B13" s="98" t="n"/>
      <c r="C13" s="98" t="n"/>
      <c r="D13" s="98" t="n"/>
      <c r="E13" s="98" t="n"/>
      <c r="F13" s="98" t="n"/>
      <c r="G13" s="98" t="n"/>
    </row>
    <row r="14" ht="19.95" customFormat="1" customHeight="1" s="71">
      <c r="A14" s="103" t="inlineStr">
        <is>
          <t>【公司根据《企业会计准则》规定计入“递延收益”科目的金额，应按如下原则确定所属的报表项目：</t>
        </is>
      </c>
      <c r="B14" s="103" t="n"/>
      <c r="C14" s="103" t="n"/>
      <c r="D14" s="98" t="n"/>
      <c r="E14" s="98" t="n"/>
      <c r="F14" s="98" t="n"/>
      <c r="G14" s="98" t="n"/>
    </row>
    <row r="15" ht="19.95" customFormat="1" customHeight="1" s="71">
      <c r="A15" s="205" t="inlineStr">
        <is>
          <t>（1）受益期预计在一年以内（含一年）的，应在“其他流动负债”项目列报；</t>
        </is>
      </c>
      <c r="B15" s="103" t="n"/>
      <c r="C15" s="103" t="n"/>
      <c r="D15" s="98" t="n"/>
      <c r="E15" s="98" t="n"/>
      <c r="F15" s="98" t="n"/>
      <c r="G15" s="98" t="n"/>
    </row>
    <row r="16" ht="19.95" customFormat="1" customHeight="1" s="71">
      <c r="A16" s="205" t="inlineStr">
        <is>
          <t>（2）自资产负债表日起算的受益期限超过一年的，在“递延收益”目中列报。】</t>
        </is>
      </c>
      <c r="B16" s="104" t="n"/>
      <c r="C16" s="104" t="n"/>
      <c r="D16" s="98" t="n"/>
      <c r="E16" s="98" t="n"/>
      <c r="F16" s="98" t="n"/>
      <c r="G16" s="98" t="n"/>
    </row>
    <row r="17" ht="19.95" customFormat="1" customHeight="1" s="71">
      <c r="A17" s="103" t="inlineStr">
        <is>
          <t>【待转销项税额属于其他非流动负债的，在“其他非流动负债”科目列示。】</t>
        </is>
      </c>
      <c r="B17" s="103" t="n"/>
      <c r="C17" s="103" t="n"/>
      <c r="D17" s="98" t="n"/>
      <c r="E17" s="98" t="n"/>
      <c r="F17" s="98" t="n"/>
      <c r="G17" s="98" t="n"/>
    </row>
    <row r="18" ht="19.95" customFormat="1" customHeight="1" s="71" thickBot="1">
      <c r="A18" s="204" t="inlineStr">
        <is>
          <t>（1）短期应付债券</t>
        </is>
      </c>
      <c r="B18" s="98" t="n"/>
      <c r="C18" s="98" t="n"/>
      <c r="D18" s="98" t="n"/>
      <c r="E18" s="98" t="n"/>
      <c r="F18" s="98" t="n"/>
      <c r="G18" s="98" t="n"/>
    </row>
    <row r="19" ht="19.95" customFormat="1" customHeight="1" s="72" thickBot="1">
      <c r="A19" s="128" t="inlineStr">
        <is>
          <t>债券名称</t>
        </is>
      </c>
      <c r="B19" s="128" t="inlineStr">
        <is>
          <t>面值</t>
        </is>
      </c>
      <c r="C19" s="129" t="inlineStr">
        <is>
          <t>票面利率</t>
        </is>
      </c>
      <c r="D19" s="128" t="inlineStr">
        <is>
          <t>发行日期</t>
        </is>
      </c>
      <c r="E19" s="128" t="inlineStr">
        <is>
          <t>债券期限</t>
        </is>
      </c>
      <c r="F19" s="128" t="inlineStr">
        <is>
          <t>发行金额</t>
        </is>
      </c>
      <c r="G19" s="98" t="n"/>
    </row>
    <row r="20" ht="19.95" customFormat="1" customHeight="1" s="71">
      <c r="A20" s="100" t="n"/>
      <c r="B20" s="116" t="n"/>
      <c r="C20" s="130" t="n"/>
      <c r="D20" s="116" t="n"/>
      <c r="E20" s="116" t="n"/>
      <c r="F20" s="116" t="n"/>
      <c r="G20" s="98" t="n"/>
    </row>
    <row r="21" ht="19.95" customFormat="1" customHeight="1" s="71">
      <c r="A21" s="100" t="n"/>
      <c r="B21" s="116" t="n"/>
      <c r="C21" s="130" t="n"/>
      <c r="D21" s="116" t="n"/>
      <c r="E21" s="116" t="n"/>
      <c r="F21" s="116" t="n"/>
      <c r="G21" s="98" t="n"/>
    </row>
    <row r="22" ht="19.95" customFormat="1" customHeight="1" s="71" thickBot="1">
      <c r="A22" s="106" t="n"/>
      <c r="B22" s="117" t="n"/>
      <c r="C22" s="131" t="n"/>
      <c r="D22" s="117" t="n"/>
      <c r="E22" s="117" t="n"/>
      <c r="F22" s="117" t="n"/>
      <c r="G22" s="98" t="n"/>
    </row>
    <row r="23" ht="19.95" customFormat="1" customHeight="1" s="71" thickBot="1">
      <c r="A23" s="107" t="inlineStr">
        <is>
          <t>小  计</t>
        </is>
      </c>
      <c r="B23" s="369">
        <f>SUM(B20:B22)</f>
        <v/>
      </c>
      <c r="C23" s="370" t="n"/>
      <c r="D23" s="371" t="n"/>
      <c r="E23" s="371" t="n"/>
      <c r="F23" s="369">
        <f>SUM(F20:F22)</f>
        <v/>
      </c>
      <c r="G23" s="98" t="n"/>
    </row>
    <row r="24" ht="19.95" customFormat="1" customHeight="1" s="71" thickBot="1">
      <c r="A24" s="168" t="inlineStr">
        <is>
          <t>短期应付债券（续）</t>
        </is>
      </c>
      <c r="B24" s="108" t="n"/>
      <c r="C24" s="108" t="n"/>
      <c r="D24" s="108" t="n"/>
      <c r="E24" s="108" t="n"/>
      <c r="F24" s="108" t="n"/>
      <c r="G24" s="108" t="n"/>
    </row>
    <row r="25" ht="19.95" customFormat="1" customHeight="1" s="71" thickBot="1">
      <c r="A25" s="133" t="inlineStr">
        <is>
          <t>债券名称</t>
        </is>
      </c>
      <c r="B25" s="133" t="inlineStr">
        <is>
          <t>上年年末数</t>
        </is>
      </c>
      <c r="C25" s="133" t="inlineStr">
        <is>
          <t>本期发行</t>
        </is>
      </c>
      <c r="D25" s="133" t="inlineStr">
        <is>
          <t>按面值计提利息</t>
        </is>
      </c>
      <c r="E25" s="133" t="inlineStr">
        <is>
          <t>溢折价摊销</t>
        </is>
      </c>
      <c r="F25" s="133" t="inlineStr">
        <is>
          <t>本期偿还</t>
        </is>
      </c>
      <c r="G25" s="133" t="inlineStr">
        <is>
          <t>期末数</t>
        </is>
      </c>
      <c r="H25" s="134" t="inlineStr">
        <is>
          <t>是否违约</t>
        </is>
      </c>
    </row>
    <row r="26" ht="19.95" customFormat="1" customHeight="1" s="71">
      <c r="A26" s="111" t="n"/>
      <c r="B26" s="118" t="n"/>
      <c r="C26" s="118" t="n"/>
      <c r="D26" s="118" t="n"/>
      <c r="E26" s="118" t="n"/>
      <c r="F26" s="118" t="n"/>
      <c r="G26" s="372">
        <f>B26+C26+D26-E26-F26</f>
        <v/>
      </c>
      <c r="H26" s="373" t="n"/>
    </row>
    <row r="27" ht="19.95" customFormat="1" customHeight="1" s="71">
      <c r="A27" s="111" t="n"/>
      <c r="B27" s="118" t="n"/>
      <c r="C27" s="118" t="n"/>
      <c r="D27" s="118" t="n"/>
      <c r="E27" s="118" t="n"/>
      <c r="F27" s="118" t="n"/>
      <c r="G27" s="372">
        <f>B27+C27+D27-E27-F27</f>
        <v/>
      </c>
      <c r="H27" s="373" t="n"/>
    </row>
    <row r="28" ht="19.95" customFormat="1" customHeight="1" s="71" thickBot="1">
      <c r="A28" s="112" t="n"/>
      <c r="B28" s="120" t="n"/>
      <c r="C28" s="120" t="n"/>
      <c r="D28" s="120" t="n"/>
      <c r="E28" s="120" t="n"/>
      <c r="F28" s="120" t="n"/>
      <c r="G28" s="372">
        <f>B28+C28+D28-E28-F28</f>
        <v/>
      </c>
      <c r="H28" s="373" t="n"/>
    </row>
    <row r="29" ht="19.95" customFormat="1" customHeight="1" s="71" thickBot="1">
      <c r="A29" s="113" t="inlineStr">
        <is>
          <t>合  计</t>
        </is>
      </c>
      <c r="B29" s="374">
        <f>SUM(B26:B28)</f>
        <v/>
      </c>
      <c r="C29" s="374">
        <f>SUM(C26:C28)</f>
        <v/>
      </c>
      <c r="D29" s="374">
        <f>SUM(D26:D28)</f>
        <v/>
      </c>
      <c r="E29" s="374">
        <f>SUM(E26:E28)</f>
        <v/>
      </c>
      <c r="F29" s="374">
        <f>SUM(F26:F28)</f>
        <v/>
      </c>
      <c r="G29" s="375">
        <f>SUM(G26:G28)</f>
        <v/>
      </c>
      <c r="H29" s="376" t="n"/>
    </row>
    <row r="30" ht="19.95" customFormat="1" customHeight="1" s="71">
      <c r="A30" s="101" t="inlineStr">
        <is>
          <t>说明：</t>
        </is>
      </c>
      <c r="B30" s="98" t="n"/>
      <c r="C30" s="98" t="n"/>
      <c r="D30" s="98" t="n"/>
      <c r="E30" s="98" t="n"/>
      <c r="F30" s="98" t="n"/>
      <c r="G30" s="98" t="n"/>
    </row>
    <row r="31" ht="19.95" customFormat="1" customHeight="1" s="71" thickBot="1">
      <c r="A31" s="204" t="inlineStr">
        <is>
          <t>（2）递延收益-政府补助情况</t>
        </is>
      </c>
      <c r="B31" s="108" t="n"/>
      <c r="C31" s="108" t="n"/>
      <c r="D31" s="108" t="n"/>
      <c r="E31" s="108" t="n"/>
      <c r="F31" s="108" t="n"/>
      <c r="G31" s="98" t="n"/>
    </row>
    <row r="32" ht="19.95" customFormat="1" customHeight="1" s="71" thickBot="1">
      <c r="A32" s="109" t="inlineStr">
        <is>
          <t>补助项目</t>
        </is>
      </c>
      <c r="B32" s="110" t="inlineStr">
        <is>
          <t>上年年末数</t>
        </is>
      </c>
      <c r="C32" s="110" t="inlineStr">
        <is>
          <t>本期增加</t>
        </is>
      </c>
      <c r="D32" s="110" t="inlineStr">
        <is>
          <t>本期减少</t>
        </is>
      </c>
      <c r="E32" s="110" t="inlineStr">
        <is>
          <t>期末数</t>
        </is>
      </c>
      <c r="F32" s="110" t="inlineStr">
        <is>
          <t>形成原因</t>
        </is>
      </c>
      <c r="G32" s="98" t="n"/>
    </row>
    <row r="33" ht="19.95" customFormat="1" customHeight="1" s="71">
      <c r="A33" s="111" t="n"/>
      <c r="B33" s="118" t="n"/>
      <c r="C33" s="118" t="n"/>
      <c r="D33" s="118" t="n"/>
      <c r="E33" s="377">
        <f>B33+C33-D33</f>
        <v/>
      </c>
      <c r="F33" s="118" t="n"/>
      <c r="G33" s="98" t="n"/>
    </row>
    <row r="34" ht="19.95" customFormat="1" customHeight="1" s="71">
      <c r="A34" s="111" t="n"/>
      <c r="B34" s="118" t="n"/>
      <c r="C34" s="118" t="n"/>
      <c r="D34" s="118" t="n"/>
      <c r="E34" s="372">
        <f>B34+C34-D34</f>
        <v/>
      </c>
      <c r="F34" s="118" t="n"/>
      <c r="G34" s="98" t="n"/>
    </row>
    <row r="35" ht="19.95" customFormat="1" customHeight="1" s="71" thickBot="1">
      <c r="A35" s="112" t="n"/>
      <c r="B35" s="120" t="n"/>
      <c r="C35" s="120" t="n"/>
      <c r="D35" s="120" t="n"/>
      <c r="E35" s="378">
        <f>B35+C35-D35</f>
        <v/>
      </c>
      <c r="F35" s="120" t="n"/>
      <c r="G35" s="98" t="n"/>
    </row>
    <row r="36" ht="19.95" customFormat="1" customHeight="1" s="71" thickBot="1">
      <c r="A36" s="113" t="inlineStr">
        <is>
          <t>合  计</t>
        </is>
      </c>
      <c r="B36" s="374">
        <f>SUM(B33:B35)</f>
        <v/>
      </c>
      <c r="C36" s="374">
        <f>SUM(C33:C35)</f>
        <v/>
      </c>
      <c r="D36" s="374">
        <f>SUM(D33:D35)</f>
        <v/>
      </c>
      <c r="E36" s="374">
        <f>SUM(E33:E35)</f>
        <v/>
      </c>
      <c r="F36" s="125" t="n"/>
      <c r="G36" s="98" t="n"/>
    </row>
    <row r="37" ht="19.95" customFormat="1" customHeight="1" s="71">
      <c r="A37" s="168" t="inlineStr">
        <is>
          <t>说明：计入递延收益的政府补助详见附注五、84、政府补助</t>
        </is>
      </c>
      <c r="B37" s="108" t="n"/>
      <c r="C37" s="108" t="n"/>
      <c r="D37" s="108" t="n"/>
      <c r="E37" s="108" t="n"/>
      <c r="F37" s="108" t="n"/>
      <c r="G37" s="98" t="n"/>
    </row>
    <row r="38" ht="19.95" customFormat="1" customHeight="1" s="71">
      <c r="A38" s="101" t="n"/>
      <c r="B38" s="98" t="n"/>
      <c r="C38" s="98" t="n"/>
      <c r="D38" s="98" t="n"/>
      <c r="E38" s="98" t="n"/>
      <c r="F38" s="98" t="n"/>
      <c r="G38" s="98" t="n"/>
    </row>
    <row r="39" customFormat="1" s="71">
      <c r="A39" s="295" t="n"/>
      <c r="B39" s="71" t="n"/>
      <c r="C39" s="71" t="n"/>
      <c r="D39" s="71" t="n"/>
      <c r="E39" s="71" t="n"/>
      <c r="F39" s="71" t="n"/>
      <c r="G39" s="71" t="n"/>
    </row>
    <row r="40" customFormat="1" s="71">
      <c r="A40" s="294" t="n"/>
      <c r="B40" s="71" t="n"/>
      <c r="C40" s="71" t="n"/>
      <c r="D40" s="71" t="n"/>
      <c r="E40" s="71" t="n"/>
      <c r="F40" s="71" t="n"/>
      <c r="G40" s="71" t="n"/>
    </row>
    <row r="41" customFormat="1" s="71">
      <c r="A41" s="294" t="n"/>
      <c r="B41" s="71" t="n"/>
      <c r="C41" s="71" t="n"/>
      <c r="D41" s="71" t="n"/>
      <c r="E41" s="71" t="n"/>
      <c r="F41" s="71" t="n"/>
      <c r="G41" s="71" t="n"/>
    </row>
    <row r="42" ht="12" customFormat="1" customHeight="1" s="71"/>
  </sheetData>
  <mergeCells count="5">
    <mergeCell ref="A40:G40"/>
    <mergeCell ref="A2:H2"/>
    <mergeCell ref="A39:G39"/>
    <mergeCell ref="A1:H1"/>
    <mergeCell ref="A41:G41"/>
  </mergeCells>
  <pageMargins left="0.7086614173228347" right="0.7086614173228347" top="0.7480314960629921" bottom="0.7480314960629921" header="0.3149606299212598" footer="0.3149606299212598"/>
  <pageSetup orientation="portrait" paperSize="9" scale="60" blackAndWhite="1"/>
</worksheet>
</file>

<file path=xl/worksheets/sheet5.xml><?xml version="1.0" encoding="utf-8"?>
<worksheet xmlns="http://schemas.openxmlformats.org/spreadsheetml/2006/main">
  <sheetPr codeName="Sheet5">
    <outlinePr summaryBelow="1" summaryRight="1"/>
    <pageSetUpPr fitToPage="1"/>
  </sheetPr>
  <dimension ref="A1:L14"/>
  <sheetViews>
    <sheetView view="pageBreakPreview" zoomScaleSheetLayoutView="100" workbookViewId="0">
      <selection activeCell="B14" sqref="B14"/>
    </sheetView>
  </sheetViews>
  <sheetFormatPr baseColWidth="8" defaultColWidth="9.109375" defaultRowHeight="15.6"/>
  <cols>
    <col width="28.33203125" customWidth="1" style="73" min="1" max="1"/>
    <col width="19.6640625" customWidth="1" style="73" min="2" max="2"/>
    <col width="25.33203125" customWidth="1" style="73" min="3" max="3"/>
    <col width="9.88671875" customWidth="1" style="73" min="4" max="4"/>
    <col width="8" customWidth="1" style="73" min="5" max="5"/>
    <col width="14.5546875" customWidth="1" style="73" min="6" max="6"/>
    <col width="9.109375" customWidth="1" style="73" min="7" max="16384"/>
  </cols>
  <sheetData>
    <row r="1" ht="19.95" customFormat="1" customHeight="1" s="343">
      <c r="A1" s="298" t="inlineStr">
        <is>
          <t>致同会计师事务所</t>
        </is>
      </c>
      <c r="F1" s="180" t="n"/>
      <c r="G1" s="180" t="n"/>
      <c r="H1" s="180" t="n"/>
      <c r="I1" s="180" t="n"/>
      <c r="J1" s="180" t="n"/>
      <c r="K1" s="180" t="n"/>
      <c r="L1" s="180" t="n"/>
    </row>
    <row r="2" ht="19.95" customFormat="1" customHeight="1" s="343">
      <c r="A2" s="379" t="inlineStr">
        <is>
          <t>附注披露信息(国企)</t>
        </is>
      </c>
      <c r="F2" s="354" t="n"/>
      <c r="G2" s="354" t="n"/>
      <c r="H2" s="354" t="n"/>
      <c r="I2" s="354" t="n"/>
      <c r="J2" s="354" t="n"/>
      <c r="K2" s="354" t="n"/>
      <c r="L2" s="354" t="n"/>
    </row>
    <row r="3" ht="19.95" customFormat="1" customHeight="1" s="343">
      <c r="A3" s="343">
        <f>底稿目录!A2</f>
        <v/>
      </c>
      <c r="B3" s="347">
        <f>底稿目录!A4</f>
        <v/>
      </c>
      <c r="C3" s="347">
        <f>底稿目录!A5</f>
        <v/>
      </c>
      <c r="D3" s="366" t="inlineStr">
        <is>
          <t>索引号：</t>
        </is>
      </c>
      <c r="E3" s="380">
        <f>底稿目录!D8</f>
        <v/>
      </c>
    </row>
    <row r="4" ht="19.95" customFormat="1" customHeight="1" s="343">
      <c r="A4" s="343">
        <f>底稿目录!A3</f>
        <v/>
      </c>
      <c r="B4" s="347">
        <f>底稿目录!A6</f>
        <v/>
      </c>
      <c r="C4" s="347">
        <f>底稿目录!A7</f>
        <v/>
      </c>
      <c r="D4" s="366" t="inlineStr">
        <is>
          <t>页次：</t>
        </is>
      </c>
      <c r="E4" s="347" t="n"/>
      <c r="L4" s="70" t="n"/>
    </row>
    <row r="5" ht="19.95" customFormat="1" customHeight="1" s="209" thickBot="1">
      <c r="A5" s="206" t="inlineStr">
        <is>
          <t>其他流动负债</t>
        </is>
      </c>
      <c r="B5" s="207" t="n"/>
      <c r="C5" s="207" t="n"/>
      <c r="D5" s="208" t="n"/>
      <c r="E5" s="208" t="n"/>
    </row>
    <row r="6" ht="19.95" customFormat="1" customHeight="1" s="209" thickBot="1">
      <c r="A6" s="210" t="inlineStr">
        <is>
          <t>项  目</t>
        </is>
      </c>
      <c r="B6" s="211" t="inlineStr">
        <is>
          <t>期末余额</t>
        </is>
      </c>
      <c r="C6" s="211" t="inlineStr">
        <is>
          <t>期初余额</t>
        </is>
      </c>
      <c r="D6" s="208" t="n"/>
      <c r="E6" s="208" t="n"/>
    </row>
    <row r="7" ht="19.95" customFormat="1" customHeight="1" s="209">
      <c r="A7" s="212">
        <f>'明细表 K4-2'!A11</f>
        <v/>
      </c>
      <c r="B7" s="367">
        <f>'明细表 K4-2'!O11</f>
        <v/>
      </c>
      <c r="C7" s="367">
        <f>'明细表 K4-2'!L11</f>
        <v/>
      </c>
      <c r="D7" s="208" t="n"/>
      <c r="E7" s="208" t="n"/>
    </row>
    <row r="8" ht="19.95" customFormat="1" customHeight="1" s="209">
      <c r="A8" s="212">
        <f>'明细表 K4-2'!A12</f>
        <v/>
      </c>
      <c r="B8" s="367">
        <f>'明细表 K4-2'!O12</f>
        <v/>
      </c>
      <c r="C8" s="367">
        <f>'明细表 K4-2'!L12</f>
        <v/>
      </c>
      <c r="D8" s="208" t="n"/>
      <c r="E8" s="208" t="n"/>
    </row>
    <row r="9" ht="19.95" customFormat="1" customHeight="1" s="209">
      <c r="A9" s="212">
        <f>'明细表 K4-2'!A13</f>
        <v/>
      </c>
      <c r="B9" s="367">
        <f>'明细表 K4-2'!O13</f>
        <v/>
      </c>
      <c r="C9" s="367">
        <f>'明细表 K4-2'!L13</f>
        <v/>
      </c>
      <c r="D9" s="208" t="n"/>
      <c r="E9" s="208" t="n"/>
    </row>
    <row r="10" ht="19.95" customFormat="1" customHeight="1" s="209">
      <c r="A10" s="212">
        <f>'明细表 K4-2'!A14</f>
        <v/>
      </c>
      <c r="B10" s="367">
        <f>'明细表 K4-2'!O14</f>
        <v/>
      </c>
      <c r="C10" s="367">
        <f>'明细表 K4-2'!L14</f>
        <v/>
      </c>
      <c r="D10" s="208" t="n"/>
      <c r="E10" s="208" t="n"/>
    </row>
    <row r="11" ht="19.95" customFormat="1" customHeight="1" s="209" thickBot="1">
      <c r="A11" s="381">
        <f>'明细表 K4-2'!A15</f>
        <v/>
      </c>
      <c r="B11" s="367">
        <f>'明细表 K4-2'!O15</f>
        <v/>
      </c>
      <c r="C11" s="367">
        <f>'明细表 K4-2'!L15</f>
        <v/>
      </c>
      <c r="D11" s="208" t="n"/>
      <c r="E11" s="208" t="n"/>
    </row>
    <row r="12" ht="19.95" customFormat="1" customHeight="1" s="209" thickBot="1">
      <c r="A12" s="210" t="inlineStr">
        <is>
          <t>合  计</t>
        </is>
      </c>
      <c r="B12" s="368">
        <f>SUM(B7:B11)</f>
        <v/>
      </c>
      <c r="C12" s="368">
        <f>SUM(C7:C11)</f>
        <v/>
      </c>
      <c r="D12" s="208" t="n"/>
      <c r="E12" s="208" t="n"/>
    </row>
    <row r="13" ht="19.95" customFormat="1" customHeight="1" s="209">
      <c r="A13" s="382" t="inlineStr">
        <is>
          <t>注：发行债券应披露债券名称，债券面值，发行日期，债券期限，发行金额，期初余额，本期发行金额，按面值计提利息，溢折价摊销，本期偿还的金额，期末余额等相关信息。</t>
        </is>
      </c>
    </row>
    <row r="14" ht="19.95" customFormat="1" customHeight="1" s="209">
      <c r="A14" s="382" t="inlineStr">
        <is>
          <t>【待转销项税额属于其他非流动负债的，在“其他非流动负债”科目列示。】</t>
        </is>
      </c>
    </row>
    <row r="15" ht="19.95" customFormat="1" customHeight="1" s="209"/>
  </sheetData>
  <mergeCells count="2">
    <mergeCell ref="A2:E2"/>
    <mergeCell ref="A1:E1"/>
  </mergeCells>
  <printOptions horizontalCentered="1"/>
  <pageMargins left="0.984251968503937" right="0.7480314960629921" top="0.984251968503937" bottom="0.984251968503937" header="0.5118110236220472" footer="0.5118110236220472"/>
  <pageSetup orientation="portrait" paperSize="9" fitToHeight="100" blackAndWhite="1" cellComments="atEnd"/>
</worksheet>
</file>

<file path=xl/worksheets/sheet6.xml><?xml version="1.0" encoding="utf-8"?>
<worksheet xmlns="http://schemas.openxmlformats.org/spreadsheetml/2006/main">
  <sheetPr codeName="Sheet6">
    <outlinePr summaryBelow="1" summaryRight="1"/>
    <pageSetUpPr fitToPage="1"/>
  </sheetPr>
  <dimension ref="A1:R25"/>
  <sheetViews>
    <sheetView view="pageBreakPreview" zoomScaleSheetLayoutView="100" workbookViewId="0">
      <selection activeCell="A1" sqref="A1:P1"/>
    </sheetView>
  </sheetViews>
  <sheetFormatPr baseColWidth="8" defaultColWidth="9.109375" defaultRowHeight="15.6"/>
  <cols>
    <col width="26.109375" customWidth="1" style="14" min="1" max="1"/>
    <col width="10.6640625" customWidth="1" style="14" min="2" max="16"/>
    <col width="9.109375" customWidth="1" style="14" min="17" max="16384"/>
  </cols>
  <sheetData>
    <row r="1" ht="20.1" customFormat="1" customHeight="1" s="7">
      <c r="A1" s="300" t="inlineStr">
        <is>
          <t>致同会计师事务所</t>
        </is>
      </c>
      <c r="Q1" s="6" t="n"/>
      <c r="R1" s="6" t="n"/>
    </row>
    <row r="2" ht="24.9" customFormat="1" customHeight="1" s="9">
      <c r="A2" s="301" t="inlineStr">
        <is>
          <t>其他流动负债明细表</t>
        </is>
      </c>
      <c r="Q2" s="8" t="n"/>
      <c r="R2" s="8" t="n"/>
    </row>
    <row r="3" ht="20.1" customFormat="1" customHeight="1" s="149">
      <c r="A3" s="343">
        <f>底稿目录!A2</f>
        <v/>
      </c>
      <c r="B3" s="343" t="n"/>
      <c r="D3" s="347">
        <f>底稿目录!A4</f>
        <v/>
      </c>
      <c r="J3" s="63">
        <f>底稿目录!A5</f>
        <v/>
      </c>
      <c r="K3" s="64" t="n"/>
      <c r="O3" s="144" t="inlineStr">
        <is>
          <t>索引号：</t>
        </is>
      </c>
      <c r="P3" s="349">
        <f>底稿目录!D9</f>
        <v/>
      </c>
    </row>
    <row r="4" ht="20.1" customFormat="1" customHeight="1" s="149">
      <c r="A4" s="343">
        <f>底稿目录!A3</f>
        <v/>
      </c>
      <c r="B4" s="70" t="n"/>
      <c r="D4" s="347">
        <f>底稿目录!A6</f>
        <v/>
      </c>
      <c r="J4" s="63">
        <f>底稿目录!A7</f>
        <v/>
      </c>
      <c r="K4" s="64" t="n"/>
      <c r="O4" s="252" t="inlineStr">
        <is>
          <t>页次：</t>
        </is>
      </c>
    </row>
    <row r="5" ht="20.1" customFormat="1" customHeight="1" s="149">
      <c r="A5" s="51" t="inlineStr">
        <is>
          <t>一、审计目标:</t>
        </is>
      </c>
      <c r="B5" s="52" t="n"/>
      <c r="F5" s="53" t="n"/>
      <c r="J5" s="54" t="n"/>
      <c r="M5" s="55" t="n"/>
    </row>
    <row r="6" ht="20.1" customFormat="1" customHeight="1" s="149">
      <c r="A6" s="167" t="inlineStr">
        <is>
          <t>1.资产负债表中记录的其他流动负债是存在的，且已记录于恰当的账户。</t>
        </is>
      </c>
      <c r="B6" s="167" t="n"/>
      <c r="C6" s="168" t="n"/>
      <c r="D6" s="207" t="n"/>
      <c r="E6" s="207" t="n"/>
      <c r="G6" s="167" t="inlineStr">
        <is>
          <t>2.所有应记录的其他流动负债均已记录，所有应当包括在财务报表中的相关披露均已包括。</t>
        </is>
      </c>
      <c r="H6" s="170" t="n"/>
      <c r="I6" s="207" t="n"/>
      <c r="J6" s="207" t="n"/>
      <c r="K6" s="207" t="n"/>
      <c r="L6" s="207" t="n"/>
    </row>
    <row r="7" ht="20.1" customFormat="1" customHeight="1" s="149">
      <c r="A7" s="207" t="inlineStr">
        <is>
          <t>3.其他流动负债以恰当的金额包括在财务报表中，与之相关的计价或分摊调整已恰当记录，相关披露已得到恰当计量和描述。</t>
        </is>
      </c>
      <c r="B7" s="167" t="n"/>
      <c r="C7" s="168" t="n"/>
      <c r="D7" s="207" t="n"/>
      <c r="E7" s="207" t="n"/>
      <c r="F7" s="167" t="n"/>
      <c r="H7" s="170" t="n"/>
      <c r="I7" s="207" t="n"/>
      <c r="J7" s="207" t="n"/>
      <c r="K7" s="207" t="n"/>
      <c r="L7" s="207" t="n"/>
      <c r="M7" s="207" t="n"/>
    </row>
    <row r="8" ht="20.1" customFormat="1" customHeight="1" s="149">
      <c r="A8" s="56" t="inlineStr">
        <is>
          <t>二、审计过程：</t>
        </is>
      </c>
      <c r="F8" s="57" t="n"/>
      <c r="J8" s="54" t="n"/>
      <c r="M8" s="55" t="n"/>
    </row>
    <row r="9" ht="20.1" customFormat="1" customHeight="1" s="11">
      <c r="A9" s="383" t="inlineStr">
        <is>
          <t>项目</t>
        </is>
      </c>
      <c r="B9" s="384" t="inlineStr">
        <is>
          <t>未审数</t>
        </is>
      </c>
      <c r="C9" s="385" t="n"/>
      <c r="D9" s="385" t="n"/>
      <c r="E9" s="386" t="n"/>
      <c r="F9" s="387" t="inlineStr">
        <is>
          <t>期初调整</t>
        </is>
      </c>
      <c r="G9" s="335" t="n"/>
      <c r="H9" s="387" t="inlineStr">
        <is>
          <t>账项调整</t>
        </is>
      </c>
      <c r="I9" s="335" t="n"/>
      <c r="J9" s="388" t="inlineStr">
        <is>
          <t>重分类调整</t>
        </is>
      </c>
      <c r="K9" s="334" t="n"/>
      <c r="L9" s="389" t="inlineStr">
        <is>
          <t>审定数</t>
        </is>
      </c>
      <c r="M9" s="334" t="n"/>
      <c r="N9" s="334" t="n"/>
      <c r="O9" s="335" t="n"/>
      <c r="P9" s="389" t="inlineStr">
        <is>
          <t>备注</t>
        </is>
      </c>
    </row>
    <row r="10" ht="20.1" customFormat="1" customHeight="1" s="11">
      <c r="A10" s="352" t="n"/>
      <c r="B10" s="389" t="inlineStr">
        <is>
          <t>期初数</t>
        </is>
      </c>
      <c r="C10" s="389" t="inlineStr">
        <is>
          <t>本期增加</t>
        </is>
      </c>
      <c r="D10" s="389" t="inlineStr">
        <is>
          <t>本期减少</t>
        </is>
      </c>
      <c r="E10" s="389" t="inlineStr">
        <is>
          <t>期末数</t>
        </is>
      </c>
      <c r="F10" s="387" t="inlineStr">
        <is>
          <t>账项调整</t>
        </is>
      </c>
      <c r="G10" s="387" t="inlineStr">
        <is>
          <t>重分类调整</t>
        </is>
      </c>
      <c r="H10" s="387" t="inlineStr">
        <is>
          <t>本期增加</t>
        </is>
      </c>
      <c r="I10" s="387" t="inlineStr">
        <is>
          <t>本期减少</t>
        </is>
      </c>
      <c r="J10" s="388" t="inlineStr">
        <is>
          <t>本期增加</t>
        </is>
      </c>
      <c r="K10" s="388" t="inlineStr">
        <is>
          <t>本期减少</t>
        </is>
      </c>
      <c r="L10" s="389" t="inlineStr">
        <is>
          <t>期初数</t>
        </is>
      </c>
      <c r="M10" s="389" t="inlineStr">
        <is>
          <t>本期增加</t>
        </is>
      </c>
      <c r="N10" s="389" t="inlineStr">
        <is>
          <t>本期减少</t>
        </is>
      </c>
      <c r="O10" s="389" t="inlineStr">
        <is>
          <t>期末数</t>
        </is>
      </c>
      <c r="P10" s="339" t="n"/>
    </row>
    <row r="11" ht="20.1" customFormat="1" customHeight="1" s="11">
      <c r="A11" s="97" t="inlineStr">
        <is>
          <t>短期应付债券</t>
        </is>
      </c>
      <c r="B11" s="390" t="n"/>
      <c r="C11" s="390" t="n"/>
      <c r="D11" s="390" t="n"/>
      <c r="E11" s="391">
        <f>B11+C11-D11</f>
        <v/>
      </c>
      <c r="F11" s="390" t="n"/>
      <c r="G11" s="390" t="n"/>
      <c r="H11" s="390" t="n"/>
      <c r="I11" s="390" t="n"/>
      <c r="J11" s="390" t="n"/>
      <c r="K11" s="390" t="n"/>
      <c r="L11" s="355">
        <f>B11+F11+G11</f>
        <v/>
      </c>
      <c r="M11" s="355">
        <f>C11+H11+J11</f>
        <v/>
      </c>
      <c r="N11" s="355">
        <f>D11+I11+K11</f>
        <v/>
      </c>
      <c r="O11" s="355">
        <f>L11+M11-N11</f>
        <v/>
      </c>
      <c r="P11" s="390" t="n"/>
    </row>
    <row r="12" ht="20.1" customFormat="1" customHeight="1" s="11">
      <c r="A12" s="97" t="inlineStr">
        <is>
          <t>政府补助</t>
        </is>
      </c>
      <c r="B12" s="390" t="n"/>
      <c r="C12" s="390" t="n"/>
      <c r="D12" s="390" t="n"/>
      <c r="E12" s="391">
        <f>B12+C12-D12</f>
        <v/>
      </c>
      <c r="F12" s="390" t="n"/>
      <c r="G12" s="390" t="n"/>
      <c r="H12" s="390" t="n"/>
      <c r="I12" s="390" t="n"/>
      <c r="J12" s="390" t="n"/>
      <c r="K12" s="390" t="n"/>
      <c r="L12" s="355">
        <f>B12+F12+G12</f>
        <v/>
      </c>
      <c r="M12" s="355">
        <f>C12+H12+J12</f>
        <v/>
      </c>
      <c r="N12" s="355">
        <f>D12+I12+K12</f>
        <v/>
      </c>
      <c r="O12" s="355">
        <f>L12+M12-N12</f>
        <v/>
      </c>
      <c r="P12" s="390" t="n"/>
    </row>
    <row r="13" ht="20.1" customFormat="1" customHeight="1" s="11">
      <c r="A13" s="97" t="inlineStr">
        <is>
          <t>待转销项税额</t>
        </is>
      </c>
      <c r="B13" s="390" t="n"/>
      <c r="C13" s="390" t="n"/>
      <c r="D13" s="390" t="n"/>
      <c r="E13" s="391">
        <f>B13+C13-D13</f>
        <v/>
      </c>
      <c r="F13" s="390" t="n"/>
      <c r="G13" s="390" t="n"/>
      <c r="H13" s="390" t="n"/>
      <c r="I13" s="390" t="n"/>
      <c r="J13" s="390" t="n"/>
      <c r="K13" s="390" t="n"/>
      <c r="L13" s="355">
        <f>B13+F13+G13</f>
        <v/>
      </c>
      <c r="M13" s="355">
        <f>C13+H13+J13</f>
        <v/>
      </c>
      <c r="N13" s="355">
        <f>D13+I13+K13</f>
        <v/>
      </c>
      <c r="O13" s="355">
        <f>L13+M13-N13</f>
        <v/>
      </c>
      <c r="P13" s="390" t="n"/>
    </row>
    <row r="14" ht="20.1" customFormat="1" customHeight="1" s="11">
      <c r="A14" s="97" t="inlineStr">
        <is>
          <t>应付退货款</t>
        </is>
      </c>
      <c r="B14" s="390" t="n"/>
      <c r="C14" s="390" t="n"/>
      <c r="D14" s="390" t="n"/>
      <c r="E14" s="391">
        <f>B14+C14-D14</f>
        <v/>
      </c>
      <c r="F14" s="390" t="n"/>
      <c r="G14" s="390" t="n"/>
      <c r="H14" s="390" t="n"/>
      <c r="I14" s="390" t="n"/>
      <c r="J14" s="390" t="n"/>
      <c r="K14" s="390" t="n"/>
      <c r="L14" s="355">
        <f>B14+F14+G14</f>
        <v/>
      </c>
      <c r="M14" s="355">
        <f>C14+H14+J14</f>
        <v/>
      </c>
      <c r="N14" s="355">
        <f>D14+I14+K14</f>
        <v/>
      </c>
      <c r="O14" s="355">
        <f>L14+M14-N14</f>
        <v/>
      </c>
      <c r="P14" s="390" t="n"/>
    </row>
    <row r="15" ht="20.1" customFormat="1" customHeight="1" s="12">
      <c r="A15" s="74" t="n"/>
      <c r="B15" s="390" t="n"/>
      <c r="C15" s="390" t="n"/>
      <c r="D15" s="390" t="n"/>
      <c r="E15" s="391">
        <f>B15+C15-D15</f>
        <v/>
      </c>
      <c r="F15" s="390" t="n"/>
      <c r="G15" s="390" t="n"/>
      <c r="H15" s="390" t="n"/>
      <c r="I15" s="390" t="n"/>
      <c r="J15" s="390" t="n"/>
      <c r="K15" s="390" t="n"/>
      <c r="L15" s="355">
        <f>B15+F15+G15</f>
        <v/>
      </c>
      <c r="M15" s="355">
        <f>C15+H15+J15</f>
        <v/>
      </c>
      <c r="N15" s="355">
        <f>D15+I15+K15</f>
        <v/>
      </c>
      <c r="O15" s="355">
        <f>L15+M15-N15</f>
        <v/>
      </c>
      <c r="P15" s="390" t="n"/>
    </row>
    <row r="16" ht="20.1" customFormat="1" customHeight="1" s="12">
      <c r="A16" s="234" t="inlineStr">
        <is>
          <t>合计</t>
        </is>
      </c>
      <c r="B16" s="391">
        <f>SUM(B11:B15)</f>
        <v/>
      </c>
      <c r="C16" s="391">
        <f>SUM(C11:C15)</f>
        <v/>
      </c>
      <c r="D16" s="391">
        <f>SUM(D11:D15)</f>
        <v/>
      </c>
      <c r="E16" s="391">
        <f>SUM(E11:E15)</f>
        <v/>
      </c>
      <c r="F16" s="391">
        <f>SUM(F11:F15)</f>
        <v/>
      </c>
      <c r="G16" s="391">
        <f>SUM(G11:G15)</f>
        <v/>
      </c>
      <c r="H16" s="391">
        <f>SUM(H11:H15)</f>
        <v/>
      </c>
      <c r="I16" s="391">
        <f>SUM(I11:I15)</f>
        <v/>
      </c>
      <c r="J16" s="391">
        <f>SUM(J11:J15)</f>
        <v/>
      </c>
      <c r="K16" s="391">
        <f>SUM(K11:K15)</f>
        <v/>
      </c>
      <c r="L16" s="391">
        <f>SUM(L11:L15)</f>
        <v/>
      </c>
      <c r="M16" s="391">
        <f>SUM(M11:M15)</f>
        <v/>
      </c>
      <c r="N16" s="391">
        <f>SUM(N11:N15)</f>
        <v/>
      </c>
      <c r="O16" s="391">
        <f>SUM(O11:O15)</f>
        <v/>
      </c>
      <c r="P16" s="392" t="n"/>
    </row>
    <row r="17" ht="20.1" customFormat="1" customHeight="1" s="11">
      <c r="A17" s="75" t="inlineStr">
        <is>
          <t>三、审计说明：</t>
        </is>
      </c>
      <c r="B17" s="13" t="n"/>
      <c r="C17" s="13" t="n"/>
      <c r="D17" s="13" t="n"/>
      <c r="E17" s="13" t="n"/>
      <c r="F17" s="13" t="n"/>
      <c r="G17" s="13" t="n"/>
      <c r="H17" s="13" t="n"/>
      <c r="I17" s="13" t="n"/>
      <c r="J17" s="59" t="n"/>
      <c r="K17" s="59" t="n"/>
      <c r="L17" s="59" t="n"/>
      <c r="M17" s="59" t="n"/>
      <c r="N17" s="59" t="n"/>
      <c r="O17" s="59" t="n"/>
      <c r="P17" s="59" t="n"/>
    </row>
    <row r="18" ht="20.1" customFormat="1" customHeight="1" s="11">
      <c r="A18" s="75" t="n"/>
      <c r="B18" s="149" t="n"/>
      <c r="C18" s="149" t="n"/>
      <c r="D18" s="149" t="n"/>
      <c r="E18" s="149" t="n"/>
      <c r="F18" s="149" t="n"/>
      <c r="G18" s="149" t="n"/>
      <c r="H18" s="149" t="n"/>
      <c r="I18" s="149" t="n"/>
    </row>
    <row r="19" ht="20.1" customFormat="1" customHeight="1" s="11">
      <c r="A19" s="75" t="n"/>
      <c r="B19" s="149" t="n"/>
      <c r="C19" s="149" t="n"/>
      <c r="D19" s="149" t="n"/>
      <c r="E19" s="149" t="n"/>
      <c r="F19" s="149" t="n"/>
      <c r="G19" s="149" t="n"/>
      <c r="H19" s="149" t="n"/>
      <c r="I19" s="149" t="n"/>
    </row>
    <row r="20" ht="20.1" customFormat="1" customHeight="1" s="11">
      <c r="A20" s="75" t="inlineStr">
        <is>
          <t>四、审计结论：</t>
        </is>
      </c>
      <c r="B20" s="149" t="n"/>
      <c r="C20" s="149" t="n"/>
      <c r="D20" s="149" t="n"/>
      <c r="E20" s="149" t="n"/>
      <c r="F20" s="149" t="n"/>
      <c r="G20" s="149" t="n"/>
      <c r="H20" s="149" t="n"/>
      <c r="I20" s="149" t="n"/>
    </row>
    <row r="21" ht="20.1" customFormat="1" customHeight="1" s="11">
      <c r="A21" s="24" t="n"/>
      <c r="B21" s="149" t="n"/>
      <c r="C21" s="149" t="n"/>
      <c r="D21" s="149" t="n"/>
      <c r="E21" s="149" t="n"/>
      <c r="F21" s="149" t="n"/>
      <c r="G21" s="149" t="n"/>
      <c r="H21" s="149" t="n"/>
      <c r="I21" s="149" t="n"/>
    </row>
    <row r="22" ht="20.1" customFormat="1" customHeight="1" s="11">
      <c r="A22" s="149" t="n"/>
      <c r="B22" s="149" t="n"/>
      <c r="C22" s="149" t="n"/>
      <c r="D22" s="149" t="n"/>
      <c r="E22" s="149" t="n"/>
      <c r="F22" s="149" t="n"/>
      <c r="G22" s="149" t="n"/>
      <c r="H22" s="149" t="n"/>
      <c r="I22" s="149" t="n"/>
    </row>
    <row r="23" ht="18" customFormat="1" customHeight="1" s="11"/>
    <row r="24" ht="18" customFormat="1" customHeight="1" s="11">
      <c r="A24" s="218" t="inlineStr">
        <is>
          <t>编制说明：</t>
        </is>
      </c>
      <c r="B24" s="219" t="n"/>
      <c r="C24" s="219" t="n"/>
      <c r="D24" s="219" t="n"/>
      <c r="E24" s="219" t="n"/>
      <c r="F24" s="219" t="n"/>
      <c r="G24" s="219" t="n"/>
      <c r="H24" s="219" t="n"/>
      <c r="I24" s="219" t="n"/>
    </row>
    <row r="25" ht="15" customFormat="1" customHeight="1" s="11">
      <c r="A25" s="218" t="inlineStr">
        <is>
          <t>财会〔2018〕15号：预计负债”科目下的“应付退货款”明细科目，在一年或一个正常营业周期内清偿的项目在其他流动负债反映。</t>
        </is>
      </c>
      <c r="B25" s="219" t="n"/>
      <c r="C25" s="219" t="n"/>
      <c r="D25" s="219" t="n"/>
      <c r="E25" s="219" t="n"/>
      <c r="F25" s="219" t="n"/>
      <c r="G25" s="219" t="n"/>
      <c r="H25" s="219" t="n"/>
      <c r="I25" s="219" t="n"/>
    </row>
    <row r="26" ht="15" customFormat="1" customHeight="1" s="11"/>
    <row r="27" ht="15" customFormat="1" customHeight="1" s="11"/>
    <row r="28" ht="15" customFormat="1" customHeight="1" s="11"/>
    <row r="29" ht="15" customFormat="1" customHeight="1" s="11"/>
  </sheetData>
  <mergeCells count="9">
    <mergeCell ref="B9:E9"/>
    <mergeCell ref="L9:O9"/>
    <mergeCell ref="A1:P1"/>
    <mergeCell ref="P9:P10"/>
    <mergeCell ref="A9:A10"/>
    <mergeCell ref="J9:K9"/>
    <mergeCell ref="H9:I9"/>
    <mergeCell ref="F9:G9"/>
    <mergeCell ref="A2:P2"/>
  </mergeCells>
  <hyperlinks>
    <hyperlink ref="P3" location="底稿目录!A1" display="底稿目录!A1"/>
  </hyperlinks>
  <printOptions horizontalCentered="1"/>
  <pageMargins left="0.7480314960629921" right="0.5511811023622047" top="0.984251968503937" bottom="0.2362204724409449" header="0.5118110236220472" footer="0.1968503937007874"/>
  <pageSetup orientation="landscape" paperSize="9" scale="79" fitToHeight="100" blackAndWhite="1" cellComments="atEnd"/>
  <headerFooter alignWithMargins="0">
    <oddHeader/>
    <oddFooter>&amp;C&amp;P/&amp;N</oddFooter>
    <evenHeader/>
    <evenFooter/>
    <firstHeader/>
    <firstFooter/>
  </headerFooter>
  <rowBreaks count="1" manualBreakCount="1">
    <brk id="21" min="0" max="15" man="1"/>
  </rowBreaks>
</worksheet>
</file>

<file path=xl/worksheets/sheet7.xml><?xml version="1.0" encoding="utf-8"?>
<worksheet xmlns="http://schemas.openxmlformats.org/spreadsheetml/2006/main">
  <sheetPr codeName="Sheet7">
    <outlinePr summaryBelow="1" summaryRight="1"/>
    <pageSetUpPr/>
  </sheetPr>
  <dimension ref="A1:J21"/>
  <sheetViews>
    <sheetView view="pageBreakPreview" zoomScaleNormal="100" zoomScaleSheetLayoutView="100" workbookViewId="0">
      <selection activeCell="A1" sqref="A1:J1"/>
    </sheetView>
  </sheetViews>
  <sheetFormatPr baseColWidth="8" defaultColWidth="8.88671875" defaultRowHeight="15.6"/>
  <cols>
    <col width="23" customWidth="1" style="89" min="1" max="1"/>
    <col width="23.5546875" customWidth="1" style="89" min="2" max="2"/>
    <col width="12.109375" customWidth="1" style="89" min="3" max="3"/>
    <col width="14.5546875" customWidth="1" style="89" min="4" max="4"/>
    <col width="19.109375" customWidth="1" style="89" min="5" max="5"/>
    <col width="12" customWidth="1" style="89" min="6" max="6"/>
    <col width="8.88671875" customWidth="1" style="89" min="7" max="9"/>
    <col width="16.88671875" customWidth="1" style="89" min="10" max="10"/>
    <col width="8.88671875" customWidth="1" style="89" min="11" max="16384"/>
  </cols>
  <sheetData>
    <row r="1" ht="19.95" customHeight="1" s="333">
      <c r="A1" s="393" t="inlineStr">
        <is>
          <t>致同会计师事务所</t>
        </is>
      </c>
    </row>
    <row r="2" ht="19.95" customHeight="1" s="333">
      <c r="A2" s="346" t="inlineStr">
        <is>
          <t>其他流动负债调整分录汇总表</t>
        </is>
      </c>
    </row>
    <row r="3" ht="19.95" customHeight="1" s="333">
      <c r="A3" s="343">
        <f>底稿目录!A2</f>
        <v/>
      </c>
      <c r="C3" s="343">
        <f>底稿目录!A4</f>
        <v/>
      </c>
      <c r="E3" s="343" t="n"/>
      <c r="F3" s="343">
        <f>底稿目录!A5</f>
        <v/>
      </c>
      <c r="G3" s="343" t="n"/>
      <c r="H3" s="394" t="n"/>
      <c r="I3" s="91" t="inlineStr">
        <is>
          <t>索引号：</t>
        </is>
      </c>
      <c r="J3" s="349">
        <f>底稿目录!D10</f>
        <v/>
      </c>
    </row>
    <row r="4" ht="19.95" customHeight="1" s="333">
      <c r="A4" s="343">
        <f>底稿目录!A3</f>
        <v/>
      </c>
      <c r="C4" s="343">
        <f>底稿目录!A6</f>
        <v/>
      </c>
      <c r="E4" s="343" t="n"/>
      <c r="F4" s="343">
        <f>底稿目录!A7</f>
        <v/>
      </c>
      <c r="G4" s="343" t="n"/>
      <c r="H4" s="343" t="n"/>
      <c r="I4" s="91" t="inlineStr">
        <is>
          <t>页次：</t>
        </is>
      </c>
      <c r="J4" s="395" t="n"/>
    </row>
    <row r="5" ht="28.8" customHeight="1" s="333">
      <c r="A5" s="93" t="inlineStr">
        <is>
          <t>调整事项说明</t>
        </is>
      </c>
      <c r="B5" s="146" t="inlineStr">
        <is>
          <t>类别（报表调整/账项调整/其他）</t>
        </is>
      </c>
      <c r="C5" s="396" t="inlineStr">
        <is>
          <t>报表项目</t>
        </is>
      </c>
      <c r="D5" s="396" t="inlineStr">
        <is>
          <t>科目名称</t>
        </is>
      </c>
      <c r="E5" s="396" t="inlineStr">
        <is>
          <t>附注项目</t>
        </is>
      </c>
      <c r="F5" s="397" t="inlineStr">
        <is>
          <t>……</t>
        </is>
      </c>
      <c r="G5" s="396" t="inlineStr">
        <is>
          <t>借方调整金额</t>
        </is>
      </c>
      <c r="H5" s="396" t="inlineStr">
        <is>
          <t>贷方调整金额</t>
        </is>
      </c>
      <c r="I5" s="396" t="inlineStr">
        <is>
          <t>索引</t>
        </is>
      </c>
      <c r="J5" s="396" t="inlineStr">
        <is>
          <t>备注</t>
        </is>
      </c>
    </row>
    <row r="6" ht="19.95" customHeight="1" s="333">
      <c r="A6" s="398" t="n"/>
      <c r="B6" s="398" t="n"/>
      <c r="C6" s="171" t="n"/>
      <c r="D6" s="398" t="n"/>
      <c r="E6" s="398" t="n"/>
      <c r="F6" s="398" t="n"/>
      <c r="G6" s="399" t="n"/>
      <c r="H6" s="399" t="n"/>
      <c r="I6" s="400" t="n"/>
      <c r="J6" s="398" t="n"/>
    </row>
    <row r="7" ht="19.95" customHeight="1" s="333">
      <c r="A7" s="398" t="n"/>
      <c r="B7" s="398" t="n"/>
      <c r="C7" s="171" t="n"/>
      <c r="D7" s="398" t="n"/>
      <c r="E7" s="398" t="n"/>
      <c r="F7" s="398" t="n"/>
      <c r="G7" s="399" t="n"/>
      <c r="H7" s="399" t="n"/>
      <c r="I7" s="400" t="n"/>
      <c r="J7" s="398" t="n"/>
    </row>
    <row r="8" ht="19.95" customHeight="1" s="333">
      <c r="A8" s="398" t="n"/>
      <c r="B8" s="398" t="n"/>
      <c r="C8" s="171" t="n"/>
      <c r="D8" s="398" t="n"/>
      <c r="E8" s="398" t="n"/>
      <c r="F8" s="398" t="n"/>
      <c r="G8" s="399" t="n"/>
      <c r="H8" s="399" t="n"/>
      <c r="I8" s="400" t="n"/>
      <c r="J8" s="398" t="n"/>
    </row>
    <row r="9" ht="19.95" customHeight="1" s="333">
      <c r="A9" s="398" t="n"/>
      <c r="B9" s="398" t="n"/>
      <c r="C9" s="171" t="n"/>
      <c r="D9" s="398" t="n"/>
      <c r="E9" s="398" t="n"/>
      <c r="F9" s="398" t="n"/>
      <c r="G9" s="399" t="n"/>
      <c r="H9" s="399" t="n"/>
      <c r="I9" s="400" t="n"/>
      <c r="J9" s="398" t="n"/>
    </row>
    <row r="10" ht="19.95" customHeight="1" s="333">
      <c r="A10" s="398" t="n"/>
      <c r="B10" s="398" t="n"/>
      <c r="C10" s="171" t="n"/>
      <c r="D10" s="398" t="n"/>
      <c r="E10" s="398" t="n"/>
      <c r="F10" s="398" t="n"/>
      <c r="G10" s="399" t="n"/>
      <c r="H10" s="399" t="n"/>
      <c r="I10" s="400" t="n"/>
      <c r="J10" s="398" t="n"/>
    </row>
    <row r="11" ht="19.95" customHeight="1" s="333">
      <c r="A11" s="398" t="n"/>
      <c r="B11" s="398" t="n"/>
      <c r="C11" s="171" t="n"/>
      <c r="D11" s="398" t="n"/>
      <c r="E11" s="398" t="n"/>
      <c r="F11" s="398" t="n"/>
      <c r="G11" s="399" t="n"/>
      <c r="H11" s="399" t="n"/>
      <c r="I11" s="400" t="n"/>
      <c r="J11" s="398" t="n"/>
    </row>
    <row r="12" ht="19.95" customHeight="1" s="333">
      <c r="A12" s="398" t="n"/>
      <c r="B12" s="398" t="n"/>
      <c r="C12" s="171" t="n"/>
      <c r="D12" s="398" t="n"/>
      <c r="E12" s="398" t="n"/>
      <c r="F12" s="398" t="n"/>
      <c r="G12" s="399" t="n"/>
      <c r="H12" s="399" t="n"/>
      <c r="I12" s="400" t="n"/>
      <c r="J12" s="398" t="n"/>
    </row>
    <row r="13" ht="19.95" customHeight="1" s="333">
      <c r="A13" s="398" t="n"/>
      <c r="B13" s="398" t="n"/>
      <c r="C13" s="171" t="n"/>
      <c r="D13" s="398" t="n"/>
      <c r="E13" s="398" t="n"/>
      <c r="F13" s="398" t="n"/>
      <c r="G13" s="399" t="n"/>
      <c r="H13" s="399" t="n"/>
      <c r="I13" s="400" t="n"/>
      <c r="J13" s="398" t="n"/>
    </row>
    <row r="14" ht="19.95" customHeight="1" s="333">
      <c r="A14" s="398" t="n"/>
      <c r="B14" s="398" t="n"/>
      <c r="C14" s="171" t="n"/>
      <c r="D14" s="398" t="n"/>
      <c r="E14" s="398" t="n"/>
      <c r="F14" s="398" t="n"/>
      <c r="G14" s="399" t="n"/>
      <c r="H14" s="399" t="n"/>
      <c r="I14" s="400" t="n"/>
      <c r="J14" s="398" t="n"/>
    </row>
    <row r="15" ht="19.95" customHeight="1" s="333">
      <c r="A15" s="398" t="n"/>
      <c r="B15" s="398" t="n"/>
      <c r="C15" s="171" t="n"/>
      <c r="D15" s="398" t="n"/>
      <c r="E15" s="398" t="n"/>
      <c r="F15" s="398" t="n"/>
      <c r="G15" s="399" t="n"/>
      <c r="H15" s="399" t="n"/>
      <c r="I15" s="400" t="n"/>
      <c r="J15" s="398" t="n"/>
    </row>
    <row r="16" ht="19.95" customHeight="1" s="333">
      <c r="A16" s="398" t="n"/>
      <c r="B16" s="398" t="n"/>
      <c r="C16" s="171" t="n"/>
      <c r="D16" s="398" t="n"/>
      <c r="E16" s="398" t="n"/>
      <c r="F16" s="398" t="n"/>
      <c r="G16" s="399" t="n"/>
      <c r="H16" s="399" t="n"/>
      <c r="I16" s="400" t="n"/>
      <c r="J16" s="398" t="n"/>
    </row>
    <row r="17" ht="19.95" customHeight="1" s="333">
      <c r="A17" s="398" t="n"/>
      <c r="B17" s="398" t="n"/>
      <c r="C17" s="171" t="n"/>
      <c r="D17" s="398" t="n"/>
      <c r="E17" s="398" t="n"/>
      <c r="F17" s="398" t="n"/>
      <c r="G17" s="399" t="n"/>
      <c r="H17" s="399" t="n"/>
      <c r="I17" s="400" t="n"/>
      <c r="J17" s="398" t="n"/>
    </row>
    <row r="18" ht="19.95" customHeight="1" s="333">
      <c r="A18" s="398" t="n"/>
      <c r="B18" s="398" t="n"/>
      <c r="C18" s="171" t="n"/>
      <c r="D18" s="398" t="n"/>
      <c r="E18" s="398" t="n"/>
      <c r="F18" s="398" t="n"/>
      <c r="G18" s="399" t="n"/>
      <c r="H18" s="399" t="n"/>
      <c r="I18" s="400" t="n"/>
      <c r="J18" s="398" t="n"/>
    </row>
    <row r="19" ht="19.95" customHeight="1" s="333">
      <c r="A19" s="398" t="n"/>
      <c r="B19" s="398" t="n"/>
      <c r="C19" s="171" t="n"/>
      <c r="D19" s="398" t="n"/>
      <c r="E19" s="398" t="n"/>
      <c r="F19" s="398" t="n"/>
      <c r="G19" s="399" t="n"/>
      <c r="H19" s="399" t="n"/>
      <c r="I19" s="400" t="n"/>
      <c r="J19" s="398" t="n"/>
    </row>
    <row r="20" ht="19.95" customHeight="1" s="333">
      <c r="A20" s="398" t="n"/>
      <c r="B20" s="398" t="n"/>
      <c r="C20" s="171" t="n"/>
      <c r="D20" s="398" t="n"/>
      <c r="E20" s="398" t="n"/>
      <c r="F20" s="398" t="n"/>
      <c r="G20" s="399" t="n"/>
      <c r="H20" s="399" t="n"/>
      <c r="I20" s="400" t="n"/>
      <c r="J20" s="398" t="n"/>
    </row>
    <row r="21" ht="37.2" customHeight="1" s="333">
      <c r="A21" s="317" t="inlineStr">
        <is>
          <t>提示：本底稿适用于调整分录较多、较复杂的项目，且仅列示与本报表项目相关的审计调整。项目组可根据项目实际情况选择是否使用该底稿。</t>
        </is>
      </c>
      <c r="B21" s="71" t="n"/>
      <c r="C21" s="71" t="n"/>
      <c r="D21" s="71" t="n"/>
      <c r="E21" s="71" t="n"/>
      <c r="F21" s="71" t="n"/>
      <c r="G21" s="71" t="n"/>
      <c r="H21" s="71" t="n"/>
      <c r="I21" s="71" t="n"/>
      <c r="J21" s="71" t="n"/>
    </row>
  </sheetData>
  <mergeCells count="3">
    <mergeCell ref="A1:J1"/>
    <mergeCell ref="A2:J2"/>
    <mergeCell ref="A21:J21"/>
  </mergeCells>
  <dataValidations count="1">
    <dataValidation sqref="B6:B20" showDropDown="0" showInputMessage="1" showErrorMessage="1" allowBlank="1" type="list">
      <formula1>"账项调整,报表调整,其他"</formula1>
    </dataValidation>
  </dataValidations>
  <hyperlinks>
    <hyperlink ref="J3" location="底稿目录!A1" display="底稿目录!A1"/>
  </hyperlinks>
  <pageMargins left="0.7086614173228347" right="0.7086614173228347" top="0.7480314960629921" bottom="0.7480314960629921" header="0.3149606299212598" footer="0.3149606299212598"/>
  <pageSetup orientation="landscape" paperSize="9" scale="95" blackAndWhite="1"/>
  <headerFooter>
    <oddHeader/>
    <oddFooter>&amp;C&amp;P/&amp;N</oddFooter>
    <evenHeader/>
    <evenFooter/>
    <firstHeader/>
    <firstFooter/>
  </headerFooter>
</worksheet>
</file>

<file path=xl/worksheets/sheet8.xml><?xml version="1.0" encoding="utf-8"?>
<worksheet xmlns="http://schemas.openxmlformats.org/spreadsheetml/2006/main">
  <sheetPr codeName="Sheet8">
    <outlinePr summaryBelow="1" summaryRight="1"/>
    <pageSetUpPr/>
  </sheetPr>
  <dimension ref="A1:Q46"/>
  <sheetViews>
    <sheetView view="pageBreakPreview" zoomScaleSheetLayoutView="100" workbookViewId="0">
      <selection activeCell="Q3" sqref="Q3"/>
    </sheetView>
  </sheetViews>
  <sheetFormatPr baseColWidth="8" defaultColWidth="9.109375" defaultRowHeight="15.6"/>
  <cols>
    <col width="12.44140625" customWidth="1" style="27" min="1" max="1"/>
    <col width="9.33203125" customWidth="1" style="27" min="2" max="2"/>
    <col width="9.77734375" customWidth="1" style="27" min="3" max="3"/>
    <col width="23.77734375" customWidth="1" style="27" min="4" max="4"/>
    <col width="12.6640625" customWidth="1" style="27" min="5" max="5"/>
    <col width="19.109375" customWidth="1" style="27" min="6" max="6"/>
    <col width="11.88671875" customWidth="1" style="27" min="7" max="7"/>
    <col width="13.21875" customWidth="1" style="27" min="8" max="8"/>
    <col width="26.109375" customWidth="1" style="27" min="9" max="9"/>
    <col width="4.6640625" customWidth="1" style="27" min="10" max="14"/>
    <col width="9.5546875" customWidth="1" style="27" min="15" max="15"/>
    <col width="8" customWidth="1" style="27" min="16" max="16"/>
    <col width="16.44140625" customWidth="1" style="27" min="17" max="17"/>
    <col width="9.109375" customWidth="1" style="27" min="18" max="16384"/>
  </cols>
  <sheetData>
    <row r="1" ht="19.95" customFormat="1" customHeight="1" s="15">
      <c r="A1" s="319" t="inlineStr">
        <is>
          <t>致同会计师事务所</t>
        </is>
      </c>
      <c r="B1" s="71" t="n"/>
      <c r="C1" s="71" t="n"/>
      <c r="D1" s="71" t="n"/>
      <c r="E1" s="71" t="n"/>
      <c r="F1" s="71" t="n"/>
      <c r="G1" s="71" t="n"/>
      <c r="H1" s="71" t="n"/>
      <c r="I1" s="71" t="n"/>
      <c r="J1" s="71" t="n"/>
      <c r="K1" s="71" t="n"/>
      <c r="L1" s="71" t="n"/>
      <c r="M1" s="71" t="n"/>
      <c r="N1" s="71" t="n"/>
      <c r="O1" s="71" t="n"/>
      <c r="P1" s="71" t="n"/>
      <c r="Q1" s="71" t="n"/>
    </row>
    <row r="2" ht="19.95" customFormat="1" customHeight="1" s="15">
      <c r="A2" s="320" t="inlineStr">
        <is>
          <t>其他流动负债检查表</t>
        </is>
      </c>
      <c r="B2" s="71" t="n"/>
      <c r="C2" s="71" t="n"/>
      <c r="D2" s="71" t="n"/>
      <c r="E2" s="71" t="n"/>
      <c r="F2" s="71" t="n"/>
      <c r="G2" s="71" t="n"/>
      <c r="H2" s="71" t="n"/>
      <c r="I2" s="71" t="n"/>
      <c r="J2" s="71" t="n"/>
      <c r="K2" s="71" t="n"/>
      <c r="L2" s="71" t="n"/>
      <c r="M2" s="71" t="n"/>
      <c r="N2" s="71" t="n"/>
      <c r="O2" s="71" t="n"/>
      <c r="P2" s="71" t="n"/>
      <c r="Q2" s="71" t="n"/>
    </row>
    <row r="3" ht="19.95" customFormat="1" customHeight="1" s="149">
      <c r="A3" s="343">
        <f>底稿目录!A2</f>
        <v/>
      </c>
      <c r="B3" s="343" t="n"/>
      <c r="E3" s="347">
        <f>底稿目录!A4</f>
        <v/>
      </c>
      <c r="I3" s="343">
        <f>底稿目录!A5</f>
        <v/>
      </c>
      <c r="P3" s="343" t="inlineStr">
        <is>
          <t>索引号：</t>
        </is>
      </c>
      <c r="Q3" s="349">
        <f>底稿目录!D11</f>
        <v/>
      </c>
    </row>
    <row r="4" ht="19.95" customFormat="1" customHeight="1" s="149">
      <c r="A4" s="343">
        <f>底稿目录!A3</f>
        <v/>
      </c>
      <c r="B4" s="70" t="n"/>
      <c r="E4" s="347">
        <f>底稿目录!A6</f>
        <v/>
      </c>
      <c r="I4" s="343">
        <f>底稿目录!A7</f>
        <v/>
      </c>
      <c r="P4" s="343" t="inlineStr">
        <is>
          <t>页次：</t>
        </is>
      </c>
      <c r="Q4" s="343" t="n"/>
    </row>
    <row r="5" ht="19.95" customFormat="1" customHeight="1" s="18">
      <c r="A5" s="401" t="inlineStr">
        <is>
          <t>一、审计目标：</t>
        </is>
      </c>
      <c r="B5" s="402" t="n"/>
      <c r="C5" s="402" t="n"/>
      <c r="D5" s="402" t="n"/>
      <c r="E5" s="402" t="n"/>
      <c r="F5" s="402" t="n"/>
      <c r="G5" s="402" t="n"/>
      <c r="H5" s="402" t="n"/>
      <c r="I5" s="402" t="n"/>
      <c r="J5" s="402" t="n"/>
      <c r="K5" s="402" t="n"/>
      <c r="L5" s="402" t="n"/>
      <c r="M5" s="402" t="n"/>
    </row>
    <row r="6" ht="19.95" customFormat="1" customHeight="1" s="18">
      <c r="A6" s="403" t="inlineStr">
        <is>
          <t>1.资产负债表中记录的其他流动负债是存在的，且已经记录在恰当的账户中；</t>
        </is>
      </c>
      <c r="B6" s="404" t="n"/>
      <c r="C6" s="404" t="n"/>
      <c r="D6" s="404" t="n"/>
      <c r="F6" s="403" t="inlineStr">
        <is>
          <t>2.记录的其他流动负债是被审计单位应当履行的偿还义务；</t>
        </is>
      </c>
      <c r="G6" s="404" t="n"/>
      <c r="I6" s="403" t="n"/>
      <c r="K6" s="404" t="n"/>
      <c r="L6" s="404" t="n"/>
      <c r="M6" s="404" t="n"/>
    </row>
    <row r="7" ht="19.95" customFormat="1" customHeight="1" s="18">
      <c r="A7" s="403" t="inlineStr">
        <is>
          <t>3.其他流动负债以恰当的金额包括在财务报表中，与之相关的计价或分摊调整已恰当记录，相关披露已得到恰当计量和描述。</t>
        </is>
      </c>
      <c r="B7" s="404" t="n"/>
      <c r="C7" s="404" t="n"/>
      <c r="D7" s="404" t="n"/>
      <c r="E7" s="403" t="n"/>
      <c r="G7" s="404" t="n"/>
      <c r="I7" s="403" t="n"/>
      <c r="K7" s="404" t="n"/>
      <c r="L7" s="404" t="n"/>
      <c r="M7" s="404" t="n"/>
    </row>
    <row r="8" ht="19.95" customFormat="1" customHeight="1" s="18">
      <c r="A8" s="17" t="inlineStr">
        <is>
          <t>二、样本选取标准与规模：</t>
        </is>
      </c>
      <c r="B8" s="17" t="n"/>
      <c r="C8" s="17" t="n"/>
      <c r="D8" s="17" t="n"/>
      <c r="E8" s="17" t="n"/>
      <c r="G8" s="17" t="n"/>
      <c r="H8" s="17" t="n"/>
      <c r="I8" s="17" t="n"/>
      <c r="J8" s="17" t="n"/>
    </row>
    <row r="9" ht="19.95" customFormat="1" customHeight="1" s="18">
      <c r="A9" s="405" t="inlineStr">
        <is>
          <t>测试总体：</t>
        </is>
      </c>
      <c r="B9" s="406" t="inlineStr">
        <is>
          <t>如借方发生额所有凭证共XX笔金额XX、贷方发生额所有凭证共XX笔金额XX</t>
        </is>
      </c>
      <c r="C9" s="71" t="n"/>
      <c r="D9" s="71" t="n"/>
      <c r="E9" s="71" t="n"/>
      <c r="G9" s="405" t="inlineStr">
        <is>
          <t>特定样本：</t>
        </is>
      </c>
      <c r="H9" s="406" t="inlineStr">
        <is>
          <t>XX金额以上（大额）、关联方/关联交易形成的款项、XX异常款项全部测试，共XX笔；</t>
        </is>
      </c>
      <c r="I9" s="71" t="n"/>
      <c r="L9" s="407" t="n"/>
      <c r="M9" s="407" t="n"/>
      <c r="N9" s="407" t="n"/>
    </row>
    <row r="10" ht="19.95" customFormat="1" customHeight="1" s="18">
      <c r="A10" s="405" t="inlineStr">
        <is>
          <t>抽样总体：</t>
        </is>
      </c>
      <c r="B10" s="406" t="inlineStr">
        <is>
          <t>测试总体扣除特定样本以外的样本，共XX笔、金额XX</t>
        </is>
      </c>
      <c r="C10" s="71" t="n"/>
      <c r="D10" s="71" t="n"/>
      <c r="E10" s="71" t="n"/>
      <c r="G10" s="405" t="inlineStr">
        <is>
          <t>确定的抽样样本量：</t>
        </is>
      </c>
      <c r="I10" s="406" t="inlineStr">
        <is>
          <t>抽取XX笔（如果使用了样本计算器计算样本量，样本量计算过程见&lt;XX&gt;底稿）</t>
        </is>
      </c>
      <c r="J10" s="406" t="n"/>
      <c r="L10" s="407" t="n"/>
      <c r="M10" s="405" t="n"/>
      <c r="N10" s="408" t="n"/>
    </row>
    <row r="11" ht="19.95" customFormat="1" customHeight="1" s="18">
      <c r="A11" s="405" t="inlineStr">
        <is>
          <t>抽样方法：</t>
        </is>
      </c>
      <c r="B11" s="251" t="inlineStr">
        <is>
          <t>随机选样/系统选样/货币单元抽样/随意选样（非统计抽样适用）</t>
        </is>
      </c>
      <c r="C11" s="71" t="n"/>
      <c r="D11" s="71" t="n"/>
      <c r="E11" s="71" t="n"/>
      <c r="G11" s="405" t="inlineStr">
        <is>
          <t>抽样过程：</t>
        </is>
      </c>
      <c r="H11" s="406" t="inlineStr">
        <is>
          <t>使用IDEA（XX抽样工具）选择XX数量、金额XX的样本进行测试，抽样工具中的样本选择过程和结果见&lt;XX&gt;底稿</t>
        </is>
      </c>
      <c r="I11" s="71" t="n"/>
      <c r="K11" s="407" t="inlineStr">
        <is>
          <t xml:space="preserve"> </t>
        </is>
      </c>
      <c r="L11" s="407" t="n"/>
      <c r="M11" s="405" t="n"/>
      <c r="N11" s="408" t="n"/>
    </row>
    <row r="12" ht="19.95" customFormat="1" customHeight="1" s="187">
      <c r="A12" s="60" t="inlineStr">
        <is>
          <t>三、测试：</t>
        </is>
      </c>
      <c r="B12" s="19" t="n"/>
      <c r="C12" s="19" t="n"/>
      <c r="D12" s="20" t="n"/>
      <c r="E12" s="21" t="n"/>
      <c r="G12" s="18" t="n"/>
      <c r="H12" s="18" t="n"/>
      <c r="I12" s="18" t="n"/>
      <c r="J12" s="18" t="n"/>
      <c r="K12" s="18" t="n"/>
      <c r="L12" s="18" t="n"/>
      <c r="M12" s="18" t="n"/>
      <c r="N12" s="18" t="n"/>
      <c r="O12" s="18" t="n"/>
    </row>
    <row r="13" ht="19.95" customFormat="1" customHeight="1" s="187">
      <c r="A13" s="223" t="inlineStr">
        <is>
          <t>测试内容说明：1.原始凭证是否齐全； 2.记账凭证与原始凭证是否相符；3.账务处理是否正确；4.是否记录于恰当的会计期间；5.……</t>
        </is>
      </c>
      <c r="B13" s="19" t="n"/>
      <c r="C13" s="19" t="n"/>
      <c r="D13" s="20" t="n"/>
      <c r="E13" s="21" t="n"/>
      <c r="G13" s="18" t="n"/>
      <c r="H13" s="18" t="n"/>
      <c r="I13" s="18" t="n"/>
      <c r="J13" s="18" t="n"/>
      <c r="K13" s="18" t="n"/>
      <c r="L13" s="18" t="n"/>
      <c r="M13" s="18" t="n"/>
      <c r="N13" s="18" t="n"/>
      <c r="O13" s="18" t="n"/>
    </row>
    <row r="14" ht="19.95" customFormat="1" customHeight="1" s="149">
      <c r="A14" s="409" t="inlineStr">
        <is>
          <t>明细项目</t>
        </is>
      </c>
      <c r="B14" s="327" t="inlineStr">
        <is>
          <t>记账凭证</t>
        </is>
      </c>
      <c r="C14" s="334" t="n"/>
      <c r="D14" s="334" t="n"/>
      <c r="E14" s="334" t="n"/>
      <c r="F14" s="334" t="n"/>
      <c r="G14" s="334" t="n"/>
      <c r="H14" s="335" t="n"/>
      <c r="I14" s="410" t="inlineStr">
        <is>
          <t>支持性文件</t>
        </is>
      </c>
      <c r="J14" s="330" t="inlineStr">
        <is>
          <t>核对内容</t>
        </is>
      </c>
      <c r="K14" s="334" t="n"/>
      <c r="L14" s="334" t="n"/>
      <c r="M14" s="334" t="n"/>
      <c r="N14" s="334" t="n"/>
      <c r="O14" s="332" t="inlineStr">
        <is>
          <t>索引号</t>
        </is>
      </c>
      <c r="P14" s="332" t="inlineStr">
        <is>
          <t>是否异常</t>
        </is>
      </c>
      <c r="Q14" s="411" t="inlineStr">
        <is>
          <t>备注说明</t>
        </is>
      </c>
    </row>
    <row r="15" ht="19.95" customFormat="1" customHeight="1" s="149">
      <c r="A15" s="339" t="n"/>
      <c r="B15" s="327" t="inlineStr">
        <is>
          <t>日期</t>
        </is>
      </c>
      <c r="C15" s="327" t="inlineStr">
        <is>
          <t>凭证编号</t>
        </is>
      </c>
      <c r="D15" s="327" t="inlineStr">
        <is>
          <t>业务内容</t>
        </is>
      </c>
      <c r="E15" s="327" t="inlineStr">
        <is>
          <t>对方科目</t>
        </is>
      </c>
      <c r="F15" s="327" t="inlineStr">
        <is>
          <t>对方明细科目</t>
        </is>
      </c>
      <c r="G15" s="246" t="inlineStr">
        <is>
          <t>借方金额</t>
        </is>
      </c>
      <c r="H15" s="246" t="inlineStr">
        <is>
          <t>贷方金额</t>
        </is>
      </c>
      <c r="I15" s="339" t="n"/>
      <c r="J15" s="236" t="n">
        <v>1</v>
      </c>
      <c r="K15" s="236" t="n">
        <v>2</v>
      </c>
      <c r="L15" s="236" t="n">
        <v>3</v>
      </c>
      <c r="M15" s="236" t="n">
        <v>4</v>
      </c>
      <c r="N15" s="236" t="n">
        <v>5</v>
      </c>
      <c r="O15" s="352" t="n"/>
      <c r="P15" s="352" t="n"/>
      <c r="Q15" s="339" t="n"/>
    </row>
    <row r="16" ht="19.95" customFormat="1" customHeight="1" s="149">
      <c r="A16" s="412" t="n"/>
      <c r="B16" s="196" t="n"/>
      <c r="C16" s="197" t="n"/>
      <c r="D16" s="413" t="n"/>
      <c r="E16" s="413" t="n"/>
      <c r="F16" s="413" t="n"/>
      <c r="G16" s="414" t="n"/>
      <c r="H16" s="414" t="n"/>
      <c r="I16" s="240" t="n"/>
      <c r="J16" s="237" t="n"/>
      <c r="K16" s="237" t="n"/>
      <c r="L16" s="237" t="n"/>
      <c r="M16" s="237" t="n"/>
      <c r="N16" s="237" t="n"/>
      <c r="O16" s="238" t="n"/>
      <c r="P16" s="199" t="n"/>
      <c r="Q16" s="199" t="n"/>
    </row>
    <row r="17" ht="19.95" customFormat="1" customHeight="1" s="149">
      <c r="A17" s="412" t="n"/>
      <c r="B17" s="196" t="n"/>
      <c r="C17" s="197" t="n"/>
      <c r="D17" s="413" t="n"/>
      <c r="E17" s="413" t="n"/>
      <c r="F17" s="413" t="n"/>
      <c r="G17" s="414" t="n"/>
      <c r="H17" s="414" t="n"/>
      <c r="I17" s="240" t="n"/>
      <c r="J17" s="237" t="n"/>
      <c r="K17" s="237" t="n"/>
      <c r="L17" s="237" t="n"/>
      <c r="M17" s="237" t="n"/>
      <c r="N17" s="237" t="n"/>
      <c r="O17" s="238" t="n"/>
      <c r="P17" s="199" t="n"/>
      <c r="Q17" s="199" t="n"/>
    </row>
    <row r="18" ht="19.95" customFormat="1" customHeight="1" s="149">
      <c r="A18" s="412" t="n"/>
      <c r="B18" s="196" t="n"/>
      <c r="C18" s="197" t="n"/>
      <c r="D18" s="413" t="n"/>
      <c r="E18" s="413" t="n"/>
      <c r="F18" s="413" t="n"/>
      <c r="G18" s="414" t="n"/>
      <c r="H18" s="414" t="n"/>
      <c r="I18" s="240" t="n"/>
      <c r="J18" s="237" t="n"/>
      <c r="K18" s="237" t="n"/>
      <c r="L18" s="237" t="n"/>
      <c r="M18" s="237" t="n"/>
      <c r="N18" s="237" t="n"/>
      <c r="O18" s="238" t="n"/>
      <c r="P18" s="199" t="n"/>
      <c r="Q18" s="199" t="n"/>
    </row>
    <row r="19" ht="19.95" customFormat="1" customHeight="1" s="149">
      <c r="A19" s="412" t="n"/>
      <c r="B19" s="196" t="n"/>
      <c r="C19" s="197" t="n"/>
      <c r="D19" s="413" t="n"/>
      <c r="E19" s="413" t="n"/>
      <c r="F19" s="413" t="n"/>
      <c r="G19" s="414" t="n"/>
      <c r="H19" s="414" t="n"/>
      <c r="I19" s="240" t="n"/>
      <c r="J19" s="237" t="n"/>
      <c r="K19" s="237" t="n"/>
      <c r="L19" s="237" t="n"/>
      <c r="M19" s="237" t="n"/>
      <c r="N19" s="237" t="n"/>
      <c r="O19" s="238" t="n"/>
      <c r="P19" s="199" t="n"/>
      <c r="Q19" s="199" t="n"/>
    </row>
    <row r="20" ht="19.95" customFormat="1" customHeight="1" s="149">
      <c r="A20" s="412" t="n"/>
      <c r="B20" s="196" t="n"/>
      <c r="C20" s="197" t="n"/>
      <c r="D20" s="413" t="n"/>
      <c r="E20" s="413" t="n"/>
      <c r="F20" s="413" t="n"/>
      <c r="G20" s="414" t="n"/>
      <c r="H20" s="414" t="n"/>
      <c r="I20" s="240" t="n"/>
      <c r="J20" s="237" t="n"/>
      <c r="K20" s="237" t="n"/>
      <c r="L20" s="237" t="n"/>
      <c r="M20" s="237" t="n"/>
      <c r="N20" s="237" t="n"/>
      <c r="O20" s="238" t="n"/>
      <c r="P20" s="199" t="n"/>
      <c r="Q20" s="199" t="n"/>
    </row>
    <row r="21" ht="19.95" customFormat="1" customHeight="1" s="149">
      <c r="A21" s="412" t="n"/>
      <c r="B21" s="196" t="n"/>
      <c r="C21" s="197" t="n"/>
      <c r="D21" s="413" t="n"/>
      <c r="E21" s="413" t="n"/>
      <c r="F21" s="413" t="n"/>
      <c r="G21" s="414" t="n"/>
      <c r="H21" s="414" t="n"/>
      <c r="I21" s="240" t="n"/>
      <c r="J21" s="237" t="n"/>
      <c r="K21" s="237" t="n"/>
      <c r="L21" s="237" t="n"/>
      <c r="M21" s="237" t="n"/>
      <c r="N21" s="237" t="n"/>
      <c r="O21" s="238" t="n"/>
      <c r="P21" s="199" t="n"/>
      <c r="Q21" s="199" t="n"/>
    </row>
    <row r="22" ht="19.95" customFormat="1" customHeight="1" s="149">
      <c r="A22" s="412" t="n"/>
      <c r="B22" s="196" t="n"/>
      <c r="C22" s="197" t="n"/>
      <c r="D22" s="413" t="n"/>
      <c r="E22" s="413" t="n"/>
      <c r="F22" s="413" t="n"/>
      <c r="G22" s="414" t="n"/>
      <c r="H22" s="414" t="n"/>
      <c r="I22" s="240" t="n"/>
      <c r="J22" s="237" t="n"/>
      <c r="K22" s="237" t="n"/>
      <c r="L22" s="237" t="n"/>
      <c r="M22" s="237" t="n"/>
      <c r="N22" s="237" t="n"/>
      <c r="O22" s="238" t="n"/>
      <c r="P22" s="199" t="n"/>
      <c r="Q22" s="199" t="n"/>
    </row>
    <row r="23" ht="19.95" customFormat="1" customHeight="1" s="149">
      <c r="A23" s="412" t="n"/>
      <c r="B23" s="196" t="n"/>
      <c r="C23" s="197" t="n"/>
      <c r="D23" s="413" t="n"/>
      <c r="E23" s="413" t="n"/>
      <c r="F23" s="413" t="n"/>
      <c r="G23" s="414" t="n"/>
      <c r="H23" s="414" t="n"/>
      <c r="I23" s="240" t="n"/>
      <c r="J23" s="237" t="n"/>
      <c r="K23" s="237" t="n"/>
      <c r="L23" s="237" t="n"/>
      <c r="M23" s="237" t="n"/>
      <c r="N23" s="237" t="n"/>
      <c r="O23" s="238" t="n"/>
      <c r="P23" s="199" t="n"/>
      <c r="Q23" s="199" t="n"/>
    </row>
    <row r="24" ht="19.95" customFormat="1" customHeight="1" s="149">
      <c r="A24" s="412" t="n"/>
      <c r="B24" s="196" t="n"/>
      <c r="C24" s="197" t="n"/>
      <c r="D24" s="413" t="n"/>
      <c r="E24" s="413" t="n"/>
      <c r="F24" s="413" t="n"/>
      <c r="G24" s="414" t="n"/>
      <c r="H24" s="414" t="n"/>
      <c r="I24" s="240" t="n"/>
      <c r="J24" s="237" t="n"/>
      <c r="K24" s="237" t="n"/>
      <c r="L24" s="237" t="n"/>
      <c r="M24" s="237" t="n"/>
      <c r="N24" s="237" t="n"/>
      <c r="O24" s="238" t="n"/>
      <c r="P24" s="199" t="n"/>
      <c r="Q24" s="199" t="n"/>
    </row>
    <row r="25" ht="19.95" customFormat="1" customHeight="1" s="149">
      <c r="A25" s="412" t="n"/>
      <c r="B25" s="196" t="n"/>
      <c r="C25" s="197" t="n"/>
      <c r="D25" s="413" t="n"/>
      <c r="E25" s="413" t="n"/>
      <c r="F25" s="413" t="n"/>
      <c r="G25" s="414" t="n"/>
      <c r="H25" s="414" t="n"/>
      <c r="I25" s="240" t="n"/>
      <c r="J25" s="237" t="n"/>
      <c r="K25" s="237" t="n"/>
      <c r="L25" s="237" t="n"/>
      <c r="M25" s="237" t="n"/>
      <c r="N25" s="237" t="n"/>
      <c r="O25" s="238" t="n"/>
      <c r="P25" s="199" t="n"/>
      <c r="Q25" s="199" t="n"/>
    </row>
    <row r="26" ht="19.95" customFormat="1" customHeight="1" s="149">
      <c r="A26" s="412" t="n"/>
      <c r="B26" s="196" t="n"/>
      <c r="C26" s="197" t="n"/>
      <c r="D26" s="413" t="n"/>
      <c r="E26" s="413" t="n"/>
      <c r="F26" s="413" t="n"/>
      <c r="G26" s="414" t="n"/>
      <c r="H26" s="414" t="n"/>
      <c r="I26" s="240" t="n"/>
      <c r="J26" s="237" t="n"/>
      <c r="K26" s="237" t="n"/>
      <c r="L26" s="237" t="n"/>
      <c r="M26" s="237" t="n"/>
      <c r="N26" s="237" t="n"/>
      <c r="O26" s="238" t="n"/>
      <c r="P26" s="199" t="n"/>
      <c r="Q26" s="199" t="n"/>
    </row>
    <row r="27" ht="19.95" customFormat="1" customHeight="1" s="149">
      <c r="A27" s="412" t="n"/>
      <c r="B27" s="196" t="n"/>
      <c r="C27" s="197" t="n"/>
      <c r="D27" s="413" t="n"/>
      <c r="E27" s="413" t="n"/>
      <c r="F27" s="413" t="n"/>
      <c r="G27" s="414" t="n"/>
      <c r="H27" s="414" t="n"/>
      <c r="I27" s="240" t="n"/>
      <c r="J27" s="237" t="n"/>
      <c r="K27" s="237" t="n"/>
      <c r="L27" s="237" t="n"/>
      <c r="M27" s="237" t="n"/>
      <c r="N27" s="237" t="n"/>
      <c r="O27" s="238" t="n"/>
      <c r="P27" s="199" t="n"/>
      <c r="Q27" s="199" t="n"/>
    </row>
    <row r="28" ht="19.95" customFormat="1" customHeight="1" s="149">
      <c r="A28" s="412" t="n"/>
      <c r="B28" s="196" t="n"/>
      <c r="C28" s="197" t="n"/>
      <c r="D28" s="413" t="n"/>
      <c r="E28" s="413" t="n"/>
      <c r="F28" s="413" t="n"/>
      <c r="G28" s="414" t="n"/>
      <c r="H28" s="414" t="n"/>
      <c r="I28" s="240" t="n"/>
      <c r="J28" s="237" t="n"/>
      <c r="K28" s="237" t="n"/>
      <c r="L28" s="237" t="n"/>
      <c r="M28" s="237" t="n"/>
      <c r="N28" s="237" t="n"/>
      <c r="O28" s="238" t="n"/>
      <c r="P28" s="199" t="n"/>
      <c r="Q28" s="199" t="n"/>
    </row>
    <row r="29" ht="19.95" customFormat="1" customHeight="1" s="149">
      <c r="A29" s="409" t="inlineStr">
        <is>
          <t>合计</t>
        </is>
      </c>
      <c r="B29" s="415" t="n"/>
      <c r="C29" s="415" t="n"/>
      <c r="D29" s="415" t="n"/>
      <c r="E29" s="415" t="n"/>
      <c r="F29" s="415" t="n"/>
      <c r="G29" s="416">
        <f>SUM(G16:G28)</f>
        <v/>
      </c>
      <c r="H29" s="416">
        <f>SUM(H16:H28)</f>
        <v/>
      </c>
      <c r="I29" s="417" t="n"/>
      <c r="J29" s="417" t="n"/>
      <c r="K29" s="417" t="n"/>
      <c r="L29" s="416" t="n"/>
      <c r="M29" s="417" t="n"/>
      <c r="N29" s="417" t="n"/>
      <c r="O29" s="416" t="n"/>
      <c r="P29" s="417" t="n"/>
      <c r="Q29" s="417" t="n"/>
    </row>
    <row r="30" ht="19.95" customFormat="1" customHeight="1" s="149">
      <c r="A30" s="76" t="inlineStr">
        <is>
          <t>四、审计说明：</t>
        </is>
      </c>
      <c r="B30" s="13" t="n"/>
      <c r="C30" s="13" t="n"/>
      <c r="D30" s="13" t="n"/>
      <c r="E30" s="13" t="n"/>
      <c r="F30" s="13" t="n"/>
      <c r="H30" s="77" t="n"/>
      <c r="I30" s="194" t="n"/>
      <c r="J30" s="194" t="n"/>
      <c r="K30" s="22" t="n"/>
      <c r="L30" s="22" t="n"/>
      <c r="M30" s="22" t="n"/>
      <c r="N30" s="61" t="n"/>
    </row>
    <row r="31" ht="19.95" customFormat="1" customHeight="1" s="149">
      <c r="A31" s="149" t="inlineStr">
        <is>
          <t>1.本期发生额、期末余额检查比例：</t>
        </is>
      </c>
      <c r="C31" s="71" t="n"/>
      <c r="D31" s="253" t="inlineStr">
        <is>
          <t>方向</t>
        </is>
      </c>
      <c r="E31" s="253" t="inlineStr">
        <is>
          <t>账面金额</t>
        </is>
      </c>
      <c r="F31" s="253" t="inlineStr">
        <is>
          <t>检查金额</t>
        </is>
      </c>
      <c r="G31" s="253" t="inlineStr">
        <is>
          <t>检查比例</t>
        </is>
      </c>
      <c r="H31" s="254" t="inlineStr">
        <is>
          <t>如果检查比例较低应扩大检查样本量或说明原因</t>
        </is>
      </c>
      <c r="I31" s="194" t="n"/>
      <c r="J31" s="194" t="n"/>
      <c r="K31" s="271" t="n"/>
      <c r="L31" s="271" t="n"/>
      <c r="M31" s="271" t="n"/>
      <c r="N31" s="252" t="n"/>
    </row>
    <row r="32" ht="19.95" customFormat="1" customHeight="1" s="149">
      <c r="A32" s="24" t="n"/>
      <c r="B32" s="24" t="n"/>
      <c r="C32" s="71" t="n"/>
      <c r="D32" s="253" t="inlineStr">
        <is>
          <t>本期借方</t>
        </is>
      </c>
      <c r="E32" s="418">
        <f>'明细表 K4-2'!N16</f>
        <v/>
      </c>
      <c r="F32" s="418">
        <f>G29</f>
        <v/>
      </c>
      <c r="G32" s="256">
        <f>ROUND(F32/E32,4)</f>
        <v/>
      </c>
      <c r="H32" s="186" t="n"/>
      <c r="I32" s="194" t="n"/>
      <c r="J32" s="194" t="n"/>
      <c r="K32" s="271" t="n"/>
      <c r="L32" s="271" t="n"/>
      <c r="M32" s="271" t="n"/>
      <c r="N32" s="252" t="n"/>
    </row>
    <row r="33" ht="19.95" customFormat="1" customHeight="1" s="149">
      <c r="A33" s="24" t="n"/>
      <c r="B33" s="24" t="n"/>
      <c r="C33" s="71" t="n"/>
      <c r="D33" s="253" t="inlineStr">
        <is>
          <t>本期贷方</t>
        </is>
      </c>
      <c r="E33" s="418">
        <f>'明细表 K4-2'!M16</f>
        <v/>
      </c>
      <c r="F33" s="418">
        <f>H29</f>
        <v/>
      </c>
      <c r="G33" s="256">
        <f>ROUND(F33/E33,2)</f>
        <v/>
      </c>
      <c r="H33" s="186" t="n"/>
      <c r="I33" s="194" t="n"/>
      <c r="J33" s="194" t="n"/>
      <c r="K33" s="271" t="n"/>
      <c r="L33" s="271" t="n"/>
      <c r="M33" s="271" t="n"/>
      <c r="N33" s="252" t="n"/>
    </row>
    <row r="34" ht="19.95" customFormat="1" customHeight="1" s="149">
      <c r="A34" s="231" t="inlineStr">
        <is>
          <t>2.……</t>
        </is>
      </c>
      <c r="B34" s="24" t="n"/>
      <c r="C34" s="71" t="n"/>
      <c r="D34" s="257" t="n"/>
      <c r="E34" s="419" t="n"/>
      <c r="F34" s="419" t="n"/>
      <c r="G34" s="259" t="n"/>
      <c r="H34" s="186" t="n"/>
      <c r="I34" s="194" t="n"/>
      <c r="J34" s="194" t="n"/>
      <c r="K34" s="271" t="n"/>
      <c r="L34" s="271" t="n"/>
      <c r="M34" s="271" t="n"/>
      <c r="N34" s="252" t="n"/>
    </row>
    <row r="35" ht="19.95" customFormat="1" customHeight="1" s="24">
      <c r="I35" s="194" t="n"/>
      <c r="J35" s="194" t="n"/>
      <c r="K35" s="270" t="n"/>
      <c r="L35" s="270" t="n"/>
      <c r="M35" s="270" t="n"/>
      <c r="N35" s="270" t="n"/>
    </row>
    <row r="36" ht="19.95" customFormat="1" customHeight="1" s="149">
      <c r="A36" s="24" t="inlineStr">
        <is>
          <t>五、审计结论：</t>
        </is>
      </c>
      <c r="G36" s="252" t="n"/>
      <c r="H36" s="252" t="n"/>
      <c r="I36" s="252" t="n"/>
      <c r="J36" s="252" t="n"/>
      <c r="K36" s="252" t="n"/>
      <c r="L36" s="252" t="n"/>
      <c r="M36" s="252" t="n"/>
      <c r="N36" s="252" t="n"/>
    </row>
    <row r="37" ht="19.95" customFormat="1" customHeight="1" s="149">
      <c r="G37" s="252" t="n"/>
      <c r="H37" s="252" t="n"/>
      <c r="I37" s="252" t="n"/>
      <c r="J37" s="252" t="n"/>
      <c r="K37" s="252" t="n"/>
      <c r="L37" s="252" t="n"/>
      <c r="M37" s="252" t="n"/>
      <c r="N37" s="252" t="n"/>
    </row>
    <row r="38" ht="18" customFormat="1" customHeight="1" s="149">
      <c r="A38" s="271" t="n"/>
      <c r="C38" s="252" t="n"/>
      <c r="D38" s="252" t="n"/>
      <c r="E38" s="252" t="n"/>
      <c r="F38" s="252" t="n"/>
      <c r="G38" s="252" t="n"/>
      <c r="H38" s="252" t="n"/>
      <c r="I38" s="252" t="n"/>
      <c r="J38" s="252" t="n"/>
      <c r="K38" s="252" t="n"/>
      <c r="L38" s="252" t="n"/>
      <c r="M38" s="252" t="n"/>
      <c r="N38" s="252" t="n"/>
    </row>
    <row r="39" ht="18" customFormat="1" customHeight="1" s="149">
      <c r="A39" s="271" t="n"/>
      <c r="C39" s="252" t="n"/>
      <c r="D39" s="252" t="n"/>
      <c r="E39" s="252" t="n"/>
      <c r="F39" s="252" t="n"/>
      <c r="G39" s="252" t="n"/>
      <c r="H39" s="252" t="n"/>
      <c r="I39" s="252" t="n"/>
      <c r="J39" s="252" t="n"/>
      <c r="K39" s="252" t="n"/>
      <c r="L39" s="252" t="n"/>
      <c r="M39" s="252" t="n"/>
      <c r="N39" s="252" t="n"/>
    </row>
    <row r="40" ht="18" customFormat="1" customHeight="1" s="149">
      <c r="A40" s="78" t="n"/>
    </row>
    <row r="41" ht="18" customHeight="1" s="333">
      <c r="A41" s="26" t="n"/>
      <c r="B41" s="26" t="n"/>
      <c r="C41" s="149" t="n"/>
      <c r="D41" s="149" t="n"/>
      <c r="E41" s="149" t="n"/>
    </row>
    <row r="42" ht="18" customHeight="1" s="333">
      <c r="A42" s="28" t="n"/>
      <c r="B42" s="28" t="n"/>
      <c r="C42" s="149" t="n"/>
      <c r="D42" s="149" t="n"/>
      <c r="E42" s="149" t="n"/>
    </row>
    <row r="43" ht="18" customHeight="1" s="333">
      <c r="A43" s="79" t="n"/>
      <c r="B43" s="28" t="n"/>
      <c r="C43" s="149" t="n"/>
      <c r="D43" s="149" t="n"/>
      <c r="E43" s="149" t="n"/>
    </row>
    <row r="44" ht="18" customHeight="1" s="333">
      <c r="A44" s="29" t="n"/>
      <c r="B44" s="28" t="n"/>
    </row>
    <row r="45" ht="18" customHeight="1" s="333">
      <c r="A45" s="29" t="n"/>
      <c r="B45" s="28" t="n"/>
    </row>
    <row r="46" ht="18" customHeight="1" s="333">
      <c r="A46" s="29" t="n"/>
      <c r="B46" s="28" t="n"/>
    </row>
  </sheetData>
  <mergeCells count="9">
    <mergeCell ref="I14:I15"/>
    <mergeCell ref="B14:H14"/>
    <mergeCell ref="P14:P15"/>
    <mergeCell ref="Q14:Q15"/>
    <mergeCell ref="J14:N14"/>
    <mergeCell ref="A2:Q2"/>
    <mergeCell ref="O14:O15"/>
    <mergeCell ref="A1:Q1"/>
    <mergeCell ref="A14:A15"/>
  </mergeCells>
  <dataValidations count="1">
    <dataValidation sqref="J16:N28" showDropDown="0" showInputMessage="1" showErrorMessage="1" allowBlank="1" type="list">
      <formula1>"√,X"</formula1>
    </dataValidation>
  </dataValidations>
  <hyperlinks>
    <hyperlink ref="Q3" location="底稿目录!A1" display="底稿目录!A1"/>
  </hyperlinks>
  <printOptions horizontalCentered="1"/>
  <pageMargins left="0.7480314960629921" right="0.5511811023622047" top="0.984251968503937" bottom="0.2362204724409449" header="0.5118110236220472" footer="0.1968503937007874"/>
  <pageSetup orientation="landscape" paperSize="9" scale="63" fitToHeight="100" blackAndWhite="1" cellComments="atEnd"/>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李丽虹</dc:creator>
  <dcterms:created xmlns:dcterms="http://purl.org/dc/terms/" xmlns:xsi="http://www.w3.org/2001/XMLSchema-instance" xsi:type="dcterms:W3CDTF">2013-12-07T13:07:57Z</dcterms:created>
  <dcterms:modified xmlns:dcterms="http://purl.org/dc/terms/" xmlns:xsi="http://www.w3.org/2001/XMLSchema-instance" xsi:type="dcterms:W3CDTF">2026-10-08T14:57:38Z</dcterms:modified>
  <cp:lastModifiedBy>何先琴</cp:lastModifiedBy>
  <cp:lastPrinted>2025-10-22T02:15:12Z</cp:lastPrinted>
</cp:coreProperties>
</file>