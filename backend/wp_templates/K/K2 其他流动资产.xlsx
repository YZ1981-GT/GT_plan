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400" windowHeight="7860" tabRatio="820" firstSheet="0" activeTab="0" autoFilterDateGrouping="1"/>
  </bookViews>
  <sheets>
    <sheet xmlns:r="http://schemas.openxmlformats.org/officeDocument/2006/relationships" name="底稿目录" sheetId="1" state="visible" r:id="rId1"/>
    <sheet xmlns:r="http://schemas.openxmlformats.org/officeDocument/2006/relationships" name="实质性程序表 K2A" sheetId="2" state="visible" r:id="rId2"/>
    <sheet xmlns:r="http://schemas.openxmlformats.org/officeDocument/2006/relationships" name="审定表K2-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K2-2" sheetId="6" state="visible" r:id="rId6"/>
    <sheet xmlns:r="http://schemas.openxmlformats.org/officeDocument/2006/relationships" name="调整分录汇总K2-3" sheetId="7" state="visible" r:id="rId7"/>
    <sheet xmlns:r="http://schemas.openxmlformats.org/officeDocument/2006/relationships" name="合同取得成本明细表K2-4" sheetId="8" state="visible" r:id="rId8"/>
    <sheet xmlns:r="http://schemas.openxmlformats.org/officeDocument/2006/relationships" name="摊销测算表K2-5" sheetId="9" state="visible" r:id="rId9"/>
    <sheet xmlns:r="http://schemas.openxmlformats.org/officeDocument/2006/relationships" name="其他流动资产检查表表K2-6" sheetId="10" state="visible" r:id="rId10"/>
    <sheet xmlns:r="http://schemas.openxmlformats.org/officeDocument/2006/relationships" name="GT_Custom" sheetId="11" state="hidden" r:id="rId11"/>
  </sheets>
  <definedNames>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新目录" hidden="1">#REF!</definedName>
    <definedName name="_xlnm.Print_Titles" localSheetId="1">'实质性程序表 K2A'!$15:$15</definedName>
    <definedName name="_xlnm.Print_Area" localSheetId="1">'实质性程序表 K2A'!$A$1:$I$26</definedName>
    <definedName name="_xlnm.Print_Area" localSheetId="2">'审定表K2-1'!$A$1:$N$22</definedName>
    <definedName name="_xlnm.Print_Area" localSheetId="3">'附注披露信息（上市公司）'!$A$1:$E$13</definedName>
    <definedName name="_xlnm.Print_Area" localSheetId="5">'明细表K2-2'!$A$1:$P$27</definedName>
    <definedName name="_xlnm.Print_Area" localSheetId="6">'调整分录汇总K2-3'!$A$1:$J$20</definedName>
    <definedName name="_xlnm.Print_Area" localSheetId="7">'合同取得成本明细表K2-4'!$A$1:$W$25</definedName>
    <definedName name="_xlnm.Print_Area" localSheetId="8">'摊销测算表K2-5'!$A$1:$Q$31</definedName>
    <definedName name="_xlnm.Print_Area" localSheetId="9">'其他流动资产检查表表K2-6'!$A$1:$Q$32</definedName>
  </definedNames>
  <calcPr calcId="162913" fullCalcOnLoad="1"/>
</workbook>
</file>

<file path=xl/styles.xml><?xml version="1.0" encoding="utf-8"?>
<styleSheet xmlns="http://schemas.openxmlformats.org/spreadsheetml/2006/main">
  <numFmts count="19">
    <numFmt numFmtId="164" formatCode="_([$€-2]* #,##0.00_);_([$€-2]* \(#,##0.00\);_([$€-2]* &quot;-&quot;??_)"/>
    <numFmt numFmtId="165" formatCode="_ * #,##0.00_ ;_ * \-#,##0.00_ ;_ * &quot;-&quot;??_ ;_ @_ "/>
    <numFmt numFmtId="166" formatCode="_-#0&quot;.&quot;0,_-;\(#0&quot;.&quot;0,\);_-\ \ &quot;-&quot;_-;_-@_-"/>
    <numFmt numFmtId="167" formatCode="mmm/dd/yyyy;_-\ &quot;N/A&quot;_-;_-\ &quot;-&quot;_-"/>
    <numFmt numFmtId="168" formatCode="_-* #,##0.00_-;\-* #,##0.00_-;_-* &quot;-&quot;??_-;_-@_-"/>
    <numFmt numFmtId="169" formatCode="_-* #,##0_-;\-* #,##0_-;_-* &quot;-&quot;_-;_-@_-"/>
    <numFmt numFmtId="170" formatCode="_-#,##0_-;\(#,##0\);_-\ \ &quot;-&quot;_-;_-@_-"/>
    <numFmt numFmtId="171" formatCode="_-#,##0.00_-;\(#,##0.00\);_-\ \ &quot;-&quot;_-;_-@_-"/>
    <numFmt numFmtId="172" formatCode="_-&quot;$&quot;* #,##0_-;\-&quot;$&quot;* #,##0_-;_-&quot;$&quot;* &quot;-&quot;_-;_-@_-"/>
    <numFmt numFmtId="173" formatCode="_-#0&quot;.&quot;0000_-;\(#0&quot;.&quot;0000\);_-\ \ &quot;-&quot;_-;_-@_-"/>
    <numFmt numFmtId="174" formatCode="_-#,###.00,_-;\(#,###.00,\);_-\ \ &quot;-&quot;_-;_-@_-"/>
    <numFmt numFmtId="175" formatCode="mmm/yyyy;_-\ &quot;N/A&quot;_-;_-\ &quot;-&quot;_-"/>
    <numFmt numFmtId="176" formatCode="_-#,###,_-;\(#,###,\);_-\ \ &quot;-&quot;_-;_-@_-"/>
    <numFmt numFmtId="177" formatCode="_-#,##0%_-;\(#,##0%\);_-\ &quot;-&quot;_-"/>
    <numFmt numFmtId="178" formatCode="&quot;$&quot;#,##0_);\(&quot;$&quot;#,##0\)"/>
    <numFmt numFmtId="179" formatCode="_-&quot;$&quot;* #,##0.00_-;\-&quot;$&quot;* #,##0.00_-;_-&quot;$&quot;* &quot;-&quot;??_-;_-@_-"/>
    <numFmt numFmtId="180" formatCode="&quot;\&quot;#,##0;[Red]&quot;\&quot;&quot;\&quot;\-#,##0"/>
    <numFmt numFmtId="181" formatCode="&quot;\&quot;#,##0.00;[Red]&quot;\&quot;&quot;\&quot;\-#,##0.00"/>
    <numFmt numFmtId="182" formatCode="&quot;\&quot;#,##0;&quot;\&quot;&quot;\&quot;\-#,##0"/>
  </numFmts>
  <fonts count="95">
    <font>
      <name val="宋体"/>
      <charset val="134"/>
      <sz val="12"/>
    </font>
    <font>
      <name val="宋体"/>
      <charset val="134"/>
      <family val="2"/>
      <color theme="1"/>
      <sz val="11"/>
      <scheme val="minor"/>
    </font>
    <font>
      <name val="宋体"/>
      <charset val="134"/>
      <family val="2"/>
      <color theme="1"/>
      <sz val="11"/>
      <scheme val="minor"/>
    </font>
    <font>
      <name val="Arial Narrow"/>
      <family val="2"/>
      <b val="1"/>
      <sz val="12"/>
    </font>
    <font>
      <name val="Arial Narrow"/>
      <family val="2"/>
      <sz val="10"/>
    </font>
    <font>
      <name val="Arial Narrow"/>
      <family val="2"/>
      <color indexed="8"/>
      <sz val="10"/>
    </font>
    <font>
      <name val="Arial Narrow"/>
      <family val="2"/>
      <b val="1"/>
      <sz val="10"/>
    </font>
    <font>
      <name val="Arial Narrow"/>
      <family val="2"/>
      <sz val="12"/>
    </font>
    <font>
      <name val="宋体"/>
      <charset val="134"/>
      <family val="3"/>
      <b val="1"/>
      <sz val="10"/>
    </font>
    <font>
      <name val="宋体"/>
      <charset val="134"/>
      <family val="3"/>
      <b val="1"/>
      <sz val="12"/>
    </font>
    <font>
      <name val="宋体"/>
      <charset val="134"/>
      <family val="3"/>
      <sz val="10"/>
    </font>
    <font>
      <name val="Arial Narrow"/>
      <family val="2"/>
      <color indexed="12"/>
      <sz val="10"/>
    </font>
    <font>
      <name val="Arial Narrow"/>
      <family val="2"/>
      <b val="1"/>
      <color indexed="8"/>
      <sz val="10"/>
    </font>
    <font>
      <name val="Arial Narrow"/>
      <family val="2"/>
      <b val="1"/>
      <color indexed="10"/>
      <sz val="10"/>
      <u val="single"/>
    </font>
    <font>
      <name val="Arial Narrow"/>
      <family val="2"/>
      <b val="1"/>
      <color theme="1"/>
      <sz val="10"/>
    </font>
    <font>
      <name val="宋体"/>
      <charset val="134"/>
      <family val="3"/>
      <b val="1"/>
      <color theme="1"/>
      <sz val="10"/>
    </font>
    <font>
      <name val="宋体"/>
      <charset val="134"/>
      <family val="3"/>
      <b val="1"/>
      <color indexed="8"/>
      <sz val="10"/>
    </font>
    <font>
      <name val="Arial Narrow"/>
      <family val="2"/>
      <sz val="9"/>
    </font>
    <font>
      <name val="宋体"/>
      <charset val="134"/>
      <family val="3"/>
      <color theme="3" tint="-0.499984740745262"/>
      <sz val="10"/>
    </font>
    <font>
      <name val="仿宋_GB2312"/>
      <charset val="134"/>
      <family val="3"/>
      <sz val="12"/>
    </font>
    <font>
      <name val="宋体"/>
      <charset val="134"/>
      <family val="3"/>
      <sz val="12"/>
    </font>
    <font>
      <name val="仿宋_GB2312"/>
      <charset val="134"/>
      <family val="3"/>
      <color rgb="FF0000FF"/>
      <sz val="12"/>
    </font>
    <font>
      <name val="仿宋_GB2312"/>
      <charset val="134"/>
      <family val="3"/>
      <b val="1"/>
      <color rgb="FF000000"/>
      <sz val="12"/>
    </font>
    <font>
      <name val="仿宋_GB2312"/>
      <charset val="134"/>
      <family val="3"/>
      <b val="1"/>
      <sz val="12"/>
    </font>
    <font>
      <name val="仿宋_GB2312"/>
      <charset val="134"/>
      <family val="3"/>
      <color rgb="FFFF0000"/>
      <sz val="12"/>
    </font>
    <font>
      <name val="Arial Narrow"/>
      <family val="2"/>
      <color rgb="FF000000"/>
      <sz val="12"/>
    </font>
    <font>
      <name val="宋体"/>
      <charset val="134"/>
      <family val="3"/>
      <color indexed="8"/>
      <sz val="10"/>
      <scheme val="minor"/>
    </font>
    <font>
      <name val="宋体"/>
      <charset val="134"/>
      <family val="3"/>
      <b val="1"/>
      <i val="1"/>
      <color indexed="12"/>
      <sz val="10"/>
      <u val="single"/>
    </font>
    <font>
      <name val="Arial Narrow"/>
      <family val="2"/>
      <sz val="10"/>
      <u val="single"/>
    </font>
    <font>
      <name val="宋体"/>
      <charset val="134"/>
      <family val="3"/>
      <i val="1"/>
      <color indexed="12"/>
      <sz val="10"/>
      <u val="single"/>
    </font>
    <font>
      <name val="Arial"/>
      <family val="2"/>
      <b val="1"/>
      <sz val="10"/>
    </font>
    <font>
      <name val="Arial"/>
      <family val="2"/>
      <sz val="10"/>
    </font>
    <font>
      <name val="宋体"/>
      <charset val="134"/>
      <family val="3"/>
      <b val="1"/>
      <sz val="14"/>
    </font>
    <font>
      <name val="宋体"/>
      <charset val="134"/>
      <family val="3"/>
      <color indexed="8"/>
      <sz val="10"/>
    </font>
    <font>
      <name val="宋体"/>
      <charset val="134"/>
      <family val="3"/>
      <color theme="1"/>
      <sz val="10"/>
    </font>
    <font>
      <name val="Arial Narrow"/>
      <family val="2"/>
      <color indexed="10"/>
      <sz val="10"/>
    </font>
    <font>
      <name val="Arial"/>
      <family val="2"/>
      <sz val="12"/>
    </font>
    <font>
      <name val="Arial"/>
      <family val="2"/>
      <sz val="10.5"/>
    </font>
    <font>
      <name val="宋体"/>
      <charset val="134"/>
      <family val="3"/>
      <sz val="10.5"/>
    </font>
    <font>
      <name val="宋体"/>
      <charset val="134"/>
      <family val="3"/>
      <color indexed="12"/>
      <sz val="10"/>
      <u val="single"/>
    </font>
    <font>
      <name val="Times New Roman"/>
      <family val="1"/>
      <sz val="10.5"/>
    </font>
    <font>
      <name val="宋体"/>
      <charset val="134"/>
      <family val="3"/>
      <color indexed="12"/>
      <sz val="12"/>
      <u val="single"/>
    </font>
    <font>
      <name val="Times New Roman"/>
      <family val="1"/>
      <sz val="10"/>
    </font>
    <font>
      <name val="Times New Roman"/>
      <family val="1"/>
      <sz val="10"/>
      <u val="singleAccounting"/>
      <vertAlign val="subscript"/>
    </font>
    <font>
      <name val="Helv"/>
      <family val="2"/>
      <sz val="7"/>
    </font>
    <font>
      <name val="楷体_GB2312"/>
      <charset val="134"/>
      <sz val="12"/>
    </font>
    <font>
      <name val="Arial"/>
      <family val="2"/>
      <color indexed="12"/>
      <sz val="7.5"/>
      <u val="single"/>
    </font>
    <font>
      <name val="Times New Roman"/>
      <family val="1"/>
      <i val="1"/>
      <sz val="9"/>
    </font>
    <font>
      <name val="MS Sans Serif"/>
      <family val="1"/>
      <b val="1"/>
      <sz val="10"/>
    </font>
    <font>
      <name val="Arial"/>
      <family val="2"/>
      <color indexed="36"/>
      <sz val="7.5"/>
      <u val="single"/>
    </font>
    <font>
      <name val="Arial"/>
      <family val="2"/>
      <sz val="8"/>
    </font>
    <font>
      <name val="Courier"/>
      <family val="3"/>
      <sz val="10"/>
    </font>
    <font>
      <name val="Garamond"/>
      <family val="1"/>
      <sz val="12"/>
    </font>
    <font>
      <name val="Helv"/>
      <family val="2"/>
      <color indexed="10"/>
      <sz val="7"/>
    </font>
    <font>
      <name val="宋体"/>
      <charset val="134"/>
      <family val="3"/>
      <color theme="1"/>
      <sz val="11"/>
      <scheme val="minor"/>
    </font>
    <font>
      <name val="Times New Roman"/>
      <family val="1"/>
      <sz val="12"/>
    </font>
    <font>
      <name val="楷体"/>
      <charset val="134"/>
      <family val="3"/>
      <sz val="12"/>
    </font>
    <font>
      <name val="Arial Narrow"/>
      <family val="2"/>
      <color theme="3" tint="-0.499984740745262"/>
      <sz val="10"/>
    </font>
    <font>
      <name val="Arial Narrow"/>
      <family val="2"/>
      <b val="1"/>
      <color indexed="8"/>
      <sz val="12"/>
    </font>
    <font>
      <name val="仿宋_GB2312"/>
      <charset val="134"/>
      <family val="3"/>
      <b val="1"/>
      <color indexed="8"/>
      <sz val="12"/>
    </font>
    <font>
      <name val="仿宋_GB2312"/>
      <charset val="134"/>
      <family val="3"/>
      <color indexed="12"/>
      <sz val="12"/>
    </font>
    <font>
      <name val="宋体"/>
      <charset val="134"/>
      <family val="3"/>
      <color indexed="10"/>
      <sz val="10"/>
    </font>
    <font>
      <name val="宋体"/>
      <charset val="134"/>
      <family val="3"/>
      <sz val="9"/>
    </font>
    <font>
      <name val="Arial Narrow"/>
      <family val="2"/>
      <color rgb="FFFF0000"/>
      <sz val="10"/>
    </font>
    <font>
      <name val="Arial Narrow"/>
      <family val="2"/>
      <color indexed="12"/>
      <sz val="10"/>
      <u val="single"/>
    </font>
    <font>
      <name val="Arial Narrow"/>
      <family val="2"/>
      <color theme="1"/>
      <sz val="10"/>
    </font>
    <font>
      <name val="宋体"/>
      <charset val="134"/>
      <family val="3"/>
      <color rgb="FFFF0000"/>
      <sz val="10"/>
    </font>
    <font>
      <name val="宋体"/>
      <charset val="134"/>
      <family val="3"/>
      <color indexed="8"/>
      <sz val="9"/>
    </font>
    <font>
      <name val="宋体"/>
      <charset val="134"/>
      <family val="3"/>
      <b val="1"/>
      <color rgb="FFFF0000"/>
      <sz val="10"/>
    </font>
    <font>
      <name val="Arial Narrow"/>
      <family val="2"/>
      <b val="1"/>
      <color indexed="10"/>
      <sz val="10"/>
    </font>
    <font>
      <name val="宋体"/>
      <charset val="134"/>
      <family val="3"/>
      <color indexed="8"/>
      <sz val="11"/>
    </font>
    <font>
      <name val="宋体"/>
      <charset val="134"/>
      <family val="2"/>
      <b val="1"/>
      <color rgb="FF000000"/>
      <sz val="10"/>
    </font>
    <font>
      <name val="宋体"/>
      <charset val="134"/>
      <family val="2"/>
      <sz val="9"/>
      <scheme val="minor"/>
    </font>
    <font>
      <name val="魏碑"/>
      <charset val="134"/>
      <family val="3"/>
      <color indexed="48"/>
      <sz val="18"/>
    </font>
    <font>
      <name val="Arial Narrow"/>
      <family val="2"/>
      <color rgb="FF0000FF"/>
      <sz val="10"/>
    </font>
    <font>
      <name val="宋体"/>
      <charset val="134"/>
      <family val="3"/>
      <color rgb="FF0000FF"/>
      <sz val="10"/>
    </font>
    <font>
      <name val="Arial Narrow"/>
      <family val="2"/>
      <b val="1"/>
      <color rgb="FFE92841"/>
      <sz val="10"/>
    </font>
    <font>
      <name val="宋体"/>
      <charset val="134"/>
      <family val="3"/>
      <sz val="9"/>
      <scheme val="minor"/>
    </font>
    <font>
      <name val="宋体"/>
      <charset val="134"/>
      <family val="2"/>
      <color theme="1"/>
      <sz val="10"/>
      <scheme val="minor"/>
    </font>
    <font>
      <name val="宋体"/>
      <charset val="134"/>
      <family val="3"/>
      <sz val="10"/>
      <scheme val="minor"/>
    </font>
    <font>
      <name val="Arial Narrow"/>
      <family val="2"/>
      <b val="1"/>
      <sz val="9"/>
    </font>
    <font>
      <name val="宋体"/>
      <charset val="134"/>
      <family val="3"/>
      <color rgb="FFFF0000"/>
      <sz val="10"/>
      <scheme val="minor"/>
    </font>
    <font>
      <name val="Arial Narrow"/>
      <family val="2"/>
      <color rgb="FF0000FF"/>
      <sz val="9"/>
    </font>
    <font>
      <name val="宋体"/>
      <charset val="134"/>
      <family val="3"/>
      <color rgb="FF0000FF"/>
      <sz val="9"/>
    </font>
    <font>
      <name val="宋体"/>
      <charset val="134"/>
      <family val="3"/>
      <b val="1"/>
      <sz val="12"/>
      <scheme val="minor"/>
    </font>
    <font>
      <name val="宋体"/>
      <charset val="134"/>
      <family val="3"/>
      <b val="1"/>
      <sz val="14"/>
      <scheme val="minor"/>
    </font>
    <font>
      <name val="宋体"/>
      <charset val="134"/>
      <family val="3"/>
      <b val="1"/>
      <color indexed="8"/>
      <sz val="12"/>
      <scheme val="minor"/>
    </font>
    <font>
      <name val="宋体"/>
      <charset val="134"/>
      <family val="3"/>
      <b val="1"/>
      <color indexed="8"/>
      <sz val="14"/>
    </font>
    <font>
      <name val="Arial Narrow"/>
      <family val="2"/>
      <b val="1"/>
      <color indexed="8"/>
      <sz val="14"/>
    </font>
    <font>
      <name val="宋体"/>
      <charset val="134"/>
      <family val="3"/>
      <color rgb="FF0000FF"/>
      <sz val="12"/>
    </font>
    <font>
      <name val="宋体"/>
      <charset val="134"/>
      <family val="3"/>
      <sz val="9"/>
    </font>
    <font>
      <name val="宋体"/>
      <charset val="134"/>
      <family val="3"/>
      <b val="1"/>
      <color rgb="FF0000FF"/>
      <sz val="10"/>
    </font>
    <font>
      <name val="宋体"/>
      <charset val="134"/>
      <family val="3"/>
      <color indexed="12"/>
      <sz val="10"/>
    </font>
    <font>
      <name val="宋体"/>
      <charset val="134"/>
      <family val="3"/>
      <b val="1"/>
      <color indexed="81"/>
      <sz val="9"/>
    </font>
    <font>
      <name val="宋体"/>
      <charset val="134"/>
      <family val="3"/>
      <color indexed="81"/>
      <sz val="9"/>
    </font>
  </fonts>
  <fills count="13">
    <fill>
      <patternFill/>
    </fill>
    <fill>
      <patternFill patternType="gray125"/>
    </fill>
    <fill>
      <patternFill patternType="solid">
        <fgColor theme="7" tint="0.7999206518753624"/>
        <bgColor indexed="64"/>
      </patternFill>
    </fill>
    <fill>
      <patternFill patternType="solid">
        <fgColor indexed="9"/>
        <bgColor indexed="64"/>
      </patternFill>
    </fill>
    <fill>
      <patternFill patternType="solid">
        <fgColor theme="0" tint="-0.1499374370555742"/>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rgb="FFE4DFEC"/>
        <bgColor indexed="64"/>
      </patternFill>
    </fill>
    <fill>
      <patternFill patternType="solid">
        <fgColor theme="7" tint="0.7999816888943144"/>
        <bgColor indexed="64"/>
      </patternFill>
    </fill>
    <fill>
      <patternFill patternType="solid">
        <fgColor rgb="FFFFFF99"/>
        <bgColor indexed="64"/>
      </patternFill>
    </fill>
    <fill>
      <patternFill patternType="solid">
        <fgColor theme="0" tint="-0.1499984740745262"/>
        <bgColor indexed="64"/>
      </patternFill>
    </fill>
    <fill>
      <patternFill patternType="solid">
        <fgColor rgb="FFE4DFEC"/>
        <bgColor rgb="FFB7DEE8"/>
      </patternFill>
    </fill>
  </fills>
  <borders count="1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style="thin">
        <color indexed="55"/>
      </left>
      <right style="thin">
        <color indexed="55"/>
      </right>
      <top style="thin">
        <color indexed="55"/>
      </top>
      <bottom style="thin">
        <color indexed="55"/>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hair">
        <color auto="1"/>
      </left>
      <right style="hair">
        <color auto="1"/>
      </right>
      <top/>
      <bottom/>
      <diagonal/>
    </border>
    <border>
      <left style="hair">
        <color indexed="64"/>
      </left>
      <right/>
      <top/>
      <bottom/>
      <diagonal/>
    </border>
    <border>
      <left/>
      <right style="hair">
        <color indexed="64"/>
      </right>
      <top/>
      <bottom/>
      <diagonal/>
    </border>
    <border>
      <left/>
      <right style="hair">
        <color auto="1"/>
      </right>
      <top style="hair">
        <color auto="1"/>
      </top>
      <bottom/>
      <diagonal/>
    </border>
    <border>
      <left style="hair">
        <color auto="1"/>
      </left>
      <right/>
      <top/>
      <bottom/>
      <diagonal/>
    </border>
  </borders>
  <cellStyleXfs count="64">
    <xf numFmtId="0" fontId="0" fillId="0" borderId="0" applyProtection="1">
      <protection locked="0" hidden="0"/>
    </xf>
    <xf numFmtId="41" fontId="20" fillId="0" borderId="0"/>
    <xf numFmtId="43" fontId="20" fillId="0" borderId="0"/>
    <xf numFmtId="0" fontId="41" fillId="0" borderId="0" applyAlignment="1" applyProtection="1">
      <alignment vertical="top"/>
      <protection locked="0" hidden="0"/>
    </xf>
    <xf numFmtId="9" fontId="20" fillId="0" borderId="0" applyAlignment="1">
      <alignment vertical="center"/>
    </xf>
    <xf numFmtId="166" fontId="42" fillId="0" borderId="0" applyAlignment="1">
      <alignment horizontal="right"/>
    </xf>
    <xf numFmtId="49" fontId="42" fillId="0" borderId="0" applyAlignment="1">
      <alignment horizontal="left"/>
    </xf>
    <xf numFmtId="167" fontId="43" fillId="0" borderId="0" applyAlignment="1">
      <alignment horizontal="center"/>
    </xf>
    <xf numFmtId="168" fontId="31" fillId="0" borderId="0"/>
    <xf numFmtId="169" fontId="31" fillId="0" borderId="0"/>
    <xf numFmtId="170" fontId="42" fillId="0" borderId="0" applyAlignment="1">
      <alignment horizontal="right"/>
    </xf>
    <xf numFmtId="3" fontId="44" fillId="0" borderId="0"/>
    <xf numFmtId="171" fontId="42" fillId="0" borderId="0" applyAlignment="1">
      <alignment horizontal="right"/>
    </xf>
    <xf numFmtId="41" fontId="45" fillId="0" borderId="0"/>
    <xf numFmtId="172" fontId="31" fillId="0" borderId="0"/>
    <xf numFmtId="173" fontId="42" fillId="0" borderId="0" applyAlignment="1">
      <alignment horizontal="right"/>
    </xf>
    <xf numFmtId="174" fontId="42" fillId="0" borderId="0" applyAlignment="1">
      <alignment horizontal="right"/>
    </xf>
    <xf numFmtId="0" fontId="46" fillId="0" borderId="0" applyAlignment="1" applyProtection="1">
      <alignment vertical="top"/>
      <protection locked="0" hidden="0"/>
    </xf>
    <xf numFmtId="175" fontId="43" fillId="0" borderId="0" applyAlignment="1">
      <alignment horizontal="center"/>
    </xf>
    <xf numFmtId="176" fontId="42" fillId="0" borderId="0" applyAlignment="1">
      <alignment horizontal="right"/>
    </xf>
    <xf numFmtId="177" fontId="47" fillId="0" borderId="0" applyAlignment="1">
      <alignment horizontal="right"/>
    </xf>
    <xf numFmtId="178" fontId="48" fillId="0" borderId="12"/>
    <xf numFmtId="179" fontId="31" fillId="0" borderId="0"/>
    <xf numFmtId="41" fontId="31" fillId="0" borderId="0"/>
    <xf numFmtId="43" fontId="31" fillId="0" borderId="0"/>
    <xf numFmtId="164" fontId="42" fillId="0" borderId="0"/>
    <xf numFmtId="0" fontId="49" fillId="0" borderId="0" applyAlignment="1" applyProtection="1">
      <alignment vertical="top"/>
      <protection locked="0" hidden="0"/>
    </xf>
    <xf numFmtId="38" fontId="50" fillId="6" borderId="0"/>
    <xf numFmtId="10" fontId="50" fillId="7" borderId="11"/>
    <xf numFmtId="180" fontId="20" fillId="0" borderId="0"/>
    <xf numFmtId="181" fontId="20" fillId="0" borderId="0"/>
    <xf numFmtId="0" fontId="51" fillId="0" borderId="0"/>
    <xf numFmtId="182" fontId="20" fillId="0" borderId="0"/>
    <xf numFmtId="0" fontId="52" fillId="0" borderId="0"/>
    <xf numFmtId="10" fontId="31" fillId="0" borderId="0"/>
    <xf numFmtId="3" fontId="53" fillId="0" borderId="0"/>
    <xf numFmtId="0" fontId="20" fillId="0" borderId="0" applyProtection="1">
      <protection locked="0" hidden="0"/>
    </xf>
    <xf numFmtId="0" fontId="54" fillId="0" borderId="0"/>
    <xf numFmtId="0" fontId="20" fillId="0" borderId="0" applyProtection="1">
      <protection locked="0" hidden="0"/>
    </xf>
    <xf numFmtId="164" fontId="20" fillId="0" borderId="0" applyProtection="1">
      <protection locked="0" hidden="0"/>
    </xf>
    <xf numFmtId="0" fontId="10" fillId="0" borderId="0"/>
    <xf numFmtId="164" fontId="20" fillId="0" borderId="0"/>
    <xf numFmtId="0" fontId="20" fillId="0" borderId="0" applyAlignment="1">
      <alignment vertical="center"/>
    </xf>
    <xf numFmtId="0" fontId="55" fillId="0" borderId="0"/>
    <xf numFmtId="0" fontId="20" fillId="0" borderId="0"/>
    <xf numFmtId="0" fontId="20" fillId="0" borderId="0"/>
    <xf numFmtId="0" fontId="20" fillId="0" borderId="0" applyAlignment="1">
      <alignment vertical="center"/>
    </xf>
    <xf numFmtId="0" fontId="56" fillId="0" borderId="0"/>
    <xf numFmtId="43" fontId="20" fillId="0" borderId="0"/>
    <xf numFmtId="43" fontId="45" fillId="0" borderId="0"/>
    <xf numFmtId="0" fontId="2" fillId="0" borderId="0" applyAlignment="1">
      <alignment vertical="center"/>
    </xf>
    <xf numFmtId="164" fontId="54" fillId="0" borderId="0" applyAlignment="1">
      <alignment vertical="center"/>
    </xf>
    <xf numFmtId="0" fontId="54" fillId="0" borderId="0" applyAlignment="1">
      <alignment vertical="center"/>
    </xf>
    <xf numFmtId="164" fontId="20" fillId="0" borderId="0" applyProtection="1">
      <protection locked="0" hidden="0"/>
    </xf>
    <xf numFmtId="164" fontId="20" fillId="0" borderId="0" applyAlignment="1">
      <alignment vertical="center"/>
    </xf>
    <xf numFmtId="43" fontId="70" fillId="0" borderId="0" applyAlignment="1">
      <alignment vertical="center"/>
    </xf>
    <xf numFmtId="164" fontId="20" fillId="0" borderId="0"/>
    <xf numFmtId="164" fontId="20" fillId="0" borderId="0" applyProtection="1">
      <protection locked="0" hidden="0"/>
    </xf>
    <xf numFmtId="164" fontId="54" fillId="0" borderId="0" applyAlignment="1">
      <alignment vertical="center"/>
    </xf>
    <xf numFmtId="164" fontId="20" fillId="0" borderId="0"/>
    <xf numFmtId="0" fontId="20" fillId="0" borderId="0" applyProtection="1">
      <protection locked="0" hidden="0"/>
    </xf>
    <xf numFmtId="43" fontId="20" fillId="0" borderId="0" applyAlignment="1">
      <alignment vertical="center"/>
    </xf>
    <xf numFmtId="43" fontId="20" fillId="0" borderId="0"/>
    <xf numFmtId="164" fontId="2" fillId="0" borderId="0" applyAlignment="1">
      <alignment vertical="center"/>
    </xf>
  </cellStyleXfs>
  <cellXfs count="458">
    <xf numFmtId="0" fontId="0" fillId="0" borderId="0" applyProtection="1" pivotButton="0" quotePrefix="0" xfId="0">
      <protection locked="0" hidden="0"/>
    </xf>
    <xf numFmtId="0" fontId="3"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3" fontId="4" fillId="0" borderId="0" applyAlignment="1" pivotButton="0" quotePrefix="0" xfId="45">
      <alignment vertical="center"/>
    </xf>
    <xf numFmtId="0" fontId="4" fillId="0" borderId="0" applyAlignment="1" applyProtection="1" pivotButton="0" quotePrefix="0" xfId="0">
      <alignment vertical="center" wrapText="1"/>
      <protection locked="0" hidden="0"/>
    </xf>
    <xf numFmtId="43" fontId="4" fillId="0" borderId="0" applyAlignment="1" pivotButton="0" quotePrefix="0" xfId="45">
      <alignment horizontal="left" vertical="center"/>
    </xf>
    <xf numFmtId="14" fontId="4" fillId="0" borderId="0" applyAlignment="1" applyProtection="1" pivotButton="0" quotePrefix="0" xfId="0">
      <alignment vertical="center"/>
      <protection locked="0" hidden="0"/>
    </xf>
    <xf numFmtId="0" fontId="8" fillId="0" borderId="0" applyAlignment="1" pivotButton="0" quotePrefix="0" xfId="44">
      <alignment vertical="center"/>
    </xf>
    <xf numFmtId="0" fontId="4" fillId="0" borderId="0" applyAlignment="1" applyProtection="1" pivotButton="0" quotePrefix="0" xfId="36">
      <alignment vertical="center"/>
      <protection locked="0" hidden="0"/>
    </xf>
    <xf numFmtId="0" fontId="4" fillId="0"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4" fillId="0" borderId="0" applyAlignment="1" pivotButton="0" quotePrefix="0" xfId="42">
      <alignment vertical="center"/>
    </xf>
    <xf numFmtId="0" fontId="7" fillId="0" borderId="0" applyAlignment="1" pivotButton="0" quotePrefix="0" xfId="42">
      <alignment vertical="center"/>
    </xf>
    <xf numFmtId="0" fontId="4" fillId="0" borderId="0" applyAlignment="1" applyProtection="1" pivotButton="0" quotePrefix="0" xfId="36">
      <alignment vertical="center"/>
      <protection locked="0" hidden="0"/>
    </xf>
    <xf numFmtId="0" fontId="4" fillId="0" borderId="0" applyProtection="1" pivotButton="0" quotePrefix="0" xfId="36">
      <protection locked="0" hidden="0"/>
    </xf>
    <xf numFmtId="0" fontId="6" fillId="0" borderId="0" applyProtection="1" pivotButton="0" quotePrefix="0" xfId="36">
      <protection locked="0" hidden="0"/>
    </xf>
    <xf numFmtId="0" fontId="7" fillId="0" borderId="0" applyAlignment="1" applyProtection="1" pivotButton="0" quotePrefix="0" xfId="0">
      <alignment vertical="center" wrapText="1"/>
      <protection locked="0" hidden="0"/>
    </xf>
    <xf numFmtId="49" fontId="4" fillId="0" borderId="0" applyAlignment="1" pivotButton="0" quotePrefix="0" xfId="45">
      <alignment vertical="center"/>
    </xf>
    <xf numFmtId="0" fontId="12" fillId="0" borderId="0" applyAlignment="1" pivotButton="0" quotePrefix="0" xfId="36">
      <alignment vertical="center"/>
    </xf>
    <xf numFmtId="0" fontId="13" fillId="0" borderId="0" applyAlignment="1" pivotButton="0" quotePrefix="0" xfId="36">
      <alignment horizontal="center"/>
    </xf>
    <xf numFmtId="0" fontId="4" fillId="0" borderId="0" applyAlignment="1" applyProtection="1" pivotButton="0" quotePrefix="0" xfId="36">
      <alignment vertical="center" wrapText="1"/>
      <protection locked="0" hidden="0"/>
    </xf>
    <xf numFmtId="0" fontId="6" fillId="0" borderId="0" applyAlignment="1" pivotButton="0" quotePrefix="0" xfId="36">
      <alignment horizontal="left" vertical="center"/>
    </xf>
    <xf numFmtId="0" fontId="4" fillId="0" borderId="0" applyAlignment="1" pivotButton="0" quotePrefix="0" xfId="46">
      <alignment vertical="center"/>
    </xf>
    <xf numFmtId="164" fontId="6" fillId="2" borderId="1" applyAlignment="1" applyProtection="1" pivotButton="0" quotePrefix="0" xfId="41">
      <alignment horizontal="center" vertical="center"/>
      <protection locked="0" hidden="0"/>
    </xf>
    <xf numFmtId="43" fontId="5" fillId="3" borderId="1" applyAlignment="1" pivotButton="0" quotePrefix="0" xfId="2">
      <alignment vertical="center"/>
    </xf>
    <xf numFmtId="0" fontId="12" fillId="0" borderId="1" applyAlignment="1" pivotButton="0" quotePrefix="0" xfId="0">
      <alignment horizontal="center" vertical="center"/>
    </xf>
    <xf numFmtId="0" fontId="16" fillId="0" borderId="0" applyAlignment="1" pivotButton="0" quotePrefix="0" xfId="0">
      <alignment vertical="center"/>
    </xf>
    <xf numFmtId="0" fontId="4" fillId="0" borderId="4" applyAlignment="1" applyProtection="1" pivotButton="0" quotePrefix="0" xfId="36">
      <alignment vertical="center"/>
      <protection locked="0" hidden="0"/>
    </xf>
    <xf numFmtId="0" fontId="10" fillId="0" borderId="0" applyAlignment="1" applyProtection="1" pivotButton="0" quotePrefix="0" xfId="0">
      <alignment vertical="center" wrapText="1"/>
      <protection locked="0" hidden="0"/>
    </xf>
    <xf numFmtId="14" fontId="4" fillId="0" borderId="0" applyAlignment="1" pivotButton="0" quotePrefix="0" xfId="45">
      <alignment vertical="center"/>
    </xf>
    <xf numFmtId="14" fontId="4" fillId="0" borderId="0" applyAlignment="1" applyProtection="1" pivotButton="0" quotePrefix="0" xfId="36">
      <alignment vertical="center"/>
      <protection locked="0" hidden="0"/>
    </xf>
    <xf numFmtId="0" fontId="4" fillId="0" borderId="0" applyAlignment="1" applyProtection="1" pivotButton="0" quotePrefix="0" xfId="36">
      <alignment horizontal="right" vertical="center"/>
      <protection locked="0" hidden="0"/>
    </xf>
    <xf numFmtId="0" fontId="4" fillId="0" borderId="0" applyAlignment="1" applyProtection="1" pivotButton="0" quotePrefix="0" xfId="36">
      <alignment horizontal="justify" vertical="center" wrapText="1"/>
      <protection locked="0" hidden="0"/>
    </xf>
    <xf numFmtId="164" fontId="12" fillId="2" borderId="2" applyAlignment="1" applyProtection="1" pivotButton="0" quotePrefix="0" xfId="41">
      <alignment horizontal="center" vertical="center"/>
      <protection locked="0" hidden="0"/>
    </xf>
    <xf numFmtId="0" fontId="4" fillId="0" borderId="4" applyProtection="1" pivotButton="0" quotePrefix="0" xfId="36">
      <protection locked="0" hidden="0"/>
    </xf>
    <xf numFmtId="0" fontId="4" fillId="0" borderId="0" applyProtection="1" pivotButton="0" quotePrefix="0" xfId="36">
      <protection locked="0" hidden="0"/>
    </xf>
    <xf numFmtId="0" fontId="6" fillId="0" borderId="0" applyAlignment="1" pivotButton="0" quotePrefix="0" xfId="42">
      <alignment vertical="center"/>
    </xf>
    <xf numFmtId="0" fontId="3" fillId="0" borderId="0" applyAlignment="1" pivotButton="0" quotePrefix="0" xfId="42">
      <alignment vertical="center"/>
    </xf>
    <xf numFmtId="43" fontId="10" fillId="0" borderId="0" applyAlignment="1" pivotButton="0" quotePrefix="0" xfId="45">
      <alignment vertical="center"/>
    </xf>
    <xf numFmtId="0" fontId="0" fillId="0" borderId="0" applyAlignment="1" applyProtection="1" pivotButton="0" quotePrefix="0" xfId="0">
      <alignment vertical="center"/>
      <protection locked="0" hidden="0"/>
    </xf>
    <xf numFmtId="0" fontId="8" fillId="0" borderId="0" applyAlignment="1" pivotButton="0" quotePrefix="0" xfId="43">
      <alignment vertical="center"/>
    </xf>
    <xf numFmtId="43" fontId="9" fillId="0" borderId="0" applyAlignment="1" pivotButton="0" quotePrefix="0" xfId="45">
      <alignment vertical="center"/>
    </xf>
    <xf numFmtId="43" fontId="4" fillId="0" borderId="0" applyAlignment="1" pivotButton="0" quotePrefix="0" xfId="45">
      <alignment vertical="center"/>
    </xf>
    <xf numFmtId="43" fontId="4" fillId="0" borderId="0" applyAlignment="1" pivotButton="0" quotePrefix="0" xfId="45">
      <alignment horizontal="left" vertical="center"/>
    </xf>
    <xf numFmtId="0" fontId="19" fillId="0" borderId="0" applyAlignment="1" applyProtection="1" pivotButton="0" quotePrefix="0" xfId="0">
      <alignment horizontal="left" vertical="center"/>
      <protection locked="0" hidden="0"/>
    </xf>
    <xf numFmtId="0" fontId="20" fillId="0" borderId="0" applyAlignment="1" applyProtection="1" pivotButton="0" quotePrefix="0" xfId="0">
      <alignment vertical="center"/>
      <protection locked="0" hidden="0"/>
    </xf>
    <xf numFmtId="0" fontId="21" fillId="0" borderId="0" applyAlignment="1" applyProtection="1" pivotButton="0" quotePrefix="0" xfId="0">
      <alignment horizontal="left" vertical="center"/>
      <protection locked="0" hidden="0"/>
    </xf>
    <xf numFmtId="0" fontId="22" fillId="0" borderId="8" applyAlignment="1" applyProtection="1" pivotButton="0" quotePrefix="0" xfId="0">
      <alignment horizontal="justify" vertical="center" wrapText="1"/>
      <protection locked="0" hidden="0"/>
    </xf>
    <xf numFmtId="0" fontId="22" fillId="0" borderId="8" applyAlignment="1" applyProtection="1" pivotButton="0" quotePrefix="0" xfId="0">
      <alignment horizontal="right" vertical="center" wrapText="1"/>
      <protection locked="0" hidden="0"/>
    </xf>
    <xf numFmtId="0" fontId="19" fillId="0" borderId="0" applyAlignment="1" applyProtection="1" pivotButton="0" quotePrefix="0" xfId="0">
      <alignment horizontal="justify" vertical="center" wrapText="1"/>
      <protection locked="0" hidden="0"/>
    </xf>
    <xf numFmtId="43" fontId="7" fillId="0" borderId="0" applyAlignment="1" applyProtection="1" pivotButton="0" quotePrefix="0" xfId="0">
      <alignment horizontal="right" vertical="center" wrapText="1"/>
      <protection locked="0" hidden="0"/>
    </xf>
    <xf numFmtId="0" fontId="23" fillId="0" borderId="8" applyAlignment="1" applyProtection="1" pivotButton="0" quotePrefix="0" xfId="0">
      <alignment horizontal="justify" vertical="center" wrapText="1"/>
      <protection locked="0" hidden="0"/>
    </xf>
    <xf numFmtId="43" fontId="3" fillId="0" borderId="8" applyAlignment="1" applyProtection="1" pivotButton="0" quotePrefix="0" xfId="2">
      <alignment horizontal="right" vertical="center" wrapText="1" shrinkToFit="1"/>
      <protection locked="0" hidden="0"/>
    </xf>
    <xf numFmtId="49" fontId="4" fillId="0" borderId="0" applyAlignment="1" pivotButton="0" quotePrefix="0" xfId="45">
      <alignment vertical="center"/>
    </xf>
    <xf numFmtId="0" fontId="24" fillId="0" borderId="0" applyAlignment="1" applyProtection="1" pivotButton="0" quotePrefix="0" xfId="0">
      <alignment horizontal="justify" vertical="center" wrapText="1"/>
      <protection locked="0" hidden="0"/>
    </xf>
    <xf numFmtId="43" fontId="25" fillId="0" borderId="0" applyAlignment="1" applyProtection="1" pivotButton="0" quotePrefix="0" xfId="0">
      <alignment vertical="center" wrapText="1"/>
      <protection locked="0" hidden="0"/>
    </xf>
    <xf numFmtId="43" fontId="7" fillId="0" borderId="0" applyAlignment="1" pivotButton="0" quotePrefix="0" xfId="45">
      <alignment vertical="center"/>
    </xf>
    <xf numFmtId="43" fontId="6" fillId="0" borderId="0" applyAlignment="1" pivotButton="0" quotePrefix="0" xfId="45">
      <alignment vertical="center"/>
    </xf>
    <xf numFmtId="43" fontId="6" fillId="0" borderId="0" applyAlignment="1" pivotButton="0" quotePrefix="0" xfId="45">
      <alignment vertical="center"/>
    </xf>
    <xf numFmtId="164" fontId="8" fillId="2" borderId="1" applyAlignment="1" applyProtection="1" pivotButton="0" quotePrefix="0" xfId="41">
      <alignment horizontal="center" vertical="center" wrapText="1"/>
      <protection locked="0" hidden="0"/>
    </xf>
    <xf numFmtId="0" fontId="26" fillId="0" borderId="1" applyAlignment="1" pivotButton="0" quotePrefix="0" xfId="0">
      <alignment horizontal="left" vertical="center"/>
    </xf>
    <xf numFmtId="43" fontId="6" fillId="0" borderId="4" applyAlignment="1" pivotButton="0" quotePrefix="0" xfId="45">
      <alignment horizontal="center" vertical="center"/>
    </xf>
    <xf numFmtId="43" fontId="27" fillId="0" borderId="4" applyAlignment="1" pivotButton="0" quotePrefix="0" xfId="3">
      <alignment horizontal="center" vertical="center"/>
    </xf>
    <xf numFmtId="0" fontId="4" fillId="0" borderId="0" applyAlignment="1" pivotButton="0" quotePrefix="0" xfId="43">
      <alignment vertical="center"/>
    </xf>
    <xf numFmtId="9" fontId="28" fillId="0" borderId="0" applyAlignment="1" pivotButton="0" quotePrefix="0" xfId="4">
      <alignment horizontal="left" vertical="center"/>
    </xf>
    <xf numFmtId="0" fontId="10" fillId="0" borderId="0" applyAlignment="1" pivotButton="0" quotePrefix="0" xfId="43">
      <alignment horizontal="left" vertical="center"/>
    </xf>
    <xf numFmtId="0" fontId="4" fillId="0" borderId="0" applyAlignment="1" pivotButton="0" quotePrefix="0" xfId="43">
      <alignment horizontal="left" vertical="center"/>
    </xf>
    <xf numFmtId="0" fontId="6" fillId="0" borderId="0" applyAlignment="1" pivotButton="0" quotePrefix="0" xfId="43">
      <alignment vertical="center"/>
    </xf>
    <xf numFmtId="43" fontId="29" fillId="0" borderId="0" applyAlignment="1" pivotButton="0" quotePrefix="0" xfId="3">
      <alignment horizontal="center" vertical="center"/>
    </xf>
    <xf numFmtId="0" fontId="8" fillId="0" borderId="0" applyAlignment="1" pivotButton="0" quotePrefix="0" xfId="43">
      <alignment vertical="center"/>
    </xf>
    <xf numFmtId="14" fontId="4" fillId="0" borderId="0" applyAlignment="1" pivotButton="0" quotePrefix="0" xfId="45">
      <alignment horizontal="left" vertical="center"/>
    </xf>
    <xf numFmtId="164" fontId="16" fillId="2" borderId="1" applyAlignment="1" applyProtection="1" pivotButton="0" quotePrefix="0" xfId="39">
      <alignment horizontal="center" vertical="center" wrapText="1"/>
      <protection locked="0" hidden="0"/>
    </xf>
    <xf numFmtId="164" fontId="8" fillId="2" borderId="1" applyAlignment="1" applyProtection="1" pivotButton="0" quotePrefix="0" xfId="39">
      <alignment horizontal="center" vertical="center"/>
      <protection locked="0" hidden="0"/>
    </xf>
    <xf numFmtId="164" fontId="8" fillId="2" borderId="1" applyAlignment="1" applyProtection="1" pivotButton="0" quotePrefix="0" xfId="39">
      <alignment horizontal="center" vertical="center"/>
      <protection locked="0" hidden="0"/>
    </xf>
    <xf numFmtId="43" fontId="4" fillId="0" borderId="1" applyAlignment="1" pivotButton="0" quotePrefix="0" xfId="2">
      <alignment horizontal="right" vertical="center" wrapText="1"/>
    </xf>
    <xf numFmtId="43" fontId="4" fillId="0" borderId="4" applyAlignment="1" pivotButton="0" quotePrefix="0" xfId="45">
      <alignment vertical="center"/>
    </xf>
    <xf numFmtId="0" fontId="7" fillId="0" borderId="0" applyAlignment="1" pivotButton="0" quotePrefix="0" xfId="42">
      <alignment vertical="center"/>
    </xf>
    <xf numFmtId="0" fontId="4" fillId="0" borderId="0" applyAlignment="1" applyProtection="1" pivotButton="0" quotePrefix="0" xfId="36">
      <alignment horizontal="center" vertical="center"/>
      <protection locked="0" hidden="0"/>
    </xf>
    <xf numFmtId="0" fontId="6" fillId="4" borderId="0" applyAlignment="1" applyProtection="1" pivotButton="0" quotePrefix="0" xfId="36">
      <alignment vertical="center"/>
      <protection locked="0" hidden="0"/>
    </xf>
    <xf numFmtId="0" fontId="30" fillId="0" borderId="0" applyAlignment="1" pivotButton="0" quotePrefix="0" xfId="46">
      <alignment vertical="center"/>
    </xf>
    <xf numFmtId="0" fontId="4" fillId="4" borderId="0" applyAlignment="1" applyProtection="1" pivotButton="0" quotePrefix="0" xfId="36">
      <alignment vertical="center"/>
      <protection locked="0" hidden="0"/>
    </xf>
    <xf numFmtId="0" fontId="6" fillId="0" borderId="0" applyAlignment="1" applyProtection="1" pivotButton="0" quotePrefix="0" xfId="36">
      <alignment vertical="center"/>
      <protection locked="0" hidden="0"/>
    </xf>
    <xf numFmtId="49" fontId="4" fillId="0" borderId="0" applyAlignment="1" pivotButton="0" quotePrefix="0" xfId="46">
      <alignment horizontal="left" vertical="center"/>
    </xf>
    <xf numFmtId="0" fontId="4" fillId="0" borderId="9" applyAlignment="1" pivotButton="0" quotePrefix="0" xfId="46">
      <alignment vertical="center"/>
    </xf>
    <xf numFmtId="0" fontId="4" fillId="0" borderId="0" applyAlignment="1" pivotButton="0" quotePrefix="0" xfId="46">
      <alignment vertical="center"/>
    </xf>
    <xf numFmtId="0" fontId="8" fillId="4" borderId="0" applyAlignment="1" applyProtection="1" pivotButton="0" quotePrefix="0" xfId="36">
      <alignment vertical="center"/>
      <protection locked="0" hidden="0"/>
    </xf>
    <xf numFmtId="0" fontId="0" fillId="0" borderId="0" applyAlignment="1" applyProtection="1" pivotButton="0" quotePrefix="0" xfId="0">
      <alignment vertical="center"/>
      <protection locked="0" hidden="0"/>
    </xf>
    <xf numFmtId="0" fontId="36" fillId="0" borderId="0" applyProtection="1" pivotButton="0" quotePrefix="0" xfId="0">
      <protection locked="0" hidden="0"/>
    </xf>
    <xf numFmtId="0" fontId="9" fillId="0" borderId="0" applyAlignment="1" applyProtection="1" pivotButton="0" quotePrefix="0" xfId="0">
      <alignment vertical="center"/>
      <protection locked="0" hidden="0"/>
    </xf>
    <xf numFmtId="0" fontId="36" fillId="0" borderId="0" applyAlignment="1" applyProtection="1" pivotButton="0" quotePrefix="0" xfId="0">
      <alignment vertical="center"/>
      <protection locked="0" hidden="0"/>
    </xf>
    <xf numFmtId="0" fontId="20" fillId="0" borderId="0" applyAlignment="1" applyProtection="1" pivotButton="0" quotePrefix="0" xfId="0">
      <alignment vertical="center"/>
      <protection locked="0" hidden="0"/>
    </xf>
    <xf numFmtId="0" fontId="37" fillId="0" borderId="0" applyAlignment="1" applyProtection="1" pivotButton="0" quotePrefix="0" xfId="0">
      <alignment horizontal="justify" wrapText="1"/>
      <protection locked="0" hidden="0"/>
    </xf>
    <xf numFmtId="0" fontId="20" fillId="0" borderId="0" applyAlignment="1" applyProtection="1" pivotButton="0" quotePrefix="0" xfId="0">
      <alignment horizontal="center" vertical="center"/>
      <protection locked="0" hidden="0"/>
    </xf>
    <xf numFmtId="0" fontId="20" fillId="0" borderId="10" applyAlignment="1" applyProtection="1" pivotButton="0" quotePrefix="0" xfId="0">
      <alignment horizontal="center" vertical="center"/>
      <protection locked="0" hidden="0"/>
    </xf>
    <xf numFmtId="0" fontId="38" fillId="0" borderId="0" applyAlignment="1" applyProtection="1" pivotButton="0" quotePrefix="0" xfId="0">
      <alignment horizontal="justify" wrapText="1"/>
      <protection locked="0" hidden="0"/>
    </xf>
    <xf numFmtId="0" fontId="12" fillId="0" borderId="11" applyAlignment="1" pivotButton="0" quotePrefix="0" xfId="0">
      <alignment horizontal="center" vertical="center"/>
    </xf>
    <xf numFmtId="0" fontId="38" fillId="0" borderId="0" applyAlignment="1" applyProtection="1" pivotButton="0" quotePrefix="0" xfId="0">
      <alignment horizontal="justify" vertical="top" wrapText="1"/>
      <protection locked="0" hidden="0"/>
    </xf>
    <xf numFmtId="0" fontId="36" fillId="0" borderId="0" applyProtection="1" pivotButton="0" quotePrefix="0" xfId="0">
      <protection locked="0" hidden="0"/>
    </xf>
    <xf numFmtId="0" fontId="5" fillId="0" borderId="11" applyAlignment="1" pivotButton="0" quotePrefix="0" xfId="0">
      <alignment vertical="center"/>
    </xf>
    <xf numFmtId="0" fontId="0" fillId="0" borderId="11" applyProtection="1" pivotButton="0" quotePrefix="0" xfId="0">
      <protection locked="0" hidden="0"/>
    </xf>
    <xf numFmtId="0" fontId="40" fillId="0" borderId="0" applyAlignment="1" applyProtection="1" pivotButton="0" quotePrefix="0" xfId="0">
      <alignment horizontal="justify" wrapText="1"/>
      <protection locked="0" hidden="0"/>
    </xf>
    <xf numFmtId="0" fontId="5" fillId="0" borderId="11" applyAlignment="1" pivotButton="0" quotePrefix="0" xfId="0">
      <alignment horizontal="center" vertical="center"/>
    </xf>
    <xf numFmtId="0" fontId="12" fillId="0" borderId="11" applyAlignment="1" pivotButton="0" quotePrefix="0" xfId="0">
      <alignment vertical="center"/>
    </xf>
    <xf numFmtId="0" fontId="0" fillId="0" borderId="0" applyProtection="1" pivotButton="0" quotePrefix="0" xfId="0">
      <protection locked="0" hidden="0"/>
    </xf>
    <xf numFmtId="0" fontId="63" fillId="0" borderId="0" applyAlignment="1" pivotButton="0" quotePrefix="0" xfId="0">
      <alignment horizontal="right" vertical="center"/>
    </xf>
    <xf numFmtId="0" fontId="10" fillId="0" borderId="0" applyAlignment="1" applyProtection="1" pivotButton="0" quotePrefix="0" xfId="36">
      <alignment horizontal="right" vertical="center"/>
      <protection locked="0" hidden="0"/>
    </xf>
    <xf numFmtId="0" fontId="64" fillId="0" borderId="11" applyAlignment="1" pivotButton="0" quotePrefix="0" xfId="3">
      <alignment vertical="center"/>
    </xf>
    <xf numFmtId="0" fontId="64" fillId="0" borderId="11" applyAlignment="1" pivotButton="0" quotePrefix="1" xfId="3">
      <alignment vertical="center"/>
    </xf>
    <xf numFmtId="43" fontId="4" fillId="0" borderId="0" applyAlignment="1" pivotButton="0" quotePrefix="0" xfId="45">
      <alignment horizontal="right" vertical="center"/>
    </xf>
    <xf numFmtId="49" fontId="4" fillId="0" borderId="0" applyAlignment="1" pivotButton="0" quotePrefix="0" xfId="45">
      <alignment horizontal="left" vertical="center"/>
    </xf>
    <xf numFmtId="0" fontId="22" fillId="0" borderId="0" applyAlignment="1" applyProtection="1" pivotButton="0" quotePrefix="0" xfId="0">
      <alignment horizontal="right" vertical="center" wrapText="1"/>
      <protection locked="0" hidden="0"/>
    </xf>
    <xf numFmtId="43" fontId="3" fillId="0" borderId="0" applyAlignment="1" applyProtection="1" pivotButton="0" quotePrefix="0" xfId="2">
      <alignment horizontal="right" vertical="center" wrapText="1" shrinkToFit="1"/>
      <protection locked="0" hidden="0"/>
    </xf>
    <xf numFmtId="43" fontId="5" fillId="8" borderId="1" applyAlignment="1" pivotButton="0" quotePrefix="0" xfId="2">
      <alignment horizontal="right" vertical="center"/>
    </xf>
    <xf numFmtId="43" fontId="4" fillId="8" borderId="1" applyAlignment="1" pivotButton="0" quotePrefix="0" xfId="2">
      <alignment horizontal="right" vertical="center" wrapText="1"/>
    </xf>
    <xf numFmtId="10" fontId="4" fillId="8" borderId="1" applyAlignment="1" pivotButton="0" quotePrefix="0" xfId="4">
      <alignment horizontal="right" vertical="center" wrapText="1"/>
    </xf>
    <xf numFmtId="43" fontId="17" fillId="8" borderId="1" applyAlignment="1" pivotButton="0" quotePrefix="0" xfId="41">
      <alignment horizontal="right" vertical="center" shrinkToFit="1"/>
    </xf>
    <xf numFmtId="0" fontId="4" fillId="0" borderId="0" applyAlignment="1" applyProtection="1" pivotButton="0" quotePrefix="0" xfId="36">
      <alignment horizontal="center" vertical="center" wrapText="1"/>
      <protection locked="0" hidden="0"/>
    </xf>
    <xf numFmtId="0" fontId="6" fillId="0" borderId="0" applyAlignment="1" applyProtection="1" pivotButton="0" quotePrefix="0" xfId="36">
      <alignment horizontal="justify" vertical="center"/>
      <protection locked="0" hidden="0"/>
    </xf>
    <xf numFmtId="0" fontId="4" fillId="0" borderId="1" applyAlignment="1" applyProtection="1" pivotButton="0" quotePrefix="0" xfId="36">
      <alignment vertical="center" wrapText="1"/>
      <protection locked="0" hidden="0"/>
    </xf>
    <xf numFmtId="49" fontId="4" fillId="0" borderId="1" applyAlignment="1" pivotButton="0" quotePrefix="0" xfId="46">
      <alignment horizontal="center" vertical="center"/>
    </xf>
    <xf numFmtId="0" fontId="10" fillId="0" borderId="1" applyAlignment="1" applyProtection="1" pivotButton="0" quotePrefix="0" xfId="50">
      <alignment horizontal="center" vertical="center"/>
      <protection locked="0" hidden="0"/>
    </xf>
    <xf numFmtId="0" fontId="4" fillId="0" borderId="2" applyAlignment="1" applyProtection="1" pivotButton="0" quotePrefix="0" xfId="36">
      <alignment horizontal="center" vertical="center" wrapText="1" shrinkToFit="1"/>
      <protection locked="0" hidden="0"/>
    </xf>
    <xf numFmtId="0" fontId="10" fillId="0" borderId="1" applyAlignment="1" applyProtection="1" pivotButton="0" quotePrefix="0" xfId="38">
      <alignment horizontal="left" vertical="center" wrapText="1"/>
      <protection locked="0" hidden="0"/>
    </xf>
    <xf numFmtId="0" fontId="8" fillId="9" borderId="6" applyAlignment="1" applyProtection="1" pivotButton="0" quotePrefix="0" xfId="50">
      <alignment horizontal="center" vertical="center"/>
      <protection locked="0" hidden="0"/>
    </xf>
    <xf numFmtId="0" fontId="8" fillId="9" borderId="6" applyAlignment="1" applyProtection="1" pivotButton="0" quotePrefix="0" xfId="50">
      <alignment horizontal="center" vertical="center" wrapText="1"/>
      <protection locked="0" hidden="0"/>
    </xf>
    <xf numFmtId="0" fontId="65" fillId="0" borderId="1" applyAlignment="1" pivotButton="0" quotePrefix="0" xfId="50">
      <alignment horizontal="center" vertical="center" wrapText="1"/>
    </xf>
    <xf numFmtId="0" fontId="34" fillId="0" borderId="1" applyAlignment="1" pivotButton="0" quotePrefix="0" xfId="50">
      <alignment horizontal="center" vertical="center" wrapText="1"/>
    </xf>
    <xf numFmtId="0" fontId="5" fillId="0" borderId="0" applyAlignment="1" pivotButton="0" quotePrefix="0" xfId="38">
      <alignment horizontal="left" vertical="center"/>
    </xf>
    <xf numFmtId="0" fontId="67" fillId="0" borderId="0" applyAlignment="1" pivotButton="0" quotePrefix="0" xfId="38">
      <alignment horizontal="left" vertical="center"/>
    </xf>
    <xf numFmtId="0" fontId="4" fillId="0" borderId="0" applyAlignment="1" applyProtection="1" pivotButton="0" quotePrefix="0" xfId="36">
      <alignment vertical="center"/>
      <protection locked="0" hidden="0"/>
    </xf>
    <xf numFmtId="0" fontId="12" fillId="0" borderId="0" applyAlignment="1" pivotButton="0" quotePrefix="0" xfId="52">
      <alignment vertical="center"/>
    </xf>
    <xf numFmtId="0" fontId="5" fillId="0" borderId="0" applyAlignment="1" pivotButton="0" quotePrefix="0" xfId="52">
      <alignment vertical="center"/>
    </xf>
    <xf numFmtId="14" fontId="5" fillId="0" borderId="0" applyAlignment="1" pivotButton="0" quotePrefix="0" xfId="52">
      <alignment vertical="center"/>
    </xf>
    <xf numFmtId="0" fontId="69" fillId="0" borderId="0" applyAlignment="1" pivotButton="0" quotePrefix="0" xfId="52">
      <alignment vertical="center"/>
    </xf>
    <xf numFmtId="164" fontId="12" fillId="0" borderId="0" applyAlignment="1" pivotButton="0" quotePrefix="0" xfId="53">
      <alignment vertical="center"/>
    </xf>
    <xf numFmtId="164" fontId="13" fillId="0" borderId="0" applyAlignment="1" pivotButton="0" quotePrefix="0" xfId="53">
      <alignment horizontal="center"/>
    </xf>
    <xf numFmtId="0" fontId="4" fillId="0" borderId="0" applyAlignment="1" applyProtection="1" pivotButton="0" quotePrefix="0" xfId="52">
      <alignment vertical="center"/>
      <protection locked="0" hidden="0"/>
    </xf>
    <xf numFmtId="164" fontId="4" fillId="0" borderId="0" applyAlignment="1" pivotButton="0" quotePrefix="0" xfId="54">
      <alignment vertical="center"/>
    </xf>
    <xf numFmtId="0" fontId="10" fillId="0" borderId="0" applyAlignment="1" applyProtection="1" pivotButton="0" quotePrefix="0" xfId="52">
      <alignment vertical="center"/>
      <protection locked="0" hidden="0"/>
    </xf>
    <xf numFmtId="164" fontId="20" fillId="0" borderId="0" applyProtection="1" pivotButton="0" quotePrefix="0" xfId="39">
      <protection locked="0" hidden="0"/>
    </xf>
    <xf numFmtId="0" fontId="10" fillId="0" borderId="0" applyAlignment="1" applyProtection="1" pivotButton="0" quotePrefix="0" xfId="52">
      <alignment horizontal="right" vertical="center"/>
      <protection locked="0" hidden="0"/>
    </xf>
    <xf numFmtId="164" fontId="10" fillId="0" borderId="0" applyAlignment="1" pivotButton="0" quotePrefix="0" xfId="53">
      <alignment vertical="center"/>
    </xf>
    <xf numFmtId="164" fontId="6" fillId="0" borderId="0" applyAlignment="1" pivotButton="0" quotePrefix="0" xfId="53">
      <alignment horizontal="left" vertical="center"/>
    </xf>
    <xf numFmtId="164" fontId="4" fillId="0" borderId="0" applyAlignment="1" applyProtection="1" pivotButton="0" quotePrefix="0" xfId="53">
      <alignment vertical="center"/>
      <protection locked="0" hidden="0"/>
    </xf>
    <xf numFmtId="14" fontId="5" fillId="10" borderId="1" applyAlignment="1" pivotButton="0" quotePrefix="0" xfId="55">
      <alignment horizontal="right" vertical="center"/>
    </xf>
    <xf numFmtId="0" fontId="12" fillId="9" borderId="1" applyAlignment="1" pivotButton="0" quotePrefix="0" xfId="52">
      <alignment horizontal="center" vertical="center" wrapText="1"/>
    </xf>
    <xf numFmtId="0" fontId="12" fillId="0" borderId="0" applyAlignment="1" pivotButton="0" quotePrefix="0" xfId="52">
      <alignment horizontal="center" vertical="center" wrapText="1"/>
    </xf>
    <xf numFmtId="0" fontId="5" fillId="0" borderId="1" applyAlignment="1" pivotButton="0" quotePrefix="0" xfId="52">
      <alignment vertical="center"/>
    </xf>
    <xf numFmtId="165" fontId="5" fillId="0" borderId="1" applyAlignment="1" pivotButton="0" quotePrefix="0" xfId="55">
      <alignment vertical="center"/>
    </xf>
    <xf numFmtId="14" fontId="5" fillId="0" borderId="1" applyAlignment="1" pivotButton="0" quotePrefix="0" xfId="52">
      <alignment vertical="center"/>
    </xf>
    <xf numFmtId="165" fontId="5" fillId="0" borderId="1" applyAlignment="1" pivotButton="0" quotePrefix="0" xfId="55">
      <alignment horizontal="right" vertical="center" shrinkToFit="1"/>
    </xf>
    <xf numFmtId="165" fontId="5" fillId="0" borderId="0" applyAlignment="1" pivotButton="0" quotePrefix="0" xfId="55">
      <alignment horizontal="right" vertical="center" shrinkToFit="1"/>
    </xf>
    <xf numFmtId="165" fontId="5" fillId="0" borderId="14" applyAlignment="1" pivotButton="0" quotePrefix="0" xfId="55">
      <alignment horizontal="right" vertical="center" shrinkToFit="1"/>
    </xf>
    <xf numFmtId="165" fontId="5" fillId="0" borderId="15" applyAlignment="1" pivotButton="0" quotePrefix="0" xfId="55">
      <alignment horizontal="right" vertical="center" shrinkToFit="1"/>
    </xf>
    <xf numFmtId="0" fontId="8" fillId="0" borderId="4" applyAlignment="1" applyProtection="1" pivotButton="0" quotePrefix="0" xfId="52">
      <alignment vertical="center"/>
      <protection locked="0" hidden="0"/>
    </xf>
    <xf numFmtId="0" fontId="8" fillId="0" borderId="0" applyAlignment="1" applyProtection="1" pivotButton="0" quotePrefix="0" xfId="52">
      <alignment vertical="center"/>
      <protection locked="0" hidden="0"/>
    </xf>
    <xf numFmtId="165" fontId="5" fillId="8" borderId="1" applyAlignment="1" pivotButton="0" quotePrefix="0" xfId="55">
      <alignment horizontal="right" vertical="center" shrinkToFit="1"/>
    </xf>
    <xf numFmtId="14" fontId="5" fillId="8" borderId="1" applyAlignment="1" pivotButton="0" quotePrefix="0" xfId="55">
      <alignment horizontal="right" vertical="center" shrinkToFit="1"/>
    </xf>
    <xf numFmtId="0" fontId="15" fillId="0" borderId="1" applyAlignment="1" pivotButton="0" quotePrefix="0" xfId="50">
      <alignment horizontal="center" vertical="center" wrapText="1"/>
    </xf>
    <xf numFmtId="0" fontId="8" fillId="0" borderId="1" applyAlignment="1" applyProtection="1" pivotButton="0" quotePrefix="0" xfId="50">
      <alignment horizontal="center" vertical="center"/>
      <protection locked="0" hidden="0"/>
    </xf>
    <xf numFmtId="0" fontId="10" fillId="0" borderId="1" applyAlignment="1" applyProtection="1" pivotButton="0" quotePrefix="0" xfId="50">
      <alignment horizontal="center" vertical="center" wrapText="1"/>
      <protection locked="0" hidden="0"/>
    </xf>
    <xf numFmtId="0" fontId="8" fillId="0" borderId="0" applyAlignment="1" pivotButton="0" quotePrefix="0" xfId="44">
      <alignment vertical="center"/>
    </xf>
    <xf numFmtId="0" fontId="4" fillId="0" borderId="0" applyAlignment="1" pivotButton="0" quotePrefix="0" xfId="44">
      <alignment horizontal="left" vertical="center"/>
    </xf>
    <xf numFmtId="164" fontId="20" fillId="0" borderId="0" applyProtection="1" pivotButton="0" quotePrefix="0" xfId="57">
      <protection locked="0" hidden="0"/>
    </xf>
    <xf numFmtId="164" fontId="5" fillId="0" borderId="0" applyAlignment="1" pivotButton="0" quotePrefix="0" xfId="51">
      <alignment vertical="center"/>
    </xf>
    <xf numFmtId="164" fontId="69" fillId="0" borderId="0" applyAlignment="1" pivotButton="0" quotePrefix="0" xfId="58">
      <alignment vertical="center"/>
    </xf>
    <xf numFmtId="164" fontId="16" fillId="9" borderId="1" applyAlignment="1" pivotButton="0" quotePrefix="0" xfId="57">
      <alignment vertical="center"/>
    </xf>
    <xf numFmtId="164" fontId="16" fillId="9" borderId="1" applyAlignment="1" pivotButton="0" quotePrefix="0" xfId="57">
      <alignment vertical="center" wrapText="1"/>
    </xf>
    <xf numFmtId="164" fontId="8" fillId="9" borderId="1" applyAlignment="1" applyProtection="1" pivotButton="0" quotePrefix="0" xfId="59">
      <alignment horizontal="center" vertical="center" wrapText="1"/>
      <protection locked="0" hidden="0"/>
    </xf>
    <xf numFmtId="164" fontId="76" fillId="9" borderId="1" applyAlignment="1" applyProtection="1" pivotButton="0" quotePrefix="0" xfId="59">
      <alignment horizontal="center" vertical="center" wrapText="1"/>
      <protection locked="0" hidden="0"/>
    </xf>
    <xf numFmtId="0" fontId="4" fillId="0" borderId="1" applyAlignment="1" applyProtection="1" pivotButton="0" quotePrefix="0" xfId="38">
      <alignment horizontal="left" vertical="center" wrapText="1"/>
      <protection locked="0" hidden="0"/>
    </xf>
    <xf numFmtId="0" fontId="4" fillId="0" borderId="1" applyAlignment="1" applyProtection="1" pivotButton="0" quotePrefix="0" xfId="38">
      <alignment horizontal="left" vertical="center" wrapText="1"/>
      <protection locked="0" hidden="0"/>
    </xf>
    <xf numFmtId="164" fontId="12" fillId="2" borderId="1" applyAlignment="1" applyProtection="1" pivotButton="0" quotePrefix="0" xfId="41">
      <alignment horizontal="center" vertical="center"/>
      <protection locked="0" hidden="0"/>
    </xf>
    <xf numFmtId="0" fontId="12" fillId="0" borderId="0" applyAlignment="1" pivotButton="0" quotePrefix="0" xfId="52">
      <alignment horizontal="center" vertical="center"/>
    </xf>
    <xf numFmtId="0" fontId="58" fillId="0" borderId="0" applyAlignment="1" pivotButton="0" quotePrefix="0" xfId="52">
      <alignment vertical="center"/>
    </xf>
    <xf numFmtId="0" fontId="16" fillId="9" borderId="1" applyAlignment="1" pivotButton="0" quotePrefix="0" xfId="52">
      <alignment horizontal="center" vertical="center"/>
    </xf>
    <xf numFmtId="164" fontId="16" fillId="9" borderId="1" applyAlignment="1" applyProtection="1" pivotButton="0" quotePrefix="0" xfId="58">
      <alignment horizontal="center" vertical="center"/>
      <protection locked="0" hidden="0"/>
    </xf>
    <xf numFmtId="0" fontId="16" fillId="0" borderId="1" applyAlignment="1" pivotButton="0" quotePrefix="0" xfId="52">
      <alignment horizontal="center" vertical="center"/>
    </xf>
    <xf numFmtId="0" fontId="12" fillId="0" borderId="1" applyAlignment="1" pivotButton="0" quotePrefix="0" xfId="52">
      <alignment horizontal="center" vertical="center"/>
    </xf>
    <xf numFmtId="0" fontId="63" fillId="0" borderId="1" applyAlignment="1" pivotButton="0" quotePrefix="0" xfId="52">
      <alignment vertical="center"/>
    </xf>
    <xf numFmtId="43" fontId="12" fillId="8" borderId="1" applyAlignment="1" pivotButton="0" quotePrefix="0" xfId="2">
      <alignment horizontal="center" vertical="center"/>
    </xf>
    <xf numFmtId="43" fontId="5" fillId="0" borderId="1" applyAlignment="1" pivotButton="0" quotePrefix="0" xfId="2">
      <alignment vertical="center"/>
    </xf>
    <xf numFmtId="43" fontId="5" fillId="0" borderId="1" applyAlignment="1" pivotButton="0" quotePrefix="0" xfId="2">
      <alignment vertical="center"/>
    </xf>
    <xf numFmtId="43" fontId="5" fillId="8" borderId="1" applyAlignment="1" pivotButton="0" quotePrefix="0" xfId="2">
      <alignment vertical="center"/>
    </xf>
    <xf numFmtId="0" fontId="63" fillId="0" borderId="0" applyAlignment="1" applyProtection="1" pivotButton="0" quotePrefix="0" xfId="52">
      <alignment vertical="center"/>
      <protection locked="0" hidden="0"/>
    </xf>
    <xf numFmtId="0" fontId="16" fillId="9" borderId="1" applyAlignment="1" pivotButton="0" quotePrefix="0" xfId="52">
      <alignment horizontal="center" vertical="center" wrapText="1"/>
    </xf>
    <xf numFmtId="0" fontId="16" fillId="8" borderId="1" applyAlignment="1" pivotButton="0" quotePrefix="0" xfId="52">
      <alignment horizontal="center" vertical="center"/>
    </xf>
    <xf numFmtId="43" fontId="12" fillId="8" borderId="1" applyAlignment="1" pivotButton="0" quotePrefix="0" xfId="2">
      <alignment horizontal="right" vertical="center"/>
    </xf>
    <xf numFmtId="43" fontId="6" fillId="8" borderId="1" applyAlignment="1" pivotButton="0" quotePrefix="0" xfId="2">
      <alignment horizontal="right" vertical="center" wrapText="1"/>
    </xf>
    <xf numFmtId="10" fontId="6" fillId="8" borderId="1" applyAlignment="1" pivotButton="0" quotePrefix="0" xfId="4">
      <alignment horizontal="right" vertical="center" wrapText="1"/>
    </xf>
    <xf numFmtId="0" fontId="79" fillId="0" borderId="1" applyAlignment="1" pivotButton="0" quotePrefix="0" xfId="0">
      <alignment vertical="center"/>
    </xf>
    <xf numFmtId="43" fontId="80" fillId="8" borderId="1" applyAlignment="1" pivotButton="0" quotePrefix="0" xfId="41">
      <alignment horizontal="right" vertical="center" shrinkToFit="1"/>
    </xf>
    <xf numFmtId="43" fontId="4" fillId="0" borderId="1" applyAlignment="1" pivotButton="0" quotePrefix="0" xfId="2">
      <alignment vertical="center"/>
    </xf>
    <xf numFmtId="0" fontId="4" fillId="0" borderId="1" applyAlignment="1" pivotButton="0" quotePrefix="0" xfId="52">
      <alignment horizontal="center" vertical="center"/>
    </xf>
    <xf numFmtId="43" fontId="4" fillId="0" borderId="1" applyAlignment="1" pivotButton="0" quotePrefix="0" xfId="2">
      <alignment horizontal="center" vertical="center"/>
    </xf>
    <xf numFmtId="9" fontId="5" fillId="0" borderId="1" applyAlignment="1" pivotButton="0" quotePrefix="0" xfId="4">
      <alignment vertical="center"/>
    </xf>
    <xf numFmtId="0" fontId="4" fillId="5" borderId="0" applyAlignment="1" applyProtection="1" pivotButton="0" quotePrefix="0" xfId="0">
      <alignment horizontal="justify" vertical="center" wrapText="1"/>
      <protection locked="0" hidden="0"/>
    </xf>
    <xf numFmtId="165" fontId="63" fillId="0" borderId="1" applyAlignment="1" pivotButton="0" quotePrefix="0" xfId="55">
      <alignment vertical="center"/>
    </xf>
    <xf numFmtId="164" fontId="5" fillId="0" borderId="1" applyAlignment="1" pivotButton="0" quotePrefix="0" xfId="53">
      <alignment vertical="center"/>
    </xf>
    <xf numFmtId="0" fontId="5" fillId="0" borderId="1" applyAlignment="1" pivotButton="0" quotePrefix="0" xfId="38">
      <alignment vertical="center"/>
    </xf>
    <xf numFmtId="43" fontId="5" fillId="0" borderId="1" applyAlignment="1" pivotButton="0" quotePrefix="0" xfId="2">
      <alignment vertical="center"/>
    </xf>
    <xf numFmtId="164" fontId="5" fillId="0" borderId="1" applyAlignment="1" pivotButton="0" quotePrefix="0" xfId="53">
      <alignment horizontal="center" vertical="center"/>
    </xf>
    <xf numFmtId="0" fontId="4" fillId="0" borderId="0" applyProtection="1" pivotButton="0" quotePrefix="0" xfId="0">
      <protection locked="0" hidden="0"/>
    </xf>
    <xf numFmtId="14" fontId="5" fillId="0" borderId="0" applyAlignment="1" pivotButton="0" quotePrefix="0" xfId="52">
      <alignment horizontal="right" vertical="center"/>
    </xf>
    <xf numFmtId="0" fontId="10" fillId="0" borderId="0" applyAlignment="1" applyProtection="1" pivotButton="0" quotePrefix="0" xfId="0">
      <alignment vertical="center"/>
      <protection locked="0" hidden="0"/>
    </xf>
    <xf numFmtId="0" fontId="65" fillId="0" borderId="2" applyAlignment="1" pivotButton="0" quotePrefix="0" xfId="37">
      <alignment horizontal="center" vertical="center" wrapText="1"/>
    </xf>
    <xf numFmtId="0" fontId="4" fillId="0" borderId="2" applyAlignment="1" applyProtection="1" pivotButton="0" quotePrefix="0" xfId="38">
      <alignment horizontal="center" vertical="center" wrapText="1" shrinkToFit="1"/>
      <protection locked="0" hidden="0"/>
    </xf>
    <xf numFmtId="0" fontId="82" fillId="11" borderId="0" applyAlignment="1" applyProtection="1" pivotButton="0" quotePrefix="0" xfId="50">
      <alignment horizontal="left" vertical="center" wrapText="1"/>
      <protection locked="0" hidden="0"/>
    </xf>
    <xf numFmtId="0" fontId="63" fillId="0" borderId="0" applyAlignment="1" pivotButton="0" quotePrefix="0" xfId="0">
      <alignment horizontal="left" vertical="center"/>
    </xf>
    <xf numFmtId="0" fontId="63" fillId="0" borderId="0" applyAlignment="1" applyProtection="1" pivotButton="0" quotePrefix="0" xfId="36">
      <alignment vertical="center"/>
      <protection locked="0" hidden="0"/>
    </xf>
    <xf numFmtId="0" fontId="74" fillId="0" borderId="0" applyAlignment="1" applyProtection="1" pivotButton="0" quotePrefix="0" xfId="52">
      <alignment vertical="center"/>
      <protection locked="0" hidden="0"/>
    </xf>
    <xf numFmtId="0" fontId="74" fillId="0" borderId="0" applyAlignment="1" pivotButton="0" quotePrefix="0" xfId="52">
      <alignment vertical="center"/>
    </xf>
    <xf numFmtId="0" fontId="75" fillId="0" borderId="0" applyAlignment="1" pivotButton="0" quotePrefix="0" xfId="52">
      <alignment vertical="center"/>
    </xf>
    <xf numFmtId="0" fontId="4" fillId="0" borderId="0" applyAlignment="1" applyProtection="1" pivotButton="0" quotePrefix="0" xfId="36">
      <alignment horizontal="center" vertical="center"/>
      <protection locked="0" hidden="0"/>
    </xf>
    <xf numFmtId="0" fontId="4" fillId="0" borderId="0" applyAlignment="1" applyProtection="1" pivotButton="0" quotePrefix="0" xfId="36">
      <alignment vertical="center" wrapText="1"/>
      <protection locked="0" hidden="0"/>
    </xf>
    <xf numFmtId="0" fontId="10" fillId="0" borderId="0" applyAlignment="1" applyProtection="1" pivotButton="0" quotePrefix="0" xfId="36">
      <alignment vertical="center"/>
      <protection locked="0" hidden="0"/>
    </xf>
    <xf numFmtId="0" fontId="4" fillId="0" borderId="0" applyAlignment="1" pivotButton="0" quotePrefix="0" xfId="46">
      <alignment horizontal="center" vertical="center"/>
    </xf>
    <xf numFmtId="0" fontId="4" fillId="0" borderId="1" applyAlignment="1" applyProtection="1" pivotButton="0" quotePrefix="0" xfId="36">
      <alignment horizontal="center" vertical="center" wrapText="1"/>
      <protection locked="0" hidden="0"/>
    </xf>
    <xf numFmtId="0" fontId="4" fillId="0" borderId="1" applyAlignment="1" pivotButton="0" quotePrefix="0" xfId="50">
      <alignment horizontal="center" vertical="center" wrapText="1"/>
    </xf>
    <xf numFmtId="164" fontId="10" fillId="0" borderId="1" applyAlignment="1" applyProtection="1" pivotButton="0" quotePrefix="0" xfId="57">
      <alignment horizontal="left" vertical="center" wrapText="1"/>
      <protection locked="0" hidden="0"/>
    </xf>
    <xf numFmtId="0" fontId="66" fillId="0" borderId="1" applyAlignment="1" pivotButton="0" quotePrefix="0" xfId="52">
      <alignment vertical="center"/>
    </xf>
    <xf numFmtId="165" fontId="4" fillId="0" borderId="0" applyAlignment="1" pivotButton="0" quotePrefix="0" xfId="45">
      <alignment vertical="center"/>
    </xf>
    <xf numFmtId="165" fontId="4" fillId="0" borderId="0" applyAlignment="1" pivotButton="0" quotePrefix="0" xfId="45">
      <alignment horizontal="left" vertical="center"/>
    </xf>
    <xf numFmtId="0" fontId="4" fillId="0" borderId="0" applyAlignment="1" applyProtection="1" pivotButton="0" quotePrefix="0" xfId="0">
      <alignment horizontal="right" vertical="center"/>
      <protection locked="0" hidden="0"/>
    </xf>
    <xf numFmtId="0" fontId="11" fillId="0" borderId="0" applyAlignment="1" applyProtection="1" pivotButton="0" quotePrefix="0" xfId="3">
      <alignment vertical="center"/>
      <protection locked="0" hidden="0"/>
    </xf>
    <xf numFmtId="0" fontId="10" fillId="0" borderId="0" applyAlignment="1" applyProtection="1" pivotButton="0" quotePrefix="0" xfId="0">
      <alignment horizontal="right" vertical="center"/>
      <protection locked="0" hidden="0"/>
    </xf>
    <xf numFmtId="0" fontId="4" fillId="0" borderId="0" applyAlignment="1" applyProtection="1" pivotButton="0" quotePrefix="0" xfId="0">
      <alignment horizontal="left" vertical="center" indent="2"/>
      <protection locked="0" hidden="0"/>
    </xf>
    <xf numFmtId="0" fontId="6" fillId="0" borderId="0" applyAlignment="1" pivotButton="0" quotePrefix="0" xfId="44">
      <alignment horizontal="left" vertical="center"/>
    </xf>
    <xf numFmtId="0" fontId="4" fillId="0" borderId="0" applyAlignment="1" applyProtection="1" pivotButton="0" quotePrefix="0" xfId="44">
      <alignment vertical="center"/>
      <protection locked="0" hidden="0"/>
    </xf>
    <xf numFmtId="0" fontId="10" fillId="0" borderId="0" applyAlignment="1" pivotButton="0" quotePrefix="0" xfId="36">
      <alignment vertical="center"/>
    </xf>
    <xf numFmtId="0" fontId="4" fillId="0" borderId="0" applyAlignment="1" pivotButton="0" quotePrefix="0" xfId="44">
      <alignment vertical="center"/>
    </xf>
    <xf numFmtId="0" fontId="11" fillId="0" borderId="0" applyAlignment="1" applyProtection="1" pivotButton="0" quotePrefix="0" xfId="44">
      <alignment horizontal="center" vertical="center"/>
      <protection locked="1" hidden="1"/>
    </xf>
    <xf numFmtId="0" fontId="4" fillId="0" borderId="0" applyAlignment="1" applyProtection="1" pivotButton="0" quotePrefix="0" xfId="44">
      <alignment horizontal="left" vertical="center"/>
      <protection locked="1" hidden="1"/>
    </xf>
    <xf numFmtId="0" fontId="11" fillId="0" borderId="0" applyAlignment="1" applyProtection="1" pivotButton="0" quotePrefix="0" xfId="44">
      <alignment horizontal="left" vertical="center"/>
      <protection locked="0" hidden="0"/>
    </xf>
    <xf numFmtId="0" fontId="63" fillId="0" borderId="0" applyAlignment="1" applyProtection="1" pivotButton="0" quotePrefix="0" xfId="0">
      <alignment horizontal="left" vertical="center"/>
      <protection locked="0" hidden="0"/>
    </xf>
    <xf numFmtId="0" fontId="10" fillId="0" borderId="0" applyProtection="1" pivotButton="0" quotePrefix="0" xfId="0">
      <protection locked="0" hidden="0"/>
    </xf>
    <xf numFmtId="0" fontId="89" fillId="0" borderId="0" applyAlignment="1" applyProtection="1" pivotButton="0" quotePrefix="0" xfId="0">
      <alignment horizontal="left"/>
      <protection locked="0" hidden="0"/>
    </xf>
    <xf numFmtId="0" fontId="10" fillId="0" borderId="0" applyAlignment="1" applyProtection="1" pivotButton="0" quotePrefix="0" xfId="0">
      <alignment horizontal="center"/>
      <protection locked="0" hidden="0"/>
    </xf>
    <xf numFmtId="0" fontId="10" fillId="0" borderId="1" applyProtection="1" pivotButton="0" quotePrefix="0" xfId="0">
      <protection locked="0" hidden="0"/>
    </xf>
    <xf numFmtId="165" fontId="4" fillId="0" borderId="1" applyProtection="1" pivotButton="0" quotePrefix="0" xfId="62">
      <protection locked="0" hidden="0"/>
    </xf>
    <xf numFmtId="0" fontId="4" fillId="0" borderId="1" applyAlignment="1" applyProtection="1" pivotButton="0" quotePrefix="0" xfId="0">
      <alignment horizontal="center" vertical="center"/>
      <protection locked="0" hidden="0"/>
    </xf>
    <xf numFmtId="0" fontId="10" fillId="9" borderId="1" applyProtection="1" pivotButton="0" quotePrefix="0" xfId="0">
      <protection locked="0" hidden="0"/>
    </xf>
    <xf numFmtId="165" fontId="4" fillId="9" borderId="1" applyProtection="1" pivotButton="0" quotePrefix="0" xfId="62">
      <protection locked="0" hidden="0"/>
    </xf>
    <xf numFmtId="0" fontId="6" fillId="0" borderId="0" applyAlignment="1" applyProtection="1" pivotButton="0" quotePrefix="0" xfId="0">
      <alignment vertical="center"/>
      <protection locked="0" hidden="0"/>
    </xf>
    <xf numFmtId="0" fontId="79" fillId="0" borderId="0" applyProtection="1" pivotButton="0" quotePrefix="0" xfId="0">
      <protection locked="0" hidden="0"/>
    </xf>
    <xf numFmtId="0" fontId="6" fillId="0" borderId="0" applyAlignment="1" applyProtection="1" pivotButton="0" quotePrefix="0" xfId="0">
      <alignment horizontal="left" vertical="center"/>
      <protection locked="0" hidden="0"/>
    </xf>
    <xf numFmtId="0" fontId="79"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164" fontId="4" fillId="0" borderId="1" applyAlignment="1" applyProtection="1" pivotButton="0" quotePrefix="0" xfId="57">
      <alignment horizontal="center" vertical="center" wrapText="1"/>
      <protection locked="0" hidden="0"/>
    </xf>
    <xf numFmtId="0" fontId="20" fillId="0" borderId="0"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36" fillId="0" borderId="0" applyAlignment="1" applyProtection="1" pivotButton="0" quotePrefix="0" xfId="0">
      <alignment horizontal="center"/>
      <protection locked="0" hidden="0"/>
    </xf>
    <xf numFmtId="0" fontId="39" fillId="0" borderId="11" applyAlignment="1" pivotButton="0" quotePrefix="1" xfId="3">
      <alignment vertical="center"/>
    </xf>
    <xf numFmtId="14" fontId="33" fillId="0" borderId="0" applyAlignment="1" pivotButton="0" quotePrefix="0" xfId="52">
      <alignment horizontal="right" vertical="center"/>
    </xf>
    <xf numFmtId="164" fontId="63" fillId="0" borderId="1" applyAlignment="1" applyProtection="1" pivotButton="0" quotePrefix="0" xfId="57">
      <alignment horizontal="center" vertical="center" wrapText="1"/>
      <protection locked="0" hidden="0"/>
    </xf>
    <xf numFmtId="0" fontId="12" fillId="8" borderId="1" applyAlignment="1" pivotButton="0" quotePrefix="0" xfId="0">
      <alignment horizontal="center" vertical="center"/>
    </xf>
    <xf numFmtId="164" fontId="8" fillId="8" borderId="1" applyAlignment="1" applyProtection="1" pivotButton="0" quotePrefix="0" xfId="59">
      <alignment horizontal="center" vertical="center" wrapText="1"/>
      <protection locked="0" hidden="0"/>
    </xf>
    <xf numFmtId="0" fontId="8" fillId="8" borderId="1" applyAlignment="1" applyProtection="1" pivotButton="0" quotePrefix="0" xfId="36">
      <alignment horizontal="center" vertical="center"/>
      <protection locked="0" hidden="0"/>
    </xf>
    <xf numFmtId="0" fontId="8" fillId="8" borderId="1" applyAlignment="1" applyProtection="1" pivotButton="0" quotePrefix="0" xfId="36">
      <alignment horizontal="center" vertical="center" wrapText="1"/>
      <protection locked="0" hidden="0"/>
    </xf>
    <xf numFmtId="0" fontId="6" fillId="8" borderId="1" applyAlignment="1" applyProtection="1" pivotButton="0" quotePrefix="0" xfId="0">
      <alignment horizontal="center" vertical="center"/>
      <protection locked="0" hidden="0"/>
    </xf>
    <xf numFmtId="0" fontId="6" fillId="0" borderId="0" applyAlignment="1" applyProtection="1" pivotButton="0" quotePrefix="0" xfId="36">
      <alignment horizontal="left" vertical="center"/>
      <protection locked="0" hidden="0"/>
    </xf>
    <xf numFmtId="0" fontId="10" fillId="5" borderId="0" applyAlignment="1" applyProtection="1" pivotButton="0" quotePrefix="0" xfId="0">
      <alignment horizontal="justify" vertical="center" wrapText="1"/>
      <protection locked="0" hidden="0"/>
    </xf>
    <xf numFmtId="0" fontId="32" fillId="0" borderId="0" applyAlignment="1" applyProtection="1" pivotButton="0" quotePrefix="0" xfId="0">
      <alignment horizontal="center" vertical="center"/>
      <protection locked="0" hidden="0"/>
    </xf>
    <xf numFmtId="49" fontId="8" fillId="0" borderId="0" applyAlignment="1" applyProtection="1" pivotButton="0" quotePrefix="0" xfId="38">
      <alignment horizontal="left" vertical="center"/>
      <protection locked="0" hidden="0"/>
    </xf>
    <xf numFmtId="164" fontId="75" fillId="0" borderId="0" applyAlignment="1" pivotButton="0" quotePrefix="0" xfId="63">
      <alignment horizontal="left" vertical="center"/>
    </xf>
    <xf numFmtId="0" fontId="71" fillId="9" borderId="0" applyAlignment="1" pivotButton="0" quotePrefix="0" xfId="52">
      <alignment vertical="center"/>
    </xf>
    <xf numFmtId="0" fontId="10" fillId="0" borderId="1" applyAlignment="1" applyProtection="1" pivotButton="0" quotePrefix="0" xfId="0">
      <alignment horizontal="center" vertical="center"/>
      <protection locked="0" hidden="0"/>
    </xf>
    <xf numFmtId="0" fontId="66" fillId="0" borderId="0" applyAlignment="1" applyProtection="1" pivotButton="0" quotePrefix="0" xfId="36">
      <alignment vertical="center"/>
      <protection locked="0" hidden="0"/>
    </xf>
    <xf numFmtId="165" fontId="4" fillId="0" borderId="1" applyAlignment="1" applyProtection="1" pivotButton="0" quotePrefix="0" xfId="61">
      <alignment horizontal="center" vertical="center"/>
      <protection locked="0" hidden="0"/>
    </xf>
    <xf numFmtId="10" fontId="4" fillId="0" borderId="1" applyAlignment="1" applyProtection="1" pivotButton="0" quotePrefix="0" xfId="4">
      <alignment horizontal="center" vertical="center"/>
      <protection locked="0" hidden="0"/>
    </xf>
    <xf numFmtId="0" fontId="63" fillId="0" borderId="0" applyAlignment="1" applyProtection="1" pivotButton="0" quotePrefix="0" xfId="36">
      <alignment vertical="center"/>
      <protection locked="0" hidden="0"/>
    </xf>
    <xf numFmtId="0" fontId="10" fillId="0" borderId="0" applyAlignment="1" applyProtection="1" pivotButton="0" quotePrefix="0" xfId="0">
      <alignment horizontal="center" vertical="center"/>
      <protection locked="0" hidden="0"/>
    </xf>
    <xf numFmtId="165" fontId="4" fillId="0" borderId="0" applyAlignment="1" applyProtection="1" pivotButton="0" quotePrefix="0" xfId="61">
      <alignment horizontal="center" vertical="center"/>
      <protection locked="0" hidden="0"/>
    </xf>
    <xf numFmtId="10" fontId="4" fillId="0" borderId="0" applyAlignment="1" applyProtection="1" pivotButton="0" quotePrefix="0" xfId="4">
      <alignment horizontal="center" vertical="center"/>
      <protection locked="0" hidden="0"/>
    </xf>
    <xf numFmtId="0" fontId="3" fillId="0" borderId="0" applyAlignment="1" applyProtection="1" pivotButton="0" quotePrefix="0" xfId="0">
      <alignment horizontal="left" vertical="center" wrapText="1"/>
      <protection locked="0" hidden="0"/>
    </xf>
    <xf numFmtId="0" fontId="7" fillId="0" borderId="0" applyAlignment="1" applyProtection="1" pivotButton="0" quotePrefix="0" xfId="0">
      <alignment horizontal="left" vertical="center" wrapText="1"/>
      <protection locked="0" hidden="0"/>
    </xf>
    <xf numFmtId="0" fontId="9" fillId="0" borderId="0" applyAlignment="1" pivotButton="0" quotePrefix="0" xfId="42">
      <alignment horizontal="center" vertical="center"/>
    </xf>
    <xf numFmtId="0" fontId="32" fillId="0" borderId="0" applyAlignment="1" pivotButton="0" quotePrefix="0" xfId="42">
      <alignment horizontal="center" vertical="center"/>
    </xf>
    <xf numFmtId="0" fontId="8" fillId="0" borderId="0" applyAlignment="1" applyProtection="1" pivotButton="0" quotePrefix="0" xfId="36">
      <alignment horizontal="left" vertical="center"/>
      <protection locked="0" hidden="0"/>
    </xf>
    <xf numFmtId="0" fontId="8" fillId="9" borderId="1" applyAlignment="1" applyProtection="1" pivotButton="0" quotePrefix="0" xfId="38">
      <alignment horizontal="center" vertical="center" wrapText="1"/>
      <protection locked="0" hidden="0"/>
    </xf>
    <xf numFmtId="0" fontId="4" fillId="0" borderId="1" applyAlignment="1" applyProtection="1" pivotButton="0" quotePrefix="0" xfId="38">
      <alignment horizontal="left" vertical="center" wrapText="1"/>
      <protection locked="0" hidden="0"/>
    </xf>
    <xf numFmtId="0" fontId="8" fillId="9" borderId="6" applyAlignment="1" applyProtection="1" pivotButton="0" quotePrefix="0" xfId="38">
      <alignment horizontal="center" vertical="center" wrapText="1"/>
      <protection locked="0" hidden="0"/>
    </xf>
    <xf numFmtId="0" fontId="8" fillId="9" borderId="13" applyAlignment="1" applyProtection="1" pivotButton="0" quotePrefix="0" xfId="38">
      <alignment horizontal="center" vertical="center" wrapText="1"/>
      <protection locked="0" hidden="0"/>
    </xf>
    <xf numFmtId="0" fontId="4" fillId="0" borderId="0" applyAlignment="1" applyProtection="1" pivotButton="0" quotePrefix="0" xfId="36">
      <alignment horizontal="center" vertical="center"/>
      <protection locked="0" hidden="0"/>
    </xf>
    <xf numFmtId="0" fontId="8" fillId="9" borderId="1" applyAlignment="1" applyProtection="1" pivotButton="0" quotePrefix="0" xfId="50">
      <alignment horizontal="center" vertical="center"/>
      <protection locked="0" hidden="0"/>
    </xf>
    <xf numFmtId="0" fontId="6" fillId="9" borderId="1" applyAlignment="1" applyProtection="1" pivotButton="0" quotePrefix="0" xfId="50">
      <alignment horizontal="center" vertical="center"/>
      <protection locked="0" hidden="0"/>
    </xf>
    <xf numFmtId="49" fontId="8" fillId="9" borderId="6" applyAlignment="1" applyProtection="1" pivotButton="0" quotePrefix="0" xfId="38">
      <alignment horizontal="center" vertical="center"/>
      <protection locked="0" hidden="0"/>
    </xf>
    <xf numFmtId="49" fontId="8" fillId="9" borderId="7" applyAlignment="1" applyProtection="1" pivotButton="0" quotePrefix="0" xfId="38">
      <alignment horizontal="center" vertical="center"/>
      <protection locked="0" hidden="0"/>
    </xf>
    <xf numFmtId="0" fontId="8" fillId="9" borderId="1" applyAlignment="1" applyProtection="1" pivotButton="0" quotePrefix="0" xfId="50">
      <alignment horizontal="center" vertical="center" wrapText="1"/>
      <protection locked="0" hidden="0"/>
    </xf>
    <xf numFmtId="0" fontId="6" fillId="9" borderId="6" applyAlignment="1" applyProtection="1" pivotButton="0" quotePrefix="0" xfId="38">
      <alignment horizontal="center" vertical="center" wrapText="1"/>
      <protection locked="0" hidden="0"/>
    </xf>
    <xf numFmtId="0" fontId="6" fillId="9" borderId="7" applyAlignment="1" applyProtection="1" pivotButton="0" quotePrefix="0" xfId="38">
      <alignment horizontal="center" vertical="center" wrapText="1"/>
      <protection locked="0" hidden="0"/>
    </xf>
    <xf numFmtId="0" fontId="8" fillId="0" borderId="0" applyAlignment="1" applyProtection="1" pivotButton="0" quotePrefix="0" xfId="36">
      <alignment horizontal="left" vertical="center"/>
      <protection locked="0" hidden="0"/>
    </xf>
    <xf numFmtId="0" fontId="6" fillId="0" borderId="0" applyAlignment="1" applyProtection="1" pivotButton="0" quotePrefix="0" xfId="36">
      <alignment horizontal="left" vertical="center"/>
      <protection locked="0" hidden="0"/>
    </xf>
    <xf numFmtId="0" fontId="6" fillId="9" borderId="1" applyAlignment="1" applyProtection="1" pivotButton="0" quotePrefix="0" xfId="38">
      <alignment horizontal="center" vertical="center" wrapText="1"/>
      <protection locked="0" hidden="0"/>
    </xf>
    <xf numFmtId="0" fontId="10" fillId="0" borderId="1" applyAlignment="1" applyProtection="1" pivotButton="0" quotePrefix="0" xfId="38">
      <alignment horizontal="center" vertical="center" wrapText="1"/>
      <protection locked="0" hidden="0"/>
    </xf>
    <xf numFmtId="10" fontId="28" fillId="0" borderId="0" applyAlignment="1" pivotButton="0" quotePrefix="0" xfId="4">
      <alignment horizontal="left" vertical="center"/>
    </xf>
    <xf numFmtId="0" fontId="12" fillId="2" borderId="1" applyAlignment="1" pivotButton="0" quotePrefix="0" xfId="0">
      <alignment horizontal="center" vertical="center"/>
    </xf>
    <xf numFmtId="0" fontId="12" fillId="2" borderId="1" applyAlignment="1" pivotButton="0" quotePrefix="0" xfId="0">
      <alignment vertical="center"/>
    </xf>
    <xf numFmtId="0" fontId="16" fillId="2" borderId="1" applyAlignment="1" pivotButton="0" quotePrefix="0" xfId="0">
      <alignment horizontal="center" vertical="center" wrapText="1"/>
    </xf>
    <xf numFmtId="0" fontId="5" fillId="2" borderId="1" applyAlignment="1" pivotButton="0" quotePrefix="0" xfId="0">
      <alignment vertical="center" wrapText="1"/>
    </xf>
    <xf numFmtId="43" fontId="9" fillId="0" borderId="0" applyAlignment="1" pivotButton="0" quotePrefix="0" xfId="45">
      <alignment horizontal="center" vertical="center"/>
    </xf>
    <xf numFmtId="43" fontId="32" fillId="0" borderId="0" applyAlignment="1" pivotButton="0" quotePrefix="0" xfId="45">
      <alignment horizontal="center" vertical="center"/>
    </xf>
    <xf numFmtId="164" fontId="8" fillId="8" borderId="2" applyAlignment="1" applyProtection="1" pivotButton="0" quotePrefix="0" xfId="41">
      <alignment horizontal="center" vertical="center" wrapText="1"/>
      <protection locked="0" hidden="0"/>
    </xf>
    <xf numFmtId="164" fontId="6" fillId="8" borderId="3" applyAlignment="1" applyProtection="1" pivotButton="0" quotePrefix="0" xfId="41">
      <alignment horizontal="center" vertical="center" wrapText="1"/>
      <protection locked="0" hidden="0"/>
    </xf>
    <xf numFmtId="164" fontId="6" fillId="8" borderId="5" applyAlignment="1" applyProtection="1" pivotButton="0" quotePrefix="0" xfId="41">
      <alignment horizontal="center" vertical="center" wrapText="1"/>
      <protection locked="0" hidden="0"/>
    </xf>
    <xf numFmtId="164" fontId="8" fillId="2" borderId="2" applyAlignment="1" applyProtection="1" pivotButton="0" quotePrefix="0" xfId="41">
      <alignment horizontal="center" vertical="center" wrapText="1"/>
      <protection locked="0" hidden="0"/>
    </xf>
    <xf numFmtId="164" fontId="6" fillId="2" borderId="3" applyAlignment="1" applyProtection="1" pivotButton="0" quotePrefix="0" xfId="41">
      <alignment horizontal="center" vertical="center" wrapText="1"/>
      <protection locked="0" hidden="0"/>
    </xf>
    <xf numFmtId="164" fontId="6" fillId="2" borderId="5" applyAlignment="1" applyProtection="1" pivotButton="0" quotePrefix="0" xfId="41">
      <alignment horizontal="center" vertical="center" wrapText="1"/>
      <protection locked="0" hidden="0"/>
    </xf>
    <xf numFmtId="164" fontId="16" fillId="2" borderId="2" applyAlignment="1" applyProtection="1" pivotButton="0" quotePrefix="0" xfId="39">
      <alignment horizontal="center" vertical="center" wrapText="1"/>
      <protection locked="0" hidden="0"/>
    </xf>
    <xf numFmtId="164" fontId="16" fillId="2" borderId="5" applyAlignment="1" applyProtection="1" pivotButton="0" quotePrefix="0" xfId="39">
      <alignment horizontal="center" vertical="center" wrapText="1"/>
      <protection locked="0" hidden="0"/>
    </xf>
    <xf numFmtId="164" fontId="16" fillId="2" borderId="1" applyAlignment="1" applyProtection="1" pivotButton="0" quotePrefix="0" xfId="39">
      <alignment horizontal="center" vertical="center" wrapText="1"/>
      <protection locked="0" hidden="0"/>
    </xf>
    <xf numFmtId="164" fontId="8" fillId="2" borderId="1" applyAlignment="1" applyProtection="1" pivotButton="0" quotePrefix="0" xfId="39">
      <alignment horizontal="center" vertical="center" wrapText="1"/>
      <protection locked="0" hidden="0"/>
    </xf>
    <xf numFmtId="0" fontId="9" fillId="0" borderId="0" applyAlignment="1" pivotButton="0" quotePrefix="0" xfId="43">
      <alignment horizontal="center" vertical="center"/>
    </xf>
    <xf numFmtId="43" fontId="32" fillId="0" borderId="0" applyAlignment="1" pivotButton="0" quotePrefix="0" xfId="45">
      <alignment horizontal="center" vertical="center"/>
    </xf>
    <xf numFmtId="0" fontId="18" fillId="0" borderId="0" applyAlignment="1" applyProtection="1" pivotButton="0" quotePrefix="0" xfId="0">
      <alignment horizontal="left" vertical="center" wrapText="1"/>
      <protection locked="0" hidden="0"/>
    </xf>
    <xf numFmtId="0" fontId="14" fillId="2" borderId="6" applyAlignment="1" pivotButton="0" quotePrefix="0" xfId="0">
      <alignment horizontal="center" vertical="center" wrapText="1"/>
    </xf>
    <xf numFmtId="0" fontId="14" fillId="2" borderId="7" applyAlignment="1" pivotButton="0" quotePrefix="0" xfId="0">
      <alignment horizontal="center" vertical="center" wrapText="1"/>
    </xf>
    <xf numFmtId="164" fontId="6" fillId="2" borderId="6" applyAlignment="1" applyProtection="1" pivotButton="0" quotePrefix="0" xfId="41">
      <alignment horizontal="center" vertical="center"/>
      <protection locked="0" hidden="0"/>
    </xf>
    <xf numFmtId="164" fontId="6" fillId="2" borderId="7" applyAlignment="1" applyProtection="1" pivotButton="0" quotePrefix="0" xfId="41">
      <alignment horizontal="center" vertical="center"/>
      <protection locked="0" hidden="0"/>
    </xf>
    <xf numFmtId="0" fontId="15" fillId="2" borderId="2" applyAlignment="1" pivotButton="0" quotePrefix="0" xfId="0">
      <alignment horizontal="center" vertical="center"/>
    </xf>
    <xf numFmtId="0" fontId="14" fillId="2" borderId="3" applyAlignment="1" pivotButton="0" quotePrefix="0" xfId="0">
      <alignment horizontal="center" vertical="center"/>
    </xf>
    <xf numFmtId="0" fontId="14" fillId="2" borderId="5" applyAlignment="1" pivotButton="0" quotePrefix="0" xfId="0">
      <alignment horizontal="center" vertical="center"/>
    </xf>
    <xf numFmtId="164" fontId="16" fillId="2" borderId="1" applyAlignment="1" applyProtection="1" pivotButton="0" quotePrefix="0" xfId="41">
      <alignment horizontal="center" vertical="center"/>
      <protection locked="0" hidden="0"/>
    </xf>
    <xf numFmtId="164" fontId="12" fillId="2" borderId="1" applyAlignment="1" applyProtection="1" pivotButton="0" quotePrefix="0" xfId="41">
      <alignment horizontal="center" vertical="center"/>
      <protection locked="0" hidden="0"/>
    </xf>
    <xf numFmtId="164" fontId="16" fillId="2" borderId="2" applyAlignment="1" applyProtection="1" pivotButton="0" quotePrefix="0" xfId="41">
      <alignment horizontal="center" vertical="center"/>
      <protection locked="0" hidden="0"/>
    </xf>
    <xf numFmtId="164" fontId="16" fillId="2" borderId="3" applyAlignment="1" applyProtection="1" pivotButton="0" quotePrefix="0" xfId="41">
      <alignment horizontal="center" vertical="center"/>
      <protection locked="0" hidden="0"/>
    </xf>
    <xf numFmtId="164" fontId="8" fillId="2" borderId="2" applyAlignment="1" applyProtection="1" pivotButton="0" quotePrefix="0" xfId="41">
      <alignment horizontal="center" vertical="center"/>
      <protection locked="0" hidden="0"/>
    </xf>
    <xf numFmtId="164" fontId="6" fillId="2" borderId="3" applyAlignment="1" applyProtection="1" pivotButton="0" quotePrefix="0" xfId="41">
      <alignment horizontal="center" vertical="center"/>
      <protection locked="0" hidden="0"/>
    </xf>
    <xf numFmtId="164" fontId="6" fillId="2" borderId="5" applyAlignment="1" applyProtection="1" pivotButton="0" quotePrefix="0" xfId="41">
      <alignment horizontal="center" vertical="center"/>
      <protection locked="0" hidden="0"/>
    </xf>
    <xf numFmtId="43" fontId="84" fillId="0" borderId="0" applyAlignment="1" pivotButton="0" quotePrefix="0" xfId="56">
      <alignment horizontal="center" vertical="center"/>
    </xf>
    <xf numFmtId="43" fontId="85" fillId="0" borderId="0" applyAlignment="1" pivotButton="0" quotePrefix="0" xfId="56">
      <alignment horizontal="center" vertical="center"/>
    </xf>
    <xf numFmtId="164" fontId="60" fillId="0" borderId="0" applyAlignment="1" applyProtection="1" pivotButton="0" quotePrefix="0" xfId="57">
      <alignment horizontal="left" vertical="center" wrapText="1"/>
      <protection locked="0" hidden="0"/>
    </xf>
    <xf numFmtId="164" fontId="7" fillId="0" borderId="0" applyAlignment="1" applyProtection="1" pivotButton="0" quotePrefix="0" xfId="57">
      <alignment horizontal="left" vertical="center" wrapText="1"/>
      <protection locked="0" hidden="0"/>
    </xf>
    <xf numFmtId="0" fontId="86" fillId="0" borderId="0" applyAlignment="1" pivotButton="0" quotePrefix="0" xfId="52">
      <alignment horizontal="center" vertical="center"/>
    </xf>
    <xf numFmtId="0" fontId="87" fillId="0" borderId="0" applyAlignment="1" pivotButton="0" quotePrefix="0" xfId="52">
      <alignment horizontal="center" vertical="center"/>
    </xf>
    <xf numFmtId="0" fontId="16" fillId="9" borderId="1" applyAlignment="1" pivotButton="0" quotePrefix="0" xfId="52">
      <alignment horizontal="center" vertical="center" wrapText="1"/>
    </xf>
    <xf numFmtId="0" fontId="12" fillId="9" borderId="1" applyAlignment="1" pivotButton="0" quotePrefix="0" xfId="52">
      <alignment horizontal="center" vertical="center"/>
    </xf>
    <xf numFmtId="0" fontId="16" fillId="9" borderId="1" applyAlignment="1" pivotButton="0" quotePrefix="0" xfId="52">
      <alignment horizontal="center" vertical="center"/>
    </xf>
    <xf numFmtId="164" fontId="16" fillId="9" borderId="1" applyAlignment="1" applyProtection="1" pivotButton="0" quotePrefix="0" xfId="58">
      <alignment horizontal="center" vertical="center"/>
      <protection locked="0" hidden="0"/>
    </xf>
    <xf numFmtId="0" fontId="74" fillId="0" borderId="0" applyAlignment="1" pivotButton="0" quotePrefix="0" xfId="52">
      <alignment horizontal="left" vertical="center" wrapText="1"/>
    </xf>
    <xf numFmtId="0" fontId="16" fillId="9" borderId="2" applyAlignment="1" pivotButton="0" quotePrefix="0" xfId="52">
      <alignment horizontal="center" vertical="center"/>
    </xf>
    <xf numFmtId="0" fontId="16" fillId="9" borderId="3" applyAlignment="1" pivotButton="0" quotePrefix="0" xfId="52">
      <alignment horizontal="center" vertical="center"/>
    </xf>
    <xf numFmtId="0" fontId="16" fillId="9" borderId="5" applyAlignment="1" pivotButton="0" quotePrefix="0" xfId="52">
      <alignment horizontal="center" vertical="center"/>
    </xf>
    <xf numFmtId="0" fontId="5" fillId="0" borderId="2" applyAlignment="1" pivotButton="0" quotePrefix="0" xfId="52">
      <alignment horizontal="left" vertical="center"/>
    </xf>
    <xf numFmtId="0" fontId="5" fillId="0" borderId="5" applyAlignment="1" pivotButton="0" quotePrefix="0" xfId="52">
      <alignment horizontal="left" vertical="center"/>
    </xf>
    <xf numFmtId="0" fontId="88" fillId="0" borderId="0" applyAlignment="1" pivotButton="0" quotePrefix="0" xfId="52">
      <alignment horizontal="center" vertical="center"/>
    </xf>
    <xf numFmtId="0" fontId="9" fillId="0" borderId="0" applyAlignment="1" applyProtection="1" pivotButton="0" quotePrefix="0" xfId="0">
      <alignment horizontal="center" vertical="center"/>
      <protection locked="0" hidden="0"/>
    </xf>
    <xf numFmtId="0" fontId="32" fillId="0" borderId="0" applyAlignment="1" applyProtection="1" pivotButton="0" quotePrefix="0" xfId="0">
      <alignment horizontal="center" vertical="center"/>
      <protection locked="0" hidden="0"/>
    </xf>
    <xf numFmtId="164" fontId="8" fillId="8" borderId="6" applyAlignment="1" applyProtection="1" pivotButton="0" quotePrefix="0" xfId="57">
      <alignment horizontal="center" vertical="center"/>
      <protection locked="0" hidden="0"/>
    </xf>
    <xf numFmtId="164" fontId="8" fillId="8" borderId="7" applyAlignment="1" applyProtection="1" pivotButton="0" quotePrefix="0" xfId="57">
      <alignment horizontal="center" vertical="center"/>
      <protection locked="0" hidden="0"/>
    </xf>
    <xf numFmtId="0" fontId="8" fillId="9" borderId="2" applyAlignment="1" applyProtection="1" pivotButton="0" quotePrefix="0" xfId="0">
      <alignment horizontal="center" vertical="center"/>
      <protection locked="0" hidden="0"/>
    </xf>
    <xf numFmtId="0" fontId="8" fillId="9" borderId="3" applyAlignment="1" applyProtection="1" pivotButton="0" quotePrefix="0" xfId="0">
      <alignment horizontal="center" vertical="center"/>
      <protection locked="0" hidden="0"/>
    </xf>
    <xf numFmtId="0" fontId="8" fillId="9" borderId="5" applyAlignment="1" applyProtection="1" pivotButton="0" quotePrefix="0" xfId="0">
      <alignment horizontal="center" vertical="center"/>
      <protection locked="0" hidden="0"/>
    </xf>
    <xf numFmtId="0" fontId="92" fillId="0" borderId="0" applyAlignment="1" applyProtection="1" pivotButton="0" quotePrefix="0" xfId="0">
      <alignment horizontal="left" vertical="center" wrapText="1"/>
      <protection locked="0" hidden="0"/>
    </xf>
    <xf numFmtId="0" fontId="8" fillId="8" borderId="1" applyAlignment="1" applyProtection="1" pivotButton="0" quotePrefix="0" xfId="36">
      <alignment horizontal="center" vertical="center"/>
      <protection locked="0" hidden="0"/>
    </xf>
    <xf numFmtId="0" fontId="8" fillId="8" borderId="1" applyAlignment="1" applyProtection="1" pivotButton="0" quotePrefix="0" xfId="60">
      <alignment horizontal="center" vertical="center" wrapText="1"/>
      <protection locked="0" hidden="0"/>
    </xf>
    <xf numFmtId="0" fontId="6" fillId="8" borderId="1" applyAlignment="1" applyProtection="1" pivotButton="0" quotePrefix="0" xfId="60">
      <alignment horizontal="center" vertical="center" wrapText="1"/>
      <protection locked="0" hidden="0"/>
    </xf>
    <xf numFmtId="0" fontId="6" fillId="8" borderId="2" applyAlignment="1" applyProtection="1" pivotButton="0" quotePrefix="0" xfId="0">
      <alignment horizontal="center" vertical="center"/>
      <protection locked="0" hidden="0"/>
    </xf>
    <xf numFmtId="0" fontId="6" fillId="8" borderId="3" applyAlignment="1" applyProtection="1" pivotButton="0" quotePrefix="0" xfId="0">
      <alignment horizontal="center" vertical="center"/>
      <protection locked="0" hidden="0"/>
    </xf>
    <xf numFmtId="0" fontId="8" fillId="12" borderId="1" applyAlignment="1" pivotButton="0" quotePrefix="0" xfId="36">
      <alignment horizontal="center" vertical="center" wrapText="1"/>
    </xf>
    <xf numFmtId="0" fontId="8" fillId="12" borderId="6" applyAlignment="1" pivotButton="0" quotePrefix="0" xfId="36">
      <alignment horizontal="center" vertical="center" wrapText="1"/>
    </xf>
    <xf numFmtId="0" fontId="8" fillId="12" borderId="7" applyAlignment="1" pivotButton="0" quotePrefix="0" xfId="36">
      <alignment horizontal="center" vertical="center" wrapText="1"/>
    </xf>
    <xf numFmtId="0" fontId="8" fillId="8" borderId="1" applyAlignment="1" applyProtection="1" pivotButton="0" quotePrefix="0" xfId="60">
      <alignment horizontal="center" vertical="center"/>
      <protection locked="0" hidden="0"/>
    </xf>
    <xf numFmtId="0" fontId="6" fillId="8" borderId="1" applyAlignment="1" applyProtection="1" pivotButton="0" quotePrefix="0" xfId="60">
      <alignment horizontal="center" vertical="center"/>
      <protection locked="0" hidden="0"/>
    </xf>
    <xf numFmtId="0" fontId="0" fillId="0" borderId="0" pivotButton="0" quotePrefix="0" xfId="0"/>
    <xf numFmtId="0" fontId="0" fillId="0" borderId="3" applyProtection="1" pivotButton="0" quotePrefix="0" xfId="0">
      <protection locked="0" hidden="0"/>
    </xf>
    <xf numFmtId="0" fontId="0" fillId="0" borderId="5" applyProtection="1" pivotButton="0" quotePrefix="0" xfId="0">
      <protection locked="0" hidden="0"/>
    </xf>
    <xf numFmtId="49" fontId="8" fillId="9" borderId="1" applyAlignment="1" applyProtection="1" pivotButton="0" quotePrefix="0" xfId="38">
      <alignment horizontal="center" vertical="center"/>
      <protection locked="0" hidden="0"/>
    </xf>
    <xf numFmtId="0" fontId="0" fillId="0" borderId="7" applyProtection="1" pivotButton="0" quotePrefix="0" xfId="0">
      <protection locked="0" hidden="0"/>
    </xf>
    <xf numFmtId="0" fontId="0" fillId="0" borderId="13" applyProtection="1" pivotButton="0" quotePrefix="0" xfId="0">
      <protection locked="0" hidden="0"/>
    </xf>
    <xf numFmtId="164" fontId="75" fillId="0" borderId="0" applyAlignment="1" pivotButton="0" quotePrefix="0" xfId="63">
      <alignment horizontal="left" vertical="center"/>
    </xf>
    <xf numFmtId="164" fontId="63" fillId="0" borderId="1" applyAlignment="1" applyProtection="1" pivotButton="0" quotePrefix="0" xfId="57">
      <alignment horizontal="center" vertical="center" wrapText="1"/>
      <protection locked="0" hidden="0"/>
    </xf>
    <xf numFmtId="164" fontId="4" fillId="0" borderId="1" applyAlignment="1" applyProtection="1" pivotButton="0" quotePrefix="0" xfId="57">
      <alignment horizontal="center" vertical="center" wrapText="1"/>
      <protection locked="0" hidden="0"/>
    </xf>
    <xf numFmtId="164" fontId="10" fillId="0" borderId="1" applyAlignment="1" applyProtection="1" pivotButton="0" quotePrefix="0" xfId="57">
      <alignment horizontal="left" vertical="center" wrapText="1"/>
      <protection locked="0" hidden="0"/>
    </xf>
    <xf numFmtId="43" fontId="4" fillId="0" borderId="0" applyAlignment="1" pivotButton="0" quotePrefix="0" xfId="45">
      <alignment vertical="center"/>
    </xf>
    <xf numFmtId="43" fontId="7" fillId="0" borderId="0" applyAlignment="1" pivotButton="0" quotePrefix="0" xfId="45">
      <alignment vertical="center"/>
    </xf>
    <xf numFmtId="43" fontId="9" fillId="0" borderId="0" applyAlignment="1" pivotButton="0" quotePrefix="0" xfId="45">
      <alignment horizontal="center" vertical="center"/>
    </xf>
    <xf numFmtId="43" fontId="32" fillId="0" borderId="0" applyAlignment="1" pivotButton="0" quotePrefix="0" xfId="45">
      <alignment horizontal="center" vertical="center"/>
    </xf>
    <xf numFmtId="43" fontId="4" fillId="0" borderId="0" applyAlignment="1" pivotButton="0" quotePrefix="0" xfId="45">
      <alignment horizontal="left" vertical="center"/>
    </xf>
    <xf numFmtId="43" fontId="4" fillId="0" borderId="0" applyAlignment="1" pivotButton="0" quotePrefix="0" xfId="45">
      <alignment horizontal="right" vertical="center"/>
    </xf>
    <xf numFmtId="164" fontId="8" fillId="8" borderId="1" applyAlignment="1" applyProtection="1" pivotButton="0" quotePrefix="0" xfId="41">
      <alignment horizontal="center" vertical="center" wrapText="1"/>
      <protection locked="0" hidden="0"/>
    </xf>
    <xf numFmtId="164" fontId="8" fillId="2" borderId="1" applyAlignment="1" applyProtection="1" pivotButton="0" quotePrefix="0" xfId="41">
      <alignment horizontal="center" vertical="center" wrapText="1"/>
      <protection locked="0" hidden="0"/>
    </xf>
    <xf numFmtId="164" fontId="16" fillId="2" borderId="1" applyAlignment="1" applyProtection="1" pivotButton="0" quotePrefix="0" xfId="39">
      <alignment horizontal="center" vertical="center" wrapText="1"/>
      <protection locked="0" hidden="0"/>
    </xf>
    <xf numFmtId="0" fontId="0" fillId="0" borderId="7" pivotButton="0" quotePrefix="0" xfId="0"/>
    <xf numFmtId="164" fontId="8" fillId="2" borderId="1" applyAlignment="1" applyProtection="1" pivotButton="0" quotePrefix="0" xfId="39">
      <alignment horizontal="center" vertical="center"/>
      <protection locked="0" hidden="0"/>
    </xf>
    <xf numFmtId="43" fontId="6" fillId="0" borderId="0" applyAlignment="1" pivotButton="0" quotePrefix="0" xfId="45">
      <alignment vertical="center"/>
    </xf>
    <xf numFmtId="43" fontId="5" fillId="8" borderId="1" applyAlignment="1" pivotButton="0" quotePrefix="0" xfId="2">
      <alignment horizontal="right" vertical="center"/>
    </xf>
    <xf numFmtId="43" fontId="4" fillId="8" borderId="1" applyAlignment="1" pivotButton="0" quotePrefix="0" xfId="2">
      <alignment horizontal="right" vertical="center" wrapText="1"/>
    </xf>
    <xf numFmtId="43" fontId="4" fillId="0" borderId="1" applyAlignment="1" pivotButton="0" quotePrefix="0" xfId="2">
      <alignment horizontal="right" vertical="center" wrapText="1"/>
    </xf>
    <xf numFmtId="43" fontId="12" fillId="8" borderId="1" applyAlignment="1" pivotButton="0" quotePrefix="0" xfId="2">
      <alignment horizontal="right" vertical="center"/>
    </xf>
    <xf numFmtId="43" fontId="6" fillId="8" borderId="1" applyAlignment="1" pivotButton="0" quotePrefix="0" xfId="2">
      <alignment horizontal="right" vertical="center" wrapText="1"/>
    </xf>
    <xf numFmtId="43" fontId="6" fillId="0" borderId="4" applyAlignment="1" pivotButton="0" quotePrefix="0" xfId="45">
      <alignment horizontal="center" vertical="center"/>
    </xf>
    <xf numFmtId="43" fontId="27" fillId="0" borderId="4" applyAlignment="1" pivotButton="0" quotePrefix="0" xfId="3">
      <alignment horizontal="center" vertical="center"/>
    </xf>
    <xf numFmtId="43" fontId="4" fillId="0" borderId="4" applyAlignment="1" pivotButton="0" quotePrefix="0" xfId="45">
      <alignment vertical="center"/>
    </xf>
    <xf numFmtId="43" fontId="29" fillId="0" borderId="0" applyAlignment="1" pivotButton="0" quotePrefix="0" xfId="3">
      <alignment horizontal="center" vertical="center"/>
    </xf>
    <xf numFmtId="43" fontId="10" fillId="0" borderId="0" applyAlignment="1" pivotButton="0" quotePrefix="0" xfId="45">
      <alignment vertical="center"/>
    </xf>
    <xf numFmtId="43" fontId="9" fillId="0" borderId="0" applyAlignment="1" pivotButton="0" quotePrefix="0" xfId="45">
      <alignment vertical="center"/>
    </xf>
    <xf numFmtId="43" fontId="25" fillId="0" borderId="0" applyAlignment="1" applyProtection="1" pivotButton="0" quotePrefix="0" xfId="0">
      <alignment vertical="center" wrapText="1"/>
      <protection locked="0" hidden="0"/>
    </xf>
    <xf numFmtId="43" fontId="3" fillId="0" borderId="8" applyAlignment="1" applyProtection="1" pivotButton="0" quotePrefix="0" xfId="2">
      <alignment horizontal="right" vertical="center" wrapText="1" shrinkToFit="1"/>
      <protection locked="0" hidden="0"/>
    </xf>
    <xf numFmtId="43" fontId="3" fillId="0" borderId="0" applyAlignment="1" applyProtection="1" pivotButton="0" quotePrefix="0" xfId="2">
      <alignment horizontal="right" vertical="center" wrapText="1" shrinkToFit="1"/>
      <protection locked="0" hidden="0"/>
    </xf>
    <xf numFmtId="43" fontId="7" fillId="0" borderId="0" applyAlignment="1" applyProtection="1" pivotButton="0" quotePrefix="0" xfId="0">
      <alignment horizontal="right" vertical="center" wrapText="1"/>
      <protection locked="0" hidden="0"/>
    </xf>
    <xf numFmtId="0" fontId="14" fillId="2" borderId="1" applyAlignment="1" pivotButton="0" quotePrefix="0" xfId="0">
      <alignment horizontal="center" vertical="center" wrapText="1"/>
    </xf>
    <xf numFmtId="0" fontId="15" fillId="2" borderId="1" applyAlignment="1" pivotButton="0" quotePrefix="0" xfId="0">
      <alignment horizontal="center" vertical="center"/>
    </xf>
    <xf numFmtId="0" fontId="0" fillId="0" borderId="3" pivotButton="0" quotePrefix="0" xfId="0"/>
    <xf numFmtId="0" fontId="0" fillId="0" borderId="5" pivotButton="0" quotePrefix="0" xfId="0"/>
    <xf numFmtId="164" fontId="16" fillId="2" borderId="1" applyAlignment="1" applyProtection="1" pivotButton="0" quotePrefix="0" xfId="41">
      <alignment horizontal="center" vertical="center"/>
      <protection locked="0" hidden="0"/>
    </xf>
    <xf numFmtId="164" fontId="16" fillId="2" borderId="2" applyAlignment="1" applyProtection="1" pivotButton="0" quotePrefix="0" xfId="41">
      <alignment horizontal="center" vertical="center"/>
      <protection locked="0" hidden="0"/>
    </xf>
    <xf numFmtId="164" fontId="8" fillId="2" borderId="1" applyAlignment="1" applyProtection="1" pivotButton="0" quotePrefix="0" xfId="41">
      <alignment horizontal="center" vertical="center"/>
      <protection locked="0" hidden="0"/>
    </xf>
    <xf numFmtId="164" fontId="6" fillId="2" borderId="1" applyAlignment="1" applyProtection="1" pivotButton="0" quotePrefix="0" xfId="41">
      <alignment horizontal="center" vertical="center"/>
      <protection locked="0" hidden="0"/>
    </xf>
    <xf numFmtId="164" fontId="12" fillId="2" borderId="1" applyAlignment="1" applyProtection="1" pivotButton="0" quotePrefix="0" xfId="41">
      <alignment horizontal="center" vertical="center"/>
      <protection locked="0" hidden="0"/>
    </xf>
    <xf numFmtId="164" fontId="12" fillId="2" borderId="2" applyAlignment="1" applyProtection="1" pivotButton="0" quotePrefix="0" xfId="41">
      <alignment horizontal="center" vertical="center"/>
      <protection locked="0" hidden="0"/>
    </xf>
    <xf numFmtId="43" fontId="5" fillId="3" borderId="1" applyAlignment="1" pivotButton="0" quotePrefix="0" xfId="2">
      <alignment vertical="center"/>
    </xf>
    <xf numFmtId="43" fontId="17" fillId="8" borderId="1" applyAlignment="1" pivotButton="0" quotePrefix="0" xfId="41">
      <alignment horizontal="right" vertical="center" shrinkToFit="1"/>
    </xf>
    <xf numFmtId="43" fontId="80" fillId="8" borderId="1" applyAlignment="1" pivotButton="0" quotePrefix="0" xfId="41">
      <alignment horizontal="right" vertical="center" shrinkToFit="1"/>
    </xf>
    <xf numFmtId="164" fontId="20" fillId="0" borderId="0" applyProtection="1" pivotButton="0" quotePrefix="0" xfId="57">
      <protection locked="0" hidden="0"/>
    </xf>
    <xf numFmtId="43" fontId="84" fillId="0" borderId="0" applyAlignment="1" pivotButton="0" quotePrefix="0" xfId="56">
      <alignment horizontal="center" vertical="center"/>
    </xf>
    <xf numFmtId="43" fontId="85" fillId="0" borderId="0" applyAlignment="1" pivotButton="0" quotePrefix="0" xfId="56">
      <alignment horizontal="center" vertical="center"/>
    </xf>
    <xf numFmtId="164" fontId="5" fillId="0" borderId="0" applyAlignment="1" pivotButton="0" quotePrefix="0" xfId="51">
      <alignment vertical="center"/>
    </xf>
    <xf numFmtId="164" fontId="69" fillId="0" borderId="0" applyAlignment="1" pivotButton="0" quotePrefix="0" xfId="58">
      <alignment vertical="center"/>
    </xf>
    <xf numFmtId="164" fontId="16" fillId="9" borderId="1" applyAlignment="1" pivotButton="0" quotePrefix="0" xfId="57">
      <alignment vertical="center"/>
    </xf>
    <xf numFmtId="164" fontId="16" fillId="9" borderId="1" applyAlignment="1" pivotButton="0" quotePrefix="0" xfId="57">
      <alignment vertical="center" wrapText="1"/>
    </xf>
    <xf numFmtId="164" fontId="8" fillId="8" borderId="1" applyAlignment="1" applyProtection="1" pivotButton="0" quotePrefix="0" xfId="59">
      <alignment horizontal="center" vertical="center" wrapText="1"/>
      <protection locked="0" hidden="0"/>
    </xf>
    <xf numFmtId="164" fontId="8" fillId="9" borderId="1" applyAlignment="1" applyProtection="1" pivotButton="0" quotePrefix="0" xfId="59">
      <alignment horizontal="center" vertical="center" wrapText="1"/>
      <protection locked="0" hidden="0"/>
    </xf>
    <xf numFmtId="164" fontId="76" fillId="9" borderId="1" applyAlignment="1" applyProtection="1" pivotButton="0" quotePrefix="0" xfId="59">
      <alignment horizontal="center" vertical="center" wrapText="1"/>
      <protection locked="0" hidden="0"/>
    </xf>
    <xf numFmtId="164" fontId="5" fillId="0" borderId="1" applyAlignment="1" pivotButton="0" quotePrefix="0" xfId="53">
      <alignment vertical="center"/>
    </xf>
    <xf numFmtId="43" fontId="5" fillId="0" borderId="1" applyAlignment="1" pivotButton="0" quotePrefix="0" xfId="2">
      <alignment vertical="center"/>
    </xf>
    <xf numFmtId="164" fontId="5" fillId="0" borderId="1" applyAlignment="1" pivotButton="0" quotePrefix="0" xfId="53">
      <alignment horizontal="center" vertical="center"/>
    </xf>
    <xf numFmtId="164" fontId="60" fillId="0" borderId="0" applyAlignment="1" applyProtection="1" pivotButton="0" quotePrefix="0" xfId="57">
      <alignment horizontal="left" vertical="center" wrapText="1"/>
      <protection locked="0" hidden="0"/>
    </xf>
    <xf numFmtId="164" fontId="16" fillId="9" borderId="1" applyAlignment="1" applyProtection="1" pivotButton="0" quotePrefix="0" xfId="58">
      <alignment horizontal="center" vertical="center"/>
      <protection locked="0" hidden="0"/>
    </xf>
    <xf numFmtId="43" fontId="12" fillId="8" borderId="1" applyAlignment="1" pivotButton="0" quotePrefix="0" xfId="2">
      <alignment horizontal="center" vertical="center"/>
    </xf>
    <xf numFmtId="43" fontId="4" fillId="0" borderId="1" applyAlignment="1" pivotButton="0" quotePrefix="0" xfId="2">
      <alignment vertical="center"/>
    </xf>
    <xf numFmtId="43" fontId="4" fillId="0" borderId="1" applyAlignment="1" pivotButton="0" quotePrefix="0" xfId="2">
      <alignment horizontal="center" vertical="center"/>
    </xf>
    <xf numFmtId="43" fontId="5" fillId="8" borderId="1" applyAlignment="1" pivotButton="0" quotePrefix="0" xfId="2">
      <alignment vertical="center"/>
    </xf>
    <xf numFmtId="164" fontId="12" fillId="0" borderId="0" applyAlignment="1" pivotButton="0" quotePrefix="0" xfId="53">
      <alignment vertical="center"/>
    </xf>
    <xf numFmtId="164" fontId="13" fillId="0" borderId="0" applyAlignment="1" pivotButton="0" quotePrefix="0" xfId="53">
      <alignment horizontal="center"/>
    </xf>
    <xf numFmtId="164" fontId="4" fillId="0" borderId="0" applyAlignment="1" pivotButton="0" quotePrefix="0" xfId="54">
      <alignment vertical="center"/>
    </xf>
    <xf numFmtId="164" fontId="20" fillId="0" borderId="0" applyProtection="1" pivotButton="0" quotePrefix="0" xfId="39">
      <protection locked="0" hidden="0"/>
    </xf>
    <xf numFmtId="164" fontId="10" fillId="0" borderId="0" applyAlignment="1" pivotButton="0" quotePrefix="0" xfId="53">
      <alignment vertical="center"/>
    </xf>
    <xf numFmtId="164" fontId="6" fillId="0" borderId="0" applyAlignment="1" pivotButton="0" quotePrefix="0" xfId="53">
      <alignment horizontal="left" vertical="center"/>
    </xf>
    <xf numFmtId="164" fontId="4" fillId="0" borderId="0" applyAlignment="1" applyProtection="1" pivotButton="0" quotePrefix="0" xfId="53">
      <alignment vertical="center"/>
      <protection locked="0" hidden="0"/>
    </xf>
    <xf numFmtId="165" fontId="63" fillId="0" borderId="1" applyAlignment="1" pivotButton="0" quotePrefix="0" xfId="55">
      <alignment vertical="center"/>
    </xf>
    <xf numFmtId="165" fontId="5" fillId="0" borderId="1" applyAlignment="1" pivotButton="0" quotePrefix="0" xfId="55">
      <alignment vertical="center"/>
    </xf>
    <xf numFmtId="165" fontId="5" fillId="0" borderId="1" applyAlignment="1" pivotButton="0" quotePrefix="0" xfId="55">
      <alignment horizontal="right" vertical="center" shrinkToFit="1"/>
    </xf>
    <xf numFmtId="165" fontId="5" fillId="8" borderId="1" applyAlignment="1" pivotButton="0" quotePrefix="0" xfId="55">
      <alignment horizontal="right" vertical="center" shrinkToFit="1"/>
    </xf>
    <xf numFmtId="165" fontId="5" fillId="0" borderId="0" applyAlignment="1" pivotButton="0" quotePrefix="0" xfId="55">
      <alignment horizontal="right" vertical="center" shrinkToFit="1"/>
    </xf>
    <xf numFmtId="0" fontId="5" fillId="0" borderId="1" applyAlignment="1" pivotButton="0" quotePrefix="0" xfId="52">
      <alignment horizontal="left" vertical="center"/>
    </xf>
    <xf numFmtId="165" fontId="5" fillId="0" borderId="14" applyAlignment="1" pivotButton="0" quotePrefix="0" xfId="55">
      <alignment horizontal="right" vertical="center" shrinkToFit="1"/>
    </xf>
    <xf numFmtId="165" fontId="5" fillId="0" borderId="15" applyAlignment="1" pivotButton="0" quotePrefix="0" xfId="55">
      <alignment horizontal="right" vertical="center" shrinkToFit="1"/>
    </xf>
    <xf numFmtId="165" fontId="4" fillId="0" borderId="0" applyAlignment="1" pivotButton="0" quotePrefix="0" xfId="45">
      <alignment vertical="center"/>
    </xf>
    <xf numFmtId="165" fontId="4" fillId="0" borderId="0" applyAlignment="1" pivotButton="0" quotePrefix="0" xfId="45">
      <alignment horizontal="left" vertical="center"/>
    </xf>
    <xf numFmtId="164" fontId="8" fillId="8" borderId="1" applyAlignment="1" applyProtection="1" pivotButton="0" quotePrefix="0" xfId="57">
      <alignment horizontal="center" vertical="center"/>
      <protection locked="0" hidden="0"/>
    </xf>
    <xf numFmtId="165" fontId="4" fillId="0" borderId="1" applyProtection="1" pivotButton="0" quotePrefix="0" xfId="62">
      <protection locked="0" hidden="0"/>
    </xf>
    <xf numFmtId="0" fontId="8" fillId="9" borderId="1" applyAlignment="1" applyProtection="1" pivotButton="0" quotePrefix="0" xfId="0">
      <alignment horizontal="center" vertical="center"/>
      <protection locked="0" hidden="0"/>
    </xf>
    <xf numFmtId="165" fontId="4" fillId="9" borderId="1" applyProtection="1" pivotButton="0" quotePrefix="0" xfId="62">
      <protection locked="0" hidden="0"/>
    </xf>
    <xf numFmtId="165" fontId="4" fillId="0" borderId="1" applyAlignment="1" applyProtection="1" pivotButton="0" quotePrefix="0" xfId="61">
      <alignment horizontal="center" vertical="center"/>
      <protection locked="0" hidden="0"/>
    </xf>
    <xf numFmtId="165" fontId="4" fillId="0" borderId="0" applyAlignment="1" applyProtection="1" pivotButton="0" quotePrefix="0" xfId="61">
      <alignment horizontal="center" vertical="center"/>
      <protection locked="0" hidden="0"/>
    </xf>
  </cellXfs>
  <cellStyles count="64">
    <cellStyle name="常规" xfId="0" builtinId="0"/>
    <cellStyle name="千分位[0]_宁波" xfId="1"/>
    <cellStyle name="千位分隔" xfId="2" builtinId="3"/>
    <cellStyle name="超链接" xfId="3" builtinId="8"/>
    <cellStyle name="百分比" xfId="4" builtinId="5"/>
    <cellStyle name="{Z'0000(1 dec)}" xfId="5"/>
    <cellStyle name="@_text" xfId="6"/>
    <cellStyle name="{Date}" xfId="7"/>
    <cellStyle name="Comma_1995" xfId="8"/>
    <cellStyle name="Comma [0]_1995" xfId="9"/>
    <cellStyle name="{Comma [0]}" xfId="10"/>
    <cellStyle name="Black" xfId="11"/>
    <cellStyle name="{Comma}" xfId="12"/>
    <cellStyle name="千位[0]_laroux" xfId="13"/>
    <cellStyle name="Currency [0]_1995" xfId="14"/>
    <cellStyle name="{Z'0000(4 dec)}" xfId="15"/>
    <cellStyle name="{Thousand}" xfId="16"/>
    <cellStyle name="Hyperlink_AheadBehind.xls Chart 23" xfId="17"/>
    <cellStyle name="{Month}" xfId="18"/>
    <cellStyle name="{Thousand [0]}" xfId="19"/>
    <cellStyle name="{Percent}" xfId="20"/>
    <cellStyle name="Border" xfId="21"/>
    <cellStyle name="Currency_1995" xfId="22"/>
    <cellStyle name="Dezimal [0]_laroux" xfId="23"/>
    <cellStyle name="Dezimal_laroux" xfId="24"/>
    <cellStyle name="Euro" xfId="25"/>
    <cellStyle name="Followed Hyperlink_AheadBehind.xls Chart 23" xfId="26"/>
    <cellStyle name="Grey" xfId="27"/>
    <cellStyle name="Input [yellow]" xfId="28"/>
    <cellStyle name="Milliers [0]_laroux" xfId="29"/>
    <cellStyle name="Milliers_laroux" xfId="30"/>
    <cellStyle name="Non défini" xfId="31"/>
    <cellStyle name="Normal - Style1" xfId="32"/>
    <cellStyle name="Normal_22-Jun EUS Forecasts" xfId="33"/>
    <cellStyle name="Percent [2]" xfId="34"/>
    <cellStyle name="Red" xfId="35"/>
    <cellStyle name="常规 2" xfId="36"/>
    <cellStyle name="常规 2 3" xfId="37"/>
    <cellStyle name="常规 2 8" xfId="38"/>
    <cellStyle name="常规 3" xfId="39"/>
    <cellStyle name="常规 3 2" xfId="40"/>
    <cellStyle name="常规 4" xfId="41"/>
    <cellStyle name="常规_Book1" xfId="42"/>
    <cellStyle name="常规_c-资产类" xfId="43"/>
    <cellStyle name="常规_进一步审计程序--销售与收款循环" xfId="44"/>
    <cellStyle name="常规_新审定表" xfId="45"/>
    <cellStyle name="常规_制造费用" xfId="46"/>
    <cellStyle name="普通_ 外G9(3)" xfId="47"/>
    <cellStyle name="千分位_宁波" xfId="48"/>
    <cellStyle name="千位_laroux" xfId="49"/>
    <cellStyle name="常规 7" xfId="50"/>
    <cellStyle name="常规 7 2" xfId="51"/>
    <cellStyle name="常规 5" xfId="52"/>
    <cellStyle name="常规 2 2" xfId="53"/>
    <cellStyle name="常规_制造费用 2" xfId="54"/>
    <cellStyle name="千位分隔 2" xfId="55"/>
    <cellStyle name="常规_新审定表 2" xfId="56"/>
    <cellStyle name="常规 2 8 2" xfId="57"/>
    <cellStyle name="常规 4 3" xfId="58"/>
    <cellStyle name="常规 4 2" xfId="59"/>
    <cellStyle name="常规 2 2 2" xfId="60"/>
    <cellStyle name="千位分隔 6" xfId="61"/>
    <cellStyle name="千位分隔 3" xfId="62"/>
    <cellStyle name="常规 11 5" xfId="6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H19"/>
  <sheetViews>
    <sheetView tabSelected="1" workbookViewId="0">
      <selection activeCell="A1" sqref="A1"/>
    </sheetView>
  </sheetViews>
  <sheetFormatPr baseColWidth="8" defaultColWidth="9" defaultRowHeight="20.1" customHeight="1"/>
  <cols>
    <col width="77.59765625" customWidth="1" style="98" min="1" max="1"/>
    <col width="2" customWidth="1" style="98" min="2" max="2"/>
    <col width="2.09765625" customWidth="1" style="98" min="3" max="3"/>
    <col width="6.09765625" customWidth="1" style="98" min="4" max="4"/>
    <col width="25.59765625" customWidth="1" style="98" min="5" max="5"/>
    <col width="8" customWidth="1" style="253" min="6" max="6"/>
  </cols>
  <sheetData>
    <row r="1" ht="20.1" customFormat="1" customHeight="1" s="87">
      <c r="A1" s="89" t="inlineStr">
        <is>
          <t>底稿开列时，可先在以下单元格填写有关内容，以便其他底稿引用有关数据：</t>
        </is>
      </c>
      <c r="B1" s="90" t="n"/>
      <c r="C1" s="90" t="n"/>
      <c r="D1" s="91" t="n"/>
      <c r="E1" s="91" t="n"/>
      <c r="F1" s="93" t="n"/>
    </row>
    <row r="2" ht="20.1" customHeight="1" s="366">
      <c r="A2" s="197" t="inlineStr">
        <is>
          <t>被审计单位：</t>
        </is>
      </c>
      <c r="B2" s="92" t="n"/>
      <c r="C2" s="92" t="n"/>
      <c r="D2" s="93" t="n"/>
      <c r="E2" s="94" t="n"/>
      <c r="F2" s="93" t="n"/>
      <c r="G2" s="95" t="n"/>
      <c r="H2" s="95" t="n"/>
    </row>
    <row r="3" ht="20.1" customHeight="1" s="366">
      <c r="A3" s="197" t="inlineStr">
        <is>
          <t>截止日：202X年12月31日</t>
        </is>
      </c>
      <c r="B3" s="92" t="n"/>
      <c r="C3" s="92" t="n"/>
      <c r="D3" s="96" t="inlineStr">
        <is>
          <t>序号</t>
        </is>
      </c>
      <c r="E3" s="96" t="inlineStr">
        <is>
          <t>内容</t>
        </is>
      </c>
      <c r="F3" s="96" t="inlineStr">
        <is>
          <t>索引号</t>
        </is>
      </c>
      <c r="G3" s="96" t="inlineStr">
        <is>
          <t>备注</t>
        </is>
      </c>
      <c r="H3" s="97" t="n"/>
    </row>
    <row r="4" ht="20.1" customHeight="1" s="366">
      <c r="A4" s="263" t="inlineStr">
        <is>
          <t>编制人：</t>
        </is>
      </c>
      <c r="B4" s="98" t="n"/>
      <c r="C4" s="98" t="n"/>
      <c r="D4" s="102" t="n">
        <v>1</v>
      </c>
      <c r="E4" s="107" t="inlineStr">
        <is>
          <t>实质性程序表</t>
        </is>
      </c>
      <c r="F4" s="102" t="inlineStr">
        <is>
          <t>K2A</t>
        </is>
      </c>
      <c r="G4" s="100" t="n"/>
      <c r="H4" s="101" t="n"/>
    </row>
    <row r="5" ht="20.1" customHeight="1" s="366">
      <c r="A5" s="263" t="inlineStr">
        <is>
          <t>编制日期：</t>
        </is>
      </c>
      <c r="D5" s="102" t="n">
        <v>2</v>
      </c>
      <c r="E5" s="107" t="inlineStr">
        <is>
          <t>审定表</t>
        </is>
      </c>
      <c r="F5" s="102" t="inlineStr">
        <is>
          <t>K2-1</t>
        </is>
      </c>
      <c r="G5" s="103" t="n"/>
      <c r="H5" s="104" t="n"/>
    </row>
    <row r="6" ht="20.1" customHeight="1" s="366">
      <c r="A6" s="263" t="inlineStr">
        <is>
          <t>复核人：</t>
        </is>
      </c>
      <c r="D6" s="102" t="n">
        <v>3</v>
      </c>
      <c r="E6" s="108" t="inlineStr">
        <is>
          <t>附注披露信息（国企）</t>
        </is>
      </c>
      <c r="F6" s="102" t="n"/>
      <c r="G6" s="99" t="n"/>
      <c r="H6" s="205" t="inlineStr">
        <is>
          <t>无需打印</t>
        </is>
      </c>
    </row>
    <row r="7" ht="20.1" customHeight="1" s="366">
      <c r="A7" s="263" t="inlineStr">
        <is>
          <t>复核日期：</t>
        </is>
      </c>
      <c r="D7" s="102" t="n">
        <v>4</v>
      </c>
      <c r="E7" s="108" t="inlineStr">
        <is>
          <t>附注披露信息（上市公司）</t>
        </is>
      </c>
      <c r="F7" s="102" t="n"/>
      <c r="G7" s="99" t="n"/>
      <c r="H7" s="205" t="inlineStr">
        <is>
          <t>无需打印</t>
        </is>
      </c>
    </row>
    <row r="8" ht="20.1" customHeight="1" s="366">
      <c r="D8" s="102" t="n">
        <v>5</v>
      </c>
      <c r="E8" s="108" t="inlineStr">
        <is>
          <t>明细表</t>
        </is>
      </c>
      <c r="F8" s="102" t="inlineStr">
        <is>
          <t>K2-2</t>
        </is>
      </c>
      <c r="G8" s="99" t="n"/>
    </row>
    <row r="9" ht="20.1" customHeight="1" s="366">
      <c r="A9" s="349" t="inlineStr">
        <is>
          <t>关于工作底稿与审计程序索引号对应的说明</t>
        </is>
      </c>
      <c r="D9" s="102" t="n">
        <v>6</v>
      </c>
      <c r="E9" s="108" t="inlineStr">
        <is>
          <t>调整分录汇总</t>
        </is>
      </c>
      <c r="F9" s="102" t="inlineStr">
        <is>
          <t>K2-3</t>
        </is>
      </c>
      <c r="G9" s="99" t="n"/>
    </row>
    <row r="10" ht="20.1" customHeight="1" s="366">
      <c r="A10" s="27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102" t="n">
        <v>7</v>
      </c>
      <c r="E10" s="254" t="inlineStr">
        <is>
          <t>合同取得成本明细表</t>
        </is>
      </c>
      <c r="F10" s="102" t="inlineStr">
        <is>
          <t>K2-4</t>
        </is>
      </c>
      <c r="G10" s="99" t="n"/>
    </row>
    <row r="11" ht="20.1" customHeight="1" s="366">
      <c r="A11" s="104" t="n"/>
      <c r="D11" s="102" t="n">
        <v>8</v>
      </c>
      <c r="E11" s="108" t="inlineStr">
        <is>
          <t>摊销测算表</t>
        </is>
      </c>
      <c r="F11" s="102" t="inlineStr">
        <is>
          <t>K2-5</t>
        </is>
      </c>
      <c r="G11" s="99" t="n"/>
    </row>
    <row r="12" ht="20.1" customHeight="1" s="366">
      <c r="A12" s="104" t="n"/>
      <c r="D12" s="102" t="n">
        <v>9</v>
      </c>
      <c r="E12" s="254" t="inlineStr">
        <is>
          <t>其他流动资产检查表</t>
        </is>
      </c>
      <c r="F12" s="102" t="inlineStr">
        <is>
          <t>K2-6</t>
        </is>
      </c>
      <c r="G12" s="99" t="n"/>
    </row>
    <row r="13" ht="20.1" customHeight="1" s="366">
      <c r="A13" s="104" t="n"/>
      <c r="E13" s="203" t="n"/>
      <c r="F13" s="251" t="n"/>
    </row>
    <row r="14" ht="20.1" customHeight="1" s="366">
      <c r="A14" s="27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E14" s="203" t="n"/>
      <c r="F14" s="251" t="n"/>
    </row>
    <row r="15" ht="20.1" customHeight="1" s="366">
      <c r="A15" s="104" t="n"/>
      <c r="E15" s="203" t="n"/>
      <c r="F15" s="251" t="n"/>
    </row>
    <row r="16" ht="20.1" customHeight="1" s="366">
      <c r="A16" s="104" t="n"/>
      <c r="E16" s="203" t="n"/>
      <c r="F16" s="251" t="n"/>
    </row>
    <row r="17" ht="20.25" customHeight="1" s="366">
      <c r="A17" s="277" t="inlineStr">
        <is>
          <t>3.工作底稿索引号的编码规则：实质性程序索引号按循环从“D”到“N”,循环内账户以顺序号排列，模板中底稿索引号按账户顺序+自然数顺序（即模板中索引号按二级自然顺序排列，如D1-1、D1-2、D1-3、……D1-N）。</t>
        </is>
      </c>
      <c r="E17" s="203" t="n"/>
      <c r="F17" s="251" t="n"/>
    </row>
    <row r="18" ht="15.6" customHeight="1" s="366">
      <c r="A18" s="104" t="n"/>
      <c r="F18" s="252" t="n"/>
    </row>
    <row r="19" ht="20.1" customHeight="1" s="366">
      <c r="A19" s="104" t="n"/>
    </row>
  </sheetData>
  <mergeCells count="3">
    <mergeCell ref="A14:A16"/>
    <mergeCell ref="A17:A19"/>
    <mergeCell ref="A10:A13"/>
  </mergeCells>
  <hyperlinks>
    <hyperlink ref="E4" location="'实质性程序表 K2A'!Print_Area" display="实质性程序表"/>
    <hyperlink ref="E5" location="'审定表K2-1'!Print_Area" display="审定表"/>
    <hyperlink ref="E6" location="'附注披露信息（国企）'!A1" display="附注披露信息（国企）"/>
    <hyperlink ref="E7" location="'附注披露信息（上市公司）'!Print_Area" display="附注披露信息（上市公司）"/>
    <hyperlink ref="E8" location="'明细表K2-2'!Print_Area" display="明细表"/>
    <hyperlink ref="E9" location="'调整分录汇总K2-3'!Print_Area" display="调整分录汇总"/>
    <hyperlink ref="E10" location="'合同取得成本明细表K2-4'!A1" display="合同取得成本明细表"/>
    <hyperlink ref="E11" location="'摊销测算表K2-5'!A1" display="摊销测算表"/>
    <hyperlink ref="E12" location="'其他流动资产检查表表K2-6'!A1" display="其他流动资产检查表"/>
  </hyperlinks>
  <pageMargins left="0.7480314960629921" right="0.7480314960629921" top="0.984251968503937" bottom="0.984251968503937" header="0.5118110236220472" footer="0.5118110236220472"/>
  <pageSetup orientation="portrait" paperSize="9" blackAndWhite="1" horizontalDpi="1200" verticalDpi="1200"/>
</worksheet>
</file>

<file path=xl/worksheets/sheet2.xml><?xml version="1.0" encoding="utf-8"?>
<worksheet xmlns="http://schemas.openxmlformats.org/spreadsheetml/2006/main">
  <sheetPr codeName="Sheet3">
    <outlinePr summaryBelow="1" summaryRight="1"/>
    <pageSetUpPr/>
  </sheetPr>
  <dimension ref="A1:J205"/>
  <sheetViews>
    <sheetView view="pageBreakPreview" zoomScaleNormal="115" zoomScaleSheetLayoutView="100" workbookViewId="0">
      <selection activeCell="A1" sqref="A1:I1"/>
    </sheetView>
  </sheetViews>
  <sheetFormatPr baseColWidth="8" defaultColWidth="9" defaultRowHeight="13.8"/>
  <cols>
    <col width="4.59765625" customWidth="1" style="83" min="1" max="1"/>
    <col width="62.5" customWidth="1" style="84" min="2" max="2"/>
    <col width="9.59765625" customWidth="1" style="85" min="3" max="3"/>
    <col width="5.296875" customWidth="1" style="85" min="4" max="4"/>
    <col width="5.796875" customWidth="1" style="85" min="5" max="5"/>
    <col width="6.69921875" customWidth="1" style="85" min="6" max="6"/>
    <col width="7.69921875" customWidth="1" style="85" min="7" max="7"/>
    <col width="5.296875" customWidth="1" style="85" min="8" max="8"/>
    <col width="7.296875" customWidth="1" style="217" min="9" max="9"/>
    <col width="67.796875" customWidth="1" style="85" min="10" max="10"/>
    <col width="9" customWidth="1" style="85" min="11" max="251"/>
    <col width="8.5" customWidth="1" style="85" min="252" max="252"/>
    <col width="93.69921875" customWidth="1" style="85" min="253" max="253"/>
    <col hidden="1" width="9" customWidth="1" style="85" min="254" max="254"/>
    <col width="11.69921875" customWidth="1" style="85" min="255" max="255"/>
    <col width="13.5" customWidth="1" style="85" min="256" max="256"/>
    <col width="6" customWidth="1" style="85" min="257" max="257"/>
    <col width="5.59765625" customWidth="1" style="85" min="258" max="258"/>
    <col width="4.59765625" customWidth="1" style="85" min="259" max="259"/>
    <col width="5.5" customWidth="1" style="85" min="260" max="260"/>
    <col width="14" customWidth="1" style="85" min="261" max="261"/>
    <col width="10.59765625" customWidth="1" style="85" min="262" max="262"/>
    <col width="31.59765625" customWidth="1" style="85" min="263" max="263"/>
    <col width="9" customWidth="1" style="85" min="264" max="507"/>
    <col width="8.5" customWidth="1" style="85" min="508" max="508"/>
    <col width="93.69921875" customWidth="1" style="85" min="509" max="509"/>
    <col hidden="1" width="9" customWidth="1" style="85" min="510" max="510"/>
    <col width="11.69921875" customWidth="1" style="85" min="511" max="511"/>
    <col width="13.5" customWidth="1" style="85" min="512" max="512"/>
    <col width="6" customWidth="1" style="85" min="513" max="513"/>
    <col width="5.59765625" customWidth="1" style="85" min="514" max="514"/>
    <col width="4.59765625" customWidth="1" style="85" min="515" max="515"/>
    <col width="5.5" customWidth="1" style="85" min="516" max="516"/>
    <col width="14" customWidth="1" style="85" min="517" max="517"/>
    <col width="10.59765625" customWidth="1" style="85" min="518" max="518"/>
    <col width="31.59765625" customWidth="1" style="85" min="519" max="519"/>
    <col width="9" customWidth="1" style="85" min="520" max="763"/>
    <col width="8.5" customWidth="1" style="85" min="764" max="764"/>
    <col width="93.69921875" customWidth="1" style="85" min="765" max="765"/>
    <col hidden="1" width="9" customWidth="1" style="85" min="766" max="766"/>
    <col width="11.69921875" customWidth="1" style="85" min="767" max="767"/>
    <col width="13.5" customWidth="1" style="85" min="768" max="768"/>
    <col width="6" customWidth="1" style="85" min="769" max="769"/>
    <col width="5.59765625" customWidth="1" style="85" min="770" max="770"/>
    <col width="4.59765625" customWidth="1" style="85" min="771" max="771"/>
    <col width="5.5" customWidth="1" style="85" min="772" max="772"/>
    <col width="14" customWidth="1" style="85" min="773" max="773"/>
    <col width="10.59765625" customWidth="1" style="85" min="774" max="774"/>
    <col width="31.59765625" customWidth="1" style="85" min="775" max="775"/>
    <col width="9" customWidth="1" style="85" min="776" max="1019"/>
    <col width="8.5" customWidth="1" style="85" min="1020" max="1020"/>
    <col width="93.69921875" customWidth="1" style="85" min="1021" max="1021"/>
    <col hidden="1" width="9" customWidth="1" style="85" min="1022" max="1022"/>
    <col width="11.69921875" customWidth="1" style="85" min="1023" max="1023"/>
    <col width="13.5" customWidth="1" style="85" min="1024" max="1024"/>
    <col width="6" customWidth="1" style="85" min="1025" max="1025"/>
    <col width="5.59765625" customWidth="1" style="85" min="1026" max="1026"/>
    <col width="4.59765625" customWidth="1" style="85" min="1027" max="1027"/>
    <col width="5.5" customWidth="1" style="85" min="1028" max="1028"/>
    <col width="14" customWidth="1" style="85" min="1029" max="1029"/>
    <col width="10.59765625" customWidth="1" style="85" min="1030" max="1030"/>
    <col width="31.59765625" customWidth="1" style="85" min="1031" max="1031"/>
    <col width="9" customWidth="1" style="85" min="1032" max="1275"/>
    <col width="8.5" customWidth="1" style="85" min="1276" max="1276"/>
    <col width="93.69921875" customWidth="1" style="85" min="1277" max="1277"/>
    <col hidden="1" width="9" customWidth="1" style="85" min="1278" max="1278"/>
    <col width="11.69921875" customWidth="1" style="85" min="1279" max="1279"/>
    <col width="13.5" customWidth="1" style="85" min="1280" max="1280"/>
    <col width="6" customWidth="1" style="85" min="1281" max="1281"/>
    <col width="5.59765625" customWidth="1" style="85" min="1282" max="1282"/>
    <col width="4.59765625" customWidth="1" style="85" min="1283" max="1283"/>
    <col width="5.5" customWidth="1" style="85" min="1284" max="1284"/>
    <col width="14" customWidth="1" style="85" min="1285" max="1285"/>
    <col width="10.59765625" customWidth="1" style="85" min="1286" max="1286"/>
    <col width="31.59765625" customWidth="1" style="85" min="1287" max="1287"/>
    <col width="9" customWidth="1" style="85" min="1288" max="1531"/>
    <col width="8.5" customWidth="1" style="85" min="1532" max="1532"/>
    <col width="93.69921875" customWidth="1" style="85" min="1533" max="1533"/>
    <col hidden="1" width="9" customWidth="1" style="85" min="1534" max="1534"/>
    <col width="11.69921875" customWidth="1" style="85" min="1535" max="1535"/>
    <col width="13.5" customWidth="1" style="85" min="1536" max="1536"/>
    <col width="6" customWidth="1" style="85" min="1537" max="1537"/>
    <col width="5.59765625" customWidth="1" style="85" min="1538" max="1538"/>
    <col width="4.59765625" customWidth="1" style="85" min="1539" max="1539"/>
    <col width="5.5" customWidth="1" style="85" min="1540" max="1540"/>
    <col width="14" customWidth="1" style="85" min="1541" max="1541"/>
    <col width="10.59765625" customWidth="1" style="85" min="1542" max="1542"/>
    <col width="31.59765625" customWidth="1" style="85" min="1543" max="1543"/>
    <col width="9" customWidth="1" style="85" min="1544" max="1787"/>
    <col width="8.5" customWidth="1" style="85" min="1788" max="1788"/>
    <col width="93.69921875" customWidth="1" style="85" min="1789" max="1789"/>
    <col hidden="1" width="9" customWidth="1" style="85" min="1790" max="1790"/>
    <col width="11.69921875" customWidth="1" style="85" min="1791" max="1791"/>
    <col width="13.5" customWidth="1" style="85" min="1792" max="1792"/>
    <col width="6" customWidth="1" style="85" min="1793" max="1793"/>
    <col width="5.59765625" customWidth="1" style="85" min="1794" max="1794"/>
    <col width="4.59765625" customWidth="1" style="85" min="1795" max="1795"/>
    <col width="5.5" customWidth="1" style="85" min="1796" max="1796"/>
    <col width="14" customWidth="1" style="85" min="1797" max="1797"/>
    <col width="10.59765625" customWidth="1" style="85" min="1798" max="1798"/>
    <col width="31.59765625" customWidth="1" style="85" min="1799" max="1799"/>
    <col width="9" customWidth="1" style="85" min="1800" max="2043"/>
    <col width="8.5" customWidth="1" style="85" min="2044" max="2044"/>
    <col width="93.69921875" customWidth="1" style="85" min="2045" max="2045"/>
    <col hidden="1" width="9" customWidth="1" style="85" min="2046" max="2046"/>
    <col width="11.69921875" customWidth="1" style="85" min="2047" max="2047"/>
    <col width="13.5" customWidth="1" style="85" min="2048" max="2048"/>
    <col width="6" customWidth="1" style="85" min="2049" max="2049"/>
    <col width="5.59765625" customWidth="1" style="85" min="2050" max="2050"/>
    <col width="4.59765625" customWidth="1" style="85" min="2051" max="2051"/>
    <col width="5.5" customWidth="1" style="85" min="2052" max="2052"/>
    <col width="14" customWidth="1" style="85" min="2053" max="2053"/>
    <col width="10.59765625" customWidth="1" style="85" min="2054" max="2054"/>
    <col width="31.59765625" customWidth="1" style="85" min="2055" max="2055"/>
    <col width="9" customWidth="1" style="85" min="2056" max="2299"/>
    <col width="8.5" customWidth="1" style="85" min="2300" max="2300"/>
    <col width="93.69921875" customWidth="1" style="85" min="2301" max="2301"/>
    <col hidden="1" width="9" customWidth="1" style="85" min="2302" max="2302"/>
    <col width="11.69921875" customWidth="1" style="85" min="2303" max="2303"/>
    <col width="13.5" customWidth="1" style="85" min="2304" max="2304"/>
    <col width="6" customWidth="1" style="85" min="2305" max="2305"/>
    <col width="5.59765625" customWidth="1" style="85" min="2306" max="2306"/>
    <col width="4.59765625" customWidth="1" style="85" min="2307" max="2307"/>
    <col width="5.5" customWidth="1" style="85" min="2308" max="2308"/>
    <col width="14" customWidth="1" style="85" min="2309" max="2309"/>
    <col width="10.59765625" customWidth="1" style="85" min="2310" max="2310"/>
    <col width="31.59765625" customWidth="1" style="85" min="2311" max="2311"/>
    <col width="9" customWidth="1" style="85" min="2312" max="2555"/>
    <col width="8.5" customWidth="1" style="85" min="2556" max="2556"/>
    <col width="93.69921875" customWidth="1" style="85" min="2557" max="2557"/>
    <col hidden="1" width="9" customWidth="1" style="85" min="2558" max="2558"/>
    <col width="11.69921875" customWidth="1" style="85" min="2559" max="2559"/>
    <col width="13.5" customWidth="1" style="85" min="2560" max="2560"/>
    <col width="6" customWidth="1" style="85" min="2561" max="2561"/>
    <col width="5.59765625" customWidth="1" style="85" min="2562" max="2562"/>
    <col width="4.59765625" customWidth="1" style="85" min="2563" max="2563"/>
    <col width="5.5" customWidth="1" style="85" min="2564" max="2564"/>
    <col width="14" customWidth="1" style="85" min="2565" max="2565"/>
    <col width="10.59765625" customWidth="1" style="85" min="2566" max="2566"/>
    <col width="31.59765625" customWidth="1" style="85" min="2567" max="2567"/>
    <col width="9" customWidth="1" style="85" min="2568" max="2811"/>
    <col width="8.5" customWidth="1" style="85" min="2812" max="2812"/>
    <col width="93.69921875" customWidth="1" style="85" min="2813" max="2813"/>
    <col hidden="1" width="9" customWidth="1" style="85" min="2814" max="2814"/>
    <col width="11.69921875" customWidth="1" style="85" min="2815" max="2815"/>
    <col width="13.5" customWidth="1" style="85" min="2816" max="2816"/>
    <col width="6" customWidth="1" style="85" min="2817" max="2817"/>
    <col width="5.59765625" customWidth="1" style="85" min="2818" max="2818"/>
    <col width="4.59765625" customWidth="1" style="85" min="2819" max="2819"/>
    <col width="5.5" customWidth="1" style="85" min="2820" max="2820"/>
    <col width="14" customWidth="1" style="85" min="2821" max="2821"/>
    <col width="10.59765625" customWidth="1" style="85" min="2822" max="2822"/>
    <col width="31.59765625" customWidth="1" style="85" min="2823" max="2823"/>
    <col width="9" customWidth="1" style="85" min="2824" max="3067"/>
    <col width="8.5" customWidth="1" style="85" min="3068" max="3068"/>
    <col width="93.69921875" customWidth="1" style="85" min="3069" max="3069"/>
    <col hidden="1" width="9" customWidth="1" style="85" min="3070" max="3070"/>
    <col width="11.69921875" customWidth="1" style="85" min="3071" max="3071"/>
    <col width="13.5" customWidth="1" style="85" min="3072" max="3072"/>
    <col width="6" customWidth="1" style="85" min="3073" max="3073"/>
    <col width="5.59765625" customWidth="1" style="85" min="3074" max="3074"/>
    <col width="4.59765625" customWidth="1" style="85" min="3075" max="3075"/>
    <col width="5.5" customWidth="1" style="85" min="3076" max="3076"/>
    <col width="14" customWidth="1" style="85" min="3077" max="3077"/>
    <col width="10.59765625" customWidth="1" style="85" min="3078" max="3078"/>
    <col width="31.59765625" customWidth="1" style="85" min="3079" max="3079"/>
    <col width="9" customWidth="1" style="85" min="3080" max="3323"/>
    <col width="8.5" customWidth="1" style="85" min="3324" max="3324"/>
    <col width="93.69921875" customWidth="1" style="85" min="3325" max="3325"/>
    <col hidden="1" width="9" customWidth="1" style="85" min="3326" max="3326"/>
    <col width="11.69921875" customWidth="1" style="85" min="3327" max="3327"/>
    <col width="13.5" customWidth="1" style="85" min="3328" max="3328"/>
    <col width="6" customWidth="1" style="85" min="3329" max="3329"/>
    <col width="5.59765625" customWidth="1" style="85" min="3330" max="3330"/>
    <col width="4.59765625" customWidth="1" style="85" min="3331" max="3331"/>
    <col width="5.5" customWidth="1" style="85" min="3332" max="3332"/>
    <col width="14" customWidth="1" style="85" min="3333" max="3333"/>
    <col width="10.59765625" customWidth="1" style="85" min="3334" max="3334"/>
    <col width="31.59765625" customWidth="1" style="85" min="3335" max="3335"/>
    <col width="9" customWidth="1" style="85" min="3336" max="3579"/>
    <col width="8.5" customWidth="1" style="85" min="3580" max="3580"/>
    <col width="93.69921875" customWidth="1" style="85" min="3581" max="3581"/>
    <col hidden="1" width="9" customWidth="1" style="85" min="3582" max="3582"/>
    <col width="11.69921875" customWidth="1" style="85" min="3583" max="3583"/>
    <col width="13.5" customWidth="1" style="85" min="3584" max="3584"/>
    <col width="6" customWidth="1" style="85" min="3585" max="3585"/>
    <col width="5.59765625" customWidth="1" style="85" min="3586" max="3586"/>
    <col width="4.59765625" customWidth="1" style="85" min="3587" max="3587"/>
    <col width="5.5" customWidth="1" style="85" min="3588" max="3588"/>
    <col width="14" customWidth="1" style="85" min="3589" max="3589"/>
    <col width="10.59765625" customWidth="1" style="85" min="3590" max="3590"/>
    <col width="31.59765625" customWidth="1" style="85" min="3591" max="3591"/>
    <col width="9" customWidth="1" style="85" min="3592" max="3835"/>
    <col width="8.5" customWidth="1" style="85" min="3836" max="3836"/>
    <col width="93.69921875" customWidth="1" style="85" min="3837" max="3837"/>
    <col hidden="1" width="9" customWidth="1" style="85" min="3838" max="3838"/>
    <col width="11.69921875" customWidth="1" style="85" min="3839" max="3839"/>
    <col width="13.5" customWidth="1" style="85" min="3840" max="3840"/>
    <col width="6" customWidth="1" style="85" min="3841" max="3841"/>
    <col width="5.59765625" customWidth="1" style="85" min="3842" max="3842"/>
    <col width="4.59765625" customWidth="1" style="85" min="3843" max="3843"/>
    <col width="5.5" customWidth="1" style="85" min="3844" max="3844"/>
    <col width="14" customWidth="1" style="85" min="3845" max="3845"/>
    <col width="10.59765625" customWidth="1" style="85" min="3846" max="3846"/>
    <col width="31.59765625" customWidth="1" style="85" min="3847" max="3847"/>
    <col width="9" customWidth="1" style="85" min="3848" max="4091"/>
    <col width="8.5" customWidth="1" style="85" min="4092" max="4092"/>
    <col width="93.69921875" customWidth="1" style="85" min="4093" max="4093"/>
    <col hidden="1" width="9" customWidth="1" style="85" min="4094" max="4094"/>
    <col width="11.69921875" customWidth="1" style="85" min="4095" max="4095"/>
    <col width="13.5" customWidth="1" style="85" min="4096" max="4096"/>
    <col width="6" customWidth="1" style="85" min="4097" max="4097"/>
    <col width="5.59765625" customWidth="1" style="85" min="4098" max="4098"/>
    <col width="4.59765625" customWidth="1" style="85" min="4099" max="4099"/>
    <col width="5.5" customWidth="1" style="85" min="4100" max="4100"/>
    <col width="14" customWidth="1" style="85" min="4101" max="4101"/>
    <col width="10.59765625" customWidth="1" style="85" min="4102" max="4102"/>
    <col width="31.59765625" customWidth="1" style="85" min="4103" max="4103"/>
    <col width="9" customWidth="1" style="85" min="4104" max="4347"/>
    <col width="8.5" customWidth="1" style="85" min="4348" max="4348"/>
    <col width="93.69921875" customWidth="1" style="85" min="4349" max="4349"/>
    <col hidden="1" width="9" customWidth="1" style="85" min="4350" max="4350"/>
    <col width="11.69921875" customWidth="1" style="85" min="4351" max="4351"/>
    <col width="13.5" customWidth="1" style="85" min="4352" max="4352"/>
    <col width="6" customWidth="1" style="85" min="4353" max="4353"/>
    <col width="5.59765625" customWidth="1" style="85" min="4354" max="4354"/>
    <col width="4.59765625" customWidth="1" style="85" min="4355" max="4355"/>
    <col width="5.5" customWidth="1" style="85" min="4356" max="4356"/>
    <col width="14" customWidth="1" style="85" min="4357" max="4357"/>
    <col width="10.59765625" customWidth="1" style="85" min="4358" max="4358"/>
    <col width="31.59765625" customWidth="1" style="85" min="4359" max="4359"/>
    <col width="9" customWidth="1" style="85" min="4360" max="4603"/>
    <col width="8.5" customWidth="1" style="85" min="4604" max="4604"/>
    <col width="93.69921875" customWidth="1" style="85" min="4605" max="4605"/>
    <col hidden="1" width="9" customWidth="1" style="85" min="4606" max="4606"/>
    <col width="11.69921875" customWidth="1" style="85" min="4607" max="4607"/>
    <col width="13.5" customWidth="1" style="85" min="4608" max="4608"/>
    <col width="6" customWidth="1" style="85" min="4609" max="4609"/>
    <col width="5.59765625" customWidth="1" style="85" min="4610" max="4610"/>
    <col width="4.59765625" customWidth="1" style="85" min="4611" max="4611"/>
    <col width="5.5" customWidth="1" style="85" min="4612" max="4612"/>
    <col width="14" customWidth="1" style="85" min="4613" max="4613"/>
    <col width="10.59765625" customWidth="1" style="85" min="4614" max="4614"/>
    <col width="31.59765625" customWidth="1" style="85" min="4615" max="4615"/>
    <col width="9" customWidth="1" style="85" min="4616" max="4859"/>
    <col width="8.5" customWidth="1" style="85" min="4860" max="4860"/>
    <col width="93.69921875" customWidth="1" style="85" min="4861" max="4861"/>
    <col hidden="1" width="9" customWidth="1" style="85" min="4862" max="4862"/>
    <col width="11.69921875" customWidth="1" style="85" min="4863" max="4863"/>
    <col width="13.5" customWidth="1" style="85" min="4864" max="4864"/>
    <col width="6" customWidth="1" style="85" min="4865" max="4865"/>
    <col width="5.59765625" customWidth="1" style="85" min="4866" max="4866"/>
    <col width="4.59765625" customWidth="1" style="85" min="4867" max="4867"/>
    <col width="5.5" customWidth="1" style="85" min="4868" max="4868"/>
    <col width="14" customWidth="1" style="85" min="4869" max="4869"/>
    <col width="10.59765625" customWidth="1" style="85" min="4870" max="4870"/>
    <col width="31.59765625" customWidth="1" style="85" min="4871" max="4871"/>
    <col width="9" customWidth="1" style="85" min="4872" max="5115"/>
    <col width="8.5" customWidth="1" style="85" min="5116" max="5116"/>
    <col width="93.69921875" customWidth="1" style="85" min="5117" max="5117"/>
    <col hidden="1" width="9" customWidth="1" style="85" min="5118" max="5118"/>
    <col width="11.69921875" customWidth="1" style="85" min="5119" max="5119"/>
    <col width="13.5" customWidth="1" style="85" min="5120" max="5120"/>
    <col width="6" customWidth="1" style="85" min="5121" max="5121"/>
    <col width="5.59765625" customWidth="1" style="85" min="5122" max="5122"/>
    <col width="4.59765625" customWidth="1" style="85" min="5123" max="5123"/>
    <col width="5.5" customWidth="1" style="85" min="5124" max="5124"/>
    <col width="14" customWidth="1" style="85" min="5125" max="5125"/>
    <col width="10.59765625" customWidth="1" style="85" min="5126" max="5126"/>
    <col width="31.59765625" customWidth="1" style="85" min="5127" max="5127"/>
    <col width="9" customWidth="1" style="85" min="5128" max="5371"/>
    <col width="8.5" customWidth="1" style="85" min="5372" max="5372"/>
    <col width="93.69921875" customWidth="1" style="85" min="5373" max="5373"/>
    <col hidden="1" width="9" customWidth="1" style="85" min="5374" max="5374"/>
    <col width="11.69921875" customWidth="1" style="85" min="5375" max="5375"/>
    <col width="13.5" customWidth="1" style="85" min="5376" max="5376"/>
    <col width="6" customWidth="1" style="85" min="5377" max="5377"/>
    <col width="5.59765625" customWidth="1" style="85" min="5378" max="5378"/>
    <col width="4.59765625" customWidth="1" style="85" min="5379" max="5379"/>
    <col width="5.5" customWidth="1" style="85" min="5380" max="5380"/>
    <col width="14" customWidth="1" style="85" min="5381" max="5381"/>
    <col width="10.59765625" customWidth="1" style="85" min="5382" max="5382"/>
    <col width="31.59765625" customWidth="1" style="85" min="5383" max="5383"/>
    <col width="9" customWidth="1" style="85" min="5384" max="5627"/>
    <col width="8.5" customWidth="1" style="85" min="5628" max="5628"/>
    <col width="93.69921875" customWidth="1" style="85" min="5629" max="5629"/>
    <col hidden="1" width="9" customWidth="1" style="85" min="5630" max="5630"/>
    <col width="11.69921875" customWidth="1" style="85" min="5631" max="5631"/>
    <col width="13.5" customWidth="1" style="85" min="5632" max="5632"/>
    <col width="6" customWidth="1" style="85" min="5633" max="5633"/>
    <col width="5.59765625" customWidth="1" style="85" min="5634" max="5634"/>
    <col width="4.59765625" customWidth="1" style="85" min="5635" max="5635"/>
    <col width="5.5" customWidth="1" style="85" min="5636" max="5636"/>
    <col width="14" customWidth="1" style="85" min="5637" max="5637"/>
    <col width="10.59765625" customWidth="1" style="85" min="5638" max="5638"/>
    <col width="31.59765625" customWidth="1" style="85" min="5639" max="5639"/>
    <col width="9" customWidth="1" style="85" min="5640" max="5883"/>
    <col width="8.5" customWidth="1" style="85" min="5884" max="5884"/>
    <col width="93.69921875" customWidth="1" style="85" min="5885" max="5885"/>
    <col hidden="1" width="9" customWidth="1" style="85" min="5886" max="5886"/>
    <col width="11.69921875" customWidth="1" style="85" min="5887" max="5887"/>
    <col width="13.5" customWidth="1" style="85" min="5888" max="5888"/>
    <col width="6" customWidth="1" style="85" min="5889" max="5889"/>
    <col width="5.59765625" customWidth="1" style="85" min="5890" max="5890"/>
    <col width="4.59765625" customWidth="1" style="85" min="5891" max="5891"/>
    <col width="5.5" customWidth="1" style="85" min="5892" max="5892"/>
    <col width="14" customWidth="1" style="85" min="5893" max="5893"/>
    <col width="10.59765625" customWidth="1" style="85" min="5894" max="5894"/>
    <col width="31.59765625" customWidth="1" style="85" min="5895" max="5895"/>
    <col width="9" customWidth="1" style="85" min="5896" max="6139"/>
    <col width="8.5" customWidth="1" style="85" min="6140" max="6140"/>
    <col width="93.69921875" customWidth="1" style="85" min="6141" max="6141"/>
    <col hidden="1" width="9" customWidth="1" style="85" min="6142" max="6142"/>
    <col width="11.69921875" customWidth="1" style="85" min="6143" max="6143"/>
    <col width="13.5" customWidth="1" style="85" min="6144" max="6144"/>
    <col width="6" customWidth="1" style="85" min="6145" max="6145"/>
    <col width="5.59765625" customWidth="1" style="85" min="6146" max="6146"/>
    <col width="4.59765625" customWidth="1" style="85" min="6147" max="6147"/>
    <col width="5.5" customWidth="1" style="85" min="6148" max="6148"/>
    <col width="14" customWidth="1" style="85" min="6149" max="6149"/>
    <col width="10.59765625" customWidth="1" style="85" min="6150" max="6150"/>
    <col width="31.59765625" customWidth="1" style="85" min="6151" max="6151"/>
    <col width="9" customWidth="1" style="85" min="6152" max="6395"/>
    <col width="8.5" customWidth="1" style="85" min="6396" max="6396"/>
    <col width="93.69921875" customWidth="1" style="85" min="6397" max="6397"/>
    <col hidden="1" width="9" customWidth="1" style="85" min="6398" max="6398"/>
    <col width="11.69921875" customWidth="1" style="85" min="6399" max="6399"/>
    <col width="13.5" customWidth="1" style="85" min="6400" max="6400"/>
    <col width="6" customWidth="1" style="85" min="6401" max="6401"/>
    <col width="5.59765625" customWidth="1" style="85" min="6402" max="6402"/>
    <col width="4.59765625" customWidth="1" style="85" min="6403" max="6403"/>
    <col width="5.5" customWidth="1" style="85" min="6404" max="6404"/>
    <col width="14" customWidth="1" style="85" min="6405" max="6405"/>
    <col width="10.59765625" customWidth="1" style="85" min="6406" max="6406"/>
    <col width="31.59765625" customWidth="1" style="85" min="6407" max="6407"/>
    <col width="9" customWidth="1" style="85" min="6408" max="6651"/>
    <col width="8.5" customWidth="1" style="85" min="6652" max="6652"/>
    <col width="93.69921875" customWidth="1" style="85" min="6653" max="6653"/>
    <col hidden="1" width="9" customWidth="1" style="85" min="6654" max="6654"/>
    <col width="11.69921875" customWidth="1" style="85" min="6655" max="6655"/>
    <col width="13.5" customWidth="1" style="85" min="6656" max="6656"/>
    <col width="6" customWidth="1" style="85" min="6657" max="6657"/>
    <col width="5.59765625" customWidth="1" style="85" min="6658" max="6658"/>
    <col width="4.59765625" customWidth="1" style="85" min="6659" max="6659"/>
    <col width="5.5" customWidth="1" style="85" min="6660" max="6660"/>
    <col width="14" customWidth="1" style="85" min="6661" max="6661"/>
    <col width="10.59765625" customWidth="1" style="85" min="6662" max="6662"/>
    <col width="31.59765625" customWidth="1" style="85" min="6663" max="6663"/>
    <col width="9" customWidth="1" style="85" min="6664" max="6907"/>
    <col width="8.5" customWidth="1" style="85" min="6908" max="6908"/>
    <col width="93.69921875" customWidth="1" style="85" min="6909" max="6909"/>
    <col hidden="1" width="9" customWidth="1" style="85" min="6910" max="6910"/>
    <col width="11.69921875" customWidth="1" style="85" min="6911" max="6911"/>
    <col width="13.5" customWidth="1" style="85" min="6912" max="6912"/>
    <col width="6" customWidth="1" style="85" min="6913" max="6913"/>
    <col width="5.59765625" customWidth="1" style="85" min="6914" max="6914"/>
    <col width="4.59765625" customWidth="1" style="85" min="6915" max="6915"/>
    <col width="5.5" customWidth="1" style="85" min="6916" max="6916"/>
    <col width="14" customWidth="1" style="85" min="6917" max="6917"/>
    <col width="10.59765625" customWidth="1" style="85" min="6918" max="6918"/>
    <col width="31.59765625" customWidth="1" style="85" min="6919" max="6919"/>
    <col width="9" customWidth="1" style="85" min="6920" max="7163"/>
    <col width="8.5" customWidth="1" style="85" min="7164" max="7164"/>
    <col width="93.69921875" customWidth="1" style="85" min="7165" max="7165"/>
    <col hidden="1" width="9" customWidth="1" style="85" min="7166" max="7166"/>
    <col width="11.69921875" customWidth="1" style="85" min="7167" max="7167"/>
    <col width="13.5" customWidth="1" style="85" min="7168" max="7168"/>
    <col width="6" customWidth="1" style="85" min="7169" max="7169"/>
    <col width="5.59765625" customWidth="1" style="85" min="7170" max="7170"/>
    <col width="4.59765625" customWidth="1" style="85" min="7171" max="7171"/>
    <col width="5.5" customWidth="1" style="85" min="7172" max="7172"/>
    <col width="14" customWidth="1" style="85" min="7173" max="7173"/>
    <col width="10.59765625" customWidth="1" style="85" min="7174" max="7174"/>
    <col width="31.59765625" customWidth="1" style="85" min="7175" max="7175"/>
    <col width="9" customWidth="1" style="85" min="7176" max="7419"/>
    <col width="8.5" customWidth="1" style="85" min="7420" max="7420"/>
    <col width="93.69921875" customWidth="1" style="85" min="7421" max="7421"/>
    <col hidden="1" width="9" customWidth="1" style="85" min="7422" max="7422"/>
    <col width="11.69921875" customWidth="1" style="85" min="7423" max="7423"/>
    <col width="13.5" customWidth="1" style="85" min="7424" max="7424"/>
    <col width="6" customWidth="1" style="85" min="7425" max="7425"/>
    <col width="5.59765625" customWidth="1" style="85" min="7426" max="7426"/>
    <col width="4.59765625" customWidth="1" style="85" min="7427" max="7427"/>
    <col width="5.5" customWidth="1" style="85" min="7428" max="7428"/>
    <col width="14" customWidth="1" style="85" min="7429" max="7429"/>
    <col width="10.59765625" customWidth="1" style="85" min="7430" max="7430"/>
    <col width="31.59765625" customWidth="1" style="85" min="7431" max="7431"/>
    <col width="9" customWidth="1" style="85" min="7432" max="7675"/>
    <col width="8.5" customWidth="1" style="85" min="7676" max="7676"/>
    <col width="93.69921875" customWidth="1" style="85" min="7677" max="7677"/>
    <col hidden="1" width="9" customWidth="1" style="85" min="7678" max="7678"/>
    <col width="11.69921875" customWidth="1" style="85" min="7679" max="7679"/>
    <col width="13.5" customWidth="1" style="85" min="7680" max="7680"/>
    <col width="6" customWidth="1" style="85" min="7681" max="7681"/>
    <col width="5.59765625" customWidth="1" style="85" min="7682" max="7682"/>
    <col width="4.59765625" customWidth="1" style="85" min="7683" max="7683"/>
    <col width="5.5" customWidth="1" style="85" min="7684" max="7684"/>
    <col width="14" customWidth="1" style="85" min="7685" max="7685"/>
    <col width="10.59765625" customWidth="1" style="85" min="7686" max="7686"/>
    <col width="31.59765625" customWidth="1" style="85" min="7687" max="7687"/>
    <col width="9" customWidth="1" style="85" min="7688" max="7931"/>
    <col width="8.5" customWidth="1" style="85" min="7932" max="7932"/>
    <col width="93.69921875" customWidth="1" style="85" min="7933" max="7933"/>
    <col hidden="1" width="9" customWidth="1" style="85" min="7934" max="7934"/>
    <col width="11.69921875" customWidth="1" style="85" min="7935" max="7935"/>
    <col width="13.5" customWidth="1" style="85" min="7936" max="7936"/>
    <col width="6" customWidth="1" style="85" min="7937" max="7937"/>
    <col width="5.59765625" customWidth="1" style="85" min="7938" max="7938"/>
    <col width="4.59765625" customWidth="1" style="85" min="7939" max="7939"/>
    <col width="5.5" customWidth="1" style="85" min="7940" max="7940"/>
    <col width="14" customWidth="1" style="85" min="7941" max="7941"/>
    <col width="10.59765625" customWidth="1" style="85" min="7942" max="7942"/>
    <col width="31.59765625" customWidth="1" style="85" min="7943" max="7943"/>
    <col width="9" customWidth="1" style="85" min="7944" max="8187"/>
    <col width="8.5" customWidth="1" style="85" min="8188" max="8188"/>
    <col width="93.69921875" customWidth="1" style="85" min="8189" max="8189"/>
    <col hidden="1" width="9" customWidth="1" style="85" min="8190" max="8190"/>
    <col width="11.69921875" customWidth="1" style="85" min="8191" max="8191"/>
    <col width="13.5" customWidth="1" style="85" min="8192" max="8192"/>
    <col width="6" customWidth="1" style="85" min="8193" max="8193"/>
    <col width="5.59765625" customWidth="1" style="85" min="8194" max="8194"/>
    <col width="4.59765625" customWidth="1" style="85" min="8195" max="8195"/>
    <col width="5.5" customWidth="1" style="85" min="8196" max="8196"/>
    <col width="14" customWidth="1" style="85" min="8197" max="8197"/>
    <col width="10.59765625" customWidth="1" style="85" min="8198" max="8198"/>
    <col width="31.59765625" customWidth="1" style="85" min="8199" max="8199"/>
    <col width="9" customWidth="1" style="85" min="8200" max="8443"/>
    <col width="8.5" customWidth="1" style="85" min="8444" max="8444"/>
    <col width="93.69921875" customWidth="1" style="85" min="8445" max="8445"/>
    <col hidden="1" width="9" customWidth="1" style="85" min="8446" max="8446"/>
    <col width="11.69921875" customWidth="1" style="85" min="8447" max="8447"/>
    <col width="13.5" customWidth="1" style="85" min="8448" max="8448"/>
    <col width="6" customWidth="1" style="85" min="8449" max="8449"/>
    <col width="5.59765625" customWidth="1" style="85" min="8450" max="8450"/>
    <col width="4.59765625" customWidth="1" style="85" min="8451" max="8451"/>
    <col width="5.5" customWidth="1" style="85" min="8452" max="8452"/>
    <col width="14" customWidth="1" style="85" min="8453" max="8453"/>
    <col width="10.59765625" customWidth="1" style="85" min="8454" max="8454"/>
    <col width="31.59765625" customWidth="1" style="85" min="8455" max="8455"/>
    <col width="9" customWidth="1" style="85" min="8456" max="8699"/>
    <col width="8.5" customWidth="1" style="85" min="8700" max="8700"/>
    <col width="93.69921875" customWidth="1" style="85" min="8701" max="8701"/>
    <col hidden="1" width="9" customWidth="1" style="85" min="8702" max="8702"/>
    <col width="11.69921875" customWidth="1" style="85" min="8703" max="8703"/>
    <col width="13.5" customWidth="1" style="85" min="8704" max="8704"/>
    <col width="6" customWidth="1" style="85" min="8705" max="8705"/>
    <col width="5.59765625" customWidth="1" style="85" min="8706" max="8706"/>
    <col width="4.59765625" customWidth="1" style="85" min="8707" max="8707"/>
    <col width="5.5" customWidth="1" style="85" min="8708" max="8708"/>
    <col width="14" customWidth="1" style="85" min="8709" max="8709"/>
    <col width="10.59765625" customWidth="1" style="85" min="8710" max="8710"/>
    <col width="31.59765625" customWidth="1" style="85" min="8711" max="8711"/>
    <col width="9" customWidth="1" style="85" min="8712" max="8955"/>
    <col width="8.5" customWidth="1" style="85" min="8956" max="8956"/>
    <col width="93.69921875" customWidth="1" style="85" min="8957" max="8957"/>
    <col hidden="1" width="9" customWidth="1" style="85" min="8958" max="8958"/>
    <col width="11.69921875" customWidth="1" style="85" min="8959" max="8959"/>
    <col width="13.5" customWidth="1" style="85" min="8960" max="8960"/>
    <col width="6" customWidth="1" style="85" min="8961" max="8961"/>
    <col width="5.59765625" customWidth="1" style="85" min="8962" max="8962"/>
    <col width="4.59765625" customWidth="1" style="85" min="8963" max="8963"/>
    <col width="5.5" customWidth="1" style="85" min="8964" max="8964"/>
    <col width="14" customWidth="1" style="85" min="8965" max="8965"/>
    <col width="10.59765625" customWidth="1" style="85" min="8966" max="8966"/>
    <col width="31.59765625" customWidth="1" style="85" min="8967" max="8967"/>
    <col width="9" customWidth="1" style="85" min="8968" max="9211"/>
    <col width="8.5" customWidth="1" style="85" min="9212" max="9212"/>
    <col width="93.69921875" customWidth="1" style="85" min="9213" max="9213"/>
    <col hidden="1" width="9" customWidth="1" style="85" min="9214" max="9214"/>
    <col width="11.69921875" customWidth="1" style="85" min="9215" max="9215"/>
    <col width="13.5" customWidth="1" style="85" min="9216" max="9216"/>
    <col width="6" customWidth="1" style="85" min="9217" max="9217"/>
    <col width="5.59765625" customWidth="1" style="85" min="9218" max="9218"/>
    <col width="4.59765625" customWidth="1" style="85" min="9219" max="9219"/>
    <col width="5.5" customWidth="1" style="85" min="9220" max="9220"/>
    <col width="14" customWidth="1" style="85" min="9221" max="9221"/>
    <col width="10.59765625" customWidth="1" style="85" min="9222" max="9222"/>
    <col width="31.59765625" customWidth="1" style="85" min="9223" max="9223"/>
    <col width="9" customWidth="1" style="85" min="9224" max="9467"/>
    <col width="8.5" customWidth="1" style="85" min="9468" max="9468"/>
    <col width="93.69921875" customWidth="1" style="85" min="9469" max="9469"/>
    <col hidden="1" width="9" customWidth="1" style="85" min="9470" max="9470"/>
    <col width="11.69921875" customWidth="1" style="85" min="9471" max="9471"/>
    <col width="13.5" customWidth="1" style="85" min="9472" max="9472"/>
    <col width="6" customWidth="1" style="85" min="9473" max="9473"/>
    <col width="5.59765625" customWidth="1" style="85" min="9474" max="9474"/>
    <col width="4.59765625" customWidth="1" style="85" min="9475" max="9475"/>
    <col width="5.5" customWidth="1" style="85" min="9476" max="9476"/>
    <col width="14" customWidth="1" style="85" min="9477" max="9477"/>
    <col width="10.59765625" customWidth="1" style="85" min="9478" max="9478"/>
    <col width="31.59765625" customWidth="1" style="85" min="9479" max="9479"/>
    <col width="9" customWidth="1" style="85" min="9480" max="9723"/>
    <col width="8.5" customWidth="1" style="85" min="9724" max="9724"/>
    <col width="93.69921875" customWidth="1" style="85" min="9725" max="9725"/>
    <col hidden="1" width="9" customWidth="1" style="85" min="9726" max="9726"/>
    <col width="11.69921875" customWidth="1" style="85" min="9727" max="9727"/>
    <col width="13.5" customWidth="1" style="85" min="9728" max="9728"/>
    <col width="6" customWidth="1" style="85" min="9729" max="9729"/>
    <col width="5.59765625" customWidth="1" style="85" min="9730" max="9730"/>
    <col width="4.59765625" customWidth="1" style="85" min="9731" max="9731"/>
    <col width="5.5" customWidth="1" style="85" min="9732" max="9732"/>
    <col width="14" customWidth="1" style="85" min="9733" max="9733"/>
    <col width="10.59765625" customWidth="1" style="85" min="9734" max="9734"/>
    <col width="31.59765625" customWidth="1" style="85" min="9735" max="9735"/>
    <col width="9" customWidth="1" style="85" min="9736" max="9979"/>
    <col width="8.5" customWidth="1" style="85" min="9980" max="9980"/>
    <col width="93.69921875" customWidth="1" style="85" min="9981" max="9981"/>
    <col hidden="1" width="9" customWidth="1" style="85" min="9982" max="9982"/>
    <col width="11.69921875" customWidth="1" style="85" min="9983" max="9983"/>
    <col width="13.5" customWidth="1" style="85" min="9984" max="9984"/>
    <col width="6" customWidth="1" style="85" min="9985" max="9985"/>
    <col width="5.59765625" customWidth="1" style="85" min="9986" max="9986"/>
    <col width="4.59765625" customWidth="1" style="85" min="9987" max="9987"/>
    <col width="5.5" customWidth="1" style="85" min="9988" max="9988"/>
    <col width="14" customWidth="1" style="85" min="9989" max="9989"/>
    <col width="10.59765625" customWidth="1" style="85" min="9990" max="9990"/>
    <col width="31.59765625" customWidth="1" style="85" min="9991" max="9991"/>
    <col width="9" customWidth="1" style="85" min="9992" max="10235"/>
    <col width="8.5" customWidth="1" style="85" min="10236" max="10236"/>
    <col width="93.69921875" customWidth="1" style="85" min="10237" max="10237"/>
    <col hidden="1" width="9" customWidth="1" style="85" min="10238" max="10238"/>
    <col width="11.69921875" customWidth="1" style="85" min="10239" max="10239"/>
    <col width="13.5" customWidth="1" style="85" min="10240" max="10240"/>
    <col width="6" customWidth="1" style="85" min="10241" max="10241"/>
    <col width="5.59765625" customWidth="1" style="85" min="10242" max="10242"/>
    <col width="4.59765625" customWidth="1" style="85" min="10243" max="10243"/>
    <col width="5.5" customWidth="1" style="85" min="10244" max="10244"/>
    <col width="14" customWidth="1" style="85" min="10245" max="10245"/>
    <col width="10.59765625" customWidth="1" style="85" min="10246" max="10246"/>
    <col width="31.59765625" customWidth="1" style="85" min="10247" max="10247"/>
    <col width="9" customWidth="1" style="85" min="10248" max="10491"/>
    <col width="8.5" customWidth="1" style="85" min="10492" max="10492"/>
    <col width="93.69921875" customWidth="1" style="85" min="10493" max="10493"/>
    <col hidden="1" width="9" customWidth="1" style="85" min="10494" max="10494"/>
    <col width="11.69921875" customWidth="1" style="85" min="10495" max="10495"/>
    <col width="13.5" customWidth="1" style="85" min="10496" max="10496"/>
    <col width="6" customWidth="1" style="85" min="10497" max="10497"/>
    <col width="5.59765625" customWidth="1" style="85" min="10498" max="10498"/>
    <col width="4.59765625" customWidth="1" style="85" min="10499" max="10499"/>
    <col width="5.5" customWidth="1" style="85" min="10500" max="10500"/>
    <col width="14" customWidth="1" style="85" min="10501" max="10501"/>
    <col width="10.59765625" customWidth="1" style="85" min="10502" max="10502"/>
    <col width="31.59765625" customWidth="1" style="85" min="10503" max="10503"/>
    <col width="9" customWidth="1" style="85" min="10504" max="10747"/>
    <col width="8.5" customWidth="1" style="85" min="10748" max="10748"/>
    <col width="93.69921875" customWidth="1" style="85" min="10749" max="10749"/>
    <col hidden="1" width="9" customWidth="1" style="85" min="10750" max="10750"/>
    <col width="11.69921875" customWidth="1" style="85" min="10751" max="10751"/>
    <col width="13.5" customWidth="1" style="85" min="10752" max="10752"/>
    <col width="6" customWidth="1" style="85" min="10753" max="10753"/>
    <col width="5.59765625" customWidth="1" style="85" min="10754" max="10754"/>
    <col width="4.59765625" customWidth="1" style="85" min="10755" max="10755"/>
    <col width="5.5" customWidth="1" style="85" min="10756" max="10756"/>
    <col width="14" customWidth="1" style="85" min="10757" max="10757"/>
    <col width="10.59765625" customWidth="1" style="85" min="10758" max="10758"/>
    <col width="31.59765625" customWidth="1" style="85" min="10759" max="10759"/>
    <col width="9" customWidth="1" style="85" min="10760" max="11003"/>
    <col width="8.5" customWidth="1" style="85" min="11004" max="11004"/>
    <col width="93.69921875" customWidth="1" style="85" min="11005" max="11005"/>
    <col hidden="1" width="9" customWidth="1" style="85" min="11006" max="11006"/>
    <col width="11.69921875" customWidth="1" style="85" min="11007" max="11007"/>
    <col width="13.5" customWidth="1" style="85" min="11008" max="11008"/>
    <col width="6" customWidth="1" style="85" min="11009" max="11009"/>
    <col width="5.59765625" customWidth="1" style="85" min="11010" max="11010"/>
    <col width="4.59765625" customWidth="1" style="85" min="11011" max="11011"/>
    <col width="5.5" customWidth="1" style="85" min="11012" max="11012"/>
    <col width="14" customWidth="1" style="85" min="11013" max="11013"/>
    <col width="10.59765625" customWidth="1" style="85" min="11014" max="11014"/>
    <col width="31.59765625" customWidth="1" style="85" min="11015" max="11015"/>
    <col width="9" customWidth="1" style="85" min="11016" max="11259"/>
    <col width="8.5" customWidth="1" style="85" min="11260" max="11260"/>
    <col width="93.69921875" customWidth="1" style="85" min="11261" max="11261"/>
    <col hidden="1" width="9" customWidth="1" style="85" min="11262" max="11262"/>
    <col width="11.69921875" customWidth="1" style="85" min="11263" max="11263"/>
    <col width="13.5" customWidth="1" style="85" min="11264" max="11264"/>
    <col width="6" customWidth="1" style="85" min="11265" max="11265"/>
    <col width="5.59765625" customWidth="1" style="85" min="11266" max="11266"/>
    <col width="4.59765625" customWidth="1" style="85" min="11267" max="11267"/>
    <col width="5.5" customWidth="1" style="85" min="11268" max="11268"/>
    <col width="14" customWidth="1" style="85" min="11269" max="11269"/>
    <col width="10.59765625" customWidth="1" style="85" min="11270" max="11270"/>
    <col width="31.59765625" customWidth="1" style="85" min="11271" max="11271"/>
    <col width="9" customWidth="1" style="85" min="11272" max="11515"/>
    <col width="8.5" customWidth="1" style="85" min="11516" max="11516"/>
    <col width="93.69921875" customWidth="1" style="85" min="11517" max="11517"/>
    <col hidden="1" width="9" customWidth="1" style="85" min="11518" max="11518"/>
    <col width="11.69921875" customWidth="1" style="85" min="11519" max="11519"/>
    <col width="13.5" customWidth="1" style="85" min="11520" max="11520"/>
    <col width="6" customWidth="1" style="85" min="11521" max="11521"/>
    <col width="5.59765625" customWidth="1" style="85" min="11522" max="11522"/>
    <col width="4.59765625" customWidth="1" style="85" min="11523" max="11523"/>
    <col width="5.5" customWidth="1" style="85" min="11524" max="11524"/>
    <col width="14" customWidth="1" style="85" min="11525" max="11525"/>
    <col width="10.59765625" customWidth="1" style="85" min="11526" max="11526"/>
    <col width="31.59765625" customWidth="1" style="85" min="11527" max="11527"/>
    <col width="9" customWidth="1" style="85" min="11528" max="11771"/>
    <col width="8.5" customWidth="1" style="85" min="11772" max="11772"/>
    <col width="93.69921875" customWidth="1" style="85" min="11773" max="11773"/>
    <col hidden="1" width="9" customWidth="1" style="85" min="11774" max="11774"/>
    <col width="11.69921875" customWidth="1" style="85" min="11775" max="11775"/>
    <col width="13.5" customWidth="1" style="85" min="11776" max="11776"/>
    <col width="6" customWidth="1" style="85" min="11777" max="11777"/>
    <col width="5.59765625" customWidth="1" style="85" min="11778" max="11778"/>
    <col width="4.59765625" customWidth="1" style="85" min="11779" max="11779"/>
    <col width="5.5" customWidth="1" style="85" min="11780" max="11780"/>
    <col width="14" customWidth="1" style="85" min="11781" max="11781"/>
    <col width="10.59765625" customWidth="1" style="85" min="11782" max="11782"/>
    <col width="31.59765625" customWidth="1" style="85" min="11783" max="11783"/>
    <col width="9" customWidth="1" style="85" min="11784" max="12027"/>
    <col width="8.5" customWidth="1" style="85" min="12028" max="12028"/>
    <col width="93.69921875" customWidth="1" style="85" min="12029" max="12029"/>
    <col hidden="1" width="9" customWidth="1" style="85" min="12030" max="12030"/>
    <col width="11.69921875" customWidth="1" style="85" min="12031" max="12031"/>
    <col width="13.5" customWidth="1" style="85" min="12032" max="12032"/>
    <col width="6" customWidth="1" style="85" min="12033" max="12033"/>
    <col width="5.59765625" customWidth="1" style="85" min="12034" max="12034"/>
    <col width="4.59765625" customWidth="1" style="85" min="12035" max="12035"/>
    <col width="5.5" customWidth="1" style="85" min="12036" max="12036"/>
    <col width="14" customWidth="1" style="85" min="12037" max="12037"/>
    <col width="10.59765625" customWidth="1" style="85" min="12038" max="12038"/>
    <col width="31.59765625" customWidth="1" style="85" min="12039" max="12039"/>
    <col width="9" customWidth="1" style="85" min="12040" max="12283"/>
    <col width="8.5" customWidth="1" style="85" min="12284" max="12284"/>
    <col width="93.69921875" customWidth="1" style="85" min="12285" max="12285"/>
    <col hidden="1" width="9" customWidth="1" style="85" min="12286" max="12286"/>
    <col width="11.69921875" customWidth="1" style="85" min="12287" max="12287"/>
    <col width="13.5" customWidth="1" style="85" min="12288" max="12288"/>
    <col width="6" customWidth="1" style="85" min="12289" max="12289"/>
    <col width="5.59765625" customWidth="1" style="85" min="12290" max="12290"/>
    <col width="4.59765625" customWidth="1" style="85" min="12291" max="12291"/>
    <col width="5.5" customWidth="1" style="85" min="12292" max="12292"/>
    <col width="14" customWidth="1" style="85" min="12293" max="12293"/>
    <col width="10.59765625" customWidth="1" style="85" min="12294" max="12294"/>
    <col width="31.59765625" customWidth="1" style="85" min="12295" max="12295"/>
    <col width="9" customWidth="1" style="85" min="12296" max="12539"/>
    <col width="8.5" customWidth="1" style="85" min="12540" max="12540"/>
    <col width="93.69921875" customWidth="1" style="85" min="12541" max="12541"/>
    <col hidden="1" width="9" customWidth="1" style="85" min="12542" max="12542"/>
    <col width="11.69921875" customWidth="1" style="85" min="12543" max="12543"/>
    <col width="13.5" customWidth="1" style="85" min="12544" max="12544"/>
    <col width="6" customWidth="1" style="85" min="12545" max="12545"/>
    <col width="5.59765625" customWidth="1" style="85" min="12546" max="12546"/>
    <col width="4.59765625" customWidth="1" style="85" min="12547" max="12547"/>
    <col width="5.5" customWidth="1" style="85" min="12548" max="12548"/>
    <col width="14" customWidth="1" style="85" min="12549" max="12549"/>
    <col width="10.59765625" customWidth="1" style="85" min="12550" max="12550"/>
    <col width="31.59765625" customWidth="1" style="85" min="12551" max="12551"/>
    <col width="9" customWidth="1" style="85" min="12552" max="12795"/>
    <col width="8.5" customWidth="1" style="85" min="12796" max="12796"/>
    <col width="93.69921875" customWidth="1" style="85" min="12797" max="12797"/>
    <col hidden="1" width="9" customWidth="1" style="85" min="12798" max="12798"/>
    <col width="11.69921875" customWidth="1" style="85" min="12799" max="12799"/>
    <col width="13.5" customWidth="1" style="85" min="12800" max="12800"/>
    <col width="6" customWidth="1" style="85" min="12801" max="12801"/>
    <col width="5.59765625" customWidth="1" style="85" min="12802" max="12802"/>
    <col width="4.59765625" customWidth="1" style="85" min="12803" max="12803"/>
    <col width="5.5" customWidth="1" style="85" min="12804" max="12804"/>
    <col width="14" customWidth="1" style="85" min="12805" max="12805"/>
    <col width="10.59765625" customWidth="1" style="85" min="12806" max="12806"/>
    <col width="31.59765625" customWidth="1" style="85" min="12807" max="12807"/>
    <col width="9" customWidth="1" style="85" min="12808" max="13051"/>
    <col width="8.5" customWidth="1" style="85" min="13052" max="13052"/>
    <col width="93.69921875" customWidth="1" style="85" min="13053" max="13053"/>
    <col hidden="1" width="9" customWidth="1" style="85" min="13054" max="13054"/>
    <col width="11.69921875" customWidth="1" style="85" min="13055" max="13055"/>
    <col width="13.5" customWidth="1" style="85" min="13056" max="13056"/>
    <col width="6" customWidth="1" style="85" min="13057" max="13057"/>
    <col width="5.59765625" customWidth="1" style="85" min="13058" max="13058"/>
    <col width="4.59765625" customWidth="1" style="85" min="13059" max="13059"/>
    <col width="5.5" customWidth="1" style="85" min="13060" max="13060"/>
    <col width="14" customWidth="1" style="85" min="13061" max="13061"/>
    <col width="10.59765625" customWidth="1" style="85" min="13062" max="13062"/>
    <col width="31.59765625" customWidth="1" style="85" min="13063" max="13063"/>
    <col width="9" customWidth="1" style="85" min="13064" max="13307"/>
    <col width="8.5" customWidth="1" style="85" min="13308" max="13308"/>
    <col width="93.69921875" customWidth="1" style="85" min="13309" max="13309"/>
    <col hidden="1" width="9" customWidth="1" style="85" min="13310" max="13310"/>
    <col width="11.69921875" customWidth="1" style="85" min="13311" max="13311"/>
    <col width="13.5" customWidth="1" style="85" min="13312" max="13312"/>
    <col width="6" customWidth="1" style="85" min="13313" max="13313"/>
    <col width="5.59765625" customWidth="1" style="85" min="13314" max="13314"/>
    <col width="4.59765625" customWidth="1" style="85" min="13315" max="13315"/>
    <col width="5.5" customWidth="1" style="85" min="13316" max="13316"/>
    <col width="14" customWidth="1" style="85" min="13317" max="13317"/>
    <col width="10.59765625" customWidth="1" style="85" min="13318" max="13318"/>
    <col width="31.59765625" customWidth="1" style="85" min="13319" max="13319"/>
    <col width="9" customWidth="1" style="85" min="13320" max="13563"/>
    <col width="8.5" customWidth="1" style="85" min="13564" max="13564"/>
    <col width="93.69921875" customWidth="1" style="85" min="13565" max="13565"/>
    <col hidden="1" width="9" customWidth="1" style="85" min="13566" max="13566"/>
    <col width="11.69921875" customWidth="1" style="85" min="13567" max="13567"/>
    <col width="13.5" customWidth="1" style="85" min="13568" max="13568"/>
    <col width="6" customWidth="1" style="85" min="13569" max="13569"/>
    <col width="5.59765625" customWidth="1" style="85" min="13570" max="13570"/>
    <col width="4.59765625" customWidth="1" style="85" min="13571" max="13571"/>
    <col width="5.5" customWidth="1" style="85" min="13572" max="13572"/>
    <col width="14" customWidth="1" style="85" min="13573" max="13573"/>
    <col width="10.59765625" customWidth="1" style="85" min="13574" max="13574"/>
    <col width="31.59765625" customWidth="1" style="85" min="13575" max="13575"/>
    <col width="9" customWidth="1" style="85" min="13576" max="13819"/>
    <col width="8.5" customWidth="1" style="85" min="13820" max="13820"/>
    <col width="93.69921875" customWidth="1" style="85" min="13821" max="13821"/>
    <col hidden="1" width="9" customWidth="1" style="85" min="13822" max="13822"/>
    <col width="11.69921875" customWidth="1" style="85" min="13823" max="13823"/>
    <col width="13.5" customWidth="1" style="85" min="13824" max="13824"/>
    <col width="6" customWidth="1" style="85" min="13825" max="13825"/>
    <col width="5.59765625" customWidth="1" style="85" min="13826" max="13826"/>
    <col width="4.59765625" customWidth="1" style="85" min="13827" max="13827"/>
    <col width="5.5" customWidth="1" style="85" min="13828" max="13828"/>
    <col width="14" customWidth="1" style="85" min="13829" max="13829"/>
    <col width="10.59765625" customWidth="1" style="85" min="13830" max="13830"/>
    <col width="31.59765625" customWidth="1" style="85" min="13831" max="13831"/>
    <col width="9" customWidth="1" style="85" min="13832" max="14075"/>
    <col width="8.5" customWidth="1" style="85" min="14076" max="14076"/>
    <col width="93.69921875" customWidth="1" style="85" min="14077" max="14077"/>
    <col hidden="1" width="9" customWidth="1" style="85" min="14078" max="14078"/>
    <col width="11.69921875" customWidth="1" style="85" min="14079" max="14079"/>
    <col width="13.5" customWidth="1" style="85" min="14080" max="14080"/>
    <col width="6" customWidth="1" style="85" min="14081" max="14081"/>
    <col width="5.59765625" customWidth="1" style="85" min="14082" max="14082"/>
    <col width="4.59765625" customWidth="1" style="85" min="14083" max="14083"/>
    <col width="5.5" customWidth="1" style="85" min="14084" max="14084"/>
    <col width="14" customWidth="1" style="85" min="14085" max="14085"/>
    <col width="10.59765625" customWidth="1" style="85" min="14086" max="14086"/>
    <col width="31.59765625" customWidth="1" style="85" min="14087" max="14087"/>
    <col width="9" customWidth="1" style="85" min="14088" max="14331"/>
    <col width="8.5" customWidth="1" style="85" min="14332" max="14332"/>
    <col width="93.69921875" customWidth="1" style="85" min="14333" max="14333"/>
    <col hidden="1" width="9" customWidth="1" style="85" min="14334" max="14334"/>
    <col width="11.69921875" customWidth="1" style="85" min="14335" max="14335"/>
    <col width="13.5" customWidth="1" style="85" min="14336" max="14336"/>
    <col width="6" customWidth="1" style="85" min="14337" max="14337"/>
    <col width="5.59765625" customWidth="1" style="85" min="14338" max="14338"/>
    <col width="4.59765625" customWidth="1" style="85" min="14339" max="14339"/>
    <col width="5.5" customWidth="1" style="85" min="14340" max="14340"/>
    <col width="14" customWidth="1" style="85" min="14341" max="14341"/>
    <col width="10.59765625" customWidth="1" style="85" min="14342" max="14342"/>
    <col width="31.59765625" customWidth="1" style="85" min="14343" max="14343"/>
    <col width="9" customWidth="1" style="85" min="14344" max="14587"/>
    <col width="8.5" customWidth="1" style="85" min="14588" max="14588"/>
    <col width="93.69921875" customWidth="1" style="85" min="14589" max="14589"/>
    <col hidden="1" width="9" customWidth="1" style="85" min="14590" max="14590"/>
    <col width="11.69921875" customWidth="1" style="85" min="14591" max="14591"/>
    <col width="13.5" customWidth="1" style="85" min="14592" max="14592"/>
    <col width="6" customWidth="1" style="85" min="14593" max="14593"/>
    <col width="5.59765625" customWidth="1" style="85" min="14594" max="14594"/>
    <col width="4.59765625" customWidth="1" style="85" min="14595" max="14595"/>
    <col width="5.5" customWidth="1" style="85" min="14596" max="14596"/>
    <col width="14" customWidth="1" style="85" min="14597" max="14597"/>
    <col width="10.59765625" customWidth="1" style="85" min="14598" max="14598"/>
    <col width="31.59765625" customWidth="1" style="85" min="14599" max="14599"/>
    <col width="9" customWidth="1" style="85" min="14600" max="14843"/>
    <col width="8.5" customWidth="1" style="85" min="14844" max="14844"/>
    <col width="93.69921875" customWidth="1" style="85" min="14845" max="14845"/>
    <col hidden="1" width="9" customWidth="1" style="85" min="14846" max="14846"/>
    <col width="11.69921875" customWidth="1" style="85" min="14847" max="14847"/>
    <col width="13.5" customWidth="1" style="85" min="14848" max="14848"/>
    <col width="6" customWidth="1" style="85" min="14849" max="14849"/>
    <col width="5.59765625" customWidth="1" style="85" min="14850" max="14850"/>
    <col width="4.59765625" customWidth="1" style="85" min="14851" max="14851"/>
    <col width="5.5" customWidth="1" style="85" min="14852" max="14852"/>
    <col width="14" customWidth="1" style="85" min="14853" max="14853"/>
    <col width="10.59765625" customWidth="1" style="85" min="14854" max="14854"/>
    <col width="31.59765625" customWidth="1" style="85" min="14855" max="14855"/>
    <col width="9" customWidth="1" style="85" min="14856" max="15099"/>
    <col width="8.5" customWidth="1" style="85" min="15100" max="15100"/>
    <col width="93.69921875" customWidth="1" style="85" min="15101" max="15101"/>
    <col hidden="1" width="9" customWidth="1" style="85" min="15102" max="15102"/>
    <col width="11.69921875" customWidth="1" style="85" min="15103" max="15103"/>
    <col width="13.5" customWidth="1" style="85" min="15104" max="15104"/>
    <col width="6" customWidth="1" style="85" min="15105" max="15105"/>
    <col width="5.59765625" customWidth="1" style="85" min="15106" max="15106"/>
    <col width="4.59765625" customWidth="1" style="85" min="15107" max="15107"/>
    <col width="5.5" customWidth="1" style="85" min="15108" max="15108"/>
    <col width="14" customWidth="1" style="85" min="15109" max="15109"/>
    <col width="10.59765625" customWidth="1" style="85" min="15110" max="15110"/>
    <col width="31.59765625" customWidth="1" style="85" min="15111" max="15111"/>
    <col width="9" customWidth="1" style="85" min="15112" max="15355"/>
    <col width="8.5" customWidth="1" style="85" min="15356" max="15356"/>
    <col width="93.69921875" customWidth="1" style="85" min="15357" max="15357"/>
    <col hidden="1" width="9" customWidth="1" style="85" min="15358" max="15358"/>
    <col width="11.69921875" customWidth="1" style="85" min="15359" max="15359"/>
    <col width="13.5" customWidth="1" style="85" min="15360" max="15360"/>
    <col width="6" customWidth="1" style="85" min="15361" max="15361"/>
    <col width="5.59765625" customWidth="1" style="85" min="15362" max="15362"/>
    <col width="4.59765625" customWidth="1" style="85" min="15363" max="15363"/>
    <col width="5.5" customWidth="1" style="85" min="15364" max="15364"/>
    <col width="14" customWidth="1" style="85" min="15365" max="15365"/>
    <col width="10.59765625" customWidth="1" style="85" min="15366" max="15366"/>
    <col width="31.59765625" customWidth="1" style="85" min="15367" max="15367"/>
    <col width="9" customWidth="1" style="85" min="15368" max="15611"/>
    <col width="8.5" customWidth="1" style="85" min="15612" max="15612"/>
    <col width="93.69921875" customWidth="1" style="85" min="15613" max="15613"/>
    <col hidden="1" width="9" customWidth="1" style="85" min="15614" max="15614"/>
    <col width="11.69921875" customWidth="1" style="85" min="15615" max="15615"/>
    <col width="13.5" customWidth="1" style="85" min="15616" max="15616"/>
    <col width="6" customWidth="1" style="85" min="15617" max="15617"/>
    <col width="5.59765625" customWidth="1" style="85" min="15618" max="15618"/>
    <col width="4.59765625" customWidth="1" style="85" min="15619" max="15619"/>
    <col width="5.5" customWidth="1" style="85" min="15620" max="15620"/>
    <col width="14" customWidth="1" style="85" min="15621" max="15621"/>
    <col width="10.59765625" customWidth="1" style="85" min="15622" max="15622"/>
    <col width="31.59765625" customWidth="1" style="85" min="15623" max="15623"/>
    <col width="9" customWidth="1" style="85" min="15624" max="15867"/>
    <col width="8.5" customWidth="1" style="85" min="15868" max="15868"/>
    <col width="93.69921875" customWidth="1" style="85" min="15869" max="15869"/>
    <col hidden="1" width="9" customWidth="1" style="85" min="15870" max="15870"/>
    <col width="11.69921875" customWidth="1" style="85" min="15871" max="15871"/>
    <col width="13.5" customWidth="1" style="85" min="15872" max="15872"/>
    <col width="6" customWidth="1" style="85" min="15873" max="15873"/>
    <col width="5.59765625" customWidth="1" style="85" min="15874" max="15874"/>
    <col width="4.59765625" customWidth="1" style="85" min="15875" max="15875"/>
    <col width="5.5" customWidth="1" style="85" min="15876" max="15876"/>
    <col width="14" customWidth="1" style="85" min="15877" max="15877"/>
    <col width="10.59765625" customWidth="1" style="85" min="15878" max="15878"/>
    <col width="31.59765625" customWidth="1" style="85" min="15879" max="15879"/>
    <col width="9" customWidth="1" style="85" min="15880" max="16123"/>
    <col width="8.5" customWidth="1" style="85" min="16124" max="16124"/>
    <col width="93.69921875" customWidth="1" style="85" min="16125" max="16125"/>
    <col hidden="1" width="9" customWidth="1" style="85" min="16126" max="16126"/>
    <col width="11.69921875" customWidth="1" style="85" min="16127" max="16127"/>
    <col width="13.5" customWidth="1" style="85" min="16128" max="16128"/>
    <col width="6" customWidth="1" style="85" min="16129" max="16129"/>
    <col width="5.59765625" customWidth="1" style="85" min="16130" max="16130"/>
    <col width="4.59765625" customWidth="1" style="85" min="16131" max="16131"/>
    <col width="5.5" customWidth="1" style="85" min="16132" max="16132"/>
    <col width="14" customWidth="1" style="85" min="16133" max="16133"/>
    <col width="10.59765625" customWidth="1" style="85" min="16134" max="16134"/>
    <col width="31.59765625" customWidth="1" style="85" min="16135" max="16135"/>
    <col width="9" customWidth="1" style="85" min="16136" max="16384"/>
  </cols>
  <sheetData>
    <row r="1" ht="19.95" customFormat="1" customHeight="1" s="77">
      <c r="A1" s="278" t="inlineStr">
        <is>
          <t>致同会计师事务所</t>
        </is>
      </c>
    </row>
    <row r="2" ht="19.95" customFormat="1" customHeight="1" s="77">
      <c r="A2" s="279" t="inlineStr">
        <is>
          <t>其他流动资产实质性程序</t>
        </is>
      </c>
    </row>
    <row r="3" ht="19.95" customFormat="1" customHeight="1" s="130">
      <c r="A3" s="130">
        <f>底稿目录!A2</f>
        <v/>
      </c>
      <c r="C3" s="130">
        <f>底稿目录!A4</f>
        <v/>
      </c>
      <c r="E3" s="130">
        <f>底稿目录!A5</f>
        <v/>
      </c>
      <c r="H3" s="106" t="inlineStr">
        <is>
          <t>索引号：</t>
        </is>
      </c>
      <c r="I3" s="225">
        <f>底稿目录!F4</f>
        <v/>
      </c>
    </row>
    <row r="4" ht="19.95" customFormat="1" customHeight="1" s="130">
      <c r="A4" s="130">
        <f>底稿目录!A3</f>
        <v/>
      </c>
      <c r="C4" s="130">
        <f>底稿目录!A6</f>
        <v/>
      </c>
      <c r="E4" s="130">
        <f>底稿目录!A7</f>
        <v/>
      </c>
      <c r="H4" s="106" t="inlineStr">
        <is>
          <t>页  次：</t>
        </is>
      </c>
      <c r="I4" s="285" t="n"/>
    </row>
    <row r="5" ht="19.95" customHeight="1" s="366">
      <c r="A5" s="293" t="inlineStr">
        <is>
          <t>一、本账户涉及的科目</t>
        </is>
      </c>
      <c r="B5" s="104" t="n"/>
    </row>
    <row r="6" ht="19.95" customHeight="1" s="366">
      <c r="A6" s="216" t="inlineStr">
        <is>
          <t>其他流动资产</t>
        </is>
      </c>
      <c r="B6" s="215" t="n"/>
      <c r="C6" s="215" t="n"/>
      <c r="D6" s="215" t="n"/>
      <c r="E6" s="215" t="n"/>
      <c r="F6" s="215" t="n"/>
      <c r="G6" s="215" t="n"/>
      <c r="H6" s="215" t="n"/>
      <c r="I6" s="117" t="n"/>
    </row>
    <row r="7" ht="19.95" customFormat="1" customHeight="1" s="130">
      <c r="A7" s="265" t="inlineStr">
        <is>
          <t>二、审计目标与认定的对应关系</t>
        </is>
      </c>
      <c r="B7" s="294" t="n"/>
      <c r="C7" s="118" t="n"/>
      <c r="D7" s="130" t="n"/>
      <c r="E7" s="130" t="n"/>
      <c r="F7" s="130" t="n"/>
      <c r="G7" s="130" t="n"/>
      <c r="H7" s="130" t="n"/>
      <c r="I7" s="285" t="n"/>
    </row>
    <row r="8" ht="19.95" customFormat="1" customHeight="1" s="130">
      <c r="A8" s="281" t="inlineStr">
        <is>
          <t>审计目标</t>
        </is>
      </c>
      <c r="B8" s="367" t="n"/>
      <c r="C8" s="367" t="n"/>
      <c r="D8" s="367" t="n"/>
      <c r="E8" s="367" t="n"/>
      <c r="F8" s="368" t="n"/>
      <c r="G8" s="295" t="inlineStr">
        <is>
          <t xml:space="preserve">财务报表的认定　</t>
        </is>
      </c>
      <c r="H8" s="367" t="n"/>
      <c r="I8" s="368" t="n"/>
    </row>
    <row r="9" ht="19.95" customFormat="1" customHeight="1" s="130">
      <c r="A9" s="282" t="inlineStr">
        <is>
          <t>A. 资产负债表中记录的其他流动资产是存在的，且已记录于恰当的账户</t>
        </is>
      </c>
      <c r="B9" s="367" t="n"/>
      <c r="C9" s="367" t="n"/>
      <c r="D9" s="367" t="n"/>
      <c r="E9" s="367" t="n"/>
      <c r="F9" s="368" t="n"/>
      <c r="G9" s="296" t="inlineStr">
        <is>
          <t>存在</t>
        </is>
      </c>
      <c r="H9" s="367" t="n"/>
      <c r="I9" s="368" t="n"/>
    </row>
    <row r="10" ht="19.95" customFormat="1" customHeight="1" s="130">
      <c r="A10" s="282" t="inlineStr">
        <is>
          <t>B. 所有应记录的其他流动资产均已记录，所有应当包括在财务报表中的相关披露均已包括</t>
        </is>
      </c>
      <c r="B10" s="367" t="n"/>
      <c r="C10" s="367" t="n"/>
      <c r="D10" s="367" t="n"/>
      <c r="E10" s="367" t="n"/>
      <c r="F10" s="368" t="n"/>
      <c r="G10" s="296" t="inlineStr">
        <is>
          <t>完整性</t>
        </is>
      </c>
      <c r="H10" s="367" t="n"/>
      <c r="I10" s="368" t="n"/>
    </row>
    <row r="11" ht="19.95" customFormat="1" customHeight="1" s="130">
      <c r="A11" s="282" t="inlineStr">
        <is>
          <t>C. 记录的其他流动资产由被审计单位拥有或控制</t>
        </is>
      </c>
      <c r="B11" s="367" t="n"/>
      <c r="C11" s="367" t="n"/>
      <c r="D11" s="367" t="n"/>
      <c r="E11" s="367" t="n"/>
      <c r="F11" s="368" t="n"/>
      <c r="G11" s="296" t="inlineStr">
        <is>
          <t>权利和义务</t>
        </is>
      </c>
      <c r="H11" s="367" t="n"/>
      <c r="I11" s="368" t="n"/>
    </row>
    <row r="12" ht="19.95" customFormat="1" customHeight="1" s="130">
      <c r="A12" s="282" t="inlineStr">
        <is>
          <t>D. 其他流动资产以恰当的金额包括在财务报表中，与之相关的计价或分摊调整已恰当记录，相关披露已得到恰当计量和描述</t>
        </is>
      </c>
      <c r="B12" s="367" t="n"/>
      <c r="C12" s="367" t="n"/>
      <c r="D12" s="367" t="n"/>
      <c r="E12" s="367" t="n"/>
      <c r="F12" s="368" t="n"/>
      <c r="G12" s="296" t="inlineStr">
        <is>
          <t>准确性、计价和分摊</t>
        </is>
      </c>
      <c r="H12" s="367" t="n"/>
      <c r="I12" s="368" t="n"/>
    </row>
    <row r="13" ht="19.95" customFormat="1" customHeight="1" s="130">
      <c r="A13" s="282" t="inlineStr">
        <is>
          <t>E. 其他流动资产已被恰当地汇总或分解且表述清楚，相关披露在按照企业会计准则的编制基础下是相关的、可理解的</t>
        </is>
      </c>
      <c r="B13" s="367" t="n"/>
      <c r="C13" s="367" t="n"/>
      <c r="D13" s="367" t="n"/>
      <c r="E13" s="367" t="n"/>
      <c r="F13" s="368" t="n"/>
      <c r="G13" s="296" t="inlineStr">
        <is>
          <t>列报</t>
        </is>
      </c>
      <c r="H13" s="367" t="n"/>
      <c r="I13" s="368" t="n"/>
    </row>
    <row r="14" ht="19.95" customFormat="1" customHeight="1" s="130">
      <c r="A14" s="293" t="inlineStr">
        <is>
          <t>三、计划实施的实质性程序</t>
        </is>
      </c>
      <c r="B14" s="104" t="n"/>
      <c r="C14" s="118" t="n"/>
      <c r="D14" s="130" t="n"/>
      <c r="E14" s="285" t="n"/>
      <c r="F14" s="104" t="n"/>
      <c r="G14" s="104" t="n"/>
      <c r="H14" s="130" t="n"/>
      <c r="I14" s="285" t="n"/>
    </row>
    <row r="15" ht="21" customFormat="1" customHeight="1" s="285">
      <c r="A15" s="369" t="inlineStr">
        <is>
          <t>序号</t>
        </is>
      </c>
      <c r="B15" s="290" t="inlineStr">
        <is>
          <t>审计程序</t>
        </is>
      </c>
      <c r="C15" s="295" t="inlineStr">
        <is>
          <t>程序分类</t>
        </is>
      </c>
      <c r="D15" s="286" t="inlineStr">
        <is>
          <t>财务报表的认定</t>
        </is>
      </c>
      <c r="E15" s="367" t="n"/>
      <c r="F15" s="367" t="n"/>
      <c r="G15" s="367" t="n"/>
      <c r="H15" s="368" t="n"/>
      <c r="I15" s="283" t="inlineStr">
        <is>
          <t>底稿索引号</t>
        </is>
      </c>
    </row>
    <row r="16" ht="37.2" customFormat="1" customHeight="1" s="285">
      <c r="A16" s="370" t="n"/>
      <c r="B16" s="370" t="n"/>
      <c r="C16" s="370" t="n"/>
      <c r="D16" s="124" t="inlineStr">
        <is>
          <t>存在</t>
        </is>
      </c>
      <c r="E16" s="124" t="inlineStr">
        <is>
          <t>完整性</t>
        </is>
      </c>
      <c r="F16" s="125" t="inlineStr">
        <is>
          <t>权利和
义务</t>
        </is>
      </c>
      <c r="G16" s="125" t="inlineStr">
        <is>
          <t>准确性、计价和分摊</t>
        </is>
      </c>
      <c r="H16" s="125" t="inlineStr">
        <is>
          <t>列报</t>
        </is>
      </c>
      <c r="I16" s="371" t="n"/>
      <c r="J16" s="372" t="inlineStr">
        <is>
          <t>根据被审计单位实际情况和风险评估情况裁剪、修改或增加审计程序</t>
        </is>
      </c>
    </row>
    <row r="17" ht="88.8" customFormat="1" customHeight="1" s="79">
      <c r="A17" s="120" t="inlineStr">
        <is>
          <t>1</t>
        </is>
      </c>
      <c r="B17" s="282" t="inlineStr">
        <is>
          <t>获取或编制明细表、执行下列程序，并编制审定表：
（1）复核加计正确，并与总账数和明细账合计数核对是否相符，期初余额与上期审定期末余额是否相符；
（2）识别重大的账户、识别账户中单项重大的明细项目；
（3）了解明细项目的核算目的和用途；
（4）检查其他流动资产减值准备计提（如需要）是否充分，会计处理是否正确。</t>
        </is>
      </c>
      <c r="C17" s="122" t="inlineStr">
        <is>
          <t>常规★</t>
        </is>
      </c>
      <c r="D17" s="127" t="inlineStr">
        <is>
          <t>√</t>
        </is>
      </c>
      <c r="E17" s="127" t="inlineStr">
        <is>
          <t>√</t>
        </is>
      </c>
      <c r="F17" s="126" t="n"/>
      <c r="G17" s="159" t="inlineStr">
        <is>
          <t>√</t>
        </is>
      </c>
      <c r="H17" s="126" t="n"/>
      <c r="I17" s="218" t="inlineStr">
        <is>
          <t>K2-1
/K2-2</t>
        </is>
      </c>
      <c r="J17" s="86" t="n"/>
    </row>
    <row r="18" ht="48.6" customFormat="1" customHeight="1" s="80">
      <c r="A18" s="120" t="inlineStr">
        <is>
          <t>2</t>
        </is>
      </c>
      <c r="B18" s="123"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206" t="inlineStr">
        <is>
          <t>常规★</t>
        </is>
      </c>
      <c r="D18" s="121" t="n"/>
      <c r="E18" s="160" t="inlineStr">
        <is>
          <t>√</t>
        </is>
      </c>
      <c r="F18" s="121" t="n"/>
      <c r="G18" s="127" t="inlineStr">
        <is>
          <t>√</t>
        </is>
      </c>
      <c r="H18" s="161" t="n"/>
      <c r="I18" s="373" t="inlineStr">
        <is>
          <t>T1
/</t>
        </is>
      </c>
      <c r="J18" s="208"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row>
    <row r="19" ht="49.8" customFormat="1" customHeight="1" s="81">
      <c r="A19" s="120" t="inlineStr">
        <is>
          <t>3</t>
        </is>
      </c>
      <c r="B19" s="123" t="inlineStr">
        <is>
          <t>获取上期期末的其他流动资产明细，复核加计正确，总账与明细账核对一致；识别重大的明细项目、查找异常项目并了解该明细项目的核算目的和用途；检查上期其他流动资产在本期摊销、使用或支付情况。（适用于首次承接）</t>
        </is>
      </c>
      <c r="C19" s="122" t="inlineStr">
        <is>
          <t>备选</t>
        </is>
      </c>
      <c r="D19" s="159" t="inlineStr">
        <is>
          <t>√</t>
        </is>
      </c>
      <c r="E19" s="127" t="inlineStr">
        <is>
          <t>√</t>
        </is>
      </c>
      <c r="F19" s="127" t="n"/>
      <c r="G19" s="127" t="inlineStr">
        <is>
          <t>√</t>
        </is>
      </c>
      <c r="H19" s="161" t="n"/>
      <c r="I19" s="218" t="n"/>
      <c r="J19" s="208"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row>
    <row r="20" ht="33.6" customFormat="1" customHeight="1" s="79">
      <c r="A20" s="120" t="inlineStr">
        <is>
          <t>4</t>
        </is>
      </c>
      <c r="B20" s="123" t="inlineStr">
        <is>
          <t>关注会计政策、会计估计合理性、一贯性；关注其是否利用会计政策和会计估计及其变更操纵利润。</t>
        </is>
      </c>
      <c r="C20" s="207" t="inlineStr">
        <is>
          <t>常规★</t>
        </is>
      </c>
      <c r="D20" s="127" t="inlineStr">
        <is>
          <t>√</t>
        </is>
      </c>
      <c r="E20" s="127" t="inlineStr">
        <is>
          <t>√</t>
        </is>
      </c>
      <c r="F20" s="126" t="n"/>
      <c r="G20" s="127" t="inlineStr">
        <is>
          <t>√</t>
        </is>
      </c>
      <c r="H20" s="126" t="n"/>
      <c r="I20" s="218" t="inlineStr">
        <is>
          <t>K2-1
/K2-2</t>
        </is>
      </c>
      <c r="J20" s="86" t="n"/>
    </row>
    <row r="21" ht="134.4" customFormat="1" customHeight="1" s="79">
      <c r="A21" s="120" t="inlineStr">
        <is>
          <t>5</t>
        </is>
      </c>
      <c r="B21" s="282" t="inlineStr">
        <is>
          <t>检查关联交易：
（1）了解关联交易的商业理由、交易事项的目的、价格和条件，考虑对关联交易形成的其他流动资产的合理性、合法性；
（2）检查对关联交易形成的其他流动资产的真实性相关的支持性文件、检查会计处理是否正确；
（3）考虑向关联方或其他注册会计师函证重大的关联交易和余额（包括担保和其他重要信息）；
（4）必要时，向与交易相关的人员和机构（如银行、律师）函证或与其讨论有关信息；
（5）考虑是否存在未识别的关联方，关联交易和余额披露是否正确。</t>
        </is>
      </c>
      <c r="C21" s="122" t="inlineStr">
        <is>
          <t>常规★</t>
        </is>
      </c>
      <c r="D21" s="159" t="inlineStr">
        <is>
          <t>√</t>
        </is>
      </c>
      <c r="E21" s="127" t="inlineStr">
        <is>
          <t>√</t>
        </is>
      </c>
      <c r="F21" s="127" t="inlineStr">
        <is>
          <t>√</t>
        </is>
      </c>
      <c r="G21" s="159" t="inlineStr">
        <is>
          <t>√</t>
        </is>
      </c>
      <c r="H21" s="127" t="inlineStr">
        <is>
          <t>√</t>
        </is>
      </c>
      <c r="I21" s="374" t="n"/>
      <c r="J21" s="86" t="n"/>
    </row>
    <row r="22" ht="53.4" customFormat="1" customHeight="1" s="79">
      <c r="A22" s="120" t="inlineStr">
        <is>
          <t>6</t>
        </is>
      </c>
      <c r="B22" s="123" t="inlineStr">
        <is>
          <t>合同取得成本：
结合相关销售合同检查取得合同成本是否是增量成本，会计处理是否正确；检查确定的分摊原则是否合理，是否与履约进度相匹配，测算分摊金额是否正确；考虑合同取得成本是否存在减值。</t>
        </is>
      </c>
      <c r="C22" s="122" t="inlineStr">
        <is>
          <t>备选</t>
        </is>
      </c>
      <c r="D22" s="160" t="inlineStr">
        <is>
          <t>√</t>
        </is>
      </c>
      <c r="E22" s="119" t="n"/>
      <c r="F22" s="127" t="n"/>
      <c r="G22" s="127" t="inlineStr">
        <is>
          <t>√</t>
        </is>
      </c>
      <c r="H22" s="119" t="n"/>
      <c r="I22" s="218" t="inlineStr">
        <is>
          <t>K2-4</t>
        </is>
      </c>
      <c r="J22" s="86" t="n"/>
    </row>
    <row r="23" ht="39.6" customFormat="1" customHeight="1" s="79">
      <c r="A23" s="120" t="inlineStr">
        <is>
          <t>7</t>
        </is>
      </c>
      <c r="B23" s="123" t="inlineStr">
        <is>
          <t>检查需摊销的其他流动资产摊销方法是否一致、确定摊销期限是否适当；重新测算摊销金额是否正确。</t>
        </is>
      </c>
      <c r="C23" s="126" t="inlineStr">
        <is>
          <t>常规★</t>
        </is>
      </c>
      <c r="D23" s="159" t="n"/>
      <c r="E23" s="126" t="n"/>
      <c r="F23" s="127" t="n"/>
      <c r="G23" s="159" t="inlineStr">
        <is>
          <t>√</t>
        </is>
      </c>
      <c r="H23" s="126" t="n"/>
      <c r="I23" s="218" t="inlineStr">
        <is>
          <t>K2-5</t>
        </is>
      </c>
      <c r="J23" s="86" t="n"/>
    </row>
    <row r="24" ht="33.6" customFormat="1" customHeight="1" s="79">
      <c r="A24" s="120" t="inlineStr">
        <is>
          <t>8</t>
        </is>
      </c>
      <c r="B24" s="123" t="inlineStr">
        <is>
          <t>检查与其他流动资产有关的的记账凭证和相应的支持性证据以确定交易的真实性，是否按规定进行相应的会计处理和披露。</t>
        </is>
      </c>
      <c r="C24" s="126" t="inlineStr">
        <is>
          <t>常规★</t>
        </is>
      </c>
      <c r="D24" s="159" t="inlineStr">
        <is>
          <t>√</t>
        </is>
      </c>
      <c r="E24" s="126" t="n"/>
      <c r="F24" s="127" t="inlineStr">
        <is>
          <t>√</t>
        </is>
      </c>
      <c r="G24" s="127" t="inlineStr">
        <is>
          <t>√</t>
        </is>
      </c>
      <c r="H24" s="126" t="n"/>
      <c r="I24" s="218" t="inlineStr">
        <is>
          <t>K2-6</t>
        </is>
      </c>
      <c r="J24" s="86" t="n"/>
    </row>
    <row r="25" ht="48" customFormat="1" customHeight="1" s="81">
      <c r="A25" s="120" t="inlineStr">
        <is>
          <t>9</t>
        </is>
      </c>
      <c r="B25" s="375" t="inlineStr">
        <is>
          <t>考虑是否存在超出被审计单位正常经营活动的重大、异常交易等，根据评估的舞弊风险等因素增加的审计程序。</t>
        </is>
      </c>
      <c r="C25" s="127" t="inlineStr">
        <is>
          <t>IPO/上市/新三板/重组/舞弊应对</t>
        </is>
      </c>
      <c r="D25" s="121" t="n"/>
      <c r="E25" s="121" t="n"/>
      <c r="F25" s="121" t="n"/>
      <c r="G25" s="121" t="n"/>
      <c r="H25" s="119" t="n"/>
      <c r="I25" s="218" t="n"/>
      <c r="J25" s="86" t="n"/>
    </row>
    <row r="26" ht="33.6" customFormat="1" customHeight="1" s="81">
      <c r="A26" s="120" t="inlineStr">
        <is>
          <t>10</t>
        </is>
      </c>
      <c r="B26" s="375" t="inlineStr">
        <is>
          <t>检查其他流动资产是否已按企业会计准则或其他适用的规定在财务报表中做出恰当列报和披露。</t>
        </is>
      </c>
      <c r="C26" s="122" t="inlineStr">
        <is>
          <t>常规★</t>
        </is>
      </c>
      <c r="D26" s="119" t="n"/>
      <c r="E26" s="119" t="n"/>
      <c r="F26" s="119" t="n"/>
      <c r="G26" s="119" t="n"/>
      <c r="H26" s="121" t="inlineStr">
        <is>
          <t>√</t>
        </is>
      </c>
      <c r="I26" s="219" t="inlineStr">
        <is>
          <t>A1-1/A1-15 /A1-16</t>
        </is>
      </c>
      <c r="J26" s="86" t="n"/>
    </row>
    <row r="27">
      <c r="B27" s="85" t="n"/>
    </row>
    <row r="28">
      <c r="B28" s="85" t="n"/>
    </row>
    <row r="29">
      <c r="B29" s="85" t="n"/>
    </row>
    <row r="30">
      <c r="B30" s="85" t="n"/>
    </row>
    <row r="31">
      <c r="B31" s="85" t="n"/>
    </row>
    <row r="32">
      <c r="B32" s="85" t="n"/>
    </row>
    <row r="33">
      <c r="B33" s="85" t="n"/>
    </row>
    <row r="34">
      <c r="B34" s="85" t="n"/>
    </row>
    <row r="35">
      <c r="B35" s="85" t="n"/>
    </row>
    <row r="36">
      <c r="B36" s="85" t="n"/>
    </row>
    <row r="37">
      <c r="B37" s="85" t="n"/>
    </row>
    <row r="38">
      <c r="B38" s="85" t="n"/>
    </row>
    <row r="39">
      <c r="B39" s="85" t="n"/>
    </row>
    <row r="40">
      <c r="B40" s="85" t="n"/>
    </row>
    <row r="41">
      <c r="B41" s="85" t="n"/>
    </row>
    <row r="42">
      <c r="B42" s="85" t="n"/>
    </row>
    <row r="43">
      <c r="B43" s="85" t="n"/>
    </row>
    <row r="44">
      <c r="B44" s="85" t="n"/>
    </row>
    <row r="45">
      <c r="B45" s="85" t="n"/>
    </row>
    <row r="46">
      <c r="B46" s="85" t="n"/>
    </row>
    <row r="47">
      <c r="B47" s="85" t="n"/>
    </row>
    <row r="48">
      <c r="B48" s="85" t="n"/>
    </row>
    <row r="49">
      <c r="B49" s="85" t="n"/>
    </row>
    <row r="50">
      <c r="B50" s="85" t="n"/>
    </row>
    <row r="51">
      <c r="B51" s="85" t="n"/>
    </row>
    <row r="52">
      <c r="B52" s="85" t="n"/>
    </row>
    <row r="53">
      <c r="B53" s="85" t="n"/>
    </row>
    <row r="54">
      <c r="B54" s="85" t="n"/>
    </row>
    <row r="55">
      <c r="B55" s="85" t="n"/>
    </row>
    <row r="56">
      <c r="B56" s="85" t="n"/>
    </row>
    <row r="57">
      <c r="B57" s="85" t="n"/>
    </row>
    <row r="58">
      <c r="B58" s="85" t="n"/>
    </row>
    <row r="59">
      <c r="B59" s="85" t="n"/>
    </row>
    <row r="60">
      <c r="B60" s="85" t="n"/>
    </row>
    <row r="61">
      <c r="B61" s="85" t="n"/>
    </row>
    <row r="62">
      <c r="B62" s="85" t="n"/>
    </row>
    <row r="63">
      <c r="B63" s="85" t="n"/>
    </row>
    <row r="64">
      <c r="B64" s="85" t="n"/>
    </row>
    <row r="65">
      <c r="B65" s="85" t="n"/>
    </row>
    <row r="66">
      <c r="B66" s="85" t="n"/>
    </row>
    <row r="67">
      <c r="B67" s="85" t="n"/>
    </row>
    <row r="68">
      <c r="B68" s="85" t="n"/>
    </row>
    <row r="69">
      <c r="B69" s="85" t="n"/>
    </row>
    <row r="70">
      <c r="B70" s="85" t="n"/>
    </row>
    <row r="71">
      <c r="B71" s="85" t="n"/>
    </row>
    <row r="72">
      <c r="B72" s="85" t="n"/>
    </row>
    <row r="73">
      <c r="B73" s="85" t="n"/>
    </row>
    <row r="74">
      <c r="B74" s="85" t="n"/>
    </row>
    <row r="75">
      <c r="B75" s="85" t="n"/>
    </row>
    <row r="76">
      <c r="B76" s="85" t="n"/>
    </row>
    <row r="77">
      <c r="B77" s="85" t="n"/>
    </row>
    <row r="78">
      <c r="B78" s="85" t="n"/>
    </row>
    <row r="79">
      <c r="B79" s="85" t="n"/>
    </row>
    <row r="80">
      <c r="B80" s="85" t="n"/>
    </row>
    <row r="81">
      <c r="B81" s="85" t="n"/>
    </row>
    <row r="82">
      <c r="B82" s="85" t="n"/>
    </row>
    <row r="83">
      <c r="B83" s="85" t="n"/>
    </row>
    <row r="84">
      <c r="B84" s="85" t="n"/>
    </row>
    <row r="85">
      <c r="B85" s="85" t="n"/>
    </row>
    <row r="86">
      <c r="B86" s="85" t="n"/>
    </row>
    <row r="87">
      <c r="B87" s="85" t="n"/>
    </row>
    <row r="88">
      <c r="B88" s="85" t="n"/>
    </row>
    <row r="89">
      <c r="B89" s="85" t="n"/>
    </row>
    <row r="90">
      <c r="B90" s="85" t="n"/>
    </row>
    <row r="91">
      <c r="B91" s="85" t="n"/>
    </row>
    <row r="92">
      <c r="B92" s="85" t="n"/>
    </row>
    <row r="93">
      <c r="B93" s="85" t="n"/>
    </row>
    <row r="94">
      <c r="B94" s="85" t="n"/>
    </row>
    <row r="95">
      <c r="B95" s="85" t="n"/>
    </row>
    <row r="96">
      <c r="B96" s="85" t="n"/>
    </row>
    <row r="97">
      <c r="B97" s="85" t="n"/>
    </row>
    <row r="98">
      <c r="B98" s="85" t="n"/>
    </row>
    <row r="99">
      <c r="B99" s="85" t="n"/>
    </row>
    <row r="100">
      <c r="B100" s="85" t="n"/>
    </row>
    <row r="101">
      <c r="B101" s="85" t="n"/>
    </row>
    <row r="102">
      <c r="B102" s="85" t="n"/>
    </row>
    <row r="103">
      <c r="B103" s="85" t="n"/>
    </row>
    <row r="104">
      <c r="B104" s="85" t="n"/>
    </row>
    <row r="105">
      <c r="B105" s="85" t="n"/>
    </row>
    <row r="106">
      <c r="B106" s="85" t="n"/>
    </row>
    <row r="107">
      <c r="B107" s="85" t="n"/>
    </row>
    <row r="108">
      <c r="B108" s="85" t="n"/>
    </row>
    <row r="109">
      <c r="B109" s="85" t="n"/>
    </row>
    <row r="110">
      <c r="B110" s="85" t="n"/>
    </row>
    <row r="111">
      <c r="B111" s="85" t="n"/>
    </row>
    <row r="112">
      <c r="B112" s="85" t="n"/>
    </row>
    <row r="113">
      <c r="B113" s="85" t="n"/>
    </row>
    <row r="114">
      <c r="B114" s="85" t="n"/>
    </row>
    <row r="115">
      <c r="B115" s="85" t="n"/>
    </row>
    <row r="116">
      <c r="B116" s="85" t="n"/>
    </row>
    <row r="117">
      <c r="B117" s="85" t="n"/>
    </row>
    <row r="118">
      <c r="B118" s="85" t="n"/>
    </row>
    <row r="119">
      <c r="B119" s="85" t="n"/>
    </row>
    <row r="120">
      <c r="B120" s="85" t="n"/>
    </row>
    <row r="121">
      <c r="B121" s="85" t="n"/>
    </row>
    <row r="122">
      <c r="B122" s="85" t="n"/>
    </row>
    <row r="123">
      <c r="B123" s="85" t="n"/>
    </row>
    <row r="124">
      <c r="B124" s="85" t="n"/>
    </row>
    <row r="125">
      <c r="B125" s="85" t="n"/>
    </row>
    <row r="126">
      <c r="B126" s="85" t="n"/>
    </row>
    <row r="127">
      <c r="B127" s="85" t="n"/>
    </row>
    <row r="128">
      <c r="B128" s="85" t="n"/>
    </row>
    <row r="129">
      <c r="B129" s="85" t="n"/>
    </row>
    <row r="130">
      <c r="B130" s="85" t="n"/>
    </row>
    <row r="131">
      <c r="B131" s="85" t="n"/>
    </row>
    <row r="132">
      <c r="B132" s="85" t="n"/>
    </row>
    <row r="133">
      <c r="B133" s="85" t="n"/>
    </row>
    <row r="134">
      <c r="B134" s="85" t="n"/>
    </row>
    <row r="135">
      <c r="B135" s="85" t="n"/>
    </row>
    <row r="136">
      <c r="B136" s="85" t="n"/>
    </row>
    <row r="137">
      <c r="B137" s="85" t="n"/>
    </row>
    <row r="138">
      <c r="B138" s="85" t="n"/>
    </row>
    <row r="139">
      <c r="B139" s="85" t="n"/>
    </row>
    <row r="140">
      <c r="B140" s="85" t="n"/>
    </row>
    <row r="141">
      <c r="B141" s="85" t="n"/>
    </row>
    <row r="142">
      <c r="B142" s="85" t="n"/>
    </row>
    <row r="143">
      <c r="B143" s="85" t="n"/>
    </row>
    <row r="144">
      <c r="B144" s="85" t="n"/>
    </row>
    <row r="145">
      <c r="B145" s="85" t="n"/>
    </row>
    <row r="146">
      <c r="B146" s="85" t="n"/>
    </row>
    <row r="147">
      <c r="B147" s="85" t="n"/>
    </row>
    <row r="148">
      <c r="B148" s="85" t="n"/>
    </row>
    <row r="149">
      <c r="B149" s="85" t="n"/>
    </row>
    <row r="150">
      <c r="B150" s="85" t="n"/>
    </row>
    <row r="151">
      <c r="B151" s="85" t="n"/>
    </row>
    <row r="152">
      <c r="B152" s="85" t="n"/>
    </row>
    <row r="153">
      <c r="B153" s="85" t="n"/>
    </row>
    <row r="154">
      <c r="B154" s="85" t="n"/>
    </row>
    <row r="155">
      <c r="B155" s="85" t="n"/>
    </row>
    <row r="156">
      <c r="B156" s="85" t="n"/>
    </row>
    <row r="157">
      <c r="B157" s="85" t="n"/>
    </row>
    <row r="158">
      <c r="B158" s="85" t="n"/>
    </row>
    <row r="159">
      <c r="B159" s="85" t="n"/>
    </row>
    <row r="160">
      <c r="B160" s="85" t="n"/>
    </row>
    <row r="161">
      <c r="B161" s="85" t="n"/>
    </row>
    <row r="162">
      <c r="B162" s="85" t="n"/>
    </row>
    <row r="163">
      <c r="B163" s="85" t="n"/>
    </row>
    <row r="164">
      <c r="B164" s="85" t="n"/>
    </row>
    <row r="165">
      <c r="B165" s="85" t="n"/>
    </row>
    <row r="166">
      <c r="B166" s="85" t="n"/>
    </row>
    <row r="167">
      <c r="B167" s="85" t="n"/>
    </row>
    <row r="168">
      <c r="B168" s="85" t="n"/>
    </row>
    <row r="169">
      <c r="B169" s="85" t="n"/>
    </row>
    <row r="170">
      <c r="B170" s="85" t="n"/>
    </row>
    <row r="171">
      <c r="B171" s="85" t="n"/>
    </row>
    <row r="172">
      <c r="B172" s="85" t="n"/>
    </row>
    <row r="173">
      <c r="B173" s="85" t="n"/>
    </row>
    <row r="174">
      <c r="B174" s="85" t="n"/>
    </row>
    <row r="175">
      <c r="B175" s="85" t="n"/>
    </row>
    <row r="176">
      <c r="B176" s="85" t="n"/>
    </row>
    <row r="177">
      <c r="B177" s="85" t="n"/>
    </row>
    <row r="178">
      <c r="B178" s="85" t="n"/>
    </row>
    <row r="179">
      <c r="B179" s="85" t="n"/>
    </row>
    <row r="180">
      <c r="B180" s="85" t="n"/>
    </row>
    <row r="181">
      <c r="B181" s="85" t="n"/>
    </row>
    <row r="182">
      <c r="B182" s="85" t="n"/>
    </row>
    <row r="183">
      <c r="B183" s="85" t="n"/>
    </row>
    <row r="184">
      <c r="B184" s="85" t="n"/>
    </row>
    <row r="185">
      <c r="B185" s="85" t="n"/>
    </row>
    <row r="186">
      <c r="B186" s="85" t="n"/>
    </row>
    <row r="187">
      <c r="B187" s="85" t="n"/>
    </row>
    <row r="188">
      <c r="B188" s="85" t="n"/>
    </row>
    <row r="189">
      <c r="B189" s="85" t="n"/>
    </row>
    <row r="190">
      <c r="B190" s="85" t="n"/>
    </row>
    <row r="191">
      <c r="B191" s="85" t="n"/>
    </row>
    <row r="192">
      <c r="B192" s="85" t="n"/>
    </row>
    <row r="193">
      <c r="B193" s="85" t="n"/>
    </row>
    <row r="194">
      <c r="B194" s="85" t="n"/>
    </row>
    <row r="195">
      <c r="B195" s="85" t="n"/>
    </row>
    <row r="196">
      <c r="B196" s="85" t="n"/>
    </row>
    <row r="197">
      <c r="B197" s="85" t="n"/>
    </row>
    <row r="198">
      <c r="B198" s="85" t="n"/>
    </row>
    <row r="199">
      <c r="B199" s="85" t="n"/>
    </row>
    <row r="200">
      <c r="B200" s="85" t="n"/>
    </row>
    <row r="201">
      <c r="B201" s="85" t="n"/>
    </row>
    <row r="202">
      <c r="B202" s="85" t="n"/>
    </row>
    <row r="203">
      <c r="B203" s="85" t="n"/>
    </row>
    <row r="204">
      <c r="B204" s="85" t="n"/>
    </row>
    <row r="205">
      <c r="B205" s="85" t="n"/>
    </row>
  </sheetData>
  <mergeCells count="22">
    <mergeCell ref="G10:I10"/>
    <mergeCell ref="G13:I13"/>
    <mergeCell ref="A12:F12"/>
    <mergeCell ref="A2:I2"/>
    <mergeCell ref="A8:F8"/>
    <mergeCell ref="B15:B16"/>
    <mergeCell ref="A10:F10"/>
    <mergeCell ref="A13:F13"/>
    <mergeCell ref="A9:F9"/>
    <mergeCell ref="A5:B5"/>
    <mergeCell ref="G9:I9"/>
    <mergeCell ref="A14:B14"/>
    <mergeCell ref="G12:I12"/>
    <mergeCell ref="G11:I11"/>
    <mergeCell ref="A11:F11"/>
    <mergeCell ref="D15:H15"/>
    <mergeCell ref="E14:G14"/>
    <mergeCell ref="A15:A16"/>
    <mergeCell ref="G8:I8"/>
    <mergeCell ref="A1:I1"/>
    <mergeCell ref="C15:C16"/>
    <mergeCell ref="I15:I16"/>
  </mergeCells>
  <hyperlinks>
    <hyperlink ref="I3" location="底稿目录!A1" display="底稿目录!A1"/>
  </hyperlinks>
  <printOptions horizontalCentered="1"/>
  <pageMargins left="0.5905511811023623" right="0.3937007874015748" top="0.5511811023622047" bottom="0.3543307086614174" header="0.5118110236220472" footer="0.1968503937007874"/>
  <pageSetup orientation="portrait" paperSize="9" scale="70" fitToHeight="0" blackAndWhite="1" cellComments="atEnd" horizontalDpi="300"/>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4">
    <outlinePr summaryBelow="1" summaryRight="1"/>
    <pageSetUpPr fitToPage="1"/>
  </sheetPr>
  <dimension ref="A1:P23"/>
  <sheetViews>
    <sheetView view="pageBreakPreview" zoomScaleNormal="100" workbookViewId="0">
      <selection activeCell="A1" sqref="A1:N1"/>
    </sheetView>
  </sheetViews>
  <sheetFormatPr baseColWidth="8" defaultColWidth="9" defaultRowHeight="23.25" customHeight="1"/>
  <cols>
    <col width="13.796875" customWidth="1" style="376" min="1" max="1"/>
    <col width="10.09765625" customWidth="1" style="376" min="2" max="2"/>
    <col width="12.19921875" customWidth="1" style="376" min="3" max="3"/>
    <col width="13.59765625" customWidth="1" style="376" min="4" max="4"/>
    <col width="13.296875" customWidth="1" style="376" min="5" max="5"/>
    <col width="10.09765625" customWidth="1" style="376" min="6" max="7"/>
    <col width="12.09765625" customWidth="1" style="376" min="8" max="9"/>
    <col width="9" customWidth="1" style="376" min="10" max="11"/>
    <col width="10.09765625" customWidth="1" style="376" min="12" max="13"/>
    <col width="9.19921875" customWidth="1" style="376" min="14" max="14"/>
    <col width="12" customWidth="1" style="376" min="15" max="15"/>
    <col width="9" customWidth="1" style="376" min="16" max="16"/>
    <col width="5.5" customWidth="1" style="376" min="17" max="17"/>
    <col width="9" customWidth="1" style="376" min="18" max="19"/>
    <col width="5.19921875" customWidth="1" style="376" min="20" max="20"/>
    <col width="9" customWidth="1" style="376" min="21" max="16384"/>
  </cols>
  <sheetData>
    <row r="1" ht="19.95" customFormat="1" customHeight="1" s="377">
      <c r="A1" s="378" t="inlineStr">
        <is>
          <t>致同会计师事务所</t>
        </is>
      </c>
    </row>
    <row r="2" ht="19.95" customFormat="1" customHeight="1" s="377">
      <c r="A2" s="379" t="inlineStr">
        <is>
          <t>其他流动资产审定表</t>
        </is>
      </c>
    </row>
    <row r="3" ht="19.95" customHeight="1" s="366">
      <c r="A3" s="376">
        <f>底稿目录!A2</f>
        <v/>
      </c>
      <c r="D3" s="380">
        <f>底稿目录!A4</f>
        <v/>
      </c>
      <c r="I3" s="71">
        <f>底稿目录!A5</f>
        <v/>
      </c>
      <c r="J3" s="30" t="n"/>
      <c r="M3" s="381" t="inlineStr">
        <is>
          <t>索引：</t>
        </is>
      </c>
      <c r="N3" s="225">
        <f>底稿目录!F5</f>
        <v/>
      </c>
    </row>
    <row r="4" ht="19.95" customHeight="1" s="366">
      <c r="A4" s="376">
        <f>底稿目录!A3</f>
        <v/>
      </c>
      <c r="B4" s="54" t="n"/>
      <c r="D4" s="380">
        <f>底稿目录!A6</f>
        <v/>
      </c>
      <c r="I4" s="71">
        <f>底稿目录!A7</f>
        <v/>
      </c>
      <c r="J4" s="30" t="n"/>
      <c r="M4" s="381" t="inlineStr">
        <is>
          <t>页次：</t>
        </is>
      </c>
      <c r="N4" s="110" t="n"/>
    </row>
    <row r="5" ht="36" customHeight="1" s="366">
      <c r="A5" s="298" t="inlineStr">
        <is>
          <t>项目</t>
        </is>
      </c>
      <c r="B5" s="382" t="inlineStr">
        <is>
          <t>期初数</t>
        </is>
      </c>
      <c r="C5" s="367" t="n"/>
      <c r="D5" s="367" t="n"/>
      <c r="E5" s="368" t="n"/>
      <c r="F5" s="383" t="inlineStr">
        <is>
          <t>期末数</t>
        </is>
      </c>
      <c r="G5" s="367" t="n"/>
      <c r="H5" s="367" t="n"/>
      <c r="I5" s="368" t="n"/>
      <c r="J5" s="384" t="inlineStr">
        <is>
          <t>本期未审数与上期
未审数的比较</t>
        </is>
      </c>
      <c r="K5" s="368" t="n"/>
      <c r="L5" s="384" t="inlineStr">
        <is>
          <t>本期审定数与上期
审定数的比较</t>
        </is>
      </c>
      <c r="M5" s="368" t="n"/>
      <c r="N5" s="300" t="inlineStr">
        <is>
          <t>原因分析</t>
        </is>
      </c>
    </row>
    <row r="6" ht="19.95" customHeight="1" s="366">
      <c r="A6" s="385" t="n"/>
      <c r="B6" s="383" t="inlineStr">
        <is>
          <t>未审数</t>
        </is>
      </c>
      <c r="C6" s="383" t="inlineStr">
        <is>
          <t>账项调整</t>
        </is>
      </c>
      <c r="D6" s="383" t="inlineStr">
        <is>
          <t>重分类调整</t>
        </is>
      </c>
      <c r="E6" s="383" t="inlineStr">
        <is>
          <t>审定数</t>
        </is>
      </c>
      <c r="F6" s="383" t="inlineStr">
        <is>
          <t>未审数</t>
        </is>
      </c>
      <c r="G6" s="383" t="inlineStr">
        <is>
          <t>账项调整</t>
        </is>
      </c>
      <c r="H6" s="383" t="inlineStr">
        <is>
          <t>重分类调整</t>
        </is>
      </c>
      <c r="I6" s="383" t="inlineStr">
        <is>
          <t>审定数</t>
        </is>
      </c>
      <c r="J6" s="386" t="inlineStr">
        <is>
          <t>变动额</t>
        </is>
      </c>
      <c r="K6" s="386" t="inlineStr">
        <is>
          <t>变动率</t>
        </is>
      </c>
      <c r="L6" s="386" t="inlineStr">
        <is>
          <t>变动额</t>
        </is>
      </c>
      <c r="M6" s="384" t="inlineStr">
        <is>
          <t>变动率</t>
        </is>
      </c>
      <c r="N6" s="385" t="n"/>
    </row>
    <row r="7" ht="19.95" customFormat="1" customHeight="1" s="387">
      <c r="A7" s="61">
        <f>'明细表K2-2'!A11</f>
        <v/>
      </c>
      <c r="B7" s="388">
        <f>'明细表K2-2'!B11</f>
        <v/>
      </c>
      <c r="C7" s="388">
        <f>'明细表K2-2'!F11</f>
        <v/>
      </c>
      <c r="D7" s="388">
        <f>'明细表K2-2'!G11</f>
        <v/>
      </c>
      <c r="E7" s="388">
        <f>B7+C7+D7</f>
        <v/>
      </c>
      <c r="F7" s="388">
        <f>'明细表K2-2'!E11</f>
        <v/>
      </c>
      <c r="G7" s="388">
        <f>'明细表K2-2'!F11+'明细表K2-2'!H11-'明细表K2-2'!I11</f>
        <v/>
      </c>
      <c r="H7" s="388">
        <f>'明细表K2-2'!G11+'明细表K2-2'!J11-'明细表K2-2'!K11</f>
        <v/>
      </c>
      <c r="I7" s="388">
        <f>F7+G7+H7</f>
        <v/>
      </c>
      <c r="J7" s="389">
        <f>F7-B7</f>
        <v/>
      </c>
      <c r="K7" s="115">
        <f>IF(AND(B7=0,J7=0),0,IF(AND(B7=0,J7&gt;0),1,J7/B7))</f>
        <v/>
      </c>
      <c r="L7" s="389">
        <f>I7-E7</f>
        <v/>
      </c>
      <c r="M7" s="115">
        <f>IF(AND(E7=0,L7=0),0,IF(AND(E7=0,L7&gt;0),1,L7/E7))</f>
        <v/>
      </c>
      <c r="N7" s="390" t="n"/>
    </row>
    <row r="8" ht="19.95" customFormat="1" customHeight="1" s="387">
      <c r="A8" s="61">
        <f>'明细表K2-2'!A12</f>
        <v/>
      </c>
      <c r="B8" s="388">
        <f>'明细表K2-2'!B12</f>
        <v/>
      </c>
      <c r="C8" s="388">
        <f>'明细表K2-2'!F12</f>
        <v/>
      </c>
      <c r="D8" s="388">
        <f>'明细表K2-2'!G12</f>
        <v/>
      </c>
      <c r="E8" s="388">
        <f>B8+C8+D8</f>
        <v/>
      </c>
      <c r="F8" s="388">
        <f>'明细表K2-2'!E12</f>
        <v/>
      </c>
      <c r="G8" s="388">
        <f>'明细表K2-2'!F12+'明细表K2-2'!H12-'明细表K2-2'!I12</f>
        <v/>
      </c>
      <c r="H8" s="388">
        <f>'明细表K2-2'!G12+'明细表K2-2'!J12-'明细表K2-2'!K12</f>
        <v/>
      </c>
      <c r="I8" s="388">
        <f>F8+G8+H8</f>
        <v/>
      </c>
      <c r="J8" s="389">
        <f>F8-B8</f>
        <v/>
      </c>
      <c r="K8" s="115">
        <f>IF(AND(B8=0,J8=0),0,IF(AND(B8=0,J8&gt;0),1,J8/B8))</f>
        <v/>
      </c>
      <c r="L8" s="389">
        <f>I8-E8</f>
        <v/>
      </c>
      <c r="M8" s="115">
        <f>IF(AND(E8=0,L8=0),0,IF(AND(E8=0,L8&gt;0),1,L8/E8))</f>
        <v/>
      </c>
      <c r="N8" s="390" t="n"/>
    </row>
    <row r="9" ht="19.95" customFormat="1" customHeight="1" s="387">
      <c r="A9" s="61">
        <f>'明细表K2-2'!A13</f>
        <v/>
      </c>
      <c r="B9" s="388">
        <f>'明细表K2-2'!B13</f>
        <v/>
      </c>
      <c r="C9" s="388">
        <f>'明细表K2-2'!F13</f>
        <v/>
      </c>
      <c r="D9" s="388">
        <f>'明细表K2-2'!G13</f>
        <v/>
      </c>
      <c r="E9" s="388">
        <f>B9+C9+D9</f>
        <v/>
      </c>
      <c r="F9" s="388">
        <f>'明细表K2-2'!E13</f>
        <v/>
      </c>
      <c r="G9" s="388">
        <f>'明细表K2-2'!F13+'明细表K2-2'!H13-'明细表K2-2'!I13</f>
        <v/>
      </c>
      <c r="H9" s="388">
        <f>'明细表K2-2'!G13+'明细表K2-2'!J13-'明细表K2-2'!K13</f>
        <v/>
      </c>
      <c r="I9" s="388">
        <f>F9+G9+H9</f>
        <v/>
      </c>
      <c r="J9" s="389">
        <f>F9-B9</f>
        <v/>
      </c>
      <c r="K9" s="115">
        <f>IF(AND(B9=0,J9=0),0,IF(AND(B9=0,J9&gt;0),1,J9/B9))</f>
        <v/>
      </c>
      <c r="L9" s="389">
        <f>I9-E9</f>
        <v/>
      </c>
      <c r="M9" s="115">
        <f>IF(AND(E9=0,L9=0),0,IF(AND(E9=0,L9&gt;0),1,L9/E9))</f>
        <v/>
      </c>
      <c r="N9" s="390" t="n"/>
    </row>
    <row r="10" ht="19.95" customFormat="1" customHeight="1" s="387">
      <c r="A10" s="61">
        <f>'明细表K2-2'!A14</f>
        <v/>
      </c>
      <c r="B10" s="388">
        <f>'明细表K2-2'!B14</f>
        <v/>
      </c>
      <c r="C10" s="388">
        <f>'明细表K2-2'!F14</f>
        <v/>
      </c>
      <c r="D10" s="388">
        <f>'明细表K2-2'!G14</f>
        <v/>
      </c>
      <c r="E10" s="388">
        <f>B10+C10+D10</f>
        <v/>
      </c>
      <c r="F10" s="388">
        <f>'明细表K2-2'!E14</f>
        <v/>
      </c>
      <c r="G10" s="388">
        <f>'明细表K2-2'!F14+'明细表K2-2'!H14-'明细表K2-2'!I14</f>
        <v/>
      </c>
      <c r="H10" s="388">
        <f>'明细表K2-2'!G14+'明细表K2-2'!J14-'明细表K2-2'!K14</f>
        <v/>
      </c>
      <c r="I10" s="388">
        <f>F10+G10+H10</f>
        <v/>
      </c>
      <c r="J10" s="389">
        <f>F10-B10</f>
        <v/>
      </c>
      <c r="K10" s="115">
        <f>IF(AND(B10=0,J10=0),0,IF(AND(B10=0,J10&gt;0),1,J10/B10))</f>
        <v/>
      </c>
      <c r="L10" s="389">
        <f>I10-E10</f>
        <v/>
      </c>
      <c r="M10" s="115">
        <f>IF(AND(E10=0,L10=0),0,IF(AND(E10=0,L10&gt;0),1,L10/E10))</f>
        <v/>
      </c>
      <c r="N10" s="390" t="n"/>
    </row>
    <row r="11" ht="19.95" customFormat="1" customHeight="1" s="387">
      <c r="A11" s="61">
        <f>'明细表K2-2'!A15</f>
        <v/>
      </c>
      <c r="B11" s="388">
        <f>'明细表K2-2'!B15</f>
        <v/>
      </c>
      <c r="C11" s="388">
        <f>'明细表K2-2'!F15</f>
        <v/>
      </c>
      <c r="D11" s="388">
        <f>'明细表K2-2'!G15</f>
        <v/>
      </c>
      <c r="E11" s="388">
        <f>B11+C11+D11</f>
        <v/>
      </c>
      <c r="F11" s="388">
        <f>'明细表K2-2'!E15</f>
        <v/>
      </c>
      <c r="G11" s="388">
        <f>'明细表K2-2'!F15+'明细表K2-2'!H15-'明细表K2-2'!I15</f>
        <v/>
      </c>
      <c r="H11" s="388">
        <f>'明细表K2-2'!G15+'明细表K2-2'!J15-'明细表K2-2'!K15</f>
        <v/>
      </c>
      <c r="I11" s="388">
        <f>F11+G11+H11</f>
        <v/>
      </c>
      <c r="J11" s="389">
        <f>F11-B11</f>
        <v/>
      </c>
      <c r="K11" s="115">
        <f>IF(AND(B11=0,J11=0),0,IF(AND(B11=0,J11&gt;0),1,J11/B11))</f>
        <v/>
      </c>
      <c r="L11" s="389">
        <f>I11-E11</f>
        <v/>
      </c>
      <c r="M11" s="115">
        <f>IF(AND(E11=0,L11=0),0,IF(AND(E11=0,L11&gt;0),1,L11/E11))</f>
        <v/>
      </c>
      <c r="N11" s="390" t="n"/>
    </row>
    <row r="12" ht="19.95" customFormat="1" customHeight="1" s="387">
      <c r="A12" s="61">
        <f>'明细表K2-2'!A16</f>
        <v/>
      </c>
      <c r="B12" s="388">
        <f>'明细表K2-2'!B16</f>
        <v/>
      </c>
      <c r="C12" s="388">
        <f>'明细表K2-2'!F16</f>
        <v/>
      </c>
      <c r="D12" s="388">
        <f>'明细表K2-2'!G16</f>
        <v/>
      </c>
      <c r="E12" s="388">
        <f>B12+C12+D12</f>
        <v/>
      </c>
      <c r="F12" s="388">
        <f>'明细表K2-2'!E16</f>
        <v/>
      </c>
      <c r="G12" s="388">
        <f>'明细表K2-2'!F16+'明细表K2-2'!H16-'明细表K2-2'!I16</f>
        <v/>
      </c>
      <c r="H12" s="388">
        <f>'明细表K2-2'!G16+'明细表K2-2'!J16-'明细表K2-2'!K16</f>
        <v/>
      </c>
      <c r="I12" s="388">
        <f>F12+G12+H12</f>
        <v/>
      </c>
      <c r="J12" s="389">
        <f>F12-B12</f>
        <v/>
      </c>
      <c r="K12" s="115">
        <f>IF(AND(B12=0,J12=0),0,IF(AND(B12=0,J12&gt;0),1,J12/B12))</f>
        <v/>
      </c>
      <c r="L12" s="389">
        <f>I12-E12</f>
        <v/>
      </c>
      <c r="M12" s="115">
        <f>IF(AND(E12=0,L12=0),0,IF(AND(E12=0,L12&gt;0),1,L12/E12))</f>
        <v/>
      </c>
      <c r="N12" s="390" t="n"/>
    </row>
    <row r="13" ht="19.95" customFormat="1" customHeight="1" s="387">
      <c r="A13" s="61">
        <f>'明细表K2-2'!A17</f>
        <v/>
      </c>
      <c r="B13" s="388">
        <f>'明细表K2-2'!B17</f>
        <v/>
      </c>
      <c r="C13" s="388">
        <f>'明细表K2-2'!F17</f>
        <v/>
      </c>
      <c r="D13" s="388">
        <f>'明细表K2-2'!G17</f>
        <v/>
      </c>
      <c r="E13" s="388">
        <f>B13+C13+D13</f>
        <v/>
      </c>
      <c r="F13" s="388">
        <f>'明细表K2-2'!E17</f>
        <v/>
      </c>
      <c r="G13" s="388">
        <f>'明细表K2-2'!F17+'明细表K2-2'!H17-'明细表K2-2'!I17</f>
        <v/>
      </c>
      <c r="H13" s="388">
        <f>'明细表K2-2'!G17+'明细表K2-2'!J17-'明细表K2-2'!K17</f>
        <v/>
      </c>
      <c r="I13" s="388">
        <f>F13+G13+H13</f>
        <v/>
      </c>
      <c r="J13" s="389">
        <f>F13-B13</f>
        <v/>
      </c>
      <c r="K13" s="115">
        <f>IF(AND(B13=0,J13=0),0,IF(AND(B13=0,J13&gt;0),1,J13/B13))</f>
        <v/>
      </c>
      <c r="L13" s="389">
        <f>I13-E13</f>
        <v/>
      </c>
      <c r="M13" s="115">
        <f>IF(AND(E13=0,L13=0),0,IF(AND(E13=0,L13&gt;0),1,L13/E13))</f>
        <v/>
      </c>
      <c r="N13" s="390" t="n"/>
    </row>
    <row r="14" ht="19.95" customFormat="1" customHeight="1" s="387">
      <c r="A14" s="61" t="n"/>
      <c r="B14" s="388" t="n"/>
      <c r="C14" s="388" t="n"/>
      <c r="D14" s="388" t="n"/>
      <c r="E14" s="388" t="n"/>
      <c r="F14" s="388" t="n"/>
      <c r="G14" s="388" t="n"/>
      <c r="H14" s="388" t="n"/>
      <c r="I14" s="388" t="n"/>
      <c r="J14" s="389" t="n"/>
      <c r="K14" s="115" t="n"/>
      <c r="L14" s="389" t="n"/>
      <c r="M14" s="115" t="n"/>
      <c r="N14" s="390" t="n"/>
    </row>
    <row r="15" ht="19.95" customFormat="1" customHeight="1" s="387">
      <c r="A15" s="26" t="inlineStr">
        <is>
          <t>合计</t>
        </is>
      </c>
      <c r="B15" s="391">
        <f>SUM(B7:B14)</f>
        <v/>
      </c>
      <c r="C15" s="391">
        <f>SUM(C7:C14)</f>
        <v/>
      </c>
      <c r="D15" s="391">
        <f>SUM(D7:D14)</f>
        <v/>
      </c>
      <c r="E15" s="391">
        <f>SUM(E7:E14)</f>
        <v/>
      </c>
      <c r="F15" s="391">
        <f>SUM(F7:F14)</f>
        <v/>
      </c>
      <c r="G15" s="391">
        <f>SUM(G7:G14)</f>
        <v/>
      </c>
      <c r="H15" s="391">
        <f>SUM(H7:H14)</f>
        <v/>
      </c>
      <c r="I15" s="391">
        <f>SUM(I7:I14)</f>
        <v/>
      </c>
      <c r="J15" s="392">
        <f>F15-B15</f>
        <v/>
      </c>
      <c r="K15" s="190">
        <f>IF(AND(B15=0,J15=0),0,IF(AND(B15=0,J15&gt;0),1,J15/B15))</f>
        <v/>
      </c>
      <c r="L15" s="392">
        <f>I15-E15</f>
        <v/>
      </c>
      <c r="M15" s="190">
        <f>IF(AND(E15=0,L15=0),0,IF(AND(E15=0,L15&gt;0),1,L15/E15))</f>
        <v/>
      </c>
      <c r="N15" s="390" t="n"/>
    </row>
    <row r="16" ht="19.95" customFormat="1" customHeight="1" s="387">
      <c r="A16" s="68" t="inlineStr">
        <is>
          <t>1.审计说明</t>
        </is>
      </c>
      <c r="B16" s="393" t="n"/>
      <c r="C16" s="393" t="n"/>
      <c r="D16" s="393" t="n"/>
      <c r="E16" s="393" t="n"/>
      <c r="F16" s="393" t="n"/>
      <c r="G16" s="394" t="n"/>
      <c r="H16" s="393" t="n"/>
      <c r="I16" s="393" t="n"/>
      <c r="J16" s="395" t="n"/>
      <c r="K16" s="395" t="n"/>
      <c r="L16" s="395" t="n"/>
      <c r="M16" s="376" t="n"/>
      <c r="N16" s="376" t="n"/>
      <c r="O16" s="376" t="n"/>
      <c r="P16" s="376" t="n"/>
    </row>
    <row r="17" ht="19.95" customFormat="1" customHeight="1" s="376">
      <c r="A17" s="64" t="inlineStr">
        <is>
          <t>（1）其他流动资产本期较上期增加（负数为减少）：</t>
        </is>
      </c>
      <c r="B17" s="64" t="n"/>
      <c r="C17" s="64" t="n"/>
      <c r="D17" s="65" t="n"/>
      <c r="E17" s="65" t="n"/>
      <c r="F17" s="297" t="n"/>
      <c r="I17" s="376" t="n"/>
      <c r="J17" s="376" t="n"/>
      <c r="K17" s="376" t="n"/>
      <c r="L17" s="376" t="n"/>
      <c r="M17" s="376" t="n"/>
      <c r="N17" s="376" t="n"/>
      <c r="O17" s="376" t="n"/>
      <c r="P17" s="376" t="n"/>
    </row>
    <row r="18" ht="19.95" customFormat="1" customHeight="1" s="387">
      <c r="A18" s="64" t="inlineStr">
        <is>
          <t>主要原因（比例超过30%的）：</t>
        </is>
      </c>
      <c r="B18" s="64" t="n"/>
      <c r="C18" s="64" t="n"/>
      <c r="D18" s="64" t="n"/>
      <c r="E18" s="64" t="n"/>
      <c r="F18" s="64" t="n"/>
      <c r="G18" s="64" t="n"/>
      <c r="H18" s="64" t="n"/>
      <c r="I18" s="376" t="n"/>
      <c r="J18" s="376" t="n"/>
      <c r="K18" s="376" t="n"/>
      <c r="L18" s="376" t="n"/>
      <c r="M18" s="376" t="n"/>
      <c r="N18" s="376" t="n"/>
      <c r="O18" s="376" t="n"/>
      <c r="P18" s="376" t="n"/>
    </row>
    <row r="19" ht="19.95" customFormat="1" customHeight="1" s="376">
      <c r="A19" s="66" t="inlineStr">
        <is>
          <t>（2）情况说明。</t>
        </is>
      </c>
      <c r="B19" s="67" t="n"/>
      <c r="C19" s="67" t="n"/>
      <c r="D19" s="67" t="n"/>
      <c r="E19" s="67" t="n"/>
      <c r="F19" s="67" t="n"/>
      <c r="G19" s="67" t="n"/>
      <c r="H19" s="67" t="n"/>
      <c r="I19" s="376" t="n"/>
      <c r="J19" s="376" t="n"/>
      <c r="K19" s="376" t="n"/>
      <c r="L19" s="376" t="n"/>
      <c r="M19" s="376" t="n"/>
      <c r="N19" s="376" t="n"/>
      <c r="O19" s="376" t="n"/>
      <c r="P19" s="376" t="n"/>
    </row>
    <row r="20" ht="19.95" customFormat="1" customHeight="1" s="376">
      <c r="A20" s="64" t="n"/>
      <c r="B20" s="67" t="n"/>
      <c r="C20" s="67" t="n"/>
      <c r="D20" s="67" t="n"/>
      <c r="E20" s="67" t="n"/>
      <c r="F20" s="67" t="n"/>
      <c r="G20" s="67" t="n"/>
      <c r="H20" s="67" t="n"/>
      <c r="I20" s="376" t="n"/>
      <c r="J20" s="376" t="n"/>
      <c r="K20" s="376" t="n"/>
      <c r="L20" s="376" t="n"/>
      <c r="M20" s="376" t="n"/>
      <c r="N20" s="376" t="n"/>
      <c r="O20" s="376" t="n"/>
      <c r="P20" s="376" t="n"/>
    </row>
    <row r="21" ht="19.95" customHeight="1" s="366">
      <c r="A21" s="68" t="inlineStr">
        <is>
          <t>2.审计结论</t>
        </is>
      </c>
      <c r="B21" s="64" t="n"/>
      <c r="C21" s="64" t="n"/>
      <c r="D21" s="64" t="n"/>
      <c r="E21" s="64" t="n"/>
      <c r="F21" s="396" t="n"/>
      <c r="G21" s="396" t="n"/>
      <c r="H21" s="64" t="n"/>
    </row>
    <row r="22" ht="19.95" customHeight="1" s="366">
      <c r="A22" s="130" t="n"/>
      <c r="B22" s="64" t="n"/>
      <c r="C22" s="64" t="n"/>
      <c r="D22" s="64" t="n"/>
      <c r="E22" s="64" t="n"/>
      <c r="F22" s="64" t="n"/>
      <c r="G22" s="64" t="n"/>
      <c r="H22" s="64" t="n"/>
    </row>
    <row r="23" ht="20.1" customHeight="1" s="366">
      <c r="A23" s="70" t="n"/>
      <c r="B23" s="64" t="n"/>
      <c r="C23" s="64" t="n"/>
      <c r="D23" s="64" t="n"/>
      <c r="E23" s="64" t="n"/>
      <c r="F23" s="64" t="n"/>
      <c r="G23" s="64" t="n"/>
      <c r="H23" s="64" t="n"/>
    </row>
  </sheetData>
  <mergeCells count="9">
    <mergeCell ref="A5:A6"/>
    <mergeCell ref="N5:N6"/>
    <mergeCell ref="J5:K5"/>
    <mergeCell ref="A2:N2"/>
    <mergeCell ref="F17:H17"/>
    <mergeCell ref="B5:E5"/>
    <mergeCell ref="L5:M5"/>
    <mergeCell ref="F5:I5"/>
    <mergeCell ref="A1:N1"/>
  </mergeCells>
  <hyperlinks>
    <hyperlink ref="N3" location="底稿目录!A1" display="底稿目录!A1"/>
  </hyperlinks>
  <printOptions horizontalCentered="1"/>
  <pageMargins left="0.7480314960629921" right="0.3543307086614174" top="0.5905511811023623" bottom="0.2755905511811024" header="0.5118110236220472" footer="0.1968503937007874"/>
  <pageSetup orientation="landscape" paperSize="9" scale="82" fitToHeight="0" blackAndWhite="1"/>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35">
    <outlinePr summaryBelow="1" summaryRight="1"/>
    <pageSetUpPr/>
  </sheetPr>
  <dimension ref="A1:M13"/>
  <sheetViews>
    <sheetView view="pageBreakPreview" zoomScaleNormal="100" workbookViewId="0">
      <selection activeCell="G13" sqref="G13"/>
    </sheetView>
  </sheetViews>
  <sheetFormatPr baseColWidth="8" defaultColWidth="9" defaultRowHeight="15.6"/>
  <cols>
    <col width="25.8984375" customWidth="1" style="87" min="1" max="1"/>
    <col width="17.69921875" customWidth="1" style="87" min="2" max="2"/>
    <col width="21.59765625" customWidth="1" style="87" min="3" max="3"/>
    <col width="7.5" customWidth="1" style="87" min="4" max="4"/>
    <col width="6" customWidth="1" style="87" min="5" max="5"/>
    <col width="9" customWidth="1" style="87" min="6" max="16384"/>
  </cols>
  <sheetData>
    <row r="1" ht="19.95" customFormat="1" customHeight="1" s="397">
      <c r="A1" s="314" t="inlineStr">
        <is>
          <t>致同会计师事务所</t>
        </is>
      </c>
      <c r="F1" s="70" t="n"/>
      <c r="G1" s="70" t="n"/>
      <c r="H1" s="70" t="n"/>
      <c r="I1" s="70" t="n"/>
      <c r="J1" s="70" t="n"/>
      <c r="K1" s="70" t="n"/>
      <c r="L1" s="70" t="n"/>
      <c r="M1" s="70" t="n"/>
    </row>
    <row r="2" ht="19.95" customFormat="1" customHeight="1" s="397">
      <c r="A2" s="379" t="inlineStr">
        <is>
          <t>附注披露信息(上市公司)</t>
        </is>
      </c>
      <c r="F2" s="398" t="n"/>
      <c r="G2" s="398" t="n"/>
      <c r="H2" s="398" t="n"/>
      <c r="I2" s="398" t="n"/>
      <c r="J2" s="398" t="n"/>
      <c r="K2" s="398" t="n"/>
      <c r="L2" s="398" t="n"/>
      <c r="M2" s="398" t="n"/>
    </row>
    <row r="3" ht="19.95" customFormat="1" customHeight="1" s="397">
      <c r="A3" s="376">
        <f>底稿目录!A2</f>
        <v/>
      </c>
      <c r="B3" s="380">
        <f>底稿目录!A4</f>
        <v/>
      </c>
      <c r="C3" s="380">
        <f>底稿目录!A5</f>
        <v/>
      </c>
      <c r="D3" s="380" t="inlineStr">
        <is>
          <t>索引号：</t>
        </is>
      </c>
      <c r="E3" s="380">
        <f>底稿目录!F7</f>
        <v/>
      </c>
      <c r="G3" s="376" t="n"/>
      <c r="J3" s="376" t="n"/>
      <c r="K3" s="376" t="n"/>
      <c r="M3" s="376" t="n"/>
    </row>
    <row r="4" ht="19.95" customFormat="1" customHeight="1" s="397">
      <c r="A4" s="376">
        <f>底稿目录!A3</f>
        <v/>
      </c>
      <c r="B4" s="380">
        <f>底稿目录!A6</f>
        <v/>
      </c>
      <c r="C4" s="380">
        <f>底稿目录!A7</f>
        <v/>
      </c>
      <c r="D4" s="380" t="inlineStr">
        <is>
          <t>页次：</t>
        </is>
      </c>
      <c r="E4" s="380" t="n"/>
      <c r="G4" s="376" t="n"/>
      <c r="J4" s="376" t="n"/>
      <c r="K4" s="376" t="n"/>
      <c r="M4" s="54" t="n"/>
    </row>
    <row r="5" ht="19.95" customHeight="1" s="366">
      <c r="A5" s="45" t="inlineStr">
        <is>
          <t>其他流动资产（注：根据实际情况列示；不存在的项目请删除）</t>
        </is>
      </c>
      <c r="B5" s="91" t="n"/>
      <c r="C5" s="91" t="n"/>
      <c r="D5" s="91" t="n"/>
      <c r="E5" s="91" t="n"/>
    </row>
    <row r="6" ht="19.95" customHeight="1" s="366">
      <c r="A6" s="48" t="inlineStr">
        <is>
          <t>项  目</t>
        </is>
      </c>
      <c r="B6" s="49" t="inlineStr">
        <is>
          <t>期末数</t>
        </is>
      </c>
      <c r="C6" s="49" t="inlineStr">
        <is>
          <t>期初数</t>
        </is>
      </c>
      <c r="D6" s="111" t="n"/>
      <c r="E6" s="91" t="n"/>
    </row>
    <row r="7" ht="19.95" customHeight="1" s="366">
      <c r="A7" s="55">
        <f>'明细表K2-2'!A11</f>
        <v/>
      </c>
      <c r="B7" s="399">
        <f>'明细表K2-2'!O11</f>
        <v/>
      </c>
      <c r="C7" s="399">
        <f>'明细表K2-2'!L11</f>
        <v/>
      </c>
      <c r="D7" s="399" t="n"/>
      <c r="E7" s="91" t="n"/>
    </row>
    <row r="8" ht="19.95" customHeight="1" s="366">
      <c r="A8" s="55">
        <f>'明细表K2-2'!A12</f>
        <v/>
      </c>
      <c r="B8" s="399">
        <f>'明细表K2-2'!O12</f>
        <v/>
      </c>
      <c r="C8" s="399">
        <f>'明细表K2-2'!L12</f>
        <v/>
      </c>
      <c r="D8" s="399" t="n"/>
      <c r="E8" s="91" t="n"/>
    </row>
    <row r="9" ht="19.95" customHeight="1" s="366">
      <c r="A9" s="55">
        <f>'明细表K2-2'!A13</f>
        <v/>
      </c>
      <c r="B9" s="399">
        <f>'明细表K2-2'!O13</f>
        <v/>
      </c>
      <c r="C9" s="399">
        <f>'明细表K2-2'!L13</f>
        <v/>
      </c>
      <c r="D9" s="399" t="n"/>
      <c r="E9" s="91" t="n"/>
    </row>
    <row r="10" ht="19.95" customHeight="1" s="366">
      <c r="A10" s="55">
        <f>'明细表K2-2'!A14</f>
        <v/>
      </c>
      <c r="B10" s="399">
        <f>'明细表K2-2'!O14</f>
        <v/>
      </c>
      <c r="C10" s="399">
        <f>'明细表K2-2'!L14</f>
        <v/>
      </c>
      <c r="D10" s="399" t="n"/>
      <c r="E10" s="91" t="n"/>
    </row>
    <row r="11" ht="19.95" customHeight="1" s="366">
      <c r="A11" s="55">
        <f>'明细表K2-2'!A17</f>
        <v/>
      </c>
      <c r="B11" s="399">
        <f>'明细表K2-2'!O17</f>
        <v/>
      </c>
      <c r="C11" s="399">
        <f>'明细表K2-2'!L17</f>
        <v/>
      </c>
      <c r="D11" s="399" t="n"/>
      <c r="E11" s="91" t="n"/>
    </row>
    <row r="12" ht="19.95" customHeight="1" s="366">
      <c r="A12" s="48" t="inlineStr">
        <is>
          <t>合  计</t>
        </is>
      </c>
      <c r="B12" s="400">
        <f>SUM(B7:B11)</f>
        <v/>
      </c>
      <c r="C12" s="400">
        <f>SUM(C7:C11)</f>
        <v/>
      </c>
      <c r="D12" s="401" t="n"/>
      <c r="E12" s="91" t="n"/>
    </row>
    <row r="13" ht="19.95" customHeight="1" s="366">
      <c r="A13" s="47" t="inlineStr">
        <is>
          <t>（金额较大的其他流动资产，应说明其内容、性质）</t>
        </is>
      </c>
      <c r="B13" s="91" t="n"/>
      <c r="C13" s="91" t="n"/>
      <c r="D13" s="91" t="n"/>
      <c r="E13" s="91" t="n"/>
    </row>
  </sheetData>
  <mergeCells count="2">
    <mergeCell ref="A2:E2"/>
    <mergeCell ref="A1:E1"/>
  </mergeCells>
  <pageMargins left="0.7086614173228351" right="0.7086614173228351" top="0.748031496062992" bottom="0.748031496062992" header="0.31496062992126" footer="0.31496062992126"/>
  <pageSetup orientation="portrait" paperSize="9" blackAndWhite="1"/>
</worksheet>
</file>

<file path=xl/worksheets/sheet5.xml><?xml version="1.0" encoding="utf-8"?>
<worksheet xmlns="http://schemas.openxmlformats.org/spreadsheetml/2006/main">
  <sheetPr codeName="Sheet4">
    <outlinePr summaryBelow="1" summaryRight="1"/>
    <pageSetUpPr/>
  </sheetPr>
  <dimension ref="A1:M13"/>
  <sheetViews>
    <sheetView view="pageBreakPreview" zoomScaleNormal="100" workbookViewId="0">
      <selection activeCell="H13" sqref="H13"/>
    </sheetView>
  </sheetViews>
  <sheetFormatPr baseColWidth="8" defaultColWidth="9" defaultRowHeight="15.6"/>
  <cols>
    <col width="26.5" customWidth="1" style="87" min="1" max="1"/>
    <col width="16.19921875" customWidth="1" style="87" min="2" max="2"/>
    <col width="23.796875" customWidth="1" style="87" min="3" max="3"/>
    <col width="7.296875" customWidth="1" style="87" min="4" max="4"/>
    <col width="5.59765625" customWidth="1" style="87" min="5" max="5"/>
    <col width="9" customWidth="1" style="87" min="6" max="16384"/>
  </cols>
  <sheetData>
    <row r="1" ht="19.95" customFormat="1" customHeight="1" s="397">
      <c r="A1" s="314" t="inlineStr">
        <is>
          <t>致同会计师事务所</t>
        </is>
      </c>
      <c r="F1" s="70" t="n"/>
      <c r="G1" s="70" t="n"/>
      <c r="H1" s="70" t="n"/>
      <c r="I1" s="70" t="n"/>
      <c r="J1" s="70" t="n"/>
      <c r="K1" s="70" t="n"/>
      <c r="L1" s="70" t="n"/>
      <c r="M1" s="70" t="n"/>
    </row>
    <row r="2" ht="19.95" customFormat="1" customHeight="1" s="397">
      <c r="A2" s="379" t="inlineStr">
        <is>
          <t>附注披露信息（国企）</t>
        </is>
      </c>
      <c r="F2" s="398" t="n"/>
      <c r="G2" s="398" t="n"/>
      <c r="H2" s="398" t="n"/>
      <c r="I2" s="398" t="n"/>
      <c r="J2" s="398" t="n"/>
      <c r="K2" s="398" t="n"/>
      <c r="L2" s="398" t="n"/>
      <c r="M2" s="398" t="n"/>
    </row>
    <row r="3" ht="19.95" customFormat="1" customHeight="1" s="397">
      <c r="A3" s="376">
        <f>底稿目录!A2</f>
        <v/>
      </c>
      <c r="B3" s="380">
        <f>底稿目录!A4</f>
        <v/>
      </c>
      <c r="C3" s="380">
        <f>底稿目录!A5</f>
        <v/>
      </c>
      <c r="D3" s="380" t="inlineStr">
        <is>
          <t>索引号：</t>
        </is>
      </c>
      <c r="E3" s="380">
        <f>底稿目录!F6</f>
        <v/>
      </c>
      <c r="J3" s="376" t="n"/>
      <c r="K3" s="376" t="n"/>
      <c r="M3" s="376" t="n"/>
    </row>
    <row r="4" ht="19.95" customFormat="1" customHeight="1" s="397">
      <c r="A4" s="376">
        <f>底稿目录!A3</f>
        <v/>
      </c>
      <c r="B4" s="380">
        <f>底稿目录!A6</f>
        <v/>
      </c>
      <c r="C4" s="380">
        <f>底稿目录!A7</f>
        <v/>
      </c>
      <c r="D4" s="380" t="inlineStr">
        <is>
          <t>页次：</t>
        </is>
      </c>
      <c r="E4" s="380" t="n"/>
      <c r="J4" s="376" t="n"/>
      <c r="K4" s="376" t="n"/>
      <c r="M4" s="54" t="n"/>
    </row>
    <row r="5" ht="19.95" customHeight="1" s="366">
      <c r="A5" s="45" t="inlineStr">
        <is>
          <t>其他流动资产</t>
        </is>
      </c>
      <c r="B5" s="91" t="n"/>
      <c r="C5" s="91" t="n"/>
      <c r="D5" s="91" t="n"/>
      <c r="E5" s="91" t="n"/>
    </row>
    <row r="6" ht="19.95" customHeight="1" s="366">
      <c r="A6" s="47" t="inlineStr">
        <is>
          <t>（根据性质选择披露方式）</t>
        </is>
      </c>
      <c r="B6" s="91" t="n"/>
      <c r="C6" s="91" t="n"/>
      <c r="D6" s="91" t="n"/>
      <c r="E6" s="91" t="n"/>
    </row>
    <row r="7" ht="19.95" customHeight="1" s="366">
      <c r="A7" s="48" t="inlineStr">
        <is>
          <t>项 目</t>
        </is>
      </c>
      <c r="B7" s="49" t="inlineStr">
        <is>
          <t>期末账面价值</t>
        </is>
      </c>
      <c r="C7" s="49" t="inlineStr">
        <is>
          <t>年初账面价值</t>
        </is>
      </c>
      <c r="D7" s="111" t="n"/>
      <c r="E7" s="91" t="n"/>
    </row>
    <row r="8" ht="19.95" customHeight="1" s="366">
      <c r="A8" s="50">
        <f>'明细表K2-2'!A11</f>
        <v/>
      </c>
      <c r="B8" s="402">
        <f>'明细表K2-2'!O11</f>
        <v/>
      </c>
      <c r="C8" s="402">
        <f>'明细表K2-2'!L11</f>
        <v/>
      </c>
      <c r="D8" s="402" t="n"/>
      <c r="E8" s="91" t="n"/>
    </row>
    <row r="9" ht="19.95" customHeight="1" s="366">
      <c r="A9" s="50">
        <f>'明细表K2-2'!A12</f>
        <v/>
      </c>
      <c r="B9" s="402">
        <f>'明细表K2-2'!O12</f>
        <v/>
      </c>
      <c r="C9" s="402">
        <f>'明细表K2-2'!L12</f>
        <v/>
      </c>
      <c r="D9" s="402" t="n"/>
      <c r="E9" s="91" t="n"/>
    </row>
    <row r="10" ht="19.95" customHeight="1" s="366">
      <c r="A10" s="50">
        <f>'明细表K2-2'!A13</f>
        <v/>
      </c>
      <c r="B10" s="402">
        <f>'明细表K2-2'!O13</f>
        <v/>
      </c>
      <c r="C10" s="402">
        <f>'明细表K2-2'!L13</f>
        <v/>
      </c>
      <c r="D10" s="402" t="n"/>
      <c r="E10" s="91" t="n"/>
    </row>
    <row r="11" ht="19.95" customHeight="1" s="366">
      <c r="A11" s="50">
        <f>'明细表K2-2'!A14</f>
        <v/>
      </c>
      <c r="B11" s="402">
        <f>'明细表K2-2'!O14</f>
        <v/>
      </c>
      <c r="C11" s="402">
        <f>'明细表K2-2'!L14</f>
        <v/>
      </c>
      <c r="D11" s="402" t="n"/>
      <c r="E11" s="91" t="n"/>
    </row>
    <row r="12" ht="19.95" customHeight="1" s="366">
      <c r="A12" s="50">
        <f>'明细表K2-2'!A17</f>
        <v/>
      </c>
      <c r="B12" s="402">
        <f>'明细表K2-2'!O17</f>
        <v/>
      </c>
      <c r="C12" s="402">
        <f>'明细表K2-2'!L17</f>
        <v/>
      </c>
      <c r="D12" s="402" t="n"/>
      <c r="E12" s="91" t="n"/>
    </row>
    <row r="13" ht="19.95" customHeight="1" s="366">
      <c r="A13" s="52" t="inlineStr">
        <is>
          <t>合  计</t>
        </is>
      </c>
      <c r="B13" s="400">
        <f>SUM(B8:B12)</f>
        <v/>
      </c>
      <c r="C13" s="400">
        <f>SUM(C8:C12)</f>
        <v/>
      </c>
      <c r="D13" s="401" t="n"/>
      <c r="E13" s="91" t="n"/>
    </row>
  </sheetData>
  <mergeCells count="2">
    <mergeCell ref="A2:E2"/>
    <mergeCell ref="A1:E1"/>
  </mergeCells>
  <pageMargins left="0.7086614173228351" right="0.7086614173228351" top="0.748031496062992" bottom="0.748031496062992" header="0.31496062992126" footer="0.31496062992126"/>
  <pageSetup orientation="portrait" paperSize="9" blackAndWhite="1"/>
</worksheet>
</file>

<file path=xl/worksheets/sheet6.xml><?xml version="1.0" encoding="utf-8"?>
<worksheet xmlns="http://schemas.openxmlformats.org/spreadsheetml/2006/main">
  <sheetPr codeName="Sheet5">
    <outlinePr summaryBelow="1" summaryRight="1"/>
    <pageSetUpPr/>
  </sheetPr>
  <dimension ref="A1:R30"/>
  <sheetViews>
    <sheetView view="pageBreakPreview" zoomScaleNormal="115" workbookViewId="0">
      <selection activeCell="A1" sqref="A1:P1"/>
    </sheetView>
  </sheetViews>
  <sheetFormatPr baseColWidth="8" defaultColWidth="9" defaultRowHeight="15.6"/>
  <cols>
    <col width="20.5" customWidth="1" style="17" min="1" max="1"/>
    <col width="10.69921875" customWidth="1" style="17" min="2" max="5"/>
    <col width="11.69921875" customWidth="1" style="17" min="6" max="11"/>
    <col width="9.8984375" customWidth="1" style="17" min="12" max="15"/>
    <col width="9" customWidth="1" style="17" min="16" max="16384"/>
  </cols>
  <sheetData>
    <row r="1" ht="19.95" customFormat="1" customHeight="1" s="12">
      <c r="A1" s="278" t="inlineStr">
        <is>
          <t>致同会计师事务所</t>
        </is>
      </c>
      <c r="Q1" s="37" t="n"/>
      <c r="R1" s="37" t="n"/>
    </row>
    <row r="2" ht="19.95" customFormat="1" customHeight="1" s="77">
      <c r="A2" s="279" t="inlineStr">
        <is>
          <t>其他流动资产明细表</t>
        </is>
      </c>
      <c r="Q2" s="38" t="n"/>
      <c r="R2" s="38" t="n"/>
    </row>
    <row r="3" ht="19.95" customFormat="1" customHeight="1" s="130">
      <c r="A3" s="376">
        <f>底稿目录!A2</f>
        <v/>
      </c>
      <c r="B3" s="376" t="n"/>
      <c r="D3" s="380">
        <f>底稿目录!A4</f>
        <v/>
      </c>
      <c r="I3" s="130" t="n"/>
      <c r="J3" s="30">
        <f>底稿目录!A5</f>
        <v/>
      </c>
      <c r="K3" s="31" t="n"/>
      <c r="O3" s="381" t="inlineStr">
        <is>
          <t>索引号：</t>
        </is>
      </c>
      <c r="P3" s="225">
        <f>底稿目录!F8</f>
        <v/>
      </c>
    </row>
    <row r="4" ht="19.95" customFormat="1" customHeight="1" s="130">
      <c r="A4" s="376">
        <f>底稿目录!A3</f>
        <v/>
      </c>
      <c r="B4" s="54" t="n"/>
      <c r="D4" s="380">
        <f>底稿目录!A6</f>
        <v/>
      </c>
      <c r="I4" s="130" t="n"/>
      <c r="J4" s="30">
        <f>底稿目录!A7</f>
        <v/>
      </c>
      <c r="K4" s="31" t="n"/>
      <c r="O4" s="381" t="inlineStr">
        <is>
          <t>页次：</t>
        </is>
      </c>
      <c r="P4" s="380" t="n"/>
    </row>
    <row r="5" ht="19.95" customFormat="1" customHeight="1" s="130">
      <c r="A5" s="19" t="inlineStr">
        <is>
          <t>一、审计目标:</t>
        </is>
      </c>
      <c r="B5" s="20" t="n"/>
      <c r="F5" s="215" t="n"/>
      <c r="G5" s="130" t="n"/>
      <c r="I5" s="130" t="n"/>
      <c r="J5" s="32" t="n"/>
      <c r="K5" s="130" t="n"/>
      <c r="L5" s="130" t="n"/>
      <c r="M5" s="33" t="n"/>
    </row>
    <row r="6" ht="19.95" customFormat="1" customHeight="1" s="130">
      <c r="A6" s="128" t="inlineStr">
        <is>
          <t>1.资产负债表中记录的其他流动资产是存在的，且已记录于恰当的账户；</t>
        </is>
      </c>
      <c r="B6" s="129" t="n"/>
      <c r="C6" s="129" t="n"/>
      <c r="D6" s="130" t="n"/>
      <c r="E6" s="130" t="n"/>
      <c r="F6" s="130" t="n"/>
      <c r="G6" s="128" t="inlineStr">
        <is>
          <t>2.所有应记录的其他流动资产均已记录，所有应当包括在财务报表中的相关披露均已包括；</t>
        </is>
      </c>
      <c r="H6" s="130" t="n"/>
      <c r="I6" s="130" t="n"/>
      <c r="J6" s="130" t="n"/>
      <c r="K6" s="130" t="n"/>
      <c r="L6" s="130" t="n"/>
      <c r="M6" s="130" t="n"/>
      <c r="N6" s="130" t="n"/>
    </row>
    <row r="7" ht="19.95" customFormat="1" customHeight="1" s="130">
      <c r="A7" s="128" t="inlineStr">
        <is>
          <t>3.其他流动资产以恰当的金额包括在财务报表中，与之相关的计价或分摊调整已恰当记录，相关披露已得到恰当计量和描述。</t>
        </is>
      </c>
      <c r="B7" s="129" t="n"/>
      <c r="C7" s="129" t="n"/>
      <c r="D7" s="130" t="n"/>
      <c r="E7" s="130" t="n"/>
      <c r="F7" s="130" t="n"/>
      <c r="G7" s="128" t="n"/>
      <c r="H7" s="130" t="n"/>
      <c r="I7" s="130" t="n"/>
      <c r="J7" s="130" t="n"/>
      <c r="K7" s="130" t="n"/>
      <c r="L7" s="130" t="n"/>
      <c r="M7" s="130" t="n"/>
      <c r="N7" s="130" t="n"/>
    </row>
    <row r="8" ht="19.95" customFormat="1" customHeight="1" s="130">
      <c r="A8" s="22" t="inlineStr">
        <is>
          <t>二、审计过程：</t>
        </is>
      </c>
      <c r="B8" s="130" t="n"/>
      <c r="C8" s="130" t="n"/>
      <c r="E8" s="130" t="n"/>
      <c r="F8" s="85" t="n"/>
      <c r="I8" s="130" t="n"/>
      <c r="J8" s="32" t="n"/>
      <c r="K8" s="130" t="n"/>
      <c r="L8" s="130" t="n"/>
      <c r="M8" s="33" t="n"/>
    </row>
    <row r="9" ht="19.95" customFormat="1" customHeight="1" s="36">
      <c r="A9" s="403" t="inlineStr">
        <is>
          <t>项目</t>
        </is>
      </c>
      <c r="B9" s="404" t="inlineStr">
        <is>
          <t>未审数</t>
        </is>
      </c>
      <c r="C9" s="405" t="n"/>
      <c r="D9" s="405" t="n"/>
      <c r="E9" s="406" t="n"/>
      <c r="F9" s="407" t="inlineStr">
        <is>
          <t>期初调整</t>
        </is>
      </c>
      <c r="G9" s="368" t="n"/>
      <c r="H9" s="407" t="inlineStr">
        <is>
          <t>账项调整</t>
        </is>
      </c>
      <c r="I9" s="368" t="n"/>
      <c r="J9" s="408" t="inlineStr">
        <is>
          <t>重分类调整</t>
        </is>
      </c>
      <c r="K9" s="367" t="n"/>
      <c r="L9" s="409" t="inlineStr">
        <is>
          <t>审定数</t>
        </is>
      </c>
      <c r="M9" s="367" t="n"/>
      <c r="N9" s="367" t="n"/>
      <c r="O9" s="368" t="n"/>
      <c r="P9" s="410" t="inlineStr">
        <is>
          <t>备注</t>
        </is>
      </c>
    </row>
    <row r="10" ht="19.95" customFormat="1" customHeight="1" s="36">
      <c r="A10" s="385" t="n"/>
      <c r="B10" s="410" t="inlineStr">
        <is>
          <t>期初数</t>
        </is>
      </c>
      <c r="C10" s="410" t="inlineStr">
        <is>
          <t>本期增加</t>
        </is>
      </c>
      <c r="D10" s="410" t="inlineStr">
        <is>
          <t>本期减少</t>
        </is>
      </c>
      <c r="E10" s="410" t="inlineStr">
        <is>
          <t>期末数</t>
        </is>
      </c>
      <c r="F10" s="411" t="inlineStr">
        <is>
          <t>账项调整</t>
        </is>
      </c>
      <c r="G10" s="411" t="inlineStr">
        <is>
          <t>重分类调整</t>
        </is>
      </c>
      <c r="H10" s="411" t="inlineStr">
        <is>
          <t>本期增加</t>
        </is>
      </c>
      <c r="I10" s="411" t="inlineStr">
        <is>
          <t>本期减少</t>
        </is>
      </c>
      <c r="J10" s="412" t="inlineStr">
        <is>
          <t>本期增加</t>
        </is>
      </c>
      <c r="K10" s="412" t="inlineStr">
        <is>
          <t>本期减少</t>
        </is>
      </c>
      <c r="L10" s="410" t="inlineStr">
        <is>
          <t>期初数</t>
        </is>
      </c>
      <c r="M10" s="410" t="inlineStr">
        <is>
          <t>本期增加</t>
        </is>
      </c>
      <c r="N10" s="410" t="inlineStr">
        <is>
          <t>本期减少</t>
        </is>
      </c>
      <c r="O10" s="410" t="inlineStr">
        <is>
          <t>期末数</t>
        </is>
      </c>
      <c r="P10" s="370" t="n"/>
    </row>
    <row r="11" ht="19.95" customFormat="1" customHeight="1" s="36">
      <c r="A11" s="191" t="inlineStr">
        <is>
          <t>待摊费用</t>
        </is>
      </c>
      <c r="B11" s="413" t="n"/>
      <c r="C11" s="413" t="n"/>
      <c r="D11" s="413" t="n"/>
      <c r="E11" s="414">
        <f>B11+C11-D11</f>
        <v/>
      </c>
      <c r="F11" s="413" t="n"/>
      <c r="G11" s="413" t="n"/>
      <c r="H11" s="413" t="n"/>
      <c r="I11" s="413" t="n"/>
      <c r="J11" s="413" t="n"/>
      <c r="K11" s="413" t="n"/>
      <c r="L11" s="388">
        <f>B11+F11+G11</f>
        <v/>
      </c>
      <c r="M11" s="388">
        <f>C11+H11+J11</f>
        <v/>
      </c>
      <c r="N11" s="388">
        <f>D11+I11+K11</f>
        <v/>
      </c>
      <c r="O11" s="388">
        <f>L11+M11-N11</f>
        <v/>
      </c>
      <c r="P11" s="413" t="n"/>
    </row>
    <row r="12" ht="19.95" customFormat="1" customHeight="1" s="36">
      <c r="A12" s="191" t="inlineStr">
        <is>
          <t>待抵扣进项税</t>
        </is>
      </c>
      <c r="B12" s="413" t="n"/>
      <c r="C12" s="413" t="n"/>
      <c r="D12" s="413" t="n"/>
      <c r="E12" s="414">
        <f>B12+C12-D12</f>
        <v/>
      </c>
      <c r="F12" s="413" t="n"/>
      <c r="G12" s="413" t="n"/>
      <c r="H12" s="413" t="n"/>
      <c r="I12" s="413" t="n"/>
      <c r="J12" s="413" t="n"/>
      <c r="K12" s="413" t="n"/>
      <c r="L12" s="388">
        <f>B12+F12+G12</f>
        <v/>
      </c>
      <c r="M12" s="388">
        <f>C12+H12+J12</f>
        <v/>
      </c>
      <c r="N12" s="388">
        <f>D12+I12+K12</f>
        <v/>
      </c>
      <c r="O12" s="388">
        <f>L12+M12-N12</f>
        <v/>
      </c>
      <c r="P12" s="413" t="n"/>
    </row>
    <row r="13" ht="19.95" customFormat="1" customHeight="1" s="36">
      <c r="A13" s="191" t="inlineStr">
        <is>
          <t>房租物业费</t>
        </is>
      </c>
      <c r="B13" s="413" t="n"/>
      <c r="C13" s="413" t="n"/>
      <c r="D13" s="413" t="n"/>
      <c r="E13" s="414">
        <f>B13+C13-D13</f>
        <v/>
      </c>
      <c r="F13" s="413" t="n"/>
      <c r="G13" s="413" t="n"/>
      <c r="H13" s="413" t="n"/>
      <c r="I13" s="413" t="n"/>
      <c r="J13" s="413" t="n"/>
      <c r="K13" s="413" t="n"/>
      <c r="L13" s="388">
        <f>B13+F13+G13</f>
        <v/>
      </c>
      <c r="M13" s="388">
        <f>C13+H13+J13</f>
        <v/>
      </c>
      <c r="N13" s="388">
        <f>D13+I13+K13</f>
        <v/>
      </c>
      <c r="O13" s="388">
        <f>L13+M13-N13</f>
        <v/>
      </c>
      <c r="P13" s="413" t="n"/>
    </row>
    <row r="14" ht="19.95" customFormat="1" customHeight="1" s="36">
      <c r="A14" s="191" t="inlineStr">
        <is>
          <t>预缴企业所得税</t>
        </is>
      </c>
      <c r="B14" s="413" t="n"/>
      <c r="C14" s="413" t="n"/>
      <c r="D14" s="413" t="n"/>
      <c r="E14" s="414">
        <f>B14+C14-D14</f>
        <v/>
      </c>
      <c r="F14" s="413" t="n"/>
      <c r="G14" s="413" t="n"/>
      <c r="H14" s="413" t="n"/>
      <c r="I14" s="413" t="n"/>
      <c r="J14" s="413" t="n"/>
      <c r="K14" s="413" t="n"/>
      <c r="L14" s="388">
        <f>B14+F14+G14</f>
        <v/>
      </c>
      <c r="M14" s="388">
        <f>C14+H14+J14</f>
        <v/>
      </c>
      <c r="N14" s="388">
        <f>D14+I14+K14</f>
        <v/>
      </c>
      <c r="O14" s="388">
        <f>L14+M14-N14</f>
        <v/>
      </c>
      <c r="P14" s="413" t="n"/>
    </row>
    <row r="15" ht="19.95" customFormat="1" customHeight="1" s="36">
      <c r="A15" s="191" t="inlineStr">
        <is>
          <t>委托贷款</t>
        </is>
      </c>
      <c r="B15" s="413" t="n"/>
      <c r="C15" s="413" t="n"/>
      <c r="D15" s="413" t="n"/>
      <c r="E15" s="414">
        <f>B15+C15-D15</f>
        <v/>
      </c>
      <c r="F15" s="413" t="n"/>
      <c r="G15" s="413" t="n"/>
      <c r="H15" s="413" t="n"/>
      <c r="I15" s="413" t="n"/>
      <c r="J15" s="413" t="n"/>
      <c r="K15" s="413" t="n"/>
      <c r="L15" s="388">
        <f>B15+F15+G15</f>
        <v/>
      </c>
      <c r="M15" s="388">
        <f>C15+H15+J15</f>
        <v/>
      </c>
      <c r="N15" s="388">
        <f>D15+I15+K15</f>
        <v/>
      </c>
      <c r="O15" s="388">
        <f>L15+M15-N15</f>
        <v/>
      </c>
      <c r="P15" s="413" t="n"/>
    </row>
    <row r="16" ht="19.95" customFormat="1" customHeight="1" s="36">
      <c r="A16" s="191" t="inlineStr">
        <is>
          <t>预缴其他税费</t>
        </is>
      </c>
      <c r="B16" s="413" t="n"/>
      <c r="C16" s="413" t="n"/>
      <c r="D16" s="413" t="n"/>
      <c r="E16" s="414">
        <f>B16+C16-D16</f>
        <v/>
      </c>
      <c r="F16" s="413" t="n"/>
      <c r="G16" s="413" t="n"/>
      <c r="H16" s="413" t="n"/>
      <c r="I16" s="413" t="n"/>
      <c r="J16" s="413" t="n"/>
      <c r="K16" s="413" t="n"/>
      <c r="L16" s="388">
        <f>B16+F16+G16</f>
        <v/>
      </c>
      <c r="M16" s="388">
        <f>C16+H16+J16</f>
        <v/>
      </c>
      <c r="N16" s="388">
        <f>D16+I16+K16</f>
        <v/>
      </c>
      <c r="O16" s="388">
        <f>L16+M16-N16</f>
        <v/>
      </c>
      <c r="P16" s="413" t="n"/>
    </row>
    <row r="17" ht="19.95" customFormat="1" customHeight="1" s="16">
      <c r="A17" s="191" t="inlineStr">
        <is>
          <t>应收退货成本</t>
        </is>
      </c>
      <c r="B17" s="413" t="n"/>
      <c r="C17" s="413" t="n"/>
      <c r="D17" s="413" t="n"/>
      <c r="E17" s="414">
        <f>B17+C17-D17</f>
        <v/>
      </c>
      <c r="F17" s="413" t="n"/>
      <c r="G17" s="413" t="n"/>
      <c r="H17" s="413" t="n"/>
      <c r="I17" s="413" t="n"/>
      <c r="J17" s="413" t="n"/>
      <c r="K17" s="413" t="n"/>
      <c r="L17" s="388">
        <f>B17+F17+G17</f>
        <v/>
      </c>
      <c r="M17" s="388">
        <f>C17+H17+J17</f>
        <v/>
      </c>
      <c r="N17" s="388">
        <f>D17+I17+K17</f>
        <v/>
      </c>
      <c r="O17" s="388">
        <f>L17+M17-N17</f>
        <v/>
      </c>
      <c r="P17" s="413" t="n"/>
    </row>
    <row r="18" ht="19.95" customFormat="1" customHeight="1" s="16">
      <c r="A18" s="191" t="inlineStr">
        <is>
          <t>合同取得成本</t>
        </is>
      </c>
      <c r="B18" s="413" t="n"/>
      <c r="C18" s="413" t="n"/>
      <c r="D18" s="413" t="n"/>
      <c r="E18" s="414">
        <f>B18+C18-D18</f>
        <v/>
      </c>
      <c r="F18" s="413" t="n"/>
      <c r="G18" s="413" t="n"/>
      <c r="H18" s="413" t="n"/>
      <c r="I18" s="413" t="n"/>
      <c r="J18" s="413" t="n"/>
      <c r="K18" s="413" t="n"/>
      <c r="L18" s="388">
        <f>B18+F18+G18</f>
        <v/>
      </c>
      <c r="M18" s="388">
        <f>C18+H18+J18</f>
        <v/>
      </c>
      <c r="N18" s="388">
        <f>D18+I18+K18</f>
        <v/>
      </c>
      <c r="O18" s="388">
        <f>L18+M18-N18</f>
        <v/>
      </c>
      <c r="P18" s="413" t="n"/>
    </row>
    <row r="19" ht="19.95" customFormat="1" customHeight="1" s="16">
      <c r="A19" s="191" t="n"/>
      <c r="B19" s="413" t="n"/>
      <c r="C19" s="413" t="n"/>
      <c r="D19" s="413" t="n"/>
      <c r="E19" s="414">
        <f>B19+C19-D19</f>
        <v/>
      </c>
      <c r="F19" s="413" t="n"/>
      <c r="G19" s="413" t="n"/>
      <c r="H19" s="413" t="n"/>
      <c r="I19" s="413" t="n"/>
      <c r="J19" s="413" t="n"/>
      <c r="K19" s="413" t="n"/>
      <c r="L19" s="388">
        <f>B19+F19+G19</f>
        <v/>
      </c>
      <c r="M19" s="388">
        <f>C19+H19+J19</f>
        <v/>
      </c>
      <c r="N19" s="388">
        <f>D19+I19+K19</f>
        <v/>
      </c>
      <c r="O19" s="388">
        <f>L19+M19-N19</f>
        <v/>
      </c>
      <c r="P19" s="413" t="n"/>
    </row>
    <row r="20" ht="19.95" customFormat="1" customHeight="1" s="16">
      <c r="A20" s="257" t="inlineStr">
        <is>
          <t>合计</t>
        </is>
      </c>
      <c r="B20" s="415">
        <f>SUM(B11:B19)</f>
        <v/>
      </c>
      <c r="C20" s="415">
        <f>SUM(C11:C19)</f>
        <v/>
      </c>
      <c r="D20" s="415">
        <f>SUM(D11:D19)</f>
        <v/>
      </c>
      <c r="E20" s="415">
        <f>SUM(E11:E19)</f>
        <v/>
      </c>
      <c r="F20" s="415">
        <f>SUM(F11:F19)</f>
        <v/>
      </c>
      <c r="G20" s="415">
        <f>SUM(G11:G19)</f>
        <v/>
      </c>
      <c r="H20" s="415">
        <f>SUM(H11:H19)</f>
        <v/>
      </c>
      <c r="I20" s="415">
        <f>SUM(I11:I19)</f>
        <v/>
      </c>
      <c r="J20" s="415">
        <f>SUM(J11:J19)</f>
        <v/>
      </c>
      <c r="K20" s="415">
        <f>SUM(K11:K19)</f>
        <v/>
      </c>
      <c r="L20" s="415">
        <f>SUM(L11:L19)</f>
        <v/>
      </c>
      <c r="M20" s="415">
        <f>SUM(M11:M19)</f>
        <v/>
      </c>
      <c r="N20" s="415">
        <f>SUM(N11:N19)</f>
        <v/>
      </c>
      <c r="O20" s="415">
        <f>SUM(O11:O19)</f>
        <v/>
      </c>
      <c r="P20" s="413" t="n"/>
    </row>
    <row r="21" ht="19.95" customFormat="1" customHeight="1" s="36">
      <c r="A21" s="27" t="inlineStr">
        <is>
          <t>三、审计说明：</t>
        </is>
      </c>
      <c r="B21" s="28" t="n"/>
      <c r="C21" s="28" t="n"/>
      <c r="D21" s="28" t="n"/>
      <c r="E21" s="28" t="n"/>
      <c r="F21" s="28" t="n"/>
      <c r="G21" s="28" t="n"/>
      <c r="H21" s="28" t="n"/>
      <c r="I21" s="28" t="n"/>
      <c r="J21" s="35" t="n"/>
      <c r="K21" s="35" t="n"/>
      <c r="L21" s="28" t="n"/>
      <c r="M21" s="35" t="n"/>
      <c r="N21" s="35" t="n"/>
      <c r="O21" s="28" t="n"/>
      <c r="P21" s="35" t="n"/>
    </row>
    <row r="22" ht="19.95" customFormat="1" customHeight="1" s="36">
      <c r="A22" s="209" t="n"/>
      <c r="B22" s="272" t="n"/>
      <c r="C22" s="130" t="n"/>
      <c r="D22" s="130" t="n"/>
      <c r="E22" s="130" t="n"/>
      <c r="F22" s="130" t="n"/>
      <c r="G22" s="130" t="n"/>
      <c r="H22" s="130" t="n"/>
      <c r="I22" s="130" t="n"/>
      <c r="J22" s="36" t="n"/>
      <c r="K22" s="36" t="n"/>
      <c r="L22" s="36" t="n"/>
      <c r="M22" s="36" t="n"/>
      <c r="N22" s="36" t="n"/>
      <c r="O22" s="36" t="n"/>
      <c r="P22" s="36" t="n"/>
    </row>
    <row r="23" ht="19.95" customFormat="1" customHeight="1" s="36">
      <c r="A23" s="209" t="n"/>
      <c r="B23" s="272" t="n"/>
      <c r="C23" s="130" t="n"/>
      <c r="D23" s="130" t="n"/>
      <c r="E23" s="130" t="n"/>
      <c r="F23" s="130" t="n"/>
      <c r="G23" s="130" t="n"/>
      <c r="H23" s="130" t="n"/>
      <c r="I23" s="130" t="n"/>
      <c r="J23" s="36" t="n"/>
      <c r="K23" s="36" t="n"/>
      <c r="L23" s="36" t="n"/>
      <c r="M23" s="36" t="n"/>
      <c r="N23" s="36" t="n"/>
      <c r="O23" s="36" t="n"/>
      <c r="P23" s="36" t="n"/>
    </row>
    <row r="24" ht="19.95" customFormat="1" customHeight="1" s="36">
      <c r="A24" s="105" t="n"/>
      <c r="B24" s="130" t="n"/>
      <c r="C24" s="130" t="n"/>
      <c r="D24" s="130" t="n"/>
      <c r="E24" s="130" t="n"/>
      <c r="F24" s="130" t="n"/>
      <c r="G24" s="130" t="n"/>
      <c r="H24" s="130" t="n"/>
      <c r="I24" s="130" t="n"/>
      <c r="J24" s="36" t="n"/>
      <c r="K24" s="36" t="n"/>
      <c r="L24" s="36" t="n"/>
      <c r="M24" s="36" t="n"/>
      <c r="N24" s="36" t="n"/>
      <c r="O24" s="36" t="n"/>
      <c r="P24" s="36" t="n"/>
    </row>
    <row r="25" ht="19.95" customFormat="1" customHeight="1" s="36">
      <c r="A25" s="27" t="inlineStr">
        <is>
          <t>四、审计结论：</t>
        </is>
      </c>
      <c r="B25" s="130" t="n"/>
      <c r="C25" s="130" t="n"/>
      <c r="D25" s="130" t="n"/>
      <c r="E25" s="130" t="n"/>
      <c r="F25" s="130" t="n"/>
      <c r="G25" s="130" t="n"/>
      <c r="H25" s="130" t="n"/>
      <c r="I25" s="130" t="n"/>
      <c r="J25" s="36" t="n"/>
      <c r="K25" s="36" t="n"/>
      <c r="L25" s="36" t="n"/>
      <c r="M25" s="36" t="n"/>
      <c r="N25" s="36" t="n"/>
      <c r="O25" s="36" t="n"/>
      <c r="P25" s="36" t="n"/>
    </row>
    <row r="26" ht="19.95" customFormat="1" customHeight="1" s="36">
      <c r="A26" s="130" t="n"/>
      <c r="B26" s="130" t="n"/>
      <c r="C26" s="130" t="n"/>
      <c r="D26" s="130" t="n"/>
      <c r="E26" s="130" t="n"/>
      <c r="F26" s="130" t="n"/>
      <c r="G26" s="130" t="n"/>
      <c r="H26" s="130" t="n"/>
      <c r="I26" s="130" t="n"/>
      <c r="J26" s="36" t="n"/>
      <c r="K26" s="36" t="n"/>
      <c r="L26" s="36" t="n"/>
      <c r="M26" s="36" t="n"/>
      <c r="N26" s="36" t="n"/>
      <c r="O26" s="36" t="n"/>
      <c r="P26" s="36" t="n"/>
    </row>
    <row r="27" ht="19.95" customFormat="1" customHeight="1" s="36">
      <c r="A27" s="130" t="n"/>
      <c r="B27" s="130" t="n"/>
      <c r="C27" s="130" t="n"/>
      <c r="D27" s="130" t="n"/>
      <c r="E27" s="130" t="n"/>
      <c r="F27" s="130" t="n"/>
      <c r="G27" s="130" t="n"/>
      <c r="H27" s="130" t="n"/>
      <c r="I27" s="130" t="n"/>
      <c r="J27" s="36" t="n"/>
      <c r="K27" s="36" t="n"/>
      <c r="L27" s="36" t="n"/>
      <c r="M27" s="36" t="n"/>
      <c r="N27" s="36" t="n"/>
      <c r="O27" s="36" t="n"/>
      <c r="P27" s="36" t="n"/>
    </row>
    <row r="28" ht="13.8" customFormat="1" customHeight="1" s="5"/>
    <row r="29" ht="13.8" customFormat="1" customHeight="1" s="5">
      <c r="A29" s="29" t="inlineStr">
        <is>
          <t>编制说明：</t>
        </is>
      </c>
    </row>
    <row r="30" ht="48.75" customFormat="1" customHeight="1" s="5">
      <c r="A30" s="316" t="inlineStr">
        <is>
          <t>财会〔2018〕15号指出：下列情况在其他流动资产列示：企业购入的一年内到期的债权投资（包括以摊余成本计量及以公允价值计量且其变动计入其他综合收益的债权投资）；合同取得成本，初始确认时摊销期限不超过一年或一个正常营业周期的项目；附有销售退回条款的销售，确认为资产的应收退货成本，在一年或一个正常营业周期内出售的项目；</t>
        </is>
      </c>
      <c r="B30" s="104" t="n"/>
      <c r="C30" s="104" t="n"/>
      <c r="D30" s="104" t="n"/>
      <c r="E30" s="104" t="n"/>
      <c r="F30" s="104" t="n"/>
      <c r="G30" s="104" t="n"/>
      <c r="H30" s="104" t="n"/>
      <c r="I30" s="104" t="n"/>
    </row>
    <row r="31" ht="13.8" customFormat="1" customHeight="1" s="5"/>
    <row r="32" ht="13.8" customFormat="1" customHeight="1" s="5"/>
    <row r="33" ht="13.8" customFormat="1" customHeight="1" s="5"/>
    <row r="34" ht="13.8" customFormat="1" customHeight="1" s="5"/>
    <row r="35" ht="13.8" customFormat="1" customHeight="1" s="5"/>
    <row r="36" ht="13.8" customFormat="1" customHeight="1" s="5"/>
    <row r="37" ht="13.8" customFormat="1" customHeight="1" s="5"/>
    <row r="38" ht="13.8" customFormat="1" customHeight="1" s="5"/>
  </sheetData>
  <mergeCells count="10">
    <mergeCell ref="B9:E9"/>
    <mergeCell ref="A9:A10"/>
    <mergeCell ref="P9:P10"/>
    <mergeCell ref="A1:P1"/>
    <mergeCell ref="L9:O9"/>
    <mergeCell ref="A2:P2"/>
    <mergeCell ref="A30:I30"/>
    <mergeCell ref="H9:I9"/>
    <mergeCell ref="F9:G9"/>
    <mergeCell ref="J9:K9"/>
  </mergeCells>
  <hyperlinks>
    <hyperlink ref="P3" location="底稿目录!A1" display="底稿目录!A1"/>
  </hyperlinks>
  <printOptions horizontalCentered="1"/>
  <pageMargins left="0.2755905511811024" right="0.1968503937007874" top="0.5511811023622047" bottom="0.3937007874015748" header="0.4330708661417323" footer="0.3149606299212598"/>
  <pageSetup orientation="landscape" paperSize="9" scale="66" blackAndWhite="1"/>
  <headerFooter alignWithMargins="0">
    <oddHeader/>
    <oddFooter>&amp;C&amp;P/&amp;N</oddFooter>
    <evenHeader/>
    <evenFooter/>
    <firstHeader/>
    <firstFooter/>
  </headerFooter>
</worksheet>
</file>

<file path=xl/worksheets/sheet7.xml><?xml version="1.0" encoding="utf-8"?>
<worksheet xmlns="http://schemas.openxmlformats.org/spreadsheetml/2006/main">
  <sheetPr codeName="Sheet9">
    <outlinePr summaryBelow="1" summaryRight="1"/>
    <pageSetUpPr/>
  </sheetPr>
  <dimension ref="A1:J22"/>
  <sheetViews>
    <sheetView view="pageBreakPreview" zoomScaleNormal="100" zoomScaleSheetLayoutView="100" workbookViewId="0">
      <selection activeCell="A1" sqref="A1:J1"/>
    </sheetView>
  </sheetViews>
  <sheetFormatPr baseColWidth="8" defaultColWidth="8.69921875" defaultRowHeight="15.6"/>
  <cols>
    <col width="19.796875" customWidth="1" style="416" min="1" max="1"/>
    <col width="17.19921875" customWidth="1" style="416" min="2" max="2"/>
    <col width="10.296875" customWidth="1" style="416" min="3" max="3"/>
    <col width="11" customWidth="1" style="416" min="4" max="4"/>
    <col width="13.69921875" customWidth="1" style="416" min="5" max="5"/>
    <col width="11.5" customWidth="1" style="416" min="6" max="6"/>
    <col width="10.09765625" customWidth="1" style="416" min="7" max="7"/>
    <col width="10.69921875" customWidth="1" style="416" min="8" max="8"/>
    <col width="8.69921875" customWidth="1" style="416" min="9" max="9"/>
    <col width="11.296875" customWidth="1" style="416" min="10" max="10"/>
    <col width="8.69921875" customWidth="1" style="416" min="11" max="16384"/>
  </cols>
  <sheetData>
    <row r="1" ht="19.95" customHeight="1" s="366">
      <c r="A1" s="417" t="inlineStr">
        <is>
          <t>致同会计师事务所</t>
        </is>
      </c>
    </row>
    <row r="2" ht="19.95" customHeight="1" s="366">
      <c r="A2" s="418" t="inlineStr">
        <is>
          <t>其他应收款调整分录汇总表</t>
        </is>
      </c>
    </row>
    <row r="3" ht="19.95" customHeight="1" s="366">
      <c r="A3" s="419">
        <f>底稿目录!A2</f>
        <v/>
      </c>
      <c r="B3" s="419" t="n"/>
      <c r="C3" s="419">
        <f>底稿目录!A4</f>
        <v/>
      </c>
      <c r="E3" s="419" t="n"/>
      <c r="F3" s="419">
        <f>底稿目录!A5</f>
        <v/>
      </c>
      <c r="G3" s="419" t="n"/>
      <c r="H3" s="419" t="n"/>
      <c r="I3" s="419" t="inlineStr">
        <is>
          <t>索引号：</t>
        </is>
      </c>
      <c r="J3" s="225">
        <f>底稿目录!F9</f>
        <v/>
      </c>
    </row>
    <row r="4" ht="19.95" customHeight="1" s="366">
      <c r="A4" s="419">
        <f>底稿目录!A3</f>
        <v/>
      </c>
      <c r="B4" s="419" t="n"/>
      <c r="C4" s="419">
        <f>底稿目录!A6</f>
        <v/>
      </c>
      <c r="E4" s="419" t="n"/>
      <c r="F4" s="419">
        <f>底稿目录!A7</f>
        <v/>
      </c>
      <c r="G4" s="419" t="n"/>
      <c r="H4" s="419" t="n"/>
      <c r="I4" s="419" t="inlineStr">
        <is>
          <t>页次：</t>
        </is>
      </c>
      <c r="J4" s="420" t="n"/>
    </row>
    <row r="5" ht="34.2" customHeight="1" s="366">
      <c r="A5" s="421" t="inlineStr">
        <is>
          <t>调整事项说明</t>
        </is>
      </c>
      <c r="B5" s="422" t="inlineStr">
        <is>
          <t>类别（报表调整/账项调整/其他）</t>
        </is>
      </c>
      <c r="C5" s="423" t="inlineStr">
        <is>
          <t>报表项目</t>
        </is>
      </c>
      <c r="D5" s="424" t="inlineStr">
        <is>
          <t>科目名称</t>
        </is>
      </c>
      <c r="E5" s="424" t="inlineStr">
        <is>
          <t>附注项目</t>
        </is>
      </c>
      <c r="F5" s="425" t="inlineStr">
        <is>
          <t>……</t>
        </is>
      </c>
      <c r="G5" s="424" t="inlineStr">
        <is>
          <t>借方调整金额</t>
        </is>
      </c>
      <c r="H5" s="424" t="inlineStr">
        <is>
          <t>贷方调整金额</t>
        </is>
      </c>
      <c r="I5" s="424" t="inlineStr">
        <is>
          <t>索引</t>
        </is>
      </c>
      <c r="J5" s="424" t="inlineStr">
        <is>
          <t>备注</t>
        </is>
      </c>
    </row>
    <row r="6" ht="19.95" customHeight="1" s="366">
      <c r="A6" s="426" t="n"/>
      <c r="B6" s="426" t="n"/>
      <c r="C6" s="200" t="n"/>
      <c r="D6" s="426" t="n"/>
      <c r="E6" s="426" t="n"/>
      <c r="F6" s="426" t="n"/>
      <c r="G6" s="427" t="n"/>
      <c r="H6" s="427" t="n"/>
      <c r="I6" s="428" t="n"/>
      <c r="J6" s="426" t="n"/>
    </row>
    <row r="7" ht="19.95" customHeight="1" s="366">
      <c r="A7" s="426" t="n"/>
      <c r="B7" s="426" t="n"/>
      <c r="C7" s="200" t="n"/>
      <c r="D7" s="426" t="n"/>
      <c r="E7" s="426" t="n"/>
      <c r="F7" s="426" t="n"/>
      <c r="G7" s="427" t="n"/>
      <c r="H7" s="427" t="n"/>
      <c r="I7" s="428" t="n"/>
      <c r="J7" s="426" t="n"/>
    </row>
    <row r="8" ht="19.95" customHeight="1" s="366">
      <c r="A8" s="426" t="n"/>
      <c r="B8" s="426" t="n"/>
      <c r="C8" s="200" t="n"/>
      <c r="D8" s="426" t="n"/>
      <c r="E8" s="426" t="n"/>
      <c r="F8" s="426" t="n"/>
      <c r="G8" s="427" t="n"/>
      <c r="H8" s="427" t="n"/>
      <c r="I8" s="428" t="n"/>
      <c r="J8" s="426" t="n"/>
    </row>
    <row r="9" ht="19.95" customHeight="1" s="366">
      <c r="A9" s="426" t="n"/>
      <c r="B9" s="426" t="n"/>
      <c r="C9" s="200" t="n"/>
      <c r="D9" s="426" t="n"/>
      <c r="E9" s="426" t="n"/>
      <c r="F9" s="426" t="n"/>
      <c r="G9" s="427" t="n"/>
      <c r="H9" s="427" t="n"/>
      <c r="I9" s="428" t="n"/>
      <c r="J9" s="426" t="n"/>
    </row>
    <row r="10" ht="19.95" customHeight="1" s="366">
      <c r="A10" s="426" t="n"/>
      <c r="B10" s="426" t="n"/>
      <c r="C10" s="200" t="n"/>
      <c r="D10" s="426" t="n"/>
      <c r="E10" s="426" t="n"/>
      <c r="F10" s="426" t="n"/>
      <c r="G10" s="427" t="n"/>
      <c r="H10" s="427" t="n"/>
      <c r="I10" s="428" t="n"/>
      <c r="J10" s="426" t="n"/>
    </row>
    <row r="11" ht="19.95" customHeight="1" s="366">
      <c r="A11" s="426" t="n"/>
      <c r="B11" s="426" t="n"/>
      <c r="C11" s="200" t="n"/>
      <c r="D11" s="426" t="n"/>
      <c r="E11" s="426" t="n"/>
      <c r="F11" s="426" t="n"/>
      <c r="G11" s="427" t="n"/>
      <c r="H11" s="427" t="n"/>
      <c r="I11" s="428" t="n"/>
      <c r="J11" s="426" t="n"/>
    </row>
    <row r="12" ht="19.95" customHeight="1" s="366">
      <c r="A12" s="426" t="n"/>
      <c r="B12" s="426" t="n"/>
      <c r="C12" s="200" t="n"/>
      <c r="D12" s="426" t="n"/>
      <c r="E12" s="426" t="n"/>
      <c r="F12" s="426" t="n"/>
      <c r="G12" s="427" t="n"/>
      <c r="H12" s="427" t="n"/>
      <c r="I12" s="428" t="n"/>
      <c r="J12" s="426" t="n"/>
    </row>
    <row r="13" ht="19.95" customHeight="1" s="366">
      <c r="A13" s="426" t="n"/>
      <c r="B13" s="426" t="n"/>
      <c r="C13" s="200" t="n"/>
      <c r="D13" s="426" t="n"/>
      <c r="E13" s="426" t="n"/>
      <c r="F13" s="426" t="n"/>
      <c r="G13" s="427" t="n"/>
      <c r="H13" s="427" t="n"/>
      <c r="I13" s="428" t="n"/>
      <c r="J13" s="426" t="n"/>
    </row>
    <row r="14" ht="19.95" customHeight="1" s="366">
      <c r="A14" s="426" t="n"/>
      <c r="B14" s="426" t="n"/>
      <c r="C14" s="200" t="n"/>
      <c r="D14" s="426" t="n"/>
      <c r="E14" s="426" t="n"/>
      <c r="F14" s="426" t="n"/>
      <c r="G14" s="427" t="n"/>
      <c r="H14" s="427" t="n"/>
      <c r="I14" s="428" t="n"/>
      <c r="J14" s="426" t="n"/>
    </row>
    <row r="15" ht="19.95" customHeight="1" s="366">
      <c r="A15" s="426" t="n"/>
      <c r="B15" s="426" t="n"/>
      <c r="C15" s="200" t="n"/>
      <c r="D15" s="426" t="n"/>
      <c r="E15" s="426" t="n"/>
      <c r="F15" s="426" t="n"/>
      <c r="G15" s="427" t="n"/>
      <c r="H15" s="427" t="n"/>
      <c r="I15" s="428" t="n"/>
      <c r="J15" s="426" t="n"/>
    </row>
    <row r="16" ht="19.95" customHeight="1" s="366">
      <c r="A16" s="426" t="n"/>
      <c r="B16" s="426" t="n"/>
      <c r="C16" s="200" t="n"/>
      <c r="D16" s="426" t="n"/>
      <c r="E16" s="426" t="n"/>
      <c r="F16" s="426" t="n"/>
      <c r="G16" s="427" t="n"/>
      <c r="H16" s="427" t="n"/>
      <c r="I16" s="428" t="n"/>
      <c r="J16" s="426" t="n"/>
    </row>
    <row r="17" ht="19.95" customHeight="1" s="366">
      <c r="A17" s="426" t="n"/>
      <c r="B17" s="426" t="n"/>
      <c r="C17" s="200" t="n"/>
      <c r="D17" s="426" t="n"/>
      <c r="E17" s="426" t="n"/>
      <c r="F17" s="426" t="n"/>
      <c r="G17" s="427" t="n"/>
      <c r="H17" s="427" t="n"/>
      <c r="I17" s="428" t="n"/>
      <c r="J17" s="426" t="n"/>
    </row>
    <row r="18" ht="19.95" customHeight="1" s="366">
      <c r="A18" s="426" t="n"/>
      <c r="B18" s="426" t="n"/>
      <c r="C18" s="200" t="n"/>
      <c r="D18" s="426" t="n"/>
      <c r="E18" s="426" t="n"/>
      <c r="F18" s="426" t="n"/>
      <c r="G18" s="427" t="n"/>
      <c r="H18" s="427" t="n"/>
      <c r="I18" s="428" t="n"/>
      <c r="J18" s="426" t="n"/>
    </row>
    <row r="19" ht="19.95" customHeight="1" s="366">
      <c r="A19" s="426" t="n"/>
      <c r="B19" s="426" t="n"/>
      <c r="C19" s="200" t="n"/>
      <c r="D19" s="426" t="n"/>
      <c r="E19" s="426" t="n"/>
      <c r="F19" s="426" t="n"/>
      <c r="G19" s="427" t="n"/>
      <c r="H19" s="427" t="n"/>
      <c r="I19" s="428" t="n"/>
      <c r="J19" s="426" t="n"/>
    </row>
    <row r="20" ht="19.95" customHeight="1" s="366">
      <c r="A20" s="426" t="n"/>
      <c r="B20" s="426" t="n"/>
      <c r="C20" s="200" t="n"/>
      <c r="D20" s="426" t="n"/>
      <c r="E20" s="426" t="n"/>
      <c r="F20" s="426" t="n"/>
      <c r="G20" s="427" t="n"/>
      <c r="H20" s="427" t="n"/>
      <c r="I20" s="428" t="n"/>
      <c r="J20" s="426" t="n"/>
    </row>
    <row r="22" ht="31.2" customHeight="1" s="366">
      <c r="A22" s="429" t="inlineStr">
        <is>
          <t>【注：本底稿适用于调整分录较多、较复杂的项目，且仅列示与本报表项目相关的审计调整。项目组可根据项目实际情况选择是否使用该底稿。】</t>
        </is>
      </c>
      <c r="B22" s="104" t="n"/>
      <c r="C22" s="104" t="n"/>
      <c r="D22" s="104" t="n"/>
      <c r="E22" s="104" t="n"/>
      <c r="F22" s="104" t="n"/>
      <c r="G22" s="104" t="n"/>
      <c r="H22" s="104" t="n"/>
      <c r="I22" s="104" t="n"/>
      <c r="J22" s="104" t="n"/>
    </row>
  </sheetData>
  <mergeCells count="3">
    <mergeCell ref="A22:J2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底稿目录!A1"/>
  </hyperlinks>
  <pageMargins left="0.7480314960629921" right="0.7480314960629921" top="0.984251968503937" bottom="0.984251968503937" header="0.5118110236220472" footer="0.5118110236220472"/>
  <pageSetup orientation="landscape" paperSize="9" scale="95" blackAndWhite="1"/>
  <headerFooter alignWithMargins="0">
    <oddHeader/>
    <oddFooter>&amp;C&amp;P/&amp;N</oddFooter>
    <evenHeader/>
    <evenFooter/>
    <firstHeader/>
    <firstFooter/>
  </headerFooter>
</worksheet>
</file>

<file path=xl/worksheets/sheet8.xml><?xml version="1.0" encoding="utf-8"?>
<worksheet xmlns="http://schemas.openxmlformats.org/spreadsheetml/2006/main">
  <sheetPr codeName="Sheet10">
    <outlinePr summaryBelow="1" summaryRight="1"/>
    <pageSetUpPr fitToPage="1"/>
  </sheetPr>
  <dimension ref="A1:W32"/>
  <sheetViews>
    <sheetView view="pageBreakPreview" zoomScaleSheetLayoutView="100" workbookViewId="0">
      <selection activeCell="A1" sqref="A1:W1"/>
    </sheetView>
  </sheetViews>
  <sheetFormatPr baseColWidth="8" defaultColWidth="8.09765625" defaultRowHeight="18" customHeight="1"/>
  <cols>
    <col width="15.09765625" customWidth="1" style="132" min="1" max="1"/>
    <col width="9" customWidth="1" style="132" min="2" max="2"/>
    <col width="7" customWidth="1" style="132" min="3" max="3"/>
    <col width="6.296875" customWidth="1" style="132" min="4" max="4"/>
    <col width="5.69921875" customWidth="1" style="132" min="5" max="5"/>
    <col width="9.796875" customWidth="1" style="132" min="6" max="6"/>
    <col width="9.69921875" customWidth="1" style="132" min="7" max="7"/>
    <col width="9.796875" customWidth="1" style="132" min="8" max="8"/>
    <col width="8.8984375" customWidth="1" style="132" min="9" max="11"/>
    <col width="10.09765625" customWidth="1" style="132" min="12" max="12"/>
    <col width="10.3984375" customWidth="1" style="132" min="13" max="13"/>
    <col width="8.796875" customWidth="1" style="132" min="14" max="15"/>
    <col width="8.3984375" customWidth="1" style="132" min="16" max="16"/>
    <col width="9.09765625" customWidth="1" style="132" min="17" max="17"/>
    <col width="8.296875" customWidth="1" style="132" min="18" max="21"/>
    <col width="8.09765625" customWidth="1" style="132" min="22" max="16384"/>
  </cols>
  <sheetData>
    <row r="1" ht="19.95" customFormat="1" customHeight="1" s="131">
      <c r="A1" s="335" t="inlineStr">
        <is>
          <t>致同会计师事务所</t>
        </is>
      </c>
    </row>
    <row r="2" ht="19.95" customFormat="1" customHeight="1" s="175">
      <c r="A2" s="336" t="inlineStr">
        <is>
          <t>合同取得成本明细表</t>
        </is>
      </c>
    </row>
    <row r="3" ht="19.95" customHeight="1" s="366">
      <c r="A3" s="132">
        <f>底稿目录!A2</f>
        <v/>
      </c>
      <c r="I3" s="132">
        <f>底稿目录!A4</f>
        <v/>
      </c>
      <c r="N3" s="133" t="n"/>
      <c r="O3" s="133">
        <f>底稿目录!A5</f>
        <v/>
      </c>
      <c r="V3" s="132" t="inlineStr">
        <is>
          <t>索引号：</t>
        </is>
      </c>
      <c r="W3" s="225">
        <f>底稿目录!F10</f>
        <v/>
      </c>
    </row>
    <row r="4" ht="19.95" customHeight="1" s="366">
      <c r="A4" s="132">
        <f>底稿目录!A3</f>
        <v/>
      </c>
      <c r="I4" s="132">
        <f>底稿目录!A6</f>
        <v/>
      </c>
      <c r="N4" s="133" t="n"/>
      <c r="O4" s="133">
        <f>底稿目录!A7</f>
        <v/>
      </c>
      <c r="V4" s="132" t="inlineStr">
        <is>
          <t>页次：</t>
        </is>
      </c>
    </row>
    <row r="5" ht="19.95" customFormat="1" customHeight="1" s="174">
      <c r="A5" s="339" t="inlineStr">
        <is>
          <t>收入合同名称</t>
        </is>
      </c>
      <c r="B5" s="339" t="inlineStr">
        <is>
          <t>类别</t>
        </is>
      </c>
      <c r="C5" s="337" t="inlineStr">
        <is>
          <t>初始确认金额</t>
        </is>
      </c>
      <c r="D5" s="337" t="inlineStr">
        <is>
          <t>是否为取得合同发生的增量成本</t>
        </is>
      </c>
      <c r="E5" s="337" t="inlineStr">
        <is>
          <t>是否预期能够收回</t>
        </is>
      </c>
      <c r="F5" s="339" t="inlineStr">
        <is>
          <t>初始摊销期限</t>
        </is>
      </c>
      <c r="G5" s="406" t="n"/>
      <c r="H5" s="339" t="inlineStr">
        <is>
          <t>未审数</t>
        </is>
      </c>
      <c r="I5" s="405" t="n"/>
      <c r="J5" s="405" t="n"/>
      <c r="K5" s="406" t="n"/>
      <c r="L5" s="430" t="inlineStr">
        <is>
          <t>期初调整</t>
        </is>
      </c>
      <c r="M5" s="368" t="n"/>
      <c r="N5" s="430" t="inlineStr">
        <is>
          <t>账项调整</t>
        </is>
      </c>
      <c r="O5" s="368" t="n"/>
      <c r="P5" s="430" t="inlineStr">
        <is>
          <t>重分类调整</t>
        </is>
      </c>
      <c r="Q5" s="368" t="n"/>
      <c r="R5" s="339" t="inlineStr">
        <is>
          <t>审定数</t>
        </is>
      </c>
      <c r="S5" s="405" t="n"/>
      <c r="T5" s="405" t="n"/>
      <c r="U5" s="406" t="n"/>
      <c r="V5" s="337" t="inlineStr">
        <is>
          <t>截至期末履约义务的履约进度</t>
        </is>
      </c>
      <c r="W5" s="338" t="inlineStr">
        <is>
          <t>备注</t>
        </is>
      </c>
    </row>
    <row r="6" ht="48.6" customFormat="1" customHeight="1" s="174">
      <c r="A6" s="385" t="n"/>
      <c r="B6" s="385" t="n"/>
      <c r="C6" s="385" t="n"/>
      <c r="D6" s="385" t="n"/>
      <c r="E6" s="385" t="n"/>
      <c r="F6" s="337" t="inlineStr">
        <is>
          <t>未超过一年或一个正常营业周期</t>
        </is>
      </c>
      <c r="G6" s="337" t="inlineStr">
        <is>
          <t>超过一年或一个正常营业周期</t>
        </is>
      </c>
      <c r="H6" s="339" t="inlineStr">
        <is>
          <t>期初数</t>
        </is>
      </c>
      <c r="I6" s="339" t="inlineStr">
        <is>
          <t>本期增加</t>
        </is>
      </c>
      <c r="J6" s="339" t="inlineStr">
        <is>
          <t>本期减少</t>
        </is>
      </c>
      <c r="K6" s="187" t="inlineStr">
        <is>
          <t>期末数</t>
        </is>
      </c>
      <c r="L6" s="430" t="inlineStr">
        <is>
          <t>账项调整</t>
        </is>
      </c>
      <c r="M6" s="430" t="inlineStr">
        <is>
          <t>重分类调整</t>
        </is>
      </c>
      <c r="N6" s="339" t="inlineStr">
        <is>
          <t>本期增加</t>
        </is>
      </c>
      <c r="O6" s="430" t="inlineStr">
        <is>
          <t>本期减少</t>
        </is>
      </c>
      <c r="P6" s="339" t="inlineStr">
        <is>
          <t>本期增加</t>
        </is>
      </c>
      <c r="Q6" s="430" t="inlineStr">
        <is>
          <t>本期减少</t>
        </is>
      </c>
      <c r="R6" s="339" t="inlineStr">
        <is>
          <t>期初数</t>
        </is>
      </c>
      <c r="S6" s="339" t="inlineStr">
        <is>
          <t>本期增加</t>
        </is>
      </c>
      <c r="T6" s="339" t="inlineStr">
        <is>
          <t>本期减少</t>
        </is>
      </c>
      <c r="U6" s="339" t="inlineStr">
        <is>
          <t>期末数</t>
        </is>
      </c>
      <c r="V6" s="385" t="n"/>
      <c r="W6" s="385" t="n"/>
    </row>
    <row r="7" ht="19.95" customFormat="1" customHeight="1" s="174">
      <c r="A7" s="178" t="inlineStr">
        <is>
          <t>账面原值合计</t>
        </is>
      </c>
      <c r="B7" s="178" t="n"/>
      <c r="C7" s="178" t="n"/>
      <c r="D7" s="178" t="n"/>
      <c r="E7" s="178" t="n"/>
      <c r="F7" s="178" t="n"/>
      <c r="G7" s="178" t="n"/>
      <c r="H7" s="431">
        <f>SUM(H8:H10)</f>
        <v/>
      </c>
      <c r="I7" s="431">
        <f>I8+I9+I10</f>
        <v/>
      </c>
      <c r="J7" s="431">
        <f>J8+J9+J10</f>
        <v/>
      </c>
      <c r="K7" s="431">
        <f>K8+K9+K10</f>
        <v/>
      </c>
      <c r="L7" s="431">
        <f>SUM(L8:L10)</f>
        <v/>
      </c>
      <c r="M7" s="431">
        <f>M8+M9+M10</f>
        <v/>
      </c>
      <c r="N7" s="431">
        <f>N8+N9+N10</f>
        <v/>
      </c>
      <c r="O7" s="431">
        <f>O8+O9+O10</f>
        <v/>
      </c>
      <c r="P7" s="431">
        <f>P8+P9+P10</f>
        <v/>
      </c>
      <c r="Q7" s="431">
        <f>Q8+Q9+Q10</f>
        <v/>
      </c>
      <c r="R7" s="431">
        <f>SUM(R8:R10)</f>
        <v/>
      </c>
      <c r="S7" s="431">
        <f>S8+S9+S10</f>
        <v/>
      </c>
      <c r="T7" s="431">
        <f>T8+T9+T10</f>
        <v/>
      </c>
      <c r="U7" s="431">
        <f>U8+U9+U10</f>
        <v/>
      </c>
      <c r="V7" s="196" t="n"/>
      <c r="W7" s="179" t="n"/>
    </row>
    <row r="8" ht="19.95" customHeight="1" s="366">
      <c r="A8" s="180" t="inlineStr">
        <is>
          <t>合同1</t>
        </is>
      </c>
      <c r="B8" s="180" t="n"/>
      <c r="C8" s="432" t="n"/>
      <c r="D8" s="194" t="n"/>
      <c r="E8" s="194" t="n"/>
      <c r="F8" s="433" t="n"/>
      <c r="G8" s="433" t="n"/>
      <c r="H8" s="427" t="n"/>
      <c r="I8" s="427" t="n"/>
      <c r="J8" s="427" t="n"/>
      <c r="K8" s="388">
        <f>H8+I8-J8</f>
        <v/>
      </c>
      <c r="L8" s="427" t="n"/>
      <c r="M8" s="427" t="n"/>
      <c r="N8" s="427" t="n"/>
      <c r="O8" s="427" t="n"/>
      <c r="P8" s="427" t="n"/>
      <c r="Q8" s="427" t="n"/>
      <c r="R8" s="388">
        <f>H8+L8+M8</f>
        <v/>
      </c>
      <c r="S8" s="388">
        <f>I8+N8+P8</f>
        <v/>
      </c>
      <c r="T8" s="388">
        <f>J8+O8+Q8</f>
        <v/>
      </c>
      <c r="U8" s="388">
        <f>R8+S8-T8</f>
        <v/>
      </c>
      <c r="V8" s="196" t="n"/>
      <c r="W8" s="148" t="n"/>
    </row>
    <row r="9" ht="19.95" customHeight="1" s="366">
      <c r="A9" s="180" t="inlineStr">
        <is>
          <t>合同2</t>
        </is>
      </c>
      <c r="B9" s="180" t="n"/>
      <c r="C9" s="432" t="n"/>
      <c r="D9" s="194" t="n"/>
      <c r="E9" s="194" t="n"/>
      <c r="F9" s="433" t="n"/>
      <c r="G9" s="433" t="n"/>
      <c r="H9" s="427" t="n"/>
      <c r="I9" s="427" t="n"/>
      <c r="J9" s="427" t="n"/>
      <c r="K9" s="388">
        <f>H9+I9-J9</f>
        <v/>
      </c>
      <c r="L9" s="427" t="n"/>
      <c r="M9" s="427" t="n"/>
      <c r="N9" s="427" t="n"/>
      <c r="O9" s="427" t="n"/>
      <c r="P9" s="427" t="n"/>
      <c r="Q9" s="427" t="n"/>
      <c r="R9" s="388">
        <f>H9+L9+M9</f>
        <v/>
      </c>
      <c r="S9" s="388">
        <f>I9+N9+P9</f>
        <v/>
      </c>
      <c r="T9" s="388">
        <f>J9+O9+Q9</f>
        <v/>
      </c>
      <c r="U9" s="388">
        <f>R9+S9-T9</f>
        <v/>
      </c>
      <c r="V9" s="196" t="n"/>
      <c r="W9" s="148" t="n"/>
    </row>
    <row r="10" ht="19.95" customHeight="1" s="366">
      <c r="A10" s="180" t="inlineStr">
        <is>
          <t>合同3</t>
        </is>
      </c>
      <c r="B10" s="180" t="n"/>
      <c r="C10" s="432" t="n"/>
      <c r="D10" s="194" t="n"/>
      <c r="E10" s="194" t="n"/>
      <c r="F10" s="433" t="n"/>
      <c r="G10" s="433" t="n"/>
      <c r="H10" s="427" t="n"/>
      <c r="I10" s="427" t="n"/>
      <c r="J10" s="427" t="n"/>
      <c r="K10" s="388">
        <f>H10+I10-J10</f>
        <v/>
      </c>
      <c r="L10" s="427" t="n"/>
      <c r="M10" s="427" t="n"/>
      <c r="N10" s="427" t="n"/>
      <c r="O10" s="427" t="n"/>
      <c r="P10" s="427" t="n"/>
      <c r="Q10" s="427" t="n"/>
      <c r="R10" s="388">
        <f>H10+L10+M10</f>
        <v/>
      </c>
      <c r="S10" s="388">
        <f>I10+N10+P10</f>
        <v/>
      </c>
      <c r="T10" s="388">
        <f>J10+O10+Q10</f>
        <v/>
      </c>
      <c r="U10" s="388">
        <f>R10+S10-T10</f>
        <v/>
      </c>
      <c r="V10" s="196" t="n"/>
      <c r="W10" s="148" t="n"/>
    </row>
    <row r="11" ht="19.95" customHeight="1" s="366">
      <c r="A11" s="178" t="inlineStr">
        <is>
          <t>减值准备合计</t>
        </is>
      </c>
      <c r="B11" s="178" t="n"/>
      <c r="C11" s="178" t="n"/>
      <c r="D11" s="178" t="n"/>
      <c r="E11" s="178" t="n"/>
      <c r="F11" s="178" t="n"/>
      <c r="G11" s="178" t="n"/>
      <c r="H11" s="431">
        <f>SUM(H12:H14)</f>
        <v/>
      </c>
      <c r="I11" s="431">
        <f>I12+I13+I14</f>
        <v/>
      </c>
      <c r="J11" s="431">
        <f>J12+J13+J14</f>
        <v/>
      </c>
      <c r="K11" s="431">
        <f>K12+K13+K14</f>
        <v/>
      </c>
      <c r="L11" s="431">
        <f>SUM(L12:L14)</f>
        <v/>
      </c>
      <c r="M11" s="431">
        <f>M12+M13+M14</f>
        <v/>
      </c>
      <c r="N11" s="431">
        <f>N12+N13+N14</f>
        <v/>
      </c>
      <c r="O11" s="431">
        <f>O12+O13+O14</f>
        <v/>
      </c>
      <c r="P11" s="431">
        <f>P12+P13+P14</f>
        <v/>
      </c>
      <c r="Q11" s="431">
        <f>Q12+Q13+Q14</f>
        <v/>
      </c>
      <c r="R11" s="431">
        <f>SUM(R12:R14)</f>
        <v/>
      </c>
      <c r="S11" s="431">
        <f>S12+S13+S14</f>
        <v/>
      </c>
      <c r="T11" s="431">
        <f>T12+T13+T14</f>
        <v/>
      </c>
      <c r="U11" s="431">
        <f>U12+U13+U14</f>
        <v/>
      </c>
      <c r="V11" s="196" t="n"/>
      <c r="W11" s="148" t="n"/>
    </row>
    <row r="12" ht="19.95" customHeight="1" s="366">
      <c r="A12" s="180">
        <f>A8</f>
        <v/>
      </c>
      <c r="B12" s="180">
        <f>B8</f>
        <v/>
      </c>
      <c r="C12" s="432" t="n"/>
      <c r="D12" s="194" t="n"/>
      <c r="E12" s="194" t="n"/>
      <c r="F12" s="433" t="n"/>
      <c r="G12" s="433" t="n"/>
      <c r="H12" s="427" t="n"/>
      <c r="I12" s="427" t="n"/>
      <c r="J12" s="427" t="n"/>
      <c r="K12" s="388">
        <f>H12+I12-J12</f>
        <v/>
      </c>
      <c r="L12" s="427" t="n"/>
      <c r="M12" s="427" t="n"/>
      <c r="N12" s="427" t="n"/>
      <c r="O12" s="427" t="n"/>
      <c r="P12" s="427" t="n"/>
      <c r="Q12" s="427" t="n"/>
      <c r="R12" s="388">
        <f>H12+L12+M12</f>
        <v/>
      </c>
      <c r="S12" s="388">
        <f>I12+N12+P12</f>
        <v/>
      </c>
      <c r="T12" s="388">
        <f>J12+O12+Q12</f>
        <v/>
      </c>
      <c r="U12" s="388">
        <f>R12+S12-T12</f>
        <v/>
      </c>
      <c r="V12" s="196" t="n"/>
      <c r="W12" s="148" t="n"/>
    </row>
    <row r="13" ht="19.95" customHeight="1" s="366">
      <c r="A13" s="180">
        <f>A9</f>
        <v/>
      </c>
      <c r="B13" s="180">
        <f>B9</f>
        <v/>
      </c>
      <c r="C13" s="432" t="n"/>
      <c r="D13" s="194" t="n"/>
      <c r="E13" s="194" t="n"/>
      <c r="F13" s="433" t="n"/>
      <c r="G13" s="433" t="n"/>
      <c r="H13" s="427" t="n"/>
      <c r="I13" s="427" t="n"/>
      <c r="J13" s="427" t="n"/>
      <c r="K13" s="388">
        <f>H13+I13-J13</f>
        <v/>
      </c>
      <c r="L13" s="427" t="n"/>
      <c r="M13" s="427" t="n"/>
      <c r="N13" s="427" t="n"/>
      <c r="O13" s="427" t="n"/>
      <c r="P13" s="427" t="n"/>
      <c r="Q13" s="427" t="n"/>
      <c r="R13" s="388">
        <f>H13+L13+M13</f>
        <v/>
      </c>
      <c r="S13" s="388">
        <f>I13+N13+P13</f>
        <v/>
      </c>
      <c r="T13" s="388">
        <f>J13+O13+Q13</f>
        <v/>
      </c>
      <c r="U13" s="388">
        <f>R13+S13-T13</f>
        <v/>
      </c>
      <c r="V13" s="196" t="n"/>
      <c r="W13" s="148" t="n"/>
    </row>
    <row r="14" ht="19.95" customHeight="1" s="366">
      <c r="A14" s="180">
        <f>A10</f>
        <v/>
      </c>
      <c r="B14" s="180">
        <f>B10</f>
        <v/>
      </c>
      <c r="C14" s="432" t="n"/>
      <c r="D14" s="194" t="n"/>
      <c r="E14" s="194" t="n"/>
      <c r="F14" s="433" t="n"/>
      <c r="G14" s="433" t="n"/>
      <c r="H14" s="427" t="n"/>
      <c r="I14" s="427" t="n"/>
      <c r="J14" s="427" t="n"/>
      <c r="K14" s="388">
        <f>H14+I14-J14</f>
        <v/>
      </c>
      <c r="L14" s="427" t="n"/>
      <c r="M14" s="427" t="n"/>
      <c r="N14" s="427" t="n"/>
      <c r="O14" s="427" t="n"/>
      <c r="P14" s="427" t="n"/>
      <c r="Q14" s="427" t="n"/>
      <c r="R14" s="388">
        <f>H14+L14+M14</f>
        <v/>
      </c>
      <c r="S14" s="388">
        <f>I14+N14+P14</f>
        <v/>
      </c>
      <c r="T14" s="388">
        <f>J14+O14+Q14</f>
        <v/>
      </c>
      <c r="U14" s="388">
        <f>R14+S14-T14</f>
        <v/>
      </c>
      <c r="V14" s="196" t="n"/>
      <c r="W14" s="148" t="n"/>
    </row>
    <row r="15" ht="19.95" customHeight="1" s="366">
      <c r="A15" s="178" t="inlineStr">
        <is>
          <t>账面价值合计</t>
        </is>
      </c>
      <c r="B15" s="178" t="n"/>
      <c r="C15" s="178" t="n"/>
      <c r="D15" s="178" t="n"/>
      <c r="E15" s="178" t="n"/>
      <c r="F15" s="178" t="n"/>
      <c r="G15" s="178" t="n"/>
      <c r="H15" s="431">
        <f>SUM(H16:H18)</f>
        <v/>
      </c>
      <c r="I15" s="431">
        <f>I16+I17+I18</f>
        <v/>
      </c>
      <c r="J15" s="431">
        <f>J16+J17+J18</f>
        <v/>
      </c>
      <c r="K15" s="431">
        <f>K16+K17+K18</f>
        <v/>
      </c>
      <c r="L15" s="431">
        <f>L16+L17+L18</f>
        <v/>
      </c>
      <c r="M15" s="431">
        <f>M16+M17+M18</f>
        <v/>
      </c>
      <c r="N15" s="431">
        <f>N16+N17+N18</f>
        <v/>
      </c>
      <c r="O15" s="431">
        <f>O16+O17+O18</f>
        <v/>
      </c>
      <c r="P15" s="431">
        <f>P16+P17+P18</f>
        <v/>
      </c>
      <c r="Q15" s="431">
        <f>Q16+Q17+Q18</f>
        <v/>
      </c>
      <c r="R15" s="431">
        <f>SUM(R16:R18)</f>
        <v/>
      </c>
      <c r="S15" s="431">
        <f>S16+S17+S18</f>
        <v/>
      </c>
      <c r="T15" s="431">
        <f>T16+T17+T18</f>
        <v/>
      </c>
      <c r="U15" s="431">
        <f>U16+U17+U18</f>
        <v/>
      </c>
      <c r="V15" s="196" t="n"/>
      <c r="W15" s="148" t="n"/>
    </row>
    <row r="16" ht="19.95" customHeight="1" s="366">
      <c r="A16" s="180">
        <f>A8</f>
        <v/>
      </c>
      <c r="B16" s="180">
        <f>B8</f>
        <v/>
      </c>
      <c r="C16" s="432" t="n"/>
      <c r="D16" s="194" t="n"/>
      <c r="E16" s="194" t="n"/>
      <c r="F16" s="194" t="n"/>
      <c r="G16" s="194" t="n"/>
      <c r="H16" s="434">
        <f>H8-H12</f>
        <v/>
      </c>
      <c r="I16" s="434">
        <f>I8-I12</f>
        <v/>
      </c>
      <c r="J16" s="434">
        <f>J8-J12</f>
        <v/>
      </c>
      <c r="K16" s="388">
        <f>K8-K12</f>
        <v/>
      </c>
      <c r="L16" s="434">
        <f>L8-L12</f>
        <v/>
      </c>
      <c r="M16" s="434">
        <f>M8-M12</f>
        <v/>
      </c>
      <c r="N16" s="434">
        <f>N8-N12</f>
        <v/>
      </c>
      <c r="O16" s="434">
        <f>O8-O12</f>
        <v/>
      </c>
      <c r="P16" s="434">
        <f>P8-P12</f>
        <v/>
      </c>
      <c r="Q16" s="434">
        <f>Q8-Q12</f>
        <v/>
      </c>
      <c r="R16" s="388">
        <f>H16+L16+M16</f>
        <v/>
      </c>
      <c r="S16" s="388">
        <f>I16+N16+P16</f>
        <v/>
      </c>
      <c r="T16" s="388">
        <f>J16+O16+Q16</f>
        <v/>
      </c>
      <c r="U16" s="388">
        <f>R16+S16-T16</f>
        <v/>
      </c>
      <c r="V16" s="196" t="n"/>
      <c r="W16" s="148" t="n"/>
    </row>
    <row r="17" ht="19.95" customHeight="1" s="366">
      <c r="A17" s="180">
        <f>A9</f>
        <v/>
      </c>
      <c r="B17" s="180">
        <f>B9</f>
        <v/>
      </c>
      <c r="C17" s="432" t="n"/>
      <c r="D17" s="194" t="n"/>
      <c r="E17" s="194" t="n"/>
      <c r="F17" s="194" t="n"/>
      <c r="G17" s="194" t="n"/>
      <c r="H17" s="434">
        <f>H9-H13</f>
        <v/>
      </c>
      <c r="I17" s="434">
        <f>I9-I13</f>
        <v/>
      </c>
      <c r="J17" s="434">
        <f>J9-J13</f>
        <v/>
      </c>
      <c r="K17" s="388">
        <f>K9-K13</f>
        <v/>
      </c>
      <c r="L17" s="434">
        <f>L9-L13</f>
        <v/>
      </c>
      <c r="M17" s="434">
        <f>M9-M13</f>
        <v/>
      </c>
      <c r="N17" s="434">
        <f>N9-N13</f>
        <v/>
      </c>
      <c r="O17" s="434">
        <f>O9-O13</f>
        <v/>
      </c>
      <c r="P17" s="434">
        <f>P9-P13</f>
        <v/>
      </c>
      <c r="Q17" s="434">
        <f>Q9-Q13</f>
        <v/>
      </c>
      <c r="R17" s="388">
        <f>H17+L17+M17</f>
        <v/>
      </c>
      <c r="S17" s="388">
        <f>I17+N17+P17</f>
        <v/>
      </c>
      <c r="T17" s="388">
        <f>J17+O17+Q17</f>
        <v/>
      </c>
      <c r="U17" s="388">
        <f>R17+S17-T17</f>
        <v/>
      </c>
      <c r="V17" s="196" t="n"/>
      <c r="W17" s="148" t="n"/>
    </row>
    <row r="18" ht="19.95" customHeight="1" s="366">
      <c r="A18" s="180">
        <f>A10</f>
        <v/>
      </c>
      <c r="B18" s="180">
        <f>B10</f>
        <v/>
      </c>
      <c r="C18" s="432" t="n"/>
      <c r="D18" s="194" t="n"/>
      <c r="E18" s="194" t="n"/>
      <c r="F18" s="194" t="n"/>
      <c r="G18" s="194" t="n"/>
      <c r="H18" s="434">
        <f>H10-H14</f>
        <v/>
      </c>
      <c r="I18" s="434">
        <f>I10-I14</f>
        <v/>
      </c>
      <c r="J18" s="434">
        <f>J10-J14</f>
        <v/>
      </c>
      <c r="K18" s="388">
        <f>K10-K14</f>
        <v/>
      </c>
      <c r="L18" s="434">
        <f>L10-L14</f>
        <v/>
      </c>
      <c r="M18" s="434">
        <f>M10-M14</f>
        <v/>
      </c>
      <c r="N18" s="434">
        <f>N10-N14</f>
        <v/>
      </c>
      <c r="O18" s="434">
        <f>O10-O14</f>
        <v/>
      </c>
      <c r="P18" s="434">
        <f>P10-P14</f>
        <v/>
      </c>
      <c r="Q18" s="434">
        <f>Q10-Q14</f>
        <v/>
      </c>
      <c r="R18" s="388">
        <f>H18+L18+M18</f>
        <v/>
      </c>
      <c r="S18" s="388">
        <f>I18+N18+P18</f>
        <v/>
      </c>
      <c r="T18" s="388">
        <f>J18+O18+Q18</f>
        <v/>
      </c>
      <c r="U18" s="388">
        <f>R18+S18-T18</f>
        <v/>
      </c>
      <c r="V18" s="196" t="n"/>
      <c r="W18" s="148" t="n"/>
    </row>
    <row r="19" ht="19.95" customFormat="1" customHeight="1" s="131">
      <c r="A19" s="156" t="inlineStr">
        <is>
          <t>三、审计说明：</t>
        </is>
      </c>
      <c r="B19" s="156" t="n"/>
    </row>
    <row r="20" ht="19.95" customHeight="1" s="366">
      <c r="B20" s="185" t="n"/>
    </row>
    <row r="21" ht="19.95" customHeight="1" s="366">
      <c r="A21" s="137" t="n"/>
      <c r="B21" s="137" t="n"/>
    </row>
    <row r="22" ht="19.95" customHeight="1" s="366">
      <c r="A22" s="156" t="inlineStr">
        <is>
          <t>四、审计结论：</t>
        </is>
      </c>
      <c r="B22" s="156" t="n"/>
    </row>
    <row r="23" ht="19.95" customHeight="1" s="366"/>
    <row r="24" ht="19.95" customHeight="1" s="366"/>
    <row r="25" ht="19.95" customHeight="1" s="366"/>
    <row r="26" ht="18" customHeight="1" s="366">
      <c r="A26" s="211" t="inlineStr">
        <is>
          <t>提示：关注合同取得成本是否存在减值迹象，并结合存货跌价测试底稿或合同履约成本底稿进行减值测试。</t>
        </is>
      </c>
    </row>
    <row r="27" ht="18" customHeight="1" s="366">
      <c r="A27" s="212" t="inlineStr">
        <is>
          <t>编制说明：</t>
        </is>
      </c>
      <c r="B27" s="212" t="n"/>
      <c r="C27" s="212" t="n"/>
      <c r="D27" s="212" t="n"/>
      <c r="E27" s="212" t="n"/>
      <c r="F27" s="212" t="n"/>
      <c r="G27" s="212" t="n"/>
      <c r="H27" s="212" t="n"/>
      <c r="I27" s="212" t="n"/>
      <c r="J27" s="212" t="n"/>
      <c r="K27" s="212" t="n"/>
      <c r="L27" s="212" t="n"/>
      <c r="M27" s="212" t="n"/>
      <c r="N27" s="212" t="n"/>
      <c r="O27" s="212" t="n"/>
      <c r="P27" s="212" t="n"/>
      <c r="Q27" s="212" t="n"/>
      <c r="R27" s="212" t="n"/>
      <c r="S27" s="212" t="n"/>
      <c r="T27" s="212" t="n"/>
      <c r="U27" s="212" t="n"/>
    </row>
    <row r="28" ht="21" customHeight="1" s="366">
      <c r="A28" s="212" t="inlineStr">
        <is>
          <t>1、本科目核算企业预期能够收回的为取得合同发生的增量成本。增量成本是指企业不取的合同就不会发生的成本，如销售佣金。在实物操作中该资产摊销期限不超过1年的，可在发生时计入当期损益。</t>
        </is>
      </c>
      <c r="B28" s="212" t="n"/>
      <c r="C28" s="212" t="n"/>
      <c r="D28" s="212" t="n"/>
      <c r="E28" s="212" t="n"/>
      <c r="F28" s="212" t="n"/>
      <c r="G28" s="212" t="n"/>
      <c r="H28" s="212" t="n"/>
      <c r="I28" s="212" t="n"/>
      <c r="J28" s="212" t="n"/>
      <c r="K28" s="212" t="n"/>
      <c r="L28" s="212" t="n"/>
      <c r="M28" s="212" t="n"/>
      <c r="N28" s="212" t="n"/>
      <c r="O28" s="212" t="n"/>
      <c r="P28" s="212" t="n"/>
      <c r="Q28" s="212" t="n"/>
      <c r="R28" s="212" t="n"/>
      <c r="S28" s="212" t="n"/>
      <c r="T28" s="212" t="n"/>
      <c r="U28" s="212" t="n"/>
    </row>
    <row r="29" ht="18" customHeight="1" s="366">
      <c r="A29" s="213" t="inlineStr">
        <is>
          <t>本科目初始确认时摊销期限不超过一年或一个正常营业周期的，在资产负债表中计入“其他流动资产项目”；初始确认摊销期限在一年或一个正常营业周期以上的，在资产负债表中既然“其他非流动资产”</t>
        </is>
      </c>
      <c r="B29" s="213" t="n"/>
      <c r="C29" s="212" t="n"/>
      <c r="D29" s="212" t="n"/>
      <c r="E29" s="212" t="n"/>
      <c r="F29" s="212" t="n"/>
      <c r="G29" s="212" t="n"/>
      <c r="H29" s="212" t="n"/>
      <c r="I29" s="212" t="n"/>
      <c r="J29" s="212" t="n"/>
      <c r="K29" s="212" t="n"/>
      <c r="L29" s="212" t="n"/>
      <c r="M29" s="212" t="n"/>
      <c r="N29" s="212" t="n"/>
      <c r="O29" s="212" t="n"/>
      <c r="P29" s="212" t="n"/>
      <c r="Q29" s="212" t="n"/>
      <c r="R29" s="212" t="n"/>
      <c r="S29" s="212" t="n"/>
      <c r="T29" s="212" t="n"/>
      <c r="U29" s="212" t="n"/>
    </row>
    <row r="30" ht="18" customHeight="1" s="366">
      <c r="A30" s="212" t="inlineStr">
        <is>
          <t>2、备注栏可填写项目内容及异常情况说明。</t>
        </is>
      </c>
      <c r="B30" s="212" t="n"/>
      <c r="C30" s="212" t="n"/>
      <c r="D30" s="212" t="n"/>
      <c r="E30" s="212" t="n"/>
      <c r="F30" s="212" t="n"/>
      <c r="G30" s="212" t="n"/>
      <c r="H30" s="212" t="n"/>
      <c r="I30" s="212" t="n"/>
      <c r="J30" s="212" t="n"/>
      <c r="K30" s="212" t="n"/>
      <c r="L30" s="212" t="n"/>
      <c r="M30" s="212" t="n"/>
      <c r="N30" s="212" t="n"/>
      <c r="O30" s="212" t="n"/>
      <c r="P30" s="212" t="n"/>
      <c r="Q30" s="212" t="n"/>
      <c r="R30" s="212" t="n"/>
      <c r="S30" s="212" t="n"/>
      <c r="T30" s="212" t="n"/>
      <c r="U30" s="212" t="n"/>
    </row>
    <row r="31" ht="33" customHeight="1" s="366">
      <c r="A31" s="341" t="inlineStr">
        <is>
          <t>3、按照《企业会计准则第 14 号——收入》（2017 年修订）的相关规定确认为资产的合同取得成本，应当根据“合同取得成本”科目的明细科目初始确认时摊销期限是否超过一年或一个正常营业周期，在“其他流动资产”或“其他非流动资产”项目中填列，已计提减值准备的，还应减去“合同取得成本减值准备”科目中相关的期末余额后的金额填列。</t>
        </is>
      </c>
    </row>
    <row r="32" ht="18" customHeight="1" s="366">
      <c r="A32" s="212" t="n"/>
      <c r="B32" s="212" t="n"/>
      <c r="C32" s="212" t="n"/>
      <c r="D32" s="212" t="n"/>
      <c r="E32" s="212" t="n"/>
      <c r="F32" s="212" t="n"/>
      <c r="G32" s="212" t="n"/>
      <c r="H32" s="212" t="n"/>
      <c r="I32" s="212" t="n"/>
      <c r="J32" s="212" t="n"/>
      <c r="K32" s="212" t="n"/>
      <c r="L32" s="212" t="n"/>
      <c r="M32" s="212" t="n"/>
      <c r="N32" s="212" t="n"/>
      <c r="O32" s="212" t="n"/>
      <c r="P32" s="212" t="n"/>
      <c r="Q32" s="212" t="n"/>
      <c r="R32" s="212" t="n"/>
      <c r="S32" s="212" t="n"/>
      <c r="T32" s="212" t="n"/>
      <c r="U32" s="212" t="n"/>
    </row>
  </sheetData>
  <mergeCells count="16">
    <mergeCell ref="A5:A6"/>
    <mergeCell ref="E5:E6"/>
    <mergeCell ref="A1:W1"/>
    <mergeCell ref="W5:W6"/>
    <mergeCell ref="R5:U5"/>
    <mergeCell ref="F5:G5"/>
    <mergeCell ref="L5:M5"/>
    <mergeCell ref="P5:Q5"/>
    <mergeCell ref="N5:O5"/>
    <mergeCell ref="A2:W2"/>
    <mergeCell ref="D5:D6"/>
    <mergeCell ref="V5:V6"/>
    <mergeCell ref="B5:B6"/>
    <mergeCell ref="A31:U31"/>
    <mergeCell ref="H5:K5"/>
    <mergeCell ref="C5:C6"/>
  </mergeCells>
  <dataValidations count="1">
    <dataValidation sqref="D7:E18" showDropDown="0" showInputMessage="1" showErrorMessage="1" allowBlank="1" type="list">
      <formula1>"是,否"</formula1>
    </dataValidation>
  </dataValidations>
  <hyperlinks>
    <hyperlink ref="W3" location="底稿目录!A1" display="底稿目录!A1"/>
  </hyperlinks>
  <printOptions horizontalCentered="1"/>
  <pageMargins left="0.5905511811023623" right="0.5905511811023623" top="0.7874015748031497" bottom="0.3937007874015748" header="0.5118110236220472" footer="0.3149606299212598"/>
  <pageSetup orientation="landscape" paperSize="9" scale="61" fitToHeight="4"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8">
    <outlinePr summaryBelow="1" summaryRight="1"/>
    <pageSetUpPr/>
  </sheetPr>
  <dimension ref="A1:AB66"/>
  <sheetViews>
    <sheetView view="pageBreakPreview" zoomScaleSheetLayoutView="100" workbookViewId="0">
      <selection activeCell="A1" sqref="A1:Q1"/>
    </sheetView>
  </sheetViews>
  <sheetFormatPr baseColWidth="8" defaultColWidth="8.09765625" defaultRowHeight="18" customHeight="1"/>
  <cols>
    <col width="12.5" customWidth="1" style="132" min="1" max="1"/>
    <col width="21.5" customWidth="1" style="132" min="2" max="2"/>
    <col width="10" customWidth="1" style="132" min="3" max="4"/>
    <col width="8.19921875" bestFit="1" customWidth="1" style="132" min="5" max="6"/>
    <col width="11.3984375" customWidth="1" style="132" min="7" max="7"/>
    <col width="8.19921875" bestFit="1" customWidth="1" style="132" min="8" max="8"/>
    <col width="10.3984375" customWidth="1" style="132" min="9" max="9"/>
    <col width="6.69921875" customWidth="1" style="132" min="10" max="12"/>
    <col width="11.3984375" customWidth="1" style="132" min="13" max="16"/>
    <col width="9.09765625" customWidth="1" style="132" min="17" max="17"/>
    <col width="8.09765625" customWidth="1" style="132" min="18" max="16384"/>
  </cols>
  <sheetData>
    <row r="1" ht="19.95" customFormat="1" customHeight="1" s="131">
      <c r="A1" s="335" t="inlineStr">
        <is>
          <t>致同会计师事务所</t>
        </is>
      </c>
    </row>
    <row r="2" ht="19.95" customFormat="1" customHeight="1" s="131">
      <c r="A2" s="336" t="inlineStr">
        <is>
          <t>摊销测算表</t>
        </is>
      </c>
    </row>
    <row r="3" ht="19.95" customHeight="1" s="366">
      <c r="A3" s="132">
        <f>底稿目录!A2</f>
        <v/>
      </c>
      <c r="E3" s="132">
        <f>底稿目录!A4</f>
        <v/>
      </c>
      <c r="L3" s="133">
        <f>底稿目录!A5</f>
        <v/>
      </c>
      <c r="M3" s="133" t="n"/>
      <c r="P3" s="204" t="inlineStr">
        <is>
          <t>索引号：</t>
        </is>
      </c>
      <c r="Q3" s="225">
        <f>底稿目录!F11</f>
        <v/>
      </c>
    </row>
    <row r="4" ht="19.95" customHeight="1" s="366">
      <c r="A4" s="132">
        <f>底稿目录!A3</f>
        <v/>
      </c>
      <c r="E4" s="132">
        <f>底稿目录!A6</f>
        <v/>
      </c>
      <c r="L4" s="133">
        <f>底稿目录!A7</f>
        <v/>
      </c>
      <c r="M4" s="133" t="n"/>
      <c r="P4" s="255" t="inlineStr">
        <is>
          <t>页  次：</t>
        </is>
      </c>
      <c r="Q4" s="134" t="n"/>
    </row>
    <row r="5" ht="19.95" customFormat="1" customHeight="1" s="137">
      <c r="A5" s="435" t="inlineStr">
        <is>
          <t>一、审计目标:</t>
        </is>
      </c>
      <c r="B5" s="436" t="n"/>
      <c r="G5" s="437" t="n"/>
      <c r="J5" s="139" t="n"/>
      <c r="K5" s="139" t="n"/>
      <c r="L5" s="438" t="n"/>
      <c r="O5" s="139" t="n"/>
      <c r="V5" s="141" t="n"/>
      <c r="W5" s="141" t="n"/>
      <c r="X5" s="141" t="n"/>
      <c r="Y5" s="141" t="n"/>
      <c r="Z5" s="141" t="n"/>
      <c r="AA5" s="141" t="n"/>
      <c r="AB5" s="141" t="n"/>
    </row>
    <row r="6" ht="19.95" customFormat="1" customHeight="1" s="137">
      <c r="A6" s="439" t="inlineStr">
        <is>
          <t>其他流动资产以恰当的金额包括在财务报表中，与之相关的计价或分摊调整已恰当记录，相关披露已得到恰当计量和描述。</t>
        </is>
      </c>
      <c r="B6" s="439" t="n"/>
      <c r="G6" s="437" t="n"/>
      <c r="J6" s="139" t="n"/>
      <c r="K6" s="139" t="n"/>
      <c r="L6" s="438" t="n"/>
      <c r="O6" s="139" t="n"/>
      <c r="V6" s="141" t="n"/>
      <c r="W6" s="141" t="n"/>
      <c r="X6" s="141" t="n"/>
      <c r="Y6" s="141" t="n"/>
      <c r="Z6" s="141" t="n"/>
      <c r="AA6" s="141" t="n"/>
      <c r="AB6" s="141" t="n"/>
    </row>
    <row r="7" ht="19.95" customFormat="1" customHeight="1" s="137">
      <c r="A7" s="440" t="inlineStr">
        <is>
          <t>二、审计过程：</t>
        </is>
      </c>
      <c r="B7" s="441" t="n"/>
      <c r="G7" s="437" t="n"/>
      <c r="J7" s="139" t="n"/>
      <c r="K7" s="139" t="n"/>
      <c r="L7" s="438" t="n"/>
      <c r="O7" s="139" t="n"/>
      <c r="V7" s="141" t="n"/>
      <c r="W7" s="141" t="n"/>
      <c r="X7" s="141" t="n"/>
      <c r="Y7" s="141" t="n"/>
      <c r="Z7" s="141" t="n"/>
      <c r="AA7" s="141" t="n"/>
      <c r="AB7" s="141" t="n"/>
    </row>
    <row r="8" ht="19.95" customHeight="1" s="366">
      <c r="A8" s="146" t="inlineStr">
        <is>
          <t>摊销期初：</t>
        </is>
      </c>
      <c r="B8" s="145" t="n">
        <v>45292</v>
      </c>
      <c r="C8" s="146" t="inlineStr">
        <is>
          <t>摊销期末：</t>
        </is>
      </c>
      <c r="D8" s="145" t="n">
        <v>45657</v>
      </c>
      <c r="R8" s="137" t="n"/>
    </row>
    <row r="9" ht="29.4" customFormat="1" customHeight="1" s="147">
      <c r="A9" s="146" t="inlineStr">
        <is>
          <t>类别名称</t>
        </is>
      </c>
      <c r="B9" s="146" t="inlineStr">
        <is>
          <t>明细项目</t>
        </is>
      </c>
      <c r="C9" s="146" t="inlineStr">
        <is>
          <t>原值</t>
        </is>
      </c>
      <c r="D9" s="146" t="inlineStr">
        <is>
          <t>累计摊销</t>
        </is>
      </c>
      <c r="E9" s="146" t="inlineStr">
        <is>
          <t>开始使用日期</t>
        </is>
      </c>
      <c r="F9" s="146" t="inlineStr">
        <is>
          <t>使用年限</t>
        </is>
      </c>
      <c r="G9" s="146" t="inlineStr">
        <is>
          <t>账面月摊销额</t>
        </is>
      </c>
      <c r="H9" s="146" t="inlineStr">
        <is>
          <t>使用月限</t>
        </is>
      </c>
      <c r="I9" s="146" t="inlineStr">
        <is>
          <t>测算到期日</t>
        </is>
      </c>
      <c r="J9" s="146" t="inlineStr">
        <is>
          <t>已摊销月份</t>
        </is>
      </c>
      <c r="K9" s="146" t="inlineStr">
        <is>
          <t>剩余摊销月份</t>
        </is>
      </c>
      <c r="L9" s="146" t="inlineStr">
        <is>
          <t>本期摊销月份</t>
        </is>
      </c>
      <c r="M9" s="146" t="inlineStr">
        <is>
          <t>测算月摊销额</t>
        </is>
      </c>
      <c r="N9" s="146" t="inlineStr">
        <is>
          <t>当期摊销</t>
        </is>
      </c>
      <c r="O9" s="146" t="inlineStr">
        <is>
          <t>月摊销额差异</t>
        </is>
      </c>
      <c r="P9" s="146" t="inlineStr">
        <is>
          <t>累计摊销费用</t>
        </is>
      </c>
      <c r="Q9" s="146" t="inlineStr">
        <is>
          <t>累计摊销额差异</t>
        </is>
      </c>
      <c r="R9" s="137" t="n"/>
    </row>
    <row r="10" ht="19.95" customHeight="1" s="366">
      <c r="A10" s="180" t="inlineStr">
        <is>
          <t>类别A</t>
        </is>
      </c>
      <c r="B10" s="442" t="inlineStr">
        <is>
          <t>取暖费</t>
        </is>
      </c>
      <c r="C10" s="443" t="n"/>
      <c r="D10" s="443" t="n"/>
      <c r="E10" s="150" t="n"/>
      <c r="F10" s="148" t="n"/>
      <c r="G10" s="444" t="n"/>
      <c r="H10" s="445">
        <f>IF(F10=0,0,IF(RIGHT(F10,1)&lt;&gt;"年",F10*12,IF(LEN(F10)=3,VALUE(LEFT(F10,2))*12,IF(LEN(F10)=2,VALUE(LEFT(F10,1))*12,"??"))))</f>
        <v/>
      </c>
      <c r="I10" s="158">
        <f>IF(E10=0,0,DATE(YEAR(E10),MONTH(E10)+H10,DAY(E10)-1))</f>
        <v/>
      </c>
      <c r="J10" s="445">
        <f>IF(E10=0,0,IF(I10&gt;$D$8,VALUE(DATEDIF(E10,MIN($D$8,I10),"m")+1),VALUE(DATEDIF(E10,MIN($D$8,I10),"m")+1)))</f>
        <v/>
      </c>
      <c r="K10" s="445">
        <f>(H10-J10)</f>
        <v/>
      </c>
      <c r="L10" s="445">
        <f>IF(E10=0,0,IF(AND(E10&lt;=$B$8,I10&gt;$D$8),VALUE(DATEDIF($B$8,$D$8,"m")+1),IF(AND(E10&lt;=$B$8,I10&lt;=$D$8),VALUE(DATEDIF($B$8,I10,"m")),IF(AND(E10&gt;$B$8,I10&gt;$D$8),VALUE(DATEDIF(E10,$D$8,"m")+1),IF(AND(E10&gt;=$B$8,I10&lt;=$D$8),VALUE(DATEDIF(E10,I10,"m")+1),)))))</f>
        <v/>
      </c>
      <c r="M10" s="445">
        <f>IF(H10=0,0,ROUND(((1-0)/H10)*C10,4))</f>
        <v/>
      </c>
      <c r="N10" s="445">
        <f>ROUND(M10*L10,2)</f>
        <v/>
      </c>
      <c r="O10" s="445">
        <f>ROUND(G10-M10,2)</f>
        <v/>
      </c>
      <c r="P10" s="445">
        <f>ROUND(M10*J10,2)</f>
        <v/>
      </c>
      <c r="Q10" s="445">
        <f>ROUND(D10-P10,2)</f>
        <v/>
      </c>
      <c r="R10" s="137" t="n"/>
    </row>
    <row r="11" ht="19.95" customHeight="1" s="366">
      <c r="A11" s="221" t="inlineStr">
        <is>
          <t>合同取得成本</t>
        </is>
      </c>
      <c r="B11" s="442" t="inlineStr">
        <is>
          <t>佣金-合同1</t>
        </is>
      </c>
      <c r="C11" s="443" t="n"/>
      <c r="D11" s="443" t="n"/>
      <c r="E11" s="148" t="n"/>
      <c r="F11" s="148" t="n"/>
      <c r="G11" s="444" t="n"/>
      <c r="H11" s="445">
        <f>IF(F11=0,0,IF(RIGHT(F11,1)&lt;&gt;"年",F11*12,IF(LEN(F11)=3,VALUE(LEFT(F11,2))*12,IF(LEN(F11)=2,VALUE(LEFT(F11,1))*12,"??"))))</f>
        <v/>
      </c>
      <c r="I11" s="158">
        <f>IF(E11=0,0,DATE(YEAR(E11),MONTH(E11)+H11,DAY(E11)-1))</f>
        <v/>
      </c>
      <c r="J11" s="445">
        <f>IF(E11=0,0,IF(I11&gt;$D$8,VALUE(DATEDIF(E11,MIN($D$8,I11),"m")+1),VALUE(DATEDIF(E11,MIN($D$8,I11),"m")+1)))</f>
        <v/>
      </c>
      <c r="K11" s="445">
        <f>(H11-J11)</f>
        <v/>
      </c>
      <c r="L11" s="445">
        <f>IF(E11=0,0,IF(AND(E11&lt;=$B$8,I11&gt;$D$8),VALUE(DATEDIF($B$8,$D$8,"m")+1),IF(AND(E11&lt;=$B$8,I11&lt;=$D$8),VALUE(DATEDIF($B$8,I11,"m")),IF(AND(E11&gt;$B$8,I11&gt;$D$8),VALUE(DATEDIF(E11,$D$8,"m")+1),IF(AND(E11&gt;=$B$8,I11&lt;=$D$8),VALUE(DATEDIF(E11,I11,"m")+1),)))))</f>
        <v/>
      </c>
      <c r="M11" s="445">
        <f>IF(H11=0,0,ROUND(((1-0)/H11)*C11,4))</f>
        <v/>
      </c>
      <c r="N11" s="445">
        <f>ROUND(M11*L11,2)</f>
        <v/>
      </c>
      <c r="O11" s="445">
        <f>ROUND(G11-M11,2)</f>
        <v/>
      </c>
      <c r="P11" s="445">
        <f>ROUND(M11*J11,2)</f>
        <v/>
      </c>
      <c r="Q11" s="445">
        <f>ROUND(D11-P11,2)</f>
        <v/>
      </c>
      <c r="R11" s="137" t="n"/>
    </row>
    <row r="12" ht="19.95" customHeight="1" s="366">
      <c r="A12" s="148" t="n"/>
      <c r="B12" s="443" t="n"/>
      <c r="C12" s="443" t="n"/>
      <c r="D12" s="443" t="n"/>
      <c r="E12" s="148" t="n"/>
      <c r="F12" s="148" t="n"/>
      <c r="G12" s="444" t="n"/>
      <c r="H12" s="445">
        <f>IF(F12=0,0,IF(RIGHT(F12,1)&lt;&gt;"年",F12*12,IF(LEN(F12)=3,VALUE(LEFT(F12,2))*12,IF(LEN(F12)=2,VALUE(LEFT(F12,1))*12,"??"))))</f>
        <v/>
      </c>
      <c r="I12" s="158">
        <f>IF(E12=0,0,DATE(YEAR(E12),MONTH(E12)+H12,DAY(E12)-1))</f>
        <v/>
      </c>
      <c r="J12" s="445">
        <f>IF(E12=0,0,IF(I12&gt;$D$8,VALUE(DATEDIF(E12,MIN($D$8,I12),"m")+1),VALUE(DATEDIF(E12,MIN($D$8,I12),"m")+1)))</f>
        <v/>
      </c>
      <c r="K12" s="445">
        <f>(H12-J12)</f>
        <v/>
      </c>
      <c r="L12" s="445">
        <f>IF(E12=0,0,IF(AND(E12&lt;=$B$8,I12&gt;$D$8),VALUE(DATEDIF($B$8,$D$8,"m")+1),IF(AND(E12&lt;=$B$8,I12&lt;=$D$8),VALUE(DATEDIF($B$8,I12,"m")),IF(AND(E12&gt;$B$8,I12&gt;$D$8),VALUE(DATEDIF(E12,$D$8,"m")+1),IF(AND(E12&gt;=$B$8,I12&lt;=$D$8),VALUE(DATEDIF(E12,I12,"m")+1),)))))</f>
        <v/>
      </c>
      <c r="M12" s="445">
        <f>IF(H12=0,0,ROUND(((1-0)/H12)*C12,4))</f>
        <v/>
      </c>
      <c r="N12" s="445">
        <f>ROUND(M12*L12,2)</f>
        <v/>
      </c>
      <c r="O12" s="445">
        <f>ROUND(G12-M12,2)</f>
        <v/>
      </c>
      <c r="P12" s="445">
        <f>ROUND(M12*J12,2)</f>
        <v/>
      </c>
      <c r="Q12" s="445">
        <f>ROUND(D12-P12,2)</f>
        <v/>
      </c>
      <c r="R12" s="137" t="n"/>
    </row>
    <row r="13" ht="19.95" customHeight="1" s="366">
      <c r="A13" s="148" t="n"/>
      <c r="B13" s="443" t="n"/>
      <c r="C13" s="443" t="n"/>
      <c r="D13" s="443" t="n"/>
      <c r="E13" s="148" t="n"/>
      <c r="F13" s="148" t="n"/>
      <c r="G13" s="444" t="n"/>
      <c r="H13" s="445">
        <f>IF(F13=0,0,IF(RIGHT(F13,1)&lt;&gt;"年",F13*12,IF(LEN(F13)=3,VALUE(LEFT(F13,2))*12,IF(LEN(F13)=2,VALUE(LEFT(F13,1))*12,"??"))))</f>
        <v/>
      </c>
      <c r="I13" s="158">
        <f>IF(E13=0,0,DATE(YEAR(E13),MONTH(E13)+H13,DAY(E13)-1))</f>
        <v/>
      </c>
      <c r="J13" s="445">
        <f>IF(E13=0,0,IF(I13&gt;$D$8,VALUE(DATEDIF(E13,MIN($D$8,I13),"m")+1),VALUE(DATEDIF(E13,MIN($D$8,I13),"m")+1)))</f>
        <v/>
      </c>
      <c r="K13" s="445">
        <f>(H13-J13)</f>
        <v/>
      </c>
      <c r="L13" s="445">
        <f>IF(E13=0,0,IF(AND(E13&lt;=$B$8,I13&gt;$D$8),VALUE(DATEDIF($B$8,$D$8,"m")+1),IF(AND(E13&lt;=$B$8,I13&lt;=$D$8),VALUE(DATEDIF($B$8,I13,"m")),IF(AND(E13&gt;$B$8,I13&gt;$D$8),VALUE(DATEDIF(E13,$D$8,"m")+1),IF(AND(E13&gt;=$B$8,I13&lt;=$D$8),VALUE(DATEDIF(E13,I13,"m")+1),)))))</f>
        <v/>
      </c>
      <c r="M13" s="445">
        <f>IF(H13=0,0,ROUND(((1-0)/H13)*C13,4))</f>
        <v/>
      </c>
      <c r="N13" s="445">
        <f>ROUND(M13*L13,2)</f>
        <v/>
      </c>
      <c r="O13" s="445">
        <f>ROUND(G13-M13,2)</f>
        <v/>
      </c>
      <c r="P13" s="445">
        <f>ROUND(M13*J13,2)</f>
        <v/>
      </c>
      <c r="Q13" s="445">
        <f>ROUND(D13-P13,2)</f>
        <v/>
      </c>
      <c r="R13" s="137" t="n"/>
    </row>
    <row r="14" ht="19.95" customHeight="1" s="366">
      <c r="A14" s="148" t="n"/>
      <c r="B14" s="443" t="n"/>
      <c r="C14" s="443" t="n"/>
      <c r="D14" s="443" t="n"/>
      <c r="E14" s="148" t="n"/>
      <c r="F14" s="148" t="n"/>
      <c r="G14" s="444" t="n"/>
      <c r="H14" s="445">
        <f>IF(F14=0,0,IF(RIGHT(F14,1)&lt;&gt;"年",F14*12,IF(LEN(F14)=3,VALUE(LEFT(F14,2))*12,IF(LEN(F14)=2,VALUE(LEFT(F14,1))*12,"??"))))</f>
        <v/>
      </c>
      <c r="I14" s="158">
        <f>IF(E14=0,0,DATE(YEAR(E14),MONTH(E14)+H14,DAY(E14)-1))</f>
        <v/>
      </c>
      <c r="J14" s="445">
        <f>IF(E14=0,0,IF(I14&gt;$D$8,VALUE(DATEDIF(E14,MIN($D$8,I14),"m")+1),VALUE(DATEDIF(E14,MIN($D$8,I14),"m")+1)))</f>
        <v/>
      </c>
      <c r="K14" s="445">
        <f>(H14-J14)</f>
        <v/>
      </c>
      <c r="L14" s="445">
        <f>IF(E14=0,0,IF(AND(E14&lt;=$B$8,I14&gt;$D$8),VALUE(DATEDIF($B$8,$D$8,"m")+1),IF(AND(E14&lt;=$B$8,I14&lt;=$D$8),VALUE(DATEDIF($B$8,I14,"m")),IF(AND(E14&gt;$B$8,I14&gt;$D$8),VALUE(DATEDIF(E14,$D$8,"m")+1),IF(AND(E14&gt;=$B$8,I14&lt;=$D$8),VALUE(DATEDIF(E14,I14,"m")+1),)))))</f>
        <v/>
      </c>
      <c r="M14" s="445">
        <f>IF(H14=0,0,ROUND(((1-0)/H14)*C14,4))</f>
        <v/>
      </c>
      <c r="N14" s="445">
        <f>ROUND(M14*L14,2)</f>
        <v/>
      </c>
      <c r="O14" s="445">
        <f>ROUND(G14-M14,2)</f>
        <v/>
      </c>
      <c r="P14" s="445">
        <f>ROUND(M14*J14,2)</f>
        <v/>
      </c>
      <c r="Q14" s="445">
        <f>ROUND(D14-P14,2)</f>
        <v/>
      </c>
      <c r="R14" s="137" t="n"/>
    </row>
    <row r="15" ht="19.95" customHeight="1" s="366">
      <c r="A15" s="148" t="n"/>
      <c r="B15" s="443" t="n"/>
      <c r="C15" s="443" t="n"/>
      <c r="D15" s="443" t="n"/>
      <c r="E15" s="148" t="n"/>
      <c r="F15" s="148" t="n"/>
      <c r="G15" s="444" t="n"/>
      <c r="H15" s="445">
        <f>IF(F15=0,0,IF(RIGHT(F15,1)&lt;&gt;"年",F15*12,IF(LEN(F15)=3,VALUE(LEFT(F15,2))*12,IF(LEN(F15)=2,VALUE(LEFT(F15,1))*12,"??"))))</f>
        <v/>
      </c>
      <c r="I15" s="158">
        <f>IF(E15=0,0,DATE(YEAR(E15),MONTH(E15)+H15,DAY(E15)-1))</f>
        <v/>
      </c>
      <c r="J15" s="445">
        <f>IF(E15=0,0,IF(I15&gt;$D$8,VALUE(DATEDIF(E15,MIN($D$8,I15),"m")+1),VALUE(DATEDIF(E15,MIN($D$8,I15),"m")+1)))</f>
        <v/>
      </c>
      <c r="K15" s="445">
        <f>(H15-J15)</f>
        <v/>
      </c>
      <c r="L15" s="445">
        <f>IF(E15=0,0,IF(AND(E15&lt;=$B$8,I15&gt;$D$8),VALUE(DATEDIF($B$8,$D$8,"m")+1),IF(AND(E15&lt;=$B$8,I15&lt;=$D$8),VALUE(DATEDIF($B$8,I15,"m")),IF(AND(E15&gt;$B$8,I15&gt;$D$8),VALUE(DATEDIF(E15,$D$8,"m")+1),IF(AND(E15&gt;=$B$8,I15&lt;=$D$8),VALUE(DATEDIF(E15,I15,"m")+1),)))))</f>
        <v/>
      </c>
      <c r="M15" s="445">
        <f>IF(H15=0,0,ROUND(((1-0)/H15)*C15,4))</f>
        <v/>
      </c>
      <c r="N15" s="445">
        <f>ROUND(M15*L15,2)</f>
        <v/>
      </c>
      <c r="O15" s="445">
        <f>ROUND(G15-M15,2)</f>
        <v/>
      </c>
      <c r="P15" s="445">
        <f>ROUND(M15*J15,2)</f>
        <v/>
      </c>
      <c r="Q15" s="445">
        <f>ROUND(D15-P15,2)</f>
        <v/>
      </c>
      <c r="R15" s="137" t="n"/>
    </row>
    <row r="16" ht="19.95" customHeight="1" s="366">
      <c r="A16" s="148" t="n"/>
      <c r="B16" s="443" t="n"/>
      <c r="C16" s="443" t="n"/>
      <c r="D16" s="443" t="n"/>
      <c r="E16" s="148" t="n"/>
      <c r="F16" s="148" t="n"/>
      <c r="G16" s="444" t="n"/>
      <c r="H16" s="445">
        <f>IF(F16=0,0,IF(RIGHT(F16,1)&lt;&gt;"年",F16*12,IF(LEN(F16)=3,VALUE(LEFT(F16,2))*12,IF(LEN(F16)=2,VALUE(LEFT(F16,1))*12,"??"))))</f>
        <v/>
      </c>
      <c r="I16" s="158">
        <f>IF(E16=0,0,DATE(YEAR(E16),MONTH(E16)+H16,DAY(E16)-1))</f>
        <v/>
      </c>
      <c r="J16" s="445">
        <f>IF(E16=0,0,IF(I16&gt;$D$8,VALUE(DATEDIF(E16,MIN($D$8,I16),"m")+1),VALUE(DATEDIF(E16,MIN($D$8,I16),"m")+1)))</f>
        <v/>
      </c>
      <c r="K16" s="445">
        <f>(H16-J16)</f>
        <v/>
      </c>
      <c r="L16" s="445">
        <f>IF(E16=0,0,IF(AND(E16&lt;=$B$8,I16&gt;$D$8),VALUE(DATEDIF($B$8,$D$8,"m")+1),IF(AND(E16&lt;=$B$8,I16&lt;=$D$8),VALUE(DATEDIF($B$8,I16,"m")),IF(AND(E16&gt;$B$8,I16&gt;$D$8),VALUE(DATEDIF(E16,$D$8,"m")+1),IF(AND(E16&gt;=$B$8,I16&lt;=$D$8),VALUE(DATEDIF(E16,I16,"m")+1),)))))</f>
        <v/>
      </c>
      <c r="M16" s="445">
        <f>IF(H16=0,0,ROUND(((1-0)/H16)*C16,4))</f>
        <v/>
      </c>
      <c r="N16" s="445">
        <f>ROUND(M16*L16,2)</f>
        <v/>
      </c>
      <c r="O16" s="445">
        <f>ROUND(G16-M16,2)</f>
        <v/>
      </c>
      <c r="P16" s="445">
        <f>ROUND(M16*J16,2)</f>
        <v/>
      </c>
      <c r="Q16" s="445">
        <f>ROUND(D16-P16,2)</f>
        <v/>
      </c>
      <c r="R16" s="137" t="n"/>
    </row>
    <row r="17" ht="19.95" customHeight="1" s="366">
      <c r="A17" s="148" t="n"/>
      <c r="B17" s="443" t="n"/>
      <c r="C17" s="443" t="n"/>
      <c r="D17" s="443" t="n"/>
      <c r="E17" s="148" t="n"/>
      <c r="F17" s="148" t="n"/>
      <c r="G17" s="444" t="n"/>
      <c r="H17" s="445">
        <f>IF(F17=0,0,IF(RIGHT(F17,1)&lt;&gt;"年",F17*12,IF(LEN(F17)=3,VALUE(LEFT(F17,2))*12,IF(LEN(F17)=2,VALUE(LEFT(F17,1))*12,"??"))))</f>
        <v/>
      </c>
      <c r="I17" s="158">
        <f>IF(E17=0,0,DATE(YEAR(E17),MONTH(E17)+H17,DAY(E17)-1))</f>
        <v/>
      </c>
      <c r="J17" s="445">
        <f>IF(E17=0,0,IF(I17&gt;$D$8,VALUE(DATEDIF(E17,MIN($D$8,I17),"m")+1),VALUE(DATEDIF(E17,MIN($D$8,I17),"m")+1)))</f>
        <v/>
      </c>
      <c r="K17" s="445">
        <f>(H17-J17)</f>
        <v/>
      </c>
      <c r="L17" s="445">
        <f>IF(E17=0,0,IF(AND(E17&lt;=$B$8,I17&gt;$D$8),VALUE(DATEDIF($B$8,$D$8,"m")+1),IF(AND(E17&lt;=$B$8,I17&lt;=$D$8),VALUE(DATEDIF($B$8,I17,"m")),IF(AND(E17&gt;$B$8,I17&gt;$D$8),VALUE(DATEDIF(E17,$D$8,"m")+1),IF(AND(E17&gt;=$B$8,I17&lt;=$D$8),VALUE(DATEDIF(E17,I17,"m")+1),)))))</f>
        <v/>
      </c>
      <c r="M17" s="445">
        <f>IF(H17=0,0,ROUND(((1-0)/H17)*C17,4))</f>
        <v/>
      </c>
      <c r="N17" s="445">
        <f>ROUND(M17*L17,2)</f>
        <v/>
      </c>
      <c r="O17" s="445">
        <f>ROUND(G17-M17,2)</f>
        <v/>
      </c>
      <c r="P17" s="445">
        <f>ROUND(M17*J17,2)</f>
        <v/>
      </c>
      <c r="Q17" s="445">
        <f>ROUND(D17-P17,2)</f>
        <v/>
      </c>
      <c r="R17" s="137" t="n"/>
    </row>
    <row r="18" ht="19.95" customHeight="1" s="366">
      <c r="A18" s="148" t="n"/>
      <c r="B18" s="443" t="n"/>
      <c r="C18" s="443" t="n"/>
      <c r="D18" s="443" t="n"/>
      <c r="E18" s="148" t="n"/>
      <c r="F18" s="148" t="n"/>
      <c r="G18" s="444" t="n"/>
      <c r="H18" s="445">
        <f>IF(F18=0,0,IF(RIGHT(F18,1)&lt;&gt;"年",F18*12,IF(LEN(F18)=3,VALUE(LEFT(F18,2))*12,IF(LEN(F18)=2,VALUE(LEFT(F18,1))*12,"??"))))</f>
        <v/>
      </c>
      <c r="I18" s="158">
        <f>IF(E18=0,0,DATE(YEAR(E18),MONTH(E18)+H18,DAY(E18)-1))</f>
        <v/>
      </c>
      <c r="J18" s="445">
        <f>IF(E18=0,0,IF(I18&gt;$D$8,VALUE(DATEDIF(E18,MIN($D$8,I18),"m")+1),VALUE(DATEDIF(E18,MIN($D$8,I18),"m")+1)))</f>
        <v/>
      </c>
      <c r="K18" s="445">
        <f>(H18-J18)</f>
        <v/>
      </c>
      <c r="L18" s="445">
        <f>IF(E18=0,0,IF(AND(E18&lt;=$B$8,I18&gt;$D$8),VALUE(DATEDIF($B$8,$D$8,"m")+1),IF(AND(E18&lt;=$B$8,I18&lt;=$D$8),VALUE(DATEDIF($B$8,I18,"m")),IF(AND(E18&gt;$B$8,I18&gt;$D$8),VALUE(DATEDIF(E18,$D$8,"m")+1),IF(AND(E18&gt;=$B$8,I18&lt;=$D$8),VALUE(DATEDIF(E18,I18,"m")+1),)))))</f>
        <v/>
      </c>
      <c r="M18" s="445">
        <f>IF(H18=0,0,ROUND(((1-0)/H18)*C18,4))</f>
        <v/>
      </c>
      <c r="N18" s="445">
        <f>ROUND(M18*L18,2)</f>
        <v/>
      </c>
      <c r="O18" s="445">
        <f>ROUND(G18-M18,2)</f>
        <v/>
      </c>
      <c r="P18" s="445">
        <f>ROUND(M18*J18,2)</f>
        <v/>
      </c>
      <c r="Q18" s="445">
        <f>ROUND(D18-P18,2)</f>
        <v/>
      </c>
      <c r="R18" s="137" t="n"/>
    </row>
    <row r="19" ht="19.95" customHeight="1" s="366">
      <c r="A19" s="148" t="n"/>
      <c r="B19" s="443" t="n"/>
      <c r="C19" s="443" t="n"/>
      <c r="D19" s="443" t="n"/>
      <c r="E19" s="148" t="n"/>
      <c r="F19" s="148" t="n"/>
      <c r="G19" s="444" t="n"/>
      <c r="H19" s="445">
        <f>IF(F19=0,0,IF(RIGHT(F19,1)&lt;&gt;"年",F19*12,IF(LEN(F19)=3,VALUE(LEFT(F19,2))*12,IF(LEN(F19)=2,VALUE(LEFT(F19,1))*12,"??"))))</f>
        <v/>
      </c>
      <c r="I19" s="158">
        <f>IF(E19=0,0,DATE(YEAR(E19),MONTH(E19)+H19,DAY(E19)-1))</f>
        <v/>
      </c>
      <c r="J19" s="445">
        <f>IF(E19=0,0,IF(I19&gt;$D$8,VALUE(DATEDIF(E19,MIN($D$8,I19),"m")+1),VALUE(DATEDIF(E19,MIN($D$8,I19),"m")+1)))</f>
        <v/>
      </c>
      <c r="K19" s="445">
        <f>(H19-J19)</f>
        <v/>
      </c>
      <c r="L19" s="445">
        <f>IF(E19=0,0,IF(AND(E19&lt;=$B$8,I19&gt;$D$8),VALUE(DATEDIF($B$8,$D$8,"m")+1),IF(AND(E19&lt;=$B$8,I19&lt;=$D$8),VALUE(DATEDIF($B$8,I19,"m")),IF(AND(E19&gt;$B$8,I19&gt;$D$8),VALUE(DATEDIF(E19,$D$8,"m")+1),IF(AND(E19&gt;=$B$8,I19&lt;=$D$8),VALUE(DATEDIF(E19,I19,"m")+1),)))))</f>
        <v/>
      </c>
      <c r="M19" s="445">
        <f>IF(H19=0,0,ROUND(((1-0)/H19)*C19,4))</f>
        <v/>
      </c>
      <c r="N19" s="445">
        <f>ROUND(M19*L19,2)</f>
        <v/>
      </c>
      <c r="O19" s="445">
        <f>ROUND(G19-M19,2)</f>
        <v/>
      </c>
      <c r="P19" s="445">
        <f>ROUND(M19*J19,2)</f>
        <v/>
      </c>
      <c r="Q19" s="445">
        <f>ROUND(D19-P19,2)</f>
        <v/>
      </c>
      <c r="R19" s="137" t="n"/>
    </row>
    <row r="20" ht="19.95" customHeight="1" s="366">
      <c r="A20" s="148" t="n"/>
      <c r="B20" s="443" t="n"/>
      <c r="C20" s="443" t="n"/>
      <c r="D20" s="443" t="n"/>
      <c r="E20" s="148" t="n"/>
      <c r="F20" s="148" t="n"/>
      <c r="G20" s="444" t="n"/>
      <c r="H20" s="445">
        <f>IF(F20=0,0,IF(RIGHT(F20,1)&lt;&gt;"年",F20*12,IF(LEN(F20)=3,VALUE(LEFT(F20,2))*12,IF(LEN(F20)=2,VALUE(LEFT(F20,1))*12,"??"))))</f>
        <v/>
      </c>
      <c r="I20" s="158">
        <f>IF(E20=0,0,DATE(YEAR(E20),MONTH(E20)+H20,DAY(E20)-1))</f>
        <v/>
      </c>
      <c r="J20" s="445">
        <f>IF(E20=0,0,IF(I20&gt;$D$8,VALUE(DATEDIF(E20,MIN($D$8,I20),"m")+1),VALUE(DATEDIF(E20,MIN($D$8,I20),"m")+1)))</f>
        <v/>
      </c>
      <c r="K20" s="445">
        <f>(H20-J20)</f>
        <v/>
      </c>
      <c r="L20" s="445">
        <f>IF(E20=0,0,IF(AND(E20&lt;=$B$8,I20&gt;$D$8),VALUE(DATEDIF($B$8,$D$8,"m")+1),IF(AND(E20&lt;=$B$8,I20&lt;=$D$8),VALUE(DATEDIF($B$8,I20,"m")),IF(AND(E20&gt;$B$8,I20&gt;$D$8),VALUE(DATEDIF(E20,$D$8,"m")+1),IF(AND(E20&gt;=$B$8,I20&lt;=$D$8),VALUE(DATEDIF(E20,I20,"m")+1),)))))</f>
        <v/>
      </c>
      <c r="M20" s="445">
        <f>IF(H20=0,0,ROUND(((1-0)/H20)*C20,4))</f>
        <v/>
      </c>
      <c r="N20" s="445">
        <f>ROUND(M20*L20,2)</f>
        <v/>
      </c>
      <c r="O20" s="445">
        <f>ROUND(G20-M20,2)</f>
        <v/>
      </c>
      <c r="P20" s="445">
        <f>ROUND(M20*J20,2)</f>
        <v/>
      </c>
      <c r="Q20" s="445">
        <f>ROUND(D20-P20,2)</f>
        <v/>
      </c>
      <c r="R20" s="137" t="n"/>
    </row>
    <row r="21" ht="19.95" customHeight="1" s="366">
      <c r="A21" s="148" t="n"/>
      <c r="B21" s="443" t="n"/>
      <c r="C21" s="443" t="n"/>
      <c r="D21" s="443" t="n"/>
      <c r="E21" s="148" t="n"/>
      <c r="F21" s="148" t="n"/>
      <c r="G21" s="444" t="n"/>
      <c r="H21" s="445">
        <f>IF(F21=0,0,IF(RIGHT(F21,1)&lt;&gt;"年",F21*12,IF(LEN(F21)=3,VALUE(LEFT(F21,2))*12,IF(LEN(F21)=2,VALUE(LEFT(F21,1))*12,"??"))))</f>
        <v/>
      </c>
      <c r="I21" s="158">
        <f>IF(E21=0,0,DATE(YEAR(E21),MONTH(E21)+H21,DAY(E21)-1))</f>
        <v/>
      </c>
      <c r="J21" s="445">
        <f>IF(E21=0,0,IF(I21&gt;$D$8,VALUE(DATEDIF(E21,MIN($D$8,I21),"m")+1),VALUE(DATEDIF(E21,MIN($D$8,I21),"m")+1)))</f>
        <v/>
      </c>
      <c r="K21" s="445">
        <f>(H21-J21)</f>
        <v/>
      </c>
      <c r="L21" s="445">
        <f>IF(E21=0,0,IF(AND(E21&lt;=$B$8,I21&gt;$D$8),VALUE(DATEDIF($B$8,$D$8,"m")+1),IF(AND(E21&lt;=$B$8,I21&lt;=$D$8),VALUE(DATEDIF($B$8,I21,"m")),IF(AND(E21&gt;$B$8,I21&gt;$D$8),VALUE(DATEDIF(E21,$D$8,"m")+1),IF(AND(E21&gt;=$B$8,I21&lt;=$D$8),VALUE(DATEDIF(E21,I21,"m")+1),)))))</f>
        <v/>
      </c>
      <c r="M21" s="445">
        <f>IF(H21=0,0,ROUND(((1-0)/H21)*C21,4))</f>
        <v/>
      </c>
      <c r="N21" s="445">
        <f>ROUND(M21*L21,2)</f>
        <v/>
      </c>
      <c r="O21" s="445">
        <f>ROUND(G21-M21,2)</f>
        <v/>
      </c>
      <c r="P21" s="445">
        <f>ROUND(M21*J21,2)</f>
        <v/>
      </c>
      <c r="Q21" s="445">
        <f>ROUND(D21-P21,2)</f>
        <v/>
      </c>
      <c r="R21" s="137" t="n"/>
    </row>
    <row r="22" ht="19.95" customFormat="1" customHeight="1" s="131">
      <c r="A22" s="338" t="inlineStr">
        <is>
          <t>合计</t>
        </is>
      </c>
      <c r="B22" s="406" t="n"/>
      <c r="C22" s="445">
        <f>SUM(C10:C21)</f>
        <v/>
      </c>
      <c r="D22" s="445">
        <f>SUM(D10:D21)</f>
        <v/>
      </c>
      <c r="E22" s="445" t="n"/>
      <c r="F22" s="445" t="n"/>
      <c r="G22" s="445">
        <f>SUM(G10:G21)</f>
        <v/>
      </c>
      <c r="H22" s="445" t="n"/>
      <c r="I22" s="445" t="n"/>
      <c r="J22" s="445" t="n"/>
      <c r="K22" s="445" t="n"/>
      <c r="L22" s="445" t="n"/>
      <c r="M22" s="445">
        <f>SUM(M10:M21)</f>
        <v/>
      </c>
      <c r="N22" s="445">
        <f>SUM(N10:N21)</f>
        <v/>
      </c>
      <c r="O22" s="445">
        <f>SUM(O10:O21)</f>
        <v/>
      </c>
      <c r="P22" s="445">
        <f>SUM(P10:P21)</f>
        <v/>
      </c>
      <c r="Q22" s="445">
        <f>SUM(Q10:Q21)</f>
        <v/>
      </c>
      <c r="R22" s="137" t="n"/>
    </row>
    <row r="23" ht="19.95" customFormat="1" customHeight="1" s="131">
      <c r="A23" s="267" t="inlineStr">
        <is>
          <t>其中：</t>
        </is>
      </c>
      <c r="C23" s="446" t="n"/>
      <c r="D23" s="446" t="n"/>
      <c r="E23" s="446" t="n"/>
      <c r="F23" s="446" t="n"/>
      <c r="G23" s="446" t="n"/>
      <c r="H23" s="446" t="n"/>
      <c r="I23" s="446" t="n"/>
      <c r="J23" s="446" t="n"/>
      <c r="K23" s="446" t="n"/>
      <c r="L23" s="446" t="n"/>
      <c r="M23" s="446" t="n"/>
      <c r="N23" s="446" t="n"/>
      <c r="O23" s="446" t="n"/>
      <c r="P23" s="446" t="n"/>
      <c r="Q23" s="446" t="n"/>
      <c r="R23" s="137" t="n"/>
    </row>
    <row r="24" ht="19.95" customFormat="1" customHeight="1" s="131">
      <c r="A24" s="447" t="inlineStr">
        <is>
          <t>类别A</t>
        </is>
      </c>
      <c r="B24" s="406" t="n"/>
      <c r="C24" s="445">
        <f>SUMPRODUCT(($A$10:$A$21=$A24)*(C$10:C$21))</f>
        <v/>
      </c>
      <c r="D24" s="445">
        <f t="array" ref="D24">SUMPRODUCT(($A$10:$A$21=$A24)*(D$10:D$21))</f>
        <v/>
      </c>
      <c r="E24" s="448" t="n"/>
      <c r="F24" s="446" t="n"/>
      <c r="G24" s="446" t="n"/>
      <c r="H24" s="446" t="n"/>
      <c r="I24" s="446" t="n"/>
      <c r="J24" s="446" t="n"/>
      <c r="K24" s="446" t="n"/>
      <c r="L24" s="449" t="n"/>
      <c r="M24" s="445">
        <f>SUMPRODUCT(($A$10:$A$21=$A24)*(M$10:M$21))</f>
        <v/>
      </c>
      <c r="N24" s="445">
        <f>SUMPRODUCT(($A$10:$A$21=$A24)*(N$10:N$21))</f>
        <v/>
      </c>
      <c r="O24" s="445">
        <f t="array" ref="O24">SUMPRODUCT(($A$10:$A$21=$A24)*(O$10:O$21))</f>
        <v/>
      </c>
      <c r="P24" s="445">
        <f t="array" ref="P24">SUMPRODUCT(($A$10:$A$21=$A24)*(P$10:P$21))</f>
        <v/>
      </c>
      <c r="Q24" s="445">
        <f t="array" ref="Q24">SUMPRODUCT(($A$10:$A$21=$A24)*(Q$10:Q$21))</f>
        <v/>
      </c>
      <c r="R24" s="137" t="n"/>
    </row>
    <row r="25" ht="19.95" customFormat="1" customHeight="1" s="131">
      <c r="A25" s="447" t="inlineStr">
        <is>
          <t>类别B</t>
        </is>
      </c>
      <c r="B25" s="406" t="n"/>
      <c r="C25" s="445">
        <f t="array" ref="C25">SUMPRODUCT(($A$10:$A$21=$A25)*(C$10:C$21))</f>
        <v/>
      </c>
      <c r="D25" s="445">
        <f t="array" ref="D25">SUMPRODUCT(($A$10:$A$21=$A25)*(D$10:D$21))</f>
        <v/>
      </c>
      <c r="E25" s="448" t="n"/>
      <c r="F25" s="446" t="n"/>
      <c r="G25" s="446" t="n"/>
      <c r="H25" s="446" t="n"/>
      <c r="I25" s="446" t="n"/>
      <c r="J25" s="446" t="n"/>
      <c r="K25" s="446" t="n"/>
      <c r="L25" s="449" t="n"/>
      <c r="M25" s="445">
        <f t="array" ref="M25">SUMPRODUCT(($A$10:$A$21=$A25)*(M$10:M$21))</f>
        <v/>
      </c>
      <c r="N25" s="445">
        <f t="array" ref="N25">SUMPRODUCT(($A$10:$A$21=$A25)*(N$10:N$21))</f>
        <v/>
      </c>
      <c r="O25" s="445">
        <f t="array" ref="O25">SUMPRODUCT(($A$10:$A$21=$A25)*(O$10:O$21))</f>
        <v/>
      </c>
      <c r="P25" s="445">
        <f t="array" ref="P25">SUMPRODUCT(($A$10:$A$21=$A25)*(P$10:P$21))</f>
        <v/>
      </c>
      <c r="Q25" s="445">
        <f t="array" ref="Q25">SUMPRODUCT(($A$10:$A$21=$A25)*(Q$10:Q$21))</f>
        <v/>
      </c>
    </row>
    <row r="26" ht="19.95" customFormat="1" customHeight="1" s="131">
      <c r="A26" s="447" t="inlineStr">
        <is>
          <t>类别C</t>
        </is>
      </c>
      <c r="B26" s="406" t="n"/>
      <c r="C26" s="445">
        <f t="array" ref="C26">SUMPRODUCT(($A$10:$A$21=$A26)*(C$10:C$21))</f>
        <v/>
      </c>
      <c r="D26" s="445">
        <f t="array" ref="D26">SUMPRODUCT(($A$10:$A$21=$A26)*(D$10:D$21))</f>
        <v/>
      </c>
      <c r="E26" s="448" t="n"/>
      <c r="F26" s="446" t="n"/>
      <c r="G26" s="446" t="n"/>
      <c r="H26" s="446" t="n"/>
      <c r="I26" s="446" t="n"/>
      <c r="J26" s="446" t="n"/>
      <c r="K26" s="446" t="n"/>
      <c r="L26" s="449" t="n"/>
      <c r="M26" s="445">
        <f t="array" ref="M26">SUMPRODUCT(($A$10:$A$21=$A26)*(M$10:M$21))</f>
        <v/>
      </c>
      <c r="N26" s="445">
        <f t="array" ref="N26">SUMPRODUCT(($A$10:$A$21=$A26)*(N$10:N$21))</f>
        <v/>
      </c>
      <c r="O26" s="445">
        <f t="array" ref="O26">SUMPRODUCT(($A$10:$A$21=$A26)*(O$10:O$21))</f>
        <v/>
      </c>
      <c r="P26" s="445">
        <f t="array" ref="P26">SUMPRODUCT(($A$10:$A$21=$A26)*(P$10:P$21))</f>
        <v/>
      </c>
      <c r="Q26" s="445">
        <f t="array" ref="Q26">SUMPRODUCT(($A$10:$A$21=$A26)*(Q$10:Q$21))</f>
        <v/>
      </c>
    </row>
    <row r="27" ht="19.95" customFormat="1" customHeight="1" s="131">
      <c r="A27" s="447" t="inlineStr">
        <is>
          <t>……</t>
        </is>
      </c>
      <c r="B27" s="406" t="n"/>
      <c r="C27" s="445">
        <f t="array" ref="C27">SUMPRODUCT(($A$10:$A$21=$A27)*(C$10:C$21))</f>
        <v/>
      </c>
      <c r="D27" s="445">
        <f t="array" ref="D27">SUMPRODUCT(($A$10:$A$21=$A27)*(D$10:D$21))</f>
        <v/>
      </c>
      <c r="E27" s="448" t="n"/>
      <c r="F27" s="446" t="n"/>
      <c r="G27" s="446" t="n"/>
      <c r="H27" s="446" t="n"/>
      <c r="I27" s="446" t="n"/>
      <c r="J27" s="446" t="n"/>
      <c r="K27" s="446" t="n"/>
      <c r="L27" s="449" t="n"/>
      <c r="M27" s="445">
        <f t="array" ref="M27">SUMPRODUCT(($A$10:$A$21=$A27)*(M$10:M$21))</f>
        <v/>
      </c>
      <c r="N27" s="445">
        <f t="array" ref="N27">SUMPRODUCT(($A$10:$A$21=$A27)*(N$10:N$21))</f>
        <v/>
      </c>
      <c r="O27" s="445">
        <f t="array" ref="O27">SUMPRODUCT(($A$10:$A$21=$A27)*(O$10:O$21))</f>
        <v/>
      </c>
      <c r="P27" s="445">
        <f t="array" ref="P27">SUMPRODUCT(($A$10:$A$21=$A27)*(P$10:P$21))</f>
        <v/>
      </c>
      <c r="Q27" s="445">
        <f t="array" ref="Q27">SUMPRODUCT(($A$10:$A$21=$A27)*(Q$10:Q$21))</f>
        <v/>
      </c>
    </row>
    <row r="28" ht="19.95" customFormat="1" customHeight="1" s="131">
      <c r="A28" s="155" t="inlineStr">
        <is>
          <t>三、审计说明：</t>
        </is>
      </c>
    </row>
    <row r="29" ht="19.95" customHeight="1" s="366">
      <c r="A29" s="137" t="n"/>
    </row>
    <row r="30" ht="19.95" customHeight="1" s="366">
      <c r="A30" s="156" t="inlineStr">
        <is>
          <t>四、审计结论</t>
        </is>
      </c>
    </row>
    <row r="31" ht="19.95" customHeight="1" s="366"/>
    <row r="63" ht="18" customHeight="1" s="366">
      <c r="A63" s="132" t="inlineStr">
        <is>
          <t>《企业所得税法实施条例》</t>
        </is>
      </c>
    </row>
    <row r="64" ht="18" customHeight="1" s="366">
      <c r="A64" s="132" t="inlineStr">
        <is>
          <t>第六十七条　无形资产按照直线法计算的摊销费用，准予扣除。</t>
        </is>
      </c>
    </row>
    <row r="65" ht="18" customHeight="1" s="366">
      <c r="A65" s="132" t="inlineStr">
        <is>
          <t>无形资产的摊销年限不得低于10年。</t>
        </is>
      </c>
    </row>
    <row r="66" ht="18" customHeight="1" s="366">
      <c r="A66" s="132" t="inlineStr">
        <is>
          <t>作为投资或者受让的无形资产，有关法律规定或者合同约定了使用年限的，可以按照规定或者约定的使用年限分期摊销。</t>
        </is>
      </c>
    </row>
  </sheetData>
  <mergeCells count="7">
    <mergeCell ref="A26:B26"/>
    <mergeCell ref="A24:B24"/>
    <mergeCell ref="A25:B25"/>
    <mergeCell ref="A2:Q2"/>
    <mergeCell ref="A27:B27"/>
    <mergeCell ref="A1:Q1"/>
    <mergeCell ref="A22:B22"/>
  </mergeCells>
  <hyperlinks>
    <hyperlink ref="Q3" location="底稿目录!A1" display="底稿目录!A1"/>
  </hyperlinks>
  <printOptions horizontalCentered="1"/>
  <pageMargins left="0.5905511811023623" right="0.5905511811023623" top="0.7874015748031497" bottom="0.3937007874015748" header="0.5118110236220472" footer="0.3149606299212598"/>
  <pageSetup orientation="landscape" paperSize="9" scale="62" fitToHeight="3" blackAndWhite="1"/>
  <headerFooter>
    <oddHeader/>
    <oddFooter>&amp;C&amp;P/&amp;N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35"/>
  <sheetViews>
    <sheetView view="pageBreakPreview" zoomScaleSheetLayoutView="100" workbookViewId="0">
      <selection activeCell="Q3" sqref="Q3"/>
    </sheetView>
  </sheetViews>
  <sheetFormatPr baseColWidth="8" defaultColWidth="9" defaultRowHeight="15.6"/>
  <cols>
    <col width="9" customWidth="1" style="3" min="1" max="3"/>
    <col width="18" customWidth="1" style="3" min="4" max="4"/>
    <col width="9.59765625" customWidth="1" style="3" min="5" max="5"/>
    <col width="11.3984375" customWidth="1" style="3" min="6" max="7"/>
    <col width="11.69921875" customWidth="1" style="3" min="8" max="8"/>
    <col width="21.8984375" customWidth="1" style="3" min="9" max="9"/>
    <col width="4.3984375" customWidth="1" style="3" min="10" max="14"/>
    <col width="9.59765625" customWidth="1" style="3" min="15" max="15"/>
    <col width="6.296875" customWidth="1" style="3" min="16" max="16"/>
    <col width="16.296875" customWidth="1" style="3" min="17" max="17"/>
    <col width="9" customWidth="1" style="3" min="18" max="16384"/>
  </cols>
  <sheetData>
    <row r="1" ht="19.95" customFormat="1" customHeight="1" s="1">
      <c r="A1" s="348" t="inlineStr">
        <is>
          <t>致同会计师事务所</t>
        </is>
      </c>
      <c r="B1" s="104" t="n"/>
      <c r="C1" s="104" t="n"/>
      <c r="D1" s="104" t="n"/>
      <c r="E1" s="104" t="n"/>
      <c r="F1" s="104" t="n"/>
      <c r="G1" s="104" t="n"/>
      <c r="H1" s="104" t="n"/>
      <c r="I1" s="104" t="n"/>
      <c r="J1" s="104" t="n"/>
      <c r="K1" s="104" t="n"/>
      <c r="L1" s="104" t="n"/>
      <c r="M1" s="104" t="n"/>
      <c r="N1" s="104" t="n"/>
      <c r="O1" s="104" t="n"/>
      <c r="P1" s="104" t="n"/>
      <c r="Q1" s="104" t="n"/>
    </row>
    <row r="2" ht="19.95" customFormat="1" customHeight="1" s="1">
      <c r="A2" s="349" t="inlineStr">
        <is>
          <t>其他流动资产检查表检查表</t>
        </is>
      </c>
      <c r="B2" s="104" t="n"/>
      <c r="C2" s="104" t="n"/>
      <c r="D2" s="104" t="n"/>
      <c r="E2" s="104" t="n"/>
      <c r="F2" s="104" t="n"/>
      <c r="G2" s="104" t="n"/>
      <c r="H2" s="104" t="n"/>
      <c r="I2" s="104" t="n"/>
      <c r="J2" s="104" t="n"/>
      <c r="K2" s="104" t="n"/>
      <c r="L2" s="104" t="n"/>
      <c r="M2" s="104" t="n"/>
      <c r="N2" s="104" t="n"/>
      <c r="O2" s="104" t="n"/>
      <c r="P2" s="104" t="n"/>
      <c r="Q2" s="104" t="n"/>
    </row>
    <row r="3" ht="19.95" customFormat="1" customHeight="1" s="2">
      <c r="A3" s="450">
        <f>底稿目录!A2</f>
        <v/>
      </c>
      <c r="C3" s="450" t="n"/>
      <c r="F3" s="451">
        <f>底稿目录!A4</f>
        <v/>
      </c>
      <c r="G3" s="451" t="n"/>
      <c r="I3" s="7">
        <f>底稿目录!A5</f>
        <v/>
      </c>
      <c r="P3" s="224" t="inlineStr">
        <is>
          <t>索引号：</t>
        </is>
      </c>
      <c r="Q3" s="225">
        <f>底稿目录!F12</f>
        <v/>
      </c>
    </row>
    <row r="4" ht="19.95" customFormat="1" customHeight="1" s="2">
      <c r="A4" s="450">
        <f>底稿目录!A3</f>
        <v/>
      </c>
      <c r="C4" s="54" t="n"/>
      <c r="F4" s="451">
        <f>底稿目录!A6</f>
        <v/>
      </c>
      <c r="G4" s="451" t="n"/>
      <c r="I4" s="7">
        <f>底稿目录!A7</f>
        <v/>
      </c>
      <c r="P4" s="226" t="inlineStr">
        <is>
          <t>页  次：</t>
        </is>
      </c>
      <c r="Q4" s="227" t="n"/>
    </row>
    <row r="5" ht="19.95" customFormat="1" customHeight="1" s="229">
      <c r="A5" s="228" t="inlineStr">
        <is>
          <t>一、测试目标：</t>
        </is>
      </c>
      <c r="B5" s="228" t="n"/>
      <c r="C5" s="228" t="n"/>
      <c r="D5" s="228" t="n"/>
      <c r="E5" s="228" t="n"/>
      <c r="F5" s="228" t="n"/>
      <c r="G5" s="228" t="n"/>
      <c r="H5" s="228" t="n"/>
      <c r="I5" s="228" t="n"/>
      <c r="J5" s="228" t="n"/>
      <c r="K5" s="228" t="n"/>
      <c r="L5" s="228" t="n"/>
      <c r="M5" s="228" t="n"/>
      <c r="N5" s="228" t="n"/>
    </row>
    <row r="6" ht="19.95" customFormat="1" customHeight="1" s="229">
      <c r="A6" s="163" t="inlineStr">
        <is>
          <t>1.资产负债表中记录的其他流动资产是存在的，且已经记录在恰当的账户中；</t>
        </is>
      </c>
      <c r="B6" s="163" t="n"/>
      <c r="C6" s="230" t="n"/>
      <c r="D6" s="231" t="n"/>
      <c r="E6" s="231" t="n"/>
      <c r="F6" s="231" t="n"/>
      <c r="G6" s="231" t="n"/>
      <c r="H6" s="231" t="inlineStr">
        <is>
          <t>2. 记录的其他流动资产由被审计单位拥有或控制</t>
        </is>
      </c>
      <c r="I6" s="231" t="n"/>
      <c r="J6" s="231" t="n"/>
      <c r="K6" s="231" t="n"/>
      <c r="L6" s="231" t="n"/>
      <c r="M6" s="231" t="n"/>
      <c r="N6" s="231" t="n"/>
    </row>
    <row r="7" ht="19.95" customFormat="1" customHeight="1" s="229">
      <c r="A7" s="163" t="inlineStr">
        <is>
          <t>3.其他流动资产以恰当的金额包括在财务报表中，与之相关的计价或分摊调整已恰当记录，相关披露已得到恰当计量和描述。</t>
        </is>
      </c>
      <c r="B7" s="163" t="n"/>
      <c r="C7" s="230" t="n"/>
      <c r="D7" s="231" t="n"/>
      <c r="E7" s="231" t="n"/>
      <c r="F7" s="231" t="n"/>
      <c r="G7" s="231" t="n"/>
      <c r="H7" s="231" t="n"/>
      <c r="I7" s="231" t="n"/>
      <c r="J7" s="231" t="n"/>
      <c r="K7" s="231" t="n"/>
      <c r="L7" s="231" t="n"/>
      <c r="M7" s="231" t="n"/>
      <c r="N7" s="231" t="n"/>
    </row>
    <row r="8" ht="19.95" customFormat="1" customHeight="1" s="229">
      <c r="A8" s="162" t="inlineStr">
        <is>
          <t>二、测试：</t>
        </is>
      </c>
      <c r="B8" s="162" t="n"/>
      <c r="C8" s="232" t="n"/>
      <c r="D8" s="232" t="n"/>
      <c r="E8" s="233" t="n"/>
      <c r="F8" s="234" t="n"/>
      <c r="G8" s="234" t="n"/>
      <c r="H8" s="234" t="n"/>
    </row>
    <row r="9" ht="19.95" customFormat="1" customHeight="1" s="229">
      <c r="A9" s="235" t="inlineStr">
        <is>
          <t>测试内容说明：1.原始凭证是否齐全； 2.记账凭证与原始凭证是否相符；3.账务处理是否正确；4.是否记录于恰当的会计期间；5.……</t>
        </is>
      </c>
      <c r="B9" s="235" t="n"/>
      <c r="C9" s="232" t="n"/>
      <c r="D9" s="232" t="n"/>
      <c r="E9" s="233" t="n"/>
      <c r="F9" s="234" t="n"/>
      <c r="G9" s="234" t="n"/>
      <c r="H9" s="234" t="n"/>
    </row>
    <row r="10" ht="19.95" customFormat="1" customHeight="1" s="236">
      <c r="A10" s="452" t="inlineStr">
        <is>
          <t>明细项目</t>
        </is>
      </c>
      <c r="B10" s="356" t="inlineStr">
        <is>
          <t>记账凭证</t>
        </is>
      </c>
      <c r="C10" s="367" t="n"/>
      <c r="D10" s="367" t="n"/>
      <c r="E10" s="367" t="n"/>
      <c r="F10" s="367" t="n"/>
      <c r="G10" s="367" t="n"/>
      <c r="H10" s="368" t="n"/>
      <c r="I10" s="357" t="inlineStr">
        <is>
          <t>支持性文件</t>
        </is>
      </c>
      <c r="J10" s="359" t="inlineStr">
        <is>
          <t>核对内容</t>
        </is>
      </c>
      <c r="K10" s="367" t="n"/>
      <c r="L10" s="367" t="n"/>
      <c r="M10" s="367" t="n"/>
      <c r="N10" s="367" t="n"/>
      <c r="O10" s="361" t="inlineStr">
        <is>
          <t>索引号</t>
        </is>
      </c>
      <c r="P10" s="361" t="inlineStr">
        <is>
          <t>是否异常</t>
        </is>
      </c>
      <c r="Q10" s="364" t="inlineStr">
        <is>
          <t>备注说明</t>
        </is>
      </c>
      <c r="R10" s="229" t="n"/>
    </row>
    <row r="11" ht="19.95" customFormat="1" customHeight="1" s="238">
      <c r="A11" s="370" t="n"/>
      <c r="B11" s="356" t="inlineStr">
        <is>
          <t>日期</t>
        </is>
      </c>
      <c r="C11" s="356" t="inlineStr">
        <is>
          <t>凭证编号</t>
        </is>
      </c>
      <c r="D11" s="356" t="inlineStr">
        <is>
          <t>业务内容</t>
        </is>
      </c>
      <c r="E11" s="356" t="inlineStr">
        <is>
          <t>对方科目</t>
        </is>
      </c>
      <c r="F11" s="356" t="inlineStr">
        <is>
          <t>对方明细科目</t>
        </is>
      </c>
      <c r="G11" s="260" t="inlineStr">
        <is>
          <t>借方金额</t>
        </is>
      </c>
      <c r="H11" s="260" t="inlineStr">
        <is>
          <t>贷方金额</t>
        </is>
      </c>
      <c r="I11" s="370" t="n"/>
      <c r="J11" s="261" t="n">
        <v>1</v>
      </c>
      <c r="K11" s="261" t="n">
        <v>2</v>
      </c>
      <c r="L11" s="261" t="n">
        <v>3</v>
      </c>
      <c r="M11" s="261" t="n">
        <v>4</v>
      </c>
      <c r="N11" s="261" t="n">
        <v>5</v>
      </c>
      <c r="O11" s="385" t="n"/>
      <c r="P11" s="385" t="n"/>
      <c r="Q11" s="370" t="n"/>
      <c r="R11" s="229" t="n"/>
      <c r="S11" s="237" t="n"/>
    </row>
    <row r="12" ht="19.95" customFormat="1" customHeight="1" s="236">
      <c r="A12" s="239" t="n"/>
      <c r="B12" s="239" t="n"/>
      <c r="C12" s="239" t="n"/>
      <c r="D12" s="239" t="n"/>
      <c r="E12" s="239" t="n"/>
      <c r="F12" s="239" t="n"/>
      <c r="G12" s="239" t="n"/>
      <c r="H12" s="453" t="n"/>
      <c r="I12" s="239" t="n"/>
      <c r="J12" s="241" t="n"/>
      <c r="K12" s="241" t="n"/>
      <c r="L12" s="241" t="n"/>
      <c r="M12" s="241" t="n"/>
      <c r="N12" s="241" t="n"/>
      <c r="O12" s="239" t="n"/>
      <c r="P12" s="239" t="n"/>
      <c r="Q12" s="239" t="n"/>
      <c r="R12" s="229" t="n"/>
    </row>
    <row r="13" ht="19.95" customFormat="1" customHeight="1" s="236">
      <c r="A13" s="239" t="n"/>
      <c r="B13" s="239" t="n"/>
      <c r="C13" s="239" t="n"/>
      <c r="D13" s="239" t="n"/>
      <c r="E13" s="239" t="n"/>
      <c r="F13" s="239" t="n"/>
      <c r="G13" s="239" t="n"/>
      <c r="H13" s="453" t="n"/>
      <c r="I13" s="239" t="n"/>
      <c r="J13" s="241" t="n"/>
      <c r="K13" s="241" t="n"/>
      <c r="L13" s="241" t="n"/>
      <c r="M13" s="241" t="n"/>
      <c r="N13" s="241" t="n"/>
      <c r="O13" s="239" t="n"/>
      <c r="P13" s="239" t="n"/>
      <c r="Q13" s="239" t="n"/>
      <c r="R13" s="229" t="n"/>
    </row>
    <row r="14" ht="19.95" customFormat="1" customHeight="1" s="236">
      <c r="A14" s="239" t="n"/>
      <c r="B14" s="239" t="n"/>
      <c r="C14" s="239" t="n"/>
      <c r="D14" s="239" t="n"/>
      <c r="E14" s="239" t="n"/>
      <c r="F14" s="239" t="n"/>
      <c r="G14" s="239" t="n"/>
      <c r="H14" s="453" t="n"/>
      <c r="I14" s="239" t="n"/>
      <c r="J14" s="241" t="n"/>
      <c r="K14" s="241" t="n"/>
      <c r="L14" s="241" t="n"/>
      <c r="M14" s="241" t="n"/>
      <c r="N14" s="241" t="n"/>
      <c r="O14" s="239" t="n"/>
      <c r="P14" s="239" t="n"/>
      <c r="Q14" s="239" t="n"/>
      <c r="R14" s="229" t="n"/>
    </row>
    <row r="15" ht="19.95" customFormat="1" customHeight="1" s="236">
      <c r="A15" s="239" t="n"/>
      <c r="B15" s="239" t="n"/>
      <c r="C15" s="239" t="n"/>
      <c r="D15" s="239" t="n"/>
      <c r="E15" s="239" t="n"/>
      <c r="F15" s="239" t="n"/>
      <c r="G15" s="239" t="n"/>
      <c r="H15" s="453" t="n"/>
      <c r="I15" s="239" t="n"/>
      <c r="J15" s="241" t="n"/>
      <c r="K15" s="241" t="n"/>
      <c r="L15" s="241" t="n"/>
      <c r="M15" s="241" t="n"/>
      <c r="N15" s="241" t="n"/>
      <c r="O15" s="239" t="n"/>
      <c r="P15" s="239" t="n"/>
      <c r="Q15" s="239" t="n"/>
      <c r="R15" s="229" t="n"/>
    </row>
    <row r="16" ht="19.95" customFormat="1" customHeight="1" s="236">
      <c r="A16" s="239" t="n"/>
      <c r="B16" s="239" t="n"/>
      <c r="C16" s="239" t="n"/>
      <c r="D16" s="239" t="n"/>
      <c r="E16" s="239" t="n"/>
      <c r="F16" s="239" t="n"/>
      <c r="G16" s="239" t="n"/>
      <c r="H16" s="453" t="n"/>
      <c r="I16" s="239" t="n"/>
      <c r="J16" s="241" t="n"/>
      <c r="K16" s="241" t="n"/>
      <c r="L16" s="241" t="n"/>
      <c r="M16" s="241" t="n"/>
      <c r="N16" s="241" t="n"/>
      <c r="O16" s="239" t="n"/>
      <c r="P16" s="239" t="n"/>
      <c r="Q16" s="239" t="n"/>
      <c r="R16" s="229" t="n"/>
    </row>
    <row r="17" ht="19.95" customFormat="1" customHeight="1" s="236">
      <c r="A17" s="239" t="n"/>
      <c r="B17" s="239" t="n"/>
      <c r="C17" s="239" t="n"/>
      <c r="D17" s="239" t="n"/>
      <c r="E17" s="239" t="n"/>
      <c r="F17" s="239" t="n"/>
      <c r="G17" s="239" t="n"/>
      <c r="H17" s="453" t="n"/>
      <c r="I17" s="239" t="n"/>
      <c r="J17" s="241" t="n"/>
      <c r="K17" s="241" t="n"/>
      <c r="L17" s="241" t="n"/>
      <c r="M17" s="241" t="n"/>
      <c r="N17" s="241" t="n"/>
      <c r="O17" s="239" t="n"/>
      <c r="P17" s="239" t="n"/>
      <c r="Q17" s="239" t="n"/>
      <c r="R17" s="229" t="n"/>
    </row>
    <row r="18" ht="19.95" customFormat="1" customHeight="1" s="236">
      <c r="A18" s="239" t="n"/>
      <c r="B18" s="239" t="n"/>
      <c r="C18" s="239" t="n"/>
      <c r="D18" s="239" t="n"/>
      <c r="E18" s="239" t="n"/>
      <c r="F18" s="239" t="n"/>
      <c r="G18" s="239" t="n"/>
      <c r="H18" s="453" t="n"/>
      <c r="I18" s="239" t="n"/>
      <c r="J18" s="241" t="n"/>
      <c r="K18" s="241" t="n"/>
      <c r="L18" s="241" t="n"/>
      <c r="M18" s="241" t="n"/>
      <c r="N18" s="241" t="n"/>
      <c r="O18" s="239" t="n"/>
      <c r="P18" s="239" t="n"/>
      <c r="Q18" s="239" t="n"/>
      <c r="R18" s="229" t="n"/>
    </row>
    <row r="19" ht="19.95" customFormat="1" customHeight="1" s="236">
      <c r="A19" s="239" t="n"/>
      <c r="B19" s="239" t="n"/>
      <c r="C19" s="239" t="n"/>
      <c r="D19" s="239" t="n"/>
      <c r="E19" s="239" t="n"/>
      <c r="F19" s="239" t="n"/>
      <c r="G19" s="239" t="n"/>
      <c r="H19" s="453" t="n"/>
      <c r="I19" s="239" t="n"/>
      <c r="J19" s="241" t="n"/>
      <c r="K19" s="241" t="n"/>
      <c r="L19" s="241" t="n"/>
      <c r="M19" s="241" t="n"/>
      <c r="N19" s="241" t="n"/>
      <c r="O19" s="239" t="n"/>
      <c r="P19" s="239" t="n"/>
      <c r="Q19" s="239" t="n"/>
      <c r="R19" s="229" t="n"/>
    </row>
    <row r="20" ht="19.95" customFormat="1" customHeight="1" s="236">
      <c r="A20" s="239" t="n"/>
      <c r="B20" s="239" t="n"/>
      <c r="C20" s="239" t="n"/>
      <c r="D20" s="239" t="n"/>
      <c r="E20" s="239" t="n"/>
      <c r="F20" s="239" t="n"/>
      <c r="G20" s="239" t="n"/>
      <c r="H20" s="453" t="n"/>
      <c r="I20" s="239" t="n"/>
      <c r="J20" s="241" t="n"/>
      <c r="K20" s="241" t="n"/>
      <c r="L20" s="241" t="n"/>
      <c r="M20" s="241" t="n"/>
      <c r="N20" s="241" t="n"/>
      <c r="O20" s="239" t="n"/>
      <c r="P20" s="239" t="n"/>
      <c r="Q20" s="239" t="n"/>
      <c r="R20" s="229" t="n"/>
    </row>
    <row r="21" ht="19.95" customFormat="1" customHeight="1" s="236">
      <c r="A21" s="239" t="n"/>
      <c r="B21" s="239" t="n"/>
      <c r="C21" s="239" t="n"/>
      <c r="D21" s="239" t="n"/>
      <c r="E21" s="239" t="n"/>
      <c r="F21" s="239" t="n"/>
      <c r="G21" s="239" t="n"/>
      <c r="H21" s="453" t="n"/>
      <c r="I21" s="239" t="n"/>
      <c r="J21" s="241" t="n"/>
      <c r="K21" s="241" t="n"/>
      <c r="L21" s="241" t="n"/>
      <c r="M21" s="241" t="n"/>
      <c r="N21" s="241" t="n"/>
      <c r="O21" s="239" t="n"/>
      <c r="P21" s="239" t="n"/>
      <c r="Q21" s="239" t="n"/>
      <c r="R21" s="229" t="n"/>
    </row>
    <row r="22" ht="19.95" customFormat="1" customHeight="1" s="236">
      <c r="A22" s="239" t="n"/>
      <c r="B22" s="239" t="n"/>
      <c r="C22" s="239" t="n"/>
      <c r="D22" s="239" t="n"/>
      <c r="E22" s="239" t="n"/>
      <c r="F22" s="239" t="n"/>
      <c r="G22" s="239" t="n"/>
      <c r="H22" s="453" t="n"/>
      <c r="I22" s="239" t="n"/>
      <c r="J22" s="241" t="n"/>
      <c r="K22" s="241" t="n"/>
      <c r="L22" s="241" t="n"/>
      <c r="M22" s="241" t="n"/>
      <c r="N22" s="241" t="n"/>
      <c r="O22" s="239" t="n"/>
      <c r="P22" s="239" t="n"/>
      <c r="Q22" s="239" t="n"/>
      <c r="R22" s="229" t="n"/>
    </row>
    <row r="23" ht="19.95" customFormat="1" customHeight="1" s="236">
      <c r="A23" s="239" t="n"/>
      <c r="B23" s="239" t="n"/>
      <c r="C23" s="239" t="n"/>
      <c r="D23" s="239" t="n"/>
      <c r="E23" s="239" t="n"/>
      <c r="F23" s="239" t="n"/>
      <c r="G23" s="239" t="n"/>
      <c r="H23" s="453" t="n"/>
      <c r="I23" s="239" t="n"/>
      <c r="J23" s="241" t="n"/>
      <c r="K23" s="241" t="n"/>
      <c r="L23" s="241" t="n"/>
      <c r="M23" s="241" t="n"/>
      <c r="N23" s="241" t="n"/>
      <c r="O23" s="239" t="n"/>
      <c r="P23" s="239" t="n"/>
      <c r="Q23" s="239" t="n"/>
      <c r="R23" s="229" t="n"/>
    </row>
    <row r="24" ht="19.95" customFormat="1" customHeight="1" s="236">
      <c r="A24" s="239" t="n"/>
      <c r="B24" s="239" t="n"/>
      <c r="C24" s="239" t="n"/>
      <c r="D24" s="239" t="n"/>
      <c r="E24" s="239" t="n"/>
      <c r="F24" s="239" t="n"/>
      <c r="G24" s="239" t="n"/>
      <c r="H24" s="453" t="n"/>
      <c r="I24" s="239" t="n"/>
      <c r="J24" s="241" t="n"/>
      <c r="K24" s="241" t="n"/>
      <c r="L24" s="241" t="n"/>
      <c r="M24" s="241" t="n"/>
      <c r="N24" s="241" t="n"/>
      <c r="O24" s="239" t="n"/>
      <c r="P24" s="239" t="n"/>
      <c r="Q24" s="239" t="n"/>
      <c r="R24" s="229" t="n"/>
    </row>
    <row r="25" ht="19.95" customFormat="1" customHeight="1" s="236">
      <c r="A25" s="454" t="inlineStr">
        <is>
          <t>合计</t>
        </is>
      </c>
      <c r="B25" s="367" t="n"/>
      <c r="C25" s="367" t="n"/>
      <c r="D25" s="368" t="n"/>
      <c r="E25" s="242" t="n"/>
      <c r="F25" s="242" t="n"/>
      <c r="G25" s="455">
        <f>SUM(G12:G24)</f>
        <v/>
      </c>
      <c r="H25" s="455">
        <f>SUM(H12:H24)</f>
        <v/>
      </c>
      <c r="I25" s="242" t="n"/>
      <c r="J25" s="242" t="n"/>
      <c r="K25" s="242" t="n"/>
      <c r="L25" s="242" t="n"/>
      <c r="M25" s="242" t="n"/>
      <c r="N25" s="242" t="n"/>
      <c r="O25" s="242" t="n"/>
      <c r="P25" s="242" t="n"/>
      <c r="Q25" s="242" t="n"/>
      <c r="R25" s="229" t="n"/>
    </row>
    <row r="26" ht="19.95" customFormat="1" customHeight="1" s="244">
      <c r="A26" s="162" t="inlineStr">
        <is>
          <t>三、审计说明：</t>
        </is>
      </c>
      <c r="B26" s="162" t="n"/>
      <c r="K26" s="104" t="n"/>
      <c r="L26" s="104" t="n"/>
      <c r="M26" s="104" t="n"/>
      <c r="N26" s="245" t="n"/>
      <c r="O26" s="246" t="n"/>
      <c r="P26" s="246" t="n"/>
      <c r="Q26" s="246" t="n"/>
    </row>
    <row r="27" ht="19.95" customFormat="1" customHeight="1" s="244">
      <c r="A27" s="130" t="inlineStr">
        <is>
          <t>1.本期发生额、期末余额检查比例：</t>
        </is>
      </c>
      <c r="B27" s="130" t="n"/>
      <c r="C27" s="104" t="n"/>
      <c r="D27" s="268" t="inlineStr">
        <is>
          <t>方向</t>
        </is>
      </c>
      <c r="E27" s="268" t="inlineStr">
        <is>
          <t>账面金额</t>
        </is>
      </c>
      <c r="F27" s="268" t="inlineStr">
        <is>
          <t>检查金额</t>
        </is>
      </c>
      <c r="G27" s="268" t="inlineStr">
        <is>
          <t>检查比例</t>
        </is>
      </c>
      <c r="H27" s="269" t="inlineStr">
        <is>
          <t>如果检查比例较低应扩大检查样本量或说明原因</t>
        </is>
      </c>
      <c r="K27" s="104" t="n"/>
      <c r="L27" s="104" t="n"/>
      <c r="M27" s="104" t="n"/>
      <c r="N27" s="245" t="n"/>
      <c r="O27" s="246" t="n"/>
      <c r="P27" s="246" t="n"/>
      <c r="Q27" s="246" t="n"/>
    </row>
    <row r="28" ht="19.95" customFormat="1" customHeight="1" s="244">
      <c r="A28" s="82" t="n"/>
      <c r="B28" s="82" t="n"/>
      <c r="C28" s="104" t="n"/>
      <c r="D28" s="268" t="inlineStr">
        <is>
          <t>本期借方</t>
        </is>
      </c>
      <c r="E28" s="456">
        <f>'明细表K2-2'!M20</f>
        <v/>
      </c>
      <c r="F28" s="456">
        <f>G25</f>
        <v/>
      </c>
      <c r="G28" s="271">
        <f>ROUND(F28/E28,4)</f>
        <v/>
      </c>
      <c r="H28" s="205" t="n"/>
      <c r="K28" s="104" t="n"/>
      <c r="L28" s="104" t="n"/>
      <c r="M28" s="104" t="n"/>
      <c r="N28" s="245" t="n"/>
      <c r="O28" s="246" t="n"/>
      <c r="P28" s="246" t="n"/>
      <c r="Q28" s="246" t="n"/>
    </row>
    <row r="29" ht="19.95" customFormat="1" customHeight="1" s="244">
      <c r="A29" s="82" t="n"/>
      <c r="B29" s="82" t="n"/>
      <c r="C29" s="104" t="n"/>
      <c r="D29" s="268" t="inlineStr">
        <is>
          <t>本期贷方</t>
        </is>
      </c>
      <c r="E29" s="456">
        <f>'明细表K2-2'!N20</f>
        <v/>
      </c>
      <c r="F29" s="456">
        <f>H25</f>
        <v/>
      </c>
      <c r="G29" s="271">
        <f>ROUND(F29/E29,2)</f>
        <v/>
      </c>
      <c r="H29" s="205" t="n"/>
      <c r="K29" s="104" t="n"/>
      <c r="L29" s="104" t="n"/>
      <c r="M29" s="104" t="n"/>
      <c r="N29" s="245" t="n"/>
      <c r="O29" s="246" t="n"/>
      <c r="P29" s="246" t="n"/>
      <c r="Q29" s="246" t="n"/>
    </row>
    <row r="30" ht="19.95" customFormat="1" customHeight="1" s="2">
      <c r="A30" s="272" t="inlineStr">
        <is>
          <t>2.……</t>
        </is>
      </c>
      <c r="B30" s="82" t="n"/>
      <c r="C30" s="104" t="n"/>
      <c r="D30" s="273" t="n"/>
      <c r="E30" s="457" t="n"/>
      <c r="F30" s="457" t="n"/>
      <c r="G30" s="275" t="n"/>
      <c r="H30" s="205" t="n"/>
      <c r="K30" s="247" t="n"/>
      <c r="L30" s="11" t="n"/>
      <c r="M30" s="11" t="n"/>
      <c r="N30" s="11" t="n"/>
      <c r="O30" s="11" t="n"/>
      <c r="P30" s="11" t="n"/>
      <c r="Q30" s="11" t="n"/>
    </row>
    <row r="31" ht="19.95" customFormat="1" customHeight="1" s="2">
      <c r="A31" s="248" t="inlineStr">
        <is>
          <t>四、审计结论：</t>
        </is>
      </c>
      <c r="B31" s="248" t="n"/>
      <c r="D31" s="11" t="n"/>
      <c r="E31" s="11" t="n"/>
      <c r="F31" s="11" t="n"/>
      <c r="G31" s="11" t="n"/>
      <c r="H31" s="11" t="n"/>
      <c r="I31" s="11" t="n"/>
      <c r="J31" s="11" t="n"/>
      <c r="K31" s="11" t="n"/>
      <c r="L31" s="11" t="n"/>
      <c r="M31" s="11" t="n"/>
      <c r="N31" s="11" t="n"/>
      <c r="O31" s="11" t="n"/>
      <c r="P31" s="11" t="n"/>
      <c r="Q31" s="11" t="n"/>
    </row>
    <row r="32" ht="19.95" customFormat="1" customHeight="1" s="2">
      <c r="D32" s="11" t="n"/>
      <c r="E32" s="11" t="n"/>
      <c r="F32" s="11" t="n"/>
      <c r="G32" s="11" t="n"/>
      <c r="H32" s="11" t="n"/>
      <c r="I32" s="11" t="n"/>
      <c r="K32" s="11" t="n"/>
      <c r="L32" s="11" t="n"/>
      <c r="M32" s="11" t="n"/>
      <c r="N32" s="11" t="n"/>
      <c r="O32" s="11" t="n"/>
      <c r="P32" s="11" t="n"/>
      <c r="Q32" s="11" t="n"/>
    </row>
    <row r="33" ht="19.95" customFormat="1" customHeight="1" s="2">
      <c r="B33" s="249" t="n"/>
      <c r="D33" s="11" t="n"/>
      <c r="E33" s="11" t="n"/>
      <c r="F33" s="11" t="n"/>
      <c r="G33" s="11" t="n"/>
      <c r="H33" s="11" t="n"/>
      <c r="I33" s="11" t="n"/>
      <c r="K33" s="11" t="n"/>
      <c r="L33" s="11" t="n"/>
      <c r="M33" s="11" t="n"/>
      <c r="N33" s="11" t="n"/>
      <c r="O33" s="11" t="n"/>
      <c r="P33" s="11" t="n"/>
      <c r="Q33" s="11" t="n"/>
    </row>
    <row r="34" ht="34.2" customFormat="1" customHeight="1" s="2">
      <c r="B34" s="355" t="n"/>
      <c r="C34" s="104" t="n"/>
      <c r="D34" s="104" t="n"/>
      <c r="E34" s="104" t="n"/>
      <c r="F34" s="104" t="n"/>
      <c r="G34" s="104" t="n"/>
      <c r="H34" s="104" t="n"/>
      <c r="I34" s="104" t="n"/>
      <c r="J34" s="104" t="n"/>
      <c r="K34" s="104" t="n"/>
      <c r="L34" s="104" t="n"/>
      <c r="M34" s="104" t="n"/>
      <c r="N34" s="104" t="n"/>
      <c r="O34" s="104" t="n"/>
      <c r="P34" s="104" t="n"/>
      <c r="Q34" s="104" t="n"/>
    </row>
    <row r="35" ht="18" customFormat="1" customHeight="1" s="2">
      <c r="B35" s="10" t="n"/>
      <c r="D35" s="11" t="n"/>
      <c r="E35" s="11" t="n"/>
      <c r="F35" s="11" t="n"/>
      <c r="G35" s="11" t="n"/>
      <c r="H35" s="11" t="n"/>
      <c r="I35" s="11" t="n"/>
      <c r="J35" s="11" t="n"/>
      <c r="K35" s="11" t="n"/>
      <c r="L35" s="11" t="n"/>
      <c r="M35" s="11" t="n"/>
      <c r="N35" s="11" t="n"/>
      <c r="O35" s="11" t="n"/>
      <c r="P35" s="11" t="n"/>
      <c r="Q35" s="11" t="n"/>
    </row>
  </sheetData>
  <mergeCells count="11">
    <mergeCell ref="B34:Q34"/>
    <mergeCell ref="P10:P11"/>
    <mergeCell ref="Q10:Q11"/>
    <mergeCell ref="O10:O11"/>
    <mergeCell ref="A2:Q2"/>
    <mergeCell ref="J10:N10"/>
    <mergeCell ref="A25:D25"/>
    <mergeCell ref="B10:H10"/>
    <mergeCell ref="A10:A11"/>
    <mergeCell ref="A1:Q1"/>
    <mergeCell ref="I10:I11"/>
  </mergeCells>
  <dataValidations count="2">
    <dataValidation sqref="J12:N24 K25:P25" showDropDown="0" showInputMessage="1" showErrorMessage="1" allowBlank="1" type="list">
      <formula1>"√,X"</formula1>
    </dataValidation>
    <dataValidation sqref="D31" showDropDown="0" showInputMessage="1" showErrorMessage="1" allowBlank="1" type="list">
      <formula1>"A：未见异常，可以确认。,B：经审计调整可以确认。,C：由于存在上述重大未调整事项（或审计范围受到限制无法获取充分、适当证据），不可确认。"</formula1>
    </dataValidation>
  </dataValidations>
  <hyperlinks>
    <hyperlink ref="Q3" location="底稿目录!A1" display="底稿目录!A1"/>
  </hyperlinks>
  <printOptions horizontalCentered="1"/>
  <pageMargins left="0.7086614173228347" right="0.7086614173228347" top="0.7480314960629921" bottom="0.7480314960629921" header="0.3149606299212598" footer="0.3149606299212598"/>
  <pageSetup orientation="landscape" paperSize="9" scale="70" blackAndWhite="1"/>
  <headerFooter>
    <oddHeader/>
    <oddFooter>&amp;C&amp;P/&amp;N</oddFooter>
    <evenHeader/>
    <evenFooter/>
    <firstHeader/>
    <firstFooter/>
  </headerFooter>
</worksheet>
</file>

<file path=xl/worksheets/sheet11.xml><?xml version="1.0" encoding="utf-8"?>
<worksheet xmlns="http://schemas.openxmlformats.org/spreadsheetml/2006/main">
  <sheetPr codeName="Sheet7">
    <outlinePr summaryBelow="1" summaryRight="1"/>
    <pageSetUpPr/>
  </sheetPr>
  <dimension ref="A1:B8"/>
  <sheetViews>
    <sheetView workbookViewId="0">
      <selection activeCell="B9" sqref="B9"/>
    </sheetView>
  </sheetViews>
  <sheetFormatPr baseColWidth="8" defaultColWidth="9" defaultRowHeight="15.6"/>
  <sheetData>
    <row r="1">
      <c r="A1" s="104" t="inlineStr">
        <is>
          <t>C1</t>
        </is>
      </c>
      <c r="B1" s="104" t="inlineStr">
        <is>
          <t>Custom 1</t>
        </is>
      </c>
    </row>
    <row r="2">
      <c r="A2" s="104" t="inlineStr">
        <is>
          <t>C2</t>
        </is>
      </c>
      <c r="B2" s="104" t="inlineStr">
        <is>
          <t>Custom 2</t>
        </is>
      </c>
    </row>
    <row r="3">
      <c r="A3" s="104" t="inlineStr">
        <is>
          <t>C3</t>
        </is>
      </c>
      <c r="B3" s="104" t="inlineStr">
        <is>
          <t>Custom 3</t>
        </is>
      </c>
    </row>
    <row r="4">
      <c r="A4" s="104" t="inlineStr">
        <is>
          <t>C4</t>
        </is>
      </c>
      <c r="B4" s="104" t="inlineStr">
        <is>
          <t>Custom 4</t>
        </is>
      </c>
    </row>
    <row r="5">
      <c r="A5" s="104" t="inlineStr">
        <is>
          <t>C5</t>
        </is>
      </c>
      <c r="B5" s="104" t="inlineStr">
        <is>
          <t>Custom 5</t>
        </is>
      </c>
    </row>
    <row r="6">
      <c r="A6" s="104" t="inlineStr">
        <is>
          <t>C6</t>
        </is>
      </c>
      <c r="B6" s="104" t="inlineStr">
        <is>
          <t>Custom 6</t>
        </is>
      </c>
    </row>
    <row r="7">
      <c r="A7" s="104" t="inlineStr">
        <is>
          <t>C7</t>
        </is>
      </c>
      <c r="B7" s="104" t="inlineStr">
        <is>
          <t>Custom 7</t>
        </is>
      </c>
    </row>
    <row r="8">
      <c r="A8" s="104" t="inlineStr">
        <is>
          <t>C8</t>
        </is>
      </c>
      <c r="B8" s="104"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2026-10-08T14:57:38Z</dcterms:modified>
  <cp:lastModifiedBy>何先琴</cp:lastModifiedBy>
  <cp:lastPrinted>2025-10-21T08:57:16Z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A6841C7651E74947A4ABAFB77797DF0A</vt:lpwstr>
  </property>
  <property name="KSOProductBuildVer" fmtid="{D5CDD505-2E9C-101B-9397-08002B2CF9AE}" pid="3">
    <vt:lpwstr xmlns:vt="http://schemas.openxmlformats.org/officeDocument/2006/docPropsVTypes">2052-11.1.0.13703</vt:lpwstr>
  </property>
</Properties>
</file>