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 Data\Desktop\程序修改\2.风险评估（B11-B26）\B30 集团审计\B30-13 致集团项目组的报告示例\"/>
    </mc:Choice>
  </mc:AlternateContent>
  <bookViews>
    <workbookView xWindow="-120" yWindow="-120" windowWidth="29040" windowHeight="15525"/>
  </bookViews>
  <sheets>
    <sheet name="目录" sheetId="112" r:id="rId1"/>
    <sheet name="基础信息" sheetId="67" r:id="rId2"/>
    <sheet name="RP 001" sheetId="137" r:id="rId3"/>
    <sheet name="RP 002-1" sheetId="1" r:id="rId4"/>
    <sheet name="RP 002-2" sheetId="2" r:id="rId5"/>
    <sheet name="RP 003 " sheetId="166" r:id="rId6"/>
    <sheet name="RP 004 " sheetId="167" r:id="rId7"/>
    <sheet name="RP 005" sheetId="9" r:id="rId8"/>
    <sheet name="RP 006" sheetId="28" r:id="rId9"/>
    <sheet name="RP 007" sheetId="145" r:id="rId10"/>
    <sheet name="RP 008" sheetId="141" r:id="rId11"/>
    <sheet name="RP 009" sheetId="144" r:id="rId12"/>
    <sheet name="RP 010" sheetId="140" r:id="rId13"/>
    <sheet name="RP 011" sheetId="139" r:id="rId14"/>
    <sheet name="RP 012" sheetId="73" r:id="rId15"/>
    <sheet name="RP 013" sheetId="178" r:id="rId16"/>
    <sheet name="RP 014" sheetId="74" r:id="rId17"/>
    <sheet name="RP 015" sheetId="165" r:id="rId18"/>
    <sheet name="RP 016" sheetId="114" r:id="rId19"/>
    <sheet name="RP 017" sheetId="75" r:id="rId20"/>
    <sheet name="RP 018" sheetId="188" r:id="rId21"/>
    <sheet name="RP 019" sheetId="76" r:id="rId22"/>
    <sheet name="RP 020" sheetId="171" r:id="rId23"/>
    <sheet name="RP 020-1" sheetId="149" r:id="rId24"/>
    <sheet name="RP 020-2" sheetId="77" r:id="rId25"/>
    <sheet name="RP 020-3" sheetId="78" r:id="rId26"/>
    <sheet name="RP 021" sheetId="79" r:id="rId27"/>
    <sheet name="RP 022" sheetId="187" r:id="rId28"/>
    <sheet name="RP 023" sheetId="150" r:id="rId29"/>
    <sheet name="RP 024" sheetId="151" r:id="rId30"/>
    <sheet name="RP 025" sheetId="80" r:id="rId31"/>
    <sheet name="RP 026" sheetId="186" r:id="rId32"/>
    <sheet name="RP 027" sheetId="115" r:id="rId33"/>
    <sheet name="RP 028" sheetId="185" r:id="rId34"/>
    <sheet name="RP 029" sheetId="81" r:id="rId35"/>
    <sheet name="RP 030" sheetId="116" r:id="rId36"/>
    <sheet name="RP 031" sheetId="152" r:id="rId37"/>
    <sheet name="RP 032" sheetId="82" r:id="rId38"/>
    <sheet name="RP 033" sheetId="184" r:id="rId39"/>
    <sheet name="RP 034" sheetId="183" r:id="rId40"/>
    <sheet name="RP 035" sheetId="83" r:id="rId41"/>
    <sheet name="RP 036" sheetId="172" r:id="rId42"/>
    <sheet name="RP 036-1" sheetId="84" r:id="rId43"/>
    <sheet name="RP 036-2" sheetId="155" r:id="rId44"/>
    <sheet name="RP 037" sheetId="173" r:id="rId45"/>
    <sheet name="RP 037-1" sheetId="153" r:id="rId46"/>
    <sheet name="RP 037-2" sheetId="154" r:id="rId47"/>
    <sheet name="RP 038" sheetId="156" r:id="rId48"/>
    <sheet name="RP 039" sheetId="85" r:id="rId49"/>
    <sheet name="RP 040" sheetId="86" r:id="rId50"/>
    <sheet name="RP 041" sheetId="117" r:id="rId51"/>
    <sheet name="RP 042" sheetId="87" r:id="rId52"/>
    <sheet name="RP 043" sheetId="88" r:id="rId53"/>
    <sheet name="RP 044" sheetId="118" r:id="rId54"/>
    <sheet name="RP 045" sheetId="89" r:id="rId55"/>
    <sheet name="RP 046" sheetId="90" r:id="rId56"/>
    <sheet name="RP 047" sheetId="91" r:id="rId57"/>
    <sheet name="RP 048" sheetId="182" r:id="rId58"/>
    <sheet name="RP 049" sheetId="92" r:id="rId59"/>
    <sheet name="RP 050" sheetId="157" r:id="rId60"/>
    <sheet name="RP 051" sheetId="119" r:id="rId61"/>
    <sheet name="RP 052" sheetId="93" r:id="rId62"/>
    <sheet name="RP 053" sheetId="94" r:id="rId63"/>
    <sheet name="RP 054" sheetId="181" r:id="rId64"/>
    <sheet name="RP 055" sheetId="95" r:id="rId65"/>
    <sheet name="RP 056" sheetId="96" r:id="rId66"/>
    <sheet name="RP 057" sheetId="175" r:id="rId67"/>
    <sheet name="RP 057-1" sheetId="158" r:id="rId68"/>
    <sheet name="RP 057-2" sheetId="120" r:id="rId69"/>
    <sheet name="RP 057-3" sheetId="97" r:id="rId70"/>
    <sheet name="RP 058" sheetId="98" r:id="rId71"/>
    <sheet name="RP 059" sheetId="159" r:id="rId72"/>
    <sheet name="RP 060" sheetId="99" r:id="rId73"/>
    <sheet name="RP 061" sheetId="100" r:id="rId74"/>
    <sheet name="RP 062" sheetId="176" r:id="rId75"/>
    <sheet name="RP 062-1" sheetId="101" r:id="rId76"/>
    <sheet name="RP 062-2" sheetId="121" r:id="rId77"/>
    <sheet name="RP 063" sheetId="160" r:id="rId78"/>
    <sheet name="RP 064" sheetId="102" r:id="rId79"/>
    <sheet name="RP 065" sheetId="161" r:id="rId80"/>
    <sheet name="RP 066" sheetId="162" r:id="rId81"/>
    <sheet name="RP 067" sheetId="103" r:id="rId82"/>
    <sheet name="RP 068" sheetId="104" r:id="rId83"/>
    <sheet name="RP 069" sheetId="163" r:id="rId84"/>
    <sheet name="RP 070" sheetId="164" r:id="rId85"/>
    <sheet name="RP 071" sheetId="177" r:id="rId86"/>
    <sheet name="RP 072" sheetId="122" r:id="rId87"/>
    <sheet name="RP 073" sheetId="168" r:id="rId88"/>
    <sheet name="RP 074" sheetId="106" r:id="rId89"/>
    <sheet name="RP 075" sheetId="179" r:id="rId90"/>
    <sheet name="RP 076" sheetId="123" r:id="rId91"/>
    <sheet name="RP 077" sheetId="180" r:id="rId92"/>
    <sheet name="RP 078" sheetId="105" r:id="rId93"/>
    <sheet name="RP 079" sheetId="169" r:id="rId94"/>
    <sheet name="RP 080" sheetId="107" r:id="rId95"/>
    <sheet name="RP 081" sheetId="108" r:id="rId96"/>
    <sheet name="RP 082" sheetId="109" r:id="rId97"/>
    <sheet name="RP 083" sheetId="71" r:id="rId98"/>
    <sheet name="RP 084" sheetId="131" r:id="rId99"/>
    <sheet name="RP 085" sheetId="130" r:id="rId100"/>
    <sheet name="RP 086" sheetId="129" r:id="rId101"/>
    <sheet name="RP 087" sheetId="128" r:id="rId102"/>
    <sheet name="RP 088" sheetId="127" r:id="rId103"/>
    <sheet name="RP 089" sheetId="62" r:id="rId104"/>
    <sheet name="RP 090" sheetId="126" r:id="rId105"/>
    <sheet name="RP 091" sheetId="136" r:id="rId106"/>
    <sheet name="RP 092" sheetId="135" r:id="rId107"/>
    <sheet name="RP 093" sheetId="134" r:id="rId108"/>
    <sheet name="RP 094" sheetId="133" r:id="rId109"/>
    <sheet name="RP 095" sheetId="132" r:id="rId110"/>
    <sheet name="0001" sheetId="125" r:id="rId111"/>
    <sheet name="0000" sheetId="110" r:id="rId112"/>
    <sheet name="GT_Custom" sheetId="147" state="hidden" r:id="rId113"/>
  </sheets>
  <externalReferences>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s>
  <definedNames>
    <definedName name="_">[1]低值易耗品!$A$1:$I$225</definedName>
    <definedName name="_.dbf">'[2]12进销存'!$A$3:$Q$235</definedName>
    <definedName name="_0.dbf">[3]累计销售!$A$6:$E$62</definedName>
    <definedName name="_11">[4]其他业务利润!$A$5:$G$12</definedName>
    <definedName name="_999年12月31日股份应收帐款.dbf" localSheetId="87">#REF!</definedName>
    <definedName name="_999年12月31日股份应收帐款.dbf" localSheetId="93">#REF!</definedName>
    <definedName name="_999年12月31日股份应收帐款.dbf">#REF!</definedName>
    <definedName name="_xlnm._FilterDatabase" localSheetId="2" hidden="1">'RP 001'!$A$3:$E$6</definedName>
    <definedName name="_Hlk533511527" localSheetId="18">'RP 016'!$A$42</definedName>
    <definedName name="_Hlk533597423" localSheetId="18">'RP 016'!$A$57</definedName>
    <definedName name="a" localSheetId="87">#REF!</definedName>
    <definedName name="a" localSheetId="93">#REF!</definedName>
    <definedName name="a">#REF!</definedName>
    <definedName name="AFSDGEGQ" localSheetId="87">#REF!</definedName>
    <definedName name="AFSDGEGQ" localSheetId="93">#REF!</definedName>
    <definedName name="AFSDGEGQ">#REF!</definedName>
    <definedName name="ASDFA" localSheetId="87">#REF!</definedName>
    <definedName name="ASDFA" localSheetId="93">#REF!</definedName>
    <definedName name="ASDFA">#REF!</definedName>
    <definedName name="ASFDA" localSheetId="87">#REF!</definedName>
    <definedName name="ASFDA" localSheetId="93">#REF!</definedName>
    <definedName name="ASFDA">#REF!</definedName>
    <definedName name="clah" localSheetId="87">#REF!</definedName>
    <definedName name="clah" localSheetId="93">#REF!</definedName>
    <definedName name="clah">#REF!</definedName>
    <definedName name="clz" localSheetId="87">#REF!</definedName>
    <definedName name="clz" localSheetId="93">#REF!</definedName>
    <definedName name="clz">#REF!</definedName>
    <definedName name="_xlnm.Database">[5]Sheet1!$A$1:$L$6066</definedName>
    <definedName name="fuck" localSheetId="87">[6]资产负债表!#REF!</definedName>
    <definedName name="fuck" localSheetId="93">[6]资产负债表!#REF!</definedName>
    <definedName name="fuck">[6]资产负债表!#REF!</definedName>
    <definedName name="OLE_LINK1" localSheetId="109">'RP 095'!$A$32</definedName>
    <definedName name="OLE_LINK2" localSheetId="109">'RP 095'!$A$35</definedName>
    <definedName name="OLE_LINK4" localSheetId="109">'RP 095'!$A$29</definedName>
    <definedName name="OLE_LINK9" localSheetId="109">'RP 095'!$A$33</definedName>
    <definedName name="_xlnm.Print_Area" localSheetId="2">'RP 001'!$A$1:$B$75</definedName>
    <definedName name="_xlnm.Print_Area" localSheetId="3">'RP 002-1'!$A$1:$D$42</definedName>
    <definedName name="_xlnm.Print_Area" localSheetId="4">'RP 002-2'!$A$1:$D$48</definedName>
    <definedName name="_xlnm.Print_Area" localSheetId="5">'RP 003 '!$A$1:$F$62</definedName>
    <definedName name="_xlnm.Print_Area" localSheetId="6">'RP 004 '!$A$1:$I$48</definedName>
    <definedName name="_xlnm.Print_Area" localSheetId="7">'RP 005'!$A$1:$AA$38</definedName>
    <definedName name="_xlnm.Print_Area" localSheetId="8">'RP 006'!$A$1:$U$275</definedName>
    <definedName name="_xlnm.Print_Area" localSheetId="9">'RP 007'!$A$1:$L$40</definedName>
    <definedName name="_xlnm.Print_Area" localSheetId="10">'RP 008'!$A$1:$U$37</definedName>
    <definedName name="_xlnm.Print_Area" localSheetId="11">'RP 009'!$A$1:$G$22</definedName>
    <definedName name="_xlnm.Print_Area" localSheetId="12">'RP 010'!$A$1:$I$44</definedName>
    <definedName name="_xlnm.Print_Area" localSheetId="13">'RP 011'!$A$1:$K$41</definedName>
    <definedName name="_xlnm.Print_Area" localSheetId="14">'RP 012'!$A$1:$D$31</definedName>
    <definedName name="_xlnm.Print_Area" localSheetId="16">'RP 014'!$A$1:$B$21</definedName>
    <definedName name="_xlnm.Print_Area" localSheetId="17">'RP 015'!$A$1:$B$15</definedName>
    <definedName name="_xlnm.Print_Area" localSheetId="18">'RP 016'!$A$1:$K$87</definedName>
    <definedName name="_xlnm.Print_Area" localSheetId="19">'RP 017'!$A$1:$F$89</definedName>
    <definedName name="_xlnm.Print_Area" localSheetId="21">'RP 019'!$A$1:$C$27</definedName>
    <definedName name="_xlnm.Print_Area" localSheetId="23">'RP 020-1'!$A$1:$E$20</definedName>
    <definedName name="_xlnm.Print_Area" localSheetId="24">'RP 020-2'!$A$1:$E$20</definedName>
    <definedName name="_xlnm.Print_Area" localSheetId="25">'RP 020-3'!$A$1:$F$97</definedName>
    <definedName name="_xlnm.Print_Area" localSheetId="26">'RP 021'!$A$1:$G$44</definedName>
    <definedName name="_xlnm.Print_Area" localSheetId="29">'RP 024'!$A$1:$B$17</definedName>
    <definedName name="_xlnm.Print_Area" localSheetId="30">'RP 025'!$A$1:$B$20</definedName>
    <definedName name="_xlnm.Print_Area" localSheetId="32">'RP 027'!$A$1:$K$16</definedName>
    <definedName name="_xlnm.Print_Area" localSheetId="33">'RP 028'!$A$1:$I$81</definedName>
    <definedName name="_xlnm.Print_Area" localSheetId="34">'RP 029'!$A$1:$F$26</definedName>
    <definedName name="_xlnm.Print_Area" localSheetId="35">'RP 030'!$A$1:$K$98</definedName>
    <definedName name="_xlnm.Print_Area" localSheetId="36">'RP 031'!$A$1:$E$13</definedName>
    <definedName name="_xlnm.Print_Area" localSheetId="37">'RP 032'!$A$1:$L$138</definedName>
    <definedName name="_xlnm.Print_Area" localSheetId="40">'RP 035'!$A$1:$E$73</definedName>
    <definedName name="_xlnm.Print_Area" localSheetId="42">'RP 036-1'!$A$1:$F$88</definedName>
    <definedName name="_xlnm.Print_Area" localSheetId="43">'RP 036-2'!$A$1:$C$11</definedName>
    <definedName name="_xlnm.Print_Area" localSheetId="45">'RP 037-1'!$A$1:$I$36</definedName>
    <definedName name="_xlnm.Print_Area" localSheetId="46">'RP 037-2'!$A$1:$B$14</definedName>
    <definedName name="_xlnm.Print_Area" localSheetId="47">'RP 038'!$A$1:$J$61</definedName>
    <definedName name="_xlnm.Print_Area" localSheetId="48">'RP 039'!$A$1:$F$72</definedName>
    <definedName name="_xlnm.Print_Area" localSheetId="49">'RP 040'!$A$1:$G$20</definedName>
    <definedName name="_xlnm.Print_Area" localSheetId="50">'RP 041'!$A$1:$G$23</definedName>
    <definedName name="_xlnm.Print_Area" localSheetId="51">'RP 042'!$A$1:$F$13</definedName>
    <definedName name="_xlnm.Print_Area" localSheetId="52">'RP 043'!$A$1:$E$50</definedName>
    <definedName name="_xlnm.Print_Area" localSheetId="53">'RP 044'!$A$1:$B$19</definedName>
    <definedName name="_xlnm.Print_Area" localSheetId="54">'RP 045'!$A$1:$F$18</definedName>
    <definedName name="_xlnm.Print_Area" localSheetId="55">'RP 046'!$A$1:$C$11</definedName>
    <definedName name="_xlnm.Print_Area" localSheetId="56">'RP 047'!$A$1:$G$25</definedName>
    <definedName name="_xlnm.Print_Area" localSheetId="58">'RP 049'!$A$1:$B$19</definedName>
    <definedName name="_xlnm.Print_Area" localSheetId="59">'RP 050'!$A$1:$B$14</definedName>
    <definedName name="_xlnm.Print_Area" localSheetId="60">'RP 051'!$A$1:$B$11</definedName>
    <definedName name="_xlnm.Print_Area" localSheetId="61">'RP 052'!$A$1:$C$16</definedName>
    <definedName name="_xlnm.Print_Area" localSheetId="62">'RP 053'!$A$1:$C$30</definedName>
    <definedName name="_xlnm.Print_Area" localSheetId="64">'RP 055'!$A$1:$E$62</definedName>
    <definedName name="_xlnm.Print_Area" localSheetId="65">'RP 056'!$A$1:$E$22</definedName>
    <definedName name="_xlnm.Print_Area" localSheetId="67">'RP 057-1'!$A$1:$C$21</definedName>
    <definedName name="_xlnm.Print_Area" localSheetId="68">'RP 057-2'!$A$1:$C$19</definedName>
    <definedName name="_xlnm.Print_Area" localSheetId="69">'RP 057-3'!$A$1:$C$22</definedName>
    <definedName name="_xlnm.Print_Area" localSheetId="70">'RP 058'!$A$1:$I$48</definedName>
    <definedName name="_xlnm.Print_Area" localSheetId="71">'RP 059'!$A$1:$G$40</definedName>
    <definedName name="_xlnm.Print_Area" localSheetId="72">'RP 060'!$A$1:$E$29</definedName>
    <definedName name="_xlnm.Print_Area" localSheetId="73">'RP 061'!$A$1:$I$45</definedName>
    <definedName name="_xlnm.Print_Area" localSheetId="75">'RP 062-1'!$A$1:$D$16</definedName>
    <definedName name="_xlnm.Print_Area" localSheetId="76">'RP 062-2'!$A$1:$F$14</definedName>
    <definedName name="_xlnm.Print_Area" localSheetId="77">'RP 063'!$A$1:$D$104</definedName>
    <definedName name="_xlnm.Print_Area" localSheetId="78">'RP 064'!$A$1:$C$17</definedName>
    <definedName name="_xlnm.Print_Area" localSheetId="79">'RP 065'!$A$1:$G$24</definedName>
    <definedName name="_xlnm.Print_Area" localSheetId="80">'RP 066'!$A$1:$B$11</definedName>
    <definedName name="_xlnm.Print_Area" localSheetId="81">'RP 067'!$A$1:$E$45</definedName>
    <definedName name="_xlnm.Print_Area" localSheetId="82">'RP 068'!$A$1:$C$17</definedName>
    <definedName name="_xlnm.Print_Area" localSheetId="83">'RP 069'!$A$1:$B$12</definedName>
    <definedName name="_xlnm.Print_Area" localSheetId="84">'RP 070'!$A$1:$B$12</definedName>
    <definedName name="_xlnm.Print_Area" localSheetId="86">'RP 072'!$A$1:$B$17</definedName>
    <definedName name="_xlnm.Print_Area" localSheetId="87">'RP 073'!$A$1:$D$19</definedName>
    <definedName name="_xlnm.Print_Area" localSheetId="88">'RP 074'!$A$1:$B$25</definedName>
    <definedName name="_xlnm.Print_Area" localSheetId="90">'RP 076'!$A$1:$B$12</definedName>
    <definedName name="_xlnm.Print_Area" localSheetId="92">'RP 078'!$A$1:$B$21</definedName>
    <definedName name="_xlnm.Print_Area" localSheetId="93">'RP 079'!$A$1:$C$19</definedName>
    <definedName name="_xlnm.Print_Area" localSheetId="94">'RP 080'!$A$1:$D$19</definedName>
    <definedName name="_xlnm.Print_Area" localSheetId="95">'RP 081'!$A$1:$C$18</definedName>
    <definedName name="_xlnm.Print_Area" localSheetId="96">'RP 082'!$A$1:$B$34</definedName>
    <definedName name="_xlnm.Print_Area" localSheetId="97">'RP 083'!$A$1:$B$21</definedName>
    <definedName name="_xlnm.Print_Area" localSheetId="98">'RP 084'!$A$1:$B$22</definedName>
    <definedName name="_xlnm.Print_Area" localSheetId="99">'RP 085'!$A$1:$B$21</definedName>
    <definedName name="_xlnm.Print_Area" localSheetId="100">'RP 086'!$A$1:$B$21</definedName>
    <definedName name="_xlnm.Print_Area" localSheetId="101">'RP 087'!$A$1:$B$21</definedName>
    <definedName name="_xlnm.Print_Area" localSheetId="102">'RP 088'!$A$1:$B$21</definedName>
    <definedName name="_xlnm.Print_Area" localSheetId="103">'RP 089'!$A$1:$B$83</definedName>
    <definedName name="_xlnm.Print_Area" localSheetId="105">'RP 091'!$A$1:$D$11</definedName>
    <definedName name="_xlnm.Print_Area" localSheetId="106">'RP 092'!$A$1:$D$9</definedName>
    <definedName name="_xlnm.Print_Area" localSheetId="107">'RP 093'!$A$1:$D$11</definedName>
    <definedName name="_xlnm.Print_Area" localSheetId="108">'RP 094'!$A$1:$I$168</definedName>
    <definedName name="_xlnm.Print_Area" localSheetId="109">'RP 095'!$A$1:$B$36</definedName>
    <definedName name="_xlnm.Print_Area" localSheetId="1">基础信息!$A$1:$D$31</definedName>
    <definedName name="_xlnm.Print_Area" localSheetId="0">目录!$A$1:$E$118</definedName>
    <definedName name="Print_Area_MI" localSheetId="5">#REF!</definedName>
    <definedName name="Print_Area_MI" localSheetId="6">#REF!</definedName>
    <definedName name="Print_Area_MI" localSheetId="87">#REF!</definedName>
    <definedName name="Print_Area_MI" localSheetId="93">#REF!</definedName>
    <definedName name="Print_Area_MI">#REF!</definedName>
    <definedName name="_xlnm.Print_Titles" localSheetId="111">'0000'!$1:$3</definedName>
    <definedName name="_xlnm.Print_Titles" localSheetId="110">'0001'!$1:$2</definedName>
    <definedName name="_xlnm.Print_Titles" localSheetId="2">'RP 001'!$1:$3</definedName>
    <definedName name="_xlnm.Print_Titles" localSheetId="7">'RP 005'!$A:$A</definedName>
    <definedName name="_xlnm.Print_Titles" localSheetId="8">'RP 006'!$A:$A</definedName>
    <definedName name="_xlnm.Print_Titles" localSheetId="10">'RP 008'!$A:$A</definedName>
    <definedName name="_xlnm.Print_Titles" localSheetId="11">'RP 009'!$A:$B</definedName>
    <definedName name="_xlnm.Print_Titles" localSheetId="12">'RP 010'!$1:$3</definedName>
    <definedName name="_xlnm.Print_Titles" localSheetId="13">'RP 011'!$1:$3</definedName>
    <definedName name="_xlnm.Print_Titles" localSheetId="14">'RP 012'!$1:$3</definedName>
    <definedName name="_xlnm.Print_Titles" localSheetId="19">'RP 017'!$1:$3</definedName>
    <definedName name="_xlnm.Print_Titles" localSheetId="25">'RP 020-3'!$1:$3</definedName>
    <definedName name="_xlnm.Print_Titles" localSheetId="26">'RP 021'!$1:$3</definedName>
    <definedName name="_xlnm.Print_Titles" localSheetId="32">'RP 027'!$1:$3</definedName>
    <definedName name="_xlnm.Print_Titles" localSheetId="34">'RP 029'!$1:$3</definedName>
    <definedName name="_xlnm.Print_Titles" localSheetId="37">'RP 032'!$1:$2</definedName>
    <definedName name="_xlnm.Print_Titles" localSheetId="40">'RP 035'!$1:$3</definedName>
    <definedName name="_xlnm.Print_Titles" localSheetId="42">'RP 036-1'!$1:$3</definedName>
    <definedName name="_xlnm.Print_Titles" localSheetId="48">'RP 039'!$1:$3</definedName>
    <definedName name="_xlnm.Print_Titles" localSheetId="49">'RP 040'!$1:$2</definedName>
    <definedName name="_xlnm.Print_Titles" localSheetId="50">'RP 041'!$1:$3</definedName>
    <definedName name="_xlnm.Print_Titles" localSheetId="51">'RP 042'!$1:$3</definedName>
    <definedName name="_xlnm.Print_Titles" localSheetId="52">'RP 043'!$1:$3</definedName>
    <definedName name="_xlnm.Print_Titles" localSheetId="53">'RP 044'!$1:$3</definedName>
    <definedName name="_xlnm.Print_Titles" localSheetId="54">'RP 045'!$1:$3</definedName>
    <definedName name="_xlnm.Print_Titles" localSheetId="55">'RP 046'!$1:$3</definedName>
    <definedName name="_xlnm.Print_Titles" localSheetId="56">'RP 047'!$1:$3</definedName>
    <definedName name="_xlnm.Print_Titles" localSheetId="58">'RP 049'!$1:$3</definedName>
    <definedName name="_xlnm.Print_Titles" localSheetId="60">'RP 051'!$1:$3</definedName>
    <definedName name="_xlnm.Print_Titles" localSheetId="61">'RP 052'!$1:$2</definedName>
    <definedName name="_xlnm.Print_Titles" localSheetId="62">'RP 053'!$1:$3</definedName>
    <definedName name="_xlnm.Print_Titles" localSheetId="64">'RP 055'!$1:$3</definedName>
    <definedName name="_xlnm.Print_Titles" localSheetId="65">'RP 056'!$1:$3</definedName>
    <definedName name="_xlnm.Print_Titles" localSheetId="68">'RP 057-2'!$1:$2</definedName>
    <definedName name="_xlnm.Print_Titles" localSheetId="70">'RP 058'!$1:$3</definedName>
    <definedName name="_xlnm.Print_Titles" localSheetId="72">'RP 060'!$1:$3</definedName>
    <definedName name="_xlnm.Print_Titles" localSheetId="75">'RP 062-1'!$1:$3</definedName>
    <definedName name="_xlnm.Print_Titles" localSheetId="76">'RP 062-2'!$1:$3</definedName>
    <definedName name="_xlnm.Print_Titles" localSheetId="78">'RP 064'!$1:$3</definedName>
    <definedName name="_xlnm.Print_Titles" localSheetId="81">'RP 067'!$1:$3</definedName>
    <definedName name="_xlnm.Print_Titles" localSheetId="82">'RP 068'!$1:$3</definedName>
    <definedName name="_xlnm.Print_Titles" localSheetId="86">'RP 072'!$1:$3</definedName>
    <definedName name="_xlnm.Print_Titles" localSheetId="87">'RP 073'!$1:$3</definedName>
    <definedName name="_xlnm.Print_Titles" localSheetId="88">'RP 074'!$1:$3</definedName>
    <definedName name="_xlnm.Print_Titles" localSheetId="90">'RP 076'!$1:$3</definedName>
    <definedName name="_xlnm.Print_Titles" localSheetId="92">'RP 078'!$1:$3</definedName>
    <definedName name="_xlnm.Print_Titles" localSheetId="93">'RP 079'!$1:$3</definedName>
    <definedName name="_xlnm.Print_Titles" localSheetId="94">'RP 080'!$1:$3</definedName>
    <definedName name="_xlnm.Print_Titles" localSheetId="95">'RP 081'!$1:$3</definedName>
    <definedName name="_xlnm.Print_Titles" localSheetId="96">'RP 082'!$1:$3</definedName>
    <definedName name="_xlnm.Print_Titles" localSheetId="97">'RP 083'!$1:$3</definedName>
    <definedName name="_xlnm.Print_Titles" localSheetId="98">'RP 084'!$1:$3</definedName>
    <definedName name="_xlnm.Print_Titles" localSheetId="99">'RP 085'!$1:$3</definedName>
    <definedName name="_xlnm.Print_Titles" localSheetId="100">'RP 086'!$1:$3</definedName>
    <definedName name="_xlnm.Print_Titles" localSheetId="101">'RP 087'!$1:$3</definedName>
    <definedName name="_xlnm.Print_Titles" localSheetId="102">'RP 088'!$1:$3</definedName>
    <definedName name="_xlnm.Print_Titles" localSheetId="103">'RP 089'!$1:$3</definedName>
    <definedName name="_xlnm.Print_Titles" localSheetId="104">'RP 090'!$1:$3</definedName>
    <definedName name="_xlnm.Print_Titles" localSheetId="105">'RP 091'!$1:$3</definedName>
    <definedName name="_xlnm.Print_Titles" localSheetId="106">'RP 092'!$1:$3</definedName>
    <definedName name="_xlnm.Print_Titles" localSheetId="107">'RP 093'!$1:$2</definedName>
    <definedName name="_xlnm.Print_Titles" localSheetId="108">'RP 094'!$1:$3</definedName>
    <definedName name="_xlnm.Print_Titles" localSheetId="109">'RP 095'!$1:$2</definedName>
    <definedName name="SD" localSheetId="87">#REF!</definedName>
    <definedName name="SD" localSheetId="93">#REF!</definedName>
    <definedName name="SD">#REF!</definedName>
    <definedName name="SDF" localSheetId="87">#REF!</definedName>
    <definedName name="SDF" localSheetId="93">#REF!</definedName>
    <definedName name="SDF">#REF!</definedName>
    <definedName name="SDFA" localSheetId="87">#REF!</definedName>
    <definedName name="SDFA" localSheetId="93">#REF!</definedName>
    <definedName name="SDFA">#REF!</definedName>
    <definedName name="SDFSD" localSheetId="87">#REF!</definedName>
    <definedName name="SDFSD" localSheetId="93">#REF!</definedName>
    <definedName name="SDFSD">#REF!</definedName>
    <definedName name="SF" localSheetId="87">#REF!</definedName>
    <definedName name="SF" localSheetId="93">#REF!</definedName>
    <definedName name="SF">#REF!</definedName>
    <definedName name="Sheet1" localSheetId="87">#REF!</definedName>
    <definedName name="Sheet1" localSheetId="93">#REF!</definedName>
    <definedName name="Sheet1">#REF!</definedName>
    <definedName name="Sheet10" localSheetId="87">#REF!</definedName>
    <definedName name="Sheet10" localSheetId="93">#REF!</definedName>
    <definedName name="Sheet10">#REF!</definedName>
    <definedName name="Sheet11" localSheetId="87">#REF!</definedName>
    <definedName name="Sheet11" localSheetId="93">#REF!</definedName>
    <definedName name="Sheet11">#REF!</definedName>
    <definedName name="Sheet12" localSheetId="87">#REF!</definedName>
    <definedName name="Sheet12" localSheetId="93">#REF!</definedName>
    <definedName name="Sheet12">#REF!</definedName>
    <definedName name="Sheet2" localSheetId="87">#REF!</definedName>
    <definedName name="Sheet2" localSheetId="93">#REF!</definedName>
    <definedName name="Sheet2">#REF!</definedName>
    <definedName name="Sheet3" localSheetId="87">#REF!</definedName>
    <definedName name="Sheet3" localSheetId="93">#REF!</definedName>
    <definedName name="Sheet3">#REF!</definedName>
    <definedName name="Sheet4" localSheetId="87">#REF!</definedName>
    <definedName name="Sheet4" localSheetId="93">#REF!</definedName>
    <definedName name="Sheet4">#REF!</definedName>
    <definedName name="Sheet5" localSheetId="87">#REF!</definedName>
    <definedName name="Sheet5" localSheetId="93">#REF!</definedName>
    <definedName name="Sheet5">#REF!</definedName>
    <definedName name="Sheet6" localSheetId="87">#REF!</definedName>
    <definedName name="Sheet6" localSheetId="93">#REF!</definedName>
    <definedName name="Sheet6">#REF!</definedName>
    <definedName name="Sheet7" localSheetId="87">#REF!</definedName>
    <definedName name="Sheet7" localSheetId="93">#REF!</definedName>
    <definedName name="Sheet7">#REF!</definedName>
    <definedName name="Sheet8" localSheetId="87">#REF!</definedName>
    <definedName name="Sheet8" localSheetId="93">#REF!</definedName>
    <definedName name="Sheet8">#REF!</definedName>
    <definedName name="Sheet9" localSheetId="87">#REF!</definedName>
    <definedName name="Sheet9" localSheetId="93">#REF!</definedName>
    <definedName name="Sheet9">#REF!</definedName>
    <definedName name="UFPrn20020401095545" localSheetId="87">#REF!</definedName>
    <definedName name="UFPrn20020401095545" localSheetId="93">#REF!</definedName>
    <definedName name="UFPrn20020401095545">#REF!</definedName>
    <definedName name="UFPrn20020401101840" localSheetId="87">#REF!</definedName>
    <definedName name="UFPrn20020401101840" localSheetId="93">#REF!</definedName>
    <definedName name="UFPrn20020401101840">#REF!</definedName>
    <definedName name="UFPrn20020426154224" localSheetId="87">#REF!</definedName>
    <definedName name="UFPrn20020426154224" localSheetId="93">#REF!</definedName>
    <definedName name="UFPrn20020426154224">#REF!</definedName>
    <definedName name="UFPrn20020505140011" localSheetId="87">#REF!</definedName>
    <definedName name="UFPrn20020505140011" localSheetId="93">#REF!</definedName>
    <definedName name="UFPrn20020505140011">#REF!</definedName>
    <definedName name="UFPrn20021211154046" localSheetId="87">#REF!</definedName>
    <definedName name="UFPrn20021211154046" localSheetId="93">#REF!</definedName>
    <definedName name="UFPrn20021211154046">#REF!</definedName>
    <definedName name="UFPrn20021212110637" localSheetId="87">#REF!</definedName>
    <definedName name="UFPrn20021212110637" localSheetId="93">#REF!</definedName>
    <definedName name="UFPrn20021212110637">#REF!</definedName>
    <definedName name="UFPrn20021215115314" localSheetId="87">#REF!</definedName>
    <definedName name="UFPrn20021215115314" localSheetId="93">#REF!</definedName>
    <definedName name="UFPrn20021215115314">#REF!</definedName>
    <definedName name="UFPrn20021231120652">[7]库存商品!$A$2:$L$45</definedName>
    <definedName name="UFPrn20021231153901" localSheetId="5">#REF!</definedName>
    <definedName name="UFPrn20021231153901" localSheetId="6">#REF!</definedName>
    <definedName name="UFPrn20021231153901" localSheetId="87">#REF!</definedName>
    <definedName name="UFPrn20021231153901" localSheetId="93">#REF!</definedName>
    <definedName name="UFPrn20021231153901">#REF!</definedName>
    <definedName name="UFPrn20021231153931" localSheetId="5">#REF!</definedName>
    <definedName name="UFPrn20021231153931" localSheetId="6">#REF!</definedName>
    <definedName name="UFPrn20021231153931" localSheetId="87">#REF!</definedName>
    <definedName name="UFPrn20021231153931" localSheetId="93">#REF!</definedName>
    <definedName name="UFPrn20021231153931">#REF!</definedName>
    <definedName name="UFPrn20030101131222" localSheetId="5">#REF!</definedName>
    <definedName name="UFPrn20030101131222" localSheetId="6">#REF!</definedName>
    <definedName name="UFPrn20030101131222" localSheetId="87">#REF!</definedName>
    <definedName name="UFPrn20030101131222" localSheetId="93">#REF!</definedName>
    <definedName name="UFPrn20030101131222">#REF!</definedName>
    <definedName name="UFPrn20030108143349" localSheetId="87">#REF!</definedName>
    <definedName name="UFPrn20030108143349" localSheetId="93">#REF!</definedName>
    <definedName name="UFPrn20030108143349">#REF!</definedName>
    <definedName name="UFPrn20030108143430" localSheetId="87">#REF!</definedName>
    <definedName name="UFPrn20030108143430" localSheetId="93">#REF!</definedName>
    <definedName name="UFPrn20030108143430">#REF!</definedName>
    <definedName name="UFPrn20030108143449" localSheetId="87">#REF!</definedName>
    <definedName name="UFPrn20030108143449" localSheetId="93">#REF!</definedName>
    <definedName name="UFPrn20030108143449">#REF!</definedName>
    <definedName name="UFPrn20030108143510" localSheetId="87">#REF!</definedName>
    <definedName name="UFPrn20030108143510" localSheetId="93">#REF!</definedName>
    <definedName name="UFPrn20030108143510">#REF!</definedName>
    <definedName name="UFPrn20030108143540" localSheetId="87">#REF!</definedName>
    <definedName name="UFPrn20030108143540" localSheetId="93">#REF!</definedName>
    <definedName name="UFPrn20030108143540">#REF!</definedName>
    <definedName name="UFPrn20030121112733" localSheetId="87">#REF!</definedName>
    <definedName name="UFPrn20030121112733" localSheetId="93">#REF!</definedName>
    <definedName name="UFPrn20030121112733">#REF!</definedName>
    <definedName name="UFPrn20030121113420" localSheetId="87">#REF!</definedName>
    <definedName name="UFPrn20030121113420" localSheetId="93">#REF!</definedName>
    <definedName name="UFPrn20030121113420">#REF!</definedName>
    <definedName name="UFPrn20030121113601" localSheetId="87">#REF!</definedName>
    <definedName name="UFPrn20030121113601" localSheetId="93">#REF!</definedName>
    <definedName name="UFPrn20030121113601">#REF!</definedName>
    <definedName name="UFPrn20030405184606" localSheetId="87">[8]累计产销存!#REF!</definedName>
    <definedName name="UFPrn20030405184606" localSheetId="93">[8]累计产销存!#REF!</definedName>
    <definedName name="UFPrn20030405184606">[8]累计产销存!#REF!</definedName>
    <definedName name="UFPrn20030707">[9]产销存!$A$1:$L$121</definedName>
    <definedName name="UFPrn20030707094418">'[9]1-6累计销售'!$A$5:$D$108</definedName>
    <definedName name="UFPrn20030707094844">[9]收入个月!$A$1:$E$9</definedName>
    <definedName name="UFPrn20030708103946" localSheetId="5">#REF!</definedName>
    <definedName name="UFPrn20030708103946" localSheetId="6">#REF!</definedName>
    <definedName name="UFPrn20030708103946" localSheetId="87">#REF!</definedName>
    <definedName name="UFPrn20030708103946" localSheetId="93">#REF!</definedName>
    <definedName name="UFPrn20030708103946">#REF!</definedName>
    <definedName name="UFPrn20030708115247" localSheetId="87">[10]暂估!#REF!</definedName>
    <definedName name="UFPrn20030708115247" localSheetId="93">[10]暂估!#REF!</definedName>
    <definedName name="UFPrn20030708115247">[10]暂估!#REF!</definedName>
    <definedName name="UFPrn20030710142822" localSheetId="5">#REF!</definedName>
    <definedName name="UFPrn20030710142822" localSheetId="6">#REF!</definedName>
    <definedName name="UFPrn20030710142822" localSheetId="87">#REF!</definedName>
    <definedName name="UFPrn20030710142822" localSheetId="93">#REF!</definedName>
    <definedName name="UFPrn20030710142822">#REF!</definedName>
    <definedName name="UFPrn20030724152833">[4]其他材料收入重复!$A$5:$E$47</definedName>
    <definedName name="UFPrn20030725102651">[11]三兴2!$A$1:$L$93</definedName>
    <definedName name="UFPrn20030803102757" localSheetId="5">#REF!</definedName>
    <definedName name="UFPrn20030803102757" localSheetId="6">#REF!</definedName>
    <definedName name="UFPrn20030803102757" localSheetId="87">#REF!</definedName>
    <definedName name="UFPrn20030803102757" localSheetId="93">#REF!</definedName>
    <definedName name="UFPrn20030803102757">#REF!</definedName>
    <definedName name="UFPrn20030803103640" localSheetId="5">#REF!</definedName>
    <definedName name="UFPrn20030803103640" localSheetId="6">#REF!</definedName>
    <definedName name="UFPrn20030803103640" localSheetId="87">#REF!</definedName>
    <definedName name="UFPrn20030803103640" localSheetId="93">#REF!</definedName>
    <definedName name="UFPrn20030803103640">#REF!</definedName>
    <definedName name="UFPrn20031217161107">[4]其他材料收入账!$A$1:$H$212</definedName>
    <definedName name="UFPrn20031222111731">'[12]7-11销售'!$A$4:$D$328</definedName>
    <definedName name="UFPrn20031222111756" localSheetId="5">#REF!</definedName>
    <definedName name="UFPrn20031222111756" localSheetId="6">#REF!</definedName>
    <definedName name="UFPrn20031222111756" localSheetId="87">#REF!</definedName>
    <definedName name="UFPrn20031222111756" localSheetId="93">#REF!</definedName>
    <definedName name="UFPrn20031222111756">#REF!</definedName>
    <definedName name="UFPrn20031224132653" localSheetId="5">#REF!</definedName>
    <definedName name="UFPrn20031224132653" localSheetId="6">#REF!</definedName>
    <definedName name="UFPrn20031224132653" localSheetId="87">#REF!</definedName>
    <definedName name="UFPrn20031224132653" localSheetId="93">#REF!</definedName>
    <definedName name="UFPrn20031224132653">#REF!</definedName>
    <definedName name="UFPrn20040107090736" localSheetId="5">#REF!</definedName>
    <definedName name="UFPrn20040107090736" localSheetId="6">#REF!</definedName>
    <definedName name="UFPrn20040107090736" localSheetId="87">#REF!</definedName>
    <definedName name="UFPrn20040107090736" localSheetId="93">#REF!</definedName>
    <definedName name="UFPrn20040107090736">#REF!</definedName>
    <definedName name="UFPrn20040130135647">[13]应收账款余额表!$A$3:$I$51</definedName>
    <definedName name="UFPrn20040130135908" localSheetId="5">#REF!</definedName>
    <definedName name="UFPrn20040130135908" localSheetId="6">#REF!</definedName>
    <definedName name="UFPrn20040130135908" localSheetId="87">#REF!</definedName>
    <definedName name="UFPrn20040130135908" localSheetId="93">#REF!</definedName>
    <definedName name="UFPrn20040130135908">#REF!</definedName>
    <definedName name="UFPrn20040131053615" localSheetId="5">#REF!</definedName>
    <definedName name="UFPrn20040131053615" localSheetId="6">#REF!</definedName>
    <definedName name="UFPrn20040131053615" localSheetId="87">#REF!</definedName>
    <definedName name="UFPrn20040131053615" localSheetId="93">#REF!</definedName>
    <definedName name="UFPrn20040131053615">#REF!</definedName>
    <definedName name="UFPrn20040131053651" localSheetId="5">#REF!</definedName>
    <definedName name="UFPrn20040131053651" localSheetId="6">#REF!</definedName>
    <definedName name="UFPrn20040131053651" localSheetId="87">#REF!</definedName>
    <definedName name="UFPrn20040131053651" localSheetId="93">#REF!</definedName>
    <definedName name="UFPrn20040131053651">#REF!</definedName>
    <definedName name="UFPrn20040131054353" localSheetId="87">#REF!</definedName>
    <definedName name="UFPrn20040131054353" localSheetId="93">#REF!</definedName>
    <definedName name="UFPrn20040131054353">#REF!</definedName>
    <definedName name="UFPrn20040131091548">[13]所得税明细表!$A$6:$H$12</definedName>
    <definedName name="UFPrn20040206173159">[4]预收!$A$1:$L$108</definedName>
    <definedName name="UFPrn2004020701" localSheetId="5">#REF!</definedName>
    <definedName name="UFPrn2004020701" localSheetId="6">#REF!</definedName>
    <definedName name="UFPrn2004020701" localSheetId="87">#REF!</definedName>
    <definedName name="UFPrn2004020701" localSheetId="93">#REF!</definedName>
    <definedName name="UFPrn2004020701">#REF!</definedName>
    <definedName name="UFPrn20040621112158" localSheetId="5">#REF!</definedName>
    <definedName name="UFPrn20040621112158" localSheetId="6">#REF!</definedName>
    <definedName name="UFPrn20040621112158" localSheetId="87">#REF!</definedName>
    <definedName name="UFPrn20040621112158" localSheetId="93">#REF!</definedName>
    <definedName name="UFPrn20040621112158">#REF!</definedName>
    <definedName name="UFPrn20040621113550" localSheetId="5">#REF!</definedName>
    <definedName name="UFPrn20040621113550" localSheetId="6">#REF!</definedName>
    <definedName name="UFPrn20040621113550" localSheetId="87">#REF!</definedName>
    <definedName name="UFPrn20040621113550" localSheetId="93">#REF!</definedName>
    <definedName name="UFPrn20040621113550">#REF!</definedName>
    <definedName name="UFPrn20040621113840" localSheetId="87">#REF!</definedName>
    <definedName name="UFPrn20040621113840" localSheetId="93">#REF!</definedName>
    <definedName name="UFPrn20040621113840">#REF!</definedName>
    <definedName name="UFPrn20040621113927" localSheetId="87">#REF!</definedName>
    <definedName name="UFPrn20040621113927" localSheetId="93">#REF!</definedName>
    <definedName name="UFPrn20040621113927">#REF!</definedName>
    <definedName name="UFPrn20040621114219" localSheetId="87">#REF!</definedName>
    <definedName name="UFPrn20040621114219" localSheetId="93">#REF!</definedName>
    <definedName name="UFPrn20040621114219">#REF!</definedName>
    <definedName name="UFPrn20040621114313" localSheetId="87">#REF!</definedName>
    <definedName name="UFPrn20040621114313" localSheetId="93">#REF!</definedName>
    <definedName name="UFPrn20040621114313">#REF!</definedName>
    <definedName name="UFPrn20040621115050" localSheetId="87">#REF!</definedName>
    <definedName name="UFPrn20040621115050" localSheetId="93">#REF!</definedName>
    <definedName name="UFPrn20040621115050">#REF!</definedName>
    <definedName name="UFPrn20040702165536" localSheetId="87">#REF!</definedName>
    <definedName name="UFPrn20040702165536" localSheetId="93">#REF!</definedName>
    <definedName name="UFPrn20040702165536">#REF!</definedName>
    <definedName name="UFPrn20040702170117" localSheetId="87">#REF!</definedName>
    <definedName name="UFPrn20040702170117" localSheetId="93">#REF!</definedName>
    <definedName name="UFPrn20040702170117">#REF!</definedName>
    <definedName name="UFPrn20040702170152" localSheetId="87">#REF!</definedName>
    <definedName name="UFPrn20040702170152" localSheetId="93">#REF!</definedName>
    <definedName name="UFPrn20040702170152">#REF!</definedName>
    <definedName name="UFPrn20040702171310" localSheetId="87">#REF!</definedName>
    <definedName name="UFPrn20040702171310" localSheetId="93">#REF!</definedName>
    <definedName name="UFPrn20040702171310">#REF!</definedName>
    <definedName name="UFPrn20040702171719" localSheetId="87">#REF!</definedName>
    <definedName name="UFPrn20040702171719" localSheetId="93">#REF!</definedName>
    <definedName name="UFPrn20040702171719">#REF!</definedName>
    <definedName name="UFPrn20040702173840" localSheetId="87">#REF!</definedName>
    <definedName name="UFPrn20040702173840" localSheetId="93">#REF!</definedName>
    <definedName name="UFPrn20040702173840">#REF!</definedName>
    <definedName name="UFPrn20040704163552">[1]劳务费!$A$1:$I$60</definedName>
    <definedName name="UFPrn20040704163728">[1]折旧!$A$1:$I$148</definedName>
    <definedName name="UFPrn20040704163910">[1]工资!$A$1:$I$154</definedName>
    <definedName name="UFPrn20040704164209">[1]福利费!$A$1:$I$146</definedName>
    <definedName name="UFPrn20040704164359">[1]水电费!$A$1:$I$12</definedName>
    <definedName name="UFPrn20040704164418">[1]办公费!$A$1:$I$121</definedName>
    <definedName name="UFPrn20040704164936">[1]业务招待费!$A$1:$I$59</definedName>
    <definedName name="UFPrn20040705093843" localSheetId="5">#REF!</definedName>
    <definedName name="UFPrn20040705093843" localSheetId="6">#REF!</definedName>
    <definedName name="UFPrn20040705093843" localSheetId="87">#REF!</definedName>
    <definedName name="UFPrn20040705093843" localSheetId="93">#REF!</definedName>
    <definedName name="UFPrn20040705093843">#REF!</definedName>
    <definedName name="UFPrn20040705154100" localSheetId="5">#REF!</definedName>
    <definedName name="UFPrn20040705154100" localSheetId="6">#REF!</definedName>
    <definedName name="UFPrn20040705154100" localSheetId="87">#REF!</definedName>
    <definedName name="UFPrn20040705154100" localSheetId="93">#REF!</definedName>
    <definedName name="UFPrn20040705154100">#REF!</definedName>
    <definedName name="UFPrn20040705220547" localSheetId="5">#REF!</definedName>
    <definedName name="UFPrn20040705220547" localSheetId="6">#REF!</definedName>
    <definedName name="UFPrn20040705220547" localSheetId="87">#REF!</definedName>
    <definedName name="UFPrn20040705220547" localSheetId="93">#REF!</definedName>
    <definedName name="UFPrn20040705220547">#REF!</definedName>
    <definedName name="UFPrn20040706103327" localSheetId="87">#REF!</definedName>
    <definedName name="UFPrn20040706103327" localSheetId="93">#REF!</definedName>
    <definedName name="UFPrn20040706103327">#REF!</definedName>
    <definedName name="UFPrn20040706111053" localSheetId="87">#REF!</definedName>
    <definedName name="UFPrn20040706111053" localSheetId="93">#REF!</definedName>
    <definedName name="UFPrn20040706111053">#REF!</definedName>
    <definedName name="UFPrn20040706165324" localSheetId="87">#REF!</definedName>
    <definedName name="UFPrn20040706165324" localSheetId="93">#REF!</definedName>
    <definedName name="UFPrn20040706165324">#REF!</definedName>
    <definedName name="UFPrn20040708133528" localSheetId="87">#REF!</definedName>
    <definedName name="UFPrn20040708133528" localSheetId="93">#REF!</definedName>
    <definedName name="UFPrn20040708133528">#REF!</definedName>
    <definedName name="UFPrn20040708134859" localSheetId="87">#REF!</definedName>
    <definedName name="UFPrn20040708134859" localSheetId="93">#REF!</definedName>
    <definedName name="UFPrn20040708134859">#REF!</definedName>
    <definedName name="UFPrn20041208091203" localSheetId="87">#REF!</definedName>
    <definedName name="UFPrn20041208091203" localSheetId="93">#REF!</definedName>
    <definedName name="UFPrn20041208091203">#REF!</definedName>
    <definedName name="UFPrn20050111163550" localSheetId="87">#REF!</definedName>
    <definedName name="UFPrn20050111163550" localSheetId="93">#REF!</definedName>
    <definedName name="UFPrn20050111163550">#REF!</definedName>
    <definedName name="UFPrn20050111163617" localSheetId="87">#REF!</definedName>
    <definedName name="UFPrn20050111163617" localSheetId="93">#REF!</definedName>
    <definedName name="UFPrn20050111163617">#REF!</definedName>
    <definedName name="UFPrn20050309204808" localSheetId="87">#REF!</definedName>
    <definedName name="UFPrn20050309204808" localSheetId="93">#REF!</definedName>
    <definedName name="UFPrn20050309204808">#REF!</definedName>
    <definedName name="UFPrn20051206181057" localSheetId="87">#REF!</definedName>
    <definedName name="UFPrn20051206181057" localSheetId="93">#REF!</definedName>
    <definedName name="UFPrn20051206181057">#REF!</definedName>
    <definedName name="XVC" localSheetId="87">#REF!</definedName>
    <definedName name="XVC" localSheetId="93">#REF!</definedName>
    <definedName name="XVC">#REF!</definedName>
    <definedName name="y">目录!#REF!</definedName>
    <definedName name="Z_11225121_1664_11D5_91ED_001060808604_.wvu.PrintArea" localSheetId="3" hidden="1">'RP 002-1'!$A$1:$D$42</definedName>
    <definedName name="Z_11225121_1664_11D5_91ED_001060808604_.wvu.PrintArea" localSheetId="4" hidden="1">'RP 002-2'!$A$1:$D$48</definedName>
    <definedName name="Z_38A85FE0_3960_11D5_8724_5254293012F4_.wvu.PrintArea" localSheetId="3" hidden="1">'RP 002-1'!$A$1:$D$42</definedName>
    <definedName name="Z_38A85FE0_3960_11D5_8724_5254293012F4_.wvu.PrintArea" localSheetId="4" hidden="1">'RP 002-2'!$A$1:$D$48</definedName>
    <definedName name="Z_B17549A0_198B_11D5_A231_0080C88DD54C_.wvu.PrintArea" localSheetId="3" hidden="1">'RP 002-1'!$A$1:$D$44</definedName>
    <definedName name="Z_B238A4E0_5F40_11D5_A601_00A0C939A085_.wvu.PrintArea" localSheetId="3" hidden="1">'RP 002-1'!$A$1:$D$42</definedName>
    <definedName name="Z_B238A4E0_5F40_11D5_A601_00A0C939A085_.wvu.PrintArea" localSheetId="4" hidden="1">'RP 002-2'!$A$1:$D$48</definedName>
    <definedName name="本月表" localSheetId="87">#REF!</definedName>
    <definedName name="本月表" localSheetId="93">#REF!</definedName>
    <definedName name="本月表">#REF!</definedName>
    <definedName name="编制" localSheetId="5">基础信息!#REF!</definedName>
    <definedName name="编制" localSheetId="6">基础信息!#REF!</definedName>
    <definedName name="编制" localSheetId="87">基础信息!#REF!</definedName>
    <definedName name="编制" localSheetId="93">基础信息!#REF!</definedName>
    <definedName name="编制">基础信息!#REF!</definedName>
    <definedName name="表头">基础信息!$A$4:$B$10</definedName>
    <definedName name="差">[1]差!$A$1:$I$81</definedName>
    <definedName name="程序表编制人" localSheetId="5">基础信息!#REF!</definedName>
    <definedName name="程序表编制人" localSheetId="6">基础信息!#REF!</definedName>
    <definedName name="程序表编制人" localSheetId="87">基础信息!#REF!</definedName>
    <definedName name="程序表编制人" localSheetId="93">基础信息!#REF!</definedName>
    <definedName name="程序表编制人">基础信息!#REF!</definedName>
    <definedName name="程序表编制日期" localSheetId="5">基础信息!#REF!</definedName>
    <definedName name="程序表编制日期" localSheetId="6">基础信息!#REF!</definedName>
    <definedName name="程序表编制日期" localSheetId="87">基础信息!#REF!</definedName>
    <definedName name="程序表编制日期" localSheetId="93">基础信息!#REF!</definedName>
    <definedName name="程序表编制日期">基础信息!#REF!</definedName>
    <definedName name="程序表复核人" localSheetId="5">基础信息!#REF!</definedName>
    <definedName name="程序表复核人" localSheetId="6">基础信息!#REF!</definedName>
    <definedName name="程序表复核人" localSheetId="87">基础信息!#REF!</definedName>
    <definedName name="程序表复核人" localSheetId="93">基础信息!#REF!</definedName>
    <definedName name="程序表复核人">基础信息!#REF!</definedName>
    <definedName name="程序表复核日期" localSheetId="5">基础信息!#REF!</definedName>
    <definedName name="程序表复核日期" localSheetId="6">基础信息!#REF!</definedName>
    <definedName name="程序表复核日期" localSheetId="87">基础信息!#REF!</definedName>
    <definedName name="程序表复核日期" localSheetId="93">基础信息!#REF!</definedName>
    <definedName name="程序表复核日期">基础信息!#REF!</definedName>
    <definedName name="代维护费" localSheetId="5">#REF!</definedName>
    <definedName name="代维护费" localSheetId="6">#REF!</definedName>
    <definedName name="代维护费" localSheetId="87">#REF!</definedName>
    <definedName name="代维护费" localSheetId="93">#REF!</definedName>
    <definedName name="代维护费">#REF!</definedName>
    <definedName name="低值" localSheetId="5">#REF!</definedName>
    <definedName name="低值" localSheetId="6">#REF!</definedName>
    <definedName name="低值" localSheetId="87">#REF!</definedName>
    <definedName name="低值" localSheetId="93">#REF!</definedName>
    <definedName name="低值">#REF!</definedName>
    <definedName name="低值易耗品" localSheetId="5">#REF!</definedName>
    <definedName name="低值易耗品" localSheetId="6">#REF!</definedName>
    <definedName name="低值易耗品" localSheetId="87">#REF!</definedName>
    <definedName name="低值易耗品" localSheetId="93">#REF!</definedName>
    <definedName name="低值易耗品">#REF!</definedName>
    <definedName name="儿女" localSheetId="87">#REF!</definedName>
    <definedName name="儿女" localSheetId="93">#REF!</definedName>
    <definedName name="儿女">#REF!</definedName>
    <definedName name="复核">基础信息!$B$7</definedName>
    <definedName name="光缆维护费" localSheetId="5">#REF!</definedName>
    <definedName name="光缆维护费" localSheetId="6">#REF!</definedName>
    <definedName name="光缆维护费" localSheetId="87">#REF!</definedName>
    <definedName name="光缆维护费" localSheetId="93">#REF!</definedName>
    <definedName name="光缆维护费">#REF!</definedName>
    <definedName name="汇率" localSheetId="5">#REF!</definedName>
    <definedName name="汇率" localSheetId="6">#REF!</definedName>
    <definedName name="汇率" localSheetId="87">#REF!</definedName>
    <definedName name="汇率" localSheetId="93">#REF!</definedName>
    <definedName name="汇率">#REF!</definedName>
    <definedName name="机">[1]机!$A$1:$I$176</definedName>
    <definedName name="截止">基础信息!$B$5</definedName>
    <definedName name="客户">基础信息!$B$4</definedName>
    <definedName name="老">[1]劳保!$A$1:$I$132</definedName>
    <definedName name="累计表" localSheetId="5">#REF!</definedName>
    <definedName name="累计表" localSheetId="6">#REF!</definedName>
    <definedName name="累计表" localSheetId="87">#REF!</definedName>
    <definedName name="累计表" localSheetId="93">#REF!</definedName>
    <definedName name="累计表">#REF!</definedName>
    <definedName name="日期1">基础信息!$B$8</definedName>
    <definedName name="日期2" localSheetId="5">基础信息!$B$9</definedName>
    <definedName name="日期2" localSheetId="6">基础信息!$B$9</definedName>
    <definedName name="日期2">基础信息!$B$9</definedName>
    <definedName name="沈玉环" localSheetId="5">#REF!</definedName>
    <definedName name="沈玉环" localSheetId="6">#REF!</definedName>
    <definedName name="沈玉环" localSheetId="87">#REF!</definedName>
    <definedName name="沈玉环" localSheetId="93">#REF!</definedName>
    <definedName name="沈玉环">#REF!</definedName>
    <definedName name="生产列1" localSheetId="5">#REF!</definedName>
    <definedName name="生产列1" localSheetId="6">#REF!</definedName>
    <definedName name="生产列1" localSheetId="87">#REF!</definedName>
    <definedName name="生产列1" localSheetId="93">#REF!</definedName>
    <definedName name="生产列1">#REF!</definedName>
    <definedName name="生产列11" localSheetId="5">#REF!</definedName>
    <definedName name="生产列11" localSheetId="6">#REF!</definedName>
    <definedName name="生产列11" localSheetId="87">#REF!</definedName>
    <definedName name="生产列11" localSheetId="93">#REF!</definedName>
    <definedName name="生产列11">#REF!</definedName>
    <definedName name="生产列15" localSheetId="87">#REF!</definedName>
    <definedName name="生产列15" localSheetId="93">#REF!</definedName>
    <definedName name="生产列15">#REF!</definedName>
    <definedName name="生产列16" localSheetId="87">#REF!</definedName>
    <definedName name="生产列16" localSheetId="93">#REF!</definedName>
    <definedName name="生产列16">#REF!</definedName>
    <definedName name="生产列17" localSheetId="87">#REF!</definedName>
    <definedName name="生产列17" localSheetId="93">#REF!</definedName>
    <definedName name="生产列17">#REF!</definedName>
    <definedName name="生产列19" localSheetId="87">#REF!</definedName>
    <definedName name="生产列19" localSheetId="93">#REF!</definedName>
    <definedName name="生产列19">#REF!</definedName>
    <definedName name="生产列2" localSheetId="87">#REF!</definedName>
    <definedName name="生产列2" localSheetId="93">#REF!</definedName>
    <definedName name="生产列2">#REF!</definedName>
    <definedName name="生产列20" localSheetId="87">#REF!</definedName>
    <definedName name="生产列20" localSheetId="93">#REF!</definedName>
    <definedName name="生产列20">#REF!</definedName>
    <definedName name="生产列3" localSheetId="87">#REF!</definedName>
    <definedName name="生产列3" localSheetId="93">#REF!</definedName>
    <definedName name="生产列3">#REF!</definedName>
    <definedName name="生产列4" localSheetId="87">#REF!</definedName>
    <definedName name="生产列4" localSheetId="93">#REF!</definedName>
    <definedName name="生产列4">#REF!</definedName>
    <definedName name="生产列6" localSheetId="87">#REF!</definedName>
    <definedName name="生产列6" localSheetId="93">#REF!</definedName>
    <definedName name="生产列6">#REF!</definedName>
    <definedName name="生产列7" localSheetId="87">#REF!</definedName>
    <definedName name="生产列7" localSheetId="93">#REF!</definedName>
    <definedName name="生产列7">#REF!</definedName>
    <definedName name="生产列8" localSheetId="87">#REF!</definedName>
    <definedName name="生产列8" localSheetId="93">#REF!</definedName>
    <definedName name="生产列8">#REF!</definedName>
    <definedName name="生产列9" localSheetId="87">#REF!</definedName>
    <definedName name="生产列9" localSheetId="93">#REF!</definedName>
    <definedName name="生产列9">#REF!</definedName>
    <definedName name="生产期" localSheetId="87">#REF!</definedName>
    <definedName name="生产期" localSheetId="93">#REF!</definedName>
    <definedName name="生产期">#REF!</definedName>
    <definedName name="生产期1" localSheetId="87">#REF!</definedName>
    <definedName name="生产期1" localSheetId="93">#REF!</definedName>
    <definedName name="生产期1">#REF!</definedName>
    <definedName name="生产期11" localSheetId="87">#REF!</definedName>
    <definedName name="生产期11" localSheetId="93">#REF!</definedName>
    <definedName name="生产期11">#REF!</definedName>
    <definedName name="生产期15" localSheetId="87">#REF!</definedName>
    <definedName name="生产期15" localSheetId="93">#REF!</definedName>
    <definedName name="生产期15">#REF!</definedName>
    <definedName name="生产期16" localSheetId="87">#REF!</definedName>
    <definedName name="生产期16" localSheetId="93">#REF!</definedName>
    <definedName name="生产期16">#REF!</definedName>
    <definedName name="生产期17" localSheetId="87">#REF!</definedName>
    <definedName name="生产期17" localSheetId="93">#REF!</definedName>
    <definedName name="生产期17">#REF!</definedName>
    <definedName name="生产期19" localSheetId="87">#REF!</definedName>
    <definedName name="生产期19" localSheetId="93">#REF!</definedName>
    <definedName name="生产期19">#REF!</definedName>
    <definedName name="生产期2" localSheetId="87">#REF!</definedName>
    <definedName name="生产期2" localSheetId="93">#REF!</definedName>
    <definedName name="生产期2">#REF!</definedName>
    <definedName name="生产期20" localSheetId="87">#REF!</definedName>
    <definedName name="生产期20" localSheetId="93">#REF!</definedName>
    <definedName name="生产期20">#REF!</definedName>
    <definedName name="生产期3" localSheetId="87">#REF!</definedName>
    <definedName name="生产期3" localSheetId="93">#REF!</definedName>
    <definedName name="生产期3">#REF!</definedName>
    <definedName name="生产期4" localSheetId="87">#REF!</definedName>
    <definedName name="生产期4" localSheetId="93">#REF!</definedName>
    <definedName name="生产期4">#REF!</definedName>
    <definedName name="生产期5" localSheetId="87">[14]资产负债表!#REF!</definedName>
    <definedName name="生产期5" localSheetId="93">[14]资产负债表!#REF!</definedName>
    <definedName name="生产期5">[14]资产负债表!#REF!</definedName>
    <definedName name="生产期500" localSheetId="87">[14]资产负债表!#REF!</definedName>
    <definedName name="生产期500" localSheetId="93">[14]资产负债表!#REF!</definedName>
    <definedName name="生产期500">[14]资产负债表!#REF!</definedName>
    <definedName name="生产期6" localSheetId="5">#REF!</definedName>
    <definedName name="生产期6" localSheetId="6">#REF!</definedName>
    <definedName name="生产期6" localSheetId="87">#REF!</definedName>
    <definedName name="生产期6" localSheetId="93">#REF!</definedName>
    <definedName name="生产期6">#REF!</definedName>
    <definedName name="生产期7" localSheetId="5">#REF!</definedName>
    <definedName name="生产期7" localSheetId="6">#REF!</definedName>
    <definedName name="生产期7" localSheetId="87">#REF!</definedName>
    <definedName name="生产期7" localSheetId="93">#REF!</definedName>
    <definedName name="生产期7">#REF!</definedName>
    <definedName name="生产期8" localSheetId="5">#REF!</definedName>
    <definedName name="生产期8" localSheetId="6">#REF!</definedName>
    <definedName name="生产期8" localSheetId="87">#REF!</definedName>
    <definedName name="生产期8" localSheetId="93">#REF!</definedName>
    <definedName name="生产期8">#REF!</definedName>
    <definedName name="生产期9" localSheetId="87">#REF!</definedName>
    <definedName name="生产期9" localSheetId="93">#REF!</definedName>
    <definedName name="生产期9">#REF!</definedName>
    <definedName name="十月份产销存明细表.dbf" localSheetId="87">#REF!</definedName>
    <definedName name="十月份产销存明细表.dbf" localSheetId="93">#REF!</definedName>
    <definedName name="十月份产销存明细表.dbf">#REF!</definedName>
    <definedName name="收视管理费" localSheetId="87">#REF!</definedName>
    <definedName name="收视管理费" localSheetId="93">#REF!</definedName>
    <definedName name="收视管理费">#REF!</definedName>
    <definedName name="损益调整表" localSheetId="87">#REF!</definedName>
    <definedName name="损益调整表" localSheetId="93">#REF!</definedName>
    <definedName name="损益调整表">#REF!</definedName>
    <definedName name="通">[1]通迅费!$A$1:$I$188</definedName>
    <definedName name="外部" localSheetId="5">#REF!</definedName>
    <definedName name="外部" localSheetId="6">#REF!</definedName>
    <definedName name="外部" localSheetId="87">#REF!</definedName>
    <definedName name="外部" localSheetId="93">#REF!</definedName>
    <definedName name="外部">#REF!</definedName>
    <definedName name="外部预收账款" localSheetId="5">#REF!</definedName>
    <definedName name="外部预收账款" localSheetId="6">#REF!</definedName>
    <definedName name="外部预收账款" localSheetId="87">#REF!</definedName>
    <definedName name="外部预收账款" localSheetId="93">#REF!</definedName>
    <definedName name="外部预收账款">#REF!</definedName>
    <definedName name="完成">"x"</definedName>
    <definedName name="现金" localSheetId="5">#REF!</definedName>
    <definedName name="现金" localSheetId="6">#REF!</definedName>
    <definedName name="现金" localSheetId="87">#REF!</definedName>
    <definedName name="现金" localSheetId="93">#REF!</definedName>
    <definedName name="现金">#REF!</definedName>
    <definedName name="信标" localSheetId="87">#REF!</definedName>
    <definedName name="信标" localSheetId="93">#REF!</definedName>
    <definedName name="信标">#REF!</definedName>
    <definedName name="修">[1]修!$A$1:$I$133</definedName>
    <definedName name="役龄资产" localSheetId="5">#REF!</definedName>
    <definedName name="役龄资产" localSheetId="6">#REF!</definedName>
    <definedName name="役龄资产" localSheetId="87">#REF!</definedName>
    <definedName name="役龄资产" localSheetId="93">#REF!</definedName>
    <definedName name="役龄资产">#REF!</definedName>
    <definedName name="役龄资产200301" localSheetId="5">#REF!</definedName>
    <definedName name="役龄资产200301" localSheetId="6">#REF!</definedName>
    <definedName name="役龄资产200301" localSheetId="87">#REF!</definedName>
    <definedName name="役龄资产200301" localSheetId="93">#REF!</definedName>
    <definedName name="役龄资产200301">#REF!</definedName>
    <definedName name="银行存款" localSheetId="5">#REF!</definedName>
    <definedName name="银行存款" localSheetId="6">#REF!</definedName>
    <definedName name="银行存款" localSheetId="87">#REF!</definedName>
    <definedName name="银行存款" localSheetId="93">#REF!</definedName>
    <definedName name="银行存款">#REF!</definedName>
    <definedName name="营销内部" localSheetId="87">#REF!</definedName>
    <definedName name="营销内部" localSheetId="93">#REF!</definedName>
    <definedName name="营销内部">#REF!</definedName>
    <definedName name="应付光缆管理费" localSheetId="87">#REF!</definedName>
    <definedName name="应付光缆管理费" localSheetId="93">#REF!</definedName>
    <definedName name="应付光缆管理费">#REF!</definedName>
    <definedName name="应付客户明细帐" localSheetId="87">#REF!</definedName>
    <definedName name="应付客户明细帐" localSheetId="93">#REF!</definedName>
    <definedName name="应付客户明细帐">#REF!</definedName>
    <definedName name="应付收视管理费" localSheetId="87">#REF!</definedName>
    <definedName name="应付收视管理费" localSheetId="93">#REF!</definedName>
    <definedName name="应付收视管理费">#REF!</definedName>
    <definedName name="应付自维管理费" localSheetId="87">#REF!</definedName>
    <definedName name="应付自维管理费" localSheetId="93">#REF!</definedName>
    <definedName name="应付自维管理费">#REF!</definedName>
    <definedName name="应收余额表" localSheetId="87">#REF!</definedName>
    <definedName name="应收余额表" localSheetId="93">#REF!</definedName>
    <definedName name="应收余额表">#REF!</definedName>
    <definedName name="应收账款贷方余额表">[15]应收账款贷方余额表!$A$4:$J$325</definedName>
    <definedName name="应收账款借方余额表">[15]应收账款借方余额表!$A$4:$J$23</definedName>
    <definedName name="应收账款余额表">[15]应收账款余额表!$A$4:$J$749</definedName>
    <definedName name="逾龄资产" localSheetId="5">#REF!</definedName>
    <definedName name="逾龄资产" localSheetId="6">#REF!</definedName>
    <definedName name="逾龄资产" localSheetId="87">#REF!</definedName>
    <definedName name="逾龄资产" localSheetId="93">#REF!</definedName>
    <definedName name="逾龄资产">#REF!</definedName>
    <definedName name="逾龄资产2002" localSheetId="5">#REF!</definedName>
    <definedName name="逾龄资产2002" localSheetId="6">#REF!</definedName>
    <definedName name="逾龄资产2002" localSheetId="87">#REF!</definedName>
    <definedName name="逾龄资产2002" localSheetId="93">#REF!</definedName>
    <definedName name="逾龄资产2002">#REF!</definedName>
    <definedName name="预收——撤点单位" localSheetId="5">#REF!</definedName>
    <definedName name="预收——撤点单位" localSheetId="6">#REF!</definedName>
    <definedName name="预收——撤点单位" localSheetId="87">#REF!</definedName>
    <definedName name="预收——撤点单位" localSheetId="93">#REF!</definedName>
    <definedName name="预收——撤点单位">#REF!</definedName>
    <definedName name="预收账款" localSheetId="87">#REF!</definedName>
    <definedName name="预收账款" localSheetId="93">#REF!</definedName>
    <definedName name="预收账款">#REF!</definedName>
    <definedName name="诸销销售" localSheetId="87">#REF!</definedName>
    <definedName name="诸销销售" localSheetId="93">#REF!</definedName>
    <definedName name="诸销销售">#REF!</definedName>
    <definedName name="主营收入分类明细" localSheetId="87">#REF!</definedName>
    <definedName name="主营收入分类明细" localSheetId="93">#REF!</definedName>
    <definedName name="主营收入分类明细">#REF!</definedName>
    <definedName name="自维费" localSheetId="87">#REF!</definedName>
    <definedName name="自维费" localSheetId="93">#REF!</definedName>
    <definedName name="自维费">#REF!</definedName>
    <definedName name="전" localSheetId="87">#REF!</definedName>
    <definedName name="전" localSheetId="93">#REF!</definedName>
    <definedName name="전">#REF!</definedName>
    <definedName name="주택사업본부" localSheetId="87">#REF!</definedName>
    <definedName name="주택사업본부" localSheetId="93">#REF!</definedName>
    <definedName name="주택사업본부">#REF!</definedName>
    <definedName name="철구사업본부" localSheetId="87">#REF!</definedName>
    <definedName name="철구사업본부" localSheetId="93">#REF!</definedName>
    <definedName name="철구사업본부">#REF!</definedName>
  </definedNames>
  <calcPr calcId="162913"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52" i="28" l="1"/>
  <c r="E152" i="28" s="1"/>
  <c r="B19" i="105" s="1"/>
  <c r="D152" i="28"/>
  <c r="C151" i="28"/>
  <c r="D151" i="28"/>
  <c r="C144" i="28"/>
  <c r="D144" i="28"/>
  <c r="C145" i="28"/>
  <c r="D145" i="28"/>
  <c r="E145" i="28" s="1"/>
  <c r="C135" i="28"/>
  <c r="C136" i="28"/>
  <c r="C137" i="28"/>
  <c r="C138" i="28"/>
  <c r="C139" i="28"/>
  <c r="C141" i="28"/>
  <c r="C140" i="28"/>
  <c r="C146" i="28"/>
  <c r="C147" i="28"/>
  <c r="C150" i="28"/>
  <c r="C153" i="28"/>
  <c r="C155" i="28"/>
  <c r="C156" i="28"/>
  <c r="D157" i="28"/>
  <c r="B154" i="28"/>
  <c r="B157" i="28" s="1"/>
  <c r="D141" i="28"/>
  <c r="E141" i="28" s="1"/>
  <c r="B13" i="122" s="1"/>
  <c r="B11" i="97"/>
  <c r="B11" i="120"/>
  <c r="B12" i="120" s="1"/>
  <c r="B13" i="120" s="1"/>
  <c r="B13" i="158"/>
  <c r="C87" i="28"/>
  <c r="D87" i="28"/>
  <c r="C86" i="28"/>
  <c r="E86" i="28" s="1"/>
  <c r="B9" i="93" s="1"/>
  <c r="D86" i="28"/>
  <c r="B8" i="93"/>
  <c r="C85" i="28"/>
  <c r="D85" i="28"/>
  <c r="C50" i="28"/>
  <c r="D50" i="28"/>
  <c r="E50" i="28" s="1"/>
  <c r="C51" i="28"/>
  <c r="E51" i="28" s="1"/>
  <c r="D51" i="28"/>
  <c r="C23" i="28"/>
  <c r="E23" i="28" s="1"/>
  <c r="D23" i="28"/>
  <c r="C24" i="28"/>
  <c r="D24" i="28"/>
  <c r="E24" i="28" s="1"/>
  <c r="C18" i="78"/>
  <c r="B18" i="78"/>
  <c r="B29" i="78"/>
  <c r="B10" i="78"/>
  <c r="C10" i="78"/>
  <c r="C62" i="188"/>
  <c r="C63" i="188" s="1"/>
  <c r="B62" i="188"/>
  <c r="B63" i="188" s="1"/>
  <c r="C61" i="188"/>
  <c r="C49" i="188"/>
  <c r="B49" i="188"/>
  <c r="C16" i="28"/>
  <c r="C18" i="28" s="1"/>
  <c r="D16" i="28"/>
  <c r="C17" i="28"/>
  <c r="D17" i="28"/>
  <c r="B37" i="75"/>
  <c r="C23" i="75"/>
  <c r="B23" i="75"/>
  <c r="B24" i="75" s="1"/>
  <c r="B25" i="75" s="1"/>
  <c r="C10" i="75"/>
  <c r="C14" i="28"/>
  <c r="D14" i="28"/>
  <c r="D15" i="28" s="1"/>
  <c r="B10" i="75"/>
  <c r="C13" i="28"/>
  <c r="C15" i="28" s="1"/>
  <c r="D13" i="28"/>
  <c r="C10" i="28"/>
  <c r="D10" i="28"/>
  <c r="E10" i="28"/>
  <c r="C11" i="28"/>
  <c r="D11" i="28"/>
  <c r="C7" i="28"/>
  <c r="D7" i="28"/>
  <c r="B21" i="181"/>
  <c r="B19" i="94"/>
  <c r="B11" i="94"/>
  <c r="C11" i="94"/>
  <c r="C23" i="182"/>
  <c r="B23" i="182"/>
  <c r="C11" i="183"/>
  <c r="B11" i="183"/>
  <c r="C10" i="184"/>
  <c r="B10" i="184"/>
  <c r="H28" i="116"/>
  <c r="K32" i="116"/>
  <c r="K30" i="116" s="1"/>
  <c r="K33" i="116"/>
  <c r="K28" i="116"/>
  <c r="K29" i="116"/>
  <c r="K26" i="116" s="1"/>
  <c r="J34" i="116"/>
  <c r="H32" i="116"/>
  <c r="H33" i="116"/>
  <c r="H29" i="116"/>
  <c r="F32" i="116"/>
  <c r="F30" i="116" s="1"/>
  <c r="F33" i="116"/>
  <c r="F28" i="116"/>
  <c r="F29" i="116"/>
  <c r="D30" i="116"/>
  <c r="D26" i="116"/>
  <c r="B30" i="116"/>
  <c r="B26" i="116"/>
  <c r="C32" i="116"/>
  <c r="C33" i="116"/>
  <c r="C30" i="116" s="1"/>
  <c r="C28" i="116"/>
  <c r="C29" i="116"/>
  <c r="J33" i="116"/>
  <c r="E33" i="116"/>
  <c r="J32" i="116"/>
  <c r="E32" i="116"/>
  <c r="I30" i="116"/>
  <c r="G30" i="116"/>
  <c r="J29" i="116"/>
  <c r="E29" i="116"/>
  <c r="J28" i="116"/>
  <c r="E28" i="116"/>
  <c r="I26" i="116"/>
  <c r="G26" i="116"/>
  <c r="C40" i="116"/>
  <c r="B40" i="116"/>
  <c r="D39" i="116"/>
  <c r="D38" i="116"/>
  <c r="C49" i="116"/>
  <c r="B49" i="116"/>
  <c r="D46" i="116"/>
  <c r="D47" i="116"/>
  <c r="D48" i="116"/>
  <c r="D45" i="116"/>
  <c r="B57" i="116"/>
  <c r="B63" i="116" s="1"/>
  <c r="C70" i="116"/>
  <c r="B70" i="116"/>
  <c r="B88" i="116"/>
  <c r="B85" i="116"/>
  <c r="D78" i="116"/>
  <c r="C78" i="116"/>
  <c r="B55" i="186"/>
  <c r="E55" i="186" s="1"/>
  <c r="B51" i="186"/>
  <c r="B59" i="186" s="1"/>
  <c r="D55" i="186"/>
  <c r="D59" i="186" s="1"/>
  <c r="D51" i="186"/>
  <c r="E58" i="186"/>
  <c r="E57" i="186"/>
  <c r="E56" i="186"/>
  <c r="E54" i="186"/>
  <c r="E53" i="186"/>
  <c r="E52" i="186"/>
  <c r="D44" i="186"/>
  <c r="D40" i="186"/>
  <c r="E41" i="186"/>
  <c r="E42" i="186"/>
  <c r="E43" i="186"/>
  <c r="E45" i="186"/>
  <c r="E46" i="186"/>
  <c r="E47" i="186"/>
  <c r="E40" i="186"/>
  <c r="B44" i="186"/>
  <c r="E44" i="186" s="1"/>
  <c r="B40" i="186"/>
  <c r="K28" i="187"/>
  <c r="K29" i="187"/>
  <c r="K24" i="187"/>
  <c r="K25" i="187"/>
  <c r="J30" i="187"/>
  <c r="H28" i="187"/>
  <c r="H26" i="187" s="1"/>
  <c r="H29" i="187"/>
  <c r="H24" i="187"/>
  <c r="H25" i="187"/>
  <c r="F28" i="187"/>
  <c r="F29" i="187"/>
  <c r="F26" i="187" s="1"/>
  <c r="F24" i="187"/>
  <c r="F25" i="187"/>
  <c r="F22" i="187" s="1"/>
  <c r="D26" i="187"/>
  <c r="D30" i="187" s="1"/>
  <c r="D22" i="187"/>
  <c r="B26" i="187"/>
  <c r="B22" i="187"/>
  <c r="C28" i="187"/>
  <c r="C29" i="187"/>
  <c r="C24" i="187"/>
  <c r="C25" i="187"/>
  <c r="J29" i="187"/>
  <c r="E29" i="187"/>
  <c r="J28" i="187"/>
  <c r="E28" i="187"/>
  <c r="I26" i="187"/>
  <c r="G26" i="187"/>
  <c r="J25" i="187"/>
  <c r="E25" i="187"/>
  <c r="J24" i="187"/>
  <c r="E24" i="187"/>
  <c r="I22" i="187"/>
  <c r="G22" i="187"/>
  <c r="J22" i="187" s="1"/>
  <c r="D18" i="28"/>
  <c r="B18" i="28"/>
  <c r="B15" i="28"/>
  <c r="B12" i="28"/>
  <c r="C60" i="188"/>
  <c r="B60" i="188"/>
  <c r="D59" i="188"/>
  <c r="D57" i="188"/>
  <c r="B48" i="188"/>
  <c r="B50" i="188" s="1"/>
  <c r="B51" i="188" s="1"/>
  <c r="C48" i="188"/>
  <c r="C50" i="188" s="1"/>
  <c r="C51" i="188" s="1"/>
  <c r="D47" i="188"/>
  <c r="D45" i="188"/>
  <c r="C36" i="188"/>
  <c r="B36" i="188"/>
  <c r="B61" i="188" s="1"/>
  <c r="D35" i="188"/>
  <c r="D34" i="188"/>
  <c r="K24" i="188"/>
  <c r="K25" i="188"/>
  <c r="K20" i="188"/>
  <c r="K21" i="188"/>
  <c r="F24" i="188"/>
  <c r="F25" i="188"/>
  <c r="F20" i="188"/>
  <c r="F21" i="188"/>
  <c r="F18" i="188" s="1"/>
  <c r="J26" i="188"/>
  <c r="J25" i="188"/>
  <c r="J24" i="188"/>
  <c r="I22" i="188"/>
  <c r="J22" i="188" s="1"/>
  <c r="G22" i="188"/>
  <c r="J21" i="188"/>
  <c r="J20" i="188"/>
  <c r="I18" i="188"/>
  <c r="J18" i="188" s="1"/>
  <c r="G18" i="188"/>
  <c r="H24" i="188"/>
  <c r="H25" i="188"/>
  <c r="H21" i="188"/>
  <c r="H20" i="188"/>
  <c r="D22" i="188"/>
  <c r="D18" i="188"/>
  <c r="C37" i="188" s="1"/>
  <c r="B22" i="188"/>
  <c r="B26" i="188" s="1"/>
  <c r="B18" i="188"/>
  <c r="B37" i="188" s="1"/>
  <c r="E25" i="188"/>
  <c r="E24" i="188"/>
  <c r="E21" i="188"/>
  <c r="E20" i="188"/>
  <c r="C9" i="188"/>
  <c r="B9" i="188"/>
  <c r="F27" i="188" s="1"/>
  <c r="B2" i="188"/>
  <c r="B1" i="188"/>
  <c r="A82" i="112"/>
  <c r="A83" i="112"/>
  <c r="A84" i="112" s="1"/>
  <c r="A85" i="112" s="1"/>
  <c r="A86" i="112" s="1"/>
  <c r="A87" i="112" s="1"/>
  <c r="A88" i="112" s="1"/>
  <c r="A89" i="112" s="1"/>
  <c r="A90" i="112" s="1"/>
  <c r="A91" i="112" s="1"/>
  <c r="A92" i="112" s="1"/>
  <c r="A93" i="112" s="1"/>
  <c r="A94" i="112" s="1"/>
  <c r="A95" i="112" s="1"/>
  <c r="A96" i="112" s="1"/>
  <c r="A97" i="112" s="1"/>
  <c r="A98" i="112" s="1"/>
  <c r="A99" i="112" s="1"/>
  <c r="A100" i="112" s="1"/>
  <c r="A101" i="112" s="1"/>
  <c r="A102" i="112" s="1"/>
  <c r="A103" i="112" s="1"/>
  <c r="A104" i="112" s="1"/>
  <c r="A105" i="112" s="1"/>
  <c r="A106" i="112" s="1"/>
  <c r="A107" i="112" s="1"/>
  <c r="A108" i="112" s="1"/>
  <c r="A109" i="112" s="1"/>
  <c r="A110" i="112" s="1"/>
  <c r="A111" i="112" s="1"/>
  <c r="A112" i="112" s="1"/>
  <c r="A113" i="112" s="1"/>
  <c r="A114" i="112" s="1"/>
  <c r="A115" i="112" s="1"/>
  <c r="A116" i="112" s="1"/>
  <c r="A67" i="112"/>
  <c r="A68" i="112"/>
  <c r="A69" i="112" s="1"/>
  <c r="A70" i="112" s="1"/>
  <c r="B8" i="114"/>
  <c r="B36" i="75"/>
  <c r="B38" i="75" s="1"/>
  <c r="B39" i="75" s="1"/>
  <c r="C71" i="114"/>
  <c r="B71" i="114"/>
  <c r="D70" i="114"/>
  <c r="D69" i="114"/>
  <c r="D61" i="114"/>
  <c r="D60" i="114"/>
  <c r="G49" i="114"/>
  <c r="G45" i="114"/>
  <c r="I49" i="114"/>
  <c r="I45" i="114"/>
  <c r="K45" i="114" s="1"/>
  <c r="D49" i="114"/>
  <c r="D45" i="114"/>
  <c r="E45" i="114" s="1"/>
  <c r="B49" i="114"/>
  <c r="E49" i="114" s="1"/>
  <c r="B45" i="114"/>
  <c r="C62" i="114"/>
  <c r="B62" i="114"/>
  <c r="K53" i="114"/>
  <c r="K52" i="114"/>
  <c r="K51" i="114"/>
  <c r="K48" i="114"/>
  <c r="K47" i="114"/>
  <c r="J53" i="114"/>
  <c r="J52" i="114"/>
  <c r="J51" i="114"/>
  <c r="J48" i="114"/>
  <c r="J47" i="114"/>
  <c r="H45" i="114"/>
  <c r="F52" i="114"/>
  <c r="F51" i="114"/>
  <c r="F48" i="114"/>
  <c r="F47" i="114"/>
  <c r="E52" i="114"/>
  <c r="E51" i="114"/>
  <c r="E48" i="114"/>
  <c r="E47" i="114"/>
  <c r="B17" i="80"/>
  <c r="B15" i="118"/>
  <c r="B13" i="102"/>
  <c r="A31" i="112"/>
  <c r="A32" i="112" s="1"/>
  <c r="A33" i="112" s="1"/>
  <c r="A34" i="112" s="1"/>
  <c r="A35" i="112" s="1"/>
  <c r="A36" i="112" s="1"/>
  <c r="A37" i="112" s="1"/>
  <c r="A38" i="112" s="1"/>
  <c r="A39" i="112" s="1"/>
  <c r="A40" i="112" s="1"/>
  <c r="A41" i="112" s="1"/>
  <c r="A42" i="112" s="1"/>
  <c r="A43" i="112" s="1"/>
  <c r="A44" i="112" s="1"/>
  <c r="A45" i="112" s="1"/>
  <c r="C88" i="28"/>
  <c r="D88" i="28"/>
  <c r="C149" i="28"/>
  <c r="D149" i="28"/>
  <c r="B10" i="181"/>
  <c r="C82" i="28"/>
  <c r="D82" i="28"/>
  <c r="E82" i="28" s="1"/>
  <c r="B15" i="182" s="1"/>
  <c r="B16" i="182" s="1"/>
  <c r="B17" i="182" s="1"/>
  <c r="B2" i="182"/>
  <c r="B1" i="182"/>
  <c r="B2" i="181"/>
  <c r="B1" i="181"/>
  <c r="B2" i="183"/>
  <c r="B1" i="183"/>
  <c r="B2" i="184"/>
  <c r="B1" i="184"/>
  <c r="B12" i="185"/>
  <c r="B15" i="185" s="1"/>
  <c r="B2" i="185"/>
  <c r="B1" i="185"/>
  <c r="C45" i="28"/>
  <c r="E45" i="28" s="1"/>
  <c r="D15" i="186" s="1"/>
  <c r="D45" i="28"/>
  <c r="C12" i="186"/>
  <c r="C14" i="186" s="1"/>
  <c r="B12" i="186"/>
  <c r="B14" i="186" s="1"/>
  <c r="D11" i="186"/>
  <c r="D10" i="186"/>
  <c r="D9" i="186"/>
  <c r="D8" i="186"/>
  <c r="D12" i="186" s="1"/>
  <c r="D14" i="186" s="1"/>
  <c r="D7" i="186"/>
  <c r="B2" i="186"/>
  <c r="B1" i="186"/>
  <c r="B28" i="28"/>
  <c r="G43" i="187"/>
  <c r="F43" i="187"/>
  <c r="E43" i="187"/>
  <c r="D43" i="187"/>
  <c r="C43" i="187"/>
  <c r="B43" i="187"/>
  <c r="C13" i="187"/>
  <c r="B13" i="187"/>
  <c r="D12" i="187"/>
  <c r="D11" i="187"/>
  <c r="D10" i="187"/>
  <c r="D9" i="187"/>
  <c r="D8" i="187"/>
  <c r="D7" i="187"/>
  <c r="D13" i="187" s="1"/>
  <c r="B2" i="187"/>
  <c r="B1" i="187"/>
  <c r="B10" i="178"/>
  <c r="B2" i="178"/>
  <c r="B1" i="178"/>
  <c r="B18" i="180"/>
  <c r="B2" i="180"/>
  <c r="B1" i="180"/>
  <c r="B9" i="179"/>
  <c r="B2" i="179"/>
  <c r="B1" i="179"/>
  <c r="B2" i="110"/>
  <c r="B1" i="110"/>
  <c r="B2" i="125"/>
  <c r="B1" i="125"/>
  <c r="B28" i="132"/>
  <c r="B30" i="132"/>
  <c r="B32" i="132" s="1"/>
  <c r="B2" i="132"/>
  <c r="B1" i="132"/>
  <c r="C168" i="133"/>
  <c r="C160" i="133"/>
  <c r="F152" i="133"/>
  <c r="E152" i="133"/>
  <c r="D152" i="133"/>
  <c r="C152" i="133"/>
  <c r="G151" i="133"/>
  <c r="G150" i="133"/>
  <c r="G149" i="133"/>
  <c r="F142" i="133"/>
  <c r="E142" i="133"/>
  <c r="D142" i="133"/>
  <c r="C142" i="133"/>
  <c r="G141" i="133"/>
  <c r="G140" i="133"/>
  <c r="G139" i="133"/>
  <c r="C116" i="133"/>
  <c r="B2" i="133"/>
  <c r="B1" i="133"/>
  <c r="B2" i="134"/>
  <c r="B1" i="134"/>
  <c r="B2" i="135"/>
  <c r="B1" i="135"/>
  <c r="B2" i="136"/>
  <c r="B1" i="136"/>
  <c r="J13" i="126"/>
  <c r="G13" i="126"/>
  <c r="F13" i="126"/>
  <c r="E13" i="126"/>
  <c r="D13" i="126"/>
  <c r="C13" i="126"/>
  <c r="B13" i="126"/>
  <c r="B2" i="126"/>
  <c r="B1" i="126"/>
  <c r="B62" i="62"/>
  <c r="B58" i="62"/>
  <c r="B53" i="62"/>
  <c r="B44" i="62"/>
  <c r="B40" i="62"/>
  <c r="B36" i="62"/>
  <c r="B32" i="62"/>
  <c r="B22" i="62"/>
  <c r="B2" i="62"/>
  <c r="B1" i="62"/>
  <c r="B20" i="127"/>
  <c r="B4" i="127"/>
  <c r="B2" i="127"/>
  <c r="B1" i="127"/>
  <c r="B20" i="128"/>
  <c r="B4" i="128"/>
  <c r="B2" i="128"/>
  <c r="B1" i="128"/>
  <c r="B20" i="129"/>
  <c r="B4" i="129"/>
  <c r="B2" i="129"/>
  <c r="B1" i="129"/>
  <c r="B20" i="130"/>
  <c r="B4" i="130"/>
  <c r="B2" i="130"/>
  <c r="B1" i="130"/>
  <c r="B21" i="131"/>
  <c r="B4" i="131"/>
  <c r="B2" i="131"/>
  <c r="B1" i="131"/>
  <c r="B20" i="71"/>
  <c r="B21" i="71" s="1"/>
  <c r="B4" i="71"/>
  <c r="B2" i="71"/>
  <c r="B1" i="71"/>
  <c r="B28" i="109"/>
  <c r="B8" i="109"/>
  <c r="B2" i="109"/>
  <c r="B1" i="109"/>
  <c r="C15" i="108"/>
  <c r="B15" i="108"/>
  <c r="B2" i="108"/>
  <c r="B1" i="108"/>
  <c r="C15" i="107"/>
  <c r="B15" i="107"/>
  <c r="B2" i="107"/>
  <c r="B1" i="107"/>
  <c r="C15" i="169"/>
  <c r="B15" i="169"/>
  <c r="B2" i="169"/>
  <c r="B1" i="169"/>
  <c r="B9" i="123"/>
  <c r="B2" i="123"/>
  <c r="B1" i="123"/>
  <c r="B16" i="106"/>
  <c r="B2" i="106"/>
  <c r="B1" i="106"/>
  <c r="C15" i="168"/>
  <c r="B15" i="168"/>
  <c r="B2" i="168"/>
  <c r="B1" i="168"/>
  <c r="B18" i="105"/>
  <c r="B2" i="105"/>
  <c r="B1" i="105"/>
  <c r="B2" i="122"/>
  <c r="B1" i="122"/>
  <c r="B9" i="177"/>
  <c r="B2" i="177"/>
  <c r="B1" i="177"/>
  <c r="B9" i="164"/>
  <c r="B2" i="164"/>
  <c r="B1" i="164"/>
  <c r="B9" i="163"/>
  <c r="B2" i="163"/>
  <c r="B1" i="163"/>
  <c r="C14" i="104"/>
  <c r="B2" i="104"/>
  <c r="B1" i="104"/>
  <c r="C17" i="103"/>
  <c r="C21" i="103" s="1"/>
  <c r="B17" i="103"/>
  <c r="B21" i="103" s="1"/>
  <c r="B22" i="103" s="1"/>
  <c r="B23" i="103" s="1"/>
  <c r="C9" i="103"/>
  <c r="B2" i="103"/>
  <c r="B1" i="103"/>
  <c r="B8" i="162"/>
  <c r="B2" i="162"/>
  <c r="B1" i="162"/>
  <c r="G21" i="161"/>
  <c r="F21" i="161"/>
  <c r="E21" i="161"/>
  <c r="D21" i="161"/>
  <c r="C21" i="161"/>
  <c r="B21" i="161"/>
  <c r="F7" i="161"/>
  <c r="D7" i="161"/>
  <c r="C7" i="161"/>
  <c r="B7" i="161"/>
  <c r="E6" i="161"/>
  <c r="E5" i="161"/>
  <c r="B2" i="161"/>
  <c r="B1" i="161"/>
  <c r="B2" i="102"/>
  <c r="B1" i="102"/>
  <c r="C10" i="160"/>
  <c r="C12" i="160" s="1"/>
  <c r="B10" i="160"/>
  <c r="B12" i="160" s="1"/>
  <c r="B2" i="160"/>
  <c r="B1" i="160"/>
  <c r="D7" i="121"/>
  <c r="C7" i="121"/>
  <c r="B7" i="121"/>
  <c r="E6" i="121"/>
  <c r="E5" i="121"/>
  <c r="B2" i="121"/>
  <c r="B1" i="121"/>
  <c r="B9" i="101"/>
  <c r="B11" i="101" s="1"/>
  <c r="B6" i="176" s="1"/>
  <c r="B12" i="101" s="1"/>
  <c r="B13" i="101" s="1"/>
  <c r="B14" i="101" s="1"/>
  <c r="B2" i="101"/>
  <c r="B1" i="101"/>
  <c r="B15" i="176"/>
  <c r="B16" i="176"/>
  <c r="B17" i="176" s="1"/>
  <c r="B2" i="176"/>
  <c r="B1" i="176"/>
  <c r="I44" i="100"/>
  <c r="H44" i="100"/>
  <c r="G44" i="100"/>
  <c r="F44" i="100"/>
  <c r="E44" i="100"/>
  <c r="D44" i="100"/>
  <c r="C44" i="100"/>
  <c r="B44" i="100"/>
  <c r="G25" i="100"/>
  <c r="G27" i="100" s="1"/>
  <c r="F25" i="100"/>
  <c r="F27" i="100" s="1"/>
  <c r="E25" i="100"/>
  <c r="E27" i="100" s="1"/>
  <c r="D25" i="100"/>
  <c r="D27" i="100" s="1"/>
  <c r="C25" i="100"/>
  <c r="C27" i="100" s="1"/>
  <c r="B25" i="100"/>
  <c r="B27" i="100" s="1"/>
  <c r="E18" i="100"/>
  <c r="B18" i="100"/>
  <c r="B8" i="100"/>
  <c r="B2" i="100"/>
  <c r="B1" i="100"/>
  <c r="B25" i="99"/>
  <c r="D10" i="99"/>
  <c r="D12" i="99" s="1"/>
  <c r="B10" i="99"/>
  <c r="B12" i="99" s="1"/>
  <c r="B2" i="99"/>
  <c r="B1" i="99"/>
  <c r="F37" i="159"/>
  <c r="E37" i="159"/>
  <c r="D37" i="159"/>
  <c r="C37" i="159"/>
  <c r="B37" i="159"/>
  <c r="G29" i="159"/>
  <c r="F29" i="159"/>
  <c r="E29" i="159"/>
  <c r="D29" i="159"/>
  <c r="C29" i="159"/>
  <c r="B29" i="159"/>
  <c r="E24" i="159"/>
  <c r="B24" i="159"/>
  <c r="B8" i="159"/>
  <c r="B2" i="159"/>
  <c r="B1" i="159"/>
  <c r="B46" i="98"/>
  <c r="B47" i="98" s="1"/>
  <c r="B48" i="98" s="1"/>
  <c r="B45" i="98"/>
  <c r="G38" i="98"/>
  <c r="F38" i="98"/>
  <c r="E38" i="98"/>
  <c r="D38" i="98"/>
  <c r="C38" i="98"/>
  <c r="B38" i="98"/>
  <c r="E31" i="98"/>
  <c r="E30" i="98"/>
  <c r="B30" i="98"/>
  <c r="B21" i="98"/>
  <c r="B20" i="98"/>
  <c r="B26" i="99" s="1"/>
  <c r="B10" i="98"/>
  <c r="B2" i="98"/>
  <c r="B1" i="98"/>
  <c r="B20" i="97"/>
  <c r="B10" i="97"/>
  <c r="B12" i="97" s="1"/>
  <c r="B13" i="97" s="1"/>
  <c r="B2" i="97"/>
  <c r="B1" i="97"/>
  <c r="B2" i="120"/>
  <c r="B1" i="120"/>
  <c r="B12" i="158"/>
  <c r="B14" i="158" s="1"/>
  <c r="B15" i="158" s="1"/>
  <c r="B2" i="158"/>
  <c r="B1" i="158"/>
  <c r="B8" i="175"/>
  <c r="B2" i="175"/>
  <c r="B1" i="175"/>
  <c r="D16" i="96"/>
  <c r="C16" i="96"/>
  <c r="B16" i="96"/>
  <c r="E15" i="96"/>
  <c r="E14" i="96"/>
  <c r="E13" i="96"/>
  <c r="E12" i="96"/>
  <c r="E11" i="96"/>
  <c r="E10" i="96"/>
  <c r="E9" i="96"/>
  <c r="E8" i="96"/>
  <c r="E7" i="96"/>
  <c r="E6" i="96"/>
  <c r="E5" i="96"/>
  <c r="B2" i="96"/>
  <c r="B1" i="96"/>
  <c r="E53" i="95"/>
  <c r="E52" i="95"/>
  <c r="D51" i="95"/>
  <c r="C51" i="95"/>
  <c r="B51" i="95"/>
  <c r="E50" i="95"/>
  <c r="E49" i="95"/>
  <c r="E48" i="95"/>
  <c r="E47" i="95"/>
  <c r="D46" i="95"/>
  <c r="C46" i="95"/>
  <c r="B46" i="95"/>
  <c r="E36" i="95"/>
  <c r="E35" i="95"/>
  <c r="E34" i="95"/>
  <c r="E33" i="95"/>
  <c r="E32" i="95"/>
  <c r="E31" i="95"/>
  <c r="E30" i="95"/>
  <c r="E29" i="95"/>
  <c r="E28" i="95"/>
  <c r="E27" i="95"/>
  <c r="E26" i="95"/>
  <c r="E25" i="95"/>
  <c r="E24" i="95"/>
  <c r="E23" i="95"/>
  <c r="D22" i="95"/>
  <c r="D37" i="95"/>
  <c r="C22" i="95"/>
  <c r="C37" i="95" s="1"/>
  <c r="B22" i="95"/>
  <c r="B37" i="95" s="1"/>
  <c r="E21" i="95"/>
  <c r="E20" i="95"/>
  <c r="D10" i="95"/>
  <c r="C10" i="95"/>
  <c r="B10" i="95"/>
  <c r="E9" i="95"/>
  <c r="E8" i="95"/>
  <c r="E7" i="95"/>
  <c r="E6" i="95"/>
  <c r="E55" i="95" s="1"/>
  <c r="E5" i="95"/>
  <c r="E38" i="95" s="1"/>
  <c r="B2" i="95"/>
  <c r="B1" i="95"/>
  <c r="C30" i="94"/>
  <c r="B30" i="94"/>
  <c r="B2" i="94"/>
  <c r="B1" i="94"/>
  <c r="B2" i="93"/>
  <c r="B1" i="93"/>
  <c r="B2" i="119"/>
  <c r="B1" i="119"/>
  <c r="B10" i="157"/>
  <c r="B2" i="157"/>
  <c r="B1" i="157"/>
  <c r="B2" i="92"/>
  <c r="B1" i="92"/>
  <c r="B10" i="91"/>
  <c r="B2" i="91"/>
  <c r="B1" i="91"/>
  <c r="C11" i="90"/>
  <c r="B11" i="90"/>
  <c r="B2" i="90"/>
  <c r="B1" i="90"/>
  <c r="E18" i="89"/>
  <c r="D18" i="89"/>
  <c r="C18" i="89"/>
  <c r="B18" i="89"/>
  <c r="F17" i="89"/>
  <c r="F16" i="89"/>
  <c r="F15" i="89"/>
  <c r="F14" i="89"/>
  <c r="F13" i="89"/>
  <c r="F12" i="89"/>
  <c r="F11" i="89"/>
  <c r="F10" i="89"/>
  <c r="F9" i="89"/>
  <c r="F8" i="89"/>
  <c r="F7" i="89"/>
  <c r="F6" i="89"/>
  <c r="B2" i="89"/>
  <c r="B1" i="89"/>
  <c r="B2" i="118"/>
  <c r="B1" i="118"/>
  <c r="E24" i="88"/>
  <c r="E25" i="88" s="1"/>
  <c r="E26" i="88" s="1"/>
  <c r="E23" i="88"/>
  <c r="D23" i="88"/>
  <c r="C23" i="88"/>
  <c r="B23" i="88"/>
  <c r="E13" i="88"/>
  <c r="E14" i="88" s="1"/>
  <c r="E15" i="88" s="1"/>
  <c r="E12" i="88"/>
  <c r="D12" i="88"/>
  <c r="C12" i="88"/>
  <c r="B12" i="88"/>
  <c r="B2" i="88"/>
  <c r="B1" i="88"/>
  <c r="E9" i="87"/>
  <c r="D9" i="87"/>
  <c r="C9" i="87"/>
  <c r="B9" i="87"/>
  <c r="F8" i="87"/>
  <c r="F7" i="87"/>
  <c r="F6" i="87"/>
  <c r="B2" i="87"/>
  <c r="B1" i="87"/>
  <c r="F18" i="117"/>
  <c r="E18" i="117"/>
  <c r="D18" i="117"/>
  <c r="C18" i="117"/>
  <c r="B18" i="117"/>
  <c r="G17" i="117"/>
  <c r="G16" i="117"/>
  <c r="G15" i="117"/>
  <c r="F10" i="117"/>
  <c r="E10" i="117"/>
  <c r="D10" i="117"/>
  <c r="C10" i="117"/>
  <c r="B10" i="117"/>
  <c r="G9" i="117"/>
  <c r="G8" i="117"/>
  <c r="G7" i="117"/>
  <c r="B2" i="117"/>
  <c r="B1" i="117"/>
  <c r="G9" i="86"/>
  <c r="F9" i="86"/>
  <c r="E9" i="86"/>
  <c r="D9" i="86"/>
  <c r="C9" i="86"/>
  <c r="B9" i="86"/>
  <c r="B2" i="86"/>
  <c r="B1" i="86"/>
  <c r="E43" i="85"/>
  <c r="D43" i="85"/>
  <c r="C43" i="85"/>
  <c r="B43" i="85"/>
  <c r="F41" i="85"/>
  <c r="F39" i="85"/>
  <c r="F38" i="85"/>
  <c r="F37" i="85"/>
  <c r="E36" i="85"/>
  <c r="D36" i="85"/>
  <c r="C36" i="85"/>
  <c r="B36" i="85"/>
  <c r="F35" i="85"/>
  <c r="F34" i="85"/>
  <c r="F33" i="85"/>
  <c r="E32" i="85"/>
  <c r="D32" i="85"/>
  <c r="C32" i="85"/>
  <c r="B32" i="85"/>
  <c r="F31" i="85"/>
  <c r="F30" i="85"/>
  <c r="F28" i="85"/>
  <c r="F27" i="85"/>
  <c r="F26" i="85"/>
  <c r="E25" i="85"/>
  <c r="D25" i="85"/>
  <c r="C25" i="85"/>
  <c r="B25" i="85"/>
  <c r="F24" i="85"/>
  <c r="F23" i="85"/>
  <c r="F22" i="85"/>
  <c r="E21" i="85"/>
  <c r="D21" i="85"/>
  <c r="C21" i="85"/>
  <c r="B21" i="85"/>
  <c r="F20" i="85"/>
  <c r="F19" i="85"/>
  <c r="F17" i="85"/>
  <c r="F16" i="85"/>
  <c r="F15" i="85"/>
  <c r="E14" i="85"/>
  <c r="D14" i="85"/>
  <c r="C14" i="85"/>
  <c r="B14" i="85"/>
  <c r="F13" i="85"/>
  <c r="F12" i="85"/>
  <c r="F11" i="85"/>
  <c r="F10" i="85"/>
  <c r="F9" i="85"/>
  <c r="E8" i="85"/>
  <c r="D8" i="85"/>
  <c r="C8" i="85"/>
  <c r="B8" i="85"/>
  <c r="F7" i="85"/>
  <c r="F6" i="85"/>
  <c r="B2" i="85"/>
  <c r="B1" i="85"/>
  <c r="J39" i="156"/>
  <c r="J38" i="156"/>
  <c r="J37" i="156"/>
  <c r="J36" i="156"/>
  <c r="J35" i="156"/>
  <c r="J34" i="156"/>
  <c r="J33" i="156"/>
  <c r="J32" i="156"/>
  <c r="J31" i="156"/>
  <c r="J30" i="156"/>
  <c r="J29" i="156"/>
  <c r="J28" i="156"/>
  <c r="J27" i="156"/>
  <c r="J26" i="156"/>
  <c r="J25" i="156"/>
  <c r="J24" i="156"/>
  <c r="J23" i="156"/>
  <c r="J22" i="156"/>
  <c r="J21" i="156"/>
  <c r="J20" i="156"/>
  <c r="J19" i="156"/>
  <c r="J18" i="156"/>
  <c r="J17" i="156"/>
  <c r="J16" i="156"/>
  <c r="J15" i="156"/>
  <c r="J14" i="156"/>
  <c r="J13" i="156"/>
  <c r="J12" i="156"/>
  <c r="J11" i="156"/>
  <c r="J10" i="156"/>
  <c r="J9" i="156"/>
  <c r="I8" i="156"/>
  <c r="H8" i="156"/>
  <c r="G8" i="156"/>
  <c r="F8" i="156"/>
  <c r="E8" i="156"/>
  <c r="D8" i="156"/>
  <c r="C8" i="156"/>
  <c r="B8" i="156"/>
  <c r="J7" i="156"/>
  <c r="J6" i="156"/>
  <c r="B2" i="156"/>
  <c r="B1" i="156"/>
  <c r="B9" i="154"/>
  <c r="B11" i="154" s="1"/>
  <c r="B2" i="154"/>
  <c r="B1" i="154"/>
  <c r="B35" i="153"/>
  <c r="E25" i="153"/>
  <c r="D25" i="153"/>
  <c r="C25" i="153"/>
  <c r="B25" i="153"/>
  <c r="I20" i="153"/>
  <c r="H20" i="153"/>
  <c r="G20" i="153"/>
  <c r="F20" i="153"/>
  <c r="E20" i="153"/>
  <c r="D20" i="153"/>
  <c r="C20" i="153"/>
  <c r="B20" i="153"/>
  <c r="C10" i="153"/>
  <c r="B10" i="153"/>
  <c r="D9" i="153"/>
  <c r="D8" i="153"/>
  <c r="D7" i="153"/>
  <c r="B2" i="153"/>
  <c r="B1" i="153"/>
  <c r="B2" i="173"/>
  <c r="B1" i="173"/>
  <c r="B7" i="155"/>
  <c r="B2" i="155"/>
  <c r="B1" i="155"/>
  <c r="B78" i="84"/>
  <c r="D68" i="84"/>
  <c r="C68" i="84"/>
  <c r="B68" i="84"/>
  <c r="E67" i="84"/>
  <c r="E66" i="84"/>
  <c r="E65" i="84"/>
  <c r="E64" i="84"/>
  <c r="E63" i="84"/>
  <c r="D58" i="84"/>
  <c r="C58" i="84"/>
  <c r="B58" i="84"/>
  <c r="E57" i="84"/>
  <c r="E56" i="84"/>
  <c r="E55" i="84"/>
  <c r="E54" i="84"/>
  <c r="E53" i="84"/>
  <c r="F42" i="84"/>
  <c r="F41" i="84"/>
  <c r="B5" i="172"/>
  <c r="F43" i="84" s="1"/>
  <c r="F40" i="84"/>
  <c r="F39" i="84"/>
  <c r="F38" i="84"/>
  <c r="F37" i="84"/>
  <c r="F36" i="84"/>
  <c r="F35" i="84"/>
  <c r="F34" i="84"/>
  <c r="F33" i="84"/>
  <c r="F32" i="84"/>
  <c r="F31" i="84"/>
  <c r="F30" i="84"/>
  <c r="F29" i="84"/>
  <c r="F28" i="84"/>
  <c r="F27" i="84"/>
  <c r="F26" i="84"/>
  <c r="F25" i="84"/>
  <c r="F24" i="84"/>
  <c r="F23" i="84"/>
  <c r="F22" i="84"/>
  <c r="F21" i="84"/>
  <c r="F20" i="84"/>
  <c r="F19" i="84"/>
  <c r="F18" i="84"/>
  <c r="F17" i="84"/>
  <c r="F16" i="84"/>
  <c r="F15" i="84"/>
  <c r="F14" i="84"/>
  <c r="F13" i="84"/>
  <c r="F12" i="84"/>
  <c r="F11" i="84"/>
  <c r="F10" i="84"/>
  <c r="F9" i="84"/>
  <c r="E8" i="84"/>
  <c r="D8" i="84"/>
  <c r="C8" i="84"/>
  <c r="B8" i="84"/>
  <c r="F7" i="84"/>
  <c r="F6" i="84"/>
  <c r="B2" i="84"/>
  <c r="B1" i="84"/>
  <c r="B2" i="172"/>
  <c r="B1" i="172"/>
  <c r="E36" i="83"/>
  <c r="D36" i="83"/>
  <c r="C36" i="83"/>
  <c r="B36" i="83"/>
  <c r="E32" i="83"/>
  <c r="D32" i="83"/>
  <c r="C32" i="83"/>
  <c r="B32" i="83"/>
  <c r="E25" i="83"/>
  <c r="D25" i="83"/>
  <c r="C25" i="83"/>
  <c r="B25" i="83"/>
  <c r="E20" i="83"/>
  <c r="E29" i="83"/>
  <c r="D20" i="83"/>
  <c r="C20" i="83"/>
  <c r="C29" i="83"/>
  <c r="B20" i="83"/>
  <c r="B29" i="83" s="1"/>
  <c r="E13" i="83"/>
  <c r="D13" i="83"/>
  <c r="C13" i="83"/>
  <c r="B13" i="83"/>
  <c r="E8" i="83"/>
  <c r="D8" i="83"/>
  <c r="D17" i="83" s="1"/>
  <c r="C8" i="83"/>
  <c r="B8" i="83"/>
  <c r="E7" i="83"/>
  <c r="B2" i="83"/>
  <c r="B1" i="83"/>
  <c r="B2" i="82"/>
  <c r="B1" i="82"/>
  <c r="D9" i="152"/>
  <c r="C9" i="152"/>
  <c r="B9" i="152"/>
  <c r="E8" i="152"/>
  <c r="E7" i="152"/>
  <c r="E6" i="152"/>
  <c r="B2" i="152"/>
  <c r="B1" i="152"/>
  <c r="C17" i="116"/>
  <c r="B17" i="116"/>
  <c r="D16" i="116"/>
  <c r="D17" i="116" s="1"/>
  <c r="D15" i="116"/>
  <c r="D14" i="116"/>
  <c r="D13" i="116"/>
  <c r="D12" i="116"/>
  <c r="D11" i="116"/>
  <c r="D10" i="116"/>
  <c r="D9" i="116"/>
  <c r="D8" i="116"/>
  <c r="D7" i="116"/>
  <c r="B2" i="116"/>
  <c r="B1" i="116"/>
  <c r="C12" i="81"/>
  <c r="C14" i="81" s="1"/>
  <c r="B12" i="81"/>
  <c r="B14" i="81" s="1"/>
  <c r="D11" i="81"/>
  <c r="D10" i="81"/>
  <c r="D9" i="81"/>
  <c r="D12" i="81" s="1"/>
  <c r="D14" i="81" s="1"/>
  <c r="D8" i="81"/>
  <c r="D7" i="81"/>
  <c r="B2" i="81"/>
  <c r="B1" i="81"/>
  <c r="C12" i="115"/>
  <c r="B12" i="115"/>
  <c r="D11" i="115"/>
  <c r="D10" i="115"/>
  <c r="D9" i="115"/>
  <c r="D8" i="115"/>
  <c r="D7" i="115"/>
  <c r="B2" i="115"/>
  <c r="B1" i="115"/>
  <c r="B2" i="80"/>
  <c r="B1" i="80"/>
  <c r="B13" i="151"/>
  <c r="B2" i="151"/>
  <c r="B1" i="151"/>
  <c r="B22" i="150"/>
  <c r="B12" i="150"/>
  <c r="B2" i="150"/>
  <c r="B1" i="150"/>
  <c r="G29" i="79"/>
  <c r="F29" i="79"/>
  <c r="E29" i="79"/>
  <c r="D29" i="79"/>
  <c r="C29" i="79"/>
  <c r="B29" i="79"/>
  <c r="C16" i="79"/>
  <c r="B16" i="79"/>
  <c r="D15" i="79"/>
  <c r="D14" i="79"/>
  <c r="D13" i="79"/>
  <c r="D12" i="79"/>
  <c r="D11" i="79"/>
  <c r="D10" i="79"/>
  <c r="D9" i="79"/>
  <c r="D8" i="79"/>
  <c r="D7" i="79"/>
  <c r="B2" i="79"/>
  <c r="B1" i="79"/>
  <c r="D83" i="78"/>
  <c r="C83" i="78"/>
  <c r="D68" i="78"/>
  <c r="C68" i="78"/>
  <c r="B68" i="78"/>
  <c r="C50" i="78"/>
  <c r="E39" i="78"/>
  <c r="C29" i="78"/>
  <c r="C28" i="78"/>
  <c r="B28" i="78"/>
  <c r="D17" i="78"/>
  <c r="C17" i="78"/>
  <c r="C19" i="78" s="1"/>
  <c r="C20" i="78" s="1"/>
  <c r="B17" i="78"/>
  <c r="B19" i="78" s="1"/>
  <c r="B20" i="78" s="1"/>
  <c r="B2" i="78"/>
  <c r="B1" i="78"/>
  <c r="B19" i="77"/>
  <c r="B8" i="77"/>
  <c r="B2" i="77"/>
  <c r="B1" i="77"/>
  <c r="B19" i="149"/>
  <c r="B9" i="149"/>
  <c r="B2" i="149"/>
  <c r="B1" i="149"/>
  <c r="B2" i="171"/>
  <c r="B1" i="171"/>
  <c r="C27" i="76"/>
  <c r="B27" i="76"/>
  <c r="C11" i="76"/>
  <c r="B11" i="76"/>
  <c r="B2" i="76"/>
  <c r="B1" i="76"/>
  <c r="D75" i="75"/>
  <c r="C75" i="75"/>
  <c r="D68" i="75"/>
  <c r="C68" i="75"/>
  <c r="B68" i="75"/>
  <c r="C58" i="75"/>
  <c r="B58" i="75"/>
  <c r="E47" i="75"/>
  <c r="B47" i="75"/>
  <c r="C37" i="75"/>
  <c r="C36" i="75"/>
  <c r="C38" i="75" s="1"/>
  <c r="C39" i="75" s="1"/>
  <c r="C24" i="75"/>
  <c r="C25" i="75" s="1"/>
  <c r="B2" i="75"/>
  <c r="B1" i="75"/>
  <c r="B39" i="114"/>
  <c r="C32" i="114"/>
  <c r="B32" i="114"/>
  <c r="B25" i="114"/>
  <c r="B2" i="114"/>
  <c r="B1" i="114"/>
  <c r="B11" i="165"/>
  <c r="B2" i="165"/>
  <c r="B1" i="165"/>
  <c r="B11" i="74"/>
  <c r="B6" i="74"/>
  <c r="B16" i="74" s="1"/>
  <c r="B2" i="74"/>
  <c r="B1" i="74"/>
  <c r="B28" i="73"/>
  <c r="B30" i="73" s="1"/>
  <c r="D22" i="73"/>
  <c r="B22" i="73"/>
  <c r="B10" i="73"/>
  <c r="B2" i="73"/>
  <c r="B1" i="73"/>
  <c r="C41" i="139"/>
  <c r="B41" i="139"/>
  <c r="A40" i="139"/>
  <c r="A39" i="139"/>
  <c r="A38" i="139"/>
  <c r="A37" i="139"/>
  <c r="A36" i="139"/>
  <c r="A35" i="139"/>
  <c r="A34" i="139"/>
  <c r="A33" i="139"/>
  <c r="A32" i="139"/>
  <c r="A31" i="139"/>
  <c r="A30" i="139"/>
  <c r="A29" i="139"/>
  <c r="A28" i="139"/>
  <c r="A27" i="139"/>
  <c r="A26" i="139"/>
  <c r="A25" i="139"/>
  <c r="A24" i="139"/>
  <c r="C21" i="139"/>
  <c r="B21" i="139"/>
  <c r="B2" i="139"/>
  <c r="A2" i="139"/>
  <c r="B1" i="139"/>
  <c r="J23" i="140"/>
  <c r="J22" i="140"/>
  <c r="J21" i="140"/>
  <c r="J20" i="140"/>
  <c r="J19" i="140"/>
  <c r="J18" i="140"/>
  <c r="J17" i="140"/>
  <c r="J16" i="140"/>
  <c r="J15" i="140"/>
  <c r="J14" i="140"/>
  <c r="J13" i="140"/>
  <c r="J12" i="140"/>
  <c r="J11" i="140"/>
  <c r="J10" i="140"/>
  <c r="J9" i="140"/>
  <c r="J8" i="140"/>
  <c r="J7" i="140"/>
  <c r="J6" i="140"/>
  <c r="B2" i="140"/>
  <c r="A2" i="140"/>
  <c r="B1" i="140"/>
  <c r="B2" i="144"/>
  <c r="A2" i="144"/>
  <c r="B1" i="144"/>
  <c r="U37" i="141"/>
  <c r="T37" i="141"/>
  <c r="S37" i="141"/>
  <c r="R37" i="141"/>
  <c r="K37" i="141"/>
  <c r="J37" i="141"/>
  <c r="I37" i="141"/>
  <c r="H37" i="141"/>
  <c r="Q36" i="141"/>
  <c r="G36" i="141"/>
  <c r="A36" i="141"/>
  <c r="Q35" i="141"/>
  <c r="G35" i="141"/>
  <c r="A35" i="141"/>
  <c r="Q34" i="141"/>
  <c r="G34" i="141"/>
  <c r="A34" i="141"/>
  <c r="Q33" i="141"/>
  <c r="G33" i="141"/>
  <c r="A33" i="141"/>
  <c r="Q32" i="141"/>
  <c r="G32" i="141"/>
  <c r="A32" i="141"/>
  <c r="Q31" i="141"/>
  <c r="G31" i="141"/>
  <c r="A31" i="141"/>
  <c r="Q30" i="141"/>
  <c r="G30" i="141"/>
  <c r="A30" i="141"/>
  <c r="Q29" i="141"/>
  <c r="G29" i="141"/>
  <c r="A29" i="141"/>
  <c r="Q28" i="141"/>
  <c r="Q37" i="141" s="1"/>
  <c r="G28" i="141"/>
  <c r="A28" i="141"/>
  <c r="Q27" i="141"/>
  <c r="G27" i="141"/>
  <c r="A27" i="141"/>
  <c r="Q26" i="141"/>
  <c r="G26" i="141"/>
  <c r="A26" i="141"/>
  <c r="Q25" i="141"/>
  <c r="G25" i="141"/>
  <c r="A25" i="141"/>
  <c r="Q24" i="141"/>
  <c r="G24" i="141"/>
  <c r="A24" i="141"/>
  <c r="Q23" i="141"/>
  <c r="G23" i="141"/>
  <c r="G37" i="141" s="1"/>
  <c r="A23" i="141"/>
  <c r="U20" i="141"/>
  <c r="T20" i="141"/>
  <c r="S20" i="141"/>
  <c r="R20" i="141"/>
  <c r="K20" i="141"/>
  <c r="J20" i="141"/>
  <c r="I20" i="141"/>
  <c r="H20" i="141"/>
  <c r="Q19" i="141"/>
  <c r="G19" i="141"/>
  <c r="Q18" i="141"/>
  <c r="G18" i="141"/>
  <c r="Q17" i="141"/>
  <c r="G17" i="141"/>
  <c r="Q16" i="141"/>
  <c r="G16" i="141"/>
  <c r="Q15" i="141"/>
  <c r="G15" i="141"/>
  <c r="Q14" i="141"/>
  <c r="G14" i="141"/>
  <c r="Q13" i="141"/>
  <c r="G13" i="141"/>
  <c r="Q12" i="141"/>
  <c r="G12" i="141"/>
  <c r="Q11" i="141"/>
  <c r="G11" i="141"/>
  <c r="Q10" i="141"/>
  <c r="G10" i="141"/>
  <c r="Q9" i="141"/>
  <c r="G9" i="141"/>
  <c r="Q8" i="141"/>
  <c r="Q20" i="141" s="1"/>
  <c r="G8" i="141"/>
  <c r="Q7" i="141"/>
  <c r="G7" i="141"/>
  <c r="Q6" i="141"/>
  <c r="G6" i="141"/>
  <c r="B2" i="141"/>
  <c r="A2" i="141"/>
  <c r="B1" i="141"/>
  <c r="I40" i="145"/>
  <c r="G40" i="145"/>
  <c r="F40" i="145"/>
  <c r="E40" i="145"/>
  <c r="D40" i="145"/>
  <c r="C40" i="145"/>
  <c r="B39" i="145"/>
  <c r="B38" i="145"/>
  <c r="B37" i="145"/>
  <c r="B36" i="145"/>
  <c r="B35" i="145"/>
  <c r="B34" i="145"/>
  <c r="B33" i="145"/>
  <c r="B32" i="145"/>
  <c r="B31" i="145"/>
  <c r="B30" i="145"/>
  <c r="B29" i="145"/>
  <c r="B28" i="145"/>
  <c r="B27" i="145"/>
  <c r="B26" i="145"/>
  <c r="L21" i="145"/>
  <c r="K21" i="145"/>
  <c r="J21" i="145"/>
  <c r="I21" i="145"/>
  <c r="H21" i="145"/>
  <c r="G21" i="145"/>
  <c r="E21" i="145"/>
  <c r="D21" i="145"/>
  <c r="C21" i="145"/>
  <c r="F20" i="145"/>
  <c r="B20" i="145"/>
  <c r="F19" i="145"/>
  <c r="B19" i="145"/>
  <c r="F18" i="145"/>
  <c r="B18" i="145"/>
  <c r="F17" i="145"/>
  <c r="B17" i="145"/>
  <c r="F16" i="145"/>
  <c r="B16" i="145"/>
  <c r="F15" i="145"/>
  <c r="B15" i="145"/>
  <c r="F14" i="145"/>
  <c r="B14" i="145"/>
  <c r="F13" i="145"/>
  <c r="B13" i="145"/>
  <c r="F12" i="145"/>
  <c r="B12" i="145"/>
  <c r="F11" i="145"/>
  <c r="B11" i="145"/>
  <c r="F10" i="145"/>
  <c r="B10" i="145"/>
  <c r="F9" i="145"/>
  <c r="B9" i="145"/>
  <c r="F8" i="145"/>
  <c r="B8" i="145"/>
  <c r="F7" i="145"/>
  <c r="B7" i="145"/>
  <c r="B2" i="145"/>
  <c r="B1" i="145"/>
  <c r="D274" i="28"/>
  <c r="C274" i="28"/>
  <c r="D273" i="28"/>
  <c r="C273" i="28"/>
  <c r="D272" i="28"/>
  <c r="C272" i="28"/>
  <c r="D271" i="28"/>
  <c r="C271" i="28"/>
  <c r="D265" i="28"/>
  <c r="C265" i="28"/>
  <c r="B264" i="28"/>
  <c r="B266" i="28" s="1"/>
  <c r="B275" i="28" s="1"/>
  <c r="B242" i="28" s="1"/>
  <c r="B245" i="28" s="1"/>
  <c r="D259" i="28"/>
  <c r="C259" i="28"/>
  <c r="D258" i="28"/>
  <c r="C258" i="28"/>
  <c r="D257" i="28"/>
  <c r="C257" i="28"/>
  <c r="D256" i="28"/>
  <c r="C256" i="28"/>
  <c r="D255" i="28"/>
  <c r="C255" i="28"/>
  <c r="D254" i="28"/>
  <c r="C254" i="28"/>
  <c r="D253" i="28"/>
  <c r="C253" i="28"/>
  <c r="D252" i="28"/>
  <c r="C252" i="28"/>
  <c r="B249" i="28"/>
  <c r="B248" i="28"/>
  <c r="D246" i="28"/>
  <c r="D245" i="28"/>
  <c r="E244" i="28"/>
  <c r="D244" i="28"/>
  <c r="E243" i="28"/>
  <c r="D243" i="28"/>
  <c r="D242" i="28"/>
  <c r="D241" i="28"/>
  <c r="C241" i="28"/>
  <c r="E241" i="28" s="1"/>
  <c r="D240" i="28"/>
  <c r="C240" i="28"/>
  <c r="D239" i="28"/>
  <c r="C239" i="28"/>
  <c r="D238" i="28"/>
  <c r="C238" i="28"/>
  <c r="D237" i="28"/>
  <c r="C237" i="28"/>
  <c r="D236" i="28"/>
  <c r="C236" i="28"/>
  <c r="D235" i="28"/>
  <c r="C235" i="28"/>
  <c r="D234" i="28"/>
  <c r="C234" i="28"/>
  <c r="D233" i="28"/>
  <c r="D232" i="28"/>
  <c r="B232" i="28"/>
  <c r="D231" i="28"/>
  <c r="C231" i="28"/>
  <c r="D230" i="28"/>
  <c r="C230" i="28"/>
  <c r="D229" i="28"/>
  <c r="C229" i="28"/>
  <c r="D228" i="28"/>
  <c r="C228" i="28"/>
  <c r="D227" i="28"/>
  <c r="C227" i="28"/>
  <c r="D226" i="28"/>
  <c r="C226" i="28"/>
  <c r="D225" i="28"/>
  <c r="C225" i="28"/>
  <c r="B224" i="28"/>
  <c r="D223" i="28"/>
  <c r="C223" i="28"/>
  <c r="D222" i="28"/>
  <c r="C222" i="28"/>
  <c r="D221" i="28"/>
  <c r="C221" i="28"/>
  <c r="D220" i="28"/>
  <c r="C220" i="28"/>
  <c r="D219" i="28"/>
  <c r="C219" i="28"/>
  <c r="D218" i="28"/>
  <c r="C218" i="28"/>
  <c r="D217" i="28"/>
  <c r="C217" i="28"/>
  <c r="D216" i="28"/>
  <c r="C216" i="28"/>
  <c r="D215" i="28"/>
  <c r="C215" i="28"/>
  <c r="D214" i="28"/>
  <c r="C214" i="28"/>
  <c r="D213" i="28"/>
  <c r="C213" i="28"/>
  <c r="B211" i="28"/>
  <c r="D210" i="28"/>
  <c r="C210" i="28"/>
  <c r="D209" i="28"/>
  <c r="C209" i="28"/>
  <c r="D208" i="28"/>
  <c r="C208" i="28"/>
  <c r="D207" i="28"/>
  <c r="C207" i="28"/>
  <c r="D206" i="28"/>
  <c r="C206" i="28"/>
  <c r="D205" i="28"/>
  <c r="C205" i="28"/>
  <c r="D204" i="28"/>
  <c r="C204" i="28"/>
  <c r="D203" i="28"/>
  <c r="C203" i="28"/>
  <c r="D202" i="28"/>
  <c r="C202" i="28"/>
  <c r="D201" i="28"/>
  <c r="C201" i="28"/>
  <c r="D200" i="28"/>
  <c r="C200" i="28"/>
  <c r="D199" i="28"/>
  <c r="C199" i="28"/>
  <c r="B198" i="28"/>
  <c r="B212" i="28" s="1"/>
  <c r="D197" i="28"/>
  <c r="C197" i="28"/>
  <c r="D196" i="28"/>
  <c r="C196" i="28"/>
  <c r="D195" i="28"/>
  <c r="C195" i="28"/>
  <c r="D194" i="28"/>
  <c r="C194" i="28"/>
  <c r="D193" i="28"/>
  <c r="C193" i="28"/>
  <c r="D192" i="28"/>
  <c r="C192" i="28"/>
  <c r="D191" i="28"/>
  <c r="C191" i="28"/>
  <c r="D190" i="28"/>
  <c r="C190" i="28"/>
  <c r="D189" i="28"/>
  <c r="C189" i="28"/>
  <c r="D188" i="28"/>
  <c r="C188" i="28"/>
  <c r="D187" i="28"/>
  <c r="C187" i="28"/>
  <c r="D186" i="28"/>
  <c r="C186" i="28"/>
  <c r="B183" i="28"/>
  <c r="B182" i="28"/>
  <c r="D180" i="28"/>
  <c r="D179" i="28"/>
  <c r="C179" i="28"/>
  <c r="D178" i="28"/>
  <c r="C178" i="28"/>
  <c r="D177" i="28"/>
  <c r="C177" i="28"/>
  <c r="D176" i="28"/>
  <c r="C176" i="28"/>
  <c r="D175" i="28"/>
  <c r="C175" i="28"/>
  <c r="D174" i="28"/>
  <c r="D173" i="28"/>
  <c r="C173" i="28"/>
  <c r="D172" i="28"/>
  <c r="C172" i="28"/>
  <c r="D171" i="28"/>
  <c r="C171" i="28"/>
  <c r="D170" i="28"/>
  <c r="D169" i="28"/>
  <c r="C169" i="28"/>
  <c r="D168" i="28"/>
  <c r="C168" i="28"/>
  <c r="D167" i="28"/>
  <c r="C167" i="28"/>
  <c r="D166" i="28"/>
  <c r="C166" i="28"/>
  <c r="D165" i="28"/>
  <c r="C165" i="28"/>
  <c r="D164" i="28"/>
  <c r="D162" i="28"/>
  <c r="C162" i="28"/>
  <c r="D161" i="28"/>
  <c r="D159" i="28"/>
  <c r="D158" i="28"/>
  <c r="C158" i="28"/>
  <c r="D156" i="28"/>
  <c r="D155" i="28"/>
  <c r="D153" i="28"/>
  <c r="D150" i="28"/>
  <c r="D148" i="28"/>
  <c r="C148" i="28"/>
  <c r="D147" i="28"/>
  <c r="D146" i="28"/>
  <c r="D140" i="28"/>
  <c r="D139" i="28"/>
  <c r="D138" i="28"/>
  <c r="D137" i="28"/>
  <c r="D136" i="28"/>
  <c r="D135" i="28"/>
  <c r="B132" i="28"/>
  <c r="B131" i="28"/>
  <c r="D129" i="28"/>
  <c r="C129" i="28"/>
  <c r="D128" i="28"/>
  <c r="C128" i="28"/>
  <c r="D127" i="28"/>
  <c r="C127" i="28"/>
  <c r="D126" i="28"/>
  <c r="C126" i="28"/>
  <c r="D125" i="28"/>
  <c r="C125" i="28"/>
  <c r="D124" i="28"/>
  <c r="C124" i="28"/>
  <c r="D123" i="28"/>
  <c r="C123" i="28"/>
  <c r="D122" i="28"/>
  <c r="C122" i="28"/>
  <c r="D121" i="28"/>
  <c r="C121" i="28"/>
  <c r="D120" i="28"/>
  <c r="C120" i="28"/>
  <c r="D119" i="28"/>
  <c r="C119" i="28"/>
  <c r="D118" i="28"/>
  <c r="C118" i="28"/>
  <c r="D117" i="28"/>
  <c r="C117" i="28"/>
  <c r="D116" i="28"/>
  <c r="C116" i="28"/>
  <c r="B114" i="28"/>
  <c r="D113" i="28"/>
  <c r="C113" i="28"/>
  <c r="D112" i="28"/>
  <c r="C112" i="28"/>
  <c r="D111" i="28"/>
  <c r="C111" i="28"/>
  <c r="D110" i="28"/>
  <c r="C110" i="28"/>
  <c r="D109" i="28"/>
  <c r="C109" i="28"/>
  <c r="D108" i="28"/>
  <c r="C108" i="28"/>
  <c r="D107" i="28"/>
  <c r="E107" i="28" s="1"/>
  <c r="B12" i="176" s="1"/>
  <c r="C107" i="28"/>
  <c r="D106" i="28"/>
  <c r="C106" i="28"/>
  <c r="D105" i="28"/>
  <c r="C105" i="28"/>
  <c r="D104" i="28"/>
  <c r="C104" i="28"/>
  <c r="B103" i="28"/>
  <c r="D102" i="28"/>
  <c r="C102" i="28"/>
  <c r="D101" i="28"/>
  <c r="C101" i="28"/>
  <c r="D100" i="28"/>
  <c r="C100" i="28"/>
  <c r="D99" i="28"/>
  <c r="C99" i="28"/>
  <c r="D98" i="28"/>
  <c r="C98" i="28"/>
  <c r="D97" i="28"/>
  <c r="C97" i="28"/>
  <c r="D96" i="28"/>
  <c r="C96" i="28"/>
  <c r="D95" i="28"/>
  <c r="C95" i="28"/>
  <c r="D94" i="28"/>
  <c r="C94" i="28"/>
  <c r="D93" i="28"/>
  <c r="C93" i="28"/>
  <c r="D92" i="28"/>
  <c r="C92" i="28"/>
  <c r="D91" i="28"/>
  <c r="C91" i="28"/>
  <c r="D90" i="28"/>
  <c r="C90" i="28"/>
  <c r="D89" i="28"/>
  <c r="C89" i="28"/>
  <c r="D84" i="28"/>
  <c r="C84" i="28"/>
  <c r="D83" i="28"/>
  <c r="C83" i="28"/>
  <c r="E83" i="28" s="1"/>
  <c r="C7" i="2" s="1"/>
  <c r="D81" i="28"/>
  <c r="C81" i="28"/>
  <c r="D80" i="28"/>
  <c r="C80" i="28"/>
  <c r="B77" i="28"/>
  <c r="B76" i="28"/>
  <c r="D73" i="28"/>
  <c r="C73" i="28"/>
  <c r="E73" i="28" s="1"/>
  <c r="B16" i="118" s="1"/>
  <c r="B17" i="118" s="1"/>
  <c r="B18" i="118" s="1"/>
  <c r="D72" i="28"/>
  <c r="C72" i="28"/>
  <c r="D71" i="28"/>
  <c r="C71" i="28"/>
  <c r="D70" i="28"/>
  <c r="C70" i="28"/>
  <c r="D69" i="28"/>
  <c r="C69" i="28"/>
  <c r="E69" i="28" s="1"/>
  <c r="G10" i="86" s="1"/>
  <c r="G11" i="86" s="1"/>
  <c r="G12" i="86" s="1"/>
  <c r="B68" i="28"/>
  <c r="D67" i="28"/>
  <c r="C67" i="28"/>
  <c r="C68" i="28" s="1"/>
  <c r="D66" i="28"/>
  <c r="C66" i="28"/>
  <c r="D65" i="28"/>
  <c r="C65" i="28"/>
  <c r="D64" i="28"/>
  <c r="E64" i="28" s="1"/>
  <c r="C33" i="1" s="1"/>
  <c r="C64" i="28"/>
  <c r="D63" i="28"/>
  <c r="C63" i="28"/>
  <c r="D61" i="28"/>
  <c r="C61" i="28"/>
  <c r="B60" i="28"/>
  <c r="B62" i="28" s="1"/>
  <c r="D59" i="28"/>
  <c r="C59" i="28"/>
  <c r="D58" i="28"/>
  <c r="C58" i="28"/>
  <c r="B57" i="28"/>
  <c r="D56" i="28"/>
  <c r="C56" i="28"/>
  <c r="D55" i="28"/>
  <c r="C55" i="28"/>
  <c r="B52" i="28"/>
  <c r="D49" i="28"/>
  <c r="C49" i="28"/>
  <c r="E49" i="28" s="1"/>
  <c r="D48" i="28"/>
  <c r="C48" i="28"/>
  <c r="D47" i="28"/>
  <c r="C47" i="28"/>
  <c r="D46" i="28"/>
  <c r="C46" i="28"/>
  <c r="D44" i="28"/>
  <c r="C44" i="28"/>
  <c r="E44" i="28" s="1"/>
  <c r="E43" i="28"/>
  <c r="D41" i="28"/>
  <c r="C41" i="28"/>
  <c r="D40" i="28"/>
  <c r="C40" i="28"/>
  <c r="D39" i="28"/>
  <c r="C39" i="28"/>
  <c r="B38" i="28"/>
  <c r="D37" i="28"/>
  <c r="C37" i="28"/>
  <c r="E37" i="28" s="1"/>
  <c r="E38" i="28" s="1"/>
  <c r="D36" i="28"/>
  <c r="E36" i="28" s="1"/>
  <c r="C36" i="28"/>
  <c r="D35" i="28"/>
  <c r="C35" i="28"/>
  <c r="D34" i="28"/>
  <c r="C34" i="28"/>
  <c r="D33" i="28"/>
  <c r="C33" i="28"/>
  <c r="E33" i="28" s="1"/>
  <c r="D32" i="28"/>
  <c r="C32" i="28"/>
  <c r="D31" i="28"/>
  <c r="C31" i="28"/>
  <c r="D30" i="28"/>
  <c r="C30" i="28"/>
  <c r="B25" i="28"/>
  <c r="B22" i="28"/>
  <c r="D21" i="28"/>
  <c r="E21" i="28" s="1"/>
  <c r="C21" i="28"/>
  <c r="D20" i="28"/>
  <c r="C20" i="28"/>
  <c r="D19" i="28"/>
  <c r="C19" i="28"/>
  <c r="D9" i="28"/>
  <c r="C9" i="28"/>
  <c r="E9" i="28" s="1"/>
  <c r="D8" i="28"/>
  <c r="C8" i="28"/>
  <c r="E8" i="28" s="1"/>
  <c r="B17" i="74" s="1"/>
  <c r="D6" i="28"/>
  <c r="C6" i="28"/>
  <c r="E6" i="28" s="1"/>
  <c r="B12" i="73" s="1"/>
  <c r="B2" i="28"/>
  <c r="B1" i="28"/>
  <c r="Z34" i="9"/>
  <c r="AA34" i="9" s="1"/>
  <c r="N34" i="9"/>
  <c r="AA33" i="9"/>
  <c r="N33" i="9"/>
  <c r="AA32" i="9"/>
  <c r="N32" i="9"/>
  <c r="Z31" i="9"/>
  <c r="Y31" i="9"/>
  <c r="X31" i="9"/>
  <c r="W31" i="9"/>
  <c r="V31" i="9"/>
  <c r="U31" i="9"/>
  <c r="T31" i="9"/>
  <c r="S31" i="9"/>
  <c r="R31" i="9"/>
  <c r="Q31" i="9"/>
  <c r="P31" i="9"/>
  <c r="O31" i="9"/>
  <c r="M31" i="9"/>
  <c r="L31" i="9"/>
  <c r="K31" i="9"/>
  <c r="J31" i="9"/>
  <c r="I31" i="9"/>
  <c r="H31" i="9"/>
  <c r="G31" i="9"/>
  <c r="F31" i="9"/>
  <c r="E31" i="9"/>
  <c r="D31" i="9"/>
  <c r="C31" i="9"/>
  <c r="B31" i="9"/>
  <c r="AA30" i="9"/>
  <c r="N30" i="9"/>
  <c r="AA28" i="9"/>
  <c r="N28" i="9"/>
  <c r="AA27" i="9"/>
  <c r="N27" i="9"/>
  <c r="AA26" i="9"/>
  <c r="N26" i="9"/>
  <c r="AA25" i="9"/>
  <c r="N25" i="9"/>
  <c r="Z24" i="9"/>
  <c r="Y24" i="9"/>
  <c r="X24" i="9"/>
  <c r="W24" i="9"/>
  <c r="V24" i="9"/>
  <c r="U24" i="9"/>
  <c r="T24" i="9"/>
  <c r="S24" i="9"/>
  <c r="R24" i="9"/>
  <c r="Q24" i="9"/>
  <c r="P24" i="9"/>
  <c r="O24" i="9"/>
  <c r="M24" i="9"/>
  <c r="L24" i="9"/>
  <c r="K24" i="9"/>
  <c r="J24" i="9"/>
  <c r="I24" i="9"/>
  <c r="H24" i="9"/>
  <c r="G24" i="9"/>
  <c r="F24" i="9"/>
  <c r="E24" i="9"/>
  <c r="D24" i="9"/>
  <c r="C24" i="9"/>
  <c r="B24" i="9"/>
  <c r="AA23" i="9"/>
  <c r="N23" i="9"/>
  <c r="AA22" i="9"/>
  <c r="N22" i="9"/>
  <c r="AA21" i="9"/>
  <c r="N21" i="9"/>
  <c r="Z20" i="9"/>
  <c r="Y20" i="9"/>
  <c r="X20" i="9"/>
  <c r="W20" i="9"/>
  <c r="V20" i="9"/>
  <c r="U20" i="9"/>
  <c r="T20" i="9"/>
  <c r="S20" i="9"/>
  <c r="R20" i="9"/>
  <c r="Q20" i="9"/>
  <c r="P20" i="9"/>
  <c r="O20" i="9"/>
  <c r="M20" i="9"/>
  <c r="L20" i="9"/>
  <c r="K20" i="9"/>
  <c r="J20" i="9"/>
  <c r="I20" i="9"/>
  <c r="H20" i="9"/>
  <c r="G20" i="9"/>
  <c r="F20" i="9"/>
  <c r="E20" i="9"/>
  <c r="D20" i="9"/>
  <c r="C20" i="9"/>
  <c r="B20" i="9"/>
  <c r="AA19" i="9"/>
  <c r="N19" i="9"/>
  <c r="AA18" i="9"/>
  <c r="N18" i="9"/>
  <c r="AA17" i="9"/>
  <c r="N17" i="9"/>
  <c r="AA16" i="9"/>
  <c r="N16" i="9"/>
  <c r="Z15" i="9"/>
  <c r="Y15" i="9"/>
  <c r="X15" i="9"/>
  <c r="W15" i="9"/>
  <c r="W13" i="9" s="1"/>
  <c r="V15" i="9"/>
  <c r="U15" i="9"/>
  <c r="T15" i="9"/>
  <c r="S15" i="9"/>
  <c r="R15" i="9"/>
  <c r="Q15" i="9"/>
  <c r="P15" i="9"/>
  <c r="O15" i="9"/>
  <c r="M15" i="9"/>
  <c r="L15" i="9"/>
  <c r="K15" i="9"/>
  <c r="J15" i="9"/>
  <c r="I15" i="9"/>
  <c r="H15" i="9"/>
  <c r="G15" i="9"/>
  <c r="G13" i="9" s="1"/>
  <c r="F15" i="9"/>
  <c r="E15" i="9"/>
  <c r="D15" i="9"/>
  <c r="C15" i="9"/>
  <c r="B15" i="9"/>
  <c r="AA14" i="9"/>
  <c r="N14" i="9"/>
  <c r="Z12" i="9"/>
  <c r="Y12" i="9"/>
  <c r="X12" i="9"/>
  <c r="W12" i="9"/>
  <c r="V12" i="9"/>
  <c r="U12" i="9"/>
  <c r="T12" i="9"/>
  <c r="S12" i="9"/>
  <c r="R12" i="9"/>
  <c r="Q12" i="9"/>
  <c r="P12" i="9"/>
  <c r="O12" i="9"/>
  <c r="AA11" i="9"/>
  <c r="N11" i="9"/>
  <c r="AA10" i="9"/>
  <c r="AA9" i="9"/>
  <c r="AA8" i="9"/>
  <c r="H8" i="9"/>
  <c r="H12" i="9" s="1"/>
  <c r="E8" i="9"/>
  <c r="E12" i="9"/>
  <c r="D8" i="9"/>
  <c r="D12" i="9" s="1"/>
  <c r="C8" i="9"/>
  <c r="C12" i="9" s="1"/>
  <c r="A3" i="9"/>
  <c r="H40" i="167"/>
  <c r="G40" i="167"/>
  <c r="F40" i="167"/>
  <c r="E40" i="167"/>
  <c r="C40" i="167"/>
  <c r="H34" i="167"/>
  <c r="G34" i="167"/>
  <c r="F34" i="167"/>
  <c r="E34" i="167"/>
  <c r="C34" i="167"/>
  <c r="H27" i="167"/>
  <c r="G27" i="167"/>
  <c r="F27" i="167"/>
  <c r="E27" i="167"/>
  <c r="C27" i="167"/>
  <c r="H22" i="167"/>
  <c r="G22" i="167"/>
  <c r="F22" i="167"/>
  <c r="E22" i="167"/>
  <c r="C22" i="167"/>
  <c r="H14" i="167"/>
  <c r="G14" i="167"/>
  <c r="G15" i="167" s="1"/>
  <c r="F14" i="167"/>
  <c r="E14" i="167"/>
  <c r="C14" i="167"/>
  <c r="H9" i="167"/>
  <c r="G9" i="167"/>
  <c r="F9" i="167"/>
  <c r="E9" i="167"/>
  <c r="C9" i="167"/>
  <c r="A2" i="167"/>
  <c r="E22" i="166"/>
  <c r="E25" i="166" s="1"/>
  <c r="E27" i="166" s="1"/>
  <c r="D22" i="166"/>
  <c r="A2" i="166"/>
  <c r="D44" i="2"/>
  <c r="D46" i="2" s="1"/>
  <c r="D31" i="2"/>
  <c r="D19" i="2"/>
  <c r="D41" i="1"/>
  <c r="D19" i="1"/>
  <c r="A2" i="1"/>
  <c r="B2" i="137"/>
  <c r="B1" i="137"/>
  <c r="A75" i="112"/>
  <c r="A76" i="112" s="1"/>
  <c r="A77" i="112" s="1"/>
  <c r="A52" i="112"/>
  <c r="A53" i="112" s="1"/>
  <c r="A54" i="112" s="1"/>
  <c r="A55" i="112" s="1"/>
  <c r="A56" i="112" s="1"/>
  <c r="A57" i="112" s="1"/>
  <c r="A58" i="112" s="1"/>
  <c r="A59" i="112" s="1"/>
  <c r="A60" i="112" s="1"/>
  <c r="A61" i="112" s="1"/>
  <c r="A62" i="112" s="1"/>
  <c r="A63" i="112" s="1"/>
  <c r="A49" i="112"/>
  <c r="A10" i="112"/>
  <c r="A11" i="112" s="1"/>
  <c r="A12" i="112" s="1"/>
  <c r="A13" i="112" s="1"/>
  <c r="A14" i="112" s="1"/>
  <c r="A15" i="112" s="1"/>
  <c r="A16" i="112" s="1"/>
  <c r="A17" i="112" s="1"/>
  <c r="A18" i="112" s="1"/>
  <c r="A21" i="112"/>
  <c r="A6" i="112"/>
  <c r="E176" i="28"/>
  <c r="B48" i="62"/>
  <c r="D54" i="95"/>
  <c r="E54" i="95" s="1"/>
  <c r="E56" i="95" s="1"/>
  <c r="E57" i="95" s="1"/>
  <c r="F9" i="87"/>
  <c r="E196" i="28"/>
  <c r="D224" i="28"/>
  <c r="E156" i="28"/>
  <c r="C24" i="166" s="1"/>
  <c r="E169" i="28"/>
  <c r="C232" i="28"/>
  <c r="B54" i="95"/>
  <c r="C29" i="85"/>
  <c r="D10" i="153"/>
  <c r="D38" i="28"/>
  <c r="E140" i="28"/>
  <c r="B10" i="177" s="1"/>
  <c r="B11" i="177" s="1"/>
  <c r="B12" i="177" s="1"/>
  <c r="D198" i="28"/>
  <c r="E201" i="28"/>
  <c r="E203" i="28"/>
  <c r="E209" i="28"/>
  <c r="E35" i="28"/>
  <c r="E117" i="28"/>
  <c r="C34" i="2" s="1"/>
  <c r="E119" i="28"/>
  <c r="E121" i="28"/>
  <c r="C38" i="2" s="1"/>
  <c r="E123" i="28"/>
  <c r="E127" i="28"/>
  <c r="C45" i="2"/>
  <c r="E148" i="28"/>
  <c r="E187" i="28"/>
  <c r="E189" i="28"/>
  <c r="E191" i="28"/>
  <c r="E195" i="28"/>
  <c r="E104" i="28"/>
  <c r="E112" i="28"/>
  <c r="C29" i="2"/>
  <c r="G152" i="133"/>
  <c r="B21" i="130"/>
  <c r="B22" i="131"/>
  <c r="B27" i="99"/>
  <c r="B28" i="99" s="1"/>
  <c r="C54" i="95"/>
  <c r="F14" i="85"/>
  <c r="E40" i="85"/>
  <c r="C40" i="85"/>
  <c r="G20" i="141"/>
  <c r="E61" i="28"/>
  <c r="E147" i="28"/>
  <c r="C20" i="166" s="1"/>
  <c r="E188" i="28"/>
  <c r="E192" i="28"/>
  <c r="E200" i="28"/>
  <c r="E202" i="28"/>
  <c r="E204" i="28"/>
  <c r="E206" i="28"/>
  <c r="E208" i="28"/>
  <c r="E210" i="28"/>
  <c r="E254" i="28"/>
  <c r="E111" i="28"/>
  <c r="F8" i="161" s="1"/>
  <c r="C57" i="28"/>
  <c r="B74" i="28"/>
  <c r="E80" i="28"/>
  <c r="E91" i="28"/>
  <c r="E99" i="28"/>
  <c r="E118" i="28"/>
  <c r="E120" i="28"/>
  <c r="E124" i="28"/>
  <c r="C42" i="2"/>
  <c r="D154" i="28"/>
  <c r="E166" i="28"/>
  <c r="E175" i="28"/>
  <c r="E219" i="28"/>
  <c r="E223" i="28"/>
  <c r="E238" i="28"/>
  <c r="C28" i="167"/>
  <c r="G142" i="133"/>
  <c r="B67" i="62"/>
  <c r="B21" i="127"/>
  <c r="B21" i="128"/>
  <c r="B21" i="129"/>
  <c r="E7" i="161"/>
  <c r="E7" i="121"/>
  <c r="E32" i="98"/>
  <c r="E33" i="98" s="1"/>
  <c r="B22" i="98"/>
  <c r="B23" i="98" s="1"/>
  <c r="E51" i="95"/>
  <c r="E29" i="85"/>
  <c r="B18" i="85"/>
  <c r="B42" i="85" s="1"/>
  <c r="C30" i="78"/>
  <c r="C31" i="78"/>
  <c r="E10" i="152"/>
  <c r="B11" i="157"/>
  <c r="B12" i="157" s="1"/>
  <c r="B13" i="157" s="1"/>
  <c r="E92" i="28"/>
  <c r="B23" i="150"/>
  <c r="B24" i="150" s="1"/>
  <c r="B25" i="150" s="1"/>
  <c r="E94" i="28"/>
  <c r="E96" i="28"/>
  <c r="E98" i="28"/>
  <c r="E100" i="28"/>
  <c r="E102" i="28"/>
  <c r="C18" i="2" s="1"/>
  <c r="E108" i="28"/>
  <c r="B13" i="160"/>
  <c r="E122" i="28"/>
  <c r="C39" i="2" s="1"/>
  <c r="E136" i="28"/>
  <c r="C6" i="166" s="1"/>
  <c r="E158" i="28"/>
  <c r="C26" i="166"/>
  <c r="E162" i="28"/>
  <c r="C30" i="166" s="1"/>
  <c r="E165" i="28"/>
  <c r="C33" i="166" s="1"/>
  <c r="E172" i="28"/>
  <c r="E214" i="28"/>
  <c r="E218" i="28"/>
  <c r="E226" i="28"/>
  <c r="E228" i="28"/>
  <c r="E230" i="28"/>
  <c r="E234" i="28"/>
  <c r="E253" i="28"/>
  <c r="E272" i="28"/>
  <c r="E274" i="28"/>
  <c r="D25" i="28"/>
  <c r="D26" i="28" s="1"/>
  <c r="D27" i="28" s="1"/>
  <c r="E40" i="28"/>
  <c r="E48" i="28"/>
  <c r="D18" i="116" s="1"/>
  <c r="E56" i="28"/>
  <c r="E57" i="28" s="1"/>
  <c r="E44" i="83" s="1"/>
  <c r="E45" i="83" s="1"/>
  <c r="E46" i="83" s="1"/>
  <c r="E71" i="28"/>
  <c r="C38" i="1" s="1"/>
  <c r="E89" i="28"/>
  <c r="C13" i="2"/>
  <c r="E93" i="28"/>
  <c r="E95" i="28"/>
  <c r="E97" i="28"/>
  <c r="E116" i="28"/>
  <c r="E137" i="28"/>
  <c r="C15" i="104" s="1"/>
  <c r="C16" i="104" s="1"/>
  <c r="C17" i="104" s="1"/>
  <c r="E155" i="28"/>
  <c r="C23" i="166" s="1"/>
  <c r="E171" i="28"/>
  <c r="E173" i="28"/>
  <c r="E179" i="28"/>
  <c r="E197" i="28"/>
  <c r="E205" i="28"/>
  <c r="E215" i="28"/>
  <c r="E222" i="28"/>
  <c r="E227" i="28"/>
  <c r="E229" i="28"/>
  <c r="E237" i="28"/>
  <c r="E252" i="28"/>
  <c r="E271" i="28"/>
  <c r="E258" i="28"/>
  <c r="E28" i="167"/>
  <c r="G41" i="167"/>
  <c r="M13" i="9"/>
  <c r="B12" i="165"/>
  <c r="B13" i="165" s="1"/>
  <c r="B14" i="165" s="1"/>
  <c r="E32" i="28"/>
  <c r="B17" i="106"/>
  <c r="B18" i="106" s="1"/>
  <c r="B19" i="106" s="1"/>
  <c r="C25" i="28"/>
  <c r="C29" i="28" s="1"/>
  <c r="E66" i="28"/>
  <c r="E199" i="28"/>
  <c r="E207" i="28"/>
  <c r="C13" i="88"/>
  <c r="C14" i="88" s="1"/>
  <c r="C15" i="88" s="1"/>
  <c r="E39" i="28"/>
  <c r="D57" i="28"/>
  <c r="D103" i="28"/>
  <c r="E105" i="28"/>
  <c r="B13" i="99" s="1"/>
  <c r="B14" i="99" s="1"/>
  <c r="B15" i="99" s="1"/>
  <c r="E110" i="28"/>
  <c r="B14" i="102" s="1"/>
  <c r="B15" i="102" s="1"/>
  <c r="B16" i="102" s="1"/>
  <c r="E113" i="28"/>
  <c r="C30" i="2" s="1"/>
  <c r="E139" i="28"/>
  <c r="C9" i="166" s="1"/>
  <c r="E153" i="28"/>
  <c r="B16" i="169"/>
  <c r="B17" i="169" s="1"/>
  <c r="B18" i="169" s="1"/>
  <c r="E167" i="28"/>
  <c r="E178" i="28"/>
  <c r="E186" i="28"/>
  <c r="E194" i="28"/>
  <c r="E217" i="28"/>
  <c r="E220" i="28"/>
  <c r="B233" i="28"/>
  <c r="E236" i="28"/>
  <c r="E9" i="152"/>
  <c r="F8" i="84"/>
  <c r="D29" i="85"/>
  <c r="C18" i="85"/>
  <c r="F25" i="85"/>
  <c r="D40" i="85"/>
  <c r="E16" i="96"/>
  <c r="D52" i="28"/>
  <c r="D53" i="28" s="1"/>
  <c r="D54" i="28" s="1"/>
  <c r="E55" i="28"/>
  <c r="D60" i="28"/>
  <c r="D62" i="28" s="1"/>
  <c r="D264" i="28"/>
  <c r="D266" i="28" s="1"/>
  <c r="D275" i="28" s="1"/>
  <c r="E265" i="28"/>
  <c r="E273" i="28"/>
  <c r="B30" i="78"/>
  <c r="B31" i="78" s="1"/>
  <c r="F21" i="85"/>
  <c r="F36" i="85"/>
  <c r="F43" i="85"/>
  <c r="G10" i="117"/>
  <c r="G18" i="117"/>
  <c r="D22" i="28"/>
  <c r="E47" i="28"/>
  <c r="D15" i="81" s="1"/>
  <c r="K18" i="82"/>
  <c r="K19" i="82" s="1"/>
  <c r="K20" i="82" s="1"/>
  <c r="E70" i="28"/>
  <c r="G21" i="117" s="1"/>
  <c r="E106" i="28"/>
  <c r="B9" i="100" s="1"/>
  <c r="B10" i="100" s="1"/>
  <c r="B11" i="100" s="1"/>
  <c r="E109" i="28"/>
  <c r="E135" i="28"/>
  <c r="E138" i="28"/>
  <c r="C8" i="166" s="1"/>
  <c r="E146" i="28"/>
  <c r="B16" i="168"/>
  <c r="B17" i="168" s="1"/>
  <c r="B18" i="168" s="1"/>
  <c r="E150" i="28"/>
  <c r="B10" i="123"/>
  <c r="B11" i="123"/>
  <c r="B12" i="123" s="1"/>
  <c r="E168" i="28"/>
  <c r="E177" i="28"/>
  <c r="E190" i="28"/>
  <c r="E193" i="28"/>
  <c r="D211" i="28"/>
  <c r="D212" i="28"/>
  <c r="C224" i="28"/>
  <c r="E216" i="28"/>
  <c r="E221" i="28"/>
  <c r="E240" i="28"/>
  <c r="E256" i="28"/>
  <c r="E259" i="28"/>
  <c r="B40" i="145"/>
  <c r="D16" i="79"/>
  <c r="E58" i="84"/>
  <c r="E68" i="84"/>
  <c r="F8" i="85"/>
  <c r="B40" i="85"/>
  <c r="C24" i="88"/>
  <c r="C25" i="88"/>
  <c r="C26" i="88" s="1"/>
  <c r="F18" i="89"/>
  <c r="E46" i="95"/>
  <c r="E22" i="95"/>
  <c r="E37" i="95" s="1"/>
  <c r="E10" i="95"/>
  <c r="E18" i="85"/>
  <c r="B29" i="85"/>
  <c r="F29" i="85" s="1"/>
  <c r="D18" i="85"/>
  <c r="F32" i="85"/>
  <c r="F40" i="85"/>
  <c r="C52" i="28"/>
  <c r="C53" i="28" s="1"/>
  <c r="C54" i="28" s="1"/>
  <c r="C164" i="28"/>
  <c r="C114" i="28"/>
  <c r="C198" i="28"/>
  <c r="C211" i="28"/>
  <c r="C264" i="28"/>
  <c r="C266" i="28" s="1"/>
  <c r="C275" i="28" s="1"/>
  <c r="C242" i="28" s="1"/>
  <c r="C245" i="28" s="1"/>
  <c r="E225" i="28"/>
  <c r="E235" i="28"/>
  <c r="D12" i="28"/>
  <c r="B115" i="28"/>
  <c r="E213" i="28"/>
  <c r="D29" i="28"/>
  <c r="B29" i="109"/>
  <c r="B31" i="109" s="1"/>
  <c r="B33" i="109" s="1"/>
  <c r="B18" i="80"/>
  <c r="B19" i="80" s="1"/>
  <c r="B20" i="80" s="1"/>
  <c r="B8" i="173"/>
  <c r="B20" i="105"/>
  <c r="B21" i="105" s="1"/>
  <c r="L18" i="82"/>
  <c r="L19" i="82" s="1"/>
  <c r="L20" i="82" s="1"/>
  <c r="E11" i="95"/>
  <c r="E12" i="95" s="1"/>
  <c r="E13" i="95" s="1"/>
  <c r="B14" i="122"/>
  <c r="B15" i="122" s="1"/>
  <c r="B15" i="92"/>
  <c r="B16" i="92" s="1"/>
  <c r="B17" i="92" s="1"/>
  <c r="C25" i="1"/>
  <c r="B9" i="159"/>
  <c r="B10" i="159" s="1"/>
  <c r="B11" i="159" s="1"/>
  <c r="B9" i="109"/>
  <c r="B10" i="109" s="1"/>
  <c r="B11" i="109" s="1"/>
  <c r="B16" i="108"/>
  <c r="B17" i="108" s="1"/>
  <c r="B18" i="108" s="1"/>
  <c r="E11" i="152"/>
  <c r="E12" i="152" s="1"/>
  <c r="E17" i="96"/>
  <c r="C7" i="166"/>
  <c r="D13" i="115"/>
  <c r="B11" i="91"/>
  <c r="B12" i="91" s="1"/>
  <c r="B13" i="91" s="1"/>
  <c r="B10" i="163"/>
  <c r="B11" i="163" s="1"/>
  <c r="B12" i="163" s="1"/>
  <c r="B9" i="162"/>
  <c r="B10" i="162" s="1"/>
  <c r="B11" i="162" s="1"/>
  <c r="B14" i="151"/>
  <c r="B15" i="151" s="1"/>
  <c r="B16" i="151" s="1"/>
  <c r="C24" i="1"/>
  <c r="C9" i="1"/>
  <c r="F9" i="161" l="1"/>
  <c r="F10" i="161" s="1"/>
  <c r="E18" i="96"/>
  <c r="E19" i="96" s="1"/>
  <c r="C42" i="85"/>
  <c r="J8" i="156"/>
  <c r="B17" i="83"/>
  <c r="C17" i="83"/>
  <c r="D40" i="116"/>
  <c r="K34" i="116"/>
  <c r="H26" i="116"/>
  <c r="J26" i="116"/>
  <c r="B34" i="116"/>
  <c r="D49" i="116"/>
  <c r="E26" i="116"/>
  <c r="D12" i="115"/>
  <c r="B48" i="186"/>
  <c r="D48" i="186"/>
  <c r="C22" i="187"/>
  <c r="K26" i="187"/>
  <c r="B30" i="187"/>
  <c r="E30" i="187"/>
  <c r="K22" i="188"/>
  <c r="F22" i="188"/>
  <c r="J45" i="114"/>
  <c r="F45" i="114"/>
  <c r="F21" i="145"/>
  <c r="B21" i="145"/>
  <c r="E16" i="28"/>
  <c r="E18" i="28" s="1"/>
  <c r="B10" i="188" s="1"/>
  <c r="B11" i="188" s="1"/>
  <c r="B12" i="188" s="1"/>
  <c r="E19" i="28"/>
  <c r="E30" i="28"/>
  <c r="C17" i="1" s="1"/>
  <c r="E34" i="28"/>
  <c r="B42" i="28"/>
  <c r="B75" i="28" s="1"/>
  <c r="C60" i="28"/>
  <c r="C62" i="28" s="1"/>
  <c r="E67" i="28"/>
  <c r="E72" i="28"/>
  <c r="C39" i="1" s="1"/>
  <c r="E81" i="28"/>
  <c r="C5" i="2" s="1"/>
  <c r="E90" i="28"/>
  <c r="C14" i="2" s="1"/>
  <c r="E255" i="28"/>
  <c r="E151" i="28"/>
  <c r="B19" i="180" s="1"/>
  <c r="B20" i="180" s="1"/>
  <c r="B21" i="180" s="1"/>
  <c r="B246" i="28"/>
  <c r="E17" i="28"/>
  <c r="E85" i="28"/>
  <c r="F13" i="9"/>
  <c r="AA15" i="9"/>
  <c r="R13" i="9"/>
  <c r="Z13" i="9"/>
  <c r="AA24" i="9"/>
  <c r="E15" i="167"/>
  <c r="H15" i="167"/>
  <c r="F28" i="167"/>
  <c r="C41" i="167"/>
  <c r="F15" i="167"/>
  <c r="D32" i="2"/>
  <c r="D47" i="2" s="1"/>
  <c r="B14" i="160"/>
  <c r="B15" i="160" s="1"/>
  <c r="E39" i="95"/>
  <c r="E40" i="95" s="1"/>
  <c r="B10" i="93"/>
  <c r="B11" i="93" s="1"/>
  <c r="G22" i="117"/>
  <c r="G23" i="117" s="1"/>
  <c r="D42" i="85"/>
  <c r="F18" i="85"/>
  <c r="F44" i="84"/>
  <c r="F45" i="84" s="1"/>
  <c r="D29" i="83"/>
  <c r="E17" i="83"/>
  <c r="D19" i="116"/>
  <c r="D20" i="116" s="1"/>
  <c r="D34" i="116"/>
  <c r="H30" i="116"/>
  <c r="H34" i="116" s="1"/>
  <c r="C26" i="116"/>
  <c r="F26" i="116"/>
  <c r="F34" i="116" s="1"/>
  <c r="J30" i="116"/>
  <c r="C34" i="116"/>
  <c r="D14" i="115"/>
  <c r="D15" i="115" s="1"/>
  <c r="E48" i="186"/>
  <c r="J26" i="187"/>
  <c r="C26" i="187"/>
  <c r="C30" i="187" s="1"/>
  <c r="K22" i="187"/>
  <c r="K30" i="187" s="1"/>
  <c r="H22" i="187"/>
  <c r="H30" i="187" s="1"/>
  <c r="E22" i="187"/>
  <c r="D26" i="188"/>
  <c r="E26" i="188" s="1"/>
  <c r="H18" i="188"/>
  <c r="C38" i="188"/>
  <c r="C39" i="188" s="1"/>
  <c r="H22" i="188"/>
  <c r="K18" i="188"/>
  <c r="K26" i="188" s="1"/>
  <c r="J49" i="114"/>
  <c r="K49" i="114"/>
  <c r="F49" i="114"/>
  <c r="B13" i="73"/>
  <c r="B14" i="73" s="1"/>
  <c r="B12" i="76"/>
  <c r="B13" i="76" s="1"/>
  <c r="B14" i="76" s="1"/>
  <c r="C12" i="1"/>
  <c r="E88" i="28"/>
  <c r="B11" i="181" s="1"/>
  <c r="B12" i="181" s="1"/>
  <c r="B13" i="181" s="1"/>
  <c r="E11" i="28"/>
  <c r="E12" i="28" s="1"/>
  <c r="B9" i="114" s="1"/>
  <c r="B10" i="114" s="1"/>
  <c r="B11" i="114" s="1"/>
  <c r="E14" i="28"/>
  <c r="C11" i="75" s="1"/>
  <c r="C12" i="75" s="1"/>
  <c r="C13" i="75" s="1"/>
  <c r="D68" i="28"/>
  <c r="E31" i="28"/>
  <c r="E46" i="28"/>
  <c r="C22" i="1" s="1"/>
  <c r="E59" i="28"/>
  <c r="C12" i="28"/>
  <c r="E144" i="28"/>
  <c r="E154" i="28" s="1"/>
  <c r="C37" i="1"/>
  <c r="E58" i="28"/>
  <c r="E68" i="28"/>
  <c r="C35" i="1" s="1"/>
  <c r="C212" i="28"/>
  <c r="C246" i="28" s="1"/>
  <c r="C38" i="28"/>
  <c r="E224" i="28"/>
  <c r="E211" i="28"/>
  <c r="C233" i="28"/>
  <c r="E65" i="28"/>
  <c r="C34" i="1" s="1"/>
  <c r="E84" i="28"/>
  <c r="E87" i="28"/>
  <c r="E41" i="28"/>
  <c r="C18" i="1" s="1"/>
  <c r="C154" i="28"/>
  <c r="C157" i="28" s="1"/>
  <c r="C159" i="28" s="1"/>
  <c r="C161" i="28" s="1"/>
  <c r="C170" i="28" s="1"/>
  <c r="C174" i="28" s="1"/>
  <c r="C180" i="28" s="1"/>
  <c r="E239" i="28"/>
  <c r="E13" i="28"/>
  <c r="E15" i="28" s="1"/>
  <c r="C22" i="2"/>
  <c r="C21" i="2"/>
  <c r="E63" i="28"/>
  <c r="C32" i="1" s="1"/>
  <c r="E101" i="28"/>
  <c r="E231" i="28"/>
  <c r="E232" i="28" s="1"/>
  <c r="E233" i="28" s="1"/>
  <c r="E257" i="28"/>
  <c r="E264" i="28" s="1"/>
  <c r="E266" i="28" s="1"/>
  <c r="E275" i="28" s="1"/>
  <c r="E242" i="28" s="1"/>
  <c r="E245" i="28" s="1"/>
  <c r="E149" i="28"/>
  <c r="B10" i="179" s="1"/>
  <c r="B11" i="179" s="1"/>
  <c r="B12" i="179" s="1"/>
  <c r="E7" i="28"/>
  <c r="B11" i="178" s="1"/>
  <c r="B12" i="178" s="1"/>
  <c r="B13" i="178" s="1"/>
  <c r="H13" i="9"/>
  <c r="H35" i="9" s="1"/>
  <c r="Y13" i="9"/>
  <c r="Y35" i="9" s="1"/>
  <c r="L8" i="9" s="1"/>
  <c r="L12" i="9" s="1"/>
  <c r="J13" i="9"/>
  <c r="Z35" i="9"/>
  <c r="M8" i="9" s="1"/>
  <c r="M12" i="9" s="1"/>
  <c r="M35" i="9" s="1"/>
  <c r="I13" i="9"/>
  <c r="N20" i="9"/>
  <c r="K13" i="9"/>
  <c r="AA20" i="9"/>
  <c r="N31" i="9"/>
  <c r="P13" i="9"/>
  <c r="U13" i="9"/>
  <c r="V13" i="9"/>
  <c r="V35" i="9" s="1"/>
  <c r="I8" i="9" s="1"/>
  <c r="I12" i="9" s="1"/>
  <c r="I35" i="9" s="1"/>
  <c r="D13" i="9"/>
  <c r="O13" i="9"/>
  <c r="L13" i="9"/>
  <c r="H28" i="167"/>
  <c r="F41" i="167"/>
  <c r="C15" i="167"/>
  <c r="C43" i="167" s="1"/>
  <c r="C45" i="167" s="1"/>
  <c r="G28" i="167"/>
  <c r="G43" i="167" s="1"/>
  <c r="G45" i="167" s="1"/>
  <c r="E41" i="167"/>
  <c r="E43" i="167" s="1"/>
  <c r="E45" i="167" s="1"/>
  <c r="H41" i="167"/>
  <c r="H43" i="167" s="1"/>
  <c r="H45" i="167" s="1"/>
  <c r="D42" i="1"/>
  <c r="O35" i="9"/>
  <c r="B8" i="9" s="1"/>
  <c r="C15" i="2"/>
  <c r="B9" i="175"/>
  <c r="B10" i="175" s="1"/>
  <c r="B11" i="175" s="1"/>
  <c r="B10" i="164"/>
  <c r="B11" i="164" s="1"/>
  <c r="B12" i="164" s="1"/>
  <c r="T13" i="9"/>
  <c r="T35" i="9" s="1"/>
  <c r="G8" i="9" s="1"/>
  <c r="G12" i="9" s="1"/>
  <c r="G35" i="9" s="1"/>
  <c r="C74" i="28"/>
  <c r="C36" i="1"/>
  <c r="B16" i="107"/>
  <c r="B17" i="107" s="1"/>
  <c r="B18" i="107" s="1"/>
  <c r="C10" i="103"/>
  <c r="C11" i="103" s="1"/>
  <c r="C12" i="103" s="1"/>
  <c r="C5" i="166"/>
  <c r="C103" i="28"/>
  <c r="C115" i="28" s="1"/>
  <c r="B5" i="173"/>
  <c r="D11" i="153" s="1"/>
  <c r="D12" i="153" s="1"/>
  <c r="D13" i="153" s="1"/>
  <c r="S13" i="9"/>
  <c r="S35" i="9" s="1"/>
  <c r="F8" i="9" s="1"/>
  <c r="F12" i="9" s="1"/>
  <c r="F35" i="9" s="1"/>
  <c r="N24" i="9"/>
  <c r="AA31" i="9"/>
  <c r="D28" i="28"/>
  <c r="D42" i="28" s="1"/>
  <c r="C30" i="1"/>
  <c r="Q13" i="9"/>
  <c r="E198" i="28"/>
  <c r="E212" i="28" s="1"/>
  <c r="AA12" i="9"/>
  <c r="E20" i="28"/>
  <c r="C22" i="28"/>
  <c r="C27" i="2"/>
  <c r="J57" i="156"/>
  <c r="J58" i="156" s="1"/>
  <c r="J59" i="156" s="1"/>
  <c r="C5" i="1"/>
  <c r="C7" i="1"/>
  <c r="N15" i="9"/>
  <c r="C13" i="9"/>
  <c r="C35" i="9" s="1"/>
  <c r="F44" i="85"/>
  <c r="D35" i="9"/>
  <c r="F10" i="87"/>
  <c r="F11" i="87" s="1"/>
  <c r="F12" i="87" s="1"/>
  <c r="D16" i="81"/>
  <c r="D17" i="81" s="1"/>
  <c r="C40" i="1"/>
  <c r="C25" i="2"/>
  <c r="C26" i="28"/>
  <c r="E42" i="85"/>
  <c r="B7" i="176"/>
  <c r="E8" i="121" s="1"/>
  <c r="E9" i="121" s="1"/>
  <c r="E10" i="121" s="1"/>
  <c r="J40" i="156"/>
  <c r="J41" i="156" s="1"/>
  <c r="J42" i="156" s="1"/>
  <c r="B11" i="98"/>
  <c r="B12" i="98" s="1"/>
  <c r="B13" i="98" s="1"/>
  <c r="C17" i="2"/>
  <c r="B13" i="9"/>
  <c r="B17" i="79"/>
  <c r="B18" i="79" s="1"/>
  <c r="B19" i="79" s="1"/>
  <c r="E25" i="28"/>
  <c r="E29" i="28" s="1"/>
  <c r="B13" i="150" s="1"/>
  <c r="B14" i="150" s="1"/>
  <c r="B15" i="150" s="1"/>
  <c r="E60" i="28"/>
  <c r="E62" i="28" s="1"/>
  <c r="D74" i="28"/>
  <c r="C17" i="166"/>
  <c r="D114" i="28"/>
  <c r="C11" i="166"/>
  <c r="E13" i="9"/>
  <c r="E35" i="9" s="1"/>
  <c r="F26" i="188"/>
  <c r="F28" i="188" s="1"/>
  <c r="F29" i="188" s="1"/>
  <c r="E157" i="28"/>
  <c r="B30" i="109" s="1"/>
  <c r="B32" i="109" s="1"/>
  <c r="B34" i="109" s="1"/>
  <c r="B159" i="28"/>
  <c r="B6" i="173"/>
  <c r="H26" i="188"/>
  <c r="F30" i="187"/>
  <c r="E52" i="28"/>
  <c r="E74" i="28" s="1"/>
  <c r="E34" i="116"/>
  <c r="B18" i="74"/>
  <c r="B19" i="74" s="1"/>
  <c r="C20" i="188"/>
  <c r="C21" i="188"/>
  <c r="C24" i="188"/>
  <c r="C25" i="188"/>
  <c r="C17" i="79"/>
  <c r="E26" i="28"/>
  <c r="W35" i="9"/>
  <c r="J8" i="9" s="1"/>
  <c r="J12" i="9" s="1"/>
  <c r="J35" i="9" s="1"/>
  <c r="X13" i="9"/>
  <c r="X35" i="9" s="1"/>
  <c r="K8" i="9" s="1"/>
  <c r="K12" i="9" s="1"/>
  <c r="D16" i="186"/>
  <c r="D17" i="186" s="1"/>
  <c r="B11" i="75"/>
  <c r="B12" i="75" s="1"/>
  <c r="B13" i="75" s="1"/>
  <c r="B6" i="171"/>
  <c r="B9" i="77" s="1"/>
  <c r="B10" i="77" s="1"/>
  <c r="B11" i="77" s="1"/>
  <c r="B5" i="171"/>
  <c r="B53" i="114"/>
  <c r="C45" i="114" s="1"/>
  <c r="B7" i="171"/>
  <c r="C11" i="78" s="1"/>
  <c r="C12" i="78" s="1"/>
  <c r="C13" i="78" s="1"/>
  <c r="D53" i="114"/>
  <c r="E51" i="186"/>
  <c r="E59" i="186" s="1"/>
  <c r="B38" i="188"/>
  <c r="B39" i="188" s="1"/>
  <c r="B6" i="172"/>
  <c r="E18" i="188"/>
  <c r="B8" i="119" l="1"/>
  <c r="B9" i="119" s="1"/>
  <c r="B10" i="119" s="1"/>
  <c r="C9" i="2"/>
  <c r="F43" i="167"/>
  <c r="F45" i="167" s="1"/>
  <c r="B9" i="176"/>
  <c r="B11" i="176" s="1"/>
  <c r="B13" i="176" s="1"/>
  <c r="B14" i="176" s="1"/>
  <c r="C18" i="188"/>
  <c r="E53" i="114"/>
  <c r="B12" i="94"/>
  <c r="B13" i="94" s="1"/>
  <c r="B14" i="94" s="1"/>
  <c r="C11" i="2"/>
  <c r="C19" i="2" s="1"/>
  <c r="D75" i="28"/>
  <c r="D130" i="28" s="1"/>
  <c r="C14" i="166"/>
  <c r="C22" i="166" s="1"/>
  <c r="C25" i="166" s="1"/>
  <c r="C27" i="166" s="1"/>
  <c r="C18" i="166"/>
  <c r="N13" i="9"/>
  <c r="K35" i="9"/>
  <c r="L35" i="9"/>
  <c r="AA13" i="9"/>
  <c r="AA35" i="9" s="1"/>
  <c r="C31" i="2"/>
  <c r="B12" i="154"/>
  <c r="B13" i="154" s="1"/>
  <c r="B14" i="154" s="1"/>
  <c r="B7" i="173"/>
  <c r="B9" i="173" s="1"/>
  <c r="B10" i="173" s="1"/>
  <c r="G30" i="79"/>
  <c r="G31" i="79" s="1"/>
  <c r="C18" i="79"/>
  <c r="C19" i="79" s="1"/>
  <c r="E53" i="28"/>
  <c r="F45" i="85"/>
  <c r="F46" i="85" s="1"/>
  <c r="C22" i="188"/>
  <c r="C26" i="188" s="1"/>
  <c r="C48" i="114"/>
  <c r="C49" i="114"/>
  <c r="C47" i="114"/>
  <c r="C53" i="114"/>
  <c r="C52" i="114"/>
  <c r="F53" i="114"/>
  <c r="C51" i="114"/>
  <c r="E103" i="28"/>
  <c r="N8" i="9"/>
  <c r="B12" i="9"/>
  <c r="D115" i="28"/>
  <c r="E115" i="28" s="1"/>
  <c r="E114" i="28"/>
  <c r="B10" i="149"/>
  <c r="B11" i="149" s="1"/>
  <c r="B12" i="149" s="1"/>
  <c r="B8" i="171"/>
  <c r="B161" i="28"/>
  <c r="B164" i="28"/>
  <c r="E164" i="28" s="1"/>
  <c r="C32" i="166" s="1"/>
  <c r="E159" i="28"/>
  <c r="F42" i="85"/>
  <c r="C27" i="1"/>
  <c r="B8" i="155"/>
  <c r="B9" i="155" s="1"/>
  <c r="B10" i="155" s="1"/>
  <c r="B7" i="172"/>
  <c r="C31" i="1"/>
  <c r="B8" i="172"/>
  <c r="E246" i="28"/>
  <c r="B14" i="187"/>
  <c r="B15" i="187" s="1"/>
  <c r="B16" i="187" s="1"/>
  <c r="E27" i="28"/>
  <c r="C14" i="187" s="1"/>
  <c r="D17" i="79"/>
  <c r="D18" i="79" s="1"/>
  <c r="D19" i="79" s="1"/>
  <c r="C14" i="1"/>
  <c r="C19" i="1" s="1"/>
  <c r="C27" i="28"/>
  <c r="E22" i="28"/>
  <c r="B9" i="171" s="1"/>
  <c r="C32" i="2" l="1"/>
  <c r="B11" i="184"/>
  <c r="B12" i="184" s="1"/>
  <c r="B13" i="184" s="1"/>
  <c r="B16" i="185"/>
  <c r="B17" i="185" s="1"/>
  <c r="B18" i="185" s="1"/>
  <c r="B9" i="172"/>
  <c r="B10" i="172" s="1"/>
  <c r="B35" i="9"/>
  <c r="N12" i="9"/>
  <c r="N35" i="9" s="1"/>
  <c r="C28" i="28"/>
  <c r="C42" i="28" s="1"/>
  <c r="C75" i="28" s="1"/>
  <c r="C130" i="28" s="1"/>
  <c r="B170" i="28"/>
  <c r="E161" i="28"/>
  <c r="C29" i="166" s="1"/>
  <c r="B10" i="171"/>
  <c r="B11" i="171" s="1"/>
  <c r="G44" i="187"/>
  <c r="G45" i="187" s="1"/>
  <c r="C15" i="187"/>
  <c r="C16" i="187" s="1"/>
  <c r="C41" i="1"/>
  <c r="C42" i="1" s="1"/>
  <c r="E28" i="28"/>
  <c r="E54" i="28"/>
  <c r="B12" i="183" s="1"/>
  <c r="B13" i="183" s="1"/>
  <c r="B14" i="183" s="1"/>
  <c r="H53" i="114"/>
  <c r="H52" i="114"/>
  <c r="H51" i="114"/>
  <c r="H48" i="114"/>
  <c r="H47" i="114"/>
  <c r="H49" i="114"/>
  <c r="D14" i="187" l="1"/>
  <c r="E42" i="28"/>
  <c r="E75" i="28" s="1"/>
  <c r="B174" i="28"/>
  <c r="E170" i="28"/>
  <c r="B180" i="28" l="1"/>
  <c r="E174" i="28"/>
  <c r="F32" i="187"/>
  <c r="F33" i="187" s="1"/>
  <c r="D15" i="187"/>
  <c r="D16" i="187" s="1"/>
  <c r="E180" i="28" l="1"/>
  <c r="B125" i="28"/>
  <c r="B126" i="28" l="1"/>
  <c r="E125" i="28"/>
  <c r="C43" i="2" s="1"/>
  <c r="C44" i="2" s="1"/>
  <c r="C46" i="2" s="1"/>
  <c r="C47" i="2" s="1"/>
  <c r="B128" i="28" l="1"/>
  <c r="E126" i="28"/>
  <c r="E128" i="28" l="1"/>
  <c r="B129" i="28"/>
  <c r="E129" i="28" l="1"/>
  <c r="B130" i="28"/>
  <c r="E130" i="28" s="1"/>
</calcChain>
</file>

<file path=xl/comments1.xml><?xml version="1.0" encoding="utf-8"?>
<comments xmlns="http://schemas.openxmlformats.org/spreadsheetml/2006/main">
  <authors>
    <author>作者</author>
  </authors>
  <commentList>
    <comment ref="A7" authorId="0" shapeId="0">
      <text>
        <r>
          <rPr>
            <b/>
            <sz val="9"/>
            <rFont val="宋体"/>
            <family val="3"/>
            <charset val="134"/>
          </rPr>
          <t>作者:</t>
        </r>
        <r>
          <rPr>
            <sz val="9"/>
            <rFont val="宋体"/>
            <family val="3"/>
            <charset val="134"/>
          </rPr>
          <t xml:space="preserve">
指南30P40：企业衍生金融工具业务具有重要性的，应当在“FVTPL”行后增加“衍生金融资产”。</t>
        </r>
      </text>
    </comment>
    <comment ref="A26" authorId="0" shapeId="0">
      <text>
        <r>
          <rPr>
            <b/>
            <sz val="9"/>
            <rFont val="宋体"/>
            <family val="3"/>
            <charset val="134"/>
          </rPr>
          <t>作者:</t>
        </r>
        <r>
          <rPr>
            <sz val="9"/>
            <rFont val="宋体"/>
            <family val="3"/>
            <charset val="134"/>
          </rPr>
          <t xml:space="preserve">
指南9P45及财政部准则培训PPT</t>
        </r>
      </text>
    </comment>
  </commentList>
</comments>
</file>

<file path=xl/comments2.xml><?xml version="1.0" encoding="utf-8"?>
<comments xmlns="http://schemas.openxmlformats.org/spreadsheetml/2006/main">
  <authors>
    <author>作者</author>
  </authors>
  <commentList>
    <comment ref="A23" authorId="0" shapeId="0">
      <text>
        <r>
          <rPr>
            <b/>
            <sz val="9"/>
            <rFont val="宋体"/>
            <family val="3"/>
            <charset val="134"/>
          </rPr>
          <t>作者:</t>
        </r>
        <r>
          <rPr>
            <sz val="9"/>
            <rFont val="宋体"/>
            <family val="3"/>
            <charset val="134"/>
          </rPr>
          <t xml:space="preserve">
金融负债与权益工具区分 六、（四）1</t>
        </r>
      </text>
    </comment>
    <comment ref="A26" authorId="0" shapeId="0">
      <text>
        <r>
          <rPr>
            <b/>
            <sz val="9"/>
            <rFont val="宋体"/>
            <family val="3"/>
            <charset val="134"/>
          </rPr>
          <t>作者:</t>
        </r>
        <r>
          <rPr>
            <sz val="9"/>
            <rFont val="宋体"/>
            <family val="3"/>
            <charset val="134"/>
          </rPr>
          <t xml:space="preserve">
不含设定提存计划
</t>
        </r>
      </text>
    </comment>
    <comment ref="A40" authorId="0" shapeId="0">
      <text>
        <r>
          <rPr>
            <b/>
            <sz val="9"/>
            <rFont val="宋体"/>
            <family val="3"/>
            <charset val="134"/>
          </rPr>
          <t>作者:</t>
        </r>
        <r>
          <rPr>
            <sz val="9"/>
            <rFont val="宋体"/>
            <family val="3"/>
            <charset val="134"/>
          </rPr>
          <t xml:space="preserve">
CAS30.27，程华列报Slide40
</t>
        </r>
      </text>
    </comment>
  </commentList>
</comments>
</file>

<file path=xl/comments3.xml><?xml version="1.0" encoding="utf-8"?>
<comments xmlns="http://schemas.openxmlformats.org/spreadsheetml/2006/main">
  <authors>
    <author>作者</author>
  </authors>
  <commentList>
    <comment ref="A35" authorId="0" shapeId="0">
      <text>
        <r>
          <rPr>
            <b/>
            <sz val="9"/>
            <rFont val="宋体"/>
            <family val="3"/>
            <charset val="134"/>
          </rPr>
          <t>作者:</t>
        </r>
        <r>
          <rPr>
            <sz val="9"/>
            <rFont val="宋体"/>
            <family val="3"/>
            <charset val="134"/>
          </rPr>
          <t xml:space="preserve">
指南</t>
        </r>
        <r>
          <rPr>
            <sz val="9"/>
            <rFont val="Tahoma"/>
            <family val="2"/>
          </rPr>
          <t xml:space="preserve">33P108
</t>
        </r>
        <r>
          <rPr>
            <sz val="9"/>
            <rFont val="宋体"/>
            <family val="3"/>
            <charset val="134"/>
          </rPr>
          <t>区分其他综合收益按归属母公司所有者的</t>
        </r>
        <r>
          <rPr>
            <sz val="9"/>
            <rFont val="Tahoma"/>
            <family val="2"/>
          </rPr>
          <t>OCI</t>
        </r>
        <r>
          <rPr>
            <sz val="9"/>
            <rFont val="宋体"/>
            <family val="3"/>
            <charset val="134"/>
          </rPr>
          <t>税后金额和归属少数股东的</t>
        </r>
        <r>
          <rPr>
            <sz val="9"/>
            <rFont val="Tahoma"/>
            <family val="2"/>
          </rPr>
          <t>OCI</t>
        </r>
        <r>
          <rPr>
            <sz val="9"/>
            <rFont val="宋体"/>
            <family val="3"/>
            <charset val="134"/>
          </rPr>
          <t>税后金额，单独列示。</t>
        </r>
      </text>
    </comment>
    <comment ref="A36" authorId="0" shapeId="0">
      <text>
        <r>
          <rPr>
            <b/>
            <sz val="9"/>
            <rFont val="宋体"/>
            <family val="3"/>
            <charset val="134"/>
          </rPr>
          <t>作者:</t>
        </r>
        <r>
          <rPr>
            <sz val="9"/>
            <rFont val="宋体"/>
            <family val="3"/>
            <charset val="134"/>
          </rPr>
          <t xml:space="preserve">
CAS30.33
指南30P52</t>
        </r>
      </text>
    </comment>
  </commentList>
</comments>
</file>

<file path=xl/comments4.xml><?xml version="1.0" encoding="utf-8"?>
<comments xmlns="http://schemas.openxmlformats.org/spreadsheetml/2006/main">
  <authors>
    <author>作者</author>
  </authors>
  <commentList>
    <comment ref="C6" authorId="0" shapeId="0">
      <text>
        <r>
          <rPr>
            <b/>
            <sz val="9"/>
            <rFont val="宋体"/>
            <family val="3"/>
            <charset val="134"/>
          </rPr>
          <t>作者:</t>
        </r>
        <r>
          <rPr>
            <sz val="9"/>
            <rFont val="宋体"/>
            <family val="3"/>
            <charset val="134"/>
          </rPr>
          <t xml:space="preserve">
金融负债与权益工具区分 六、（四）1</t>
        </r>
      </text>
    </comment>
    <comment ref="H6" authorId="0" shapeId="0">
      <text>
        <r>
          <rPr>
            <b/>
            <sz val="9"/>
            <rFont val="宋体"/>
            <family val="3"/>
            <charset val="134"/>
          </rPr>
          <t>作者:</t>
        </r>
        <r>
          <rPr>
            <sz val="9"/>
            <rFont val="宋体"/>
            <family val="3"/>
            <charset val="134"/>
          </rPr>
          <t xml:space="preserve">
指南30P57</t>
        </r>
      </text>
    </comment>
    <comment ref="P6" authorId="0" shapeId="0">
      <text>
        <r>
          <rPr>
            <b/>
            <sz val="9"/>
            <rFont val="宋体"/>
            <family val="3"/>
            <charset val="134"/>
          </rPr>
          <t>作者:</t>
        </r>
        <r>
          <rPr>
            <sz val="9"/>
            <rFont val="宋体"/>
            <family val="3"/>
            <charset val="134"/>
          </rPr>
          <t xml:space="preserve">
金融负债与权益工具区分 六、（四）1</t>
        </r>
      </text>
    </comment>
    <comment ref="U6" authorId="0" shapeId="0">
      <text>
        <r>
          <rPr>
            <b/>
            <sz val="9"/>
            <rFont val="宋体"/>
            <family val="3"/>
            <charset val="134"/>
          </rPr>
          <t>作者:</t>
        </r>
        <r>
          <rPr>
            <sz val="9"/>
            <rFont val="宋体"/>
            <family val="3"/>
            <charset val="134"/>
          </rPr>
          <t xml:space="preserve">
程华列报slide18</t>
        </r>
      </text>
    </comment>
    <comment ref="A17" authorId="0" shapeId="0">
      <text>
        <r>
          <rPr>
            <b/>
            <sz val="9"/>
            <rFont val="宋体"/>
            <family val="3"/>
            <charset val="134"/>
          </rPr>
          <t>作者:</t>
        </r>
        <r>
          <rPr>
            <sz val="9"/>
            <rFont val="宋体"/>
            <family val="3"/>
            <charset val="134"/>
          </rPr>
          <t xml:space="preserve">
金融负债与权益工具区分 六、（四）1</t>
        </r>
      </text>
    </comment>
    <comment ref="A28" authorId="0" shapeId="0">
      <text>
        <r>
          <rPr>
            <b/>
            <sz val="9"/>
            <rFont val="宋体"/>
            <family val="3"/>
            <charset val="134"/>
          </rPr>
          <t>作者:</t>
        </r>
        <r>
          <rPr>
            <sz val="9"/>
            <rFont val="宋体"/>
            <family val="3"/>
            <charset val="134"/>
          </rPr>
          <t xml:space="preserve">
指南9P45</t>
        </r>
      </text>
    </comment>
  </commentList>
</comments>
</file>

<file path=xl/comments5.xml><?xml version="1.0" encoding="utf-8"?>
<comments xmlns="http://schemas.openxmlformats.org/spreadsheetml/2006/main">
  <authors>
    <author>juan.zhang</author>
  </authors>
  <commentList>
    <comment ref="A20" authorId="0" shapeId="0">
      <text>
        <r>
          <rPr>
            <b/>
            <sz val="9"/>
            <rFont val="宋体"/>
            <family val="3"/>
            <charset val="134"/>
          </rPr>
          <t>juan.zhang:</t>
        </r>
        <r>
          <rPr>
            <sz val="9"/>
            <rFont val="宋体"/>
            <family val="3"/>
            <charset val="134"/>
          </rPr>
          <t xml:space="preserve">
包含了应收利息、应收股利、其他应收款</t>
        </r>
      </text>
    </comment>
    <comment ref="A58" authorId="0" shapeId="0">
      <text>
        <r>
          <rPr>
            <b/>
            <sz val="9"/>
            <rFont val="宋体"/>
            <family val="3"/>
            <charset val="134"/>
          </rPr>
          <t>juan.zhang:</t>
        </r>
        <r>
          <rPr>
            <sz val="9"/>
            <rFont val="宋体"/>
            <family val="3"/>
            <charset val="134"/>
          </rPr>
          <t xml:space="preserve">
包含了固定资产清理</t>
        </r>
      </text>
    </comment>
    <comment ref="A63" authorId="0" shapeId="0">
      <text>
        <r>
          <rPr>
            <b/>
            <sz val="9"/>
            <rFont val="宋体"/>
            <family val="3"/>
            <charset val="134"/>
          </rPr>
          <t>juan.zhang:</t>
        </r>
        <r>
          <rPr>
            <sz val="9"/>
            <rFont val="宋体"/>
            <family val="3"/>
            <charset val="134"/>
          </rPr>
          <t xml:space="preserve">
包含了工程物资</t>
        </r>
      </text>
    </comment>
    <comment ref="A91" authorId="0" shapeId="0">
      <text>
        <r>
          <rPr>
            <b/>
            <sz val="9"/>
            <rFont val="宋体"/>
            <family val="3"/>
            <charset val="134"/>
          </rPr>
          <t>juan.zhang:</t>
        </r>
        <r>
          <rPr>
            <sz val="9"/>
            <rFont val="宋体"/>
            <family val="3"/>
            <charset val="134"/>
          </rPr>
          <t xml:space="preserve">
应付利息、应付股利、其他应付款。</t>
        </r>
      </text>
    </comment>
  </commentList>
</comments>
</file>

<file path=xl/comments6.xml><?xml version="1.0" encoding="utf-8"?>
<comments xmlns="http://schemas.openxmlformats.org/spreadsheetml/2006/main">
  <authors>
    <author>作者</author>
  </authors>
  <commentList>
    <comment ref="A4" authorId="0" shapeId="0">
      <text>
        <r>
          <rPr>
            <b/>
            <sz val="9"/>
            <rFont val="宋体"/>
            <family val="3"/>
            <charset val="134"/>
          </rPr>
          <t>作者:</t>
        </r>
        <r>
          <rPr>
            <sz val="9"/>
            <rFont val="宋体"/>
            <family val="3"/>
            <charset val="134"/>
          </rPr>
          <t xml:space="preserve">
列示金额应达到现金流量表相关项目80%以上</t>
        </r>
      </text>
    </comment>
  </commentList>
</comments>
</file>

<file path=xl/comments7.xml><?xml version="1.0" encoding="utf-8"?>
<comments xmlns="http://schemas.openxmlformats.org/spreadsheetml/2006/main">
  <authors>
    <author>作者</author>
  </authors>
  <commentList>
    <comment ref="A4" authorId="0" shapeId="0">
      <text>
        <r>
          <rPr>
            <b/>
            <sz val="9"/>
            <rFont val="宋体"/>
            <family val="3"/>
            <charset val="134"/>
          </rPr>
          <t>作者:</t>
        </r>
        <r>
          <rPr>
            <sz val="9"/>
            <rFont val="宋体"/>
            <family val="3"/>
            <charset val="134"/>
          </rPr>
          <t xml:space="preserve">
列示金额应达到现金流量表相关项目80%以上</t>
        </r>
      </text>
    </comment>
  </commentList>
</comments>
</file>

<file path=xl/sharedStrings.xml><?xml version="1.0" encoding="utf-8"?>
<sst xmlns="http://schemas.openxmlformats.org/spreadsheetml/2006/main" count="4705" uniqueCount="2477">
  <si>
    <r>
      <rPr>
        <b/>
        <sz val="12"/>
        <rFont val="Arial Narrow"/>
        <family val="2"/>
      </rPr>
      <t>20XX</t>
    </r>
    <r>
      <rPr>
        <b/>
        <sz val="12"/>
        <rFont val="宋体"/>
        <family val="3"/>
        <charset val="134"/>
      </rPr>
      <t>年</t>
    </r>
    <r>
      <rPr>
        <b/>
        <sz val="12"/>
        <rFont val="Arial Narrow"/>
        <family val="2"/>
      </rPr>
      <t>XX</t>
    </r>
    <r>
      <rPr>
        <b/>
        <sz val="12"/>
        <rFont val="宋体"/>
        <family val="3"/>
        <charset val="134"/>
      </rPr>
      <t>月</t>
    </r>
    <r>
      <rPr>
        <b/>
        <sz val="12"/>
        <rFont val="Arial Narrow"/>
        <family val="2"/>
      </rPr>
      <t>XX</t>
    </r>
    <r>
      <rPr>
        <b/>
        <sz val="12"/>
        <rFont val="宋体"/>
        <family val="3"/>
        <charset val="134"/>
      </rPr>
      <t>日</t>
    </r>
    <r>
      <rPr>
        <b/>
        <sz val="12"/>
        <rFont val="Arial Narrow"/>
        <family val="2"/>
      </rPr>
      <t>ABC</t>
    </r>
    <r>
      <rPr>
        <b/>
        <sz val="12"/>
        <rFont val="宋体"/>
        <family val="3"/>
        <charset val="134"/>
      </rPr>
      <t>公司报告文件包</t>
    </r>
  </si>
  <si>
    <r>
      <rPr>
        <b/>
        <sz val="10"/>
        <rFont val="宋体"/>
        <family val="3"/>
        <charset val="134"/>
      </rPr>
      <t>序号</t>
    </r>
  </si>
  <si>
    <r>
      <rPr>
        <b/>
        <sz val="10"/>
        <rFont val="宋体"/>
        <family val="3"/>
        <charset val="134"/>
      </rPr>
      <t>文件名称</t>
    </r>
  </si>
  <si>
    <r>
      <rPr>
        <b/>
        <sz val="10"/>
        <rFont val="宋体"/>
        <family val="3"/>
        <charset val="134"/>
      </rPr>
      <t>目的</t>
    </r>
  </si>
  <si>
    <r>
      <rPr>
        <b/>
        <sz val="10"/>
        <rFont val="宋体"/>
        <family val="3"/>
        <charset val="134"/>
      </rPr>
      <t>工作表</t>
    </r>
  </si>
  <si>
    <r>
      <rPr>
        <b/>
        <sz val="10"/>
        <rFont val="宋体"/>
        <family val="3"/>
        <charset val="134"/>
      </rPr>
      <t>核对（是否完成）</t>
    </r>
  </si>
  <si>
    <r>
      <rPr>
        <sz val="10"/>
        <rFont val="宋体"/>
        <family val="3"/>
        <charset val="134"/>
      </rPr>
      <t>基础信息</t>
    </r>
  </si>
  <si>
    <r>
      <rPr>
        <sz val="10"/>
        <rFont val="宋体"/>
        <family val="3"/>
        <charset val="134"/>
      </rPr>
      <t>一般信息</t>
    </r>
  </si>
  <si>
    <t>基础信息</t>
  </si>
  <si>
    <r>
      <rPr>
        <sz val="10"/>
        <color indexed="10"/>
        <rFont val="宋体"/>
        <family val="3"/>
        <charset val="134"/>
      </rPr>
      <t>完成</t>
    </r>
  </si>
  <si>
    <r>
      <rPr>
        <sz val="10"/>
        <rFont val="宋体"/>
        <family val="3"/>
        <charset val="134"/>
      </rPr>
      <t>会计政策</t>
    </r>
  </si>
  <si>
    <t>RP 001</t>
  </si>
  <si>
    <r>
      <rPr>
        <sz val="10"/>
        <rFont val="宋体"/>
        <family val="3"/>
        <charset val="134"/>
      </rPr>
      <t>资产负债表</t>
    </r>
  </si>
  <si>
    <r>
      <rPr>
        <sz val="10"/>
        <rFont val="宋体"/>
        <family val="3"/>
        <charset val="134"/>
      </rPr>
      <t>财务报表</t>
    </r>
  </si>
  <si>
    <t>RP 002-1</t>
  </si>
  <si>
    <t>RP 002-2</t>
  </si>
  <si>
    <r>
      <rPr>
        <sz val="10"/>
        <rFont val="宋体"/>
        <family val="3"/>
        <charset val="134"/>
      </rPr>
      <t>利润表</t>
    </r>
  </si>
  <si>
    <t>RP 003</t>
  </si>
  <si>
    <r>
      <rPr>
        <sz val="10"/>
        <rFont val="宋体"/>
        <family val="3"/>
        <charset val="134"/>
      </rPr>
      <t>现金流量表</t>
    </r>
  </si>
  <si>
    <t>RP 004</t>
  </si>
  <si>
    <r>
      <rPr>
        <sz val="10"/>
        <rFont val="宋体"/>
        <family val="3"/>
        <charset val="134"/>
      </rPr>
      <t>所有者权益变动表</t>
    </r>
  </si>
  <si>
    <t>RP 005</t>
  </si>
  <si>
    <r>
      <rPr>
        <sz val="10"/>
        <rFont val="宋体"/>
        <family val="3"/>
        <charset val="134"/>
      </rPr>
      <t>准则差异调节表</t>
    </r>
  </si>
  <si>
    <r>
      <rPr>
        <sz val="10"/>
        <rFont val="宋体"/>
        <family val="3"/>
        <charset val="134"/>
      </rPr>
      <t>备查信息</t>
    </r>
  </si>
  <si>
    <t>RP 006</t>
  </si>
  <si>
    <r>
      <rPr>
        <sz val="10"/>
        <rFont val="宋体"/>
        <family val="3"/>
        <charset val="134"/>
      </rPr>
      <t>集团间交易（销售、采购、费用）</t>
    </r>
  </si>
  <si>
    <r>
      <rPr>
        <sz val="10"/>
        <rFont val="宋体"/>
        <family val="3"/>
        <charset val="134"/>
      </rPr>
      <t>集团间交易</t>
    </r>
  </si>
  <si>
    <t>RP 007</t>
  </si>
  <si>
    <r>
      <rPr>
        <sz val="10"/>
        <rFont val="宋体"/>
        <family val="3"/>
        <charset val="134"/>
      </rPr>
      <t>集团间交易（资产、负债）</t>
    </r>
  </si>
  <si>
    <t>RP 008</t>
  </si>
  <si>
    <r>
      <rPr>
        <sz val="10"/>
        <rFont val="宋体"/>
        <family val="3"/>
        <charset val="134"/>
      </rPr>
      <t>集团间交易（存货）</t>
    </r>
  </si>
  <si>
    <r>
      <rPr>
        <sz val="10"/>
        <rFont val="宋体"/>
        <family val="3"/>
        <charset val="134"/>
      </rPr>
      <t>未实现内部利润</t>
    </r>
  </si>
  <si>
    <t>RP 009</t>
  </si>
  <si>
    <r>
      <rPr>
        <sz val="10"/>
        <rFont val="宋体"/>
        <family val="3"/>
        <charset val="134"/>
      </rPr>
      <t>集团间交易（销售采购固定资产）</t>
    </r>
  </si>
  <si>
    <t>RP 010</t>
  </si>
  <si>
    <r>
      <rPr>
        <sz val="10"/>
        <rFont val="宋体"/>
        <family val="3"/>
        <charset val="134"/>
      </rPr>
      <t>集团间交易（现金流量）</t>
    </r>
  </si>
  <si>
    <t>RP 011</t>
  </si>
  <si>
    <r>
      <rPr>
        <sz val="10"/>
        <rFont val="宋体"/>
        <family val="3"/>
        <charset val="134"/>
      </rPr>
      <t>货币资金</t>
    </r>
  </si>
  <si>
    <r>
      <rPr>
        <sz val="10"/>
        <rFont val="宋体"/>
        <family val="3"/>
        <charset val="134"/>
      </rPr>
      <t>披露信息</t>
    </r>
  </si>
  <si>
    <t>RP 012</t>
  </si>
  <si>
    <r>
      <rPr>
        <sz val="10"/>
        <rFont val="宋体"/>
        <family val="3"/>
        <charset val="134"/>
      </rPr>
      <t>以公允价值计量且其变动计入当期损益的金融资产</t>
    </r>
  </si>
  <si>
    <r>
      <rPr>
        <sz val="10"/>
        <rFont val="宋体"/>
        <family val="3"/>
        <charset val="134"/>
      </rPr>
      <t>衍生金融资产</t>
    </r>
  </si>
  <si>
    <t>应收票据及应收账款</t>
  </si>
  <si>
    <t>完成</t>
  </si>
  <si>
    <r>
      <rPr>
        <sz val="10"/>
        <rFont val="宋体"/>
        <family val="3"/>
        <charset val="134"/>
      </rPr>
      <t>预付款项</t>
    </r>
  </si>
  <si>
    <t>其他应收款（应收利息、应收股利、其他应收款）</t>
  </si>
  <si>
    <t>其中：应收利息</t>
  </si>
  <si>
    <t xml:space="preserve">     应收股利</t>
  </si>
  <si>
    <t xml:space="preserve">     其他应收款</t>
  </si>
  <si>
    <r>
      <rPr>
        <sz val="10"/>
        <rFont val="宋体"/>
        <family val="3"/>
        <charset val="134"/>
      </rPr>
      <t>存货</t>
    </r>
  </si>
  <si>
    <r>
      <rPr>
        <sz val="10"/>
        <rFont val="宋体"/>
        <family val="3"/>
        <charset val="134"/>
      </rPr>
      <t>一年内到期的非流动负债</t>
    </r>
  </si>
  <si>
    <r>
      <rPr>
        <sz val="10"/>
        <rFont val="宋体"/>
        <family val="3"/>
        <charset val="134"/>
      </rPr>
      <t>其他流动资产</t>
    </r>
  </si>
  <si>
    <r>
      <rPr>
        <sz val="10"/>
        <rFont val="宋体"/>
        <family val="3"/>
        <charset val="134"/>
      </rPr>
      <t>可供出售金融资产</t>
    </r>
  </si>
  <si>
    <r>
      <rPr>
        <sz val="10"/>
        <rFont val="宋体"/>
        <family val="3"/>
        <charset val="134"/>
      </rPr>
      <t>持有至到期投资</t>
    </r>
  </si>
  <si>
    <r>
      <rPr>
        <sz val="10"/>
        <rFont val="宋体"/>
        <family val="3"/>
        <charset val="134"/>
      </rPr>
      <t>长期应收款</t>
    </r>
  </si>
  <si>
    <r>
      <rPr>
        <sz val="10"/>
        <rFont val="宋体"/>
        <family val="3"/>
        <charset val="134"/>
      </rPr>
      <t>设定受益计划净资产</t>
    </r>
  </si>
  <si>
    <r>
      <rPr>
        <sz val="10"/>
        <rFont val="宋体"/>
        <family val="3"/>
        <charset val="134"/>
      </rPr>
      <t>长期股权投资</t>
    </r>
  </si>
  <si>
    <r>
      <rPr>
        <sz val="10"/>
        <rFont val="宋体"/>
        <family val="3"/>
        <charset val="134"/>
      </rPr>
      <t>投资性房地产</t>
    </r>
  </si>
  <si>
    <t>固定资产</t>
  </si>
  <si>
    <t>其中：固定资产</t>
  </si>
  <si>
    <t xml:space="preserve">     固定资产清理</t>
  </si>
  <si>
    <t>在建工程</t>
  </si>
  <si>
    <t>其中：在建工程</t>
  </si>
  <si>
    <t xml:space="preserve">      工程物资</t>
  </si>
  <si>
    <r>
      <rPr>
        <sz val="10"/>
        <rFont val="宋体"/>
        <family val="3"/>
        <charset val="134"/>
      </rPr>
      <t>生产性生物资产</t>
    </r>
  </si>
  <si>
    <r>
      <rPr>
        <sz val="10"/>
        <rFont val="宋体"/>
        <family val="3"/>
        <charset val="134"/>
      </rPr>
      <t>无形资产</t>
    </r>
  </si>
  <si>
    <r>
      <rPr>
        <sz val="10"/>
        <rFont val="宋体"/>
        <family val="3"/>
        <charset val="134"/>
      </rPr>
      <t>开发支出</t>
    </r>
  </si>
  <si>
    <r>
      <rPr>
        <sz val="10"/>
        <rFont val="宋体"/>
        <family val="3"/>
        <charset val="134"/>
      </rPr>
      <t>商誉</t>
    </r>
  </si>
  <si>
    <r>
      <rPr>
        <sz val="10"/>
        <rFont val="宋体"/>
        <family val="3"/>
        <charset val="134"/>
      </rPr>
      <t>长期待摊费用</t>
    </r>
  </si>
  <si>
    <r>
      <rPr>
        <sz val="10"/>
        <rFont val="宋体"/>
        <family val="3"/>
        <charset val="134"/>
      </rPr>
      <t>递延所得税资产和递延所得税负债</t>
    </r>
  </si>
  <si>
    <r>
      <rPr>
        <sz val="10"/>
        <rFont val="宋体"/>
        <family val="3"/>
        <charset val="134"/>
      </rPr>
      <t>其他非流动资产</t>
    </r>
  </si>
  <si>
    <r>
      <rPr>
        <sz val="10"/>
        <rFont val="宋体"/>
        <family val="3"/>
        <charset val="134"/>
      </rPr>
      <t>资产减值准备</t>
    </r>
  </si>
  <si>
    <r>
      <rPr>
        <sz val="10"/>
        <rFont val="宋体"/>
        <family val="3"/>
        <charset val="134"/>
      </rPr>
      <t>所有权受到限制的资产</t>
    </r>
  </si>
  <si>
    <r>
      <rPr>
        <sz val="10"/>
        <rFont val="宋体"/>
        <family val="3"/>
        <charset val="134"/>
      </rPr>
      <t>短期借款</t>
    </r>
  </si>
  <si>
    <r>
      <rPr>
        <sz val="10"/>
        <rFont val="宋体"/>
        <family val="3"/>
        <charset val="134"/>
      </rPr>
      <t>以公允价值计量且其变动计入当期损益的金融负债</t>
    </r>
  </si>
  <si>
    <r>
      <rPr>
        <sz val="10"/>
        <rFont val="宋体"/>
        <family val="3"/>
        <charset val="134"/>
      </rPr>
      <t>衍生金融负债</t>
    </r>
  </si>
  <si>
    <r>
      <rPr>
        <sz val="10"/>
        <rFont val="宋体"/>
        <family val="3"/>
        <charset val="134"/>
      </rPr>
      <t>预收款项</t>
    </r>
  </si>
  <si>
    <r>
      <rPr>
        <sz val="10"/>
        <rFont val="宋体"/>
        <family val="3"/>
        <charset val="134"/>
      </rPr>
      <t>应付职工薪酬</t>
    </r>
  </si>
  <si>
    <r>
      <rPr>
        <sz val="10"/>
        <rFont val="宋体"/>
        <family val="3"/>
        <charset val="134"/>
      </rPr>
      <t>应交税费</t>
    </r>
  </si>
  <si>
    <t>其他应付款</t>
  </si>
  <si>
    <t>其中：应付利息</t>
  </si>
  <si>
    <t xml:space="preserve">      应付股利</t>
  </si>
  <si>
    <t xml:space="preserve">      其他应付款</t>
  </si>
  <si>
    <r>
      <rPr>
        <sz val="10"/>
        <rFont val="宋体"/>
        <family val="3"/>
        <charset val="134"/>
      </rPr>
      <t>其他流动负债</t>
    </r>
  </si>
  <si>
    <r>
      <rPr>
        <sz val="10"/>
        <rFont val="宋体"/>
        <family val="3"/>
        <charset val="134"/>
      </rPr>
      <t>长期借款</t>
    </r>
  </si>
  <si>
    <r>
      <rPr>
        <sz val="10"/>
        <rFont val="宋体"/>
        <family val="3"/>
        <charset val="134"/>
      </rPr>
      <t>应付债券</t>
    </r>
  </si>
  <si>
    <t>长期应付款</t>
  </si>
  <si>
    <t>其中：长期应付款</t>
  </si>
  <si>
    <t xml:space="preserve">     专项应付款</t>
  </si>
  <si>
    <r>
      <rPr>
        <sz val="10"/>
        <rFont val="宋体"/>
        <family val="3"/>
        <charset val="134"/>
      </rPr>
      <t>长期应付职工薪酬</t>
    </r>
  </si>
  <si>
    <r>
      <rPr>
        <sz val="10"/>
        <rFont val="宋体"/>
        <family val="3"/>
        <charset val="134"/>
      </rPr>
      <t>预计负债</t>
    </r>
  </si>
  <si>
    <r>
      <rPr>
        <sz val="10"/>
        <rFont val="宋体"/>
        <family val="3"/>
        <charset val="134"/>
      </rPr>
      <t>递延收益</t>
    </r>
  </si>
  <si>
    <r>
      <rPr>
        <sz val="10"/>
        <rFont val="宋体"/>
        <family val="3"/>
        <charset val="134"/>
      </rPr>
      <t>其他非流动负债</t>
    </r>
  </si>
  <si>
    <r>
      <rPr>
        <sz val="10"/>
        <rFont val="宋体"/>
        <family val="3"/>
        <charset val="134"/>
      </rPr>
      <t>营业收入及成本</t>
    </r>
  </si>
  <si>
    <t>税金及附加</t>
  </si>
  <si>
    <r>
      <rPr>
        <sz val="10"/>
        <rFont val="宋体"/>
        <family val="3"/>
        <charset val="134"/>
      </rPr>
      <t>销售费用</t>
    </r>
  </si>
  <si>
    <r>
      <rPr>
        <sz val="10"/>
        <rFont val="宋体"/>
        <family val="3"/>
        <charset val="134"/>
      </rPr>
      <t>管理费用</t>
    </r>
  </si>
  <si>
    <t>研发费用</t>
  </si>
  <si>
    <r>
      <rPr>
        <sz val="10"/>
        <rFont val="宋体"/>
        <family val="3"/>
        <charset val="134"/>
      </rPr>
      <t>财务费用</t>
    </r>
  </si>
  <si>
    <t>其他收益</t>
  </si>
  <si>
    <r>
      <rPr>
        <sz val="10"/>
        <rFont val="宋体"/>
        <family val="3"/>
        <charset val="134"/>
      </rPr>
      <t>投资收益</t>
    </r>
  </si>
  <si>
    <r>
      <rPr>
        <sz val="10"/>
        <rFont val="宋体"/>
        <family val="3"/>
        <charset val="134"/>
      </rPr>
      <t>公允价值变动损益</t>
    </r>
  </si>
  <si>
    <t>资产处置收益</t>
  </si>
  <si>
    <r>
      <rPr>
        <sz val="10"/>
        <rFont val="宋体"/>
        <family val="3"/>
        <charset val="134"/>
      </rPr>
      <t>营业外收入</t>
    </r>
  </si>
  <si>
    <r>
      <rPr>
        <sz val="10"/>
        <rFont val="宋体"/>
        <family val="3"/>
        <charset val="134"/>
      </rPr>
      <t>营业外支出</t>
    </r>
  </si>
  <si>
    <r>
      <rPr>
        <sz val="10"/>
        <rFont val="宋体"/>
        <family val="3"/>
        <charset val="134"/>
      </rPr>
      <t>所得税费用</t>
    </r>
  </si>
  <si>
    <r>
      <rPr>
        <sz val="10"/>
        <rFont val="宋体"/>
        <family val="3"/>
        <charset val="134"/>
      </rPr>
      <t>收到的其他与经营活动有关的现金</t>
    </r>
  </si>
  <si>
    <r>
      <rPr>
        <sz val="10"/>
        <rFont val="宋体"/>
        <family val="3"/>
        <charset val="134"/>
      </rPr>
      <t>支付的其他与经营活动有关的现金</t>
    </r>
  </si>
  <si>
    <r>
      <rPr>
        <sz val="10"/>
        <rFont val="宋体"/>
        <family val="3"/>
        <charset val="134"/>
      </rPr>
      <t>收到的其他与投资活动有关的现金</t>
    </r>
  </si>
  <si>
    <r>
      <rPr>
        <sz val="10"/>
        <rFont val="宋体"/>
        <family val="3"/>
        <charset val="134"/>
      </rPr>
      <t>支付的其他与投资活动有关的现金</t>
    </r>
  </si>
  <si>
    <r>
      <rPr>
        <sz val="10"/>
        <rFont val="宋体"/>
        <family val="3"/>
        <charset val="134"/>
      </rPr>
      <t>收到的其他与筹资活动有关的现金</t>
    </r>
  </si>
  <si>
    <r>
      <rPr>
        <sz val="10"/>
        <rFont val="宋体"/>
        <family val="3"/>
        <charset val="134"/>
      </rPr>
      <t>支付的其他与筹资活动有关的现金</t>
    </r>
  </si>
  <si>
    <r>
      <rPr>
        <sz val="10"/>
        <rFont val="宋体"/>
        <family val="3"/>
        <charset val="134"/>
      </rPr>
      <t>现金流量表补充资料</t>
    </r>
  </si>
  <si>
    <r>
      <rPr>
        <sz val="10"/>
        <rFont val="宋体"/>
        <family val="3"/>
        <charset val="134"/>
      </rPr>
      <t>股份支付</t>
    </r>
  </si>
  <si>
    <r>
      <rPr>
        <sz val="10"/>
        <rFont val="宋体"/>
        <family val="3"/>
        <charset val="134"/>
      </rPr>
      <t>或有事项</t>
    </r>
  </si>
  <si>
    <r>
      <rPr>
        <sz val="10"/>
        <rFont val="宋体"/>
        <family val="3"/>
        <charset val="134"/>
      </rPr>
      <t>承诺事项</t>
    </r>
  </si>
  <si>
    <r>
      <rPr>
        <sz val="10"/>
        <rFont val="宋体"/>
        <family val="3"/>
        <charset val="134"/>
      </rPr>
      <t>资产负债表日后事项</t>
    </r>
  </si>
  <si>
    <r>
      <rPr>
        <sz val="10"/>
        <rFont val="宋体"/>
        <family val="3"/>
        <charset val="134"/>
      </rPr>
      <t>其他重要事项</t>
    </r>
  </si>
  <si>
    <r>
      <rPr>
        <sz val="10"/>
        <rFont val="宋体"/>
        <family val="3"/>
        <charset val="134"/>
      </rPr>
      <t>非经常性损益</t>
    </r>
  </si>
  <si>
    <r>
      <rPr>
        <b/>
        <sz val="10"/>
        <rFont val="宋体"/>
        <family val="3"/>
        <charset val="134"/>
      </rPr>
      <t>说明：</t>
    </r>
    <r>
      <rPr>
        <b/>
        <sz val="10"/>
        <rFont val="Arial Narrow"/>
        <family val="2"/>
      </rPr>
      <t>1</t>
    </r>
    <r>
      <rPr>
        <b/>
        <sz val="10"/>
        <rFont val="宋体"/>
        <family val="3"/>
        <charset val="134"/>
      </rPr>
      <t>、报告包里需要说明的事项，如不适用，请不要删除，另起一行标注</t>
    </r>
    <r>
      <rPr>
        <b/>
        <sz val="10"/>
        <rFont val="Arial Narrow"/>
        <family val="2"/>
      </rPr>
      <t xml:space="preserve"> </t>
    </r>
    <r>
      <rPr>
        <b/>
        <sz val="10"/>
        <rFont val="宋体"/>
        <family val="3"/>
        <charset val="134"/>
      </rPr>
      <t>不适用</t>
    </r>
  </si>
  <si>
    <r>
      <rPr>
        <b/>
        <sz val="12"/>
        <rFont val="宋体"/>
        <family val="3"/>
        <charset val="134"/>
      </rPr>
      <t>基础信息</t>
    </r>
  </si>
  <si>
    <r>
      <rPr>
        <b/>
        <sz val="12"/>
        <rFont val="宋体"/>
        <family val="3"/>
        <charset val="134"/>
      </rPr>
      <t>一般信息</t>
    </r>
  </si>
  <si>
    <r>
      <rPr>
        <sz val="10"/>
        <rFont val="宋体"/>
        <family val="3"/>
        <charset val="134"/>
      </rPr>
      <t>公司代码</t>
    </r>
  </si>
  <si>
    <r>
      <rPr>
        <sz val="10"/>
        <rFont val="宋体"/>
        <family val="3"/>
        <charset val="134"/>
      </rPr>
      <t>公司简称</t>
    </r>
  </si>
  <si>
    <r>
      <rPr>
        <sz val="10"/>
        <rFont val="宋体"/>
        <family val="3"/>
        <charset val="134"/>
      </rPr>
      <t>公司名称</t>
    </r>
  </si>
  <si>
    <r>
      <rPr>
        <sz val="10"/>
        <rFont val="宋体"/>
        <family val="3"/>
        <charset val="134"/>
      </rPr>
      <t>报告币种代码</t>
    </r>
  </si>
  <si>
    <r>
      <rPr>
        <sz val="10"/>
        <rFont val="宋体"/>
        <family val="3"/>
        <charset val="134"/>
      </rPr>
      <t>报告币种</t>
    </r>
  </si>
  <si>
    <r>
      <rPr>
        <sz val="10"/>
        <rFont val="宋体"/>
        <family val="3"/>
        <charset val="134"/>
      </rPr>
      <t>财务期间</t>
    </r>
  </si>
  <si>
    <r>
      <rPr>
        <sz val="10"/>
        <rFont val="宋体"/>
        <family val="3"/>
        <charset val="134"/>
      </rPr>
      <t>地址</t>
    </r>
  </si>
  <si>
    <r>
      <rPr>
        <sz val="10"/>
        <rFont val="宋体"/>
        <family val="3"/>
        <charset val="134"/>
      </rPr>
      <t>董事长</t>
    </r>
  </si>
  <si>
    <r>
      <rPr>
        <sz val="10"/>
        <rFont val="宋体"/>
        <family val="3"/>
        <charset val="134"/>
      </rPr>
      <t>总经理</t>
    </r>
  </si>
  <si>
    <r>
      <rPr>
        <sz val="10"/>
        <rFont val="宋体"/>
        <family val="3"/>
        <charset val="134"/>
      </rPr>
      <t>审计师</t>
    </r>
  </si>
  <si>
    <r>
      <rPr>
        <sz val="10"/>
        <rFont val="宋体"/>
        <family val="3"/>
        <charset val="134"/>
      </rPr>
      <t>会计负责人</t>
    </r>
  </si>
  <si>
    <r>
      <rPr>
        <sz val="10"/>
        <rFont val="宋体"/>
        <family val="3"/>
        <charset val="134"/>
      </rPr>
      <t>会计机构负责人</t>
    </r>
  </si>
  <si>
    <r>
      <rPr>
        <sz val="10"/>
        <rFont val="宋体"/>
        <family val="3"/>
        <charset val="134"/>
      </rPr>
      <t>电话</t>
    </r>
  </si>
  <si>
    <r>
      <rPr>
        <sz val="10"/>
        <rFont val="宋体"/>
        <family val="3"/>
        <charset val="134"/>
      </rPr>
      <t>传真</t>
    </r>
  </si>
  <si>
    <r>
      <rPr>
        <sz val="10"/>
        <rFont val="宋体"/>
        <family val="3"/>
        <charset val="134"/>
      </rPr>
      <t>电子邮件</t>
    </r>
  </si>
  <si>
    <r>
      <rPr>
        <b/>
        <sz val="10"/>
        <rFont val="宋体"/>
        <family val="3"/>
        <charset val="134"/>
      </rPr>
      <t>项目</t>
    </r>
  </si>
  <si>
    <r>
      <rPr>
        <b/>
        <sz val="10"/>
        <rFont val="宋体"/>
        <family val="3"/>
        <charset val="134"/>
      </rPr>
      <t>人数</t>
    </r>
  </si>
  <si>
    <r>
      <rPr>
        <sz val="10"/>
        <rFont val="宋体"/>
        <family val="3"/>
        <charset val="134"/>
      </rPr>
      <t>总经理、董事会秘书、内审</t>
    </r>
  </si>
  <si>
    <r>
      <rPr>
        <sz val="10"/>
        <rFont val="宋体"/>
        <family val="3"/>
        <charset val="134"/>
      </rPr>
      <t>一般经理</t>
    </r>
  </si>
  <si>
    <r>
      <rPr>
        <sz val="10"/>
        <rFont val="宋体"/>
        <family val="3"/>
        <charset val="134"/>
      </rPr>
      <t>员工</t>
    </r>
  </si>
  <si>
    <r>
      <rPr>
        <sz val="10"/>
        <rFont val="宋体"/>
        <family val="3"/>
        <charset val="134"/>
      </rPr>
      <t>合计</t>
    </r>
  </si>
  <si>
    <r>
      <rPr>
        <sz val="10"/>
        <rFont val="宋体"/>
        <family val="3"/>
        <charset val="134"/>
      </rPr>
      <t>临时工</t>
    </r>
  </si>
  <si>
    <r>
      <rPr>
        <sz val="10"/>
        <rFont val="宋体"/>
        <family val="3"/>
        <charset val="134"/>
      </rPr>
      <t>外包人员</t>
    </r>
  </si>
  <si>
    <r>
      <rPr>
        <b/>
        <sz val="12"/>
        <rFont val="宋体"/>
        <family val="3"/>
        <charset val="134"/>
      </rPr>
      <t>公司名称</t>
    </r>
  </si>
  <si>
    <t>BACK</t>
  </si>
  <si>
    <r>
      <rPr>
        <b/>
        <sz val="12"/>
        <rFont val="宋体"/>
        <family val="3"/>
        <charset val="134"/>
      </rPr>
      <t>财务期间</t>
    </r>
  </si>
  <si>
    <r>
      <rPr>
        <b/>
        <sz val="12"/>
        <rFont val="宋体"/>
        <family val="3"/>
        <charset val="134"/>
      </rPr>
      <t>内容</t>
    </r>
  </si>
  <si>
    <r>
      <rPr>
        <b/>
        <sz val="12"/>
        <rFont val="宋体"/>
        <family val="3"/>
        <charset val="134"/>
      </rPr>
      <t>主要会计政策、会计估计</t>
    </r>
    <r>
      <rPr>
        <b/>
        <sz val="12"/>
        <color indexed="12"/>
        <rFont val="宋体"/>
        <family val="3"/>
        <charset val="134"/>
      </rPr>
      <t>（根据具体情况适当增减）</t>
    </r>
  </si>
  <si>
    <r>
      <rPr>
        <sz val="10"/>
        <rFont val="宋体"/>
        <family val="3"/>
        <charset val="134"/>
      </rPr>
      <t>会计年度</t>
    </r>
  </si>
  <si>
    <t/>
  </si>
  <si>
    <r>
      <rPr>
        <sz val="10"/>
        <rFont val="宋体"/>
        <family val="3"/>
        <charset val="134"/>
      </rPr>
      <t>营业周期</t>
    </r>
  </si>
  <si>
    <r>
      <rPr>
        <sz val="10"/>
        <rFont val="宋体"/>
        <family val="3"/>
        <charset val="134"/>
      </rPr>
      <t>记账本位币</t>
    </r>
  </si>
  <si>
    <r>
      <rPr>
        <sz val="10"/>
        <rFont val="宋体"/>
        <family val="3"/>
        <charset val="134"/>
      </rPr>
      <t>同一控制下和非同一控制下企业合并的会计处理</t>
    </r>
  </si>
  <si>
    <r>
      <rPr>
        <sz val="10"/>
        <rFont val="宋体"/>
        <family val="3"/>
        <charset val="134"/>
      </rPr>
      <t>合并财务报表编制方法</t>
    </r>
  </si>
  <si>
    <r>
      <rPr>
        <sz val="10"/>
        <rFont val="宋体"/>
        <family val="3"/>
        <charset val="134"/>
      </rPr>
      <t>合营安排的分类及共同经营的会计处理</t>
    </r>
  </si>
  <si>
    <r>
      <rPr>
        <sz val="10"/>
        <rFont val="宋体"/>
        <family val="3"/>
        <charset val="134"/>
      </rPr>
      <t>现金等价物</t>
    </r>
  </si>
  <si>
    <r>
      <rPr>
        <sz val="10"/>
        <rFont val="宋体"/>
        <family val="3"/>
        <charset val="134"/>
      </rPr>
      <t>外币折算</t>
    </r>
  </si>
  <si>
    <r>
      <rPr>
        <sz val="10"/>
        <rFont val="宋体"/>
        <family val="3"/>
        <charset val="134"/>
      </rPr>
      <t>金融工具</t>
    </r>
  </si>
  <si>
    <r>
      <rPr>
        <sz val="10"/>
        <rFont val="宋体"/>
        <family val="3"/>
        <charset val="134"/>
      </rPr>
      <t>公允价值计量</t>
    </r>
  </si>
  <si>
    <t>划分为持有待售及终止经营</t>
  </si>
  <si>
    <r>
      <rPr>
        <sz val="10"/>
        <rFont val="宋体"/>
        <family val="3"/>
        <charset val="134"/>
      </rPr>
      <t>固定资产及其累计折旧</t>
    </r>
  </si>
  <si>
    <r>
      <rPr>
        <sz val="10"/>
        <rFont val="宋体"/>
        <family val="3"/>
        <charset val="134"/>
      </rPr>
      <t>在建工程</t>
    </r>
  </si>
  <si>
    <r>
      <rPr>
        <sz val="10"/>
        <rFont val="宋体"/>
        <family val="3"/>
        <charset val="134"/>
      </rPr>
      <t>借款费用</t>
    </r>
  </si>
  <si>
    <r>
      <rPr>
        <sz val="10"/>
        <rFont val="宋体"/>
        <family val="3"/>
        <charset val="134"/>
      </rPr>
      <t>生物资产</t>
    </r>
  </si>
  <si>
    <r>
      <rPr>
        <sz val="10"/>
        <rFont val="宋体"/>
        <family val="3"/>
        <charset val="134"/>
      </rPr>
      <t>研究开发支出</t>
    </r>
  </si>
  <si>
    <r>
      <rPr>
        <sz val="10"/>
        <rFont val="宋体"/>
        <family val="3"/>
        <charset val="134"/>
      </rPr>
      <t>资产减值</t>
    </r>
  </si>
  <si>
    <r>
      <rPr>
        <sz val="10"/>
        <rFont val="宋体"/>
        <family val="3"/>
        <charset val="134"/>
      </rPr>
      <t>长期待摊费用摊销方法</t>
    </r>
  </si>
  <si>
    <r>
      <rPr>
        <sz val="10"/>
        <rFont val="宋体"/>
        <family val="3"/>
        <charset val="134"/>
      </rPr>
      <t>职工薪酬</t>
    </r>
  </si>
  <si>
    <r>
      <rPr>
        <sz val="10"/>
        <rFont val="宋体"/>
        <family val="3"/>
        <charset val="134"/>
      </rPr>
      <t>优先股、永续债等其他金融工具</t>
    </r>
  </si>
  <si>
    <r>
      <rPr>
        <sz val="10"/>
        <rFont val="宋体"/>
        <family val="3"/>
        <charset val="134"/>
      </rPr>
      <t>收入的确认原则</t>
    </r>
  </si>
  <si>
    <r>
      <rPr>
        <sz val="10"/>
        <rFont val="宋体"/>
        <family val="3"/>
        <charset val="134"/>
      </rPr>
      <t>政府补助</t>
    </r>
  </si>
  <si>
    <r>
      <rPr>
        <sz val="10"/>
        <rFont val="宋体"/>
        <family val="3"/>
        <charset val="134"/>
      </rPr>
      <t>递延所得税资产及递延所得税负债</t>
    </r>
  </si>
  <si>
    <r>
      <rPr>
        <sz val="10"/>
        <rFont val="宋体"/>
        <family val="3"/>
        <charset val="134"/>
      </rPr>
      <t>租赁</t>
    </r>
  </si>
  <si>
    <r>
      <rPr>
        <sz val="10"/>
        <rFont val="宋体"/>
        <family val="3"/>
        <charset val="134"/>
      </rPr>
      <t>安全生产费用及维简费</t>
    </r>
  </si>
  <si>
    <r>
      <rPr>
        <sz val="10"/>
        <rFont val="宋体"/>
        <family val="3"/>
        <charset val="134"/>
      </rPr>
      <t>非金融资产证券化业务的主要会计处理方法</t>
    </r>
  </si>
  <si>
    <r>
      <rPr>
        <b/>
        <sz val="12"/>
        <rFont val="宋体"/>
        <family val="3"/>
        <charset val="134"/>
      </rPr>
      <t>资产负债表</t>
    </r>
  </si>
  <si>
    <r>
      <rPr>
        <sz val="10"/>
        <rFont val="宋体"/>
        <family val="3"/>
        <charset val="134"/>
      </rPr>
      <t>单位：人民币元</t>
    </r>
  </si>
  <si>
    <r>
      <rPr>
        <b/>
        <sz val="10"/>
        <rFont val="宋体"/>
        <family val="3"/>
        <charset val="134"/>
      </rPr>
      <t>附注</t>
    </r>
  </si>
  <si>
    <t>20X7.12.31</t>
  </si>
  <si>
    <t>20X6.12.31</t>
  </si>
  <si>
    <r>
      <rPr>
        <b/>
        <sz val="10"/>
        <rFont val="宋体"/>
        <family val="3"/>
        <charset val="134"/>
      </rPr>
      <t>流动资产</t>
    </r>
    <r>
      <rPr>
        <b/>
        <sz val="10"/>
        <rFont val="Arial Narrow"/>
        <family val="2"/>
      </rPr>
      <t>:</t>
    </r>
  </si>
  <si>
    <r>
      <rPr>
        <sz val="10"/>
        <rFont val="宋体"/>
        <family val="3"/>
        <charset val="134"/>
      </rPr>
      <t xml:space="preserve">衍生金融资产
</t>
    </r>
    <r>
      <rPr>
        <strike/>
        <sz val="10"/>
        <color rgb="FFFF0000"/>
        <rFont val="宋体"/>
        <family val="3"/>
        <charset val="134"/>
      </rPr>
      <t>（不适用的删除）</t>
    </r>
  </si>
  <si>
    <t>其他应收款</t>
  </si>
  <si>
    <r>
      <rPr>
        <sz val="10"/>
        <rFont val="宋体"/>
        <family val="3"/>
        <charset val="134"/>
      </rPr>
      <t xml:space="preserve">持有待售资产
</t>
    </r>
    <r>
      <rPr>
        <strike/>
        <sz val="10"/>
        <color rgb="FFFF0000"/>
        <rFont val="宋体"/>
        <family val="3"/>
        <charset val="134"/>
      </rPr>
      <t>（不适用的删除）</t>
    </r>
  </si>
  <si>
    <r>
      <rPr>
        <sz val="10"/>
        <rFont val="宋体"/>
        <family val="3"/>
        <charset val="134"/>
      </rPr>
      <t>一年内到期的非流动资产</t>
    </r>
  </si>
  <si>
    <r>
      <rPr>
        <b/>
        <sz val="10"/>
        <rFont val="宋体"/>
        <family val="3"/>
        <charset val="134"/>
      </rPr>
      <t>流动资产合计</t>
    </r>
  </si>
  <si>
    <r>
      <rPr>
        <b/>
        <sz val="10"/>
        <rFont val="宋体"/>
        <family val="3"/>
        <charset val="134"/>
      </rPr>
      <t>非流动资产</t>
    </r>
    <r>
      <rPr>
        <b/>
        <sz val="10"/>
        <rFont val="Arial Narrow"/>
        <family val="2"/>
      </rPr>
      <t>:</t>
    </r>
  </si>
  <si>
    <r>
      <rPr>
        <sz val="10"/>
        <rFont val="宋体"/>
        <family val="3"/>
        <charset val="134"/>
      </rPr>
      <t xml:space="preserve">设定受益计划净资产
</t>
    </r>
    <r>
      <rPr>
        <strike/>
        <sz val="10"/>
        <color rgb="FFFF0000"/>
        <rFont val="宋体"/>
        <family val="3"/>
        <charset val="134"/>
      </rPr>
      <t>（不适用的删除）</t>
    </r>
  </si>
  <si>
    <r>
      <rPr>
        <sz val="10"/>
        <rFont val="宋体"/>
        <family val="3"/>
        <charset val="134"/>
      </rPr>
      <t>固定资产</t>
    </r>
  </si>
  <si>
    <r>
      <rPr>
        <sz val="10"/>
        <rFont val="宋体"/>
        <family val="3"/>
        <charset val="134"/>
      </rPr>
      <t>油气资产</t>
    </r>
  </si>
  <si>
    <r>
      <rPr>
        <sz val="10"/>
        <rFont val="宋体"/>
        <family val="3"/>
        <charset val="134"/>
      </rPr>
      <t>递延所得税资产</t>
    </r>
  </si>
  <si>
    <r>
      <rPr>
        <b/>
        <sz val="10"/>
        <rFont val="宋体"/>
        <family val="3"/>
        <charset val="134"/>
      </rPr>
      <t>非流动资产合计</t>
    </r>
  </si>
  <si>
    <r>
      <rPr>
        <b/>
        <sz val="10"/>
        <rFont val="宋体"/>
        <family val="3"/>
        <charset val="134"/>
      </rPr>
      <t>资产总计</t>
    </r>
  </si>
  <si>
    <r>
      <rPr>
        <b/>
        <sz val="12"/>
        <rFont val="宋体"/>
        <family val="3"/>
        <charset val="134"/>
      </rPr>
      <t>资产负债表（续）</t>
    </r>
  </si>
  <si>
    <r>
      <rPr>
        <b/>
        <sz val="10"/>
        <rFont val="宋体"/>
        <family val="3"/>
        <charset val="134"/>
      </rPr>
      <t>流动负债</t>
    </r>
    <r>
      <rPr>
        <b/>
        <sz val="10"/>
        <rFont val="Arial Narrow"/>
        <family val="2"/>
      </rPr>
      <t>:</t>
    </r>
  </si>
  <si>
    <r>
      <rPr>
        <sz val="10"/>
        <rFont val="宋体"/>
        <family val="3"/>
        <charset val="134"/>
      </rPr>
      <t xml:space="preserve">衍生金融负债
</t>
    </r>
    <r>
      <rPr>
        <strike/>
        <sz val="10"/>
        <color rgb="FFFF0000"/>
        <rFont val="宋体"/>
        <family val="3"/>
        <charset val="134"/>
      </rPr>
      <t>（不适用的删除）</t>
    </r>
  </si>
  <si>
    <r>
      <rPr>
        <sz val="10"/>
        <rFont val="宋体"/>
        <family val="3"/>
        <charset val="134"/>
      </rPr>
      <t>其他应付款</t>
    </r>
  </si>
  <si>
    <r>
      <rPr>
        <sz val="10"/>
        <rFont val="宋体"/>
        <family val="3"/>
        <charset val="134"/>
      </rPr>
      <t>持有待售负债</t>
    </r>
    <r>
      <rPr>
        <strike/>
        <sz val="10"/>
        <color rgb="FFFF0000"/>
        <rFont val="宋体"/>
        <family val="3"/>
        <charset val="134"/>
      </rPr>
      <t>（不适用的删除）</t>
    </r>
  </si>
  <si>
    <r>
      <rPr>
        <b/>
        <sz val="10"/>
        <rFont val="宋体"/>
        <family val="3"/>
        <charset val="134"/>
      </rPr>
      <t>流动负债合计</t>
    </r>
  </si>
  <si>
    <r>
      <rPr>
        <b/>
        <sz val="10"/>
        <rFont val="宋体"/>
        <family val="3"/>
        <charset val="134"/>
      </rPr>
      <t>非流动负债</t>
    </r>
    <r>
      <rPr>
        <b/>
        <sz val="10"/>
        <rFont val="Arial Narrow"/>
        <family val="2"/>
      </rPr>
      <t>:</t>
    </r>
  </si>
  <si>
    <r>
      <rPr>
        <sz val="10"/>
        <rFont val="宋体"/>
        <family val="3"/>
        <charset val="134"/>
      </rPr>
      <t>其中：优先股</t>
    </r>
    <r>
      <rPr>
        <strike/>
        <sz val="10"/>
        <color rgb="FFFF0000"/>
        <rFont val="宋体"/>
        <family val="3"/>
        <charset val="134"/>
      </rPr>
      <t>（不适用的删除）</t>
    </r>
  </si>
  <si>
    <r>
      <rPr>
        <sz val="10"/>
        <rFont val="Arial Narrow"/>
        <family val="2"/>
      </rPr>
      <t xml:space="preserve"> </t>
    </r>
    <r>
      <rPr>
        <sz val="10"/>
        <rFont val="宋体"/>
        <family val="3"/>
        <charset val="134"/>
      </rPr>
      <t>永续债</t>
    </r>
    <r>
      <rPr>
        <strike/>
        <sz val="10"/>
        <color rgb="FFFF0000"/>
        <rFont val="宋体"/>
        <family val="3"/>
        <charset val="134"/>
      </rPr>
      <t>（不适用的删除）</t>
    </r>
  </si>
  <si>
    <r>
      <rPr>
        <sz val="10"/>
        <rFont val="宋体"/>
        <family val="3"/>
        <charset val="134"/>
      </rPr>
      <t>长期应付款</t>
    </r>
  </si>
  <si>
    <r>
      <rPr>
        <sz val="10"/>
        <rFont val="宋体"/>
        <family val="3"/>
        <charset val="134"/>
      </rPr>
      <t>长期应付职工薪酬</t>
    </r>
    <r>
      <rPr>
        <strike/>
        <sz val="10"/>
        <color rgb="FFFF0000"/>
        <rFont val="宋体"/>
        <family val="3"/>
        <charset val="134"/>
      </rPr>
      <t>（不适用的删除）</t>
    </r>
  </si>
  <si>
    <r>
      <rPr>
        <sz val="10"/>
        <rFont val="宋体"/>
        <family val="3"/>
        <charset val="134"/>
      </rPr>
      <t>递延所得税负债</t>
    </r>
  </si>
  <si>
    <r>
      <rPr>
        <b/>
        <sz val="10"/>
        <rFont val="宋体"/>
        <family val="3"/>
        <charset val="134"/>
      </rPr>
      <t>非流动负债合计</t>
    </r>
  </si>
  <si>
    <r>
      <rPr>
        <b/>
        <sz val="10"/>
        <rFont val="宋体"/>
        <family val="3"/>
        <charset val="134"/>
      </rPr>
      <t>负债合计</t>
    </r>
  </si>
  <si>
    <r>
      <rPr>
        <b/>
        <sz val="10"/>
        <rFont val="宋体"/>
        <family val="3"/>
        <charset val="134"/>
      </rPr>
      <t>股东权益</t>
    </r>
    <r>
      <rPr>
        <b/>
        <sz val="10"/>
        <rFont val="Arial Narrow"/>
        <family val="2"/>
      </rPr>
      <t>:</t>
    </r>
  </si>
  <si>
    <r>
      <rPr>
        <sz val="10"/>
        <rFont val="宋体"/>
        <family val="3"/>
        <charset val="134"/>
      </rPr>
      <t>股本</t>
    </r>
  </si>
  <si>
    <r>
      <rPr>
        <sz val="10"/>
        <rFont val="宋体"/>
        <family val="3"/>
        <charset val="134"/>
      </rPr>
      <t>其他权益工具</t>
    </r>
    <r>
      <rPr>
        <sz val="10"/>
        <color rgb="FFFF0000"/>
        <rFont val="宋体"/>
        <family val="3"/>
        <charset val="134"/>
      </rPr>
      <t>（不适用的删除）</t>
    </r>
  </si>
  <si>
    <r>
      <rPr>
        <sz val="10"/>
        <rFont val="Arial Narrow"/>
        <family val="2"/>
      </rPr>
      <t xml:space="preserve">  </t>
    </r>
    <r>
      <rPr>
        <sz val="10"/>
        <rFont val="宋体"/>
        <family val="3"/>
        <charset val="134"/>
      </rPr>
      <t>其中：优先股</t>
    </r>
  </si>
  <si>
    <r>
      <rPr>
        <sz val="10"/>
        <rFont val="Arial Narrow"/>
        <family val="2"/>
      </rPr>
      <t xml:space="preserve">        </t>
    </r>
    <r>
      <rPr>
        <sz val="10"/>
        <rFont val="宋体"/>
        <family val="3"/>
        <charset val="134"/>
      </rPr>
      <t>永续债</t>
    </r>
  </si>
  <si>
    <r>
      <rPr>
        <sz val="10"/>
        <rFont val="宋体"/>
        <family val="3"/>
        <charset val="134"/>
      </rPr>
      <t>资本公积</t>
    </r>
  </si>
  <si>
    <r>
      <rPr>
        <sz val="10"/>
        <rFont val="宋体"/>
        <family val="3"/>
        <charset val="134"/>
      </rPr>
      <t>减：库存股</t>
    </r>
  </si>
  <si>
    <r>
      <rPr>
        <sz val="10"/>
        <rFont val="宋体"/>
        <family val="3"/>
        <charset val="134"/>
      </rPr>
      <t>其他综合收益</t>
    </r>
  </si>
  <si>
    <r>
      <rPr>
        <sz val="10"/>
        <rFont val="宋体"/>
        <family val="3"/>
        <charset val="134"/>
      </rPr>
      <t>专项储备</t>
    </r>
  </si>
  <si>
    <r>
      <rPr>
        <sz val="10"/>
        <rFont val="宋体"/>
        <family val="3"/>
        <charset val="134"/>
      </rPr>
      <t>盈余公积</t>
    </r>
  </si>
  <si>
    <r>
      <rPr>
        <sz val="10"/>
        <rFont val="宋体"/>
        <family val="3"/>
        <charset val="134"/>
      </rPr>
      <t>未分配利润</t>
    </r>
  </si>
  <si>
    <r>
      <rPr>
        <sz val="10"/>
        <rFont val="宋体"/>
        <family val="3"/>
        <charset val="134"/>
      </rPr>
      <t>归属于母公司股东权益合计</t>
    </r>
  </si>
  <si>
    <r>
      <rPr>
        <sz val="10"/>
        <rFont val="宋体"/>
        <family val="3"/>
        <charset val="134"/>
      </rPr>
      <t>少数股东权益</t>
    </r>
  </si>
  <si>
    <r>
      <rPr>
        <b/>
        <sz val="10"/>
        <rFont val="宋体"/>
        <family val="3"/>
        <charset val="134"/>
      </rPr>
      <t>股东权益合计</t>
    </r>
  </si>
  <si>
    <r>
      <rPr>
        <b/>
        <sz val="10"/>
        <rFont val="宋体"/>
        <family val="3"/>
        <charset val="134"/>
      </rPr>
      <t>负债和股东权益总计</t>
    </r>
  </si>
  <si>
    <r>
      <rPr>
        <sz val="10"/>
        <rFont val="宋体"/>
        <family val="3"/>
        <charset val="134"/>
      </rPr>
      <t>公司法定代表人：</t>
    </r>
  </si>
  <si>
    <r>
      <rPr>
        <sz val="10"/>
        <rFont val="宋体"/>
        <family val="3"/>
        <charset val="134"/>
      </rPr>
      <t>主管会计工作的公司负责人：</t>
    </r>
    <r>
      <rPr>
        <sz val="10"/>
        <rFont val="Arial Narrow"/>
        <family val="2"/>
      </rPr>
      <t xml:space="preserve">          </t>
    </r>
  </si>
  <si>
    <r>
      <rPr>
        <sz val="10"/>
        <rFont val="宋体"/>
        <family val="3"/>
        <charset val="134"/>
      </rPr>
      <t>公司会计机构负责人：</t>
    </r>
  </si>
  <si>
    <t>利润表</t>
  </si>
  <si>
    <r>
      <rPr>
        <sz val="11"/>
        <rFont val="宋体"/>
        <family val="3"/>
        <charset val="134"/>
      </rPr>
      <t>单位：人民币元</t>
    </r>
  </si>
  <si>
    <r>
      <rPr>
        <b/>
        <sz val="10"/>
        <rFont val="Arial Narrow"/>
        <family val="2"/>
      </rPr>
      <t>20X7</t>
    </r>
    <r>
      <rPr>
        <b/>
        <sz val="10"/>
        <rFont val="宋体"/>
        <family val="3"/>
        <charset val="134"/>
      </rPr>
      <t>年度</t>
    </r>
  </si>
  <si>
    <r>
      <rPr>
        <b/>
        <sz val="10"/>
        <rFont val="Arial Narrow"/>
        <family val="2"/>
      </rPr>
      <t>20X6</t>
    </r>
    <r>
      <rPr>
        <b/>
        <sz val="10"/>
        <rFont val="宋体"/>
        <family val="3"/>
        <charset val="134"/>
      </rPr>
      <t>年度</t>
    </r>
  </si>
  <si>
    <r>
      <rPr>
        <b/>
        <sz val="10"/>
        <rFont val="宋体"/>
        <family val="3"/>
        <charset val="134"/>
      </rPr>
      <t>一、营业收入</t>
    </r>
  </si>
  <si>
    <r>
      <rPr>
        <sz val="10"/>
        <rFont val="Arial Narrow"/>
        <family val="2"/>
      </rPr>
      <t xml:space="preserve">        </t>
    </r>
    <r>
      <rPr>
        <sz val="10"/>
        <rFont val="宋体"/>
        <family val="3"/>
        <charset val="134"/>
      </rPr>
      <t>减：营业成本</t>
    </r>
  </si>
  <si>
    <r>
      <rPr>
        <sz val="10"/>
        <rFont val="Arial Narrow"/>
        <family val="2"/>
      </rPr>
      <t xml:space="preserve">        </t>
    </r>
    <r>
      <rPr>
        <sz val="10"/>
        <rFont val="宋体"/>
        <family val="3"/>
        <charset val="134"/>
      </rPr>
      <t>税金及附加</t>
    </r>
  </si>
  <si>
    <r>
      <rPr>
        <sz val="10"/>
        <rFont val="Arial Narrow"/>
        <family val="2"/>
      </rPr>
      <t xml:space="preserve">        </t>
    </r>
    <r>
      <rPr>
        <sz val="10"/>
        <rFont val="宋体"/>
        <family val="3"/>
        <charset val="134"/>
      </rPr>
      <t>销售费用</t>
    </r>
  </si>
  <si>
    <r>
      <rPr>
        <sz val="10"/>
        <rFont val="Arial Narrow"/>
        <family val="2"/>
      </rPr>
      <t xml:space="preserve">        </t>
    </r>
    <r>
      <rPr>
        <sz val="10"/>
        <rFont val="宋体"/>
        <family val="3"/>
        <charset val="134"/>
      </rPr>
      <t>管理费用</t>
    </r>
  </si>
  <si>
    <t xml:space="preserve">   研发费用</t>
  </si>
  <si>
    <r>
      <rPr>
        <sz val="10"/>
        <rFont val="Arial Narrow"/>
        <family val="2"/>
      </rPr>
      <t xml:space="preserve">        </t>
    </r>
    <r>
      <rPr>
        <sz val="10"/>
        <rFont val="宋体"/>
        <family val="3"/>
        <charset val="134"/>
      </rPr>
      <t>财务费用</t>
    </r>
  </si>
  <si>
    <r>
      <rPr>
        <sz val="10"/>
        <rFont val="Arial Narrow"/>
        <family val="2"/>
      </rPr>
      <t xml:space="preserve">                              </t>
    </r>
    <r>
      <rPr>
        <sz val="10"/>
        <rFont val="宋体"/>
        <family val="3"/>
        <charset val="134"/>
      </rPr>
      <t>利息收入</t>
    </r>
  </si>
  <si>
    <r>
      <rPr>
        <sz val="10"/>
        <rFont val="Arial Narrow"/>
        <family val="2"/>
      </rPr>
      <t xml:space="preserve">        </t>
    </r>
    <r>
      <rPr>
        <sz val="10"/>
        <rFont val="宋体"/>
        <family val="3"/>
        <charset val="134"/>
      </rPr>
      <t>资产减值损失</t>
    </r>
  </si>
  <si>
    <t>加：其他收益</t>
  </si>
  <si>
    <r>
      <rPr>
        <sz val="10"/>
        <rFont val="Arial Narrow"/>
        <family val="2"/>
      </rPr>
      <t xml:space="preserve">       </t>
    </r>
    <r>
      <rPr>
        <sz val="10"/>
        <rFont val="宋体"/>
        <family val="3"/>
        <charset val="134"/>
      </rPr>
      <t>投资收益</t>
    </r>
    <r>
      <rPr>
        <sz val="10"/>
        <rFont val="Arial Narrow"/>
        <family val="2"/>
      </rPr>
      <t>(</t>
    </r>
    <r>
      <rPr>
        <sz val="10"/>
        <rFont val="宋体"/>
        <family val="3"/>
        <charset val="134"/>
      </rPr>
      <t>损失以</t>
    </r>
    <r>
      <rPr>
        <sz val="10"/>
        <rFont val="Arial Narrow"/>
        <family val="2"/>
      </rPr>
      <t>“-”</t>
    </r>
    <r>
      <rPr>
        <sz val="10"/>
        <rFont val="宋体"/>
        <family val="3"/>
        <charset val="134"/>
      </rPr>
      <t>号填列）</t>
    </r>
  </si>
  <si>
    <t>　　 其中：对联营企业和合营企业的投资收益</t>
  </si>
  <si>
    <r>
      <rPr>
        <sz val="10"/>
        <rFont val="Arial Narrow"/>
        <family val="2"/>
      </rPr>
      <t xml:space="preserve">      </t>
    </r>
    <r>
      <rPr>
        <sz val="10"/>
        <rFont val="宋体"/>
        <family val="3"/>
        <charset val="134"/>
      </rPr>
      <t>公允价值变动收益</t>
    </r>
    <r>
      <rPr>
        <sz val="10"/>
        <rFont val="Arial Narrow"/>
        <family val="2"/>
      </rPr>
      <t>(</t>
    </r>
    <r>
      <rPr>
        <sz val="10"/>
        <rFont val="宋体"/>
        <family val="3"/>
        <charset val="134"/>
      </rPr>
      <t>损失以</t>
    </r>
    <r>
      <rPr>
        <sz val="10"/>
        <rFont val="Arial Narrow"/>
        <family val="2"/>
      </rPr>
      <t>“-”</t>
    </r>
    <r>
      <rPr>
        <sz val="10"/>
        <rFont val="宋体"/>
        <family val="3"/>
        <charset val="134"/>
      </rPr>
      <t>号填列）</t>
    </r>
  </si>
  <si>
    <r>
      <rPr>
        <b/>
        <sz val="10"/>
        <rFont val="宋体"/>
        <family val="3"/>
        <charset val="134"/>
      </rPr>
      <t>二、营业利润</t>
    </r>
    <r>
      <rPr>
        <b/>
        <sz val="10"/>
        <rFont val="Arial Narrow"/>
        <family val="2"/>
      </rPr>
      <t>(</t>
    </r>
    <r>
      <rPr>
        <b/>
        <sz val="10"/>
        <rFont val="宋体"/>
        <family val="3"/>
        <charset val="134"/>
      </rPr>
      <t>损失以</t>
    </r>
    <r>
      <rPr>
        <b/>
        <sz val="10"/>
        <rFont val="Arial Narrow"/>
        <family val="2"/>
      </rPr>
      <t>“-”</t>
    </r>
    <r>
      <rPr>
        <b/>
        <sz val="10"/>
        <rFont val="宋体"/>
        <family val="3"/>
        <charset val="134"/>
      </rPr>
      <t>号填列）</t>
    </r>
  </si>
  <si>
    <r>
      <rPr>
        <sz val="10"/>
        <rFont val="Arial Narrow"/>
        <family val="2"/>
      </rPr>
      <t xml:space="preserve">    </t>
    </r>
    <r>
      <rPr>
        <sz val="10"/>
        <rFont val="宋体"/>
        <family val="3"/>
        <charset val="134"/>
      </rPr>
      <t>加：营业外收入</t>
    </r>
  </si>
  <si>
    <r>
      <rPr>
        <sz val="10"/>
        <rFont val="Arial Narrow"/>
        <family val="2"/>
      </rPr>
      <t xml:space="preserve">    </t>
    </r>
    <r>
      <rPr>
        <sz val="10"/>
        <rFont val="宋体"/>
        <family val="3"/>
        <charset val="134"/>
      </rPr>
      <t>减：营业外支出</t>
    </r>
  </si>
  <si>
    <r>
      <rPr>
        <b/>
        <sz val="10"/>
        <rFont val="宋体"/>
        <family val="3"/>
        <charset val="134"/>
      </rPr>
      <t>三、利润总额</t>
    </r>
    <r>
      <rPr>
        <b/>
        <sz val="10"/>
        <rFont val="Arial Narrow"/>
        <family val="2"/>
      </rPr>
      <t>(</t>
    </r>
    <r>
      <rPr>
        <b/>
        <sz val="10"/>
        <rFont val="宋体"/>
        <family val="3"/>
        <charset val="134"/>
      </rPr>
      <t>损失以</t>
    </r>
    <r>
      <rPr>
        <b/>
        <sz val="10"/>
        <rFont val="Arial Narrow"/>
        <family val="2"/>
      </rPr>
      <t>“-”</t>
    </r>
    <r>
      <rPr>
        <b/>
        <sz val="10"/>
        <rFont val="宋体"/>
        <family val="3"/>
        <charset val="134"/>
      </rPr>
      <t>号填列）</t>
    </r>
  </si>
  <si>
    <r>
      <rPr>
        <sz val="10"/>
        <rFont val="Arial Narrow"/>
        <family val="2"/>
      </rPr>
      <t xml:space="preserve">    </t>
    </r>
    <r>
      <rPr>
        <sz val="10"/>
        <rFont val="宋体"/>
        <family val="3"/>
        <charset val="134"/>
      </rPr>
      <t>减：所得税费用</t>
    </r>
  </si>
  <si>
    <r>
      <rPr>
        <b/>
        <sz val="10"/>
        <rFont val="宋体"/>
        <family val="3"/>
        <charset val="134"/>
      </rPr>
      <t>四、净利润</t>
    </r>
    <r>
      <rPr>
        <b/>
        <sz val="10"/>
        <rFont val="Arial Narrow"/>
        <family val="2"/>
      </rPr>
      <t>(</t>
    </r>
    <r>
      <rPr>
        <b/>
        <sz val="10"/>
        <rFont val="宋体"/>
        <family val="3"/>
        <charset val="134"/>
      </rPr>
      <t>损失以</t>
    </r>
    <r>
      <rPr>
        <b/>
        <sz val="10"/>
        <rFont val="Arial Narrow"/>
        <family val="2"/>
      </rPr>
      <t>“-”</t>
    </r>
    <r>
      <rPr>
        <b/>
        <sz val="10"/>
        <rFont val="宋体"/>
        <family val="3"/>
        <charset val="134"/>
      </rPr>
      <t>号填列）</t>
    </r>
  </si>
  <si>
    <t xml:space="preserve"> （一）按经营持续性分类</t>
  </si>
  <si>
    <t xml:space="preserve">   1、持续经营净利润（净亏损以“-”号填列）</t>
  </si>
  <si>
    <t xml:space="preserve">   2、终止经营净利润（净亏损以“-”号填列）</t>
  </si>
  <si>
    <t xml:space="preserve"> （二）按所有权归属分类</t>
  </si>
  <si>
    <t xml:space="preserve">   1、归属于母公司股东的净利润</t>
  </si>
  <si>
    <t xml:space="preserve">   2、少数股东损益</t>
  </si>
  <si>
    <r>
      <rPr>
        <b/>
        <sz val="10"/>
        <rFont val="宋体"/>
        <family val="3"/>
        <charset val="134"/>
      </rPr>
      <t>五、其他综合收益的税后净额</t>
    </r>
  </si>
  <si>
    <r>
      <rPr>
        <sz val="10"/>
        <rFont val="Arial Narrow"/>
        <family val="2"/>
      </rPr>
      <t xml:space="preserve">    </t>
    </r>
    <r>
      <rPr>
        <sz val="10"/>
        <rFont val="宋体"/>
        <family val="3"/>
        <charset val="134"/>
      </rPr>
      <t>归属于母公司股东的其他综合收益的税后净额</t>
    </r>
  </si>
  <si>
    <r>
      <rPr>
        <sz val="10"/>
        <rFont val="宋体"/>
        <family val="3"/>
        <charset val="134"/>
      </rPr>
      <t>（一）以后不能重分类进损益的其他综合收益</t>
    </r>
  </si>
  <si>
    <r>
      <rPr>
        <sz val="10"/>
        <rFont val="Arial Narrow"/>
        <family val="2"/>
      </rPr>
      <t>1</t>
    </r>
    <r>
      <rPr>
        <sz val="10"/>
        <rFont val="宋体"/>
        <family val="3"/>
        <charset val="134"/>
      </rPr>
      <t>、重新计量设定受益计划变动额</t>
    </r>
    <r>
      <rPr>
        <strike/>
        <sz val="10"/>
        <color rgb="FFFF0000"/>
        <rFont val="宋体"/>
        <family val="3"/>
        <charset val="134"/>
      </rPr>
      <t>（不适用的删除）</t>
    </r>
  </si>
  <si>
    <r>
      <rPr>
        <sz val="10"/>
        <rFont val="Arial Narrow"/>
        <family val="2"/>
      </rPr>
      <t>2</t>
    </r>
    <r>
      <rPr>
        <sz val="10"/>
        <rFont val="宋体"/>
        <family val="3"/>
        <charset val="134"/>
      </rPr>
      <t>、权益法下不能转损益的其他综合收益</t>
    </r>
    <r>
      <rPr>
        <strike/>
        <sz val="10"/>
        <color rgb="FFFF0000"/>
        <rFont val="宋体"/>
        <family val="3"/>
        <charset val="134"/>
      </rPr>
      <t>（不适用的删除）</t>
    </r>
  </si>
  <si>
    <r>
      <rPr>
        <sz val="10"/>
        <rFont val="宋体"/>
        <family val="3"/>
        <charset val="134"/>
      </rPr>
      <t>（二）以后将重分类进损益的其他综合收益</t>
    </r>
  </si>
  <si>
    <r>
      <rPr>
        <sz val="10"/>
        <rFont val="Arial Narrow"/>
        <family val="2"/>
      </rPr>
      <t xml:space="preserve">    </t>
    </r>
    <r>
      <rPr>
        <sz val="10"/>
        <rFont val="宋体"/>
        <family val="3"/>
        <charset val="134"/>
      </rPr>
      <t>归属于少数股东的其他综合收益的税后净额</t>
    </r>
  </si>
  <si>
    <r>
      <rPr>
        <b/>
        <sz val="10"/>
        <rFont val="宋体"/>
        <family val="3"/>
        <charset val="134"/>
      </rPr>
      <t>六、综合收益总额</t>
    </r>
  </si>
  <si>
    <r>
      <rPr>
        <sz val="10"/>
        <rFont val="Arial Narrow"/>
        <family val="2"/>
      </rPr>
      <t xml:space="preserve">    </t>
    </r>
    <r>
      <rPr>
        <sz val="10"/>
        <rFont val="宋体"/>
        <family val="3"/>
        <charset val="134"/>
      </rPr>
      <t>归属于母公司股东的综合收益总额</t>
    </r>
  </si>
  <si>
    <r>
      <rPr>
        <sz val="10"/>
        <rFont val="Arial Narrow"/>
        <family val="2"/>
      </rPr>
      <t xml:space="preserve">    </t>
    </r>
    <r>
      <rPr>
        <sz val="10"/>
        <rFont val="宋体"/>
        <family val="3"/>
        <charset val="134"/>
      </rPr>
      <t>归属于少数股东的综合收益总额</t>
    </r>
  </si>
  <si>
    <r>
      <rPr>
        <b/>
        <sz val="10"/>
        <rFont val="宋体"/>
        <family val="3"/>
        <charset val="134"/>
      </rPr>
      <t>七、每股收益</t>
    </r>
  </si>
  <si>
    <r>
      <rPr>
        <sz val="10"/>
        <rFont val="Arial Narrow"/>
        <family val="2"/>
      </rPr>
      <t xml:space="preserve">   </t>
    </r>
    <r>
      <rPr>
        <sz val="10"/>
        <rFont val="宋体"/>
        <family val="3"/>
        <charset val="134"/>
      </rPr>
      <t>（一）基本每股收益</t>
    </r>
  </si>
  <si>
    <r>
      <rPr>
        <sz val="10"/>
        <rFont val="Arial Narrow"/>
        <family val="2"/>
      </rPr>
      <t xml:space="preserve">   </t>
    </r>
    <r>
      <rPr>
        <sz val="10"/>
        <rFont val="宋体"/>
        <family val="3"/>
        <charset val="134"/>
      </rPr>
      <t>（二）稀释每股收益</t>
    </r>
  </si>
  <si>
    <r>
      <rPr>
        <sz val="10"/>
        <rFont val="宋体"/>
        <family val="3"/>
        <charset val="134"/>
      </rPr>
      <t>公司法定代表人：</t>
    </r>
    <r>
      <rPr>
        <sz val="10"/>
        <rFont val="Arial Narrow"/>
        <family val="2"/>
      </rPr>
      <t xml:space="preserve">          </t>
    </r>
    <r>
      <rPr>
        <sz val="10"/>
        <rFont val="宋体"/>
        <family val="3"/>
        <charset val="134"/>
      </rPr>
      <t>主管会计工作的公司负责人：</t>
    </r>
  </si>
  <si>
    <r>
      <rPr>
        <sz val="10"/>
        <rFont val="Arial Narrow"/>
        <family val="2"/>
      </rPr>
      <t xml:space="preserve">                 </t>
    </r>
    <r>
      <rPr>
        <sz val="10"/>
        <rFont val="宋体"/>
        <family val="3"/>
        <charset val="134"/>
      </rPr>
      <t>公司会计机构负责人：</t>
    </r>
  </si>
  <si>
    <r>
      <rPr>
        <b/>
        <sz val="12"/>
        <rFont val="宋体"/>
        <family val="3"/>
        <charset val="134"/>
      </rPr>
      <t>现金流量表</t>
    </r>
  </si>
  <si>
    <t>单位：人民币元</t>
  </si>
  <si>
    <r>
      <rPr>
        <b/>
        <sz val="10"/>
        <rFont val="Arial Narrow"/>
        <family val="2"/>
      </rPr>
      <t>20X3</t>
    </r>
    <r>
      <rPr>
        <b/>
        <sz val="10"/>
        <rFont val="宋体"/>
        <family val="3"/>
        <charset val="134"/>
      </rPr>
      <t>年度</t>
    </r>
  </si>
  <si>
    <r>
      <rPr>
        <b/>
        <sz val="10"/>
        <rFont val="宋体"/>
        <family val="3"/>
        <charset val="134"/>
      </rPr>
      <t>一、经营活动产生的现金流量：</t>
    </r>
  </si>
  <si>
    <r>
      <rPr>
        <sz val="10"/>
        <rFont val="Arial Narrow"/>
        <family val="2"/>
      </rPr>
      <t xml:space="preserve">    </t>
    </r>
    <r>
      <rPr>
        <sz val="10"/>
        <rFont val="宋体"/>
        <family val="3"/>
        <charset val="134"/>
      </rPr>
      <t>销售商品、提供劳务收到的现金</t>
    </r>
  </si>
  <si>
    <r>
      <rPr>
        <sz val="10"/>
        <rFont val="Arial Narrow"/>
        <family val="2"/>
      </rPr>
      <t xml:space="preserve">    </t>
    </r>
    <r>
      <rPr>
        <sz val="10"/>
        <rFont val="宋体"/>
        <family val="3"/>
        <charset val="134"/>
      </rPr>
      <t>收到的税费返还</t>
    </r>
  </si>
  <si>
    <r>
      <rPr>
        <sz val="10"/>
        <rFont val="Arial Narrow"/>
        <family val="2"/>
      </rPr>
      <t xml:space="preserve">    </t>
    </r>
    <r>
      <rPr>
        <sz val="10"/>
        <rFont val="宋体"/>
        <family val="3"/>
        <charset val="134"/>
      </rPr>
      <t>收到其他与经营活动有关的现金</t>
    </r>
  </si>
  <si>
    <r>
      <rPr>
        <sz val="10"/>
        <rFont val="Arial Narrow"/>
        <family val="2"/>
      </rPr>
      <t xml:space="preserve">      </t>
    </r>
    <r>
      <rPr>
        <sz val="10"/>
        <rFont val="宋体"/>
        <family val="3"/>
        <charset val="134"/>
      </rPr>
      <t>经营活动现金流入小计</t>
    </r>
  </si>
  <si>
    <r>
      <rPr>
        <sz val="10"/>
        <rFont val="Arial Narrow"/>
        <family val="2"/>
      </rPr>
      <t xml:space="preserve">    </t>
    </r>
    <r>
      <rPr>
        <sz val="10"/>
        <rFont val="宋体"/>
        <family val="3"/>
        <charset val="134"/>
      </rPr>
      <t>购买商品、接受劳务支付的现金</t>
    </r>
  </si>
  <si>
    <r>
      <rPr>
        <sz val="10"/>
        <rFont val="Arial Narrow"/>
        <family val="2"/>
      </rPr>
      <t xml:space="preserve">    </t>
    </r>
    <r>
      <rPr>
        <sz val="10"/>
        <rFont val="宋体"/>
        <family val="3"/>
        <charset val="134"/>
      </rPr>
      <t>支付给职工以及为职工支付的现金</t>
    </r>
  </si>
  <si>
    <r>
      <rPr>
        <sz val="10"/>
        <rFont val="Arial Narrow"/>
        <family val="2"/>
      </rPr>
      <t xml:space="preserve">    </t>
    </r>
    <r>
      <rPr>
        <sz val="10"/>
        <rFont val="宋体"/>
        <family val="3"/>
        <charset val="134"/>
      </rPr>
      <t>支付的各项税费</t>
    </r>
  </si>
  <si>
    <r>
      <rPr>
        <sz val="10"/>
        <rFont val="Arial Narrow"/>
        <family val="2"/>
      </rPr>
      <t xml:space="preserve">    </t>
    </r>
    <r>
      <rPr>
        <sz val="10"/>
        <rFont val="宋体"/>
        <family val="3"/>
        <charset val="134"/>
      </rPr>
      <t>支付其他与经营活动有关的现金</t>
    </r>
  </si>
  <si>
    <r>
      <rPr>
        <sz val="10"/>
        <rFont val="Arial Narrow"/>
        <family val="2"/>
      </rPr>
      <t xml:space="preserve">      </t>
    </r>
    <r>
      <rPr>
        <sz val="10"/>
        <rFont val="宋体"/>
        <family val="3"/>
        <charset val="134"/>
      </rPr>
      <t>经营活动现金流出小计</t>
    </r>
  </si>
  <si>
    <r>
      <rPr>
        <b/>
        <sz val="10"/>
        <rFont val="Arial Narrow"/>
        <family val="2"/>
      </rPr>
      <t xml:space="preserve">       </t>
    </r>
    <r>
      <rPr>
        <b/>
        <sz val="10"/>
        <rFont val="宋体"/>
        <family val="3"/>
        <charset val="134"/>
      </rPr>
      <t>经营活动产生的现金流量净额</t>
    </r>
  </si>
  <si>
    <r>
      <rPr>
        <b/>
        <sz val="10"/>
        <rFont val="宋体"/>
        <family val="3"/>
        <charset val="134"/>
      </rPr>
      <t>二、投资活动产生的现金流量：</t>
    </r>
  </si>
  <si>
    <r>
      <rPr>
        <sz val="10"/>
        <rFont val="Arial Narrow"/>
        <family val="2"/>
      </rPr>
      <t xml:space="preserve">    </t>
    </r>
    <r>
      <rPr>
        <sz val="10"/>
        <rFont val="宋体"/>
        <family val="3"/>
        <charset val="134"/>
      </rPr>
      <t>收回投资收到的现金</t>
    </r>
  </si>
  <si>
    <r>
      <rPr>
        <sz val="10"/>
        <rFont val="Arial Narrow"/>
        <family val="2"/>
      </rPr>
      <t xml:space="preserve">    </t>
    </r>
    <r>
      <rPr>
        <sz val="10"/>
        <rFont val="宋体"/>
        <family val="3"/>
        <charset val="134"/>
      </rPr>
      <t>取得投资收益收到的现金</t>
    </r>
  </si>
  <si>
    <r>
      <rPr>
        <sz val="10"/>
        <rFont val="Arial Narrow"/>
        <family val="2"/>
      </rPr>
      <t xml:space="preserve">    </t>
    </r>
    <r>
      <rPr>
        <sz val="10"/>
        <rFont val="宋体"/>
        <family val="3"/>
        <charset val="134"/>
      </rPr>
      <t xml:space="preserve">处置固定资产、无形资产和其他长期资产收回的
</t>
    </r>
    <r>
      <rPr>
        <sz val="10"/>
        <rFont val="Arial Narrow"/>
        <family val="2"/>
      </rPr>
      <t xml:space="preserve">    </t>
    </r>
    <r>
      <rPr>
        <sz val="10"/>
        <rFont val="宋体"/>
        <family val="3"/>
        <charset val="134"/>
      </rPr>
      <t>现金净额</t>
    </r>
  </si>
  <si>
    <r>
      <rPr>
        <sz val="10"/>
        <rFont val="Arial Narrow"/>
        <family val="2"/>
      </rPr>
      <t xml:space="preserve">    </t>
    </r>
    <r>
      <rPr>
        <sz val="10"/>
        <rFont val="宋体"/>
        <family val="3"/>
        <charset val="134"/>
      </rPr>
      <t>处置子公司及其他营业单位收到的现金净额</t>
    </r>
  </si>
  <si>
    <r>
      <rPr>
        <sz val="10"/>
        <rFont val="Arial Narrow"/>
        <family val="2"/>
      </rPr>
      <t xml:space="preserve">    </t>
    </r>
    <r>
      <rPr>
        <sz val="10"/>
        <rFont val="宋体"/>
        <family val="3"/>
        <charset val="134"/>
      </rPr>
      <t>收到其他与投资活动有关的现金</t>
    </r>
  </si>
  <si>
    <r>
      <rPr>
        <sz val="10"/>
        <rFont val="Arial Narrow"/>
        <family val="2"/>
      </rPr>
      <t xml:space="preserve">      </t>
    </r>
    <r>
      <rPr>
        <sz val="10"/>
        <rFont val="宋体"/>
        <family val="3"/>
        <charset val="134"/>
      </rPr>
      <t>投资活动现金流入小计</t>
    </r>
  </si>
  <si>
    <r>
      <rPr>
        <sz val="10"/>
        <rFont val="Arial Narrow"/>
        <family val="2"/>
      </rPr>
      <t xml:space="preserve">     </t>
    </r>
    <r>
      <rPr>
        <sz val="10"/>
        <rFont val="宋体"/>
        <family val="3"/>
        <charset val="134"/>
      </rPr>
      <t>购置固定资产、无形资产和其他长期资产支付的现金</t>
    </r>
    <r>
      <rPr>
        <sz val="10"/>
        <rFont val="Arial Narrow"/>
        <family val="2"/>
      </rPr>
      <t xml:space="preserve"> </t>
    </r>
  </si>
  <si>
    <r>
      <rPr>
        <sz val="10"/>
        <rFont val="Arial Narrow"/>
        <family val="2"/>
      </rPr>
      <t xml:space="preserve">    </t>
    </r>
    <r>
      <rPr>
        <sz val="10"/>
        <rFont val="宋体"/>
        <family val="3"/>
        <charset val="134"/>
      </rPr>
      <t>投资支付的现金</t>
    </r>
  </si>
  <si>
    <r>
      <rPr>
        <sz val="10"/>
        <rFont val="Arial Narrow"/>
        <family val="2"/>
      </rPr>
      <t xml:space="preserve">    </t>
    </r>
    <r>
      <rPr>
        <sz val="10"/>
        <rFont val="宋体"/>
        <family val="3"/>
        <charset val="134"/>
      </rPr>
      <t>取得子公司及其他营业单位支付的现金净额</t>
    </r>
  </si>
  <si>
    <r>
      <rPr>
        <sz val="10"/>
        <rFont val="Arial Narrow"/>
        <family val="2"/>
      </rPr>
      <t xml:space="preserve">    </t>
    </r>
    <r>
      <rPr>
        <sz val="10"/>
        <rFont val="宋体"/>
        <family val="3"/>
        <charset val="134"/>
      </rPr>
      <t>支付其他与投资活动有关的现金</t>
    </r>
  </si>
  <si>
    <r>
      <rPr>
        <sz val="10"/>
        <rFont val="Arial Narrow"/>
        <family val="2"/>
      </rPr>
      <t xml:space="preserve">      </t>
    </r>
    <r>
      <rPr>
        <sz val="10"/>
        <rFont val="宋体"/>
        <family val="3"/>
        <charset val="134"/>
      </rPr>
      <t>投资活动现金流出小计</t>
    </r>
  </si>
  <si>
    <r>
      <rPr>
        <b/>
        <sz val="10"/>
        <rFont val="Arial Narrow"/>
        <family val="2"/>
      </rPr>
      <t xml:space="preserve">       </t>
    </r>
    <r>
      <rPr>
        <b/>
        <sz val="10"/>
        <rFont val="宋体"/>
        <family val="3"/>
        <charset val="134"/>
      </rPr>
      <t>投资活动产生的现金流量净额</t>
    </r>
  </si>
  <si>
    <r>
      <rPr>
        <b/>
        <sz val="10"/>
        <rFont val="宋体"/>
        <family val="3"/>
        <charset val="134"/>
      </rPr>
      <t>三、筹资活动产生的现金流量：</t>
    </r>
  </si>
  <si>
    <r>
      <rPr>
        <sz val="10"/>
        <rFont val="Arial Narrow"/>
        <family val="2"/>
      </rPr>
      <t xml:space="preserve">    </t>
    </r>
    <r>
      <rPr>
        <sz val="10"/>
        <rFont val="宋体"/>
        <family val="3"/>
        <charset val="134"/>
      </rPr>
      <t>吸收投资收到的现金</t>
    </r>
  </si>
  <si>
    <r>
      <rPr>
        <sz val="10"/>
        <rFont val="Arial Narrow"/>
        <family val="2"/>
      </rPr>
      <t xml:space="preserve">      </t>
    </r>
    <r>
      <rPr>
        <sz val="10"/>
        <rFont val="宋体"/>
        <family val="3"/>
        <charset val="134"/>
      </rPr>
      <t>其中：子公司吸收少数股东权益性投资收到的现金</t>
    </r>
  </si>
  <si>
    <r>
      <rPr>
        <sz val="10"/>
        <rFont val="Arial Narrow"/>
        <family val="2"/>
      </rPr>
      <t xml:space="preserve">    </t>
    </r>
    <r>
      <rPr>
        <sz val="10"/>
        <rFont val="宋体"/>
        <family val="3"/>
        <charset val="134"/>
      </rPr>
      <t>取得借款收到的现金</t>
    </r>
  </si>
  <si>
    <r>
      <rPr>
        <sz val="10"/>
        <rFont val="Arial Narrow"/>
        <family val="2"/>
      </rPr>
      <t xml:space="preserve">    </t>
    </r>
    <r>
      <rPr>
        <sz val="10"/>
        <rFont val="宋体"/>
        <family val="3"/>
        <charset val="134"/>
      </rPr>
      <t>收到其他与筹资活动有关的现金</t>
    </r>
  </si>
  <si>
    <r>
      <rPr>
        <sz val="10"/>
        <rFont val="Arial Narrow"/>
        <family val="2"/>
      </rPr>
      <t xml:space="preserve">      </t>
    </r>
    <r>
      <rPr>
        <sz val="10"/>
        <rFont val="宋体"/>
        <family val="3"/>
        <charset val="134"/>
      </rPr>
      <t>筹资活动现金流入小计</t>
    </r>
  </si>
  <si>
    <r>
      <rPr>
        <sz val="10"/>
        <rFont val="Arial Narrow"/>
        <family val="2"/>
      </rPr>
      <t xml:space="preserve">    </t>
    </r>
    <r>
      <rPr>
        <sz val="10"/>
        <rFont val="宋体"/>
        <family val="3"/>
        <charset val="134"/>
      </rPr>
      <t>偿还债务支付的现金</t>
    </r>
  </si>
  <si>
    <r>
      <rPr>
        <sz val="10"/>
        <rFont val="Arial Narrow"/>
        <family val="2"/>
      </rPr>
      <t xml:space="preserve">    </t>
    </r>
    <r>
      <rPr>
        <sz val="10"/>
        <rFont val="宋体"/>
        <family val="3"/>
        <charset val="134"/>
      </rPr>
      <t>分配股利、利润或偿付利息支付的现金</t>
    </r>
  </si>
  <si>
    <r>
      <rPr>
        <sz val="10"/>
        <rFont val="Arial Narrow"/>
        <family val="2"/>
      </rPr>
      <t xml:space="preserve">      </t>
    </r>
    <r>
      <rPr>
        <sz val="10"/>
        <rFont val="宋体"/>
        <family val="3"/>
        <charset val="134"/>
      </rPr>
      <t>其中：子公司支付少数股东的现金股利</t>
    </r>
  </si>
  <si>
    <r>
      <rPr>
        <sz val="10"/>
        <rFont val="Arial Narrow"/>
        <family val="2"/>
      </rPr>
      <t xml:space="preserve">    </t>
    </r>
    <r>
      <rPr>
        <sz val="10"/>
        <rFont val="宋体"/>
        <family val="3"/>
        <charset val="134"/>
      </rPr>
      <t>支付其他与筹资活动有关的现金</t>
    </r>
  </si>
  <si>
    <r>
      <rPr>
        <sz val="10"/>
        <rFont val="Arial Narrow"/>
        <family val="2"/>
      </rPr>
      <t xml:space="preserve">      </t>
    </r>
    <r>
      <rPr>
        <sz val="10"/>
        <rFont val="宋体"/>
        <family val="3"/>
        <charset val="134"/>
      </rPr>
      <t>其中：子公司减资支付给少数股东的现金</t>
    </r>
  </si>
  <si>
    <r>
      <rPr>
        <sz val="10"/>
        <rFont val="Arial Narrow"/>
        <family val="2"/>
      </rPr>
      <t xml:space="preserve">      </t>
    </r>
    <r>
      <rPr>
        <sz val="10"/>
        <rFont val="宋体"/>
        <family val="3"/>
        <charset val="134"/>
      </rPr>
      <t>筹资活动现金流出小计</t>
    </r>
  </si>
  <si>
    <r>
      <rPr>
        <b/>
        <sz val="10"/>
        <rFont val="Arial Narrow"/>
        <family val="2"/>
      </rPr>
      <t xml:space="preserve">       </t>
    </r>
    <r>
      <rPr>
        <b/>
        <sz val="10"/>
        <rFont val="宋体"/>
        <family val="3"/>
        <charset val="134"/>
      </rPr>
      <t>筹资活动产生的现金流量净额</t>
    </r>
  </si>
  <si>
    <r>
      <rPr>
        <b/>
        <sz val="10"/>
        <rFont val="宋体"/>
        <family val="3"/>
        <charset val="134"/>
      </rPr>
      <t>四、汇率变动对现金及现金等价物的影响</t>
    </r>
  </si>
  <si>
    <r>
      <rPr>
        <b/>
        <sz val="10"/>
        <rFont val="宋体"/>
        <family val="3"/>
        <charset val="134"/>
      </rPr>
      <t>五、现金及现金等价物净增加额</t>
    </r>
  </si>
  <si>
    <r>
      <rPr>
        <sz val="10"/>
        <rFont val="Arial Narrow"/>
        <family val="2"/>
      </rPr>
      <t xml:space="preserve">    </t>
    </r>
    <r>
      <rPr>
        <sz val="10"/>
        <rFont val="宋体"/>
        <family val="3"/>
        <charset val="134"/>
      </rPr>
      <t>加：期初现金及现金等价物余额</t>
    </r>
  </si>
  <si>
    <r>
      <rPr>
        <b/>
        <sz val="10"/>
        <rFont val="宋体"/>
        <family val="3"/>
        <charset val="134"/>
      </rPr>
      <t>六、期末现金及现金等价物余额</t>
    </r>
  </si>
  <si>
    <r>
      <rPr>
        <sz val="10"/>
        <rFont val="Arial Narrow"/>
        <family val="2"/>
      </rPr>
      <t xml:space="preserve">          </t>
    </r>
    <r>
      <rPr>
        <sz val="10"/>
        <rFont val="宋体"/>
        <family val="3"/>
        <charset val="134"/>
      </rPr>
      <t>公司会计机构负责人：</t>
    </r>
  </si>
  <si>
    <r>
      <rPr>
        <b/>
        <sz val="16"/>
        <rFont val="宋体"/>
        <family val="3"/>
        <charset val="134"/>
      </rPr>
      <t>合并股东（或所有者）权益变动表</t>
    </r>
  </si>
  <si>
    <r>
      <rPr>
        <sz val="12"/>
        <rFont val="宋体"/>
        <family val="3"/>
        <charset val="134"/>
      </rPr>
      <t>单位：人民币元</t>
    </r>
  </si>
  <si>
    <r>
      <rPr>
        <b/>
        <sz val="12"/>
        <rFont val="宋体"/>
        <family val="3"/>
        <charset val="134"/>
      </rPr>
      <t>项</t>
    </r>
    <r>
      <rPr>
        <b/>
        <sz val="12"/>
        <rFont val="Arial Narrow"/>
        <family val="2"/>
      </rPr>
      <t xml:space="preserve">  </t>
    </r>
    <r>
      <rPr>
        <b/>
        <sz val="12"/>
        <rFont val="宋体"/>
        <family val="3"/>
        <charset val="134"/>
      </rPr>
      <t>目</t>
    </r>
  </si>
  <si>
    <r>
      <rPr>
        <b/>
        <sz val="12"/>
        <rFont val="宋体"/>
        <family val="3"/>
        <charset val="134"/>
      </rPr>
      <t>归属于母公司股东权益</t>
    </r>
  </si>
  <si>
    <r>
      <rPr>
        <b/>
        <sz val="12"/>
        <rFont val="宋体"/>
        <family val="3"/>
        <charset val="134"/>
      </rPr>
      <t>少数股东
权益</t>
    </r>
  </si>
  <si>
    <r>
      <rPr>
        <b/>
        <sz val="12"/>
        <rFont val="宋体"/>
        <family val="3"/>
        <charset val="134"/>
      </rPr>
      <t>股东（或所有者）权益
合计</t>
    </r>
  </si>
  <si>
    <r>
      <rPr>
        <b/>
        <sz val="12"/>
        <rFont val="宋体"/>
        <family val="3"/>
        <charset val="134"/>
      </rPr>
      <t>股本</t>
    </r>
  </si>
  <si>
    <r>
      <rPr>
        <b/>
        <sz val="12"/>
        <rFont val="宋体"/>
        <family val="3"/>
        <charset val="134"/>
      </rPr>
      <t>其他权益工具</t>
    </r>
    <r>
      <rPr>
        <b/>
        <strike/>
        <sz val="12"/>
        <color rgb="FFFF0000"/>
        <rFont val="宋体"/>
        <family val="3"/>
        <charset val="134"/>
      </rPr>
      <t>（不适用的删除）</t>
    </r>
  </si>
  <si>
    <r>
      <rPr>
        <b/>
        <sz val="12"/>
        <rFont val="宋体"/>
        <family val="3"/>
        <charset val="134"/>
      </rPr>
      <t>资本公积</t>
    </r>
  </si>
  <si>
    <r>
      <rPr>
        <b/>
        <sz val="12"/>
        <rFont val="宋体"/>
        <family val="3"/>
        <charset val="134"/>
      </rPr>
      <t>减：库存股</t>
    </r>
  </si>
  <si>
    <r>
      <rPr>
        <b/>
        <sz val="12"/>
        <rFont val="宋体"/>
        <family val="3"/>
        <charset val="134"/>
      </rPr>
      <t>其他综合收益</t>
    </r>
  </si>
  <si>
    <r>
      <rPr>
        <b/>
        <sz val="12"/>
        <rFont val="宋体"/>
        <family val="3"/>
        <charset val="134"/>
      </rPr>
      <t>专项储备</t>
    </r>
  </si>
  <si>
    <r>
      <rPr>
        <b/>
        <sz val="12"/>
        <rFont val="宋体"/>
        <family val="3"/>
        <charset val="134"/>
      </rPr>
      <t>盈余公积</t>
    </r>
  </si>
  <si>
    <r>
      <rPr>
        <b/>
        <sz val="12"/>
        <rFont val="宋体"/>
        <family val="3"/>
        <charset val="134"/>
      </rPr>
      <t>未分配利润</t>
    </r>
  </si>
  <si>
    <r>
      <rPr>
        <b/>
        <sz val="12"/>
        <rFont val="宋体"/>
        <family val="3"/>
        <charset val="134"/>
      </rPr>
      <t>其他</t>
    </r>
  </si>
  <si>
    <r>
      <rPr>
        <b/>
        <sz val="12"/>
        <rFont val="宋体"/>
        <family val="3"/>
        <charset val="134"/>
      </rPr>
      <t>优先股</t>
    </r>
  </si>
  <si>
    <r>
      <rPr>
        <b/>
        <sz val="12"/>
        <rFont val="宋体"/>
        <family val="3"/>
        <charset val="134"/>
      </rPr>
      <t>永续债</t>
    </r>
  </si>
  <si>
    <r>
      <rPr>
        <b/>
        <sz val="12"/>
        <rFont val="宋体"/>
        <family val="3"/>
        <charset val="134"/>
      </rPr>
      <t>一、上年年末余额</t>
    </r>
  </si>
  <si>
    <r>
      <rPr>
        <sz val="12"/>
        <rFont val="Arial Narrow"/>
        <family val="2"/>
      </rPr>
      <t xml:space="preserve">  </t>
    </r>
    <r>
      <rPr>
        <sz val="12"/>
        <rFont val="宋体"/>
        <family val="3"/>
        <charset val="134"/>
      </rPr>
      <t>加：会计政策变更</t>
    </r>
  </si>
  <si>
    <t>——</t>
  </si>
  <si>
    <r>
      <rPr>
        <sz val="12"/>
        <rFont val="Arial Narrow"/>
        <family val="2"/>
      </rPr>
      <t xml:space="preserve">      </t>
    </r>
    <r>
      <rPr>
        <sz val="12"/>
        <rFont val="宋体"/>
        <family val="3"/>
        <charset val="134"/>
      </rPr>
      <t>前期差错更正</t>
    </r>
  </si>
  <si>
    <r>
      <rPr>
        <sz val="12"/>
        <rFont val="Arial Narrow"/>
        <family val="2"/>
      </rPr>
      <t xml:space="preserve">      </t>
    </r>
    <r>
      <rPr>
        <sz val="12"/>
        <rFont val="宋体"/>
        <family val="3"/>
        <charset val="134"/>
      </rPr>
      <t>其他</t>
    </r>
  </si>
  <si>
    <r>
      <rPr>
        <b/>
        <sz val="12"/>
        <rFont val="宋体"/>
        <family val="3"/>
        <charset val="134"/>
      </rPr>
      <t>二、本年年初余额</t>
    </r>
  </si>
  <si>
    <r>
      <rPr>
        <b/>
        <sz val="12"/>
        <rFont val="宋体"/>
        <family val="3"/>
        <charset val="134"/>
      </rPr>
      <t>三、本年增减变动金额（减少以</t>
    </r>
    <r>
      <rPr>
        <b/>
        <sz val="12"/>
        <rFont val="Arial Narrow"/>
        <family val="2"/>
      </rPr>
      <t>“-”</t>
    </r>
    <r>
      <rPr>
        <b/>
        <sz val="12"/>
        <rFont val="宋体"/>
        <family val="3"/>
        <charset val="134"/>
      </rPr>
      <t>号填列）</t>
    </r>
  </si>
  <si>
    <r>
      <rPr>
        <sz val="12"/>
        <rFont val="宋体"/>
        <family val="3"/>
        <charset val="134"/>
      </rPr>
      <t>（一）综合收益总额</t>
    </r>
  </si>
  <si>
    <r>
      <rPr>
        <sz val="12"/>
        <rFont val="宋体"/>
        <family val="3"/>
        <charset val="134"/>
      </rPr>
      <t>（二）股东（或所有者）投入和减少资本</t>
    </r>
  </si>
  <si>
    <r>
      <rPr>
        <sz val="12"/>
        <rFont val="Arial Narrow"/>
        <family val="2"/>
      </rPr>
      <t xml:space="preserve"> 1</t>
    </r>
    <r>
      <rPr>
        <sz val="12"/>
        <rFont val="宋体"/>
        <family val="3"/>
        <charset val="134"/>
      </rPr>
      <t>．股东投入资本</t>
    </r>
  </si>
  <si>
    <r>
      <rPr>
        <sz val="12"/>
        <rFont val="Arial Narrow"/>
        <family val="2"/>
      </rPr>
      <t xml:space="preserve"> 2.  </t>
    </r>
    <r>
      <rPr>
        <sz val="12"/>
        <rFont val="宋体"/>
        <family val="3"/>
        <charset val="134"/>
      </rPr>
      <t>其他权益工具持有者投入资本</t>
    </r>
    <r>
      <rPr>
        <strike/>
        <sz val="12"/>
        <color rgb="FFFF0000"/>
        <rFont val="宋体"/>
        <family val="3"/>
        <charset val="134"/>
      </rPr>
      <t>（不适用的删除）</t>
    </r>
  </si>
  <si>
    <r>
      <rPr>
        <sz val="12"/>
        <rFont val="Arial Narrow"/>
        <family val="2"/>
      </rPr>
      <t xml:space="preserve"> 3</t>
    </r>
    <r>
      <rPr>
        <sz val="12"/>
        <rFont val="宋体"/>
        <family val="3"/>
        <charset val="134"/>
      </rPr>
      <t>．股份支付计入股东权益的金额</t>
    </r>
  </si>
  <si>
    <r>
      <rPr>
        <sz val="12"/>
        <rFont val="Arial Narrow"/>
        <family val="2"/>
      </rPr>
      <t xml:space="preserve"> 4</t>
    </r>
    <r>
      <rPr>
        <sz val="12"/>
        <rFont val="宋体"/>
        <family val="3"/>
        <charset val="134"/>
      </rPr>
      <t>．其他</t>
    </r>
  </si>
  <si>
    <r>
      <rPr>
        <sz val="12"/>
        <rFont val="宋体"/>
        <family val="3"/>
        <charset val="134"/>
      </rPr>
      <t>（三）利润分配</t>
    </r>
  </si>
  <si>
    <r>
      <rPr>
        <sz val="12"/>
        <rFont val="Arial Narrow"/>
        <family val="2"/>
      </rPr>
      <t xml:space="preserve"> 1</t>
    </r>
    <r>
      <rPr>
        <sz val="12"/>
        <rFont val="宋体"/>
        <family val="3"/>
        <charset val="134"/>
      </rPr>
      <t>．提取盈余公积</t>
    </r>
  </si>
  <si>
    <r>
      <rPr>
        <sz val="12"/>
        <rFont val="Arial Narrow"/>
        <family val="2"/>
      </rPr>
      <t xml:space="preserve"> 2</t>
    </r>
    <r>
      <rPr>
        <sz val="12"/>
        <rFont val="宋体"/>
        <family val="3"/>
        <charset val="134"/>
      </rPr>
      <t>．对股东（或所有者）的分配</t>
    </r>
  </si>
  <si>
    <r>
      <rPr>
        <sz val="12"/>
        <rFont val="Arial Narrow"/>
        <family val="2"/>
      </rPr>
      <t xml:space="preserve"> 3</t>
    </r>
    <r>
      <rPr>
        <sz val="12"/>
        <rFont val="宋体"/>
        <family val="3"/>
        <charset val="134"/>
      </rPr>
      <t>．其他</t>
    </r>
  </si>
  <si>
    <r>
      <rPr>
        <sz val="12"/>
        <rFont val="宋体"/>
        <family val="3"/>
        <charset val="134"/>
      </rPr>
      <t>（四）股东权益内部结转</t>
    </r>
  </si>
  <si>
    <r>
      <rPr>
        <sz val="12"/>
        <rFont val="Arial Narrow"/>
        <family val="2"/>
      </rPr>
      <t xml:space="preserve"> 1</t>
    </r>
    <r>
      <rPr>
        <sz val="12"/>
        <rFont val="宋体"/>
        <family val="3"/>
        <charset val="134"/>
      </rPr>
      <t>．资本公积转增股本（或资本）</t>
    </r>
  </si>
  <si>
    <r>
      <rPr>
        <sz val="12"/>
        <rFont val="Arial Narrow"/>
        <family val="2"/>
      </rPr>
      <t xml:space="preserve"> 2</t>
    </r>
    <r>
      <rPr>
        <sz val="12"/>
        <rFont val="宋体"/>
        <family val="3"/>
        <charset val="134"/>
      </rPr>
      <t>．盈余公积转增股本（或资本）</t>
    </r>
  </si>
  <si>
    <r>
      <rPr>
        <sz val="12"/>
        <rFont val="Arial Narrow"/>
        <family val="2"/>
      </rPr>
      <t xml:space="preserve"> 3</t>
    </r>
    <r>
      <rPr>
        <sz val="12"/>
        <rFont val="宋体"/>
        <family val="3"/>
        <charset val="134"/>
      </rPr>
      <t>．盈余公积弥补亏损</t>
    </r>
  </si>
  <si>
    <r>
      <rPr>
        <sz val="12"/>
        <rFont val="Arial Narrow"/>
        <family val="2"/>
      </rPr>
      <t xml:space="preserve"> 4.  </t>
    </r>
    <r>
      <rPr>
        <sz val="12"/>
        <rFont val="宋体"/>
        <family val="3"/>
        <charset val="134"/>
      </rPr>
      <t>设定受益计划变动额结转留存收益</t>
    </r>
    <r>
      <rPr>
        <strike/>
        <sz val="12"/>
        <color rgb="FFFF0000"/>
        <rFont val="宋体"/>
        <family val="3"/>
        <charset val="134"/>
      </rPr>
      <t>（不适用的删除）</t>
    </r>
  </si>
  <si>
    <r>
      <rPr>
        <sz val="12"/>
        <rFont val="宋体"/>
        <family val="3"/>
        <charset val="134"/>
      </rPr>
      <t>（五）专项储备</t>
    </r>
  </si>
  <si>
    <r>
      <rPr>
        <sz val="12"/>
        <rFont val="Arial Narrow"/>
        <family val="2"/>
      </rPr>
      <t xml:space="preserve"> 1</t>
    </r>
    <r>
      <rPr>
        <sz val="12"/>
        <rFont val="宋体"/>
        <family val="3"/>
        <charset val="134"/>
      </rPr>
      <t>．本期提取</t>
    </r>
  </si>
  <si>
    <r>
      <rPr>
        <sz val="12"/>
        <rFont val="Arial Narrow"/>
        <family val="2"/>
      </rPr>
      <t xml:space="preserve"> 2</t>
    </r>
    <r>
      <rPr>
        <sz val="12"/>
        <rFont val="宋体"/>
        <family val="3"/>
        <charset val="134"/>
      </rPr>
      <t>．本期使用（以负号填列）</t>
    </r>
  </si>
  <si>
    <r>
      <rPr>
        <sz val="12"/>
        <rFont val="宋体"/>
        <family val="3"/>
        <charset val="134"/>
      </rPr>
      <t>（六）其他</t>
    </r>
  </si>
  <si>
    <r>
      <rPr>
        <sz val="12"/>
        <rFont val="宋体"/>
        <family val="3"/>
        <charset val="134"/>
      </rPr>
      <t>备忘录第</t>
    </r>
    <r>
      <rPr>
        <sz val="12"/>
        <rFont val="Arial Narrow"/>
        <family val="2"/>
      </rPr>
      <t>3</t>
    </r>
    <r>
      <rPr>
        <sz val="12"/>
        <rFont val="宋体"/>
        <family val="3"/>
        <charset val="134"/>
      </rPr>
      <t>号二、</t>
    </r>
    <r>
      <rPr>
        <sz val="12"/>
        <rFont val="Arial Narrow"/>
        <family val="2"/>
      </rPr>
      <t>6</t>
    </r>
  </si>
  <si>
    <r>
      <rPr>
        <b/>
        <sz val="12"/>
        <rFont val="宋体"/>
        <family val="3"/>
        <charset val="134"/>
      </rPr>
      <t>四、本年年末余额</t>
    </r>
  </si>
  <si>
    <r>
      <rPr>
        <sz val="12"/>
        <rFont val="宋体"/>
        <family val="3"/>
        <charset val="134"/>
      </rPr>
      <t>公司法定代表人：</t>
    </r>
    <r>
      <rPr>
        <sz val="12"/>
        <rFont val="Arial Narrow"/>
        <family val="2"/>
      </rPr>
      <t xml:space="preserve">                                                                           </t>
    </r>
  </si>
  <si>
    <r>
      <rPr>
        <sz val="12"/>
        <rFont val="宋体"/>
        <family val="3"/>
        <charset val="134"/>
      </rPr>
      <t>主管会计工作的公司负责人：</t>
    </r>
    <r>
      <rPr>
        <sz val="12"/>
        <rFont val="Arial Narrow"/>
        <family val="2"/>
      </rPr>
      <t xml:space="preserve">         </t>
    </r>
  </si>
  <si>
    <r>
      <rPr>
        <sz val="12"/>
        <rFont val="宋体"/>
        <family val="3"/>
        <charset val="134"/>
      </rPr>
      <t>公司会计机构负责人：</t>
    </r>
  </si>
  <si>
    <r>
      <rPr>
        <b/>
        <sz val="12"/>
        <rFont val="宋体"/>
        <family val="3"/>
        <charset val="134"/>
      </rPr>
      <t>准则差异调整</t>
    </r>
    <r>
      <rPr>
        <b/>
        <sz val="12"/>
        <rFont val="Arial Narrow"/>
        <family val="2"/>
      </rPr>
      <t>-</t>
    </r>
    <r>
      <rPr>
        <b/>
        <sz val="12"/>
        <rFont val="宋体"/>
        <family val="3"/>
        <charset val="134"/>
      </rPr>
      <t>政策调整</t>
    </r>
  </si>
  <si>
    <r>
      <rPr>
        <b/>
        <sz val="12"/>
        <rFont val="宋体"/>
        <family val="3"/>
        <charset val="134"/>
      </rPr>
      <t>准则差异调整</t>
    </r>
    <r>
      <rPr>
        <b/>
        <sz val="12"/>
        <rFont val="Arial Narrow"/>
        <family val="2"/>
      </rPr>
      <t>-</t>
    </r>
    <r>
      <rPr>
        <b/>
        <sz val="12"/>
        <rFont val="宋体"/>
        <family val="3"/>
        <charset val="134"/>
      </rPr>
      <t>列报调整</t>
    </r>
  </si>
  <si>
    <r>
      <rPr>
        <b/>
        <sz val="12"/>
        <rFont val="宋体"/>
        <family val="3"/>
        <charset val="134"/>
      </rPr>
      <t>准则差异调节表</t>
    </r>
  </si>
  <si>
    <t>HKFRS</t>
  </si>
  <si>
    <r>
      <rPr>
        <b/>
        <sz val="10"/>
        <rFont val="宋体"/>
        <family val="3"/>
        <charset val="134"/>
      </rPr>
      <t>准则列报调整</t>
    </r>
  </si>
  <si>
    <r>
      <rPr>
        <b/>
        <sz val="10"/>
        <rFont val="宋体"/>
        <family val="3"/>
        <charset val="134"/>
      </rPr>
      <t>准则政策调整调整</t>
    </r>
  </si>
  <si>
    <t>PRC</t>
  </si>
  <si>
    <r>
      <rPr>
        <b/>
        <sz val="10"/>
        <rFont val="宋体"/>
        <family val="3"/>
        <charset val="134"/>
      </rPr>
      <t>调整事项</t>
    </r>
  </si>
  <si>
    <r>
      <rPr>
        <b/>
        <sz val="10"/>
        <rFont val="宋体"/>
        <family val="3"/>
        <charset val="134"/>
      </rPr>
      <t>一级科目</t>
    </r>
  </si>
  <si>
    <r>
      <rPr>
        <b/>
        <sz val="10"/>
        <rFont val="宋体"/>
        <family val="3"/>
        <charset val="134"/>
      </rPr>
      <t>二级科目</t>
    </r>
  </si>
  <si>
    <r>
      <rPr>
        <b/>
        <sz val="10"/>
        <rFont val="宋体"/>
        <family val="3"/>
        <charset val="134"/>
      </rPr>
      <t>借方金额</t>
    </r>
  </si>
  <si>
    <r>
      <rPr>
        <b/>
        <sz val="10"/>
        <rFont val="宋体"/>
        <family val="3"/>
        <charset val="134"/>
      </rPr>
      <t>贷方金额</t>
    </r>
  </si>
  <si>
    <r>
      <rPr>
        <b/>
        <sz val="10"/>
        <rFont val="宋体"/>
        <family val="3"/>
        <charset val="134"/>
      </rPr>
      <t>备注</t>
    </r>
  </si>
  <si>
    <r>
      <rPr>
        <b/>
        <sz val="10"/>
        <rFont val="宋体"/>
        <family val="3"/>
        <charset val="134"/>
      </rPr>
      <t>索引号</t>
    </r>
  </si>
  <si>
    <r>
      <rPr>
        <sz val="10"/>
        <rFont val="宋体"/>
        <family val="3"/>
        <charset val="134"/>
      </rPr>
      <t>流动资产</t>
    </r>
    <r>
      <rPr>
        <sz val="10"/>
        <rFont val="Arial Narrow"/>
        <family val="2"/>
      </rPr>
      <t>:</t>
    </r>
  </si>
  <si>
    <r>
      <rPr>
        <sz val="10"/>
        <rFont val="宋体"/>
        <family val="3"/>
        <charset val="134"/>
      </rPr>
      <t>其他应收款</t>
    </r>
  </si>
  <si>
    <r>
      <rPr>
        <sz val="10"/>
        <rFont val="宋体"/>
        <family val="3"/>
        <charset val="134"/>
      </rPr>
      <t>其他应收款坏帐准备</t>
    </r>
  </si>
  <si>
    <r>
      <rPr>
        <sz val="10"/>
        <color indexed="10"/>
        <rFont val="宋体"/>
        <family val="3"/>
        <charset val="134"/>
      </rPr>
      <t>其他应收款净值</t>
    </r>
  </si>
  <si>
    <r>
      <rPr>
        <sz val="10"/>
        <color indexed="10"/>
        <rFont val="宋体"/>
        <family val="3"/>
        <charset val="134"/>
      </rPr>
      <t>存货跌价准备</t>
    </r>
  </si>
  <si>
    <r>
      <rPr>
        <sz val="10"/>
        <rFont val="宋体"/>
        <family val="3"/>
        <charset val="134"/>
      </rPr>
      <t>存货净值</t>
    </r>
  </si>
  <si>
    <t>持有待售资产</t>
  </si>
  <si>
    <r>
      <rPr>
        <sz val="10"/>
        <rFont val="宋体"/>
        <family val="3"/>
        <charset val="134"/>
      </rPr>
      <t>待摊费用</t>
    </r>
  </si>
  <si>
    <r>
      <rPr>
        <sz val="10"/>
        <rFont val="宋体"/>
        <family val="3"/>
        <charset val="134"/>
      </rPr>
      <t>内部应收</t>
    </r>
  </si>
  <si>
    <r>
      <rPr>
        <sz val="10"/>
        <rFont val="宋体"/>
        <family val="3"/>
        <charset val="134"/>
      </rPr>
      <t>材料采购</t>
    </r>
  </si>
  <si>
    <r>
      <rPr>
        <sz val="10"/>
        <rFont val="宋体"/>
        <family val="3"/>
        <charset val="134"/>
      </rPr>
      <t>公司间应收</t>
    </r>
  </si>
  <si>
    <r>
      <rPr>
        <sz val="10"/>
        <rFont val="宋体"/>
        <family val="3"/>
        <charset val="134"/>
      </rPr>
      <t>应收下级单位利润</t>
    </r>
  </si>
  <si>
    <r>
      <rPr>
        <sz val="10"/>
        <rFont val="宋体"/>
        <family val="3"/>
        <charset val="134"/>
      </rPr>
      <t>应收采购款</t>
    </r>
  </si>
  <si>
    <r>
      <rPr>
        <sz val="10"/>
        <rFont val="宋体"/>
        <family val="3"/>
        <charset val="134"/>
      </rPr>
      <t>应收采购款坏帐准备</t>
    </r>
  </si>
  <si>
    <r>
      <rPr>
        <sz val="10"/>
        <color indexed="10"/>
        <rFont val="宋体"/>
        <family val="3"/>
        <charset val="134"/>
      </rPr>
      <t>应收采购款净额</t>
    </r>
  </si>
  <si>
    <r>
      <rPr>
        <sz val="10"/>
        <rFont val="宋体"/>
        <family val="3"/>
        <charset val="134"/>
      </rPr>
      <t>空行</t>
    </r>
  </si>
  <si>
    <r>
      <rPr>
        <sz val="10"/>
        <rFont val="宋体"/>
        <family val="3"/>
        <charset val="134"/>
      </rPr>
      <t>流动资产合计</t>
    </r>
  </si>
  <si>
    <r>
      <rPr>
        <sz val="10"/>
        <rFont val="宋体"/>
        <family val="3"/>
        <charset val="134"/>
      </rPr>
      <t>非流动资产</t>
    </r>
  </si>
  <si>
    <r>
      <rPr>
        <sz val="10"/>
        <rFont val="宋体"/>
        <family val="3"/>
        <charset val="134"/>
      </rPr>
      <t>长期投资减值准备</t>
    </r>
  </si>
  <si>
    <r>
      <rPr>
        <sz val="10"/>
        <color indexed="10"/>
        <rFont val="宋体"/>
        <family val="3"/>
        <charset val="134"/>
      </rPr>
      <t>长期股权投资净值</t>
    </r>
  </si>
  <si>
    <r>
      <rPr>
        <sz val="10"/>
        <rFont val="宋体"/>
        <family val="3"/>
        <charset val="134"/>
      </rPr>
      <t>投资性房地产减值准备</t>
    </r>
  </si>
  <si>
    <r>
      <rPr>
        <sz val="10"/>
        <color indexed="10"/>
        <rFont val="宋体"/>
        <family val="3"/>
        <charset val="134"/>
      </rPr>
      <t>投资行房地产净值</t>
    </r>
  </si>
  <si>
    <r>
      <rPr>
        <sz val="10"/>
        <rFont val="宋体"/>
        <family val="3"/>
        <charset val="134"/>
      </rPr>
      <t>固定资产原价</t>
    </r>
  </si>
  <si>
    <r>
      <rPr>
        <sz val="10"/>
        <rFont val="宋体"/>
        <family val="3"/>
        <charset val="134"/>
      </rPr>
      <t>累计折旧</t>
    </r>
  </si>
  <si>
    <r>
      <rPr>
        <sz val="10"/>
        <color indexed="10"/>
        <rFont val="宋体"/>
        <family val="3"/>
        <charset val="134"/>
      </rPr>
      <t>固定资产净值</t>
    </r>
  </si>
  <si>
    <r>
      <rPr>
        <sz val="10"/>
        <rFont val="宋体"/>
        <family val="3"/>
        <charset val="134"/>
      </rPr>
      <t>固定资产减值准备</t>
    </r>
  </si>
  <si>
    <r>
      <rPr>
        <sz val="10"/>
        <color indexed="10"/>
        <rFont val="宋体"/>
        <family val="3"/>
        <charset val="134"/>
      </rPr>
      <t>固定资产净额</t>
    </r>
  </si>
  <si>
    <r>
      <rPr>
        <sz val="10"/>
        <rFont val="宋体"/>
        <family val="3"/>
        <charset val="134"/>
      </rPr>
      <t>无形资产减值准备</t>
    </r>
  </si>
  <si>
    <r>
      <rPr>
        <sz val="10"/>
        <rFont val="宋体"/>
        <family val="3"/>
        <charset val="134"/>
      </rPr>
      <t>无形资产净值</t>
    </r>
  </si>
  <si>
    <r>
      <rPr>
        <sz val="10"/>
        <rFont val="宋体"/>
        <family val="3"/>
        <charset val="134"/>
      </rPr>
      <t>非流动资产合计</t>
    </r>
  </si>
  <si>
    <r>
      <rPr>
        <sz val="10"/>
        <rFont val="宋体"/>
        <family val="3"/>
        <charset val="134"/>
      </rPr>
      <t>资产总计</t>
    </r>
  </si>
  <si>
    <r>
      <rPr>
        <sz val="12"/>
        <rFont val="宋体"/>
        <family val="3"/>
        <charset val="134"/>
      </rPr>
      <t>准则差异调节表</t>
    </r>
  </si>
  <si>
    <r>
      <rPr>
        <b/>
        <sz val="10"/>
        <rFont val="宋体"/>
        <family val="3"/>
        <charset val="134"/>
      </rPr>
      <t>原报数</t>
    </r>
  </si>
  <si>
    <r>
      <rPr>
        <b/>
        <sz val="10"/>
        <rFont val="宋体"/>
        <family val="3"/>
        <charset val="134"/>
      </rPr>
      <t>准则差异调整</t>
    </r>
  </si>
  <si>
    <r>
      <rPr>
        <b/>
        <sz val="10"/>
        <rFont val="宋体"/>
        <family val="3"/>
        <charset val="134"/>
      </rPr>
      <t>审定数</t>
    </r>
  </si>
  <si>
    <r>
      <rPr>
        <sz val="10"/>
        <rFont val="宋体"/>
        <family val="3"/>
        <charset val="134"/>
      </rPr>
      <t>流动负债</t>
    </r>
    <r>
      <rPr>
        <sz val="10"/>
        <rFont val="Arial Narrow"/>
        <family val="2"/>
      </rPr>
      <t>:</t>
    </r>
  </si>
  <si>
    <t>持有待售负债</t>
  </si>
  <si>
    <r>
      <rPr>
        <sz val="10"/>
        <rFont val="宋体"/>
        <family val="3"/>
        <charset val="134"/>
      </rPr>
      <t>预提费用</t>
    </r>
  </si>
  <si>
    <r>
      <rPr>
        <sz val="10"/>
        <rFont val="宋体"/>
        <family val="3"/>
        <charset val="134"/>
      </rPr>
      <t>内部应付</t>
    </r>
  </si>
  <si>
    <r>
      <rPr>
        <sz val="10"/>
        <rFont val="宋体"/>
        <family val="3"/>
        <charset val="134"/>
      </rPr>
      <t>应计负债</t>
    </r>
  </si>
  <si>
    <r>
      <rPr>
        <sz val="10"/>
        <rFont val="宋体"/>
        <family val="3"/>
        <charset val="134"/>
      </rPr>
      <t>公司间应付</t>
    </r>
  </si>
  <si>
    <r>
      <rPr>
        <sz val="10"/>
        <rFont val="宋体"/>
        <family val="3"/>
        <charset val="134"/>
      </rPr>
      <t>应交上级单位利润</t>
    </r>
  </si>
  <si>
    <r>
      <rPr>
        <sz val="10"/>
        <rFont val="宋体"/>
        <family val="3"/>
        <charset val="134"/>
      </rPr>
      <t>预收采购款</t>
    </r>
  </si>
  <si>
    <r>
      <rPr>
        <sz val="10"/>
        <rFont val="宋体"/>
        <family val="3"/>
        <charset val="134"/>
      </rPr>
      <t>暂估应付款</t>
    </r>
  </si>
  <si>
    <r>
      <rPr>
        <sz val="10"/>
        <rFont val="宋体"/>
        <family val="3"/>
        <charset val="134"/>
      </rPr>
      <t>流动负债合计</t>
    </r>
  </si>
  <si>
    <r>
      <rPr>
        <sz val="10"/>
        <rFont val="宋体"/>
        <family val="3"/>
        <charset val="134"/>
      </rPr>
      <t>非流动负债</t>
    </r>
    <r>
      <rPr>
        <sz val="10"/>
        <rFont val="Arial Narrow"/>
        <family val="2"/>
      </rPr>
      <t>:</t>
    </r>
  </si>
  <si>
    <r>
      <rPr>
        <sz val="10"/>
        <rFont val="宋体"/>
        <family val="3"/>
        <charset val="134"/>
      </rPr>
      <t>专项应付款</t>
    </r>
  </si>
  <si>
    <r>
      <rPr>
        <sz val="10"/>
        <rFont val="宋体"/>
        <family val="3"/>
        <charset val="134"/>
      </rPr>
      <t>非流动负债合计</t>
    </r>
  </si>
  <si>
    <r>
      <rPr>
        <sz val="10"/>
        <rFont val="宋体"/>
        <family val="3"/>
        <charset val="134"/>
      </rPr>
      <t>负债合计</t>
    </r>
  </si>
  <si>
    <r>
      <rPr>
        <sz val="10"/>
        <rFont val="宋体"/>
        <family val="3"/>
        <charset val="134"/>
      </rPr>
      <t>股东权益</t>
    </r>
    <r>
      <rPr>
        <sz val="10"/>
        <rFont val="Arial Narrow"/>
        <family val="2"/>
      </rPr>
      <t>:</t>
    </r>
  </si>
  <si>
    <r>
      <rPr>
        <sz val="10"/>
        <rFont val="宋体"/>
        <family val="3"/>
        <charset val="134"/>
      </rPr>
      <t>其他权益工具</t>
    </r>
  </si>
  <si>
    <r>
      <rPr>
        <sz val="10"/>
        <rFont val="宋体"/>
        <family val="3"/>
        <charset val="134"/>
      </rPr>
      <t>其中：优先股</t>
    </r>
  </si>
  <si>
    <r>
      <rPr>
        <sz val="10"/>
        <rFont val="Arial Narrow"/>
        <family val="2"/>
      </rPr>
      <t xml:space="preserve">             </t>
    </r>
    <r>
      <rPr>
        <sz val="10"/>
        <rFont val="宋体"/>
        <family val="3"/>
        <charset val="134"/>
      </rPr>
      <t>永续债</t>
    </r>
  </si>
  <si>
    <r>
      <rPr>
        <sz val="10"/>
        <rFont val="宋体"/>
        <family val="3"/>
        <charset val="134"/>
      </rPr>
      <t>股东权益合计</t>
    </r>
  </si>
  <si>
    <r>
      <rPr>
        <sz val="10"/>
        <rFont val="宋体"/>
        <family val="3"/>
        <charset val="134"/>
      </rPr>
      <t>负债和股东权益总计</t>
    </r>
  </si>
  <si>
    <r>
      <rPr>
        <sz val="10"/>
        <rFont val="宋体"/>
        <family val="3"/>
        <charset val="134"/>
      </rPr>
      <t>营业收入</t>
    </r>
  </si>
  <si>
    <r>
      <rPr>
        <sz val="10"/>
        <rFont val="宋体"/>
        <family val="3"/>
        <charset val="134"/>
      </rPr>
      <t>营业成本</t>
    </r>
  </si>
  <si>
    <t xml:space="preserve">    其中：利息费用</t>
  </si>
  <si>
    <r>
      <rPr>
        <sz val="10"/>
        <rFont val="Arial Narrow"/>
        <family val="2"/>
      </rPr>
      <t xml:space="preserve">                        </t>
    </r>
    <r>
      <rPr>
        <sz val="10"/>
        <rFont val="宋体"/>
        <family val="3"/>
        <charset val="134"/>
      </rPr>
      <t>利息收入</t>
    </r>
  </si>
  <si>
    <t xml:space="preserve">   投资收益</t>
  </si>
  <si>
    <t xml:space="preserve">    其中：对联营企业和合营企业的投资收益</t>
  </si>
  <si>
    <t xml:space="preserve">   公允价值变动收益</t>
  </si>
  <si>
    <r>
      <rPr>
        <sz val="10"/>
        <rFont val="Arial Narrow"/>
        <family val="2"/>
      </rPr>
      <t xml:space="preserve">         </t>
    </r>
    <r>
      <rPr>
        <sz val="10"/>
        <rFont val="宋体"/>
        <family val="3"/>
        <charset val="134"/>
      </rPr>
      <t>资产处置收益</t>
    </r>
    <r>
      <rPr>
        <sz val="10"/>
        <rFont val="Arial Narrow"/>
        <family val="2"/>
      </rPr>
      <t>(</t>
    </r>
    <r>
      <rPr>
        <sz val="10"/>
        <rFont val="宋体"/>
        <family val="3"/>
        <charset val="134"/>
      </rPr>
      <t>损失以</t>
    </r>
    <r>
      <rPr>
        <sz val="10"/>
        <rFont val="Arial Narrow"/>
        <family val="2"/>
      </rPr>
      <t>“-”</t>
    </r>
    <r>
      <rPr>
        <sz val="10"/>
        <rFont val="宋体"/>
        <family val="3"/>
        <charset val="134"/>
      </rPr>
      <t>号填列）</t>
    </r>
  </si>
  <si>
    <r>
      <rPr>
        <sz val="10"/>
        <rFont val="宋体"/>
        <family val="3"/>
        <charset val="134"/>
      </rPr>
      <t>二、营业利润</t>
    </r>
    <r>
      <rPr>
        <sz val="10"/>
        <rFont val="Arial Narrow"/>
        <family val="2"/>
      </rPr>
      <t>(</t>
    </r>
    <r>
      <rPr>
        <sz val="10"/>
        <rFont val="宋体"/>
        <family val="3"/>
        <charset val="134"/>
      </rPr>
      <t>损失以</t>
    </r>
    <r>
      <rPr>
        <sz val="10"/>
        <rFont val="Arial Narrow"/>
        <family val="2"/>
      </rPr>
      <t>“-”</t>
    </r>
    <r>
      <rPr>
        <sz val="10"/>
        <rFont val="宋体"/>
        <family val="3"/>
        <charset val="134"/>
      </rPr>
      <t>号填列）</t>
    </r>
  </si>
  <si>
    <r>
      <rPr>
        <sz val="10"/>
        <rFont val="宋体"/>
        <family val="3"/>
        <charset val="134"/>
      </rPr>
      <t>三、利润总额</t>
    </r>
    <r>
      <rPr>
        <sz val="10"/>
        <rFont val="Arial Narrow"/>
        <family val="2"/>
      </rPr>
      <t>(</t>
    </r>
    <r>
      <rPr>
        <sz val="10"/>
        <rFont val="宋体"/>
        <family val="3"/>
        <charset val="134"/>
      </rPr>
      <t>损失以</t>
    </r>
    <r>
      <rPr>
        <sz val="10"/>
        <rFont val="Arial Narrow"/>
        <family val="2"/>
      </rPr>
      <t>“-”</t>
    </r>
    <r>
      <rPr>
        <sz val="10"/>
        <rFont val="宋体"/>
        <family val="3"/>
        <charset val="134"/>
      </rPr>
      <t>号填列）</t>
    </r>
  </si>
  <si>
    <r>
      <rPr>
        <sz val="10"/>
        <rFont val="宋体"/>
        <family val="3"/>
        <charset val="134"/>
      </rPr>
      <t>四、净利润</t>
    </r>
    <r>
      <rPr>
        <sz val="10"/>
        <rFont val="Arial Narrow"/>
        <family val="2"/>
      </rPr>
      <t>(</t>
    </r>
    <r>
      <rPr>
        <sz val="10"/>
        <rFont val="宋体"/>
        <family val="3"/>
        <charset val="134"/>
      </rPr>
      <t>损失以</t>
    </r>
    <r>
      <rPr>
        <sz val="10"/>
        <rFont val="Arial Narrow"/>
        <family val="2"/>
      </rPr>
      <t>“-”</t>
    </r>
    <r>
      <rPr>
        <sz val="10"/>
        <rFont val="宋体"/>
        <family val="3"/>
        <charset val="134"/>
      </rPr>
      <t>号填列）</t>
    </r>
  </si>
  <si>
    <t xml:space="preserve">   （一）归属所有者的净利润</t>
  </si>
  <si>
    <t xml:space="preserve">     其中：归属于母公司股东的净利润</t>
  </si>
  <si>
    <t xml:space="preserve">       少数股东损益</t>
  </si>
  <si>
    <t xml:space="preserve">   （二）来自持续经营和终止经营的净利润</t>
  </si>
  <si>
    <t xml:space="preserve">    其中：持续经营净利润（净亏损以“-”号填列）</t>
  </si>
  <si>
    <t xml:space="preserve">                 终止经营净利润（净亏损以“-”号填列）</t>
  </si>
  <si>
    <r>
      <rPr>
        <sz val="10"/>
        <rFont val="宋体"/>
        <family val="3"/>
        <charset val="134"/>
      </rPr>
      <t>年初未分配利润</t>
    </r>
  </si>
  <si>
    <r>
      <rPr>
        <sz val="10"/>
        <rFont val="宋体"/>
        <family val="3"/>
        <charset val="134"/>
      </rPr>
      <t>盈余公积转入</t>
    </r>
  </si>
  <si>
    <r>
      <rPr>
        <sz val="10"/>
        <rFont val="宋体"/>
        <family val="3"/>
        <charset val="134"/>
      </rPr>
      <t>其他转入</t>
    </r>
  </si>
  <si>
    <r>
      <rPr>
        <sz val="10"/>
        <rFont val="宋体"/>
        <family val="3"/>
        <charset val="134"/>
      </rPr>
      <t>五、可供分配的利润</t>
    </r>
  </si>
  <si>
    <r>
      <rPr>
        <sz val="10"/>
        <rFont val="宋体"/>
        <family val="3"/>
        <charset val="134"/>
      </rPr>
      <t>提取法定盈余公积</t>
    </r>
  </si>
  <si>
    <r>
      <rPr>
        <sz val="10"/>
        <rFont val="宋体"/>
        <family val="3"/>
        <charset val="134"/>
      </rPr>
      <t>提取免税基金</t>
    </r>
  </si>
  <si>
    <r>
      <rPr>
        <sz val="10"/>
        <rFont val="宋体"/>
        <family val="3"/>
        <charset val="134"/>
      </rPr>
      <t>其他</t>
    </r>
  </si>
  <si>
    <r>
      <rPr>
        <sz val="10"/>
        <rFont val="宋体"/>
        <family val="3"/>
        <charset val="134"/>
      </rPr>
      <t>六、可供股东分配的利润</t>
    </r>
  </si>
  <si>
    <r>
      <rPr>
        <sz val="10"/>
        <rFont val="宋体"/>
        <family val="3"/>
        <charset val="134"/>
      </rPr>
      <t>应付优先股股利</t>
    </r>
  </si>
  <si>
    <r>
      <rPr>
        <sz val="10"/>
        <rFont val="宋体"/>
        <family val="3"/>
        <charset val="134"/>
      </rPr>
      <t>提取任意盈余公积</t>
    </r>
  </si>
  <si>
    <r>
      <rPr>
        <sz val="10"/>
        <rFont val="宋体"/>
        <family val="3"/>
        <charset val="134"/>
      </rPr>
      <t>已分配普通股股利</t>
    </r>
  </si>
  <si>
    <r>
      <rPr>
        <sz val="10"/>
        <rFont val="宋体"/>
        <family val="3"/>
        <charset val="134"/>
      </rPr>
      <t>转作股本的普通股股利</t>
    </r>
  </si>
  <si>
    <r>
      <rPr>
        <sz val="10"/>
        <rFont val="宋体"/>
        <family val="3"/>
        <charset val="134"/>
      </rPr>
      <t>七、未分配利润</t>
    </r>
  </si>
  <si>
    <t>Balance sheet-HKFRS</t>
  </si>
  <si>
    <t>Company Name</t>
  </si>
  <si>
    <t>Fiscal Year End</t>
  </si>
  <si>
    <r>
      <rPr>
        <sz val="10"/>
        <rFont val="Arial Narrow"/>
        <family val="2"/>
      </rPr>
      <t xml:space="preserve">NON-CURRENT ASSETS </t>
    </r>
    <r>
      <rPr>
        <sz val="10"/>
        <rFont val="宋体"/>
        <family val="3"/>
        <charset val="134"/>
      </rPr>
      <t>：</t>
    </r>
  </si>
  <si>
    <t>Property, plant and equipment</t>
  </si>
  <si>
    <t>Intangible assets</t>
  </si>
  <si>
    <t>Interests in associates</t>
  </si>
  <si>
    <t>TOTAL NON-CURRENT ASSETS</t>
  </si>
  <si>
    <r>
      <rPr>
        <sz val="10"/>
        <rFont val="Arial Narrow"/>
        <family val="2"/>
      </rPr>
      <t>CURRENT ASSETS</t>
    </r>
    <r>
      <rPr>
        <sz val="10"/>
        <rFont val="宋体"/>
        <family val="3"/>
        <charset val="134"/>
      </rPr>
      <t>：</t>
    </r>
  </si>
  <si>
    <t>Inventories</t>
  </si>
  <si>
    <t>Trade receivables</t>
  </si>
  <si>
    <t>Other receivables, deposits and prepayments</t>
  </si>
  <si>
    <t>Amounts due from customers for contract work</t>
  </si>
  <si>
    <t>Short term bank deposits</t>
  </si>
  <si>
    <t>Bank balances and cash</t>
  </si>
  <si>
    <t>TOTAL CURRENT ASSETS</t>
  </si>
  <si>
    <t>TOTAL ASSETS</t>
  </si>
  <si>
    <r>
      <rPr>
        <sz val="10"/>
        <rFont val="Arial Narrow"/>
        <family val="2"/>
      </rPr>
      <t>CURRENT LIABILITIES</t>
    </r>
    <r>
      <rPr>
        <sz val="10"/>
        <rFont val="宋体"/>
        <family val="3"/>
        <charset val="134"/>
      </rPr>
      <t>：</t>
    </r>
  </si>
  <si>
    <t>Trade and bills payables</t>
  </si>
  <si>
    <t>Other payables and accruals</t>
  </si>
  <si>
    <t>Receipts in advance</t>
  </si>
  <si>
    <t>Tax liabilities</t>
  </si>
  <si>
    <t>CURRENT LIABILITIES</t>
  </si>
  <si>
    <r>
      <rPr>
        <sz val="10"/>
        <rFont val="Arial Narrow"/>
        <family val="2"/>
      </rPr>
      <t>NON-CURRENT LIABILITY</t>
    </r>
    <r>
      <rPr>
        <sz val="10"/>
        <rFont val="宋体"/>
        <family val="3"/>
        <charset val="134"/>
      </rPr>
      <t>：</t>
    </r>
  </si>
  <si>
    <t>Deferred taxation</t>
  </si>
  <si>
    <t>TOTAL NON-CURRENT LIABILITY</t>
  </si>
  <si>
    <t>TOTAL LIABILITY</t>
  </si>
  <si>
    <r>
      <rPr>
        <sz val="10"/>
        <rFont val="Arial Narrow"/>
        <family val="2"/>
      </rPr>
      <t>CAPITAL AND RESERVES</t>
    </r>
    <r>
      <rPr>
        <sz val="10"/>
        <rFont val="宋体"/>
        <family val="3"/>
        <charset val="134"/>
      </rPr>
      <t>：</t>
    </r>
  </si>
  <si>
    <t>Share capital</t>
  </si>
  <si>
    <t>Share premium</t>
  </si>
  <si>
    <t>Special reserve</t>
  </si>
  <si>
    <t>Investment revaluation reserve</t>
  </si>
  <si>
    <t>Property revaluation reserve</t>
  </si>
  <si>
    <t>Translation reserve</t>
  </si>
  <si>
    <t>Share options reserve</t>
  </si>
  <si>
    <t>Accumulated profits</t>
  </si>
  <si>
    <t>Equity attributable to equity holders of the Company</t>
  </si>
  <si>
    <t>CHECK</t>
  </si>
  <si>
    <t>Income Statement-HKFRS</t>
  </si>
  <si>
    <t>Turnover</t>
  </si>
  <si>
    <t>Cost of goods sold</t>
  </si>
  <si>
    <t>Cost of services rendered</t>
  </si>
  <si>
    <t>Other income</t>
  </si>
  <si>
    <t>Selling expenses</t>
  </si>
  <si>
    <t>Administrative expenses</t>
  </si>
  <si>
    <t>Finance costs</t>
  </si>
  <si>
    <t>Share of results of associates</t>
  </si>
  <si>
    <t>Profit before taxation</t>
  </si>
  <si>
    <t>Taxation</t>
  </si>
  <si>
    <t>Profit for the year</t>
  </si>
  <si>
    <t>Accumulated profits  beginning of the year</t>
  </si>
  <si>
    <t>Dividends</t>
  </si>
  <si>
    <r>
      <rPr>
        <b/>
        <sz val="12"/>
        <rFont val="宋体"/>
        <family val="3"/>
        <charset val="134"/>
      </rPr>
      <t>集团间交易（销售、采购、费用）</t>
    </r>
  </si>
  <si>
    <r>
      <rPr>
        <b/>
        <sz val="10"/>
        <rFont val="宋体"/>
        <family val="3"/>
        <charset val="134"/>
      </rPr>
      <t>销售交易对象</t>
    </r>
  </si>
  <si>
    <r>
      <rPr>
        <b/>
        <sz val="10"/>
        <rFont val="宋体"/>
        <family val="3"/>
        <charset val="134"/>
      </rPr>
      <t>交易项目</t>
    </r>
  </si>
  <si>
    <r>
      <rPr>
        <b/>
        <sz val="10"/>
        <rFont val="宋体"/>
        <family val="3"/>
        <charset val="134"/>
      </rPr>
      <t>主营业务收入</t>
    </r>
  </si>
  <si>
    <r>
      <rPr>
        <b/>
        <sz val="10"/>
        <rFont val="宋体"/>
        <family val="3"/>
        <charset val="134"/>
      </rPr>
      <t>主营业务成本</t>
    </r>
  </si>
  <si>
    <r>
      <rPr>
        <b/>
        <sz val="10"/>
        <rFont val="宋体"/>
        <family val="3"/>
        <charset val="134"/>
      </rPr>
      <t>其他业务收入</t>
    </r>
  </si>
  <si>
    <r>
      <rPr>
        <b/>
        <sz val="10"/>
        <rFont val="宋体"/>
        <family val="3"/>
        <charset val="134"/>
      </rPr>
      <t>财务费用</t>
    </r>
  </si>
  <si>
    <r>
      <rPr>
        <b/>
        <sz val="10"/>
        <rFont val="宋体"/>
        <family val="3"/>
        <charset val="134"/>
      </rPr>
      <t>营业外收入</t>
    </r>
  </si>
  <si>
    <r>
      <rPr>
        <b/>
        <sz val="10"/>
        <rFont val="宋体"/>
        <family val="3"/>
        <charset val="134"/>
      </rPr>
      <t>小计</t>
    </r>
  </si>
  <si>
    <r>
      <rPr>
        <b/>
        <sz val="10"/>
        <rFont val="宋体"/>
        <family val="3"/>
        <charset val="134"/>
      </rPr>
      <t>硬件</t>
    </r>
  </si>
  <si>
    <r>
      <rPr>
        <b/>
        <sz val="10"/>
        <rFont val="宋体"/>
        <family val="3"/>
        <charset val="134"/>
      </rPr>
      <t>服务</t>
    </r>
  </si>
  <si>
    <r>
      <rPr>
        <b/>
        <sz val="10"/>
        <rFont val="宋体"/>
        <family val="3"/>
        <charset val="134"/>
      </rPr>
      <t>软件及软件开发</t>
    </r>
  </si>
  <si>
    <t>利息收入</t>
  </si>
  <si>
    <t>合计</t>
  </si>
  <si>
    <r>
      <rPr>
        <b/>
        <sz val="10"/>
        <rFont val="宋体"/>
        <family val="3"/>
        <charset val="134"/>
      </rPr>
      <t>采购及费用交易对象</t>
    </r>
  </si>
  <si>
    <r>
      <rPr>
        <b/>
        <sz val="10"/>
        <rFont val="宋体"/>
        <family val="3"/>
        <charset val="134"/>
      </rPr>
      <t>采购</t>
    </r>
  </si>
  <si>
    <r>
      <rPr>
        <b/>
        <sz val="10"/>
        <rFont val="宋体"/>
        <family val="3"/>
        <charset val="134"/>
      </rPr>
      <t>其他业务成本</t>
    </r>
  </si>
  <si>
    <r>
      <rPr>
        <b/>
        <sz val="10"/>
        <rFont val="宋体"/>
        <family val="3"/>
        <charset val="134"/>
      </rPr>
      <t>营业外支出</t>
    </r>
  </si>
  <si>
    <r>
      <rPr>
        <b/>
        <sz val="10"/>
        <rFont val="宋体"/>
        <family val="3"/>
        <charset val="134"/>
      </rPr>
      <t>利息支出</t>
    </r>
  </si>
  <si>
    <r>
      <rPr>
        <b/>
        <sz val="10"/>
        <rFont val="宋体"/>
        <family val="3"/>
        <charset val="134"/>
      </rPr>
      <t>手续费</t>
    </r>
  </si>
  <si>
    <r>
      <rPr>
        <b/>
        <sz val="12"/>
        <rFont val="宋体"/>
        <family val="3"/>
        <charset val="134"/>
      </rPr>
      <t>集团内部往来余额</t>
    </r>
  </si>
  <si>
    <r>
      <rPr>
        <b/>
        <sz val="10"/>
        <rFont val="宋体"/>
        <family val="3"/>
        <charset val="134"/>
      </rPr>
      <t>债权交易项目</t>
    </r>
  </si>
  <si>
    <r>
      <rPr>
        <b/>
        <sz val="10"/>
        <rFont val="宋体"/>
        <family val="3"/>
        <charset val="134"/>
      </rPr>
      <t>应收票据</t>
    </r>
  </si>
  <si>
    <r>
      <rPr>
        <b/>
        <sz val="10"/>
        <rFont val="宋体"/>
        <family val="3"/>
        <charset val="134"/>
      </rPr>
      <t>应收账款</t>
    </r>
  </si>
  <si>
    <r>
      <rPr>
        <b/>
        <sz val="10"/>
        <rFont val="宋体"/>
        <family val="3"/>
        <charset val="134"/>
      </rPr>
      <t>预付账款</t>
    </r>
  </si>
  <si>
    <r>
      <rPr>
        <b/>
        <sz val="10"/>
        <rFont val="宋体"/>
        <family val="3"/>
        <charset val="134"/>
      </rPr>
      <t>其他应收款</t>
    </r>
  </si>
  <si>
    <r>
      <rPr>
        <b/>
        <sz val="10"/>
        <rFont val="Arial Narrow"/>
        <family val="2"/>
      </rPr>
      <t>1</t>
    </r>
    <r>
      <rPr>
        <b/>
        <sz val="10"/>
        <rFont val="宋体"/>
        <family val="3"/>
        <charset val="134"/>
      </rPr>
      <t>年以内</t>
    </r>
  </si>
  <si>
    <r>
      <rPr>
        <b/>
        <sz val="10"/>
        <rFont val="Arial Narrow"/>
        <family val="2"/>
      </rPr>
      <t>1-2</t>
    </r>
    <r>
      <rPr>
        <b/>
        <sz val="10"/>
        <rFont val="宋体"/>
        <family val="3"/>
        <charset val="134"/>
      </rPr>
      <t>年</t>
    </r>
  </si>
  <si>
    <r>
      <rPr>
        <b/>
        <sz val="10"/>
        <rFont val="Arial Narrow"/>
        <family val="2"/>
      </rPr>
      <t>2-3</t>
    </r>
    <r>
      <rPr>
        <b/>
        <sz val="10"/>
        <rFont val="宋体"/>
        <family val="3"/>
        <charset val="134"/>
      </rPr>
      <t>年</t>
    </r>
  </si>
  <si>
    <r>
      <rPr>
        <b/>
        <sz val="10"/>
        <rFont val="Arial Narrow"/>
        <family val="2"/>
      </rPr>
      <t>3</t>
    </r>
    <r>
      <rPr>
        <b/>
        <sz val="10"/>
        <rFont val="宋体"/>
        <family val="3"/>
        <charset val="134"/>
      </rPr>
      <t>年以上</t>
    </r>
  </si>
  <si>
    <r>
      <rPr>
        <b/>
        <sz val="10"/>
        <rFont val="宋体"/>
        <family val="3"/>
        <charset val="134"/>
      </rPr>
      <t>债务交易项目</t>
    </r>
  </si>
  <si>
    <r>
      <rPr>
        <b/>
        <sz val="10"/>
        <rFont val="宋体"/>
        <family val="3"/>
        <charset val="134"/>
      </rPr>
      <t>应付票据</t>
    </r>
  </si>
  <si>
    <r>
      <rPr>
        <b/>
        <sz val="10"/>
        <rFont val="宋体"/>
        <family val="3"/>
        <charset val="134"/>
      </rPr>
      <t>应付账款</t>
    </r>
  </si>
  <si>
    <r>
      <rPr>
        <b/>
        <sz val="10"/>
        <rFont val="宋体"/>
        <family val="3"/>
        <charset val="134"/>
      </rPr>
      <t>预收账款</t>
    </r>
  </si>
  <si>
    <r>
      <rPr>
        <b/>
        <sz val="10"/>
        <rFont val="宋体"/>
        <family val="3"/>
        <charset val="134"/>
      </rPr>
      <t>其他应付款</t>
    </r>
  </si>
  <si>
    <r>
      <rPr>
        <b/>
        <sz val="12"/>
        <rFont val="宋体"/>
        <family val="3"/>
        <charset val="134"/>
      </rPr>
      <t>未实现内部利润</t>
    </r>
  </si>
  <si>
    <r>
      <rPr>
        <b/>
        <sz val="10"/>
        <rFont val="宋体"/>
        <family val="3"/>
        <charset val="134"/>
      </rPr>
      <t>交易对象</t>
    </r>
  </si>
  <si>
    <r>
      <rPr>
        <b/>
        <sz val="10"/>
        <rFont val="宋体"/>
        <family val="3"/>
        <charset val="134"/>
      </rPr>
      <t>采购项目</t>
    </r>
  </si>
  <si>
    <r>
      <rPr>
        <b/>
        <sz val="10"/>
        <rFont val="宋体"/>
        <family val="3"/>
        <charset val="134"/>
      </rPr>
      <t>存货名称</t>
    </r>
  </si>
  <si>
    <r>
      <rPr>
        <b/>
        <sz val="10"/>
        <rFont val="宋体"/>
        <family val="3"/>
        <charset val="134"/>
      </rPr>
      <t>期末库存金额</t>
    </r>
  </si>
  <si>
    <r>
      <rPr>
        <b/>
        <sz val="10"/>
        <rFont val="宋体"/>
        <family val="3"/>
        <charset val="134"/>
      </rPr>
      <t>其中：期初结转至期末库存金额</t>
    </r>
  </si>
  <si>
    <r>
      <rPr>
        <b/>
        <sz val="10"/>
        <rFont val="宋体"/>
        <family val="3"/>
        <charset val="134"/>
      </rPr>
      <t>期末已计提跌价准备</t>
    </r>
  </si>
  <si>
    <r>
      <rPr>
        <b/>
        <sz val="10"/>
        <rFont val="宋体"/>
        <family val="3"/>
        <charset val="134"/>
      </rPr>
      <t>内部毛利率</t>
    </r>
  </si>
  <si>
    <r>
      <rPr>
        <b/>
        <sz val="12"/>
        <rFont val="宋体"/>
        <family val="3"/>
        <charset val="134"/>
      </rPr>
      <t>集团内部固定资产</t>
    </r>
    <r>
      <rPr>
        <b/>
        <sz val="12"/>
        <rFont val="Arial Narrow"/>
        <family val="2"/>
      </rPr>
      <t>/</t>
    </r>
    <r>
      <rPr>
        <b/>
        <sz val="12"/>
        <rFont val="宋体"/>
        <family val="3"/>
        <charset val="134"/>
      </rPr>
      <t>无形资产交易</t>
    </r>
  </si>
  <si>
    <r>
      <rPr>
        <b/>
        <sz val="10"/>
        <rFont val="宋体"/>
        <family val="3"/>
        <charset val="134"/>
      </rPr>
      <t>本期销售固定资产</t>
    </r>
    <r>
      <rPr>
        <b/>
        <sz val="10"/>
        <rFont val="Arial Narrow"/>
        <family val="2"/>
      </rPr>
      <t>/</t>
    </r>
    <r>
      <rPr>
        <b/>
        <sz val="10"/>
        <rFont val="宋体"/>
        <family val="3"/>
        <charset val="134"/>
      </rPr>
      <t>无形资产</t>
    </r>
  </si>
  <si>
    <r>
      <rPr>
        <b/>
        <sz val="10"/>
        <rFont val="宋体"/>
        <family val="3"/>
        <charset val="134"/>
      </rPr>
      <t>类别</t>
    </r>
  </si>
  <si>
    <r>
      <rPr>
        <b/>
        <sz val="10"/>
        <rFont val="宋体"/>
        <family val="3"/>
        <charset val="134"/>
      </rPr>
      <t>名称</t>
    </r>
  </si>
  <si>
    <r>
      <rPr>
        <b/>
        <sz val="10"/>
        <rFont val="宋体"/>
        <family val="3"/>
        <charset val="134"/>
      </rPr>
      <t>原值</t>
    </r>
  </si>
  <si>
    <r>
      <rPr>
        <b/>
        <sz val="10"/>
        <rFont val="宋体"/>
        <family val="3"/>
        <charset val="134"/>
      </rPr>
      <t>销售时累计折旧</t>
    </r>
    <r>
      <rPr>
        <b/>
        <sz val="10"/>
        <rFont val="Arial Narrow"/>
        <family val="2"/>
      </rPr>
      <t>/</t>
    </r>
    <r>
      <rPr>
        <b/>
        <sz val="10"/>
        <rFont val="宋体"/>
        <family val="3"/>
        <charset val="134"/>
      </rPr>
      <t>累计摊销</t>
    </r>
  </si>
  <si>
    <r>
      <rPr>
        <b/>
        <sz val="10"/>
        <rFont val="宋体"/>
        <family val="3"/>
        <charset val="134"/>
      </rPr>
      <t>销售时已计提减值准备</t>
    </r>
  </si>
  <si>
    <r>
      <rPr>
        <b/>
        <sz val="10"/>
        <rFont val="宋体"/>
        <family val="3"/>
        <charset val="134"/>
      </rPr>
      <t>销售价款</t>
    </r>
  </si>
  <si>
    <r>
      <rPr>
        <b/>
        <sz val="10"/>
        <rFont val="宋体"/>
        <family val="3"/>
        <charset val="134"/>
      </rPr>
      <t>处置费用</t>
    </r>
  </si>
  <si>
    <r>
      <rPr>
        <b/>
        <sz val="10"/>
        <rFont val="宋体"/>
        <family val="3"/>
        <charset val="134"/>
      </rPr>
      <t>营业外收入（支出</t>
    </r>
    <r>
      <rPr>
        <b/>
        <sz val="10"/>
        <rFont val="Arial Narrow"/>
        <family val="2"/>
      </rPr>
      <t>“-”</t>
    </r>
    <r>
      <rPr>
        <b/>
        <sz val="10"/>
        <rFont val="宋体"/>
        <family val="3"/>
        <charset val="134"/>
      </rPr>
      <t>）</t>
    </r>
  </si>
  <si>
    <t>Check Box</t>
  </si>
  <si>
    <r>
      <rPr>
        <sz val="10"/>
        <rFont val="宋体"/>
        <family val="3"/>
        <charset val="134"/>
      </rPr>
      <t>交易主体</t>
    </r>
  </si>
  <si>
    <r>
      <rPr>
        <sz val="10"/>
        <rFont val="宋体"/>
        <family val="3"/>
        <charset val="134"/>
      </rPr>
      <t>类别</t>
    </r>
  </si>
  <si>
    <t>Category</t>
  </si>
  <si>
    <r>
      <rPr>
        <sz val="10"/>
        <rFont val="宋体"/>
        <family val="3"/>
        <charset val="134"/>
      </rPr>
      <t>是</t>
    </r>
    <r>
      <rPr>
        <sz val="10"/>
        <rFont val="Arial Narrow"/>
        <family val="2"/>
      </rPr>
      <t>/</t>
    </r>
    <r>
      <rPr>
        <sz val="10"/>
        <rFont val="宋体"/>
        <family val="3"/>
        <charset val="134"/>
      </rPr>
      <t>否</t>
    </r>
  </si>
  <si>
    <t>TS</t>
  </si>
  <si>
    <r>
      <rPr>
        <sz val="10"/>
        <rFont val="宋体"/>
        <family val="3"/>
        <charset val="134"/>
      </rPr>
      <t>房屋及建筑物</t>
    </r>
  </si>
  <si>
    <t>Buildings</t>
  </si>
  <si>
    <r>
      <rPr>
        <sz val="10"/>
        <rFont val="宋体"/>
        <family val="3"/>
        <charset val="134"/>
      </rPr>
      <t>√</t>
    </r>
  </si>
  <si>
    <t>JF</t>
  </si>
  <si>
    <r>
      <rPr>
        <sz val="10"/>
        <rFont val="宋体"/>
        <family val="3"/>
        <charset val="134"/>
      </rPr>
      <t>电子设备</t>
    </r>
  </si>
  <si>
    <t>Electronic equipment</t>
  </si>
  <si>
    <t>×</t>
  </si>
  <si>
    <t>US</t>
  </si>
  <si>
    <r>
      <rPr>
        <sz val="10"/>
        <rFont val="宋体"/>
        <family val="3"/>
        <charset val="134"/>
      </rPr>
      <t>办公设备</t>
    </r>
  </si>
  <si>
    <t>Office equipment</t>
  </si>
  <si>
    <t>HK</t>
  </si>
  <si>
    <r>
      <rPr>
        <sz val="10"/>
        <rFont val="宋体"/>
        <family val="3"/>
        <charset val="134"/>
      </rPr>
      <t>运输设备</t>
    </r>
  </si>
  <si>
    <t>Transportation equipment</t>
  </si>
  <si>
    <t>ST</t>
  </si>
  <si>
    <r>
      <rPr>
        <sz val="10"/>
        <rFont val="宋体"/>
        <family val="3"/>
        <charset val="134"/>
      </rPr>
      <t>房屋装修</t>
    </r>
  </si>
  <si>
    <t>House decoration</t>
  </si>
  <si>
    <t>FJ</t>
  </si>
  <si>
    <t>Others</t>
  </si>
  <si>
    <t>JDSY</t>
  </si>
  <si>
    <t>SZ</t>
  </si>
  <si>
    <t>NJ</t>
  </si>
  <si>
    <r>
      <rPr>
        <sz val="10"/>
        <rFont val="Arial Narrow"/>
        <family val="2"/>
      </rPr>
      <t>UCWEB</t>
    </r>
    <r>
      <rPr>
        <sz val="10"/>
        <rFont val="宋体"/>
        <family val="3"/>
        <charset val="134"/>
      </rPr>
      <t>软件</t>
    </r>
  </si>
  <si>
    <t>CD</t>
  </si>
  <si>
    <r>
      <rPr>
        <sz val="10"/>
        <rFont val="宋体"/>
        <family val="3"/>
        <charset val="134"/>
      </rPr>
      <t>其他软件</t>
    </r>
  </si>
  <si>
    <t>Other software</t>
  </si>
  <si>
    <t>HWKJ</t>
  </si>
  <si>
    <r>
      <rPr>
        <sz val="10"/>
        <rFont val="宋体"/>
        <family val="3"/>
        <charset val="134"/>
      </rPr>
      <t>专利权及牌照</t>
    </r>
  </si>
  <si>
    <t>Patents and licences</t>
  </si>
  <si>
    <t>HZWK</t>
  </si>
  <si>
    <r>
      <rPr>
        <sz val="10"/>
        <rFont val="宋体"/>
        <family val="3"/>
        <charset val="134"/>
      </rPr>
      <t>会所会籍</t>
    </r>
  </si>
  <si>
    <t>Club memberships</t>
  </si>
  <si>
    <t>ITMS</t>
  </si>
  <si>
    <t>HZKJ</t>
  </si>
  <si>
    <t>HWST</t>
  </si>
  <si>
    <t>GCGV</t>
  </si>
  <si>
    <t>ASL</t>
  </si>
  <si>
    <r>
      <rPr>
        <b/>
        <sz val="10"/>
        <rFont val="宋体"/>
        <family val="3"/>
        <charset val="134"/>
      </rPr>
      <t>采购固定资产</t>
    </r>
    <r>
      <rPr>
        <b/>
        <sz val="10"/>
        <rFont val="Arial Narrow"/>
        <family val="2"/>
      </rPr>
      <t>/</t>
    </r>
    <r>
      <rPr>
        <b/>
        <sz val="10"/>
        <rFont val="宋体"/>
        <family val="3"/>
        <charset val="134"/>
      </rPr>
      <t>无形资产</t>
    </r>
  </si>
  <si>
    <r>
      <rPr>
        <b/>
        <sz val="10"/>
        <rFont val="宋体"/>
        <family val="3"/>
        <charset val="134"/>
      </rPr>
      <t>购买日期</t>
    </r>
  </si>
  <si>
    <r>
      <rPr>
        <b/>
        <sz val="10"/>
        <rFont val="宋体"/>
        <family val="3"/>
        <charset val="134"/>
      </rPr>
      <t>采购成本</t>
    </r>
  </si>
  <si>
    <r>
      <rPr>
        <b/>
        <sz val="10"/>
        <rFont val="宋体"/>
        <family val="3"/>
        <charset val="134"/>
      </rPr>
      <t>折旧方法</t>
    </r>
  </si>
  <si>
    <r>
      <rPr>
        <b/>
        <sz val="10"/>
        <rFont val="宋体"/>
        <family val="3"/>
        <charset val="134"/>
      </rPr>
      <t>预计使用年限</t>
    </r>
  </si>
  <si>
    <r>
      <rPr>
        <b/>
        <sz val="10"/>
        <rFont val="宋体"/>
        <family val="3"/>
        <charset val="134"/>
      </rPr>
      <t>预计残值</t>
    </r>
  </si>
  <si>
    <r>
      <rPr>
        <b/>
        <sz val="10"/>
        <rFont val="宋体"/>
        <family val="3"/>
        <charset val="134"/>
      </rPr>
      <t>备注（发票）</t>
    </r>
  </si>
  <si>
    <r>
      <rPr>
        <b/>
        <sz val="12"/>
        <rFont val="宋体"/>
        <family val="3"/>
        <charset val="134"/>
      </rPr>
      <t>集团内部现金流</t>
    </r>
  </si>
  <si>
    <r>
      <rPr>
        <b/>
        <sz val="10"/>
        <rFont val="宋体"/>
        <family val="3"/>
        <charset val="134"/>
      </rPr>
      <t>收到的现金</t>
    </r>
  </si>
  <si>
    <r>
      <rPr>
        <b/>
        <sz val="10"/>
        <rFont val="宋体"/>
        <family val="3"/>
        <charset val="134"/>
      </rPr>
      <t>销售商品、提供劳务收到的现金</t>
    </r>
  </si>
  <si>
    <r>
      <rPr>
        <b/>
        <sz val="10"/>
        <rFont val="宋体"/>
        <family val="3"/>
        <charset val="134"/>
      </rPr>
      <t>收到其他与经营活动有关的现金</t>
    </r>
  </si>
  <si>
    <r>
      <rPr>
        <b/>
        <sz val="10"/>
        <rFont val="宋体"/>
        <family val="3"/>
        <charset val="134"/>
      </rPr>
      <t>收回投资收到的现金</t>
    </r>
  </si>
  <si>
    <r>
      <rPr>
        <b/>
        <sz val="10"/>
        <rFont val="宋体"/>
        <family val="3"/>
        <charset val="134"/>
      </rPr>
      <t>取得投资收益收到的现金</t>
    </r>
  </si>
  <si>
    <r>
      <rPr>
        <b/>
        <sz val="10"/>
        <rFont val="宋体"/>
        <family val="3"/>
        <charset val="134"/>
      </rPr>
      <t>处置固定资产、无形资产和其他长期资产收回的现金净额</t>
    </r>
  </si>
  <si>
    <r>
      <rPr>
        <b/>
        <sz val="10"/>
        <rFont val="宋体"/>
        <family val="3"/>
        <charset val="134"/>
      </rPr>
      <t>处置子公司及其他营业单位收到的现金净额</t>
    </r>
  </si>
  <si>
    <r>
      <rPr>
        <b/>
        <sz val="10"/>
        <rFont val="宋体"/>
        <family val="3"/>
        <charset val="134"/>
      </rPr>
      <t>收到其他与投资活动有关的现金</t>
    </r>
  </si>
  <si>
    <r>
      <rPr>
        <b/>
        <sz val="10"/>
        <rFont val="宋体"/>
        <family val="3"/>
        <charset val="134"/>
      </rPr>
      <t>吸收投资收到的现金</t>
    </r>
  </si>
  <si>
    <r>
      <rPr>
        <b/>
        <sz val="10"/>
        <rFont val="宋体"/>
        <family val="3"/>
        <charset val="134"/>
      </rPr>
      <t>取得借款收到的现金</t>
    </r>
  </si>
  <si>
    <r>
      <rPr>
        <b/>
        <sz val="10"/>
        <rFont val="宋体"/>
        <family val="3"/>
        <charset val="134"/>
      </rPr>
      <t>收到其他与筹资活动有关的现金</t>
    </r>
  </si>
  <si>
    <r>
      <rPr>
        <b/>
        <sz val="10"/>
        <rFont val="宋体"/>
        <family val="3"/>
        <charset val="134"/>
      </rPr>
      <t>合计</t>
    </r>
  </si>
  <si>
    <r>
      <rPr>
        <b/>
        <sz val="10"/>
        <rFont val="宋体"/>
        <family val="3"/>
        <charset val="134"/>
      </rPr>
      <t>支付的现金</t>
    </r>
  </si>
  <si>
    <r>
      <rPr>
        <b/>
        <sz val="10"/>
        <rFont val="宋体"/>
        <family val="3"/>
        <charset val="134"/>
      </rPr>
      <t>购买商品、接受劳务支付的现金</t>
    </r>
  </si>
  <si>
    <r>
      <rPr>
        <b/>
        <sz val="10"/>
        <rFont val="宋体"/>
        <family val="3"/>
        <charset val="134"/>
      </rPr>
      <t>支付其他与经营活动有关的现金</t>
    </r>
  </si>
  <si>
    <r>
      <rPr>
        <b/>
        <sz val="10"/>
        <rFont val="宋体"/>
        <family val="3"/>
        <charset val="134"/>
      </rPr>
      <t>购置固定资产、无形资产和其他长期资产支付的现金</t>
    </r>
  </si>
  <si>
    <r>
      <rPr>
        <b/>
        <sz val="10"/>
        <rFont val="宋体"/>
        <family val="3"/>
        <charset val="134"/>
      </rPr>
      <t>投资支付的现金</t>
    </r>
  </si>
  <si>
    <r>
      <rPr>
        <b/>
        <sz val="10"/>
        <rFont val="宋体"/>
        <family val="3"/>
        <charset val="134"/>
      </rPr>
      <t>取得子公司及其他营业单位支付的现金净额</t>
    </r>
  </si>
  <si>
    <r>
      <rPr>
        <b/>
        <sz val="10"/>
        <rFont val="宋体"/>
        <family val="3"/>
        <charset val="134"/>
      </rPr>
      <t>支付其他与投资活动有关的现金</t>
    </r>
  </si>
  <si>
    <r>
      <rPr>
        <b/>
        <sz val="10"/>
        <rFont val="宋体"/>
        <family val="3"/>
        <charset val="134"/>
      </rPr>
      <t>偿还债务支付的现金</t>
    </r>
  </si>
  <si>
    <r>
      <rPr>
        <b/>
        <sz val="10"/>
        <rFont val="宋体"/>
        <family val="3"/>
        <charset val="134"/>
      </rPr>
      <t>分配股利、利润或偿付利息支付的现金</t>
    </r>
  </si>
  <si>
    <r>
      <rPr>
        <b/>
        <sz val="10"/>
        <rFont val="宋体"/>
        <family val="3"/>
        <charset val="134"/>
      </rPr>
      <t>支付其他与筹资活动有关的现金</t>
    </r>
  </si>
  <si>
    <r>
      <rPr>
        <b/>
        <sz val="12"/>
        <rFont val="宋体"/>
        <family val="3"/>
        <charset val="134"/>
      </rPr>
      <t>货币资金</t>
    </r>
  </si>
  <si>
    <r>
      <rPr>
        <sz val="10"/>
        <color indexed="8"/>
        <rFont val="宋体"/>
        <family val="3"/>
        <charset val="134"/>
      </rPr>
      <t>项</t>
    </r>
    <r>
      <rPr>
        <sz val="10"/>
        <color indexed="8"/>
        <rFont val="Arial Narrow"/>
        <family val="2"/>
      </rPr>
      <t xml:space="preserve">  </t>
    </r>
    <r>
      <rPr>
        <sz val="10"/>
        <color indexed="8"/>
        <rFont val="宋体"/>
        <family val="3"/>
        <charset val="134"/>
      </rPr>
      <t>目</t>
    </r>
  </si>
  <si>
    <r>
      <rPr>
        <sz val="10"/>
        <color indexed="8"/>
        <rFont val="宋体"/>
        <family val="3"/>
        <charset val="134"/>
      </rPr>
      <t>期末</t>
    </r>
  </si>
  <si>
    <r>
      <rPr>
        <sz val="10"/>
        <color indexed="8"/>
        <rFont val="宋体"/>
        <family val="3"/>
        <charset val="134"/>
      </rPr>
      <t>现金</t>
    </r>
  </si>
  <si>
    <r>
      <rPr>
        <sz val="10"/>
        <color indexed="8"/>
        <rFont val="宋体"/>
        <family val="3"/>
        <charset val="134"/>
      </rPr>
      <t>银行存款</t>
    </r>
  </si>
  <si>
    <r>
      <rPr>
        <sz val="10"/>
        <color indexed="8"/>
        <rFont val="宋体"/>
        <family val="3"/>
        <charset val="134"/>
      </rPr>
      <t>银行存款中：财务公司存款</t>
    </r>
  </si>
  <si>
    <r>
      <rPr>
        <sz val="10"/>
        <color indexed="8"/>
        <rFont val="宋体"/>
        <family val="3"/>
        <charset val="134"/>
      </rPr>
      <t>其他货币资金</t>
    </r>
  </si>
  <si>
    <r>
      <rPr>
        <sz val="10"/>
        <color indexed="8"/>
        <rFont val="宋体"/>
        <family val="3"/>
        <charset val="134"/>
      </rPr>
      <t>合</t>
    </r>
    <r>
      <rPr>
        <sz val="10"/>
        <color indexed="8"/>
        <rFont val="Arial Narrow"/>
        <family val="2"/>
      </rPr>
      <t xml:space="preserve">  </t>
    </r>
    <r>
      <rPr>
        <sz val="10"/>
        <color indexed="8"/>
        <rFont val="宋体"/>
        <family val="3"/>
        <charset val="134"/>
      </rPr>
      <t>计</t>
    </r>
  </si>
  <si>
    <r>
      <rPr>
        <sz val="10"/>
        <color indexed="8"/>
        <rFont val="宋体"/>
        <family val="3"/>
        <charset val="134"/>
      </rPr>
      <t>其中：存放在境外的款项总额</t>
    </r>
  </si>
  <si>
    <r>
      <rPr>
        <sz val="10"/>
        <color indexed="8"/>
        <rFont val="宋体"/>
        <family val="3"/>
        <charset val="134"/>
      </rPr>
      <t>报表金额</t>
    </r>
  </si>
  <si>
    <r>
      <rPr>
        <sz val="10"/>
        <rFont val="宋体"/>
        <family val="3"/>
        <charset val="134"/>
      </rPr>
      <t>其中，外币如下：</t>
    </r>
    <r>
      <rPr>
        <sz val="10"/>
        <rFont val="Arial Narrow"/>
        <family val="2"/>
      </rPr>
      <t>(</t>
    </r>
    <r>
      <rPr>
        <sz val="10"/>
        <rFont val="宋体"/>
        <family val="3"/>
        <charset val="134"/>
      </rPr>
      <t>除人民币以外的币种</t>
    </r>
    <r>
      <rPr>
        <sz val="10"/>
        <rFont val="Arial Narrow"/>
        <family val="2"/>
      </rPr>
      <t>)</t>
    </r>
  </si>
  <si>
    <r>
      <rPr>
        <sz val="10"/>
        <rFont val="宋体"/>
        <family val="3"/>
        <charset val="134"/>
      </rPr>
      <t>币</t>
    </r>
    <r>
      <rPr>
        <sz val="10"/>
        <rFont val="Arial Narrow"/>
        <family val="2"/>
      </rPr>
      <t xml:space="preserve">  </t>
    </r>
    <r>
      <rPr>
        <sz val="10"/>
        <rFont val="宋体"/>
        <family val="3"/>
        <charset val="134"/>
      </rPr>
      <t>种</t>
    </r>
  </si>
  <si>
    <r>
      <rPr>
        <sz val="10"/>
        <rFont val="宋体"/>
        <family val="3"/>
        <charset val="134"/>
      </rPr>
      <t>期末</t>
    </r>
  </si>
  <si>
    <r>
      <rPr>
        <sz val="10"/>
        <rFont val="宋体"/>
        <family val="3"/>
        <charset val="134"/>
      </rPr>
      <t>原</t>
    </r>
    <r>
      <rPr>
        <sz val="10"/>
        <rFont val="Arial Narrow"/>
        <family val="2"/>
      </rPr>
      <t xml:space="preserve"> </t>
    </r>
    <r>
      <rPr>
        <sz val="10"/>
        <rFont val="宋体"/>
        <family val="3"/>
        <charset val="134"/>
      </rPr>
      <t>币</t>
    </r>
  </si>
  <si>
    <r>
      <rPr>
        <sz val="10"/>
        <rFont val="宋体"/>
        <family val="3"/>
        <charset val="134"/>
      </rPr>
      <t>汇率</t>
    </r>
  </si>
  <si>
    <r>
      <rPr>
        <sz val="10"/>
        <rFont val="宋体"/>
        <family val="3"/>
        <charset val="134"/>
      </rPr>
      <t>折合本位币</t>
    </r>
  </si>
  <si>
    <r>
      <rPr>
        <sz val="10"/>
        <rFont val="宋体"/>
        <family val="3"/>
        <charset val="134"/>
      </rPr>
      <t>美元</t>
    </r>
  </si>
  <si>
    <r>
      <rPr>
        <sz val="10"/>
        <rFont val="宋体"/>
        <family val="3"/>
        <charset val="134"/>
      </rPr>
      <t>港币</t>
    </r>
  </si>
  <si>
    <r>
      <rPr>
        <sz val="10"/>
        <rFont val="宋体"/>
        <family val="3"/>
        <charset val="134"/>
      </rPr>
      <t>合</t>
    </r>
    <r>
      <rPr>
        <sz val="10"/>
        <rFont val="Arial Narrow"/>
        <family val="2"/>
      </rPr>
      <t xml:space="preserve">  </t>
    </r>
    <r>
      <rPr>
        <sz val="10"/>
        <rFont val="宋体"/>
        <family val="3"/>
        <charset val="134"/>
      </rPr>
      <t>计</t>
    </r>
  </si>
  <si>
    <r>
      <rPr>
        <sz val="10"/>
        <rFont val="宋体"/>
        <family val="3"/>
        <charset val="134"/>
      </rPr>
      <t>列示于现金流量表的现金及现金等价物包括：</t>
    </r>
  </si>
  <si>
    <r>
      <rPr>
        <sz val="10"/>
        <rFont val="Arial Narrow"/>
        <family val="2"/>
      </rPr>
      <t xml:space="preserve">   </t>
    </r>
    <r>
      <rPr>
        <sz val="10"/>
        <rFont val="宋体"/>
        <family val="3"/>
        <charset val="134"/>
      </rPr>
      <t>金</t>
    </r>
    <r>
      <rPr>
        <sz val="10"/>
        <rFont val="Arial Narrow"/>
        <family val="2"/>
      </rPr>
      <t xml:space="preserve">  </t>
    </r>
    <r>
      <rPr>
        <sz val="10"/>
        <rFont val="宋体"/>
        <family val="3"/>
        <charset val="134"/>
      </rPr>
      <t>额</t>
    </r>
  </si>
  <si>
    <r>
      <rPr>
        <sz val="10"/>
        <rFont val="宋体"/>
        <family val="3"/>
        <charset val="134"/>
      </rPr>
      <t>期末货币资金</t>
    </r>
  </si>
  <si>
    <r>
      <rPr>
        <sz val="10"/>
        <rFont val="宋体"/>
        <family val="3"/>
        <charset val="134"/>
      </rPr>
      <t>减：使用受到限制的存款</t>
    </r>
  </si>
  <si>
    <r>
      <rPr>
        <sz val="10"/>
        <rFont val="宋体"/>
        <family val="3"/>
        <charset val="134"/>
      </rPr>
      <t>加：现金等价物</t>
    </r>
  </si>
  <si>
    <r>
      <rPr>
        <sz val="10"/>
        <rFont val="宋体"/>
        <family val="3"/>
        <charset val="134"/>
      </rPr>
      <t>期末现金及现金等价物余额</t>
    </r>
  </si>
  <si>
    <r>
      <rPr>
        <sz val="10"/>
        <rFont val="宋体"/>
        <family val="3"/>
        <charset val="134"/>
      </rPr>
      <t>减：期初现金及现金等价物余额</t>
    </r>
  </si>
  <si>
    <r>
      <rPr>
        <sz val="10"/>
        <rFont val="宋体"/>
        <family val="3"/>
        <charset val="134"/>
      </rPr>
      <t>现金及现金等价物净增加</t>
    </r>
    <r>
      <rPr>
        <sz val="10"/>
        <rFont val="Arial Narrow"/>
        <family val="2"/>
      </rPr>
      <t>/</t>
    </r>
    <r>
      <rPr>
        <sz val="10"/>
        <rFont val="宋体"/>
        <family val="3"/>
        <charset val="134"/>
      </rPr>
      <t>（减少）额</t>
    </r>
  </si>
  <si>
    <r>
      <rPr>
        <sz val="10"/>
        <rFont val="宋体"/>
        <family val="3"/>
        <charset val="134"/>
      </rPr>
      <t>说明：因抵押或冻结等对使用有限制、存放在境外、有潜在回收风险的款项内容</t>
    </r>
  </si>
  <si>
    <r>
      <rPr>
        <b/>
        <sz val="12"/>
        <rFont val="宋体"/>
        <family val="3"/>
        <charset val="134"/>
      </rPr>
      <t>以公允价值计量且其变动计入当期损益的金融资产</t>
    </r>
  </si>
  <si>
    <r>
      <rPr>
        <sz val="10"/>
        <rFont val="宋体"/>
        <family val="3"/>
        <charset val="134"/>
      </rPr>
      <t>项</t>
    </r>
    <r>
      <rPr>
        <sz val="10"/>
        <rFont val="Arial Narrow"/>
        <family val="2"/>
      </rPr>
      <t xml:space="preserve">  </t>
    </r>
    <r>
      <rPr>
        <sz val="10"/>
        <rFont val="宋体"/>
        <family val="3"/>
        <charset val="134"/>
      </rPr>
      <t>目</t>
    </r>
  </si>
  <si>
    <r>
      <rPr>
        <sz val="10"/>
        <rFont val="宋体"/>
        <family val="3"/>
        <charset val="134"/>
      </rPr>
      <t>交易性金融资产</t>
    </r>
  </si>
  <si>
    <r>
      <rPr>
        <sz val="10"/>
        <rFont val="Arial Narrow"/>
        <family val="2"/>
      </rPr>
      <t xml:space="preserve">  </t>
    </r>
    <r>
      <rPr>
        <sz val="10"/>
        <rFont val="宋体"/>
        <family val="3"/>
        <charset val="134"/>
      </rPr>
      <t>其中：债务工具投资</t>
    </r>
  </si>
  <si>
    <r>
      <rPr>
        <sz val="10"/>
        <rFont val="Arial Narrow"/>
        <family val="2"/>
      </rPr>
      <t xml:space="preserve">        </t>
    </r>
    <r>
      <rPr>
        <sz val="10"/>
        <rFont val="宋体"/>
        <family val="3"/>
        <charset val="134"/>
      </rPr>
      <t>权益工具投资</t>
    </r>
  </si>
  <si>
    <r>
      <rPr>
        <sz val="10"/>
        <rFont val="Arial Narrow"/>
        <family val="2"/>
      </rPr>
      <t xml:space="preserve">        </t>
    </r>
    <r>
      <rPr>
        <sz val="10"/>
        <rFont val="宋体"/>
        <family val="3"/>
        <charset val="134"/>
      </rPr>
      <t>衍生金融资产</t>
    </r>
  </si>
  <si>
    <r>
      <rPr>
        <sz val="10"/>
        <rFont val="Arial Narrow"/>
        <family val="2"/>
      </rPr>
      <t xml:space="preserve">        </t>
    </r>
    <r>
      <rPr>
        <sz val="10"/>
        <rFont val="宋体"/>
        <family val="3"/>
        <charset val="134"/>
      </rPr>
      <t>其他</t>
    </r>
  </si>
  <si>
    <r>
      <rPr>
        <sz val="10"/>
        <rFont val="宋体"/>
        <family val="3"/>
        <charset val="134"/>
      </rPr>
      <t>指定为以公允价值计量且其变动计入当期损益的金融资产</t>
    </r>
  </si>
  <si>
    <r>
      <rPr>
        <sz val="10"/>
        <rFont val="宋体"/>
        <family val="3"/>
        <charset val="134"/>
      </rPr>
      <t>报表金额</t>
    </r>
  </si>
  <si>
    <r>
      <rPr>
        <sz val="10"/>
        <rFont val="宋体"/>
        <family val="3"/>
        <charset val="134"/>
      </rPr>
      <t>说明：</t>
    </r>
  </si>
  <si>
    <r>
      <rPr>
        <b/>
        <sz val="12"/>
        <rFont val="宋体"/>
        <family val="3"/>
        <charset val="134"/>
      </rPr>
      <t>衍生金融资产</t>
    </r>
  </si>
  <si>
    <r>
      <rPr>
        <sz val="10"/>
        <color rgb="FF000000"/>
        <rFont val="宋体"/>
        <family val="3"/>
        <charset val="134"/>
      </rPr>
      <t>期末公允价值</t>
    </r>
  </si>
  <si>
    <r>
      <rPr>
        <sz val="10"/>
        <color rgb="FF0000FF"/>
        <rFont val="宋体"/>
        <family val="3"/>
        <charset val="134"/>
      </rPr>
      <t>说明：（衍生金融资产产生的原因以及相关会计处理。）</t>
    </r>
  </si>
  <si>
    <r>
      <rPr>
        <sz val="10"/>
        <rFont val="宋体"/>
        <family val="3"/>
        <charset val="134"/>
      </rPr>
      <t>种</t>
    </r>
    <r>
      <rPr>
        <sz val="10"/>
        <rFont val="Arial Narrow"/>
        <family val="2"/>
      </rPr>
      <t xml:space="preserve">  </t>
    </r>
    <r>
      <rPr>
        <sz val="10"/>
        <rFont val="宋体"/>
        <family val="3"/>
        <charset val="134"/>
      </rPr>
      <t>类</t>
    </r>
  </si>
  <si>
    <t>应收票据</t>
  </si>
  <si>
    <t>应收账款</t>
  </si>
  <si>
    <r>
      <rPr>
        <b/>
        <sz val="12"/>
        <rFont val="宋体"/>
        <family val="3"/>
        <charset val="134"/>
      </rPr>
      <t>应收票据</t>
    </r>
  </si>
  <si>
    <r>
      <rPr>
        <sz val="10"/>
        <rFont val="宋体"/>
        <family val="3"/>
        <charset val="134"/>
      </rPr>
      <t>银行承兑汇票</t>
    </r>
  </si>
  <si>
    <r>
      <rPr>
        <sz val="10"/>
        <rFont val="宋体"/>
        <family val="3"/>
        <charset val="134"/>
      </rPr>
      <t>商业承兑汇票</t>
    </r>
  </si>
  <si>
    <t>如发生减值披露格式如下：</t>
  </si>
  <si>
    <t>种  类</t>
  </si>
  <si>
    <t>期末数</t>
  </si>
  <si>
    <t>期末余额</t>
  </si>
  <si>
    <t>坏账准备</t>
  </si>
  <si>
    <t>期末账面价值</t>
  </si>
  <si>
    <t>银行承兑汇票</t>
  </si>
  <si>
    <t>商业承兑汇票</t>
  </si>
  <si>
    <r>
      <rPr>
        <sz val="10"/>
        <rFont val="Arial Narrow"/>
        <family val="2"/>
      </rPr>
      <t>合</t>
    </r>
    <r>
      <rPr>
        <b/>
        <sz val="10"/>
        <color theme="1"/>
        <rFont val="Arial Narrow"/>
        <family val="2"/>
      </rPr>
      <t xml:space="preserve">  </t>
    </r>
    <r>
      <rPr>
        <b/>
        <sz val="10"/>
        <color theme="1"/>
        <rFont val="仿宋_GB2312"/>
        <family val="3"/>
        <charset val="134"/>
      </rPr>
      <t>计</t>
    </r>
  </si>
  <si>
    <r>
      <rPr>
        <sz val="10"/>
        <rFont val="宋体"/>
        <family val="3"/>
        <charset val="134"/>
      </rPr>
      <t>其中，用于质押的票据如下：</t>
    </r>
  </si>
  <si>
    <r>
      <rPr>
        <sz val="10"/>
        <rFont val="宋体"/>
        <family val="3"/>
        <charset val="134"/>
      </rPr>
      <t>期末已质押金额</t>
    </r>
  </si>
  <si>
    <r>
      <rPr>
        <sz val="10"/>
        <rFont val="宋体"/>
        <family val="3"/>
        <charset val="134"/>
      </rPr>
      <t>其中，已背书或贴现但尚未到期的应收票据</t>
    </r>
  </si>
  <si>
    <r>
      <rPr>
        <sz val="10"/>
        <rFont val="宋体"/>
        <family val="3"/>
        <charset val="134"/>
      </rPr>
      <t>期末终止确认金额</t>
    </r>
  </si>
  <si>
    <r>
      <rPr>
        <sz val="10"/>
        <rFont val="宋体"/>
        <family val="3"/>
        <charset val="134"/>
      </rPr>
      <t>期末未终止确认金额</t>
    </r>
  </si>
  <si>
    <r>
      <rPr>
        <sz val="10"/>
        <rFont val="宋体"/>
        <family val="3"/>
        <charset val="134"/>
      </rPr>
      <t>银行承兑票据</t>
    </r>
  </si>
  <si>
    <r>
      <rPr>
        <sz val="10"/>
        <rFont val="宋体"/>
        <family val="3"/>
        <charset val="134"/>
      </rPr>
      <t>商业承兑票据</t>
    </r>
  </si>
  <si>
    <r>
      <rPr>
        <sz val="10"/>
        <color theme="1"/>
        <rFont val="宋体"/>
        <family val="3"/>
        <charset val="134"/>
      </rPr>
      <t>可无限量添加行</t>
    </r>
  </si>
  <si>
    <r>
      <rPr>
        <sz val="10"/>
        <rFont val="宋体"/>
        <family val="3"/>
        <charset val="134"/>
      </rPr>
      <t>其中，因出票人未履约而其转应收账款</t>
    </r>
  </si>
  <si>
    <r>
      <rPr>
        <sz val="10"/>
        <rFont val="宋体"/>
        <family val="3"/>
        <charset val="134"/>
      </rPr>
      <t>期末转应收账款金额</t>
    </r>
  </si>
  <si>
    <r>
      <rPr>
        <b/>
        <sz val="12"/>
        <rFont val="宋体"/>
        <family val="3"/>
        <charset val="134"/>
      </rPr>
      <t>应收账款</t>
    </r>
  </si>
  <si>
    <r>
      <rPr>
        <b/>
        <sz val="10"/>
        <rFont val="宋体"/>
        <family val="3"/>
        <charset val="134"/>
      </rPr>
      <t>（</t>
    </r>
    <r>
      <rPr>
        <b/>
        <sz val="10"/>
        <rFont val="Arial Narrow"/>
        <family val="2"/>
      </rPr>
      <t>1</t>
    </r>
    <r>
      <rPr>
        <b/>
        <sz val="10"/>
        <rFont val="宋体"/>
        <family val="3"/>
        <charset val="134"/>
      </rPr>
      <t>）</t>
    </r>
    <r>
      <rPr>
        <b/>
        <sz val="10"/>
        <rFont val="Arial Narrow"/>
        <family val="2"/>
      </rPr>
      <t>A</t>
    </r>
    <r>
      <rPr>
        <b/>
        <sz val="10"/>
        <rFont val="宋体"/>
        <family val="3"/>
        <charset val="134"/>
      </rPr>
      <t>、按风险分类</t>
    </r>
  </si>
  <si>
    <r>
      <rPr>
        <b/>
        <sz val="10"/>
        <rFont val="宋体"/>
        <family val="3"/>
        <charset val="134"/>
      </rPr>
      <t>类</t>
    </r>
    <r>
      <rPr>
        <b/>
        <sz val="10"/>
        <rFont val="Arial Narrow"/>
        <family val="2"/>
      </rPr>
      <t xml:space="preserve">  </t>
    </r>
    <r>
      <rPr>
        <b/>
        <sz val="10"/>
        <rFont val="宋体"/>
        <family val="3"/>
        <charset val="134"/>
      </rPr>
      <t>别</t>
    </r>
  </si>
  <si>
    <r>
      <rPr>
        <b/>
        <sz val="10"/>
        <rFont val="宋体"/>
        <family val="3"/>
        <charset val="134"/>
      </rPr>
      <t>期末</t>
    </r>
  </si>
  <si>
    <r>
      <rPr>
        <b/>
        <sz val="10"/>
        <rFont val="宋体"/>
        <family val="3"/>
        <charset val="134"/>
      </rPr>
      <t>金</t>
    </r>
    <r>
      <rPr>
        <b/>
        <sz val="10"/>
        <rFont val="Arial Narrow"/>
        <family val="2"/>
      </rPr>
      <t xml:space="preserve"> </t>
    </r>
    <r>
      <rPr>
        <b/>
        <sz val="10"/>
        <rFont val="宋体"/>
        <family val="3"/>
        <charset val="134"/>
      </rPr>
      <t>额</t>
    </r>
  </si>
  <si>
    <r>
      <rPr>
        <b/>
        <sz val="10"/>
        <rFont val="宋体"/>
        <family val="3"/>
        <charset val="134"/>
      </rPr>
      <t>坏账准备</t>
    </r>
  </si>
  <si>
    <r>
      <rPr>
        <sz val="10"/>
        <rFont val="宋体"/>
        <family val="3"/>
        <charset val="134"/>
      </rPr>
      <t>单项金额重大的应收账款</t>
    </r>
  </si>
  <si>
    <r>
      <rPr>
        <sz val="10"/>
        <rFont val="宋体"/>
        <family val="3"/>
        <charset val="134"/>
      </rPr>
      <t>其他不重大应收账款</t>
    </r>
  </si>
  <si>
    <r>
      <rPr>
        <b/>
        <sz val="10"/>
        <rFont val="宋体"/>
        <family val="3"/>
        <charset val="134"/>
      </rPr>
      <t>（</t>
    </r>
    <r>
      <rPr>
        <b/>
        <sz val="10"/>
        <rFont val="Arial Narrow"/>
        <family val="2"/>
      </rPr>
      <t>1</t>
    </r>
    <r>
      <rPr>
        <b/>
        <sz val="10"/>
        <rFont val="宋体"/>
        <family val="3"/>
        <charset val="134"/>
      </rPr>
      <t>）</t>
    </r>
    <r>
      <rPr>
        <b/>
        <sz val="10"/>
        <rFont val="Arial Narrow"/>
        <family val="2"/>
      </rPr>
      <t>B</t>
    </r>
    <r>
      <rPr>
        <b/>
        <sz val="10"/>
        <rFont val="宋体"/>
        <family val="3"/>
        <charset val="134"/>
      </rPr>
      <t>、期末单项金额重大并单项计提坏账准备的应收账款</t>
    </r>
  </si>
  <si>
    <r>
      <rPr>
        <b/>
        <sz val="10"/>
        <rFont val="宋体"/>
        <family val="3"/>
        <charset val="134"/>
      </rPr>
      <t>应收账款（按单位）</t>
    </r>
  </si>
  <si>
    <r>
      <rPr>
        <b/>
        <sz val="10"/>
        <rFont val="宋体"/>
        <family val="3"/>
        <charset val="134"/>
      </rPr>
      <t>账面余额</t>
    </r>
  </si>
  <si>
    <r>
      <rPr>
        <b/>
        <sz val="10"/>
        <rFont val="宋体"/>
        <family val="3"/>
        <charset val="134"/>
      </rPr>
      <t>计提比例</t>
    </r>
    <r>
      <rPr>
        <b/>
        <sz val="10"/>
        <rFont val="Arial Narrow"/>
        <family val="2"/>
      </rPr>
      <t>%</t>
    </r>
  </si>
  <si>
    <r>
      <rPr>
        <b/>
        <sz val="10"/>
        <rFont val="宋体"/>
        <family val="3"/>
        <charset val="134"/>
      </rPr>
      <t>计提理由</t>
    </r>
  </si>
  <si>
    <r>
      <rPr>
        <sz val="10"/>
        <color indexed="8"/>
        <rFont val="宋体"/>
        <family val="3"/>
        <charset val="134"/>
      </rPr>
      <t>核对金额</t>
    </r>
  </si>
  <si>
    <r>
      <rPr>
        <b/>
        <sz val="10"/>
        <rFont val="宋体"/>
        <family val="3"/>
        <charset val="134"/>
      </rPr>
      <t>（</t>
    </r>
    <r>
      <rPr>
        <b/>
        <sz val="10"/>
        <rFont val="Arial Narrow"/>
        <family val="2"/>
      </rPr>
      <t>1</t>
    </r>
    <r>
      <rPr>
        <b/>
        <sz val="10"/>
        <rFont val="宋体"/>
        <family val="3"/>
        <charset val="134"/>
      </rPr>
      <t>）</t>
    </r>
    <r>
      <rPr>
        <b/>
        <sz val="10"/>
        <rFont val="Arial Narrow"/>
        <family val="2"/>
      </rPr>
      <t>C</t>
    </r>
    <r>
      <rPr>
        <b/>
        <sz val="10"/>
        <rFont val="宋体"/>
        <family val="3"/>
        <charset val="134"/>
      </rPr>
      <t>、账龄组合（和</t>
    </r>
    <r>
      <rPr>
        <b/>
        <sz val="10"/>
        <rFont val="Arial Narrow"/>
        <family val="2"/>
      </rPr>
      <t>XX</t>
    </r>
    <r>
      <rPr>
        <b/>
        <sz val="10"/>
        <rFont val="宋体"/>
        <family val="3"/>
        <charset val="134"/>
      </rPr>
      <t>组合），按账龄分析法计提坏账准备的应收账款</t>
    </r>
  </si>
  <si>
    <r>
      <rPr>
        <b/>
        <sz val="10"/>
        <rFont val="宋体"/>
        <family val="3"/>
        <charset val="134"/>
      </rPr>
      <t>账</t>
    </r>
    <r>
      <rPr>
        <b/>
        <sz val="10"/>
        <rFont val="Arial Narrow"/>
        <family val="2"/>
      </rPr>
      <t xml:space="preserve"> </t>
    </r>
    <r>
      <rPr>
        <b/>
        <sz val="10"/>
        <rFont val="宋体"/>
        <family val="3"/>
        <charset val="134"/>
      </rPr>
      <t>龄</t>
    </r>
  </si>
  <si>
    <r>
      <rPr>
        <sz val="10"/>
        <rFont val="Arial Narrow"/>
        <family val="2"/>
      </rPr>
      <t>1</t>
    </r>
    <r>
      <rPr>
        <sz val="10"/>
        <rFont val="宋体"/>
        <family val="3"/>
        <charset val="134"/>
      </rPr>
      <t>年以内</t>
    </r>
  </si>
  <si>
    <r>
      <rPr>
        <sz val="10"/>
        <rFont val="Arial Narrow"/>
        <family val="2"/>
      </rPr>
      <t>1</t>
    </r>
    <r>
      <rPr>
        <sz val="10"/>
        <rFont val="宋体"/>
        <family val="3"/>
        <charset val="134"/>
      </rPr>
      <t>至</t>
    </r>
    <r>
      <rPr>
        <sz val="10"/>
        <rFont val="Arial Narrow"/>
        <family val="2"/>
      </rPr>
      <t>2</t>
    </r>
    <r>
      <rPr>
        <sz val="10"/>
        <rFont val="宋体"/>
        <family val="3"/>
        <charset val="134"/>
      </rPr>
      <t>年</t>
    </r>
  </si>
  <si>
    <r>
      <rPr>
        <sz val="10"/>
        <rFont val="Arial Narrow"/>
        <family val="2"/>
      </rPr>
      <t>2</t>
    </r>
    <r>
      <rPr>
        <sz val="10"/>
        <rFont val="宋体"/>
        <family val="3"/>
        <charset val="134"/>
      </rPr>
      <t>至</t>
    </r>
    <r>
      <rPr>
        <sz val="10"/>
        <rFont val="Arial Narrow"/>
        <family val="2"/>
      </rPr>
      <t>3</t>
    </r>
    <r>
      <rPr>
        <sz val="10"/>
        <rFont val="宋体"/>
        <family val="3"/>
        <charset val="134"/>
      </rPr>
      <t>年</t>
    </r>
  </si>
  <si>
    <r>
      <rPr>
        <sz val="10"/>
        <color theme="1"/>
        <rFont val="Arial Narrow"/>
        <family val="2"/>
      </rPr>
      <t>3</t>
    </r>
    <r>
      <rPr>
        <sz val="10"/>
        <color theme="1"/>
        <rFont val="宋体"/>
        <family val="3"/>
        <charset val="134"/>
      </rPr>
      <t>至</t>
    </r>
    <r>
      <rPr>
        <sz val="10"/>
        <color theme="1"/>
        <rFont val="Arial Narrow"/>
        <family val="2"/>
      </rPr>
      <t>4</t>
    </r>
    <r>
      <rPr>
        <sz val="10"/>
        <color theme="1"/>
        <rFont val="宋体"/>
        <family val="3"/>
        <charset val="134"/>
      </rPr>
      <t>年</t>
    </r>
  </si>
  <si>
    <r>
      <rPr>
        <sz val="10"/>
        <color theme="1"/>
        <rFont val="Arial Narrow"/>
        <family val="2"/>
      </rPr>
      <t>4</t>
    </r>
    <r>
      <rPr>
        <sz val="10"/>
        <color theme="1"/>
        <rFont val="宋体"/>
        <family val="3"/>
        <charset val="134"/>
      </rPr>
      <t>至</t>
    </r>
    <r>
      <rPr>
        <sz val="10"/>
        <color theme="1"/>
        <rFont val="Arial Narrow"/>
        <family val="2"/>
      </rPr>
      <t>5</t>
    </r>
    <r>
      <rPr>
        <sz val="10"/>
        <color theme="1"/>
        <rFont val="宋体"/>
        <family val="3"/>
        <charset val="134"/>
      </rPr>
      <t>年</t>
    </r>
  </si>
  <si>
    <r>
      <rPr>
        <sz val="10"/>
        <color theme="1"/>
        <rFont val="Arial Narrow"/>
        <family val="2"/>
      </rPr>
      <t>5</t>
    </r>
    <r>
      <rPr>
        <sz val="10"/>
        <color theme="1"/>
        <rFont val="宋体"/>
        <family val="3"/>
        <charset val="134"/>
      </rPr>
      <t>年以上</t>
    </r>
  </si>
  <si>
    <r>
      <rPr>
        <sz val="10"/>
        <rFont val="宋体"/>
        <family val="3"/>
        <charset val="134"/>
      </rPr>
      <t>合</t>
    </r>
    <r>
      <rPr>
        <sz val="10"/>
        <rFont val="Arial Narrow"/>
        <family val="2"/>
      </rPr>
      <t xml:space="preserve"> </t>
    </r>
    <r>
      <rPr>
        <sz val="10"/>
        <rFont val="宋体"/>
        <family val="3"/>
        <charset val="134"/>
      </rPr>
      <t>计</t>
    </r>
  </si>
  <si>
    <r>
      <rPr>
        <b/>
        <sz val="10"/>
        <rFont val="宋体"/>
        <family val="3"/>
        <charset val="134"/>
      </rPr>
      <t>（</t>
    </r>
    <r>
      <rPr>
        <b/>
        <sz val="10"/>
        <rFont val="Arial Narrow"/>
        <family val="2"/>
      </rPr>
      <t>2</t>
    </r>
    <r>
      <rPr>
        <b/>
        <sz val="10"/>
        <rFont val="宋体"/>
        <family val="3"/>
        <charset val="134"/>
      </rPr>
      <t>）本期计提、收回或转回的坏账准备情况</t>
    </r>
  </si>
  <si>
    <r>
      <rPr>
        <sz val="10"/>
        <rFont val="宋体"/>
        <family val="3"/>
        <charset val="134"/>
      </rPr>
      <t>本期计提坏账准备金额</t>
    </r>
    <r>
      <rPr>
        <sz val="10"/>
        <rFont val="Arial Narrow"/>
        <family val="2"/>
      </rPr>
      <t>XX</t>
    </r>
    <r>
      <rPr>
        <sz val="10"/>
        <rFont val="宋体"/>
        <family val="3"/>
        <charset val="134"/>
      </rPr>
      <t>元；本期收回或转回坏账准备金额</t>
    </r>
    <r>
      <rPr>
        <sz val="10"/>
        <rFont val="Arial Narrow"/>
        <family val="2"/>
      </rPr>
      <t>XX</t>
    </r>
    <r>
      <rPr>
        <sz val="10"/>
        <rFont val="宋体"/>
        <family val="3"/>
        <charset val="134"/>
      </rPr>
      <t>元。</t>
    </r>
  </si>
  <si>
    <r>
      <rPr>
        <sz val="10"/>
        <rFont val="宋体"/>
        <family val="3"/>
        <charset val="134"/>
      </rPr>
      <t>其中，本期坏账准备转回或收回金额重要的：</t>
    </r>
  </si>
  <si>
    <r>
      <rPr>
        <b/>
        <sz val="10"/>
        <rFont val="宋体"/>
        <family val="3"/>
        <charset val="134"/>
      </rPr>
      <t>单位名称</t>
    </r>
  </si>
  <si>
    <r>
      <rPr>
        <b/>
        <sz val="10"/>
        <rFont val="宋体"/>
        <family val="3"/>
        <charset val="134"/>
      </rPr>
      <t>转回原因</t>
    </r>
  </si>
  <si>
    <r>
      <rPr>
        <b/>
        <sz val="10"/>
        <rFont val="宋体"/>
        <family val="3"/>
        <charset val="134"/>
      </rPr>
      <t>收回方式</t>
    </r>
  </si>
  <si>
    <r>
      <rPr>
        <b/>
        <sz val="10"/>
        <rFont val="宋体"/>
        <family val="3"/>
        <charset val="134"/>
      </rPr>
      <t>原确定坏账准备的依据</t>
    </r>
  </si>
  <si>
    <r>
      <rPr>
        <b/>
        <sz val="10"/>
        <rFont val="宋体"/>
        <family val="3"/>
        <charset val="134"/>
      </rPr>
      <t>转回或收回金额</t>
    </r>
  </si>
  <si>
    <r>
      <rPr>
        <sz val="10"/>
        <color rgb="FF0000FF"/>
        <rFont val="宋体"/>
        <family val="3"/>
        <charset val="134"/>
      </rPr>
      <t>可无限量添加行</t>
    </r>
  </si>
  <si>
    <r>
      <rPr>
        <b/>
        <sz val="10"/>
        <rFont val="宋体"/>
        <family val="3"/>
        <charset val="134"/>
      </rPr>
      <t>（</t>
    </r>
    <r>
      <rPr>
        <b/>
        <sz val="10"/>
        <rFont val="Arial Narrow"/>
        <family val="2"/>
      </rPr>
      <t>3</t>
    </r>
    <r>
      <rPr>
        <b/>
        <sz val="10"/>
        <rFont val="宋体"/>
        <family val="3"/>
        <charset val="134"/>
      </rPr>
      <t>）本期实际核销的应收账款情况</t>
    </r>
  </si>
  <si>
    <r>
      <rPr>
        <b/>
        <sz val="10"/>
        <rFont val="宋体"/>
        <family val="3"/>
        <charset val="134"/>
      </rPr>
      <t>核销金额</t>
    </r>
  </si>
  <si>
    <r>
      <rPr>
        <sz val="10"/>
        <rFont val="宋体"/>
        <family val="3"/>
        <charset val="134"/>
      </rPr>
      <t>实际核销的应收账款</t>
    </r>
  </si>
  <si>
    <r>
      <rPr>
        <sz val="10"/>
        <rFont val="宋体"/>
        <family val="3"/>
        <charset val="134"/>
      </rPr>
      <t>其中，重要的应收账款核销情况（逐项披露）：</t>
    </r>
  </si>
  <si>
    <r>
      <rPr>
        <b/>
        <sz val="10"/>
        <rFont val="宋体"/>
        <family val="3"/>
        <charset val="134"/>
      </rPr>
      <t>应收账款性质</t>
    </r>
  </si>
  <si>
    <r>
      <rPr>
        <b/>
        <sz val="10"/>
        <rFont val="宋体"/>
        <family val="3"/>
        <charset val="134"/>
      </rPr>
      <t>核销原因</t>
    </r>
  </si>
  <si>
    <r>
      <rPr>
        <b/>
        <sz val="10"/>
        <rFont val="宋体"/>
        <family val="3"/>
        <charset val="134"/>
      </rPr>
      <t>履行的核销程序</t>
    </r>
  </si>
  <si>
    <r>
      <rPr>
        <b/>
        <sz val="10"/>
        <rFont val="宋体"/>
        <family val="3"/>
        <charset val="134"/>
      </rPr>
      <t>是否由关联交易产生</t>
    </r>
  </si>
  <si>
    <r>
      <rPr>
        <b/>
        <sz val="10"/>
        <rFont val="宋体"/>
        <family val="3"/>
        <charset val="134"/>
      </rPr>
      <t>（</t>
    </r>
    <r>
      <rPr>
        <b/>
        <sz val="10"/>
        <rFont val="Arial Narrow"/>
        <family val="2"/>
      </rPr>
      <t>4</t>
    </r>
    <r>
      <rPr>
        <b/>
        <sz val="10"/>
        <rFont val="宋体"/>
        <family val="3"/>
        <charset val="134"/>
      </rPr>
      <t>）按欠款方归集的应收账款期末余额前五名单位情况</t>
    </r>
  </si>
  <si>
    <r>
      <rPr>
        <sz val="10"/>
        <color rgb="FF00B0F0"/>
        <rFont val="宋体"/>
        <family val="3"/>
        <charset val="134"/>
      </rPr>
      <t>汇总披露格式：</t>
    </r>
  </si>
  <si>
    <r>
      <rPr>
        <sz val="10"/>
        <rFont val="宋体"/>
        <family val="3"/>
        <charset val="134"/>
      </rPr>
      <t>本期按欠款方归集的期末余额前五名应收账款汇总金额</t>
    </r>
    <r>
      <rPr>
        <sz val="10"/>
        <rFont val="Arial Narrow"/>
        <family val="2"/>
      </rPr>
      <t>XXXX</t>
    </r>
    <r>
      <rPr>
        <sz val="10"/>
        <rFont val="宋体"/>
        <family val="3"/>
        <charset val="134"/>
      </rPr>
      <t>元，占应收账款期末余额合计数的比例</t>
    </r>
    <r>
      <rPr>
        <u/>
        <sz val="10"/>
        <rFont val="Arial Narrow"/>
        <family val="2"/>
      </rPr>
      <t xml:space="preserve">      </t>
    </r>
    <r>
      <rPr>
        <sz val="10"/>
        <rFont val="Arial Narrow"/>
        <family val="2"/>
      </rPr>
      <t>%</t>
    </r>
    <r>
      <rPr>
        <sz val="10"/>
        <rFont val="宋体"/>
        <family val="3"/>
        <charset val="134"/>
      </rPr>
      <t>，相应计提的坏账准备期末余额汇总金额</t>
    </r>
    <r>
      <rPr>
        <sz val="10"/>
        <rFont val="Arial Narrow"/>
        <family val="2"/>
      </rPr>
      <t xml:space="preserve"> XXXX</t>
    </r>
    <r>
      <rPr>
        <sz val="10"/>
        <rFont val="宋体"/>
        <family val="3"/>
        <charset val="134"/>
      </rPr>
      <t>元。</t>
    </r>
  </si>
  <si>
    <r>
      <rPr>
        <sz val="10"/>
        <color rgb="FF00B0F0"/>
        <rFont val="宋体"/>
        <family val="3"/>
        <charset val="134"/>
      </rPr>
      <t>分别披露格式：</t>
    </r>
  </si>
  <si>
    <r>
      <rPr>
        <b/>
        <sz val="10"/>
        <rFont val="宋体"/>
        <family val="3"/>
        <charset val="134"/>
      </rPr>
      <t>应收账款期末余额</t>
    </r>
  </si>
  <si>
    <r>
      <rPr>
        <b/>
        <sz val="10"/>
        <rFont val="宋体"/>
        <family val="3"/>
        <charset val="134"/>
      </rPr>
      <t>占应收账款期末余额合计数的比例</t>
    </r>
    <r>
      <rPr>
        <b/>
        <sz val="10"/>
        <rFont val="Arial Narrow"/>
        <family val="2"/>
      </rPr>
      <t>%</t>
    </r>
  </si>
  <si>
    <r>
      <rPr>
        <b/>
        <sz val="10"/>
        <rFont val="宋体"/>
        <family val="3"/>
        <charset val="134"/>
      </rPr>
      <t>坏账准备期末余额</t>
    </r>
  </si>
  <si>
    <r>
      <rPr>
        <b/>
        <sz val="10"/>
        <rFont val="宋体"/>
        <family val="3"/>
        <charset val="134"/>
      </rPr>
      <t>（</t>
    </r>
    <r>
      <rPr>
        <b/>
        <sz val="10"/>
        <rFont val="Arial Narrow"/>
        <family val="2"/>
      </rPr>
      <t>5</t>
    </r>
    <r>
      <rPr>
        <b/>
        <sz val="10"/>
        <rFont val="宋体"/>
        <family val="3"/>
        <charset val="134"/>
      </rPr>
      <t>）因金融资产转移而终止确认的应收账款情况</t>
    </r>
  </si>
  <si>
    <r>
      <rPr>
        <b/>
        <sz val="10"/>
        <rFont val="宋体"/>
        <family val="3"/>
        <charset val="134"/>
      </rPr>
      <t>项</t>
    </r>
    <r>
      <rPr>
        <b/>
        <sz val="10"/>
        <rFont val="Arial Narrow"/>
        <family val="2"/>
      </rPr>
      <t xml:space="preserve">  </t>
    </r>
    <r>
      <rPr>
        <b/>
        <sz val="10"/>
        <rFont val="宋体"/>
        <family val="3"/>
        <charset val="134"/>
      </rPr>
      <t>目</t>
    </r>
  </si>
  <si>
    <r>
      <rPr>
        <b/>
        <sz val="10"/>
        <rFont val="宋体"/>
        <family val="3"/>
        <charset val="134"/>
      </rPr>
      <t>转移方式</t>
    </r>
  </si>
  <si>
    <r>
      <rPr>
        <b/>
        <sz val="10"/>
        <rFont val="宋体"/>
        <family val="3"/>
        <charset val="134"/>
      </rPr>
      <t>终止确认金额</t>
    </r>
  </si>
  <si>
    <r>
      <rPr>
        <b/>
        <sz val="10"/>
        <rFont val="宋体"/>
        <family val="3"/>
        <charset val="134"/>
      </rPr>
      <t>与终止确认相关的利得或损失</t>
    </r>
  </si>
  <si>
    <r>
      <rPr>
        <sz val="10"/>
        <rFont val="宋体"/>
        <family val="3"/>
        <charset val="134"/>
      </rPr>
      <t>①</t>
    </r>
    <r>
      <rPr>
        <sz val="10"/>
        <color rgb="FFFF0000"/>
        <rFont val="宋体"/>
        <family val="3"/>
        <charset val="134"/>
      </rPr>
      <t>期末，本集团因办理了不附追索权的应收账款保理，保理金额为</t>
    </r>
    <r>
      <rPr>
        <sz val="10"/>
        <color rgb="FFFF0000"/>
        <rFont val="Arial Narrow"/>
        <family val="2"/>
      </rPr>
      <t>XXX</t>
    </r>
    <r>
      <rPr>
        <sz val="10"/>
        <color rgb="FFFF0000"/>
        <rFont val="宋体"/>
        <family val="3"/>
        <charset val="134"/>
      </rPr>
      <t>元，同时终止确认应收账款账面价值为</t>
    </r>
    <r>
      <rPr>
        <sz val="10"/>
        <color rgb="FFFF0000"/>
        <rFont val="Arial Narrow"/>
        <family val="2"/>
      </rPr>
      <t>XXX</t>
    </r>
    <r>
      <rPr>
        <sz val="10"/>
        <color rgb="FFFF0000"/>
        <rFont val="宋体"/>
        <family val="3"/>
        <charset val="134"/>
      </rPr>
      <t>元，账面余额为</t>
    </r>
    <r>
      <rPr>
        <sz val="10"/>
        <color rgb="FFFF0000"/>
        <rFont val="Arial Narrow"/>
        <family val="2"/>
      </rPr>
      <t>XXX</t>
    </r>
    <r>
      <rPr>
        <sz val="10"/>
        <color rgb="FFFF0000"/>
        <rFont val="宋体"/>
        <family val="3"/>
        <charset val="134"/>
      </rPr>
      <t>元，账龄为一年以内，已计提坏账准备</t>
    </r>
    <r>
      <rPr>
        <sz val="10"/>
        <color rgb="FFFF0000"/>
        <rFont val="Arial Narrow"/>
        <family val="2"/>
      </rPr>
      <t>XXX</t>
    </r>
    <r>
      <rPr>
        <sz val="10"/>
        <color rgb="FFFF0000"/>
        <rFont val="宋体"/>
        <family val="3"/>
        <charset val="134"/>
      </rPr>
      <t>元。</t>
    </r>
  </si>
  <si>
    <r>
      <rPr>
        <sz val="10"/>
        <rFont val="宋体"/>
        <family val="3"/>
        <charset val="134"/>
      </rPr>
      <t>②（</t>
    </r>
    <r>
      <rPr>
        <sz val="10"/>
        <color rgb="FF0000FF"/>
        <rFont val="宋体"/>
        <family val="3"/>
        <charset val="134"/>
      </rPr>
      <t>不符合终止确认条件的应收账款的转移，应在附注中单独列示其金额。）参考披露格式：</t>
    </r>
  </si>
  <si>
    <r>
      <rPr>
        <sz val="10"/>
        <rFont val="宋体"/>
        <family val="3"/>
        <charset val="134"/>
      </rPr>
      <t>期末，本集团共有账面价值为</t>
    </r>
    <r>
      <rPr>
        <sz val="10"/>
        <color rgb="FFFF0000"/>
        <rFont val="Arial Narrow"/>
        <family val="2"/>
      </rPr>
      <t>XXX</t>
    </r>
    <r>
      <rPr>
        <sz val="10"/>
        <color rgb="FFFF0000"/>
        <rFont val="宋体"/>
        <family val="3"/>
        <charset val="134"/>
      </rPr>
      <t>元的应收账款，账面余额为</t>
    </r>
    <r>
      <rPr>
        <sz val="10"/>
        <color rgb="FFFF0000"/>
        <rFont val="Arial Narrow"/>
        <family val="2"/>
      </rPr>
      <t>XXX</t>
    </r>
    <r>
      <rPr>
        <sz val="10"/>
        <color rgb="FFFF0000"/>
        <rFont val="宋体"/>
        <family val="3"/>
        <charset val="134"/>
      </rPr>
      <t>元，已计提坏账准备</t>
    </r>
    <r>
      <rPr>
        <sz val="10"/>
        <color rgb="FFFF0000"/>
        <rFont val="Arial Narrow"/>
        <family val="2"/>
      </rPr>
      <t>XXX</t>
    </r>
    <r>
      <rPr>
        <sz val="10"/>
        <color rgb="FFFF0000"/>
        <rFont val="宋体"/>
        <family val="3"/>
        <charset val="134"/>
      </rPr>
      <t>元，质押给银行取得短期借款</t>
    </r>
    <r>
      <rPr>
        <sz val="10"/>
        <color rgb="FFFF0000"/>
        <rFont val="Arial Narrow"/>
        <family val="2"/>
      </rPr>
      <t>XXX</t>
    </r>
    <r>
      <rPr>
        <sz val="10"/>
        <color rgb="FFFF0000"/>
        <rFont val="宋体"/>
        <family val="3"/>
        <charset val="134"/>
      </rPr>
      <t>元。</t>
    </r>
  </si>
  <si>
    <r>
      <rPr>
        <b/>
        <sz val="10"/>
        <rFont val="宋体"/>
        <family val="3"/>
        <charset val="134"/>
      </rPr>
      <t>（</t>
    </r>
    <r>
      <rPr>
        <b/>
        <sz val="10"/>
        <rFont val="Arial Narrow"/>
        <family val="2"/>
      </rPr>
      <t>6</t>
    </r>
    <r>
      <rPr>
        <b/>
        <sz val="10"/>
        <rFont val="宋体"/>
        <family val="3"/>
        <charset val="134"/>
      </rPr>
      <t>）转移应收账款且继续涉入形成的资产、负债的金额</t>
    </r>
  </si>
  <si>
    <r>
      <rPr>
        <b/>
        <sz val="10"/>
        <rFont val="宋体"/>
        <family val="3"/>
        <charset val="134"/>
      </rPr>
      <t>期末数</t>
    </r>
  </si>
  <si>
    <r>
      <rPr>
        <sz val="10"/>
        <rFont val="宋体"/>
        <family val="3"/>
        <charset val="134"/>
      </rPr>
      <t>资产：</t>
    </r>
  </si>
  <si>
    <r>
      <rPr>
        <sz val="10"/>
        <rFont val="宋体"/>
        <family val="3"/>
        <charset val="134"/>
      </rPr>
      <t>资产小计</t>
    </r>
  </si>
  <si>
    <t>X.XX</t>
  </si>
  <si>
    <r>
      <rPr>
        <sz val="10"/>
        <rFont val="宋体"/>
        <family val="3"/>
        <charset val="134"/>
      </rPr>
      <t>负债：</t>
    </r>
  </si>
  <si>
    <r>
      <rPr>
        <sz val="10"/>
        <rFont val="宋体"/>
        <family val="3"/>
        <charset val="134"/>
      </rPr>
      <t>负债小计</t>
    </r>
  </si>
  <si>
    <r>
      <rPr>
        <sz val="10"/>
        <rFont val="宋体"/>
        <family val="3"/>
        <charset val="134"/>
      </rPr>
      <t>说明：</t>
    </r>
    <r>
      <rPr>
        <sz val="10"/>
        <color rgb="FF0000FF"/>
        <rFont val="宋体"/>
        <family val="3"/>
        <charset val="134"/>
      </rPr>
      <t>（资产转移方式；未全部终止确认的被转移金融资产与相关负债之间的关系，已终止确认的金融资产继续涉入的性质及相关风险的信息。）</t>
    </r>
  </si>
  <si>
    <r>
      <rPr>
        <b/>
        <sz val="12"/>
        <rFont val="宋体"/>
        <family val="3"/>
        <charset val="134"/>
      </rPr>
      <t>预付款项</t>
    </r>
  </si>
  <si>
    <r>
      <rPr>
        <b/>
        <sz val="10"/>
        <rFont val="宋体"/>
        <family val="3"/>
        <charset val="134"/>
      </rPr>
      <t>（</t>
    </r>
    <r>
      <rPr>
        <b/>
        <sz val="10"/>
        <rFont val="Arial Narrow"/>
        <family val="2"/>
      </rPr>
      <t>1</t>
    </r>
    <r>
      <rPr>
        <b/>
        <sz val="10"/>
        <rFont val="宋体"/>
        <family val="3"/>
        <charset val="134"/>
      </rPr>
      <t>）账龄分析</t>
    </r>
  </si>
  <si>
    <r>
      <rPr>
        <b/>
        <sz val="10"/>
        <rFont val="宋体"/>
        <family val="3"/>
        <charset val="134"/>
      </rPr>
      <t>期</t>
    </r>
    <r>
      <rPr>
        <b/>
        <sz val="10"/>
        <rFont val="Arial Narrow"/>
        <family val="2"/>
      </rPr>
      <t xml:space="preserve"> </t>
    </r>
    <r>
      <rPr>
        <b/>
        <sz val="10"/>
        <rFont val="宋体"/>
        <family val="3"/>
        <charset val="134"/>
      </rPr>
      <t>末</t>
    </r>
  </si>
  <si>
    <r>
      <rPr>
        <b/>
        <sz val="10"/>
        <rFont val="宋体"/>
        <family val="3"/>
        <charset val="134"/>
      </rPr>
      <t>金</t>
    </r>
    <r>
      <rPr>
        <b/>
        <sz val="10"/>
        <rFont val="Arial Narrow"/>
        <family val="2"/>
      </rPr>
      <t xml:space="preserve">  </t>
    </r>
    <r>
      <rPr>
        <b/>
        <sz val="10"/>
        <rFont val="宋体"/>
        <family val="3"/>
        <charset val="134"/>
      </rPr>
      <t>额</t>
    </r>
  </si>
  <si>
    <r>
      <rPr>
        <b/>
        <sz val="10"/>
        <rFont val="宋体"/>
        <family val="3"/>
        <charset val="134"/>
      </rPr>
      <t>比例</t>
    </r>
    <r>
      <rPr>
        <b/>
        <sz val="10"/>
        <rFont val="Arial Narrow"/>
        <family val="2"/>
      </rPr>
      <t>%</t>
    </r>
  </si>
  <si>
    <r>
      <rPr>
        <sz val="10"/>
        <rFont val="Arial Narrow"/>
        <family val="2"/>
      </rPr>
      <t>3</t>
    </r>
    <r>
      <rPr>
        <sz val="10"/>
        <rFont val="宋体"/>
        <family val="3"/>
        <charset val="134"/>
      </rPr>
      <t>年以上</t>
    </r>
  </si>
  <si>
    <r>
      <rPr>
        <sz val="10"/>
        <rFont val="宋体"/>
        <family val="3"/>
        <charset val="134"/>
      </rPr>
      <t>账龄在</t>
    </r>
    <r>
      <rPr>
        <sz val="10"/>
        <rFont val="Arial Narrow"/>
        <family val="2"/>
      </rPr>
      <t>1</t>
    </r>
    <r>
      <rPr>
        <sz val="10"/>
        <rFont val="宋体"/>
        <family val="3"/>
        <charset val="134"/>
      </rPr>
      <t>年以上的预付款项超过</t>
    </r>
    <r>
      <rPr>
        <sz val="10"/>
        <rFont val="Arial Narrow"/>
        <family val="2"/>
      </rPr>
      <t>XX</t>
    </r>
    <r>
      <rPr>
        <sz val="10"/>
        <rFont val="宋体"/>
        <family val="3"/>
        <charset val="134"/>
      </rPr>
      <t>万元，请说明如下信息</t>
    </r>
  </si>
  <si>
    <r>
      <rPr>
        <b/>
        <sz val="10"/>
        <rFont val="宋体"/>
        <family val="3"/>
        <charset val="134"/>
      </rPr>
      <t>公司名称</t>
    </r>
  </si>
  <si>
    <r>
      <rPr>
        <b/>
        <sz val="10"/>
        <rFont val="宋体"/>
        <family val="3"/>
        <charset val="134"/>
      </rPr>
      <t>预付款项金额</t>
    </r>
  </si>
  <si>
    <r>
      <rPr>
        <b/>
        <sz val="10"/>
        <rFont val="宋体"/>
        <family val="3"/>
        <charset val="134"/>
      </rPr>
      <t>账龄超过一年的原因</t>
    </r>
  </si>
  <si>
    <r>
      <rPr>
        <sz val="10"/>
        <rFont val="宋体"/>
        <family val="3"/>
        <charset val="134"/>
      </rPr>
      <t>（</t>
    </r>
    <r>
      <rPr>
        <sz val="10"/>
        <rFont val="Arial Narrow"/>
        <family val="2"/>
      </rPr>
      <t>2</t>
    </r>
    <r>
      <rPr>
        <sz val="10"/>
        <rFont val="宋体"/>
        <family val="3"/>
        <charset val="134"/>
      </rPr>
      <t>）按预付对象归集的预付款项期末余额前五名单位情况</t>
    </r>
  </si>
  <si>
    <r>
      <rPr>
        <sz val="10"/>
        <color rgb="FF0000FF"/>
        <rFont val="宋体"/>
        <family val="3"/>
        <charset val="134"/>
      </rPr>
      <t>汇总披露格式：</t>
    </r>
  </si>
  <si>
    <r>
      <rPr>
        <sz val="10"/>
        <rFont val="宋体"/>
        <family val="3"/>
        <charset val="134"/>
      </rPr>
      <t>本期按预付对象归集的期末余额前五名预付款项汇总金额</t>
    </r>
    <r>
      <rPr>
        <sz val="10"/>
        <rFont val="Arial Narrow"/>
        <family val="2"/>
      </rPr>
      <t>XXXX</t>
    </r>
    <r>
      <rPr>
        <sz val="10"/>
        <rFont val="宋体"/>
        <family val="3"/>
        <charset val="134"/>
      </rPr>
      <t>元，占预付款项期末余额合计数的比例</t>
    </r>
    <r>
      <rPr>
        <u/>
        <sz val="10"/>
        <rFont val="Arial Narrow"/>
        <family val="2"/>
      </rPr>
      <t xml:space="preserve">      </t>
    </r>
    <r>
      <rPr>
        <sz val="10"/>
        <rFont val="Arial Narrow"/>
        <family val="2"/>
      </rPr>
      <t>%</t>
    </r>
    <r>
      <rPr>
        <sz val="10"/>
        <rFont val="宋体"/>
        <family val="3"/>
        <charset val="134"/>
      </rPr>
      <t>。</t>
    </r>
  </si>
  <si>
    <r>
      <rPr>
        <sz val="10"/>
        <color rgb="FF0000FF"/>
        <rFont val="宋体"/>
        <family val="3"/>
        <charset val="134"/>
      </rPr>
      <t>分别披露格式：</t>
    </r>
  </si>
  <si>
    <r>
      <rPr>
        <b/>
        <sz val="10"/>
        <rFont val="宋体"/>
        <family val="3"/>
        <charset val="134"/>
      </rPr>
      <t>预付款项期末余额</t>
    </r>
  </si>
  <si>
    <r>
      <rPr>
        <b/>
        <sz val="10"/>
        <rFont val="宋体"/>
        <family val="3"/>
        <charset val="134"/>
      </rPr>
      <t>占预付款项期末余额合计数的比例</t>
    </r>
    <r>
      <rPr>
        <b/>
        <sz val="10"/>
        <rFont val="Arial Narrow"/>
        <family val="2"/>
      </rPr>
      <t>%</t>
    </r>
  </si>
  <si>
    <t>公司名称</t>
  </si>
  <si>
    <t>财务期间</t>
  </si>
  <si>
    <t>内容</t>
  </si>
  <si>
    <t>期末</t>
  </si>
  <si>
    <t>应收利息</t>
  </si>
  <si>
    <t>应收股利</t>
  </si>
  <si>
    <r>
      <rPr>
        <b/>
        <sz val="12"/>
        <rFont val="宋体"/>
        <family val="3"/>
        <charset val="134"/>
      </rPr>
      <t>应收利息</t>
    </r>
  </si>
  <si>
    <r>
      <rPr>
        <sz val="10"/>
        <rFont val="宋体"/>
        <family val="3"/>
        <charset val="134"/>
      </rPr>
      <t>定期存款</t>
    </r>
  </si>
  <si>
    <r>
      <rPr>
        <sz val="10"/>
        <rFont val="宋体"/>
        <family val="3"/>
        <charset val="134"/>
      </rPr>
      <t>委托贷款</t>
    </r>
  </si>
  <si>
    <r>
      <rPr>
        <sz val="10"/>
        <rFont val="宋体"/>
        <family val="3"/>
        <charset val="134"/>
      </rPr>
      <t>债券投资</t>
    </r>
  </si>
  <si>
    <r>
      <rPr>
        <sz val="10"/>
        <color rgb="FF00B0F0"/>
        <rFont val="宋体"/>
        <family val="3"/>
        <charset val="134"/>
      </rPr>
      <t>可无限量添加行</t>
    </r>
  </si>
  <si>
    <r>
      <rPr>
        <sz val="10"/>
        <rFont val="宋体"/>
        <family val="3"/>
        <charset val="134"/>
      </rPr>
      <t>其中，</t>
    </r>
    <r>
      <rPr>
        <sz val="10"/>
        <color rgb="FF000000"/>
        <rFont val="宋体"/>
        <family val="3"/>
        <charset val="134"/>
      </rPr>
      <t>重要的逾期应收利息如下</t>
    </r>
    <r>
      <rPr>
        <sz val="10"/>
        <rFont val="宋体"/>
        <family val="3"/>
        <charset val="134"/>
      </rPr>
      <t>：</t>
    </r>
  </si>
  <si>
    <r>
      <rPr>
        <b/>
        <sz val="10"/>
        <rFont val="宋体"/>
        <family val="3"/>
        <charset val="134"/>
      </rPr>
      <t>借款单位</t>
    </r>
  </si>
  <si>
    <r>
      <rPr>
        <b/>
        <sz val="10"/>
        <color rgb="FF000000"/>
        <rFont val="宋体"/>
        <family val="3"/>
        <charset val="134"/>
      </rPr>
      <t>期末数</t>
    </r>
  </si>
  <si>
    <r>
      <rPr>
        <b/>
        <sz val="10"/>
        <rFont val="宋体"/>
        <family val="3"/>
        <charset val="134"/>
      </rPr>
      <t>逾期时间</t>
    </r>
  </si>
  <si>
    <r>
      <rPr>
        <b/>
        <sz val="10"/>
        <rFont val="宋体"/>
        <family val="3"/>
        <charset val="134"/>
      </rPr>
      <t>逾期原因</t>
    </r>
  </si>
  <si>
    <r>
      <rPr>
        <b/>
        <sz val="10"/>
        <rFont val="宋体"/>
        <family val="3"/>
        <charset val="134"/>
      </rPr>
      <t>是否发生减值及其原因</t>
    </r>
  </si>
  <si>
    <r>
      <rPr>
        <sz val="10"/>
        <color rgb="FF0000FF"/>
        <rFont val="宋体"/>
        <family val="3"/>
        <charset val="134"/>
      </rPr>
      <t>（对于重要的逾期应收利息，应按借款单位披露应收利息的期末余额、逾期时间和逾期原因、是否发生减值的判断。）</t>
    </r>
  </si>
  <si>
    <r>
      <rPr>
        <b/>
        <sz val="12"/>
        <rFont val="宋体"/>
        <family val="3"/>
        <charset val="134"/>
      </rPr>
      <t>应收股利</t>
    </r>
  </si>
  <si>
    <r>
      <rPr>
        <b/>
        <sz val="10"/>
        <rFont val="宋体"/>
        <family val="3"/>
        <charset val="134"/>
      </rPr>
      <t>被投资单位名称</t>
    </r>
  </si>
  <si>
    <r>
      <rPr>
        <sz val="10"/>
        <rFont val="宋体"/>
        <family val="3"/>
        <charset val="134"/>
      </rPr>
      <t>其中，重要的账龄超过</t>
    </r>
    <r>
      <rPr>
        <sz val="10"/>
        <rFont val="Arial Narrow"/>
        <family val="2"/>
      </rPr>
      <t>1</t>
    </r>
    <r>
      <rPr>
        <sz val="10"/>
        <rFont val="宋体"/>
        <family val="3"/>
        <charset val="134"/>
      </rPr>
      <t>年的应收股利如下：</t>
    </r>
  </si>
  <si>
    <r>
      <rPr>
        <b/>
        <sz val="10"/>
        <rFont val="宋体"/>
        <family val="3"/>
        <charset val="134"/>
      </rPr>
      <t>项目</t>
    </r>
    <r>
      <rPr>
        <b/>
        <sz val="10"/>
        <color rgb="FF0000FF"/>
        <rFont val="宋体"/>
        <family val="3"/>
        <charset val="134"/>
      </rPr>
      <t>（或被投资单位）</t>
    </r>
  </si>
  <si>
    <r>
      <rPr>
        <b/>
        <sz val="10"/>
        <rFont val="宋体"/>
        <family val="3"/>
        <charset val="134"/>
      </rPr>
      <t>账龄</t>
    </r>
  </si>
  <si>
    <r>
      <rPr>
        <b/>
        <sz val="10"/>
        <color rgb="FF000000"/>
        <rFont val="宋体"/>
        <family val="3"/>
        <charset val="134"/>
      </rPr>
      <t>未收回的原因</t>
    </r>
  </si>
  <si>
    <r>
      <rPr>
        <b/>
        <sz val="10"/>
        <color rgb="FF000000"/>
        <rFont val="宋体"/>
        <family val="3"/>
        <charset val="134"/>
      </rPr>
      <t>是否发生减值及其判断依据</t>
    </r>
  </si>
  <si>
    <r>
      <rPr>
        <sz val="10"/>
        <rFont val="宋体"/>
        <family val="3"/>
        <charset val="134"/>
      </rPr>
      <t>（对于重要的账龄超过</t>
    </r>
    <r>
      <rPr>
        <sz val="10"/>
        <rFont val="Arial Narrow"/>
        <family val="2"/>
      </rPr>
      <t xml:space="preserve">1 </t>
    </r>
    <r>
      <rPr>
        <sz val="10"/>
        <rFont val="宋体"/>
        <family val="3"/>
        <charset val="134"/>
      </rPr>
      <t>年的应收股利，应披露未收回的原因和对相关款项是否发生减值的判断。）</t>
    </r>
  </si>
  <si>
    <r>
      <rPr>
        <b/>
        <sz val="12"/>
        <rFont val="宋体"/>
        <family val="3"/>
        <charset val="134"/>
      </rPr>
      <t>其他应收款</t>
    </r>
  </si>
  <si>
    <r>
      <rPr>
        <sz val="10"/>
        <rFont val="宋体"/>
        <family val="3"/>
        <charset val="134"/>
      </rPr>
      <t>单项金额重大的其他应收款</t>
    </r>
    <r>
      <rPr>
        <sz val="10"/>
        <rFont val="Arial Narrow"/>
        <family val="2"/>
      </rPr>
      <t>(XX</t>
    </r>
    <r>
      <rPr>
        <sz val="10"/>
        <rFont val="宋体"/>
        <family val="3"/>
        <charset val="134"/>
      </rPr>
      <t>万元以上</t>
    </r>
    <r>
      <rPr>
        <sz val="10"/>
        <rFont val="Arial Narrow"/>
        <family val="2"/>
      </rPr>
      <t>)</t>
    </r>
  </si>
  <si>
    <r>
      <rPr>
        <sz val="10"/>
        <rFont val="宋体"/>
        <family val="3"/>
        <charset val="134"/>
      </rPr>
      <t>单项金额不重大但按信用风险特征组合后该组合的风险较大的其他应收款</t>
    </r>
  </si>
  <si>
    <r>
      <rPr>
        <sz val="10"/>
        <rFont val="宋体"/>
        <family val="3"/>
        <charset val="134"/>
      </rPr>
      <t>其他不重大其他应收款</t>
    </r>
  </si>
  <si>
    <r>
      <rPr>
        <sz val="10"/>
        <rFont val="宋体"/>
        <family val="3"/>
        <charset val="134"/>
      </rPr>
      <t>（</t>
    </r>
    <r>
      <rPr>
        <sz val="10"/>
        <rFont val="Arial Narrow"/>
        <family val="2"/>
      </rPr>
      <t>1</t>
    </r>
    <r>
      <rPr>
        <sz val="10"/>
        <rFont val="宋体"/>
        <family val="3"/>
        <charset val="134"/>
      </rPr>
      <t>）</t>
    </r>
    <r>
      <rPr>
        <sz val="10"/>
        <rFont val="Arial Narrow"/>
        <family val="2"/>
      </rPr>
      <t>B</t>
    </r>
    <r>
      <rPr>
        <sz val="10"/>
        <rFont val="宋体"/>
        <family val="3"/>
        <charset val="134"/>
      </rPr>
      <t>、期末单项金额重大并单项计提坏账准备的其他应收款</t>
    </r>
  </si>
  <si>
    <r>
      <rPr>
        <b/>
        <sz val="10"/>
        <rFont val="宋体"/>
        <family val="3"/>
        <charset val="134"/>
      </rPr>
      <t>其他应收款（按单位）</t>
    </r>
  </si>
  <si>
    <r>
      <rPr>
        <sz val="10"/>
        <rFont val="宋体"/>
        <family val="3"/>
        <charset val="134"/>
      </rPr>
      <t>（</t>
    </r>
    <r>
      <rPr>
        <sz val="10"/>
        <rFont val="Arial Narrow"/>
        <family val="2"/>
      </rPr>
      <t>1</t>
    </r>
    <r>
      <rPr>
        <sz val="10"/>
        <rFont val="宋体"/>
        <family val="3"/>
        <charset val="134"/>
      </rPr>
      <t>）</t>
    </r>
    <r>
      <rPr>
        <sz val="10"/>
        <rFont val="Arial Narrow"/>
        <family val="2"/>
      </rPr>
      <t>C</t>
    </r>
    <r>
      <rPr>
        <sz val="10"/>
        <rFont val="宋体"/>
        <family val="3"/>
        <charset val="134"/>
      </rPr>
      <t>、账龄组合（和</t>
    </r>
    <r>
      <rPr>
        <sz val="10"/>
        <rFont val="Arial Narrow"/>
        <family val="2"/>
      </rPr>
      <t>XX</t>
    </r>
    <r>
      <rPr>
        <sz val="10"/>
        <rFont val="宋体"/>
        <family val="3"/>
        <charset val="134"/>
      </rPr>
      <t>组合），按账龄分析法计提坏账准备的其他应收账款</t>
    </r>
  </si>
  <si>
    <r>
      <rPr>
        <sz val="10"/>
        <rFont val="宋体"/>
        <family val="3"/>
        <charset val="134"/>
      </rPr>
      <t>（</t>
    </r>
    <r>
      <rPr>
        <sz val="10"/>
        <rFont val="Arial Narrow"/>
        <family val="2"/>
      </rPr>
      <t>2</t>
    </r>
    <r>
      <rPr>
        <sz val="10"/>
        <rFont val="宋体"/>
        <family val="3"/>
        <charset val="134"/>
      </rPr>
      <t>）本期计提、收回或转回的坏账准备情况</t>
    </r>
  </si>
  <si>
    <r>
      <rPr>
        <sz val="10"/>
        <rFont val="宋体"/>
        <family val="3"/>
        <charset val="134"/>
      </rPr>
      <t>（</t>
    </r>
    <r>
      <rPr>
        <sz val="10"/>
        <rFont val="Arial Narrow"/>
        <family val="2"/>
      </rPr>
      <t>3</t>
    </r>
    <r>
      <rPr>
        <sz val="10"/>
        <rFont val="宋体"/>
        <family val="3"/>
        <charset val="134"/>
      </rPr>
      <t>）本期实际核销的其他应收账款情况</t>
    </r>
  </si>
  <si>
    <r>
      <rPr>
        <sz val="10"/>
        <rFont val="宋体"/>
        <family val="3"/>
        <charset val="134"/>
      </rPr>
      <t>实际核销的其他应收账款</t>
    </r>
  </si>
  <si>
    <r>
      <rPr>
        <sz val="10"/>
        <rFont val="宋体"/>
        <family val="3"/>
        <charset val="134"/>
      </rPr>
      <t>其中，重要的其他应收账款核销情况（逐项披露）：</t>
    </r>
  </si>
  <si>
    <r>
      <rPr>
        <b/>
        <sz val="10"/>
        <rFont val="宋体"/>
        <family val="3"/>
        <charset val="134"/>
      </rPr>
      <t>其他应收账款性质</t>
    </r>
  </si>
  <si>
    <r>
      <rPr>
        <sz val="10"/>
        <rFont val="宋体"/>
        <family val="3"/>
        <charset val="134"/>
      </rPr>
      <t>（</t>
    </r>
    <r>
      <rPr>
        <sz val="10"/>
        <rFont val="Arial Narrow"/>
        <family val="2"/>
      </rPr>
      <t>4</t>
    </r>
    <r>
      <rPr>
        <sz val="10"/>
        <rFont val="宋体"/>
        <family val="3"/>
        <charset val="134"/>
      </rPr>
      <t>）其他应收款按款项性质披露</t>
    </r>
  </si>
  <si>
    <r>
      <rPr>
        <sz val="10"/>
        <rFont val="宋体"/>
        <family val="3"/>
        <charset val="134"/>
      </rPr>
      <t>项</t>
    </r>
    <r>
      <rPr>
        <sz val="10"/>
        <rFont val="Arial Narrow"/>
        <family val="2"/>
      </rPr>
      <t xml:space="preserve"> </t>
    </r>
    <r>
      <rPr>
        <sz val="10"/>
        <rFont val="宋体"/>
        <family val="3"/>
        <charset val="134"/>
      </rPr>
      <t>目</t>
    </r>
  </si>
  <si>
    <r>
      <rPr>
        <sz val="10"/>
        <rFont val="宋体"/>
        <family val="3"/>
        <charset val="134"/>
      </rPr>
      <t>期末余额</t>
    </r>
  </si>
  <si>
    <r>
      <rPr>
        <sz val="10"/>
        <color rgb="FFFF0000"/>
        <rFont val="宋体"/>
        <family val="3"/>
        <charset val="134"/>
      </rPr>
      <t>备用金</t>
    </r>
  </si>
  <si>
    <r>
      <rPr>
        <sz val="10"/>
        <color rgb="FFFF0000"/>
        <rFont val="宋体"/>
        <family val="3"/>
        <charset val="134"/>
      </rPr>
      <t>保证金</t>
    </r>
  </si>
  <si>
    <r>
      <rPr>
        <sz val="10"/>
        <rFont val="宋体"/>
        <family val="3"/>
        <charset val="134"/>
      </rPr>
      <t>（</t>
    </r>
    <r>
      <rPr>
        <sz val="10"/>
        <rFont val="Arial Narrow"/>
        <family val="2"/>
      </rPr>
      <t>5</t>
    </r>
    <r>
      <rPr>
        <sz val="10"/>
        <rFont val="宋体"/>
        <family val="3"/>
        <charset val="134"/>
      </rPr>
      <t>）按欠款方归集的其他应收账款期末余额前五名单位情况</t>
    </r>
  </si>
  <si>
    <r>
      <rPr>
        <sz val="10"/>
        <rFont val="宋体"/>
        <family val="3"/>
        <charset val="134"/>
      </rPr>
      <t>本期按欠款方归集的期末余额前五名其他应收账款汇总金额</t>
    </r>
    <r>
      <rPr>
        <sz val="10"/>
        <rFont val="Arial Narrow"/>
        <family val="2"/>
      </rPr>
      <t>XXXX</t>
    </r>
    <r>
      <rPr>
        <sz val="10"/>
        <rFont val="宋体"/>
        <family val="3"/>
        <charset val="134"/>
      </rPr>
      <t>元，占其他应收账款期末余额合计数的比例</t>
    </r>
    <r>
      <rPr>
        <sz val="10"/>
        <rFont val="Arial Narrow"/>
        <family val="2"/>
      </rPr>
      <t xml:space="preserve">      %</t>
    </r>
    <r>
      <rPr>
        <sz val="10"/>
        <rFont val="宋体"/>
        <family val="3"/>
        <charset val="134"/>
      </rPr>
      <t>，相应计提的坏账准备期末余额汇总金额</t>
    </r>
    <r>
      <rPr>
        <sz val="10"/>
        <rFont val="Arial Narrow"/>
        <family val="2"/>
      </rPr>
      <t xml:space="preserve"> XXXX</t>
    </r>
    <r>
      <rPr>
        <sz val="10"/>
        <rFont val="宋体"/>
        <family val="3"/>
        <charset val="134"/>
      </rPr>
      <t>元。</t>
    </r>
  </si>
  <si>
    <r>
      <rPr>
        <b/>
        <sz val="10"/>
        <rFont val="宋体"/>
        <family val="3"/>
        <charset val="134"/>
      </rPr>
      <t>其他应收账款期末余额</t>
    </r>
  </si>
  <si>
    <r>
      <rPr>
        <b/>
        <sz val="10"/>
        <rFont val="宋体"/>
        <family val="3"/>
        <charset val="134"/>
      </rPr>
      <t>占其他应收账款期末余额合计数的比例</t>
    </r>
    <r>
      <rPr>
        <b/>
        <sz val="10"/>
        <rFont val="Arial Narrow"/>
        <family val="2"/>
      </rPr>
      <t>%</t>
    </r>
  </si>
  <si>
    <r>
      <rPr>
        <sz val="10"/>
        <rFont val="宋体"/>
        <family val="3"/>
        <charset val="134"/>
      </rPr>
      <t>（</t>
    </r>
    <r>
      <rPr>
        <sz val="10"/>
        <rFont val="Arial Narrow"/>
        <family val="2"/>
      </rPr>
      <t>6</t>
    </r>
    <r>
      <rPr>
        <sz val="10"/>
        <rFont val="宋体"/>
        <family val="3"/>
        <charset val="134"/>
      </rPr>
      <t>）应收政府补助情况（逐项披露）</t>
    </r>
  </si>
  <si>
    <r>
      <rPr>
        <b/>
        <sz val="10"/>
        <rFont val="宋体"/>
        <family val="3"/>
        <charset val="134"/>
      </rPr>
      <t>单位名称（</t>
    </r>
    <r>
      <rPr>
        <b/>
        <sz val="10"/>
        <color rgb="FF0070C0"/>
        <rFont val="宋体"/>
        <family val="3"/>
        <charset val="134"/>
      </rPr>
      <t>注：政府补助的发文单位</t>
    </r>
    <r>
      <rPr>
        <b/>
        <sz val="10"/>
        <rFont val="宋体"/>
        <family val="3"/>
        <charset val="134"/>
      </rPr>
      <t>）</t>
    </r>
  </si>
  <si>
    <r>
      <rPr>
        <b/>
        <sz val="10"/>
        <rFont val="宋体"/>
        <family val="3"/>
        <charset val="134"/>
      </rPr>
      <t>政府补助项目名称</t>
    </r>
  </si>
  <si>
    <r>
      <rPr>
        <b/>
        <sz val="10"/>
        <rFont val="宋体"/>
        <family val="3"/>
        <charset val="134"/>
      </rPr>
      <t>期末余额</t>
    </r>
  </si>
  <si>
    <r>
      <rPr>
        <b/>
        <sz val="10"/>
        <rFont val="宋体"/>
        <family val="3"/>
        <charset val="134"/>
      </rPr>
      <t>期末账龄</t>
    </r>
  </si>
  <si>
    <r>
      <rPr>
        <b/>
        <sz val="10"/>
        <rFont val="宋体"/>
        <family val="3"/>
        <charset val="134"/>
      </rPr>
      <t>预计收取的时间、金额及依据</t>
    </r>
  </si>
  <si>
    <r>
      <rPr>
        <sz val="10"/>
        <rFont val="宋体"/>
        <family val="3"/>
        <charset val="134"/>
      </rPr>
      <t>（</t>
    </r>
    <r>
      <rPr>
        <sz val="10"/>
        <rFont val="Arial Narrow"/>
        <family val="2"/>
      </rPr>
      <t>7</t>
    </r>
    <r>
      <rPr>
        <sz val="10"/>
        <rFont val="宋体"/>
        <family val="3"/>
        <charset val="134"/>
      </rPr>
      <t>）因金融资产转移而终止确认的其他应收账款情况</t>
    </r>
  </si>
  <si>
    <r>
      <rPr>
        <sz val="10"/>
        <rFont val="宋体"/>
        <family val="3"/>
        <charset val="134"/>
      </rPr>
      <t>①期末，本集团因办理了不附追索权的其他应收账款保理，保理金额为</t>
    </r>
    <r>
      <rPr>
        <sz val="10"/>
        <rFont val="Arial Narrow"/>
        <family val="2"/>
      </rPr>
      <t>XXX</t>
    </r>
    <r>
      <rPr>
        <sz val="10"/>
        <rFont val="宋体"/>
        <family val="3"/>
        <charset val="134"/>
      </rPr>
      <t>元，同时终止确认其他应收账款账面价值为</t>
    </r>
    <r>
      <rPr>
        <sz val="10"/>
        <rFont val="Arial Narrow"/>
        <family val="2"/>
      </rPr>
      <t>XXX</t>
    </r>
    <r>
      <rPr>
        <sz val="10"/>
        <rFont val="宋体"/>
        <family val="3"/>
        <charset val="134"/>
      </rPr>
      <t>元，账面余额为</t>
    </r>
    <r>
      <rPr>
        <sz val="10"/>
        <rFont val="Arial Narrow"/>
        <family val="2"/>
      </rPr>
      <t>XXX</t>
    </r>
    <r>
      <rPr>
        <sz val="10"/>
        <rFont val="宋体"/>
        <family val="3"/>
        <charset val="134"/>
      </rPr>
      <t>元，账龄为一年以内，已计提坏账准备</t>
    </r>
    <r>
      <rPr>
        <sz val="10"/>
        <rFont val="Arial Narrow"/>
        <family val="2"/>
      </rPr>
      <t>XXX</t>
    </r>
    <r>
      <rPr>
        <sz val="10"/>
        <rFont val="宋体"/>
        <family val="3"/>
        <charset val="134"/>
      </rPr>
      <t>元。</t>
    </r>
  </si>
  <si>
    <r>
      <rPr>
        <sz val="10"/>
        <rFont val="宋体"/>
        <family val="3"/>
        <charset val="134"/>
      </rPr>
      <t>②（不符合终止确认条件的其他应收账款的转移，应在附注中单独列示其金额。）参考披露格式：</t>
    </r>
  </si>
  <si>
    <r>
      <rPr>
        <sz val="10"/>
        <rFont val="宋体"/>
        <family val="3"/>
        <charset val="134"/>
      </rPr>
      <t>期末，本集团共有账面价值为</t>
    </r>
    <r>
      <rPr>
        <sz val="10"/>
        <rFont val="Arial Narrow"/>
        <family val="2"/>
      </rPr>
      <t>XXX</t>
    </r>
    <r>
      <rPr>
        <sz val="10"/>
        <rFont val="宋体"/>
        <family val="3"/>
        <charset val="134"/>
      </rPr>
      <t>元的其他应收账款，账面余额为</t>
    </r>
    <r>
      <rPr>
        <sz val="10"/>
        <rFont val="Arial Narrow"/>
        <family val="2"/>
      </rPr>
      <t>XXX</t>
    </r>
    <r>
      <rPr>
        <sz val="10"/>
        <rFont val="宋体"/>
        <family val="3"/>
        <charset val="134"/>
      </rPr>
      <t>元，已计提坏账准备</t>
    </r>
    <r>
      <rPr>
        <sz val="10"/>
        <rFont val="Arial Narrow"/>
        <family val="2"/>
      </rPr>
      <t>XXX</t>
    </r>
    <r>
      <rPr>
        <sz val="10"/>
        <rFont val="宋体"/>
        <family val="3"/>
        <charset val="134"/>
      </rPr>
      <t>元，质押给银行取得短期借款</t>
    </r>
    <r>
      <rPr>
        <sz val="10"/>
        <rFont val="Arial Narrow"/>
        <family val="2"/>
      </rPr>
      <t>XXX</t>
    </r>
    <r>
      <rPr>
        <sz val="10"/>
        <rFont val="宋体"/>
        <family val="3"/>
        <charset val="134"/>
      </rPr>
      <t>元。</t>
    </r>
  </si>
  <si>
    <r>
      <rPr>
        <sz val="10"/>
        <rFont val="宋体"/>
        <family val="3"/>
        <charset val="134"/>
      </rPr>
      <t>（</t>
    </r>
    <r>
      <rPr>
        <sz val="10"/>
        <rFont val="Arial Narrow"/>
        <family val="2"/>
      </rPr>
      <t>8</t>
    </r>
    <r>
      <rPr>
        <sz val="10"/>
        <rFont val="宋体"/>
        <family val="3"/>
        <charset val="134"/>
      </rPr>
      <t>）转移其他应收账款且继续涉入形成的资产、负债的金额</t>
    </r>
  </si>
  <si>
    <r>
      <rPr>
        <b/>
        <sz val="12"/>
        <rFont val="宋体"/>
        <family val="3"/>
        <charset val="134"/>
      </rPr>
      <t>存货</t>
    </r>
  </si>
  <si>
    <r>
      <rPr>
        <b/>
        <sz val="12"/>
        <rFont val="宋体"/>
        <family val="3"/>
        <charset val="134"/>
      </rPr>
      <t>（</t>
    </r>
    <r>
      <rPr>
        <b/>
        <sz val="12"/>
        <rFont val="Arial Narrow"/>
        <family val="2"/>
      </rPr>
      <t>1</t>
    </r>
    <r>
      <rPr>
        <b/>
        <sz val="12"/>
        <rFont val="宋体"/>
        <family val="3"/>
        <charset val="134"/>
      </rPr>
      <t>）存货分项目列示</t>
    </r>
  </si>
  <si>
    <r>
      <rPr>
        <b/>
        <sz val="12"/>
        <rFont val="宋体"/>
        <family val="3"/>
        <charset val="134"/>
      </rPr>
      <t>期末数</t>
    </r>
  </si>
  <si>
    <r>
      <rPr>
        <b/>
        <sz val="12"/>
        <rFont val="宋体"/>
        <family val="3"/>
        <charset val="134"/>
      </rPr>
      <t>账面余额</t>
    </r>
  </si>
  <si>
    <r>
      <rPr>
        <b/>
        <sz val="12"/>
        <rFont val="宋体"/>
        <family val="3"/>
        <charset val="134"/>
      </rPr>
      <t>跌价准备</t>
    </r>
  </si>
  <si>
    <r>
      <rPr>
        <b/>
        <sz val="12"/>
        <rFont val="宋体"/>
        <family val="3"/>
        <charset val="134"/>
      </rPr>
      <t>账面价值</t>
    </r>
  </si>
  <si>
    <r>
      <rPr>
        <sz val="10"/>
        <rFont val="宋体"/>
        <family val="3"/>
        <charset val="134"/>
      </rPr>
      <t>原材料</t>
    </r>
  </si>
  <si>
    <r>
      <rPr>
        <sz val="10"/>
        <rFont val="宋体"/>
        <family val="3"/>
        <charset val="134"/>
      </rPr>
      <t>自制半成品及在产品</t>
    </r>
  </si>
  <si>
    <r>
      <rPr>
        <sz val="10"/>
        <rFont val="宋体"/>
        <family val="3"/>
        <charset val="134"/>
      </rPr>
      <t>库存商品（产成品）</t>
    </r>
  </si>
  <si>
    <r>
      <rPr>
        <sz val="10"/>
        <rFont val="宋体"/>
        <family val="3"/>
        <charset val="134"/>
      </rPr>
      <t>周转材料（包装物、低值易耗品等）</t>
    </r>
  </si>
  <si>
    <r>
      <rPr>
        <sz val="10"/>
        <rFont val="宋体"/>
        <family val="3"/>
        <charset val="134"/>
      </rPr>
      <t>消耗性生物资产</t>
    </r>
  </si>
  <si>
    <r>
      <rPr>
        <sz val="10"/>
        <rFont val="宋体"/>
        <family val="3"/>
        <charset val="134"/>
      </rPr>
      <t>房地产开发成本</t>
    </r>
  </si>
  <si>
    <r>
      <rPr>
        <sz val="10"/>
        <rFont val="宋体"/>
        <family val="3"/>
        <charset val="134"/>
      </rPr>
      <t>房地产开发产品</t>
    </r>
  </si>
  <si>
    <r>
      <rPr>
        <sz val="10"/>
        <color rgb="FF0000FF"/>
        <rFont val="宋体"/>
        <family val="3"/>
        <charset val="134"/>
      </rPr>
      <t>（注：根据企业具体情况分类，房地产开发企业应增加</t>
    </r>
    <r>
      <rPr>
        <sz val="10"/>
        <color rgb="FF0000FF"/>
        <rFont val="Arial Narrow"/>
        <family val="2"/>
      </rPr>
      <t>“</t>
    </r>
    <r>
      <rPr>
        <sz val="10"/>
        <color rgb="FF0000FF"/>
        <rFont val="宋体"/>
        <family val="3"/>
        <charset val="134"/>
      </rPr>
      <t>开发成本</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开发产品</t>
    </r>
    <r>
      <rPr>
        <sz val="10"/>
        <color rgb="FF0000FF"/>
        <rFont val="Arial Narrow"/>
        <family val="2"/>
      </rPr>
      <t>”</t>
    </r>
    <r>
      <rPr>
        <sz val="10"/>
        <color rgb="FF0000FF"/>
        <rFont val="宋体"/>
        <family val="3"/>
        <charset val="134"/>
      </rPr>
      <t>等种类）</t>
    </r>
  </si>
  <si>
    <r>
      <rPr>
        <b/>
        <sz val="12"/>
        <rFont val="宋体"/>
        <family val="3"/>
        <charset val="134"/>
      </rPr>
      <t>（</t>
    </r>
    <r>
      <rPr>
        <b/>
        <sz val="12"/>
        <rFont val="Arial Narrow"/>
        <family val="2"/>
      </rPr>
      <t>2</t>
    </r>
    <r>
      <rPr>
        <b/>
        <sz val="12"/>
        <rFont val="宋体"/>
        <family val="3"/>
        <charset val="134"/>
      </rPr>
      <t>）存货跌价准备</t>
    </r>
  </si>
  <si>
    <r>
      <rPr>
        <b/>
        <sz val="12"/>
        <color rgb="FF000000"/>
        <rFont val="宋体"/>
        <family val="3"/>
        <charset val="134"/>
      </rPr>
      <t>存货种类</t>
    </r>
  </si>
  <si>
    <r>
      <rPr>
        <b/>
        <sz val="12"/>
        <color rgb="FF000000"/>
        <rFont val="宋体"/>
        <family val="3"/>
        <charset val="134"/>
      </rPr>
      <t>期初数</t>
    </r>
  </si>
  <si>
    <r>
      <rPr>
        <b/>
        <sz val="12"/>
        <color rgb="FF000000"/>
        <rFont val="宋体"/>
        <family val="3"/>
        <charset val="134"/>
      </rPr>
      <t>本期增加</t>
    </r>
  </si>
  <si>
    <r>
      <rPr>
        <b/>
        <sz val="12"/>
        <color rgb="FF000000"/>
        <rFont val="宋体"/>
        <family val="3"/>
        <charset val="134"/>
      </rPr>
      <t>本期减少</t>
    </r>
  </si>
  <si>
    <r>
      <rPr>
        <b/>
        <sz val="12"/>
        <color rgb="FF000000"/>
        <rFont val="宋体"/>
        <family val="3"/>
        <charset val="134"/>
      </rPr>
      <t>期末数</t>
    </r>
  </si>
  <si>
    <r>
      <rPr>
        <b/>
        <sz val="12"/>
        <color rgb="FF000000"/>
        <rFont val="宋体"/>
        <family val="3"/>
        <charset val="134"/>
      </rPr>
      <t>计提</t>
    </r>
  </si>
  <si>
    <r>
      <rPr>
        <b/>
        <sz val="12"/>
        <color rgb="FF000000"/>
        <rFont val="宋体"/>
        <family val="3"/>
        <charset val="134"/>
      </rPr>
      <t>其他</t>
    </r>
  </si>
  <si>
    <r>
      <rPr>
        <b/>
        <sz val="12"/>
        <color rgb="FF000000"/>
        <rFont val="宋体"/>
        <family val="3"/>
        <charset val="134"/>
      </rPr>
      <t>转回或转销</t>
    </r>
  </si>
  <si>
    <r>
      <rPr>
        <sz val="10"/>
        <rFont val="宋体"/>
        <family val="3"/>
        <charset val="134"/>
      </rPr>
      <t>在产品</t>
    </r>
  </si>
  <si>
    <r>
      <rPr>
        <sz val="10"/>
        <rFont val="宋体"/>
        <family val="3"/>
        <charset val="134"/>
      </rPr>
      <t>库存商品</t>
    </r>
  </si>
  <si>
    <r>
      <rPr>
        <sz val="10"/>
        <rFont val="宋体"/>
        <family val="3"/>
        <charset val="134"/>
      </rPr>
      <t>周转材料</t>
    </r>
  </si>
  <si>
    <r>
      <rPr>
        <sz val="10"/>
        <rFont val="宋体"/>
        <family val="3"/>
        <charset val="134"/>
      </rPr>
      <t>存货跌价准备（续）</t>
    </r>
  </si>
  <si>
    <r>
      <rPr>
        <b/>
        <sz val="10"/>
        <color rgb="FF000000"/>
        <rFont val="宋体"/>
        <family val="3"/>
        <charset val="134"/>
      </rPr>
      <t>存货种类</t>
    </r>
  </si>
  <si>
    <r>
      <rPr>
        <b/>
        <sz val="10"/>
        <rFont val="宋体"/>
        <family val="3"/>
        <charset val="134"/>
      </rPr>
      <t>确定可变现净值的具体依据</t>
    </r>
  </si>
  <si>
    <r>
      <rPr>
        <b/>
        <sz val="10"/>
        <rFont val="宋体"/>
        <family val="3"/>
        <charset val="134"/>
      </rPr>
      <t>本期转回或转销存货跌价准备的原因</t>
    </r>
  </si>
  <si>
    <t>s</t>
  </si>
  <si>
    <r>
      <rPr>
        <sz val="10"/>
        <color rgb="FF0000FF"/>
        <rFont val="宋体"/>
        <family val="3"/>
        <charset val="134"/>
      </rPr>
      <t>【披露确定可变现净值的具体依据及本期转回或转销存货跌价准备的原因。】</t>
    </r>
  </si>
  <si>
    <r>
      <rPr>
        <sz val="10"/>
        <rFont val="宋体"/>
        <family val="3"/>
        <charset val="134"/>
      </rPr>
      <t>（</t>
    </r>
    <r>
      <rPr>
        <sz val="10"/>
        <rFont val="Arial Narrow"/>
        <family val="2"/>
      </rPr>
      <t>3</t>
    </r>
    <r>
      <rPr>
        <sz val="10"/>
        <rFont val="宋体"/>
        <family val="3"/>
        <charset val="134"/>
      </rPr>
      <t>）存货期末余额中含有借款费用资本化金额的说明：</t>
    </r>
  </si>
  <si>
    <r>
      <rPr>
        <sz val="10"/>
        <color rgb="FF0000FF"/>
        <rFont val="宋体"/>
        <family val="3"/>
        <charset val="134"/>
      </rPr>
      <t>（房地产开发企业，应按下列格式披露</t>
    </r>
    <r>
      <rPr>
        <sz val="10"/>
        <color rgb="FF0000FF"/>
        <rFont val="Arial Narrow"/>
        <family val="2"/>
      </rPr>
      <t>“</t>
    </r>
    <r>
      <rPr>
        <sz val="10"/>
        <color rgb="FF0000FF"/>
        <rFont val="宋体"/>
        <family val="3"/>
        <charset val="134"/>
      </rPr>
      <t>开发成本</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开发产品</t>
    </r>
    <r>
      <rPr>
        <sz val="10"/>
        <color rgb="FF0000FF"/>
        <rFont val="Arial Narrow"/>
        <family val="2"/>
      </rPr>
      <t>”</t>
    </r>
    <r>
      <rPr>
        <sz val="10"/>
        <color rgb="FF0000FF"/>
        <rFont val="宋体"/>
        <family val="3"/>
        <charset val="134"/>
      </rPr>
      <t>等相关信息</t>
    </r>
    <r>
      <rPr>
        <sz val="10"/>
        <color rgb="FF0000FF"/>
        <rFont val="Arial Narrow"/>
        <family val="2"/>
      </rPr>
      <t>)</t>
    </r>
  </si>
  <si>
    <t>持有待售资产和持有待售负债</t>
  </si>
  <si>
    <r>
      <rPr>
        <b/>
        <sz val="10"/>
        <color rgb="FF000000"/>
        <rFont val="宋体"/>
        <family val="3"/>
        <charset val="134"/>
      </rPr>
      <t>项</t>
    </r>
    <r>
      <rPr>
        <b/>
        <sz val="10"/>
        <color rgb="FF000000"/>
        <rFont val="Arial Narrow"/>
        <family val="2"/>
      </rPr>
      <t xml:space="preserve"> </t>
    </r>
    <r>
      <rPr>
        <b/>
        <sz val="10"/>
        <color rgb="FF000000"/>
        <rFont val="宋体"/>
        <family val="3"/>
        <charset val="134"/>
      </rPr>
      <t>目</t>
    </r>
  </si>
  <si>
    <t>持有待售的资产：</t>
  </si>
  <si>
    <t>持有待售的非流动资产</t>
  </si>
  <si>
    <t>持有待售的处置组中的资产</t>
  </si>
  <si>
    <r>
      <rPr>
        <sz val="10"/>
        <color rgb="FF000000"/>
        <rFont val="宋体"/>
        <family val="3"/>
        <charset val="134"/>
      </rPr>
      <t>其中：子公司</t>
    </r>
    <r>
      <rPr>
        <sz val="10"/>
        <color rgb="FF000000"/>
        <rFont val="Arial Narrow"/>
        <family val="2"/>
      </rPr>
      <t>A</t>
    </r>
  </si>
  <si>
    <r>
      <rPr>
        <sz val="10"/>
        <color rgb="FF000000"/>
        <rFont val="Arial Narrow"/>
        <family val="2"/>
      </rPr>
      <t xml:space="preserve">      </t>
    </r>
    <r>
      <rPr>
        <sz val="10"/>
        <color rgb="FF000000"/>
        <rFont val="宋体"/>
        <family val="3"/>
        <charset val="134"/>
      </rPr>
      <t>分公司</t>
    </r>
    <r>
      <rPr>
        <sz val="10"/>
        <color rgb="FF000000"/>
        <rFont val="Arial Narrow"/>
        <family val="2"/>
      </rPr>
      <t>B</t>
    </r>
  </si>
  <si>
    <r>
      <rPr>
        <sz val="10"/>
        <color rgb="FF000000"/>
        <rFont val="宋体"/>
        <family val="3"/>
        <charset val="134"/>
      </rPr>
      <t>合</t>
    </r>
    <r>
      <rPr>
        <sz val="10"/>
        <color rgb="FF000000"/>
        <rFont val="Arial Narrow"/>
        <family val="2"/>
      </rPr>
      <t xml:space="preserve"> </t>
    </r>
    <r>
      <rPr>
        <sz val="10"/>
        <color rgb="FF000000"/>
        <rFont val="宋体"/>
        <family val="3"/>
        <charset val="134"/>
      </rPr>
      <t>计</t>
    </r>
  </si>
  <si>
    <t>持有待售的负债：</t>
  </si>
  <si>
    <t>持有待售的处置组中的负债</t>
  </si>
  <si>
    <t>说明：（应当说明持有待售的非流动资产及持有待售的处置组中的资产产生的原因、内容及性质）</t>
  </si>
  <si>
    <r>
      <rPr>
        <sz val="10"/>
        <color rgb="FF0000FF"/>
        <rFont val="宋体"/>
        <family val="3"/>
        <charset val="134"/>
      </rPr>
      <t>（</t>
    </r>
    <r>
      <rPr>
        <sz val="10"/>
        <rFont val="Arial Narrow"/>
        <family val="2"/>
      </rPr>
      <t>1</t>
    </r>
    <r>
      <rPr>
        <sz val="10"/>
        <rFont val="宋体"/>
        <family val="3"/>
        <charset val="134"/>
      </rPr>
      <t>）持有待售的非流动资产</t>
    </r>
  </si>
  <si>
    <t>期末，持有待售的资产的情况：</t>
  </si>
  <si>
    <r>
      <rPr>
        <b/>
        <sz val="10"/>
        <rFont val="宋体"/>
        <family val="3"/>
        <charset val="134"/>
      </rPr>
      <t>账面价值</t>
    </r>
  </si>
  <si>
    <r>
      <rPr>
        <b/>
        <sz val="10"/>
        <rFont val="宋体"/>
        <family val="3"/>
        <charset val="134"/>
      </rPr>
      <t>公允价值</t>
    </r>
  </si>
  <si>
    <r>
      <rPr>
        <b/>
        <sz val="10"/>
        <rFont val="宋体"/>
        <family val="3"/>
        <charset val="134"/>
      </rPr>
      <t>预计处置费用</t>
    </r>
  </si>
  <si>
    <r>
      <rPr>
        <b/>
        <sz val="10"/>
        <rFont val="宋体"/>
        <family val="3"/>
        <charset val="134"/>
      </rPr>
      <t>预计处置时间</t>
    </r>
  </si>
  <si>
    <r>
      <rPr>
        <sz val="10"/>
        <rFont val="宋体"/>
        <family val="3"/>
        <charset val="134"/>
      </rPr>
      <t>（</t>
    </r>
    <r>
      <rPr>
        <sz val="10"/>
        <rFont val="Arial Narrow"/>
        <family val="2"/>
      </rPr>
      <t>2</t>
    </r>
    <r>
      <rPr>
        <sz val="10"/>
        <rFont val="宋体"/>
        <family val="3"/>
        <charset val="134"/>
      </rPr>
      <t>）持有待售的处置组</t>
    </r>
  </si>
  <si>
    <r>
      <rPr>
        <sz val="10"/>
        <rFont val="宋体"/>
        <family val="3"/>
        <charset val="134"/>
      </rPr>
      <t>①子公司</t>
    </r>
    <r>
      <rPr>
        <sz val="10"/>
        <rFont val="Arial Narrow"/>
        <family val="2"/>
      </rPr>
      <t>A</t>
    </r>
  </si>
  <si>
    <t>……</t>
  </si>
  <si>
    <r>
      <rPr>
        <sz val="10"/>
        <rFont val="宋体"/>
        <family val="3"/>
        <charset val="134"/>
      </rPr>
      <t>应付账款</t>
    </r>
  </si>
  <si>
    <r>
      <rPr>
        <sz val="10"/>
        <rFont val="宋体"/>
        <family val="3"/>
        <charset val="134"/>
      </rPr>
      <t>②分公司</t>
    </r>
    <r>
      <rPr>
        <sz val="10"/>
        <rFont val="Arial Narrow"/>
        <family val="2"/>
      </rPr>
      <t>B</t>
    </r>
  </si>
  <si>
    <t>说明：（如存在专为转售而取得的持有待售的子公司，需披露该子公司出售原因、方式和时间安排；列报该子公司的分部；该子公司确认的减值损失及其转回金额；与该子公司有关的其他综合收益累计金额；归属于母公司股东的持续经营损益和终止经营损益。）</t>
  </si>
  <si>
    <t>（如果子公司、共同经营、合营企业、联营企业以及部分对合营企业或联营企业的投资不再继续划分为持有待售类别或从持有待售的处置组中移除的，应在当期财务报表中相应调整各个持有待售类别后可比会计期间的比较数据，且需披露改变非流动资产或处置组出售计划的原因及可比会计期间财务报表中受影响的项目名称和影响金额。）</t>
  </si>
  <si>
    <r>
      <rPr>
        <b/>
        <sz val="12"/>
        <rFont val="宋体"/>
        <family val="3"/>
        <charset val="134"/>
      </rPr>
      <t>一年内到期的非流动资产</t>
    </r>
  </si>
  <si>
    <r>
      <rPr>
        <sz val="10"/>
        <rFont val="宋体"/>
        <family val="3"/>
        <charset val="134"/>
      </rPr>
      <t>（</t>
    </r>
    <r>
      <rPr>
        <sz val="10"/>
        <rFont val="Arial Narrow"/>
        <family val="2"/>
      </rPr>
      <t>1</t>
    </r>
    <r>
      <rPr>
        <sz val="10"/>
        <rFont val="宋体"/>
        <family val="3"/>
        <charset val="134"/>
      </rPr>
      <t>）项目分析</t>
    </r>
  </si>
  <si>
    <r>
      <rPr>
        <b/>
        <sz val="10"/>
        <color rgb="FF000000"/>
        <rFont val="宋体"/>
        <family val="3"/>
        <charset val="134"/>
      </rPr>
      <t>项</t>
    </r>
    <r>
      <rPr>
        <b/>
        <sz val="10"/>
        <color rgb="FF000000"/>
        <rFont val="Arial Narrow"/>
        <family val="2"/>
      </rPr>
      <t xml:space="preserve">  </t>
    </r>
    <r>
      <rPr>
        <b/>
        <sz val="10"/>
        <color rgb="FF000000"/>
        <rFont val="宋体"/>
        <family val="3"/>
        <charset val="134"/>
      </rPr>
      <t>目</t>
    </r>
  </si>
  <si>
    <r>
      <rPr>
        <sz val="10"/>
        <color theme="1"/>
        <rFont val="Arial Narrow"/>
        <family val="2"/>
      </rPr>
      <t>1</t>
    </r>
    <r>
      <rPr>
        <sz val="10"/>
        <color theme="1"/>
        <rFont val="宋体"/>
        <family val="3"/>
        <charset val="134"/>
      </rPr>
      <t>年内到期的长期应收款</t>
    </r>
  </si>
  <si>
    <r>
      <rPr>
        <sz val="10"/>
        <color theme="1"/>
        <rFont val="Arial Narrow"/>
        <family val="2"/>
      </rPr>
      <t>1</t>
    </r>
    <r>
      <rPr>
        <sz val="10"/>
        <color theme="1"/>
        <rFont val="宋体"/>
        <family val="3"/>
        <charset val="134"/>
      </rPr>
      <t>年内到期的持有至到期投资</t>
    </r>
  </si>
  <si>
    <r>
      <rPr>
        <sz val="10"/>
        <color theme="1"/>
        <rFont val="宋体"/>
        <family val="3"/>
        <charset val="134"/>
      </rPr>
      <t>其他</t>
    </r>
  </si>
  <si>
    <r>
      <rPr>
        <sz val="10"/>
        <color rgb="FF000000"/>
        <rFont val="宋体"/>
        <family val="3"/>
        <charset val="134"/>
      </rPr>
      <t>合</t>
    </r>
    <r>
      <rPr>
        <sz val="10"/>
        <color rgb="FF000000"/>
        <rFont val="Arial Narrow"/>
        <family val="2"/>
      </rPr>
      <t xml:space="preserve">  </t>
    </r>
    <r>
      <rPr>
        <sz val="10"/>
        <color rgb="FF000000"/>
        <rFont val="宋体"/>
        <family val="3"/>
        <charset val="134"/>
      </rPr>
      <t>计</t>
    </r>
  </si>
  <si>
    <r>
      <rPr>
        <sz val="10"/>
        <color rgb="FF0070C0"/>
        <rFont val="宋体"/>
        <family val="3"/>
        <charset val="134"/>
      </rPr>
      <t>说明：（对于大额的一年内到期的非流动资产说明形成的原因、内容、性质。）</t>
    </r>
  </si>
  <si>
    <r>
      <rPr>
        <b/>
        <sz val="12"/>
        <rFont val="宋体"/>
        <family val="3"/>
        <charset val="134"/>
      </rPr>
      <t>其他流动资产</t>
    </r>
  </si>
  <si>
    <r>
      <rPr>
        <b/>
        <sz val="10"/>
        <color indexed="8"/>
        <rFont val="宋体"/>
        <family val="3"/>
        <charset val="134"/>
      </rPr>
      <t>项</t>
    </r>
    <r>
      <rPr>
        <b/>
        <sz val="10"/>
        <color indexed="8"/>
        <rFont val="Arial Narrow"/>
        <family val="2"/>
      </rPr>
      <t xml:space="preserve"> </t>
    </r>
    <r>
      <rPr>
        <b/>
        <sz val="10"/>
        <color indexed="8"/>
        <rFont val="宋体"/>
        <family val="3"/>
        <charset val="134"/>
      </rPr>
      <t>目</t>
    </r>
  </si>
  <si>
    <r>
      <rPr>
        <b/>
        <sz val="10"/>
        <color indexed="8"/>
        <rFont val="宋体"/>
        <family val="3"/>
        <charset val="134"/>
      </rPr>
      <t>期末</t>
    </r>
  </si>
  <si>
    <r>
      <rPr>
        <sz val="10"/>
        <color indexed="8"/>
        <rFont val="宋体"/>
        <family val="3"/>
        <charset val="134"/>
      </rPr>
      <t>合</t>
    </r>
    <r>
      <rPr>
        <sz val="10"/>
        <color indexed="8"/>
        <rFont val="Arial Narrow"/>
        <family val="2"/>
      </rPr>
      <t xml:space="preserve"> </t>
    </r>
    <r>
      <rPr>
        <sz val="10"/>
        <color indexed="8"/>
        <rFont val="宋体"/>
        <family val="3"/>
        <charset val="134"/>
      </rPr>
      <t>计</t>
    </r>
  </si>
  <si>
    <r>
      <rPr>
        <b/>
        <sz val="12"/>
        <rFont val="宋体"/>
        <family val="3"/>
        <charset val="134"/>
      </rPr>
      <t>可供出售金融资产</t>
    </r>
  </si>
  <si>
    <r>
      <rPr>
        <b/>
        <sz val="10"/>
        <color rgb="FF0070C0"/>
        <rFont val="宋体"/>
        <family val="3"/>
        <charset val="134"/>
      </rPr>
      <t>（</t>
    </r>
    <r>
      <rPr>
        <b/>
        <sz val="10"/>
        <color theme="1"/>
        <rFont val="Arial Narrow"/>
        <family val="2"/>
      </rPr>
      <t>1</t>
    </r>
    <r>
      <rPr>
        <b/>
        <sz val="10"/>
        <color theme="1"/>
        <rFont val="宋体"/>
        <family val="3"/>
        <charset val="134"/>
      </rPr>
      <t>）可供出售金融资产情况</t>
    </r>
  </si>
  <si>
    <r>
      <rPr>
        <b/>
        <sz val="10"/>
        <color rgb="FF000000"/>
        <rFont val="宋体"/>
        <family val="3"/>
        <charset val="134"/>
      </rPr>
      <t>账面余额</t>
    </r>
  </si>
  <si>
    <r>
      <rPr>
        <b/>
        <sz val="10"/>
        <color rgb="FF000000"/>
        <rFont val="宋体"/>
        <family val="3"/>
        <charset val="134"/>
      </rPr>
      <t>减值准备</t>
    </r>
  </si>
  <si>
    <r>
      <rPr>
        <b/>
        <sz val="10"/>
        <color rgb="FF000000"/>
        <rFont val="宋体"/>
        <family val="3"/>
        <charset val="134"/>
      </rPr>
      <t>账面价值</t>
    </r>
  </si>
  <si>
    <r>
      <rPr>
        <sz val="10"/>
        <color rgb="FF000000"/>
        <rFont val="宋体"/>
        <family val="3"/>
        <charset val="134"/>
      </rPr>
      <t>可供出售债务工具</t>
    </r>
  </si>
  <si>
    <r>
      <rPr>
        <sz val="10"/>
        <color rgb="FF000000"/>
        <rFont val="宋体"/>
        <family val="3"/>
        <charset val="134"/>
      </rPr>
      <t>可供出售权益工具</t>
    </r>
  </si>
  <si>
    <r>
      <rPr>
        <sz val="10"/>
        <color rgb="FF000000"/>
        <rFont val="Arial Narrow"/>
        <family val="2"/>
      </rPr>
      <t xml:space="preserve">   </t>
    </r>
    <r>
      <rPr>
        <sz val="10"/>
        <color rgb="FF000000"/>
        <rFont val="宋体"/>
        <family val="3"/>
        <charset val="134"/>
      </rPr>
      <t>其中：按公允价值计量</t>
    </r>
  </si>
  <si>
    <r>
      <rPr>
        <sz val="10"/>
        <color rgb="FF000000"/>
        <rFont val="宋体"/>
        <family val="3"/>
        <charset val="134"/>
      </rPr>
      <t>按成本计量</t>
    </r>
  </si>
  <si>
    <r>
      <rPr>
        <sz val="10"/>
        <color rgb="FF000000"/>
        <rFont val="宋体"/>
        <family val="3"/>
        <charset val="134"/>
      </rPr>
      <t>其他</t>
    </r>
  </si>
  <si>
    <r>
      <rPr>
        <b/>
        <sz val="10"/>
        <color theme="1"/>
        <rFont val="宋体"/>
        <family val="3"/>
        <charset val="134"/>
      </rPr>
      <t>合计</t>
    </r>
  </si>
  <si>
    <t>--</t>
  </si>
  <si>
    <r>
      <rPr>
        <b/>
        <sz val="10"/>
        <color theme="1"/>
        <rFont val="宋体"/>
        <family val="3"/>
        <charset val="134"/>
      </rPr>
      <t>期末公允价值</t>
    </r>
  </si>
  <si>
    <r>
      <rPr>
        <sz val="10"/>
        <color theme="1"/>
        <rFont val="宋体"/>
        <family val="3"/>
        <charset val="134"/>
      </rPr>
      <t>合</t>
    </r>
    <r>
      <rPr>
        <sz val="10"/>
        <color theme="1"/>
        <rFont val="Arial Narrow"/>
        <family val="2"/>
      </rPr>
      <t xml:space="preserve"> </t>
    </r>
    <r>
      <rPr>
        <sz val="10"/>
        <color theme="1"/>
        <rFont val="宋体"/>
        <family val="3"/>
        <charset val="134"/>
      </rPr>
      <t>计</t>
    </r>
  </si>
  <si>
    <r>
      <rPr>
        <b/>
        <sz val="12"/>
        <rFont val="宋体"/>
        <family val="3"/>
        <charset val="134"/>
      </rPr>
      <t>持有至到期投资</t>
    </r>
  </si>
  <si>
    <r>
      <rPr>
        <b/>
        <sz val="10"/>
        <rFont val="宋体"/>
        <family val="3"/>
        <charset val="134"/>
      </rPr>
      <t>（</t>
    </r>
    <r>
      <rPr>
        <b/>
        <sz val="10"/>
        <rFont val="Arial Narrow"/>
        <family val="2"/>
      </rPr>
      <t>1</t>
    </r>
    <r>
      <rPr>
        <b/>
        <sz val="10"/>
        <rFont val="宋体"/>
        <family val="3"/>
        <charset val="134"/>
      </rPr>
      <t>）持有至到期投资情况</t>
    </r>
  </si>
  <si>
    <r>
      <rPr>
        <sz val="10"/>
        <color rgb="FF000000"/>
        <rFont val="宋体"/>
        <family val="3"/>
        <charset val="134"/>
      </rPr>
      <t>小</t>
    </r>
    <r>
      <rPr>
        <sz val="10"/>
        <color rgb="FF000000"/>
        <rFont val="Arial Narrow"/>
        <family val="2"/>
      </rPr>
      <t xml:space="preserve">  </t>
    </r>
    <r>
      <rPr>
        <sz val="10"/>
        <color rgb="FF000000"/>
        <rFont val="宋体"/>
        <family val="3"/>
        <charset val="134"/>
      </rPr>
      <t>计</t>
    </r>
  </si>
  <si>
    <r>
      <rPr>
        <sz val="10"/>
        <color rgb="FF000000"/>
        <rFont val="宋体"/>
        <family val="3"/>
        <charset val="134"/>
      </rPr>
      <t>减：</t>
    </r>
    <r>
      <rPr>
        <sz val="10"/>
        <color theme="1"/>
        <rFont val="Arial Narrow"/>
        <family val="2"/>
      </rPr>
      <t>1</t>
    </r>
    <r>
      <rPr>
        <sz val="10"/>
        <color theme="1"/>
        <rFont val="宋体"/>
        <family val="3"/>
        <charset val="134"/>
      </rPr>
      <t>年内到期的持有至到期投资</t>
    </r>
  </si>
  <si>
    <r>
      <rPr>
        <b/>
        <sz val="10"/>
        <rFont val="宋体"/>
        <family val="3"/>
        <charset val="134"/>
      </rPr>
      <t>（</t>
    </r>
    <r>
      <rPr>
        <b/>
        <sz val="10"/>
        <color theme="1"/>
        <rFont val="Arial Narrow"/>
        <family val="2"/>
      </rPr>
      <t>2</t>
    </r>
    <r>
      <rPr>
        <b/>
        <sz val="10"/>
        <color theme="1"/>
        <rFont val="宋体"/>
        <family val="3"/>
        <charset val="134"/>
      </rPr>
      <t>）重要的持有至到期投资</t>
    </r>
  </si>
  <si>
    <r>
      <rPr>
        <b/>
        <sz val="10"/>
        <color theme="1"/>
        <rFont val="宋体"/>
        <family val="3"/>
        <charset val="134"/>
      </rPr>
      <t>债券项目</t>
    </r>
  </si>
  <si>
    <r>
      <rPr>
        <b/>
        <sz val="10"/>
        <color theme="1"/>
        <rFont val="宋体"/>
        <family val="3"/>
        <charset val="134"/>
      </rPr>
      <t>面值</t>
    </r>
  </si>
  <si>
    <r>
      <rPr>
        <b/>
        <sz val="10"/>
        <color theme="1"/>
        <rFont val="宋体"/>
        <family val="3"/>
        <charset val="134"/>
      </rPr>
      <t>票面利率</t>
    </r>
  </si>
  <si>
    <r>
      <rPr>
        <b/>
        <sz val="10"/>
        <color theme="1"/>
        <rFont val="宋体"/>
        <family val="3"/>
        <charset val="134"/>
      </rPr>
      <t>实际利率</t>
    </r>
  </si>
  <si>
    <r>
      <rPr>
        <b/>
        <sz val="10"/>
        <color theme="1"/>
        <rFont val="宋体"/>
        <family val="3"/>
        <charset val="134"/>
      </rPr>
      <t>到期日</t>
    </r>
  </si>
  <si>
    <r>
      <rPr>
        <sz val="10"/>
        <color theme="1"/>
        <rFont val="宋体"/>
        <family val="3"/>
        <charset val="134"/>
      </rPr>
      <t>合</t>
    </r>
    <r>
      <rPr>
        <sz val="10"/>
        <color theme="1"/>
        <rFont val="Arial Narrow"/>
        <family val="2"/>
      </rPr>
      <t xml:space="preserve">  </t>
    </r>
    <r>
      <rPr>
        <sz val="10"/>
        <color theme="1"/>
        <rFont val="宋体"/>
        <family val="3"/>
        <charset val="134"/>
      </rPr>
      <t>计</t>
    </r>
  </si>
  <si>
    <r>
      <rPr>
        <sz val="10"/>
        <color rgb="FF0000FF"/>
        <rFont val="宋体"/>
        <family val="3"/>
        <charset val="134"/>
      </rPr>
      <t>（对于重要的持有至到期投资，应分别列示其面值、票面利率、实际利率、到期日。）</t>
    </r>
  </si>
  <si>
    <r>
      <rPr>
        <sz val="10"/>
        <rFont val="宋体"/>
        <family val="3"/>
        <charset val="134"/>
      </rPr>
      <t>（</t>
    </r>
    <r>
      <rPr>
        <sz val="10"/>
        <color theme="1"/>
        <rFont val="Arial Narrow"/>
        <family val="2"/>
      </rPr>
      <t>3</t>
    </r>
    <r>
      <rPr>
        <sz val="10"/>
        <color theme="1"/>
        <rFont val="宋体"/>
        <family val="3"/>
        <charset val="134"/>
      </rPr>
      <t>）持有至到期投资重分类情况</t>
    </r>
  </si>
  <si>
    <r>
      <rPr>
        <sz val="10"/>
        <color rgb="FF0000FF"/>
        <rFont val="宋体"/>
        <family val="3"/>
        <charset val="134"/>
      </rPr>
      <t>（本期存在重分类的，应披露重分类的原因和具体情况。）</t>
    </r>
  </si>
  <si>
    <r>
      <rPr>
        <sz val="10"/>
        <color theme="1"/>
        <rFont val="宋体"/>
        <family val="3"/>
        <charset val="134"/>
      </rPr>
      <t>由于</t>
    </r>
    <r>
      <rPr>
        <sz val="10"/>
        <color theme="1"/>
        <rFont val="Arial Narrow"/>
        <family val="2"/>
      </rPr>
      <t>XX</t>
    </r>
    <r>
      <rPr>
        <sz val="10"/>
        <color theme="1"/>
        <rFont val="宋体"/>
        <family val="3"/>
        <charset val="134"/>
      </rPr>
      <t>原因，本期将持有至到期投资重分类为可供出售金融资产，重分类的金额</t>
    </r>
    <r>
      <rPr>
        <sz val="10"/>
        <color theme="1"/>
        <rFont val="Arial Narrow"/>
        <family val="2"/>
      </rPr>
      <t>XX</t>
    </r>
    <r>
      <rPr>
        <sz val="10"/>
        <color theme="1"/>
        <rFont val="宋体"/>
        <family val="3"/>
        <charset val="134"/>
      </rPr>
      <t>元，该金额占重分类前持有至到期投资总额的比例</t>
    </r>
    <r>
      <rPr>
        <sz val="10"/>
        <color theme="1"/>
        <rFont val="Arial Narrow"/>
        <family val="2"/>
      </rPr>
      <t>XX%</t>
    </r>
    <r>
      <rPr>
        <sz val="10"/>
        <color theme="1"/>
        <rFont val="宋体"/>
        <family val="3"/>
        <charset val="134"/>
      </rPr>
      <t>。</t>
    </r>
  </si>
  <si>
    <r>
      <rPr>
        <b/>
        <sz val="10"/>
        <color theme="1"/>
        <rFont val="宋体"/>
        <family val="3"/>
        <charset val="134"/>
      </rPr>
      <t>（</t>
    </r>
    <r>
      <rPr>
        <b/>
        <sz val="10"/>
        <color theme="1"/>
        <rFont val="Arial Narrow"/>
        <family val="2"/>
      </rPr>
      <t>1</t>
    </r>
    <r>
      <rPr>
        <b/>
        <sz val="10"/>
        <color theme="1"/>
        <rFont val="宋体"/>
        <family val="3"/>
        <charset val="134"/>
      </rPr>
      <t>）长期应收款按性质披露</t>
    </r>
  </si>
  <si>
    <r>
      <rPr>
        <b/>
        <sz val="10"/>
        <color theme="1"/>
        <rFont val="宋体"/>
        <family val="3"/>
        <charset val="134"/>
      </rPr>
      <t>项</t>
    </r>
    <r>
      <rPr>
        <b/>
        <sz val="10"/>
        <color theme="1"/>
        <rFont val="Arial Narrow"/>
        <family val="2"/>
      </rPr>
      <t xml:space="preserve">  </t>
    </r>
    <r>
      <rPr>
        <b/>
        <sz val="10"/>
        <color theme="1"/>
        <rFont val="宋体"/>
        <family val="3"/>
        <charset val="134"/>
      </rPr>
      <t>目</t>
    </r>
  </si>
  <si>
    <r>
      <rPr>
        <b/>
        <sz val="10"/>
        <color theme="1"/>
        <rFont val="宋体"/>
        <family val="3"/>
        <charset val="134"/>
      </rPr>
      <t>期末数</t>
    </r>
  </si>
  <si>
    <r>
      <rPr>
        <b/>
        <sz val="10"/>
        <color theme="1"/>
        <rFont val="宋体"/>
        <family val="3"/>
        <charset val="134"/>
      </rPr>
      <t>折现率区间</t>
    </r>
  </si>
  <si>
    <r>
      <rPr>
        <b/>
        <sz val="10"/>
        <color theme="1"/>
        <rFont val="宋体"/>
        <family val="3"/>
        <charset val="134"/>
      </rPr>
      <t>账面余额</t>
    </r>
  </si>
  <si>
    <r>
      <rPr>
        <b/>
        <sz val="10"/>
        <color theme="1"/>
        <rFont val="宋体"/>
        <family val="3"/>
        <charset val="134"/>
      </rPr>
      <t>坏账准备</t>
    </r>
  </si>
  <si>
    <r>
      <rPr>
        <b/>
        <sz val="10"/>
        <color theme="1"/>
        <rFont val="宋体"/>
        <family val="3"/>
        <charset val="134"/>
      </rPr>
      <t>账面价值</t>
    </r>
  </si>
  <si>
    <r>
      <rPr>
        <sz val="10"/>
        <color theme="1"/>
        <rFont val="宋体"/>
        <family val="3"/>
        <charset val="134"/>
      </rPr>
      <t>融资租赁款</t>
    </r>
  </si>
  <si>
    <r>
      <rPr>
        <sz val="10"/>
        <color theme="1"/>
        <rFont val="宋体"/>
        <family val="3"/>
        <charset val="134"/>
      </rPr>
      <t>分期收款销售商品</t>
    </r>
  </si>
  <si>
    <r>
      <rPr>
        <sz val="10"/>
        <color theme="1"/>
        <rFont val="宋体"/>
        <family val="3"/>
        <charset val="134"/>
      </rPr>
      <t>其中：未实现融资收益</t>
    </r>
  </si>
  <si>
    <r>
      <rPr>
        <sz val="10"/>
        <color theme="1"/>
        <rFont val="宋体"/>
        <family val="3"/>
        <charset val="134"/>
      </rPr>
      <t>分期收款提供劳务</t>
    </r>
  </si>
  <si>
    <r>
      <rPr>
        <sz val="10"/>
        <color theme="1"/>
        <rFont val="宋体"/>
        <family val="3"/>
        <charset val="134"/>
      </rPr>
      <t>小</t>
    </r>
    <r>
      <rPr>
        <sz val="10"/>
        <color theme="1"/>
        <rFont val="Arial Narrow"/>
        <family val="2"/>
      </rPr>
      <t xml:space="preserve">  </t>
    </r>
    <r>
      <rPr>
        <sz val="10"/>
        <color theme="1"/>
        <rFont val="宋体"/>
        <family val="3"/>
        <charset val="134"/>
      </rPr>
      <t>计</t>
    </r>
  </si>
  <si>
    <r>
      <rPr>
        <sz val="10"/>
        <color theme="1"/>
        <rFont val="宋体"/>
        <family val="3"/>
        <charset val="134"/>
      </rPr>
      <t>减：</t>
    </r>
    <r>
      <rPr>
        <sz val="10"/>
        <color theme="1"/>
        <rFont val="Arial Narrow"/>
        <family val="2"/>
      </rPr>
      <t>1</t>
    </r>
    <r>
      <rPr>
        <sz val="10"/>
        <color theme="1"/>
        <rFont val="宋体"/>
        <family val="3"/>
        <charset val="134"/>
      </rPr>
      <t>年内到期的长期应收款</t>
    </r>
  </si>
  <si>
    <r>
      <rPr>
        <sz val="10"/>
        <color theme="1"/>
        <rFont val="宋体"/>
        <family val="3"/>
        <charset val="134"/>
      </rPr>
      <t>说明：</t>
    </r>
  </si>
  <si>
    <r>
      <rPr>
        <b/>
        <sz val="12"/>
        <rFont val="宋体"/>
        <family val="3"/>
        <charset val="134"/>
      </rPr>
      <t>设定受益计划净资产</t>
    </r>
  </si>
  <si>
    <r>
      <rPr>
        <b/>
        <sz val="10"/>
        <rFont val="宋体"/>
        <family val="3"/>
        <charset val="134"/>
      </rPr>
      <t>（</t>
    </r>
    <r>
      <rPr>
        <b/>
        <sz val="10"/>
        <rFont val="Arial Narrow"/>
        <family val="2"/>
      </rPr>
      <t>1</t>
    </r>
    <r>
      <rPr>
        <b/>
        <sz val="10"/>
        <rFont val="宋体"/>
        <family val="3"/>
        <charset val="134"/>
      </rPr>
      <t>）项目分析</t>
    </r>
  </si>
  <si>
    <r>
      <rPr>
        <b/>
        <sz val="10"/>
        <rFont val="宋体"/>
        <family val="3"/>
        <charset val="134"/>
      </rPr>
      <t>期初数</t>
    </r>
  </si>
  <si>
    <r>
      <rPr>
        <b/>
        <sz val="10"/>
        <rFont val="宋体"/>
        <family val="3"/>
        <charset val="134"/>
      </rPr>
      <t>本期增加</t>
    </r>
  </si>
  <si>
    <r>
      <rPr>
        <b/>
        <sz val="10"/>
        <rFont val="宋体"/>
        <family val="3"/>
        <charset val="134"/>
      </rPr>
      <t>本期减少</t>
    </r>
  </si>
  <si>
    <r>
      <rPr>
        <sz val="10"/>
        <rFont val="宋体"/>
        <family val="3"/>
        <charset val="134"/>
      </rPr>
      <t>符合设定受益计划条件的其他长期职工福利的净资产</t>
    </r>
    <r>
      <rPr>
        <strike/>
        <sz val="10"/>
        <color rgb="FFFF0000"/>
        <rFont val="宋体"/>
        <family val="3"/>
        <charset val="134"/>
      </rPr>
      <t>（不适用删除）</t>
    </r>
  </si>
  <si>
    <r>
      <rPr>
        <sz val="10"/>
        <color rgb="FF0070C0"/>
        <rFont val="Arial Narrow"/>
        <family val="2"/>
      </rPr>
      <t xml:space="preserve"> </t>
    </r>
    <r>
      <rPr>
        <sz val="10"/>
        <color rgb="FF0070C0"/>
        <rFont val="宋体"/>
        <family val="3"/>
        <charset val="134"/>
      </rPr>
      <t>【提示：需要按照五、</t>
    </r>
    <r>
      <rPr>
        <sz val="10"/>
        <color rgb="FF0070C0"/>
        <rFont val="Arial Narrow"/>
        <family val="2"/>
      </rPr>
      <t>46</t>
    </r>
    <r>
      <rPr>
        <sz val="10"/>
        <color rgb="FF0070C0"/>
        <rFont val="宋体"/>
        <family val="3"/>
        <charset val="134"/>
      </rPr>
      <t>中的披露格式披露设定收益计划相关信息。】</t>
    </r>
  </si>
  <si>
    <r>
      <rPr>
        <b/>
        <sz val="12"/>
        <rFont val="宋体"/>
        <family val="3"/>
        <charset val="134"/>
      </rPr>
      <t>长期股权投资</t>
    </r>
  </si>
  <si>
    <r>
      <rPr>
        <b/>
        <sz val="10"/>
        <rFont val="宋体"/>
        <family val="3"/>
        <charset val="134"/>
      </rPr>
      <t>被投资单位</t>
    </r>
  </si>
  <si>
    <r>
      <rPr>
        <b/>
        <sz val="10"/>
        <rFont val="宋体"/>
        <family val="3"/>
        <charset val="134"/>
      </rPr>
      <t>期初余额</t>
    </r>
  </si>
  <si>
    <r>
      <rPr>
        <b/>
        <sz val="10"/>
        <rFont val="宋体"/>
        <family val="3"/>
        <charset val="134"/>
      </rPr>
      <t>本期增减变动</t>
    </r>
  </si>
  <si>
    <r>
      <rPr>
        <b/>
        <sz val="10"/>
        <rFont val="宋体"/>
        <family val="3"/>
        <charset val="134"/>
      </rPr>
      <t>减值准备期末余额</t>
    </r>
  </si>
  <si>
    <r>
      <rPr>
        <b/>
        <sz val="10"/>
        <rFont val="宋体"/>
        <family val="3"/>
        <charset val="134"/>
      </rPr>
      <t>追加投资</t>
    </r>
  </si>
  <si>
    <r>
      <rPr>
        <b/>
        <sz val="10"/>
        <rFont val="宋体"/>
        <family val="3"/>
        <charset val="134"/>
      </rPr>
      <t>减少投资</t>
    </r>
  </si>
  <si>
    <r>
      <rPr>
        <b/>
        <sz val="10"/>
        <rFont val="宋体"/>
        <family val="3"/>
        <charset val="134"/>
      </rPr>
      <t>权益法下确认的投资损益</t>
    </r>
  </si>
  <si>
    <r>
      <rPr>
        <b/>
        <sz val="10"/>
        <rFont val="宋体"/>
        <family val="3"/>
        <charset val="134"/>
      </rPr>
      <t>其他综合收益调整</t>
    </r>
  </si>
  <si>
    <r>
      <rPr>
        <b/>
        <sz val="10"/>
        <color rgb="FF000000"/>
        <rFont val="宋体"/>
        <family val="3"/>
        <charset val="134"/>
      </rPr>
      <t>其他权益变动</t>
    </r>
  </si>
  <si>
    <r>
      <rPr>
        <b/>
        <sz val="10"/>
        <color rgb="FF000000"/>
        <rFont val="宋体"/>
        <family val="3"/>
        <charset val="134"/>
      </rPr>
      <t>宣告发放现金股利或利润</t>
    </r>
  </si>
  <si>
    <r>
      <rPr>
        <b/>
        <sz val="10"/>
        <rFont val="宋体"/>
        <family val="3"/>
        <charset val="134"/>
      </rPr>
      <t>计提减准备值</t>
    </r>
  </si>
  <si>
    <r>
      <rPr>
        <b/>
        <sz val="10"/>
        <rFont val="宋体"/>
        <family val="3"/>
        <charset val="134"/>
      </rPr>
      <t>其他</t>
    </r>
  </si>
  <si>
    <r>
      <rPr>
        <sz val="10"/>
        <rFont val="宋体"/>
        <family val="3"/>
        <charset val="134"/>
      </rPr>
      <t>①合营企业</t>
    </r>
  </si>
  <si>
    <t>…</t>
  </si>
  <si>
    <r>
      <rPr>
        <sz val="10"/>
        <rFont val="宋体"/>
        <family val="3"/>
        <charset val="134"/>
      </rPr>
      <t>小计</t>
    </r>
  </si>
  <si>
    <r>
      <rPr>
        <sz val="10"/>
        <rFont val="宋体"/>
        <family val="3"/>
        <charset val="134"/>
      </rPr>
      <t>②联营企业</t>
    </r>
  </si>
  <si>
    <r>
      <rPr>
        <b/>
        <sz val="10"/>
        <rFont val="宋体"/>
        <family val="3"/>
        <charset val="134"/>
      </rPr>
      <t>（</t>
    </r>
    <r>
      <rPr>
        <b/>
        <sz val="10"/>
        <rFont val="Arial Narrow"/>
        <family val="2"/>
      </rPr>
      <t>1</t>
    </r>
    <r>
      <rPr>
        <b/>
        <sz val="10"/>
        <rFont val="宋体"/>
        <family val="3"/>
        <charset val="134"/>
      </rPr>
      <t>）重要的合营企业或联营企业</t>
    </r>
  </si>
  <si>
    <r>
      <rPr>
        <b/>
        <sz val="10"/>
        <rFont val="宋体"/>
        <family val="3"/>
        <charset val="134"/>
      </rPr>
      <t>合营企业或联营企业名称</t>
    </r>
  </si>
  <si>
    <r>
      <rPr>
        <b/>
        <sz val="10"/>
        <rFont val="宋体"/>
        <family val="3"/>
        <charset val="134"/>
      </rPr>
      <t>主要经营地</t>
    </r>
  </si>
  <si>
    <r>
      <rPr>
        <b/>
        <sz val="10"/>
        <rFont val="宋体"/>
        <family val="3"/>
        <charset val="134"/>
      </rPr>
      <t>注册地</t>
    </r>
  </si>
  <si>
    <r>
      <rPr>
        <b/>
        <sz val="10"/>
        <rFont val="宋体"/>
        <family val="3"/>
        <charset val="134"/>
      </rPr>
      <t>业务性质</t>
    </r>
  </si>
  <si>
    <r>
      <rPr>
        <b/>
        <sz val="10"/>
        <rFont val="宋体"/>
        <family val="3"/>
        <charset val="134"/>
      </rPr>
      <t>持股比例</t>
    </r>
    <r>
      <rPr>
        <b/>
        <sz val="10"/>
        <rFont val="Arial Narrow"/>
        <family val="2"/>
      </rPr>
      <t>(%)</t>
    </r>
  </si>
  <si>
    <r>
      <rPr>
        <b/>
        <sz val="10"/>
        <rFont val="宋体"/>
        <family val="3"/>
        <charset val="134"/>
      </rPr>
      <t>对合营企业或联营企业投资的会计处理方法</t>
    </r>
  </si>
  <si>
    <r>
      <rPr>
        <b/>
        <sz val="10"/>
        <rFont val="宋体"/>
        <family val="3"/>
        <charset val="134"/>
      </rPr>
      <t>直接</t>
    </r>
  </si>
  <si>
    <r>
      <rPr>
        <b/>
        <sz val="10"/>
        <rFont val="宋体"/>
        <family val="3"/>
        <charset val="134"/>
      </rPr>
      <t>间接</t>
    </r>
  </si>
  <si>
    <r>
      <rPr>
        <sz val="10"/>
        <rFont val="宋体"/>
        <family val="3"/>
        <charset val="134"/>
      </rPr>
      <t>①</t>
    </r>
    <r>
      <rPr>
        <sz val="10"/>
        <color rgb="FF000000"/>
        <rFont val="宋体"/>
        <family val="3"/>
        <charset val="134"/>
      </rPr>
      <t>合营企业</t>
    </r>
  </si>
  <si>
    <r>
      <rPr>
        <sz val="10"/>
        <color rgb="FF000000"/>
        <rFont val="宋体"/>
        <family val="3"/>
        <charset val="134"/>
      </rPr>
      <t>②联营企业</t>
    </r>
  </si>
  <si>
    <r>
      <rPr>
        <sz val="10"/>
        <rFont val="宋体"/>
        <family val="3"/>
        <charset val="134"/>
      </rPr>
      <t>（</t>
    </r>
    <r>
      <rPr>
        <sz val="10"/>
        <color rgb="FF0000FF"/>
        <rFont val="Arial Narrow"/>
        <family val="2"/>
      </rPr>
      <t>1</t>
    </r>
    <r>
      <rPr>
        <sz val="10"/>
        <color rgb="FF0000FF"/>
        <rFont val="宋体"/>
        <family val="3"/>
        <charset val="134"/>
      </rPr>
      <t>）持股比例不同于表决权比例的，应说明表决权比例及差异原因。</t>
    </r>
  </si>
  <si>
    <r>
      <rPr>
        <sz val="10"/>
        <rFont val="宋体"/>
        <family val="3"/>
        <charset val="134"/>
      </rPr>
      <t>（</t>
    </r>
    <r>
      <rPr>
        <sz val="10"/>
        <color rgb="FF0000FF"/>
        <rFont val="Arial Narrow"/>
        <family val="2"/>
      </rPr>
      <t>2</t>
    </r>
    <r>
      <rPr>
        <sz val="10"/>
        <color rgb="FF0000FF"/>
        <rFont val="宋体"/>
        <family val="3"/>
        <charset val="134"/>
      </rPr>
      <t>）持有其他主体</t>
    </r>
    <r>
      <rPr>
        <sz val="10"/>
        <color rgb="FF0000FF"/>
        <rFont val="Arial Narrow"/>
        <family val="2"/>
      </rPr>
      <t>20%</t>
    </r>
    <r>
      <rPr>
        <sz val="10"/>
        <color rgb="FF0000FF"/>
        <rFont val="宋体"/>
        <family val="3"/>
        <charset val="134"/>
      </rPr>
      <t>以下表决权但具有重大影响，或者持有其他主体</t>
    </r>
    <r>
      <rPr>
        <sz val="10"/>
        <color rgb="FF0000FF"/>
        <rFont val="Arial Narrow"/>
        <family val="2"/>
      </rPr>
      <t>20%</t>
    </r>
    <r>
      <rPr>
        <sz val="10"/>
        <color rgb="FF0000FF"/>
        <rFont val="宋体"/>
        <family val="3"/>
        <charset val="134"/>
      </rPr>
      <t>或以上表决权但不具有重大影响的，应披露相关判断和依据。</t>
    </r>
  </si>
  <si>
    <r>
      <rPr>
        <sz val="10"/>
        <rFont val="宋体"/>
        <family val="3"/>
        <charset val="134"/>
      </rPr>
      <t>（</t>
    </r>
    <r>
      <rPr>
        <sz val="10"/>
        <rFont val="Arial Narrow"/>
        <family val="2"/>
      </rPr>
      <t>2</t>
    </r>
    <r>
      <rPr>
        <sz val="10"/>
        <rFont val="宋体"/>
        <family val="3"/>
        <charset val="134"/>
      </rPr>
      <t>）重要合营企业的主要财务信息：</t>
    </r>
    <r>
      <rPr>
        <sz val="10"/>
        <color rgb="FF0000FF"/>
        <rFont val="宋体"/>
        <family val="3"/>
        <charset val="134"/>
      </rPr>
      <t>（划分为持有待售的除外）</t>
    </r>
  </si>
  <si>
    <r>
      <rPr>
        <sz val="10"/>
        <rFont val="宋体"/>
        <family val="3"/>
        <charset val="134"/>
      </rPr>
      <t>（主要财务信息按照权益法调整后的金额披露；）</t>
    </r>
  </si>
  <si>
    <r>
      <rPr>
        <sz val="10"/>
        <rFont val="宋体"/>
        <family val="3"/>
        <charset val="134"/>
      </rPr>
      <t>（</t>
    </r>
    <r>
      <rPr>
        <sz val="10"/>
        <rFont val="Arial Narrow"/>
        <family val="2"/>
      </rPr>
      <t>“</t>
    </r>
    <r>
      <rPr>
        <sz val="10"/>
        <rFont val="宋体"/>
        <family val="3"/>
        <charset val="134"/>
      </rPr>
      <t>调整事项</t>
    </r>
    <r>
      <rPr>
        <sz val="10"/>
        <rFont val="Arial Narrow"/>
        <family val="2"/>
      </rPr>
      <t>”</t>
    </r>
    <r>
      <rPr>
        <sz val="10"/>
        <rFont val="宋体"/>
        <family val="3"/>
        <charset val="134"/>
      </rPr>
      <t>包括投资形成的正商誉、抵消的未实现内部交易损益、减值准备等事项；）</t>
    </r>
  </si>
  <si>
    <r>
      <rPr>
        <sz val="10"/>
        <rFont val="宋体"/>
        <family val="3"/>
        <charset val="134"/>
      </rPr>
      <t>（如果母公司为投资性主体，无需披露下列财务信息。）</t>
    </r>
  </si>
  <si>
    <r>
      <rPr>
        <b/>
        <sz val="10"/>
        <rFont val="宋体"/>
        <family val="3"/>
        <charset val="134"/>
      </rPr>
      <t>项</t>
    </r>
    <r>
      <rPr>
        <b/>
        <sz val="10"/>
        <rFont val="Arial Narrow"/>
        <family val="2"/>
      </rPr>
      <t xml:space="preserve"> </t>
    </r>
    <r>
      <rPr>
        <b/>
        <sz val="10"/>
        <rFont val="宋体"/>
        <family val="3"/>
        <charset val="134"/>
      </rPr>
      <t>目</t>
    </r>
  </si>
  <si>
    <r>
      <rPr>
        <b/>
        <sz val="10"/>
        <color rgb="FFFF0000"/>
        <rFont val="宋体"/>
        <family val="3"/>
        <charset val="134"/>
      </rPr>
      <t>（</t>
    </r>
    <r>
      <rPr>
        <b/>
        <sz val="10"/>
        <color rgb="FFFF0000"/>
        <rFont val="Arial Narrow"/>
        <family val="2"/>
      </rPr>
      <t>A</t>
    </r>
    <r>
      <rPr>
        <b/>
        <sz val="10"/>
        <color rgb="FFFF0000"/>
        <rFont val="宋体"/>
        <family val="3"/>
        <charset val="134"/>
      </rPr>
      <t>公司）</t>
    </r>
  </si>
  <si>
    <r>
      <rPr>
        <b/>
        <sz val="10"/>
        <color rgb="FFFF0000"/>
        <rFont val="宋体"/>
        <family val="3"/>
        <charset val="134"/>
      </rPr>
      <t>（</t>
    </r>
    <r>
      <rPr>
        <b/>
        <sz val="10"/>
        <color rgb="FFFF0000"/>
        <rFont val="Arial Narrow"/>
        <family val="2"/>
      </rPr>
      <t>B</t>
    </r>
    <r>
      <rPr>
        <b/>
        <sz val="10"/>
        <color rgb="FFFF0000"/>
        <rFont val="宋体"/>
        <family val="3"/>
        <charset val="134"/>
      </rPr>
      <t>公司）</t>
    </r>
  </si>
  <si>
    <r>
      <rPr>
        <b/>
        <sz val="10"/>
        <color rgb="FFFF0000"/>
        <rFont val="宋体"/>
        <family val="3"/>
        <charset val="134"/>
      </rPr>
      <t>（</t>
    </r>
    <r>
      <rPr>
        <b/>
        <sz val="10"/>
        <color rgb="FFFF0000"/>
        <rFont val="Arial Narrow"/>
        <family val="2"/>
      </rPr>
      <t>C</t>
    </r>
    <r>
      <rPr>
        <b/>
        <sz val="10"/>
        <color rgb="FFFF0000"/>
        <rFont val="宋体"/>
        <family val="3"/>
        <charset val="134"/>
      </rPr>
      <t>公司）</t>
    </r>
  </si>
  <si>
    <r>
      <rPr>
        <sz val="10"/>
        <rFont val="宋体"/>
        <family val="3"/>
        <charset val="134"/>
      </rPr>
      <t>流动资产</t>
    </r>
  </si>
  <si>
    <r>
      <rPr>
        <sz val="10"/>
        <rFont val="宋体"/>
        <family val="3"/>
        <charset val="134"/>
      </rPr>
      <t>其中：现金和现金等价物</t>
    </r>
  </si>
  <si>
    <r>
      <rPr>
        <sz val="10"/>
        <rFont val="宋体"/>
        <family val="3"/>
        <charset val="134"/>
      </rPr>
      <t>资产合计</t>
    </r>
  </si>
  <si>
    <r>
      <rPr>
        <sz val="10"/>
        <rFont val="宋体"/>
        <family val="3"/>
        <charset val="134"/>
      </rPr>
      <t>流动负债</t>
    </r>
  </si>
  <si>
    <r>
      <rPr>
        <sz val="10"/>
        <rFont val="宋体"/>
        <family val="3"/>
        <charset val="134"/>
      </rPr>
      <t>非流动负债</t>
    </r>
  </si>
  <si>
    <r>
      <rPr>
        <sz val="10"/>
        <rFont val="宋体"/>
        <family val="3"/>
        <charset val="134"/>
      </rPr>
      <t>净资产</t>
    </r>
  </si>
  <si>
    <r>
      <rPr>
        <sz val="10"/>
        <rFont val="Arial Narrow"/>
        <family val="2"/>
      </rPr>
      <t xml:space="preserve">  </t>
    </r>
    <r>
      <rPr>
        <sz val="10"/>
        <rFont val="宋体"/>
        <family val="3"/>
        <charset val="134"/>
      </rPr>
      <t>其中：少数股东权益</t>
    </r>
  </si>
  <si>
    <r>
      <rPr>
        <sz val="10"/>
        <rFont val="宋体"/>
        <family val="3"/>
        <charset val="134"/>
      </rPr>
      <t>归属于母公司的所有制权益</t>
    </r>
  </si>
  <si>
    <r>
      <rPr>
        <sz val="10"/>
        <rFont val="宋体"/>
        <family val="3"/>
        <charset val="134"/>
      </rPr>
      <t>按持股比例计算的净资产份额</t>
    </r>
  </si>
  <si>
    <r>
      <rPr>
        <sz val="10"/>
        <rFont val="宋体"/>
        <family val="3"/>
        <charset val="134"/>
      </rPr>
      <t>调整事项</t>
    </r>
  </si>
  <si>
    <r>
      <rPr>
        <sz val="10"/>
        <rFont val="Arial Narrow"/>
        <family val="2"/>
      </rPr>
      <t xml:space="preserve">  </t>
    </r>
    <r>
      <rPr>
        <sz val="10"/>
        <rFont val="宋体"/>
        <family val="3"/>
        <charset val="134"/>
      </rPr>
      <t>其中：商誉</t>
    </r>
  </si>
  <si>
    <r>
      <rPr>
        <sz val="10"/>
        <rFont val="Arial Narrow"/>
        <family val="2"/>
      </rPr>
      <t xml:space="preserve">   </t>
    </r>
    <r>
      <rPr>
        <sz val="10"/>
        <rFont val="宋体"/>
        <family val="3"/>
        <charset val="134"/>
      </rPr>
      <t>未实现内部交易损益</t>
    </r>
  </si>
  <si>
    <r>
      <rPr>
        <sz val="10"/>
        <rFont val="Arial Narrow"/>
        <family val="2"/>
      </rPr>
      <t xml:space="preserve">   </t>
    </r>
    <r>
      <rPr>
        <sz val="10"/>
        <rFont val="宋体"/>
        <family val="3"/>
        <charset val="134"/>
      </rPr>
      <t>减值准备</t>
    </r>
  </si>
  <si>
    <r>
      <rPr>
        <sz val="10"/>
        <rFont val="Arial Narrow"/>
        <family val="2"/>
      </rPr>
      <t xml:space="preserve">   </t>
    </r>
    <r>
      <rPr>
        <sz val="10"/>
        <rFont val="宋体"/>
        <family val="3"/>
        <charset val="134"/>
      </rPr>
      <t>其他</t>
    </r>
  </si>
  <si>
    <r>
      <rPr>
        <sz val="10"/>
        <rFont val="宋体"/>
        <family val="3"/>
        <charset val="134"/>
      </rPr>
      <t>对合营企业权益投资的账面价值</t>
    </r>
    <r>
      <rPr>
        <sz val="10"/>
        <rFont val="Arial Narrow"/>
        <family val="2"/>
      </rPr>
      <t xml:space="preserve"> </t>
    </r>
  </si>
  <si>
    <r>
      <rPr>
        <sz val="10"/>
        <rFont val="宋体"/>
        <family val="3"/>
        <charset val="134"/>
      </rPr>
      <t>存在公开报价的权益投资的公允价值</t>
    </r>
    <r>
      <rPr>
        <sz val="10"/>
        <rFont val="Arial Narrow"/>
        <family val="2"/>
      </rPr>
      <t xml:space="preserve"> </t>
    </r>
  </si>
  <si>
    <r>
      <rPr>
        <b/>
        <sz val="10"/>
        <rFont val="宋体"/>
        <family val="3"/>
        <charset val="134"/>
      </rPr>
      <t>本期发生额</t>
    </r>
  </si>
  <si>
    <r>
      <rPr>
        <b/>
        <sz val="10"/>
        <rFont val="宋体"/>
        <family val="3"/>
        <charset val="134"/>
      </rPr>
      <t>上期发生额</t>
    </r>
  </si>
  <si>
    <r>
      <rPr>
        <sz val="10"/>
        <rFont val="宋体"/>
        <family val="3"/>
        <charset val="134"/>
      </rPr>
      <t>净利润</t>
    </r>
  </si>
  <si>
    <r>
      <rPr>
        <sz val="10"/>
        <rFont val="宋体"/>
        <family val="3"/>
        <charset val="134"/>
      </rPr>
      <t>终止经营的净利润</t>
    </r>
  </si>
  <si>
    <r>
      <rPr>
        <sz val="10"/>
        <rFont val="宋体"/>
        <family val="3"/>
        <charset val="134"/>
      </rPr>
      <t>综合收益总额</t>
    </r>
  </si>
  <si>
    <r>
      <rPr>
        <sz val="10"/>
        <rFont val="宋体"/>
        <family val="3"/>
        <charset val="134"/>
      </rPr>
      <t>企业本期收到的来自合营企业的股利</t>
    </r>
  </si>
  <si>
    <r>
      <rPr>
        <sz val="10"/>
        <color rgb="FF0070C0"/>
        <rFont val="宋体"/>
        <family val="3"/>
        <charset val="134"/>
      </rPr>
      <t>（注：存在终止经营的净利润的，还应当在本表中单列项目披露）</t>
    </r>
  </si>
  <si>
    <r>
      <rPr>
        <sz val="10"/>
        <color rgb="FF0070C0"/>
        <rFont val="宋体"/>
        <family val="3"/>
        <charset val="134"/>
      </rPr>
      <t>说明：</t>
    </r>
  </si>
  <si>
    <r>
      <rPr>
        <sz val="10"/>
        <color rgb="FF0070C0"/>
        <rFont val="宋体"/>
        <family val="3"/>
        <charset val="134"/>
      </rPr>
      <t>（</t>
    </r>
    <r>
      <rPr>
        <sz val="10"/>
        <color rgb="FF0070C0"/>
        <rFont val="Arial Narrow"/>
        <family val="2"/>
      </rPr>
      <t>3</t>
    </r>
    <r>
      <rPr>
        <sz val="10"/>
        <color rgb="FF0070C0"/>
        <rFont val="宋体"/>
        <family val="3"/>
        <charset val="134"/>
      </rPr>
      <t>）重要联营企业的主要财务信息：（持有待售的除外）</t>
    </r>
  </si>
  <si>
    <r>
      <rPr>
        <sz val="10"/>
        <color rgb="FF0070C0"/>
        <rFont val="宋体"/>
        <family val="3"/>
        <charset val="134"/>
      </rPr>
      <t>（主要财务信息按照权益法调整后的金额披露；）</t>
    </r>
  </si>
  <si>
    <r>
      <rPr>
        <sz val="10"/>
        <color rgb="FF0070C0"/>
        <rFont val="宋体"/>
        <family val="3"/>
        <charset val="134"/>
      </rPr>
      <t>（</t>
    </r>
    <r>
      <rPr>
        <sz val="10"/>
        <color rgb="FF0070C0"/>
        <rFont val="Arial Narrow"/>
        <family val="2"/>
      </rPr>
      <t>“</t>
    </r>
    <r>
      <rPr>
        <sz val="10"/>
        <color rgb="FF0070C0"/>
        <rFont val="宋体"/>
        <family val="3"/>
        <charset val="134"/>
      </rPr>
      <t>调整事项</t>
    </r>
    <r>
      <rPr>
        <sz val="10"/>
        <color rgb="FF0070C0"/>
        <rFont val="Arial Narrow"/>
        <family val="2"/>
      </rPr>
      <t>”</t>
    </r>
    <r>
      <rPr>
        <sz val="10"/>
        <color rgb="FF0070C0"/>
        <rFont val="宋体"/>
        <family val="3"/>
        <charset val="134"/>
      </rPr>
      <t>包括投资形成的正商誉、抵消的未实现内部交易损益</t>
    </r>
    <r>
      <rPr>
        <sz val="10"/>
        <color rgb="FF0070C0"/>
        <rFont val="Arial Narrow"/>
        <family val="2"/>
      </rPr>
      <t xml:space="preserve"> </t>
    </r>
    <r>
      <rPr>
        <sz val="10"/>
        <color rgb="FF0070C0"/>
        <rFont val="宋体"/>
        <family val="3"/>
        <charset val="134"/>
      </rPr>
      <t>、减值准备等事项；）</t>
    </r>
  </si>
  <si>
    <r>
      <rPr>
        <sz val="10"/>
        <color rgb="FF0070C0"/>
        <rFont val="宋体"/>
        <family val="3"/>
        <charset val="134"/>
      </rPr>
      <t>（如果母公司为投资性主体，无需披露下列财务信息。）</t>
    </r>
  </si>
  <si>
    <r>
      <rPr>
        <sz val="10"/>
        <rFont val="宋体"/>
        <family val="3"/>
        <charset val="134"/>
      </rPr>
      <t>对联营企业权益投资的账面价值</t>
    </r>
  </si>
  <si>
    <r>
      <rPr>
        <sz val="10"/>
        <rFont val="宋体"/>
        <family val="3"/>
        <charset val="134"/>
      </rPr>
      <t>企业本期收到的来自联营企业的股利</t>
    </r>
  </si>
  <si>
    <r>
      <rPr>
        <sz val="10"/>
        <color rgb="FF0070C0"/>
        <rFont val="宋体"/>
        <family val="3"/>
        <charset val="134"/>
      </rPr>
      <t>说明：</t>
    </r>
    <r>
      <rPr>
        <sz val="10"/>
        <rFont val="Arial Narrow"/>
        <family val="2"/>
      </rPr>
      <t xml:space="preserve"> </t>
    </r>
  </si>
  <si>
    <r>
      <rPr>
        <sz val="10"/>
        <color rgb="FF0070C0"/>
        <rFont val="宋体"/>
        <family val="3"/>
        <charset val="134"/>
      </rPr>
      <t>（</t>
    </r>
    <r>
      <rPr>
        <sz val="10"/>
        <rFont val="Arial Narrow"/>
        <family val="2"/>
      </rPr>
      <t>4</t>
    </r>
    <r>
      <rPr>
        <sz val="10"/>
        <rFont val="宋体"/>
        <family val="3"/>
        <charset val="134"/>
      </rPr>
      <t>）其他不重要合营企业和联营企业的汇总财务信息</t>
    </r>
  </si>
  <si>
    <r>
      <rPr>
        <b/>
        <sz val="10"/>
        <rFont val="宋体"/>
        <family val="3"/>
        <charset val="134"/>
      </rPr>
      <t>期末数</t>
    </r>
    <r>
      <rPr>
        <b/>
        <sz val="10"/>
        <rFont val="Arial Narrow"/>
        <family val="2"/>
      </rPr>
      <t>/</t>
    </r>
  </si>
  <si>
    <r>
      <rPr>
        <b/>
        <sz val="10"/>
        <rFont val="宋体"/>
        <family val="3"/>
        <charset val="134"/>
      </rPr>
      <t>期初数</t>
    </r>
    <r>
      <rPr>
        <b/>
        <sz val="10"/>
        <rFont val="Arial Narrow"/>
        <family val="2"/>
      </rPr>
      <t>/</t>
    </r>
  </si>
  <si>
    <r>
      <rPr>
        <sz val="10"/>
        <rFont val="宋体"/>
        <family val="3"/>
        <charset val="134"/>
      </rPr>
      <t>合营企业：</t>
    </r>
  </si>
  <si>
    <r>
      <rPr>
        <sz val="10"/>
        <rFont val="宋体"/>
        <family val="3"/>
        <charset val="134"/>
      </rPr>
      <t>投资账面价值合计</t>
    </r>
  </si>
  <si>
    <r>
      <rPr>
        <sz val="10"/>
        <rFont val="宋体"/>
        <family val="3"/>
        <charset val="134"/>
      </rPr>
      <t>下列各项按持股比例计算的合计数</t>
    </r>
    <r>
      <rPr>
        <sz val="10"/>
        <rFont val="Arial Narrow"/>
        <family val="2"/>
      </rPr>
      <t xml:space="preserve"> </t>
    </r>
  </si>
  <si>
    <r>
      <rPr>
        <sz val="10"/>
        <rFont val="宋体"/>
        <family val="3"/>
        <charset val="134"/>
      </rPr>
      <t>联营企业：</t>
    </r>
  </si>
  <si>
    <r>
      <rPr>
        <b/>
        <sz val="10"/>
        <rFont val="宋体"/>
        <family val="3"/>
        <charset val="134"/>
      </rPr>
      <t>（</t>
    </r>
    <r>
      <rPr>
        <b/>
        <sz val="10"/>
        <rFont val="Arial Narrow"/>
        <family val="2"/>
      </rPr>
      <t>8</t>
    </r>
    <r>
      <rPr>
        <b/>
        <sz val="10"/>
        <rFont val="宋体"/>
        <family val="3"/>
        <charset val="134"/>
      </rPr>
      <t>）重要的共同经营</t>
    </r>
  </si>
  <si>
    <r>
      <rPr>
        <b/>
        <sz val="10"/>
        <rFont val="宋体"/>
        <family val="3"/>
        <charset val="134"/>
      </rPr>
      <t>共同经营名称</t>
    </r>
  </si>
  <si>
    <r>
      <rPr>
        <b/>
        <sz val="10"/>
        <rFont val="宋体"/>
        <family val="3"/>
        <charset val="134"/>
      </rPr>
      <t>持股比例</t>
    </r>
    <r>
      <rPr>
        <b/>
        <sz val="10"/>
        <rFont val="Arial Narrow"/>
        <family val="2"/>
      </rPr>
      <t>/</t>
    </r>
    <r>
      <rPr>
        <b/>
        <sz val="10"/>
        <rFont val="宋体"/>
        <family val="3"/>
        <charset val="134"/>
      </rPr>
      <t>享有的份额</t>
    </r>
    <r>
      <rPr>
        <b/>
        <sz val="10"/>
        <rFont val="Arial Narrow"/>
        <family val="2"/>
      </rPr>
      <t>(%)</t>
    </r>
  </si>
  <si>
    <r>
      <rPr>
        <sz val="10"/>
        <color rgb="FF000000"/>
        <rFont val="宋体"/>
        <family val="3"/>
        <charset val="134"/>
      </rPr>
      <t>说明：</t>
    </r>
  </si>
  <si>
    <r>
      <rPr>
        <sz val="10"/>
        <color rgb="FF0070C0"/>
        <rFont val="宋体"/>
        <family val="3"/>
        <charset val="134"/>
      </rPr>
      <t>①</t>
    </r>
    <r>
      <rPr>
        <sz val="10"/>
        <rFont val="Arial Narrow"/>
        <family val="2"/>
      </rPr>
      <t xml:space="preserve"> </t>
    </r>
    <r>
      <rPr>
        <sz val="10"/>
        <color rgb="FF0000FF"/>
        <rFont val="宋体"/>
        <family val="3"/>
        <charset val="134"/>
      </rPr>
      <t>持股比例或享有的份额不同于表决权比例的，应说明表决权比例及差异原因。</t>
    </r>
  </si>
  <si>
    <r>
      <rPr>
        <sz val="10"/>
        <color rgb="FF0070C0"/>
        <rFont val="宋体"/>
        <family val="3"/>
        <charset val="134"/>
      </rPr>
      <t>②</t>
    </r>
    <r>
      <rPr>
        <sz val="10"/>
        <color rgb="FF0000FF"/>
        <rFont val="宋体"/>
        <family val="3"/>
        <charset val="134"/>
      </rPr>
      <t>共同经营为单独主体的，应披露判断为共同经营的依据。</t>
    </r>
  </si>
  <si>
    <r>
      <rPr>
        <b/>
        <sz val="12"/>
        <rFont val="宋体"/>
        <family val="3"/>
        <charset val="134"/>
      </rPr>
      <t>投资性房地产</t>
    </r>
  </si>
  <si>
    <r>
      <rPr>
        <b/>
        <sz val="10"/>
        <rFont val="宋体"/>
        <family val="3"/>
        <charset val="134"/>
      </rPr>
      <t>（</t>
    </r>
    <r>
      <rPr>
        <b/>
        <sz val="10"/>
        <color theme="1"/>
        <rFont val="Arial Narrow"/>
        <family val="2"/>
      </rPr>
      <t>1</t>
    </r>
    <r>
      <rPr>
        <b/>
        <sz val="10"/>
        <color theme="1"/>
        <rFont val="宋体"/>
        <family val="3"/>
        <charset val="134"/>
      </rPr>
      <t>）按成本计量的投资性房地产</t>
    </r>
    <r>
      <rPr>
        <b/>
        <sz val="10"/>
        <color rgb="FF0000FF"/>
        <rFont val="宋体"/>
        <family val="3"/>
        <charset val="134"/>
      </rPr>
      <t>（如无按公允价值计量的投资性房地产，删除此标题）</t>
    </r>
  </si>
  <si>
    <r>
      <rPr>
        <b/>
        <sz val="10"/>
        <color theme="1"/>
        <rFont val="宋体"/>
        <family val="3"/>
        <charset val="134"/>
      </rPr>
      <t>房屋、建筑物</t>
    </r>
  </si>
  <si>
    <r>
      <rPr>
        <b/>
        <sz val="10"/>
        <color theme="1"/>
        <rFont val="宋体"/>
        <family val="3"/>
        <charset val="134"/>
      </rPr>
      <t>土地使用权</t>
    </r>
  </si>
  <si>
    <r>
      <rPr>
        <b/>
        <sz val="10"/>
        <color theme="1"/>
        <rFont val="宋体"/>
        <family val="3"/>
        <charset val="134"/>
      </rPr>
      <t>在建工程</t>
    </r>
  </si>
  <si>
    <r>
      <rPr>
        <sz val="10"/>
        <color theme="1"/>
        <rFont val="宋体"/>
        <family val="3"/>
        <charset val="134"/>
      </rPr>
      <t>一、账面原值</t>
    </r>
  </si>
  <si>
    <r>
      <rPr>
        <sz val="10"/>
        <color theme="1"/>
        <rFont val="Arial Narrow"/>
        <family val="2"/>
      </rPr>
      <t>1.</t>
    </r>
    <r>
      <rPr>
        <sz val="10"/>
        <color theme="1"/>
        <rFont val="宋体"/>
        <family val="3"/>
        <charset val="134"/>
      </rPr>
      <t>期初余额</t>
    </r>
  </si>
  <si>
    <r>
      <rPr>
        <sz val="10"/>
        <color theme="1"/>
        <rFont val="Arial Narrow"/>
        <family val="2"/>
      </rPr>
      <t>2.</t>
    </r>
    <r>
      <rPr>
        <sz val="10"/>
        <color theme="1"/>
        <rFont val="宋体"/>
        <family val="3"/>
        <charset val="134"/>
      </rPr>
      <t>本期增加金额</t>
    </r>
  </si>
  <si>
    <r>
      <rPr>
        <sz val="10"/>
        <color theme="1"/>
        <rFont val="宋体"/>
        <family val="3"/>
        <charset val="134"/>
      </rPr>
      <t>（</t>
    </r>
    <r>
      <rPr>
        <sz val="10"/>
        <color theme="1"/>
        <rFont val="Arial Narrow"/>
        <family val="2"/>
      </rPr>
      <t>1</t>
    </r>
    <r>
      <rPr>
        <sz val="10"/>
        <color theme="1"/>
        <rFont val="宋体"/>
        <family val="3"/>
        <charset val="134"/>
      </rPr>
      <t>）外购</t>
    </r>
  </si>
  <si>
    <r>
      <rPr>
        <sz val="10"/>
        <color theme="1"/>
        <rFont val="宋体"/>
        <family val="3"/>
        <charset val="134"/>
      </rPr>
      <t>（</t>
    </r>
    <r>
      <rPr>
        <sz val="10"/>
        <color theme="1"/>
        <rFont val="Arial Narrow"/>
        <family val="2"/>
      </rPr>
      <t>2</t>
    </r>
    <r>
      <rPr>
        <sz val="10"/>
        <color theme="1"/>
        <rFont val="宋体"/>
        <family val="3"/>
        <charset val="134"/>
      </rPr>
      <t>）存货</t>
    </r>
    <r>
      <rPr>
        <sz val="10"/>
        <color theme="1"/>
        <rFont val="Arial Narrow"/>
        <family val="2"/>
      </rPr>
      <t>\</t>
    </r>
    <r>
      <rPr>
        <sz val="10"/>
        <color theme="1"/>
        <rFont val="宋体"/>
        <family val="3"/>
        <charset val="134"/>
      </rPr>
      <t>固定资产</t>
    </r>
    <r>
      <rPr>
        <sz val="10"/>
        <color theme="1"/>
        <rFont val="Arial Narrow"/>
        <family val="2"/>
      </rPr>
      <t>\</t>
    </r>
    <r>
      <rPr>
        <sz val="10"/>
        <color theme="1"/>
        <rFont val="宋体"/>
        <family val="3"/>
        <charset val="134"/>
      </rPr>
      <t>在建工程转入</t>
    </r>
  </si>
  <si>
    <r>
      <rPr>
        <sz val="10"/>
        <color theme="1"/>
        <rFont val="宋体"/>
        <family val="3"/>
        <charset val="134"/>
      </rPr>
      <t>（</t>
    </r>
    <r>
      <rPr>
        <sz val="10"/>
        <color theme="1"/>
        <rFont val="Arial Narrow"/>
        <family val="2"/>
      </rPr>
      <t>3</t>
    </r>
    <r>
      <rPr>
        <sz val="10"/>
        <color theme="1"/>
        <rFont val="宋体"/>
        <family val="3"/>
        <charset val="134"/>
      </rPr>
      <t>）企业合并增加</t>
    </r>
  </si>
  <si>
    <r>
      <rPr>
        <sz val="10"/>
        <color theme="1"/>
        <rFont val="Arial Narrow"/>
        <family val="2"/>
      </rPr>
      <t>3.</t>
    </r>
    <r>
      <rPr>
        <sz val="10"/>
        <color theme="1"/>
        <rFont val="宋体"/>
        <family val="3"/>
        <charset val="134"/>
      </rPr>
      <t>本期减少金额</t>
    </r>
  </si>
  <si>
    <r>
      <rPr>
        <sz val="10"/>
        <color theme="1"/>
        <rFont val="宋体"/>
        <family val="3"/>
        <charset val="134"/>
      </rPr>
      <t>（</t>
    </r>
    <r>
      <rPr>
        <sz val="10"/>
        <color theme="1"/>
        <rFont val="Arial Narrow"/>
        <family val="2"/>
      </rPr>
      <t>1</t>
    </r>
    <r>
      <rPr>
        <sz val="10"/>
        <color theme="1"/>
        <rFont val="宋体"/>
        <family val="3"/>
        <charset val="134"/>
      </rPr>
      <t>）处置</t>
    </r>
  </si>
  <si>
    <r>
      <rPr>
        <sz val="10"/>
        <color theme="1"/>
        <rFont val="宋体"/>
        <family val="3"/>
        <charset val="134"/>
      </rPr>
      <t>（</t>
    </r>
    <r>
      <rPr>
        <sz val="10"/>
        <color theme="1"/>
        <rFont val="Arial Narrow"/>
        <family val="2"/>
      </rPr>
      <t>2</t>
    </r>
    <r>
      <rPr>
        <sz val="10"/>
        <color theme="1"/>
        <rFont val="宋体"/>
        <family val="3"/>
        <charset val="134"/>
      </rPr>
      <t>）其他转出</t>
    </r>
  </si>
  <si>
    <r>
      <rPr>
        <sz val="10"/>
        <color theme="1"/>
        <rFont val="Arial Narrow"/>
        <family val="2"/>
      </rPr>
      <t>4.</t>
    </r>
    <r>
      <rPr>
        <sz val="10"/>
        <color theme="1"/>
        <rFont val="宋体"/>
        <family val="3"/>
        <charset val="134"/>
      </rPr>
      <t>期末余额</t>
    </r>
  </si>
  <si>
    <r>
      <rPr>
        <b/>
        <sz val="10"/>
        <color theme="1"/>
        <rFont val="宋体"/>
        <family val="3"/>
        <charset val="134"/>
      </rPr>
      <t>二、累计折旧和累计摊销</t>
    </r>
  </si>
  <si>
    <r>
      <rPr>
        <sz val="10"/>
        <color theme="1"/>
        <rFont val="宋体"/>
        <family val="3"/>
        <charset val="134"/>
      </rPr>
      <t>（</t>
    </r>
    <r>
      <rPr>
        <sz val="10"/>
        <color theme="1"/>
        <rFont val="Arial Narrow"/>
        <family val="2"/>
      </rPr>
      <t>1</t>
    </r>
    <r>
      <rPr>
        <sz val="10"/>
        <color theme="1"/>
        <rFont val="宋体"/>
        <family val="3"/>
        <charset val="134"/>
      </rPr>
      <t>）计提或摊销</t>
    </r>
  </si>
  <si>
    <r>
      <rPr>
        <sz val="10"/>
        <color theme="1"/>
        <rFont val="宋体"/>
        <family val="3"/>
        <charset val="134"/>
      </rPr>
      <t>（</t>
    </r>
    <r>
      <rPr>
        <sz val="10"/>
        <color theme="1"/>
        <rFont val="Arial Narrow"/>
        <family val="2"/>
      </rPr>
      <t>2</t>
    </r>
    <r>
      <rPr>
        <sz val="10"/>
        <color theme="1"/>
        <rFont val="宋体"/>
        <family val="3"/>
        <charset val="134"/>
      </rPr>
      <t>）企业合并增加</t>
    </r>
  </si>
  <si>
    <r>
      <rPr>
        <sz val="10"/>
        <color theme="1"/>
        <rFont val="宋体"/>
        <family val="3"/>
        <charset val="134"/>
      </rPr>
      <t>（</t>
    </r>
    <r>
      <rPr>
        <sz val="10"/>
        <color theme="1"/>
        <rFont val="Arial Narrow"/>
        <family val="2"/>
      </rPr>
      <t>3</t>
    </r>
    <r>
      <rPr>
        <sz val="10"/>
        <color theme="1"/>
        <rFont val="宋体"/>
        <family val="3"/>
        <charset val="134"/>
      </rPr>
      <t>）其他增加</t>
    </r>
  </si>
  <si>
    <r>
      <rPr>
        <b/>
        <sz val="10"/>
        <color theme="1"/>
        <rFont val="宋体"/>
        <family val="3"/>
        <charset val="134"/>
      </rPr>
      <t>三、减值准备</t>
    </r>
  </si>
  <si>
    <r>
      <rPr>
        <sz val="10"/>
        <color theme="1"/>
        <rFont val="宋体"/>
        <family val="3"/>
        <charset val="134"/>
      </rPr>
      <t>（</t>
    </r>
    <r>
      <rPr>
        <sz val="10"/>
        <color theme="1"/>
        <rFont val="Arial Narrow"/>
        <family val="2"/>
      </rPr>
      <t>1</t>
    </r>
    <r>
      <rPr>
        <sz val="10"/>
        <color theme="1"/>
        <rFont val="宋体"/>
        <family val="3"/>
        <charset val="134"/>
      </rPr>
      <t>）计提</t>
    </r>
  </si>
  <si>
    <r>
      <rPr>
        <sz val="10"/>
        <color theme="1"/>
        <rFont val="宋体"/>
        <family val="3"/>
        <charset val="134"/>
      </rPr>
      <t>（</t>
    </r>
    <r>
      <rPr>
        <sz val="10"/>
        <color theme="1"/>
        <rFont val="Arial Narrow"/>
        <family val="2"/>
      </rPr>
      <t>2</t>
    </r>
    <r>
      <rPr>
        <sz val="10"/>
        <color theme="1"/>
        <rFont val="宋体"/>
        <family val="3"/>
        <charset val="134"/>
      </rPr>
      <t>）其他增加</t>
    </r>
  </si>
  <si>
    <r>
      <rPr>
        <sz val="10"/>
        <color theme="1"/>
        <rFont val="Arial Narrow"/>
        <family val="2"/>
      </rPr>
      <t>3</t>
    </r>
    <r>
      <rPr>
        <sz val="10"/>
        <color theme="1"/>
        <rFont val="宋体"/>
        <family val="3"/>
        <charset val="134"/>
      </rPr>
      <t>、本期减少金额</t>
    </r>
  </si>
  <si>
    <r>
      <rPr>
        <b/>
        <sz val="10"/>
        <color theme="1"/>
        <rFont val="宋体"/>
        <family val="3"/>
        <charset val="134"/>
      </rPr>
      <t>四、账面价值</t>
    </r>
  </si>
  <si>
    <r>
      <rPr>
        <sz val="10"/>
        <color theme="1"/>
        <rFont val="Arial Narrow"/>
        <family val="2"/>
      </rPr>
      <t>1.</t>
    </r>
    <r>
      <rPr>
        <sz val="10"/>
        <color theme="1"/>
        <rFont val="宋体"/>
        <family val="3"/>
        <charset val="134"/>
      </rPr>
      <t>期末账面价值</t>
    </r>
  </si>
  <si>
    <r>
      <rPr>
        <sz val="10"/>
        <color theme="1"/>
        <rFont val="Arial Narrow"/>
        <family val="2"/>
      </rPr>
      <t>2.</t>
    </r>
    <r>
      <rPr>
        <sz val="10"/>
        <color theme="1"/>
        <rFont val="宋体"/>
        <family val="3"/>
        <charset val="134"/>
      </rPr>
      <t>期初账面价值</t>
    </r>
  </si>
  <si>
    <r>
      <rPr>
        <b/>
        <sz val="10"/>
        <rFont val="宋体"/>
        <family val="3"/>
        <charset val="134"/>
      </rPr>
      <t>（</t>
    </r>
    <r>
      <rPr>
        <b/>
        <sz val="10"/>
        <color theme="1"/>
        <rFont val="Arial Narrow"/>
        <family val="2"/>
      </rPr>
      <t>2</t>
    </r>
    <r>
      <rPr>
        <b/>
        <sz val="10"/>
        <color theme="1"/>
        <rFont val="宋体"/>
        <family val="3"/>
        <charset val="134"/>
      </rPr>
      <t>）按公允价值计量的投资性房地产</t>
    </r>
    <r>
      <rPr>
        <b/>
        <strike/>
        <sz val="10"/>
        <color rgb="FFFF0000"/>
        <rFont val="宋体"/>
        <family val="3"/>
        <charset val="134"/>
      </rPr>
      <t>（不适用的删除）</t>
    </r>
  </si>
  <si>
    <r>
      <rPr>
        <sz val="10"/>
        <color rgb="FF0070C0"/>
        <rFont val="宋体"/>
        <family val="3"/>
        <charset val="134"/>
      </rPr>
      <t>（采用公允价值计量模式的投资性房地产，分类列示期初余额、期末余额和本期增减变动情况。）</t>
    </r>
  </si>
  <si>
    <r>
      <rPr>
        <b/>
        <sz val="10"/>
        <color rgb="FF000000"/>
        <rFont val="宋体"/>
        <family val="3"/>
        <charset val="134"/>
      </rPr>
      <t>房屋、建筑物</t>
    </r>
  </si>
  <si>
    <r>
      <rPr>
        <b/>
        <sz val="10"/>
        <color rgb="FF000000"/>
        <rFont val="宋体"/>
        <family val="3"/>
        <charset val="134"/>
      </rPr>
      <t>土地使用权</t>
    </r>
  </si>
  <si>
    <r>
      <rPr>
        <b/>
        <sz val="10"/>
        <color rgb="FF000000"/>
        <rFont val="宋体"/>
        <family val="3"/>
        <charset val="134"/>
      </rPr>
      <t>在建工程</t>
    </r>
  </si>
  <si>
    <r>
      <rPr>
        <b/>
        <sz val="10"/>
        <color rgb="FF000000"/>
        <rFont val="宋体"/>
        <family val="3"/>
        <charset val="134"/>
      </rPr>
      <t>合计</t>
    </r>
  </si>
  <si>
    <r>
      <rPr>
        <b/>
        <sz val="10"/>
        <color rgb="FF000000"/>
        <rFont val="宋体"/>
        <family val="3"/>
        <charset val="134"/>
      </rPr>
      <t>一、期初余额</t>
    </r>
  </si>
  <si>
    <r>
      <rPr>
        <b/>
        <sz val="10"/>
        <color rgb="FF000000"/>
        <rFont val="宋体"/>
        <family val="3"/>
        <charset val="134"/>
      </rPr>
      <t>二、本期变动</t>
    </r>
  </si>
  <si>
    <r>
      <rPr>
        <sz val="10"/>
        <color rgb="FF000000"/>
        <rFont val="宋体"/>
        <family val="3"/>
        <charset val="134"/>
      </rPr>
      <t>加：外购</t>
    </r>
  </si>
  <si>
    <r>
      <rPr>
        <sz val="10"/>
        <color rgb="FF000000"/>
        <rFont val="宋体"/>
        <family val="3"/>
        <charset val="134"/>
      </rPr>
      <t>存货</t>
    </r>
    <r>
      <rPr>
        <sz val="10"/>
        <color rgb="FF000000"/>
        <rFont val="Arial Narrow"/>
        <family val="2"/>
      </rPr>
      <t>\</t>
    </r>
    <r>
      <rPr>
        <sz val="10"/>
        <color rgb="FF000000"/>
        <rFont val="宋体"/>
        <family val="3"/>
        <charset val="134"/>
      </rPr>
      <t>固定资产</t>
    </r>
    <r>
      <rPr>
        <sz val="10"/>
        <color rgb="FF000000"/>
        <rFont val="Arial Narrow"/>
        <family val="2"/>
      </rPr>
      <t>\</t>
    </r>
    <r>
      <rPr>
        <sz val="10"/>
        <color rgb="FF000000"/>
        <rFont val="宋体"/>
        <family val="3"/>
        <charset val="134"/>
      </rPr>
      <t>在建工程转入</t>
    </r>
  </si>
  <si>
    <r>
      <rPr>
        <sz val="10"/>
        <color rgb="FF000000"/>
        <rFont val="宋体"/>
        <family val="3"/>
        <charset val="134"/>
      </rPr>
      <t>企业合并增加</t>
    </r>
  </si>
  <si>
    <r>
      <rPr>
        <sz val="10"/>
        <color rgb="FF000000"/>
        <rFont val="宋体"/>
        <family val="3"/>
        <charset val="134"/>
      </rPr>
      <t>减：处置</t>
    </r>
  </si>
  <si>
    <r>
      <rPr>
        <sz val="10"/>
        <color rgb="FF000000"/>
        <rFont val="宋体"/>
        <family val="3"/>
        <charset val="134"/>
      </rPr>
      <t>其他转出</t>
    </r>
  </si>
  <si>
    <r>
      <rPr>
        <sz val="10"/>
        <color rgb="FF000000"/>
        <rFont val="宋体"/>
        <family val="3"/>
        <charset val="134"/>
      </rPr>
      <t>公允价值变动</t>
    </r>
  </si>
  <si>
    <r>
      <rPr>
        <b/>
        <sz val="10"/>
        <color rgb="FF000000"/>
        <rFont val="宋体"/>
        <family val="3"/>
        <charset val="134"/>
      </rPr>
      <t>三、期末余额</t>
    </r>
  </si>
  <si>
    <r>
      <rPr>
        <b/>
        <sz val="10"/>
        <rFont val="宋体"/>
        <family val="3"/>
        <charset val="134"/>
      </rPr>
      <t>（</t>
    </r>
    <r>
      <rPr>
        <b/>
        <sz val="10"/>
        <color theme="1"/>
        <rFont val="Arial Narrow"/>
        <family val="2"/>
      </rPr>
      <t>3</t>
    </r>
    <r>
      <rPr>
        <b/>
        <sz val="10"/>
        <color theme="1"/>
        <rFont val="宋体"/>
        <family val="3"/>
        <charset val="134"/>
      </rPr>
      <t>）未办妥产权证书的情况</t>
    </r>
  </si>
  <si>
    <r>
      <rPr>
        <sz val="10"/>
        <color rgb="FF0070C0"/>
        <rFont val="宋体"/>
        <family val="3"/>
        <charset val="134"/>
      </rPr>
      <t>（披露未办妥产权证书的投资性房地产账面价值及原因。）</t>
    </r>
  </si>
  <si>
    <r>
      <rPr>
        <b/>
        <sz val="10"/>
        <color rgb="FF000000"/>
        <rFont val="宋体"/>
        <family val="3"/>
        <charset val="134"/>
      </rPr>
      <t>未办妥产权证书原因</t>
    </r>
  </si>
  <si>
    <r>
      <rPr>
        <sz val="10"/>
        <color rgb="FF0070C0"/>
        <rFont val="宋体"/>
        <family val="3"/>
        <charset val="134"/>
      </rPr>
      <t>（</t>
    </r>
    <r>
      <rPr>
        <sz val="10"/>
        <color theme="1"/>
        <rFont val="Arial Narrow"/>
        <family val="2"/>
      </rPr>
      <t>4</t>
    </r>
    <r>
      <rPr>
        <sz val="10"/>
        <color theme="1"/>
        <rFont val="宋体"/>
        <family val="3"/>
        <charset val="134"/>
      </rPr>
      <t>）房地产转换情况及改变计量模式的情况</t>
    </r>
  </si>
  <si>
    <r>
      <rPr>
        <sz val="10"/>
        <color rgb="FF0070C0"/>
        <rFont val="宋体"/>
        <family val="3"/>
        <charset val="134"/>
      </rPr>
      <t>（说明报告期内房地产转换或改变计量模式的情况、理由，以及对损益或所有者权益的影响。</t>
    </r>
  </si>
  <si>
    <r>
      <rPr>
        <sz val="10"/>
        <color rgb="FF0070C0"/>
        <rFont val="宋体"/>
        <family val="3"/>
        <charset val="134"/>
      </rPr>
      <t>房地产开发企业列示出租开发产品时，应披露出租开发产品的成本、租赁合同主要条款等内容。对重要的出租房产应单项披露，非重要或零星的出租房产可采用合并披露。）</t>
    </r>
  </si>
  <si>
    <r>
      <rPr>
        <b/>
        <sz val="10"/>
        <rFont val="宋体"/>
        <family val="3"/>
        <charset val="134"/>
      </rPr>
      <t>转入清理的原因</t>
    </r>
  </si>
  <si>
    <t>固定资产清理</t>
  </si>
  <si>
    <r>
      <rPr>
        <b/>
        <sz val="12"/>
        <rFont val="宋体"/>
        <family val="3"/>
        <charset val="134"/>
      </rPr>
      <t>固定资产及累计折旧</t>
    </r>
  </si>
  <si>
    <r>
      <rPr>
        <b/>
        <sz val="10"/>
        <rFont val="宋体"/>
        <family val="3"/>
        <charset val="134"/>
      </rPr>
      <t>（</t>
    </r>
    <r>
      <rPr>
        <b/>
        <sz val="10"/>
        <color theme="1"/>
        <rFont val="Arial Narrow"/>
        <family val="2"/>
      </rPr>
      <t>1</t>
    </r>
    <r>
      <rPr>
        <b/>
        <sz val="10"/>
        <color theme="1"/>
        <rFont val="宋体"/>
        <family val="3"/>
        <charset val="134"/>
      </rPr>
      <t>）固定资产情况</t>
    </r>
  </si>
  <si>
    <r>
      <rPr>
        <b/>
        <sz val="10"/>
        <color rgb="FF000000"/>
        <rFont val="宋体"/>
        <family val="3"/>
        <charset val="134"/>
      </rPr>
      <t>房屋及建筑物</t>
    </r>
  </si>
  <si>
    <r>
      <rPr>
        <b/>
        <sz val="10"/>
        <color rgb="FF000000"/>
        <rFont val="宋体"/>
        <family val="3"/>
        <charset val="134"/>
      </rPr>
      <t>机器设备</t>
    </r>
  </si>
  <si>
    <r>
      <rPr>
        <b/>
        <sz val="10"/>
        <color rgb="FF000000"/>
        <rFont val="宋体"/>
        <family val="3"/>
        <charset val="134"/>
      </rPr>
      <t>运输设备</t>
    </r>
  </si>
  <si>
    <r>
      <rPr>
        <b/>
        <sz val="10"/>
        <color rgb="FF000000"/>
        <rFont val="宋体"/>
        <family val="3"/>
        <charset val="134"/>
      </rPr>
      <t>合</t>
    </r>
    <r>
      <rPr>
        <b/>
        <sz val="10"/>
        <color rgb="FF000000"/>
        <rFont val="Arial Narrow"/>
        <family val="2"/>
      </rPr>
      <t xml:space="preserve">  </t>
    </r>
    <r>
      <rPr>
        <b/>
        <sz val="10"/>
        <color rgb="FF000000"/>
        <rFont val="宋体"/>
        <family val="3"/>
        <charset val="134"/>
      </rPr>
      <t>计</t>
    </r>
  </si>
  <si>
    <r>
      <rPr>
        <b/>
        <sz val="10"/>
        <color rgb="FF000000"/>
        <rFont val="宋体"/>
        <family val="3"/>
        <charset val="134"/>
      </rPr>
      <t>一、账面原值：</t>
    </r>
  </si>
  <si>
    <r>
      <rPr>
        <sz val="10"/>
        <color rgb="FF000000"/>
        <rFont val="Arial Narrow"/>
        <family val="2"/>
      </rPr>
      <t>1.</t>
    </r>
    <r>
      <rPr>
        <sz val="10"/>
        <color rgb="FF000000"/>
        <rFont val="宋体"/>
        <family val="3"/>
        <charset val="134"/>
      </rPr>
      <t>期初余额</t>
    </r>
  </si>
  <si>
    <r>
      <rPr>
        <sz val="10"/>
        <color rgb="FF000000"/>
        <rFont val="Arial Narrow"/>
        <family val="2"/>
      </rPr>
      <t>2.</t>
    </r>
    <r>
      <rPr>
        <sz val="10"/>
        <color rgb="FF000000"/>
        <rFont val="宋体"/>
        <family val="3"/>
        <charset val="134"/>
      </rPr>
      <t>本期增加金额</t>
    </r>
  </si>
  <si>
    <r>
      <rPr>
        <sz val="10"/>
        <color rgb="FF000000"/>
        <rFont val="宋体"/>
        <family val="3"/>
        <charset val="134"/>
      </rPr>
      <t>（</t>
    </r>
    <r>
      <rPr>
        <sz val="10"/>
        <color rgb="FF000000"/>
        <rFont val="Arial Narrow"/>
        <family val="2"/>
      </rPr>
      <t>1</t>
    </r>
    <r>
      <rPr>
        <sz val="10"/>
        <color rgb="FF000000"/>
        <rFont val="宋体"/>
        <family val="3"/>
        <charset val="134"/>
      </rPr>
      <t>）购置</t>
    </r>
  </si>
  <si>
    <r>
      <rPr>
        <sz val="10"/>
        <color rgb="FF000000"/>
        <rFont val="宋体"/>
        <family val="3"/>
        <charset val="134"/>
      </rPr>
      <t>（</t>
    </r>
    <r>
      <rPr>
        <sz val="10"/>
        <color rgb="FF000000"/>
        <rFont val="Arial Narrow"/>
        <family val="2"/>
      </rPr>
      <t>2</t>
    </r>
    <r>
      <rPr>
        <sz val="10"/>
        <color rgb="FF000000"/>
        <rFont val="宋体"/>
        <family val="3"/>
        <charset val="134"/>
      </rPr>
      <t>）在建工程转入</t>
    </r>
  </si>
  <si>
    <r>
      <rPr>
        <sz val="10"/>
        <color rgb="FF000000"/>
        <rFont val="宋体"/>
        <family val="3"/>
        <charset val="134"/>
      </rPr>
      <t>（</t>
    </r>
    <r>
      <rPr>
        <sz val="10"/>
        <color rgb="FF000000"/>
        <rFont val="Arial Narrow"/>
        <family val="2"/>
      </rPr>
      <t>3</t>
    </r>
    <r>
      <rPr>
        <sz val="10"/>
        <color rgb="FF000000"/>
        <rFont val="宋体"/>
        <family val="3"/>
        <charset val="134"/>
      </rPr>
      <t>）企业合并增加</t>
    </r>
  </si>
  <si>
    <r>
      <rPr>
        <sz val="10"/>
        <color rgb="FF000000"/>
        <rFont val="Arial Narrow"/>
        <family val="2"/>
      </rPr>
      <t>3.</t>
    </r>
    <r>
      <rPr>
        <sz val="10"/>
        <color rgb="FF000000"/>
        <rFont val="宋体"/>
        <family val="3"/>
        <charset val="134"/>
      </rPr>
      <t>本期减少金额</t>
    </r>
  </si>
  <si>
    <r>
      <rPr>
        <sz val="10"/>
        <color rgb="FF000000"/>
        <rFont val="宋体"/>
        <family val="3"/>
        <charset val="134"/>
      </rPr>
      <t>（</t>
    </r>
    <r>
      <rPr>
        <sz val="10"/>
        <color rgb="FF000000"/>
        <rFont val="Arial Narrow"/>
        <family val="2"/>
      </rPr>
      <t>1</t>
    </r>
    <r>
      <rPr>
        <sz val="10"/>
        <color rgb="FF000000"/>
        <rFont val="宋体"/>
        <family val="3"/>
        <charset val="134"/>
      </rPr>
      <t>）处置或报废</t>
    </r>
  </si>
  <si>
    <r>
      <rPr>
        <sz val="10"/>
        <color rgb="FF000000"/>
        <rFont val="宋体"/>
        <family val="3"/>
        <charset val="134"/>
      </rPr>
      <t>（</t>
    </r>
    <r>
      <rPr>
        <sz val="10"/>
        <color rgb="FF000000"/>
        <rFont val="Arial Narrow"/>
        <family val="2"/>
      </rPr>
      <t>2</t>
    </r>
    <r>
      <rPr>
        <sz val="10"/>
        <color rgb="FF000000"/>
        <rFont val="宋体"/>
        <family val="3"/>
        <charset val="134"/>
      </rPr>
      <t>）其他减少</t>
    </r>
  </si>
  <si>
    <r>
      <rPr>
        <sz val="10"/>
        <color rgb="FF000000"/>
        <rFont val="Arial Narrow"/>
        <family val="2"/>
      </rPr>
      <t>4.</t>
    </r>
    <r>
      <rPr>
        <sz val="10"/>
        <color rgb="FF000000"/>
        <rFont val="宋体"/>
        <family val="3"/>
        <charset val="134"/>
      </rPr>
      <t>期末余额</t>
    </r>
  </si>
  <si>
    <r>
      <rPr>
        <b/>
        <sz val="10"/>
        <color rgb="FF000000"/>
        <rFont val="宋体"/>
        <family val="3"/>
        <charset val="134"/>
      </rPr>
      <t>二、累计折旧</t>
    </r>
  </si>
  <si>
    <r>
      <rPr>
        <sz val="10"/>
        <color rgb="FF000000"/>
        <rFont val="宋体"/>
        <family val="3"/>
        <charset val="134"/>
      </rPr>
      <t>（</t>
    </r>
    <r>
      <rPr>
        <sz val="10"/>
        <color rgb="FF000000"/>
        <rFont val="Arial Narrow"/>
        <family val="2"/>
      </rPr>
      <t>1</t>
    </r>
    <r>
      <rPr>
        <sz val="10"/>
        <color rgb="FF000000"/>
        <rFont val="宋体"/>
        <family val="3"/>
        <charset val="134"/>
      </rPr>
      <t>）计提</t>
    </r>
  </si>
  <si>
    <r>
      <rPr>
        <sz val="10"/>
        <color rgb="FF000000"/>
        <rFont val="宋体"/>
        <family val="3"/>
        <charset val="134"/>
      </rPr>
      <t>（</t>
    </r>
    <r>
      <rPr>
        <sz val="10"/>
        <color rgb="FF000000"/>
        <rFont val="Arial Narrow"/>
        <family val="2"/>
      </rPr>
      <t>2</t>
    </r>
    <r>
      <rPr>
        <sz val="10"/>
        <color rgb="FF000000"/>
        <rFont val="宋体"/>
        <family val="3"/>
        <charset val="134"/>
      </rPr>
      <t>）其他增加</t>
    </r>
  </si>
  <si>
    <r>
      <rPr>
        <b/>
        <sz val="10"/>
        <color rgb="FF000000"/>
        <rFont val="宋体"/>
        <family val="3"/>
        <charset val="134"/>
      </rPr>
      <t>三、减值准备</t>
    </r>
  </si>
  <si>
    <r>
      <rPr>
        <sz val="10"/>
        <color rgb="FF000000"/>
        <rFont val="宋体"/>
        <family val="3"/>
        <charset val="134"/>
      </rPr>
      <t>（</t>
    </r>
    <r>
      <rPr>
        <sz val="10"/>
        <color rgb="FF000000"/>
        <rFont val="Arial Narrow"/>
        <family val="2"/>
      </rPr>
      <t>2</t>
    </r>
    <r>
      <rPr>
        <sz val="10"/>
        <color rgb="FF000000"/>
        <rFont val="宋体"/>
        <family val="3"/>
        <charset val="134"/>
      </rPr>
      <t>）其他减少</t>
    </r>
    <r>
      <rPr>
        <sz val="10"/>
        <color rgb="FF3333FF"/>
        <rFont val="宋体"/>
        <family val="3"/>
        <charset val="134"/>
      </rPr>
      <t>（提示）</t>
    </r>
  </si>
  <si>
    <r>
      <rPr>
        <b/>
        <sz val="10"/>
        <color rgb="FF000000"/>
        <rFont val="宋体"/>
        <family val="3"/>
        <charset val="134"/>
      </rPr>
      <t>四、账面价值</t>
    </r>
  </si>
  <si>
    <r>
      <rPr>
        <sz val="10"/>
        <color rgb="FF000000"/>
        <rFont val="Arial Narrow"/>
        <family val="2"/>
      </rPr>
      <t>1.</t>
    </r>
    <r>
      <rPr>
        <sz val="10"/>
        <color rgb="FF000000"/>
        <rFont val="宋体"/>
        <family val="3"/>
        <charset val="134"/>
      </rPr>
      <t>期末账面价值</t>
    </r>
  </si>
  <si>
    <r>
      <rPr>
        <sz val="10"/>
        <color rgb="FF000000"/>
        <rFont val="Arial Narrow"/>
        <family val="2"/>
      </rPr>
      <t>2.</t>
    </r>
    <r>
      <rPr>
        <sz val="10"/>
        <color rgb="FF000000"/>
        <rFont val="宋体"/>
        <family val="3"/>
        <charset val="134"/>
      </rPr>
      <t>期初账面价值</t>
    </r>
  </si>
  <si>
    <r>
      <rPr>
        <sz val="10"/>
        <color rgb="FF0070C0"/>
        <rFont val="宋体"/>
        <family val="3"/>
        <charset val="134"/>
      </rPr>
      <t>①（抵押、担保的固定资产情况）</t>
    </r>
  </si>
  <si>
    <r>
      <rPr>
        <sz val="10"/>
        <color rgb="FF0070C0"/>
        <rFont val="宋体"/>
        <family val="3"/>
        <charset val="134"/>
      </rPr>
      <t>（注：本期发生以明显高于账面价值的价格出售固定资产交易的，应详细说明交易作价的基础和依据，如：估值模型、重要参数的选取依据和估值过程，以及必要的敏感性分析。）</t>
    </r>
  </si>
  <si>
    <r>
      <rPr>
        <b/>
        <sz val="10"/>
        <color rgb="FF0000FF"/>
        <rFont val="宋体"/>
        <family val="3"/>
        <charset val="134"/>
      </rPr>
      <t>【提示：在</t>
    </r>
    <r>
      <rPr>
        <b/>
        <sz val="10"/>
        <color rgb="FF0000FF"/>
        <rFont val="Arial Narrow"/>
        <family val="2"/>
      </rPr>
      <t>“</t>
    </r>
    <r>
      <rPr>
        <b/>
        <sz val="10"/>
        <color rgb="FF0000FF"/>
        <rFont val="宋体"/>
        <family val="3"/>
        <charset val="134"/>
      </rPr>
      <t>其他减少</t>
    </r>
    <r>
      <rPr>
        <b/>
        <sz val="10"/>
        <color rgb="FF0000FF"/>
        <rFont val="Arial Narrow"/>
        <family val="2"/>
      </rPr>
      <t>”</t>
    </r>
    <r>
      <rPr>
        <b/>
        <sz val="10"/>
        <color rgb="FF0000FF"/>
        <rFont val="宋体"/>
        <family val="3"/>
        <charset val="134"/>
      </rPr>
      <t>中列示本期收到的政府补助冲减固定资产账面价值的金额。对于冲减无形资产或其他资产账面价值的政府补助，比照披露。】</t>
    </r>
  </si>
  <si>
    <t>（提示：对于冲减无形资产或其他资产账面价值的政府补助，在无形资产或其他资产的科目附注中比照上述要求进行披露。）</t>
  </si>
  <si>
    <r>
      <rPr>
        <b/>
        <sz val="10"/>
        <rFont val="宋体"/>
        <family val="3"/>
        <charset val="134"/>
      </rPr>
      <t>（</t>
    </r>
    <r>
      <rPr>
        <b/>
        <sz val="10"/>
        <color theme="1"/>
        <rFont val="Arial Narrow"/>
        <family val="2"/>
      </rPr>
      <t>2</t>
    </r>
    <r>
      <rPr>
        <b/>
        <sz val="10"/>
        <color theme="1"/>
        <rFont val="宋体"/>
        <family val="3"/>
        <charset val="134"/>
      </rPr>
      <t>）暂时闲置的固定资产情况</t>
    </r>
  </si>
  <si>
    <r>
      <rPr>
        <b/>
        <sz val="10"/>
        <color rgb="FF000000"/>
        <rFont val="宋体"/>
        <family val="3"/>
        <charset val="134"/>
      </rPr>
      <t>账面原值</t>
    </r>
  </si>
  <si>
    <r>
      <rPr>
        <b/>
        <sz val="10"/>
        <color rgb="FF000000"/>
        <rFont val="宋体"/>
        <family val="3"/>
        <charset val="134"/>
      </rPr>
      <t>累计折旧</t>
    </r>
  </si>
  <si>
    <r>
      <rPr>
        <b/>
        <sz val="10"/>
        <color rgb="FF000000"/>
        <rFont val="宋体"/>
        <family val="3"/>
        <charset val="134"/>
      </rPr>
      <t>备注</t>
    </r>
  </si>
  <si>
    <r>
      <rPr>
        <sz val="10"/>
        <color rgb="FF000000"/>
        <rFont val="宋体"/>
        <family val="3"/>
        <charset val="134"/>
      </rPr>
      <t>房屋及建筑物</t>
    </r>
  </si>
  <si>
    <r>
      <rPr>
        <sz val="10"/>
        <color rgb="FF000000"/>
        <rFont val="宋体"/>
        <family val="3"/>
        <charset val="134"/>
      </rPr>
      <t>机器设备</t>
    </r>
  </si>
  <si>
    <r>
      <rPr>
        <sz val="10"/>
        <color rgb="FF000000"/>
        <rFont val="宋体"/>
        <family val="3"/>
        <charset val="134"/>
      </rPr>
      <t>电子设备</t>
    </r>
  </si>
  <si>
    <r>
      <rPr>
        <sz val="10"/>
        <color rgb="FF000000"/>
        <rFont val="宋体"/>
        <family val="3"/>
        <charset val="134"/>
      </rPr>
      <t>运输设备</t>
    </r>
  </si>
  <si>
    <r>
      <rPr>
        <b/>
        <sz val="10"/>
        <rFont val="宋体"/>
        <family val="3"/>
        <charset val="134"/>
      </rPr>
      <t>（</t>
    </r>
    <r>
      <rPr>
        <b/>
        <sz val="10"/>
        <color theme="1"/>
        <rFont val="Arial Narrow"/>
        <family val="2"/>
      </rPr>
      <t>3</t>
    </r>
    <r>
      <rPr>
        <b/>
        <sz val="10"/>
        <color theme="1"/>
        <rFont val="宋体"/>
        <family val="3"/>
        <charset val="134"/>
      </rPr>
      <t>）通过融资租赁租入的固定资产情况</t>
    </r>
  </si>
  <si>
    <r>
      <rPr>
        <sz val="10"/>
        <rFont val="宋体"/>
        <family val="3"/>
        <charset val="134"/>
      </rPr>
      <t>（</t>
    </r>
    <r>
      <rPr>
        <sz val="10"/>
        <color theme="1"/>
        <rFont val="Arial Narrow"/>
        <family val="2"/>
      </rPr>
      <t>4</t>
    </r>
    <r>
      <rPr>
        <sz val="10"/>
        <color theme="1"/>
        <rFont val="宋体"/>
        <family val="3"/>
        <charset val="134"/>
      </rPr>
      <t>）通过经营租赁租出的固定资产</t>
    </r>
  </si>
  <si>
    <r>
      <rPr>
        <sz val="10"/>
        <rFont val="宋体"/>
        <family val="3"/>
        <charset val="134"/>
      </rPr>
      <t>（</t>
    </r>
    <r>
      <rPr>
        <sz val="10"/>
        <color theme="1"/>
        <rFont val="Arial Narrow"/>
        <family val="2"/>
      </rPr>
      <t>5</t>
    </r>
    <r>
      <rPr>
        <sz val="10"/>
        <color theme="1"/>
        <rFont val="宋体"/>
        <family val="3"/>
        <charset val="134"/>
      </rPr>
      <t>）未办妥产权证书的固定资产情况</t>
    </r>
  </si>
  <si>
    <r>
      <rPr>
        <sz val="10"/>
        <color rgb="FF0070C0"/>
        <rFont val="宋体"/>
        <family val="3"/>
        <charset val="134"/>
      </rPr>
      <t>（披露期末未办妥产权证书的固定资产账面价值及原因。）</t>
    </r>
  </si>
  <si>
    <r>
      <rPr>
        <b/>
        <sz val="10"/>
        <color theme="1"/>
        <rFont val="宋体"/>
        <family val="3"/>
        <charset val="134"/>
      </rPr>
      <t>未办妥产权证书原因</t>
    </r>
  </si>
  <si>
    <r>
      <rPr>
        <sz val="10"/>
        <color theme="1"/>
        <rFont val="宋体"/>
        <family val="3"/>
        <charset val="134"/>
      </rPr>
      <t>说明：</t>
    </r>
    <r>
      <rPr>
        <sz val="10"/>
        <color rgb="FF0000FF"/>
        <rFont val="Arial Narrow"/>
        <family val="2"/>
      </rPr>
      <t xml:space="preserve"> </t>
    </r>
  </si>
  <si>
    <r>
      <rPr>
        <b/>
        <sz val="12"/>
        <rFont val="宋体"/>
        <family val="3"/>
        <charset val="134"/>
      </rPr>
      <t>固定资产清理</t>
    </r>
  </si>
  <si>
    <r>
      <rPr>
        <sz val="10"/>
        <color rgb="FF0070C0"/>
        <rFont val="宋体"/>
        <family val="3"/>
        <charset val="134"/>
      </rPr>
      <t>说明：（转入固定资产清理起始时间已超过</t>
    </r>
    <r>
      <rPr>
        <sz val="10"/>
        <color rgb="FF0070C0"/>
        <rFont val="Arial Narrow"/>
        <family val="2"/>
      </rPr>
      <t>1</t>
    </r>
    <r>
      <rPr>
        <sz val="10"/>
        <color rgb="FF0070C0"/>
        <rFont val="宋体"/>
        <family val="3"/>
        <charset val="134"/>
      </rPr>
      <t>年的固定资产清理进展情况）</t>
    </r>
  </si>
  <si>
    <t>工程物资</t>
  </si>
  <si>
    <r>
      <rPr>
        <b/>
        <sz val="12"/>
        <rFont val="宋体"/>
        <family val="3"/>
        <charset val="134"/>
      </rPr>
      <t>在建工程</t>
    </r>
  </si>
  <si>
    <r>
      <rPr>
        <b/>
        <sz val="10"/>
        <rFont val="宋体"/>
        <family val="3"/>
        <charset val="134"/>
      </rPr>
      <t>（</t>
    </r>
    <r>
      <rPr>
        <b/>
        <sz val="10"/>
        <color theme="1"/>
        <rFont val="Arial Narrow"/>
        <family val="2"/>
      </rPr>
      <t>1</t>
    </r>
    <r>
      <rPr>
        <b/>
        <sz val="10"/>
        <color theme="1"/>
        <rFont val="宋体"/>
        <family val="3"/>
        <charset val="134"/>
      </rPr>
      <t>）在建工程明细</t>
    </r>
  </si>
  <si>
    <r>
      <rPr>
        <b/>
        <sz val="10"/>
        <color rgb="FF000000"/>
        <rFont val="宋体"/>
        <family val="3"/>
        <charset val="134"/>
      </rPr>
      <t>账面净值</t>
    </r>
  </si>
  <si>
    <r>
      <rPr>
        <b/>
        <sz val="10"/>
        <rFont val="宋体"/>
        <family val="3"/>
        <charset val="134"/>
      </rPr>
      <t>（</t>
    </r>
    <r>
      <rPr>
        <b/>
        <sz val="10"/>
        <color theme="1"/>
        <rFont val="Arial Narrow"/>
        <family val="2"/>
      </rPr>
      <t>2</t>
    </r>
    <r>
      <rPr>
        <b/>
        <sz val="10"/>
        <color theme="1"/>
        <rFont val="宋体"/>
        <family val="3"/>
        <charset val="134"/>
      </rPr>
      <t>）重要在建工程项目变动情况</t>
    </r>
  </si>
  <si>
    <r>
      <rPr>
        <b/>
        <sz val="10"/>
        <color theme="1"/>
        <rFont val="宋体"/>
        <family val="3"/>
        <charset val="134"/>
      </rPr>
      <t>工程名称</t>
    </r>
  </si>
  <si>
    <r>
      <rPr>
        <b/>
        <sz val="10"/>
        <color theme="1"/>
        <rFont val="宋体"/>
        <family val="3"/>
        <charset val="134"/>
      </rPr>
      <t>期初数</t>
    </r>
  </si>
  <si>
    <r>
      <rPr>
        <b/>
        <sz val="10"/>
        <color rgb="FF000000"/>
        <rFont val="宋体"/>
        <family val="3"/>
        <charset val="134"/>
      </rPr>
      <t>本期增加</t>
    </r>
  </si>
  <si>
    <r>
      <rPr>
        <b/>
        <sz val="10"/>
        <color rgb="FF000000"/>
        <rFont val="宋体"/>
        <family val="3"/>
        <charset val="134"/>
      </rPr>
      <t>转入固定资产</t>
    </r>
  </si>
  <si>
    <r>
      <rPr>
        <b/>
        <sz val="10"/>
        <color rgb="FF000000"/>
        <rFont val="宋体"/>
        <family val="3"/>
        <charset val="134"/>
      </rPr>
      <t>其他减少</t>
    </r>
  </si>
  <si>
    <r>
      <rPr>
        <b/>
        <sz val="10"/>
        <color rgb="FF000000"/>
        <rFont val="宋体"/>
        <family val="3"/>
        <charset val="134"/>
      </rPr>
      <t>利息资本化累计金额</t>
    </r>
  </si>
  <si>
    <r>
      <rPr>
        <b/>
        <sz val="10"/>
        <color rgb="FF000000"/>
        <rFont val="宋体"/>
        <family val="3"/>
        <charset val="134"/>
      </rPr>
      <t>其中：本期利息资本化金额</t>
    </r>
  </si>
  <si>
    <r>
      <rPr>
        <b/>
        <sz val="10"/>
        <color rgb="FF000000"/>
        <rFont val="宋体"/>
        <family val="3"/>
        <charset val="134"/>
      </rPr>
      <t>本期利息资本化率</t>
    </r>
    <r>
      <rPr>
        <b/>
        <sz val="10"/>
        <color rgb="FF000000"/>
        <rFont val="Arial Narrow"/>
        <family val="2"/>
      </rPr>
      <t>%</t>
    </r>
  </si>
  <si>
    <r>
      <rPr>
        <sz val="10"/>
        <rFont val="宋体"/>
        <family val="3"/>
        <charset val="134"/>
      </rPr>
      <t>重大在建工程项目变动情况（续）：</t>
    </r>
  </si>
  <si>
    <r>
      <rPr>
        <b/>
        <sz val="10"/>
        <color rgb="FF000000"/>
        <rFont val="宋体"/>
        <family val="3"/>
        <charset val="134"/>
      </rPr>
      <t>预算数</t>
    </r>
  </si>
  <si>
    <r>
      <rPr>
        <b/>
        <sz val="10"/>
        <color rgb="FF000000"/>
        <rFont val="宋体"/>
        <family val="3"/>
        <charset val="134"/>
      </rPr>
      <t>工程累计投入占预算比例</t>
    </r>
    <r>
      <rPr>
        <b/>
        <sz val="10"/>
        <color rgb="FF000000"/>
        <rFont val="Arial Narrow"/>
        <family val="2"/>
      </rPr>
      <t>%</t>
    </r>
  </si>
  <si>
    <r>
      <rPr>
        <b/>
        <sz val="10"/>
        <color rgb="FF000000"/>
        <rFont val="宋体"/>
        <family val="3"/>
        <charset val="134"/>
      </rPr>
      <t>工程进度</t>
    </r>
  </si>
  <si>
    <r>
      <rPr>
        <b/>
        <sz val="10"/>
        <color rgb="FF000000"/>
        <rFont val="宋体"/>
        <family val="3"/>
        <charset val="134"/>
      </rPr>
      <t>资金来源</t>
    </r>
  </si>
  <si>
    <r>
      <rPr>
        <sz val="10"/>
        <color rgb="FF0070C0"/>
        <rFont val="宋体"/>
        <family val="3"/>
        <charset val="134"/>
      </rPr>
      <t>（注：工程进度不一定是投入进度）</t>
    </r>
  </si>
  <si>
    <r>
      <rPr>
        <sz val="10"/>
        <rFont val="宋体"/>
        <family val="3"/>
        <charset val="134"/>
      </rPr>
      <t>在建工程项目变动情况的说明：</t>
    </r>
  </si>
  <si>
    <r>
      <rPr>
        <sz val="10"/>
        <color rgb="FF0070C0"/>
        <rFont val="宋体"/>
        <family val="3"/>
        <charset val="134"/>
      </rPr>
      <t>（资金来源应区分募股资金、金融机构贷款和自筹、其他来源等）</t>
    </r>
  </si>
  <si>
    <r>
      <rPr>
        <b/>
        <sz val="10"/>
        <rFont val="宋体"/>
        <family val="3"/>
        <charset val="134"/>
      </rPr>
      <t>（</t>
    </r>
    <r>
      <rPr>
        <b/>
        <sz val="10"/>
        <color theme="1"/>
        <rFont val="Arial Narrow"/>
        <family val="2"/>
      </rPr>
      <t>3</t>
    </r>
    <r>
      <rPr>
        <b/>
        <sz val="10"/>
        <color theme="1"/>
        <rFont val="宋体"/>
        <family val="3"/>
        <charset val="134"/>
      </rPr>
      <t>）在建工程减值准备</t>
    </r>
  </si>
  <si>
    <r>
      <rPr>
        <b/>
        <sz val="10"/>
        <color theme="1"/>
        <rFont val="宋体"/>
        <family val="3"/>
        <charset val="134"/>
      </rPr>
      <t>本期计提金额</t>
    </r>
  </si>
  <si>
    <r>
      <rPr>
        <b/>
        <sz val="10"/>
        <color theme="1"/>
        <rFont val="宋体"/>
        <family val="3"/>
        <charset val="134"/>
      </rPr>
      <t>计提原因</t>
    </r>
  </si>
  <si>
    <r>
      <rPr>
        <sz val="10"/>
        <color rgb="FF0070C0"/>
        <rFont val="宋体"/>
        <family val="3"/>
        <charset val="134"/>
      </rPr>
      <t>说明：</t>
    </r>
    <r>
      <rPr>
        <sz val="10"/>
        <color theme="1"/>
        <rFont val="Arial Narrow"/>
        <family val="2"/>
      </rPr>
      <t xml:space="preserve"> </t>
    </r>
    <r>
      <rPr>
        <sz val="10"/>
        <color rgb="FF0000FF"/>
        <rFont val="宋体"/>
        <family val="3"/>
        <charset val="134"/>
      </rPr>
      <t>（分项列示本期计提的在建工程减值准备金额及计提原因。）</t>
    </r>
  </si>
  <si>
    <r>
      <rPr>
        <b/>
        <sz val="12"/>
        <rFont val="宋体"/>
        <family val="3"/>
        <charset val="134"/>
      </rPr>
      <t>工程物资</t>
    </r>
  </si>
  <si>
    <r>
      <rPr>
        <sz val="10"/>
        <color theme="1"/>
        <rFont val="宋体"/>
        <family val="3"/>
        <charset val="134"/>
      </rPr>
      <t>工程物资</t>
    </r>
  </si>
  <si>
    <r>
      <rPr>
        <sz val="10"/>
        <color theme="1"/>
        <rFont val="宋体"/>
        <family val="3"/>
        <charset val="134"/>
      </rPr>
      <t>项</t>
    </r>
    <r>
      <rPr>
        <sz val="10"/>
        <color theme="1"/>
        <rFont val="Arial Narrow"/>
        <family val="2"/>
      </rPr>
      <t xml:space="preserve">  </t>
    </r>
    <r>
      <rPr>
        <sz val="10"/>
        <color theme="1"/>
        <rFont val="宋体"/>
        <family val="3"/>
        <charset val="134"/>
      </rPr>
      <t>目</t>
    </r>
  </si>
  <si>
    <r>
      <rPr>
        <sz val="10"/>
        <color theme="1"/>
        <rFont val="宋体"/>
        <family val="3"/>
        <charset val="134"/>
      </rPr>
      <t>期末数</t>
    </r>
  </si>
  <si>
    <r>
      <rPr>
        <sz val="10"/>
        <color theme="1"/>
        <rFont val="宋体"/>
        <family val="3"/>
        <charset val="134"/>
      </rPr>
      <t>专用材料</t>
    </r>
  </si>
  <si>
    <r>
      <rPr>
        <sz val="10"/>
        <color rgb="FF000000"/>
        <rFont val="宋体"/>
        <family val="3"/>
        <charset val="134"/>
      </rPr>
      <t>专用设备</t>
    </r>
  </si>
  <si>
    <r>
      <rPr>
        <sz val="10"/>
        <color rgb="FF000000"/>
        <rFont val="宋体"/>
        <family val="3"/>
        <charset val="134"/>
      </rPr>
      <t>工器具</t>
    </r>
  </si>
  <si>
    <r>
      <rPr>
        <sz val="10"/>
        <color rgb="FF000000"/>
        <rFont val="宋体"/>
        <family val="3"/>
        <charset val="134"/>
      </rPr>
      <t>工程物资减值准备</t>
    </r>
  </si>
  <si>
    <r>
      <rPr>
        <b/>
        <sz val="11"/>
        <rFont val="宋体"/>
        <family val="3"/>
        <charset val="134"/>
      </rPr>
      <t>公司名称</t>
    </r>
  </si>
  <si>
    <r>
      <rPr>
        <b/>
        <sz val="11"/>
        <rFont val="宋体"/>
        <family val="3"/>
        <charset val="134"/>
      </rPr>
      <t>财务期间</t>
    </r>
  </si>
  <si>
    <r>
      <rPr>
        <b/>
        <sz val="11"/>
        <rFont val="宋体"/>
        <family val="3"/>
        <charset val="134"/>
      </rPr>
      <t>内容</t>
    </r>
  </si>
  <si>
    <r>
      <rPr>
        <b/>
        <sz val="12"/>
        <rFont val="宋体"/>
        <family val="3"/>
        <charset val="134"/>
      </rPr>
      <t>生产性生物资产</t>
    </r>
  </si>
  <si>
    <r>
      <rPr>
        <b/>
        <sz val="11"/>
        <color rgb="FF000000"/>
        <rFont val="宋体"/>
        <family val="3"/>
        <charset val="134"/>
      </rPr>
      <t>项</t>
    </r>
    <r>
      <rPr>
        <b/>
        <sz val="11"/>
        <color rgb="FF000000"/>
        <rFont val="Arial Narrow"/>
        <family val="2"/>
      </rPr>
      <t xml:space="preserve">  </t>
    </r>
    <r>
      <rPr>
        <b/>
        <sz val="11"/>
        <color rgb="FF000000"/>
        <rFont val="宋体"/>
        <family val="3"/>
        <charset val="134"/>
      </rPr>
      <t>目</t>
    </r>
  </si>
  <si>
    <r>
      <rPr>
        <b/>
        <sz val="11"/>
        <color rgb="FF000000"/>
        <rFont val="宋体"/>
        <family val="3"/>
        <charset val="134"/>
      </rPr>
      <t>种植业</t>
    </r>
  </si>
  <si>
    <r>
      <rPr>
        <b/>
        <sz val="11"/>
        <color rgb="FF000000"/>
        <rFont val="宋体"/>
        <family val="3"/>
        <charset val="134"/>
      </rPr>
      <t>畜牧养殖业</t>
    </r>
  </si>
  <si>
    <r>
      <rPr>
        <b/>
        <sz val="11"/>
        <color rgb="FF000000"/>
        <rFont val="宋体"/>
        <family val="3"/>
        <charset val="134"/>
      </rPr>
      <t>林业</t>
    </r>
  </si>
  <si>
    <r>
      <rPr>
        <b/>
        <sz val="11"/>
        <color rgb="FF000000"/>
        <rFont val="宋体"/>
        <family val="3"/>
        <charset val="134"/>
      </rPr>
      <t>水产业</t>
    </r>
  </si>
  <si>
    <r>
      <rPr>
        <b/>
        <sz val="11"/>
        <color rgb="FF000000"/>
        <rFont val="宋体"/>
        <family val="3"/>
        <charset val="134"/>
      </rPr>
      <t>合计</t>
    </r>
  </si>
  <si>
    <r>
      <rPr>
        <b/>
        <sz val="11"/>
        <color rgb="FF000000"/>
        <rFont val="宋体"/>
        <family val="3"/>
        <charset val="134"/>
      </rPr>
      <t>类别</t>
    </r>
  </si>
  <si>
    <r>
      <rPr>
        <b/>
        <sz val="11"/>
        <color rgb="FF000000"/>
        <rFont val="宋体"/>
        <family val="3"/>
        <charset val="134"/>
      </rPr>
      <t>一、账面原值</t>
    </r>
  </si>
  <si>
    <r>
      <rPr>
        <sz val="11"/>
        <color rgb="FF000000"/>
        <rFont val="Arial Narrow"/>
        <family val="2"/>
      </rPr>
      <t xml:space="preserve">    1.</t>
    </r>
    <r>
      <rPr>
        <sz val="11"/>
        <color rgb="FF000000"/>
        <rFont val="宋体"/>
        <family val="3"/>
        <charset val="134"/>
      </rPr>
      <t>期初余额</t>
    </r>
  </si>
  <si>
    <r>
      <rPr>
        <sz val="11"/>
        <color rgb="FF000000"/>
        <rFont val="Arial Narrow"/>
        <family val="2"/>
      </rPr>
      <t>2.</t>
    </r>
    <r>
      <rPr>
        <sz val="11"/>
        <color rgb="FF000000"/>
        <rFont val="宋体"/>
        <family val="3"/>
        <charset val="134"/>
      </rPr>
      <t>本期增加金额</t>
    </r>
  </si>
  <si>
    <r>
      <rPr>
        <sz val="11"/>
        <color rgb="FF000000"/>
        <rFont val="Arial Narrow"/>
        <family val="2"/>
      </rPr>
      <t xml:space="preserve">   </t>
    </r>
    <r>
      <rPr>
        <sz val="11"/>
        <color rgb="FF000000"/>
        <rFont val="宋体"/>
        <family val="3"/>
        <charset val="134"/>
      </rPr>
      <t>（</t>
    </r>
    <r>
      <rPr>
        <sz val="11"/>
        <color rgb="FF000000"/>
        <rFont val="Arial Narrow"/>
        <family val="2"/>
      </rPr>
      <t>1</t>
    </r>
    <r>
      <rPr>
        <sz val="11"/>
        <color rgb="FF000000"/>
        <rFont val="宋体"/>
        <family val="3"/>
        <charset val="134"/>
      </rPr>
      <t>）外购</t>
    </r>
  </si>
  <si>
    <r>
      <rPr>
        <sz val="11"/>
        <color rgb="FF000000"/>
        <rFont val="Arial Narrow"/>
        <family val="2"/>
      </rPr>
      <t xml:space="preserve">   </t>
    </r>
    <r>
      <rPr>
        <sz val="11"/>
        <color rgb="FF000000"/>
        <rFont val="宋体"/>
        <family val="3"/>
        <charset val="134"/>
      </rPr>
      <t>（</t>
    </r>
    <r>
      <rPr>
        <sz val="11"/>
        <color rgb="FF000000"/>
        <rFont val="Arial Narrow"/>
        <family val="2"/>
      </rPr>
      <t>2</t>
    </r>
    <r>
      <rPr>
        <sz val="11"/>
        <color rgb="FF000000"/>
        <rFont val="宋体"/>
        <family val="3"/>
        <charset val="134"/>
      </rPr>
      <t>）自行培育</t>
    </r>
  </si>
  <si>
    <r>
      <rPr>
        <sz val="11"/>
        <color rgb="FF000000"/>
        <rFont val="宋体"/>
        <family val="3"/>
        <charset val="134"/>
      </rPr>
      <t>（</t>
    </r>
    <r>
      <rPr>
        <sz val="11"/>
        <color rgb="FF000000"/>
        <rFont val="Arial Narrow"/>
        <family val="2"/>
      </rPr>
      <t>3</t>
    </r>
    <r>
      <rPr>
        <sz val="11"/>
        <color rgb="FF000000"/>
        <rFont val="宋体"/>
        <family val="3"/>
        <charset val="134"/>
      </rPr>
      <t>）其他增加</t>
    </r>
  </si>
  <si>
    <r>
      <rPr>
        <sz val="11"/>
        <color rgb="FF000000"/>
        <rFont val="Arial Narrow"/>
        <family val="2"/>
      </rPr>
      <t xml:space="preserve">    3.</t>
    </r>
    <r>
      <rPr>
        <sz val="11"/>
        <color rgb="FF000000"/>
        <rFont val="宋体"/>
        <family val="3"/>
        <charset val="134"/>
      </rPr>
      <t>本期减少金额</t>
    </r>
  </si>
  <si>
    <r>
      <rPr>
        <sz val="11"/>
        <color rgb="FF000000"/>
        <rFont val="Arial Narrow"/>
        <family val="2"/>
      </rPr>
      <t xml:space="preserve">   </t>
    </r>
    <r>
      <rPr>
        <sz val="11"/>
        <color rgb="FF000000"/>
        <rFont val="宋体"/>
        <family val="3"/>
        <charset val="134"/>
      </rPr>
      <t>（</t>
    </r>
    <r>
      <rPr>
        <sz val="11"/>
        <color rgb="FF000000"/>
        <rFont val="Arial Narrow"/>
        <family val="2"/>
      </rPr>
      <t>1</t>
    </r>
    <r>
      <rPr>
        <sz val="11"/>
        <color rgb="FF000000"/>
        <rFont val="宋体"/>
        <family val="3"/>
        <charset val="134"/>
      </rPr>
      <t>）处置</t>
    </r>
  </si>
  <si>
    <r>
      <rPr>
        <sz val="11"/>
        <color rgb="FF000000"/>
        <rFont val="Arial Narrow"/>
        <family val="2"/>
      </rPr>
      <t xml:space="preserve">   </t>
    </r>
    <r>
      <rPr>
        <sz val="11"/>
        <color rgb="FF000000"/>
        <rFont val="宋体"/>
        <family val="3"/>
        <charset val="134"/>
      </rPr>
      <t>（</t>
    </r>
    <r>
      <rPr>
        <sz val="11"/>
        <color rgb="FF000000"/>
        <rFont val="Arial Narrow"/>
        <family val="2"/>
      </rPr>
      <t>2</t>
    </r>
    <r>
      <rPr>
        <sz val="11"/>
        <color rgb="FF000000"/>
        <rFont val="宋体"/>
        <family val="3"/>
        <charset val="134"/>
      </rPr>
      <t>）其他</t>
    </r>
  </si>
  <si>
    <r>
      <rPr>
        <sz val="11"/>
        <color rgb="FF000000"/>
        <rFont val="Arial Narrow"/>
        <family val="2"/>
      </rPr>
      <t xml:space="preserve">   4.</t>
    </r>
    <r>
      <rPr>
        <sz val="11"/>
        <color rgb="FF000000"/>
        <rFont val="宋体"/>
        <family val="3"/>
        <charset val="134"/>
      </rPr>
      <t>期末余额</t>
    </r>
  </si>
  <si>
    <r>
      <rPr>
        <b/>
        <sz val="11"/>
        <color rgb="FF000000"/>
        <rFont val="宋体"/>
        <family val="3"/>
        <charset val="134"/>
      </rPr>
      <t>二、累计折旧</t>
    </r>
  </si>
  <si>
    <r>
      <rPr>
        <sz val="11"/>
        <color rgb="FF000000"/>
        <rFont val="Arial Narrow"/>
        <family val="2"/>
      </rPr>
      <t xml:space="preserve">   </t>
    </r>
    <r>
      <rPr>
        <sz val="11"/>
        <color rgb="FF000000"/>
        <rFont val="宋体"/>
        <family val="3"/>
        <charset val="134"/>
      </rPr>
      <t>（</t>
    </r>
    <r>
      <rPr>
        <sz val="11"/>
        <color rgb="FF000000"/>
        <rFont val="Arial Narrow"/>
        <family val="2"/>
      </rPr>
      <t>1</t>
    </r>
    <r>
      <rPr>
        <sz val="11"/>
        <color rgb="FF000000"/>
        <rFont val="宋体"/>
        <family val="3"/>
        <charset val="134"/>
      </rPr>
      <t>）计提</t>
    </r>
  </si>
  <si>
    <r>
      <rPr>
        <sz val="11"/>
        <color rgb="FF000000"/>
        <rFont val="Arial Narrow"/>
        <family val="2"/>
      </rPr>
      <t xml:space="preserve">   </t>
    </r>
    <r>
      <rPr>
        <sz val="11"/>
        <color rgb="FF000000"/>
        <rFont val="宋体"/>
        <family val="3"/>
        <charset val="134"/>
      </rPr>
      <t>（</t>
    </r>
    <r>
      <rPr>
        <sz val="11"/>
        <color rgb="FF000000"/>
        <rFont val="Arial Narrow"/>
        <family val="2"/>
      </rPr>
      <t>2</t>
    </r>
    <r>
      <rPr>
        <sz val="11"/>
        <color rgb="FF000000"/>
        <rFont val="宋体"/>
        <family val="3"/>
        <charset val="134"/>
      </rPr>
      <t>）其他增加</t>
    </r>
  </si>
  <si>
    <r>
      <rPr>
        <sz val="11"/>
        <color rgb="FF000000"/>
        <rFont val="Arial Narrow"/>
        <family val="2"/>
      </rPr>
      <t xml:space="preserve">    4.</t>
    </r>
    <r>
      <rPr>
        <sz val="11"/>
        <color rgb="FF000000"/>
        <rFont val="宋体"/>
        <family val="3"/>
        <charset val="134"/>
      </rPr>
      <t>期末余额</t>
    </r>
  </si>
  <si>
    <r>
      <rPr>
        <b/>
        <sz val="11"/>
        <color rgb="FF000000"/>
        <rFont val="宋体"/>
        <family val="3"/>
        <charset val="134"/>
      </rPr>
      <t>三、减值准备</t>
    </r>
  </si>
  <si>
    <r>
      <rPr>
        <b/>
        <sz val="11"/>
        <color rgb="FF000000"/>
        <rFont val="宋体"/>
        <family val="3"/>
        <charset val="134"/>
      </rPr>
      <t>四、账面价值</t>
    </r>
  </si>
  <si>
    <r>
      <rPr>
        <sz val="11"/>
        <color rgb="FF000000"/>
        <rFont val="Arial Narrow"/>
        <family val="2"/>
      </rPr>
      <t xml:space="preserve">    1.</t>
    </r>
    <r>
      <rPr>
        <sz val="11"/>
        <color rgb="FF000000"/>
        <rFont val="宋体"/>
        <family val="3"/>
        <charset val="134"/>
      </rPr>
      <t>期末账面价值</t>
    </r>
  </si>
  <si>
    <r>
      <rPr>
        <sz val="11"/>
        <color rgb="FF000000"/>
        <rFont val="Arial Narrow"/>
        <family val="2"/>
      </rPr>
      <t xml:space="preserve">    2.</t>
    </r>
    <r>
      <rPr>
        <sz val="11"/>
        <color rgb="FF000000"/>
        <rFont val="宋体"/>
        <family val="3"/>
        <charset val="134"/>
      </rPr>
      <t>期初账面价值</t>
    </r>
  </si>
  <si>
    <r>
      <rPr>
        <sz val="11"/>
        <color indexed="8"/>
        <rFont val="宋体"/>
        <family val="3"/>
        <charset val="134"/>
      </rPr>
      <t>报表金额</t>
    </r>
  </si>
  <si>
    <r>
      <rPr>
        <b/>
        <sz val="11"/>
        <rFont val="宋体"/>
        <family val="3"/>
        <charset val="134"/>
      </rPr>
      <t>（</t>
    </r>
    <r>
      <rPr>
        <b/>
        <sz val="11"/>
        <rFont val="Arial Narrow"/>
        <family val="2"/>
      </rPr>
      <t>2</t>
    </r>
    <r>
      <rPr>
        <b/>
        <sz val="11"/>
        <rFont val="宋体"/>
        <family val="3"/>
        <charset val="134"/>
      </rPr>
      <t>）以公允价值计量</t>
    </r>
  </si>
  <si>
    <r>
      <rPr>
        <b/>
        <sz val="11"/>
        <color rgb="FF000000"/>
        <rFont val="宋体"/>
        <family val="3"/>
        <charset val="134"/>
      </rPr>
      <t>一、期初余额</t>
    </r>
  </si>
  <si>
    <r>
      <rPr>
        <b/>
        <sz val="11"/>
        <color rgb="FF000000"/>
        <rFont val="宋体"/>
        <family val="3"/>
        <charset val="134"/>
      </rPr>
      <t>二、本期变动</t>
    </r>
  </si>
  <si>
    <r>
      <rPr>
        <sz val="11"/>
        <color rgb="FF000000"/>
        <rFont val="宋体"/>
        <family val="3"/>
        <charset val="134"/>
      </rPr>
      <t>加：外购</t>
    </r>
  </si>
  <si>
    <r>
      <rPr>
        <sz val="11"/>
        <color rgb="FF000000"/>
        <rFont val="宋体"/>
        <family val="3"/>
        <charset val="134"/>
      </rPr>
      <t>自行培育</t>
    </r>
  </si>
  <si>
    <r>
      <rPr>
        <sz val="11"/>
        <color rgb="FF000000"/>
        <rFont val="宋体"/>
        <family val="3"/>
        <charset val="134"/>
      </rPr>
      <t>企业合并增加</t>
    </r>
  </si>
  <si>
    <r>
      <rPr>
        <sz val="11"/>
        <color rgb="FF000000"/>
        <rFont val="宋体"/>
        <family val="3"/>
        <charset val="134"/>
      </rPr>
      <t>减：处置</t>
    </r>
  </si>
  <si>
    <r>
      <rPr>
        <sz val="11"/>
        <color rgb="FF000000"/>
        <rFont val="宋体"/>
        <family val="3"/>
        <charset val="134"/>
      </rPr>
      <t>其他转出</t>
    </r>
  </si>
  <si>
    <r>
      <rPr>
        <sz val="11"/>
        <color rgb="FF000000"/>
        <rFont val="宋体"/>
        <family val="3"/>
        <charset val="134"/>
      </rPr>
      <t>公允价值变动</t>
    </r>
  </si>
  <si>
    <r>
      <rPr>
        <b/>
        <sz val="11"/>
        <color rgb="FF000000"/>
        <rFont val="宋体"/>
        <family val="3"/>
        <charset val="134"/>
      </rPr>
      <t>三、期末余额</t>
    </r>
  </si>
  <si>
    <r>
      <rPr>
        <sz val="12"/>
        <color rgb="FF0070C0"/>
        <rFont val="宋体"/>
        <family val="3"/>
        <charset val="134"/>
      </rPr>
      <t>说明：</t>
    </r>
    <r>
      <rPr>
        <sz val="12"/>
        <color rgb="FF0000FF"/>
        <rFont val="宋体"/>
        <family val="3"/>
        <charset val="134"/>
      </rPr>
      <t>（如有天然起源的生物资产，还应披露该资产的类别、取得方式和数量等。各类生产性生物资产的预计使用寿命、预计净残值、折旧方法、累计折旧和减值准备累计金额。与生物资产相关的风险情况与管理措施。）</t>
    </r>
  </si>
  <si>
    <r>
      <rPr>
        <b/>
        <sz val="12"/>
        <rFont val="宋体"/>
        <family val="3"/>
        <charset val="134"/>
      </rPr>
      <t>无形资产</t>
    </r>
  </si>
  <si>
    <r>
      <rPr>
        <b/>
        <sz val="10"/>
        <color indexed="8"/>
        <rFont val="宋体"/>
        <family val="3"/>
        <charset val="134"/>
      </rPr>
      <t>（</t>
    </r>
    <r>
      <rPr>
        <b/>
        <sz val="10"/>
        <color indexed="8"/>
        <rFont val="Arial Narrow"/>
        <family val="2"/>
      </rPr>
      <t>1</t>
    </r>
    <r>
      <rPr>
        <b/>
        <sz val="10"/>
        <color indexed="8"/>
        <rFont val="宋体"/>
        <family val="3"/>
        <charset val="134"/>
      </rPr>
      <t>）无形资产情况</t>
    </r>
  </si>
  <si>
    <r>
      <rPr>
        <b/>
        <sz val="10"/>
        <color rgb="FF000000"/>
        <rFont val="宋体"/>
        <family val="3"/>
        <charset val="134"/>
      </rPr>
      <t>项目</t>
    </r>
  </si>
  <si>
    <r>
      <rPr>
        <b/>
        <sz val="10"/>
        <color rgb="FF000000"/>
        <rFont val="宋体"/>
        <family val="3"/>
        <charset val="134"/>
      </rPr>
      <t>专利权</t>
    </r>
  </si>
  <si>
    <r>
      <rPr>
        <b/>
        <sz val="10"/>
        <color rgb="FF000000"/>
        <rFont val="宋体"/>
        <family val="3"/>
        <charset val="134"/>
      </rPr>
      <t>非专利技术</t>
    </r>
  </si>
  <si>
    <r>
      <rPr>
        <b/>
        <sz val="10"/>
        <color rgb="FF000000"/>
        <rFont val="宋体"/>
        <family val="3"/>
        <charset val="134"/>
      </rPr>
      <t>一、账面原值</t>
    </r>
  </si>
  <si>
    <r>
      <rPr>
        <sz val="10"/>
        <color rgb="FF000000"/>
        <rFont val="Arial Narrow"/>
        <family val="2"/>
      </rPr>
      <t xml:space="preserve">    1.</t>
    </r>
    <r>
      <rPr>
        <sz val="10"/>
        <color indexed="8"/>
        <rFont val="宋体"/>
        <family val="3"/>
        <charset val="134"/>
      </rPr>
      <t>期初余额</t>
    </r>
  </si>
  <si>
    <r>
      <rPr>
        <sz val="10"/>
        <color rgb="FF000000"/>
        <rFont val="Arial Narrow"/>
        <family val="2"/>
      </rPr>
      <t>2.</t>
    </r>
    <r>
      <rPr>
        <sz val="10"/>
        <color indexed="8"/>
        <rFont val="宋体"/>
        <family val="3"/>
        <charset val="134"/>
      </rPr>
      <t>本期增加金额</t>
    </r>
  </si>
  <si>
    <r>
      <rPr>
        <sz val="10"/>
        <color rgb="FF000000"/>
        <rFont val="Arial Narrow"/>
        <family val="2"/>
      </rPr>
      <t xml:space="preserve">   </t>
    </r>
    <r>
      <rPr>
        <sz val="10"/>
        <color indexed="8"/>
        <rFont val="宋体"/>
        <family val="3"/>
        <charset val="134"/>
      </rPr>
      <t>（</t>
    </r>
    <r>
      <rPr>
        <sz val="10"/>
        <color indexed="8"/>
        <rFont val="Arial Narrow"/>
        <family val="2"/>
      </rPr>
      <t>1</t>
    </r>
    <r>
      <rPr>
        <sz val="10"/>
        <color indexed="8"/>
        <rFont val="宋体"/>
        <family val="3"/>
        <charset val="134"/>
      </rPr>
      <t>）购置</t>
    </r>
  </si>
  <si>
    <r>
      <rPr>
        <sz val="10"/>
        <color rgb="FF000000"/>
        <rFont val="Arial Narrow"/>
        <family val="2"/>
      </rPr>
      <t xml:space="preserve">   </t>
    </r>
    <r>
      <rPr>
        <sz val="10"/>
        <color indexed="8"/>
        <rFont val="宋体"/>
        <family val="3"/>
        <charset val="134"/>
      </rPr>
      <t>（</t>
    </r>
    <r>
      <rPr>
        <sz val="10"/>
        <color indexed="8"/>
        <rFont val="Arial Narrow"/>
        <family val="2"/>
      </rPr>
      <t>2</t>
    </r>
    <r>
      <rPr>
        <sz val="10"/>
        <color indexed="8"/>
        <rFont val="宋体"/>
        <family val="3"/>
        <charset val="134"/>
      </rPr>
      <t>）内部研发</t>
    </r>
  </si>
  <si>
    <r>
      <rPr>
        <sz val="10"/>
        <color rgb="FF000000"/>
        <rFont val="Arial Narrow"/>
        <family val="2"/>
      </rPr>
      <t xml:space="preserve">   </t>
    </r>
    <r>
      <rPr>
        <sz val="10"/>
        <color indexed="8"/>
        <rFont val="宋体"/>
        <family val="3"/>
        <charset val="134"/>
      </rPr>
      <t>（</t>
    </r>
    <r>
      <rPr>
        <sz val="10"/>
        <color indexed="8"/>
        <rFont val="Arial Narrow"/>
        <family val="2"/>
      </rPr>
      <t>3</t>
    </r>
    <r>
      <rPr>
        <sz val="10"/>
        <color indexed="8"/>
        <rFont val="宋体"/>
        <family val="3"/>
        <charset val="134"/>
      </rPr>
      <t>）企业合并增加</t>
    </r>
  </si>
  <si>
    <r>
      <rPr>
        <sz val="10"/>
        <color rgb="FF000000"/>
        <rFont val="宋体"/>
        <family val="3"/>
        <charset val="134"/>
      </rPr>
      <t>（</t>
    </r>
    <r>
      <rPr>
        <sz val="10"/>
        <color indexed="8"/>
        <rFont val="Arial Narrow"/>
        <family val="2"/>
      </rPr>
      <t>4</t>
    </r>
    <r>
      <rPr>
        <sz val="10"/>
        <color indexed="8"/>
        <rFont val="宋体"/>
        <family val="3"/>
        <charset val="134"/>
      </rPr>
      <t>）其他增加</t>
    </r>
  </si>
  <si>
    <t xml:space="preserve">   ……</t>
  </si>
  <si>
    <r>
      <rPr>
        <sz val="10"/>
        <color rgb="FF000000"/>
        <rFont val="Arial Narrow"/>
        <family val="2"/>
      </rPr>
      <t xml:space="preserve">    3.</t>
    </r>
    <r>
      <rPr>
        <sz val="10"/>
        <color indexed="8"/>
        <rFont val="宋体"/>
        <family val="3"/>
        <charset val="134"/>
      </rPr>
      <t>本期减少金额</t>
    </r>
  </si>
  <si>
    <r>
      <rPr>
        <sz val="10"/>
        <color rgb="FF000000"/>
        <rFont val="Arial Narrow"/>
        <family val="2"/>
      </rPr>
      <t xml:space="preserve">   </t>
    </r>
    <r>
      <rPr>
        <sz val="10"/>
        <color indexed="8"/>
        <rFont val="宋体"/>
        <family val="3"/>
        <charset val="134"/>
      </rPr>
      <t>（</t>
    </r>
    <r>
      <rPr>
        <sz val="10"/>
        <color indexed="8"/>
        <rFont val="Arial Narrow"/>
        <family val="2"/>
      </rPr>
      <t>1</t>
    </r>
    <r>
      <rPr>
        <sz val="10"/>
        <color indexed="8"/>
        <rFont val="宋体"/>
        <family val="3"/>
        <charset val="134"/>
      </rPr>
      <t>）处置</t>
    </r>
  </si>
  <si>
    <r>
      <rPr>
        <sz val="10"/>
        <color rgb="FF000000"/>
        <rFont val="宋体"/>
        <family val="3"/>
        <charset val="134"/>
      </rPr>
      <t>（</t>
    </r>
    <r>
      <rPr>
        <sz val="10"/>
        <color indexed="8"/>
        <rFont val="Arial Narrow"/>
        <family val="2"/>
      </rPr>
      <t>2</t>
    </r>
    <r>
      <rPr>
        <sz val="10"/>
        <color indexed="8"/>
        <rFont val="宋体"/>
        <family val="3"/>
        <charset val="134"/>
      </rPr>
      <t>）其他减少</t>
    </r>
  </si>
  <si>
    <r>
      <rPr>
        <sz val="10"/>
        <color rgb="FF000000"/>
        <rFont val="Arial Narrow"/>
        <family val="2"/>
      </rPr>
      <t xml:space="preserve">   4.</t>
    </r>
    <r>
      <rPr>
        <sz val="10"/>
        <color indexed="8"/>
        <rFont val="宋体"/>
        <family val="3"/>
        <charset val="134"/>
      </rPr>
      <t>期末余额</t>
    </r>
  </si>
  <si>
    <r>
      <rPr>
        <b/>
        <sz val="10"/>
        <color rgb="FF000000"/>
        <rFont val="宋体"/>
        <family val="3"/>
        <charset val="134"/>
      </rPr>
      <t>二、累计摊销</t>
    </r>
  </si>
  <si>
    <r>
      <rPr>
        <sz val="10"/>
        <color rgb="FF000000"/>
        <rFont val="Arial Narrow"/>
        <family val="2"/>
      </rPr>
      <t xml:space="preserve">    </t>
    </r>
    <r>
      <rPr>
        <sz val="10"/>
        <color indexed="8"/>
        <rFont val="宋体"/>
        <family val="3"/>
        <charset val="134"/>
      </rPr>
      <t>（</t>
    </r>
    <r>
      <rPr>
        <sz val="10"/>
        <color indexed="8"/>
        <rFont val="Arial Narrow"/>
        <family val="2"/>
      </rPr>
      <t>1</t>
    </r>
    <r>
      <rPr>
        <sz val="10"/>
        <color indexed="8"/>
        <rFont val="宋体"/>
        <family val="3"/>
        <charset val="134"/>
      </rPr>
      <t>）计提</t>
    </r>
  </si>
  <si>
    <r>
      <rPr>
        <sz val="10"/>
        <color rgb="FF000000"/>
        <rFont val="宋体"/>
        <family val="3"/>
        <charset val="134"/>
      </rPr>
      <t>（</t>
    </r>
    <r>
      <rPr>
        <sz val="10"/>
        <color indexed="8"/>
        <rFont val="Arial Narrow"/>
        <family val="2"/>
      </rPr>
      <t>2</t>
    </r>
    <r>
      <rPr>
        <sz val="10"/>
        <color indexed="8"/>
        <rFont val="宋体"/>
        <family val="3"/>
        <charset val="134"/>
      </rPr>
      <t>）其他增加</t>
    </r>
  </si>
  <si>
    <r>
      <rPr>
        <sz val="10"/>
        <color rgb="FF000000"/>
        <rFont val="Arial Narrow"/>
        <family val="2"/>
      </rPr>
      <t xml:space="preserve">    4.</t>
    </r>
    <r>
      <rPr>
        <sz val="10"/>
        <color indexed="8"/>
        <rFont val="宋体"/>
        <family val="3"/>
        <charset val="134"/>
      </rPr>
      <t>期末余额</t>
    </r>
  </si>
  <si>
    <r>
      <rPr>
        <sz val="10"/>
        <color rgb="FF000000"/>
        <rFont val="Arial Narrow"/>
        <family val="2"/>
      </rPr>
      <t xml:space="preserve">   </t>
    </r>
    <r>
      <rPr>
        <sz val="10"/>
        <color indexed="8"/>
        <rFont val="宋体"/>
        <family val="3"/>
        <charset val="134"/>
      </rPr>
      <t>（</t>
    </r>
    <r>
      <rPr>
        <sz val="10"/>
        <color indexed="8"/>
        <rFont val="Arial Narrow"/>
        <family val="2"/>
      </rPr>
      <t>1</t>
    </r>
    <r>
      <rPr>
        <sz val="10"/>
        <color indexed="8"/>
        <rFont val="宋体"/>
        <family val="3"/>
        <charset val="134"/>
      </rPr>
      <t>）计提</t>
    </r>
  </si>
  <si>
    <r>
      <rPr>
        <sz val="10"/>
        <color rgb="FF000000"/>
        <rFont val="Arial Narrow"/>
        <family val="2"/>
      </rPr>
      <t xml:space="preserve">    1.</t>
    </r>
    <r>
      <rPr>
        <sz val="10"/>
        <color indexed="8"/>
        <rFont val="宋体"/>
        <family val="3"/>
        <charset val="134"/>
      </rPr>
      <t>期末账面价值</t>
    </r>
  </si>
  <si>
    <r>
      <rPr>
        <sz val="10"/>
        <color rgb="FF000000"/>
        <rFont val="Arial Narrow"/>
        <family val="2"/>
      </rPr>
      <t xml:space="preserve">    2.</t>
    </r>
    <r>
      <rPr>
        <sz val="10"/>
        <color indexed="8"/>
        <rFont val="宋体"/>
        <family val="3"/>
        <charset val="134"/>
      </rPr>
      <t>期初账面价值</t>
    </r>
  </si>
  <si>
    <r>
      <rPr>
        <sz val="10"/>
        <color indexed="8"/>
        <rFont val="宋体"/>
        <family val="3"/>
        <charset val="134"/>
      </rPr>
      <t>说明：</t>
    </r>
  </si>
  <si>
    <r>
      <rPr>
        <sz val="10"/>
        <color indexed="8"/>
        <rFont val="宋体"/>
        <family val="3"/>
        <charset val="134"/>
      </rPr>
      <t>①期末，通过内部研发形成的无形资产占无形资产余额的比例为</t>
    </r>
    <r>
      <rPr>
        <sz val="10"/>
        <color indexed="8"/>
        <rFont val="Arial Narrow"/>
        <family val="2"/>
      </rPr>
      <t>______</t>
    </r>
    <r>
      <rPr>
        <sz val="10"/>
        <color indexed="8"/>
        <rFont val="宋体"/>
        <family val="3"/>
        <charset val="134"/>
      </rPr>
      <t>。</t>
    </r>
  </si>
  <si>
    <r>
      <rPr>
        <sz val="10"/>
        <color rgb="FF0000FF"/>
        <rFont val="宋体"/>
        <family val="3"/>
        <charset val="134"/>
      </rPr>
      <t>②（本集团使用寿命不确定的无形资产的判断依据。）</t>
    </r>
  </si>
  <si>
    <r>
      <rPr>
        <sz val="10"/>
        <color rgb="FF0000FF"/>
        <rFont val="宋体"/>
        <family val="3"/>
        <charset val="134"/>
      </rPr>
      <t>③（抵押、担保的土地使用权</t>
    </r>
    <r>
      <rPr>
        <sz val="10"/>
        <color indexed="8"/>
        <rFont val="宋体"/>
        <family val="3"/>
        <charset val="134"/>
      </rPr>
      <t>）</t>
    </r>
  </si>
  <si>
    <r>
      <rPr>
        <sz val="10"/>
        <color rgb="FF0000FF"/>
        <rFont val="宋体"/>
        <family val="3"/>
        <charset val="134"/>
      </rPr>
      <t>④（无形资产减值准备计提及减少原因）</t>
    </r>
  </si>
  <si>
    <r>
      <rPr>
        <sz val="10"/>
        <color rgb="FF0000FF"/>
        <rFont val="宋体"/>
        <family val="3"/>
        <charset val="134"/>
      </rPr>
      <t>⑤（本期发生以明显高于账面价值的价格出售无形资产交易的，应详细说明交易作价的基础和依据，如：估值模型、重要参数的选取依据和估值过程，以及必要的敏感性分析。）</t>
    </r>
  </si>
  <si>
    <r>
      <rPr>
        <b/>
        <sz val="10"/>
        <color indexed="8"/>
        <rFont val="宋体"/>
        <family val="3"/>
        <charset val="134"/>
      </rPr>
      <t>（</t>
    </r>
    <r>
      <rPr>
        <b/>
        <sz val="10"/>
        <color indexed="8"/>
        <rFont val="Arial Narrow"/>
        <family val="2"/>
      </rPr>
      <t>2</t>
    </r>
    <r>
      <rPr>
        <b/>
        <sz val="10"/>
        <color indexed="8"/>
        <rFont val="宋体"/>
        <family val="3"/>
        <charset val="134"/>
      </rPr>
      <t>）未办妥产权证书的土地使用权情况</t>
    </r>
  </si>
  <si>
    <r>
      <rPr>
        <sz val="10"/>
        <color rgb="FF0000FF"/>
        <rFont val="宋体"/>
        <family val="3"/>
        <charset val="134"/>
      </rPr>
      <t>（披露未办妥产权证书的土地使用权账面价值及原因。）</t>
    </r>
  </si>
  <si>
    <r>
      <rPr>
        <b/>
        <sz val="10"/>
        <color rgb="FF000000"/>
        <rFont val="宋体"/>
        <family val="3"/>
        <charset val="134"/>
      </rPr>
      <t>项</t>
    </r>
    <r>
      <rPr>
        <b/>
        <sz val="10"/>
        <color indexed="8"/>
        <rFont val="Arial Narrow"/>
        <family val="2"/>
      </rPr>
      <t xml:space="preserve">  </t>
    </r>
    <r>
      <rPr>
        <b/>
        <sz val="10"/>
        <color indexed="8"/>
        <rFont val="宋体"/>
        <family val="3"/>
        <charset val="134"/>
      </rPr>
      <t>目</t>
    </r>
  </si>
  <si>
    <r>
      <rPr>
        <b/>
        <sz val="10"/>
        <color indexed="8"/>
        <rFont val="宋体"/>
        <family val="3"/>
        <charset val="134"/>
      </rPr>
      <t>未办妥产权证书原因</t>
    </r>
  </si>
  <si>
    <r>
      <rPr>
        <b/>
        <sz val="10"/>
        <rFont val="宋体"/>
        <family val="3"/>
        <charset val="134"/>
      </rPr>
      <t>内容</t>
    </r>
  </si>
  <si>
    <r>
      <rPr>
        <b/>
        <sz val="10"/>
        <rFont val="宋体"/>
        <family val="3"/>
        <charset val="134"/>
      </rPr>
      <t>开发支出</t>
    </r>
  </si>
  <si>
    <r>
      <rPr>
        <b/>
        <sz val="10"/>
        <color rgb="FF000000"/>
        <rFont val="宋体"/>
        <family val="3"/>
        <charset val="134"/>
      </rPr>
      <t>期初数</t>
    </r>
  </si>
  <si>
    <r>
      <rPr>
        <b/>
        <sz val="10"/>
        <color rgb="FF000000"/>
        <rFont val="宋体"/>
        <family val="3"/>
        <charset val="134"/>
      </rPr>
      <t>本期减少</t>
    </r>
  </si>
  <si>
    <r>
      <rPr>
        <b/>
        <sz val="10"/>
        <color rgb="FF000000"/>
        <rFont val="宋体"/>
        <family val="3"/>
        <charset val="134"/>
      </rPr>
      <t>内部开发支出</t>
    </r>
  </si>
  <si>
    <r>
      <rPr>
        <b/>
        <sz val="10"/>
        <color rgb="FF000000"/>
        <rFont val="宋体"/>
        <family val="3"/>
        <charset val="134"/>
      </rPr>
      <t>其他增加</t>
    </r>
  </si>
  <si>
    <r>
      <rPr>
        <b/>
        <sz val="10"/>
        <color rgb="FF000000"/>
        <rFont val="宋体"/>
        <family val="3"/>
        <charset val="134"/>
      </rPr>
      <t>确认为无形资产</t>
    </r>
  </si>
  <si>
    <r>
      <rPr>
        <b/>
        <sz val="10"/>
        <color rgb="FF000000"/>
        <rFont val="宋体"/>
        <family val="3"/>
        <charset val="134"/>
      </rPr>
      <t>计入当期损益</t>
    </r>
  </si>
  <si>
    <r>
      <rPr>
        <sz val="10"/>
        <color rgb="FF000000"/>
        <rFont val="宋体"/>
        <family val="3"/>
        <charset val="134"/>
      </rPr>
      <t>合</t>
    </r>
    <r>
      <rPr>
        <sz val="10"/>
        <color indexed="8"/>
        <rFont val="Arial Narrow"/>
        <family val="2"/>
      </rPr>
      <t xml:space="preserve">  </t>
    </r>
    <r>
      <rPr>
        <sz val="10"/>
        <color indexed="8"/>
        <rFont val="宋体"/>
        <family val="3"/>
        <charset val="134"/>
      </rPr>
      <t>计</t>
    </r>
  </si>
  <si>
    <r>
      <rPr>
        <sz val="10"/>
        <color rgb="FF0000FF"/>
        <rFont val="宋体"/>
        <family val="3"/>
        <charset val="134"/>
      </rPr>
      <t>【增减变动因素可根据实际情况自行添加】</t>
    </r>
  </si>
  <si>
    <r>
      <rPr>
        <sz val="10"/>
        <color indexed="8"/>
        <rFont val="宋体"/>
        <family val="3"/>
        <charset val="134"/>
      </rPr>
      <t>续：</t>
    </r>
  </si>
  <si>
    <r>
      <rPr>
        <sz val="10"/>
        <color rgb="FF000000"/>
        <rFont val="宋体"/>
        <family val="3"/>
        <charset val="134"/>
      </rPr>
      <t>项</t>
    </r>
    <r>
      <rPr>
        <sz val="10"/>
        <color indexed="8"/>
        <rFont val="Arial Narrow"/>
        <family val="2"/>
      </rPr>
      <t xml:space="preserve">  </t>
    </r>
    <r>
      <rPr>
        <sz val="10"/>
        <color indexed="8"/>
        <rFont val="宋体"/>
        <family val="3"/>
        <charset val="134"/>
      </rPr>
      <t>目</t>
    </r>
  </si>
  <si>
    <r>
      <rPr>
        <sz val="10"/>
        <color rgb="FF000000"/>
        <rFont val="宋体"/>
        <family val="3"/>
        <charset val="134"/>
      </rPr>
      <t>资本化开始时点</t>
    </r>
  </si>
  <si>
    <r>
      <rPr>
        <sz val="10"/>
        <color rgb="FF000000"/>
        <rFont val="宋体"/>
        <family val="3"/>
        <charset val="134"/>
      </rPr>
      <t>资本化的具体依据</t>
    </r>
  </si>
  <si>
    <r>
      <rPr>
        <sz val="10"/>
        <color rgb="FF000000"/>
        <rFont val="宋体"/>
        <family val="3"/>
        <charset val="134"/>
      </rPr>
      <t>截至期末的研发进度</t>
    </r>
  </si>
  <si>
    <r>
      <rPr>
        <sz val="10"/>
        <color rgb="FF0000FF"/>
        <rFont val="宋体"/>
        <family val="3"/>
        <charset val="134"/>
      </rPr>
      <t>说明：</t>
    </r>
    <r>
      <rPr>
        <sz val="10"/>
        <color indexed="12"/>
        <rFont val="宋体"/>
        <family val="3"/>
        <charset val="134"/>
      </rPr>
      <t>（披露上述项目的资本化开始时点、资本化的具体依据、截至期末的研发进度等。）</t>
    </r>
  </si>
  <si>
    <r>
      <rPr>
        <b/>
        <sz val="12"/>
        <rFont val="宋体"/>
        <family val="3"/>
        <charset val="134"/>
      </rPr>
      <t>商誉</t>
    </r>
  </si>
  <si>
    <r>
      <rPr>
        <b/>
        <sz val="10"/>
        <color indexed="8"/>
        <rFont val="宋体"/>
        <family val="3"/>
        <charset val="134"/>
      </rPr>
      <t>（</t>
    </r>
    <r>
      <rPr>
        <b/>
        <sz val="10"/>
        <color indexed="8"/>
        <rFont val="Arial Narrow"/>
        <family val="2"/>
      </rPr>
      <t>1</t>
    </r>
    <r>
      <rPr>
        <b/>
        <sz val="10"/>
        <color indexed="8"/>
        <rFont val="宋体"/>
        <family val="3"/>
        <charset val="134"/>
      </rPr>
      <t>）商誉账面原值</t>
    </r>
  </si>
  <si>
    <r>
      <rPr>
        <b/>
        <sz val="10"/>
        <color indexed="8"/>
        <rFont val="宋体"/>
        <family val="3"/>
        <charset val="134"/>
      </rPr>
      <t>被投资单位名称或形成商誉的事项</t>
    </r>
  </si>
  <si>
    <r>
      <rPr>
        <b/>
        <sz val="10"/>
        <color indexed="8"/>
        <rFont val="宋体"/>
        <family val="3"/>
        <charset val="134"/>
      </rPr>
      <t>期初余额</t>
    </r>
  </si>
  <si>
    <r>
      <rPr>
        <b/>
        <sz val="10"/>
        <color indexed="8"/>
        <rFont val="宋体"/>
        <family val="3"/>
        <charset val="134"/>
      </rPr>
      <t>本期增加</t>
    </r>
  </si>
  <si>
    <r>
      <rPr>
        <b/>
        <sz val="10"/>
        <color indexed="8"/>
        <rFont val="宋体"/>
        <family val="3"/>
        <charset val="134"/>
      </rPr>
      <t>本期减少</t>
    </r>
  </si>
  <si>
    <r>
      <rPr>
        <b/>
        <sz val="10"/>
        <color indexed="8"/>
        <rFont val="宋体"/>
        <family val="3"/>
        <charset val="134"/>
      </rPr>
      <t>期末余额</t>
    </r>
  </si>
  <si>
    <r>
      <rPr>
        <b/>
        <sz val="10"/>
        <color indexed="8"/>
        <rFont val="宋体"/>
        <family val="3"/>
        <charset val="134"/>
      </rPr>
      <t>企业合并形成</t>
    </r>
  </si>
  <si>
    <r>
      <rPr>
        <b/>
        <sz val="10"/>
        <color rgb="FF0000FF"/>
        <rFont val="宋体"/>
        <family val="3"/>
        <charset val="134"/>
      </rPr>
      <t>可无限量添加列</t>
    </r>
  </si>
  <si>
    <r>
      <rPr>
        <b/>
        <sz val="10"/>
        <color indexed="8"/>
        <rFont val="宋体"/>
        <family val="3"/>
        <charset val="134"/>
      </rPr>
      <t>处置</t>
    </r>
  </si>
  <si>
    <r>
      <rPr>
        <sz val="10"/>
        <color rgb="FF0000FF"/>
        <rFont val="宋体"/>
        <family val="3"/>
        <charset val="134"/>
      </rPr>
      <t>（提示：其他增减变动原因包括境外子公司汇率变化的影响等）</t>
    </r>
  </si>
  <si>
    <r>
      <rPr>
        <sz val="10"/>
        <color indexed="8"/>
        <rFont val="宋体"/>
        <family val="3"/>
        <charset val="134"/>
      </rPr>
      <t>（</t>
    </r>
    <r>
      <rPr>
        <sz val="10"/>
        <color indexed="8"/>
        <rFont val="Arial Narrow"/>
        <family val="2"/>
      </rPr>
      <t>2</t>
    </r>
    <r>
      <rPr>
        <sz val="10"/>
        <color indexed="8"/>
        <rFont val="宋体"/>
        <family val="3"/>
        <charset val="134"/>
      </rPr>
      <t>）商誉减值准备</t>
    </r>
  </si>
  <si>
    <r>
      <rPr>
        <b/>
        <sz val="10"/>
        <color indexed="8"/>
        <rFont val="宋体"/>
        <family val="3"/>
        <charset val="134"/>
      </rPr>
      <t>计提</t>
    </r>
  </si>
  <si>
    <r>
      <rPr>
        <b/>
        <sz val="10"/>
        <color rgb="FF0000FF"/>
        <rFont val="宋体"/>
        <family val="3"/>
        <charset val="134"/>
      </rPr>
      <t>可无限量添加行</t>
    </r>
  </si>
  <si>
    <r>
      <rPr>
        <sz val="10"/>
        <color indexed="8"/>
        <rFont val="宋体"/>
        <family val="3"/>
        <charset val="134"/>
      </rPr>
      <t>说明：</t>
    </r>
    <r>
      <rPr>
        <sz val="10"/>
        <color indexed="12"/>
        <rFont val="宋体"/>
        <family val="3"/>
        <charset val="134"/>
      </rPr>
      <t>（商誉减值测试过程、参数及商誉减值损失的确认方法）</t>
    </r>
  </si>
  <si>
    <r>
      <rPr>
        <sz val="10"/>
        <color rgb="FF0000FF"/>
        <rFont val="宋体"/>
        <family val="3"/>
        <charset val="134"/>
      </rPr>
      <t>本集团采用预计未来现金流现值的方法计算资产组的可收回金额。本集团根据管理层批准的财务预算预计未来</t>
    </r>
    <r>
      <rPr>
        <sz val="10"/>
        <color indexed="12"/>
        <rFont val="Arial Narrow"/>
        <family val="2"/>
      </rPr>
      <t>5</t>
    </r>
    <r>
      <rPr>
        <sz val="10"/>
        <color indexed="12"/>
        <rFont val="宋体"/>
        <family val="3"/>
        <charset val="134"/>
      </rPr>
      <t>年内现金流量，其后年度采用的现金流量增长率预计为</t>
    </r>
    <r>
      <rPr>
        <sz val="10"/>
        <color indexed="12"/>
        <rFont val="Arial Narrow"/>
        <family val="2"/>
      </rPr>
      <t>XX%</t>
    </r>
    <r>
      <rPr>
        <sz val="10"/>
        <color indexed="12"/>
        <rFont val="宋体"/>
        <family val="3"/>
        <charset val="134"/>
      </rPr>
      <t>（上期：</t>
    </r>
    <r>
      <rPr>
        <sz val="10"/>
        <color indexed="12"/>
        <rFont val="Arial Narrow"/>
        <family val="2"/>
      </rPr>
      <t>XX%</t>
    </r>
    <r>
      <rPr>
        <sz val="10"/>
        <color indexed="12"/>
        <rFont val="宋体"/>
        <family val="3"/>
        <charset val="134"/>
      </rPr>
      <t>），不会超过资产组经营业务的长期平均增长率。管理层根据过往表现及其对市场发展的预期编制上述财务预算。计算未来现金流现值所采用的税前折现率为</t>
    </r>
    <r>
      <rPr>
        <sz val="10"/>
        <color indexed="12"/>
        <rFont val="Arial Narrow"/>
        <family val="2"/>
      </rPr>
      <t>XX%</t>
    </r>
    <r>
      <rPr>
        <sz val="10"/>
        <color indexed="12"/>
        <rFont val="宋体"/>
        <family val="3"/>
        <charset val="134"/>
      </rPr>
      <t>（上期：</t>
    </r>
    <r>
      <rPr>
        <sz val="10"/>
        <color indexed="12"/>
        <rFont val="Arial Narrow"/>
        <family val="2"/>
      </rPr>
      <t>XX%</t>
    </r>
    <r>
      <rPr>
        <sz val="10"/>
        <color indexed="12"/>
        <rFont val="宋体"/>
        <family val="3"/>
        <charset val="134"/>
      </rPr>
      <t>），已反映了相对于有关分部的风险。根据减值测试的结果，本期期末商誉未发生减值（上期期末：无）。【或：本期期末对商誉计提减值准备</t>
    </r>
    <r>
      <rPr>
        <sz val="10"/>
        <color indexed="12"/>
        <rFont val="Arial Narrow"/>
        <family val="2"/>
      </rPr>
      <t>XX</t>
    </r>
    <r>
      <rPr>
        <sz val="10"/>
        <color indexed="12"/>
        <rFont val="宋体"/>
        <family val="3"/>
        <charset val="134"/>
      </rPr>
      <t>元（上期期末：</t>
    </r>
    <r>
      <rPr>
        <sz val="10"/>
        <color indexed="12"/>
        <rFont val="Arial Narrow"/>
        <family val="2"/>
      </rPr>
      <t>XX</t>
    </r>
    <r>
      <rPr>
        <sz val="10"/>
        <color indexed="12"/>
        <rFont val="宋体"/>
        <family val="3"/>
        <charset val="134"/>
      </rPr>
      <t>元）。】</t>
    </r>
  </si>
  <si>
    <r>
      <rPr>
        <b/>
        <sz val="12"/>
        <rFont val="宋体"/>
        <family val="3"/>
        <charset val="134"/>
      </rPr>
      <t>长期待摊费用</t>
    </r>
  </si>
  <si>
    <r>
      <rPr>
        <b/>
        <sz val="10"/>
        <color rgb="FF000000"/>
        <rFont val="宋体"/>
        <family val="3"/>
        <charset val="134"/>
      </rPr>
      <t>本期摊销</t>
    </r>
  </si>
  <si>
    <r>
      <rPr>
        <sz val="10"/>
        <color indexed="8"/>
        <rFont val="宋体"/>
        <family val="3"/>
        <charset val="134"/>
      </rPr>
      <t>说明：</t>
    </r>
    <r>
      <rPr>
        <sz val="10"/>
        <color indexed="12"/>
        <rFont val="Arial Narrow"/>
        <family val="2"/>
      </rPr>
      <t>1</t>
    </r>
    <r>
      <rPr>
        <sz val="10"/>
        <color indexed="12"/>
        <rFont val="宋体"/>
        <family val="3"/>
        <charset val="134"/>
      </rPr>
      <t>年内到期的长期待摊费用</t>
    </r>
    <r>
      <rPr>
        <b/>
        <sz val="10"/>
        <color indexed="12"/>
        <rFont val="Arial Narrow"/>
        <family val="2"/>
      </rPr>
      <t>X.XX</t>
    </r>
    <r>
      <rPr>
        <b/>
        <sz val="10"/>
        <color indexed="12"/>
        <rFont val="宋体"/>
        <family val="3"/>
        <charset val="134"/>
      </rPr>
      <t>元，</t>
    </r>
    <r>
      <rPr>
        <sz val="10"/>
        <color indexed="12"/>
        <rFont val="宋体"/>
        <family val="3"/>
        <charset val="134"/>
      </rPr>
      <t>详见</t>
    </r>
    <r>
      <rPr>
        <sz val="10"/>
        <color indexed="10"/>
        <rFont val="宋体"/>
        <family val="3"/>
        <charset val="134"/>
      </rPr>
      <t>附注五、</t>
    </r>
    <r>
      <rPr>
        <sz val="10"/>
        <color indexed="10"/>
        <rFont val="Arial Narrow"/>
        <family val="2"/>
      </rPr>
      <t>11</t>
    </r>
    <r>
      <rPr>
        <sz val="10"/>
        <color indexed="12"/>
        <rFont val="宋体"/>
        <family val="3"/>
        <charset val="134"/>
      </rPr>
      <t>。</t>
    </r>
  </si>
  <si>
    <r>
      <rPr>
        <b/>
        <sz val="12"/>
        <rFont val="宋体"/>
        <family val="3"/>
        <charset val="134"/>
      </rPr>
      <t>递延所得税资产和递延所得税负债</t>
    </r>
  </si>
  <si>
    <r>
      <rPr>
        <b/>
        <sz val="10"/>
        <rFont val="宋体"/>
        <family val="3"/>
        <charset val="134"/>
      </rPr>
      <t>（</t>
    </r>
    <r>
      <rPr>
        <b/>
        <sz val="10"/>
        <rFont val="Arial Narrow"/>
        <family val="2"/>
      </rPr>
      <t>1</t>
    </r>
    <r>
      <rPr>
        <b/>
        <sz val="10"/>
        <rFont val="宋体"/>
        <family val="3"/>
        <charset val="134"/>
      </rPr>
      <t>）未经抵销的递延所得税资产和递延所得税负债</t>
    </r>
  </si>
  <si>
    <r>
      <rPr>
        <b/>
        <sz val="10"/>
        <rFont val="宋体"/>
        <family val="3"/>
        <charset val="134"/>
      </rPr>
      <t>可抵扣</t>
    </r>
    <r>
      <rPr>
        <b/>
        <sz val="10"/>
        <rFont val="Arial Narrow"/>
        <family val="2"/>
      </rPr>
      <t>/</t>
    </r>
    <r>
      <rPr>
        <b/>
        <sz val="10"/>
        <rFont val="宋体"/>
        <family val="3"/>
        <charset val="134"/>
      </rPr>
      <t>应纳税暂时性差异</t>
    </r>
  </si>
  <si>
    <r>
      <rPr>
        <b/>
        <sz val="10"/>
        <rFont val="宋体"/>
        <family val="3"/>
        <charset val="134"/>
      </rPr>
      <t>递延所得税资产</t>
    </r>
    <r>
      <rPr>
        <b/>
        <sz val="10"/>
        <rFont val="Arial Narrow"/>
        <family val="2"/>
      </rPr>
      <t>/</t>
    </r>
    <r>
      <rPr>
        <b/>
        <sz val="10"/>
        <rFont val="宋体"/>
        <family val="3"/>
        <charset val="134"/>
      </rPr>
      <t>负债</t>
    </r>
  </si>
  <si>
    <r>
      <rPr>
        <sz val="10"/>
        <rFont val="宋体"/>
        <family val="3"/>
        <charset val="134"/>
      </rPr>
      <t>递延所得税资产：</t>
    </r>
  </si>
  <si>
    <r>
      <rPr>
        <sz val="10"/>
        <rFont val="宋体"/>
        <family val="3"/>
        <charset val="134"/>
      </rPr>
      <t>可抵扣亏损</t>
    </r>
  </si>
  <si>
    <r>
      <rPr>
        <sz val="10"/>
        <rFont val="宋体"/>
        <family val="3"/>
        <charset val="134"/>
      </rPr>
      <t>小</t>
    </r>
    <r>
      <rPr>
        <sz val="10"/>
        <rFont val="Arial Narrow"/>
        <family val="2"/>
      </rPr>
      <t xml:space="preserve">  </t>
    </r>
    <r>
      <rPr>
        <sz val="10"/>
        <rFont val="宋体"/>
        <family val="3"/>
        <charset val="134"/>
      </rPr>
      <t>计</t>
    </r>
  </si>
  <si>
    <r>
      <rPr>
        <sz val="10"/>
        <rFont val="宋体"/>
        <family val="3"/>
        <charset val="134"/>
      </rPr>
      <t>递延所得税负债：</t>
    </r>
  </si>
  <si>
    <r>
      <rPr>
        <sz val="10"/>
        <color rgb="FF0070C0"/>
        <rFont val="宋体"/>
        <family val="3"/>
        <charset val="134"/>
      </rPr>
      <t>说明：其中一年后预期转回的递延所得税资产和递延所得税负债分别为</t>
    </r>
    <r>
      <rPr>
        <sz val="10"/>
        <color rgb="FF0070C0"/>
        <rFont val="Arial Narrow"/>
        <family val="2"/>
      </rPr>
      <t>X.XX</t>
    </r>
    <r>
      <rPr>
        <sz val="10"/>
        <color rgb="FF0070C0"/>
        <rFont val="宋体"/>
        <family val="3"/>
        <charset val="134"/>
      </rPr>
      <t>元、</t>
    </r>
    <r>
      <rPr>
        <sz val="10"/>
        <color rgb="FF0070C0"/>
        <rFont val="Arial Narrow"/>
        <family val="2"/>
      </rPr>
      <t>X.XX</t>
    </r>
    <r>
      <rPr>
        <sz val="10"/>
        <color rgb="FF0070C0"/>
        <rFont val="宋体"/>
        <family val="3"/>
        <charset val="134"/>
      </rPr>
      <t>元。</t>
    </r>
  </si>
  <si>
    <r>
      <rPr>
        <sz val="10"/>
        <color rgb="FF0070C0"/>
        <rFont val="宋体"/>
        <family val="3"/>
        <charset val="134"/>
      </rPr>
      <t>（</t>
    </r>
    <r>
      <rPr>
        <sz val="10"/>
        <rFont val="Arial Narrow"/>
        <family val="2"/>
      </rPr>
      <t>2</t>
    </r>
    <r>
      <rPr>
        <sz val="10"/>
        <rFont val="宋体"/>
        <family val="3"/>
        <charset val="134"/>
      </rPr>
      <t>）以抵销后净额列示的递延所得税资产或负债</t>
    </r>
    <r>
      <rPr>
        <sz val="10"/>
        <color rgb="FF0000FF"/>
        <rFont val="宋体"/>
        <family val="3"/>
        <charset val="134"/>
      </rPr>
      <t>（不适用的删除</t>
    </r>
    <r>
      <rPr>
        <sz val="10"/>
        <rFont val="宋体"/>
        <family val="3"/>
        <charset val="134"/>
      </rPr>
      <t>）</t>
    </r>
  </si>
  <si>
    <r>
      <rPr>
        <b/>
        <sz val="10"/>
        <rFont val="宋体"/>
        <family val="3"/>
        <charset val="134"/>
      </rPr>
      <t>递延所得税资产和负债期末互抵金额</t>
    </r>
  </si>
  <si>
    <r>
      <rPr>
        <b/>
        <sz val="10"/>
        <rFont val="宋体"/>
        <family val="3"/>
        <charset val="134"/>
      </rPr>
      <t>抵销后递延所得税资产或负债期末余额</t>
    </r>
  </si>
  <si>
    <r>
      <rPr>
        <b/>
        <sz val="10"/>
        <rFont val="宋体"/>
        <family val="3"/>
        <charset val="134"/>
      </rPr>
      <t>递延所得税资产和负债期初互抵金额</t>
    </r>
  </si>
  <si>
    <r>
      <rPr>
        <b/>
        <sz val="10"/>
        <rFont val="宋体"/>
        <family val="3"/>
        <charset val="134"/>
      </rPr>
      <t>抵销后递延所得税资产或负债期初余额</t>
    </r>
  </si>
  <si>
    <r>
      <rPr>
        <sz val="10"/>
        <color rgb="FF0070C0"/>
        <rFont val="宋体"/>
        <family val="3"/>
        <charset val="134"/>
      </rPr>
      <t>（</t>
    </r>
    <r>
      <rPr>
        <sz val="10"/>
        <rFont val="Arial Narrow"/>
        <family val="2"/>
      </rPr>
      <t>3</t>
    </r>
    <r>
      <rPr>
        <sz val="10"/>
        <rFont val="宋体"/>
        <family val="3"/>
        <charset val="134"/>
      </rPr>
      <t>）未确认递延所得税资产的可抵扣暂时性差异及可抵扣亏损明细</t>
    </r>
  </si>
  <si>
    <r>
      <rPr>
        <sz val="10"/>
        <rFont val="宋体"/>
        <family val="3"/>
        <charset val="134"/>
      </rPr>
      <t>可抵扣暂时性差异</t>
    </r>
  </si>
  <si>
    <r>
      <rPr>
        <sz val="10"/>
        <color rgb="FF0070C0"/>
        <rFont val="宋体"/>
        <family val="3"/>
        <charset val="134"/>
      </rPr>
      <t>注：列示由于未来能否获得足够的应纳税所得额具有不确定性，因此没有确认为递延所得税资产的可抵扣暂时性差异和可抵扣亏损。</t>
    </r>
  </si>
  <si>
    <r>
      <rPr>
        <sz val="10"/>
        <color rgb="FF0070C0"/>
        <rFont val="宋体"/>
        <family val="3"/>
        <charset val="134"/>
      </rPr>
      <t>（</t>
    </r>
    <r>
      <rPr>
        <sz val="10"/>
        <rFont val="Arial Narrow"/>
        <family val="2"/>
      </rPr>
      <t>4</t>
    </r>
    <r>
      <rPr>
        <sz val="10"/>
        <rFont val="宋体"/>
        <family val="3"/>
        <charset val="134"/>
      </rPr>
      <t>）未确认递延所得税资产的可抵扣亏损将于以下年度到期</t>
    </r>
  </si>
  <si>
    <r>
      <rPr>
        <b/>
        <sz val="10"/>
        <rFont val="宋体"/>
        <family val="3"/>
        <charset val="134"/>
      </rPr>
      <t>年</t>
    </r>
    <r>
      <rPr>
        <b/>
        <sz val="10"/>
        <rFont val="Arial Narrow"/>
        <family val="2"/>
      </rPr>
      <t xml:space="preserve">  </t>
    </r>
    <r>
      <rPr>
        <b/>
        <sz val="10"/>
        <rFont val="宋体"/>
        <family val="3"/>
        <charset val="134"/>
      </rPr>
      <t>份</t>
    </r>
  </si>
  <si>
    <r>
      <rPr>
        <sz val="10"/>
        <color rgb="FF0070C0"/>
        <rFont val="宋体"/>
        <family val="3"/>
        <charset val="134"/>
      </rPr>
      <t>注：无法在资产负债表日确定全部可抵扣亏损情况的，可只填写能确定部分的金额及其到期年度，并在备注栏予以说明。</t>
    </r>
  </si>
  <si>
    <r>
      <rPr>
        <b/>
        <sz val="12"/>
        <rFont val="宋体"/>
        <family val="3"/>
        <charset val="134"/>
      </rPr>
      <t>其他非流动资产</t>
    </r>
  </si>
  <si>
    <r>
      <rPr>
        <sz val="10"/>
        <color theme="1"/>
        <rFont val="宋体"/>
        <family val="3"/>
        <charset val="134"/>
      </rPr>
      <t>预付土地出让金</t>
    </r>
  </si>
  <si>
    <r>
      <rPr>
        <sz val="10"/>
        <color theme="1"/>
        <rFont val="宋体"/>
        <family val="3"/>
        <charset val="134"/>
      </rPr>
      <t>预付工程款</t>
    </r>
  </si>
  <si>
    <r>
      <rPr>
        <sz val="10"/>
        <color theme="1"/>
        <rFont val="宋体"/>
        <family val="3"/>
        <charset val="134"/>
      </rPr>
      <t>预付房屋、设备款</t>
    </r>
  </si>
  <si>
    <r>
      <rPr>
        <sz val="10"/>
        <color theme="1"/>
        <rFont val="宋体"/>
        <family val="3"/>
        <charset val="134"/>
      </rPr>
      <t>无形资产预付款</t>
    </r>
  </si>
  <si>
    <r>
      <rPr>
        <sz val="10"/>
        <color theme="1"/>
        <rFont val="宋体"/>
        <family val="3"/>
        <charset val="134"/>
      </rPr>
      <t>预付投资款</t>
    </r>
  </si>
  <si>
    <r>
      <rPr>
        <sz val="10"/>
        <color theme="1"/>
        <rFont val="宋体"/>
        <family val="3"/>
        <charset val="134"/>
      </rPr>
      <t>委托贷款</t>
    </r>
  </si>
  <si>
    <r>
      <rPr>
        <b/>
        <sz val="12"/>
        <rFont val="宋体"/>
        <family val="3"/>
        <charset val="134"/>
      </rPr>
      <t>资产减值准备</t>
    </r>
  </si>
  <si>
    <r>
      <rPr>
        <b/>
        <sz val="10"/>
        <rFont val="宋体"/>
        <family val="3"/>
        <charset val="134"/>
      </rPr>
      <t>期初</t>
    </r>
  </si>
  <si>
    <r>
      <rPr>
        <b/>
        <sz val="10"/>
        <rFont val="宋体"/>
        <family val="3"/>
        <charset val="134"/>
      </rPr>
      <t>本期计提额</t>
    </r>
  </si>
  <si>
    <r>
      <rPr>
        <b/>
        <sz val="10"/>
        <rFont val="宋体"/>
        <family val="3"/>
        <charset val="134"/>
      </rPr>
      <t>本期减少额</t>
    </r>
  </si>
  <si>
    <r>
      <rPr>
        <b/>
        <sz val="10"/>
        <rFont val="宋体"/>
        <family val="3"/>
        <charset val="134"/>
      </rPr>
      <t>转回</t>
    </r>
  </si>
  <si>
    <r>
      <rPr>
        <b/>
        <sz val="10"/>
        <rFont val="宋体"/>
        <family val="3"/>
        <charset val="134"/>
      </rPr>
      <t>转销</t>
    </r>
  </si>
  <si>
    <r>
      <rPr>
        <sz val="10"/>
        <rFont val="宋体"/>
        <family val="3"/>
        <charset val="134"/>
      </rPr>
      <t>坏账准备</t>
    </r>
  </si>
  <si>
    <r>
      <rPr>
        <sz val="10"/>
        <rFont val="宋体"/>
        <family val="3"/>
        <charset val="134"/>
      </rPr>
      <t>存货跌价准备</t>
    </r>
  </si>
  <si>
    <r>
      <rPr>
        <sz val="10"/>
        <rFont val="宋体"/>
        <family val="3"/>
        <charset val="134"/>
      </rPr>
      <t>可供出售金融资产减值准备</t>
    </r>
  </si>
  <si>
    <r>
      <rPr>
        <sz val="10"/>
        <rFont val="宋体"/>
        <family val="3"/>
        <charset val="134"/>
      </rPr>
      <t>持有至到期投资减值准备</t>
    </r>
  </si>
  <si>
    <r>
      <rPr>
        <sz val="10"/>
        <rFont val="宋体"/>
        <family val="3"/>
        <charset val="134"/>
      </rPr>
      <t>长期股权投资减值准备</t>
    </r>
  </si>
  <si>
    <r>
      <rPr>
        <sz val="10"/>
        <rFont val="宋体"/>
        <family val="3"/>
        <charset val="134"/>
      </rPr>
      <t>工程物资减值准备</t>
    </r>
  </si>
  <si>
    <r>
      <rPr>
        <sz val="10"/>
        <rFont val="宋体"/>
        <family val="3"/>
        <charset val="134"/>
      </rPr>
      <t>在建工程减值准备</t>
    </r>
  </si>
  <si>
    <r>
      <rPr>
        <sz val="10"/>
        <rFont val="宋体"/>
        <family val="3"/>
        <charset val="134"/>
      </rPr>
      <t>商誉减值准备</t>
    </r>
  </si>
  <si>
    <r>
      <rPr>
        <sz val="10"/>
        <rFont val="宋体"/>
        <family val="3"/>
        <charset val="134"/>
      </rPr>
      <t>其</t>
    </r>
    <r>
      <rPr>
        <sz val="10"/>
        <rFont val="Arial Narrow"/>
        <family val="2"/>
      </rPr>
      <t xml:space="preserve">  </t>
    </r>
    <r>
      <rPr>
        <sz val="10"/>
        <rFont val="宋体"/>
        <family val="3"/>
        <charset val="134"/>
      </rPr>
      <t>他</t>
    </r>
  </si>
  <si>
    <r>
      <rPr>
        <b/>
        <sz val="12"/>
        <rFont val="宋体"/>
        <family val="3"/>
        <charset val="134"/>
      </rPr>
      <t>所有权受到限制的资产</t>
    </r>
  </si>
  <si>
    <r>
      <rPr>
        <b/>
        <sz val="10"/>
        <color theme="1"/>
        <rFont val="宋体"/>
        <family val="3"/>
        <charset val="134"/>
      </rPr>
      <t>期末账面价值</t>
    </r>
  </si>
  <si>
    <r>
      <rPr>
        <b/>
        <sz val="10"/>
        <color theme="1"/>
        <rFont val="宋体"/>
        <family val="3"/>
        <charset val="134"/>
      </rPr>
      <t>受限原因</t>
    </r>
  </si>
  <si>
    <r>
      <rPr>
        <sz val="10"/>
        <color theme="1"/>
        <rFont val="宋体"/>
        <family val="3"/>
        <charset val="134"/>
      </rPr>
      <t>货币资金</t>
    </r>
  </si>
  <si>
    <r>
      <rPr>
        <sz val="10"/>
        <color theme="1"/>
        <rFont val="宋体"/>
        <family val="3"/>
        <charset val="134"/>
      </rPr>
      <t>应收票据</t>
    </r>
  </si>
  <si>
    <r>
      <rPr>
        <sz val="10"/>
        <color theme="1"/>
        <rFont val="宋体"/>
        <family val="3"/>
        <charset val="134"/>
      </rPr>
      <t>存货</t>
    </r>
  </si>
  <si>
    <r>
      <rPr>
        <sz val="10"/>
        <color theme="1"/>
        <rFont val="宋体"/>
        <family val="3"/>
        <charset val="134"/>
      </rPr>
      <t>固定资产</t>
    </r>
  </si>
  <si>
    <r>
      <rPr>
        <sz val="10"/>
        <color theme="1"/>
        <rFont val="宋体"/>
        <family val="3"/>
        <charset val="134"/>
      </rPr>
      <t>无形资产</t>
    </r>
  </si>
  <si>
    <r>
      <rPr>
        <b/>
        <sz val="12"/>
        <rFont val="宋体"/>
        <family val="3"/>
        <charset val="134"/>
      </rPr>
      <t>短期借款</t>
    </r>
  </si>
  <si>
    <r>
      <rPr>
        <b/>
        <sz val="10"/>
        <rFont val="宋体"/>
        <family val="3"/>
        <charset val="134"/>
      </rPr>
      <t>（</t>
    </r>
    <r>
      <rPr>
        <b/>
        <sz val="10"/>
        <rFont val="Arial Narrow"/>
        <family val="2"/>
      </rPr>
      <t>1</t>
    </r>
    <r>
      <rPr>
        <b/>
        <sz val="10"/>
        <rFont val="宋体"/>
        <family val="3"/>
        <charset val="134"/>
      </rPr>
      <t>）短期借款分类</t>
    </r>
  </si>
  <si>
    <r>
      <rPr>
        <sz val="10"/>
        <rFont val="宋体"/>
        <family val="3"/>
        <charset val="134"/>
      </rPr>
      <t>质押借款</t>
    </r>
  </si>
  <si>
    <r>
      <rPr>
        <sz val="10"/>
        <rFont val="宋体"/>
        <family val="3"/>
        <charset val="134"/>
      </rPr>
      <t>抵押借款</t>
    </r>
  </si>
  <si>
    <t xml:space="preserve">             </t>
  </si>
  <si>
    <r>
      <rPr>
        <sz val="10"/>
        <rFont val="宋体"/>
        <family val="3"/>
        <charset val="134"/>
      </rPr>
      <t>保证借款</t>
    </r>
  </si>
  <si>
    <r>
      <rPr>
        <sz val="10"/>
        <rFont val="宋体"/>
        <family val="3"/>
        <charset val="134"/>
      </rPr>
      <t>信用借款</t>
    </r>
  </si>
  <si>
    <r>
      <rPr>
        <sz val="10"/>
        <color rgb="FF0070C0"/>
        <rFont val="宋体"/>
        <family val="3"/>
        <charset val="134"/>
      </rPr>
      <t>说明：</t>
    </r>
    <r>
      <rPr>
        <sz val="10"/>
        <color rgb="FF0000FF"/>
        <rFont val="宋体"/>
        <family val="3"/>
        <charset val="134"/>
      </rPr>
      <t>（用于抵押、质押的财产）</t>
    </r>
  </si>
  <si>
    <r>
      <rPr>
        <sz val="10"/>
        <color rgb="FF0070C0"/>
        <rFont val="宋体"/>
        <family val="3"/>
        <charset val="134"/>
      </rPr>
      <t>（</t>
    </r>
    <r>
      <rPr>
        <sz val="10"/>
        <rFont val="Arial Narrow"/>
        <family val="2"/>
      </rPr>
      <t>2</t>
    </r>
    <r>
      <rPr>
        <sz val="10"/>
        <rFont val="宋体"/>
        <family val="3"/>
        <charset val="134"/>
      </rPr>
      <t>）逾期借款情况</t>
    </r>
    <r>
      <rPr>
        <sz val="10"/>
        <color rgb="FF0000FF"/>
        <rFont val="宋体"/>
        <family val="3"/>
        <charset val="134"/>
      </rPr>
      <t>（如无，删除）</t>
    </r>
  </si>
  <si>
    <r>
      <rPr>
        <sz val="10"/>
        <color rgb="FF0070C0"/>
        <rFont val="宋体"/>
        <family val="3"/>
        <charset val="134"/>
      </rPr>
      <t>（汇总披露逾期借款（包括从长期借款转入的）的期末余额。对于重要的逾期借款，还应按借款单位列示借款期末余额、借款利率、逾期时间、逾期利率。）</t>
    </r>
  </si>
  <si>
    <r>
      <rPr>
        <sz val="10"/>
        <color rgb="FF0070C0"/>
        <rFont val="宋体"/>
        <family val="3"/>
        <charset val="134"/>
      </rPr>
      <t>本期末已逾期未偿还的短期借款余款合计</t>
    </r>
    <r>
      <rPr>
        <sz val="10"/>
        <rFont val="Arial Narrow"/>
        <family val="2"/>
      </rPr>
      <t>XXX</t>
    </r>
    <r>
      <rPr>
        <sz val="10"/>
        <rFont val="宋体"/>
        <family val="3"/>
        <charset val="134"/>
      </rPr>
      <t>元，其中由长期借款转入金额为</t>
    </r>
    <r>
      <rPr>
        <sz val="10"/>
        <rFont val="Arial Narrow"/>
        <family val="2"/>
      </rPr>
      <t>XXX</t>
    </r>
    <r>
      <rPr>
        <sz val="10"/>
        <rFont val="宋体"/>
        <family val="3"/>
        <charset val="134"/>
      </rPr>
      <t>元。</t>
    </r>
  </si>
  <si>
    <r>
      <rPr>
        <sz val="10"/>
        <color theme="1"/>
        <rFont val="宋体"/>
        <family val="3"/>
        <charset val="134"/>
      </rPr>
      <t>重要的逾期借款情况如下：</t>
    </r>
  </si>
  <si>
    <r>
      <rPr>
        <b/>
        <sz val="10"/>
        <color rgb="FF000000"/>
        <rFont val="宋体"/>
        <family val="3"/>
        <charset val="134"/>
      </rPr>
      <t>期末余额</t>
    </r>
  </si>
  <si>
    <r>
      <rPr>
        <b/>
        <sz val="10"/>
        <color rgb="FF000000"/>
        <rFont val="宋体"/>
        <family val="3"/>
        <charset val="134"/>
      </rPr>
      <t>借款利率</t>
    </r>
  </si>
  <si>
    <r>
      <rPr>
        <b/>
        <sz val="10"/>
        <color rgb="FF000000"/>
        <rFont val="宋体"/>
        <family val="3"/>
        <charset val="134"/>
      </rPr>
      <t>逾期时间</t>
    </r>
  </si>
  <si>
    <r>
      <rPr>
        <b/>
        <sz val="10"/>
        <rFont val="宋体"/>
        <family val="3"/>
        <charset val="134"/>
      </rPr>
      <t>逾期利率</t>
    </r>
  </si>
  <si>
    <r>
      <rPr>
        <b/>
        <sz val="12"/>
        <rFont val="宋体"/>
        <family val="3"/>
        <charset val="134"/>
      </rPr>
      <t>以公允价值计量且其变动计入当期损益的金融负债</t>
    </r>
  </si>
  <si>
    <r>
      <rPr>
        <b/>
        <sz val="10"/>
        <color theme="1"/>
        <rFont val="宋体"/>
        <family val="3"/>
        <charset val="134"/>
      </rPr>
      <t>以公允价值计量且其变动计入当期损益的金融负债</t>
    </r>
  </si>
  <si>
    <r>
      <rPr>
        <sz val="10"/>
        <color theme="1"/>
        <rFont val="宋体"/>
        <family val="3"/>
        <charset val="134"/>
      </rPr>
      <t>交易性金融负债</t>
    </r>
  </si>
  <si>
    <r>
      <rPr>
        <sz val="10"/>
        <color theme="1"/>
        <rFont val="宋体"/>
        <family val="3"/>
        <charset val="134"/>
      </rPr>
      <t>其中：发行的交易性债券</t>
    </r>
  </si>
  <si>
    <r>
      <rPr>
        <sz val="10"/>
        <color theme="1"/>
        <rFont val="Arial Narrow"/>
        <family val="2"/>
      </rPr>
      <t xml:space="preserve">      </t>
    </r>
    <r>
      <rPr>
        <sz val="10"/>
        <color theme="1"/>
        <rFont val="宋体"/>
        <family val="3"/>
        <charset val="134"/>
      </rPr>
      <t>衍生金融负债</t>
    </r>
  </si>
  <si>
    <r>
      <rPr>
        <sz val="10"/>
        <color theme="1"/>
        <rFont val="宋体"/>
        <family val="3"/>
        <charset val="134"/>
      </rPr>
      <t>指定为以公允价值计量且其变动计入当期损益的金融负债</t>
    </r>
  </si>
  <si>
    <r>
      <rPr>
        <sz val="10"/>
        <color theme="1"/>
        <rFont val="宋体"/>
        <family val="3"/>
        <charset val="134"/>
      </rPr>
      <t>说明：</t>
    </r>
    <r>
      <rPr>
        <sz val="10"/>
        <color rgb="FF0000FF"/>
        <rFont val="宋体"/>
        <family val="3"/>
        <charset val="134"/>
      </rPr>
      <t>（交易性金融负债的账面价值以及公允价值及其变动的相关情况，如涉及数量变化以及单位数量公允价值变动情况。）</t>
    </r>
  </si>
  <si>
    <r>
      <rPr>
        <sz val="10"/>
        <color rgb="FF0000FF"/>
        <rFont val="宋体"/>
        <family val="3"/>
        <charset val="134"/>
      </rPr>
      <t>（存在套期工具的，应对套期工具及相关套期交易作出说明。）</t>
    </r>
  </si>
  <si>
    <r>
      <rPr>
        <b/>
        <sz val="12"/>
        <rFont val="宋体"/>
        <family val="3"/>
        <charset val="134"/>
      </rPr>
      <t>衍生金融负债</t>
    </r>
  </si>
  <si>
    <r>
      <rPr>
        <sz val="10"/>
        <color rgb="FF0000FF"/>
        <rFont val="宋体"/>
        <family val="3"/>
        <charset val="134"/>
      </rPr>
      <t>说明：（衍生金融负债产生的原因以及相关会计处理。）</t>
    </r>
  </si>
  <si>
    <r>
      <rPr>
        <b/>
        <sz val="12"/>
        <color indexed="8"/>
        <rFont val="宋体"/>
        <family val="3"/>
        <charset val="134"/>
      </rPr>
      <t>种</t>
    </r>
    <r>
      <rPr>
        <b/>
        <sz val="12"/>
        <color indexed="8"/>
        <rFont val="Arial Narrow"/>
        <family val="2"/>
      </rPr>
      <t xml:space="preserve"> </t>
    </r>
    <r>
      <rPr>
        <b/>
        <sz val="12"/>
        <color indexed="8"/>
        <rFont val="宋体"/>
        <family val="3"/>
        <charset val="134"/>
      </rPr>
      <t>类</t>
    </r>
  </si>
  <si>
    <r>
      <rPr>
        <b/>
        <sz val="12"/>
        <color indexed="8"/>
        <rFont val="宋体"/>
        <family val="3"/>
        <charset val="134"/>
      </rPr>
      <t>期末</t>
    </r>
  </si>
  <si>
    <r>
      <rPr>
        <b/>
        <sz val="12"/>
        <rFont val="宋体"/>
        <family val="3"/>
        <charset val="134"/>
      </rPr>
      <t>应付票据</t>
    </r>
  </si>
  <si>
    <r>
      <rPr>
        <sz val="10"/>
        <color rgb="FF0070C0"/>
        <rFont val="宋体"/>
        <family val="3"/>
        <charset val="134"/>
      </rPr>
      <t>说明：本期末已到期未支付的应付票据总额为</t>
    </r>
    <r>
      <rPr>
        <sz val="10"/>
        <color rgb="FF0070C0"/>
        <rFont val="Arial Narrow"/>
        <family val="2"/>
      </rPr>
      <t>XXX</t>
    </r>
    <r>
      <rPr>
        <sz val="10"/>
        <color rgb="FF0070C0"/>
        <rFont val="宋体"/>
        <family val="3"/>
        <charset val="134"/>
      </rPr>
      <t>元。</t>
    </r>
  </si>
  <si>
    <r>
      <rPr>
        <b/>
        <sz val="12"/>
        <rFont val="宋体"/>
        <family val="3"/>
        <charset val="134"/>
      </rPr>
      <t>应付账款</t>
    </r>
  </si>
  <si>
    <r>
      <rPr>
        <b/>
        <sz val="12"/>
        <rFont val="宋体"/>
        <family val="3"/>
        <charset val="134"/>
      </rPr>
      <t>项</t>
    </r>
    <r>
      <rPr>
        <b/>
        <sz val="12"/>
        <rFont val="Arial Narrow"/>
        <family val="2"/>
      </rPr>
      <t xml:space="preserve"> </t>
    </r>
    <r>
      <rPr>
        <b/>
        <sz val="12"/>
        <rFont val="宋体"/>
        <family val="3"/>
        <charset val="134"/>
      </rPr>
      <t>目</t>
    </r>
  </si>
  <si>
    <r>
      <rPr>
        <sz val="10"/>
        <color rgb="FF0000FF"/>
        <rFont val="宋体"/>
        <family val="3"/>
        <charset val="134"/>
      </rPr>
      <t>货款</t>
    </r>
  </si>
  <si>
    <r>
      <rPr>
        <sz val="10"/>
        <color rgb="FF0000FF"/>
        <rFont val="宋体"/>
        <family val="3"/>
        <charset val="134"/>
      </rPr>
      <t>工程款</t>
    </r>
  </si>
  <si>
    <r>
      <rPr>
        <sz val="10"/>
        <rFont val="宋体"/>
        <family val="3"/>
        <charset val="134"/>
      </rPr>
      <t>其中，账龄超过</t>
    </r>
    <r>
      <rPr>
        <sz val="10"/>
        <rFont val="Arial Narrow"/>
        <family val="2"/>
      </rPr>
      <t>1</t>
    </r>
    <r>
      <rPr>
        <sz val="10"/>
        <rFont val="宋体"/>
        <family val="3"/>
        <charset val="134"/>
      </rPr>
      <t>年的重要应付账款</t>
    </r>
  </si>
  <si>
    <r>
      <rPr>
        <b/>
        <sz val="10"/>
        <rFont val="宋体"/>
        <family val="3"/>
        <charset val="134"/>
      </rPr>
      <t>未偿还或未结转的原因</t>
    </r>
  </si>
  <si>
    <r>
      <rPr>
        <b/>
        <sz val="12"/>
        <rFont val="宋体"/>
        <family val="3"/>
        <charset val="134"/>
      </rPr>
      <t>预收款项</t>
    </r>
  </si>
  <si>
    <r>
      <rPr>
        <b/>
        <sz val="12"/>
        <rFont val="宋体"/>
        <family val="3"/>
        <charset val="134"/>
      </rPr>
      <t>应付职工薪酬</t>
    </r>
  </si>
  <si>
    <r>
      <rPr>
        <b/>
        <sz val="10"/>
        <color theme="1"/>
        <rFont val="宋体"/>
        <family val="3"/>
        <charset val="134"/>
      </rPr>
      <t>项</t>
    </r>
    <r>
      <rPr>
        <b/>
        <sz val="10"/>
        <color theme="1"/>
        <rFont val="Arial Narrow"/>
        <family val="2"/>
      </rPr>
      <t xml:space="preserve"> </t>
    </r>
    <r>
      <rPr>
        <b/>
        <sz val="10"/>
        <color theme="1"/>
        <rFont val="宋体"/>
        <family val="3"/>
        <charset val="134"/>
      </rPr>
      <t>目</t>
    </r>
  </si>
  <si>
    <r>
      <rPr>
        <b/>
        <sz val="10"/>
        <color theme="1"/>
        <rFont val="宋体"/>
        <family val="3"/>
        <charset val="134"/>
      </rPr>
      <t>本期增加</t>
    </r>
  </si>
  <si>
    <r>
      <rPr>
        <b/>
        <sz val="10"/>
        <color theme="1"/>
        <rFont val="宋体"/>
        <family val="3"/>
        <charset val="134"/>
      </rPr>
      <t>本期减少</t>
    </r>
  </si>
  <si>
    <r>
      <rPr>
        <sz val="10"/>
        <color theme="1"/>
        <rFont val="宋体"/>
        <family val="3"/>
        <charset val="134"/>
      </rPr>
      <t>短期薪酬</t>
    </r>
  </si>
  <si>
    <r>
      <rPr>
        <sz val="10"/>
        <color theme="1"/>
        <rFont val="宋体"/>
        <family val="3"/>
        <charset val="134"/>
      </rPr>
      <t>离职后福利</t>
    </r>
    <r>
      <rPr>
        <sz val="10"/>
        <color theme="1"/>
        <rFont val="Arial Narrow"/>
        <family val="2"/>
      </rPr>
      <t>-</t>
    </r>
    <r>
      <rPr>
        <sz val="10"/>
        <color theme="1"/>
        <rFont val="宋体"/>
        <family val="3"/>
        <charset val="134"/>
      </rPr>
      <t>设定提存计划</t>
    </r>
  </si>
  <si>
    <r>
      <rPr>
        <sz val="10"/>
        <color theme="1"/>
        <rFont val="宋体"/>
        <family val="3"/>
        <charset val="134"/>
      </rPr>
      <t>辞退福利</t>
    </r>
  </si>
  <si>
    <r>
      <rPr>
        <sz val="10"/>
        <color theme="1"/>
        <rFont val="宋体"/>
        <family val="3"/>
        <charset val="134"/>
      </rPr>
      <t>一年内到期的其他福利</t>
    </r>
  </si>
  <si>
    <r>
      <rPr>
        <sz val="10"/>
        <color rgb="FF0000FF"/>
        <rFont val="宋体"/>
        <family val="3"/>
        <charset val="134"/>
      </rPr>
      <t>【提示：</t>
    </r>
  </si>
  <si>
    <r>
      <rPr>
        <sz val="10"/>
        <color rgb="FF0000FF"/>
        <rFont val="Arial Narrow"/>
        <family val="2"/>
      </rPr>
      <t>1</t>
    </r>
    <r>
      <rPr>
        <sz val="10"/>
        <color rgb="FF0000FF"/>
        <rFont val="宋体"/>
        <family val="3"/>
        <charset val="134"/>
      </rPr>
      <t>、辞退福利包括（</t>
    </r>
    <r>
      <rPr>
        <sz val="10"/>
        <color rgb="FF0000FF"/>
        <rFont val="Arial Narrow"/>
        <family val="2"/>
      </rPr>
      <t>1</t>
    </r>
    <r>
      <rPr>
        <sz val="10"/>
        <color rgb="FF0000FF"/>
        <rFont val="宋体"/>
        <family val="3"/>
        <charset val="134"/>
      </rPr>
      <t>）预期在其确认的年度报告期间期末后</t>
    </r>
    <r>
      <rPr>
        <sz val="10"/>
        <color rgb="FF0000FF"/>
        <rFont val="Arial Narrow"/>
        <family val="2"/>
      </rPr>
      <t>12</t>
    </r>
    <r>
      <rPr>
        <sz val="10"/>
        <color rgb="FF0000FF"/>
        <rFont val="宋体"/>
        <family val="3"/>
        <charset val="134"/>
      </rPr>
      <t>个月内完全支付的辞退福利；（</t>
    </r>
    <r>
      <rPr>
        <sz val="10"/>
        <color rgb="FF0000FF"/>
        <rFont val="Arial Narrow"/>
        <family val="2"/>
      </rPr>
      <t>2</t>
    </r>
    <r>
      <rPr>
        <sz val="10"/>
        <color rgb="FF0000FF"/>
        <rFont val="宋体"/>
        <family val="3"/>
        <charset val="134"/>
      </rPr>
      <t>）补偿款超过</t>
    </r>
    <r>
      <rPr>
        <sz val="10"/>
        <color rgb="FF0000FF"/>
        <rFont val="Arial Narrow"/>
        <family val="2"/>
      </rPr>
      <t>1</t>
    </r>
    <r>
      <rPr>
        <sz val="10"/>
        <color rgb="FF0000FF"/>
        <rFont val="宋体"/>
        <family val="3"/>
        <charset val="134"/>
      </rPr>
      <t>年支付的辞退计划将于年度报告期间期末后</t>
    </r>
    <r>
      <rPr>
        <sz val="10"/>
        <color rgb="FF0000FF"/>
        <rFont val="Arial Narrow"/>
        <family val="2"/>
      </rPr>
      <t>12</t>
    </r>
    <r>
      <rPr>
        <sz val="10"/>
        <color rgb="FF0000FF"/>
        <rFont val="宋体"/>
        <family val="3"/>
        <charset val="134"/>
      </rPr>
      <t>个月内支付的款项，例如内退计划将于下一年支付的金额。</t>
    </r>
  </si>
  <si>
    <r>
      <rPr>
        <sz val="10"/>
        <color rgb="FF0000FF"/>
        <rFont val="Arial Narrow"/>
        <family val="2"/>
      </rPr>
      <t>2</t>
    </r>
    <r>
      <rPr>
        <sz val="10"/>
        <color rgb="FF0000FF"/>
        <rFont val="宋体"/>
        <family val="3"/>
        <charset val="134"/>
      </rPr>
      <t>、一年内到期的其他福利：指一年内到期的设定受益计划及其他长期福利；应根据</t>
    </r>
    <r>
      <rPr>
        <sz val="10"/>
        <color rgb="FF0000FF"/>
        <rFont val="Arial Narrow"/>
        <family val="2"/>
      </rPr>
      <t>“</t>
    </r>
    <r>
      <rPr>
        <sz val="10"/>
        <color rgb="FF0000FF"/>
        <rFont val="宋体"/>
        <family val="3"/>
        <charset val="134"/>
      </rPr>
      <t>长期应付职工薪酬</t>
    </r>
    <r>
      <rPr>
        <sz val="10"/>
        <color rgb="FF0000FF"/>
        <rFont val="Arial Narrow"/>
        <family val="2"/>
      </rPr>
      <t>”</t>
    </r>
    <r>
      <rPr>
        <sz val="10"/>
        <color rgb="FF0000FF"/>
        <rFont val="宋体"/>
        <family val="3"/>
        <charset val="134"/>
      </rPr>
      <t>项目分析填列。</t>
    </r>
  </si>
  <si>
    <r>
      <rPr>
        <sz val="10"/>
        <color theme="1"/>
        <rFont val="宋体"/>
        <family val="3"/>
        <charset val="134"/>
      </rPr>
      <t>（</t>
    </r>
    <r>
      <rPr>
        <sz val="10"/>
        <color theme="1"/>
        <rFont val="Arial Narrow"/>
        <family val="2"/>
      </rPr>
      <t>1</t>
    </r>
    <r>
      <rPr>
        <sz val="10"/>
        <color theme="1"/>
        <rFont val="宋体"/>
        <family val="3"/>
        <charset val="134"/>
      </rPr>
      <t>）短期薪酬</t>
    </r>
  </si>
  <si>
    <r>
      <rPr>
        <sz val="10"/>
        <color theme="1"/>
        <rFont val="宋体"/>
        <family val="3"/>
        <charset val="134"/>
      </rPr>
      <t>工资、奖金、津贴和补贴</t>
    </r>
  </si>
  <si>
    <r>
      <rPr>
        <sz val="10"/>
        <color theme="1"/>
        <rFont val="宋体"/>
        <family val="3"/>
        <charset val="134"/>
      </rPr>
      <t>职工福利费</t>
    </r>
  </si>
  <si>
    <r>
      <rPr>
        <sz val="10"/>
        <color theme="1"/>
        <rFont val="宋体"/>
        <family val="3"/>
        <charset val="134"/>
      </rPr>
      <t>社会保险费</t>
    </r>
  </si>
  <si>
    <r>
      <rPr>
        <sz val="10"/>
        <color theme="1"/>
        <rFont val="宋体"/>
        <family val="3"/>
        <charset val="134"/>
      </rPr>
      <t>其中：</t>
    </r>
    <r>
      <rPr>
        <sz val="10"/>
        <color theme="1"/>
        <rFont val="Arial Narrow"/>
        <family val="2"/>
      </rPr>
      <t>1</t>
    </r>
    <r>
      <rPr>
        <sz val="10"/>
        <color theme="1"/>
        <rFont val="宋体"/>
        <family val="3"/>
        <charset val="134"/>
      </rPr>
      <t>．医疗保险费</t>
    </r>
  </si>
  <si>
    <r>
      <rPr>
        <sz val="10"/>
        <color theme="1"/>
        <rFont val="Arial Narrow"/>
        <family val="2"/>
      </rPr>
      <t>2</t>
    </r>
    <r>
      <rPr>
        <sz val="10"/>
        <color theme="1"/>
        <rFont val="宋体"/>
        <family val="3"/>
        <charset val="134"/>
      </rPr>
      <t>．工伤保险费</t>
    </r>
  </si>
  <si>
    <r>
      <rPr>
        <sz val="10"/>
        <color theme="1"/>
        <rFont val="Arial Narrow"/>
        <family val="2"/>
      </rPr>
      <t>3</t>
    </r>
    <r>
      <rPr>
        <sz val="10"/>
        <color theme="1"/>
        <rFont val="宋体"/>
        <family val="3"/>
        <charset val="134"/>
      </rPr>
      <t>．生育保险费</t>
    </r>
  </si>
  <si>
    <r>
      <rPr>
        <sz val="10"/>
        <color theme="1"/>
        <rFont val="宋体"/>
        <family val="3"/>
        <charset val="134"/>
      </rPr>
      <t>住房公积金</t>
    </r>
  </si>
  <si>
    <r>
      <rPr>
        <sz val="10"/>
        <color theme="1"/>
        <rFont val="宋体"/>
        <family val="3"/>
        <charset val="134"/>
      </rPr>
      <t>工会经费和职工教育经费</t>
    </r>
  </si>
  <si>
    <r>
      <rPr>
        <sz val="10"/>
        <color theme="1"/>
        <rFont val="宋体"/>
        <family val="3"/>
        <charset val="134"/>
      </rPr>
      <t>短期带薪缺勤</t>
    </r>
  </si>
  <si>
    <r>
      <rPr>
        <sz val="10"/>
        <color theme="1"/>
        <rFont val="宋体"/>
        <family val="3"/>
        <charset val="134"/>
      </rPr>
      <t>短期利润分享计划</t>
    </r>
  </si>
  <si>
    <r>
      <rPr>
        <sz val="10"/>
        <color theme="1"/>
        <rFont val="宋体"/>
        <family val="3"/>
        <charset val="134"/>
      </rPr>
      <t>非货币性福利</t>
    </r>
  </si>
  <si>
    <r>
      <rPr>
        <sz val="10"/>
        <color theme="1"/>
        <rFont val="宋体"/>
        <family val="3"/>
        <charset val="134"/>
      </rPr>
      <t>其他短期薪酬</t>
    </r>
  </si>
  <si>
    <r>
      <rPr>
        <sz val="10"/>
        <color theme="1"/>
        <rFont val="Arial Narrow"/>
        <family val="2"/>
      </rPr>
      <t>1</t>
    </r>
    <r>
      <rPr>
        <sz val="10"/>
        <color theme="1"/>
        <rFont val="宋体"/>
        <family val="3"/>
        <charset val="134"/>
      </rPr>
      <t>、</t>
    </r>
    <r>
      <rPr>
        <sz val="10"/>
        <color rgb="FF0000FF"/>
        <rFont val="宋体"/>
        <family val="3"/>
        <charset val="134"/>
      </rPr>
      <t>（企业本期为职工提供的各项非货币性福利形式、其计算依据。）</t>
    </r>
  </si>
  <si>
    <r>
      <rPr>
        <sz val="10"/>
        <color rgb="FF0000FF"/>
        <rFont val="Arial Narrow"/>
        <family val="2"/>
      </rPr>
      <t>2</t>
    </r>
    <r>
      <rPr>
        <sz val="10"/>
        <color rgb="FF0000FF"/>
        <rFont val="宋体"/>
        <family val="3"/>
        <charset val="134"/>
      </rPr>
      <t>、（企业依据短期利润分享计划提供的职工薪酬计算依据。）</t>
    </r>
  </si>
  <si>
    <r>
      <rPr>
        <sz val="10"/>
        <color theme="1"/>
        <rFont val="宋体"/>
        <family val="3"/>
        <charset val="134"/>
      </rPr>
      <t>（</t>
    </r>
    <r>
      <rPr>
        <sz val="10"/>
        <color theme="1"/>
        <rFont val="Arial Narrow"/>
        <family val="2"/>
      </rPr>
      <t>2</t>
    </r>
    <r>
      <rPr>
        <sz val="10"/>
        <color theme="1"/>
        <rFont val="宋体"/>
        <family val="3"/>
        <charset val="134"/>
      </rPr>
      <t>）设定提存计划</t>
    </r>
  </si>
  <si>
    <r>
      <rPr>
        <sz val="10"/>
        <color theme="1"/>
        <rFont val="宋体"/>
        <family val="3"/>
        <charset val="134"/>
      </rPr>
      <t>离职后福利</t>
    </r>
  </si>
  <si>
    <r>
      <rPr>
        <sz val="10"/>
        <color theme="1"/>
        <rFont val="宋体"/>
        <family val="3"/>
        <charset val="134"/>
      </rPr>
      <t>其中：</t>
    </r>
    <r>
      <rPr>
        <sz val="10"/>
        <color theme="1"/>
        <rFont val="Arial Narrow"/>
        <family val="2"/>
      </rPr>
      <t>1</t>
    </r>
    <r>
      <rPr>
        <sz val="10"/>
        <color theme="1"/>
        <rFont val="宋体"/>
        <family val="3"/>
        <charset val="134"/>
      </rPr>
      <t>．基本养老保险费</t>
    </r>
  </si>
  <si>
    <r>
      <rPr>
        <sz val="10"/>
        <color theme="1"/>
        <rFont val="Arial Narrow"/>
        <family val="2"/>
      </rPr>
      <t>2</t>
    </r>
    <r>
      <rPr>
        <sz val="10"/>
        <color theme="1"/>
        <rFont val="宋体"/>
        <family val="3"/>
        <charset val="134"/>
      </rPr>
      <t>．失业保险费</t>
    </r>
  </si>
  <si>
    <r>
      <rPr>
        <sz val="10"/>
        <color theme="1"/>
        <rFont val="Arial Narrow"/>
        <family val="2"/>
      </rPr>
      <t>3</t>
    </r>
    <r>
      <rPr>
        <sz val="10"/>
        <color theme="1"/>
        <rFont val="宋体"/>
        <family val="3"/>
        <charset val="134"/>
      </rPr>
      <t>．企业年金缴费</t>
    </r>
  </si>
  <si>
    <r>
      <rPr>
        <sz val="10"/>
        <color theme="1"/>
        <rFont val="Arial Narrow"/>
        <family val="2"/>
      </rPr>
      <t>4</t>
    </r>
    <r>
      <rPr>
        <sz val="10"/>
        <color theme="1"/>
        <rFont val="宋体"/>
        <family val="3"/>
        <charset val="134"/>
      </rPr>
      <t>．其他</t>
    </r>
  </si>
  <si>
    <r>
      <rPr>
        <sz val="10"/>
        <color theme="1"/>
        <rFont val="宋体"/>
        <family val="3"/>
        <charset val="134"/>
      </rPr>
      <t>其他长期职工福利</t>
    </r>
    <r>
      <rPr>
        <sz val="10"/>
        <color rgb="FF0000FF"/>
        <rFont val="宋体"/>
        <family val="3"/>
        <charset val="134"/>
      </rPr>
      <t>（不适用的删除）</t>
    </r>
  </si>
  <si>
    <r>
      <rPr>
        <sz val="10"/>
        <color theme="1"/>
        <rFont val="宋体"/>
        <family val="3"/>
        <charset val="134"/>
      </rPr>
      <t>其中：</t>
    </r>
    <r>
      <rPr>
        <sz val="10"/>
        <color theme="1"/>
        <rFont val="Arial Narrow"/>
        <family val="2"/>
      </rPr>
      <t>1</t>
    </r>
    <r>
      <rPr>
        <sz val="10"/>
        <color theme="1"/>
        <rFont val="宋体"/>
        <family val="3"/>
        <charset val="134"/>
      </rPr>
      <t>．</t>
    </r>
    <r>
      <rPr>
        <sz val="10"/>
        <color theme="1"/>
        <rFont val="Arial Narrow"/>
        <family val="2"/>
      </rPr>
      <t>xxx</t>
    </r>
  </si>
  <si>
    <r>
      <rPr>
        <sz val="10"/>
        <color theme="1"/>
        <rFont val="Arial Narrow"/>
        <family val="2"/>
      </rPr>
      <t>2</t>
    </r>
    <r>
      <rPr>
        <sz val="10"/>
        <color theme="1"/>
        <rFont val="宋体"/>
        <family val="3"/>
        <charset val="134"/>
      </rPr>
      <t>．其他</t>
    </r>
  </si>
  <si>
    <r>
      <rPr>
        <sz val="10"/>
        <color theme="1"/>
        <rFont val="宋体"/>
        <family val="3"/>
        <charset val="134"/>
      </rPr>
      <t>说明：</t>
    </r>
    <r>
      <rPr>
        <sz val="10"/>
        <color rgb="FF0000FF"/>
        <rFont val="宋体"/>
        <family val="3"/>
        <charset val="134"/>
      </rPr>
      <t>（设定提存计划的性质、计算缴费金额的公式或依据）</t>
    </r>
  </si>
  <si>
    <r>
      <rPr>
        <sz val="10"/>
        <color rgb="FF0000FF"/>
        <rFont val="宋体"/>
        <family val="3"/>
        <charset val="134"/>
      </rPr>
      <t>【提示：其他长期职工福利指符合设定提存计划条件的其他长期职工福利】</t>
    </r>
  </si>
  <si>
    <r>
      <rPr>
        <sz val="10"/>
        <color theme="1"/>
        <rFont val="宋体"/>
        <family val="3"/>
        <charset val="134"/>
      </rPr>
      <t>（</t>
    </r>
    <r>
      <rPr>
        <sz val="10"/>
        <color theme="1"/>
        <rFont val="Arial Narrow"/>
        <family val="2"/>
      </rPr>
      <t>3</t>
    </r>
    <r>
      <rPr>
        <sz val="10"/>
        <color theme="1"/>
        <rFont val="宋体"/>
        <family val="3"/>
        <charset val="134"/>
      </rPr>
      <t>）辞退福利</t>
    </r>
  </si>
  <si>
    <r>
      <rPr>
        <sz val="10"/>
        <color theme="1"/>
        <rFont val="宋体"/>
        <family val="3"/>
        <charset val="134"/>
      </rPr>
      <t>说明：</t>
    </r>
    <r>
      <rPr>
        <sz val="10"/>
        <color rgb="FF0000FF"/>
        <rFont val="宋体"/>
        <family val="3"/>
        <charset val="134"/>
      </rPr>
      <t>辞退福利的性质、内容及计算依据。</t>
    </r>
  </si>
  <si>
    <r>
      <rPr>
        <sz val="10"/>
        <color rgb="FF0000FF"/>
        <rFont val="宋体"/>
        <family val="3"/>
        <charset val="134"/>
      </rPr>
      <t>（注：应付职工薪酬、设定受益计划净负债（净资产）、一年后支付的辞退福利及其他长期职工福利本期减少一般与现金流量中</t>
    </r>
    <r>
      <rPr>
        <sz val="10"/>
        <color rgb="FF0000FF"/>
        <rFont val="Arial Narrow"/>
        <family val="2"/>
      </rPr>
      <t>“</t>
    </r>
    <r>
      <rPr>
        <sz val="10"/>
        <color rgb="FF0000FF"/>
        <rFont val="宋体"/>
        <family val="3"/>
        <charset val="134"/>
      </rPr>
      <t>支付职工</t>
    </r>
    <r>
      <rPr>
        <sz val="10"/>
        <color rgb="FF0000FF"/>
        <rFont val="Arial Narrow"/>
        <family val="2"/>
      </rPr>
      <t>”</t>
    </r>
    <r>
      <rPr>
        <sz val="10"/>
        <color rgb="FF0000FF"/>
        <rFont val="宋体"/>
        <family val="3"/>
        <charset val="134"/>
      </rPr>
      <t>项一致，除非代扣税未交、实物发放等）</t>
    </r>
  </si>
  <si>
    <r>
      <rPr>
        <b/>
        <sz val="12"/>
        <rFont val="宋体"/>
        <family val="3"/>
        <charset val="134"/>
      </rPr>
      <t>应交税费</t>
    </r>
  </si>
  <si>
    <r>
      <rPr>
        <b/>
        <sz val="12"/>
        <rFont val="宋体"/>
        <family val="3"/>
        <charset val="134"/>
      </rPr>
      <t>年初余额</t>
    </r>
  </si>
  <si>
    <r>
      <rPr>
        <b/>
        <sz val="12"/>
        <rFont val="宋体"/>
        <family val="3"/>
        <charset val="134"/>
      </rPr>
      <t>本期应交</t>
    </r>
  </si>
  <si>
    <r>
      <rPr>
        <b/>
        <sz val="12"/>
        <rFont val="宋体"/>
        <family val="3"/>
        <charset val="134"/>
      </rPr>
      <t>本期已交</t>
    </r>
  </si>
  <si>
    <r>
      <rPr>
        <b/>
        <sz val="12"/>
        <rFont val="宋体"/>
        <family val="3"/>
        <charset val="134"/>
      </rPr>
      <t>期末余额</t>
    </r>
  </si>
  <si>
    <r>
      <rPr>
        <sz val="10"/>
        <rFont val="宋体"/>
        <family val="3"/>
        <charset val="134"/>
      </rPr>
      <t>增值税</t>
    </r>
  </si>
  <si>
    <r>
      <rPr>
        <sz val="10"/>
        <rFont val="宋体"/>
        <family val="3"/>
        <charset val="134"/>
      </rPr>
      <t>消费税</t>
    </r>
  </si>
  <si>
    <r>
      <rPr>
        <sz val="10"/>
        <rFont val="宋体"/>
        <family val="3"/>
        <charset val="134"/>
      </rPr>
      <t>营业税</t>
    </r>
  </si>
  <si>
    <r>
      <rPr>
        <sz val="10"/>
        <rFont val="宋体"/>
        <family val="3"/>
        <charset val="134"/>
      </rPr>
      <t>资源税</t>
    </r>
  </si>
  <si>
    <r>
      <rPr>
        <sz val="10"/>
        <rFont val="宋体"/>
        <family val="3"/>
        <charset val="134"/>
      </rPr>
      <t>企业所得税</t>
    </r>
  </si>
  <si>
    <r>
      <rPr>
        <sz val="10"/>
        <rFont val="宋体"/>
        <family val="3"/>
        <charset val="134"/>
      </rPr>
      <t>城市维护建设税</t>
    </r>
  </si>
  <si>
    <r>
      <rPr>
        <sz val="10"/>
        <rFont val="宋体"/>
        <family val="3"/>
        <charset val="134"/>
      </rPr>
      <t>房产税</t>
    </r>
  </si>
  <si>
    <r>
      <rPr>
        <sz val="10"/>
        <rFont val="宋体"/>
        <family val="3"/>
        <charset val="134"/>
      </rPr>
      <t>土地使用税</t>
    </r>
  </si>
  <si>
    <r>
      <rPr>
        <sz val="10"/>
        <rFont val="宋体"/>
        <family val="3"/>
        <charset val="134"/>
      </rPr>
      <t>个人所得税</t>
    </r>
  </si>
  <si>
    <r>
      <rPr>
        <sz val="10"/>
        <rFont val="宋体"/>
        <family val="3"/>
        <charset val="134"/>
      </rPr>
      <t>教育费附加</t>
    </r>
  </si>
  <si>
    <r>
      <rPr>
        <sz val="10"/>
        <rFont val="宋体"/>
        <family val="3"/>
        <charset val="134"/>
      </rPr>
      <t>其他税费</t>
    </r>
  </si>
  <si>
    <r>
      <rPr>
        <sz val="10"/>
        <rFont val="宋体"/>
        <family val="3"/>
        <charset val="134"/>
      </rPr>
      <t>说明：</t>
    </r>
    <r>
      <rPr>
        <sz val="10"/>
        <color rgb="FF0000FF"/>
        <rFont val="Arial Narrow"/>
        <family val="2"/>
      </rPr>
      <t xml:space="preserve"> </t>
    </r>
  </si>
  <si>
    <r>
      <rPr>
        <sz val="10"/>
        <color rgb="FF0070C0"/>
        <rFont val="宋体"/>
        <family val="3"/>
        <charset val="134"/>
      </rPr>
      <t>（小税（费）种可合并反映。）</t>
    </r>
  </si>
  <si>
    <r>
      <rPr>
        <sz val="10"/>
        <color rgb="FF0070C0"/>
        <rFont val="宋体"/>
        <family val="3"/>
        <charset val="134"/>
      </rPr>
      <t>（对于满足条件将当期所得税资产及当期所得税负债以抵销后的净额列示的情况，当企业实际交纳的所得税税款大于按照税法规定计算的应交税时，超过部分在资产负债表中应当列示为</t>
    </r>
    <r>
      <rPr>
        <sz val="10"/>
        <color rgb="FF0070C0"/>
        <rFont val="Arial Narrow"/>
        <family val="2"/>
      </rPr>
      <t>“</t>
    </r>
    <r>
      <rPr>
        <sz val="10"/>
        <color rgb="FF0070C0"/>
        <rFont val="宋体"/>
        <family val="3"/>
        <charset val="134"/>
      </rPr>
      <t>其他流动资产</t>
    </r>
    <r>
      <rPr>
        <sz val="10"/>
        <color rgb="FF0070C0"/>
        <rFont val="Arial Narrow"/>
        <family val="2"/>
      </rPr>
      <t>”</t>
    </r>
    <r>
      <rPr>
        <sz val="10"/>
        <color rgb="FF0070C0"/>
        <rFont val="宋体"/>
        <family val="3"/>
        <charset val="134"/>
      </rPr>
      <t>；当企业实际交纳的所得税税款小于按照税法规定计算的应交税时，差额部分应当作为资产负债表中的</t>
    </r>
    <r>
      <rPr>
        <sz val="10"/>
        <color rgb="FF0070C0"/>
        <rFont val="Arial Narrow"/>
        <family val="2"/>
      </rPr>
      <t>“</t>
    </r>
    <r>
      <rPr>
        <sz val="10"/>
        <color rgb="FF0070C0"/>
        <rFont val="宋体"/>
        <family val="3"/>
        <charset val="134"/>
      </rPr>
      <t>应交税费</t>
    </r>
    <r>
      <rPr>
        <sz val="10"/>
        <color rgb="FF0070C0"/>
        <rFont val="Arial Narrow"/>
        <family val="2"/>
      </rPr>
      <t>”</t>
    </r>
    <r>
      <rPr>
        <sz val="10"/>
        <color rgb="FF0070C0"/>
        <rFont val="宋体"/>
        <family val="3"/>
        <charset val="134"/>
      </rPr>
      <t>项目列示。）</t>
    </r>
  </si>
  <si>
    <t>应付利息</t>
  </si>
  <si>
    <t>应付股利</t>
  </si>
  <si>
    <r>
      <rPr>
        <b/>
        <sz val="12"/>
        <rFont val="宋体"/>
        <family val="3"/>
        <charset val="134"/>
      </rPr>
      <t>应付利息</t>
    </r>
  </si>
  <si>
    <r>
      <rPr>
        <sz val="10"/>
        <color rgb="FF000000"/>
        <rFont val="宋体"/>
        <family val="3"/>
        <charset val="134"/>
      </rPr>
      <t>分期付息到期还本的长期借款利息</t>
    </r>
  </si>
  <si>
    <r>
      <rPr>
        <sz val="10"/>
        <color rgb="FF000000"/>
        <rFont val="宋体"/>
        <family val="3"/>
        <charset val="134"/>
      </rPr>
      <t>企业债券利息</t>
    </r>
  </si>
  <si>
    <r>
      <rPr>
        <sz val="10"/>
        <color rgb="FF000000"/>
        <rFont val="宋体"/>
        <family val="3"/>
        <charset val="134"/>
      </rPr>
      <t>短期借款应付利息</t>
    </r>
  </si>
  <si>
    <r>
      <rPr>
        <sz val="10"/>
        <color rgb="FF000000"/>
        <rFont val="宋体"/>
        <family val="3"/>
        <charset val="134"/>
      </rPr>
      <t>划分为金融负债的优先股</t>
    </r>
    <r>
      <rPr>
        <sz val="10"/>
        <color rgb="FF000000"/>
        <rFont val="Arial Narrow"/>
        <family val="2"/>
      </rPr>
      <t>\</t>
    </r>
    <r>
      <rPr>
        <sz val="10"/>
        <color rgb="FF000000"/>
        <rFont val="宋体"/>
        <family val="3"/>
        <charset val="134"/>
      </rPr>
      <t>永续债利息</t>
    </r>
  </si>
  <si>
    <r>
      <rPr>
        <sz val="10"/>
        <color rgb="FF000000"/>
        <rFont val="宋体"/>
        <family val="3"/>
        <charset val="134"/>
      </rPr>
      <t>其中：工具</t>
    </r>
    <r>
      <rPr>
        <sz val="10"/>
        <color rgb="FF000000"/>
        <rFont val="Arial Narrow"/>
        <family val="2"/>
      </rPr>
      <t>1</t>
    </r>
  </si>
  <si>
    <r>
      <rPr>
        <sz val="10"/>
        <color rgb="FF000000"/>
        <rFont val="宋体"/>
        <family val="3"/>
        <charset val="134"/>
      </rPr>
      <t>工具</t>
    </r>
    <r>
      <rPr>
        <sz val="10"/>
        <color rgb="FF000000"/>
        <rFont val="Arial Narrow"/>
        <family val="2"/>
      </rPr>
      <t>2</t>
    </r>
  </si>
  <si>
    <r>
      <rPr>
        <sz val="10"/>
        <rFont val="宋体"/>
        <family val="3"/>
        <charset val="134"/>
      </rPr>
      <t>重要的逾期未付利息：</t>
    </r>
  </si>
  <si>
    <r>
      <rPr>
        <sz val="10"/>
        <rFont val="宋体"/>
        <family val="3"/>
        <charset val="134"/>
      </rPr>
      <t>借款单位</t>
    </r>
  </si>
  <si>
    <r>
      <rPr>
        <sz val="10"/>
        <rFont val="宋体"/>
        <family val="3"/>
        <charset val="134"/>
      </rPr>
      <t>逾期金额</t>
    </r>
  </si>
  <si>
    <r>
      <rPr>
        <sz val="10"/>
        <rFont val="宋体"/>
        <family val="3"/>
        <charset val="134"/>
      </rPr>
      <t>逾期原因</t>
    </r>
  </si>
  <si>
    <r>
      <rPr>
        <b/>
        <sz val="12"/>
        <rFont val="宋体"/>
        <family val="3"/>
        <charset val="134"/>
      </rPr>
      <t>应付股利</t>
    </r>
  </si>
  <si>
    <r>
      <rPr>
        <b/>
        <sz val="12"/>
        <rFont val="宋体"/>
        <family val="3"/>
        <charset val="134"/>
      </rPr>
      <t>项目</t>
    </r>
    <r>
      <rPr>
        <b/>
        <sz val="12"/>
        <color rgb="FF0000FF"/>
        <rFont val="宋体"/>
        <family val="3"/>
        <charset val="134"/>
      </rPr>
      <t>（或股东名称）</t>
    </r>
  </si>
  <si>
    <r>
      <rPr>
        <sz val="10"/>
        <color rgb="FF000000"/>
        <rFont val="宋体"/>
        <family val="3"/>
        <charset val="134"/>
      </rPr>
      <t>普通股股利</t>
    </r>
  </si>
  <si>
    <r>
      <rPr>
        <sz val="10"/>
        <color rgb="FF000000"/>
        <rFont val="宋体"/>
        <family val="3"/>
        <charset val="134"/>
      </rPr>
      <t>划分为权益工具的优先股</t>
    </r>
    <r>
      <rPr>
        <sz val="10"/>
        <color rgb="FF000000"/>
        <rFont val="Arial Narrow"/>
        <family val="2"/>
      </rPr>
      <t>\</t>
    </r>
    <r>
      <rPr>
        <sz val="10"/>
        <color rgb="FF000000"/>
        <rFont val="宋体"/>
        <family val="3"/>
        <charset val="134"/>
      </rPr>
      <t>永续债股利</t>
    </r>
  </si>
  <si>
    <r>
      <rPr>
        <sz val="10"/>
        <color rgb="FF000000"/>
        <rFont val="Arial Narrow"/>
        <family val="2"/>
      </rPr>
      <t xml:space="preserve">  </t>
    </r>
    <r>
      <rPr>
        <sz val="10"/>
        <color rgb="FF000000"/>
        <rFont val="宋体"/>
        <family val="3"/>
        <charset val="134"/>
      </rPr>
      <t>其中：工具</t>
    </r>
    <r>
      <rPr>
        <sz val="10"/>
        <color rgb="FF000000"/>
        <rFont val="Arial Narrow"/>
        <family val="2"/>
      </rPr>
      <t>1</t>
    </r>
  </si>
  <si>
    <r>
      <rPr>
        <sz val="10"/>
        <color rgb="FF000000"/>
        <rFont val="Arial Narrow"/>
        <family val="2"/>
      </rPr>
      <t xml:space="preserve">        </t>
    </r>
    <r>
      <rPr>
        <sz val="10"/>
        <color rgb="FF000000"/>
        <rFont val="宋体"/>
        <family val="3"/>
        <charset val="134"/>
      </rPr>
      <t>工具</t>
    </r>
    <r>
      <rPr>
        <sz val="10"/>
        <color rgb="FF000000"/>
        <rFont val="Arial Narrow"/>
        <family val="2"/>
      </rPr>
      <t>2</t>
    </r>
  </si>
  <si>
    <r>
      <rPr>
        <sz val="10"/>
        <rFont val="宋体"/>
        <family val="3"/>
        <charset val="134"/>
      </rPr>
      <t>重要的超过</t>
    </r>
    <r>
      <rPr>
        <sz val="10"/>
        <rFont val="Arial Narrow"/>
        <family val="2"/>
      </rPr>
      <t>1</t>
    </r>
    <r>
      <rPr>
        <sz val="10"/>
        <rFont val="宋体"/>
        <family val="3"/>
        <charset val="134"/>
      </rPr>
      <t>年未支付的应付股利：</t>
    </r>
  </si>
  <si>
    <r>
      <rPr>
        <sz val="10"/>
        <rFont val="宋体"/>
        <family val="3"/>
        <charset val="134"/>
      </rPr>
      <t>股东名称</t>
    </r>
  </si>
  <si>
    <r>
      <rPr>
        <sz val="10"/>
        <rFont val="宋体"/>
        <family val="3"/>
        <charset val="134"/>
      </rPr>
      <t>应付股利金额</t>
    </r>
  </si>
  <si>
    <r>
      <rPr>
        <sz val="10"/>
        <rFont val="宋体"/>
        <family val="3"/>
        <charset val="134"/>
      </rPr>
      <t>未支付原因</t>
    </r>
  </si>
  <si>
    <r>
      <rPr>
        <b/>
        <sz val="12"/>
        <rFont val="宋体"/>
        <family val="3"/>
        <charset val="134"/>
      </rPr>
      <t>其他应付款</t>
    </r>
  </si>
  <si>
    <r>
      <rPr>
        <b/>
        <sz val="12"/>
        <rFont val="宋体"/>
        <family val="3"/>
        <charset val="134"/>
      </rPr>
      <t>其他应付款</t>
    </r>
    <r>
      <rPr>
        <b/>
        <sz val="12"/>
        <color indexed="12"/>
        <rFont val="宋体"/>
        <family val="3"/>
        <charset val="134"/>
      </rPr>
      <t>（按款项性质列示）</t>
    </r>
  </si>
  <si>
    <r>
      <rPr>
        <sz val="10"/>
        <color rgb="FF0000FF"/>
        <rFont val="宋体"/>
        <family val="3"/>
        <charset val="134"/>
      </rPr>
      <t>押金</t>
    </r>
  </si>
  <si>
    <r>
      <rPr>
        <sz val="10"/>
        <color rgb="FF0000FF"/>
        <rFont val="宋体"/>
        <family val="3"/>
        <charset val="134"/>
      </rPr>
      <t>质保金</t>
    </r>
  </si>
  <si>
    <r>
      <rPr>
        <sz val="10"/>
        <color rgb="FF000000"/>
        <rFont val="宋体"/>
        <family val="3"/>
        <charset val="134"/>
      </rPr>
      <t>其中，账龄超过</t>
    </r>
    <r>
      <rPr>
        <sz val="10"/>
        <color indexed="8"/>
        <rFont val="Arial Narrow"/>
        <family val="2"/>
      </rPr>
      <t>1</t>
    </r>
    <r>
      <rPr>
        <sz val="10"/>
        <color indexed="8"/>
        <rFont val="宋体"/>
        <family val="3"/>
        <charset val="134"/>
      </rPr>
      <t>年的重要其他应付款</t>
    </r>
  </si>
  <si>
    <r>
      <rPr>
        <b/>
        <sz val="10"/>
        <rFont val="宋体"/>
        <family val="3"/>
        <charset val="134"/>
      </rPr>
      <t>金额</t>
    </r>
  </si>
  <si>
    <r>
      <rPr>
        <b/>
        <sz val="12"/>
        <rFont val="宋体"/>
        <family val="3"/>
        <charset val="134"/>
      </rPr>
      <t>一年内到期的非流动负债</t>
    </r>
  </si>
  <si>
    <r>
      <rPr>
        <sz val="10"/>
        <rFont val="宋体"/>
        <family val="3"/>
        <charset val="134"/>
      </rPr>
      <t>一年内到期的长期借款</t>
    </r>
  </si>
  <si>
    <r>
      <rPr>
        <sz val="10"/>
        <rFont val="宋体"/>
        <family val="3"/>
        <charset val="134"/>
      </rPr>
      <t>一年内到期的应付债券</t>
    </r>
  </si>
  <si>
    <r>
      <rPr>
        <sz val="10"/>
        <rFont val="宋体"/>
        <family val="3"/>
        <charset val="134"/>
      </rPr>
      <t>一年内到期的长期应付款</t>
    </r>
  </si>
  <si>
    <r>
      <rPr>
        <sz val="10"/>
        <rFont val="宋体"/>
        <family val="3"/>
        <charset val="134"/>
      </rPr>
      <t>一年内到期的预计负债</t>
    </r>
  </si>
  <si>
    <r>
      <rPr>
        <sz val="10"/>
        <rFont val="宋体"/>
        <family val="3"/>
        <charset val="134"/>
      </rPr>
      <t>一年内到期的递延收益</t>
    </r>
  </si>
  <si>
    <r>
      <rPr>
        <sz val="10"/>
        <color rgb="FF0000FF"/>
        <rFont val="宋体"/>
        <family val="3"/>
        <charset val="134"/>
      </rPr>
      <t>（</t>
    </r>
    <r>
      <rPr>
        <sz val="10"/>
        <rFont val="Arial Narrow"/>
        <family val="2"/>
      </rPr>
      <t>1</t>
    </r>
    <r>
      <rPr>
        <sz val="10"/>
        <rFont val="宋体"/>
        <family val="3"/>
        <charset val="134"/>
      </rPr>
      <t>）一年内到期的长期借款</t>
    </r>
  </si>
  <si>
    <r>
      <rPr>
        <sz val="10"/>
        <color rgb="FF000000"/>
        <rFont val="宋体"/>
        <family val="3"/>
        <charset val="134"/>
      </rPr>
      <t>质押借款</t>
    </r>
  </si>
  <si>
    <r>
      <rPr>
        <sz val="10"/>
        <color rgb="FF000000"/>
        <rFont val="宋体"/>
        <family val="3"/>
        <charset val="134"/>
      </rPr>
      <t>信用借款</t>
    </r>
  </si>
  <si>
    <r>
      <rPr>
        <sz val="10"/>
        <color rgb="FF0000FF"/>
        <rFont val="宋体"/>
        <family val="3"/>
        <charset val="134"/>
      </rPr>
      <t>说明：公司用于抵押、质押的财产；</t>
    </r>
  </si>
  <si>
    <r>
      <rPr>
        <sz val="10"/>
        <color indexed="10"/>
        <rFont val="宋体"/>
        <family val="3"/>
        <charset val="134"/>
      </rPr>
      <t>（</t>
    </r>
    <r>
      <rPr>
        <sz val="10"/>
        <rFont val="Arial Narrow"/>
        <family val="2"/>
      </rPr>
      <t>2</t>
    </r>
    <r>
      <rPr>
        <sz val="10"/>
        <rFont val="宋体"/>
        <family val="3"/>
        <charset val="134"/>
      </rPr>
      <t>）一年内到期的应付债券</t>
    </r>
  </si>
  <si>
    <r>
      <rPr>
        <b/>
        <sz val="10"/>
        <rFont val="宋体"/>
        <family val="3"/>
        <charset val="134"/>
      </rPr>
      <t>债券名称</t>
    </r>
  </si>
  <si>
    <r>
      <rPr>
        <b/>
        <sz val="10"/>
        <rFont val="宋体"/>
        <family val="3"/>
        <charset val="134"/>
      </rPr>
      <t>面值</t>
    </r>
  </si>
  <si>
    <r>
      <rPr>
        <b/>
        <sz val="10"/>
        <rFont val="宋体"/>
        <family val="3"/>
        <charset val="134"/>
      </rPr>
      <t>发行日期</t>
    </r>
  </si>
  <si>
    <r>
      <rPr>
        <b/>
        <sz val="10"/>
        <rFont val="宋体"/>
        <family val="3"/>
        <charset val="134"/>
      </rPr>
      <t>债券期限</t>
    </r>
  </si>
  <si>
    <r>
      <rPr>
        <b/>
        <sz val="10"/>
        <rFont val="宋体"/>
        <family val="3"/>
        <charset val="134"/>
      </rPr>
      <t>发行金额</t>
    </r>
  </si>
  <si>
    <r>
      <rPr>
        <sz val="10"/>
        <color theme="1"/>
        <rFont val="宋体"/>
        <family val="3"/>
        <charset val="134"/>
      </rPr>
      <t>一年内到期的应付债券（续）</t>
    </r>
  </si>
  <si>
    <r>
      <rPr>
        <b/>
        <sz val="10"/>
        <rFont val="宋体"/>
        <family val="3"/>
        <charset val="134"/>
      </rPr>
      <t>本期发行</t>
    </r>
  </si>
  <si>
    <r>
      <rPr>
        <b/>
        <sz val="10"/>
        <rFont val="宋体"/>
        <family val="3"/>
        <charset val="134"/>
      </rPr>
      <t>按面值计提利息</t>
    </r>
  </si>
  <si>
    <r>
      <rPr>
        <b/>
        <sz val="10"/>
        <rFont val="宋体"/>
        <family val="3"/>
        <charset val="134"/>
      </rPr>
      <t>溢折价摊销</t>
    </r>
  </si>
  <si>
    <r>
      <rPr>
        <b/>
        <sz val="10"/>
        <rFont val="宋体"/>
        <family val="3"/>
        <charset val="134"/>
      </rPr>
      <t>本期偿还</t>
    </r>
  </si>
  <si>
    <t xml:space="preserve">                   </t>
  </si>
  <si>
    <r>
      <rPr>
        <sz val="10"/>
        <color theme="1"/>
        <rFont val="宋体"/>
        <family val="3"/>
        <charset val="134"/>
      </rPr>
      <t>（</t>
    </r>
    <r>
      <rPr>
        <sz val="10"/>
        <rFont val="Arial Narrow"/>
        <family val="2"/>
      </rPr>
      <t>3</t>
    </r>
    <r>
      <rPr>
        <sz val="10"/>
        <rFont val="宋体"/>
        <family val="3"/>
        <charset val="134"/>
      </rPr>
      <t>）一年内到期的长期应付款</t>
    </r>
  </si>
  <si>
    <r>
      <rPr>
        <sz val="10"/>
        <rFont val="宋体"/>
        <family val="3"/>
        <charset val="134"/>
      </rPr>
      <t>应付融资租赁款</t>
    </r>
  </si>
  <si>
    <r>
      <rPr>
        <b/>
        <sz val="12"/>
        <rFont val="宋体"/>
        <family val="3"/>
        <charset val="134"/>
      </rPr>
      <t>其他流动负债</t>
    </r>
  </si>
  <si>
    <r>
      <rPr>
        <sz val="10"/>
        <rFont val="宋体"/>
        <family val="3"/>
        <charset val="134"/>
      </rPr>
      <t>短期应付债券</t>
    </r>
  </si>
  <si>
    <r>
      <rPr>
        <sz val="10"/>
        <color rgb="FF0000FF"/>
        <rFont val="宋体"/>
        <family val="3"/>
        <charset val="134"/>
      </rPr>
      <t>政府补助</t>
    </r>
  </si>
  <si>
    <r>
      <rPr>
        <sz val="10"/>
        <color rgb="FF0070C0"/>
        <rFont val="宋体"/>
        <family val="3"/>
        <charset val="134"/>
      </rPr>
      <t>【公司根据《企业会计准则》规定计入</t>
    </r>
    <r>
      <rPr>
        <sz val="10"/>
        <color rgb="FF0070C0"/>
        <rFont val="Arial Narrow"/>
        <family val="2"/>
      </rPr>
      <t>“</t>
    </r>
    <r>
      <rPr>
        <sz val="10"/>
        <color rgb="FF0070C0"/>
        <rFont val="宋体"/>
        <family val="3"/>
        <charset val="134"/>
      </rPr>
      <t>递延收益</t>
    </r>
    <r>
      <rPr>
        <sz val="10"/>
        <color rgb="FF0070C0"/>
        <rFont val="Arial Narrow"/>
        <family val="2"/>
      </rPr>
      <t>”</t>
    </r>
    <r>
      <rPr>
        <sz val="10"/>
        <color rgb="FF0070C0"/>
        <rFont val="宋体"/>
        <family val="3"/>
        <charset val="134"/>
      </rPr>
      <t>科目的金额，应按如下原则确定所属的报表项目：</t>
    </r>
  </si>
  <si>
    <r>
      <rPr>
        <sz val="10"/>
        <color rgb="FF0070C0"/>
        <rFont val="宋体"/>
        <family val="3"/>
        <charset val="134"/>
      </rPr>
      <t>（</t>
    </r>
    <r>
      <rPr>
        <sz val="10"/>
        <color rgb="FF0070C0"/>
        <rFont val="Arial Narrow"/>
        <family val="2"/>
      </rPr>
      <t>1</t>
    </r>
    <r>
      <rPr>
        <sz val="10"/>
        <color rgb="FF0070C0"/>
        <rFont val="宋体"/>
        <family val="3"/>
        <charset val="134"/>
      </rPr>
      <t>）取得政府补助时，预计在一年以内（含一年）转入损益的项目，应在</t>
    </r>
    <r>
      <rPr>
        <sz val="10"/>
        <color rgb="FF0070C0"/>
        <rFont val="Arial Narrow"/>
        <family val="2"/>
      </rPr>
      <t>“</t>
    </r>
    <r>
      <rPr>
        <sz val="10"/>
        <color rgb="FF0070C0"/>
        <rFont val="宋体"/>
        <family val="3"/>
        <charset val="134"/>
      </rPr>
      <t>其他流动负债</t>
    </r>
    <r>
      <rPr>
        <sz val="10"/>
        <color rgb="FF0070C0"/>
        <rFont val="Arial Narrow"/>
        <family val="2"/>
      </rPr>
      <t>”</t>
    </r>
    <r>
      <rPr>
        <sz val="10"/>
        <color rgb="FF0070C0"/>
        <rFont val="宋体"/>
        <family val="3"/>
        <charset val="134"/>
      </rPr>
      <t>项目列报；</t>
    </r>
  </si>
  <si>
    <r>
      <rPr>
        <sz val="10"/>
        <color rgb="FF0070C0"/>
        <rFont val="宋体"/>
        <family val="3"/>
        <charset val="134"/>
      </rPr>
      <t>（</t>
    </r>
    <r>
      <rPr>
        <sz val="10"/>
        <color rgb="FF0070C0"/>
        <rFont val="Arial Narrow"/>
        <family val="2"/>
      </rPr>
      <t>2</t>
    </r>
    <r>
      <rPr>
        <sz val="10"/>
        <color rgb="FF0070C0"/>
        <rFont val="宋体"/>
        <family val="3"/>
        <charset val="134"/>
      </rPr>
      <t>）取得政府补助时，预计转入损益的期限超过一年的项目：</t>
    </r>
  </si>
  <si>
    <r>
      <rPr>
        <sz val="10"/>
        <color rgb="FF0070C0"/>
        <rFont val="宋体"/>
        <family val="3"/>
        <charset val="134"/>
      </rPr>
      <t>①自资产负债表日起，下一年度转入损益的金额，应在</t>
    </r>
    <r>
      <rPr>
        <sz val="10"/>
        <color rgb="FF0070C0"/>
        <rFont val="Arial Narrow"/>
        <family val="2"/>
      </rPr>
      <t>“</t>
    </r>
    <r>
      <rPr>
        <sz val="10"/>
        <color rgb="FF0070C0"/>
        <rFont val="宋体"/>
        <family val="3"/>
        <charset val="134"/>
      </rPr>
      <t>一年内到期的其他非流动负债</t>
    </r>
    <r>
      <rPr>
        <sz val="10"/>
        <color rgb="FF0070C0"/>
        <rFont val="Arial Narrow"/>
        <family val="2"/>
      </rPr>
      <t>”</t>
    </r>
    <r>
      <rPr>
        <sz val="10"/>
        <color rgb="FF0070C0"/>
        <rFont val="宋体"/>
        <family val="3"/>
        <charset val="134"/>
      </rPr>
      <t>项目中列报；</t>
    </r>
  </si>
  <si>
    <r>
      <rPr>
        <sz val="10"/>
        <color rgb="FF0070C0"/>
        <rFont val="宋体"/>
        <family val="3"/>
        <charset val="134"/>
      </rPr>
      <t>②自资产负债表日起，将于下一年度之后转入损益的金额，在</t>
    </r>
    <r>
      <rPr>
        <sz val="10"/>
        <color rgb="FF0070C0"/>
        <rFont val="Arial Narrow"/>
        <family val="2"/>
      </rPr>
      <t>“</t>
    </r>
    <r>
      <rPr>
        <sz val="10"/>
        <color rgb="FF0070C0"/>
        <rFont val="宋体"/>
        <family val="3"/>
        <charset val="134"/>
      </rPr>
      <t>递延收益</t>
    </r>
    <r>
      <rPr>
        <sz val="10"/>
        <color rgb="FF0070C0"/>
        <rFont val="Arial Narrow"/>
        <family val="2"/>
      </rPr>
      <t>”</t>
    </r>
    <r>
      <rPr>
        <sz val="10"/>
        <color rgb="FF0070C0"/>
        <rFont val="宋体"/>
        <family val="3"/>
        <charset val="134"/>
      </rPr>
      <t>项目中列报。】</t>
    </r>
  </si>
  <si>
    <r>
      <rPr>
        <sz val="10"/>
        <rFont val="宋体"/>
        <family val="3"/>
        <charset val="134"/>
      </rPr>
      <t>（</t>
    </r>
    <r>
      <rPr>
        <sz val="10"/>
        <rFont val="Arial Narrow"/>
        <family val="2"/>
      </rPr>
      <t>1</t>
    </r>
    <r>
      <rPr>
        <sz val="10"/>
        <rFont val="宋体"/>
        <family val="3"/>
        <charset val="134"/>
      </rPr>
      <t>）短期应付债券</t>
    </r>
  </si>
  <si>
    <r>
      <rPr>
        <sz val="10"/>
        <rFont val="宋体"/>
        <family val="3"/>
        <charset val="134"/>
      </rPr>
      <t>短期应付债券（续）</t>
    </r>
  </si>
  <si>
    <r>
      <rPr>
        <sz val="10"/>
        <color rgb="FF0070C0"/>
        <rFont val="宋体"/>
        <family val="3"/>
        <charset val="134"/>
      </rPr>
      <t>（</t>
    </r>
    <r>
      <rPr>
        <sz val="10"/>
        <rFont val="Arial Narrow"/>
        <family val="2"/>
      </rPr>
      <t>2</t>
    </r>
    <r>
      <rPr>
        <sz val="10"/>
        <rFont val="宋体"/>
        <family val="3"/>
        <charset val="134"/>
      </rPr>
      <t>）递延收益</t>
    </r>
    <r>
      <rPr>
        <sz val="10"/>
        <rFont val="Arial Narrow"/>
        <family val="2"/>
      </rPr>
      <t>-</t>
    </r>
    <r>
      <rPr>
        <sz val="10"/>
        <rFont val="宋体"/>
        <family val="3"/>
        <charset val="134"/>
      </rPr>
      <t>政府补助情况</t>
    </r>
  </si>
  <si>
    <r>
      <rPr>
        <b/>
        <sz val="10"/>
        <rFont val="宋体"/>
        <family val="3"/>
        <charset val="134"/>
      </rPr>
      <t>补助项目</t>
    </r>
  </si>
  <si>
    <r>
      <rPr>
        <b/>
        <sz val="10"/>
        <rFont val="宋体"/>
        <family val="3"/>
        <charset val="134"/>
      </rPr>
      <t>本期新增补助金额</t>
    </r>
  </si>
  <si>
    <r>
      <rPr>
        <b/>
        <sz val="10"/>
        <rFont val="宋体"/>
        <family val="3"/>
        <charset val="134"/>
      </rPr>
      <t>本期计入营业外收入金额</t>
    </r>
  </si>
  <si>
    <r>
      <rPr>
        <b/>
        <sz val="10"/>
        <rFont val="宋体"/>
        <family val="3"/>
        <charset val="134"/>
      </rPr>
      <t>与资产相关</t>
    </r>
    <r>
      <rPr>
        <b/>
        <sz val="10"/>
        <rFont val="Arial Narrow"/>
        <family val="2"/>
      </rPr>
      <t>/</t>
    </r>
    <r>
      <rPr>
        <b/>
        <sz val="10"/>
        <rFont val="宋体"/>
        <family val="3"/>
        <charset val="134"/>
      </rPr>
      <t>与收益相关</t>
    </r>
  </si>
  <si>
    <r>
      <rPr>
        <b/>
        <sz val="10"/>
        <rFont val="宋体"/>
        <family val="3"/>
        <charset val="134"/>
      </rPr>
      <t>变动</t>
    </r>
  </si>
  <si>
    <r>
      <rPr>
        <b/>
        <sz val="10"/>
        <rFont val="宋体"/>
        <family val="3"/>
        <charset val="134"/>
      </rPr>
      <t>余额</t>
    </r>
  </si>
  <si>
    <r>
      <rPr>
        <sz val="10"/>
        <color rgb="FF0070C0"/>
        <rFont val="宋体"/>
        <family val="3"/>
        <charset val="134"/>
      </rPr>
      <t>（</t>
    </r>
    <r>
      <rPr>
        <i/>
        <sz val="10"/>
        <color rgb="FFFF0000"/>
        <rFont val="Arial Narrow"/>
        <family val="2"/>
      </rPr>
      <t>1</t>
    </r>
    <r>
      <rPr>
        <i/>
        <sz val="10"/>
        <color rgb="FFFF0000"/>
        <rFont val="宋体"/>
        <family val="3"/>
        <charset val="134"/>
      </rPr>
      <t>）</t>
    </r>
    <r>
      <rPr>
        <i/>
        <sz val="10"/>
        <color rgb="FFFF0000"/>
        <rFont val="Arial Narrow"/>
        <family val="2"/>
      </rPr>
      <t>XX</t>
    </r>
    <r>
      <rPr>
        <i/>
        <sz val="10"/>
        <color rgb="FFFF0000"/>
        <rFont val="宋体"/>
        <family val="3"/>
        <charset val="134"/>
      </rPr>
      <t>补助项目，相关文件未明确规定补助对象，由于该项目未来不会形成长期资产，本集团将其作为与收益相关的政府补助。</t>
    </r>
  </si>
  <si>
    <r>
      <rPr>
        <sz val="10"/>
        <color rgb="FF0070C0"/>
        <rFont val="宋体"/>
        <family val="3"/>
        <charset val="134"/>
      </rPr>
      <t>（信息披露解释性公告第</t>
    </r>
    <r>
      <rPr>
        <sz val="10"/>
        <color rgb="FF0000FF"/>
        <rFont val="Arial Narrow"/>
        <family val="2"/>
      </rPr>
      <t>2</t>
    </r>
    <r>
      <rPr>
        <sz val="10"/>
        <color rgb="FF0000FF"/>
        <rFont val="宋体"/>
        <family val="3"/>
        <charset val="134"/>
      </rPr>
      <t>号规定：公司应当遵循</t>
    </r>
    <r>
      <rPr>
        <b/>
        <u/>
        <sz val="10"/>
        <color rgb="FF0000FF"/>
        <rFont val="宋体"/>
        <family val="3"/>
        <charset val="134"/>
      </rPr>
      <t>重要性</t>
    </r>
    <r>
      <rPr>
        <sz val="10"/>
        <color rgb="FF0000FF"/>
        <rFont val="宋体"/>
        <family val="3"/>
        <charset val="134"/>
      </rPr>
      <t>原则，对涉及政府补助的负债项目，在财务报表附注的相关项目下，</t>
    </r>
    <r>
      <rPr>
        <b/>
        <u/>
        <sz val="10"/>
        <color rgb="FF0000FF"/>
        <rFont val="宋体"/>
        <family val="3"/>
        <charset val="134"/>
      </rPr>
      <t>逐项</t>
    </r>
    <r>
      <rPr>
        <sz val="10"/>
        <color rgb="FF0000FF"/>
        <rFont val="宋体"/>
        <family val="3"/>
        <charset val="134"/>
      </rPr>
      <t>披露相关期初余额、本期新增补助金额、本期计入营业外收入金额、本期转入资本公积金额以及期末余额。</t>
    </r>
    <r>
      <rPr>
        <b/>
        <u/>
        <sz val="10"/>
        <color rgb="FF0000FF"/>
        <rFont val="宋体"/>
        <family val="3"/>
        <charset val="134"/>
      </rPr>
      <t>对于相关文件未明确规定补助对象的政府补助项目，公司还应单独说明其划分依据。</t>
    </r>
    <r>
      <rPr>
        <sz val="10"/>
        <color rgb="FF0000FF"/>
        <rFont val="宋体"/>
        <family val="3"/>
        <charset val="134"/>
      </rPr>
      <t>）</t>
    </r>
  </si>
  <si>
    <r>
      <rPr>
        <b/>
        <sz val="12"/>
        <rFont val="宋体"/>
        <family val="3"/>
        <charset val="134"/>
      </rPr>
      <t>长期借款</t>
    </r>
  </si>
  <si>
    <r>
      <rPr>
        <b/>
        <sz val="10"/>
        <rFont val="宋体"/>
        <family val="3"/>
        <charset val="134"/>
      </rPr>
      <t>长期借款</t>
    </r>
  </si>
  <si>
    <r>
      <rPr>
        <b/>
        <sz val="10"/>
        <color rgb="FF000000"/>
        <rFont val="宋体"/>
        <family val="3"/>
        <charset val="134"/>
      </rPr>
      <t>利率区间</t>
    </r>
  </si>
  <si>
    <r>
      <rPr>
        <b/>
        <sz val="10"/>
        <rFont val="宋体"/>
        <family val="3"/>
        <charset val="134"/>
      </rPr>
      <t>利率区间</t>
    </r>
  </si>
  <si>
    <r>
      <rPr>
        <sz val="10"/>
        <color rgb="FF000000"/>
        <rFont val="宋体"/>
        <family val="3"/>
        <charset val="134"/>
      </rPr>
      <t>减：一年内到期的长期借款</t>
    </r>
  </si>
  <si>
    <r>
      <rPr>
        <sz val="10"/>
        <color rgb="FF0070C0"/>
        <rFont val="宋体"/>
        <family val="3"/>
        <charset val="134"/>
      </rPr>
      <t>说明：</t>
    </r>
    <r>
      <rPr>
        <sz val="10"/>
        <color rgb="FF0000FF"/>
        <rFont val="宋体"/>
        <family val="3"/>
        <charset val="134"/>
      </rPr>
      <t>公司用于抵押、质押的财产。</t>
    </r>
  </si>
  <si>
    <r>
      <rPr>
        <sz val="10"/>
        <color theme="1"/>
        <rFont val="宋体"/>
        <family val="3"/>
        <charset val="134"/>
      </rPr>
      <t>一年内到期的长期借款</t>
    </r>
  </si>
  <si>
    <r>
      <rPr>
        <sz val="10"/>
        <color rgb="FF0070C0"/>
        <rFont val="宋体"/>
        <family val="3"/>
        <charset val="134"/>
      </rPr>
      <t>说明：</t>
    </r>
    <r>
      <rPr>
        <sz val="10"/>
        <color rgb="FF0000FF"/>
        <rFont val="宋体"/>
        <family val="3"/>
        <charset val="134"/>
      </rPr>
      <t>公司用于抵押、质押的财产；</t>
    </r>
  </si>
  <si>
    <r>
      <rPr>
        <b/>
        <sz val="12"/>
        <rFont val="宋体"/>
        <family val="3"/>
        <charset val="134"/>
      </rPr>
      <t>应付债券</t>
    </r>
  </si>
  <si>
    <r>
      <rPr>
        <b/>
        <sz val="10"/>
        <rFont val="宋体"/>
        <family val="3"/>
        <charset val="134"/>
      </rPr>
      <t>应付债券</t>
    </r>
  </si>
  <si>
    <r>
      <rPr>
        <sz val="10"/>
        <color rgb="FF0070C0"/>
        <rFont val="宋体"/>
        <family val="3"/>
        <charset val="134"/>
      </rPr>
      <t>（</t>
    </r>
    <r>
      <rPr>
        <sz val="10"/>
        <rFont val="Arial Narrow"/>
        <family val="2"/>
      </rPr>
      <t>1</t>
    </r>
    <r>
      <rPr>
        <sz val="10"/>
        <rFont val="宋体"/>
        <family val="3"/>
        <charset val="134"/>
      </rPr>
      <t>）应付债券的增减变动</t>
    </r>
    <r>
      <rPr>
        <sz val="10"/>
        <color rgb="FF0000FF"/>
        <rFont val="宋体"/>
        <family val="3"/>
        <charset val="134"/>
      </rPr>
      <t>（不包括划分为金融负债的优先股、永续债等其他金融工具）</t>
    </r>
  </si>
  <si>
    <r>
      <rPr>
        <sz val="10"/>
        <rFont val="宋体"/>
        <family val="3"/>
        <charset val="134"/>
      </rPr>
      <t>应付债券（续）</t>
    </r>
  </si>
  <si>
    <r>
      <rPr>
        <sz val="10"/>
        <color rgb="FF000000"/>
        <rFont val="宋体"/>
        <family val="3"/>
        <charset val="134"/>
      </rPr>
      <t>减：一年内到期的应付债券</t>
    </r>
  </si>
  <si>
    <r>
      <rPr>
        <sz val="10"/>
        <rFont val="宋体"/>
        <family val="3"/>
        <charset val="134"/>
      </rPr>
      <t>（</t>
    </r>
    <r>
      <rPr>
        <sz val="10"/>
        <rFont val="Arial Narrow"/>
        <family val="2"/>
      </rPr>
      <t>2</t>
    </r>
    <r>
      <rPr>
        <sz val="10"/>
        <rFont val="宋体"/>
        <family val="3"/>
        <charset val="134"/>
      </rPr>
      <t>）可转换公司债券</t>
    </r>
  </si>
  <si>
    <r>
      <rPr>
        <sz val="10"/>
        <rFont val="宋体"/>
        <family val="3"/>
        <charset val="134"/>
      </rPr>
      <t>说明：</t>
    </r>
    <r>
      <rPr>
        <sz val="10"/>
        <color rgb="FF0000FF"/>
        <rFont val="宋体"/>
        <family val="3"/>
        <charset val="134"/>
      </rPr>
      <t>（可转换公司债券的转股条件、转股时间）</t>
    </r>
  </si>
  <si>
    <r>
      <rPr>
        <sz val="10"/>
        <color rgb="FFFF0000"/>
        <rFont val="宋体"/>
        <family val="3"/>
        <charset val="134"/>
      </rPr>
      <t>根据中国证券监督管理委员会证监发行字</t>
    </r>
    <r>
      <rPr>
        <sz val="10"/>
        <color rgb="FFFF0000"/>
        <rFont val="Arial Narrow"/>
        <family val="2"/>
      </rPr>
      <t>[200x]XX</t>
    </r>
    <r>
      <rPr>
        <sz val="10"/>
        <color rgb="FFFF0000"/>
        <rFont val="宋体"/>
        <family val="3"/>
        <charset val="134"/>
      </rPr>
      <t>号核准，本公司于</t>
    </r>
    <r>
      <rPr>
        <sz val="10"/>
        <color rgb="FFFF0000"/>
        <rFont val="Arial Narrow"/>
        <family val="2"/>
      </rPr>
      <t>200X</t>
    </r>
    <r>
      <rPr>
        <sz val="10"/>
        <color rgb="FFFF0000"/>
        <rFont val="宋体"/>
        <family val="3"/>
        <charset val="134"/>
      </rPr>
      <t>年</t>
    </r>
    <r>
      <rPr>
        <sz val="10"/>
        <color rgb="FFFF0000"/>
        <rFont val="Arial Narrow"/>
        <family val="2"/>
      </rPr>
      <t>X</t>
    </r>
    <r>
      <rPr>
        <sz val="10"/>
        <color rgb="FFFF0000"/>
        <rFont val="宋体"/>
        <family val="3"/>
        <charset val="134"/>
      </rPr>
      <t>月</t>
    </r>
    <r>
      <rPr>
        <sz val="10"/>
        <color rgb="FFFF0000"/>
        <rFont val="Arial Narrow"/>
        <family val="2"/>
      </rPr>
      <t>X</t>
    </r>
    <r>
      <rPr>
        <sz val="10"/>
        <color rgb="FFFF0000"/>
        <rFont val="宋体"/>
        <family val="3"/>
        <charset val="134"/>
      </rPr>
      <t>日至</t>
    </r>
    <r>
      <rPr>
        <sz val="10"/>
        <color rgb="FFFF0000"/>
        <rFont val="Arial Narrow"/>
        <family val="2"/>
      </rPr>
      <t>200X</t>
    </r>
    <r>
      <rPr>
        <sz val="10"/>
        <color rgb="FFFF0000"/>
        <rFont val="宋体"/>
        <family val="3"/>
        <charset val="134"/>
      </rPr>
      <t>年</t>
    </r>
    <r>
      <rPr>
        <sz val="10"/>
        <color rgb="FFFF0000"/>
        <rFont val="Arial Narrow"/>
        <family val="2"/>
      </rPr>
      <t>X</t>
    </r>
    <r>
      <rPr>
        <sz val="10"/>
        <color rgb="FFFF0000"/>
        <rFont val="宋体"/>
        <family val="3"/>
        <charset val="134"/>
      </rPr>
      <t>月</t>
    </r>
    <r>
      <rPr>
        <sz val="10"/>
        <color rgb="FFFF0000"/>
        <rFont val="Arial Narrow"/>
        <family val="2"/>
      </rPr>
      <t>X</t>
    </r>
    <r>
      <rPr>
        <sz val="10"/>
        <color rgb="FFFF0000"/>
        <rFont val="宋体"/>
        <family val="3"/>
        <charset val="134"/>
      </rPr>
      <t>日公开发行</t>
    </r>
    <r>
      <rPr>
        <sz val="10"/>
        <color rgb="FFFF0000"/>
        <rFont val="Arial Narrow"/>
        <family val="2"/>
      </rPr>
      <t>XX</t>
    </r>
    <r>
      <rPr>
        <sz val="10"/>
        <color rgb="FFFF0000"/>
        <rFont val="宋体"/>
        <family val="3"/>
        <charset val="134"/>
      </rPr>
      <t>份可转换公司债券，每份面值</t>
    </r>
    <r>
      <rPr>
        <sz val="10"/>
        <color rgb="FFFF0000"/>
        <rFont val="Arial Narrow"/>
        <family val="2"/>
      </rPr>
      <t>100</t>
    </r>
    <r>
      <rPr>
        <sz val="10"/>
        <color rgb="FFFF0000"/>
        <rFont val="宋体"/>
        <family val="3"/>
        <charset val="134"/>
      </rPr>
      <t>元，发行总额</t>
    </r>
    <r>
      <rPr>
        <sz val="10"/>
        <color rgb="FFFF0000"/>
        <rFont val="Arial Narrow"/>
        <family val="2"/>
      </rPr>
      <t>XXX</t>
    </r>
    <r>
      <rPr>
        <sz val="10"/>
        <color rgb="FFFF0000"/>
        <rFont val="宋体"/>
        <family val="3"/>
        <charset val="134"/>
      </rPr>
      <t>元，债券期限为</t>
    </r>
    <r>
      <rPr>
        <sz val="10"/>
        <color rgb="FFFF0000"/>
        <rFont val="Arial Narrow"/>
        <family val="2"/>
      </rPr>
      <t>X</t>
    </r>
    <r>
      <rPr>
        <sz val="10"/>
        <color rgb="FFFF0000"/>
        <rFont val="宋体"/>
        <family val="3"/>
        <charset val="134"/>
      </rPr>
      <t>年。</t>
    </r>
  </si>
  <si>
    <r>
      <rPr>
        <sz val="10"/>
        <color rgb="FFFF0000"/>
        <rFont val="宋体"/>
        <family val="3"/>
        <charset val="134"/>
      </rPr>
      <t>本公司发行的可转换公司债券的票面利率为</t>
    </r>
    <r>
      <rPr>
        <sz val="10"/>
        <color rgb="FFFF0000"/>
        <rFont val="Arial Narrow"/>
        <family val="2"/>
      </rPr>
      <t>X%</t>
    </r>
    <r>
      <rPr>
        <sz val="10"/>
        <color rgb="FFFF0000"/>
        <rFont val="宋体"/>
        <family val="3"/>
        <charset val="134"/>
      </rPr>
      <t>，利息按季支付，</t>
    </r>
    <r>
      <rPr>
        <sz val="10"/>
        <color rgb="FFFF0000"/>
        <rFont val="Arial Narrow"/>
        <family val="2"/>
      </rPr>
      <t>200X</t>
    </r>
    <r>
      <rPr>
        <sz val="10"/>
        <color rgb="FFFF0000"/>
        <rFont val="宋体"/>
        <family val="3"/>
        <charset val="134"/>
      </rPr>
      <t>年</t>
    </r>
    <r>
      <rPr>
        <sz val="10"/>
        <color rgb="FFFF0000"/>
        <rFont val="Arial Narrow"/>
        <family val="2"/>
      </rPr>
      <t>X</t>
    </r>
    <r>
      <rPr>
        <sz val="10"/>
        <color rgb="FFFF0000"/>
        <rFont val="宋体"/>
        <family val="3"/>
        <charset val="134"/>
      </rPr>
      <t>月</t>
    </r>
    <r>
      <rPr>
        <sz val="10"/>
        <color rgb="FFFF0000"/>
        <rFont val="Arial Narrow"/>
        <family val="2"/>
      </rPr>
      <t>X</t>
    </r>
    <r>
      <rPr>
        <sz val="10"/>
        <color rgb="FFFF0000"/>
        <rFont val="宋体"/>
        <family val="3"/>
        <charset val="134"/>
      </rPr>
      <t>日为第一次派息日。转股期自发行之日起</t>
    </r>
    <r>
      <rPr>
        <sz val="10"/>
        <color rgb="FFFF0000"/>
        <rFont val="Arial Narrow"/>
        <family val="2"/>
      </rPr>
      <t>(200X</t>
    </r>
    <r>
      <rPr>
        <sz val="10"/>
        <color rgb="FFFF0000"/>
        <rFont val="宋体"/>
        <family val="3"/>
        <charset val="134"/>
      </rPr>
      <t>年</t>
    </r>
    <r>
      <rPr>
        <sz val="10"/>
        <color rgb="FFFF0000"/>
        <rFont val="Arial Narrow"/>
        <family val="2"/>
      </rPr>
      <t>X</t>
    </r>
    <r>
      <rPr>
        <sz val="10"/>
        <color rgb="FFFF0000"/>
        <rFont val="宋体"/>
        <family val="3"/>
        <charset val="134"/>
      </rPr>
      <t>月</t>
    </r>
    <r>
      <rPr>
        <sz val="10"/>
        <color rgb="FFFF0000"/>
        <rFont val="Arial Narrow"/>
        <family val="2"/>
      </rPr>
      <t>X</t>
    </r>
    <r>
      <rPr>
        <sz val="10"/>
        <color rgb="FFFF0000"/>
        <rFont val="宋体"/>
        <family val="3"/>
        <charset val="134"/>
      </rPr>
      <t>日</t>
    </r>
    <r>
      <rPr>
        <sz val="10"/>
        <color rgb="FFFF0000"/>
        <rFont val="Arial Narrow"/>
        <family val="2"/>
      </rPr>
      <t>)X</t>
    </r>
    <r>
      <rPr>
        <sz val="10"/>
        <color rgb="FFFF0000"/>
        <rFont val="宋体"/>
        <family val="3"/>
        <charset val="134"/>
      </rPr>
      <t>个月后的第一个交易日</t>
    </r>
    <r>
      <rPr>
        <sz val="10"/>
        <color rgb="FFFF0000"/>
        <rFont val="Arial Narrow"/>
        <family val="2"/>
      </rPr>
      <t>(200X</t>
    </r>
    <r>
      <rPr>
        <sz val="10"/>
        <color rgb="FFFF0000"/>
        <rFont val="宋体"/>
        <family val="3"/>
        <charset val="134"/>
      </rPr>
      <t>年</t>
    </r>
    <r>
      <rPr>
        <sz val="10"/>
        <color rgb="FFFF0000"/>
        <rFont val="Arial Narrow"/>
        <family val="2"/>
      </rPr>
      <t>X</t>
    </r>
    <r>
      <rPr>
        <sz val="10"/>
        <color rgb="FFFF0000"/>
        <rFont val="宋体"/>
        <family val="3"/>
        <charset val="134"/>
      </rPr>
      <t>月</t>
    </r>
    <r>
      <rPr>
        <sz val="10"/>
        <color rgb="FFFF0000"/>
        <rFont val="Arial Narrow"/>
        <family val="2"/>
      </rPr>
      <t>X</t>
    </r>
    <r>
      <rPr>
        <sz val="10"/>
        <color rgb="FFFF0000"/>
        <rFont val="宋体"/>
        <family val="3"/>
        <charset val="134"/>
      </rPr>
      <t>日</t>
    </r>
    <r>
      <rPr>
        <sz val="10"/>
        <color rgb="FFFF0000"/>
        <rFont val="Arial Narrow"/>
        <family val="2"/>
      </rPr>
      <t>)</t>
    </r>
    <r>
      <rPr>
        <sz val="10"/>
        <color rgb="FFFF0000"/>
        <rFont val="宋体"/>
        <family val="3"/>
        <charset val="134"/>
      </rPr>
      <t>起</t>
    </r>
    <r>
      <rPr>
        <sz val="10"/>
        <color rgb="FFFF0000"/>
        <rFont val="Arial Narrow"/>
        <family val="2"/>
      </rPr>
      <t>(</t>
    </r>
    <r>
      <rPr>
        <sz val="10"/>
        <color rgb="FFFF0000"/>
        <rFont val="宋体"/>
        <family val="3"/>
        <charset val="134"/>
      </rPr>
      <t>含当日</t>
    </r>
    <r>
      <rPr>
        <sz val="10"/>
        <color rgb="FFFF0000"/>
        <rFont val="Arial Narrow"/>
        <family val="2"/>
      </rPr>
      <t>)</t>
    </r>
    <r>
      <rPr>
        <sz val="10"/>
        <color rgb="FFFF0000"/>
        <rFont val="宋体"/>
        <family val="3"/>
        <charset val="134"/>
      </rPr>
      <t>，至可转换公司债券到期日</t>
    </r>
    <r>
      <rPr>
        <sz val="10"/>
        <color rgb="FFFF0000"/>
        <rFont val="Arial Narrow"/>
        <family val="2"/>
      </rPr>
      <t>(200X</t>
    </r>
    <r>
      <rPr>
        <sz val="10"/>
        <color rgb="FFFF0000"/>
        <rFont val="宋体"/>
        <family val="3"/>
        <charset val="134"/>
      </rPr>
      <t>年</t>
    </r>
    <r>
      <rPr>
        <sz val="10"/>
        <color rgb="FFFF0000"/>
        <rFont val="Arial Narrow"/>
        <family val="2"/>
      </rPr>
      <t>X</t>
    </r>
    <r>
      <rPr>
        <sz val="10"/>
        <color rgb="FFFF0000"/>
        <rFont val="宋体"/>
        <family val="3"/>
        <charset val="134"/>
      </rPr>
      <t>月</t>
    </r>
    <r>
      <rPr>
        <sz val="10"/>
        <color rgb="FFFF0000"/>
        <rFont val="Arial Narrow"/>
        <family val="2"/>
      </rPr>
      <t>X</t>
    </r>
    <r>
      <rPr>
        <sz val="10"/>
        <color rgb="FFFF0000"/>
        <rFont val="宋体"/>
        <family val="3"/>
        <charset val="134"/>
      </rPr>
      <t>日</t>
    </r>
    <r>
      <rPr>
        <sz val="10"/>
        <color rgb="FFFF0000"/>
        <rFont val="Arial Narrow"/>
        <family val="2"/>
      </rPr>
      <t>)</t>
    </r>
    <r>
      <rPr>
        <sz val="10"/>
        <color rgb="FFFF0000"/>
        <rFont val="宋体"/>
        <family val="3"/>
        <charset val="134"/>
      </rPr>
      <t>前一个交易日止</t>
    </r>
    <r>
      <rPr>
        <sz val="10"/>
        <color rgb="FFFF0000"/>
        <rFont val="Arial Narrow"/>
        <family val="2"/>
      </rPr>
      <t>(</t>
    </r>
    <r>
      <rPr>
        <sz val="10"/>
        <color rgb="FFFF0000"/>
        <rFont val="宋体"/>
        <family val="3"/>
        <charset val="134"/>
      </rPr>
      <t>含当日</t>
    </r>
    <r>
      <rPr>
        <sz val="10"/>
        <color rgb="FFFF0000"/>
        <rFont val="Arial Narrow"/>
        <family val="2"/>
      </rPr>
      <t>)</t>
    </r>
    <r>
      <rPr>
        <sz val="10"/>
        <color rgb="FFFF0000"/>
        <rFont val="宋体"/>
        <family val="3"/>
        <charset val="134"/>
      </rPr>
      <t>。持有人可在转股期内申请转股。</t>
    </r>
  </si>
  <si>
    <r>
      <rPr>
        <sz val="10"/>
        <color rgb="FFFF0000"/>
        <rFont val="宋体"/>
        <family val="3"/>
        <charset val="134"/>
      </rPr>
      <t>可转换公司债券发行时的初始转股价格为每股人民币</t>
    </r>
    <r>
      <rPr>
        <sz val="10"/>
        <color rgb="FFFF0000"/>
        <rFont val="Arial Narrow"/>
        <family val="2"/>
      </rPr>
      <t>X</t>
    </r>
    <r>
      <rPr>
        <sz val="10"/>
        <color rgb="FFFF0000"/>
        <rFont val="宋体"/>
        <family val="3"/>
        <charset val="134"/>
      </rPr>
      <t>元，本公司在</t>
    </r>
    <r>
      <rPr>
        <sz val="10"/>
        <color rgb="FFFF0000"/>
        <rFont val="Arial Narrow"/>
        <family val="2"/>
      </rPr>
      <t>200X</t>
    </r>
    <r>
      <rPr>
        <sz val="10"/>
        <color rgb="FFFF0000"/>
        <rFont val="宋体"/>
        <family val="3"/>
        <charset val="134"/>
      </rPr>
      <t>年</t>
    </r>
    <r>
      <rPr>
        <sz val="10"/>
        <color rgb="FFFF0000"/>
        <rFont val="Arial Narrow"/>
        <family val="2"/>
      </rPr>
      <t>X</t>
    </r>
    <r>
      <rPr>
        <sz val="10"/>
        <color rgb="FFFF0000"/>
        <rFont val="宋体"/>
        <family val="3"/>
        <charset val="134"/>
      </rPr>
      <t>月</t>
    </r>
    <r>
      <rPr>
        <sz val="10"/>
        <color rgb="FFFF0000"/>
        <rFont val="Arial Narrow"/>
        <family val="2"/>
      </rPr>
      <t>X</t>
    </r>
    <r>
      <rPr>
        <sz val="10"/>
        <color rgb="FFFF0000"/>
        <rFont val="宋体"/>
        <family val="3"/>
        <charset val="134"/>
      </rPr>
      <t>日实施</t>
    </r>
    <r>
      <rPr>
        <sz val="10"/>
        <color rgb="FFFF0000"/>
        <rFont val="Arial Narrow"/>
        <family val="2"/>
      </rPr>
      <t>200X</t>
    </r>
    <r>
      <rPr>
        <sz val="10"/>
        <color rgb="FFFF0000"/>
        <rFont val="宋体"/>
        <family val="3"/>
        <charset val="134"/>
      </rPr>
      <t>年度每股派发现金股息人民币</t>
    </r>
    <r>
      <rPr>
        <sz val="10"/>
        <color rgb="FFFF0000"/>
        <rFont val="Arial Narrow"/>
        <family val="2"/>
      </rPr>
      <t>X</t>
    </r>
    <r>
      <rPr>
        <sz val="10"/>
        <color rgb="FFFF0000"/>
        <rFont val="宋体"/>
        <family val="3"/>
        <charset val="134"/>
      </rPr>
      <t>元及用资本公积每十股转增</t>
    </r>
    <r>
      <rPr>
        <sz val="10"/>
        <color rgb="FFFF0000"/>
        <rFont val="Arial Narrow"/>
        <family val="2"/>
      </rPr>
      <t>X</t>
    </r>
    <r>
      <rPr>
        <sz val="10"/>
        <color rgb="FFFF0000"/>
        <rFont val="宋体"/>
        <family val="3"/>
        <charset val="134"/>
      </rPr>
      <t>股的方案后，可转债初始转股价格相应调整为每股人民币</t>
    </r>
    <r>
      <rPr>
        <sz val="10"/>
        <color rgb="FFFF0000"/>
        <rFont val="Arial Narrow"/>
        <family val="2"/>
      </rPr>
      <t>X</t>
    </r>
    <r>
      <rPr>
        <sz val="10"/>
        <color rgb="FFFF0000"/>
        <rFont val="宋体"/>
        <family val="3"/>
        <charset val="134"/>
      </rPr>
      <t>元。</t>
    </r>
    <r>
      <rPr>
        <b/>
        <sz val="10"/>
        <color rgb="FFFF0000"/>
        <rFont val="Arial Narrow"/>
        <family val="2"/>
      </rPr>
      <t>]</t>
    </r>
  </si>
  <si>
    <r>
      <rPr>
        <sz val="10"/>
        <color rgb="FF0070C0"/>
        <rFont val="宋体"/>
        <family val="3"/>
        <charset val="134"/>
      </rPr>
      <t>（</t>
    </r>
    <r>
      <rPr>
        <sz val="10"/>
        <rFont val="Arial Narrow"/>
        <family val="2"/>
      </rPr>
      <t>3</t>
    </r>
    <r>
      <rPr>
        <sz val="10"/>
        <rFont val="宋体"/>
        <family val="3"/>
        <charset val="134"/>
      </rPr>
      <t>）划分为金融负债的其他金融工具</t>
    </r>
  </si>
  <si>
    <r>
      <rPr>
        <sz val="10"/>
        <color rgb="FF0070C0"/>
        <rFont val="宋体"/>
        <family val="3"/>
        <charset val="134"/>
      </rPr>
      <t>【公司发行其他金融工具并划分为金融负债的，应分项披露其基本情况、期初余额、期末余额和本期增减变动情况，以及划分至金融负债的依据。】</t>
    </r>
  </si>
  <si>
    <r>
      <rPr>
        <sz val="10"/>
        <color theme="1"/>
        <rFont val="宋体"/>
        <family val="3"/>
        <charset val="134"/>
      </rPr>
      <t>期末发行在外的优先股、永续债等其他金融工具的基本情况：</t>
    </r>
  </si>
  <si>
    <r>
      <rPr>
        <sz val="10"/>
        <color rgb="FF0070C0"/>
        <rFont val="宋体"/>
        <family val="3"/>
        <charset val="134"/>
      </rPr>
      <t>【包括：各金融工具的主要条款，利息的设定机制等】</t>
    </r>
  </si>
  <si>
    <r>
      <rPr>
        <sz val="10"/>
        <color theme="1"/>
        <rFont val="宋体"/>
        <family val="3"/>
        <charset val="134"/>
      </rPr>
      <t>期末发行在外的优先股、永续债等其他金融工具变动情况表：</t>
    </r>
  </si>
  <si>
    <r>
      <rPr>
        <b/>
        <sz val="10"/>
        <color rgb="FF000000"/>
        <rFont val="宋体"/>
        <family val="3"/>
        <charset val="134"/>
      </rPr>
      <t>发行在外的金融工具</t>
    </r>
  </si>
  <si>
    <r>
      <rPr>
        <b/>
        <sz val="10"/>
        <color rgb="FF000000"/>
        <rFont val="宋体"/>
        <family val="3"/>
        <charset val="134"/>
      </rPr>
      <t>数量</t>
    </r>
  </si>
  <si>
    <r>
      <rPr>
        <sz val="10"/>
        <color rgb="FF000000"/>
        <rFont val="宋体"/>
        <family val="3"/>
        <charset val="134"/>
      </rPr>
      <t>工具</t>
    </r>
    <r>
      <rPr>
        <sz val="10"/>
        <color rgb="FF000000"/>
        <rFont val="Arial Narrow"/>
        <family val="2"/>
      </rPr>
      <t>1</t>
    </r>
  </si>
  <si>
    <r>
      <rPr>
        <sz val="10"/>
        <color theme="1"/>
        <rFont val="宋体"/>
        <family val="3"/>
        <charset val="134"/>
      </rPr>
      <t>说明</t>
    </r>
    <r>
      <rPr>
        <sz val="10"/>
        <color rgb="FF0000FF"/>
        <rFont val="宋体"/>
        <family val="3"/>
        <charset val="134"/>
      </rPr>
      <t>：划分至金融负债的依据。</t>
    </r>
  </si>
  <si>
    <r>
      <rPr>
        <b/>
        <sz val="12"/>
        <rFont val="宋体"/>
        <family val="3"/>
        <charset val="134"/>
      </rPr>
      <t>长期应付款</t>
    </r>
  </si>
  <si>
    <t>专项应付款</t>
  </si>
  <si>
    <r>
      <rPr>
        <sz val="10"/>
        <rFont val="宋体"/>
        <family val="3"/>
        <charset val="134"/>
      </rPr>
      <t>减：一年内到期长期应付款</t>
    </r>
  </si>
  <si>
    <r>
      <rPr>
        <sz val="10"/>
        <color rgb="FF0070C0"/>
        <rFont val="宋体"/>
        <family val="3"/>
        <charset val="134"/>
      </rPr>
      <t>说明：由独立第三方为公司融资租赁提供担保的金额</t>
    </r>
    <r>
      <rPr>
        <sz val="10"/>
        <rFont val="Arial Narrow"/>
        <family val="2"/>
      </rPr>
      <t>XX</t>
    </r>
    <r>
      <rPr>
        <sz val="10"/>
        <rFont val="宋体"/>
        <family val="3"/>
        <charset val="134"/>
      </rPr>
      <t>元。</t>
    </r>
  </si>
  <si>
    <r>
      <rPr>
        <b/>
        <sz val="10"/>
        <rFont val="宋体"/>
        <family val="3"/>
        <charset val="134"/>
      </rPr>
      <t>长期应付款</t>
    </r>
    <r>
      <rPr>
        <b/>
        <sz val="10"/>
        <color rgb="FF0000FF"/>
        <rFont val="宋体"/>
        <family val="3"/>
        <charset val="134"/>
      </rPr>
      <t>（按款项性质列示）</t>
    </r>
  </si>
  <si>
    <r>
      <rPr>
        <b/>
        <sz val="12"/>
        <rFont val="宋体"/>
        <family val="3"/>
        <charset val="134"/>
      </rPr>
      <t>专项应付款</t>
    </r>
  </si>
  <si>
    <r>
      <rPr>
        <b/>
        <sz val="10"/>
        <color indexed="8"/>
        <rFont val="宋体"/>
        <family val="3"/>
        <charset val="134"/>
      </rPr>
      <t>项</t>
    </r>
    <r>
      <rPr>
        <b/>
        <sz val="10"/>
        <color indexed="8"/>
        <rFont val="Arial Narrow"/>
        <family val="2"/>
      </rPr>
      <t xml:space="preserve">  </t>
    </r>
    <r>
      <rPr>
        <b/>
        <sz val="10"/>
        <color indexed="8"/>
        <rFont val="宋体"/>
        <family val="3"/>
        <charset val="134"/>
      </rPr>
      <t>目</t>
    </r>
  </si>
  <si>
    <r>
      <rPr>
        <b/>
        <sz val="10"/>
        <color indexed="8"/>
        <rFont val="宋体"/>
        <family val="3"/>
        <charset val="134"/>
      </rPr>
      <t>期初</t>
    </r>
  </si>
  <si>
    <r>
      <rPr>
        <sz val="10"/>
        <color rgb="FF0000FF"/>
        <rFont val="宋体"/>
        <family val="3"/>
        <charset val="134"/>
      </rPr>
      <t>（注：</t>
    </r>
  </si>
  <si>
    <r>
      <rPr>
        <sz val="10"/>
        <color rgb="FF0000FF"/>
        <rFont val="宋体"/>
        <family val="3"/>
        <charset val="134"/>
      </rPr>
      <t>（</t>
    </r>
    <r>
      <rPr>
        <sz val="10"/>
        <color rgb="FF0000FF"/>
        <rFont val="Arial Narrow"/>
        <family val="2"/>
      </rPr>
      <t>1</t>
    </r>
    <r>
      <rPr>
        <sz val="10"/>
        <color rgb="FF0000FF"/>
        <rFont val="宋体"/>
        <family val="3"/>
        <charset val="134"/>
      </rPr>
      <t>）应说明专项应付款的来源、指定的专门用途、使用限制等相关内容。如：该专项应付款为财政部按照</t>
    </r>
    <r>
      <rPr>
        <sz val="10"/>
        <color rgb="FF0000FF"/>
        <rFont val="Arial Narrow"/>
        <family val="2"/>
      </rPr>
      <t>XX</t>
    </r>
    <r>
      <rPr>
        <sz val="10"/>
        <color rgb="FF0000FF"/>
        <rFont val="宋体"/>
        <family val="3"/>
        <charset val="134"/>
      </rPr>
      <t>文规定拨付的</t>
    </r>
    <r>
      <rPr>
        <sz val="10"/>
        <color rgb="FF0000FF"/>
        <rFont val="Arial Narrow"/>
        <family val="2"/>
      </rPr>
      <t>X</t>
    </r>
    <r>
      <rPr>
        <sz val="10"/>
        <color rgb="FF0000FF"/>
        <rFont val="宋体"/>
        <family val="3"/>
        <charset val="134"/>
      </rPr>
      <t>项目专用设备购置款。</t>
    </r>
  </si>
  <si>
    <r>
      <rPr>
        <sz val="10"/>
        <color rgb="FF0000FF"/>
        <rFont val="宋体"/>
        <family val="3"/>
        <charset val="134"/>
      </rPr>
      <t>（</t>
    </r>
    <r>
      <rPr>
        <sz val="10"/>
        <color rgb="FF0000FF"/>
        <rFont val="Arial Narrow"/>
        <family val="2"/>
      </rPr>
      <t>2</t>
    </r>
    <r>
      <rPr>
        <sz val="10"/>
        <color rgb="FF0000FF"/>
        <rFont val="宋体"/>
        <family val="3"/>
        <charset val="134"/>
      </rPr>
      <t>）企业因城镇整体规划、库区建设、棚户区改造、沉陷区治理等公共利益进行搬迁，收到政府从财政预算直接拨付的搬迁补偿款，在专项应付款中核算。）</t>
    </r>
  </si>
  <si>
    <r>
      <rPr>
        <b/>
        <sz val="12"/>
        <rFont val="宋体"/>
        <family val="3"/>
        <charset val="134"/>
      </rPr>
      <t>长期应付职工薪酬</t>
    </r>
  </si>
  <si>
    <r>
      <rPr>
        <b/>
        <sz val="10"/>
        <color theme="1"/>
        <rFont val="宋体"/>
        <family val="3"/>
        <charset val="134"/>
      </rPr>
      <t>长期应付职工薪酬</t>
    </r>
    <r>
      <rPr>
        <b/>
        <sz val="10"/>
        <color rgb="FF0000FF"/>
        <rFont val="宋体"/>
        <family val="3"/>
        <charset val="134"/>
      </rPr>
      <t>（不适用的删除）</t>
    </r>
  </si>
  <si>
    <r>
      <rPr>
        <sz val="10"/>
        <color theme="1"/>
        <rFont val="宋体"/>
        <family val="3"/>
        <charset val="134"/>
      </rPr>
      <t>设定受益计划净负债</t>
    </r>
  </si>
  <si>
    <r>
      <rPr>
        <sz val="10"/>
        <color theme="1"/>
        <rFont val="宋体"/>
        <family val="3"/>
        <charset val="134"/>
      </rPr>
      <t>符合设定受益计划条件的其他长期职工福利的净负债</t>
    </r>
    <r>
      <rPr>
        <sz val="10"/>
        <color rgb="FF0000FF"/>
        <rFont val="宋体"/>
        <family val="3"/>
        <charset val="134"/>
      </rPr>
      <t>（不适用删除）</t>
    </r>
  </si>
  <si>
    <r>
      <rPr>
        <sz val="10"/>
        <color theme="1"/>
        <rFont val="宋体"/>
        <family val="3"/>
        <charset val="134"/>
      </rPr>
      <t>其他长期福利</t>
    </r>
  </si>
  <si>
    <r>
      <rPr>
        <sz val="10"/>
        <color theme="1"/>
        <rFont val="宋体"/>
        <family val="3"/>
        <charset val="134"/>
      </rPr>
      <t>减：一年内到期的长期应付职工薪酬</t>
    </r>
  </si>
  <si>
    <r>
      <rPr>
        <sz val="10"/>
        <color rgb="FF0070C0"/>
        <rFont val="宋体"/>
        <family val="3"/>
        <charset val="134"/>
      </rPr>
      <t>说明：</t>
    </r>
    <r>
      <rPr>
        <sz val="10"/>
        <color rgb="FF0000FF"/>
        <rFont val="Arial Narrow"/>
        <family val="2"/>
      </rPr>
      <t>1</t>
    </r>
    <r>
      <rPr>
        <sz val="10"/>
        <color rgb="FF0000FF"/>
        <rFont val="宋体"/>
        <family val="3"/>
        <charset val="134"/>
      </rPr>
      <t>、辞退福利的性质、内容及计算依据详见</t>
    </r>
    <r>
      <rPr>
        <sz val="10"/>
        <color rgb="FFFF0000"/>
        <rFont val="宋体"/>
        <family val="3"/>
        <charset val="134"/>
      </rPr>
      <t>附注五、</t>
    </r>
    <r>
      <rPr>
        <sz val="10"/>
        <color rgb="FFFF0000"/>
        <rFont val="Arial Narrow"/>
        <family val="2"/>
      </rPr>
      <t>35</t>
    </r>
    <r>
      <rPr>
        <sz val="10"/>
        <color rgb="FF0000FF"/>
        <rFont val="宋体"/>
        <family val="3"/>
        <charset val="134"/>
      </rPr>
      <t>；</t>
    </r>
  </si>
  <si>
    <r>
      <rPr>
        <sz val="10"/>
        <color rgb="FF0070C0"/>
        <rFont val="Arial Narrow"/>
        <family val="2"/>
      </rPr>
      <t>2</t>
    </r>
    <r>
      <rPr>
        <sz val="10"/>
        <color rgb="FF0000FF"/>
        <rFont val="宋体"/>
        <family val="3"/>
        <charset val="134"/>
      </rPr>
      <t>、其他长期职工福利的性质及计算依据。</t>
    </r>
  </si>
  <si>
    <r>
      <rPr>
        <b/>
        <sz val="10"/>
        <color rgb="FF0070C0"/>
        <rFont val="宋体"/>
        <family val="3"/>
        <charset val="134"/>
      </rPr>
      <t>（</t>
    </r>
    <r>
      <rPr>
        <b/>
        <sz val="10"/>
        <color theme="1"/>
        <rFont val="Arial Narrow"/>
        <family val="2"/>
      </rPr>
      <t>1</t>
    </r>
    <r>
      <rPr>
        <b/>
        <sz val="10"/>
        <color theme="1"/>
        <rFont val="宋体"/>
        <family val="3"/>
        <charset val="134"/>
      </rPr>
      <t>）设定受益计划变动情况</t>
    </r>
  </si>
  <si>
    <r>
      <rPr>
        <sz val="10"/>
        <color theme="1"/>
        <rFont val="宋体"/>
        <family val="3"/>
        <charset val="134"/>
      </rPr>
      <t>设定受益计划义务现值：</t>
    </r>
  </si>
  <si>
    <r>
      <rPr>
        <b/>
        <sz val="10"/>
        <color rgb="FF000000"/>
        <rFont val="Arial Narrow"/>
        <family val="2"/>
      </rPr>
      <t> </t>
    </r>
    <r>
      <rPr>
        <b/>
        <sz val="10"/>
        <color rgb="FF000000"/>
        <rFont val="宋体"/>
        <family val="3"/>
        <charset val="134"/>
      </rPr>
      <t>项</t>
    </r>
    <r>
      <rPr>
        <b/>
        <sz val="10"/>
        <color rgb="FF000000"/>
        <rFont val="Arial Narrow"/>
        <family val="2"/>
      </rPr>
      <t xml:space="preserve"> </t>
    </r>
    <r>
      <rPr>
        <b/>
        <sz val="10"/>
        <color rgb="FF000000"/>
        <rFont val="宋体"/>
        <family val="3"/>
        <charset val="134"/>
      </rPr>
      <t>目</t>
    </r>
  </si>
  <si>
    <r>
      <rPr>
        <b/>
        <sz val="10"/>
        <color rgb="FF000000"/>
        <rFont val="宋体"/>
        <family val="3"/>
        <charset val="134"/>
      </rPr>
      <t>本期金额</t>
    </r>
  </si>
  <si>
    <r>
      <rPr>
        <b/>
        <sz val="10"/>
        <color rgb="FF000000"/>
        <rFont val="宋体"/>
        <family val="3"/>
        <charset val="134"/>
      </rPr>
      <t>上期金额</t>
    </r>
  </si>
  <si>
    <r>
      <rPr>
        <b/>
        <sz val="10"/>
        <color rgb="FF000000"/>
        <rFont val="宋体"/>
        <family val="3"/>
        <charset val="134"/>
      </rPr>
      <t>二、计入当期损益的设定受益成本</t>
    </r>
  </si>
  <si>
    <r>
      <rPr>
        <sz val="10"/>
        <color rgb="FF000000"/>
        <rFont val="Arial Narrow"/>
        <family val="2"/>
      </rPr>
      <t>1</t>
    </r>
    <r>
      <rPr>
        <sz val="10"/>
        <color rgb="FF000000"/>
        <rFont val="宋体"/>
        <family val="3"/>
        <charset val="134"/>
      </rPr>
      <t>．当期服务成本</t>
    </r>
  </si>
  <si>
    <r>
      <rPr>
        <sz val="10"/>
        <color rgb="FF000000"/>
        <rFont val="Arial Narrow"/>
        <family val="2"/>
      </rPr>
      <t>2</t>
    </r>
    <r>
      <rPr>
        <sz val="10"/>
        <color rgb="FF000000"/>
        <rFont val="宋体"/>
        <family val="3"/>
        <charset val="134"/>
      </rPr>
      <t>．过去服务成本</t>
    </r>
  </si>
  <si>
    <r>
      <rPr>
        <sz val="10"/>
        <color rgb="FF000000"/>
        <rFont val="Arial Narrow"/>
        <family val="2"/>
      </rPr>
      <t>3</t>
    </r>
    <r>
      <rPr>
        <sz val="10"/>
        <color rgb="FF000000"/>
        <rFont val="宋体"/>
        <family val="3"/>
        <charset val="134"/>
      </rPr>
      <t>．结算利得（损失以</t>
    </r>
    <r>
      <rPr>
        <sz val="10"/>
        <color rgb="FF000000"/>
        <rFont val="Arial Narrow"/>
        <family val="2"/>
      </rPr>
      <t>“-”</t>
    </r>
    <r>
      <rPr>
        <sz val="10"/>
        <color rgb="FF000000"/>
        <rFont val="宋体"/>
        <family val="3"/>
        <charset val="134"/>
      </rPr>
      <t>表示）</t>
    </r>
  </si>
  <si>
    <r>
      <rPr>
        <sz val="10"/>
        <color rgb="FF000000"/>
        <rFont val="Arial Narrow"/>
        <family val="2"/>
      </rPr>
      <t>4</t>
    </r>
    <r>
      <rPr>
        <sz val="10"/>
        <color rgb="FF000000"/>
        <rFont val="宋体"/>
        <family val="3"/>
        <charset val="134"/>
      </rPr>
      <t>．利息净额</t>
    </r>
  </si>
  <si>
    <r>
      <rPr>
        <b/>
        <sz val="10"/>
        <color rgb="FF000000"/>
        <rFont val="宋体"/>
        <family val="3"/>
        <charset val="134"/>
      </rPr>
      <t>三、计入其他综合收益的设定受益成本</t>
    </r>
  </si>
  <si>
    <r>
      <rPr>
        <sz val="10"/>
        <color rgb="FF000000"/>
        <rFont val="Arial Narrow"/>
        <family val="2"/>
      </rPr>
      <t>1</t>
    </r>
    <r>
      <rPr>
        <sz val="10"/>
        <color rgb="FF000000"/>
        <rFont val="宋体"/>
        <family val="3"/>
        <charset val="134"/>
      </rPr>
      <t>．精算利得（损失以</t>
    </r>
    <r>
      <rPr>
        <sz val="10"/>
        <color rgb="FF000000"/>
        <rFont val="Arial Narrow"/>
        <family val="2"/>
      </rPr>
      <t>“-”</t>
    </r>
    <r>
      <rPr>
        <sz val="10"/>
        <color rgb="FF000000"/>
        <rFont val="宋体"/>
        <family val="3"/>
        <charset val="134"/>
      </rPr>
      <t>表示）</t>
    </r>
  </si>
  <si>
    <r>
      <rPr>
        <b/>
        <sz val="10"/>
        <color rgb="FF000000"/>
        <rFont val="宋体"/>
        <family val="3"/>
        <charset val="134"/>
      </rPr>
      <t>四、其他变动</t>
    </r>
  </si>
  <si>
    <r>
      <rPr>
        <sz val="10"/>
        <color rgb="FF000000"/>
        <rFont val="Arial Narrow"/>
        <family val="2"/>
      </rPr>
      <t>1</t>
    </r>
    <r>
      <rPr>
        <sz val="10"/>
        <color rgb="FF000000"/>
        <rFont val="宋体"/>
        <family val="3"/>
        <charset val="134"/>
      </rPr>
      <t>．结算时消除的负债</t>
    </r>
  </si>
  <si>
    <r>
      <rPr>
        <sz val="10"/>
        <color rgb="FF000000"/>
        <rFont val="Arial Narrow"/>
        <family val="2"/>
      </rPr>
      <t>2</t>
    </r>
    <r>
      <rPr>
        <sz val="10"/>
        <color rgb="FF000000"/>
        <rFont val="宋体"/>
        <family val="3"/>
        <charset val="134"/>
      </rPr>
      <t>．已支付的福利</t>
    </r>
  </si>
  <si>
    <r>
      <rPr>
        <b/>
        <sz val="10"/>
        <color rgb="FF000000"/>
        <rFont val="宋体"/>
        <family val="3"/>
        <charset val="134"/>
      </rPr>
      <t>五、期末余额</t>
    </r>
  </si>
  <si>
    <r>
      <rPr>
        <sz val="10"/>
        <color theme="1"/>
        <rFont val="宋体"/>
        <family val="3"/>
        <charset val="134"/>
      </rPr>
      <t>计划资产：</t>
    </r>
  </si>
  <si>
    <r>
      <rPr>
        <sz val="10"/>
        <color rgb="FF000000"/>
        <rFont val="Arial Narrow"/>
        <family val="2"/>
      </rPr>
      <t>1</t>
    </r>
    <r>
      <rPr>
        <sz val="10"/>
        <color rgb="FF000000"/>
        <rFont val="宋体"/>
        <family val="3"/>
        <charset val="134"/>
      </rPr>
      <t>．利息净额</t>
    </r>
  </si>
  <si>
    <t xml:space="preserve"> </t>
  </si>
  <si>
    <r>
      <rPr>
        <sz val="10"/>
        <color rgb="FF000000"/>
        <rFont val="Arial Narrow"/>
        <family val="2"/>
      </rPr>
      <t>1</t>
    </r>
    <r>
      <rPr>
        <sz val="10"/>
        <color rgb="FF000000"/>
        <rFont val="宋体"/>
        <family val="3"/>
        <charset val="134"/>
      </rPr>
      <t>．计划资产的回报（计入利息净额的除外）</t>
    </r>
  </si>
  <si>
    <r>
      <rPr>
        <sz val="10"/>
        <color rgb="FF000000"/>
        <rFont val="Arial Narrow"/>
        <family val="2"/>
      </rPr>
      <t>2</t>
    </r>
    <r>
      <rPr>
        <sz val="10"/>
        <color rgb="FF000000"/>
        <rFont val="宋体"/>
        <family val="3"/>
        <charset val="134"/>
      </rPr>
      <t>．资产上限影响的变动（计入利息净额的除外）</t>
    </r>
  </si>
  <si>
    <r>
      <rPr>
        <sz val="10"/>
        <color rgb="FF0000FF"/>
        <rFont val="宋体"/>
        <family val="3"/>
        <charset val="134"/>
      </rPr>
      <t>【提示：设定受益计划存在资产的，企业应当将设定受益计划义务现值减去设定受益计划资产公允价值所形成的赤字或盈余确认为一项设定受益计划净负债或净资产。】</t>
    </r>
  </si>
  <si>
    <r>
      <rPr>
        <sz val="10"/>
        <color rgb="FF000000"/>
        <rFont val="宋体"/>
        <family val="3"/>
        <charset val="134"/>
      </rPr>
      <t>设定受益计划净负债（净资产）：</t>
    </r>
  </si>
  <si>
    <r>
      <rPr>
        <sz val="10"/>
        <color rgb="FF000000"/>
        <rFont val="宋体"/>
        <family val="3"/>
        <charset val="134"/>
      </rPr>
      <t>一、期初余额</t>
    </r>
  </si>
  <si>
    <r>
      <rPr>
        <sz val="10"/>
        <color rgb="FF000000"/>
        <rFont val="宋体"/>
        <family val="3"/>
        <charset val="134"/>
      </rPr>
      <t>二、计入当期损益的设定受益成本</t>
    </r>
  </si>
  <si>
    <r>
      <rPr>
        <sz val="10"/>
        <color rgb="FF000000"/>
        <rFont val="宋体"/>
        <family val="3"/>
        <charset val="134"/>
      </rPr>
      <t>三、计入其他综合收益的设定受益成本</t>
    </r>
  </si>
  <si>
    <r>
      <rPr>
        <sz val="10"/>
        <color rgb="FF000000"/>
        <rFont val="宋体"/>
        <family val="3"/>
        <charset val="134"/>
      </rPr>
      <t>四、其他变动</t>
    </r>
  </si>
  <si>
    <r>
      <rPr>
        <sz val="10"/>
        <color rgb="FF000000"/>
        <rFont val="宋体"/>
        <family val="3"/>
        <charset val="134"/>
      </rPr>
      <t>五、期末余额</t>
    </r>
  </si>
  <si>
    <r>
      <rPr>
        <sz val="10"/>
        <color theme="1"/>
        <rFont val="宋体"/>
        <family val="3"/>
        <charset val="134"/>
      </rPr>
      <t>说明：</t>
    </r>
    <r>
      <rPr>
        <sz val="10"/>
        <color rgb="FF0000FF"/>
        <rFont val="宋体"/>
        <family val="3"/>
        <charset val="134"/>
      </rPr>
      <t>（</t>
    </r>
    <r>
      <rPr>
        <sz val="10"/>
        <color rgb="FF0000FF"/>
        <rFont val="Arial Narrow"/>
        <family val="2"/>
      </rPr>
      <t>1</t>
    </r>
    <r>
      <rPr>
        <sz val="10"/>
        <color rgb="FF0000FF"/>
        <rFont val="宋体"/>
        <family val="3"/>
        <charset val="134"/>
      </rPr>
      <t>、设定受益计划的内容、形成的原因、特征及与之相关的风险；</t>
    </r>
  </si>
  <si>
    <r>
      <rPr>
        <sz val="10"/>
        <color rgb="FF0000FF"/>
        <rFont val="宋体"/>
        <family val="3"/>
        <charset val="134"/>
      </rPr>
      <t>如有对计划的修改或结算的，还应当披露修改或结算计划的有关情况；</t>
    </r>
  </si>
  <si>
    <r>
      <rPr>
        <sz val="10"/>
        <color rgb="FF0000FF"/>
        <rFont val="Arial Narrow"/>
        <family val="2"/>
      </rPr>
      <t>2</t>
    </r>
    <r>
      <rPr>
        <sz val="10"/>
        <color rgb="FF0000FF"/>
        <rFont val="宋体"/>
        <family val="3"/>
        <charset val="134"/>
      </rPr>
      <t>、设定受益计划对公司未来现金流量的金额、时间和不确定性的影响。披露影响设定受益计划未来缴存金额的有关筹资政策和计划、下一会计年度预期将缴存的金额，设定受益义务有关到期情况的信息，如设定受益义务的加权平均期间、对有关福利支付的到期日分析等）</t>
    </r>
  </si>
  <si>
    <r>
      <rPr>
        <sz val="10"/>
        <color theme="1"/>
        <rFont val="宋体"/>
        <family val="3"/>
        <charset val="134"/>
      </rPr>
      <t>未折现的离职后福利预计到期分析：</t>
    </r>
  </si>
  <si>
    <r>
      <rPr>
        <b/>
        <sz val="10"/>
        <color rgb="FF000000"/>
        <rFont val="宋体"/>
        <family val="3"/>
        <charset val="134"/>
      </rPr>
      <t>金额</t>
    </r>
  </si>
  <si>
    <r>
      <rPr>
        <sz val="10"/>
        <color rgb="FF000000"/>
        <rFont val="Arial Narrow"/>
        <family val="2"/>
      </rPr>
      <t xml:space="preserve"> </t>
    </r>
    <r>
      <rPr>
        <sz val="10"/>
        <color rgb="FF000000"/>
        <rFont val="宋体"/>
        <family val="3"/>
        <charset val="134"/>
      </rPr>
      <t>一年以内</t>
    </r>
  </si>
  <si>
    <r>
      <rPr>
        <sz val="10"/>
        <color rgb="FF000000"/>
        <rFont val="Arial Narrow"/>
        <family val="2"/>
      </rPr>
      <t xml:space="preserve"> </t>
    </r>
    <r>
      <rPr>
        <sz val="10"/>
        <color rgb="FF000000"/>
        <rFont val="宋体"/>
        <family val="3"/>
        <charset val="134"/>
      </rPr>
      <t>一到两年</t>
    </r>
  </si>
  <si>
    <r>
      <rPr>
        <sz val="10"/>
        <color rgb="FF000000"/>
        <rFont val="Arial Narrow"/>
        <family val="2"/>
      </rPr>
      <t xml:space="preserve"> </t>
    </r>
    <r>
      <rPr>
        <sz val="10"/>
        <color rgb="FF000000"/>
        <rFont val="宋体"/>
        <family val="3"/>
        <charset val="134"/>
      </rPr>
      <t>二到五年</t>
    </r>
  </si>
  <si>
    <r>
      <rPr>
        <sz val="10"/>
        <color rgb="FF000000"/>
        <rFont val="Arial Narrow"/>
        <family val="2"/>
      </rPr>
      <t xml:space="preserve"> </t>
    </r>
    <r>
      <rPr>
        <sz val="10"/>
        <color rgb="FF000000"/>
        <rFont val="宋体"/>
        <family val="3"/>
        <charset val="134"/>
      </rPr>
      <t>五年以上</t>
    </r>
  </si>
  <si>
    <r>
      <rPr>
        <b/>
        <sz val="10"/>
        <color theme="1"/>
        <rFont val="宋体"/>
        <family val="3"/>
        <charset val="134"/>
      </rPr>
      <t>（</t>
    </r>
    <r>
      <rPr>
        <b/>
        <sz val="10"/>
        <color theme="1"/>
        <rFont val="Arial Narrow"/>
        <family val="2"/>
      </rPr>
      <t>2</t>
    </r>
    <r>
      <rPr>
        <b/>
        <sz val="10"/>
        <color theme="1"/>
        <rFont val="宋体"/>
        <family val="3"/>
        <charset val="134"/>
      </rPr>
      <t>）计划资产</t>
    </r>
  </si>
  <si>
    <r>
      <rPr>
        <b/>
        <sz val="10"/>
        <color theme="1"/>
        <rFont val="宋体"/>
        <family val="3"/>
        <charset val="134"/>
      </rPr>
      <t>计划资产的公允价值</t>
    </r>
  </si>
  <si>
    <r>
      <rPr>
        <sz val="10"/>
        <color theme="1"/>
        <rFont val="宋体"/>
        <family val="3"/>
        <charset val="134"/>
      </rPr>
      <t>现金和现金等价物</t>
    </r>
  </si>
  <si>
    <r>
      <rPr>
        <sz val="10"/>
        <color theme="1"/>
        <rFont val="宋体"/>
        <family val="3"/>
        <charset val="134"/>
      </rPr>
      <t>权益工具投资</t>
    </r>
    <r>
      <rPr>
        <sz val="10"/>
        <color theme="1"/>
        <rFont val="Arial Narrow"/>
        <family val="2"/>
      </rPr>
      <t xml:space="preserve"> </t>
    </r>
  </si>
  <si>
    <r>
      <rPr>
        <sz val="10"/>
        <color theme="1"/>
        <rFont val="Arial Narrow"/>
        <family val="2"/>
      </rPr>
      <t>1</t>
    </r>
    <r>
      <rPr>
        <sz val="10"/>
        <color theme="1"/>
        <rFont val="宋体"/>
        <family val="3"/>
        <charset val="134"/>
      </rPr>
      <t>、</t>
    </r>
    <r>
      <rPr>
        <sz val="10"/>
        <color theme="1"/>
        <rFont val="Arial Narrow"/>
        <family val="2"/>
      </rPr>
      <t>……</t>
    </r>
  </si>
  <si>
    <r>
      <rPr>
        <sz val="10"/>
        <color theme="1"/>
        <rFont val="Arial Narrow"/>
        <family val="2"/>
      </rPr>
      <t>2</t>
    </r>
    <r>
      <rPr>
        <sz val="10"/>
        <color theme="1"/>
        <rFont val="宋体"/>
        <family val="3"/>
        <charset val="134"/>
      </rPr>
      <t>、</t>
    </r>
    <r>
      <rPr>
        <sz val="10"/>
        <color theme="1"/>
        <rFont val="Arial Narrow"/>
        <family val="2"/>
      </rPr>
      <t>……</t>
    </r>
  </si>
  <si>
    <r>
      <rPr>
        <sz val="10"/>
        <color theme="1"/>
        <rFont val="宋体"/>
        <family val="3"/>
        <charset val="134"/>
      </rPr>
      <t>债务工具投资</t>
    </r>
  </si>
  <si>
    <r>
      <rPr>
        <b/>
        <sz val="10"/>
        <color theme="1"/>
        <rFont val="宋体"/>
        <family val="3"/>
        <charset val="134"/>
      </rPr>
      <t>合</t>
    </r>
    <r>
      <rPr>
        <b/>
        <sz val="10"/>
        <color theme="1"/>
        <rFont val="Arial Narrow"/>
        <family val="2"/>
      </rPr>
      <t xml:space="preserve">  </t>
    </r>
    <r>
      <rPr>
        <b/>
        <sz val="10"/>
        <color theme="1"/>
        <rFont val="宋体"/>
        <family val="3"/>
        <charset val="134"/>
      </rPr>
      <t>计</t>
    </r>
  </si>
  <si>
    <r>
      <rPr>
        <sz val="10"/>
        <color rgb="FF0000FF"/>
        <rFont val="宋体"/>
        <family val="3"/>
        <charset val="134"/>
      </rPr>
      <t>【提示：</t>
    </r>
    <r>
      <rPr>
        <sz val="10"/>
        <color rgb="FF0000FF"/>
        <rFont val="Arial Narrow"/>
        <family val="2"/>
      </rPr>
      <t>1</t>
    </r>
    <r>
      <rPr>
        <sz val="10"/>
        <color rgb="FF0000FF"/>
        <rFont val="宋体"/>
        <family val="3"/>
        <charset val="134"/>
      </rPr>
      <t>、权益工具投资按行业类型或公司规模或地域等分类；</t>
    </r>
  </si>
  <si>
    <r>
      <rPr>
        <sz val="10"/>
        <color rgb="FF0000FF"/>
        <rFont val="Arial Narrow"/>
        <family val="2"/>
      </rPr>
      <t>2</t>
    </r>
    <r>
      <rPr>
        <sz val="10"/>
        <color rgb="FF0000FF"/>
        <rFont val="宋体"/>
        <family val="3"/>
        <charset val="134"/>
      </rPr>
      <t>、债务工具投资按债务工具发行人类型或信用评级或地域等分类。】</t>
    </r>
  </si>
  <si>
    <r>
      <rPr>
        <b/>
        <sz val="10"/>
        <color theme="1"/>
        <rFont val="宋体"/>
        <family val="3"/>
        <charset val="134"/>
      </rPr>
      <t>（</t>
    </r>
    <r>
      <rPr>
        <b/>
        <sz val="10"/>
        <color theme="1"/>
        <rFont val="Arial Narrow"/>
        <family val="2"/>
      </rPr>
      <t>3</t>
    </r>
    <r>
      <rPr>
        <b/>
        <sz val="10"/>
        <color theme="1"/>
        <rFont val="宋体"/>
        <family val="3"/>
        <charset val="134"/>
      </rPr>
      <t>）精算假设</t>
    </r>
  </si>
  <si>
    <r>
      <rPr>
        <sz val="10"/>
        <color theme="1"/>
        <rFont val="宋体"/>
        <family val="3"/>
        <charset val="134"/>
      </rPr>
      <t>折现率</t>
    </r>
  </si>
  <si>
    <r>
      <rPr>
        <sz val="10"/>
        <color theme="1"/>
        <rFont val="宋体"/>
        <family val="3"/>
        <charset val="134"/>
      </rPr>
      <t>死亡率</t>
    </r>
  </si>
  <si>
    <r>
      <rPr>
        <sz val="10"/>
        <color theme="1"/>
        <rFont val="宋体"/>
        <family val="3"/>
        <charset val="134"/>
      </rPr>
      <t>预计平均寿命</t>
    </r>
  </si>
  <si>
    <r>
      <rPr>
        <sz val="10"/>
        <color theme="1"/>
        <rFont val="宋体"/>
        <family val="3"/>
        <charset val="134"/>
      </rPr>
      <t>职工的离职率</t>
    </r>
  </si>
  <si>
    <r>
      <rPr>
        <sz val="10"/>
        <color theme="1"/>
        <rFont val="宋体"/>
        <family val="3"/>
        <charset val="134"/>
      </rPr>
      <t>薪酬的预期增长率</t>
    </r>
  </si>
  <si>
    <r>
      <rPr>
        <b/>
        <sz val="10"/>
        <color theme="1"/>
        <rFont val="宋体"/>
        <family val="3"/>
        <charset val="134"/>
      </rPr>
      <t>（</t>
    </r>
    <r>
      <rPr>
        <b/>
        <sz val="10"/>
        <color theme="1"/>
        <rFont val="Arial Narrow"/>
        <family val="2"/>
      </rPr>
      <t>4</t>
    </r>
    <r>
      <rPr>
        <b/>
        <sz val="10"/>
        <color theme="1"/>
        <rFont val="宋体"/>
        <family val="3"/>
        <charset val="134"/>
      </rPr>
      <t>）敏感性分析</t>
    </r>
  </si>
  <si>
    <r>
      <rPr>
        <b/>
        <sz val="10"/>
        <color rgb="FF000000"/>
        <rFont val="Arial Narrow"/>
        <family val="2"/>
      </rPr>
      <t xml:space="preserve"> </t>
    </r>
    <r>
      <rPr>
        <b/>
        <sz val="10"/>
        <color rgb="FF000000"/>
        <rFont val="宋体"/>
        <family val="3"/>
        <charset val="134"/>
      </rPr>
      <t>假设的变动幅度</t>
    </r>
  </si>
  <si>
    <r>
      <rPr>
        <b/>
        <sz val="10"/>
        <color rgb="FF000000"/>
        <rFont val="宋体"/>
        <family val="3"/>
        <charset val="134"/>
      </rPr>
      <t>对设定受益义务现值的影响</t>
    </r>
  </si>
  <si>
    <r>
      <rPr>
        <b/>
        <sz val="10"/>
        <color rgb="FF000000"/>
        <rFont val="Arial Narrow"/>
        <family val="2"/>
      </rPr>
      <t xml:space="preserve"> </t>
    </r>
    <r>
      <rPr>
        <b/>
        <sz val="10"/>
        <color rgb="FF000000"/>
        <rFont val="宋体"/>
        <family val="3"/>
        <charset val="134"/>
      </rPr>
      <t>计划负债增加</t>
    </r>
  </si>
  <si>
    <r>
      <rPr>
        <b/>
        <sz val="10"/>
        <color rgb="FF000000"/>
        <rFont val="宋体"/>
        <family val="3"/>
        <charset val="134"/>
      </rPr>
      <t>计划负债减少</t>
    </r>
  </si>
  <si>
    <r>
      <rPr>
        <sz val="10"/>
        <color rgb="FF000000"/>
        <rFont val="宋体"/>
        <family val="3"/>
        <charset val="134"/>
      </rPr>
      <t>折现率</t>
    </r>
  </si>
  <si>
    <r>
      <rPr>
        <sz val="10"/>
        <color rgb="FF000000"/>
        <rFont val="宋体"/>
        <family val="3"/>
        <charset val="134"/>
      </rPr>
      <t>死亡率</t>
    </r>
  </si>
  <si>
    <r>
      <rPr>
        <sz val="10"/>
        <color rgb="FF000000"/>
        <rFont val="宋体"/>
        <family val="3"/>
        <charset val="134"/>
      </rPr>
      <t>职工的离职率</t>
    </r>
  </si>
  <si>
    <r>
      <rPr>
        <sz val="10"/>
        <color rgb="FF000000"/>
        <rFont val="宋体"/>
        <family val="3"/>
        <charset val="134"/>
      </rPr>
      <t>薪酬的预期增长率</t>
    </r>
  </si>
  <si>
    <r>
      <rPr>
        <sz val="10"/>
        <color rgb="FF0000FF"/>
        <rFont val="宋体"/>
        <family val="3"/>
        <charset val="134"/>
      </rPr>
      <t>上述敏感性分析是基于一个假设发生变动而其他假设均保持不变，但实际上各种假设通常是相互关联的。上述敏感性分析在计算设定受益义务现值时也同样采用累积福利单位法。</t>
    </r>
  </si>
  <si>
    <r>
      <rPr>
        <sz val="10"/>
        <color rgb="FF0000FF"/>
        <rFont val="宋体"/>
        <family val="3"/>
        <charset val="134"/>
      </rPr>
      <t>进行敏感度分析所采用的重大假设的方法和类型与以前年度比较未发生变动。</t>
    </r>
  </si>
  <si>
    <r>
      <rPr>
        <sz val="10"/>
        <color rgb="FF0000FF"/>
        <rFont val="宋体"/>
        <family val="3"/>
        <charset val="134"/>
      </rPr>
      <t>（如发生变动，应进一步说明发生的具体变动及原因。）</t>
    </r>
  </si>
  <si>
    <r>
      <rPr>
        <b/>
        <sz val="12"/>
        <rFont val="宋体"/>
        <family val="3"/>
        <charset val="134"/>
      </rPr>
      <t>预计负债</t>
    </r>
  </si>
  <si>
    <r>
      <rPr>
        <b/>
        <sz val="10"/>
        <color rgb="FF000000"/>
        <rFont val="宋体"/>
        <family val="3"/>
        <charset val="134"/>
      </rPr>
      <t>形成原因</t>
    </r>
  </si>
  <si>
    <r>
      <rPr>
        <sz val="10"/>
        <color rgb="FF000000"/>
        <rFont val="宋体"/>
        <family val="3"/>
        <charset val="134"/>
      </rPr>
      <t>对外提供担保</t>
    </r>
  </si>
  <si>
    <r>
      <rPr>
        <sz val="10"/>
        <rFont val="宋体"/>
        <family val="3"/>
        <charset val="134"/>
      </rPr>
      <t>未决诉讼</t>
    </r>
  </si>
  <si>
    <r>
      <rPr>
        <sz val="10"/>
        <rFont val="宋体"/>
        <family val="3"/>
        <charset val="134"/>
      </rPr>
      <t>产品质量保证</t>
    </r>
  </si>
  <si>
    <r>
      <rPr>
        <sz val="10"/>
        <rFont val="宋体"/>
        <family val="3"/>
        <charset val="134"/>
      </rPr>
      <t>重组义务</t>
    </r>
  </si>
  <si>
    <r>
      <rPr>
        <sz val="10"/>
        <rFont val="宋体"/>
        <family val="3"/>
        <charset val="134"/>
      </rPr>
      <t>弃置义务</t>
    </r>
  </si>
  <si>
    <r>
      <rPr>
        <sz val="10"/>
        <rFont val="宋体"/>
        <family val="3"/>
        <charset val="134"/>
      </rPr>
      <t>待执行的亏损合同</t>
    </r>
  </si>
  <si>
    <r>
      <rPr>
        <sz val="10"/>
        <color rgb="FF0000FF"/>
        <rFont val="宋体"/>
        <family val="3"/>
        <charset val="134"/>
      </rPr>
      <t>说明：</t>
    </r>
    <r>
      <rPr>
        <sz val="10"/>
        <color indexed="12"/>
        <rFont val="宋体"/>
        <family val="3"/>
        <charset val="134"/>
      </rPr>
      <t>重要的预计负债，应披露相关重要假设、估计。</t>
    </r>
  </si>
  <si>
    <r>
      <rPr>
        <b/>
        <sz val="12"/>
        <rFont val="宋体"/>
        <family val="3"/>
        <charset val="134"/>
      </rPr>
      <t>递延收益</t>
    </r>
  </si>
  <si>
    <r>
      <rPr>
        <sz val="10"/>
        <color rgb="FF000000"/>
        <rFont val="宋体"/>
        <family val="3"/>
        <charset val="134"/>
      </rPr>
      <t>政府补助</t>
    </r>
  </si>
  <si>
    <r>
      <rPr>
        <sz val="10"/>
        <color rgb="FF0000FF"/>
        <rFont val="宋体"/>
        <family val="3"/>
        <charset val="134"/>
      </rPr>
      <t>【公司根据《企业会计准则》规定计入</t>
    </r>
    <r>
      <rPr>
        <sz val="10"/>
        <color rgb="FF0000FF"/>
        <rFont val="Arial Narrow"/>
        <family val="2"/>
      </rPr>
      <t>“</t>
    </r>
    <r>
      <rPr>
        <sz val="10"/>
        <color rgb="FF0000FF"/>
        <rFont val="宋体"/>
        <family val="3"/>
        <charset val="134"/>
      </rPr>
      <t>递延收益</t>
    </r>
    <r>
      <rPr>
        <sz val="10"/>
        <color rgb="FF0000FF"/>
        <rFont val="Arial Narrow"/>
        <family val="2"/>
      </rPr>
      <t>”</t>
    </r>
    <r>
      <rPr>
        <sz val="10"/>
        <color rgb="FF0000FF"/>
        <rFont val="宋体"/>
        <family val="3"/>
        <charset val="134"/>
      </rPr>
      <t>科目的金额，应按如下原则确定所属的报表项目：</t>
    </r>
  </si>
  <si>
    <r>
      <rPr>
        <sz val="10"/>
        <color rgb="FF0000FF"/>
        <rFont val="宋体"/>
        <family val="3"/>
        <charset val="134"/>
      </rPr>
      <t>（</t>
    </r>
    <r>
      <rPr>
        <sz val="10"/>
        <color rgb="FF0000FF"/>
        <rFont val="Arial Narrow"/>
        <family val="2"/>
      </rPr>
      <t>1</t>
    </r>
    <r>
      <rPr>
        <sz val="10"/>
        <color rgb="FF0000FF"/>
        <rFont val="宋体"/>
        <family val="3"/>
        <charset val="134"/>
      </rPr>
      <t>）受益期预计在一年以内（含一年）的，应在</t>
    </r>
    <r>
      <rPr>
        <sz val="10"/>
        <color rgb="FF0000FF"/>
        <rFont val="Arial Narrow"/>
        <family val="2"/>
      </rPr>
      <t>“</t>
    </r>
    <r>
      <rPr>
        <sz val="10"/>
        <color rgb="FF0000FF"/>
        <rFont val="宋体"/>
        <family val="3"/>
        <charset val="134"/>
      </rPr>
      <t>其他流动负债</t>
    </r>
    <r>
      <rPr>
        <sz val="10"/>
        <color rgb="FF0000FF"/>
        <rFont val="Arial Narrow"/>
        <family val="2"/>
      </rPr>
      <t>”</t>
    </r>
    <r>
      <rPr>
        <sz val="10"/>
        <color rgb="FF0000FF"/>
        <rFont val="宋体"/>
        <family val="3"/>
        <charset val="134"/>
      </rPr>
      <t>项目列报；</t>
    </r>
  </si>
  <si>
    <t>（2）自资产负债表日起算的受益期限超过一年的，在“递延收益”目中列报。</t>
  </si>
  <si>
    <r>
      <rPr>
        <sz val="10"/>
        <color theme="1"/>
        <rFont val="宋体"/>
        <family val="3"/>
        <charset val="134"/>
      </rPr>
      <t>其中：递延收益</t>
    </r>
    <r>
      <rPr>
        <sz val="10"/>
        <color theme="1"/>
        <rFont val="Arial Narrow"/>
        <family val="2"/>
      </rPr>
      <t>-</t>
    </r>
    <r>
      <rPr>
        <sz val="10"/>
        <color theme="1"/>
        <rFont val="宋体"/>
        <family val="3"/>
        <charset val="134"/>
      </rPr>
      <t>政府补助情况</t>
    </r>
  </si>
  <si>
    <r>
      <rPr>
        <b/>
        <sz val="10"/>
        <rFont val="宋体"/>
        <family val="3"/>
        <charset val="134"/>
      </rPr>
      <t>其他变动</t>
    </r>
  </si>
  <si>
    <r>
      <rPr>
        <sz val="10"/>
        <color rgb="FF0000FF"/>
        <rFont val="宋体"/>
        <family val="3"/>
        <charset val="134"/>
      </rPr>
      <t>（</t>
    </r>
    <r>
      <rPr>
        <i/>
        <sz val="10"/>
        <color rgb="FFFF0000"/>
        <rFont val="Arial Narrow"/>
        <family val="2"/>
      </rPr>
      <t>1</t>
    </r>
    <r>
      <rPr>
        <i/>
        <sz val="10"/>
        <color rgb="FFFF0000"/>
        <rFont val="宋体"/>
        <family val="3"/>
        <charset val="134"/>
      </rPr>
      <t>）</t>
    </r>
    <r>
      <rPr>
        <i/>
        <sz val="10"/>
        <color rgb="FFFF0000"/>
        <rFont val="Arial Narrow"/>
        <family val="2"/>
      </rPr>
      <t>XX</t>
    </r>
    <r>
      <rPr>
        <i/>
        <sz val="10"/>
        <color rgb="FFFF0000"/>
        <rFont val="宋体"/>
        <family val="3"/>
        <charset val="134"/>
      </rPr>
      <t>补助项目，相关文件未明确规定补助对象，由于该项目未来不会形成长期资产，本集团将其作为与收益相关的政府补助。</t>
    </r>
  </si>
  <si>
    <r>
      <rPr>
        <sz val="10"/>
        <color rgb="FF0000FF"/>
        <rFont val="宋体"/>
        <family val="3"/>
        <charset val="134"/>
      </rPr>
      <t>（信息披露解释性公告第</t>
    </r>
    <r>
      <rPr>
        <sz val="10"/>
        <color rgb="FF0000FF"/>
        <rFont val="Arial Narrow"/>
        <family val="2"/>
      </rPr>
      <t>2</t>
    </r>
    <r>
      <rPr>
        <sz val="10"/>
        <color rgb="FF0000FF"/>
        <rFont val="宋体"/>
        <family val="3"/>
        <charset val="134"/>
      </rPr>
      <t>号规定：公司应当遵循</t>
    </r>
    <r>
      <rPr>
        <u/>
        <sz val="10"/>
        <color rgb="FF0000FF"/>
        <rFont val="宋体"/>
        <family val="3"/>
        <charset val="134"/>
      </rPr>
      <t>重要性</t>
    </r>
    <r>
      <rPr>
        <sz val="10"/>
        <color rgb="FF0000FF"/>
        <rFont val="宋体"/>
        <family val="3"/>
        <charset val="134"/>
      </rPr>
      <t>原则，对涉及政府补助的负债项目，在财务报表附注的相关项目下，</t>
    </r>
    <r>
      <rPr>
        <u/>
        <sz val="10"/>
        <color rgb="FF0000FF"/>
        <rFont val="宋体"/>
        <family val="3"/>
        <charset val="134"/>
      </rPr>
      <t>逐项</t>
    </r>
    <r>
      <rPr>
        <sz val="10"/>
        <color rgb="FF0000FF"/>
        <rFont val="宋体"/>
        <family val="3"/>
        <charset val="134"/>
      </rPr>
      <t>披露相关期初余额、本期新增补助金额、本期计入营业外收入金额、本期转入资本公积金额以及期末余额。</t>
    </r>
    <r>
      <rPr>
        <u/>
        <sz val="10"/>
        <color rgb="FF0000FF"/>
        <rFont val="宋体"/>
        <family val="3"/>
        <charset val="134"/>
      </rPr>
      <t>对于相关文件未明确规定补助对象的政府补助项目，公司还应单独说明其划分依据。</t>
    </r>
    <r>
      <rPr>
        <sz val="10"/>
        <color rgb="FF0000FF"/>
        <rFont val="宋体"/>
        <family val="3"/>
        <charset val="134"/>
      </rPr>
      <t>）</t>
    </r>
  </si>
  <si>
    <r>
      <rPr>
        <b/>
        <sz val="12"/>
        <rFont val="宋体"/>
        <family val="3"/>
        <charset val="134"/>
      </rPr>
      <t>其他非流动负债</t>
    </r>
  </si>
  <si>
    <r>
      <rPr>
        <b/>
        <sz val="12"/>
        <rFont val="宋体"/>
        <family val="3"/>
        <charset val="134"/>
      </rPr>
      <t>营业收入及成本</t>
    </r>
  </si>
  <si>
    <r>
      <rPr>
        <b/>
        <sz val="10"/>
        <rFont val="Arial Narrow"/>
        <family val="2"/>
      </rPr>
      <t>A</t>
    </r>
    <r>
      <rPr>
        <b/>
        <sz val="10"/>
        <rFont val="宋体"/>
        <family val="3"/>
        <charset val="134"/>
      </rPr>
      <t>、营业收入列示如下：</t>
    </r>
  </si>
  <si>
    <r>
      <rPr>
        <b/>
        <sz val="10"/>
        <color indexed="8"/>
        <rFont val="宋体"/>
        <family val="3"/>
        <charset val="134"/>
      </rPr>
      <t>本期</t>
    </r>
  </si>
  <si>
    <r>
      <rPr>
        <b/>
        <sz val="10"/>
        <color indexed="8"/>
        <rFont val="宋体"/>
        <family val="3"/>
        <charset val="134"/>
      </rPr>
      <t>收入</t>
    </r>
  </si>
  <si>
    <r>
      <rPr>
        <b/>
        <sz val="10"/>
        <color indexed="8"/>
        <rFont val="宋体"/>
        <family val="3"/>
        <charset val="134"/>
      </rPr>
      <t>成本</t>
    </r>
  </si>
  <si>
    <r>
      <rPr>
        <sz val="10"/>
        <rFont val="宋体"/>
        <family val="3"/>
        <charset val="134"/>
      </rPr>
      <t>主营业务收入</t>
    </r>
  </si>
  <si>
    <r>
      <rPr>
        <sz val="10"/>
        <rFont val="宋体"/>
        <family val="3"/>
        <charset val="134"/>
      </rPr>
      <t>其他业务收入</t>
    </r>
  </si>
  <si>
    <r>
      <rPr>
        <sz val="10"/>
        <rFont val="Arial Narrow"/>
        <family val="2"/>
      </rPr>
      <t>B</t>
    </r>
    <r>
      <rPr>
        <sz val="10"/>
        <rFont val="宋体"/>
        <family val="3"/>
        <charset val="134"/>
      </rPr>
      <t>、主营业务收入及成本列示如下：</t>
    </r>
  </si>
  <si>
    <r>
      <rPr>
        <sz val="10"/>
        <rFont val="宋体"/>
        <family val="3"/>
        <charset val="134"/>
      </rPr>
      <t>系统集成收入</t>
    </r>
  </si>
  <si>
    <r>
      <rPr>
        <sz val="10"/>
        <rFont val="宋体"/>
        <family val="3"/>
        <charset val="134"/>
      </rPr>
      <t>其中：系统产品及系统集成服务</t>
    </r>
  </si>
  <si>
    <r>
      <rPr>
        <sz val="10"/>
        <rFont val="Arial Narrow"/>
        <family val="2"/>
      </rPr>
      <t xml:space="preserve">                </t>
    </r>
    <r>
      <rPr>
        <sz val="10"/>
        <rFont val="宋体"/>
        <family val="3"/>
        <charset val="134"/>
      </rPr>
      <t>软件及软件开发</t>
    </r>
  </si>
  <si>
    <r>
      <rPr>
        <sz val="10"/>
        <rFont val="宋体"/>
        <family val="3"/>
        <charset val="134"/>
      </rPr>
      <t>专业服务收入</t>
    </r>
  </si>
  <si>
    <r>
      <rPr>
        <sz val="10"/>
        <color rgb="FF0070C0"/>
        <rFont val="宋体"/>
        <family val="3"/>
        <charset val="134"/>
      </rPr>
      <t>如果企业没有报告分部，应在此处增加披露以下内容：</t>
    </r>
    <r>
      <rPr>
        <sz val="10"/>
        <color rgb="FF0070C0"/>
        <rFont val="Arial Narrow"/>
        <family val="2"/>
      </rPr>
      <t xml:space="preserve"> </t>
    </r>
  </si>
  <si>
    <r>
      <rPr>
        <sz val="10"/>
        <color theme="1"/>
        <rFont val="宋体"/>
        <family val="3"/>
        <charset val="134"/>
      </rPr>
      <t>（</t>
    </r>
    <r>
      <rPr>
        <sz val="10"/>
        <color theme="1"/>
        <rFont val="Arial Narrow"/>
        <family val="2"/>
      </rPr>
      <t>1</t>
    </r>
    <r>
      <rPr>
        <sz val="10"/>
        <color theme="1"/>
        <rFont val="宋体"/>
        <family val="3"/>
        <charset val="134"/>
      </rPr>
      <t>）主营业务（分行业或业务）</t>
    </r>
  </si>
  <si>
    <r>
      <rPr>
        <b/>
        <sz val="10"/>
        <color theme="1"/>
        <rFont val="宋体"/>
        <family val="3"/>
        <charset val="134"/>
      </rPr>
      <t>行业（或：业务）名称</t>
    </r>
  </si>
  <si>
    <r>
      <rPr>
        <b/>
        <sz val="10"/>
        <color theme="1"/>
        <rFont val="Arial Narrow"/>
        <family val="2"/>
      </rPr>
      <t xml:space="preserve">      </t>
    </r>
    <r>
      <rPr>
        <b/>
        <sz val="10"/>
        <color theme="1"/>
        <rFont val="宋体"/>
        <family val="3"/>
        <charset val="134"/>
      </rPr>
      <t>本期发生额</t>
    </r>
  </si>
  <si>
    <r>
      <rPr>
        <b/>
        <sz val="10"/>
        <color theme="1"/>
        <rFont val="Arial Narrow"/>
        <family val="2"/>
      </rPr>
      <t xml:space="preserve">     </t>
    </r>
    <r>
      <rPr>
        <b/>
        <sz val="10"/>
        <color theme="1"/>
        <rFont val="宋体"/>
        <family val="3"/>
        <charset val="134"/>
      </rPr>
      <t>上期发生额</t>
    </r>
  </si>
  <si>
    <r>
      <rPr>
        <b/>
        <sz val="10"/>
        <color theme="1"/>
        <rFont val="宋体"/>
        <family val="3"/>
        <charset val="134"/>
      </rPr>
      <t>营业收入</t>
    </r>
  </si>
  <si>
    <r>
      <rPr>
        <b/>
        <sz val="10"/>
        <color theme="1"/>
        <rFont val="宋体"/>
        <family val="3"/>
        <charset val="134"/>
      </rPr>
      <t>营业成本</t>
    </r>
  </si>
  <si>
    <r>
      <rPr>
        <sz val="10"/>
        <color theme="1"/>
        <rFont val="宋体"/>
        <family val="3"/>
        <charset val="134"/>
      </rPr>
      <t>（</t>
    </r>
    <r>
      <rPr>
        <sz val="10"/>
        <color theme="1"/>
        <rFont val="Arial Narrow"/>
        <family val="2"/>
      </rPr>
      <t>2</t>
    </r>
    <r>
      <rPr>
        <sz val="10"/>
        <color theme="1"/>
        <rFont val="宋体"/>
        <family val="3"/>
        <charset val="134"/>
      </rPr>
      <t>）主营业务（分产品）</t>
    </r>
  </si>
  <si>
    <r>
      <rPr>
        <b/>
        <sz val="10"/>
        <color theme="1"/>
        <rFont val="宋体"/>
        <family val="3"/>
        <charset val="134"/>
      </rPr>
      <t>产品名称</t>
    </r>
  </si>
  <si>
    <r>
      <rPr>
        <sz val="10"/>
        <color theme="1"/>
        <rFont val="宋体"/>
        <family val="3"/>
        <charset val="134"/>
      </rPr>
      <t>（</t>
    </r>
    <r>
      <rPr>
        <sz val="10"/>
        <color theme="1"/>
        <rFont val="Arial Narrow"/>
        <family val="2"/>
      </rPr>
      <t>3</t>
    </r>
    <r>
      <rPr>
        <sz val="10"/>
        <color theme="1"/>
        <rFont val="宋体"/>
        <family val="3"/>
        <charset val="134"/>
      </rPr>
      <t>）主营业务（分地区）</t>
    </r>
  </si>
  <si>
    <r>
      <rPr>
        <b/>
        <sz val="10"/>
        <color theme="1"/>
        <rFont val="宋体"/>
        <family val="3"/>
        <charset val="134"/>
      </rPr>
      <t>地区名称</t>
    </r>
  </si>
  <si>
    <r>
      <rPr>
        <b/>
        <sz val="10"/>
        <rFont val="宋体"/>
        <family val="3"/>
        <charset val="134"/>
      </rPr>
      <t>计缴标准</t>
    </r>
  </si>
  <si>
    <r>
      <rPr>
        <b/>
        <sz val="10"/>
        <rFont val="宋体"/>
        <family val="3"/>
        <charset val="134"/>
      </rPr>
      <t>本期</t>
    </r>
  </si>
  <si>
    <t>消费税</t>
  </si>
  <si>
    <t>资源税</t>
  </si>
  <si>
    <t>房产税</t>
  </si>
  <si>
    <t>土地使用税</t>
  </si>
  <si>
    <t>车船使用税</t>
  </si>
  <si>
    <t>印花税</t>
  </si>
  <si>
    <r>
      <rPr>
        <b/>
        <sz val="12"/>
        <rFont val="宋体"/>
        <family val="3"/>
        <charset val="134"/>
      </rPr>
      <t>销售费用</t>
    </r>
  </si>
  <si>
    <r>
      <rPr>
        <b/>
        <sz val="12"/>
        <color rgb="FF000000"/>
        <rFont val="Arial Narrow"/>
        <family val="2"/>
      </rPr>
      <t xml:space="preserve">      </t>
    </r>
    <r>
      <rPr>
        <b/>
        <sz val="12"/>
        <color rgb="FF000000"/>
        <rFont val="宋体"/>
        <family val="3"/>
        <charset val="134"/>
      </rPr>
      <t>本期发生额</t>
    </r>
  </si>
  <si>
    <r>
      <rPr>
        <b/>
        <sz val="12"/>
        <rFont val="宋体"/>
        <family val="3"/>
        <charset val="134"/>
      </rPr>
      <t>管理费用</t>
    </r>
  </si>
  <si>
    <r>
      <rPr>
        <b/>
        <sz val="10"/>
        <color rgb="FF000000"/>
        <rFont val="Arial Narrow"/>
        <family val="2"/>
      </rPr>
      <t xml:space="preserve">      </t>
    </r>
    <r>
      <rPr>
        <b/>
        <sz val="10"/>
        <color rgb="FF000000"/>
        <rFont val="宋体"/>
        <family val="3"/>
        <charset val="134"/>
      </rPr>
      <t>本期发生额</t>
    </r>
  </si>
  <si>
    <r>
      <rPr>
        <b/>
        <sz val="12"/>
        <rFont val="宋体"/>
        <family val="3"/>
        <charset val="134"/>
      </rPr>
      <t>财务费用</t>
    </r>
  </si>
  <si>
    <r>
      <rPr>
        <sz val="10"/>
        <rFont val="宋体"/>
        <family val="3"/>
        <charset val="134"/>
      </rPr>
      <t>减：利息资本化</t>
    </r>
  </si>
  <si>
    <r>
      <rPr>
        <sz val="10"/>
        <rFont val="宋体"/>
        <family val="3"/>
        <charset val="134"/>
      </rPr>
      <t>减：利息收入</t>
    </r>
  </si>
  <si>
    <r>
      <rPr>
        <sz val="10"/>
        <rFont val="宋体"/>
        <family val="3"/>
        <charset val="134"/>
      </rPr>
      <t>承兑汇票贴息</t>
    </r>
  </si>
  <si>
    <r>
      <rPr>
        <sz val="10"/>
        <rFont val="宋体"/>
        <family val="3"/>
        <charset val="134"/>
      </rPr>
      <t>汇兑损益</t>
    </r>
  </si>
  <si>
    <r>
      <rPr>
        <sz val="10"/>
        <rFont val="宋体"/>
        <family val="3"/>
        <charset val="134"/>
      </rPr>
      <t>减：汇兑损益资本化</t>
    </r>
  </si>
  <si>
    <r>
      <rPr>
        <sz val="10"/>
        <rFont val="宋体"/>
        <family val="3"/>
        <charset val="134"/>
      </rPr>
      <t>手续费及其他</t>
    </r>
  </si>
  <si>
    <r>
      <rPr>
        <sz val="10"/>
        <rFont val="Arial Narrow"/>
        <family val="2"/>
      </rPr>
      <t>B</t>
    </r>
    <r>
      <rPr>
        <sz val="10"/>
        <rFont val="宋体"/>
        <family val="3"/>
        <charset val="134"/>
      </rPr>
      <t>、利息资本化情况描述：</t>
    </r>
    <r>
      <rPr>
        <sz val="10"/>
        <color indexed="10"/>
        <rFont val="宋体"/>
        <family val="3"/>
        <charset val="134"/>
      </rPr>
      <t>（利息资本化金额已计入的项目，所确定的资本化率）</t>
    </r>
  </si>
  <si>
    <r>
      <rPr>
        <b/>
        <sz val="12"/>
        <rFont val="宋体"/>
        <family val="3"/>
        <charset val="134"/>
      </rPr>
      <t>资产减值损失</t>
    </r>
  </si>
  <si>
    <r>
      <rPr>
        <b/>
        <sz val="12"/>
        <rFont val="宋体"/>
        <family val="3"/>
        <charset val="134"/>
      </rPr>
      <t>本期</t>
    </r>
  </si>
  <si>
    <r>
      <rPr>
        <sz val="10"/>
        <rFont val="宋体"/>
        <family val="3"/>
        <charset val="134"/>
      </rPr>
      <t>坏账损失</t>
    </r>
  </si>
  <si>
    <r>
      <rPr>
        <sz val="10"/>
        <rFont val="宋体"/>
        <family val="3"/>
        <charset val="134"/>
      </rPr>
      <t>存货跌价损失</t>
    </r>
  </si>
  <si>
    <r>
      <rPr>
        <sz val="10"/>
        <rFont val="宋体"/>
        <family val="3"/>
        <charset val="134"/>
      </rPr>
      <t>可供出售金融资产减值损失</t>
    </r>
  </si>
  <si>
    <r>
      <rPr>
        <sz val="10"/>
        <rFont val="宋体"/>
        <family val="3"/>
        <charset val="134"/>
      </rPr>
      <t>持有至到期投资减值损失</t>
    </r>
  </si>
  <si>
    <r>
      <rPr>
        <sz val="10"/>
        <rFont val="宋体"/>
        <family val="3"/>
        <charset val="134"/>
      </rPr>
      <t>长期股权投资减值损失</t>
    </r>
  </si>
  <si>
    <r>
      <rPr>
        <sz val="10"/>
        <rFont val="宋体"/>
        <family val="3"/>
        <charset val="134"/>
      </rPr>
      <t>投资性房地产减值损失</t>
    </r>
  </si>
  <si>
    <r>
      <rPr>
        <sz val="10"/>
        <rFont val="宋体"/>
        <family val="3"/>
        <charset val="134"/>
      </rPr>
      <t>固定资产减值损失</t>
    </r>
  </si>
  <si>
    <r>
      <rPr>
        <sz val="10"/>
        <rFont val="宋体"/>
        <family val="3"/>
        <charset val="134"/>
      </rPr>
      <t>工程物资减值损失</t>
    </r>
  </si>
  <si>
    <r>
      <rPr>
        <sz val="10"/>
        <rFont val="宋体"/>
        <family val="3"/>
        <charset val="134"/>
      </rPr>
      <t>在建工程减值损失</t>
    </r>
  </si>
  <si>
    <r>
      <rPr>
        <sz val="10"/>
        <rFont val="宋体"/>
        <family val="3"/>
        <charset val="134"/>
      </rPr>
      <t>生产性生物资产减值损失</t>
    </r>
  </si>
  <si>
    <r>
      <rPr>
        <sz val="10"/>
        <rFont val="宋体"/>
        <family val="3"/>
        <charset val="134"/>
      </rPr>
      <t>无形资产减值损失</t>
    </r>
  </si>
  <si>
    <r>
      <rPr>
        <sz val="10"/>
        <rFont val="宋体"/>
        <family val="3"/>
        <charset val="134"/>
      </rPr>
      <t>商誉减值损失</t>
    </r>
  </si>
  <si>
    <t>补助项目（产生其他收益的来源）</t>
  </si>
  <si>
    <t>本期发生额</t>
  </si>
  <si>
    <t>上期发生额</t>
  </si>
  <si>
    <t xml:space="preserve">与资产相关/
与收益相关
</t>
  </si>
  <si>
    <r>
      <rPr>
        <sz val="10"/>
        <rFont val="宋体"/>
        <family val="3"/>
        <charset val="134"/>
      </rPr>
      <t>固定资产处置利得</t>
    </r>
  </si>
  <si>
    <r>
      <rPr>
        <sz val="10"/>
        <rFont val="宋体"/>
        <family val="3"/>
        <charset val="134"/>
      </rPr>
      <t>无形资产处置利得</t>
    </r>
  </si>
  <si>
    <r>
      <rPr>
        <sz val="10"/>
        <rFont val="宋体"/>
        <family val="3"/>
        <charset val="134"/>
      </rPr>
      <t>非货币性资产交换利得</t>
    </r>
  </si>
  <si>
    <r>
      <rPr>
        <sz val="10"/>
        <rFont val="宋体"/>
        <family val="3"/>
        <charset val="134"/>
      </rPr>
      <t>债务重组利得</t>
    </r>
  </si>
  <si>
    <r>
      <rPr>
        <sz val="10"/>
        <rFont val="宋体"/>
        <family val="3"/>
        <charset val="134"/>
      </rPr>
      <t>捐赠利得</t>
    </r>
  </si>
  <si>
    <r>
      <rPr>
        <sz val="10"/>
        <rFont val="宋体"/>
        <family val="3"/>
        <charset val="134"/>
      </rPr>
      <t>增值税返还</t>
    </r>
  </si>
  <si>
    <r>
      <rPr>
        <sz val="10"/>
        <rFont val="宋体"/>
        <family val="3"/>
        <charset val="134"/>
      </rPr>
      <t>赔偿偿收入</t>
    </r>
  </si>
  <si>
    <r>
      <rPr>
        <sz val="10"/>
        <rFont val="宋体"/>
        <family val="3"/>
        <charset val="134"/>
      </rPr>
      <t>罚款</t>
    </r>
  </si>
  <si>
    <t>提示：与日常活动相关的政府补助，采用总额法时计入其他收益。</t>
  </si>
  <si>
    <r>
      <rPr>
        <b/>
        <sz val="12"/>
        <rFont val="宋体"/>
        <family val="3"/>
        <charset val="134"/>
      </rPr>
      <t>投资收益</t>
    </r>
  </si>
  <si>
    <r>
      <rPr>
        <b/>
        <sz val="10"/>
        <rFont val="Arial Narrow"/>
        <family val="2"/>
      </rPr>
      <t>A</t>
    </r>
    <r>
      <rPr>
        <b/>
        <sz val="10"/>
        <rFont val="宋体"/>
        <family val="3"/>
        <charset val="134"/>
      </rPr>
      <t>、按被投资单位</t>
    </r>
  </si>
  <si>
    <r>
      <rPr>
        <sz val="10"/>
        <rFont val="宋体"/>
        <family val="3"/>
        <charset val="134"/>
      </rPr>
      <t>权益法核算的长期股权投资收益</t>
    </r>
  </si>
  <si>
    <r>
      <rPr>
        <sz val="10"/>
        <rFont val="宋体"/>
        <family val="3"/>
        <charset val="134"/>
      </rPr>
      <t>处置长期股权投资产生的投资收益</t>
    </r>
  </si>
  <si>
    <r>
      <rPr>
        <sz val="10"/>
        <rFont val="宋体"/>
        <family val="3"/>
        <charset val="134"/>
      </rPr>
      <t>以公允价值计量且其变动计入当期损益的金融资产持有期间取得的投资收益</t>
    </r>
  </si>
  <si>
    <r>
      <rPr>
        <sz val="10"/>
        <rFont val="宋体"/>
        <family val="3"/>
        <charset val="134"/>
      </rPr>
      <t>持有至到期投资持有期间取得的投资收益</t>
    </r>
  </si>
  <si>
    <r>
      <rPr>
        <sz val="10"/>
        <rFont val="宋体"/>
        <family val="3"/>
        <charset val="134"/>
      </rPr>
      <t>可供出售金融资产持有期间取得的投资收益</t>
    </r>
  </si>
  <si>
    <r>
      <rPr>
        <sz val="10"/>
        <rFont val="宋体"/>
        <family val="3"/>
        <charset val="134"/>
      </rPr>
      <t>处置以公允价值计量且其变动计入当期损益的金融资产取得的投资收益</t>
    </r>
  </si>
  <si>
    <r>
      <rPr>
        <sz val="10"/>
        <rFont val="宋体"/>
        <family val="3"/>
        <charset val="134"/>
      </rPr>
      <t>处置持有至到期投资取得的投资收益</t>
    </r>
  </si>
  <si>
    <r>
      <rPr>
        <sz val="10"/>
        <rFont val="宋体"/>
        <family val="3"/>
        <charset val="134"/>
      </rPr>
      <t>处置可供出售金融资产取得的投资收益</t>
    </r>
  </si>
  <si>
    <r>
      <rPr>
        <sz val="10"/>
        <rFont val="宋体"/>
        <family val="3"/>
        <charset val="134"/>
      </rPr>
      <t>丧失控制权后，剩余股权按公允价值重新计量产生的利得</t>
    </r>
  </si>
  <si>
    <r>
      <rPr>
        <sz val="10"/>
        <rFont val="宋体"/>
        <family val="3"/>
        <charset val="134"/>
      </rPr>
      <t>投资收益汇回存在重大限制的情况</t>
    </r>
  </si>
  <si>
    <r>
      <rPr>
        <b/>
        <sz val="10"/>
        <rFont val="宋体"/>
        <family val="3"/>
        <charset val="134"/>
      </rPr>
      <t>存在限制的原因</t>
    </r>
  </si>
  <si>
    <r>
      <rPr>
        <b/>
        <sz val="12"/>
        <rFont val="宋体"/>
        <family val="3"/>
        <charset val="134"/>
      </rPr>
      <t>公允价值变动损益</t>
    </r>
  </si>
  <si>
    <r>
      <rPr>
        <sz val="10"/>
        <rFont val="宋体"/>
        <family val="3"/>
        <charset val="134"/>
      </rPr>
      <t>产生公允价值变动收益的来源</t>
    </r>
  </si>
  <si>
    <r>
      <rPr>
        <sz val="10"/>
        <color rgb="FF000000"/>
        <rFont val="Arial Narrow"/>
        <family val="2"/>
      </rPr>
      <t xml:space="preserve">      </t>
    </r>
    <r>
      <rPr>
        <sz val="10"/>
        <color rgb="FF000000"/>
        <rFont val="宋体"/>
        <family val="3"/>
        <charset val="134"/>
      </rPr>
      <t>本期发生额</t>
    </r>
  </si>
  <si>
    <r>
      <rPr>
        <sz val="10"/>
        <rFont val="宋体"/>
        <family val="3"/>
        <charset val="134"/>
      </rPr>
      <t>其中：衍生金融工具产生的公允价值变动收益</t>
    </r>
  </si>
  <si>
    <r>
      <rPr>
        <sz val="10"/>
        <rFont val="宋体"/>
        <family val="3"/>
        <charset val="134"/>
      </rPr>
      <t>按公允价值计量的投资性房地产</t>
    </r>
  </si>
  <si>
    <t>项目</t>
  </si>
  <si>
    <t>持有待售的非流动资产（处置组）处置利得（损失以“-”填列）</t>
  </si>
  <si>
    <t>固定资产处置利得（损失以“-”填列）</t>
  </si>
  <si>
    <t>在建工程处置利得（损失以“-”填列）</t>
  </si>
  <si>
    <t>生产性生物资产处置利得（损失以“-”填列）</t>
  </si>
  <si>
    <t>无形资产处置利得（损失以“-”填列）</t>
  </si>
  <si>
    <t>债务重组中因处置非流动资产产生的利得（损失以“-”填列）</t>
  </si>
  <si>
    <t>非货币性资产交换产生的利得（损失以“-”填列）</t>
  </si>
  <si>
    <r>
      <rPr>
        <b/>
        <sz val="12"/>
        <rFont val="宋体"/>
        <family val="3"/>
        <charset val="134"/>
      </rPr>
      <t>营业外收入</t>
    </r>
  </si>
  <si>
    <r>
      <rPr>
        <b/>
        <sz val="10"/>
        <rFont val="宋体"/>
        <family val="3"/>
        <charset val="134"/>
      </rPr>
      <t>计入当期非经常性损益的金额</t>
    </r>
  </si>
  <si>
    <t>债务重组</t>
  </si>
  <si>
    <t>接受捐赠</t>
  </si>
  <si>
    <t>政府补助</t>
  </si>
  <si>
    <t>盘盈利得</t>
  </si>
  <si>
    <r>
      <rPr>
        <b/>
        <sz val="12"/>
        <rFont val="宋体"/>
        <family val="3"/>
        <charset val="134"/>
      </rPr>
      <t>营业外支出</t>
    </r>
  </si>
  <si>
    <r>
      <rPr>
        <sz val="10"/>
        <rFont val="宋体"/>
        <family val="3"/>
        <charset val="134"/>
      </rPr>
      <t>不能修改！！！！</t>
    </r>
  </si>
  <si>
    <t>债务重组损失</t>
  </si>
  <si>
    <r>
      <rPr>
        <sz val="10"/>
        <rFont val="宋体"/>
        <family val="3"/>
        <charset val="134"/>
      </rPr>
      <t>固定资产处置损失</t>
    </r>
  </si>
  <si>
    <t>对外捐赠</t>
  </si>
  <si>
    <r>
      <rPr>
        <sz val="10"/>
        <rFont val="宋体"/>
        <family val="3"/>
        <charset val="134"/>
      </rPr>
      <t>无形资产处置损失</t>
    </r>
  </si>
  <si>
    <t>非常损失</t>
  </si>
  <si>
    <r>
      <rPr>
        <sz val="10"/>
        <rFont val="宋体"/>
        <family val="3"/>
        <charset val="134"/>
      </rPr>
      <t>非流动资产交换利得</t>
    </r>
  </si>
  <si>
    <t>盘亏损失</t>
  </si>
  <si>
    <r>
      <rPr>
        <sz val="10"/>
        <rFont val="宋体"/>
        <family val="3"/>
        <charset val="134"/>
      </rPr>
      <t>债务重组损失</t>
    </r>
  </si>
  <si>
    <t>非流动资产毁损报废损失</t>
  </si>
  <si>
    <r>
      <rPr>
        <sz val="10"/>
        <rFont val="宋体"/>
        <family val="3"/>
        <charset val="134"/>
      </rPr>
      <t>公益性捐赠支出</t>
    </r>
  </si>
  <si>
    <r>
      <rPr>
        <sz val="10"/>
        <rFont val="宋体"/>
        <family val="3"/>
        <charset val="134"/>
      </rPr>
      <t>滞纳金</t>
    </r>
  </si>
  <si>
    <r>
      <rPr>
        <sz val="10"/>
        <rFont val="宋体"/>
        <family val="3"/>
        <charset val="134"/>
      </rPr>
      <t>固定资产报废损失</t>
    </r>
  </si>
  <si>
    <r>
      <rPr>
        <b/>
        <sz val="12"/>
        <rFont val="宋体"/>
        <family val="3"/>
        <charset val="134"/>
      </rPr>
      <t>所得税费用</t>
    </r>
  </si>
  <si>
    <r>
      <rPr>
        <b/>
        <sz val="10"/>
        <rFont val="宋体"/>
        <family val="3"/>
        <charset val="134"/>
      </rPr>
      <t>（</t>
    </r>
    <r>
      <rPr>
        <b/>
        <sz val="10"/>
        <rFont val="Arial Narrow"/>
        <family val="2"/>
      </rPr>
      <t>1</t>
    </r>
    <r>
      <rPr>
        <b/>
        <sz val="10"/>
        <rFont val="宋体"/>
        <family val="3"/>
        <charset val="134"/>
      </rPr>
      <t>）所得税费用明细</t>
    </r>
  </si>
  <si>
    <r>
      <rPr>
        <sz val="10"/>
        <rFont val="宋体"/>
        <family val="3"/>
        <charset val="134"/>
      </rPr>
      <t>当期所得税</t>
    </r>
  </si>
  <si>
    <r>
      <rPr>
        <sz val="10"/>
        <rFont val="宋体"/>
        <family val="3"/>
        <charset val="134"/>
      </rPr>
      <t>递延所得税</t>
    </r>
  </si>
  <si>
    <r>
      <rPr>
        <sz val="10"/>
        <rFont val="宋体"/>
        <family val="3"/>
        <charset val="134"/>
      </rPr>
      <t>（</t>
    </r>
    <r>
      <rPr>
        <sz val="10"/>
        <rFont val="Arial Narrow"/>
        <family val="2"/>
      </rPr>
      <t>2</t>
    </r>
    <r>
      <rPr>
        <sz val="10"/>
        <rFont val="宋体"/>
        <family val="3"/>
        <charset val="134"/>
      </rPr>
      <t>）所得税费用与利润总额的关系列示如下：</t>
    </r>
  </si>
  <si>
    <r>
      <rPr>
        <sz val="10"/>
        <rFont val="宋体"/>
        <family val="3"/>
        <charset val="134"/>
      </rPr>
      <t>本期</t>
    </r>
  </si>
  <si>
    <r>
      <rPr>
        <sz val="10"/>
        <rFont val="宋体"/>
        <family val="3"/>
        <charset val="134"/>
      </rPr>
      <t>利润总额</t>
    </r>
  </si>
  <si>
    <r>
      <rPr>
        <sz val="10"/>
        <rFont val="宋体"/>
        <family val="3"/>
        <charset val="134"/>
      </rPr>
      <t>按法定（或适用）税率计算的所得税费用</t>
    </r>
    <r>
      <rPr>
        <sz val="10"/>
        <color indexed="12"/>
        <rFont val="宋体"/>
        <family val="3"/>
        <charset val="134"/>
      </rPr>
      <t>（利润总额</t>
    </r>
    <r>
      <rPr>
        <sz val="10"/>
        <color indexed="12"/>
        <rFont val="Arial Narrow"/>
        <family val="2"/>
      </rPr>
      <t>*XX%</t>
    </r>
    <r>
      <rPr>
        <sz val="10"/>
        <color indexed="12"/>
        <rFont val="宋体"/>
        <family val="3"/>
        <charset val="134"/>
      </rPr>
      <t>）</t>
    </r>
  </si>
  <si>
    <r>
      <rPr>
        <sz val="10"/>
        <rFont val="宋体"/>
        <family val="3"/>
        <charset val="134"/>
      </rPr>
      <t>某些子公司适用不同税率的影响</t>
    </r>
  </si>
  <si>
    <r>
      <rPr>
        <sz val="10"/>
        <rFont val="宋体"/>
        <family val="3"/>
        <charset val="134"/>
      </rPr>
      <t>对以前期间当期所得税的调整</t>
    </r>
  </si>
  <si>
    <r>
      <rPr>
        <sz val="10"/>
        <rFont val="宋体"/>
        <family val="3"/>
        <charset val="134"/>
      </rPr>
      <t>归属于合营企业和联营企业的损益</t>
    </r>
  </si>
  <si>
    <r>
      <rPr>
        <sz val="10"/>
        <rFont val="宋体"/>
        <family val="3"/>
        <charset val="134"/>
      </rPr>
      <t>无须纳税的收入</t>
    </r>
  </si>
  <si>
    <r>
      <rPr>
        <sz val="10"/>
        <rFont val="宋体"/>
        <family val="3"/>
        <charset val="134"/>
      </rPr>
      <t>不可抵扣的费用</t>
    </r>
  </si>
  <si>
    <r>
      <rPr>
        <sz val="10"/>
        <rFont val="宋体"/>
        <family val="3"/>
        <charset val="134"/>
      </rPr>
      <t>税率变动的影响对期初递延所得税余额的影响</t>
    </r>
  </si>
  <si>
    <r>
      <rPr>
        <sz val="10"/>
        <rFont val="宋体"/>
        <family val="3"/>
        <charset val="134"/>
      </rPr>
      <t>利用以前期间的税务亏损</t>
    </r>
  </si>
  <si>
    <r>
      <rPr>
        <sz val="10"/>
        <rFont val="宋体"/>
        <family val="3"/>
        <charset val="134"/>
      </rPr>
      <t>未确认递延所得税的税务亏损</t>
    </r>
  </si>
  <si>
    <r>
      <rPr>
        <sz val="10"/>
        <color indexed="8"/>
        <rFont val="宋体"/>
        <family val="3"/>
        <charset val="134"/>
      </rPr>
      <t>报表金额</t>
    </r>
    <r>
      <rPr>
        <sz val="10"/>
        <color indexed="8"/>
        <rFont val="Arial Narrow"/>
        <family val="2"/>
      </rPr>
      <t>-</t>
    </r>
    <r>
      <rPr>
        <sz val="10"/>
        <color indexed="8"/>
        <rFont val="宋体"/>
        <family val="3"/>
        <charset val="134"/>
      </rPr>
      <t>所得税费用</t>
    </r>
  </si>
  <si>
    <r>
      <rPr>
        <sz val="10"/>
        <color indexed="8"/>
        <rFont val="宋体"/>
        <family val="3"/>
        <charset val="134"/>
      </rPr>
      <t>报表金额</t>
    </r>
    <r>
      <rPr>
        <sz val="10"/>
        <color indexed="8"/>
        <rFont val="Arial Narrow"/>
        <family val="2"/>
      </rPr>
      <t>-</t>
    </r>
    <r>
      <rPr>
        <sz val="10"/>
        <color indexed="8"/>
        <rFont val="宋体"/>
        <family val="3"/>
        <charset val="134"/>
      </rPr>
      <t>利润总额</t>
    </r>
  </si>
  <si>
    <r>
      <rPr>
        <b/>
        <sz val="12"/>
        <rFont val="宋体"/>
        <family val="3"/>
        <charset val="134"/>
      </rPr>
      <t>收到的其他与经营活动有关的现金</t>
    </r>
  </si>
  <si>
    <r>
      <rPr>
        <b/>
        <sz val="12"/>
        <rFont val="宋体"/>
        <family val="3"/>
        <charset val="134"/>
      </rPr>
      <t>支付的其他与经营活动有关的现金</t>
    </r>
  </si>
  <si>
    <r>
      <rPr>
        <b/>
        <sz val="12"/>
        <rFont val="宋体"/>
        <family val="3"/>
        <charset val="134"/>
      </rPr>
      <t>其中：</t>
    </r>
  </si>
  <si>
    <r>
      <rPr>
        <b/>
        <sz val="12"/>
        <rFont val="宋体"/>
        <family val="3"/>
        <charset val="134"/>
      </rPr>
      <t>收到的其他与投资活动有关的现金</t>
    </r>
  </si>
  <si>
    <r>
      <rPr>
        <b/>
        <sz val="12"/>
        <rFont val="宋体"/>
        <family val="3"/>
        <charset val="134"/>
      </rPr>
      <t>支付的其他与投资活动有关的现金</t>
    </r>
  </si>
  <si>
    <r>
      <rPr>
        <b/>
        <sz val="12"/>
        <rFont val="宋体"/>
        <family val="3"/>
        <charset val="134"/>
      </rPr>
      <t>收到的其他与筹资活动有关的现金</t>
    </r>
  </si>
  <si>
    <r>
      <rPr>
        <b/>
        <sz val="12"/>
        <rFont val="宋体"/>
        <family val="3"/>
        <charset val="134"/>
      </rPr>
      <t>支付的其他与筹资活动有关的现金</t>
    </r>
  </si>
  <si>
    <r>
      <rPr>
        <b/>
        <sz val="12"/>
        <rFont val="宋体"/>
        <family val="3"/>
        <charset val="134"/>
      </rPr>
      <t>现金流量表补充资料</t>
    </r>
  </si>
  <si>
    <r>
      <rPr>
        <sz val="10"/>
        <rFont val="Arial Narrow"/>
        <family val="2"/>
      </rPr>
      <t>1</t>
    </r>
    <r>
      <rPr>
        <sz val="10"/>
        <rFont val="宋体"/>
        <family val="3"/>
        <charset val="134"/>
      </rPr>
      <t>、将净利润调节为经营活动现金流量：</t>
    </r>
  </si>
  <si>
    <r>
      <rPr>
        <sz val="10"/>
        <rFont val="宋体"/>
        <family val="3"/>
        <charset val="134"/>
      </rPr>
      <t>加：资产减值准备</t>
    </r>
  </si>
  <si>
    <r>
      <rPr>
        <sz val="10"/>
        <rFont val="宋体"/>
        <family val="3"/>
        <charset val="134"/>
      </rPr>
      <t>固定资产折旧、油气资产折耗、生产性生物资产折旧</t>
    </r>
  </si>
  <si>
    <r>
      <rPr>
        <sz val="10"/>
        <rFont val="宋体"/>
        <family val="3"/>
        <charset val="134"/>
      </rPr>
      <t>无形资产摊销</t>
    </r>
  </si>
  <si>
    <r>
      <rPr>
        <sz val="10"/>
        <rFont val="宋体"/>
        <family val="3"/>
        <charset val="134"/>
      </rPr>
      <t>长期待摊费用摊销</t>
    </r>
  </si>
  <si>
    <r>
      <rPr>
        <sz val="10"/>
        <rFont val="宋体"/>
        <family val="3"/>
        <charset val="134"/>
      </rPr>
      <t>处置固定资产、无形资产和其他长期资产的损失（收益以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</si>
  <si>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固定资产报废损失（收益以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</si>
  <si>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公允价值变动损失（收益以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</si>
  <si>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财务费用（收益以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</si>
  <si>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投资损失（收益以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</si>
  <si>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递延所得税资产减少（增加以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</si>
  <si>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递延所得税负债增加（减少以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</si>
  <si>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存货的减少（增加以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</si>
  <si>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经营性应收项目的减少（增加以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</si>
  <si>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经营性应付项目的增加（减少以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</si>
  <si>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经营活动产生的现金流量净额</t>
    </r>
  </si>
  <si>
    <r>
      <rPr>
        <sz val="10"/>
        <rFont val="Arial Narrow"/>
        <family val="2"/>
      </rPr>
      <t>2</t>
    </r>
    <r>
      <rPr>
        <sz val="10"/>
        <rFont val="宋体"/>
        <family val="3"/>
        <charset val="134"/>
      </rPr>
      <t>、不涉及现金收支的重大投资和筹资活动：</t>
    </r>
  </si>
  <si>
    <r>
      <rPr>
        <sz val="10"/>
        <rFont val="宋体"/>
        <family val="3"/>
        <charset val="134"/>
      </rPr>
      <t>债务转为资本</t>
    </r>
  </si>
  <si>
    <r>
      <rPr>
        <sz val="10"/>
        <rFont val="宋体"/>
        <family val="3"/>
        <charset val="134"/>
      </rPr>
      <t>一年内到期的可转换公司债券</t>
    </r>
  </si>
  <si>
    <r>
      <rPr>
        <sz val="10"/>
        <rFont val="宋体"/>
        <family val="3"/>
        <charset val="134"/>
      </rPr>
      <t>融资租入固定资产</t>
    </r>
  </si>
  <si>
    <r>
      <rPr>
        <sz val="10"/>
        <rFont val="Arial Narrow"/>
        <family val="2"/>
      </rPr>
      <t>3</t>
    </r>
    <r>
      <rPr>
        <sz val="10"/>
        <rFont val="宋体"/>
        <family val="3"/>
        <charset val="134"/>
      </rPr>
      <t>、现金及现金等价物净变动情况：</t>
    </r>
  </si>
  <si>
    <r>
      <rPr>
        <sz val="10"/>
        <rFont val="宋体"/>
        <family val="3"/>
        <charset val="134"/>
      </rPr>
      <t>现金的期末余额</t>
    </r>
  </si>
  <si>
    <r>
      <rPr>
        <sz val="10"/>
        <rFont val="宋体"/>
        <family val="3"/>
        <charset val="134"/>
      </rPr>
      <t>减：现金的期初余额</t>
    </r>
  </si>
  <si>
    <r>
      <rPr>
        <sz val="10"/>
        <rFont val="宋体"/>
        <family val="3"/>
        <charset val="134"/>
      </rPr>
      <t>加：现金等价物的期末余额</t>
    </r>
  </si>
  <si>
    <r>
      <rPr>
        <sz val="10"/>
        <rFont val="宋体"/>
        <family val="3"/>
        <charset val="134"/>
      </rPr>
      <t>减：现金等价物的期初余额</t>
    </r>
  </si>
  <si>
    <r>
      <rPr>
        <sz val="10"/>
        <rFont val="宋体"/>
        <family val="3"/>
        <charset val="134"/>
      </rPr>
      <t>现金及现金等价物净增加额</t>
    </r>
  </si>
  <si>
    <r>
      <rPr>
        <sz val="10"/>
        <rFont val="宋体"/>
        <family val="3"/>
        <charset val="134"/>
      </rPr>
      <t>（</t>
    </r>
    <r>
      <rPr>
        <sz val="10"/>
        <rFont val="Arial Narrow"/>
        <family val="2"/>
      </rPr>
      <t>2</t>
    </r>
    <r>
      <rPr>
        <sz val="10"/>
        <rFont val="宋体"/>
        <family val="3"/>
        <charset val="134"/>
      </rPr>
      <t>）本期支付的取得子公司的现金净额</t>
    </r>
  </si>
  <si>
    <r>
      <rPr>
        <b/>
        <sz val="10"/>
        <rFont val="宋体"/>
        <family val="3"/>
        <charset val="134"/>
      </rPr>
      <t>项</t>
    </r>
    <r>
      <rPr>
        <b/>
        <sz val="10"/>
        <color rgb="FF000000"/>
        <rFont val="Arial Narrow"/>
        <family val="2"/>
      </rPr>
      <t xml:space="preserve">  </t>
    </r>
    <r>
      <rPr>
        <b/>
        <sz val="10"/>
        <color rgb="FF000000"/>
        <rFont val="宋体"/>
        <family val="3"/>
        <charset val="134"/>
      </rPr>
      <t>目</t>
    </r>
  </si>
  <si>
    <r>
      <rPr>
        <b/>
        <sz val="10"/>
        <rFont val="宋体"/>
        <family val="3"/>
        <charset val="134"/>
      </rPr>
      <t>本期发生额</t>
    </r>
    <r>
      <rPr>
        <b/>
        <sz val="10"/>
        <rFont val="Arial Narrow"/>
        <family val="2"/>
      </rPr>
      <t xml:space="preserve"> </t>
    </r>
  </si>
  <si>
    <r>
      <rPr>
        <sz val="10"/>
        <rFont val="宋体"/>
        <family val="3"/>
        <charset val="134"/>
      </rPr>
      <t>本期发生的企业合并于本期支付的现金或现金等价物</t>
    </r>
  </si>
  <si>
    <r>
      <rPr>
        <sz val="10"/>
        <rFont val="宋体"/>
        <family val="3"/>
        <charset val="134"/>
      </rPr>
      <t>其中：</t>
    </r>
    <r>
      <rPr>
        <sz val="10"/>
        <color rgb="FF000000"/>
        <rFont val="Arial Narrow"/>
        <family val="2"/>
      </rPr>
      <t>XX</t>
    </r>
    <r>
      <rPr>
        <sz val="10"/>
        <color rgb="FF000000"/>
        <rFont val="宋体"/>
        <family val="3"/>
        <charset val="134"/>
      </rPr>
      <t>公司</t>
    </r>
  </si>
  <si>
    <r>
      <rPr>
        <sz val="10"/>
        <rFont val="Arial Narrow"/>
        <family val="2"/>
      </rPr>
      <t xml:space="preserve">      XX</t>
    </r>
    <r>
      <rPr>
        <sz val="10"/>
        <color rgb="FF000000"/>
        <rFont val="宋体"/>
        <family val="3"/>
        <charset val="134"/>
      </rPr>
      <t>公司</t>
    </r>
  </si>
  <si>
    <r>
      <rPr>
        <sz val="10"/>
        <rFont val="宋体"/>
        <family val="3"/>
        <charset val="134"/>
      </rPr>
      <t>减：购买日子公司持有的现金及现金等价物</t>
    </r>
  </si>
  <si>
    <r>
      <rPr>
        <sz val="10"/>
        <rFont val="宋体"/>
        <family val="3"/>
        <charset val="134"/>
      </rPr>
      <t>加：以前期间发生的企业合并于本期支付的现金或现金等价物</t>
    </r>
  </si>
  <si>
    <r>
      <rPr>
        <sz val="10"/>
        <rFont val="宋体"/>
        <family val="3"/>
        <charset val="134"/>
      </rPr>
      <t>取得子公司支付的现金净额</t>
    </r>
  </si>
  <si>
    <r>
      <rPr>
        <sz val="10"/>
        <rFont val="宋体"/>
        <family val="3"/>
        <charset val="134"/>
      </rPr>
      <t>（</t>
    </r>
    <r>
      <rPr>
        <sz val="10"/>
        <rFont val="Arial Narrow"/>
        <family val="2"/>
      </rPr>
      <t>3</t>
    </r>
    <r>
      <rPr>
        <sz val="10"/>
        <rFont val="宋体"/>
        <family val="3"/>
        <charset val="134"/>
      </rPr>
      <t>）本期收到的处置子公司的现金净额</t>
    </r>
  </si>
  <si>
    <r>
      <rPr>
        <sz val="10"/>
        <color rgb="FF000000"/>
        <rFont val="宋体"/>
        <family val="3"/>
        <charset val="134"/>
      </rPr>
      <t>本期处置子公司于本期收到的现金或现金等价物</t>
    </r>
  </si>
  <si>
    <r>
      <rPr>
        <sz val="10"/>
        <color rgb="FF000000"/>
        <rFont val="宋体"/>
        <family val="3"/>
        <charset val="134"/>
      </rPr>
      <t>其中：</t>
    </r>
    <r>
      <rPr>
        <sz val="10"/>
        <color rgb="FF000000"/>
        <rFont val="Arial Narrow"/>
        <family val="2"/>
      </rPr>
      <t>XX</t>
    </r>
    <r>
      <rPr>
        <sz val="10"/>
        <color rgb="FF000000"/>
        <rFont val="宋体"/>
        <family val="3"/>
        <charset val="134"/>
      </rPr>
      <t>公司</t>
    </r>
  </si>
  <si>
    <r>
      <rPr>
        <sz val="10"/>
        <color rgb="FF000000"/>
        <rFont val="Arial Narrow"/>
        <family val="2"/>
      </rPr>
      <t xml:space="preserve">      XX</t>
    </r>
    <r>
      <rPr>
        <sz val="10"/>
        <color rgb="FF000000"/>
        <rFont val="宋体"/>
        <family val="3"/>
        <charset val="134"/>
      </rPr>
      <t>公司</t>
    </r>
  </si>
  <si>
    <r>
      <rPr>
        <sz val="10"/>
        <color rgb="FF000000"/>
        <rFont val="宋体"/>
        <family val="3"/>
        <charset val="134"/>
      </rPr>
      <t>减：丧失控制权日子公司持有的现金及现金等价物</t>
    </r>
  </si>
  <si>
    <r>
      <rPr>
        <sz val="10"/>
        <color rgb="FF000000"/>
        <rFont val="宋体"/>
        <family val="3"/>
        <charset val="134"/>
      </rPr>
      <t>加：以前期间处置子公司于本期收到的现金或现金等价物</t>
    </r>
  </si>
  <si>
    <r>
      <rPr>
        <sz val="10"/>
        <color rgb="FF000000"/>
        <rFont val="宋体"/>
        <family val="3"/>
        <charset val="134"/>
      </rPr>
      <t>处置子公司收到的现金净额</t>
    </r>
  </si>
  <si>
    <r>
      <rPr>
        <sz val="10"/>
        <rFont val="宋体"/>
        <family val="3"/>
        <charset val="134"/>
      </rPr>
      <t>（</t>
    </r>
    <r>
      <rPr>
        <sz val="10"/>
        <rFont val="Arial Narrow"/>
        <family val="2"/>
      </rPr>
      <t>4</t>
    </r>
    <r>
      <rPr>
        <sz val="10"/>
        <rFont val="宋体"/>
        <family val="3"/>
        <charset val="134"/>
      </rPr>
      <t>）现金及现金等价物的构成</t>
    </r>
  </si>
  <si>
    <r>
      <rPr>
        <b/>
        <sz val="10"/>
        <rFont val="宋体"/>
        <family val="3"/>
        <charset val="134"/>
      </rPr>
      <t>期末数</t>
    </r>
    <r>
      <rPr>
        <b/>
        <sz val="10"/>
        <rFont val="Arial Narrow"/>
        <family val="2"/>
      </rPr>
      <t xml:space="preserve"> </t>
    </r>
  </si>
  <si>
    <r>
      <rPr>
        <sz val="10"/>
        <rFont val="宋体"/>
        <family val="3"/>
        <charset val="134"/>
      </rPr>
      <t>一、现金</t>
    </r>
  </si>
  <si>
    <r>
      <rPr>
        <sz val="10"/>
        <rFont val="宋体"/>
        <family val="3"/>
        <charset val="134"/>
      </rPr>
      <t>其中：库存现金</t>
    </r>
  </si>
  <si>
    <r>
      <rPr>
        <sz val="10"/>
        <rFont val="宋体"/>
        <family val="3"/>
        <charset val="134"/>
      </rPr>
      <t>　　可随时用于支付的银行存款</t>
    </r>
  </si>
  <si>
    <r>
      <rPr>
        <sz val="10"/>
        <rFont val="宋体"/>
        <family val="3"/>
        <charset val="134"/>
      </rPr>
      <t>　　可随时用于支付的其他货币资金</t>
    </r>
  </si>
  <si>
    <r>
      <rPr>
        <sz val="10"/>
        <rFont val="宋体"/>
        <family val="3"/>
        <charset val="134"/>
      </rPr>
      <t>　　可用于支付的存放中央银行款项</t>
    </r>
  </si>
  <si>
    <r>
      <rPr>
        <sz val="10"/>
        <rFont val="宋体"/>
        <family val="3"/>
        <charset val="134"/>
      </rPr>
      <t>　　存放同业款项</t>
    </r>
  </si>
  <si>
    <r>
      <rPr>
        <sz val="10"/>
        <rFont val="宋体"/>
        <family val="3"/>
        <charset val="134"/>
      </rPr>
      <t>　　拆放同业款项</t>
    </r>
  </si>
  <si>
    <r>
      <rPr>
        <sz val="10"/>
        <rFont val="宋体"/>
        <family val="3"/>
        <charset val="134"/>
      </rPr>
      <t>二、现金等价物</t>
    </r>
  </si>
  <si>
    <r>
      <rPr>
        <sz val="10"/>
        <rFont val="宋体"/>
        <family val="3"/>
        <charset val="134"/>
      </rPr>
      <t>其中：三个月内到期的债券投资</t>
    </r>
  </si>
  <si>
    <r>
      <rPr>
        <sz val="10"/>
        <rFont val="宋体"/>
        <family val="3"/>
        <charset val="134"/>
      </rPr>
      <t>三、期末现金及现金等价物余额</t>
    </r>
  </si>
  <si>
    <r>
      <rPr>
        <sz val="10"/>
        <rFont val="宋体"/>
        <family val="3"/>
        <charset val="134"/>
      </rPr>
      <t>（注：现金及现金等价物不含母公司或集团内子公司使用受限制的现金及现金等价物）</t>
    </r>
  </si>
  <si>
    <r>
      <rPr>
        <sz val="10"/>
        <rFont val="宋体"/>
        <family val="3"/>
        <charset val="134"/>
      </rPr>
      <t>说明：</t>
    </r>
    <r>
      <rPr>
        <sz val="10"/>
        <color rgb="FF0000FF"/>
        <rFont val="宋体"/>
        <family val="3"/>
        <charset val="134"/>
      </rPr>
      <t>如存在企业持有但不能由母公司或集团内其他子公司使用的大额现金和现金等价物的，披露其金额。</t>
    </r>
  </si>
  <si>
    <r>
      <rPr>
        <b/>
        <sz val="12"/>
        <rFont val="宋体"/>
        <family val="3"/>
        <charset val="134"/>
      </rPr>
      <t>股份支付</t>
    </r>
  </si>
  <si>
    <r>
      <rPr>
        <b/>
        <sz val="10"/>
        <rFont val="Arial Narrow"/>
        <family val="2"/>
      </rPr>
      <t>1</t>
    </r>
    <r>
      <rPr>
        <b/>
        <sz val="10"/>
        <rFont val="宋体"/>
        <family val="3"/>
        <charset val="134"/>
      </rPr>
      <t>、计划概述：</t>
    </r>
  </si>
  <si>
    <r>
      <rPr>
        <b/>
        <sz val="10"/>
        <rFont val="宋体"/>
        <family val="3"/>
        <charset val="134"/>
      </rPr>
      <t>详情如下：</t>
    </r>
  </si>
  <si>
    <r>
      <rPr>
        <b/>
        <sz val="10"/>
        <rFont val="宋体"/>
        <family val="3"/>
        <charset val="134"/>
      </rPr>
      <t>授与日</t>
    </r>
  </si>
  <si>
    <r>
      <rPr>
        <b/>
        <sz val="10"/>
        <rFont val="宋体"/>
        <family val="3"/>
        <charset val="134"/>
      </rPr>
      <t>本期授出</t>
    </r>
  </si>
  <si>
    <r>
      <rPr>
        <b/>
        <sz val="10"/>
        <rFont val="宋体"/>
        <family val="3"/>
        <charset val="134"/>
      </rPr>
      <t>本期行权</t>
    </r>
  </si>
  <si>
    <r>
      <rPr>
        <b/>
        <sz val="10"/>
        <rFont val="宋体"/>
        <family val="3"/>
        <charset val="134"/>
      </rPr>
      <t>本期失效</t>
    </r>
  </si>
  <si>
    <r>
      <rPr>
        <b/>
        <sz val="10"/>
        <rFont val="宋体"/>
        <family val="3"/>
        <charset val="134"/>
      </rPr>
      <t>本期注销</t>
    </r>
  </si>
  <si>
    <r>
      <rPr>
        <b/>
        <sz val="10"/>
        <rFont val="宋体"/>
        <family val="3"/>
        <charset val="134"/>
      </rPr>
      <t>年末余额</t>
    </r>
  </si>
  <si>
    <r>
      <rPr>
        <b/>
        <sz val="10"/>
        <rFont val="宋体"/>
        <family val="3"/>
        <charset val="134"/>
      </rPr>
      <t>行权期限</t>
    </r>
  </si>
  <si>
    <r>
      <rPr>
        <b/>
        <sz val="10"/>
        <rFont val="宋体"/>
        <family val="3"/>
        <charset val="134"/>
      </rPr>
      <t>每股行权价</t>
    </r>
  </si>
  <si>
    <r>
      <rPr>
        <b/>
        <sz val="10"/>
        <rFont val="宋体"/>
        <family val="3"/>
        <charset val="134"/>
      </rPr>
      <t>资本公积</t>
    </r>
    <r>
      <rPr>
        <b/>
        <sz val="10"/>
        <rFont val="Arial Narrow"/>
        <family val="2"/>
      </rPr>
      <t>-</t>
    </r>
    <r>
      <rPr>
        <b/>
        <sz val="10"/>
        <rFont val="宋体"/>
        <family val="3"/>
        <charset val="134"/>
      </rPr>
      <t>购股权准备余额</t>
    </r>
  </si>
  <si>
    <r>
      <rPr>
        <sz val="10"/>
        <color indexed="12"/>
        <rFont val="Arial Narrow"/>
        <family val="2"/>
      </rPr>
      <t>(</t>
    </r>
    <r>
      <rPr>
        <sz val="10"/>
        <color indexed="12"/>
        <rFont val="宋体"/>
        <family val="3"/>
        <charset val="134"/>
      </rPr>
      <t>有多种计划的情况，照此披露</t>
    </r>
    <r>
      <rPr>
        <sz val="10"/>
        <color indexed="12"/>
        <rFont val="Arial Narrow"/>
        <family val="2"/>
      </rPr>
      <t>)</t>
    </r>
  </si>
  <si>
    <r>
      <rPr>
        <sz val="10"/>
        <color indexed="12"/>
        <rFont val="Arial Narrow"/>
        <family val="2"/>
      </rPr>
      <t>2</t>
    </r>
    <r>
      <rPr>
        <sz val="10"/>
        <color indexed="12"/>
        <rFont val="宋体"/>
        <family val="3"/>
        <charset val="134"/>
      </rPr>
      <t>、以权益结算的股份支付的，应披露授予日权益工具公允价值的确定方法；以现金结算的股份支付的，应披露公司承担的、以股份或其他权益工具为基础计算确定的负债的公允价值确定方法。</t>
    </r>
  </si>
  <si>
    <r>
      <rPr>
        <sz val="10"/>
        <color indexed="12"/>
        <rFont val="Arial Narrow"/>
        <family val="2"/>
      </rPr>
      <t>3</t>
    </r>
    <r>
      <rPr>
        <sz val="10"/>
        <color indexed="12"/>
        <rFont val="宋体"/>
        <family val="3"/>
        <charset val="134"/>
      </rPr>
      <t>、公司对股份支付进行修改的，应披露修改原因、主要修改条款：</t>
    </r>
  </si>
  <si>
    <r>
      <rPr>
        <b/>
        <sz val="12"/>
        <rFont val="宋体"/>
        <family val="3"/>
        <charset val="134"/>
      </rPr>
      <t>或有事项</t>
    </r>
  </si>
  <si>
    <r>
      <rPr>
        <b/>
        <sz val="10"/>
        <rFont val="宋体"/>
        <family val="3"/>
        <charset val="134"/>
      </rPr>
      <t>或有事项描述</t>
    </r>
  </si>
  <si>
    <r>
      <rPr>
        <b/>
        <sz val="10"/>
        <rFont val="宋体"/>
        <family val="3"/>
        <charset val="134"/>
      </rPr>
      <t>预计对财务报表的影响</t>
    </r>
  </si>
  <si>
    <r>
      <rPr>
        <sz val="10"/>
        <rFont val="Arial Narrow"/>
        <family val="2"/>
      </rPr>
      <t>1</t>
    </r>
    <r>
      <rPr>
        <sz val="10"/>
        <rFont val="宋体"/>
        <family val="3"/>
        <charset val="134"/>
      </rPr>
      <t>、</t>
    </r>
  </si>
  <si>
    <r>
      <rPr>
        <sz val="10"/>
        <rFont val="Arial Narrow"/>
        <family val="2"/>
      </rPr>
      <t>2</t>
    </r>
    <r>
      <rPr>
        <sz val="10"/>
        <rFont val="宋体"/>
        <family val="3"/>
        <charset val="134"/>
      </rPr>
      <t>、</t>
    </r>
  </si>
  <si>
    <r>
      <rPr>
        <sz val="10"/>
        <rFont val="Arial Narrow"/>
        <family val="2"/>
      </rPr>
      <t>3</t>
    </r>
    <r>
      <rPr>
        <sz val="10"/>
        <rFont val="宋体"/>
        <family val="3"/>
        <charset val="134"/>
      </rPr>
      <t>、</t>
    </r>
  </si>
  <si>
    <r>
      <rPr>
        <sz val="10"/>
        <color indexed="12"/>
        <rFont val="宋体"/>
        <family val="3"/>
        <charset val="134"/>
      </rPr>
      <t>或有负债应按未决诉讼或仲裁形成的或有负债、对外提供担保形成的或有负债、其他或有负债（不包括极小可能导致经济利益流出公司的或有负债）等分项披露该事项形成的原因、预计产生的财务影响（如无法预计，应说明理由）、获得补偿的可能性。</t>
    </r>
  </si>
  <si>
    <r>
      <rPr>
        <b/>
        <sz val="12"/>
        <rFont val="宋体"/>
        <family val="3"/>
        <charset val="134"/>
      </rPr>
      <t>承诺事项</t>
    </r>
  </si>
  <si>
    <r>
      <rPr>
        <sz val="10"/>
        <color indexed="12"/>
        <rFont val="宋体"/>
        <family val="3"/>
        <charset val="134"/>
      </rPr>
      <t>对于资产负债表日存在的重大承诺事项，应在财务报表附注中按已签订的尚未履行或尚未完全履行的对外投资合同及有关财务支出、已签订的正在或准备履行的大额发包合同、已签订的正在或准备履行的租赁合同及财务影响、已签订的正在或准备履行的并购协议、已签订的正在或准备履行的重组计划、其他重大财务承诺等分项说明其存在的原因和金额。</t>
    </r>
  </si>
  <si>
    <r>
      <rPr>
        <b/>
        <sz val="12"/>
        <rFont val="宋体"/>
        <family val="3"/>
        <charset val="134"/>
      </rPr>
      <t>资产负债表日后事项</t>
    </r>
  </si>
  <si>
    <r>
      <rPr>
        <b/>
        <sz val="10"/>
        <rFont val="宋体"/>
        <family val="3"/>
        <charset val="134"/>
      </rPr>
      <t>资产负债表日后事项事项描述</t>
    </r>
  </si>
  <si>
    <t xml:space="preserve">无法估计影响数的原因
</t>
  </si>
  <si>
    <t>股票和债券的发行</t>
  </si>
  <si>
    <t>重要的对外投资</t>
  </si>
  <si>
    <t>重要的债务重组</t>
  </si>
  <si>
    <t>自然灾害</t>
  </si>
  <si>
    <t>外汇汇率重要变动</t>
  </si>
  <si>
    <t>如果非流动资产或处置组在资产负债表日至财务报告批准报出日之间满足持有待售类别划分条件的，应当作为资产负债表日后非调整事项进行会计处理，并在“附注十三-资产负债表日后事项”中披露持有待售的非流动资产或处置组的出售费用和主要类别，以及每个类别的账面价值和公允价值；持有待售的非流动资产或处置组的出售原因、方式和时间安排；列报持有待售的非流动资产或处置组的分部。</t>
  </si>
  <si>
    <r>
      <rPr>
        <b/>
        <sz val="12"/>
        <rFont val="宋体"/>
        <family val="3"/>
        <charset val="134"/>
      </rPr>
      <t>其他重要事项</t>
    </r>
  </si>
  <si>
    <r>
      <rPr>
        <b/>
        <sz val="10"/>
        <rFont val="宋体"/>
        <family val="3"/>
        <charset val="134"/>
      </rPr>
      <t>其他重要事项描述</t>
    </r>
  </si>
  <si>
    <r>
      <rPr>
        <sz val="10"/>
        <color indexed="12"/>
        <rFont val="宋体"/>
        <family val="3"/>
        <charset val="134"/>
      </rPr>
      <t>报告期内发生资产置换、转让及出售行为的公司，应专项披露资产置换的详细情况，包括资产账面价值、转让金额、转让原因以及对公司财务状况、经营成果的影响等。
其他对投资者决策有影响的重要事项，应分项说明。</t>
    </r>
  </si>
  <si>
    <r>
      <rPr>
        <sz val="10"/>
        <rFont val="Arial Narrow"/>
        <family val="2"/>
      </rPr>
      <t>1</t>
    </r>
    <r>
      <rPr>
        <sz val="10"/>
        <rFont val="宋体"/>
        <family val="3"/>
        <charset val="134"/>
      </rPr>
      <t>、企业合并</t>
    </r>
  </si>
  <si>
    <r>
      <rPr>
        <sz val="10"/>
        <rFont val="宋体"/>
        <family val="3"/>
        <charset val="134"/>
      </rPr>
      <t>（</t>
    </r>
    <r>
      <rPr>
        <sz val="10"/>
        <rFont val="Arial Narrow"/>
        <family val="2"/>
      </rPr>
      <t>1</t>
    </r>
    <r>
      <rPr>
        <sz val="10"/>
        <rFont val="宋体"/>
        <family val="3"/>
        <charset val="134"/>
      </rPr>
      <t>）同一控制下企业合并</t>
    </r>
  </si>
  <si>
    <r>
      <rPr>
        <sz val="10"/>
        <color indexed="10"/>
        <rFont val="Arial Narrow"/>
        <family val="2"/>
      </rPr>
      <t>[20XX</t>
    </r>
    <r>
      <rPr>
        <sz val="10"/>
        <color indexed="10"/>
        <rFont val="宋体"/>
        <family val="3"/>
        <charset val="134"/>
      </rPr>
      <t>年</t>
    </r>
    <r>
      <rPr>
        <sz val="10"/>
        <color indexed="10"/>
        <rFont val="Arial Narrow"/>
        <family val="2"/>
      </rPr>
      <t>[X]</t>
    </r>
    <r>
      <rPr>
        <sz val="10"/>
        <color indexed="10"/>
        <rFont val="宋体"/>
        <family val="3"/>
        <charset val="134"/>
      </rPr>
      <t>月，本公司以现金</t>
    </r>
    <r>
      <rPr>
        <sz val="10"/>
        <color indexed="10"/>
        <rFont val="Arial Narrow"/>
        <family val="2"/>
      </rPr>
      <t>[X]</t>
    </r>
    <r>
      <rPr>
        <sz val="10"/>
        <color indexed="10"/>
        <rFont val="宋体"/>
        <family val="3"/>
        <charset val="134"/>
      </rPr>
      <t>万元吸收合并了</t>
    </r>
    <r>
      <rPr>
        <sz val="10"/>
        <color indexed="10"/>
        <rFont val="Arial Narrow"/>
        <family val="2"/>
      </rPr>
      <t>[X</t>
    </r>
    <r>
      <rPr>
        <sz val="10"/>
        <color indexed="10"/>
        <rFont val="宋体"/>
        <family val="3"/>
        <charset val="134"/>
      </rPr>
      <t>公司</t>
    </r>
    <r>
      <rPr>
        <sz val="10"/>
        <color indexed="10"/>
        <rFont val="Arial Narrow"/>
        <family val="2"/>
      </rPr>
      <t>]</t>
    </r>
    <r>
      <rPr>
        <sz val="10"/>
        <color indexed="10"/>
        <rFont val="宋体"/>
        <family val="3"/>
        <charset val="134"/>
      </rPr>
      <t>，</t>
    </r>
    <r>
      <rPr>
        <sz val="10"/>
        <color indexed="10"/>
        <rFont val="Arial Narrow"/>
        <family val="2"/>
      </rPr>
      <t>[X</t>
    </r>
    <r>
      <rPr>
        <sz val="10"/>
        <color indexed="10"/>
        <rFont val="宋体"/>
        <family val="3"/>
        <charset val="134"/>
      </rPr>
      <t>公司</t>
    </r>
    <r>
      <rPr>
        <sz val="10"/>
        <color indexed="10"/>
        <rFont val="Arial Narrow"/>
        <family val="2"/>
      </rPr>
      <t>]</t>
    </r>
    <r>
      <rPr>
        <sz val="10"/>
        <color indexed="10"/>
        <rFont val="宋体"/>
        <family val="3"/>
        <charset val="134"/>
      </rPr>
      <t>系本公司的母公司</t>
    </r>
    <r>
      <rPr>
        <sz val="10"/>
        <color indexed="10"/>
        <rFont val="Arial Narrow"/>
        <family val="2"/>
      </rPr>
      <t>——[S</t>
    </r>
    <r>
      <rPr>
        <sz val="10"/>
        <color indexed="10"/>
        <rFont val="宋体"/>
        <family val="3"/>
        <charset val="134"/>
      </rPr>
      <t>公司</t>
    </r>
    <r>
      <rPr>
        <sz val="10"/>
        <color indexed="10"/>
        <rFont val="Arial Narrow"/>
        <family val="2"/>
      </rPr>
      <t>]</t>
    </r>
    <r>
      <rPr>
        <sz val="10"/>
        <color indexed="10"/>
        <rFont val="宋体"/>
        <family val="3"/>
        <charset val="134"/>
      </rPr>
      <t>的子公司，由于合并前后合并双方均受</t>
    </r>
    <r>
      <rPr>
        <sz val="10"/>
        <color indexed="10"/>
        <rFont val="Arial Narrow"/>
        <family val="2"/>
      </rPr>
      <t>[S</t>
    </r>
    <r>
      <rPr>
        <sz val="10"/>
        <color indexed="10"/>
        <rFont val="宋体"/>
        <family val="3"/>
        <charset val="134"/>
      </rPr>
      <t>公司</t>
    </r>
    <r>
      <rPr>
        <sz val="10"/>
        <color indexed="10"/>
        <rFont val="Arial Narrow"/>
        <family val="2"/>
      </rPr>
      <t>]</t>
    </r>
    <r>
      <rPr>
        <sz val="10"/>
        <color indexed="10"/>
        <rFont val="宋体"/>
        <family val="3"/>
        <charset val="134"/>
      </rPr>
      <t>控制且该控制并非暂时性，故本合并属同一控制下的企业合并，合并日确定为</t>
    </r>
    <r>
      <rPr>
        <sz val="10"/>
        <color indexed="10"/>
        <rFont val="Arial Narrow"/>
        <family val="2"/>
      </rPr>
      <t>[X</t>
    </r>
    <r>
      <rPr>
        <sz val="10"/>
        <color indexed="10"/>
        <rFont val="宋体"/>
        <family val="3"/>
        <charset val="134"/>
      </rPr>
      <t>月</t>
    </r>
    <r>
      <rPr>
        <sz val="10"/>
        <color indexed="10"/>
        <rFont val="Arial Narrow"/>
        <family val="2"/>
      </rPr>
      <t>XX</t>
    </r>
    <r>
      <rPr>
        <sz val="10"/>
        <color indexed="10"/>
        <rFont val="宋体"/>
        <family val="3"/>
        <charset val="134"/>
      </rPr>
      <t>日</t>
    </r>
    <r>
      <rPr>
        <sz val="10"/>
        <color indexed="10"/>
        <rFont val="Arial Narrow"/>
        <family val="2"/>
      </rPr>
      <t>]</t>
    </r>
    <r>
      <rPr>
        <sz val="10"/>
        <color indexed="10"/>
        <rFont val="宋体"/>
        <family val="3"/>
        <charset val="134"/>
      </rPr>
      <t>。</t>
    </r>
    <r>
      <rPr>
        <sz val="10"/>
        <color indexed="10"/>
        <rFont val="Arial Narrow"/>
        <family val="2"/>
      </rPr>
      <t>(</t>
    </r>
    <r>
      <rPr>
        <sz val="10"/>
        <color indexed="10"/>
        <rFont val="宋体"/>
        <family val="3"/>
        <charset val="134"/>
      </rPr>
      <t>披露确定合并日的依据。</t>
    </r>
    <r>
      <rPr>
        <sz val="10"/>
        <color indexed="10"/>
        <rFont val="Arial Narrow"/>
        <family val="2"/>
      </rPr>
      <t>)</t>
    </r>
    <r>
      <rPr>
        <sz val="10"/>
        <color indexed="10"/>
        <rFont val="宋体"/>
        <family val="3"/>
        <charset val="134"/>
      </rPr>
      <t>本公司与</t>
    </r>
    <r>
      <rPr>
        <sz val="10"/>
        <color indexed="10"/>
        <rFont val="Arial Narrow"/>
        <family val="2"/>
      </rPr>
      <t>[X</t>
    </r>
    <r>
      <rPr>
        <sz val="10"/>
        <color indexed="10"/>
        <rFont val="宋体"/>
        <family val="3"/>
        <charset val="134"/>
      </rPr>
      <t>公司</t>
    </r>
    <r>
      <rPr>
        <sz val="10"/>
        <color indexed="10"/>
        <rFont val="Arial Narrow"/>
        <family val="2"/>
      </rPr>
      <t>]</t>
    </r>
    <r>
      <rPr>
        <sz val="10"/>
        <color indexed="10"/>
        <rFont val="宋体"/>
        <family val="3"/>
        <charset val="134"/>
      </rPr>
      <t>的吸收合并中取得的资产及负债，均按照合并日在被合并方的账面价值计量。</t>
    </r>
    <r>
      <rPr>
        <sz val="10"/>
        <color indexed="12"/>
        <rFont val="Arial Narrow"/>
        <family val="2"/>
      </rPr>
      <t>(</t>
    </r>
    <r>
      <rPr>
        <sz val="10"/>
        <color indexed="12"/>
        <rFont val="宋体"/>
        <family val="3"/>
        <charset val="134"/>
      </rPr>
      <t>描述合并的具体情况。</t>
    </r>
    <r>
      <rPr>
        <sz val="10"/>
        <color indexed="12"/>
        <rFont val="Arial Narrow"/>
        <family val="2"/>
      </rPr>
      <t>)</t>
    </r>
    <r>
      <rPr>
        <sz val="10"/>
        <color indexed="10"/>
        <rFont val="Arial Narrow"/>
        <family val="2"/>
      </rPr>
      <t>]</t>
    </r>
  </si>
  <si>
    <r>
      <rPr>
        <sz val="10"/>
        <color indexed="12"/>
        <rFont val="Arial Narrow"/>
        <family val="2"/>
      </rPr>
      <t>[X</t>
    </r>
    <r>
      <rPr>
        <sz val="10"/>
        <color indexed="12"/>
        <rFont val="宋体"/>
        <family val="3"/>
        <charset val="134"/>
      </rPr>
      <t>公司</t>
    </r>
    <r>
      <rPr>
        <sz val="10"/>
        <color indexed="12"/>
        <rFont val="Arial Narrow"/>
        <family val="2"/>
      </rPr>
      <t>]</t>
    </r>
    <r>
      <rPr>
        <sz val="10"/>
        <color indexed="12"/>
        <rFont val="宋体"/>
        <family val="3"/>
        <charset val="134"/>
      </rPr>
      <t>在合并日、上一会计期间资产负债表日资产及负债的账面价值如下：</t>
    </r>
  </si>
  <si>
    <r>
      <rPr>
        <b/>
        <sz val="10"/>
        <color indexed="12"/>
        <rFont val="宋体"/>
        <family val="3"/>
        <charset val="134"/>
      </rPr>
      <t>合并日</t>
    </r>
  </si>
  <si>
    <r>
      <rPr>
        <b/>
        <sz val="10"/>
        <color indexed="12"/>
        <rFont val="Arial Narrow"/>
        <family val="2"/>
      </rPr>
      <t>XX</t>
    </r>
    <r>
      <rPr>
        <b/>
        <sz val="10"/>
        <color indexed="12"/>
        <rFont val="宋体"/>
        <family val="3"/>
        <charset val="134"/>
      </rPr>
      <t>年</t>
    </r>
    <r>
      <rPr>
        <b/>
        <sz val="10"/>
        <color indexed="12"/>
        <rFont val="Arial Narrow"/>
        <family val="2"/>
      </rPr>
      <t>X</t>
    </r>
    <r>
      <rPr>
        <b/>
        <sz val="10"/>
        <color indexed="12"/>
        <rFont val="宋体"/>
        <family val="3"/>
        <charset val="134"/>
      </rPr>
      <t>月</t>
    </r>
    <r>
      <rPr>
        <b/>
        <sz val="10"/>
        <color indexed="12"/>
        <rFont val="Arial Narrow"/>
        <family val="2"/>
      </rPr>
      <t>X</t>
    </r>
    <r>
      <rPr>
        <b/>
        <sz val="10"/>
        <color indexed="12"/>
        <rFont val="宋体"/>
        <family val="3"/>
        <charset val="134"/>
      </rPr>
      <t>日</t>
    </r>
  </si>
  <si>
    <r>
      <rPr>
        <sz val="10"/>
        <rFont val="宋体"/>
        <family val="3"/>
        <charset val="134"/>
      </rPr>
      <t>长期投资</t>
    </r>
  </si>
  <si>
    <r>
      <rPr>
        <sz val="10"/>
        <rFont val="宋体"/>
        <family val="3"/>
        <charset val="134"/>
      </rPr>
      <t>无形资产及其他资产</t>
    </r>
  </si>
  <si>
    <r>
      <rPr>
        <sz val="10"/>
        <rFont val="宋体"/>
        <family val="3"/>
        <charset val="134"/>
      </rPr>
      <t>减：流动负债</t>
    </r>
  </si>
  <si>
    <r>
      <rPr>
        <sz val="10"/>
        <rFont val="宋体"/>
        <family val="3"/>
        <charset val="134"/>
      </rPr>
      <t>长期负债</t>
    </r>
  </si>
  <si>
    <r>
      <rPr>
        <sz val="10"/>
        <rFont val="宋体"/>
        <family val="3"/>
        <charset val="134"/>
      </rPr>
      <t>取得净资产</t>
    </r>
  </si>
  <si>
    <r>
      <rPr>
        <sz val="10"/>
        <rFont val="宋体"/>
        <family val="3"/>
        <charset val="134"/>
      </rPr>
      <t>合并差额（计入权益）</t>
    </r>
  </si>
  <si>
    <r>
      <rPr>
        <sz val="10"/>
        <rFont val="宋体"/>
        <family val="3"/>
        <charset val="134"/>
      </rPr>
      <t>合并成本</t>
    </r>
  </si>
  <si>
    <r>
      <rPr>
        <sz val="10"/>
        <rFont val="Arial Narrow"/>
        <family val="2"/>
      </rPr>
      <t>[X</t>
    </r>
    <r>
      <rPr>
        <sz val="10"/>
        <rFont val="宋体"/>
        <family val="3"/>
        <charset val="134"/>
      </rPr>
      <t>公司</t>
    </r>
    <r>
      <rPr>
        <sz val="10"/>
        <rFont val="Arial Narrow"/>
        <family val="2"/>
      </rPr>
      <t>]</t>
    </r>
    <r>
      <rPr>
        <sz val="10"/>
        <rFont val="宋体"/>
        <family val="3"/>
        <charset val="134"/>
      </rPr>
      <t>自年初至合并日的经营成果和现金流量列示如下：</t>
    </r>
  </si>
  <si>
    <t xml:space="preserve">    </t>
  </si>
  <si>
    <r>
      <rPr>
        <b/>
        <sz val="10"/>
        <color indexed="12"/>
        <rFont val="Arial Narrow"/>
        <family val="2"/>
      </rPr>
      <t>20XX</t>
    </r>
    <r>
      <rPr>
        <b/>
        <sz val="10"/>
        <color indexed="12"/>
        <rFont val="宋体"/>
        <family val="3"/>
        <charset val="134"/>
      </rPr>
      <t>年</t>
    </r>
    <r>
      <rPr>
        <b/>
        <sz val="10"/>
        <color indexed="12"/>
        <rFont val="Arial Narrow"/>
        <family val="2"/>
      </rPr>
      <t>1</t>
    </r>
    <r>
      <rPr>
        <b/>
        <sz val="10"/>
        <color indexed="12"/>
        <rFont val="宋体"/>
        <family val="3"/>
        <charset val="134"/>
      </rPr>
      <t>月</t>
    </r>
    <r>
      <rPr>
        <b/>
        <sz val="10"/>
        <color indexed="12"/>
        <rFont val="Arial Narrow"/>
        <family val="2"/>
      </rPr>
      <t>1</t>
    </r>
    <r>
      <rPr>
        <b/>
        <sz val="10"/>
        <color indexed="12"/>
        <rFont val="宋体"/>
        <family val="3"/>
        <charset val="134"/>
      </rPr>
      <t>日至</t>
    </r>
    <r>
      <rPr>
        <b/>
        <sz val="10"/>
        <color indexed="12"/>
        <rFont val="Arial Narrow"/>
        <family val="2"/>
      </rPr>
      <t>X</t>
    </r>
    <r>
      <rPr>
        <b/>
        <sz val="10"/>
        <color indexed="12"/>
        <rFont val="宋体"/>
        <family val="3"/>
        <charset val="134"/>
      </rPr>
      <t>月</t>
    </r>
    <r>
      <rPr>
        <b/>
        <sz val="10"/>
        <color indexed="12"/>
        <rFont val="Arial Narrow"/>
        <family val="2"/>
      </rPr>
      <t>X</t>
    </r>
    <r>
      <rPr>
        <b/>
        <sz val="10"/>
        <color indexed="12"/>
        <rFont val="宋体"/>
        <family val="3"/>
        <charset val="134"/>
      </rPr>
      <t>日期间</t>
    </r>
  </si>
  <si>
    <r>
      <rPr>
        <sz val="10"/>
        <rFont val="宋体"/>
        <family val="3"/>
        <charset val="134"/>
      </rPr>
      <t>现金流量净额</t>
    </r>
  </si>
  <si>
    <r>
      <rPr>
        <sz val="10"/>
        <rFont val="Arial Narrow"/>
        <family val="2"/>
      </rPr>
      <t xml:space="preserve"> </t>
    </r>
    <r>
      <rPr>
        <sz val="10"/>
        <rFont val="宋体"/>
        <family val="3"/>
        <charset val="134"/>
      </rPr>
      <t>取得上述子公司的现金流量净额分析如下：</t>
    </r>
  </si>
  <si>
    <r>
      <rPr>
        <sz val="10"/>
        <rFont val="宋体"/>
        <family val="3"/>
        <charset val="134"/>
      </rPr>
      <t>取得子公司的价格</t>
    </r>
  </si>
  <si>
    <r>
      <rPr>
        <sz val="10"/>
        <rFont val="宋体"/>
        <family val="3"/>
        <charset val="134"/>
      </rPr>
      <t>取得子公司支付的现金</t>
    </r>
  </si>
  <si>
    <r>
      <rPr>
        <sz val="10"/>
        <rFont val="宋体"/>
        <family val="3"/>
        <charset val="134"/>
      </rPr>
      <t>减：子公司持有的现金</t>
    </r>
  </si>
  <si>
    <r>
      <rPr>
        <sz val="10"/>
        <rFont val="宋体"/>
        <family val="3"/>
        <charset val="134"/>
      </rPr>
      <t>取得子公司支付的现金流量净额</t>
    </r>
  </si>
  <si>
    <r>
      <rPr>
        <sz val="10"/>
        <rFont val="Arial Narrow"/>
        <family val="2"/>
      </rPr>
      <t>[(</t>
    </r>
    <r>
      <rPr>
        <sz val="10"/>
        <color indexed="12"/>
        <rFont val="宋体"/>
        <family val="3"/>
        <charset val="134"/>
      </rPr>
      <t>企业合并发生当期的期末，合并方应当披露与同一控制下企业合并有关的下列信息：</t>
    </r>
    <r>
      <rPr>
        <sz val="10"/>
        <color indexed="12"/>
        <rFont val="Arial Narrow"/>
        <family val="2"/>
      </rPr>
      <t>(1)</t>
    </r>
    <r>
      <rPr>
        <sz val="10"/>
        <color indexed="12"/>
        <rFont val="宋体"/>
        <family val="3"/>
        <charset val="134"/>
      </rPr>
      <t>以支付现金、转让非现金资产以及承担债务作为合并对价的，所支付对价在合并日的账面价值；以发行权益性证券作为合并对价的，合并中发行权益性证券的数量及定价原则，以及参与合并各方交换有表决权股份的比例。</t>
    </r>
    <r>
      <rPr>
        <sz val="10"/>
        <color indexed="12"/>
        <rFont val="Arial Narrow"/>
        <family val="2"/>
      </rPr>
      <t>(2)</t>
    </r>
    <r>
      <rPr>
        <sz val="10"/>
        <color indexed="12"/>
        <rFont val="宋体"/>
        <family val="3"/>
        <charset val="134"/>
      </rPr>
      <t>合并合同或协议约定将承担被合并方或有负债的情况。</t>
    </r>
    <r>
      <rPr>
        <sz val="10"/>
        <color indexed="12"/>
        <rFont val="Arial Narrow"/>
        <family val="2"/>
      </rPr>
      <t>(3)</t>
    </r>
    <r>
      <rPr>
        <sz val="10"/>
        <color indexed="12"/>
        <rFont val="宋体"/>
        <family val="3"/>
        <charset val="134"/>
      </rPr>
      <t>被合并方采用的会计政策与合并方不一致所作调整情况的说明。</t>
    </r>
    <r>
      <rPr>
        <sz val="10"/>
        <color indexed="12"/>
        <rFont val="Arial Narrow"/>
        <family val="2"/>
      </rPr>
      <t>(4)</t>
    </r>
    <r>
      <rPr>
        <sz val="10"/>
        <color indexed="12"/>
        <rFont val="宋体"/>
        <family val="3"/>
        <charset val="134"/>
      </rPr>
      <t>合并后已处置或准备处置被合并方资产、负债的账面价值、处置价格等。</t>
    </r>
    <r>
      <rPr>
        <sz val="10"/>
        <color indexed="12"/>
        <rFont val="Arial Narrow"/>
        <family val="2"/>
      </rPr>
      <t>)]</t>
    </r>
  </si>
  <si>
    <r>
      <rPr>
        <sz val="10"/>
        <rFont val="Arial Narrow"/>
        <family val="2"/>
      </rPr>
      <t>[</t>
    </r>
    <r>
      <rPr>
        <sz val="10"/>
        <color indexed="12"/>
        <rFont val="宋体"/>
        <family val="3"/>
        <charset val="134"/>
      </rPr>
      <t>对同一子公司股权在连续两个会计年度买入再卖出或卖出再买入的，应披露相关的会计处理。</t>
    </r>
    <r>
      <rPr>
        <sz val="10"/>
        <color indexed="12"/>
        <rFont val="Arial Narrow"/>
        <family val="2"/>
      </rPr>
      <t>)]</t>
    </r>
  </si>
  <si>
    <r>
      <rPr>
        <sz val="10"/>
        <rFont val="宋体"/>
        <family val="3"/>
        <charset val="134"/>
      </rPr>
      <t>（</t>
    </r>
    <r>
      <rPr>
        <sz val="10"/>
        <rFont val="Arial Narrow"/>
        <family val="2"/>
      </rPr>
      <t>2</t>
    </r>
    <r>
      <rPr>
        <sz val="10"/>
        <rFont val="宋体"/>
        <family val="3"/>
        <charset val="134"/>
      </rPr>
      <t>）非同一控制下企业合并</t>
    </r>
  </si>
  <si>
    <r>
      <rPr>
        <sz val="10"/>
        <rFont val="Arial Narrow"/>
        <family val="2"/>
      </rPr>
      <t>[</t>
    </r>
    <r>
      <rPr>
        <sz val="10"/>
        <color indexed="12"/>
        <rFont val="宋体"/>
        <family val="3"/>
        <charset val="134"/>
      </rPr>
      <t>本年内，本公司取得了</t>
    </r>
    <r>
      <rPr>
        <sz val="10"/>
        <color indexed="12"/>
        <rFont val="Arial Narrow"/>
        <family val="2"/>
      </rPr>
      <t>[B</t>
    </r>
    <r>
      <rPr>
        <sz val="10"/>
        <color indexed="12"/>
        <rFont val="宋体"/>
        <family val="3"/>
        <charset val="134"/>
      </rPr>
      <t>公司</t>
    </r>
    <r>
      <rPr>
        <sz val="10"/>
        <color indexed="12"/>
        <rFont val="Arial Narrow"/>
        <family val="2"/>
      </rPr>
      <t>][90%]</t>
    </r>
    <r>
      <rPr>
        <sz val="10"/>
        <color indexed="12"/>
        <rFont val="宋体"/>
        <family val="3"/>
        <charset val="134"/>
      </rPr>
      <t>股权，合并成本为现金</t>
    </r>
    <r>
      <rPr>
        <sz val="10"/>
        <color indexed="12"/>
        <rFont val="Arial Narrow"/>
        <family val="2"/>
      </rPr>
      <t>[   ]</t>
    </r>
    <r>
      <rPr>
        <sz val="10"/>
        <color indexed="12"/>
        <rFont val="宋体"/>
        <family val="3"/>
        <charset val="134"/>
      </rPr>
      <t>元及</t>
    </r>
    <r>
      <rPr>
        <sz val="10"/>
        <color indexed="12"/>
        <rFont val="Arial Narrow"/>
        <family val="2"/>
      </rPr>
      <t>[</t>
    </r>
    <r>
      <rPr>
        <sz val="10"/>
        <color indexed="12"/>
        <rFont val="宋体"/>
        <family val="3"/>
        <charset val="134"/>
      </rPr>
      <t>其他资产</t>
    </r>
    <r>
      <rPr>
        <sz val="10"/>
        <color indexed="12"/>
        <rFont val="Arial Narrow"/>
        <family val="2"/>
      </rPr>
      <t>][</t>
    </r>
    <r>
      <rPr>
        <sz val="10"/>
        <color indexed="12"/>
        <rFont val="宋体"/>
        <family val="3"/>
        <charset val="134"/>
      </rPr>
      <t>账面价值</t>
    </r>
    <r>
      <rPr>
        <sz val="10"/>
        <color indexed="12"/>
        <rFont val="Arial Narrow"/>
        <family val="2"/>
      </rPr>
      <t>[  ]</t>
    </r>
    <r>
      <rPr>
        <sz val="10"/>
        <color indexed="12"/>
        <rFont val="宋体"/>
        <family val="3"/>
        <charset val="134"/>
      </rPr>
      <t>元，根据评估确定合并成本的公允价值</t>
    </r>
    <r>
      <rPr>
        <sz val="10"/>
        <color indexed="12"/>
        <rFont val="Arial Narrow"/>
        <family val="2"/>
      </rPr>
      <t>[  ]</t>
    </r>
    <r>
      <rPr>
        <sz val="10"/>
        <color indexed="12"/>
        <rFont val="宋体"/>
        <family val="3"/>
        <charset val="134"/>
      </rPr>
      <t>元</t>
    </r>
    <r>
      <rPr>
        <sz val="10"/>
        <color indexed="12"/>
        <rFont val="Arial Narrow"/>
        <family val="2"/>
      </rPr>
      <t>]</t>
    </r>
    <r>
      <rPr>
        <sz val="10"/>
        <color indexed="12"/>
        <rFont val="宋体"/>
        <family val="3"/>
        <charset val="134"/>
      </rPr>
      <t>，购买日确定为</t>
    </r>
    <r>
      <rPr>
        <sz val="10"/>
        <color indexed="12"/>
        <rFont val="Arial Narrow"/>
        <family val="2"/>
      </rPr>
      <t>8</t>
    </r>
    <r>
      <rPr>
        <sz val="10"/>
        <color indexed="12"/>
        <rFont val="宋体"/>
        <family val="3"/>
        <charset val="134"/>
      </rPr>
      <t>月</t>
    </r>
    <r>
      <rPr>
        <sz val="10"/>
        <color indexed="12"/>
        <rFont val="Arial Narrow"/>
        <family val="2"/>
      </rPr>
      <t>31</t>
    </r>
    <r>
      <rPr>
        <sz val="10"/>
        <color indexed="12"/>
        <rFont val="宋体"/>
        <family val="3"/>
        <charset val="134"/>
      </rPr>
      <t>日。</t>
    </r>
    <r>
      <rPr>
        <sz val="10"/>
        <color indexed="12"/>
        <rFont val="Arial Narrow"/>
        <family val="2"/>
      </rPr>
      <t>(</t>
    </r>
    <r>
      <rPr>
        <sz val="10"/>
        <color indexed="12"/>
        <rFont val="宋体"/>
        <family val="3"/>
        <charset val="134"/>
      </rPr>
      <t>披露确定购买日的依据。</t>
    </r>
    <r>
      <rPr>
        <sz val="10"/>
        <color indexed="12"/>
        <rFont val="Arial Narrow"/>
        <family val="2"/>
      </rPr>
      <t>)(</t>
    </r>
    <r>
      <rPr>
        <sz val="10"/>
        <color indexed="12"/>
        <rFont val="宋体"/>
        <family val="3"/>
        <charset val="134"/>
      </rPr>
      <t>描述合并的具体情况。</t>
    </r>
    <r>
      <rPr>
        <sz val="10"/>
        <color indexed="12"/>
        <rFont val="Arial Narrow"/>
        <family val="2"/>
      </rPr>
      <t>)]</t>
    </r>
  </si>
  <si>
    <r>
      <rPr>
        <sz val="10"/>
        <rFont val="Arial Narrow"/>
        <family val="2"/>
      </rPr>
      <t>[B</t>
    </r>
    <r>
      <rPr>
        <sz val="10"/>
        <rFont val="宋体"/>
        <family val="3"/>
        <charset val="134"/>
      </rPr>
      <t>公司</t>
    </r>
    <r>
      <rPr>
        <sz val="10"/>
        <rFont val="Arial Narrow"/>
        <family val="2"/>
      </rPr>
      <t>]</t>
    </r>
    <r>
      <rPr>
        <sz val="10"/>
        <rFont val="宋体"/>
        <family val="3"/>
        <charset val="134"/>
      </rPr>
      <t>的可辨认资产和负债</t>
    </r>
    <r>
      <rPr>
        <sz val="10"/>
        <rFont val="Arial Narrow"/>
        <family val="2"/>
      </rPr>
      <t>[</t>
    </r>
    <r>
      <rPr>
        <sz val="10"/>
        <rFont val="宋体"/>
        <family val="3"/>
        <charset val="134"/>
      </rPr>
      <t>及或有负债</t>
    </r>
    <r>
      <rPr>
        <sz val="10"/>
        <rFont val="Arial Narrow"/>
        <family val="2"/>
      </rPr>
      <t>]</t>
    </r>
    <r>
      <rPr>
        <sz val="10"/>
        <rFont val="宋体"/>
        <family val="3"/>
        <charset val="134"/>
      </rPr>
      <t>于购买日的公允价值、账面价值如下：</t>
    </r>
  </si>
  <si>
    <r>
      <rPr>
        <b/>
        <sz val="10"/>
        <rFont val="宋体"/>
        <family val="3"/>
        <charset val="134"/>
      </rPr>
      <t>购买日公允价值</t>
    </r>
  </si>
  <si>
    <r>
      <rPr>
        <b/>
        <sz val="10"/>
        <rFont val="宋体"/>
        <family val="3"/>
        <charset val="134"/>
      </rPr>
      <t>购买日账面价值</t>
    </r>
  </si>
  <si>
    <r>
      <rPr>
        <sz val="10"/>
        <rFont val="宋体"/>
        <family val="3"/>
        <charset val="134"/>
      </rPr>
      <t>购买取得净资产</t>
    </r>
  </si>
  <si>
    <r>
      <rPr>
        <sz val="10"/>
        <rFont val="宋体"/>
        <family val="3"/>
        <charset val="134"/>
      </rPr>
      <t>购买产生的商誉</t>
    </r>
    <r>
      <rPr>
        <sz val="10"/>
        <color indexed="12"/>
        <rFont val="Arial Narrow"/>
        <family val="2"/>
      </rPr>
      <t>/[</t>
    </r>
    <r>
      <rPr>
        <sz val="10"/>
        <color indexed="12"/>
        <rFont val="宋体"/>
        <family val="3"/>
        <charset val="134"/>
      </rPr>
      <t>超出合并成本计入当期损益部分</t>
    </r>
    <r>
      <rPr>
        <sz val="10"/>
        <color indexed="12"/>
        <rFont val="Arial Narrow"/>
        <family val="2"/>
      </rPr>
      <t>]</t>
    </r>
  </si>
  <si>
    <r>
      <rPr>
        <sz val="10"/>
        <rFont val="Arial Narrow"/>
        <family val="2"/>
      </rPr>
      <t>[B</t>
    </r>
    <r>
      <rPr>
        <sz val="10"/>
        <rFont val="宋体"/>
        <family val="3"/>
        <charset val="134"/>
      </rPr>
      <t>公司</t>
    </r>
    <r>
      <rPr>
        <sz val="10"/>
        <rFont val="Arial Narrow"/>
        <family val="2"/>
      </rPr>
      <t>]</t>
    </r>
    <r>
      <rPr>
        <sz val="10"/>
        <rFont val="宋体"/>
        <family val="3"/>
        <charset val="134"/>
      </rPr>
      <t>自购买日起至本年末的经营成果和现金流量列示如下：</t>
    </r>
  </si>
  <si>
    <r>
      <rPr>
        <b/>
        <sz val="10"/>
        <color indexed="12"/>
        <rFont val="Arial Narrow"/>
        <family val="2"/>
      </rPr>
      <t>20XX</t>
    </r>
    <r>
      <rPr>
        <b/>
        <sz val="10"/>
        <color indexed="12"/>
        <rFont val="宋体"/>
        <family val="3"/>
        <charset val="134"/>
      </rPr>
      <t>年</t>
    </r>
    <r>
      <rPr>
        <b/>
        <sz val="10"/>
        <color indexed="12"/>
        <rFont val="Arial Narrow"/>
        <family val="2"/>
      </rPr>
      <t>X</t>
    </r>
    <r>
      <rPr>
        <b/>
        <sz val="10"/>
        <color indexed="12"/>
        <rFont val="宋体"/>
        <family val="3"/>
        <charset val="134"/>
      </rPr>
      <t>月</t>
    </r>
    <r>
      <rPr>
        <b/>
        <sz val="10"/>
        <color indexed="12"/>
        <rFont val="Arial Narrow"/>
        <family val="2"/>
      </rPr>
      <t>X</t>
    </r>
    <r>
      <rPr>
        <b/>
        <sz val="10"/>
        <color indexed="12"/>
        <rFont val="宋体"/>
        <family val="3"/>
        <charset val="134"/>
      </rPr>
      <t>日至</t>
    </r>
    <r>
      <rPr>
        <b/>
        <sz val="10"/>
        <color indexed="12"/>
        <rFont val="Arial Narrow"/>
        <family val="2"/>
      </rPr>
      <t>12</t>
    </r>
    <r>
      <rPr>
        <b/>
        <sz val="10"/>
        <color indexed="12"/>
        <rFont val="宋体"/>
        <family val="3"/>
        <charset val="134"/>
      </rPr>
      <t>月</t>
    </r>
    <r>
      <rPr>
        <b/>
        <sz val="10"/>
        <color indexed="12"/>
        <rFont val="Arial Narrow"/>
        <family val="2"/>
      </rPr>
      <t>31</t>
    </r>
    <r>
      <rPr>
        <b/>
        <sz val="10"/>
        <color indexed="12"/>
        <rFont val="宋体"/>
        <family val="3"/>
        <charset val="134"/>
      </rPr>
      <t>日期间</t>
    </r>
  </si>
  <si>
    <r>
      <rPr>
        <sz val="10"/>
        <rFont val="Arial Narrow"/>
        <family val="2"/>
      </rPr>
      <t>[(</t>
    </r>
    <r>
      <rPr>
        <sz val="10"/>
        <color indexed="12"/>
        <rFont val="宋体"/>
        <family val="3"/>
        <charset val="134"/>
      </rPr>
      <t>企业合并发生当期的期末，购买方应当披露与非同一控制下企业合并有关的下列信息：</t>
    </r>
    <r>
      <rPr>
        <sz val="10"/>
        <color indexed="12"/>
        <rFont val="Arial Narrow"/>
        <family val="2"/>
      </rPr>
      <t>(1)</t>
    </r>
    <r>
      <rPr>
        <sz val="10"/>
        <color indexed="12"/>
        <rFont val="宋体"/>
        <family val="3"/>
        <charset val="134"/>
      </rPr>
      <t>合并成本的构成及其账面价值、公允价值及公允价值的确定方法。</t>
    </r>
    <r>
      <rPr>
        <sz val="10"/>
        <color indexed="12"/>
        <rFont val="Arial Narrow"/>
        <family val="2"/>
      </rPr>
      <t>(2)</t>
    </r>
    <r>
      <rPr>
        <sz val="10"/>
        <color indexed="12"/>
        <rFont val="宋体"/>
        <family val="3"/>
        <charset val="134"/>
      </rPr>
      <t>合同或协议约定将承担被购买方或有负债的情况。</t>
    </r>
    <r>
      <rPr>
        <sz val="10"/>
        <color indexed="12"/>
        <rFont val="Arial Narrow"/>
        <family val="2"/>
      </rPr>
      <t>(3)</t>
    </r>
    <r>
      <rPr>
        <sz val="10"/>
        <color indexed="12"/>
        <rFont val="宋体"/>
        <family val="3"/>
        <charset val="134"/>
      </rPr>
      <t>合并后已处置或准备处置被购买方资产、负债的账面价值、处置价格等。</t>
    </r>
    <r>
      <rPr>
        <sz val="10"/>
        <color indexed="12"/>
        <rFont val="Arial Narrow"/>
        <family val="2"/>
      </rPr>
      <t>)]</t>
    </r>
  </si>
  <si>
    <r>
      <rPr>
        <sz val="10"/>
        <rFont val="宋体"/>
        <family val="3"/>
        <charset val="134"/>
      </rPr>
      <t>取得上述子公司的现金流量净额分析如下：</t>
    </r>
  </si>
  <si>
    <r>
      <rPr>
        <sz val="10"/>
        <rFont val="Arial Narrow"/>
        <family val="2"/>
      </rPr>
      <t>2</t>
    </r>
    <r>
      <rPr>
        <sz val="10"/>
        <rFont val="宋体"/>
        <family val="3"/>
        <charset val="134"/>
      </rPr>
      <t>、处置子公司</t>
    </r>
  </si>
  <si>
    <r>
      <rPr>
        <sz val="10"/>
        <rFont val="宋体"/>
        <family val="3"/>
        <charset val="134"/>
      </rPr>
      <t>（</t>
    </r>
    <r>
      <rPr>
        <sz val="10"/>
        <rFont val="Arial Narrow"/>
        <family val="2"/>
      </rPr>
      <t>1</t>
    </r>
    <r>
      <rPr>
        <sz val="10"/>
        <rFont val="宋体"/>
        <family val="3"/>
        <charset val="134"/>
      </rPr>
      <t>）本年不再纳入合并范围的原子公司</t>
    </r>
  </si>
  <si>
    <r>
      <rPr>
        <b/>
        <sz val="10"/>
        <rFont val="宋体"/>
        <family val="3"/>
        <charset val="134"/>
      </rPr>
      <t>本公司投资额</t>
    </r>
  </si>
  <si>
    <r>
      <rPr>
        <b/>
        <sz val="10"/>
        <rFont val="宋体"/>
        <family val="3"/>
        <charset val="134"/>
      </rPr>
      <t>本公司合计的持股比例</t>
    </r>
    <r>
      <rPr>
        <b/>
        <sz val="10"/>
        <rFont val="Arial Narrow"/>
        <family val="2"/>
      </rPr>
      <t>%</t>
    </r>
  </si>
  <si>
    <r>
      <rPr>
        <b/>
        <sz val="10"/>
        <rFont val="宋体"/>
        <family val="3"/>
        <charset val="134"/>
      </rPr>
      <t>本公司合计的表决权比例</t>
    </r>
    <r>
      <rPr>
        <b/>
        <sz val="10"/>
        <rFont val="Arial Narrow"/>
        <family val="2"/>
      </rPr>
      <t>%</t>
    </r>
  </si>
  <si>
    <r>
      <rPr>
        <b/>
        <sz val="10"/>
        <rFont val="宋体"/>
        <family val="3"/>
        <charset val="134"/>
      </rPr>
      <t>不再成为子公司原因</t>
    </r>
  </si>
  <si>
    <r>
      <rPr>
        <sz val="10"/>
        <color indexed="12"/>
        <rFont val="宋体"/>
        <family val="3"/>
        <charset val="134"/>
      </rPr>
      <t>〔注</t>
    </r>
    <r>
      <rPr>
        <sz val="10"/>
        <color indexed="12"/>
        <rFont val="Arial Narrow"/>
        <family val="2"/>
      </rPr>
      <t>X</t>
    </r>
    <r>
      <rPr>
        <sz val="10"/>
        <color indexed="12"/>
        <rFont val="宋体"/>
        <family val="3"/>
        <charset val="134"/>
      </rPr>
      <t>〕</t>
    </r>
  </si>
  <si>
    <r>
      <rPr>
        <sz val="10"/>
        <rFont val="宋体"/>
        <family val="3"/>
        <charset val="134"/>
      </rPr>
      <t>注</t>
    </r>
    <r>
      <rPr>
        <sz val="10"/>
        <color indexed="12"/>
        <rFont val="Arial Narrow"/>
        <family val="2"/>
      </rPr>
      <t>1</t>
    </r>
    <r>
      <rPr>
        <sz val="10"/>
        <color indexed="12"/>
        <rFont val="宋体"/>
        <family val="3"/>
        <charset val="134"/>
      </rPr>
      <t>、本公司所属</t>
    </r>
    <r>
      <rPr>
        <sz val="10"/>
        <color indexed="12"/>
        <rFont val="Arial Narrow"/>
        <family val="2"/>
      </rPr>
      <t>XX</t>
    </r>
    <r>
      <rPr>
        <sz val="10"/>
        <color indexed="12"/>
        <rFont val="宋体"/>
        <family val="3"/>
        <charset val="134"/>
      </rPr>
      <t>有限公司与</t>
    </r>
    <r>
      <rPr>
        <sz val="10"/>
        <color indexed="12"/>
        <rFont val="Arial Narrow"/>
        <family val="2"/>
      </rPr>
      <t>ZZ</t>
    </r>
    <r>
      <rPr>
        <sz val="10"/>
        <color indexed="12"/>
        <rFont val="宋体"/>
        <family val="3"/>
        <charset val="134"/>
      </rPr>
      <t>有限公司于</t>
    </r>
    <r>
      <rPr>
        <sz val="10"/>
        <color indexed="12"/>
        <rFont val="Arial Narrow"/>
        <family val="2"/>
      </rPr>
      <t>[20X9</t>
    </r>
    <r>
      <rPr>
        <sz val="10"/>
        <color indexed="12"/>
        <rFont val="宋体"/>
        <family val="3"/>
        <charset val="134"/>
      </rPr>
      <t>年</t>
    </r>
    <r>
      <rPr>
        <sz val="10"/>
        <color indexed="12"/>
        <rFont val="Arial Narrow"/>
        <family val="2"/>
      </rPr>
      <t>6</t>
    </r>
    <r>
      <rPr>
        <sz val="10"/>
        <color indexed="12"/>
        <rFont val="宋体"/>
        <family val="3"/>
        <charset val="134"/>
      </rPr>
      <t>月</t>
    </r>
    <r>
      <rPr>
        <sz val="10"/>
        <color indexed="12"/>
        <rFont val="Arial Narrow"/>
        <family val="2"/>
      </rPr>
      <t>30</t>
    </r>
    <r>
      <rPr>
        <sz val="10"/>
        <color indexed="12"/>
        <rFont val="宋体"/>
        <family val="3"/>
        <charset val="134"/>
      </rPr>
      <t>日</t>
    </r>
    <r>
      <rPr>
        <sz val="10"/>
        <color indexed="12"/>
        <rFont val="Arial Narrow"/>
        <family val="2"/>
      </rPr>
      <t>]</t>
    </r>
    <r>
      <rPr>
        <sz val="10"/>
        <color indexed="12"/>
        <rFont val="宋体"/>
        <family val="3"/>
        <charset val="134"/>
      </rPr>
      <t>签订股权转让协议，以</t>
    </r>
    <r>
      <rPr>
        <sz val="10"/>
        <color indexed="12"/>
        <rFont val="Arial Narrow"/>
        <family val="2"/>
      </rPr>
      <t xml:space="preserve"> []</t>
    </r>
    <r>
      <rPr>
        <sz val="10"/>
        <color indexed="12"/>
        <rFont val="宋体"/>
        <family val="3"/>
        <charset val="134"/>
      </rPr>
      <t>元出售其所持有</t>
    </r>
    <r>
      <rPr>
        <sz val="10"/>
        <color indexed="12"/>
        <rFont val="Arial Narrow"/>
        <family val="2"/>
      </rPr>
      <t>D</t>
    </r>
    <r>
      <rPr>
        <sz val="10"/>
        <color indexed="12"/>
        <rFont val="宋体"/>
        <family val="3"/>
        <charset val="134"/>
      </rPr>
      <t>公司的</t>
    </r>
    <r>
      <rPr>
        <sz val="10"/>
        <color indexed="12"/>
        <rFont val="Arial Narrow"/>
        <family val="2"/>
      </rPr>
      <t>XX%</t>
    </r>
    <r>
      <rPr>
        <sz val="10"/>
        <color indexed="12"/>
        <rFont val="宋体"/>
        <family val="3"/>
        <charset val="134"/>
      </rPr>
      <t>股权，处置日为</t>
    </r>
    <r>
      <rPr>
        <sz val="10"/>
        <color indexed="12"/>
        <rFont val="Arial Narrow"/>
        <family val="2"/>
      </rPr>
      <t>20XX</t>
    </r>
    <r>
      <rPr>
        <sz val="10"/>
        <color indexed="12"/>
        <rFont val="宋体"/>
        <family val="3"/>
        <charset val="134"/>
      </rPr>
      <t>年</t>
    </r>
    <r>
      <rPr>
        <sz val="10"/>
        <color indexed="12"/>
        <rFont val="Arial Narrow"/>
        <family val="2"/>
      </rPr>
      <t>X</t>
    </r>
    <r>
      <rPr>
        <sz val="10"/>
        <color indexed="12"/>
        <rFont val="宋体"/>
        <family val="3"/>
        <charset val="134"/>
      </rPr>
      <t>月</t>
    </r>
    <r>
      <rPr>
        <sz val="10"/>
        <color indexed="12"/>
        <rFont val="Arial Narrow"/>
        <family val="2"/>
      </rPr>
      <t>1</t>
    </r>
    <r>
      <rPr>
        <sz val="10"/>
        <color indexed="12"/>
        <rFont val="宋体"/>
        <family val="3"/>
        <charset val="134"/>
      </rPr>
      <t>日。故自</t>
    </r>
    <r>
      <rPr>
        <sz val="10"/>
        <color indexed="12"/>
        <rFont val="Arial Narrow"/>
        <family val="2"/>
      </rPr>
      <t>20XX</t>
    </r>
    <r>
      <rPr>
        <sz val="10"/>
        <color indexed="12"/>
        <rFont val="宋体"/>
        <family val="3"/>
        <charset val="134"/>
      </rPr>
      <t>年</t>
    </r>
    <r>
      <rPr>
        <sz val="10"/>
        <color indexed="12"/>
        <rFont val="Arial Narrow"/>
        <family val="2"/>
      </rPr>
      <t>X</t>
    </r>
    <r>
      <rPr>
        <sz val="10"/>
        <color indexed="12"/>
        <rFont val="宋体"/>
        <family val="3"/>
        <charset val="134"/>
      </rPr>
      <t>月</t>
    </r>
    <r>
      <rPr>
        <sz val="10"/>
        <color indexed="12"/>
        <rFont val="Arial Narrow"/>
        <family val="2"/>
      </rPr>
      <t>1</t>
    </r>
    <r>
      <rPr>
        <sz val="10"/>
        <color indexed="12"/>
        <rFont val="宋体"/>
        <family val="3"/>
        <charset val="134"/>
      </rPr>
      <t>日起，</t>
    </r>
    <r>
      <rPr>
        <sz val="10"/>
        <color indexed="12"/>
        <rFont val="Arial Narrow"/>
        <family val="2"/>
      </rPr>
      <t xml:space="preserve"> </t>
    </r>
    <r>
      <rPr>
        <sz val="10"/>
        <color indexed="12"/>
        <rFont val="宋体"/>
        <family val="3"/>
        <charset val="134"/>
      </rPr>
      <t>本公司不再将</t>
    </r>
    <r>
      <rPr>
        <sz val="10"/>
        <color indexed="12"/>
        <rFont val="Arial Narrow"/>
        <family val="2"/>
      </rPr>
      <t>D</t>
    </r>
    <r>
      <rPr>
        <sz val="10"/>
        <color indexed="12"/>
        <rFont val="宋体"/>
        <family val="3"/>
        <charset val="134"/>
      </rPr>
      <t>公司纳入合并范围。</t>
    </r>
  </si>
  <si>
    <r>
      <rPr>
        <sz val="10"/>
        <rFont val="宋体"/>
        <family val="3"/>
        <charset val="134"/>
      </rPr>
      <t>（</t>
    </r>
    <r>
      <rPr>
        <sz val="10"/>
        <rFont val="Arial Narrow"/>
        <family val="2"/>
      </rPr>
      <t>2</t>
    </r>
    <r>
      <rPr>
        <sz val="10"/>
        <rFont val="宋体"/>
        <family val="3"/>
        <charset val="134"/>
      </rPr>
      <t>）本期出售的子公司出售日、上年末的财务状况列示如下：</t>
    </r>
  </si>
  <si>
    <r>
      <rPr>
        <b/>
        <sz val="10"/>
        <color indexed="10"/>
        <rFont val="宋体"/>
        <family val="3"/>
        <charset val="134"/>
      </rPr>
      <t>（</t>
    </r>
    <r>
      <rPr>
        <b/>
        <sz val="10"/>
        <color indexed="10"/>
        <rFont val="Arial Narrow"/>
        <family val="2"/>
      </rPr>
      <t>D</t>
    </r>
    <r>
      <rPr>
        <b/>
        <sz val="10"/>
        <color indexed="10"/>
        <rFont val="宋体"/>
        <family val="3"/>
        <charset val="134"/>
      </rPr>
      <t>公司）</t>
    </r>
  </si>
  <si>
    <r>
      <rPr>
        <b/>
        <sz val="10"/>
        <color indexed="10"/>
        <rFont val="宋体"/>
        <family val="3"/>
        <charset val="134"/>
      </rPr>
      <t>（</t>
    </r>
    <r>
      <rPr>
        <b/>
        <sz val="10"/>
        <color indexed="10"/>
        <rFont val="Arial Narrow"/>
        <family val="2"/>
      </rPr>
      <t>E</t>
    </r>
    <r>
      <rPr>
        <b/>
        <sz val="10"/>
        <color indexed="10"/>
        <rFont val="宋体"/>
        <family val="3"/>
        <charset val="134"/>
      </rPr>
      <t>公司）</t>
    </r>
  </si>
  <si>
    <r>
      <rPr>
        <b/>
        <sz val="10"/>
        <color indexed="10"/>
        <rFont val="宋体"/>
        <family val="3"/>
        <charset val="134"/>
      </rPr>
      <t>（</t>
    </r>
    <r>
      <rPr>
        <b/>
        <sz val="10"/>
        <color indexed="10"/>
        <rFont val="Arial Narrow"/>
        <family val="2"/>
      </rPr>
      <t>F</t>
    </r>
    <r>
      <rPr>
        <b/>
        <sz val="10"/>
        <color indexed="10"/>
        <rFont val="宋体"/>
        <family val="3"/>
        <charset val="134"/>
      </rPr>
      <t>公司）</t>
    </r>
  </si>
  <si>
    <r>
      <rPr>
        <b/>
        <sz val="10"/>
        <rFont val="宋体"/>
        <family val="3"/>
        <charset val="134"/>
      </rPr>
      <t>出售日</t>
    </r>
  </si>
  <si>
    <t>2008.12.31</t>
  </si>
  <si>
    <r>
      <rPr>
        <sz val="10"/>
        <rFont val="宋体"/>
        <family val="3"/>
        <charset val="134"/>
      </rPr>
      <t>处置损益</t>
    </r>
  </si>
  <si>
    <r>
      <rPr>
        <sz val="10"/>
        <rFont val="宋体"/>
        <family val="3"/>
        <charset val="134"/>
      </rPr>
      <t>处置对价</t>
    </r>
  </si>
  <si>
    <r>
      <rPr>
        <sz val="10"/>
        <rFont val="宋体"/>
        <family val="3"/>
        <charset val="134"/>
      </rPr>
      <t>（</t>
    </r>
    <r>
      <rPr>
        <sz val="10"/>
        <rFont val="Arial Narrow"/>
        <family val="2"/>
      </rPr>
      <t>3</t>
    </r>
    <r>
      <rPr>
        <sz val="10"/>
        <rFont val="宋体"/>
        <family val="3"/>
        <charset val="134"/>
      </rPr>
      <t>）本期出售的子公司年初至出售日、上年度的经营成果列示如下：</t>
    </r>
  </si>
  <si>
    <r>
      <rPr>
        <b/>
        <sz val="10"/>
        <rFont val="Arial Narrow"/>
        <family val="2"/>
      </rPr>
      <t>20X9.01.01-</t>
    </r>
    <r>
      <rPr>
        <b/>
        <sz val="10"/>
        <rFont val="宋体"/>
        <family val="3"/>
        <charset val="134"/>
      </rPr>
      <t>出售日</t>
    </r>
  </si>
  <si>
    <r>
      <rPr>
        <b/>
        <sz val="10"/>
        <rFont val="Arial Narrow"/>
        <family val="2"/>
      </rPr>
      <t>20X8</t>
    </r>
    <r>
      <rPr>
        <b/>
        <sz val="10"/>
        <rFont val="宋体"/>
        <family val="3"/>
        <charset val="134"/>
      </rPr>
      <t>年度</t>
    </r>
  </si>
  <si>
    <r>
      <rPr>
        <sz val="10"/>
        <rFont val="宋体"/>
        <family val="3"/>
        <charset val="134"/>
      </rPr>
      <t>营务利润</t>
    </r>
  </si>
  <si>
    <r>
      <rPr>
        <sz val="10"/>
        <rFont val="宋体"/>
        <family val="3"/>
        <charset val="134"/>
      </rPr>
      <t>（</t>
    </r>
    <r>
      <rPr>
        <sz val="10"/>
        <rFont val="Arial Narrow"/>
        <family val="2"/>
      </rPr>
      <t>4</t>
    </r>
    <r>
      <rPr>
        <sz val="10"/>
        <rFont val="宋体"/>
        <family val="3"/>
        <charset val="134"/>
      </rPr>
      <t>）处置上述子公司的产生现金流量的净额分析如下：</t>
    </r>
  </si>
  <si>
    <r>
      <rPr>
        <sz val="10"/>
        <rFont val="宋体"/>
        <family val="3"/>
        <charset val="134"/>
      </rPr>
      <t>处置子公司的价格</t>
    </r>
  </si>
  <si>
    <r>
      <rPr>
        <sz val="10"/>
        <rFont val="宋体"/>
        <family val="3"/>
        <charset val="134"/>
      </rPr>
      <t>处置子公司收到的现金</t>
    </r>
  </si>
  <si>
    <r>
      <rPr>
        <sz val="10"/>
        <rFont val="宋体"/>
        <family val="3"/>
        <charset val="134"/>
      </rPr>
      <t>处置子公司收到的现金流量净额</t>
    </r>
  </si>
  <si>
    <r>
      <rPr>
        <sz val="10"/>
        <rFont val="Arial Narrow"/>
        <family val="2"/>
      </rPr>
      <t>3</t>
    </r>
    <r>
      <rPr>
        <sz val="10"/>
        <rFont val="宋体"/>
        <family val="3"/>
        <charset val="134"/>
      </rPr>
      <t>、终止经营</t>
    </r>
  </si>
  <si>
    <r>
      <rPr>
        <b/>
        <sz val="10"/>
        <rFont val="Arial Narrow"/>
        <family val="2"/>
      </rPr>
      <t>项目</t>
    </r>
    <r>
      <rPr>
        <b/>
        <sz val="12"/>
        <rFont val="Arial Narrow"/>
        <family val="2"/>
      </rPr>
      <t xml:space="preserve">  </t>
    </r>
  </si>
  <si>
    <r>
      <rPr>
        <b/>
        <sz val="10"/>
        <rFont val="Arial Narrow"/>
        <family val="2"/>
      </rPr>
      <t xml:space="preserve">  </t>
    </r>
    <r>
      <rPr>
        <b/>
        <sz val="12"/>
        <rFont val="仿宋_GB2312"/>
        <family val="3"/>
        <charset val="134"/>
      </rPr>
      <t>本期发生额</t>
    </r>
    <r>
      <rPr>
        <b/>
        <sz val="12"/>
        <rFont val="Arial Narrow"/>
        <family val="2"/>
      </rPr>
      <t xml:space="preserve">  </t>
    </r>
  </si>
  <si>
    <r>
      <rPr>
        <b/>
        <sz val="10"/>
        <rFont val="Arial Narrow"/>
        <family val="2"/>
      </rPr>
      <t xml:space="preserve"> </t>
    </r>
    <r>
      <rPr>
        <b/>
        <sz val="10"/>
        <rFont val="仿宋_GB2312"/>
        <family val="3"/>
        <charset val="134"/>
      </rPr>
      <t>本期发生额</t>
    </r>
    <r>
      <rPr>
        <b/>
        <sz val="10"/>
        <rFont val="Arial Narrow"/>
        <family val="2"/>
      </rPr>
      <t xml:space="preserve"> </t>
    </r>
  </si>
  <si>
    <r>
      <rPr>
        <b/>
        <sz val="10"/>
        <rFont val="Arial Narrow"/>
        <family val="2"/>
      </rPr>
      <t xml:space="preserve"> </t>
    </r>
    <r>
      <rPr>
        <b/>
        <sz val="10"/>
        <rFont val="仿宋_GB2312"/>
        <family val="3"/>
        <charset val="134"/>
      </rPr>
      <t>上期发生额</t>
    </r>
    <r>
      <rPr>
        <b/>
        <sz val="10"/>
        <rFont val="Arial Narrow"/>
        <family val="2"/>
      </rPr>
      <t xml:space="preserve"> </t>
    </r>
  </si>
  <si>
    <r>
      <rPr>
        <sz val="10"/>
        <rFont val="宋体"/>
        <family val="3"/>
        <charset val="134"/>
      </rPr>
      <t>终止经营收入</t>
    </r>
    <r>
      <rPr>
        <sz val="12"/>
        <rFont val="Arial Narrow"/>
        <family val="2"/>
      </rPr>
      <t xml:space="preserve"> </t>
    </r>
    <r>
      <rPr>
        <sz val="12"/>
        <rFont val="仿宋_GB2312"/>
        <family val="3"/>
        <charset val="134"/>
      </rPr>
      <t>（</t>
    </r>
    <r>
      <rPr>
        <sz val="12"/>
        <rFont val="Arial Narrow"/>
        <family val="2"/>
      </rPr>
      <t>A</t>
    </r>
    <r>
      <rPr>
        <sz val="12"/>
        <rFont val="仿宋_GB2312"/>
        <family val="3"/>
        <charset val="134"/>
      </rPr>
      <t>）</t>
    </r>
    <r>
      <rPr>
        <sz val="12"/>
        <rFont val="Arial Narrow"/>
        <family val="2"/>
      </rPr>
      <t xml:space="preserve"> </t>
    </r>
  </si>
  <si>
    <t xml:space="preserve"> 减：终止经营费用（B）</t>
  </si>
  <si>
    <r>
      <rPr>
        <sz val="10"/>
        <rFont val="Arial Narrow"/>
        <family val="2"/>
      </rPr>
      <t>终止经营利润总额（</t>
    </r>
    <r>
      <rPr>
        <sz val="12"/>
        <rFont val="Arial Narrow"/>
        <family val="2"/>
      </rPr>
      <t>C</t>
    </r>
    <r>
      <rPr>
        <sz val="12"/>
        <rFont val="仿宋_GB2312"/>
        <family val="3"/>
        <charset val="134"/>
      </rPr>
      <t>）</t>
    </r>
    <r>
      <rPr>
        <sz val="12"/>
        <rFont val="Arial Narrow"/>
        <family val="2"/>
      </rPr>
      <t xml:space="preserve">  </t>
    </r>
  </si>
  <si>
    <t xml:space="preserve"> 减：终止经营所得税费用（D）  </t>
  </si>
  <si>
    <r>
      <rPr>
        <sz val="10"/>
        <rFont val="Arial Narrow"/>
        <family val="2"/>
      </rPr>
      <t>经营活动净利润（</t>
    </r>
    <r>
      <rPr>
        <sz val="12"/>
        <rFont val="Arial Narrow"/>
        <family val="2"/>
      </rPr>
      <t>E=C-D</t>
    </r>
    <r>
      <rPr>
        <sz val="12"/>
        <rFont val="仿宋_GB2312"/>
        <family val="3"/>
        <charset val="134"/>
      </rPr>
      <t>）</t>
    </r>
    <r>
      <rPr>
        <sz val="12"/>
        <rFont val="Arial Narrow"/>
        <family val="2"/>
      </rPr>
      <t xml:space="preserve">  </t>
    </r>
  </si>
  <si>
    <r>
      <rPr>
        <sz val="10"/>
        <rFont val="Arial Narrow"/>
        <family val="2"/>
      </rPr>
      <t>资产减值损失</t>
    </r>
    <r>
      <rPr>
        <sz val="12"/>
        <rFont val="Arial Narrow"/>
        <family val="2"/>
      </rPr>
      <t>/</t>
    </r>
    <r>
      <rPr>
        <sz val="12"/>
        <rFont val="仿宋_GB2312"/>
        <family val="3"/>
        <charset val="134"/>
      </rPr>
      <t>（转回）（</t>
    </r>
    <r>
      <rPr>
        <sz val="12"/>
        <rFont val="Arial Narrow"/>
        <family val="2"/>
      </rPr>
      <t>F</t>
    </r>
    <r>
      <rPr>
        <sz val="12"/>
        <rFont val="仿宋_GB2312"/>
        <family val="3"/>
        <charset val="134"/>
      </rPr>
      <t>）</t>
    </r>
  </si>
  <si>
    <r>
      <rPr>
        <sz val="10"/>
        <rFont val="Arial Narrow"/>
        <family val="2"/>
      </rPr>
      <t>处置收益总额（</t>
    </r>
    <r>
      <rPr>
        <sz val="12"/>
        <rFont val="Arial Narrow"/>
        <family val="2"/>
      </rPr>
      <t>G</t>
    </r>
    <r>
      <rPr>
        <sz val="12"/>
        <rFont val="仿宋_GB2312"/>
        <family val="3"/>
        <charset val="134"/>
      </rPr>
      <t>）</t>
    </r>
  </si>
  <si>
    <r>
      <rPr>
        <sz val="10"/>
        <rFont val="Arial Narrow"/>
        <family val="2"/>
      </rPr>
      <t>处置相关所得税费用（</t>
    </r>
    <r>
      <rPr>
        <sz val="12"/>
        <rFont val="Arial Narrow"/>
        <family val="2"/>
      </rPr>
      <t>H</t>
    </r>
    <r>
      <rPr>
        <sz val="12"/>
        <rFont val="仿宋_GB2312"/>
        <family val="3"/>
        <charset val="134"/>
      </rPr>
      <t>）</t>
    </r>
  </si>
  <si>
    <r>
      <rPr>
        <sz val="10"/>
        <rFont val="Arial Narrow"/>
        <family val="2"/>
      </rPr>
      <t>处置净利润（</t>
    </r>
    <r>
      <rPr>
        <sz val="12"/>
        <rFont val="Arial Narrow"/>
        <family val="2"/>
      </rPr>
      <t>I=G-H</t>
    </r>
    <r>
      <rPr>
        <sz val="12"/>
        <rFont val="仿宋_GB2312"/>
        <family val="3"/>
        <charset val="134"/>
      </rPr>
      <t>）</t>
    </r>
  </si>
  <si>
    <r>
      <rPr>
        <sz val="10"/>
        <rFont val="Arial Narrow"/>
        <family val="2"/>
      </rPr>
      <t>终止经营净利润（</t>
    </r>
    <r>
      <rPr>
        <sz val="12"/>
        <rFont val="Arial Narrow"/>
        <family val="2"/>
      </rPr>
      <t>J=E+F+I</t>
    </r>
    <r>
      <rPr>
        <sz val="12"/>
        <rFont val="仿宋_GB2312"/>
        <family val="3"/>
        <charset val="134"/>
      </rPr>
      <t>）</t>
    </r>
  </si>
  <si>
    <t>其中：归属于母公司股东的终止经营利润</t>
  </si>
  <si>
    <t xml:space="preserve">      归属于少数股东的终止经营利润</t>
  </si>
  <si>
    <t>经营活动现金流量净额</t>
  </si>
  <si>
    <t>投资活动现金流量净额</t>
  </si>
  <si>
    <t>筹资活动现金流量净额</t>
  </si>
  <si>
    <t>如果因出售对子公司的投资等原因导致丧失对子公司控制权，且该子公司符合终止经营定义的，应在合并利润表中列报相关终止经营损益，并需披露上述信息。</t>
  </si>
  <si>
    <t>如果对终止经营处置损益进行调整，需披露调整的性质和金额。</t>
  </si>
  <si>
    <t>不符合终止经营定义的持有待售的非流动资产或处置组，其减值损失和转回金额及处置损益应当作为持续经营损益列报；非流动资产或处置组不再继续划分为持有待售类别或非流动资产从持有待售的处置组中移除的，非流动资产或处置组的账面价值调整金额应当在当期利润表中作为持续经营损益列报；终止经营的减值损失和转回金额等经营损益、处置损益及其调整金额应当作为终止经营损益列报。</t>
  </si>
  <si>
    <r>
      <rPr>
        <sz val="10"/>
        <rFont val="Arial Narrow"/>
        <family val="2"/>
      </rPr>
      <t>4</t>
    </r>
    <r>
      <rPr>
        <sz val="10"/>
        <rFont val="宋体"/>
        <family val="3"/>
        <charset val="134"/>
      </rPr>
      <t>、政府补助</t>
    </r>
  </si>
  <si>
    <t xml:space="preserve">【因政府补助涉及递延收益、其他收益、营业外收支、成本费用、固定资产等多个报表项目，在此统一披露政府补助的有关信息。
在附注中分别公司本期取得与资产相关、与收益相关的政府补助，逐项披露其种类以及对应的期初额、期末额。】
</t>
  </si>
  <si>
    <t>（1）计入递延收益的政府补助，后续采用总额法计量</t>
  </si>
  <si>
    <t>补助项目</t>
  </si>
  <si>
    <t>种类</t>
  </si>
  <si>
    <t>期初余额</t>
  </si>
  <si>
    <t>本期新增补助金额</t>
  </si>
  <si>
    <t>本期结转计入损益的金额</t>
  </si>
  <si>
    <t>其他变动</t>
  </si>
  <si>
    <t>本期结转计入损益的列报项目</t>
  </si>
  <si>
    <r>
      <rPr>
        <b/>
        <sz val="10"/>
        <rFont val="宋体"/>
        <family val="3"/>
        <charset val="134"/>
      </rPr>
      <t>与资产相关</t>
    </r>
    <r>
      <rPr>
        <b/>
        <sz val="10"/>
        <rFont val="Arial Narrow"/>
        <family val="2"/>
      </rPr>
      <t>/</t>
    </r>
    <r>
      <rPr>
        <b/>
        <sz val="10"/>
        <rFont val="仿宋_GB2312"/>
        <family val="3"/>
        <charset val="134"/>
      </rPr>
      <t>与收益相关</t>
    </r>
  </si>
  <si>
    <t>科技项目经费</t>
  </si>
  <si>
    <t>财政拨款</t>
  </si>
  <si>
    <t>营业外收入</t>
  </si>
  <si>
    <t>信息披露解释性公告第2号规定：公司应当遵循重要性原则，对涉及政府补助的负债项目，在财务报表附注的相关项目下，逐项披露相关期初余额、本期新增补助金额、本期计入营业外收入金额、本期转入资本公积金额以及期末余额。对于相关文件未明确规定补助对象的政府补助项目，公司还应单独说明其划分依据。</t>
  </si>
  <si>
    <r>
      <rPr>
        <sz val="10"/>
        <rFont val="宋体"/>
        <family val="3"/>
        <charset val="134"/>
      </rPr>
      <t>（</t>
    </r>
    <r>
      <rPr>
        <sz val="10"/>
        <rFont val="Arial Narrow"/>
        <family val="2"/>
      </rPr>
      <t>2</t>
    </r>
    <r>
      <rPr>
        <sz val="10"/>
        <rFont val="宋体"/>
        <family val="3"/>
        <charset val="134"/>
      </rPr>
      <t>）计入递延收益的政府补助，后续采用净额法计量</t>
    </r>
  </si>
  <si>
    <t>管理费用</t>
  </si>
  <si>
    <r>
      <rPr>
        <sz val="10"/>
        <rFont val="宋体"/>
        <family val="3"/>
        <charset val="134"/>
      </rPr>
      <t>（</t>
    </r>
    <r>
      <rPr>
        <sz val="10"/>
        <rFont val="Arial Narrow"/>
        <family val="2"/>
      </rPr>
      <t>3</t>
    </r>
    <r>
      <rPr>
        <sz val="10"/>
        <rFont val="宋体"/>
        <family val="3"/>
        <charset val="134"/>
      </rPr>
      <t>）采用总额法计入当期损益的政府补助情况</t>
    </r>
  </si>
  <si>
    <t>本期计入损益的金额</t>
  </si>
  <si>
    <r>
      <rPr>
        <sz val="10"/>
        <rFont val="宋体"/>
        <family val="3"/>
        <charset val="134"/>
      </rPr>
      <t>（</t>
    </r>
    <r>
      <rPr>
        <sz val="10"/>
        <rFont val="Arial Narrow"/>
        <family val="2"/>
      </rPr>
      <t>4</t>
    </r>
    <r>
      <rPr>
        <sz val="10"/>
        <rFont val="宋体"/>
        <family val="3"/>
        <charset val="134"/>
      </rPr>
      <t>）采用净额法计入冲减相关成本的政府补助情况</t>
    </r>
  </si>
  <si>
    <t>本期冲减相关成本的金额</t>
  </si>
  <si>
    <t>本期冲减相关成本的列报项目</t>
  </si>
  <si>
    <r>
      <rPr>
        <b/>
        <sz val="12"/>
        <rFont val="宋体"/>
        <family val="3"/>
        <charset val="134"/>
      </rPr>
      <t>非经常性损益</t>
    </r>
  </si>
  <si>
    <r>
      <rPr>
        <b/>
        <sz val="10"/>
        <rFont val="宋体"/>
        <family val="3"/>
        <charset val="134"/>
      </rPr>
      <t>项目及其金额如下</t>
    </r>
    <r>
      <rPr>
        <b/>
        <sz val="10"/>
        <color indexed="12"/>
        <rFont val="宋体"/>
        <family val="3"/>
        <charset val="134"/>
      </rPr>
      <t>（损失</t>
    </r>
    <r>
      <rPr>
        <b/>
        <sz val="10"/>
        <color indexed="12"/>
        <rFont val="Arial Narrow"/>
        <family val="2"/>
      </rPr>
      <t>"-"</t>
    </r>
    <r>
      <rPr>
        <b/>
        <sz val="10"/>
        <color indexed="12"/>
        <rFont val="宋体"/>
        <family val="3"/>
        <charset val="134"/>
      </rPr>
      <t>）</t>
    </r>
  </si>
  <si>
    <r>
      <rPr>
        <sz val="10"/>
        <rFont val="宋体"/>
        <family val="3"/>
        <charset val="134"/>
      </rPr>
      <t>非流动性资产处置损益</t>
    </r>
  </si>
  <si>
    <r>
      <rPr>
        <sz val="10"/>
        <color indexed="8"/>
        <rFont val="宋体"/>
        <family val="3"/>
        <charset val="134"/>
      </rPr>
      <t>越权审批，或无正式批准文件，或偶发性的税收返还、减免</t>
    </r>
  </si>
  <si>
    <r>
      <rPr>
        <sz val="10"/>
        <color indexed="8"/>
        <rFont val="宋体"/>
        <family val="3"/>
        <charset val="134"/>
      </rPr>
      <t>政府补助</t>
    </r>
  </si>
  <si>
    <r>
      <rPr>
        <sz val="10"/>
        <color indexed="8"/>
        <rFont val="宋体"/>
        <family val="3"/>
        <charset val="134"/>
      </rPr>
      <t>对非金融企业收取的资金占用费</t>
    </r>
  </si>
  <si>
    <r>
      <rPr>
        <sz val="10"/>
        <color indexed="8"/>
        <rFont val="宋体"/>
        <family val="3"/>
        <charset val="134"/>
      </rPr>
      <t>取得子公司、联营企业及合营企业的投资成本小于取得投资时应享有被投资单位可辨认净资产公允价值产生的收益</t>
    </r>
  </si>
  <si>
    <r>
      <rPr>
        <sz val="10"/>
        <color indexed="8"/>
        <rFont val="宋体"/>
        <family val="3"/>
        <charset val="134"/>
      </rPr>
      <t>非货币性资产交换损益</t>
    </r>
  </si>
  <si>
    <r>
      <rPr>
        <sz val="10"/>
        <color indexed="8"/>
        <rFont val="宋体"/>
        <family val="3"/>
        <charset val="134"/>
      </rPr>
      <t>委托他人投资或管理资产的损益</t>
    </r>
  </si>
  <si>
    <r>
      <rPr>
        <sz val="10"/>
        <color indexed="8"/>
        <rFont val="宋体"/>
        <family val="3"/>
        <charset val="134"/>
      </rPr>
      <t>因不可抗力因素，如遭受自然灾害而计提的各项资产减值准备</t>
    </r>
  </si>
  <si>
    <r>
      <rPr>
        <sz val="10"/>
        <rFont val="宋体"/>
        <family val="3"/>
        <charset val="134"/>
      </rPr>
      <t>债务重组损益</t>
    </r>
  </si>
  <si>
    <r>
      <rPr>
        <sz val="10"/>
        <color indexed="8"/>
        <rFont val="宋体"/>
        <family val="3"/>
        <charset val="134"/>
      </rPr>
      <t>企业重组费用</t>
    </r>
  </si>
  <si>
    <r>
      <rPr>
        <sz val="10"/>
        <rFont val="宋体"/>
        <family val="3"/>
        <charset val="134"/>
      </rPr>
      <t>交易价格显失公允的交易产生的超过公允价值部分的损益</t>
    </r>
  </si>
  <si>
    <r>
      <rPr>
        <sz val="10"/>
        <rFont val="宋体"/>
        <family val="3"/>
        <charset val="134"/>
      </rPr>
      <t>同一控制下企业合并产生的子公司期初至合并日的当期净损益</t>
    </r>
  </si>
  <si>
    <r>
      <rPr>
        <sz val="10"/>
        <rFont val="宋体"/>
        <family val="3"/>
        <charset val="134"/>
      </rPr>
      <t>与公司正常经营业务无关的或有事项产生的损益</t>
    </r>
  </si>
  <si>
    <r>
      <rPr>
        <sz val="10"/>
        <rFont val="宋体"/>
        <family val="3"/>
        <charset val="134"/>
      </rPr>
      <t>除同公司正常经营业务相关的有效套期保值业务外，持有交易性金融资产、交易性金融负债产生的公允价值变动损益</t>
    </r>
  </si>
  <si>
    <r>
      <rPr>
        <sz val="10"/>
        <rFont val="宋体"/>
        <family val="3"/>
        <charset val="134"/>
      </rPr>
      <t>处置交易性金融资产、交易性金融负债和可供出售金融资产取得的投资收益</t>
    </r>
  </si>
  <si>
    <r>
      <rPr>
        <sz val="10"/>
        <rFont val="宋体"/>
        <family val="3"/>
        <charset val="134"/>
      </rPr>
      <t>单独进行减值测试的应收款项减值准备转回</t>
    </r>
  </si>
  <si>
    <r>
      <rPr>
        <sz val="10"/>
        <rFont val="宋体"/>
        <family val="3"/>
        <charset val="134"/>
      </rPr>
      <t>对外委托贷款取得的损益</t>
    </r>
  </si>
  <si>
    <r>
      <rPr>
        <sz val="10"/>
        <rFont val="宋体"/>
        <family val="3"/>
        <charset val="134"/>
      </rPr>
      <t>采用公允价值模式进行后续计量的投资性房地产公允价值变动产生的损益</t>
    </r>
  </si>
  <si>
    <r>
      <rPr>
        <sz val="10"/>
        <rFont val="宋体"/>
        <family val="3"/>
        <charset val="134"/>
      </rPr>
      <t>根据税收、会计等法律、法规的要求对当期损益进行一次性调整对当期损益的影响</t>
    </r>
  </si>
  <si>
    <r>
      <rPr>
        <sz val="10"/>
        <rFont val="宋体"/>
        <family val="3"/>
        <charset val="134"/>
      </rPr>
      <t>受托经营取得的托管费收入</t>
    </r>
  </si>
  <si>
    <r>
      <rPr>
        <sz val="10"/>
        <rFont val="宋体"/>
        <family val="3"/>
        <charset val="134"/>
      </rPr>
      <t>除上述各项之外的其他营业外收入和支出</t>
    </r>
  </si>
  <si>
    <r>
      <rPr>
        <sz val="10"/>
        <rFont val="宋体"/>
        <family val="3"/>
        <charset val="134"/>
      </rPr>
      <t>其他符合非经常性损益定义的损益项目</t>
    </r>
  </si>
  <si>
    <r>
      <rPr>
        <sz val="10"/>
        <rFont val="宋体"/>
        <family val="3"/>
        <charset val="134"/>
      </rPr>
      <t>非经常性损益总额</t>
    </r>
  </si>
  <si>
    <r>
      <rPr>
        <sz val="10"/>
        <rFont val="宋体"/>
        <family val="3"/>
        <charset val="134"/>
      </rPr>
      <t>减：非经常性损益的所得税影响数</t>
    </r>
  </si>
  <si>
    <r>
      <rPr>
        <sz val="10"/>
        <rFont val="宋体"/>
        <family val="3"/>
        <charset val="134"/>
      </rPr>
      <t>非经常性损益净额</t>
    </r>
  </si>
  <si>
    <r>
      <rPr>
        <sz val="10"/>
        <rFont val="宋体"/>
        <family val="3"/>
        <charset val="134"/>
      </rPr>
      <t>减：归属于少数股东的非经常性损益净影响数</t>
    </r>
  </si>
  <si>
    <r>
      <rPr>
        <sz val="10"/>
        <rFont val="宋体"/>
        <family val="3"/>
        <charset val="134"/>
      </rPr>
      <t>归属于公司普通股股东的非经常性损益</t>
    </r>
  </si>
  <si>
    <r>
      <rPr>
        <sz val="10"/>
        <color indexed="12"/>
        <rFont val="宋体"/>
        <family val="3"/>
        <charset val="134"/>
      </rPr>
      <t>（</t>
    </r>
    <r>
      <rPr>
        <sz val="10"/>
        <color indexed="12"/>
        <rFont val="Arial Narrow"/>
        <family val="2"/>
      </rPr>
      <t>1</t>
    </r>
    <r>
      <rPr>
        <sz val="10"/>
        <color indexed="12"/>
        <rFont val="宋体"/>
        <family val="3"/>
        <charset val="134"/>
      </rPr>
      <t>）（重大非经常性损益项目的说明）</t>
    </r>
  </si>
  <si>
    <r>
      <rPr>
        <sz val="10"/>
        <color indexed="12"/>
        <rFont val="宋体"/>
        <family val="3"/>
        <charset val="134"/>
      </rPr>
      <t>（</t>
    </r>
    <r>
      <rPr>
        <sz val="10"/>
        <color indexed="12"/>
        <rFont val="Arial Narrow"/>
        <family val="2"/>
      </rPr>
      <t>2</t>
    </r>
    <r>
      <rPr>
        <sz val="10"/>
        <color indexed="12"/>
        <rFont val="宋体"/>
        <family val="3"/>
        <charset val="134"/>
      </rPr>
      <t>）（根据自身正常经营业务的性质和特点将</t>
    </r>
    <r>
      <rPr>
        <sz val="10"/>
        <color indexed="12"/>
        <rFont val="Arial Narrow"/>
        <family val="2"/>
      </rPr>
      <t>“</t>
    </r>
    <r>
      <rPr>
        <sz val="10"/>
        <color indexed="12"/>
        <rFont val="宋体"/>
        <family val="3"/>
        <charset val="134"/>
      </rPr>
      <t>证监会公告</t>
    </r>
    <r>
      <rPr>
        <sz val="10"/>
        <color indexed="12"/>
        <rFont val="Arial Narrow"/>
        <family val="2"/>
      </rPr>
      <t>[2008]43</t>
    </r>
    <r>
      <rPr>
        <sz val="10"/>
        <color indexed="12"/>
        <rFont val="宋体"/>
        <family val="3"/>
        <charset val="134"/>
      </rPr>
      <t>号</t>
    </r>
    <r>
      <rPr>
        <sz val="10"/>
        <color indexed="12"/>
        <rFont val="Arial Narrow"/>
        <family val="2"/>
      </rPr>
      <t>”</t>
    </r>
    <r>
      <rPr>
        <sz val="10"/>
        <color indexed="12"/>
        <rFont val="宋体"/>
        <family val="3"/>
        <charset val="134"/>
      </rPr>
      <t>列举的非经常性损益项目界定为经常性损益的项目的说明</t>
    </r>
    <r>
      <rPr>
        <sz val="10"/>
        <color indexed="12"/>
        <rFont val="Arial Narrow"/>
        <family val="2"/>
      </rPr>
      <t>)</t>
    </r>
  </si>
  <si>
    <r>
      <rPr>
        <sz val="10"/>
        <color indexed="12"/>
        <rFont val="宋体"/>
        <family val="3"/>
        <charset val="134"/>
      </rPr>
      <t>（</t>
    </r>
    <r>
      <rPr>
        <sz val="10"/>
        <color indexed="12"/>
        <rFont val="Arial Narrow"/>
        <family val="2"/>
      </rPr>
      <t>3</t>
    </r>
    <r>
      <rPr>
        <sz val="10"/>
        <color indexed="12"/>
        <rFont val="宋体"/>
        <family val="3"/>
        <charset val="134"/>
      </rPr>
      <t>）（其他符合非经常性损益定义的损益项目的说明）</t>
    </r>
  </si>
  <si>
    <r>
      <rPr>
        <sz val="11"/>
        <rFont val="宋体"/>
        <family val="3"/>
        <charset val="134"/>
      </rPr>
      <t>公司名称</t>
    </r>
  </si>
  <si>
    <r>
      <rPr>
        <sz val="11"/>
        <rFont val="宋体"/>
        <family val="3"/>
        <charset val="134"/>
      </rPr>
      <t>财务期间</t>
    </r>
  </si>
  <si>
    <r>
      <rPr>
        <sz val="11"/>
        <rFont val="宋体"/>
        <family val="3"/>
        <charset val="134"/>
      </rPr>
      <t>内容</t>
    </r>
  </si>
  <si>
    <t>C1</t>
  </si>
  <si>
    <t>Custom 1</t>
  </si>
  <si>
    <t>C2</t>
  </si>
  <si>
    <t>Custom 2</t>
  </si>
  <si>
    <t>C3</t>
  </si>
  <si>
    <t>Custom 3</t>
  </si>
  <si>
    <t>C4</t>
  </si>
  <si>
    <t>Custom 4</t>
  </si>
  <si>
    <t>C5</t>
  </si>
  <si>
    <t>Custom 5</t>
  </si>
  <si>
    <t>C6</t>
  </si>
  <si>
    <t>Custom 6</t>
  </si>
  <si>
    <t>C7</t>
  </si>
  <si>
    <t>Custom 7</t>
  </si>
  <si>
    <t>C8</t>
  </si>
  <si>
    <t>Custom 8</t>
  </si>
  <si>
    <t xml:space="preserve">       其中：利息费用</t>
    <phoneticPr fontId="76" type="noConversion"/>
  </si>
  <si>
    <t>利息费用</t>
    <phoneticPr fontId="76" type="noConversion"/>
  </si>
  <si>
    <t>交易性金融资产</t>
  </si>
  <si>
    <t>合同资产</t>
    <phoneticPr fontId="76" type="noConversion"/>
  </si>
  <si>
    <t>债权投资</t>
  </si>
  <si>
    <t>其他债权投资</t>
  </si>
  <si>
    <t>其他权益工具投资</t>
  </si>
  <si>
    <t>其他非流动金融资产</t>
  </si>
  <si>
    <t>交易性金融负债</t>
  </si>
  <si>
    <t>合同负债</t>
  </si>
  <si>
    <t>净敞口套期收益</t>
  </si>
  <si>
    <t>披露信息</t>
  </si>
  <si>
    <t>合同资产</t>
  </si>
  <si>
    <t>合同资产</t>
    <phoneticPr fontId="76" type="noConversion"/>
  </si>
  <si>
    <t>债券投资</t>
    <phoneticPr fontId="76" type="noConversion"/>
  </si>
  <si>
    <t>合同负责</t>
    <phoneticPr fontId="76" type="noConversion"/>
  </si>
  <si>
    <t>RP 013</t>
    <phoneticPr fontId="76" type="noConversion"/>
  </si>
  <si>
    <t>RP 014</t>
    <phoneticPr fontId="76" type="noConversion"/>
  </si>
  <si>
    <t>RP 015</t>
    <phoneticPr fontId="76" type="noConversion"/>
  </si>
  <si>
    <t>RP 016</t>
    <phoneticPr fontId="76" type="noConversion"/>
  </si>
  <si>
    <t>RP 018</t>
    <phoneticPr fontId="76" type="noConversion"/>
  </si>
  <si>
    <t>RP 021</t>
    <phoneticPr fontId="76" type="noConversion"/>
  </si>
  <si>
    <t>RP 022</t>
    <phoneticPr fontId="76" type="noConversion"/>
  </si>
  <si>
    <t>RP 023</t>
    <phoneticPr fontId="76" type="noConversion"/>
  </si>
  <si>
    <t>RP 024</t>
    <phoneticPr fontId="76" type="noConversion"/>
  </si>
  <si>
    <t>RP 025</t>
    <phoneticPr fontId="76" type="noConversion"/>
  </si>
  <si>
    <t>RP 029</t>
    <phoneticPr fontId="76" type="noConversion"/>
  </si>
  <si>
    <t>RP 031</t>
    <phoneticPr fontId="76" type="noConversion"/>
  </si>
  <si>
    <t>RP 033</t>
    <phoneticPr fontId="76" type="noConversion"/>
  </si>
  <si>
    <t>RP 034</t>
    <phoneticPr fontId="76" type="noConversion"/>
  </si>
  <si>
    <t>RP 037</t>
    <phoneticPr fontId="76" type="noConversion"/>
  </si>
  <si>
    <t>RP 042</t>
    <phoneticPr fontId="76" type="noConversion"/>
  </si>
  <si>
    <t>RP 046</t>
    <phoneticPr fontId="76" type="noConversion"/>
  </si>
  <si>
    <t>RP 049</t>
    <phoneticPr fontId="76" type="noConversion"/>
  </si>
  <si>
    <t>RP 051</t>
    <phoneticPr fontId="76" type="noConversion"/>
  </si>
  <si>
    <t>RP 053</t>
    <phoneticPr fontId="76" type="noConversion"/>
  </si>
  <si>
    <t>RP 054</t>
    <phoneticPr fontId="76" type="noConversion"/>
  </si>
  <si>
    <t>RP 060</t>
    <phoneticPr fontId="76" type="noConversion"/>
  </si>
  <si>
    <t>RP 061</t>
    <phoneticPr fontId="76" type="noConversion"/>
  </si>
  <si>
    <t>RP 063</t>
    <phoneticPr fontId="76" type="noConversion"/>
  </si>
  <si>
    <t>RP 065</t>
    <phoneticPr fontId="76" type="noConversion"/>
  </si>
  <si>
    <t>RP 066</t>
    <phoneticPr fontId="76" type="noConversion"/>
  </si>
  <si>
    <t>RP 068</t>
    <phoneticPr fontId="76" type="noConversion"/>
  </si>
  <si>
    <t>RP 069</t>
    <phoneticPr fontId="76" type="noConversion"/>
  </si>
  <si>
    <t>RP 071</t>
    <phoneticPr fontId="76" type="noConversion"/>
  </si>
  <si>
    <t>RP 074</t>
    <phoneticPr fontId="76" type="noConversion"/>
  </si>
  <si>
    <t>RP 076</t>
    <phoneticPr fontId="76" type="noConversion"/>
  </si>
  <si>
    <t>RP 077</t>
    <phoneticPr fontId="76" type="noConversion"/>
  </si>
  <si>
    <t>RP 079</t>
    <phoneticPr fontId="76" type="noConversion"/>
  </si>
  <si>
    <t>RP 082</t>
    <phoneticPr fontId="76" type="noConversion"/>
  </si>
  <si>
    <t>RP 083</t>
    <phoneticPr fontId="76" type="noConversion"/>
  </si>
  <si>
    <t>RP 084</t>
    <phoneticPr fontId="76" type="noConversion"/>
  </si>
  <si>
    <t>RP 085</t>
    <phoneticPr fontId="76" type="noConversion"/>
  </si>
  <si>
    <t>RP 089</t>
    <phoneticPr fontId="76" type="noConversion"/>
  </si>
  <si>
    <t>20X7.12.31</t>
    <phoneticPr fontId="76" type="noConversion"/>
  </si>
  <si>
    <t>20X8.12.31</t>
    <phoneticPr fontId="76" type="noConversion"/>
  </si>
  <si>
    <r>
      <t xml:space="preserve">        </t>
    </r>
    <r>
      <rPr>
        <sz val="10"/>
        <rFont val="宋体"/>
        <family val="3"/>
        <charset val="134"/>
      </rPr>
      <t>信用减值损失</t>
    </r>
    <phoneticPr fontId="76" type="noConversion"/>
  </si>
  <si>
    <t>净敞口套期收益（损失以"-"号填列）</t>
  </si>
  <si>
    <r>
      <t xml:space="preserve">       </t>
    </r>
    <r>
      <rPr>
        <sz val="10"/>
        <rFont val="宋体"/>
        <family val="3"/>
        <charset val="134"/>
      </rPr>
      <t>净敞口套期收益（损失以“</t>
    </r>
    <r>
      <rPr>
        <sz val="10"/>
        <rFont val="Arial Narrow"/>
        <family val="2"/>
      </rPr>
      <t>-</t>
    </r>
    <r>
      <rPr>
        <sz val="10"/>
        <rFont val="宋体"/>
        <family val="3"/>
        <charset val="134"/>
      </rPr>
      <t>”号填列）</t>
    </r>
    <phoneticPr fontId="76" type="noConversion"/>
  </si>
  <si>
    <t xml:space="preserve">  资产处置收益(损失以“-”号填列）</t>
    <phoneticPr fontId="76" type="noConversion"/>
  </si>
  <si>
    <t>3、其他权益工具投资公允价值变动</t>
    <phoneticPr fontId="76" type="noConversion"/>
  </si>
  <si>
    <t>4、企业自身信用风险公允价值变动</t>
    <phoneticPr fontId="76" type="noConversion"/>
  </si>
  <si>
    <r>
      <rPr>
        <sz val="10"/>
        <rFont val="Arial Narrow"/>
        <family val="2"/>
      </rPr>
      <t>5</t>
    </r>
    <r>
      <rPr>
        <sz val="10"/>
        <rFont val="宋体"/>
        <family val="3"/>
        <charset val="134"/>
      </rPr>
      <t>、其他</t>
    </r>
    <r>
      <rPr>
        <strike/>
        <sz val="10"/>
        <color rgb="FFFF0000"/>
        <rFont val="宋体"/>
        <family val="3"/>
        <charset val="134"/>
      </rPr>
      <t>（不适用的删除）</t>
    </r>
    <phoneticPr fontId="76" type="noConversion"/>
  </si>
  <si>
    <r>
      <t>2</t>
    </r>
    <r>
      <rPr>
        <sz val="10"/>
        <rFont val="宋体"/>
        <family val="3"/>
        <charset val="134"/>
      </rPr>
      <t>、其他债权投资公允价值变动</t>
    </r>
    <phoneticPr fontId="76" type="noConversion"/>
  </si>
  <si>
    <r>
      <t>3</t>
    </r>
    <r>
      <rPr>
        <sz val="10"/>
        <rFont val="宋体"/>
        <family val="3"/>
        <charset val="134"/>
      </rPr>
      <t>、可供出售金融资产公允价值变动损益</t>
    </r>
    <r>
      <rPr>
        <strike/>
        <sz val="10"/>
        <color rgb="FFFF0000"/>
        <rFont val="宋体"/>
        <family val="3"/>
        <charset val="134"/>
      </rPr>
      <t>（不适用的删除）</t>
    </r>
    <phoneticPr fontId="76" type="noConversion"/>
  </si>
  <si>
    <r>
      <rPr>
        <sz val="10"/>
        <rFont val="Arial Narrow"/>
        <family val="2"/>
      </rPr>
      <t>5</t>
    </r>
    <r>
      <rPr>
        <sz val="10"/>
        <rFont val="宋体"/>
        <family val="3"/>
        <charset val="134"/>
      </rPr>
      <t>、持有至到期投资重分类为可供出售金融资产损益</t>
    </r>
    <r>
      <rPr>
        <strike/>
        <sz val="10"/>
        <color rgb="FFFF0000"/>
        <rFont val="宋体"/>
        <family val="3"/>
        <charset val="134"/>
      </rPr>
      <t>（不适用的删除）</t>
    </r>
    <phoneticPr fontId="76" type="noConversion"/>
  </si>
  <si>
    <r>
      <rPr>
        <sz val="10"/>
        <rFont val="Arial Narrow"/>
        <family val="2"/>
      </rPr>
      <t>6</t>
    </r>
    <r>
      <rPr>
        <sz val="10"/>
        <rFont val="宋体"/>
        <family val="3"/>
        <charset val="134"/>
      </rPr>
      <t>、其他债权投资信用减值准备</t>
    </r>
    <r>
      <rPr>
        <strike/>
        <sz val="10"/>
        <color rgb="FFFF0000"/>
        <rFont val="宋体"/>
        <family val="3"/>
        <charset val="134"/>
      </rPr>
      <t>（不适用的删除）</t>
    </r>
    <phoneticPr fontId="76" type="noConversion"/>
  </si>
  <si>
    <r>
      <t>4</t>
    </r>
    <r>
      <rPr>
        <sz val="10"/>
        <rFont val="宋体"/>
        <family val="3"/>
        <charset val="134"/>
      </rPr>
      <t>、金融资产重分类计入其他综合收益的金额（不适用的删除）</t>
    </r>
    <phoneticPr fontId="76" type="noConversion"/>
  </si>
  <si>
    <r>
      <t>1</t>
    </r>
    <r>
      <rPr>
        <sz val="10"/>
        <rFont val="宋体"/>
        <family val="3"/>
        <charset val="134"/>
      </rPr>
      <t>、权益法下可转损益的其他综合收益</t>
    </r>
    <r>
      <rPr>
        <strike/>
        <sz val="10"/>
        <color rgb="FFFF0000"/>
        <rFont val="宋体"/>
        <family val="3"/>
        <charset val="134"/>
      </rPr>
      <t>（不适用的删除）</t>
    </r>
    <phoneticPr fontId="76" type="noConversion"/>
  </si>
  <si>
    <r>
      <rPr>
        <sz val="10"/>
        <rFont val="Arial Narrow"/>
        <family val="2"/>
      </rPr>
      <t>8</t>
    </r>
    <r>
      <rPr>
        <sz val="10"/>
        <rFont val="宋体"/>
        <family val="3"/>
        <charset val="134"/>
      </rPr>
      <t>、外币财务报表折算差额</t>
    </r>
    <r>
      <rPr>
        <strike/>
        <sz val="10"/>
        <color rgb="FFFF0000"/>
        <rFont val="宋体"/>
        <family val="3"/>
        <charset val="134"/>
      </rPr>
      <t>（不适用的删除）</t>
    </r>
    <phoneticPr fontId="76" type="noConversion"/>
  </si>
  <si>
    <r>
      <rPr>
        <sz val="10"/>
        <rFont val="Arial Narrow"/>
        <family val="2"/>
      </rPr>
      <t>9</t>
    </r>
    <r>
      <rPr>
        <sz val="10"/>
        <rFont val="宋体"/>
        <family val="3"/>
        <charset val="134"/>
      </rPr>
      <t>、自用房地产或作为存货的房地产转换为以公允价值计量的投资性房地产在转换日公允价值大于账面价值部分</t>
    </r>
    <r>
      <rPr>
        <strike/>
        <sz val="10"/>
        <rFont val="宋体"/>
        <family val="3"/>
        <charset val="134"/>
      </rPr>
      <t>（不适用的删除）</t>
    </r>
    <phoneticPr fontId="76" type="noConversion"/>
  </si>
  <si>
    <r>
      <rPr>
        <sz val="10"/>
        <rFont val="Arial Narrow"/>
        <family val="2"/>
      </rPr>
      <t>10</t>
    </r>
    <r>
      <rPr>
        <sz val="10"/>
        <rFont val="宋体"/>
        <family val="3"/>
        <charset val="134"/>
      </rPr>
      <t>、多次交易分步处置子公司股权构成一揽子交易的，丧失控制权之前各次交易处置价款与对应净资产账面价值份额的差额</t>
    </r>
    <r>
      <rPr>
        <strike/>
        <sz val="10"/>
        <rFont val="宋体"/>
        <family val="3"/>
        <charset val="134"/>
      </rPr>
      <t>（不适用的删除）</t>
    </r>
    <phoneticPr fontId="76" type="noConversion"/>
  </si>
  <si>
    <r>
      <rPr>
        <sz val="10"/>
        <rFont val="Arial Narrow"/>
        <family val="2"/>
      </rPr>
      <t>11</t>
    </r>
    <r>
      <rPr>
        <sz val="10"/>
        <rFont val="宋体"/>
        <family val="3"/>
        <charset val="134"/>
      </rPr>
      <t>、其他</t>
    </r>
    <r>
      <rPr>
        <strike/>
        <sz val="10"/>
        <color rgb="FFFF0000"/>
        <rFont val="宋体"/>
        <family val="3"/>
        <charset val="134"/>
      </rPr>
      <t>（不适用的删除）</t>
    </r>
    <phoneticPr fontId="76" type="noConversion"/>
  </si>
  <si>
    <r>
      <rPr>
        <sz val="10"/>
        <rFont val="Arial Narrow"/>
        <family val="2"/>
      </rPr>
      <t>7</t>
    </r>
    <r>
      <rPr>
        <sz val="10"/>
        <rFont val="宋体"/>
        <family val="3"/>
        <charset val="134"/>
      </rPr>
      <t>、现金流量套期储备</t>
    </r>
    <r>
      <rPr>
        <strike/>
        <sz val="10"/>
        <color rgb="FFFF0000"/>
        <rFont val="宋体"/>
        <family val="3"/>
        <charset val="134"/>
      </rPr>
      <t>（不适用的删除）</t>
    </r>
    <phoneticPr fontId="76" type="noConversion"/>
  </si>
  <si>
    <r>
      <rPr>
        <sz val="10"/>
        <rFont val="宋体"/>
        <family val="3"/>
        <charset val="134"/>
      </rPr>
      <t>说明：根据“关于</t>
    </r>
    <r>
      <rPr>
        <sz val="10"/>
        <rFont val="Arial Narrow"/>
        <family val="2"/>
      </rPr>
      <t>2018</t>
    </r>
    <r>
      <rPr>
        <sz val="10"/>
        <rFont val="宋体"/>
        <family val="3"/>
        <charset val="134"/>
      </rPr>
      <t>年度一般企业财务报表格式有关问题的解读”：企业实际收到的政府补助，无论是与资产相关还是与收益相关，在编制现金流量表时均作为经营活动产生的现金流量列报。</t>
    </r>
    <phoneticPr fontId="76" type="noConversion"/>
  </si>
  <si>
    <r>
      <t>5</t>
    </r>
    <r>
      <rPr>
        <sz val="12"/>
        <rFont val="宋体"/>
        <family val="3"/>
        <charset val="134"/>
      </rPr>
      <t>．其他综合收益结转留存收益</t>
    </r>
  </si>
  <si>
    <r>
      <t xml:space="preserve"> 6</t>
    </r>
    <r>
      <rPr>
        <sz val="12"/>
        <rFont val="宋体"/>
        <family val="3"/>
        <charset val="134"/>
      </rPr>
      <t>．其他</t>
    </r>
    <phoneticPr fontId="76" type="noConversion"/>
  </si>
  <si>
    <r>
      <t>20X7</t>
    </r>
    <r>
      <rPr>
        <b/>
        <sz val="12"/>
        <rFont val="宋体"/>
        <family val="3"/>
        <charset val="134"/>
      </rPr>
      <t>年度</t>
    </r>
    <phoneticPr fontId="76" type="noConversion"/>
  </si>
  <si>
    <r>
      <t>20X8</t>
    </r>
    <r>
      <rPr>
        <b/>
        <sz val="12"/>
        <rFont val="宋体"/>
        <family val="3"/>
        <charset val="134"/>
      </rPr>
      <t>年度</t>
    </r>
    <phoneticPr fontId="76" type="noConversion"/>
  </si>
  <si>
    <t>交易性金融资产</t>
    <phoneticPr fontId="76" type="noConversion"/>
  </si>
  <si>
    <t>债权投资</t>
    <phoneticPr fontId="76" type="noConversion"/>
  </si>
  <si>
    <t xml:space="preserve"> </t>
    <phoneticPr fontId="76" type="noConversion"/>
  </si>
  <si>
    <t>信用减值损失</t>
    <phoneticPr fontId="76" type="noConversion"/>
  </si>
  <si>
    <r>
      <t xml:space="preserve">      </t>
    </r>
    <r>
      <rPr>
        <sz val="10"/>
        <rFont val="宋体"/>
        <family val="3"/>
        <charset val="134"/>
      </rPr>
      <t>债务工具投资</t>
    </r>
    <phoneticPr fontId="76" type="noConversion"/>
  </si>
  <si>
    <t>（1）合同资产</t>
    <phoneticPr fontId="76" type="noConversion"/>
  </si>
  <si>
    <t>合同资产减值准备</t>
    <phoneticPr fontId="76" type="noConversion"/>
  </si>
  <si>
    <t>合同资产净值</t>
    <phoneticPr fontId="76" type="noConversion"/>
  </si>
  <si>
    <t>债权投资</t>
    <phoneticPr fontId="76" type="noConversion"/>
  </si>
  <si>
    <r>
      <rPr>
        <sz val="10"/>
        <color rgb="FF000000"/>
        <rFont val="宋体"/>
        <family val="3"/>
        <charset val="134"/>
      </rPr>
      <t>减：</t>
    </r>
    <r>
      <rPr>
        <sz val="10"/>
        <color theme="1"/>
        <rFont val="Arial Narrow"/>
        <family val="2"/>
      </rPr>
      <t>1</t>
    </r>
    <r>
      <rPr>
        <sz val="10"/>
        <color theme="1"/>
        <rFont val="宋体"/>
        <family val="3"/>
        <charset val="134"/>
      </rPr>
      <t>年内到期的债权投资</t>
    </r>
    <phoneticPr fontId="76" type="noConversion"/>
  </si>
  <si>
    <t>债权投资项目</t>
    <phoneticPr fontId="76" type="noConversion"/>
  </si>
  <si>
    <r>
      <rPr>
        <b/>
        <sz val="10"/>
        <color rgb="FF0070C0"/>
        <rFont val="宋体"/>
        <family val="3"/>
        <charset val="134"/>
      </rPr>
      <t>（</t>
    </r>
    <r>
      <rPr>
        <b/>
        <sz val="10"/>
        <color theme="1"/>
        <rFont val="Arial Narrow"/>
        <family val="2"/>
      </rPr>
      <t>1</t>
    </r>
    <r>
      <rPr>
        <b/>
        <sz val="10"/>
        <color theme="1"/>
        <rFont val="宋体"/>
        <family val="3"/>
        <charset val="134"/>
      </rPr>
      <t>）其他债权投资情况</t>
    </r>
    <phoneticPr fontId="76" type="noConversion"/>
  </si>
  <si>
    <t>其他权益工具投资</t>
    <phoneticPr fontId="76" type="noConversion"/>
  </si>
  <si>
    <t>合同负债</t>
    <phoneticPr fontId="76" type="noConversion"/>
  </si>
  <si>
    <t>合同资产</t>
    <phoneticPr fontId="76" type="noConversion"/>
  </si>
  <si>
    <t>持有待售的资产和持有待售的负债</t>
    <phoneticPr fontId="76" type="noConversion"/>
  </si>
  <si>
    <t>交易性金融负债</t>
    <phoneticPr fontId="76" type="noConversion"/>
  </si>
  <si>
    <t>项目</t>
    <phoneticPr fontId="76" type="noConversion"/>
  </si>
  <si>
    <t>应付退货款</t>
    <phoneticPr fontId="76" type="noConversion"/>
  </si>
  <si>
    <r>
      <t>按照《企业会计准则第</t>
    </r>
    <r>
      <rPr>
        <sz val="10"/>
        <color rgb="FF0070C0"/>
        <rFont val="Arial Narrow"/>
        <family val="2"/>
      </rPr>
      <t xml:space="preserve"> 14 </t>
    </r>
    <r>
      <rPr>
        <sz val="10"/>
        <color rgb="FF0070C0"/>
        <rFont val="宋体"/>
        <family val="3"/>
        <charset val="134"/>
      </rPr>
      <t>号</t>
    </r>
    <r>
      <rPr>
        <sz val="10"/>
        <color rgb="FF0070C0"/>
        <rFont val="Arial Narrow"/>
        <family val="2"/>
      </rPr>
      <t>--</t>
    </r>
    <r>
      <rPr>
        <sz val="10"/>
        <color rgb="FF0070C0"/>
        <rFont val="宋体"/>
        <family val="3"/>
        <charset val="134"/>
      </rPr>
      <t>收入》（</t>
    </r>
    <r>
      <rPr>
        <sz val="10"/>
        <color rgb="FF0070C0"/>
        <rFont val="Arial Narrow"/>
        <family val="2"/>
      </rPr>
      <t xml:space="preserve">2017 </t>
    </r>
    <r>
      <rPr>
        <sz val="10"/>
        <color rgb="FF0070C0"/>
        <rFont val="宋体"/>
        <family val="3"/>
        <charset val="134"/>
      </rPr>
      <t>年修订）的相关规定确认为预计负债的应付退货款，应当根据</t>
    </r>
    <r>
      <rPr>
        <sz val="10"/>
        <color rgb="FF0070C0"/>
        <rFont val="Arial Narrow"/>
        <family val="2"/>
      </rPr>
      <t>"</t>
    </r>
    <r>
      <rPr>
        <sz val="10"/>
        <color rgb="FF0070C0"/>
        <rFont val="宋体"/>
        <family val="3"/>
        <charset val="134"/>
      </rPr>
      <t>预计负债</t>
    </r>
    <r>
      <rPr>
        <sz val="10"/>
        <color rgb="FF0070C0"/>
        <rFont val="Arial Narrow"/>
        <family val="2"/>
      </rPr>
      <t>"</t>
    </r>
    <r>
      <rPr>
        <sz val="10"/>
        <color rgb="FF0070C0"/>
        <rFont val="宋体"/>
        <family val="3"/>
        <charset val="134"/>
      </rPr>
      <t>科目下的</t>
    </r>
    <r>
      <rPr>
        <sz val="10"/>
        <color rgb="FF0070C0"/>
        <rFont val="Arial Narrow"/>
        <family val="2"/>
      </rPr>
      <t>"</t>
    </r>
    <r>
      <rPr>
        <sz val="10"/>
        <color rgb="FF0070C0"/>
        <rFont val="宋体"/>
        <family val="3"/>
        <charset val="134"/>
      </rPr>
      <t>应付退货款</t>
    </r>
    <r>
      <rPr>
        <sz val="10"/>
        <color rgb="FF0070C0"/>
        <rFont val="Arial Narrow"/>
        <family val="2"/>
      </rPr>
      <t>"</t>
    </r>
    <r>
      <rPr>
        <sz val="10"/>
        <color rgb="FF0070C0"/>
        <rFont val="宋体"/>
        <family val="3"/>
        <charset val="134"/>
      </rPr>
      <t>明细科目是否在一年或一个正常营业周期内清偿，在</t>
    </r>
    <r>
      <rPr>
        <sz val="10"/>
        <color rgb="FF0070C0"/>
        <rFont val="Arial Narrow"/>
        <family val="2"/>
      </rPr>
      <t>"</t>
    </r>
    <r>
      <rPr>
        <sz val="10"/>
        <color rgb="FF0070C0"/>
        <rFont val="宋体"/>
        <family val="3"/>
        <charset val="134"/>
      </rPr>
      <t>其他流动负债</t>
    </r>
    <r>
      <rPr>
        <sz val="10"/>
        <color rgb="FF0070C0"/>
        <rFont val="Arial Narrow"/>
        <family val="2"/>
      </rPr>
      <t>"</t>
    </r>
    <r>
      <rPr>
        <sz val="10"/>
        <color rgb="FF0070C0"/>
        <rFont val="宋体"/>
        <family val="3"/>
        <charset val="134"/>
      </rPr>
      <t>或</t>
    </r>
    <r>
      <rPr>
        <sz val="10"/>
        <color rgb="FF0070C0"/>
        <rFont val="Arial Narrow"/>
        <family val="2"/>
      </rPr>
      <t>"</t>
    </r>
    <r>
      <rPr>
        <sz val="10"/>
        <color rgb="FF0070C0"/>
        <rFont val="宋体"/>
        <family val="3"/>
        <charset val="134"/>
      </rPr>
      <t>预计负债</t>
    </r>
    <r>
      <rPr>
        <sz val="10"/>
        <color rgb="FF0070C0"/>
        <rFont val="Arial Narrow"/>
        <family val="2"/>
      </rPr>
      <t>"</t>
    </r>
    <r>
      <rPr>
        <sz val="10"/>
        <color rgb="FF0070C0"/>
        <rFont val="宋体"/>
        <family val="3"/>
        <charset val="134"/>
      </rPr>
      <t>项目中填列。</t>
    </r>
  </si>
  <si>
    <t>合同取得成本</t>
    <phoneticPr fontId="76" type="noConversion"/>
  </si>
  <si>
    <r>
      <t>1</t>
    </r>
    <r>
      <rPr>
        <sz val="11"/>
        <rFont val="宋体"/>
        <family val="3"/>
        <charset val="134"/>
      </rPr>
      <t>、合同取得成本，初始确认时摊销期限超过一年或一个正常营业周期的项目（考虑合同取得成本减值准备影响）；</t>
    </r>
    <r>
      <rPr>
        <sz val="11"/>
        <rFont val="Arial Narrow"/>
        <family val="2"/>
      </rPr>
      <t>2</t>
    </r>
    <r>
      <rPr>
        <sz val="11"/>
        <rFont val="宋体"/>
        <family val="3"/>
        <charset val="134"/>
      </rPr>
      <t>、合同履约成本，初始确认时摊销期限超过一年或一个正常营业周期的项目（考虑合同履约成本减值准备影响）；</t>
    </r>
    <r>
      <rPr>
        <sz val="11"/>
        <rFont val="Arial Narrow"/>
        <family val="2"/>
      </rPr>
      <t>3</t>
    </r>
    <r>
      <rPr>
        <sz val="11"/>
        <rFont val="宋体"/>
        <family val="3"/>
        <charset val="134"/>
      </rPr>
      <t>、附有销售退回条款的销售，确认为资产的应收退货成本，不在一年或一个正常营业周期内出售的项目；</t>
    </r>
    <r>
      <rPr>
        <sz val="11"/>
        <rFont val="Arial Narrow"/>
        <family val="2"/>
      </rPr>
      <t>4</t>
    </r>
    <r>
      <rPr>
        <sz val="11"/>
        <rFont val="宋体"/>
        <family val="3"/>
        <charset val="134"/>
      </rPr>
      <t>、确认的合同资产，不在一年或一个正常营业周期内收回的项目（考虑合同取得成本减值准备影响）。同一合同下的合同资产和合同负债应当以净额列示，其中净额为借方余额的，应当根据其流动性在</t>
    </r>
    <r>
      <rPr>
        <sz val="11"/>
        <rFont val="Arial Narrow"/>
        <family val="2"/>
      </rPr>
      <t>“</t>
    </r>
    <r>
      <rPr>
        <sz val="11"/>
        <rFont val="宋体"/>
        <family val="3"/>
        <charset val="134"/>
      </rPr>
      <t>合同资产</t>
    </r>
    <r>
      <rPr>
        <sz val="11"/>
        <rFont val="Arial Narrow"/>
        <family val="2"/>
      </rPr>
      <t>”</t>
    </r>
    <r>
      <rPr>
        <sz val="11"/>
        <rFont val="宋体"/>
        <family val="3"/>
        <charset val="134"/>
      </rPr>
      <t>或</t>
    </r>
    <r>
      <rPr>
        <sz val="11"/>
        <rFont val="Arial Narrow"/>
        <family val="2"/>
      </rPr>
      <t>“</t>
    </r>
    <r>
      <rPr>
        <sz val="11"/>
        <rFont val="宋体"/>
        <family val="3"/>
        <charset val="134"/>
      </rPr>
      <t>其他非流动资产</t>
    </r>
    <r>
      <rPr>
        <sz val="11"/>
        <rFont val="Arial Narrow"/>
        <family val="2"/>
      </rPr>
      <t>”</t>
    </r>
    <r>
      <rPr>
        <sz val="11"/>
        <rFont val="宋体"/>
        <family val="3"/>
        <charset val="134"/>
      </rPr>
      <t>项目中填列。</t>
    </r>
  </si>
  <si>
    <t>合同履约成本</t>
  </si>
  <si>
    <t>应收退货成本</t>
    <phoneticPr fontId="76" type="noConversion"/>
  </si>
  <si>
    <t>合同资产</t>
    <phoneticPr fontId="76" type="noConversion"/>
  </si>
  <si>
    <t>应付退货款</t>
    <phoneticPr fontId="76" type="noConversion"/>
  </si>
  <si>
    <r>
      <t>按照《企业会计准则第</t>
    </r>
    <r>
      <rPr>
        <sz val="12"/>
        <rFont val="Arial Narrow"/>
        <family val="2"/>
      </rPr>
      <t xml:space="preserve"> 14 </t>
    </r>
    <r>
      <rPr>
        <sz val="12"/>
        <rFont val="宋体"/>
        <family val="3"/>
        <charset val="134"/>
      </rPr>
      <t>号</t>
    </r>
    <r>
      <rPr>
        <sz val="12"/>
        <rFont val="Arial Narrow"/>
        <family val="2"/>
      </rPr>
      <t>--</t>
    </r>
    <r>
      <rPr>
        <sz val="12"/>
        <rFont val="宋体"/>
        <family val="3"/>
        <charset val="134"/>
      </rPr>
      <t>收入》（</t>
    </r>
    <r>
      <rPr>
        <sz val="12"/>
        <rFont val="Arial Narrow"/>
        <family val="2"/>
      </rPr>
      <t xml:space="preserve">2017 </t>
    </r>
    <r>
      <rPr>
        <sz val="12"/>
        <rFont val="宋体"/>
        <family val="3"/>
        <charset val="134"/>
      </rPr>
      <t>年修订）的相关规定确认为预计负债的应付退货款，应当根据</t>
    </r>
    <r>
      <rPr>
        <sz val="12"/>
        <rFont val="Arial Narrow"/>
        <family val="2"/>
      </rPr>
      <t>"</t>
    </r>
    <r>
      <rPr>
        <sz val="12"/>
        <rFont val="宋体"/>
        <family val="3"/>
        <charset val="134"/>
      </rPr>
      <t>预计负债</t>
    </r>
    <r>
      <rPr>
        <sz val="12"/>
        <rFont val="Arial Narrow"/>
        <family val="2"/>
      </rPr>
      <t>"</t>
    </r>
    <r>
      <rPr>
        <sz val="12"/>
        <rFont val="宋体"/>
        <family val="3"/>
        <charset val="134"/>
      </rPr>
      <t>科目下的</t>
    </r>
    <r>
      <rPr>
        <sz val="12"/>
        <rFont val="Arial Narrow"/>
        <family val="2"/>
      </rPr>
      <t>"</t>
    </r>
    <r>
      <rPr>
        <sz val="12"/>
        <rFont val="宋体"/>
        <family val="3"/>
        <charset val="134"/>
      </rPr>
      <t>应付退货款</t>
    </r>
    <r>
      <rPr>
        <sz val="12"/>
        <rFont val="Arial Narrow"/>
        <family val="2"/>
      </rPr>
      <t>"</t>
    </r>
    <r>
      <rPr>
        <sz val="12"/>
        <rFont val="宋体"/>
        <family val="3"/>
        <charset val="134"/>
      </rPr>
      <t>明细科目是否在一年或一个正常营业周期内清偿，在</t>
    </r>
    <r>
      <rPr>
        <sz val="12"/>
        <rFont val="Arial Narrow"/>
        <family val="2"/>
      </rPr>
      <t>"</t>
    </r>
    <r>
      <rPr>
        <sz val="12"/>
        <rFont val="宋体"/>
        <family val="3"/>
        <charset val="134"/>
      </rPr>
      <t>其他流动负债</t>
    </r>
    <r>
      <rPr>
        <sz val="12"/>
        <rFont val="Arial Narrow"/>
        <family val="2"/>
      </rPr>
      <t>"</t>
    </r>
    <r>
      <rPr>
        <sz val="12"/>
        <rFont val="宋体"/>
        <family val="3"/>
        <charset val="134"/>
      </rPr>
      <t>或</t>
    </r>
    <r>
      <rPr>
        <sz val="12"/>
        <rFont val="Arial Narrow"/>
        <family val="2"/>
      </rPr>
      <t>"</t>
    </r>
    <r>
      <rPr>
        <sz val="12"/>
        <rFont val="宋体"/>
        <family val="3"/>
        <charset val="134"/>
      </rPr>
      <t>预计负债</t>
    </r>
    <r>
      <rPr>
        <sz val="12"/>
        <rFont val="Arial Narrow"/>
        <family val="2"/>
      </rPr>
      <t>"</t>
    </r>
    <r>
      <rPr>
        <sz val="12"/>
        <rFont val="宋体"/>
        <family val="3"/>
        <charset val="134"/>
      </rPr>
      <t>项目中填列。</t>
    </r>
  </si>
  <si>
    <r>
      <t>其他债权投资行项目，反映资产负债表日企业分类为以公允价值计量且其变动计入其他综合收益的长期债权投资的期末账面价值。该项目应根据</t>
    </r>
    <r>
      <rPr>
        <sz val="11"/>
        <rFont val="Arial Narrow"/>
        <family val="2"/>
      </rPr>
      <t>"</t>
    </r>
    <r>
      <rPr>
        <sz val="11"/>
        <rFont val="宋体"/>
        <family val="3"/>
        <charset val="134"/>
      </rPr>
      <t>其他债权投资</t>
    </r>
    <r>
      <rPr>
        <sz val="11"/>
        <rFont val="Arial Narrow"/>
        <family val="2"/>
      </rPr>
      <t>"</t>
    </r>
    <r>
      <rPr>
        <sz val="11"/>
        <rFont val="宋体"/>
        <family val="3"/>
        <charset val="134"/>
      </rPr>
      <t>科目的相关明细科目期末余额分析填列。自资产负债表日起一年内到期的长期债权投资的期末账面价值，在</t>
    </r>
    <r>
      <rPr>
        <sz val="11"/>
        <rFont val="Arial Narrow"/>
        <family val="2"/>
      </rPr>
      <t>"</t>
    </r>
    <r>
      <rPr>
        <sz val="11"/>
        <rFont val="宋体"/>
        <family val="3"/>
        <charset val="134"/>
      </rPr>
      <t>一年内到期的非流动资产</t>
    </r>
    <r>
      <rPr>
        <sz val="11"/>
        <rFont val="Arial Narrow"/>
        <family val="2"/>
      </rPr>
      <t>"</t>
    </r>
    <r>
      <rPr>
        <sz val="11"/>
        <rFont val="宋体"/>
        <family val="3"/>
        <charset val="134"/>
      </rPr>
      <t>行项目反映。</t>
    </r>
  </si>
  <si>
    <t>应收票据</t>
    <phoneticPr fontId="76" type="noConversion"/>
  </si>
  <si>
    <t>应收账款</t>
    <phoneticPr fontId="76" type="noConversion"/>
  </si>
  <si>
    <t>应收款项融资</t>
  </si>
  <si>
    <t>应收款项融资</t>
    <phoneticPr fontId="76" type="noConversion"/>
  </si>
  <si>
    <t>RP 017</t>
    <phoneticPr fontId="76" type="noConversion"/>
  </si>
  <si>
    <t>应付票据</t>
    <phoneticPr fontId="76" type="noConversion"/>
  </si>
  <si>
    <t>应付账款</t>
    <phoneticPr fontId="76" type="noConversion"/>
  </si>
  <si>
    <t>资产减值损失</t>
    <phoneticPr fontId="76" type="noConversion"/>
  </si>
  <si>
    <t>信用减值损失</t>
    <phoneticPr fontId="76" type="noConversion"/>
  </si>
  <si>
    <t>2018.12.31</t>
  </si>
  <si>
    <r>
      <t>合</t>
    </r>
    <r>
      <rPr>
        <b/>
        <sz val="12"/>
        <rFont val="Arial Narrow"/>
        <family val="2"/>
      </rPr>
      <t xml:space="preserve">  </t>
    </r>
    <r>
      <rPr>
        <b/>
        <sz val="12"/>
        <rFont val="仿宋_GB2312"/>
        <family val="3"/>
        <charset val="134"/>
      </rPr>
      <t>计</t>
    </r>
  </si>
  <si>
    <t>说明：</t>
  </si>
  <si>
    <t>说明：</t>
    <phoneticPr fontId="76" type="noConversion"/>
  </si>
  <si>
    <t>按坏账计提方法分类</t>
  </si>
  <si>
    <t>类别</t>
  </si>
  <si>
    <t>账面余额</t>
  </si>
  <si>
    <t>账面</t>
  </si>
  <si>
    <t>价值</t>
  </si>
  <si>
    <t>金额</t>
  </si>
  <si>
    <t>预期信用损失率(%)</t>
  </si>
  <si>
    <t>按单项计提坏账准备</t>
  </si>
  <si>
    <t>其中：</t>
  </si>
  <si>
    <r>
      <t>比例</t>
    </r>
    <r>
      <rPr>
        <b/>
        <sz val="12"/>
        <rFont val="Arial Narrow"/>
        <family val="2"/>
      </rPr>
      <t>(%)</t>
    </r>
  </si>
  <si>
    <r>
      <t>预期信用损失率</t>
    </r>
    <r>
      <rPr>
        <b/>
        <sz val="12"/>
        <rFont val="Arial Narrow"/>
        <family val="2"/>
      </rPr>
      <t>(%)</t>
    </r>
  </si>
  <si>
    <r>
      <t>按组合计提坏账准备</t>
    </r>
    <r>
      <rPr>
        <sz val="10.5"/>
        <rFont val="Times New Roman"/>
        <family val="1"/>
      </rPr>
      <t> </t>
    </r>
  </si>
  <si>
    <r>
      <t>　</t>
    </r>
    <r>
      <rPr>
        <sz val="10.5"/>
        <color rgb="FFFF0000"/>
        <rFont val="仿宋_GB2312"/>
        <family val="3"/>
        <charset val="134"/>
      </rPr>
      <t>商业承兑汇票</t>
    </r>
  </si>
  <si>
    <r>
      <t>　</t>
    </r>
    <r>
      <rPr>
        <sz val="10.5"/>
        <color rgb="FFFF0000"/>
        <rFont val="仿宋_GB2312"/>
        <family val="3"/>
        <charset val="134"/>
      </rPr>
      <t>银行承兑汇票</t>
    </r>
  </si>
  <si>
    <r>
      <t>合</t>
    </r>
    <r>
      <rPr>
        <b/>
        <sz val="12"/>
        <color rgb="FF000000"/>
        <rFont val="Arial Narrow"/>
        <family val="2"/>
      </rPr>
      <t xml:space="preserve"> </t>
    </r>
    <r>
      <rPr>
        <b/>
        <sz val="12"/>
        <color rgb="FF000000"/>
        <rFont val="仿宋_GB2312"/>
        <family val="3"/>
        <charset val="134"/>
      </rPr>
      <t>计</t>
    </r>
  </si>
  <si>
    <t>按单项计提坏账准备：</t>
  </si>
  <si>
    <t>20xx.xx.xx</t>
    <phoneticPr fontId="76" type="noConversion"/>
  </si>
  <si>
    <r>
      <t>名</t>
    </r>
    <r>
      <rPr>
        <b/>
        <sz val="12"/>
        <rFont val="Arial Narrow"/>
        <family val="2"/>
      </rPr>
      <t xml:space="preserve"> </t>
    </r>
    <r>
      <rPr>
        <b/>
        <sz val="12"/>
        <rFont val="仿宋_GB2312"/>
        <family val="3"/>
        <charset val="134"/>
      </rPr>
      <t>称</t>
    </r>
  </si>
  <si>
    <t>计提理由</t>
  </si>
  <si>
    <t>/</t>
  </si>
  <si>
    <t>按组合计提坏账准备：</t>
  </si>
  <si>
    <r>
      <t>组合计提项目：</t>
    </r>
    <r>
      <rPr>
        <sz val="12"/>
        <color rgb="FFFF0000"/>
        <rFont val="仿宋_GB2312"/>
        <family val="3"/>
        <charset val="134"/>
      </rPr>
      <t>商业承兑汇票</t>
    </r>
  </si>
  <si>
    <t>出票人类型或账龄</t>
  </si>
  <si>
    <t>坏账准备金额</t>
  </si>
  <si>
    <t>2017.12.31</t>
  </si>
  <si>
    <t>首次执行新金融工具准则的调整金额</t>
  </si>
  <si>
    <t>本期计提</t>
  </si>
  <si>
    <t>本期收回或转回</t>
  </si>
  <si>
    <t>本期核销</t>
  </si>
  <si>
    <r>
      <t>[</t>
    </r>
    <r>
      <rPr>
        <sz val="12"/>
        <rFont val="仿宋_GB2312"/>
        <family val="3"/>
        <charset val="134"/>
      </rPr>
      <t>本期转销</t>
    </r>
    <r>
      <rPr>
        <sz val="12"/>
        <rFont val="Arial Narrow"/>
        <family val="2"/>
      </rPr>
      <t>]</t>
    </r>
  </si>
  <si>
    <r>
      <t>[</t>
    </r>
    <r>
      <rPr>
        <sz val="12"/>
        <rFont val="仿宋_GB2312"/>
        <family val="3"/>
        <charset val="134"/>
      </rPr>
      <t>其他</t>
    </r>
    <r>
      <rPr>
        <sz val="12"/>
        <rFont val="Arial Narrow"/>
        <family val="2"/>
      </rPr>
      <t>]</t>
    </r>
  </si>
  <si>
    <t>2019.01.01</t>
  </si>
  <si>
    <t>2019.01.01</t>
    <phoneticPr fontId="76" type="noConversion"/>
  </si>
  <si>
    <t>2018.12.31</t>
    <phoneticPr fontId="76" type="noConversion"/>
  </si>
  <si>
    <t>2019.12.31</t>
    <phoneticPr fontId="76" type="noConversion"/>
  </si>
  <si>
    <t>单项金额不重大但按信用风险特征组合后该组合的风险较大的应收账款</t>
    <phoneticPr fontId="76" type="noConversion"/>
  </si>
  <si>
    <t>X.XX</t>
    <phoneticPr fontId="76" type="noConversion"/>
  </si>
  <si>
    <t>RP 094</t>
    <phoneticPr fontId="76" type="noConversion"/>
  </si>
  <si>
    <t>RP 093</t>
    <phoneticPr fontId="76" type="noConversion"/>
  </si>
  <si>
    <t>RP 087</t>
    <phoneticPr fontId="76" type="noConversion"/>
  </si>
  <si>
    <t>RP 092</t>
    <phoneticPr fontId="76" type="noConversion"/>
  </si>
  <si>
    <t>RP 090</t>
    <phoneticPr fontId="76" type="noConversion"/>
  </si>
  <si>
    <t>RP 088</t>
    <phoneticPr fontId="76" type="noConversion"/>
  </si>
  <si>
    <t>RP 086</t>
    <phoneticPr fontId="76" type="noConversion"/>
  </si>
  <si>
    <t>RP 081</t>
    <phoneticPr fontId="76" type="noConversion"/>
  </si>
  <si>
    <t>RP 080</t>
    <phoneticPr fontId="76" type="noConversion"/>
  </si>
  <si>
    <t>RP 075</t>
    <phoneticPr fontId="76" type="noConversion"/>
  </si>
  <si>
    <t>RP 073</t>
    <phoneticPr fontId="76" type="noConversion"/>
  </si>
  <si>
    <t>RP 072</t>
    <phoneticPr fontId="76" type="noConversion"/>
  </si>
  <si>
    <t>RP 070</t>
    <phoneticPr fontId="76" type="noConversion"/>
  </si>
  <si>
    <t>RP 067</t>
    <phoneticPr fontId="76" type="noConversion"/>
  </si>
  <si>
    <t>RP 064</t>
    <phoneticPr fontId="76" type="noConversion"/>
  </si>
  <si>
    <t>RP 062-2</t>
    <phoneticPr fontId="76" type="noConversion"/>
  </si>
  <si>
    <t>RP 062-1</t>
    <phoneticPr fontId="76" type="noConversion"/>
  </si>
  <si>
    <t>RP 062</t>
    <phoneticPr fontId="76" type="noConversion"/>
  </si>
  <si>
    <t>RP 059</t>
    <phoneticPr fontId="76" type="noConversion"/>
  </si>
  <si>
    <t>RP 058</t>
    <phoneticPr fontId="76" type="noConversion"/>
  </si>
  <si>
    <t>RP 057-2</t>
    <phoneticPr fontId="76" type="noConversion"/>
  </si>
  <si>
    <t>RP 057-1</t>
    <phoneticPr fontId="76" type="noConversion"/>
  </si>
  <si>
    <t>RP 057</t>
    <phoneticPr fontId="76" type="noConversion"/>
  </si>
  <si>
    <t>RP 056</t>
    <phoneticPr fontId="76" type="noConversion"/>
  </si>
  <si>
    <t>RP 055</t>
    <phoneticPr fontId="76" type="noConversion"/>
  </si>
  <si>
    <t>RP 052</t>
    <phoneticPr fontId="76" type="noConversion"/>
  </si>
  <si>
    <t>RP 050</t>
    <phoneticPr fontId="76" type="noConversion"/>
  </si>
  <si>
    <t>RP 048</t>
    <phoneticPr fontId="76" type="noConversion"/>
  </si>
  <si>
    <t>RP 047</t>
    <phoneticPr fontId="76" type="noConversion"/>
  </si>
  <si>
    <t>RP 045</t>
    <phoneticPr fontId="76" type="noConversion"/>
  </si>
  <si>
    <t>RP 044</t>
    <phoneticPr fontId="76" type="noConversion"/>
  </si>
  <si>
    <t>RP 043</t>
    <phoneticPr fontId="76" type="noConversion"/>
  </si>
  <si>
    <t>RP 041</t>
    <phoneticPr fontId="76" type="noConversion"/>
  </si>
  <si>
    <t>RP 040</t>
    <phoneticPr fontId="76" type="noConversion"/>
  </si>
  <si>
    <t>RP 039</t>
    <phoneticPr fontId="76" type="noConversion"/>
  </si>
  <si>
    <t>RP 038</t>
    <phoneticPr fontId="76" type="noConversion"/>
  </si>
  <si>
    <t>RP 037-1</t>
    <phoneticPr fontId="76" type="noConversion"/>
  </si>
  <si>
    <t>RP 037-2</t>
    <phoneticPr fontId="76" type="noConversion"/>
  </si>
  <si>
    <t>RP 036</t>
    <phoneticPr fontId="76" type="noConversion"/>
  </si>
  <si>
    <t>RP 036-1</t>
    <phoneticPr fontId="76" type="noConversion"/>
  </si>
  <si>
    <t>RP 036-2</t>
    <phoneticPr fontId="76" type="noConversion"/>
  </si>
  <si>
    <t>RP 035</t>
    <phoneticPr fontId="76" type="noConversion"/>
  </si>
  <si>
    <t>RP 032</t>
    <phoneticPr fontId="76" type="noConversion"/>
  </si>
  <si>
    <t>RP 030</t>
    <phoneticPr fontId="76" type="noConversion"/>
  </si>
  <si>
    <t>RP 028</t>
    <phoneticPr fontId="76" type="noConversion"/>
  </si>
  <si>
    <t>RP 027</t>
    <phoneticPr fontId="76" type="noConversion"/>
  </si>
  <si>
    <t>RP 026</t>
    <phoneticPr fontId="76" type="noConversion"/>
  </si>
  <si>
    <t>RP 020</t>
    <phoneticPr fontId="76" type="noConversion"/>
  </si>
  <si>
    <t>RP 020-1</t>
    <phoneticPr fontId="76" type="noConversion"/>
  </si>
  <si>
    <t>RP 020-2</t>
    <phoneticPr fontId="76" type="noConversion"/>
  </si>
  <si>
    <t>RP 019</t>
    <phoneticPr fontId="76" type="noConversion"/>
  </si>
  <si>
    <r>
      <t>项</t>
    </r>
    <r>
      <rPr>
        <b/>
        <sz val="12"/>
        <color rgb="FF000000"/>
        <rFont val="Arial Narrow"/>
        <family val="2"/>
      </rPr>
      <t xml:space="preserve"> </t>
    </r>
    <r>
      <rPr>
        <b/>
        <sz val="12"/>
        <color rgb="FF000000"/>
        <rFont val="仿宋_GB2312"/>
        <family val="3"/>
        <charset val="134"/>
      </rPr>
      <t>目</t>
    </r>
  </si>
  <si>
    <t>2019.XX.XX</t>
  </si>
  <si>
    <t>各报告期期末减值准备计提情况</t>
  </si>
  <si>
    <r>
      <t>按组合</t>
    </r>
    <r>
      <rPr>
        <sz val="10.5"/>
        <rFont val="Arial Narrow"/>
        <family val="2"/>
      </rPr>
      <t> </t>
    </r>
    <r>
      <rPr>
        <sz val="10.5"/>
        <rFont val="仿宋_GB2312"/>
        <family val="3"/>
        <charset val="134"/>
      </rPr>
      <t>计提坏账准备</t>
    </r>
  </si>
  <si>
    <r>
      <t>　</t>
    </r>
    <r>
      <rPr>
        <sz val="10.5"/>
        <color rgb="FFFF0000"/>
        <rFont val="仿宋_GB2312"/>
        <family val="3"/>
        <charset val="134"/>
      </rPr>
      <t>应收中央企业客户</t>
    </r>
  </si>
  <si>
    <r>
      <t> </t>
    </r>
    <r>
      <rPr>
        <sz val="10.5"/>
        <rFont val="宋体"/>
        <family val="3"/>
        <charset val="134"/>
      </rPr>
      <t>应与会计政策中披露的组合一致</t>
    </r>
  </si>
  <si>
    <t>账面</t>
    <phoneticPr fontId="76" type="noConversion"/>
  </si>
  <si>
    <t>2019.12.31</t>
    <phoneticPr fontId="76" type="noConversion"/>
  </si>
  <si>
    <t>2019.12.31</t>
    <phoneticPr fontId="76" type="noConversion"/>
  </si>
  <si>
    <t>组合计提项目：应收中央企业客户</t>
  </si>
  <si>
    <r>
      <t>1</t>
    </r>
    <r>
      <rPr>
        <sz val="10"/>
        <rFont val="宋体"/>
        <family val="3"/>
        <charset val="134"/>
      </rPr>
      <t>年以内</t>
    </r>
    <phoneticPr fontId="76" type="noConversion"/>
  </si>
  <si>
    <r>
      <t>1-2</t>
    </r>
    <r>
      <rPr>
        <sz val="10"/>
        <rFont val="宋体"/>
        <family val="3"/>
        <charset val="134"/>
      </rPr>
      <t>年</t>
    </r>
    <phoneticPr fontId="76" type="noConversion"/>
  </si>
  <si>
    <r>
      <t>　</t>
    </r>
    <r>
      <rPr>
        <sz val="10.5"/>
        <color rgb="FFFF0000"/>
        <rFont val="仿宋_GB2312"/>
        <family val="3"/>
        <charset val="134"/>
      </rPr>
      <t>应收海外企业客户</t>
    </r>
    <phoneticPr fontId="76" type="noConversion"/>
  </si>
  <si>
    <t>组合计提项目：应收海外企业客户</t>
    <phoneticPr fontId="76" type="noConversion"/>
  </si>
  <si>
    <t>…..</t>
    <phoneticPr fontId="76" type="noConversion"/>
  </si>
  <si>
    <t>…..</t>
    <phoneticPr fontId="76" type="noConversion"/>
  </si>
  <si>
    <t>各报告期计提、收回或转回的减值准备情况</t>
  </si>
  <si>
    <t>应付票据</t>
    <phoneticPr fontId="76" type="noConversion"/>
  </si>
  <si>
    <t>应收票据</t>
    <phoneticPr fontId="76" type="noConversion"/>
  </si>
  <si>
    <t>应收账款</t>
    <phoneticPr fontId="76" type="noConversion"/>
  </si>
  <si>
    <t>应收票据净值</t>
    <phoneticPr fontId="76" type="noConversion"/>
  </si>
  <si>
    <t>应收票据坏帐准备</t>
    <phoneticPr fontId="76" type="noConversion"/>
  </si>
  <si>
    <t>应收账款坏帐准备</t>
    <phoneticPr fontId="76" type="noConversion"/>
  </si>
  <si>
    <t>应收账款净值</t>
    <phoneticPr fontId="76" type="noConversion"/>
  </si>
  <si>
    <t>应付票据</t>
    <phoneticPr fontId="76" type="noConversion"/>
  </si>
  <si>
    <t>应付账款</t>
    <phoneticPr fontId="76" type="noConversion"/>
  </si>
  <si>
    <t>应收款项融资</t>
    <phoneticPr fontId="76" type="noConversion"/>
  </si>
  <si>
    <t>应收款项融资坏账准备</t>
    <phoneticPr fontId="76" type="noConversion"/>
  </si>
  <si>
    <t>应收款项融资净值</t>
    <phoneticPr fontId="76" type="noConversion"/>
  </si>
  <si>
    <t>项目</t>
    <phoneticPr fontId="76" type="noConversion"/>
  </si>
  <si>
    <t>减值准备</t>
  </si>
  <si>
    <t>（2）合同资产减值准备计提情况</t>
    <phoneticPr fontId="76" type="noConversion"/>
  </si>
  <si>
    <t>2019.01.01</t>
    <phoneticPr fontId="76" type="noConversion"/>
  </si>
  <si>
    <r>
      <rPr>
        <b/>
        <sz val="12"/>
        <rFont val="宋体"/>
        <family val="3"/>
        <charset val="134"/>
      </rPr>
      <t>（</t>
    </r>
    <r>
      <rPr>
        <b/>
        <sz val="12"/>
        <rFont val="Arial Narrow"/>
        <family val="2"/>
      </rPr>
      <t>3</t>
    </r>
    <r>
      <rPr>
        <b/>
        <sz val="12"/>
        <rFont val="宋体"/>
        <family val="3"/>
        <charset val="134"/>
      </rPr>
      <t>）本期计提、收回或转回的合同资产减值准备情况</t>
    </r>
    <phoneticPr fontId="76" type="noConversion"/>
  </si>
  <si>
    <r>
      <t>1</t>
    </r>
    <r>
      <rPr>
        <sz val="10"/>
        <color theme="1"/>
        <rFont val="宋体"/>
        <family val="3"/>
        <charset val="134"/>
      </rPr>
      <t>年内到期的债权投资</t>
    </r>
    <phoneticPr fontId="76" type="noConversion"/>
  </si>
  <si>
    <r>
      <t>1</t>
    </r>
    <r>
      <rPr>
        <sz val="10"/>
        <color theme="1"/>
        <rFont val="宋体"/>
        <family val="3"/>
        <charset val="134"/>
      </rPr>
      <t>年内到期的其他债权投资</t>
    </r>
  </si>
  <si>
    <t>其他</t>
  </si>
  <si>
    <t>其他</t>
    <phoneticPr fontId="76" type="noConversion"/>
  </si>
  <si>
    <t>进项税额</t>
  </si>
  <si>
    <t>多交或预缴的增值税额</t>
  </si>
  <si>
    <t>待抵扣进项税额</t>
  </si>
  <si>
    <t>待认证进项税额</t>
  </si>
  <si>
    <t>增值税留抵税额</t>
  </si>
  <si>
    <t>预缴所得税</t>
  </si>
  <si>
    <t>委托贷款</t>
  </si>
  <si>
    <t>预缴其他税费</t>
  </si>
  <si>
    <t>短期债权投资</t>
  </si>
  <si>
    <t>短期其他债权投资</t>
  </si>
  <si>
    <t>合同取得成本</t>
  </si>
  <si>
    <t>应收退货成本</t>
  </si>
  <si>
    <r>
      <t>（</t>
    </r>
    <r>
      <rPr>
        <sz val="12"/>
        <rFont val="Arial Narrow"/>
        <family val="2"/>
      </rPr>
      <t>2</t>
    </r>
    <r>
      <rPr>
        <sz val="12"/>
        <rFont val="仿宋_GB2312"/>
        <family val="3"/>
        <charset val="134"/>
      </rPr>
      <t>）减值准备计提情况</t>
    </r>
  </si>
  <si>
    <r>
      <t>未来</t>
    </r>
    <r>
      <rPr>
        <b/>
        <sz val="12"/>
        <rFont val="Arial Narrow"/>
        <family val="2"/>
      </rPr>
      <t>12</t>
    </r>
    <r>
      <rPr>
        <b/>
        <sz val="12"/>
        <rFont val="仿宋_GB2312"/>
        <family val="3"/>
        <charset val="134"/>
      </rPr>
      <t>个月内预期信用损失率（</t>
    </r>
    <r>
      <rPr>
        <b/>
        <sz val="12"/>
        <rFont val="Arial Narrow"/>
        <family val="2"/>
      </rPr>
      <t>%</t>
    </r>
    <r>
      <rPr>
        <b/>
        <sz val="12"/>
        <rFont val="仿宋_GB2312"/>
        <family val="3"/>
        <charset val="134"/>
      </rPr>
      <t>）</t>
    </r>
  </si>
  <si>
    <t>账面价值</t>
  </si>
  <si>
    <t>理由</t>
  </si>
  <si>
    <t>按组合计提坏账准备</t>
  </si>
  <si>
    <r>
      <t>于</t>
    </r>
    <r>
      <rPr>
        <sz val="12"/>
        <rFont val="Arial Narrow"/>
        <family val="2"/>
      </rPr>
      <t>2018</t>
    </r>
    <r>
      <rPr>
        <sz val="12"/>
        <rFont val="仿宋_GB2312"/>
        <family val="3"/>
        <charset val="134"/>
      </rPr>
      <t>年</t>
    </r>
    <r>
      <rPr>
        <sz val="12"/>
        <rFont val="Arial Narrow"/>
        <family val="2"/>
      </rPr>
      <t>12</t>
    </r>
    <r>
      <rPr>
        <sz val="12"/>
        <rFont val="仿宋_GB2312"/>
        <family val="3"/>
        <charset val="134"/>
      </rPr>
      <t>月</t>
    </r>
    <r>
      <rPr>
        <sz val="12"/>
        <rFont val="Arial Narrow"/>
        <family val="2"/>
      </rPr>
      <t>31</t>
    </r>
    <r>
      <rPr>
        <sz val="12"/>
        <rFont val="仿宋_GB2312"/>
        <family val="3"/>
        <charset val="134"/>
      </rPr>
      <t>日，处于第二阶段的债权投资的减值准备分析如下：</t>
    </r>
  </si>
  <si>
    <r>
      <t>整个存续期预期信用损失率（</t>
    </r>
    <r>
      <rPr>
        <b/>
        <sz val="12"/>
        <rFont val="Arial Narrow"/>
        <family val="2"/>
      </rPr>
      <t>%</t>
    </r>
    <r>
      <rPr>
        <b/>
        <sz val="12"/>
        <rFont val="仿宋_GB2312"/>
        <family val="3"/>
        <charset val="134"/>
      </rPr>
      <t>）</t>
    </r>
  </si>
  <si>
    <r>
      <t>于</t>
    </r>
    <r>
      <rPr>
        <sz val="12"/>
        <rFont val="Arial Narrow"/>
        <family val="2"/>
      </rPr>
      <t>2018</t>
    </r>
    <r>
      <rPr>
        <sz val="12"/>
        <rFont val="仿宋_GB2312"/>
        <family val="3"/>
        <charset val="134"/>
      </rPr>
      <t>年</t>
    </r>
    <r>
      <rPr>
        <sz val="12"/>
        <rFont val="Arial Narrow"/>
        <family val="2"/>
      </rPr>
      <t>12</t>
    </r>
    <r>
      <rPr>
        <sz val="12"/>
        <rFont val="仿宋_GB2312"/>
        <family val="3"/>
        <charset val="134"/>
      </rPr>
      <t>月</t>
    </r>
    <r>
      <rPr>
        <sz val="12"/>
        <rFont val="Arial Narrow"/>
        <family val="2"/>
      </rPr>
      <t>31</t>
    </r>
    <r>
      <rPr>
        <sz val="12"/>
        <rFont val="仿宋_GB2312"/>
        <family val="3"/>
        <charset val="134"/>
      </rPr>
      <t>日，处于第三阶段的债权投资的减值准备分析如下：</t>
    </r>
  </si>
  <si>
    <r>
      <t>（</t>
    </r>
    <r>
      <rPr>
        <sz val="12"/>
        <rFont val="Arial Narrow"/>
        <family val="2"/>
      </rPr>
      <t>3</t>
    </r>
    <r>
      <rPr>
        <sz val="12"/>
        <rFont val="仿宋_GB2312"/>
        <family val="3"/>
        <charset val="134"/>
      </rPr>
      <t>）本期计提、收回或转回的减值准备情况</t>
    </r>
  </si>
  <si>
    <t>减值准备金额</t>
  </si>
  <si>
    <t>债券投资情况</t>
    <phoneticPr fontId="76" type="noConversion"/>
  </si>
  <si>
    <r>
      <rPr>
        <b/>
        <sz val="10"/>
        <rFont val="宋体"/>
        <family val="3"/>
        <charset val="134"/>
      </rPr>
      <t>（1</t>
    </r>
    <r>
      <rPr>
        <b/>
        <sz val="10"/>
        <color theme="1"/>
        <rFont val="宋体"/>
        <family val="3"/>
        <charset val="134"/>
      </rPr>
      <t>）重要的债权投资</t>
    </r>
    <phoneticPr fontId="76" type="noConversion"/>
  </si>
  <si>
    <r>
      <t>【</t>
    </r>
    <r>
      <rPr>
        <sz val="12"/>
        <color theme="3" tint="0.39997558519241921"/>
        <rFont val="Arial Narrow"/>
        <family val="2"/>
      </rPr>
      <t>15</t>
    </r>
    <r>
      <rPr>
        <sz val="12"/>
        <color theme="3" tint="0.39997558519241921"/>
        <rFont val="仿宋_GB2312"/>
        <family val="3"/>
        <charset val="134"/>
      </rPr>
      <t>号文第十九条（十一），披露用以确定本期减值准备计提金额以及评估金融工具的信用风险自初始确认后是否已显著增加等事项时所采用的输入值、假设等信息。】</t>
    </r>
  </si>
  <si>
    <r>
      <t>于</t>
    </r>
    <r>
      <rPr>
        <sz val="12"/>
        <color theme="3" tint="0.39997558519241921"/>
        <rFont val="Arial Narrow"/>
        <family val="2"/>
      </rPr>
      <t>2019</t>
    </r>
    <r>
      <rPr>
        <sz val="12"/>
        <color theme="3" tint="0.39997558519241921"/>
        <rFont val="仿宋_GB2312"/>
        <family val="3"/>
        <charset val="134"/>
      </rPr>
      <t>年</t>
    </r>
    <r>
      <rPr>
        <sz val="12"/>
        <color theme="3" tint="0.39997558519241921"/>
        <rFont val="Arial Narrow"/>
        <family val="2"/>
      </rPr>
      <t>12</t>
    </r>
    <r>
      <rPr>
        <sz val="12"/>
        <color theme="3" tint="0.39997558519241921"/>
        <rFont val="仿宋_GB2312"/>
        <family val="3"/>
        <charset val="134"/>
      </rPr>
      <t>月</t>
    </r>
    <r>
      <rPr>
        <sz val="12"/>
        <color theme="3" tint="0.39997558519241921"/>
        <rFont val="Arial Narrow"/>
        <family val="2"/>
      </rPr>
      <t>31</t>
    </r>
    <r>
      <rPr>
        <sz val="12"/>
        <color theme="3" tint="0.39997558519241921"/>
        <rFont val="仿宋_GB2312"/>
        <family val="3"/>
        <charset val="134"/>
      </rPr>
      <t>日，处于第一阶段的债权投资的减值准备分析如下：</t>
    </r>
    <phoneticPr fontId="76" type="noConversion"/>
  </si>
  <si>
    <t>2018.12.31</t>
    <phoneticPr fontId="76" type="noConversion"/>
  </si>
  <si>
    <t>-</t>
  </si>
  <si>
    <r>
      <t xml:space="preserve">  </t>
    </r>
    <r>
      <rPr>
        <sz val="10"/>
        <color theme="1"/>
        <rFont val="宋体"/>
        <family val="3"/>
        <charset val="134"/>
      </rPr>
      <t>其中：未实现融资收益</t>
    </r>
  </si>
  <si>
    <r>
      <rPr>
        <b/>
        <sz val="10"/>
        <rFont val="宋体"/>
        <family val="3"/>
        <charset val="134"/>
      </rPr>
      <t>财务期间</t>
    </r>
  </si>
  <si>
    <r>
      <rPr>
        <b/>
        <sz val="10"/>
        <rFont val="宋体"/>
        <family val="3"/>
        <charset val="134"/>
      </rPr>
      <t>长期应收款</t>
    </r>
  </si>
  <si>
    <r>
      <rPr>
        <sz val="10"/>
        <color rgb="FF000000"/>
        <rFont val="仿宋_GB2312"/>
        <family val="3"/>
        <charset val="134"/>
      </rPr>
      <t>（</t>
    </r>
    <r>
      <rPr>
        <sz val="10"/>
        <color rgb="FF000000"/>
        <rFont val="Arial Narrow"/>
        <family val="2"/>
      </rPr>
      <t>2</t>
    </r>
    <r>
      <rPr>
        <sz val="10"/>
        <color rgb="FF000000"/>
        <rFont val="仿宋_GB2312"/>
        <family val="3"/>
        <charset val="134"/>
      </rPr>
      <t>）坏账准备计提情况</t>
    </r>
  </si>
  <si>
    <r>
      <rPr>
        <b/>
        <sz val="10"/>
        <rFont val="仿宋_GB2312"/>
        <family val="3"/>
        <charset val="134"/>
      </rPr>
      <t>账面余额</t>
    </r>
  </si>
  <si>
    <r>
      <rPr>
        <b/>
        <sz val="10"/>
        <rFont val="仿宋_GB2312"/>
        <family val="3"/>
        <charset val="134"/>
      </rPr>
      <t>坏账准备</t>
    </r>
  </si>
  <si>
    <r>
      <rPr>
        <b/>
        <sz val="10"/>
        <rFont val="仿宋_GB2312"/>
        <family val="3"/>
        <charset val="134"/>
      </rPr>
      <t>预期信用损失率</t>
    </r>
    <r>
      <rPr>
        <b/>
        <sz val="10"/>
        <rFont val="Arial Narrow"/>
        <family val="2"/>
      </rPr>
      <t>(%)</t>
    </r>
  </si>
  <si>
    <r>
      <rPr>
        <b/>
        <sz val="10"/>
        <color rgb="FF000000"/>
        <rFont val="仿宋_GB2312"/>
        <family val="3"/>
        <charset val="134"/>
      </rPr>
      <t>合</t>
    </r>
    <r>
      <rPr>
        <b/>
        <sz val="10"/>
        <color rgb="FF000000"/>
        <rFont val="Arial Narrow"/>
        <family val="2"/>
      </rPr>
      <t xml:space="preserve"> </t>
    </r>
    <r>
      <rPr>
        <b/>
        <sz val="10"/>
        <color rgb="FF000000"/>
        <rFont val="仿宋_GB2312"/>
        <family val="3"/>
        <charset val="134"/>
      </rPr>
      <t>计</t>
    </r>
  </si>
  <si>
    <r>
      <rPr>
        <sz val="10"/>
        <rFont val="仿宋_GB2312"/>
        <family val="3"/>
        <charset val="134"/>
      </rPr>
      <t>按单项计提坏账准备：</t>
    </r>
  </si>
  <si>
    <r>
      <rPr>
        <b/>
        <sz val="10"/>
        <rFont val="仿宋_GB2312"/>
        <family val="3"/>
        <charset val="134"/>
      </rPr>
      <t>名</t>
    </r>
    <r>
      <rPr>
        <b/>
        <sz val="10"/>
        <rFont val="Arial Narrow"/>
        <family val="2"/>
      </rPr>
      <t xml:space="preserve"> </t>
    </r>
    <r>
      <rPr>
        <b/>
        <sz val="10"/>
        <rFont val="仿宋_GB2312"/>
        <family val="3"/>
        <charset val="134"/>
      </rPr>
      <t>称</t>
    </r>
  </si>
  <si>
    <r>
      <rPr>
        <b/>
        <sz val="10"/>
        <rFont val="仿宋_GB2312"/>
        <family val="3"/>
        <charset val="134"/>
      </rPr>
      <t>计提理由</t>
    </r>
  </si>
  <si>
    <r>
      <rPr>
        <b/>
        <sz val="10"/>
        <rFont val="仿宋_GB2312"/>
        <family val="3"/>
        <charset val="134"/>
      </rPr>
      <t>按组合计提坏账准备：</t>
    </r>
  </si>
  <si>
    <r>
      <rPr>
        <sz val="10"/>
        <rFont val="仿宋_GB2312"/>
        <family val="3"/>
        <charset val="134"/>
      </rPr>
      <t>组合计提项目：</t>
    </r>
    <r>
      <rPr>
        <sz val="10"/>
        <color rgb="FFFF0000"/>
        <rFont val="Arial Narrow"/>
        <family val="2"/>
      </rPr>
      <t>XXX</t>
    </r>
  </si>
  <si>
    <r>
      <rPr>
        <b/>
        <sz val="10"/>
        <rFont val="仿宋_GB2312"/>
        <family val="3"/>
        <charset val="134"/>
      </rPr>
      <t>应收账款</t>
    </r>
  </si>
  <si>
    <r>
      <t>1</t>
    </r>
    <r>
      <rPr>
        <sz val="10"/>
        <color rgb="FFFF0000"/>
        <rFont val="仿宋_GB2312"/>
        <family val="3"/>
        <charset val="134"/>
      </rPr>
      <t>年以内</t>
    </r>
  </si>
  <si>
    <r>
      <t>1</t>
    </r>
    <r>
      <rPr>
        <sz val="10"/>
        <color rgb="FFFF0000"/>
        <rFont val="仿宋_GB2312"/>
        <family val="3"/>
        <charset val="134"/>
      </rPr>
      <t>至</t>
    </r>
    <r>
      <rPr>
        <sz val="10"/>
        <color rgb="FFFF0000"/>
        <rFont val="Arial Narrow"/>
        <family val="2"/>
      </rPr>
      <t>2</t>
    </r>
    <r>
      <rPr>
        <sz val="10"/>
        <color rgb="FFFF0000"/>
        <rFont val="仿宋_GB2312"/>
        <family val="3"/>
        <charset val="134"/>
      </rPr>
      <t>年</t>
    </r>
  </si>
  <si>
    <r>
      <t>2</t>
    </r>
    <r>
      <rPr>
        <sz val="10"/>
        <color rgb="FFFF0000"/>
        <rFont val="仿宋_GB2312"/>
        <family val="3"/>
        <charset val="134"/>
      </rPr>
      <t>至</t>
    </r>
    <r>
      <rPr>
        <sz val="10"/>
        <color rgb="FFFF0000"/>
        <rFont val="Arial Narrow"/>
        <family val="2"/>
      </rPr>
      <t>3</t>
    </r>
    <r>
      <rPr>
        <sz val="10"/>
        <color rgb="FFFF0000"/>
        <rFont val="仿宋_GB2312"/>
        <family val="3"/>
        <charset val="134"/>
      </rPr>
      <t>年</t>
    </r>
  </si>
  <si>
    <r>
      <rPr>
        <sz val="10"/>
        <color rgb="FF0000FF"/>
        <rFont val="仿宋_GB2312"/>
        <family val="3"/>
        <charset val="134"/>
      </rPr>
      <t>【注：若采用三阶段模型对长期应收款计提坏账准备，请参考其他应收款坏账准备的披露。】</t>
    </r>
  </si>
  <si>
    <r>
      <rPr>
        <sz val="10"/>
        <color rgb="FF000000"/>
        <rFont val="仿宋_GB2312"/>
        <family val="3"/>
        <charset val="134"/>
      </rPr>
      <t>（</t>
    </r>
    <r>
      <rPr>
        <sz val="10"/>
        <color rgb="FF000000"/>
        <rFont val="Arial Narrow"/>
        <family val="2"/>
      </rPr>
      <t>3</t>
    </r>
    <r>
      <rPr>
        <sz val="10"/>
        <color rgb="FF000000"/>
        <rFont val="仿宋_GB2312"/>
        <family val="3"/>
        <charset val="134"/>
      </rPr>
      <t>）本期计提、收回或转回的坏账准备情况</t>
    </r>
  </si>
  <si>
    <r>
      <rPr>
        <b/>
        <sz val="10"/>
        <color rgb="FF000000"/>
        <rFont val="仿宋_GB2312"/>
        <family val="3"/>
        <charset val="134"/>
      </rPr>
      <t>坏账准备金额</t>
    </r>
  </si>
  <si>
    <r>
      <rPr>
        <sz val="10"/>
        <rFont val="仿宋_GB2312"/>
        <family val="3"/>
        <charset val="134"/>
      </rPr>
      <t>首次执行新金融工具准则的调整金额</t>
    </r>
  </si>
  <si>
    <r>
      <rPr>
        <sz val="10"/>
        <rFont val="仿宋_GB2312"/>
        <family val="3"/>
        <charset val="134"/>
      </rPr>
      <t>本期计提</t>
    </r>
  </si>
  <si>
    <r>
      <rPr>
        <sz val="10"/>
        <rFont val="仿宋_GB2312"/>
        <family val="3"/>
        <charset val="134"/>
      </rPr>
      <t>本期收回或转回</t>
    </r>
  </si>
  <si>
    <r>
      <rPr>
        <sz val="10"/>
        <rFont val="仿宋_GB2312"/>
        <family val="3"/>
        <charset val="134"/>
      </rPr>
      <t>本期核销</t>
    </r>
  </si>
  <si>
    <r>
      <t>[</t>
    </r>
    <r>
      <rPr>
        <sz val="10"/>
        <rFont val="仿宋_GB2312"/>
        <family val="3"/>
        <charset val="134"/>
      </rPr>
      <t>本期转销</t>
    </r>
    <r>
      <rPr>
        <sz val="10"/>
        <rFont val="Arial Narrow"/>
        <family val="2"/>
      </rPr>
      <t>]</t>
    </r>
  </si>
  <si>
    <r>
      <t>[</t>
    </r>
    <r>
      <rPr>
        <sz val="10"/>
        <rFont val="仿宋_GB2312"/>
        <family val="3"/>
        <charset val="134"/>
      </rPr>
      <t>其他</t>
    </r>
    <r>
      <rPr>
        <sz val="10"/>
        <rFont val="Arial Narrow"/>
        <family val="2"/>
      </rPr>
      <t>]</t>
    </r>
  </si>
  <si>
    <r>
      <rPr>
        <sz val="10"/>
        <rFont val="仿宋_GB2312"/>
        <family val="3"/>
        <charset val="134"/>
      </rPr>
      <t>（</t>
    </r>
    <r>
      <rPr>
        <sz val="10"/>
        <rFont val="Arial Narrow"/>
        <family val="2"/>
      </rPr>
      <t>4</t>
    </r>
    <r>
      <rPr>
        <sz val="10"/>
        <rFont val="仿宋_GB2312"/>
        <family val="3"/>
        <charset val="134"/>
      </rPr>
      <t>）长期应收款逾期情况分析</t>
    </r>
  </si>
  <si>
    <r>
      <rPr>
        <b/>
        <sz val="10"/>
        <rFont val="仿宋_GB2312"/>
        <family val="3"/>
        <charset val="134"/>
      </rPr>
      <t>逾</t>
    </r>
    <r>
      <rPr>
        <b/>
        <sz val="10"/>
        <rFont val="Arial Narrow"/>
        <family val="2"/>
      </rPr>
      <t xml:space="preserve">  </t>
    </r>
    <r>
      <rPr>
        <b/>
        <sz val="10"/>
        <rFont val="仿宋_GB2312"/>
        <family val="3"/>
        <charset val="134"/>
      </rPr>
      <t>期</t>
    </r>
  </si>
  <si>
    <r>
      <t>1</t>
    </r>
    <r>
      <rPr>
        <sz val="10"/>
        <rFont val="仿宋_GB2312"/>
        <family val="3"/>
        <charset val="134"/>
      </rPr>
      <t>年以内</t>
    </r>
  </si>
  <si>
    <r>
      <t>1</t>
    </r>
    <r>
      <rPr>
        <sz val="10"/>
        <rFont val="仿宋_GB2312"/>
        <family val="3"/>
        <charset val="134"/>
      </rPr>
      <t>至</t>
    </r>
    <r>
      <rPr>
        <sz val="10"/>
        <rFont val="Arial Narrow"/>
        <family val="2"/>
      </rPr>
      <t>2</t>
    </r>
    <r>
      <rPr>
        <sz val="10"/>
        <rFont val="仿宋_GB2312"/>
        <family val="3"/>
        <charset val="134"/>
      </rPr>
      <t>年</t>
    </r>
  </si>
  <si>
    <r>
      <t>2</t>
    </r>
    <r>
      <rPr>
        <sz val="10"/>
        <rFont val="仿宋_GB2312"/>
        <family val="3"/>
        <charset val="134"/>
      </rPr>
      <t>至</t>
    </r>
    <r>
      <rPr>
        <sz val="10"/>
        <rFont val="Arial Narrow"/>
        <family val="2"/>
      </rPr>
      <t>3</t>
    </r>
    <r>
      <rPr>
        <sz val="10"/>
        <rFont val="仿宋_GB2312"/>
        <family val="3"/>
        <charset val="134"/>
      </rPr>
      <t>年</t>
    </r>
  </si>
  <si>
    <r>
      <t>3</t>
    </r>
    <r>
      <rPr>
        <sz val="10"/>
        <rFont val="仿宋_GB2312"/>
        <family val="3"/>
        <charset val="134"/>
      </rPr>
      <t>年以上</t>
    </r>
  </si>
  <si>
    <r>
      <rPr>
        <b/>
        <sz val="10"/>
        <rFont val="仿宋_GB2312"/>
        <family val="3"/>
        <charset val="134"/>
      </rPr>
      <t>合</t>
    </r>
    <r>
      <rPr>
        <b/>
        <sz val="10"/>
        <rFont val="Arial Narrow"/>
        <family val="2"/>
      </rPr>
      <t xml:space="preserve">  </t>
    </r>
    <r>
      <rPr>
        <b/>
        <sz val="10"/>
        <rFont val="仿宋_GB2312"/>
        <family val="3"/>
        <charset val="134"/>
      </rPr>
      <t>计</t>
    </r>
  </si>
  <si>
    <r>
      <rPr>
        <sz val="10"/>
        <rFont val="仿宋_GB2312"/>
        <family val="3"/>
        <charset val="134"/>
      </rPr>
      <t>说明：</t>
    </r>
    <r>
      <rPr>
        <sz val="10"/>
        <color rgb="FF0000FF"/>
        <rFont val="仿宋_GB2312"/>
        <family val="3"/>
        <charset val="134"/>
      </rPr>
      <t>（逾期客户的名称、逾期年限、逾期原因等）</t>
    </r>
  </si>
  <si>
    <r>
      <rPr>
        <sz val="10"/>
        <rFont val="仿宋_GB2312"/>
        <family val="3"/>
        <charset val="134"/>
      </rPr>
      <t>（</t>
    </r>
    <r>
      <rPr>
        <sz val="10"/>
        <rFont val="Arial Narrow"/>
        <family val="2"/>
      </rPr>
      <t>5</t>
    </r>
    <r>
      <rPr>
        <sz val="10"/>
        <rFont val="仿宋_GB2312"/>
        <family val="3"/>
        <charset val="134"/>
      </rPr>
      <t>）终止确认的长期应收款情况</t>
    </r>
  </si>
  <si>
    <r>
      <rPr>
        <sz val="10"/>
        <color rgb="FF0000FF"/>
        <rFont val="仿宋_GB2312"/>
        <family val="3"/>
        <charset val="134"/>
      </rPr>
      <t>（因资产转移而终止确认的长期应收款，列示资产转移的方式、终止确认的长期应收款金额，以及与终止确认相关的利得或损失。）</t>
    </r>
  </si>
  <si>
    <r>
      <rPr>
        <b/>
        <sz val="10"/>
        <rFont val="仿宋_GB2312"/>
        <family val="3"/>
        <charset val="134"/>
      </rPr>
      <t>项</t>
    </r>
    <r>
      <rPr>
        <b/>
        <sz val="10"/>
        <rFont val="Arial Narrow"/>
        <family val="2"/>
      </rPr>
      <t xml:space="preserve">  </t>
    </r>
    <r>
      <rPr>
        <b/>
        <sz val="10"/>
        <rFont val="仿宋_GB2312"/>
        <family val="3"/>
        <charset val="134"/>
      </rPr>
      <t>目</t>
    </r>
  </si>
  <si>
    <r>
      <rPr>
        <b/>
        <sz val="10"/>
        <rFont val="仿宋_GB2312"/>
        <family val="3"/>
        <charset val="134"/>
      </rPr>
      <t>转移方式</t>
    </r>
  </si>
  <si>
    <r>
      <rPr>
        <b/>
        <sz val="10"/>
        <rFont val="仿宋_GB2312"/>
        <family val="3"/>
        <charset val="134"/>
      </rPr>
      <t>终止确认金额</t>
    </r>
  </si>
  <si>
    <r>
      <rPr>
        <sz val="10"/>
        <rFont val="仿宋_GB2312"/>
        <family val="3"/>
        <charset val="134"/>
      </rPr>
      <t>说明：</t>
    </r>
  </si>
  <si>
    <r>
      <rPr>
        <sz val="10"/>
        <rFont val="仿宋_GB2312"/>
        <family val="3"/>
        <charset val="134"/>
      </rPr>
      <t>（</t>
    </r>
    <r>
      <rPr>
        <sz val="10"/>
        <rFont val="Arial Narrow"/>
        <family val="2"/>
      </rPr>
      <t>6</t>
    </r>
    <r>
      <rPr>
        <sz val="10"/>
        <rFont val="仿宋_GB2312"/>
        <family val="3"/>
        <charset val="134"/>
      </rPr>
      <t>）转移长期应收款且继续涉入形成的资产、负债的金额</t>
    </r>
  </si>
  <si>
    <r>
      <rPr>
        <sz val="10"/>
        <color rgb="FF0000FF"/>
        <rFont val="仿宋_GB2312"/>
        <family val="3"/>
        <charset val="134"/>
      </rPr>
      <t>（转移长期应收款且继续涉入的，应披露资产转移方式、分项列示继续涉入形成的资产、负债的金额。）</t>
    </r>
  </si>
  <si>
    <r>
      <rPr>
        <b/>
        <sz val="10"/>
        <rFont val="仿宋_GB2312"/>
        <family val="3"/>
        <charset val="134"/>
      </rPr>
      <t>期末数</t>
    </r>
  </si>
  <si>
    <r>
      <rPr>
        <sz val="10"/>
        <rFont val="仿宋_GB2312"/>
        <family val="3"/>
        <charset val="134"/>
      </rPr>
      <t>资产：</t>
    </r>
  </si>
  <si>
    <r>
      <rPr>
        <b/>
        <sz val="10"/>
        <rFont val="仿宋_GB2312"/>
        <family val="3"/>
        <charset val="134"/>
      </rPr>
      <t>资产小计</t>
    </r>
  </si>
  <si>
    <r>
      <rPr>
        <sz val="10"/>
        <rFont val="仿宋_GB2312"/>
        <family val="3"/>
        <charset val="134"/>
      </rPr>
      <t>负债：</t>
    </r>
  </si>
  <si>
    <r>
      <rPr>
        <b/>
        <sz val="10"/>
        <rFont val="仿宋_GB2312"/>
        <family val="3"/>
        <charset val="134"/>
      </rPr>
      <t>负债小计</t>
    </r>
  </si>
  <si>
    <r>
      <rPr>
        <sz val="10"/>
        <color rgb="FF0000FF"/>
        <rFont val="仿宋_GB2312"/>
        <family val="3"/>
        <charset val="134"/>
      </rPr>
      <t>（资产转移方式；未全部终止确认的被转移金融资产与相关负债之间的关系，已终止确认的金融资产继续涉入的性质及相关风险的信息。）</t>
    </r>
  </si>
  <si>
    <r>
      <t>X</t>
    </r>
    <r>
      <rPr>
        <sz val="10"/>
        <rFont val="仿宋_GB2312"/>
        <family val="3"/>
        <charset val="134"/>
      </rPr>
      <t>、设定受益计划净资产</t>
    </r>
    <r>
      <rPr>
        <sz val="10"/>
        <color rgb="FF0000FF"/>
        <rFont val="仿宋_GB2312"/>
        <family val="3"/>
        <charset val="134"/>
      </rPr>
      <t>（不适用删除）</t>
    </r>
  </si>
  <si>
    <r>
      <rPr>
        <b/>
        <sz val="10"/>
        <rFont val="仿宋_GB2312"/>
        <family val="3"/>
        <charset val="134"/>
      </rPr>
      <t>本期增加</t>
    </r>
  </si>
  <si>
    <r>
      <rPr>
        <b/>
        <sz val="10"/>
        <rFont val="仿宋_GB2312"/>
        <family val="3"/>
        <charset val="134"/>
      </rPr>
      <t>本期减少</t>
    </r>
  </si>
  <si>
    <r>
      <rPr>
        <sz val="10"/>
        <rFont val="仿宋_GB2312"/>
        <family val="3"/>
        <charset val="134"/>
      </rPr>
      <t>设定受益计划净资产</t>
    </r>
  </si>
  <si>
    <r>
      <rPr>
        <sz val="10"/>
        <rFont val="仿宋_GB2312"/>
        <family val="3"/>
        <charset val="134"/>
      </rPr>
      <t>符合设定受益计划条件的其他长期职工福利的净资产（不适用删除）</t>
    </r>
  </si>
  <si>
    <r>
      <rPr>
        <sz val="10"/>
        <color rgb="FF0000FF"/>
        <rFont val="仿宋_GB2312"/>
        <family val="3"/>
        <charset val="134"/>
      </rPr>
      <t>【提示：需要按照附注五、</t>
    </r>
    <r>
      <rPr>
        <sz val="10"/>
        <color rgb="FF0000FF"/>
        <rFont val="Arial Narrow"/>
        <family val="2"/>
      </rPr>
      <t>45</t>
    </r>
    <r>
      <rPr>
        <sz val="10"/>
        <color rgb="FF0000FF"/>
        <rFont val="仿宋_GB2312"/>
        <family val="3"/>
        <charset val="134"/>
      </rPr>
      <t>中的披露格式披露设定受益计划相关信息。】</t>
    </r>
  </si>
  <si>
    <t>2019.12.31</t>
    <phoneticPr fontId="76" type="noConversion"/>
  </si>
  <si>
    <r>
      <rPr>
        <sz val="10"/>
        <rFont val="仿宋_GB2312"/>
        <family val="3"/>
        <charset val="134"/>
      </rPr>
      <t>说明：</t>
    </r>
    <r>
      <rPr>
        <sz val="10"/>
        <rFont val="Arial Narrow"/>
        <family val="2"/>
      </rPr>
      <t>2018</t>
    </r>
    <r>
      <rPr>
        <sz val="10"/>
        <rFont val="仿宋_GB2312"/>
        <family val="3"/>
        <charset val="134"/>
      </rPr>
      <t>年</t>
    </r>
    <r>
      <rPr>
        <sz val="10"/>
        <rFont val="Arial Narrow"/>
        <family val="2"/>
      </rPr>
      <t>12</t>
    </r>
    <r>
      <rPr>
        <sz val="10"/>
        <rFont val="仿宋_GB2312"/>
        <family val="3"/>
        <charset val="134"/>
      </rPr>
      <t>月</t>
    </r>
    <r>
      <rPr>
        <sz val="10"/>
        <rFont val="Arial Narrow"/>
        <family val="2"/>
      </rPr>
      <t>31</t>
    </r>
    <r>
      <rPr>
        <sz val="10"/>
        <rFont val="仿宋_GB2312"/>
        <family val="3"/>
        <charset val="134"/>
      </rPr>
      <t>日，坏账准备的计提情况。</t>
    </r>
    <phoneticPr fontId="76" type="noConversion"/>
  </si>
  <si>
    <t>与终止确认相关的利得或损失</t>
  </si>
  <si>
    <t>2018.12.31</t>
    <phoneticPr fontId="76" type="noConversion"/>
  </si>
  <si>
    <t>2019.12.31</t>
    <phoneticPr fontId="76" type="noConversion"/>
  </si>
  <si>
    <r>
      <t>项</t>
    </r>
    <r>
      <rPr>
        <b/>
        <sz val="12"/>
        <rFont val="Arial Narrow"/>
        <family val="2"/>
      </rPr>
      <t xml:space="preserve"> </t>
    </r>
    <r>
      <rPr>
        <b/>
        <sz val="12"/>
        <rFont val="仿宋_GB2312"/>
        <family val="3"/>
        <charset val="134"/>
      </rPr>
      <t>目</t>
    </r>
  </si>
  <si>
    <t>本期确认的股利收入</t>
  </si>
  <si>
    <t>累计利得</t>
  </si>
  <si>
    <t>累计损失</t>
  </si>
  <si>
    <t>其他综合收益转入留存收益的金额</t>
  </si>
  <si>
    <t>转入原因</t>
  </si>
  <si>
    <r>
      <t>合</t>
    </r>
    <r>
      <rPr>
        <b/>
        <sz val="10"/>
        <color rgb="FF000000"/>
        <rFont val="Arial Narrow"/>
        <family val="2"/>
      </rPr>
      <t xml:space="preserve"> </t>
    </r>
    <r>
      <rPr>
        <b/>
        <sz val="10"/>
        <color rgb="FF000000"/>
        <rFont val="仿宋_GB2312"/>
        <family val="3"/>
        <charset val="134"/>
      </rPr>
      <t>计</t>
    </r>
  </si>
  <si>
    <r>
      <t>[</t>
    </r>
    <r>
      <rPr>
        <sz val="10"/>
        <color rgb="FF0000FF"/>
        <rFont val="仿宋_GB2312"/>
        <family val="3"/>
        <charset val="134"/>
      </rPr>
      <t>披露企业将上述各项目指定为以公允价值计量且其变动计入其他综合收益的原因。例如：</t>
    </r>
    <r>
      <rPr>
        <sz val="10"/>
        <color rgb="FF0000FF"/>
        <rFont val="Arial Narrow"/>
        <family val="2"/>
      </rPr>
      <t xml:space="preserve"> </t>
    </r>
  </si>
  <si>
    <r>
      <t>由于</t>
    </r>
    <r>
      <rPr>
        <sz val="10"/>
        <color rgb="FF0000FF"/>
        <rFont val="Arial Narrow"/>
        <family val="2"/>
      </rPr>
      <t>[</t>
    </r>
    <r>
      <rPr>
        <sz val="10"/>
        <color rgb="FF0000FF"/>
        <rFont val="仿宋_GB2312"/>
        <family val="3"/>
        <charset val="134"/>
      </rPr>
      <t>项目名称</t>
    </r>
    <r>
      <rPr>
        <sz val="10"/>
        <color rgb="FF0000FF"/>
        <rFont val="Arial Narrow"/>
        <family val="2"/>
      </rPr>
      <t>1]</t>
    </r>
    <r>
      <rPr>
        <sz val="10"/>
        <color rgb="FF0000FF"/>
        <rFont val="仿宋_GB2312"/>
        <family val="3"/>
        <charset val="134"/>
      </rPr>
      <t>是本集团出于战略目的而计划长期持有的投资，因此本集团将其指定为以公允价值计量且其变动计入其他综合收益的金融资产。</t>
    </r>
    <r>
      <rPr>
        <sz val="10"/>
        <color rgb="FF0000FF"/>
        <rFont val="Arial Narrow"/>
        <family val="2"/>
      </rPr>
      <t xml:space="preserve">] </t>
    </r>
  </si>
  <si>
    <r>
      <t>项</t>
    </r>
    <r>
      <rPr>
        <b/>
        <sz val="10"/>
        <rFont val="Arial Narrow"/>
        <family val="2"/>
      </rPr>
      <t xml:space="preserve"> </t>
    </r>
    <r>
      <rPr>
        <b/>
        <sz val="10"/>
        <rFont val="仿宋_GB2312"/>
        <family val="3"/>
        <charset val="134"/>
      </rPr>
      <t>目</t>
    </r>
  </si>
  <si>
    <r>
      <t xml:space="preserve"> [</t>
    </r>
    <r>
      <rPr>
        <sz val="10"/>
        <color rgb="FF0000FF"/>
        <rFont val="仿宋_GB2312"/>
        <family val="3"/>
        <charset val="134"/>
      </rPr>
      <t>企业本期终止确认了其他权益工具投资的，应披露处置该权益工具投资的原因，该权益工具投资在终止确认时的公允价值及该权益工具投资在终止确认时的累计利得或损失。</t>
    </r>
    <r>
      <rPr>
        <sz val="10"/>
        <color rgb="FF0000FF"/>
        <rFont val="Arial Narrow"/>
        <family val="2"/>
      </rPr>
      <t xml:space="preserve">] </t>
    </r>
  </si>
  <si>
    <t>债务工具投资</t>
  </si>
  <si>
    <t>权益工具投资</t>
  </si>
  <si>
    <t>指定为以公允价值计量且其变动计入当期损益的金融资产</t>
  </si>
  <si>
    <t>非同一控制企业合并资产评估增值</t>
  </si>
  <si>
    <t>交易性金融工具、衍生金融工具的估值</t>
  </si>
  <si>
    <t>计入其他综合收益的可供出售金融资产公允价值变动</t>
  </si>
  <si>
    <t>计入其他综合收益的其他债权投资公允价值变动</t>
  </si>
  <si>
    <t>资产减值准备</t>
  </si>
  <si>
    <t>内部交易未实现利润</t>
  </si>
  <si>
    <t>开办费</t>
  </si>
  <si>
    <t>可抵扣亏损</t>
  </si>
  <si>
    <r>
      <t>2019</t>
    </r>
    <r>
      <rPr>
        <sz val="10"/>
        <rFont val="宋体"/>
        <family val="3"/>
        <charset val="134"/>
      </rPr>
      <t>年</t>
    </r>
    <phoneticPr fontId="76" type="noConversion"/>
  </si>
  <si>
    <r>
      <t>2020</t>
    </r>
    <r>
      <rPr>
        <sz val="10"/>
        <rFont val="宋体"/>
        <family val="3"/>
        <charset val="134"/>
      </rPr>
      <t>年</t>
    </r>
    <phoneticPr fontId="76" type="noConversion"/>
  </si>
  <si>
    <r>
      <t>2021年</t>
    </r>
    <r>
      <rPr>
        <sz val="10"/>
        <rFont val="宋体"/>
        <family val="3"/>
        <charset val="134"/>
      </rPr>
      <t/>
    </r>
  </si>
  <si>
    <r>
      <t>2022年</t>
    </r>
    <r>
      <rPr>
        <sz val="10"/>
        <rFont val="宋体"/>
        <family val="3"/>
        <charset val="134"/>
      </rPr>
      <t/>
    </r>
  </si>
  <si>
    <r>
      <t>2023年</t>
    </r>
    <r>
      <rPr>
        <sz val="10"/>
        <rFont val="宋体"/>
        <family val="3"/>
        <charset val="134"/>
      </rPr>
      <t/>
    </r>
  </si>
  <si>
    <r>
      <t>2024年</t>
    </r>
    <r>
      <rPr>
        <sz val="10"/>
        <rFont val="宋体"/>
        <family val="3"/>
        <charset val="134"/>
      </rPr>
      <t/>
    </r>
  </si>
  <si>
    <t>其中：指定为以公允价值计量且其变动计入当期损益的金融负债</t>
    <phoneticPr fontId="76" type="noConversion"/>
  </si>
  <si>
    <t>因自身信用风险变动引起的公允价值本年变动额</t>
  </si>
  <si>
    <t>因自身信用风险变动引起的公允价值累计变动额</t>
  </si>
  <si>
    <t>发行的普通债权</t>
  </si>
  <si>
    <r>
      <t>[</t>
    </r>
    <r>
      <rPr>
        <sz val="10"/>
        <color rgb="FF0000FF"/>
        <rFont val="仿宋_GB2312"/>
        <family val="3"/>
        <charset val="134"/>
      </rPr>
      <t>对于指定为以公允价值计量且其变动计入当期损益的金融负债，需区分企业自身信用风险变动引起的该金融负债公允价值变动金额计入其他综合收益和该金融负债</t>
    </r>
    <r>
      <rPr>
        <sz val="10"/>
        <color rgb="FF0000FF"/>
        <rFont val="Arial Narrow"/>
        <family val="2"/>
      </rPr>
      <t xml:space="preserve"> (</t>
    </r>
    <r>
      <rPr>
        <sz val="10"/>
        <color rgb="FF0000FF"/>
        <rFont val="仿宋_GB2312"/>
        <family val="3"/>
        <charset val="134"/>
      </rPr>
      <t>包括企业自身信用风险变动的影响</t>
    </r>
    <r>
      <rPr>
        <sz val="10"/>
        <color rgb="FF0000FF"/>
        <rFont val="Arial Narrow"/>
        <family val="2"/>
      </rPr>
      <t xml:space="preserve">) </t>
    </r>
    <r>
      <rPr>
        <sz val="10"/>
        <color rgb="FF0000FF"/>
        <rFont val="仿宋_GB2312"/>
        <family val="3"/>
        <charset val="134"/>
      </rPr>
      <t>的全部利得或损失计入当期损益两种情况，按照《企业会计准则第</t>
    </r>
    <r>
      <rPr>
        <sz val="10"/>
        <color rgb="FF0000FF"/>
        <rFont val="Arial Narrow"/>
        <family val="2"/>
      </rPr>
      <t>37</t>
    </r>
    <r>
      <rPr>
        <sz val="10"/>
        <color rgb="FF0000FF"/>
        <rFont val="仿宋_GB2312"/>
        <family val="3"/>
        <charset val="134"/>
      </rPr>
      <t>号——金融工具列报》第</t>
    </r>
    <r>
      <rPr>
        <sz val="10"/>
        <color rgb="FF0000FF"/>
        <rFont val="Arial Narrow"/>
        <family val="2"/>
      </rPr>
      <t>41-43</t>
    </r>
    <r>
      <rPr>
        <sz val="10"/>
        <color rgb="FF0000FF"/>
        <rFont val="仿宋_GB2312"/>
        <family val="3"/>
        <charset val="134"/>
      </rPr>
      <t>条的规定进行披露。</t>
    </r>
    <r>
      <rPr>
        <sz val="10"/>
        <color rgb="FF0000FF"/>
        <rFont val="Arial Narrow"/>
        <family val="2"/>
      </rPr>
      <t xml:space="preserve">] </t>
    </r>
  </si>
  <si>
    <r>
      <t>[</t>
    </r>
    <r>
      <rPr>
        <sz val="10"/>
        <color rgb="FF0000FF"/>
        <rFont val="仿宋_GB2312"/>
        <family val="3"/>
        <charset val="134"/>
      </rPr>
      <t>例如：</t>
    </r>
    <r>
      <rPr>
        <sz val="10"/>
        <color rgb="FF0000FF"/>
        <rFont val="Arial Narrow"/>
        <family val="2"/>
      </rPr>
      <t xml:space="preserve"> </t>
    </r>
    <r>
      <rPr>
        <sz val="10"/>
        <color rgb="FF0000FF"/>
        <rFont val="仿宋_GB2312"/>
        <family val="3"/>
        <charset val="134"/>
      </rPr>
      <t>对于指定为以公允价值计量且其变动计入当期损益的金融负债，</t>
    </r>
    <r>
      <rPr>
        <sz val="10"/>
        <color rgb="FF0000FF"/>
        <rFont val="Arial Narrow"/>
        <family val="2"/>
      </rPr>
      <t>2019</t>
    </r>
    <r>
      <rPr>
        <sz val="10"/>
        <color rgb="FF0000FF"/>
        <rFont val="仿宋_GB2312"/>
        <family val="3"/>
        <charset val="134"/>
      </rPr>
      <t>年</t>
    </r>
    <r>
      <rPr>
        <sz val="10"/>
        <color rgb="FF0000FF"/>
        <rFont val="Arial Narrow"/>
        <family val="2"/>
      </rPr>
      <t>1-X</t>
    </r>
    <r>
      <rPr>
        <sz val="10"/>
        <color rgb="FF0000FF"/>
        <rFont val="仿宋_GB2312"/>
        <family val="3"/>
        <charset val="134"/>
      </rPr>
      <t>月公允价值的变动情况如下表所示：</t>
    </r>
    <r>
      <rPr>
        <sz val="10"/>
        <color rgb="FF0000FF"/>
        <rFont val="Arial Narrow"/>
        <family val="2"/>
      </rPr>
      <t xml:space="preserve"> </t>
    </r>
    <phoneticPr fontId="76" type="noConversion"/>
  </si>
  <si>
    <r>
      <t>2019</t>
    </r>
    <r>
      <rPr>
        <b/>
        <sz val="10"/>
        <rFont val="仿宋_GB2312"/>
        <family val="3"/>
        <charset val="134"/>
      </rPr>
      <t>年</t>
    </r>
    <r>
      <rPr>
        <b/>
        <sz val="10"/>
        <rFont val="Arial Narrow"/>
        <family val="2"/>
      </rPr>
      <t>1-X</t>
    </r>
    <r>
      <rPr>
        <b/>
        <sz val="10"/>
        <rFont val="仿宋_GB2312"/>
        <family val="3"/>
        <charset val="134"/>
      </rPr>
      <t>月公允价值变动额</t>
    </r>
  </si>
  <si>
    <r>
      <t>合</t>
    </r>
    <r>
      <rPr>
        <b/>
        <sz val="10"/>
        <rFont val="Arial Narrow"/>
        <family val="2"/>
      </rPr>
      <t xml:space="preserve">  </t>
    </r>
    <r>
      <rPr>
        <b/>
        <sz val="10"/>
        <rFont val="仿宋_GB2312"/>
        <family val="3"/>
        <charset val="134"/>
      </rPr>
      <t>计</t>
    </r>
  </si>
  <si>
    <r>
      <t>2019</t>
    </r>
    <r>
      <rPr>
        <sz val="10"/>
        <color rgb="FF0000FF"/>
        <rFont val="仿宋_GB2312"/>
        <family val="3"/>
        <charset val="134"/>
      </rPr>
      <t>年</t>
    </r>
    <r>
      <rPr>
        <sz val="10"/>
        <color rgb="FF0000FF"/>
        <rFont val="Arial Narrow"/>
        <family val="2"/>
      </rPr>
      <t>XX</t>
    </r>
    <r>
      <rPr>
        <sz val="10"/>
        <color rgb="FF0000FF"/>
        <rFont val="仿宋_GB2312"/>
        <family val="3"/>
        <charset val="134"/>
      </rPr>
      <t>月</t>
    </r>
    <r>
      <rPr>
        <sz val="10"/>
        <color rgb="FF0000FF"/>
        <rFont val="Arial Narrow"/>
        <family val="2"/>
      </rPr>
      <t>XX</t>
    </r>
    <r>
      <rPr>
        <sz val="10"/>
        <color rgb="FF0000FF"/>
        <rFont val="仿宋_GB2312"/>
        <family val="3"/>
        <charset val="134"/>
      </rPr>
      <t>日，指定为以公允价值计量且其变动计入当期损益的金融负债的账面价值与按合同约定到期应支付债权人金额之间的差额为人民币</t>
    </r>
    <r>
      <rPr>
        <sz val="10"/>
        <color rgb="FF0000FF"/>
        <rFont val="Arial Narrow"/>
        <family val="2"/>
      </rPr>
      <t>[XX]</t>
    </r>
    <r>
      <rPr>
        <sz val="10"/>
        <color rgb="FF0000FF"/>
        <rFont val="仿宋_GB2312"/>
        <family val="3"/>
        <charset val="134"/>
      </rPr>
      <t>元。</t>
    </r>
    <r>
      <rPr>
        <sz val="10"/>
        <color rgb="FF0000FF"/>
        <rFont val="Arial Narrow"/>
        <family val="2"/>
      </rPr>
      <t xml:space="preserve">] </t>
    </r>
  </si>
  <si>
    <t>2019.12.31</t>
    <phoneticPr fontId="76" type="noConversion"/>
  </si>
  <si>
    <t>货款</t>
  </si>
  <si>
    <t>工程款</t>
  </si>
  <si>
    <t>建造合同形成的已结算尚未完工款</t>
  </si>
  <si>
    <t>…..</t>
    <phoneticPr fontId="76" type="noConversion"/>
  </si>
  <si>
    <r>
      <t>（</t>
    </r>
    <r>
      <rPr>
        <sz val="10"/>
        <rFont val="Arial Narrow"/>
        <family val="2"/>
      </rPr>
      <t>1</t>
    </r>
    <r>
      <rPr>
        <sz val="10"/>
        <rFont val="宋体"/>
        <family val="3"/>
        <charset val="134"/>
      </rPr>
      <t>）账龄超过</t>
    </r>
    <r>
      <rPr>
        <sz val="10"/>
        <rFont val="Arial Narrow"/>
        <family val="2"/>
      </rPr>
      <t>1</t>
    </r>
    <r>
      <rPr>
        <sz val="10"/>
        <rFont val="宋体"/>
        <family val="3"/>
        <charset val="134"/>
      </rPr>
      <t>年的重要预收款项</t>
    </r>
    <phoneticPr fontId="76" type="noConversion"/>
  </si>
  <si>
    <t>合计</t>
    <phoneticPr fontId="76" type="noConversion"/>
  </si>
  <si>
    <t>未偿还或未结转的原因</t>
  </si>
  <si>
    <r>
      <t>（</t>
    </r>
    <r>
      <rPr>
        <sz val="12"/>
        <rFont val="Arial Narrow"/>
        <family val="2"/>
      </rPr>
      <t>1</t>
    </r>
    <r>
      <rPr>
        <sz val="12"/>
        <rFont val="仿宋_GB2312"/>
        <family val="3"/>
        <charset val="134"/>
      </rPr>
      <t>）本期合同负债账面价值的重大变动</t>
    </r>
  </si>
  <si>
    <t>变动金额</t>
  </si>
  <si>
    <t>变动原因</t>
  </si>
  <si>
    <r>
      <t>1</t>
    </r>
    <r>
      <rPr>
        <sz val="12"/>
        <color rgb="FF0000FF"/>
        <rFont val="仿宋_GB2312"/>
        <family val="3"/>
        <charset val="134"/>
      </rPr>
      <t>、在本期确认的包括在合同负债期初账面价值中的收入；以及前期已经履行（或部分履行）的履约义务在本期确认的收入（例如，交易价格的变动）。</t>
    </r>
  </si>
  <si>
    <r>
      <t>2</t>
    </r>
    <r>
      <rPr>
        <sz val="12"/>
        <color rgb="FF0000FF"/>
        <rFont val="仿宋_GB2312"/>
        <family val="3"/>
        <charset val="134"/>
      </rPr>
      <t>、履行履约义务的时间与通常的付款时间之间的关系，以及此类因素对合同负债（如果对合同资产产生影响在合同负债科目下说明）账面价值的影响的定量或定性信息。</t>
    </r>
  </si>
  <si>
    <r>
      <t>3</t>
    </r>
    <r>
      <rPr>
        <sz val="12"/>
        <color rgb="FF0000FF"/>
        <rFont val="仿宋_GB2312"/>
        <family val="3"/>
        <charset val="134"/>
      </rPr>
      <t>、合同负债的账面价值在本期内发生的重大变动的情形包括：</t>
    </r>
  </si>
  <si>
    <t>①企业合并导致的变动；</t>
  </si>
  <si>
    <t>②对收入进行累积追加调整导致的相关合同资产和合同负债的变动，此类调整可能源于估计履约进度的变化、估计交易价格的变化（包括对于可变对价是否受到限制的评估发生变化）或者合同变更；</t>
  </si>
  <si>
    <t>③履行履约义务（即从合同负债转为收入）的时间安排发生变化。</t>
  </si>
  <si>
    <t>合同负债</t>
    <phoneticPr fontId="76" type="noConversion"/>
  </si>
  <si>
    <t>RP 095</t>
    <phoneticPr fontId="76" type="noConversion"/>
  </si>
  <si>
    <t>RP 091</t>
    <phoneticPr fontId="76" type="noConversion"/>
  </si>
  <si>
    <t>RP 078</t>
    <phoneticPr fontId="76" type="noConversion"/>
  </si>
  <si>
    <t>RP 057-3</t>
    <phoneticPr fontId="76" type="noConversion"/>
  </si>
  <si>
    <t>RP 020-3</t>
    <phoneticPr fontId="76" type="noConversion"/>
  </si>
  <si>
    <t>报表金额</t>
    <phoneticPr fontId="76" type="noConversion"/>
  </si>
  <si>
    <t>核对金额</t>
    <phoneticPr fontId="76" type="noConversion"/>
  </si>
  <si>
    <t>核对金额</t>
    <phoneticPr fontId="76" type="noConversion"/>
  </si>
  <si>
    <t>核对金额</t>
    <phoneticPr fontId="76" type="noConversion"/>
  </si>
  <si>
    <t>核对金额</t>
    <phoneticPr fontId="76" type="noConversion"/>
  </si>
  <si>
    <t>报表金额</t>
    <phoneticPr fontId="76" type="noConversion"/>
  </si>
  <si>
    <t>核对金额</t>
    <phoneticPr fontId="76" type="noConversion"/>
  </si>
  <si>
    <r>
      <rPr>
        <b/>
        <sz val="10"/>
        <color rgb="FF000000"/>
        <rFont val="宋体"/>
        <family val="3"/>
        <charset val="134"/>
      </rPr>
      <t>账面价值</t>
    </r>
    <phoneticPr fontId="76" type="noConversion"/>
  </si>
  <si>
    <r>
      <rPr>
        <sz val="10"/>
        <color rgb="FF000000"/>
        <rFont val="宋体"/>
        <family val="3"/>
        <charset val="134"/>
      </rPr>
      <t>小计</t>
    </r>
    <phoneticPr fontId="76" type="noConversion"/>
  </si>
  <si>
    <r>
      <rPr>
        <sz val="10"/>
        <color rgb="FF000000"/>
        <rFont val="宋体"/>
        <family val="3"/>
        <charset val="134"/>
      </rPr>
      <t>合计</t>
    </r>
    <phoneticPr fontId="76" type="noConversion"/>
  </si>
  <si>
    <r>
      <rPr>
        <b/>
        <sz val="10"/>
        <rFont val="宋体"/>
        <family val="3"/>
        <charset val="134"/>
      </rPr>
      <t>其他债权投资</t>
    </r>
    <phoneticPr fontId="76" type="noConversion"/>
  </si>
  <si>
    <r>
      <rPr>
        <sz val="10"/>
        <color rgb="FF000000"/>
        <rFont val="仿宋_GB2312"/>
        <family val="3"/>
        <charset val="134"/>
      </rPr>
      <t>（</t>
    </r>
    <r>
      <rPr>
        <sz val="10"/>
        <color rgb="FF000000"/>
        <rFont val="Arial Narrow"/>
        <family val="2"/>
      </rPr>
      <t>1</t>
    </r>
    <r>
      <rPr>
        <sz val="10"/>
        <color rgb="FF000000"/>
        <rFont val="仿宋_GB2312"/>
        <family val="3"/>
        <charset val="134"/>
      </rPr>
      <t>）其他债权投资情况</t>
    </r>
  </si>
  <si>
    <r>
      <rPr>
        <b/>
        <sz val="10"/>
        <rFont val="仿宋_GB2312"/>
        <family val="3"/>
        <charset val="134"/>
      </rPr>
      <t>项目</t>
    </r>
  </si>
  <si>
    <r>
      <rPr>
        <b/>
        <sz val="10"/>
        <rFont val="仿宋_GB2312"/>
        <family val="3"/>
        <charset val="134"/>
      </rPr>
      <t>应计利息</t>
    </r>
  </si>
  <si>
    <r>
      <rPr>
        <b/>
        <sz val="10"/>
        <rFont val="仿宋_GB2312"/>
        <family val="3"/>
        <charset val="134"/>
      </rPr>
      <t>本期公允价值变动</t>
    </r>
  </si>
  <si>
    <r>
      <rPr>
        <b/>
        <sz val="10"/>
        <rFont val="仿宋_GB2312"/>
        <family val="3"/>
        <charset val="134"/>
      </rPr>
      <t>成本</t>
    </r>
  </si>
  <si>
    <r>
      <rPr>
        <b/>
        <sz val="10"/>
        <rFont val="仿宋_GB2312"/>
        <family val="3"/>
        <charset val="134"/>
      </rPr>
      <t>累计公允价值变动</t>
    </r>
  </si>
  <si>
    <r>
      <rPr>
        <b/>
        <sz val="10"/>
        <rFont val="仿宋_GB2312"/>
        <family val="3"/>
        <charset val="134"/>
      </rPr>
      <t>累计在其他综合收益中确认的损失准备</t>
    </r>
  </si>
  <si>
    <r>
      <rPr>
        <sz val="10"/>
        <rFont val="仿宋_GB2312"/>
        <family val="3"/>
        <charset val="134"/>
      </rPr>
      <t>合计</t>
    </r>
  </si>
  <si>
    <r>
      <rPr>
        <sz val="10"/>
        <color rgb="FF000000"/>
        <rFont val="仿宋_GB2312"/>
        <family val="3"/>
        <charset val="134"/>
      </rPr>
      <t>说明：</t>
    </r>
  </si>
  <si>
    <r>
      <rPr>
        <sz val="10"/>
        <color rgb="FF000000"/>
        <rFont val="仿宋_GB2312"/>
        <family val="3"/>
        <charset val="134"/>
      </rPr>
      <t>（</t>
    </r>
    <r>
      <rPr>
        <sz val="10"/>
        <color rgb="FF000000"/>
        <rFont val="Arial Narrow"/>
        <family val="2"/>
      </rPr>
      <t>2</t>
    </r>
    <r>
      <rPr>
        <sz val="10"/>
        <color rgb="FF000000"/>
        <rFont val="仿宋_GB2312"/>
        <family val="3"/>
        <charset val="134"/>
      </rPr>
      <t>）期末重要的其他债权投资</t>
    </r>
  </si>
  <si>
    <r>
      <rPr>
        <b/>
        <sz val="10"/>
        <rFont val="仿宋_GB2312"/>
        <family val="3"/>
        <charset val="134"/>
      </rPr>
      <t>面值</t>
    </r>
  </si>
  <si>
    <r>
      <rPr>
        <b/>
        <sz val="10"/>
        <rFont val="仿宋_GB2312"/>
        <family val="3"/>
        <charset val="134"/>
      </rPr>
      <t>票面利率</t>
    </r>
  </si>
  <si>
    <r>
      <rPr>
        <b/>
        <sz val="10"/>
        <rFont val="仿宋_GB2312"/>
        <family val="3"/>
        <charset val="134"/>
      </rPr>
      <t>实际利率</t>
    </r>
  </si>
  <si>
    <r>
      <rPr>
        <b/>
        <sz val="10"/>
        <rFont val="仿宋_GB2312"/>
        <family val="3"/>
        <charset val="134"/>
      </rPr>
      <t>到期日</t>
    </r>
  </si>
  <si>
    <r>
      <rPr>
        <b/>
        <sz val="10"/>
        <rFont val="仿宋_GB2312"/>
        <family val="3"/>
        <charset val="134"/>
      </rPr>
      <t>合计</t>
    </r>
  </si>
  <si>
    <r>
      <rPr>
        <sz val="10"/>
        <color rgb="FF000000"/>
        <rFont val="仿宋_GB2312"/>
        <family val="3"/>
        <charset val="134"/>
      </rPr>
      <t>（</t>
    </r>
    <r>
      <rPr>
        <sz val="10"/>
        <color rgb="FF000000"/>
        <rFont val="Arial Narrow"/>
        <family val="2"/>
      </rPr>
      <t>3</t>
    </r>
    <r>
      <rPr>
        <sz val="10"/>
        <color rgb="FF000000"/>
        <rFont val="仿宋_GB2312"/>
        <family val="3"/>
        <charset val="134"/>
      </rPr>
      <t>）减值准备计提情况</t>
    </r>
  </si>
  <si>
    <r>
      <rPr>
        <sz val="10"/>
        <color rgb="FF0000FF"/>
        <rFont val="仿宋_GB2312"/>
        <family val="3"/>
        <charset val="134"/>
      </rPr>
      <t>【</t>
    </r>
    <r>
      <rPr>
        <sz val="10"/>
        <color rgb="FF0000FF"/>
        <rFont val="Arial Narrow"/>
        <family val="2"/>
      </rPr>
      <t>15</t>
    </r>
    <r>
      <rPr>
        <sz val="10"/>
        <color rgb="FF0000FF"/>
        <rFont val="仿宋_GB2312"/>
        <family val="3"/>
        <charset val="134"/>
      </rPr>
      <t>号文第十九条（十一），披露用以确定本期减值准备计提金额以及评估金融工具的信用风险自初始确认后是否已显著增加等事项时所采用的输入值、假设等信息。】</t>
    </r>
  </si>
  <si>
    <r>
      <rPr>
        <sz val="10"/>
        <rFont val="仿宋_GB2312"/>
        <family val="3"/>
        <charset val="134"/>
      </rPr>
      <t>于</t>
    </r>
    <r>
      <rPr>
        <sz val="10"/>
        <rFont val="Arial Narrow"/>
        <family val="2"/>
      </rPr>
      <t>2019</t>
    </r>
    <r>
      <rPr>
        <sz val="10"/>
        <rFont val="仿宋_GB2312"/>
        <family val="3"/>
        <charset val="134"/>
      </rPr>
      <t>年</t>
    </r>
    <r>
      <rPr>
        <sz val="10"/>
        <rFont val="Arial Narrow"/>
        <family val="2"/>
      </rPr>
      <t>12</t>
    </r>
    <r>
      <rPr>
        <sz val="10"/>
        <rFont val="仿宋_GB2312"/>
        <family val="3"/>
        <charset val="134"/>
      </rPr>
      <t>月</t>
    </r>
    <r>
      <rPr>
        <sz val="10"/>
        <rFont val="Arial Narrow"/>
        <family val="2"/>
      </rPr>
      <t>31</t>
    </r>
    <r>
      <rPr>
        <sz val="10"/>
        <rFont val="仿宋_GB2312"/>
        <family val="3"/>
        <charset val="134"/>
      </rPr>
      <t>日，处于第一阶段的其他债权投资的减值准备分析如下：</t>
    </r>
    <phoneticPr fontId="76" type="noConversion"/>
  </si>
  <si>
    <r>
      <rPr>
        <b/>
        <sz val="10"/>
        <rFont val="仿宋_GB2312"/>
        <family val="3"/>
        <charset val="134"/>
      </rPr>
      <t>类别</t>
    </r>
  </si>
  <si>
    <r>
      <rPr>
        <b/>
        <sz val="10"/>
        <rFont val="仿宋_GB2312"/>
        <family val="3"/>
        <charset val="134"/>
      </rPr>
      <t>未来</t>
    </r>
    <r>
      <rPr>
        <b/>
        <sz val="10"/>
        <rFont val="Arial Narrow"/>
        <family val="2"/>
      </rPr>
      <t>12</t>
    </r>
    <r>
      <rPr>
        <b/>
        <sz val="10"/>
        <rFont val="仿宋_GB2312"/>
        <family val="3"/>
        <charset val="134"/>
      </rPr>
      <t>个月内预期信用损失率（</t>
    </r>
    <r>
      <rPr>
        <b/>
        <sz val="10"/>
        <rFont val="Arial Narrow"/>
        <family val="2"/>
      </rPr>
      <t>%</t>
    </r>
    <r>
      <rPr>
        <b/>
        <sz val="10"/>
        <rFont val="仿宋_GB2312"/>
        <family val="3"/>
        <charset val="134"/>
      </rPr>
      <t>）</t>
    </r>
  </si>
  <si>
    <r>
      <rPr>
        <b/>
        <sz val="10"/>
        <rFont val="仿宋_GB2312"/>
        <family val="3"/>
        <charset val="134"/>
      </rPr>
      <t>减值准备</t>
    </r>
  </si>
  <si>
    <r>
      <rPr>
        <b/>
        <sz val="10"/>
        <rFont val="仿宋_GB2312"/>
        <family val="3"/>
        <charset val="134"/>
      </rPr>
      <t>账面价值</t>
    </r>
  </si>
  <si>
    <r>
      <rPr>
        <b/>
        <sz val="10"/>
        <rFont val="仿宋_GB2312"/>
        <family val="3"/>
        <charset val="134"/>
      </rPr>
      <t>理由</t>
    </r>
  </si>
  <si>
    <r>
      <rPr>
        <sz val="10"/>
        <color rgb="FFFF0000"/>
        <rFont val="仿宋_GB2312"/>
        <family val="3"/>
        <charset val="134"/>
      </rPr>
      <t>按单项计提坏账准备</t>
    </r>
  </si>
  <si>
    <r>
      <rPr>
        <sz val="10"/>
        <color rgb="FFFF0000"/>
        <rFont val="仿宋_GB2312"/>
        <family val="3"/>
        <charset val="134"/>
      </rPr>
      <t>其中：</t>
    </r>
  </si>
  <si>
    <r>
      <rPr>
        <sz val="10"/>
        <color rgb="FFFF0000"/>
        <rFont val="仿宋_GB2312"/>
        <family val="3"/>
        <charset val="134"/>
      </rPr>
      <t>按组合计提坏账准备</t>
    </r>
  </si>
  <si>
    <r>
      <rPr>
        <sz val="10"/>
        <rFont val="仿宋_GB2312"/>
        <family val="3"/>
        <charset val="134"/>
      </rPr>
      <t>于</t>
    </r>
    <r>
      <rPr>
        <sz val="10"/>
        <rFont val="Arial Narrow"/>
        <family val="2"/>
      </rPr>
      <t>2019</t>
    </r>
    <r>
      <rPr>
        <sz val="10"/>
        <rFont val="仿宋_GB2312"/>
        <family val="3"/>
        <charset val="134"/>
      </rPr>
      <t>年</t>
    </r>
    <r>
      <rPr>
        <sz val="10"/>
        <rFont val="Arial Narrow"/>
        <family val="2"/>
      </rPr>
      <t>12</t>
    </r>
    <r>
      <rPr>
        <sz val="10"/>
        <rFont val="仿宋_GB2312"/>
        <family val="3"/>
        <charset val="134"/>
      </rPr>
      <t>月</t>
    </r>
    <r>
      <rPr>
        <sz val="10"/>
        <rFont val="Arial Narrow"/>
        <family val="2"/>
      </rPr>
      <t>31</t>
    </r>
    <r>
      <rPr>
        <sz val="10"/>
        <rFont val="仿宋_GB2312"/>
        <family val="3"/>
        <charset val="134"/>
      </rPr>
      <t>日，处于第二阶段的其他债权投资的减值准备分析如下：</t>
    </r>
    <phoneticPr fontId="76" type="noConversion"/>
  </si>
  <si>
    <r>
      <rPr>
        <b/>
        <sz val="10"/>
        <rFont val="仿宋_GB2312"/>
        <family val="3"/>
        <charset val="134"/>
      </rPr>
      <t>整个存续期预期信用损失率（</t>
    </r>
    <r>
      <rPr>
        <b/>
        <sz val="10"/>
        <rFont val="Arial Narrow"/>
        <family val="2"/>
      </rPr>
      <t>%</t>
    </r>
    <r>
      <rPr>
        <b/>
        <sz val="10"/>
        <rFont val="仿宋_GB2312"/>
        <family val="3"/>
        <charset val="134"/>
      </rPr>
      <t>）</t>
    </r>
  </si>
  <si>
    <r>
      <rPr>
        <sz val="10"/>
        <rFont val="仿宋_GB2312"/>
        <family val="3"/>
        <charset val="134"/>
      </rPr>
      <t>于</t>
    </r>
    <r>
      <rPr>
        <sz val="10"/>
        <rFont val="Arial Narrow"/>
        <family val="2"/>
      </rPr>
      <t>2019</t>
    </r>
    <r>
      <rPr>
        <sz val="10"/>
        <rFont val="仿宋_GB2312"/>
        <family val="3"/>
        <charset val="134"/>
      </rPr>
      <t>年</t>
    </r>
    <r>
      <rPr>
        <sz val="10"/>
        <rFont val="Arial Narrow"/>
        <family val="2"/>
      </rPr>
      <t>12</t>
    </r>
    <r>
      <rPr>
        <sz val="10"/>
        <rFont val="仿宋_GB2312"/>
        <family val="3"/>
        <charset val="134"/>
      </rPr>
      <t>月</t>
    </r>
    <r>
      <rPr>
        <sz val="10"/>
        <rFont val="Arial Narrow"/>
        <family val="2"/>
      </rPr>
      <t>31</t>
    </r>
    <r>
      <rPr>
        <sz val="10"/>
        <rFont val="仿宋_GB2312"/>
        <family val="3"/>
        <charset val="134"/>
      </rPr>
      <t>日，处于第三阶段的其他债权投资的减值准备分析如下：</t>
    </r>
    <phoneticPr fontId="76" type="noConversion"/>
  </si>
  <si>
    <r>
      <rPr>
        <sz val="10"/>
        <rFont val="仿宋_GB2312"/>
        <family val="3"/>
        <charset val="134"/>
      </rPr>
      <t>说明：</t>
    </r>
    <r>
      <rPr>
        <sz val="10"/>
        <color rgb="FF0000FF"/>
        <rFont val="仿宋_GB2312"/>
        <family val="3"/>
        <charset val="134"/>
      </rPr>
      <t>本期发生损失准备的其他债权投资账面余额显著变动的情况。</t>
    </r>
  </si>
  <si>
    <r>
      <rPr>
        <sz val="10"/>
        <rFont val="仿宋_GB2312"/>
        <family val="3"/>
        <charset val="134"/>
      </rPr>
      <t>说明：</t>
    </r>
    <r>
      <rPr>
        <sz val="10"/>
        <color rgb="FF0000FF"/>
        <rFont val="仿宋_GB2312"/>
        <family val="3"/>
        <charset val="134"/>
      </rPr>
      <t>本期坏账准备计提金额以及评估金融工具的信用风险是否显著增加的采用依据</t>
    </r>
  </si>
  <si>
    <r>
      <rPr>
        <sz val="10"/>
        <rFont val="仿宋_GB2312"/>
        <family val="3"/>
        <charset val="134"/>
      </rPr>
      <t>（</t>
    </r>
    <r>
      <rPr>
        <sz val="10"/>
        <rFont val="Arial Narrow"/>
        <family val="2"/>
      </rPr>
      <t>4</t>
    </r>
    <r>
      <rPr>
        <sz val="10"/>
        <rFont val="仿宋_GB2312"/>
        <family val="3"/>
        <charset val="134"/>
      </rPr>
      <t>）本期计提、收回或转回的减值准备情况</t>
    </r>
  </si>
  <si>
    <r>
      <rPr>
        <b/>
        <sz val="10"/>
        <color rgb="FF000000"/>
        <rFont val="仿宋_GB2312"/>
        <family val="3"/>
        <charset val="134"/>
      </rPr>
      <t>减值准备金额</t>
    </r>
  </si>
  <si>
    <r>
      <rPr>
        <b/>
        <sz val="10"/>
        <rFont val="仿宋_GB2312"/>
        <family val="3"/>
        <charset val="134"/>
      </rPr>
      <t>账面</t>
    </r>
    <phoneticPr fontId="76" type="noConversion"/>
  </si>
  <si>
    <r>
      <rPr>
        <b/>
        <sz val="10"/>
        <rFont val="仿宋_GB2312"/>
        <family val="3"/>
        <charset val="134"/>
      </rPr>
      <t>账面</t>
    </r>
  </si>
  <si>
    <r>
      <rPr>
        <b/>
        <sz val="10"/>
        <rFont val="仿宋_GB2312"/>
        <family val="3"/>
        <charset val="134"/>
      </rPr>
      <t>金额</t>
    </r>
  </si>
  <si>
    <r>
      <rPr>
        <b/>
        <sz val="10"/>
        <rFont val="仿宋_GB2312"/>
        <family val="3"/>
        <charset val="134"/>
      </rPr>
      <t>比例</t>
    </r>
    <r>
      <rPr>
        <b/>
        <sz val="10"/>
        <rFont val="Arial Narrow"/>
        <family val="2"/>
      </rPr>
      <t>(%)</t>
    </r>
  </si>
  <si>
    <r>
      <rPr>
        <b/>
        <sz val="10"/>
        <rFont val="仿宋_GB2312"/>
        <family val="3"/>
        <charset val="134"/>
      </rPr>
      <t>价值</t>
    </r>
  </si>
  <si>
    <r>
      <rPr>
        <sz val="10"/>
        <rFont val="仿宋_GB2312"/>
        <family val="3"/>
        <charset val="134"/>
      </rPr>
      <t>按单项计提坏账准备</t>
    </r>
  </si>
  <si>
    <r>
      <rPr>
        <sz val="10"/>
        <rFont val="仿宋_GB2312"/>
        <family val="3"/>
        <charset val="134"/>
      </rPr>
      <t>其中：</t>
    </r>
  </si>
  <si>
    <r>
      <rPr>
        <sz val="10"/>
        <rFont val="仿宋_GB2312"/>
        <family val="3"/>
        <charset val="134"/>
      </rPr>
      <t>按组合</t>
    </r>
    <r>
      <rPr>
        <sz val="10"/>
        <rFont val="Arial Narrow"/>
        <family val="2"/>
      </rPr>
      <t> </t>
    </r>
    <r>
      <rPr>
        <sz val="10"/>
        <rFont val="仿宋_GB2312"/>
        <family val="3"/>
        <charset val="134"/>
      </rPr>
      <t>计提坏账准备</t>
    </r>
  </si>
  <si>
    <t>报表金额</t>
    <phoneticPr fontId="76" type="noConversion"/>
  </si>
  <si>
    <t>2019.12.31</t>
    <phoneticPr fontId="76" type="noConversion"/>
  </si>
  <si>
    <t>报表金额</t>
    <phoneticPr fontId="76" type="noConversion"/>
  </si>
  <si>
    <t>核对金额</t>
    <phoneticPr fontId="76" type="noConversion"/>
  </si>
  <si>
    <t>预收款项期末余额</t>
    <phoneticPr fontId="76" type="noConversion"/>
  </si>
  <si>
    <r>
      <rPr>
        <b/>
        <sz val="10"/>
        <rFont val="宋体"/>
        <family val="3"/>
        <charset val="134"/>
      </rPr>
      <t>占预收款项期末余额合计数的比例</t>
    </r>
    <r>
      <rPr>
        <b/>
        <sz val="10"/>
        <rFont val="Arial Narrow"/>
        <family val="2"/>
      </rPr>
      <t>%</t>
    </r>
    <phoneticPr fontId="76" type="noConversion"/>
  </si>
  <si>
    <t>预收款项</t>
  </si>
  <si>
    <t>说明：（账龄超过1年的金额重要预收账款，应说明未及时结算的原因。）</t>
  </si>
  <si>
    <t>（2）按预收对象归集的预收款项期末余额前五名单位情况</t>
  </si>
  <si>
    <t>（按预收对象集中度，汇总或分别披露期末余额前五名的预收款项的期末余额及占预收款项期末余额合计数的比例。）</t>
  </si>
  <si>
    <t>本期按预收对象归集的期末余额前五名预收款项汇总金额XXXX元，占预收款项期末余额合计数的比例      %。</t>
  </si>
  <si>
    <t>资产减值损失</t>
    <phoneticPr fontId="76" type="noConversion"/>
  </si>
  <si>
    <t>信用减值损失</t>
    <phoneticPr fontId="76" type="noConversion"/>
  </si>
  <si>
    <t>B30-13-1</t>
    <phoneticPr fontId="7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</si>
</sst>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7">
    <numFmt numFmtId="41" formatCode="_ * #,##0_ ;_ * \-#,##0_ ;_ * &quot;-&quot;_ ;_ @_ "/>
    <numFmt numFmtId="44" formatCode="_ &quot;¥&quot;* #,##0.00_ ;_ &quot;¥&quot;* \-#,##0.00_ ;_ &quot;¥&quot;* &quot;-&quot;??_ ;_ @_ "/>
    <numFmt numFmtId="43" formatCode="_ * #,##0.00_ ;_ * \-#,##0.00_ ;_ * &quot;-&quot;??_ ;_ @_ "/>
    <numFmt numFmtId="176" formatCode="_(* #,##0.00_);_(* \(#,##0.00\);_(* &quot;-&quot;_);_(@_)"/>
    <numFmt numFmtId="177" formatCode="_(&quot;$&quot;* #,##0.00_);_(&quot;$&quot;* \(#,##0.00\);_(&quot;$&quot;* &quot;-&quot;??_);_(@_)"/>
    <numFmt numFmtId="178" formatCode="_-* #,##0.00_-;\-* #,##0.00_-;_-* &quot;-&quot;??_-;_-@_-"/>
    <numFmt numFmtId="179" formatCode="_-&quot;$&quot;* #,##0.00_-;\-&quot;$&quot;* #,##0.00_-;_-&quot;$&quot;* &quot;-&quot;??_-;_-@_-"/>
    <numFmt numFmtId="180"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81" formatCode="&quot;\&quot;#,##0;&quot;\&quot;&quot;\&quot;\-#,##0"/>
    <numFmt numFmtId="182" formatCode="_(* #,##0.00_);_(* \(#,##0.00\);_(* &quot;-&quot;??_);_(@_)"/>
    <numFmt numFmtId="183" formatCode="_ * #,##0.0000_ ;_ * \-#,##0.0000_ ;_ * &quot;-&quot;??_ ;_ @_ "/>
    <numFmt numFmtId="184" formatCode="0.00_ "/>
    <numFmt numFmtId="185" formatCode="&quot;\&quot;#,##0.00;[Red]&quot;\&quot;&quot;\&quot;\-#,##0.00"/>
    <numFmt numFmtId="186" formatCode="&quot;$&quot;#,##0_);\(&quot;$&quot;#,##0\)"/>
    <numFmt numFmtId="187" formatCode="#,##0.00000000_ "/>
    <numFmt numFmtId="188" formatCode="#,##0.000_ "/>
    <numFmt numFmtId="189" formatCode="&quot;\&quot;#,##0;[Red]&quot;\&quot;&quot;\&quot;\-#,##0"/>
    <numFmt numFmtId="190" formatCode="_(* #,##0_);_(* \(#,##0\);_(* &quot;-&quot;_);_(@_)"/>
    <numFmt numFmtId="191" formatCode="_-&quot;$&quot;* #,##0_-;\-&quot;$&quot;* #,##0_-;_-&quot;$&quot;* &quot;-&quot;_-;_-@_-"/>
    <numFmt numFmtId="192" formatCode="#,##0.00_-"/>
    <numFmt numFmtId="193" formatCode="#,##0.00_);\(#,##0.00\)"/>
    <numFmt numFmtId="194" formatCode="0.000%"/>
    <numFmt numFmtId="195" formatCode="_-* #,##0_-;\-* #,##0_-;_-* &quot;-&quot;_-;_-@_-"/>
    <numFmt numFmtId="196" formatCode="#,##0;\-#,##0;&quot;-&quot;"/>
    <numFmt numFmtId="197" formatCode="000\-0000"/>
    <numFmt numFmtId="198" formatCode="#,##0.00_ "/>
    <numFmt numFmtId="199" formatCode="#,##0_ "/>
  </numFmts>
  <fonts count="152">
    <font>
      <sz val="12"/>
      <name val="Times New Roman"/>
      <charset val="134"/>
    </font>
    <font>
      <sz val="12"/>
      <name val="Arial Narrow"/>
      <family val="2"/>
    </font>
    <font>
      <sz val="11"/>
      <name val="Arial Narrow"/>
      <family val="2"/>
    </font>
    <font>
      <sz val="10"/>
      <name val="Arial Narrow"/>
      <family val="2"/>
    </font>
    <font>
      <sz val="10"/>
      <color indexed="12"/>
      <name val="Arial Narrow"/>
      <family val="2"/>
    </font>
    <font>
      <b/>
      <sz val="12"/>
      <name val="Arial Narrow"/>
      <family val="2"/>
    </font>
    <font>
      <u/>
      <sz val="11"/>
      <color indexed="12"/>
      <name val="Arial Narrow"/>
      <family val="2"/>
    </font>
    <font>
      <b/>
      <sz val="10"/>
      <name val="Arial Narrow"/>
      <family val="2"/>
    </font>
    <font>
      <sz val="10"/>
      <color indexed="8"/>
      <name val="Arial Narrow"/>
      <family val="2"/>
    </font>
    <font>
      <b/>
      <u/>
      <sz val="12"/>
      <color indexed="12"/>
      <name val="Arial Narrow"/>
      <family val="2"/>
    </font>
    <font>
      <sz val="10"/>
      <color indexed="10"/>
      <name val="Arial Narrow"/>
      <family val="2"/>
    </font>
    <font>
      <b/>
      <sz val="10"/>
      <color indexed="12"/>
      <name val="Arial Narrow"/>
      <family val="2"/>
    </font>
    <font>
      <b/>
      <sz val="10"/>
      <color indexed="10"/>
      <name val="Arial Narrow"/>
      <family val="2"/>
    </font>
    <font>
      <sz val="10"/>
      <name val="宋体"/>
      <family val="3"/>
      <charset val="134"/>
    </font>
    <font>
      <sz val="10"/>
      <color rgb="FF3333FF"/>
      <name val="Arial Narrow"/>
      <family val="2"/>
    </font>
    <font>
      <sz val="10"/>
      <name val="宋体"/>
      <family val="3"/>
      <charset val="134"/>
      <scheme val="minor"/>
    </font>
    <font>
      <sz val="10"/>
      <color rgb="FFFF0000"/>
      <name val="宋体"/>
      <family val="3"/>
      <charset val="134"/>
      <scheme val="minor"/>
    </font>
    <font>
      <b/>
      <sz val="10"/>
      <name val="宋体"/>
      <family val="3"/>
      <charset val="134"/>
      <scheme val="minor"/>
    </font>
    <font>
      <sz val="10"/>
      <color rgb="FF3333FF"/>
      <name val="宋体"/>
      <family val="3"/>
      <charset val="134"/>
    </font>
    <font>
      <b/>
      <sz val="10"/>
      <name val="宋体"/>
      <family val="3"/>
      <charset val="134"/>
    </font>
    <font>
      <u/>
      <sz val="9"/>
      <color indexed="12"/>
      <name val="Arial Narrow"/>
      <family val="2"/>
    </font>
    <font>
      <sz val="10"/>
      <color indexed="12"/>
      <name val="宋体"/>
      <family val="3"/>
      <charset val="134"/>
    </font>
    <font>
      <b/>
      <sz val="10"/>
      <color rgb="FF000000"/>
      <name val="Arial Narrow"/>
      <family val="2"/>
    </font>
    <font>
      <sz val="10"/>
      <color rgb="FF000000"/>
      <name val="Arial Narrow"/>
      <family val="2"/>
    </font>
    <font>
      <sz val="12"/>
      <color indexed="10"/>
      <name val="Arial Narrow"/>
      <family val="2"/>
    </font>
    <font>
      <sz val="11"/>
      <color indexed="10"/>
      <name val="Arial Narrow"/>
      <family val="2"/>
    </font>
    <font>
      <sz val="10"/>
      <color rgb="FF0000FF"/>
      <name val="Arial Narrow"/>
      <family val="2"/>
    </font>
    <font>
      <b/>
      <sz val="12"/>
      <name val="宋体"/>
      <family val="3"/>
      <charset val="134"/>
    </font>
    <font>
      <sz val="10"/>
      <color rgb="FF0000FF"/>
      <name val="宋体"/>
      <family val="3"/>
      <charset val="134"/>
    </font>
    <font>
      <b/>
      <sz val="11"/>
      <name val="Arial Narrow"/>
      <family val="2"/>
    </font>
    <font>
      <b/>
      <u/>
      <sz val="11"/>
      <color indexed="12"/>
      <name val="Arial Narrow"/>
      <family val="2"/>
    </font>
    <font>
      <sz val="11"/>
      <color indexed="8"/>
      <name val="Arial Narrow"/>
      <family val="2"/>
    </font>
    <font>
      <b/>
      <sz val="12"/>
      <color rgb="FF000000"/>
      <name val="Arial Narrow"/>
      <family val="2"/>
    </font>
    <font>
      <b/>
      <sz val="10"/>
      <color indexed="8"/>
      <name val="Arial Narrow"/>
      <family val="2"/>
    </font>
    <font>
      <sz val="10"/>
      <color rgb="FF0070C0"/>
      <name val="Arial Narrow"/>
      <family val="2"/>
    </font>
    <font>
      <sz val="10"/>
      <color theme="1"/>
      <name val="Arial Narrow"/>
      <family val="2"/>
    </font>
    <font>
      <b/>
      <sz val="10"/>
      <color theme="1"/>
      <name val="Arial Narrow"/>
      <family val="2"/>
    </font>
    <font>
      <b/>
      <sz val="10"/>
      <color rgb="FF0070C0"/>
      <name val="Arial Narrow"/>
      <family val="2"/>
    </font>
    <font>
      <sz val="10"/>
      <color rgb="FFFF0000"/>
      <name val="Arial Narrow"/>
      <family val="2"/>
    </font>
    <font>
      <b/>
      <sz val="12"/>
      <color indexed="10"/>
      <name val="Arial Narrow"/>
      <family val="2"/>
    </font>
    <font>
      <sz val="10"/>
      <color rgb="FF000000"/>
      <name val="宋体"/>
      <family val="3"/>
      <charset val="134"/>
    </font>
    <font>
      <b/>
      <sz val="12"/>
      <color indexed="8"/>
      <name val="Arial Narrow"/>
      <family val="2"/>
    </font>
    <font>
      <sz val="11"/>
      <color rgb="FF0000FF"/>
      <name val="Arial Narrow"/>
      <family val="2"/>
    </font>
    <font>
      <sz val="11"/>
      <color theme="1"/>
      <name val="Arial Narrow"/>
      <family val="2"/>
    </font>
    <font>
      <b/>
      <sz val="10"/>
      <color rgb="FF0000FF"/>
      <name val="Arial Narrow"/>
      <family val="2"/>
    </font>
    <font>
      <sz val="11"/>
      <color rgb="FF000000"/>
      <name val="Arial Narrow"/>
      <family val="2"/>
    </font>
    <font>
      <b/>
      <sz val="11"/>
      <color rgb="FF000000"/>
      <name val="Arial Narrow"/>
      <family val="2"/>
    </font>
    <font>
      <sz val="12"/>
      <color rgb="FF0070C0"/>
      <name val="Arial Narrow"/>
      <family val="2"/>
    </font>
    <font>
      <sz val="10"/>
      <color rgb="FFFF00FF"/>
      <name val="Arial Narrow"/>
      <family val="2"/>
    </font>
    <font>
      <b/>
      <sz val="10"/>
      <color theme="1"/>
      <name val="宋体"/>
      <family val="3"/>
      <charset val="134"/>
    </font>
    <font>
      <sz val="10"/>
      <color theme="1"/>
      <name val="宋体"/>
      <family val="3"/>
      <charset val="134"/>
    </font>
    <font>
      <b/>
      <sz val="10"/>
      <color rgb="FFFF0000"/>
      <name val="Arial Narrow"/>
      <family val="2"/>
    </font>
    <font>
      <sz val="10"/>
      <color rgb="FF00B0F0"/>
      <name val="Arial Narrow"/>
      <family val="2"/>
    </font>
    <font>
      <u/>
      <sz val="12"/>
      <color indexed="12"/>
      <name val="Arial Narrow"/>
      <family val="2"/>
    </font>
    <font>
      <sz val="10"/>
      <color indexed="8"/>
      <name val="宋体"/>
      <family val="3"/>
      <charset val="134"/>
    </font>
    <font>
      <b/>
      <sz val="16"/>
      <name val="Arial Narrow"/>
      <family val="2"/>
    </font>
    <font>
      <b/>
      <strike/>
      <sz val="12"/>
      <name val="宋体"/>
      <family val="3"/>
      <charset val="134"/>
    </font>
    <font>
      <b/>
      <strike/>
      <sz val="12"/>
      <name val="Arial Narrow"/>
      <family val="2"/>
    </font>
    <font>
      <b/>
      <sz val="12"/>
      <color indexed="12"/>
      <name val="Arial Narrow"/>
      <family val="2"/>
    </font>
    <font>
      <b/>
      <sz val="10"/>
      <color indexed="9"/>
      <name val="Arial Narrow"/>
      <family val="2"/>
    </font>
    <font>
      <b/>
      <sz val="14"/>
      <name val="Arial Narrow"/>
      <family val="2"/>
    </font>
    <font>
      <strike/>
      <sz val="10"/>
      <name val="Arial Narrow"/>
      <family val="2"/>
    </font>
    <font>
      <sz val="10"/>
      <color indexed="9"/>
      <name val="Arial Narrow"/>
      <family val="2"/>
    </font>
    <font>
      <strike/>
      <sz val="10"/>
      <name val="宋体"/>
      <family val="3"/>
      <charset val="134"/>
    </font>
    <font>
      <u/>
      <sz val="10"/>
      <color rgb="FF800080"/>
      <name val="宋体"/>
      <family val="3"/>
      <charset val="134"/>
    </font>
    <font>
      <u/>
      <sz val="10"/>
      <color rgb="FF800080"/>
      <name val="Arial Narrow"/>
      <family val="2"/>
    </font>
    <font>
      <sz val="10"/>
      <color indexed="10"/>
      <name val="宋体"/>
      <family val="3"/>
      <charset val="134"/>
    </font>
    <font>
      <u/>
      <sz val="10"/>
      <color indexed="12"/>
      <name val="Arial Narrow"/>
      <family val="2"/>
    </font>
    <font>
      <sz val="10"/>
      <name val="Helv"/>
      <family val="2"/>
    </font>
    <font>
      <sz val="12"/>
      <name val="바탕체"/>
      <family val="3"/>
    </font>
    <font>
      <b/>
      <sz val="9"/>
      <name val="Times New Roman"/>
      <family val="1"/>
    </font>
    <font>
      <sz val="10"/>
      <name val="Arial"/>
      <family val="2"/>
    </font>
    <font>
      <b/>
      <i/>
      <sz val="10"/>
      <name val="Times New Roman"/>
      <family val="1"/>
    </font>
    <font>
      <sz val="12"/>
      <name val="宋体"/>
      <family val="3"/>
      <charset val="134"/>
    </font>
    <font>
      <u/>
      <sz val="7.5"/>
      <color indexed="36"/>
      <name val="Arial"/>
      <family val="2"/>
    </font>
    <font>
      <u/>
      <sz val="9"/>
      <color indexed="12"/>
      <name val="Times New Roman"/>
      <family val="1"/>
    </font>
    <font>
      <sz val="9"/>
      <name val="Times New Roman"/>
      <family val="1"/>
    </font>
    <font>
      <sz val="11"/>
      <name val="ＭＳ Ｐゴシック"/>
      <family val="2"/>
    </font>
    <font>
      <sz val="10"/>
      <color indexed="8"/>
      <name val="Arial"/>
      <family val="2"/>
    </font>
    <font>
      <sz val="12"/>
      <name val="楷体"/>
      <family val="3"/>
      <charset val="134"/>
    </font>
    <font>
      <sz val="7"/>
      <name val="Helv"/>
      <family val="2"/>
    </font>
    <font>
      <sz val="8"/>
      <name val="Century Schoolbook"/>
      <family val="1"/>
    </font>
    <font>
      <sz val="8"/>
      <color indexed="16"/>
      <name val="Century Schoolbook"/>
      <family val="1"/>
    </font>
    <font>
      <b/>
      <sz val="10"/>
      <name val="MS Sans Serif"/>
      <family val="2"/>
    </font>
    <font>
      <sz val="11"/>
      <name val="明朝"/>
      <family val="2"/>
    </font>
    <font>
      <sz val="8"/>
      <name val="Arial"/>
      <family val="2"/>
    </font>
    <font>
      <sz val="10"/>
      <name val="Geneva"/>
      <family val="2"/>
    </font>
    <font>
      <sz val="7"/>
      <color indexed="10"/>
      <name val="Helv"/>
      <family val="2"/>
    </font>
    <font>
      <b/>
      <sz val="12"/>
      <name val="Arial"/>
      <family val="2"/>
    </font>
    <font>
      <sz val="10"/>
      <name val="Times New Roman"/>
      <family val="1"/>
    </font>
    <font>
      <sz val="11"/>
      <name val="ＭＳ Ｐゴシック"/>
      <family val="2"/>
    </font>
    <font>
      <u/>
      <sz val="7.5"/>
      <color indexed="12"/>
      <name val="Arial"/>
      <family val="2"/>
    </font>
    <font>
      <sz val="11"/>
      <name val="蹈框"/>
      <charset val="134"/>
    </font>
    <font>
      <sz val="10"/>
      <name val="Courier"/>
      <family val="3"/>
    </font>
    <font>
      <sz val="11"/>
      <name val="宋体"/>
      <family val="3"/>
      <charset val="134"/>
    </font>
    <font>
      <b/>
      <sz val="10"/>
      <color indexed="12"/>
      <name val="宋体"/>
      <family val="3"/>
      <charset val="134"/>
    </font>
    <font>
      <b/>
      <sz val="10"/>
      <color indexed="10"/>
      <name val="宋体"/>
      <family val="3"/>
      <charset val="134"/>
    </font>
    <font>
      <b/>
      <sz val="12"/>
      <name val="仿宋_GB2312"/>
      <family val="3"/>
      <charset val="134"/>
    </font>
    <font>
      <b/>
      <sz val="10"/>
      <name val="仿宋_GB2312"/>
      <family val="3"/>
      <charset val="134"/>
    </font>
    <font>
      <sz val="12"/>
      <name val="仿宋_GB2312"/>
      <family val="3"/>
      <charset val="134"/>
    </font>
    <font>
      <b/>
      <sz val="10"/>
      <color rgb="FF000000"/>
      <name val="宋体"/>
      <family val="3"/>
      <charset val="134"/>
    </font>
    <font>
      <b/>
      <sz val="12"/>
      <color rgb="FF000000"/>
      <name val="宋体"/>
      <family val="3"/>
      <charset val="134"/>
    </font>
    <font>
      <b/>
      <sz val="10"/>
      <color indexed="8"/>
      <name val="宋体"/>
      <family val="3"/>
      <charset val="134"/>
    </font>
    <font>
      <sz val="10"/>
      <color rgb="FF0070C0"/>
      <name val="宋体"/>
      <family val="3"/>
      <charset val="134"/>
    </font>
    <font>
      <i/>
      <sz val="10"/>
      <color rgb="FFFF0000"/>
      <name val="Arial Narrow"/>
      <family val="2"/>
    </font>
    <font>
      <i/>
      <sz val="10"/>
      <color rgb="FFFF0000"/>
      <name val="宋体"/>
      <family val="3"/>
      <charset val="134"/>
    </font>
    <font>
      <u/>
      <sz val="10"/>
      <color rgb="FF0000FF"/>
      <name val="宋体"/>
      <family val="3"/>
      <charset val="134"/>
    </font>
    <font>
      <sz val="11"/>
      <color indexed="8"/>
      <name val="宋体"/>
      <family val="3"/>
      <charset val="134"/>
    </font>
    <font>
      <b/>
      <sz val="10"/>
      <color rgb="FF0000FF"/>
      <name val="宋体"/>
      <family val="3"/>
      <charset val="134"/>
    </font>
    <font>
      <sz val="10"/>
      <color rgb="FFFF0000"/>
      <name val="宋体"/>
      <family val="3"/>
      <charset val="134"/>
    </font>
    <font>
      <b/>
      <sz val="10"/>
      <color rgb="FF0070C0"/>
      <name val="宋体"/>
      <family val="3"/>
      <charset val="134"/>
    </font>
    <font>
      <b/>
      <u/>
      <sz val="10"/>
      <color rgb="FF0000FF"/>
      <name val="宋体"/>
      <family val="3"/>
      <charset val="134"/>
    </font>
    <font>
      <b/>
      <sz val="12"/>
      <color indexed="12"/>
      <name val="宋体"/>
      <family val="3"/>
      <charset val="134"/>
    </font>
    <font>
      <b/>
      <sz val="12"/>
      <color rgb="FF0000FF"/>
      <name val="宋体"/>
      <family val="3"/>
      <charset val="134"/>
    </font>
    <font>
      <u/>
      <sz val="10"/>
      <name val="Arial Narrow"/>
      <family val="2"/>
    </font>
    <font>
      <b/>
      <sz val="12"/>
      <color indexed="8"/>
      <name val="宋体"/>
      <family val="3"/>
      <charset val="134"/>
    </font>
    <font>
      <b/>
      <sz val="11"/>
      <name val="宋体"/>
      <family val="3"/>
      <charset val="134"/>
    </font>
    <font>
      <b/>
      <sz val="11"/>
      <color rgb="FF000000"/>
      <name val="宋体"/>
      <family val="3"/>
      <charset val="134"/>
    </font>
    <font>
      <sz val="11"/>
      <color rgb="FF000000"/>
      <name val="宋体"/>
      <family val="3"/>
      <charset val="134"/>
    </font>
    <font>
      <sz val="12"/>
      <color rgb="FF0070C0"/>
      <name val="宋体"/>
      <family val="3"/>
      <charset val="134"/>
    </font>
    <font>
      <sz val="12"/>
      <color rgb="FF0000FF"/>
      <name val="宋体"/>
      <family val="3"/>
      <charset val="134"/>
    </font>
    <font>
      <b/>
      <strike/>
      <sz val="10"/>
      <color rgb="FFFF0000"/>
      <name val="宋体"/>
      <family val="3"/>
      <charset val="134"/>
    </font>
    <font>
      <b/>
      <sz val="10"/>
      <color rgb="FFFF0000"/>
      <name val="宋体"/>
      <family val="3"/>
      <charset val="134"/>
    </font>
    <font>
      <strike/>
      <sz val="10"/>
      <color rgb="FFFF0000"/>
      <name val="宋体"/>
      <family val="3"/>
      <charset val="134"/>
    </font>
    <font>
      <sz val="10"/>
      <color rgb="FF00B0F0"/>
      <name val="宋体"/>
      <family val="3"/>
      <charset val="134"/>
    </font>
    <font>
      <b/>
      <sz val="10"/>
      <color theme="1"/>
      <name val="仿宋_GB2312"/>
      <family val="3"/>
      <charset val="134"/>
    </font>
    <font>
      <b/>
      <sz val="16"/>
      <name val="宋体"/>
      <family val="3"/>
      <charset val="134"/>
    </font>
    <font>
      <b/>
      <strike/>
      <sz val="12"/>
      <color rgb="FFFF0000"/>
      <name val="宋体"/>
      <family val="3"/>
      <charset val="134"/>
    </font>
    <font>
      <strike/>
      <sz val="12"/>
      <color rgb="FFFF0000"/>
      <name val="宋体"/>
      <family val="3"/>
      <charset val="134"/>
    </font>
    <font>
      <sz val="12"/>
      <name val="Times New Roman"/>
      <family val="1"/>
    </font>
    <font>
      <b/>
      <sz val="9"/>
      <name val="宋体"/>
      <family val="3"/>
      <charset val="134"/>
    </font>
    <font>
      <sz val="9"/>
      <name val="宋体"/>
      <family val="3"/>
      <charset val="134"/>
    </font>
    <font>
      <sz val="9"/>
      <name val="Tahoma"/>
      <family val="2"/>
    </font>
    <font>
      <sz val="10.5"/>
      <name val="Times New Roman"/>
      <family val="1"/>
    </font>
    <font>
      <sz val="12"/>
      <color rgb="FF0000FF"/>
      <name val="仿宋_GB2312"/>
      <family val="3"/>
      <charset val="134"/>
    </font>
    <font>
      <sz val="12"/>
      <color rgb="FF0000FF"/>
      <name val="Arial Narrow"/>
      <family val="2"/>
    </font>
    <font>
      <sz val="12"/>
      <color rgb="FF000000"/>
      <name val="仿宋_GB2312"/>
      <family val="3"/>
      <charset val="134"/>
    </font>
    <font>
      <sz val="12"/>
      <color rgb="FF000000"/>
      <name val="Arial Narrow"/>
      <family val="2"/>
    </font>
    <font>
      <sz val="10.5"/>
      <name val="仿宋_GB2312"/>
      <family val="3"/>
      <charset val="134"/>
    </font>
    <font>
      <sz val="10.5"/>
      <name val="Arial Narrow"/>
      <family val="2"/>
    </font>
    <font>
      <sz val="10.5"/>
      <color rgb="FFFF0000"/>
      <name val="仿宋_GB2312"/>
      <family val="3"/>
      <charset val="134"/>
    </font>
    <font>
      <b/>
      <sz val="12"/>
      <color rgb="FF000000"/>
      <name val="仿宋_GB2312"/>
      <family val="3"/>
      <charset val="134"/>
    </font>
    <font>
      <sz val="10.5"/>
      <name val="宋体"/>
      <family val="3"/>
      <charset val="134"/>
    </font>
    <font>
      <sz val="12"/>
      <color rgb="FFFF0000"/>
      <name val="仿宋_GB2312"/>
      <family val="3"/>
      <charset val="134"/>
    </font>
    <font>
      <sz val="12"/>
      <color rgb="FFFF0000"/>
      <name val="Arial Narrow"/>
      <family val="2"/>
    </font>
    <font>
      <sz val="12"/>
      <color theme="3" tint="0.39997558519241921"/>
      <name val="仿宋_GB2312"/>
      <family val="3"/>
      <charset val="134"/>
    </font>
    <font>
      <sz val="12"/>
      <color theme="3" tint="0.39997558519241921"/>
      <name val="Arial Narrow"/>
      <family val="2"/>
    </font>
    <font>
      <sz val="10"/>
      <color rgb="FF000000"/>
      <name val="仿宋_GB2312"/>
      <family val="3"/>
      <charset val="134"/>
    </font>
    <font>
      <sz val="10"/>
      <name val="仿宋_GB2312"/>
      <family val="3"/>
      <charset val="134"/>
    </font>
    <font>
      <b/>
      <sz val="10"/>
      <color rgb="FF000000"/>
      <name val="仿宋_GB2312"/>
      <family val="3"/>
      <charset val="134"/>
    </font>
    <font>
      <sz val="10"/>
      <color rgb="FFFF0000"/>
      <name val="仿宋_GB2312"/>
      <family val="3"/>
      <charset val="134"/>
    </font>
    <font>
      <sz val="10"/>
      <color rgb="FF0000FF"/>
      <name val="仿宋_GB2312"/>
      <family val="3"/>
      <charset val="134"/>
    </font>
  </fonts>
  <fills count="15">
    <fill>
      <patternFill patternType="none"/>
    </fill>
    <fill>
      <patternFill patternType="gray125"/>
    </fill>
    <fill>
      <patternFill patternType="solid">
        <fgColor indexed="47"/>
        <bgColor indexed="64"/>
      </patternFill>
    </fill>
    <fill>
      <patternFill patternType="solid">
        <fgColor theme="7" tint="0.79989013336588644"/>
        <bgColor indexed="64"/>
      </patternFill>
    </fill>
    <fill>
      <patternFill patternType="solid">
        <fgColor rgb="FFFFFF99"/>
        <bgColor indexed="64"/>
      </patternFill>
    </fill>
    <fill>
      <patternFill patternType="solid">
        <fgColor indexed="53"/>
        <bgColor indexed="64"/>
      </patternFill>
    </fill>
    <fill>
      <patternFill patternType="solid">
        <fgColor theme="7" tint="0.59999389629810485"/>
        <bgColor indexed="64"/>
      </patternFill>
    </fill>
    <fill>
      <patternFill patternType="solid">
        <fgColor theme="0"/>
        <bgColor indexed="64"/>
      </patternFill>
    </fill>
    <fill>
      <patternFill patternType="solid">
        <fgColor indexed="43"/>
        <bgColor indexed="64"/>
      </patternFill>
    </fill>
    <fill>
      <patternFill patternType="solid">
        <fgColor rgb="FFFFC000"/>
        <bgColor indexed="64"/>
      </patternFill>
    </fill>
    <fill>
      <patternFill patternType="solid">
        <fgColor indexed="15"/>
        <bgColor indexed="64"/>
      </patternFill>
    </fill>
    <fill>
      <patternFill patternType="solid">
        <fgColor indexed="9"/>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s>
  <borders count="39">
    <border>
      <left/>
      <right/>
      <top/>
      <bottom/>
      <diagonal/>
    </border>
    <border>
      <left style="hair">
        <color auto="1"/>
      </left>
      <right style="hair">
        <color auto="1"/>
      </right>
      <top style="hair">
        <color auto="1"/>
      </top>
      <bottom style="hair">
        <color auto="1"/>
      </bottom>
      <diagonal/>
    </border>
    <border>
      <left/>
      <right/>
      <top style="hair">
        <color auto="1"/>
      </top>
      <bottom/>
      <diagonal/>
    </border>
    <border>
      <left/>
      <right/>
      <top/>
      <bottom style="medium">
        <color auto="1"/>
      </bottom>
      <diagonal/>
    </border>
    <border>
      <left style="hair">
        <color auto="1"/>
      </left>
      <right/>
      <top/>
      <bottom/>
      <diagonal/>
    </border>
    <border>
      <left/>
      <right style="hair">
        <color auto="1"/>
      </right>
      <top style="hair">
        <color auto="1"/>
      </top>
      <bottom style="hair">
        <color auto="1"/>
      </bottom>
      <diagonal/>
    </border>
    <border>
      <left style="hair">
        <color auto="1"/>
      </left>
      <right/>
      <top/>
      <bottom style="hair">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style="hair">
        <color auto="1"/>
      </right>
      <top style="hair">
        <color auto="1"/>
      </top>
      <bottom/>
      <diagonal/>
    </border>
    <border>
      <left/>
      <right style="hair">
        <color auto="1"/>
      </right>
      <top/>
      <bottom style="hair">
        <color auto="1"/>
      </bottom>
      <diagonal/>
    </border>
    <border>
      <left/>
      <right style="hair">
        <color auto="1"/>
      </right>
      <top/>
      <bottom/>
      <diagonal/>
    </border>
    <border>
      <left style="hair">
        <color auto="1"/>
      </left>
      <right/>
      <top style="hair">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hair">
        <color auto="1"/>
      </left>
      <right style="hair">
        <color auto="1"/>
      </right>
      <top/>
      <bottom/>
      <diagonal/>
    </border>
    <border>
      <left style="hair">
        <color auto="1"/>
      </left>
      <right style="hair">
        <color auto="1"/>
      </right>
      <top/>
      <bottom style="thin">
        <color auto="1"/>
      </bottom>
      <diagonal/>
    </border>
    <border>
      <left/>
      <right/>
      <top style="medium">
        <color auto="1"/>
      </top>
      <bottom style="medium">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medium">
        <color indexed="64"/>
      </top>
      <bottom/>
      <diagonal/>
    </border>
    <border>
      <left style="medium">
        <color rgb="FFFFFFFF"/>
      </left>
      <right style="medium">
        <color rgb="FFFFFFFF"/>
      </right>
      <top style="medium">
        <color indexed="64"/>
      </top>
      <bottom style="medium">
        <color indexed="64"/>
      </bottom>
      <diagonal/>
    </border>
    <border>
      <left/>
      <right style="medium">
        <color rgb="FFFFFFFF"/>
      </right>
      <top style="medium">
        <color indexed="64"/>
      </top>
      <bottom style="medium">
        <color indexed="64"/>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style="medium">
        <color indexed="64"/>
      </bottom>
      <diagonal/>
    </border>
    <border>
      <left/>
      <right style="medium">
        <color rgb="FFFFFFFF"/>
      </right>
      <top/>
      <bottom style="medium">
        <color indexed="64"/>
      </bottom>
      <diagonal/>
    </border>
  </borders>
  <cellStyleXfs count="69">
    <xf numFmtId="0" fontId="0" fillId="0" borderId="0"/>
    <xf numFmtId="0" fontId="68" fillId="0" borderId="0"/>
    <xf numFmtId="190" fontId="129" fillId="0" borderId="0" applyFont="0" applyFill="0" applyBorder="0" applyAlignment="0" applyProtection="0"/>
    <xf numFmtId="0" fontId="73" fillId="0" borderId="0"/>
    <xf numFmtId="0" fontId="74" fillId="0" borderId="0" applyNumberFormat="0" applyFill="0" applyBorder="0" applyAlignment="0" applyProtection="0">
      <alignment vertical="top"/>
      <protection locked="0"/>
    </xf>
    <xf numFmtId="182" fontId="129" fillId="0" borderId="0" applyFont="0" applyFill="0" applyBorder="0" applyAlignment="0" applyProtection="0"/>
    <xf numFmtId="0" fontId="75" fillId="0" borderId="0" applyNumberFormat="0" applyFill="0" applyBorder="0" applyAlignment="0" applyProtection="0">
      <alignment vertical="top"/>
      <protection locked="0"/>
    </xf>
    <xf numFmtId="9" fontId="129" fillId="0" borderId="0" applyFont="0" applyFill="0" applyBorder="0" applyAlignment="0" applyProtection="0">
      <alignment vertical="center"/>
    </xf>
    <xf numFmtId="179" fontId="71" fillId="0" borderId="0" applyFont="0" applyFill="0" applyBorder="0" applyAlignment="0" applyProtection="0"/>
    <xf numFmtId="0" fontId="76" fillId="0" borderId="0">
      <alignment horizontal="left"/>
    </xf>
    <xf numFmtId="196" fontId="78" fillId="0" borderId="0" applyFill="0" applyBorder="0" applyAlignment="0"/>
    <xf numFmtId="41" fontId="71" fillId="0" borderId="0" applyFont="0" applyFill="0" applyBorder="0" applyAlignment="0" applyProtection="0"/>
    <xf numFmtId="195" fontId="71" fillId="0" borderId="0" applyFont="0" applyFill="0" applyBorder="0" applyAlignment="0" applyProtection="0"/>
    <xf numFmtId="178" fontId="71" fillId="0" borderId="0" applyFont="0" applyFill="0" applyBorder="0" applyAlignment="0" applyProtection="0"/>
    <xf numFmtId="41" fontId="73" fillId="0" borderId="0" applyFont="0" applyFill="0" applyBorder="0" applyAlignment="0" applyProtection="0"/>
    <xf numFmtId="0" fontId="68" fillId="0" borderId="0"/>
    <xf numFmtId="3" fontId="80" fillId="0" borderId="0"/>
    <xf numFmtId="186" fontId="83" fillId="0" borderId="19" applyAlignment="0" applyProtection="0"/>
    <xf numFmtId="191" fontId="71" fillId="0" borderId="0" applyFont="0" applyFill="0" applyBorder="0" applyAlignment="0" applyProtection="0"/>
    <xf numFmtId="41" fontId="71" fillId="0" borderId="0" applyFont="0" applyFill="0" applyBorder="0" applyAlignment="0" applyProtection="0"/>
    <xf numFmtId="43" fontId="71" fillId="0" borderId="0" applyFont="0" applyFill="0" applyBorder="0" applyAlignment="0" applyProtection="0"/>
    <xf numFmtId="38" fontId="85" fillId="12" borderId="0" applyNumberFormat="0" applyBorder="0" applyAlignment="0" applyProtection="0"/>
    <xf numFmtId="0" fontId="88" fillId="0" borderId="29" applyNumberFormat="0" applyAlignment="0" applyProtection="0">
      <alignment horizontal="left" vertical="center"/>
    </xf>
    <xf numFmtId="0" fontId="88" fillId="0" borderId="30">
      <alignment horizontal="left" vertical="center"/>
    </xf>
    <xf numFmtId="0" fontId="91" fillId="0" borderId="0" applyNumberFormat="0" applyFill="0" applyBorder="0" applyAlignment="0" applyProtection="0">
      <alignment vertical="top"/>
      <protection locked="0"/>
    </xf>
    <xf numFmtId="0" fontId="129" fillId="0" borderId="0"/>
    <xf numFmtId="0" fontId="92" fillId="0" borderId="0"/>
    <xf numFmtId="10" fontId="85" fillId="13" borderId="31" applyNumberFormat="0" applyBorder="0" applyAlignment="0" applyProtection="0"/>
    <xf numFmtId="189" fontId="73" fillId="0" borderId="0" applyFont="0" applyFill="0" applyBorder="0" applyAlignment="0" applyProtection="0"/>
    <xf numFmtId="185" fontId="73" fillId="0" borderId="0" applyFont="0" applyFill="0" applyBorder="0" applyAlignment="0" applyProtection="0"/>
    <xf numFmtId="0" fontId="93" fillId="0" borderId="0"/>
    <xf numFmtId="181" fontId="73" fillId="0" borderId="0"/>
    <xf numFmtId="0" fontId="71" fillId="0" borderId="0"/>
    <xf numFmtId="10" fontId="71" fillId="0" borderId="0" applyFont="0" applyFill="0" applyBorder="0" applyAlignment="0" applyProtection="0"/>
    <xf numFmtId="0" fontId="71" fillId="0" borderId="0"/>
    <xf numFmtId="4" fontId="76" fillId="0" borderId="0">
      <alignment horizontal="right"/>
    </xf>
    <xf numFmtId="3" fontId="87" fillId="0" borderId="0"/>
    <xf numFmtId="4" fontId="82" fillId="0" borderId="0">
      <alignment horizontal="right"/>
    </xf>
    <xf numFmtId="177" fontId="71" fillId="0" borderId="0" applyFont="0" applyFill="0" applyBorder="0" applyAlignment="0" applyProtection="0"/>
    <xf numFmtId="0" fontId="72" fillId="0" borderId="0">
      <alignment horizontal="left"/>
    </xf>
    <xf numFmtId="0" fontId="70" fillId="0" borderId="0">
      <alignment horizontal="center"/>
    </xf>
    <xf numFmtId="0" fontId="73" fillId="0" borderId="0">
      <protection locked="0"/>
    </xf>
    <xf numFmtId="9" fontId="84" fillId="0" borderId="0" applyFont="0" applyFill="0" applyBorder="0" applyAlignment="0" applyProtection="0"/>
    <xf numFmtId="4" fontId="81" fillId="0" borderId="0">
      <alignment horizontal="right"/>
    </xf>
    <xf numFmtId="0" fontId="90" fillId="0" borderId="0"/>
    <xf numFmtId="0" fontId="73" fillId="0" borderId="0">
      <protection locked="0"/>
    </xf>
    <xf numFmtId="0" fontId="129" fillId="0" borderId="0"/>
    <xf numFmtId="0" fontId="73" fillId="0" borderId="0"/>
    <xf numFmtId="0" fontId="73" fillId="0" borderId="0"/>
    <xf numFmtId="0" fontId="79" fillId="0" borderId="0"/>
    <xf numFmtId="0" fontId="73" fillId="0" borderId="0" applyFill="0" applyBorder="0"/>
    <xf numFmtId="0" fontId="129" fillId="0" borderId="0"/>
    <xf numFmtId="188" fontId="73" fillId="0" borderId="0" applyFont="0" applyFill="0" applyBorder="0" applyAlignment="0" applyProtection="0"/>
    <xf numFmtId="4" fontId="86" fillId="0" borderId="0" applyFont="0" applyFill="0" applyBorder="0" applyAlignment="0" applyProtection="0"/>
    <xf numFmtId="187" fontId="73" fillId="0" borderId="0" applyFont="0" applyFill="0" applyBorder="0" applyAlignment="0" applyProtection="0"/>
    <xf numFmtId="194" fontId="73" fillId="0" borderId="0" applyFont="0" applyFill="0" applyBorder="0" applyAlignment="0" applyProtection="0"/>
    <xf numFmtId="184" fontId="73" fillId="0" borderId="0" applyFont="0" applyFill="0" applyBorder="0" applyAlignment="0" applyProtection="0"/>
    <xf numFmtId="0" fontId="89" fillId="0" borderId="0"/>
    <xf numFmtId="0" fontId="129" fillId="0" borderId="0"/>
    <xf numFmtId="41" fontId="89" fillId="0" borderId="0" applyFont="0" applyFill="0" applyBorder="0" applyAlignment="0" applyProtection="0"/>
    <xf numFmtId="43" fontId="89" fillId="0" borderId="0" applyFont="0" applyFill="0" applyBorder="0" applyAlignment="0" applyProtection="0"/>
    <xf numFmtId="43" fontId="73" fillId="0" borderId="0" applyFont="0" applyFill="0" applyBorder="0" applyAlignment="0" applyProtection="0"/>
    <xf numFmtId="180" fontId="86" fillId="0" borderId="0" applyFont="0" applyFill="0" applyBorder="0" applyAlignment="0" applyProtection="0"/>
    <xf numFmtId="0" fontId="129" fillId="0" borderId="0"/>
    <xf numFmtId="38" fontId="77" fillId="0" borderId="0" applyFont="0" applyFill="0" applyBorder="0" applyAlignment="0" applyProtection="0"/>
    <xf numFmtId="40" fontId="77" fillId="0" borderId="0" applyFont="0" applyFill="0" applyBorder="0" applyAlignment="0" applyProtection="0"/>
    <xf numFmtId="0" fontId="77" fillId="0" borderId="0" applyFont="0" applyFill="0" applyBorder="0" applyAlignment="0" applyProtection="0"/>
    <xf numFmtId="0" fontId="77" fillId="0" borderId="0" applyFont="0" applyFill="0" applyBorder="0" applyAlignment="0" applyProtection="0"/>
    <xf numFmtId="0" fontId="69" fillId="0" borderId="0"/>
  </cellStyleXfs>
  <cellXfs count="1395">
    <xf numFmtId="0" fontId="0" fillId="0" borderId="0" xfId="0"/>
    <xf numFmtId="0" fontId="1" fillId="0" borderId="0" xfId="0" applyFont="1"/>
    <xf numFmtId="0" fontId="2" fillId="2" borderId="0" xfId="44" applyFont="1" applyFill="1" applyBorder="1" applyAlignment="1" applyProtection="1">
      <alignment vertical="center"/>
    </xf>
    <xf numFmtId="0" fontId="2" fillId="2" borderId="0" xfId="44" applyFont="1" applyFill="1" applyBorder="1" applyAlignment="1" applyProtection="1">
      <alignment horizontal="right" vertical="center"/>
    </xf>
    <xf numFmtId="0" fontId="1" fillId="0" borderId="0" xfId="0" applyFont="1" applyFill="1" applyBorder="1" applyAlignment="1">
      <alignment wrapText="1"/>
    </xf>
    <xf numFmtId="0" fontId="1" fillId="0" borderId="0" xfId="0" applyFont="1" applyBorder="1"/>
    <xf numFmtId="0" fontId="2" fillId="0" borderId="0" xfId="0" applyFont="1"/>
    <xf numFmtId="0" fontId="3" fillId="0" borderId="0" xfId="0" applyFont="1" applyFill="1" applyBorder="1" applyAlignment="1">
      <alignment horizontal="center" vertical="center"/>
    </xf>
    <xf numFmtId="0" fontId="2" fillId="3" borderId="0" xfId="0" applyFont="1" applyFill="1" applyBorder="1" applyAlignment="1">
      <alignment horizontal="center" vertical="center"/>
    </xf>
    <xf numFmtId="0" fontId="3" fillId="0" borderId="0" xfId="0" applyFont="1" applyBorder="1" applyAlignment="1">
      <alignment horizontal="center" vertical="center"/>
    </xf>
    <xf numFmtId="0" fontId="4" fillId="0" borderId="0" xfId="0" applyFont="1" applyFill="1" applyBorder="1" applyAlignment="1">
      <alignment horizontal="center" vertical="center"/>
    </xf>
    <xf numFmtId="0" fontId="2" fillId="0" borderId="0" xfId="0" applyFont="1" applyBorder="1" applyAlignment="1">
      <alignment horizontal="center" vertical="center"/>
    </xf>
    <xf numFmtId="0" fontId="5" fillId="3" borderId="0" xfId="44" applyFont="1" applyFill="1" applyBorder="1" applyAlignment="1" applyProtection="1">
      <alignment horizontal="center" vertical="center"/>
    </xf>
    <xf numFmtId="0" fontId="5" fillId="4" borderId="0" xfId="44" applyFont="1" applyFill="1" applyBorder="1" applyAlignment="1" applyProtection="1">
      <alignment horizontal="center" vertical="center"/>
    </xf>
    <xf numFmtId="0" fontId="6" fillId="0" borderId="0" xfId="6" applyFont="1" applyBorder="1" applyAlignment="1" applyProtection="1">
      <alignment horizontal="center" vertical="center"/>
    </xf>
    <xf numFmtId="0" fontId="7" fillId="0" borderId="0" xfId="0" applyFont="1" applyFill="1" applyBorder="1" applyAlignment="1">
      <alignment horizontal="center" vertical="center"/>
    </xf>
    <xf numFmtId="0" fontId="7"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182" fontId="3" fillId="0" borderId="1" xfId="5" applyFont="1" applyBorder="1" applyAlignment="1">
      <alignment horizontal="center" vertical="center" wrapText="1"/>
    </xf>
    <xf numFmtId="0" fontId="8" fillId="0" borderId="1" xfId="0" applyFont="1" applyBorder="1" applyAlignment="1">
      <alignment horizontal="left" vertical="center" wrapText="1"/>
    </xf>
    <xf numFmtId="182" fontId="3" fillId="4" borderId="1" xfId="5" applyFont="1" applyFill="1" applyBorder="1" applyAlignment="1">
      <alignment horizontal="center" vertical="center" wrapText="1"/>
    </xf>
    <xf numFmtId="0" fontId="8" fillId="0" borderId="0" xfId="0" applyFont="1" applyBorder="1" applyAlignment="1">
      <alignment horizontal="left" vertical="center"/>
    </xf>
    <xf numFmtId="0" fontId="5" fillId="0" borderId="0" xfId="0" applyFont="1" applyBorder="1" applyAlignment="1">
      <alignment horizontal="center" vertical="center"/>
    </xf>
    <xf numFmtId="0" fontId="7" fillId="3" borderId="0" xfId="0" applyFont="1" applyFill="1" applyBorder="1" applyAlignment="1">
      <alignment horizontal="center" vertical="center"/>
    </xf>
    <xf numFmtId="0" fontId="1" fillId="0" borderId="0" xfId="0" applyFont="1" applyBorder="1" applyAlignment="1">
      <alignment horizontal="center" vertical="center"/>
    </xf>
    <xf numFmtId="0" fontId="9" fillId="0" borderId="0" xfId="6" applyFont="1" applyBorder="1" applyAlignment="1" applyProtection="1">
      <alignment horizontal="center" vertical="center"/>
    </xf>
    <xf numFmtId="0" fontId="7" fillId="3"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0" xfId="0" applyFont="1" applyBorder="1" applyAlignment="1">
      <alignment horizontal="left" vertical="center"/>
    </xf>
    <xf numFmtId="0" fontId="10" fillId="0" borderId="0" xfId="0" applyFont="1" applyFill="1" applyBorder="1" applyAlignment="1">
      <alignment horizontal="center" vertical="center" wrapText="1"/>
    </xf>
    <xf numFmtId="0" fontId="11" fillId="3" borderId="1" xfId="0" applyFont="1" applyFill="1" applyBorder="1" applyAlignment="1">
      <alignment horizontal="center" vertical="center" wrapText="1"/>
    </xf>
    <xf numFmtId="31" fontId="11" fillId="3"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Border="1" applyAlignment="1">
      <alignment horizontal="center" vertical="center" wrapText="1"/>
    </xf>
    <xf numFmtId="0" fontId="3" fillId="0" borderId="0" xfId="0" applyFont="1" applyFill="1" applyBorder="1" applyAlignment="1">
      <alignment vertical="center"/>
    </xf>
    <xf numFmtId="0" fontId="3" fillId="0" borderId="0" xfId="0" applyFont="1" applyFill="1" applyBorder="1" applyAlignment="1">
      <alignment vertical="center" wrapText="1"/>
    </xf>
    <xf numFmtId="0" fontId="4" fillId="0" borderId="1" xfId="0" applyFont="1" applyBorder="1" applyAlignment="1">
      <alignment horizontal="center" vertical="center" wrapText="1"/>
    </xf>
    <xf numFmtId="0" fontId="3" fillId="0" borderId="0"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3" fillId="0" borderId="1" xfId="0" applyFont="1" applyBorder="1" applyAlignment="1">
      <alignment vertical="center"/>
    </xf>
    <xf numFmtId="43" fontId="1" fillId="0" borderId="1" xfId="0" applyNumberFormat="1" applyFont="1" applyBorder="1" applyAlignment="1">
      <alignment horizontal="right"/>
    </xf>
    <xf numFmtId="0" fontId="16" fillId="0" borderId="0" xfId="0" applyFont="1" applyAlignment="1">
      <alignment horizontal="justify" wrapText="1"/>
    </xf>
    <xf numFmtId="0" fontId="16" fillId="0" borderId="0" xfId="0" applyFont="1" applyAlignment="1">
      <alignment horizontal="justify" vertical="top" wrapText="1"/>
    </xf>
    <xf numFmtId="43" fontId="3" fillId="0" borderId="0" xfId="0" applyNumberFormat="1" applyFont="1" applyAlignment="1">
      <alignment horizontal="justify" vertical="top"/>
    </xf>
    <xf numFmtId="0" fontId="15" fillId="0" borderId="0" xfId="0" applyFont="1" applyAlignment="1">
      <alignment horizontal="justify" wrapText="1"/>
    </xf>
    <xf numFmtId="0" fontId="15" fillId="0" borderId="0" xfId="0" applyFont="1" applyAlignment="1">
      <alignment horizontal="justify" vertical="top" wrapText="1"/>
    </xf>
    <xf numFmtId="0" fontId="15" fillId="0" borderId="3" xfId="0" applyFont="1" applyBorder="1" applyAlignment="1">
      <alignment horizontal="justify" wrapText="1"/>
    </xf>
    <xf numFmtId="0" fontId="15" fillId="0" borderId="3" xfId="0" applyFont="1" applyBorder="1" applyAlignment="1">
      <alignment horizontal="justify" vertical="top" wrapText="1"/>
    </xf>
    <xf numFmtId="43" fontId="3" fillId="0" borderId="3" xfId="0" applyNumberFormat="1" applyFont="1" applyBorder="1" applyAlignment="1">
      <alignment horizontal="justify" vertical="top"/>
    </xf>
    <xf numFmtId="0" fontId="17" fillId="0" borderId="3" xfId="0" applyFont="1" applyBorder="1" applyAlignment="1">
      <alignment horizontal="center" wrapText="1"/>
    </xf>
    <xf numFmtId="43" fontId="7" fillId="0" borderId="3" xfId="0" applyNumberFormat="1" applyFont="1" applyBorder="1" applyAlignment="1">
      <alignment horizontal="center"/>
    </xf>
    <xf numFmtId="0" fontId="19"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1" fillId="0" borderId="1" xfId="0" applyFont="1" applyBorder="1" applyAlignment="1">
      <alignment horizontal="center" vertical="center"/>
    </xf>
    <xf numFmtId="0" fontId="5" fillId="3" borderId="1" xfId="44" applyFont="1" applyFill="1" applyBorder="1" applyAlignment="1" applyProtection="1">
      <alignment horizontal="center" vertical="center"/>
    </xf>
    <xf numFmtId="0" fontId="5" fillId="4" borderId="1" xfId="44" applyFont="1" applyFill="1" applyBorder="1" applyAlignment="1" applyProtection="1">
      <alignment horizontal="center" vertical="center"/>
    </xf>
    <xf numFmtId="0" fontId="5" fillId="0" borderId="4" xfId="0" applyFont="1" applyBorder="1" applyAlignment="1">
      <alignment horizontal="center" vertical="center"/>
    </xf>
    <xf numFmtId="0" fontId="20" fillId="0" borderId="5" xfId="6" applyFont="1" applyBorder="1" applyAlignment="1" applyProtection="1">
      <alignment horizontal="center" vertical="center"/>
    </xf>
    <xf numFmtId="0" fontId="1"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9" fillId="3" borderId="1" xfId="0" applyFont="1" applyFill="1" applyBorder="1" applyAlignment="1">
      <alignment horizontal="center" vertical="center"/>
    </xf>
    <xf numFmtId="0" fontId="13" fillId="0" borderId="1" xfId="0" applyFont="1" applyBorder="1" applyAlignment="1">
      <alignment horizontal="center" vertical="center"/>
    </xf>
    <xf numFmtId="0" fontId="5" fillId="4"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3" borderId="0" xfId="0" applyFont="1" applyFill="1" applyBorder="1" applyAlignment="1">
      <alignment horizontal="center" vertical="center"/>
    </xf>
    <xf numFmtId="0" fontId="5" fillId="3" borderId="0" xfId="0" applyFont="1" applyFill="1" applyBorder="1" applyAlignment="1">
      <alignment horizontal="center" vertical="center" wrapText="1"/>
    </xf>
    <xf numFmtId="0" fontId="7" fillId="0" borderId="0" xfId="0" applyFont="1" applyFill="1" applyBorder="1" applyAlignment="1">
      <alignment horizontal="left" vertical="center"/>
    </xf>
    <xf numFmtId="182" fontId="3" fillId="4" borderId="0" xfId="5" applyFont="1" applyFill="1" applyBorder="1" applyAlignment="1">
      <alignment horizontal="center" vertical="center"/>
    </xf>
    <xf numFmtId="0" fontId="4" fillId="0" borderId="0" xfId="0" applyFont="1" applyBorder="1" applyAlignment="1">
      <alignment horizontal="left" vertical="center"/>
    </xf>
    <xf numFmtId="0" fontId="7" fillId="3" borderId="0" xfId="0" applyFont="1" applyFill="1" applyBorder="1" applyAlignment="1">
      <alignment horizontal="center" vertical="center" wrapText="1"/>
    </xf>
    <xf numFmtId="43" fontId="3" fillId="0" borderId="0" xfId="46" applyNumberFormat="1" applyFont="1" applyFill="1" applyBorder="1" applyAlignment="1">
      <alignment horizontal="center" vertical="center"/>
    </xf>
    <xf numFmtId="43" fontId="2" fillId="0" borderId="0" xfId="46" applyNumberFormat="1" applyFont="1" applyFill="1" applyBorder="1" applyAlignment="1">
      <alignment horizontal="center" vertical="center"/>
    </xf>
    <xf numFmtId="0" fontId="5" fillId="3" borderId="0" xfId="0" applyFont="1" applyFill="1" applyBorder="1" applyAlignment="1">
      <alignment horizontal="center" vertical="center"/>
    </xf>
    <xf numFmtId="43" fontId="7" fillId="3" borderId="1" xfId="46" applyNumberFormat="1" applyFont="1" applyFill="1" applyBorder="1" applyAlignment="1">
      <alignment horizontal="center" vertical="center"/>
    </xf>
    <xf numFmtId="43" fontId="7" fillId="3" borderId="1" xfId="51" applyNumberFormat="1" applyFont="1" applyFill="1" applyBorder="1" applyAlignment="1">
      <alignment horizontal="center" vertical="center"/>
    </xf>
    <xf numFmtId="43" fontId="3" fillId="0" borderId="1" xfId="58" applyNumberFormat="1" applyFont="1" applyFill="1" applyBorder="1" applyAlignment="1">
      <alignment horizontal="left" vertical="center" wrapText="1"/>
    </xf>
    <xf numFmtId="43" fontId="3" fillId="0" borderId="1" xfId="46" applyNumberFormat="1" applyFont="1" applyFill="1" applyBorder="1" applyAlignment="1">
      <alignment horizontal="center" vertical="center"/>
    </xf>
    <xf numFmtId="43" fontId="3" fillId="4" borderId="1" xfId="46" applyNumberFormat="1" applyFont="1" applyFill="1" applyBorder="1" applyAlignment="1">
      <alignment horizontal="center" vertical="center"/>
    </xf>
    <xf numFmtId="43" fontId="3" fillId="0" borderId="1" xfId="51" applyNumberFormat="1" applyFont="1" applyFill="1" applyBorder="1" applyAlignment="1">
      <alignment horizontal="left" vertical="center" wrapText="1"/>
    </xf>
    <xf numFmtId="43" fontId="3" fillId="0" borderId="0" xfId="51" applyNumberFormat="1" applyFont="1" applyFill="1" applyBorder="1" applyAlignment="1">
      <alignment horizontal="left" vertical="center"/>
    </xf>
    <xf numFmtId="43" fontId="3" fillId="0" borderId="0" xfId="46" applyNumberFormat="1" applyFont="1" applyFill="1" applyBorder="1" applyAlignment="1">
      <alignment horizontal="left" vertical="center"/>
    </xf>
    <xf numFmtId="43" fontId="7" fillId="3" borderId="1" xfId="58" applyNumberFormat="1" applyFont="1" applyFill="1" applyBorder="1" applyAlignment="1">
      <alignment horizontal="center" vertical="center" wrapText="1"/>
    </xf>
    <xf numFmtId="43" fontId="3" fillId="4" borderId="1" xfId="58" applyNumberFormat="1" applyFont="1" applyFill="1" applyBorder="1" applyAlignment="1">
      <alignment horizontal="center" vertical="center" wrapText="1"/>
    </xf>
    <xf numFmtId="43" fontId="3" fillId="0" borderId="1" xfId="58" applyNumberFormat="1" applyFont="1" applyFill="1" applyBorder="1" applyAlignment="1">
      <alignment horizontal="center" vertical="center" wrapText="1"/>
    </xf>
    <xf numFmtId="0" fontId="3" fillId="0" borderId="0" xfId="0" applyFont="1" applyBorder="1" applyAlignment="1">
      <alignment horizontal="left"/>
    </xf>
    <xf numFmtId="0" fontId="22" fillId="3" borderId="1" xfId="0" applyFont="1" applyFill="1" applyBorder="1" applyAlignment="1">
      <alignment horizontal="center" wrapText="1"/>
    </xf>
    <xf numFmtId="0" fontId="7" fillId="3" borderId="1" xfId="0" applyFont="1" applyFill="1" applyBorder="1" applyAlignment="1">
      <alignment horizontal="center" wrapText="1"/>
    </xf>
    <xf numFmtId="0" fontId="23" fillId="0" borderId="1" xfId="0" applyFont="1" applyBorder="1" applyAlignment="1">
      <alignment horizontal="left" wrapText="1"/>
    </xf>
    <xf numFmtId="182" fontId="3" fillId="4" borderId="1" xfId="5" applyFont="1" applyFill="1" applyBorder="1" applyAlignment="1">
      <alignment horizontal="center" wrapText="1"/>
    </xf>
    <xf numFmtId="182" fontId="3" fillId="0" borderId="1" xfId="5" applyFont="1" applyBorder="1" applyAlignment="1">
      <alignment horizontal="center" wrapText="1"/>
    </xf>
    <xf numFmtId="182" fontId="23" fillId="0" borderId="1" xfId="5" applyFont="1" applyBorder="1" applyAlignment="1">
      <alignment horizontal="center" wrapText="1"/>
    </xf>
    <xf numFmtId="0" fontId="3" fillId="0" borderId="1" xfId="0" applyFont="1" applyBorder="1" applyAlignment="1">
      <alignment horizontal="left" wrapText="1"/>
    </xf>
    <xf numFmtId="0" fontId="3" fillId="0" borderId="1" xfId="0" applyFont="1" applyBorder="1" applyAlignment="1">
      <alignment horizontal="center" wrapText="1"/>
    </xf>
    <xf numFmtId="0" fontId="1" fillId="0" borderId="1" xfId="0" applyFont="1" applyFill="1" applyBorder="1" applyAlignment="1">
      <alignment horizontal="center" vertical="center"/>
    </xf>
    <xf numFmtId="0" fontId="20" fillId="0" borderId="1" xfId="6" applyFont="1" applyBorder="1" applyAlignment="1" applyProtection="1">
      <alignment horizontal="center" vertical="center"/>
    </xf>
    <xf numFmtId="0" fontId="5" fillId="3" borderId="1" xfId="0" applyFont="1" applyFill="1" applyBorder="1" applyAlignment="1">
      <alignment horizontal="center" vertical="center"/>
    </xf>
    <xf numFmtId="43" fontId="5" fillId="3" borderId="1" xfId="0" applyNumberFormat="1" applyFont="1" applyFill="1" applyBorder="1" applyAlignment="1">
      <alignment horizontal="center" vertical="center"/>
    </xf>
    <xf numFmtId="0" fontId="24"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182" fontId="3" fillId="4" borderId="1" xfId="5" applyFont="1" applyFill="1" applyBorder="1" applyAlignment="1">
      <alignment horizontal="center" vertical="center"/>
    </xf>
    <xf numFmtId="0" fontId="3" fillId="0" borderId="1" xfId="0" applyFont="1" applyFill="1" applyBorder="1" applyAlignment="1">
      <alignment horizontal="center" vertical="center"/>
    </xf>
    <xf numFmtId="0" fontId="10" fillId="0" borderId="1" xfId="0" applyFont="1" applyBorder="1" applyAlignment="1">
      <alignment horizontal="center" vertical="center"/>
    </xf>
    <xf numFmtId="0" fontId="2" fillId="0"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1" xfId="6" applyFont="1" applyBorder="1" applyAlignment="1" applyProtection="1">
      <alignment horizontal="center" vertical="center"/>
    </xf>
    <xf numFmtId="0" fontId="5" fillId="0" borderId="1" xfId="0" applyFont="1" applyFill="1" applyBorder="1" applyAlignment="1">
      <alignment horizontal="center" vertical="center"/>
    </xf>
    <xf numFmtId="43" fontId="5" fillId="0" borderId="1" xfId="0" applyNumberFormat="1" applyFont="1" applyFill="1" applyBorder="1" applyAlignment="1">
      <alignment horizontal="center" vertical="center"/>
    </xf>
    <xf numFmtId="0" fontId="25" fillId="0" borderId="1" xfId="0" applyFont="1" applyFill="1" applyBorder="1" applyAlignment="1">
      <alignment horizontal="center" vertical="center" wrapText="1"/>
    </xf>
    <xf numFmtId="0" fontId="20" fillId="0" borderId="1" xfId="6" applyFont="1" applyFill="1" applyBorder="1" applyAlignment="1" applyProtection="1">
      <alignment horizontal="center" vertical="center"/>
    </xf>
    <xf numFmtId="10" fontId="3" fillId="0" borderId="1" xfId="0" applyNumberFormat="1" applyFont="1" applyBorder="1" applyAlignment="1">
      <alignment horizontal="center" vertical="center"/>
    </xf>
    <xf numFmtId="0" fontId="1" fillId="0" borderId="1" xfId="0" applyFont="1" applyFill="1" applyBorder="1" applyAlignment="1">
      <alignment horizontal="center" vertical="center" wrapText="1"/>
    </xf>
    <xf numFmtId="0" fontId="6" fillId="0" borderId="1" xfId="6" applyFont="1" applyFill="1" applyBorder="1" applyAlignment="1" applyProtection="1">
      <alignment horizontal="center" vertical="center"/>
    </xf>
    <xf numFmtId="182" fontId="3" fillId="0" borderId="1" xfId="5" applyFont="1" applyBorder="1" applyAlignment="1">
      <alignment horizontal="center" vertical="center"/>
    </xf>
    <xf numFmtId="0" fontId="8"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3" fillId="3" borderId="0" xfId="0" applyFont="1" applyFill="1" applyBorder="1" applyAlignment="1">
      <alignment horizontal="center" vertical="center" wrapText="1"/>
    </xf>
    <xf numFmtId="0" fontId="8" fillId="0" borderId="1" xfId="0" applyFont="1" applyFill="1" applyBorder="1" applyAlignment="1">
      <alignment horizontal="center" vertical="center" wrapText="1"/>
    </xf>
    <xf numFmtId="182" fontId="8" fillId="4" borderId="1" xfId="5" applyFont="1" applyFill="1" applyBorder="1" applyAlignment="1">
      <alignment horizontal="center" vertical="center" wrapText="1"/>
    </xf>
    <xf numFmtId="10" fontId="3" fillId="0" borderId="0" xfId="0" applyNumberFormat="1" applyFont="1" applyFill="1" applyBorder="1" applyAlignment="1">
      <alignment horizontal="center" vertical="center"/>
    </xf>
    <xf numFmtId="182" fontId="8" fillId="4" borderId="0" xfId="5" applyFont="1" applyFill="1" applyBorder="1" applyAlignment="1">
      <alignment horizontal="center" vertical="center" wrapText="1"/>
    </xf>
    <xf numFmtId="0" fontId="13" fillId="0" borderId="1" xfId="0" applyFont="1" applyBorder="1" applyAlignment="1">
      <alignment vertical="center" wrapText="1"/>
    </xf>
    <xf numFmtId="0" fontId="3" fillId="0" borderId="1" xfId="0" applyFont="1" applyBorder="1" applyAlignment="1">
      <alignment vertical="center" wrapText="1"/>
    </xf>
    <xf numFmtId="0" fontId="2" fillId="0" borderId="0" xfId="0" applyFont="1" applyBorder="1" applyAlignment="1">
      <alignment horizontal="center" vertical="center" wrapText="1"/>
    </xf>
    <xf numFmtId="0" fontId="2" fillId="0" borderId="0" xfId="0" applyFont="1" applyFill="1" applyBorder="1" applyAlignment="1">
      <alignment horizontal="center" vertical="center" wrapText="1"/>
    </xf>
    <xf numFmtId="0" fontId="3" fillId="5" borderId="0" xfId="0" applyFont="1" applyFill="1" applyBorder="1" applyAlignment="1">
      <alignment horizontal="center" vertical="center"/>
    </xf>
    <xf numFmtId="0" fontId="7" fillId="0" borderId="0" xfId="0" applyFont="1" applyBorder="1" applyAlignment="1">
      <alignment horizontal="center" vertical="center"/>
    </xf>
    <xf numFmtId="0" fontId="5" fillId="0" borderId="0" xfId="0" applyFont="1" applyFill="1" applyBorder="1" applyAlignment="1">
      <alignment horizontal="center" vertical="center"/>
    </xf>
    <xf numFmtId="0" fontId="13" fillId="0" borderId="1" xfId="0" applyFont="1" applyBorder="1" applyAlignment="1">
      <alignment horizontal="left" vertical="center" wrapText="1"/>
    </xf>
    <xf numFmtId="182" fontId="8" fillId="0" borderId="1" xfId="5" applyFont="1" applyFill="1" applyBorder="1" applyAlignment="1">
      <alignment horizontal="center" vertical="center" wrapText="1"/>
    </xf>
    <xf numFmtId="182" fontId="8" fillId="0" borderId="0" xfId="5" applyFont="1" applyFill="1" applyBorder="1" applyAlignment="1">
      <alignment horizontal="center" vertical="center" wrapText="1"/>
    </xf>
    <xf numFmtId="0" fontId="2" fillId="0" borderId="0" xfId="0" applyFont="1" applyBorder="1" applyAlignment="1">
      <alignment horizontal="left" vertical="center"/>
    </xf>
    <xf numFmtId="0" fontId="27" fillId="3" borderId="0" xfId="0" applyFont="1" applyFill="1" applyBorder="1" applyAlignment="1">
      <alignment horizontal="center" vertical="center"/>
    </xf>
    <xf numFmtId="0" fontId="15" fillId="0" borderId="1" xfId="0" applyFont="1" applyBorder="1" applyAlignment="1">
      <alignment horizontal="left" vertical="center" wrapText="1"/>
    </xf>
    <xf numFmtId="0" fontId="26" fillId="0" borderId="0" xfId="0" applyFont="1" applyBorder="1" applyAlignment="1" applyProtection="1">
      <alignment vertical="center" wrapText="1"/>
      <protection locked="0"/>
    </xf>
    <xf numFmtId="0" fontId="29" fillId="0" borderId="1" xfId="0" applyFont="1" applyBorder="1" applyAlignment="1">
      <alignment horizontal="center" vertical="center"/>
    </xf>
    <xf numFmtId="0" fontId="29" fillId="0" borderId="1" xfId="0" applyFont="1" applyFill="1" applyBorder="1" applyAlignment="1">
      <alignment horizontal="center" vertical="center"/>
    </xf>
    <xf numFmtId="0" fontId="30" fillId="0" borderId="1" xfId="6" applyFont="1" applyBorder="1" applyAlignment="1" applyProtection="1">
      <alignment horizontal="center" vertical="center"/>
    </xf>
    <xf numFmtId="182" fontId="23" fillId="0" borderId="1" xfId="5" applyFont="1" applyBorder="1" applyAlignment="1">
      <alignment horizontal="center" vertical="center" wrapText="1"/>
    </xf>
    <xf numFmtId="0" fontId="8" fillId="0" borderId="10" xfId="0" applyFont="1" applyFill="1" applyBorder="1" applyAlignment="1">
      <alignment horizontal="center" vertical="center" wrapText="1"/>
    </xf>
    <xf numFmtId="0" fontId="3" fillId="0" borderId="11" xfId="0" applyFont="1" applyBorder="1" applyAlignment="1">
      <alignment horizontal="center" vertical="center"/>
    </xf>
    <xf numFmtId="0" fontId="7" fillId="0" borderId="1" xfId="0" applyFont="1" applyFill="1" applyBorder="1" applyAlignment="1">
      <alignment horizontal="center" vertical="center"/>
    </xf>
    <xf numFmtId="0" fontId="8" fillId="0" borderId="2" xfId="0" applyFont="1" applyFill="1" applyBorder="1" applyAlignment="1">
      <alignment horizontal="center" vertical="center" wrapText="1"/>
    </xf>
    <xf numFmtId="182" fontId="8" fillId="4" borderId="2" xfId="5" applyFont="1" applyFill="1" applyBorder="1" applyAlignment="1">
      <alignment horizontal="center" vertical="center" wrapText="1"/>
    </xf>
    <xf numFmtId="0" fontId="8" fillId="0" borderId="12" xfId="0" applyFont="1" applyFill="1" applyBorder="1" applyAlignment="1">
      <alignment horizontal="center" vertical="center" wrapText="1"/>
    </xf>
    <xf numFmtId="0" fontId="3" fillId="0" borderId="7" xfId="0" applyFont="1" applyBorder="1" applyAlignment="1">
      <alignment horizontal="left" vertical="center"/>
    </xf>
    <xf numFmtId="0" fontId="3" fillId="0" borderId="7" xfId="0" applyFont="1" applyBorder="1" applyAlignment="1">
      <alignment horizontal="center" vertical="center"/>
    </xf>
    <xf numFmtId="0" fontId="3" fillId="0" borderId="13" xfId="0" applyFont="1" applyFill="1" applyBorder="1" applyAlignment="1">
      <alignment horizontal="center" vertical="center"/>
    </xf>
    <xf numFmtId="0" fontId="3" fillId="0" borderId="11" xfId="0" applyFont="1" applyFill="1" applyBorder="1" applyAlignment="1">
      <alignment horizontal="center" vertical="center"/>
    </xf>
    <xf numFmtId="0" fontId="2" fillId="0" borderId="1" xfId="0" applyFont="1" applyBorder="1" applyAlignment="1">
      <alignment horizontal="center" vertical="center" wrapText="1"/>
    </xf>
    <xf numFmtId="182" fontId="22" fillId="3" borderId="1" xfId="5" applyFont="1" applyFill="1" applyBorder="1" applyAlignment="1">
      <alignment horizontal="center" wrapText="1"/>
    </xf>
    <xf numFmtId="0" fontId="8" fillId="0" borderId="1" xfId="0" applyFont="1" applyFill="1" applyBorder="1" applyAlignment="1">
      <alignment horizontal="left" vertical="center" wrapText="1"/>
    </xf>
    <xf numFmtId="0" fontId="10" fillId="0" borderId="1" xfId="0" applyFont="1" applyFill="1" applyBorder="1" applyAlignment="1">
      <alignment horizontal="center" vertical="center"/>
    </xf>
    <xf numFmtId="0" fontId="25" fillId="0" borderId="1" xfId="0" applyFont="1" applyBorder="1" applyAlignment="1">
      <alignment horizontal="center" vertical="center"/>
    </xf>
    <xf numFmtId="0" fontId="5" fillId="3" borderId="7" xfId="0" applyFont="1" applyFill="1" applyBorder="1" applyAlignment="1">
      <alignment horizontal="center" vertical="center"/>
    </xf>
    <xf numFmtId="0" fontId="27" fillId="3" borderId="7"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5" xfId="0" applyFont="1" applyFill="1" applyBorder="1" applyAlignment="1">
      <alignment horizontal="center" vertical="center"/>
    </xf>
    <xf numFmtId="0" fontId="6" fillId="6" borderId="1" xfId="6" applyFont="1" applyFill="1" applyBorder="1" applyAlignment="1" applyProtection="1">
      <alignment horizontal="center" vertical="center"/>
    </xf>
    <xf numFmtId="0" fontId="31" fillId="6" borderId="5" xfId="0" applyFont="1" applyFill="1" applyBorder="1" applyAlignment="1">
      <alignment horizontal="center" vertical="center" wrapText="1"/>
    </xf>
    <xf numFmtId="10" fontId="3" fillId="0" borderId="1" xfId="0" applyNumberFormat="1" applyFont="1" applyFill="1" applyBorder="1" applyAlignment="1">
      <alignment horizontal="center" vertical="center"/>
    </xf>
    <xf numFmtId="0" fontId="3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5" fillId="3" borderId="7" xfId="44" applyFont="1" applyFill="1" applyBorder="1" applyAlignment="1" applyProtection="1">
      <alignment horizontal="center" vertical="center"/>
    </xf>
    <xf numFmtId="0" fontId="5" fillId="4" borderId="7" xfId="44" applyFont="1" applyFill="1" applyBorder="1" applyAlignment="1" applyProtection="1">
      <alignment horizontal="center" vertical="center"/>
    </xf>
    <xf numFmtId="0" fontId="2" fillId="0" borderId="5" xfId="0" applyFont="1" applyBorder="1" applyAlignment="1">
      <alignment horizontal="center" vertical="center"/>
    </xf>
    <xf numFmtId="0" fontId="5" fillId="3" borderId="9" xfId="44" applyFont="1" applyFill="1" applyBorder="1" applyAlignment="1" applyProtection="1">
      <alignment horizontal="center" vertical="center"/>
    </xf>
    <xf numFmtId="0" fontId="5" fillId="4" borderId="9" xfId="44" applyFont="1" applyFill="1" applyBorder="1" applyAlignment="1" applyProtection="1">
      <alignment horizontal="center" vertical="center"/>
    </xf>
    <xf numFmtId="0" fontId="5" fillId="3" borderId="9" xfId="0" applyFont="1" applyFill="1" applyBorder="1" applyAlignment="1">
      <alignment horizontal="center" vertical="center"/>
    </xf>
    <xf numFmtId="0" fontId="2" fillId="0" borderId="5"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33" fillId="3" borderId="1" xfId="0" applyFont="1" applyFill="1" applyBorder="1" applyAlignment="1">
      <alignment horizontal="center" vertical="center" wrapText="1"/>
    </xf>
    <xf numFmtId="0" fontId="33" fillId="0" borderId="0" xfId="0" applyFont="1" applyFill="1" applyBorder="1" applyAlignment="1">
      <alignment horizontal="center" vertical="center" wrapText="1"/>
    </xf>
    <xf numFmtId="182" fontId="8" fillId="0" borderId="1" xfId="5" applyFont="1" applyBorder="1" applyAlignment="1">
      <alignment horizontal="center" vertical="center" wrapText="1"/>
    </xf>
    <xf numFmtId="182" fontId="8" fillId="0" borderId="0" xfId="5" applyFont="1" applyBorder="1" applyAlignment="1">
      <alignment horizontal="center" vertical="center" wrapText="1"/>
    </xf>
    <xf numFmtId="0" fontId="34" fillId="0" borderId="0" xfId="0" applyFont="1" applyBorder="1" applyAlignment="1">
      <alignment horizontal="left" vertical="center"/>
    </xf>
    <xf numFmtId="0" fontId="35" fillId="0" borderId="0" xfId="0" applyFont="1" applyBorder="1" applyAlignment="1">
      <alignment horizontal="center"/>
    </xf>
    <xf numFmtId="0" fontId="36" fillId="3" borderId="1" xfId="0" applyFont="1" applyFill="1" applyBorder="1" applyAlignment="1">
      <alignment horizontal="center" vertical="center" wrapText="1"/>
    </xf>
    <xf numFmtId="0" fontId="3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5" xfId="0" applyFont="1" applyBorder="1" applyAlignment="1">
      <alignment horizontal="center" vertical="center"/>
    </xf>
    <xf numFmtId="0" fontId="9" fillId="0" borderId="1" xfId="6" applyFont="1" applyBorder="1" applyAlignment="1" applyProtection="1">
      <alignment horizontal="center" vertical="center"/>
    </xf>
    <xf numFmtId="0" fontId="23" fillId="0" borderId="1"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7" fillId="3" borderId="0" xfId="0" applyFont="1" applyFill="1" applyBorder="1" applyAlignment="1" applyProtection="1">
      <alignment horizontal="center"/>
      <protection locked="0"/>
    </xf>
    <xf numFmtId="0" fontId="3" fillId="0" borderId="0" xfId="0" applyFont="1" applyBorder="1" applyAlignment="1" applyProtection="1">
      <alignment horizontal="center"/>
      <protection locked="0"/>
    </xf>
    <xf numFmtId="0" fontId="22" fillId="3" borderId="1" xfId="0" applyFont="1" applyFill="1" applyBorder="1" applyAlignment="1" applyProtection="1">
      <alignment horizontal="center" wrapText="1"/>
      <protection locked="0"/>
    </xf>
    <xf numFmtId="0" fontId="7" fillId="0" borderId="0" xfId="0" applyFont="1" applyFill="1" applyBorder="1" applyAlignment="1" applyProtection="1">
      <alignment horizontal="center"/>
      <protection locked="0"/>
    </xf>
    <xf numFmtId="0" fontId="23" fillId="0" borderId="1" xfId="0" applyFont="1" applyBorder="1" applyAlignment="1" applyProtection="1">
      <alignment horizontal="center" wrapText="1"/>
      <protection locked="0"/>
    </xf>
    <xf numFmtId="182" fontId="23" fillId="0" borderId="1" xfId="5" applyFont="1" applyBorder="1" applyAlignment="1" applyProtection="1">
      <alignment horizontal="center" wrapText="1"/>
      <protection locked="0"/>
    </xf>
    <xf numFmtId="182" fontId="23" fillId="4" borderId="1" xfId="5" applyFont="1" applyFill="1" applyBorder="1" applyAlignment="1" applyProtection="1">
      <alignment horizontal="center" wrapText="1"/>
      <protection locked="0"/>
    </xf>
    <xf numFmtId="182" fontId="3" fillId="0" borderId="1" xfId="5" applyFont="1" applyBorder="1" applyAlignment="1" applyProtection="1">
      <alignment horizontal="center" wrapText="1"/>
      <protection locked="0"/>
    </xf>
    <xf numFmtId="0" fontId="3" fillId="0" borderId="1" xfId="0" applyFont="1" applyBorder="1" applyAlignment="1" applyProtection="1">
      <alignment horizontal="center" wrapText="1"/>
      <protection locked="0"/>
    </xf>
    <xf numFmtId="182" fontId="3" fillId="4" borderId="1" xfId="5" applyFont="1" applyFill="1" applyBorder="1" applyAlignment="1" applyProtection="1">
      <alignment horizontal="center" wrapText="1"/>
      <protection locked="0"/>
    </xf>
    <xf numFmtId="182" fontId="3" fillId="0" borderId="1" xfId="5" applyFont="1" applyBorder="1" applyAlignment="1" applyProtection="1">
      <alignment horizontal="center"/>
      <protection locked="0"/>
    </xf>
    <xf numFmtId="182" fontId="3" fillId="0" borderId="0" xfId="5" applyFont="1" applyBorder="1" applyAlignment="1" applyProtection="1">
      <alignment horizontal="center"/>
      <protection locked="0"/>
    </xf>
    <xf numFmtId="182" fontId="23" fillId="0" borderId="0" xfId="5" applyFont="1" applyBorder="1" applyAlignment="1" applyProtection="1">
      <alignment horizontal="center" wrapText="1"/>
      <protection locked="0"/>
    </xf>
    <xf numFmtId="182" fontId="3" fillId="0" borderId="0" xfId="5" applyFont="1" applyBorder="1" applyAlignment="1" applyProtection="1">
      <alignment horizontal="center" wrapText="1"/>
      <protection locked="0"/>
    </xf>
    <xf numFmtId="0" fontId="23" fillId="0" borderId="0" xfId="0" applyFont="1" applyBorder="1" applyAlignment="1" applyProtection="1">
      <alignment horizontal="center" wrapText="1"/>
      <protection locked="0"/>
    </xf>
    <xf numFmtId="0" fontId="3" fillId="0" borderId="0" xfId="0" applyFont="1" applyBorder="1" applyAlignment="1" applyProtection="1">
      <alignment horizontal="center" wrapText="1"/>
      <protection locked="0"/>
    </xf>
    <xf numFmtId="0" fontId="3" fillId="0" borderId="0" xfId="0" applyFont="1" applyBorder="1" applyAlignment="1" applyProtection="1">
      <alignment horizontal="left"/>
      <protection locked="0"/>
    </xf>
    <xf numFmtId="182" fontId="3" fillId="0" borderId="1" xfId="5" applyFont="1" applyBorder="1" applyAlignment="1">
      <alignment horizontal="center" vertical="top" wrapText="1"/>
    </xf>
    <xf numFmtId="182" fontId="3" fillId="4" borderId="1" xfId="5" applyFont="1" applyFill="1" applyBorder="1" applyAlignment="1">
      <alignment horizontal="center" vertical="top" wrapText="1"/>
    </xf>
    <xf numFmtId="0" fontId="3" fillId="0" borderId="0" xfId="0" applyFont="1" applyBorder="1" applyAlignment="1">
      <alignment horizontal="center"/>
    </xf>
    <xf numFmtId="0" fontId="1" fillId="0" borderId="0" xfId="0" applyFont="1" applyBorder="1" applyAlignment="1" applyProtection="1">
      <alignment horizontal="center"/>
      <protection locked="0"/>
    </xf>
    <xf numFmtId="0" fontId="7" fillId="3" borderId="1" xfId="0" applyFont="1" applyFill="1" applyBorder="1" applyAlignment="1" applyProtection="1">
      <alignment horizontal="center" wrapText="1"/>
      <protection locked="0"/>
    </xf>
    <xf numFmtId="0" fontId="2" fillId="0" borderId="0" xfId="0" applyFont="1" applyBorder="1" applyAlignment="1" applyProtection="1">
      <alignment horizontal="center"/>
      <protection locked="0"/>
    </xf>
    <xf numFmtId="182" fontId="31" fillId="4" borderId="1" xfId="5" applyFont="1" applyFill="1" applyBorder="1" applyAlignment="1">
      <alignment horizontal="center" vertical="center" wrapText="1"/>
    </xf>
    <xf numFmtId="0" fontId="31" fillId="0" borderId="0" xfId="0" applyFont="1" applyFill="1" applyBorder="1" applyAlignment="1">
      <alignment horizontal="center" vertical="center" wrapText="1"/>
    </xf>
    <xf numFmtId="182" fontId="31" fillId="4" borderId="0" xfId="5" applyFont="1" applyFill="1" applyBorder="1" applyAlignment="1">
      <alignment horizontal="center" vertical="center" wrapText="1"/>
    </xf>
    <xf numFmtId="0" fontId="25" fillId="0" borderId="0" xfId="0" applyFont="1" applyFill="1" applyBorder="1" applyAlignment="1">
      <alignment horizontal="center" vertical="center" wrapText="1"/>
    </xf>
    <xf numFmtId="0" fontId="26" fillId="0" borderId="0" xfId="0" applyFont="1" applyBorder="1" applyAlignment="1" applyProtection="1">
      <alignment horizontal="left"/>
      <protection locked="0"/>
    </xf>
    <xf numFmtId="0" fontId="33" fillId="0" borderId="0" xfId="0" applyFont="1" applyFill="1" applyBorder="1" applyAlignment="1">
      <alignment horizontal="center" vertical="center"/>
    </xf>
    <xf numFmtId="0" fontId="33" fillId="3" borderId="0" xfId="0" applyFont="1" applyFill="1" applyBorder="1" applyAlignment="1">
      <alignment horizontal="center" vertical="center"/>
    </xf>
    <xf numFmtId="0" fontId="8" fillId="0" borderId="0" xfId="0" applyFont="1" applyBorder="1" applyAlignment="1">
      <alignment horizontal="center" vertical="center"/>
    </xf>
    <xf numFmtId="0" fontId="31" fillId="0" borderId="0" xfId="0" applyFont="1" applyBorder="1" applyAlignment="1">
      <alignment horizontal="center" vertical="center"/>
    </xf>
    <xf numFmtId="0" fontId="36" fillId="0" borderId="0" xfId="0" applyFont="1" applyFill="1" applyBorder="1" applyAlignment="1">
      <alignment horizontal="left" vertical="center"/>
    </xf>
    <xf numFmtId="0" fontId="36" fillId="0" borderId="0" xfId="0" applyFont="1" applyFill="1" applyBorder="1" applyAlignment="1">
      <alignment horizontal="center" vertical="center"/>
    </xf>
    <xf numFmtId="182" fontId="35" fillId="0" borderId="1" xfId="5" applyFont="1" applyBorder="1" applyAlignment="1">
      <alignment horizontal="center" vertical="center" wrapText="1"/>
    </xf>
    <xf numFmtId="0" fontId="35" fillId="0" borderId="0" xfId="0" applyFont="1" applyBorder="1" applyAlignment="1">
      <alignment horizontal="center" vertical="center"/>
    </xf>
    <xf numFmtId="182" fontId="35" fillId="4" borderId="1" xfId="5" applyFont="1" applyFill="1" applyBorder="1" applyAlignment="1">
      <alignment horizontal="center" vertical="center" wrapText="1"/>
    </xf>
    <xf numFmtId="0" fontId="8" fillId="0" borderId="1" xfId="0" applyFont="1" applyFill="1" applyBorder="1" applyAlignment="1">
      <alignment horizontal="center" wrapText="1"/>
    </xf>
    <xf numFmtId="182" fontId="8" fillId="4" borderId="1" xfId="5" applyFont="1" applyFill="1" applyBorder="1" applyAlignment="1">
      <alignment horizontal="center" wrapText="1"/>
    </xf>
    <xf numFmtId="0" fontId="10" fillId="0" borderId="0" xfId="0" applyFont="1" applyFill="1" applyBorder="1" applyAlignment="1">
      <alignment horizontal="center" wrapText="1"/>
    </xf>
    <xf numFmtId="0" fontId="34" fillId="0" borderId="0" xfId="0" applyFont="1" applyFill="1" applyBorder="1" applyAlignment="1">
      <alignment horizontal="left" vertical="center"/>
    </xf>
    <xf numFmtId="0" fontId="37" fillId="0" borderId="0" xfId="0" applyFont="1" applyFill="1" applyBorder="1" applyAlignment="1">
      <alignment horizontal="left" vertical="center"/>
    </xf>
    <xf numFmtId="0" fontId="35" fillId="0" borderId="0" xfId="0" applyFont="1" applyFill="1" applyBorder="1" applyAlignment="1">
      <alignment horizontal="left" vertical="center"/>
    </xf>
    <xf numFmtId="0" fontId="22" fillId="3" borderId="1" xfId="0" applyFont="1" applyFill="1" applyBorder="1" applyAlignment="1">
      <alignment horizontal="center" vertical="center" wrapText="1"/>
    </xf>
    <xf numFmtId="0" fontId="22" fillId="0" borderId="1" xfId="0" applyFont="1" applyBorder="1" applyAlignment="1">
      <alignment vertical="center" wrapText="1"/>
    </xf>
    <xf numFmtId="0" fontId="23" fillId="0" borderId="1" xfId="0" applyFont="1" applyBorder="1" applyAlignment="1">
      <alignment horizontal="center" vertical="center" wrapText="1"/>
    </xf>
    <xf numFmtId="0" fontId="23" fillId="0" borderId="1" xfId="0" applyFont="1" applyBorder="1" applyAlignment="1">
      <alignment vertical="center" wrapText="1"/>
    </xf>
    <xf numFmtId="0" fontId="35" fillId="0" borderId="1" xfId="0" applyFont="1" applyBorder="1" applyAlignment="1">
      <alignment vertical="center" wrapText="1"/>
    </xf>
    <xf numFmtId="0" fontId="26" fillId="0" borderId="0" xfId="0" applyFont="1" applyBorder="1" applyAlignment="1">
      <alignment vertical="center"/>
    </xf>
    <xf numFmtId="0" fontId="35" fillId="0" borderId="0" xfId="0" applyFont="1" applyBorder="1" applyAlignment="1">
      <alignment vertical="center"/>
    </xf>
    <xf numFmtId="0" fontId="23" fillId="0" borderId="0" xfId="0" applyFont="1" applyBorder="1" applyAlignment="1">
      <alignment horizontal="center" vertical="center"/>
    </xf>
    <xf numFmtId="0" fontId="23" fillId="0" borderId="1" xfId="0" applyFont="1" applyBorder="1" applyAlignment="1">
      <alignment horizontal="left" vertical="center" wrapText="1"/>
    </xf>
    <xf numFmtId="0" fontId="26" fillId="0" borderId="0" xfId="0" applyFont="1" applyBorder="1" applyAlignment="1">
      <alignment horizontal="left" vertical="center"/>
    </xf>
    <xf numFmtId="0" fontId="26" fillId="0" borderId="0" xfId="0" applyFont="1" applyBorder="1" applyAlignment="1">
      <alignment horizontal="left" vertical="center" wrapText="1"/>
    </xf>
    <xf numFmtId="0" fontId="35" fillId="0" borderId="0" xfId="0" applyFont="1" applyBorder="1" applyAlignment="1">
      <alignment horizontal="left" vertical="center"/>
    </xf>
    <xf numFmtId="0" fontId="22" fillId="3" borderId="1" xfId="0" applyFont="1" applyFill="1" applyBorder="1" applyAlignment="1">
      <alignment horizontal="center" vertical="center"/>
    </xf>
    <xf numFmtId="0" fontId="23" fillId="0" borderId="1" xfId="0" applyFont="1" applyBorder="1" applyAlignment="1">
      <alignment horizontal="center" vertical="center"/>
    </xf>
    <xf numFmtId="0" fontId="35" fillId="0" borderId="1" xfId="0" applyFont="1" applyBorder="1" applyAlignment="1">
      <alignment horizontal="center" vertical="center"/>
    </xf>
    <xf numFmtId="0" fontId="36" fillId="0" borderId="0" xfId="0" applyFont="1" applyBorder="1" applyAlignment="1">
      <alignment horizontal="left" vertical="center"/>
    </xf>
    <xf numFmtId="0" fontId="36" fillId="3" borderId="1" xfId="0" applyFont="1" applyFill="1" applyBorder="1" applyAlignment="1">
      <alignment horizontal="center" vertical="top" wrapText="1"/>
    </xf>
    <xf numFmtId="0" fontId="35" fillId="0" borderId="1" xfId="0" applyFont="1" applyBorder="1" applyAlignment="1">
      <alignment horizontal="center" vertical="top" wrapText="1"/>
    </xf>
    <xf numFmtId="0" fontId="36" fillId="0" borderId="1" xfId="0" applyFont="1" applyBorder="1" applyAlignment="1">
      <alignment horizontal="center" vertical="top" wrapText="1"/>
    </xf>
    <xf numFmtId="0" fontId="8" fillId="0" borderId="1" xfId="0" applyFont="1" applyBorder="1" applyAlignment="1">
      <alignment horizontal="center" vertical="center" wrapText="1"/>
    </xf>
    <xf numFmtId="182" fontId="3" fillId="0" borderId="0" xfId="5" applyFont="1" applyFill="1" applyBorder="1" applyAlignment="1">
      <alignment horizontal="center" vertical="center"/>
    </xf>
    <xf numFmtId="182" fontId="3" fillId="0" borderId="1" xfId="5" applyFont="1" applyFill="1" applyBorder="1" applyAlignment="1">
      <alignment horizontal="center" vertical="center" wrapText="1"/>
    </xf>
    <xf numFmtId="182" fontId="3" fillId="0" borderId="0" xfId="5" applyFont="1" applyFill="1" applyBorder="1" applyAlignment="1">
      <alignment horizontal="center" vertical="center" wrapText="1"/>
    </xf>
    <xf numFmtId="182" fontId="10" fillId="0" borderId="0" xfId="5" applyFont="1" applyFill="1" applyBorder="1" applyAlignment="1">
      <alignment horizontal="center" vertical="center" wrapText="1"/>
    </xf>
    <xf numFmtId="0" fontId="8" fillId="0" borderId="0" xfId="0" applyFont="1" applyBorder="1" applyAlignment="1">
      <alignment horizontal="center" vertical="center" wrapText="1"/>
    </xf>
    <xf numFmtId="0" fontId="29" fillId="0" borderId="0" xfId="0" applyFont="1" applyBorder="1" applyAlignment="1">
      <alignment horizontal="center" vertical="center"/>
    </xf>
    <xf numFmtId="0" fontId="29" fillId="0" borderId="0" xfId="0" applyFont="1" applyFill="1" applyBorder="1" applyAlignment="1">
      <alignment horizontal="center" vertical="center"/>
    </xf>
    <xf numFmtId="0" fontId="7" fillId="0" borderId="0" xfId="0" applyFont="1" applyFill="1" applyBorder="1" applyAlignment="1" applyProtection="1">
      <alignment horizontal="center" vertical="center"/>
      <protection locked="0"/>
    </xf>
    <xf numFmtId="0" fontId="7" fillId="3" borderId="0" xfId="0" applyFont="1" applyFill="1" applyBorder="1" applyAlignment="1" applyProtection="1">
      <alignment horizontal="center" vertical="center"/>
      <protection locked="0"/>
    </xf>
    <xf numFmtId="0" fontId="3" fillId="0" borderId="0" xfId="0" applyFont="1" applyBorder="1" applyAlignment="1" applyProtection="1">
      <alignment horizontal="center" vertical="center"/>
      <protection locked="0"/>
    </xf>
    <xf numFmtId="0" fontId="30" fillId="0" borderId="0" xfId="6" applyFont="1" applyBorder="1" applyAlignment="1" applyProtection="1">
      <alignment horizontal="center" vertical="center"/>
    </xf>
    <xf numFmtId="0" fontId="7" fillId="0" borderId="0" xfId="0" applyFont="1" applyFill="1" applyBorder="1" applyAlignment="1" applyProtection="1">
      <alignment horizontal="left" vertical="center"/>
      <protection locked="0"/>
    </xf>
    <xf numFmtId="0" fontId="7" fillId="3" borderId="1" xfId="0" applyFont="1" applyFill="1" applyBorder="1" applyAlignment="1" applyProtection="1">
      <alignment horizontal="center" vertical="center" wrapText="1"/>
      <protection locked="0"/>
    </xf>
    <xf numFmtId="0" fontId="22" fillId="3" borderId="1" xfId="0" applyFont="1" applyFill="1" applyBorder="1" applyAlignment="1" applyProtection="1">
      <alignment horizontal="center" vertical="center" wrapText="1"/>
      <protection locked="0"/>
    </xf>
    <xf numFmtId="182" fontId="3" fillId="0" borderId="1" xfId="5" applyFont="1" applyBorder="1" applyAlignment="1" applyProtection="1">
      <alignment horizontal="center" vertical="center" wrapText="1"/>
      <protection locked="0"/>
    </xf>
    <xf numFmtId="182" fontId="23" fillId="4" borderId="1" xfId="5" applyFont="1" applyFill="1" applyBorder="1" applyAlignment="1" applyProtection="1">
      <alignment horizontal="center" vertical="center" wrapText="1"/>
      <protection locked="0"/>
    </xf>
    <xf numFmtId="182" fontId="23" fillId="0" borderId="1" xfId="5" applyFont="1" applyBorder="1" applyAlignment="1" applyProtection="1">
      <alignment horizontal="center" vertical="center" wrapText="1"/>
      <protection locked="0"/>
    </xf>
    <xf numFmtId="0" fontId="23" fillId="0" borderId="0" xfId="0" applyFont="1" applyBorder="1" applyAlignment="1" applyProtection="1">
      <alignment horizontal="center" vertical="center" wrapText="1"/>
      <protection locked="0"/>
    </xf>
    <xf numFmtId="182" fontId="10" fillId="0" borderId="1" xfId="5" applyFont="1" applyFill="1" applyBorder="1" applyAlignment="1">
      <alignment horizontal="center" vertical="center" wrapText="1"/>
    </xf>
    <xf numFmtId="0" fontId="3" fillId="0" borderId="0" xfId="0" applyFont="1" applyBorder="1" applyAlignment="1" applyProtection="1">
      <alignment horizontal="center" vertical="center" wrapText="1"/>
      <protection locked="0"/>
    </xf>
    <xf numFmtId="0" fontId="26" fillId="0" borderId="0" xfId="0"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22" fillId="0" borderId="0" xfId="0" applyFont="1" applyFill="1" applyBorder="1" applyAlignment="1" applyProtection="1">
      <alignment horizontal="center" wrapText="1"/>
      <protection locked="0"/>
    </xf>
    <xf numFmtId="0" fontId="7" fillId="0" borderId="1" xfId="0" applyFont="1" applyFill="1" applyBorder="1" applyAlignment="1" applyProtection="1">
      <alignment horizontal="center" wrapText="1"/>
      <protection locked="0"/>
    </xf>
    <xf numFmtId="182" fontId="22" fillId="0" borderId="1" xfId="5" applyFont="1" applyFill="1" applyBorder="1" applyAlignment="1" applyProtection="1">
      <alignment horizontal="center" wrapText="1"/>
      <protection locked="0"/>
    </xf>
    <xf numFmtId="0" fontId="8" fillId="0" borderId="0" xfId="0" applyFont="1" applyFill="1" applyBorder="1" applyAlignment="1">
      <alignment horizontal="center" wrapText="1"/>
    </xf>
    <xf numFmtId="182" fontId="8" fillId="4" borderId="0" xfId="5" applyFont="1" applyFill="1" applyBorder="1" applyAlignment="1">
      <alignment horizontal="center" wrapText="1"/>
    </xf>
    <xf numFmtId="0" fontId="34"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7" fillId="0" borderId="0" xfId="0" applyFont="1" applyBorder="1" applyAlignment="1" applyProtection="1">
      <alignment horizontal="center" vertical="center"/>
      <protection locked="0"/>
    </xf>
    <xf numFmtId="0" fontId="2" fillId="0" borderId="0" xfId="0" applyFont="1" applyBorder="1" applyAlignment="1" applyProtection="1">
      <alignment horizontal="center" vertical="center"/>
      <protection locked="0"/>
    </xf>
    <xf numFmtId="182" fontId="23" fillId="0" borderId="0" xfId="5" applyFont="1" applyBorder="1" applyAlignment="1" applyProtection="1">
      <alignment horizontal="center" vertical="center" wrapText="1"/>
      <protection locked="0"/>
    </xf>
    <xf numFmtId="182" fontId="3" fillId="0" borderId="0" xfId="5" applyFont="1" applyBorder="1" applyAlignment="1" applyProtection="1">
      <alignment horizontal="center" vertical="center" wrapText="1"/>
      <protection locked="0"/>
    </xf>
    <xf numFmtId="0" fontId="26" fillId="0" borderId="1" xfId="0" applyFont="1" applyBorder="1" applyAlignment="1">
      <alignment horizontal="center" vertical="center" wrapText="1"/>
    </xf>
    <xf numFmtId="182" fontId="23" fillId="4" borderId="1" xfId="5" applyFont="1" applyFill="1" applyBorder="1" applyAlignment="1">
      <alignment horizontal="center" vertical="center" wrapText="1"/>
    </xf>
    <xf numFmtId="182" fontId="23" fillId="4" borderId="1" xfId="5" applyFont="1" applyFill="1" applyBorder="1" applyAlignment="1">
      <alignment horizontal="center" wrapText="1"/>
    </xf>
    <xf numFmtId="0" fontId="26" fillId="0" borderId="0" xfId="0" applyFont="1" applyBorder="1" applyAlignment="1">
      <alignment horizontal="center" vertical="center"/>
    </xf>
    <xf numFmtId="0" fontId="23" fillId="0" borderId="1" xfId="0" applyFont="1" applyBorder="1" applyAlignment="1">
      <alignment horizontal="center" wrapText="1"/>
    </xf>
    <xf numFmtId="0" fontId="10" fillId="0" borderId="0" xfId="0" applyFont="1" applyFill="1" applyBorder="1" applyAlignment="1">
      <alignment horizontal="center" vertical="center"/>
    </xf>
    <xf numFmtId="182" fontId="3" fillId="0" borderId="1" xfId="5" applyFont="1" applyFill="1" applyBorder="1" applyAlignment="1">
      <alignment horizontal="center" vertical="center"/>
    </xf>
    <xf numFmtId="0" fontId="25" fillId="0" borderId="0" xfId="0" applyFont="1" applyFill="1" applyBorder="1" applyAlignment="1">
      <alignment horizontal="center" vertical="center"/>
    </xf>
    <xf numFmtId="0" fontId="5" fillId="0" borderId="0" xfId="0" applyFont="1" applyFill="1" applyBorder="1" applyAlignment="1" applyProtection="1">
      <alignment horizontal="center"/>
      <protection locked="0"/>
    </xf>
    <xf numFmtId="0" fontId="5" fillId="0" borderId="0" xfId="0" applyFont="1" applyBorder="1" applyAlignment="1" applyProtection="1">
      <alignment horizontal="center"/>
      <protection locked="0"/>
    </xf>
    <xf numFmtId="0" fontId="9" fillId="3" borderId="0" xfId="6" applyFont="1" applyFill="1" applyBorder="1" applyAlignment="1" applyProtection="1">
      <alignment horizontal="center" vertical="center"/>
    </xf>
    <xf numFmtId="0" fontId="5" fillId="0" borderId="0" xfId="0" applyFont="1" applyFill="1" applyBorder="1" applyAlignment="1" applyProtection="1">
      <alignment horizontal="left"/>
      <protection locked="0"/>
    </xf>
    <xf numFmtId="0" fontId="5" fillId="3" borderId="1" xfId="0" applyFont="1" applyFill="1" applyBorder="1" applyAlignment="1" applyProtection="1">
      <alignment horizontal="center" wrapText="1"/>
      <protection locked="0"/>
    </xf>
    <xf numFmtId="0" fontId="26" fillId="0" borderId="1" xfId="0" applyFont="1" applyBorder="1" applyAlignment="1" applyProtection="1">
      <alignment horizontal="center" wrapText="1"/>
      <protection locked="0"/>
    </xf>
    <xf numFmtId="0" fontId="7" fillId="0" borderId="0" xfId="0" applyFont="1" applyBorder="1" applyAlignment="1" applyProtection="1">
      <alignment horizontal="center" wrapText="1"/>
      <protection locked="0"/>
    </xf>
    <xf numFmtId="0" fontId="23" fillId="0" borderId="0" xfId="0" applyFont="1" applyBorder="1" applyAlignment="1" applyProtection="1">
      <alignment horizontal="left"/>
      <protection locked="0"/>
    </xf>
    <xf numFmtId="182" fontId="26" fillId="0" borderId="1" xfId="5" applyFont="1" applyBorder="1" applyAlignment="1" applyProtection="1">
      <alignment horizontal="center" wrapText="1"/>
      <protection locked="0"/>
    </xf>
    <xf numFmtId="0" fontId="5" fillId="3" borderId="1" xfId="0" applyFont="1" applyFill="1" applyBorder="1" applyAlignment="1" applyProtection="1">
      <alignment horizontal="center" vertical="center" wrapText="1"/>
      <protection locked="0"/>
    </xf>
    <xf numFmtId="0" fontId="32" fillId="3" borderId="1" xfId="0" applyFont="1" applyFill="1" applyBorder="1" applyAlignment="1" applyProtection="1">
      <alignment horizontal="center" vertical="center" wrapText="1"/>
      <protection locked="0"/>
    </xf>
    <xf numFmtId="0" fontId="39" fillId="3" borderId="1" xfId="0" applyFont="1" applyFill="1" applyBorder="1" applyAlignment="1">
      <alignment horizontal="center" vertical="center" wrapText="1"/>
    </xf>
    <xf numFmtId="0" fontId="3" fillId="0" borderId="1" xfId="0" applyFont="1" applyBorder="1" applyAlignment="1" applyProtection="1">
      <alignment horizontal="center" vertical="center"/>
      <protection locked="0"/>
    </xf>
    <xf numFmtId="0" fontId="3" fillId="3" borderId="1" xfId="0" applyFont="1" applyFill="1" applyBorder="1" applyAlignment="1" applyProtection="1">
      <alignment horizontal="center" vertical="center" wrapText="1"/>
      <protection locked="0"/>
    </xf>
    <xf numFmtId="0" fontId="26" fillId="0" borderId="1" xfId="0" applyFont="1" applyBorder="1" applyAlignment="1" applyProtection="1">
      <alignment horizontal="center" vertical="center" wrapText="1"/>
      <protection locked="0"/>
    </xf>
    <xf numFmtId="0" fontId="7" fillId="3" borderId="1" xfId="0" applyFont="1" applyFill="1" applyBorder="1" applyAlignment="1" applyProtection="1">
      <alignment horizontal="center"/>
      <protection locked="0"/>
    </xf>
    <xf numFmtId="0" fontId="3" fillId="0" borderId="1" xfId="0" applyFont="1" applyBorder="1" applyAlignment="1" applyProtection="1">
      <alignment horizontal="center"/>
      <protection locked="0"/>
    </xf>
    <xf numFmtId="0" fontId="8" fillId="0" borderId="1" xfId="0" applyFont="1" applyBorder="1" applyAlignment="1">
      <alignment horizontal="center" vertical="center"/>
    </xf>
    <xf numFmtId="0" fontId="2" fillId="0" borderId="1" xfId="0" applyFont="1" applyBorder="1" applyAlignment="1" applyProtection="1">
      <alignment horizontal="center"/>
      <protection locked="0"/>
    </xf>
    <xf numFmtId="0" fontId="10" fillId="0" borderId="1" xfId="0" applyFont="1" applyFill="1" applyBorder="1" applyAlignment="1">
      <alignment horizontal="center" wrapText="1"/>
    </xf>
    <xf numFmtId="0" fontId="3" fillId="3" borderId="1" xfId="0" applyFont="1" applyFill="1" applyBorder="1" applyAlignment="1" applyProtection="1">
      <alignment horizontal="center" wrapText="1"/>
      <protection locked="0"/>
    </xf>
    <xf numFmtId="0" fontId="27" fillId="3" borderId="1" xfId="0" applyFont="1" applyFill="1" applyBorder="1" applyAlignment="1">
      <alignment horizontal="center" vertical="center"/>
    </xf>
    <xf numFmtId="0" fontId="40" fillId="0" borderId="1" xfId="0" applyFont="1" applyBorder="1" applyAlignment="1" applyProtection="1">
      <alignment horizontal="center" wrapText="1"/>
      <protection locked="0"/>
    </xf>
    <xf numFmtId="182" fontId="8" fillId="0" borderId="1" xfId="5" applyFont="1" applyBorder="1" applyAlignment="1">
      <alignment horizontal="center" vertical="center"/>
    </xf>
    <xf numFmtId="0" fontId="3" fillId="0" borderId="1" xfId="0" applyFont="1" applyBorder="1" applyAlignment="1">
      <alignment horizontal="center"/>
    </xf>
    <xf numFmtId="0" fontId="34" fillId="0" borderId="1" xfId="0" applyFont="1" applyBorder="1" applyAlignment="1">
      <alignment horizontal="center" vertical="center"/>
    </xf>
    <xf numFmtId="0" fontId="2" fillId="0" borderId="0" xfId="0" applyFont="1" applyBorder="1" applyAlignment="1">
      <alignment horizontal="center"/>
    </xf>
    <xf numFmtId="0" fontId="2" fillId="0" borderId="0" xfId="0" applyFont="1" applyFill="1" applyBorder="1" applyAlignment="1">
      <alignment horizontal="center"/>
    </xf>
    <xf numFmtId="0" fontId="5" fillId="0" borderId="0" xfId="0" applyFont="1" applyBorder="1" applyAlignment="1">
      <alignment horizontal="center"/>
    </xf>
    <xf numFmtId="0" fontId="9" fillId="0" borderId="0" xfId="6" applyFont="1" applyBorder="1" applyAlignment="1" applyProtection="1">
      <alignment horizontal="center"/>
    </xf>
    <xf numFmtId="0" fontId="5" fillId="3" borderId="0" xfId="0" applyFont="1" applyFill="1" applyBorder="1" applyAlignment="1">
      <alignment horizontal="center"/>
    </xf>
    <xf numFmtId="182" fontId="8" fillId="0" borderId="0" xfId="5" applyFont="1" applyBorder="1" applyAlignment="1">
      <alignment horizontal="center" vertical="center"/>
    </xf>
    <xf numFmtId="182" fontId="35" fillId="0" borderId="0" xfId="5" applyFont="1" applyBorder="1" applyAlignment="1">
      <alignment horizontal="center" vertical="center" wrapText="1"/>
    </xf>
    <xf numFmtId="0" fontId="35" fillId="0" borderId="0" xfId="0" applyFont="1" applyBorder="1" applyAlignment="1">
      <alignment horizontal="center" vertical="center" wrapText="1"/>
    </xf>
    <xf numFmtId="182" fontId="10" fillId="0" borderId="0" xfId="5" applyFont="1" applyFill="1" applyBorder="1" applyAlignment="1">
      <alignment horizontal="center" wrapText="1"/>
    </xf>
    <xf numFmtId="0" fontId="2" fillId="0" borderId="1" xfId="0" applyFont="1" applyFill="1" applyBorder="1" applyAlignment="1">
      <alignment horizontal="center"/>
    </xf>
    <xf numFmtId="0" fontId="3" fillId="0" borderId="1" xfId="0" applyFont="1" applyFill="1" applyBorder="1" applyAlignment="1" applyProtection="1">
      <alignment horizontal="center"/>
      <protection locked="0"/>
    </xf>
    <xf numFmtId="0" fontId="3" fillId="3" borderId="1" xfId="0" applyFont="1" applyFill="1" applyBorder="1" applyAlignment="1" applyProtection="1">
      <alignment horizontal="center"/>
      <protection locked="0"/>
    </xf>
    <xf numFmtId="0" fontId="2" fillId="0" borderId="1" xfId="0" applyFont="1" applyBorder="1" applyAlignment="1">
      <alignment horizontal="center"/>
    </xf>
    <xf numFmtId="0" fontId="2" fillId="0" borderId="5" xfId="0" applyFont="1" applyBorder="1" applyAlignment="1">
      <alignment horizontal="center"/>
    </xf>
    <xf numFmtId="0" fontId="6" fillId="0" borderId="1" xfId="6" applyFont="1" applyBorder="1" applyAlignment="1" applyProtection="1">
      <alignment horizontal="center"/>
    </xf>
    <xf numFmtId="0" fontId="3" fillId="0" borderId="1" xfId="0" applyFont="1" applyFill="1" applyBorder="1" applyAlignment="1">
      <alignment horizontal="center"/>
    </xf>
    <xf numFmtId="0" fontId="7" fillId="0" borderId="11" xfId="0" applyFont="1" applyFill="1" applyBorder="1" applyAlignment="1" applyProtection="1">
      <alignment horizontal="center"/>
      <protection locked="0"/>
    </xf>
    <xf numFmtId="0" fontId="3" fillId="3" borderId="1" xfId="0" applyFont="1" applyFill="1" applyBorder="1" applyAlignment="1">
      <alignment horizontal="center"/>
    </xf>
    <xf numFmtId="0" fontId="26" fillId="0" borderId="1" xfId="0" applyFont="1" applyBorder="1" applyAlignment="1" applyProtection="1">
      <alignment horizontal="center"/>
      <protection locked="0"/>
    </xf>
    <xf numFmtId="0" fontId="5" fillId="0" borderId="4" xfId="0" applyFont="1" applyFill="1" applyBorder="1" applyAlignment="1">
      <alignment horizontal="center" vertical="center"/>
    </xf>
    <xf numFmtId="0" fontId="5" fillId="0" borderId="14" xfId="0" applyFont="1" applyFill="1" applyBorder="1" applyAlignment="1" applyProtection="1">
      <alignment horizontal="center"/>
      <protection locked="0"/>
    </xf>
    <xf numFmtId="0" fontId="3" fillId="0" borderId="0" xfId="0" applyFont="1" applyFill="1" applyBorder="1" applyAlignment="1" applyProtection="1">
      <alignment horizontal="center"/>
      <protection locked="0"/>
    </xf>
    <xf numFmtId="0" fontId="3" fillId="0" borderId="5" xfId="0" applyFont="1" applyBorder="1" applyAlignment="1" applyProtection="1">
      <alignment horizontal="center"/>
      <protection locked="0"/>
    </xf>
    <xf numFmtId="182" fontId="8" fillId="4" borderId="8" xfId="5" applyFont="1" applyFill="1" applyBorder="1" applyAlignment="1">
      <alignment horizontal="center" wrapText="1"/>
    </xf>
    <xf numFmtId="0" fontId="3" fillId="0" borderId="10" xfId="0" applyFont="1" applyBorder="1" applyAlignment="1" applyProtection="1">
      <alignment horizontal="center"/>
      <protection locked="0"/>
    </xf>
    <xf numFmtId="0" fontId="3" fillId="0" borderId="15" xfId="0" applyFont="1" applyBorder="1" applyAlignment="1" applyProtection="1">
      <alignment horizontal="center"/>
      <protection locked="0"/>
    </xf>
    <xf numFmtId="0" fontId="2" fillId="3" borderId="1" xfId="0" applyFont="1" applyFill="1" applyBorder="1" applyAlignment="1">
      <alignment horizontal="center"/>
    </xf>
    <xf numFmtId="0" fontId="5" fillId="3" borderId="1" xfId="0" applyFont="1" applyFill="1" applyBorder="1" applyAlignment="1">
      <alignment horizontal="center"/>
    </xf>
    <xf numFmtId="0" fontId="41" fillId="3" borderId="1" xfId="0" applyFont="1" applyFill="1" applyBorder="1" applyAlignment="1">
      <alignment horizontal="center" wrapText="1"/>
    </xf>
    <xf numFmtId="0" fontId="31" fillId="3" borderId="1" xfId="0" applyFont="1" applyFill="1" applyBorder="1" applyAlignment="1">
      <alignment horizontal="center" wrapText="1"/>
    </xf>
    <xf numFmtId="0" fontId="3" fillId="0" borderId="1" xfId="0" applyFont="1" applyFill="1" applyBorder="1" applyAlignment="1">
      <alignment horizontal="center" wrapText="1"/>
    </xf>
    <xf numFmtId="0" fontId="27" fillId="3" borderId="1" xfId="0" applyFont="1" applyFill="1" applyBorder="1" applyAlignment="1">
      <alignment horizontal="center"/>
    </xf>
    <xf numFmtId="0" fontId="13" fillId="0" borderId="1" xfId="0" applyFont="1" applyBorder="1" applyAlignment="1">
      <alignment horizontal="center" wrapText="1"/>
    </xf>
    <xf numFmtId="0" fontId="3" fillId="0" borderId="1" xfId="41" applyFont="1" applyBorder="1" applyAlignment="1">
      <alignment horizontal="center"/>
      <protection locked="0"/>
    </xf>
    <xf numFmtId="0" fontId="3" fillId="0" borderId="1" xfId="41" applyFont="1" applyFill="1" applyBorder="1" applyAlignment="1">
      <alignment horizontal="center"/>
      <protection locked="0"/>
    </xf>
    <xf numFmtId="0" fontId="3" fillId="3" borderId="1" xfId="41" applyFont="1" applyFill="1" applyBorder="1" applyAlignment="1">
      <alignment horizontal="center"/>
      <protection locked="0"/>
    </xf>
    <xf numFmtId="0" fontId="2" fillId="0" borderId="1" xfId="41" applyFont="1" applyBorder="1" applyAlignment="1">
      <alignment horizontal="center"/>
      <protection locked="0"/>
    </xf>
    <xf numFmtId="0" fontId="2" fillId="0" borderId="5" xfId="0" applyFont="1" applyFill="1" applyBorder="1" applyAlignment="1">
      <alignment horizontal="center" vertical="center"/>
    </xf>
    <xf numFmtId="0" fontId="36" fillId="0" borderId="11" xfId="0" applyFont="1" applyFill="1" applyBorder="1" applyAlignment="1">
      <alignment horizontal="center" vertical="center"/>
    </xf>
    <xf numFmtId="0" fontId="42" fillId="0" borderId="1" xfId="0" applyFont="1" applyBorder="1" applyAlignment="1">
      <alignment horizontal="center" vertical="center"/>
    </xf>
    <xf numFmtId="0" fontId="43" fillId="0" borderId="1" xfId="0" applyFont="1" applyBorder="1" applyAlignment="1">
      <alignment horizontal="center" vertical="center"/>
    </xf>
    <xf numFmtId="0" fontId="1" fillId="0" borderId="0" xfId="0" applyFont="1" applyFill="1" applyBorder="1" applyAlignment="1">
      <alignment horizontal="center" vertical="center"/>
    </xf>
    <xf numFmtId="0" fontId="3" fillId="3" borderId="0" xfId="0" applyFont="1" applyFill="1" applyBorder="1" applyAlignment="1" applyProtection="1">
      <alignment horizontal="center"/>
      <protection locked="0"/>
    </xf>
    <xf numFmtId="0" fontId="34" fillId="0" borderId="0" xfId="0" applyFont="1" applyBorder="1" applyAlignment="1">
      <alignment horizontal="center" vertical="center"/>
    </xf>
    <xf numFmtId="0" fontId="35" fillId="0" borderId="1" xfId="0" applyFont="1" applyBorder="1" applyAlignment="1">
      <alignment horizontal="center" wrapText="1"/>
    </xf>
    <xf numFmtId="182" fontId="35" fillId="0" borderId="1" xfId="5" applyFont="1" applyBorder="1" applyAlignment="1">
      <alignment horizontal="center" wrapText="1"/>
    </xf>
    <xf numFmtId="182" fontId="35" fillId="4" borderId="1" xfId="5" applyFont="1" applyFill="1" applyBorder="1" applyAlignment="1">
      <alignment horizontal="center" wrapText="1"/>
    </xf>
    <xf numFmtId="0" fontId="3" fillId="0" borderId="1" xfId="0" applyFont="1" applyFill="1" applyBorder="1" applyAlignment="1">
      <alignment horizontal="left" vertical="center" wrapText="1"/>
    </xf>
    <xf numFmtId="0" fontId="6" fillId="3" borderId="1" xfId="6" applyFont="1" applyFill="1" applyBorder="1" applyAlignment="1" applyProtection="1">
      <alignment horizontal="center" vertical="center"/>
    </xf>
    <xf numFmtId="0" fontId="10" fillId="3" borderId="1" xfId="0" applyFont="1" applyFill="1" applyBorder="1" applyAlignment="1">
      <alignment horizontal="center" vertical="center" wrapText="1"/>
    </xf>
    <xf numFmtId="0" fontId="3" fillId="0" borderId="0" xfId="41" applyFont="1" applyBorder="1" applyAlignment="1">
      <alignment horizontal="center"/>
      <protection locked="0"/>
    </xf>
    <xf numFmtId="0" fontId="9" fillId="0" borderId="0" xfId="6" applyFont="1" applyFill="1" applyBorder="1" applyAlignment="1" applyProtection="1">
      <alignment horizontal="center" vertical="center"/>
    </xf>
    <xf numFmtId="182" fontId="8" fillId="0" borderId="1" xfId="5" applyFont="1" applyFill="1" applyBorder="1" applyAlignment="1">
      <alignment horizontal="center" wrapText="1"/>
    </xf>
    <xf numFmtId="0" fontId="3" fillId="0" borderId="0" xfId="0" applyFont="1" applyFill="1" applyBorder="1" applyAlignment="1">
      <alignment horizontal="center"/>
    </xf>
    <xf numFmtId="182" fontId="8" fillId="0" borderId="0" xfId="5" applyFont="1" applyFill="1" applyBorder="1" applyAlignment="1">
      <alignment horizontal="center" wrapText="1"/>
    </xf>
    <xf numFmtId="0" fontId="25" fillId="0" borderId="1" xfId="0" applyFont="1" applyFill="1" applyBorder="1" applyAlignment="1">
      <alignment horizontal="center" wrapText="1"/>
    </xf>
    <xf numFmtId="0" fontId="5" fillId="3" borderId="8" xfId="0" applyFont="1" applyFill="1" applyBorder="1" applyAlignment="1">
      <alignment horizontal="center"/>
    </xf>
    <xf numFmtId="0" fontId="5" fillId="0" borderId="7" xfId="0" applyFont="1" applyBorder="1" applyAlignment="1">
      <alignment horizontal="center"/>
    </xf>
    <xf numFmtId="0" fontId="31" fillId="0" borderId="1" xfId="0" applyFont="1" applyFill="1" applyBorder="1" applyAlignment="1">
      <alignment horizontal="center" wrapText="1"/>
    </xf>
    <xf numFmtId="0" fontId="31" fillId="0" borderId="1" xfId="0" applyFont="1" applyBorder="1" applyAlignment="1">
      <alignment horizontal="center" wrapText="1"/>
    </xf>
    <xf numFmtId="0" fontId="8" fillId="0" borderId="0" xfId="0" applyFont="1" applyFill="1" applyBorder="1" applyAlignment="1">
      <alignment horizontal="center" vertical="center"/>
    </xf>
    <xf numFmtId="0" fontId="8" fillId="3" borderId="0" xfId="0" applyFont="1" applyFill="1" applyBorder="1" applyAlignment="1">
      <alignment horizontal="center" vertical="center"/>
    </xf>
    <xf numFmtId="0" fontId="44" fillId="3" borderId="1" xfId="0" applyFont="1" applyFill="1" applyBorder="1" applyAlignment="1">
      <alignment horizontal="center" vertical="center" wrapText="1"/>
    </xf>
    <xf numFmtId="0" fontId="23" fillId="0" borderId="0" xfId="0" applyFont="1" applyBorder="1" applyAlignment="1">
      <alignment horizontal="center" vertical="center" wrapText="1"/>
    </xf>
    <xf numFmtId="0" fontId="23" fillId="4" borderId="0" xfId="0" applyFont="1" applyFill="1" applyBorder="1" applyAlignment="1">
      <alignment horizontal="center" vertical="center" wrapText="1"/>
    </xf>
    <xf numFmtId="0" fontId="8" fillId="4" borderId="0" xfId="0" applyFont="1" applyFill="1" applyBorder="1" applyAlignment="1">
      <alignment horizontal="center" wrapText="1"/>
    </xf>
    <xf numFmtId="0" fontId="7" fillId="3" borderId="10" xfId="0" applyFont="1" applyFill="1" applyBorder="1" applyAlignment="1">
      <alignment horizontal="center" vertical="center"/>
    </xf>
    <xf numFmtId="182" fontId="3" fillId="4" borderId="1" xfId="5" applyFont="1" applyFill="1" applyBorder="1" applyAlignment="1" applyProtection="1">
      <alignment horizontal="center"/>
      <protection locked="0"/>
    </xf>
    <xf numFmtId="182" fontId="23" fillId="0" borderId="0" xfId="5" applyFont="1" applyBorder="1" applyAlignment="1">
      <alignment horizontal="center" vertical="center" wrapText="1"/>
    </xf>
    <xf numFmtId="0" fontId="23" fillId="3" borderId="1" xfId="0" applyFont="1" applyFill="1" applyBorder="1" applyAlignment="1">
      <alignment horizontal="center" vertical="center" wrapText="1"/>
    </xf>
    <xf numFmtId="0" fontId="2" fillId="0" borderId="0" xfId="41" applyFont="1" applyBorder="1" applyAlignment="1">
      <alignment horizontal="center"/>
      <protection locked="0"/>
    </xf>
    <xf numFmtId="0" fontId="22" fillId="0" borderId="1" xfId="0" applyFont="1" applyBorder="1" applyAlignment="1">
      <alignment horizontal="center" vertical="center" wrapText="1"/>
    </xf>
    <xf numFmtId="182" fontId="23" fillId="0" borderId="1" xfId="5" applyFont="1" applyBorder="1" applyAlignment="1">
      <alignment horizontal="center" vertical="top" wrapText="1"/>
    </xf>
    <xf numFmtId="182" fontId="23" fillId="4" borderId="1" xfId="5" applyFont="1" applyFill="1" applyBorder="1" applyAlignment="1">
      <alignment horizontal="center" vertical="top" wrapText="1"/>
    </xf>
    <xf numFmtId="0" fontId="43" fillId="0" borderId="0" xfId="0" applyFont="1" applyBorder="1" applyAlignment="1">
      <alignment horizontal="center" vertical="center"/>
    </xf>
    <xf numFmtId="0" fontId="45"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 xfId="0" applyFont="1" applyBorder="1" applyAlignment="1">
      <alignment horizontal="center" vertical="center"/>
    </xf>
    <xf numFmtId="0" fontId="1" fillId="3" borderId="0" xfId="0" applyFont="1" applyFill="1" applyBorder="1" applyAlignment="1">
      <alignment horizontal="center" vertical="center"/>
    </xf>
    <xf numFmtId="0" fontId="2" fillId="0" borderId="0" xfId="45" applyFont="1" applyBorder="1" applyAlignment="1">
      <alignment horizontal="center"/>
      <protection locked="0"/>
    </xf>
    <xf numFmtId="0" fontId="29" fillId="3" borderId="1" xfId="44" applyFont="1" applyFill="1" applyBorder="1" applyAlignment="1" applyProtection="1">
      <alignment horizontal="center" vertical="center"/>
    </xf>
    <xf numFmtId="0" fontId="29" fillId="4" borderId="1" xfId="44" applyFont="1" applyFill="1" applyBorder="1" applyAlignment="1" applyProtection="1">
      <alignment horizontal="center" vertical="center"/>
    </xf>
    <xf numFmtId="0" fontId="20" fillId="0" borderId="0" xfId="6" applyFont="1" applyFill="1" applyBorder="1" applyAlignment="1" applyProtection="1">
      <alignment horizontal="center" vertical="center"/>
    </xf>
    <xf numFmtId="0" fontId="29" fillId="3" borderId="0" xfId="0" applyFont="1" applyFill="1" applyBorder="1" applyAlignment="1">
      <alignment horizontal="center" vertical="center"/>
    </xf>
    <xf numFmtId="0" fontId="46" fillId="3" borderId="1" xfId="0" applyFont="1" applyFill="1" applyBorder="1" applyAlignment="1">
      <alignment horizontal="center" vertical="center" wrapText="1"/>
    </xf>
    <xf numFmtId="0" fontId="46" fillId="0" borderId="1" xfId="0" applyFont="1" applyBorder="1" applyAlignment="1">
      <alignment horizontal="center" wrapText="1"/>
    </xf>
    <xf numFmtId="182" fontId="45" fillId="0" borderId="1" xfId="5" applyFont="1" applyBorder="1" applyAlignment="1">
      <alignment horizontal="center" wrapText="1"/>
    </xf>
    <xf numFmtId="0" fontId="45" fillId="0" borderId="1" xfId="0" applyFont="1" applyBorder="1" applyAlignment="1">
      <alignment horizontal="center" wrapText="1"/>
    </xf>
    <xf numFmtId="182" fontId="2" fillId="0" borderId="1" xfId="5" applyFont="1" applyBorder="1" applyAlignment="1">
      <alignment horizontal="center" wrapText="1"/>
    </xf>
    <xf numFmtId="182" fontId="45" fillId="4" borderId="1" xfId="5" applyFont="1" applyFill="1" applyBorder="1" applyAlignment="1">
      <alignment horizontal="center" wrapText="1"/>
    </xf>
    <xf numFmtId="182" fontId="2" fillId="0" borderId="1" xfId="5" applyFont="1" applyBorder="1" applyAlignment="1" applyProtection="1">
      <alignment horizontal="center"/>
      <protection locked="0"/>
    </xf>
    <xf numFmtId="182" fontId="2" fillId="0" borderId="0" xfId="5" applyFont="1" applyBorder="1" applyAlignment="1" applyProtection="1">
      <alignment horizontal="center"/>
      <protection locked="0"/>
    </xf>
    <xf numFmtId="182" fontId="45" fillId="0" borderId="0" xfId="5" applyFont="1" applyBorder="1" applyAlignment="1">
      <alignment horizontal="center" wrapText="1"/>
    </xf>
    <xf numFmtId="0" fontId="25" fillId="0" borderId="0" xfId="0" applyFont="1" applyFill="1" applyBorder="1" applyAlignment="1">
      <alignment horizontal="center" wrapText="1"/>
    </xf>
    <xf numFmtId="0" fontId="45" fillId="0" borderId="0" xfId="0" applyFont="1" applyBorder="1" applyAlignment="1">
      <alignment horizontal="center" wrapText="1"/>
    </xf>
    <xf numFmtId="0" fontId="46" fillId="3" borderId="1" xfId="0" applyFont="1" applyFill="1" applyBorder="1" applyAlignment="1">
      <alignment horizontal="center" wrapText="1"/>
    </xf>
    <xf numFmtId="0" fontId="47" fillId="0" borderId="0" xfId="0" applyFont="1" applyBorder="1" applyAlignment="1">
      <alignment horizontal="left" vertical="center"/>
    </xf>
    <xf numFmtId="0" fontId="2" fillId="0" borderId="0" xfId="41" applyFont="1" applyFill="1" applyBorder="1" applyAlignment="1">
      <alignment horizontal="center"/>
      <protection locked="0"/>
    </xf>
    <xf numFmtId="182" fontId="45" fillId="4" borderId="1" xfId="5" applyFont="1" applyFill="1" applyBorder="1" applyAlignment="1">
      <alignment horizontal="center" vertical="center" wrapText="1"/>
    </xf>
    <xf numFmtId="182" fontId="31" fillId="4" borderId="0" xfId="5" applyFont="1" applyFill="1" applyBorder="1" applyAlignment="1">
      <alignment horizontal="center" wrapText="1"/>
    </xf>
    <xf numFmtId="0" fontId="2" fillId="0" borderId="1" xfId="45" applyFont="1" applyBorder="1" applyAlignment="1">
      <alignment horizontal="center"/>
      <protection locked="0"/>
    </xf>
    <xf numFmtId="0" fontId="35" fillId="0" borderId="1" xfId="0" applyFont="1" applyBorder="1" applyAlignment="1" applyProtection="1">
      <alignment horizontal="center" vertical="center"/>
    </xf>
    <xf numFmtId="0" fontId="35" fillId="0" borderId="1" xfId="0" applyFont="1" applyBorder="1" applyAlignment="1" applyProtection="1">
      <alignment horizontal="center" vertical="center" wrapText="1"/>
    </xf>
    <xf numFmtId="182" fontId="35" fillId="0" borderId="1" xfId="5" applyFont="1" applyBorder="1" applyAlignment="1" applyProtection="1">
      <alignment horizontal="center" vertical="center" wrapText="1"/>
    </xf>
    <xf numFmtId="0" fontId="23" fillId="0" borderId="1" xfId="0" applyFont="1" applyBorder="1" applyAlignment="1" applyProtection="1">
      <alignment horizontal="center" vertical="center" wrapText="1"/>
    </xf>
    <xf numFmtId="182" fontId="23" fillId="0" borderId="1" xfId="5" applyFont="1" applyBorder="1" applyAlignment="1" applyProtection="1">
      <alignment horizontal="center" vertical="center" wrapText="1"/>
    </xf>
    <xf numFmtId="0" fontId="3" fillId="0" borderId="0" xfId="41" applyFont="1" applyFill="1" applyBorder="1" applyAlignment="1">
      <alignment horizontal="center"/>
      <protection locked="0"/>
    </xf>
    <xf numFmtId="0" fontId="36" fillId="0" borderId="0" xfId="0" applyFont="1" applyFill="1" applyBorder="1" applyAlignment="1" applyProtection="1">
      <alignment horizontal="center" vertical="center"/>
    </xf>
    <xf numFmtId="0" fontId="35" fillId="0" borderId="0" xfId="0" applyFont="1" applyFill="1" applyBorder="1" applyAlignment="1" applyProtection="1">
      <alignment horizontal="center" vertical="center"/>
    </xf>
    <xf numFmtId="0" fontId="22" fillId="3" borderId="1" xfId="0" applyFont="1" applyFill="1" applyBorder="1" applyAlignment="1" applyProtection="1">
      <alignment horizontal="center" vertical="center" wrapText="1"/>
    </xf>
    <xf numFmtId="0" fontId="36" fillId="3" borderId="1" xfId="0" applyFont="1" applyFill="1" applyBorder="1" applyAlignment="1" applyProtection="1">
      <alignment horizontal="center" vertical="center" wrapText="1"/>
    </xf>
    <xf numFmtId="182" fontId="23" fillId="4" borderId="1" xfId="5" applyFont="1" applyFill="1" applyBorder="1" applyAlignment="1" applyProtection="1">
      <alignment horizontal="center" vertical="center" wrapText="1"/>
    </xf>
    <xf numFmtId="0" fontId="35" fillId="0" borderId="0" xfId="0" applyFont="1" applyBorder="1" applyAlignment="1" applyProtection="1">
      <alignment horizontal="center" vertical="center"/>
    </xf>
    <xf numFmtId="182" fontId="35" fillId="4" borderId="1" xfId="5" applyFont="1" applyFill="1" applyBorder="1" applyAlignment="1" applyProtection="1">
      <alignment horizontal="center" vertical="center" wrapText="1"/>
    </xf>
    <xf numFmtId="0" fontId="23" fillId="0" borderId="0" xfId="0" applyFont="1" applyBorder="1" applyAlignment="1" applyProtection="1">
      <alignment horizontal="center" vertical="center" wrapText="1"/>
    </xf>
    <xf numFmtId="0" fontId="35" fillId="0" borderId="0" xfId="0" applyFont="1" applyBorder="1" applyAlignment="1" applyProtection="1">
      <alignment horizontal="center" vertical="center" wrapText="1"/>
    </xf>
    <xf numFmtId="0" fontId="7" fillId="0" borderId="0" xfId="0" applyFont="1" applyBorder="1" applyAlignment="1">
      <alignment horizontal="left" vertical="center"/>
    </xf>
    <xf numFmtId="0" fontId="48" fillId="0" borderId="1" xfId="0" applyFont="1" applyBorder="1" applyAlignment="1" applyProtection="1">
      <alignment horizontal="center" vertical="center" wrapText="1"/>
    </xf>
    <xf numFmtId="182" fontId="26" fillId="0" borderId="1" xfId="5" applyFont="1" applyBorder="1" applyAlignment="1" applyProtection="1">
      <alignment horizontal="center" vertical="center" wrapText="1"/>
    </xf>
    <xf numFmtId="10" fontId="35" fillId="4" borderId="1" xfId="7" applyNumberFormat="1" applyFont="1" applyFill="1" applyBorder="1" applyAlignment="1" applyProtection="1">
      <alignment horizontal="right" vertical="center" wrapText="1"/>
    </xf>
    <xf numFmtId="0" fontId="7" fillId="3" borderId="1" xfId="0" applyFont="1" applyFill="1" applyBorder="1" applyAlignment="1" applyProtection="1">
      <alignment horizontal="center" vertical="center" wrapText="1"/>
    </xf>
    <xf numFmtId="0" fontId="49" fillId="0" borderId="1" xfId="0" applyFont="1" applyBorder="1" applyAlignment="1" applyProtection="1">
      <alignment horizontal="center" vertical="center" wrapText="1"/>
    </xf>
    <xf numFmtId="0" fontId="50" fillId="0" borderId="1" xfId="0" applyFont="1" applyBorder="1" applyAlignment="1" applyProtection="1">
      <alignment horizontal="center" vertical="center" wrapText="1"/>
    </xf>
    <xf numFmtId="0" fontId="40" fillId="0" borderId="1" xfId="0" applyFont="1" applyBorder="1" applyAlignment="1" applyProtection="1">
      <alignment horizontal="center" vertical="center" wrapText="1"/>
    </xf>
    <xf numFmtId="0" fontId="7" fillId="3" borderId="1" xfId="41" applyFont="1" applyFill="1" applyBorder="1" applyAlignment="1">
      <alignment horizontal="center"/>
      <protection locked="0"/>
    </xf>
    <xf numFmtId="0" fontId="34" fillId="0" borderId="1" xfId="0" applyFont="1" applyBorder="1" applyAlignment="1">
      <alignment horizontal="left" vertical="center"/>
    </xf>
    <xf numFmtId="0" fontId="3" fillId="0" borderId="0" xfId="45" applyFont="1" applyFill="1" applyBorder="1" applyAlignment="1">
      <alignment horizontal="center"/>
      <protection locked="0"/>
    </xf>
    <xf numFmtId="0" fontId="3" fillId="0" borderId="0" xfId="45" applyFont="1" applyBorder="1" applyAlignment="1">
      <alignment horizontal="center"/>
      <protection locked="0"/>
    </xf>
    <xf numFmtId="0" fontId="7" fillId="0" borderId="0" xfId="45" applyFont="1" applyFill="1" applyBorder="1" applyAlignment="1">
      <alignment horizontal="center"/>
      <protection locked="0"/>
    </xf>
    <xf numFmtId="0" fontId="22" fillId="0" borderId="1" xfId="0" applyFont="1" applyBorder="1" applyAlignment="1" applyProtection="1">
      <alignment horizontal="left" vertical="center" wrapText="1"/>
    </xf>
    <xf numFmtId="0" fontId="23" fillId="0" borderId="1" xfId="0" applyFont="1" applyBorder="1" applyAlignment="1" applyProtection="1">
      <alignment horizontal="left" vertical="center" wrapText="1"/>
    </xf>
    <xf numFmtId="0" fontId="8" fillId="0" borderId="1" xfId="0" applyFont="1" applyFill="1" applyBorder="1" applyAlignment="1">
      <alignment horizontal="left" wrapText="1"/>
    </xf>
    <xf numFmtId="0" fontId="26" fillId="0" borderId="1" xfId="0" applyFont="1" applyBorder="1" applyAlignment="1" applyProtection="1">
      <alignment horizontal="center" vertical="center" wrapText="1"/>
    </xf>
    <xf numFmtId="0" fontId="22" fillId="0" borderId="0" xfId="0" applyFont="1" applyBorder="1" applyAlignment="1" applyProtection="1">
      <alignment horizontal="center" vertical="center" wrapText="1"/>
    </xf>
    <xf numFmtId="0" fontId="36" fillId="0" borderId="0" xfId="0" applyFont="1" applyBorder="1" applyAlignment="1" applyProtection="1">
      <alignment horizontal="center" vertical="center" wrapText="1"/>
    </xf>
    <xf numFmtId="0" fontId="7" fillId="0" borderId="0" xfId="45" applyFont="1" applyBorder="1" applyAlignment="1">
      <alignment horizontal="center"/>
      <protection locked="0"/>
    </xf>
    <xf numFmtId="0" fontId="5" fillId="3" borderId="10" xfId="0" applyFont="1" applyFill="1" applyBorder="1" applyAlignment="1">
      <alignment horizontal="center" vertical="center"/>
    </xf>
    <xf numFmtId="0" fontId="7" fillId="0" borderId="1" xfId="0" applyFont="1" applyFill="1" applyBorder="1" applyAlignment="1">
      <alignment horizontal="left" vertical="center"/>
    </xf>
    <xf numFmtId="0" fontId="36" fillId="0" borderId="1" xfId="0" applyFont="1" applyFill="1" applyBorder="1" applyAlignment="1" applyProtection="1">
      <alignment horizontal="center" vertical="center"/>
    </xf>
    <xf numFmtId="0" fontId="36" fillId="3" borderId="1" xfId="0" applyFont="1" applyFill="1" applyBorder="1" applyAlignment="1" applyProtection="1">
      <alignment horizontal="center" vertical="center"/>
    </xf>
    <xf numFmtId="0" fontId="7" fillId="3" borderId="0" xfId="45" applyFont="1" applyFill="1" applyBorder="1" applyAlignment="1">
      <alignment horizontal="center"/>
      <protection locked="0"/>
    </xf>
    <xf numFmtId="0" fontId="35" fillId="0" borderId="1" xfId="0" applyFont="1" applyBorder="1" applyAlignment="1" applyProtection="1">
      <alignment horizontal="left" vertical="center"/>
    </xf>
    <xf numFmtId="0" fontId="26" fillId="0" borderId="1" xfId="0" applyFont="1" applyBorder="1" applyAlignment="1" applyProtection="1">
      <alignment horizontal="left" vertical="center"/>
    </xf>
    <xf numFmtId="0" fontId="36" fillId="0" borderId="1" xfId="0" applyFont="1" applyBorder="1" applyAlignment="1" applyProtection="1">
      <alignment horizontal="left" vertical="center"/>
    </xf>
    <xf numFmtId="0" fontId="22" fillId="3" borderId="1" xfId="0" applyFont="1" applyFill="1" applyBorder="1" applyAlignment="1" applyProtection="1">
      <alignment horizontal="center" vertical="center"/>
    </xf>
    <xf numFmtId="0" fontId="22" fillId="0" borderId="1" xfId="0" applyFont="1" applyBorder="1" applyAlignment="1" applyProtection="1">
      <alignment horizontal="left" vertical="center"/>
    </xf>
    <xf numFmtId="0" fontId="23" fillId="0" borderId="1" xfId="0" applyFont="1" applyBorder="1" applyAlignment="1" applyProtection="1">
      <alignment horizontal="left" vertical="center"/>
    </xf>
    <xf numFmtId="0" fontId="23" fillId="0" borderId="0" xfId="0" applyFont="1" applyBorder="1" applyAlignment="1" applyProtection="1">
      <alignment horizontal="center" vertical="center"/>
    </xf>
    <xf numFmtId="0" fontId="26" fillId="0" borderId="1" xfId="0" applyFont="1" applyBorder="1" applyAlignment="1" applyProtection="1">
      <alignment horizontal="center" vertical="center"/>
    </xf>
    <xf numFmtId="0" fontId="26" fillId="0" borderId="1" xfId="0" applyFont="1" applyBorder="1" applyAlignment="1">
      <alignment horizontal="center" wrapText="1"/>
    </xf>
    <xf numFmtId="0" fontId="23" fillId="0" borderId="0" xfId="0" applyFont="1" applyBorder="1" applyAlignment="1">
      <alignment horizontal="center"/>
    </xf>
    <xf numFmtId="0" fontId="34" fillId="0" borderId="0" xfId="0" applyFont="1" applyBorder="1" applyAlignment="1">
      <alignment horizontal="left"/>
    </xf>
    <xf numFmtId="0" fontId="5" fillId="0" borderId="4" xfId="0" applyFont="1" applyBorder="1" applyAlignment="1">
      <alignment horizontal="center"/>
    </xf>
    <xf numFmtId="0" fontId="5" fillId="0" borderId="6" xfId="0" applyFont="1" applyBorder="1" applyAlignment="1">
      <alignment horizontal="center"/>
    </xf>
    <xf numFmtId="0" fontId="7" fillId="0" borderId="1" xfId="0" applyFont="1" applyFill="1" applyBorder="1" applyAlignment="1">
      <alignment horizontal="center"/>
    </xf>
    <xf numFmtId="0" fontId="34" fillId="0" borderId="1" xfId="0" applyFont="1" applyBorder="1" applyAlignment="1">
      <alignment horizontal="center"/>
    </xf>
    <xf numFmtId="0" fontId="3" fillId="3" borderId="0" xfId="41" applyFont="1" applyFill="1" applyBorder="1" applyAlignment="1">
      <alignment horizontal="center" vertical="center"/>
      <protection locked="0"/>
    </xf>
    <xf numFmtId="0" fontId="5" fillId="0" borderId="0" xfId="0" applyFont="1" applyFill="1" applyBorder="1" applyAlignment="1">
      <alignment horizontal="center"/>
    </xf>
    <xf numFmtId="0" fontId="23" fillId="4" borderId="1" xfId="0" applyFont="1" applyFill="1" applyBorder="1" applyAlignment="1">
      <alignment horizontal="center" vertical="center" wrapText="1"/>
    </xf>
    <xf numFmtId="0" fontId="8" fillId="4" borderId="1" xfId="0" applyFont="1" applyFill="1" applyBorder="1" applyAlignment="1">
      <alignment horizontal="center" wrapText="1"/>
    </xf>
    <xf numFmtId="0" fontId="22" fillId="0" borderId="0" xfId="0" applyFont="1" applyBorder="1" applyAlignment="1">
      <alignment horizontal="center" vertical="center" wrapText="1"/>
    </xf>
    <xf numFmtId="0" fontId="37" fillId="0" borderId="0" xfId="0" applyFont="1" applyFill="1" applyBorder="1" applyAlignment="1">
      <alignment horizontal="center"/>
    </xf>
    <xf numFmtId="0" fontId="34" fillId="0" borderId="0" xfId="0" applyFont="1" applyBorder="1" applyAlignment="1">
      <alignment horizontal="center"/>
    </xf>
    <xf numFmtId="0" fontId="6" fillId="0" borderId="0" xfId="6" applyFont="1" applyBorder="1" applyAlignment="1" applyProtection="1">
      <alignment horizontal="center"/>
    </xf>
    <xf numFmtId="0" fontId="33" fillId="3" borderId="1" xfId="0" applyFont="1" applyFill="1" applyBorder="1" applyAlignment="1">
      <alignment horizontal="center" wrapText="1"/>
    </xf>
    <xf numFmtId="0" fontId="31" fillId="0" borderId="0" xfId="0" applyFont="1" applyFill="1" applyBorder="1" applyAlignment="1">
      <alignment horizontal="center" wrapText="1"/>
    </xf>
    <xf numFmtId="0" fontId="8" fillId="0" borderId="1" xfId="0" applyFont="1" applyBorder="1" applyAlignment="1">
      <alignment horizontal="center" wrapText="1"/>
    </xf>
    <xf numFmtId="0" fontId="2" fillId="0" borderId="0" xfId="0" applyFont="1" applyFill="1" applyBorder="1" applyAlignment="1">
      <alignment horizontal="center" wrapText="1"/>
    </xf>
    <xf numFmtId="182" fontId="3" fillId="4" borderId="1" xfId="5" applyFont="1" applyFill="1" applyBorder="1" applyAlignment="1">
      <alignment horizontal="center"/>
    </xf>
    <xf numFmtId="0" fontId="40" fillId="0" borderId="1" xfId="0" applyFont="1" applyBorder="1" applyAlignment="1">
      <alignment horizontal="center" vertical="center" wrapText="1"/>
    </xf>
    <xf numFmtId="0" fontId="28" fillId="0" borderId="0" xfId="0" applyFont="1" applyBorder="1" applyAlignment="1">
      <alignment horizontal="center" vertical="center"/>
    </xf>
    <xf numFmtId="0" fontId="3" fillId="0" borderId="1" xfId="0" applyFont="1" applyBorder="1" applyAlignment="1">
      <alignment horizontal="center" vertical="top" wrapText="1"/>
    </xf>
    <xf numFmtId="0" fontId="13" fillId="0" borderId="1" xfId="0" applyFont="1" applyBorder="1" applyAlignment="1">
      <alignment horizontal="center" vertical="top" wrapText="1"/>
    </xf>
    <xf numFmtId="0" fontId="26" fillId="0" borderId="1" xfId="0" applyFont="1" applyBorder="1" applyAlignment="1">
      <alignment horizontal="center" vertical="center"/>
    </xf>
    <xf numFmtId="0" fontId="3" fillId="0" borderId="0" xfId="0" applyFont="1" applyBorder="1" applyAlignment="1">
      <alignment horizontal="center" vertical="top" wrapText="1"/>
    </xf>
    <xf numFmtId="182" fontId="3" fillId="4" borderId="1" xfId="5" applyFont="1" applyFill="1" applyBorder="1" applyAlignment="1" applyProtection="1">
      <alignment horizontal="center" vertical="center" wrapText="1"/>
      <protection locked="0"/>
    </xf>
    <xf numFmtId="0" fontId="7" fillId="0" borderId="0" xfId="0" applyFont="1" applyFill="1" applyBorder="1" applyAlignment="1">
      <alignment horizontal="center" vertical="center" wrapText="1"/>
    </xf>
    <xf numFmtId="0" fontId="3" fillId="0" borderId="0" xfId="0" applyFont="1" applyFill="1" applyBorder="1" applyAlignment="1">
      <alignment horizontal="left" vertical="center"/>
    </xf>
    <xf numFmtId="10" fontId="3" fillId="4" borderId="1" xfId="7" applyNumberFormat="1" applyFont="1" applyFill="1" applyBorder="1" applyAlignment="1">
      <alignment horizontal="right" wrapText="1"/>
    </xf>
    <xf numFmtId="0" fontId="3" fillId="3" borderId="1" xfId="0" applyFont="1" applyFill="1" applyBorder="1" applyAlignment="1">
      <alignment horizontal="center" wrapText="1"/>
    </xf>
    <xf numFmtId="0" fontId="38" fillId="0" borderId="1" xfId="0" applyFont="1" applyBorder="1" applyAlignment="1">
      <alignment horizontal="center" wrapText="1"/>
    </xf>
    <xf numFmtId="0" fontId="52" fillId="0" borderId="0" xfId="0" applyFont="1" applyFill="1" applyBorder="1" applyAlignment="1">
      <alignment horizontal="center" vertical="center"/>
    </xf>
    <xf numFmtId="0" fontId="3" fillId="0" borderId="0" xfId="0" applyFont="1" applyFill="1" applyBorder="1" applyAlignment="1">
      <alignment horizontal="center" wrapText="1"/>
    </xf>
    <xf numFmtId="10" fontId="3" fillId="0" borderId="0" xfId="0" applyNumberFormat="1" applyFont="1" applyFill="1" applyBorder="1" applyAlignment="1">
      <alignment horizontal="center"/>
    </xf>
    <xf numFmtId="0" fontId="3" fillId="0" borderId="0" xfId="0" applyFont="1" applyBorder="1" applyAlignment="1">
      <alignment horizontal="center" wrapText="1"/>
    </xf>
    <xf numFmtId="0" fontId="8" fillId="0" borderId="0" xfId="0" applyFont="1" applyBorder="1" applyAlignment="1">
      <alignment horizontal="center" wrapText="1"/>
    </xf>
    <xf numFmtId="0" fontId="8" fillId="0" borderId="0" xfId="0" applyFont="1" applyFill="1" applyBorder="1" applyAlignment="1">
      <alignment horizontal="left" vertical="center"/>
    </xf>
    <xf numFmtId="182" fontId="26" fillId="0" borderId="1" xfId="5" applyFont="1" applyBorder="1" applyAlignment="1">
      <alignment horizontal="center" wrapText="1"/>
    </xf>
    <xf numFmtId="182" fontId="8" fillId="0" borderId="1" xfId="5" applyFont="1" applyBorder="1" applyAlignment="1">
      <alignment horizontal="right" wrapText="1"/>
    </xf>
    <xf numFmtId="0" fontId="52" fillId="0" borderId="1" xfId="0" applyFont="1" applyBorder="1" applyAlignment="1">
      <alignment horizontal="center" wrapText="1"/>
    </xf>
    <xf numFmtId="182" fontId="8" fillId="4" borderId="1" xfId="5" applyFont="1" applyFill="1" applyBorder="1" applyAlignment="1">
      <alignment horizontal="right" wrapText="1"/>
    </xf>
    <xf numFmtId="182" fontId="3" fillId="0" borderId="1" xfId="5" applyFont="1" applyBorder="1" applyAlignment="1">
      <alignment horizontal="right" wrapText="1"/>
    </xf>
    <xf numFmtId="182" fontId="26" fillId="0" borderId="1" xfId="5" applyFont="1" applyBorder="1" applyAlignment="1">
      <alignment horizontal="right" wrapText="1"/>
    </xf>
    <xf numFmtId="182" fontId="3" fillId="4" borderId="1" xfId="5" applyFont="1" applyFill="1" applyBorder="1" applyAlignment="1">
      <alignment horizontal="right" wrapText="1"/>
    </xf>
    <xf numFmtId="0" fontId="26" fillId="0" borderId="0" xfId="0" applyFont="1" applyBorder="1" applyAlignment="1">
      <alignment horizontal="left"/>
    </xf>
    <xf numFmtId="0" fontId="27" fillId="3" borderId="1" xfId="44" applyFont="1" applyFill="1" applyBorder="1" applyAlignment="1" applyProtection="1">
      <alignment horizontal="center" vertical="center"/>
    </xf>
    <xf numFmtId="0" fontId="27" fillId="3" borderId="1" xfId="0" applyFont="1" applyFill="1" applyBorder="1" applyAlignment="1">
      <alignment horizontal="center" vertical="center" wrapText="1"/>
    </xf>
    <xf numFmtId="0" fontId="7" fillId="7" borderId="1" xfId="0" applyFont="1" applyFill="1" applyBorder="1" applyAlignment="1">
      <alignment horizontal="center" vertical="center"/>
    </xf>
    <xf numFmtId="182" fontId="3" fillId="0" borderId="1" xfId="5" applyFont="1" applyBorder="1" applyAlignment="1">
      <alignment horizontal="right" vertical="center" wrapText="1"/>
    </xf>
    <xf numFmtId="10" fontId="3" fillId="0" borderId="1" xfId="7" applyNumberFormat="1" applyFont="1" applyBorder="1" applyAlignment="1">
      <alignment horizontal="right" vertical="center" wrapText="1"/>
    </xf>
    <xf numFmtId="182" fontId="3" fillId="4" borderId="1" xfId="5" applyFont="1" applyFill="1" applyBorder="1" applyAlignment="1">
      <alignment horizontal="right" vertical="center" wrapText="1"/>
    </xf>
    <xf numFmtId="10" fontId="3" fillId="4" borderId="1" xfId="7" applyNumberFormat="1" applyFont="1" applyFill="1" applyBorder="1" applyAlignment="1">
      <alignment horizontal="right" vertical="center" wrapText="1"/>
    </xf>
    <xf numFmtId="10" fontId="2" fillId="0" borderId="0" xfId="0" applyNumberFormat="1" applyFont="1" applyBorder="1" applyAlignment="1">
      <alignment horizontal="center" vertical="center"/>
    </xf>
    <xf numFmtId="182" fontId="8" fillId="4" borderId="1" xfId="5" applyFont="1" applyFill="1" applyBorder="1" applyAlignment="1">
      <alignment horizontal="right" vertical="center" wrapText="1"/>
    </xf>
    <xf numFmtId="10" fontId="8" fillId="0" borderId="1" xfId="7" applyNumberFormat="1" applyFont="1" applyFill="1" applyBorder="1" applyAlignment="1">
      <alignment horizontal="right" vertical="center" wrapText="1"/>
    </xf>
    <xf numFmtId="0" fontId="7" fillId="0" borderId="1"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1" fillId="0" borderId="4" xfId="0" applyFont="1" applyFill="1" applyBorder="1" applyAlignment="1">
      <alignment horizontal="center" vertical="center"/>
    </xf>
    <xf numFmtId="0" fontId="53" fillId="0" borderId="0" xfId="6" applyFont="1" applyFill="1" applyBorder="1" applyAlignment="1" applyProtection="1">
      <alignment horizontal="center" vertical="center"/>
    </xf>
    <xf numFmtId="0" fontId="1"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3" borderId="5" xfId="0" applyFont="1" applyFill="1" applyBorder="1" applyAlignment="1">
      <alignment horizontal="center" vertical="center"/>
    </xf>
    <xf numFmtId="0" fontId="7" fillId="0" borderId="4" xfId="0" applyFont="1" applyFill="1" applyBorder="1" applyAlignment="1">
      <alignment horizontal="center" vertical="center" wrapText="1"/>
    </xf>
    <xf numFmtId="182" fontId="3" fillId="0" borderId="1" xfId="5" applyFont="1" applyFill="1" applyBorder="1" applyAlignment="1">
      <alignment horizontal="right"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xf>
    <xf numFmtId="182" fontId="8" fillId="0" borderId="1" xfId="5" applyFont="1" applyFill="1" applyBorder="1" applyAlignment="1">
      <alignment horizontal="right" vertical="center" wrapText="1"/>
    </xf>
    <xf numFmtId="0" fontId="8" fillId="0" borderId="4" xfId="0" applyFont="1" applyFill="1" applyBorder="1" applyAlignment="1">
      <alignment horizontal="center" vertical="center" wrapText="1"/>
    </xf>
    <xf numFmtId="0" fontId="3" fillId="0" borderId="4" xfId="0" applyFont="1" applyFill="1" applyBorder="1" applyAlignment="1">
      <alignment horizontal="center" vertical="center"/>
    </xf>
    <xf numFmtId="0" fontId="10" fillId="0" borderId="4"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7" fillId="0" borderId="7" xfId="0" applyFont="1" applyFill="1" applyBorder="1" applyAlignment="1">
      <alignment horizontal="left" vertical="center"/>
    </xf>
    <xf numFmtId="0" fontId="3" fillId="0" borderId="7" xfId="0" applyFont="1" applyFill="1" applyBorder="1" applyAlignment="1">
      <alignment horizontal="center" vertical="center"/>
    </xf>
    <xf numFmtId="9" fontId="3" fillId="0" borderId="1" xfId="7" applyFont="1" applyBorder="1" applyAlignment="1">
      <alignment horizontal="right" wrapText="1"/>
    </xf>
    <xf numFmtId="182" fontId="3" fillId="4" borderId="1" xfId="5" applyFont="1" applyFill="1" applyBorder="1" applyAlignment="1">
      <alignment horizontal="right" vertical="center"/>
    </xf>
    <xf numFmtId="9" fontId="3" fillId="0" borderId="1" xfId="7" applyFont="1" applyFill="1" applyBorder="1" applyAlignment="1">
      <alignment horizontal="right" vertical="center"/>
    </xf>
    <xf numFmtId="0" fontId="10" fillId="0" borderId="4" xfId="0" applyFont="1" applyFill="1" applyBorder="1" applyAlignment="1">
      <alignment horizontal="center" vertical="center"/>
    </xf>
    <xf numFmtId="0" fontId="3" fillId="0" borderId="2" xfId="0" applyFont="1" applyFill="1" applyBorder="1" applyAlignment="1">
      <alignment horizontal="center" vertical="center"/>
    </xf>
    <xf numFmtId="0" fontId="4" fillId="0" borderId="2" xfId="0" applyFont="1" applyFill="1" applyBorder="1" applyAlignment="1">
      <alignment horizontal="center" vertical="center"/>
    </xf>
    <xf numFmtId="0" fontId="35" fillId="0" borderId="1" xfId="0" applyFont="1" applyFill="1" applyBorder="1" applyAlignment="1">
      <alignment horizontal="center" vertical="center" wrapText="1"/>
    </xf>
    <xf numFmtId="0" fontId="3" fillId="0" borderId="1" xfId="0" applyFont="1" applyFill="1" applyBorder="1" applyAlignment="1">
      <alignment horizontal="left" vertical="center"/>
    </xf>
    <xf numFmtId="0" fontId="3" fillId="0" borderId="6"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0" borderId="15" xfId="0" applyFont="1" applyFill="1" applyBorder="1" applyAlignment="1">
      <alignment horizontal="center" vertical="center"/>
    </xf>
    <xf numFmtId="0" fontId="7" fillId="3" borderId="11" xfId="0" applyFont="1" applyFill="1" applyBorder="1" applyAlignment="1">
      <alignment horizontal="center" vertical="center" wrapText="1"/>
    </xf>
    <xf numFmtId="0" fontId="3" fillId="4" borderId="1" xfId="0" applyFont="1" applyFill="1" applyBorder="1" applyAlignment="1">
      <alignment horizontal="center" wrapText="1"/>
    </xf>
    <xf numFmtId="0" fontId="3" fillId="0" borderId="10" xfId="0" applyFont="1" applyBorder="1" applyAlignment="1">
      <alignment horizontal="center" wrapText="1"/>
    </xf>
    <xf numFmtId="0" fontId="3" fillId="4" borderId="10" xfId="0" applyFont="1" applyFill="1" applyBorder="1" applyAlignment="1">
      <alignment horizontal="center" wrapText="1"/>
    </xf>
    <xf numFmtId="0" fontId="3" fillId="0" borderId="2" xfId="0" applyFont="1" applyBorder="1" applyAlignment="1">
      <alignment horizontal="left"/>
    </xf>
    <xf numFmtId="0" fontId="3" fillId="0" borderId="8" xfId="0" applyFont="1" applyFill="1" applyBorder="1" applyAlignment="1">
      <alignment horizontal="center" vertical="center"/>
    </xf>
    <xf numFmtId="0" fontId="2" fillId="0" borderId="4" xfId="0" applyFont="1" applyBorder="1" applyAlignment="1">
      <alignment horizontal="center" vertical="center"/>
    </xf>
    <xf numFmtId="0" fontId="2" fillId="0" borderId="4" xfId="0" applyFont="1" applyFill="1" applyBorder="1" applyAlignment="1">
      <alignment horizontal="center" vertical="center"/>
    </xf>
    <xf numFmtId="0" fontId="3"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3" fillId="0" borderId="4" xfId="0" applyFont="1" applyFill="1" applyBorder="1" applyAlignment="1">
      <alignment horizontal="right" vertical="center"/>
    </xf>
    <xf numFmtId="0" fontId="40" fillId="0" borderId="1" xfId="0" applyFont="1" applyFill="1" applyBorder="1" applyAlignment="1">
      <alignment horizontal="center" vertical="center" wrapText="1"/>
    </xf>
    <xf numFmtId="0" fontId="8" fillId="0" borderId="4" xfId="0" applyFont="1" applyBorder="1" applyAlignment="1">
      <alignment horizontal="center" vertical="center" wrapText="1"/>
    </xf>
    <xf numFmtId="0" fontId="3" fillId="0" borderId="1" xfId="0" applyFont="1" applyBorder="1" applyAlignment="1">
      <alignment horizontal="left" vertical="center"/>
    </xf>
    <xf numFmtId="0" fontId="25" fillId="0" borderId="5"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3" fillId="0" borderId="1" xfId="0" applyFont="1" applyBorder="1" applyAlignment="1">
      <alignment horizontal="right" vertical="center"/>
    </xf>
    <xf numFmtId="0" fontId="53" fillId="0" borderId="1" xfId="6" applyFont="1" applyBorder="1" applyAlignment="1" applyProtection="1">
      <alignment horizontal="center" vertical="center"/>
    </xf>
    <xf numFmtId="0" fontId="5" fillId="3" borderId="1" xfId="44" applyFont="1" applyFill="1" applyBorder="1" applyAlignment="1" applyProtection="1">
      <alignment horizontal="left" vertical="center"/>
    </xf>
    <xf numFmtId="0" fontId="2" fillId="0" borderId="1" xfId="44" applyFont="1" applyFill="1" applyBorder="1" applyAlignment="1" applyProtection="1">
      <alignment horizontal="center" vertical="center"/>
    </xf>
    <xf numFmtId="182" fontId="8" fillId="0" borderId="1" xfId="5" applyFont="1" applyBorder="1" applyAlignment="1">
      <alignment horizontal="right" vertical="center" wrapText="1"/>
    </xf>
    <xf numFmtId="0" fontId="6" fillId="0" borderId="5" xfId="6" applyFont="1" applyFill="1" applyBorder="1" applyAlignment="1" applyProtection="1">
      <alignment horizontal="center" vertical="center"/>
    </xf>
    <xf numFmtId="182" fontId="3" fillId="0" borderId="4" xfId="5" applyFont="1" applyFill="1" applyBorder="1" applyAlignment="1">
      <alignment horizontal="center" vertical="center"/>
    </xf>
    <xf numFmtId="0" fontId="10" fillId="0" borderId="7" xfId="0" applyFont="1" applyFill="1" applyBorder="1" applyAlignment="1">
      <alignment horizontal="center" vertical="center" wrapText="1"/>
    </xf>
    <xf numFmtId="9" fontId="3" fillId="0" borderId="1" xfId="7" applyFont="1" applyBorder="1" applyAlignment="1">
      <alignment horizontal="right" vertical="center" wrapText="1"/>
    </xf>
    <xf numFmtId="0" fontId="3" fillId="0" borderId="10" xfId="0" applyFont="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182" fontId="3" fillId="0" borderId="4" xfId="5" applyFont="1" applyBorder="1" applyAlignment="1">
      <alignment horizontal="right" vertical="center"/>
    </xf>
    <xf numFmtId="182" fontId="3" fillId="0" borderId="0" xfId="5" applyFont="1" applyBorder="1" applyAlignment="1">
      <alignment horizontal="right" vertical="center"/>
    </xf>
    <xf numFmtId="182" fontId="3" fillId="0" borderId="6" xfId="5" applyFont="1" applyBorder="1" applyAlignment="1">
      <alignment horizontal="right" vertical="center"/>
    </xf>
    <xf numFmtId="182" fontId="3" fillId="0" borderId="7" xfId="5" applyFont="1" applyBorder="1" applyAlignment="1">
      <alignment horizontal="right" vertical="center"/>
    </xf>
    <xf numFmtId="182" fontId="2" fillId="0" borderId="1" xfId="5" applyFont="1" applyFill="1" applyBorder="1" applyAlignment="1">
      <alignment horizontal="center"/>
    </xf>
    <xf numFmtId="182" fontId="3" fillId="0" borderId="1" xfId="5" applyFont="1" applyFill="1" applyBorder="1" applyAlignment="1">
      <alignment horizontal="center"/>
    </xf>
    <xf numFmtId="182" fontId="29" fillId="0" borderId="4" xfId="5" applyFont="1" applyFill="1" applyBorder="1" applyAlignment="1">
      <alignment horizontal="center"/>
    </xf>
    <xf numFmtId="182" fontId="29" fillId="0" borderId="0" xfId="5" applyFont="1" applyFill="1" applyBorder="1" applyAlignment="1">
      <alignment horizontal="center"/>
    </xf>
    <xf numFmtId="0" fontId="30" fillId="0" borderId="0" xfId="6" applyFont="1" applyBorder="1" applyAlignment="1" applyProtection="1">
      <alignment horizontal="center"/>
    </xf>
    <xf numFmtId="182" fontId="29" fillId="0" borderId="7" xfId="5" applyFont="1" applyFill="1" applyBorder="1" applyAlignment="1">
      <alignment horizontal="center"/>
    </xf>
    <xf numFmtId="182" fontId="7" fillId="3" borderId="1" xfId="5" applyFont="1" applyFill="1" applyBorder="1" applyAlignment="1">
      <alignment horizontal="center" vertical="center" wrapText="1"/>
    </xf>
    <xf numFmtId="182" fontId="7" fillId="0" borderId="1" xfId="5" applyFont="1" applyFill="1" applyBorder="1" applyAlignment="1">
      <alignment horizontal="center"/>
    </xf>
    <xf numFmtId="182" fontId="2" fillId="0" borderId="5" xfId="5" applyFont="1" applyFill="1" applyBorder="1" applyAlignment="1">
      <alignment horizontal="center"/>
    </xf>
    <xf numFmtId="182" fontId="2" fillId="0" borderId="1" xfId="5" applyFont="1" applyFill="1" applyBorder="1" applyAlignment="1">
      <alignment horizontal="center" vertical="center"/>
    </xf>
    <xf numFmtId="182" fontId="5" fillId="0" borderId="4" xfId="5" applyFont="1" applyFill="1" applyBorder="1" applyAlignment="1">
      <alignment horizontal="center" vertical="center"/>
    </xf>
    <xf numFmtId="182" fontId="2" fillId="0" borderId="0" xfId="5" applyFont="1" applyFill="1" applyBorder="1" applyAlignment="1">
      <alignment horizontal="center" vertical="center"/>
    </xf>
    <xf numFmtId="0" fontId="2" fillId="0" borderId="7" xfId="0" applyFont="1" applyFill="1" applyBorder="1" applyAlignment="1">
      <alignment horizontal="center" vertical="center"/>
    </xf>
    <xf numFmtId="0" fontId="7" fillId="3" borderId="1" xfId="0" applyFont="1" applyFill="1" applyBorder="1" applyAlignment="1">
      <alignment horizontal="left" vertical="center"/>
    </xf>
    <xf numFmtId="182" fontId="3" fillId="0" borderId="1" xfId="5" applyFont="1" applyFill="1" applyBorder="1" applyAlignment="1">
      <alignment horizontal="right" vertical="center"/>
    </xf>
    <xf numFmtId="182" fontId="7" fillId="3" borderId="1" xfId="5" applyFont="1" applyFill="1" applyBorder="1" applyAlignment="1">
      <alignment horizontal="left" vertical="center"/>
    </xf>
    <xf numFmtId="182" fontId="7" fillId="3" borderId="1" xfId="5" applyFont="1" applyFill="1" applyBorder="1" applyAlignment="1">
      <alignment horizontal="center" vertical="center"/>
    </xf>
    <xf numFmtId="182" fontId="2" fillId="0" borderId="5" xfId="5" applyFont="1" applyFill="1" applyBorder="1" applyAlignment="1">
      <alignment horizontal="center" vertical="center"/>
    </xf>
    <xf numFmtId="0" fontId="12" fillId="8" borderId="1" xfId="0" applyFont="1" applyFill="1" applyBorder="1" applyAlignment="1">
      <alignment horizontal="center" vertical="center" wrapText="1"/>
    </xf>
    <xf numFmtId="182" fontId="1" fillId="0" borderId="1" xfId="5" applyFont="1" applyFill="1" applyBorder="1" applyAlignment="1">
      <alignment horizontal="center" vertical="center"/>
    </xf>
    <xf numFmtId="182" fontId="5" fillId="0" borderId="0" xfId="5" applyFont="1" applyFill="1" applyBorder="1" applyAlignment="1">
      <alignment horizontal="center" vertical="center"/>
    </xf>
    <xf numFmtId="182" fontId="1" fillId="0" borderId="5" xfId="5" applyFont="1" applyFill="1" applyBorder="1" applyAlignment="1">
      <alignment horizontal="center" vertical="center"/>
    </xf>
    <xf numFmtId="182" fontId="5" fillId="0" borderId="6" xfId="5" applyFont="1" applyFill="1" applyBorder="1" applyAlignment="1">
      <alignment horizontal="center" vertical="center"/>
    </xf>
    <xf numFmtId="182" fontId="5" fillId="0" borderId="7" xfId="5" applyFont="1" applyFill="1" applyBorder="1" applyAlignment="1">
      <alignment horizontal="center" vertical="center"/>
    </xf>
    <xf numFmtId="0" fontId="3" fillId="0" borderId="1" xfId="0" applyFont="1" applyFill="1" applyBorder="1" applyAlignment="1">
      <alignment horizontal="right" vertical="center"/>
    </xf>
    <xf numFmtId="182" fontId="1" fillId="0" borderId="1" xfId="5" applyFont="1" applyFill="1" applyBorder="1" applyAlignment="1">
      <alignment vertical="center"/>
    </xf>
    <xf numFmtId="182" fontId="3" fillId="0" borderId="1" xfId="5" applyFont="1" applyFill="1" applyBorder="1" applyAlignment="1">
      <alignment vertical="center"/>
    </xf>
    <xf numFmtId="0" fontId="2" fillId="0" borderId="1" xfId="0" applyFont="1" applyFill="1" applyBorder="1" applyAlignment="1">
      <alignment vertical="center"/>
    </xf>
    <xf numFmtId="0" fontId="5" fillId="3" borderId="1" xfId="44" applyFont="1" applyFill="1" applyBorder="1" applyAlignment="1" applyProtection="1">
      <alignment vertical="center"/>
    </xf>
    <xf numFmtId="0" fontId="5" fillId="4" borderId="1" xfId="44" applyFont="1" applyFill="1" applyBorder="1" applyAlignment="1" applyProtection="1">
      <alignment vertical="center"/>
    </xf>
    <xf numFmtId="0" fontId="5" fillId="0" borderId="4" xfId="44" applyFont="1" applyFill="1" applyBorder="1" applyAlignment="1" applyProtection="1">
      <alignment vertical="center"/>
    </xf>
    <xf numFmtId="0" fontId="5" fillId="0" borderId="0" xfId="44" applyFont="1" applyFill="1" applyBorder="1" applyAlignment="1" applyProtection="1">
      <alignment vertical="center"/>
    </xf>
    <xf numFmtId="0" fontId="9" fillId="0" borderId="0" xfId="6" applyFont="1" applyFill="1" applyBorder="1" applyAlignment="1" applyProtection="1">
      <alignment vertical="center"/>
    </xf>
    <xf numFmtId="0" fontId="1" fillId="0" borderId="0" xfId="44" applyFont="1" applyFill="1" applyBorder="1" applyAlignment="1" applyProtection="1">
      <alignment vertical="center"/>
    </xf>
    <xf numFmtId="182" fontId="1" fillId="0" borderId="0" xfId="5" applyFont="1" applyFill="1" applyBorder="1" applyAlignment="1">
      <alignment vertical="center"/>
    </xf>
    <xf numFmtId="0" fontId="5" fillId="4" borderId="1" xfId="44" applyFont="1" applyFill="1" applyBorder="1" applyAlignment="1" applyProtection="1">
      <alignment horizontal="right" vertical="center"/>
    </xf>
    <xf numFmtId="0" fontId="5" fillId="0" borderId="4" xfId="44" applyFont="1" applyFill="1" applyBorder="1" applyAlignment="1" applyProtection="1">
      <alignment horizontal="left" vertical="center"/>
    </xf>
    <xf numFmtId="0" fontId="5" fillId="0" borderId="0" xfId="44" applyFont="1" applyFill="1" applyBorder="1" applyAlignment="1" applyProtection="1">
      <alignment horizontal="left" vertical="center"/>
    </xf>
    <xf numFmtId="0" fontId="1" fillId="0" borderId="0" xfId="44" applyFont="1" applyFill="1" applyBorder="1" applyAlignment="1" applyProtection="1">
      <alignment horizontal="left" vertical="center"/>
    </xf>
    <xf numFmtId="0" fontId="5" fillId="0" borderId="6" xfId="44" applyFont="1" applyFill="1" applyBorder="1" applyAlignment="1" applyProtection="1">
      <alignment horizontal="left" vertical="center"/>
    </xf>
    <xf numFmtId="0" fontId="5" fillId="0" borderId="7" xfId="44" applyFont="1" applyFill="1" applyBorder="1" applyAlignment="1" applyProtection="1">
      <alignment horizontal="left" vertical="center"/>
    </xf>
    <xf numFmtId="0" fontId="1" fillId="0" borderId="7" xfId="44" applyFont="1" applyFill="1" applyBorder="1" applyAlignment="1" applyProtection="1">
      <alignment horizontal="left" vertical="center"/>
    </xf>
    <xf numFmtId="182" fontId="1" fillId="0" borderId="7" xfId="5" applyFont="1" applyFill="1" applyBorder="1" applyAlignment="1">
      <alignment vertical="center"/>
    </xf>
    <xf numFmtId="43" fontId="3" fillId="4" borderId="1" xfId="5" applyNumberFormat="1" applyFont="1" applyFill="1" applyBorder="1" applyAlignment="1">
      <alignment vertical="center"/>
    </xf>
    <xf numFmtId="43" fontId="3" fillId="0" borderId="1" xfId="5" applyNumberFormat="1" applyFont="1" applyFill="1" applyBorder="1" applyAlignment="1">
      <alignment vertical="center"/>
    </xf>
    <xf numFmtId="43" fontId="7" fillId="3" borderId="1" xfId="5" applyNumberFormat="1" applyFont="1" applyFill="1" applyBorder="1" applyAlignment="1">
      <alignment horizontal="center" vertical="center"/>
    </xf>
    <xf numFmtId="43" fontId="7" fillId="3" borderId="1" xfId="5" applyNumberFormat="1" applyFont="1" applyFill="1" applyBorder="1" applyAlignment="1">
      <alignment horizontal="center" vertical="center" wrapText="1"/>
    </xf>
    <xf numFmtId="182" fontId="3" fillId="4" borderId="1" xfId="5" applyFont="1" applyFill="1" applyBorder="1" applyAlignment="1">
      <alignment vertical="center"/>
    </xf>
    <xf numFmtId="43" fontId="7" fillId="3" borderId="1" xfId="5" applyNumberFormat="1" applyFont="1" applyFill="1" applyBorder="1" applyAlignment="1">
      <alignment vertical="center"/>
    </xf>
    <xf numFmtId="182" fontId="1" fillId="0" borderId="5" xfId="5" applyFont="1" applyFill="1" applyBorder="1" applyAlignment="1">
      <alignment vertical="center"/>
    </xf>
    <xf numFmtId="182" fontId="2" fillId="0" borderId="0" xfId="5" applyFont="1" applyFill="1" applyBorder="1" applyAlignment="1">
      <alignment vertical="center"/>
    </xf>
    <xf numFmtId="182" fontId="3" fillId="0" borderId="0" xfId="5" applyFont="1" applyFill="1" applyBorder="1" applyAlignment="1">
      <alignment vertical="center"/>
    </xf>
    <xf numFmtId="0" fontId="3" fillId="0" borderId="0" xfId="0" applyFont="1" applyFill="1" applyAlignment="1">
      <alignment vertical="center"/>
    </xf>
    <xf numFmtId="0" fontId="2" fillId="0" borderId="0" xfId="0" applyFont="1" applyFill="1" applyAlignment="1">
      <alignment vertical="center"/>
    </xf>
    <xf numFmtId="0" fontId="5" fillId="3" borderId="0" xfId="44" applyFont="1" applyFill="1" applyBorder="1" applyAlignment="1" applyProtection="1">
      <alignment vertical="center"/>
    </xf>
    <xf numFmtId="0" fontId="5" fillId="4" borderId="0" xfId="44" applyFont="1" applyFill="1" applyBorder="1" applyAlignment="1" applyProtection="1">
      <alignment vertical="center"/>
    </xf>
    <xf numFmtId="182" fontId="5" fillId="0" borderId="0" xfId="5" applyFont="1" applyFill="1" applyBorder="1" applyAlignment="1">
      <alignment vertical="center"/>
    </xf>
    <xf numFmtId="0" fontId="6" fillId="0" borderId="0" xfId="6" applyFont="1" applyAlignment="1" applyProtection="1">
      <alignment vertical="center"/>
    </xf>
    <xf numFmtId="0" fontId="5" fillId="3" borderId="0" xfId="44" applyFont="1" applyFill="1" applyBorder="1" applyAlignment="1" applyProtection="1">
      <alignment horizontal="left" vertical="center"/>
    </xf>
    <xf numFmtId="182" fontId="5" fillId="3" borderId="0" xfId="5" applyFont="1" applyFill="1" applyBorder="1" applyAlignment="1">
      <alignment vertical="center"/>
    </xf>
    <xf numFmtId="182" fontId="19" fillId="0" borderId="1" xfId="5" applyFont="1" applyFill="1" applyBorder="1" applyAlignment="1">
      <alignment horizontal="center" vertical="center"/>
    </xf>
    <xf numFmtId="182" fontId="19" fillId="3" borderId="1" xfId="5" applyFont="1" applyFill="1" applyBorder="1" applyAlignment="1">
      <alignment horizontal="center" vertical="center"/>
    </xf>
    <xf numFmtId="182" fontId="3" fillId="0" borderId="0" xfId="5" applyFont="1" applyBorder="1" applyAlignment="1">
      <alignment horizontal="center" vertical="center"/>
    </xf>
    <xf numFmtId="182" fontId="3" fillId="9" borderId="0" xfId="5" applyFont="1" applyFill="1" applyBorder="1" applyAlignment="1">
      <alignment horizontal="center" vertical="center"/>
    </xf>
    <xf numFmtId="182" fontId="3" fillId="10" borderId="0" xfId="5" applyFont="1" applyFill="1" applyBorder="1" applyAlignment="1">
      <alignment horizontal="center" vertical="center"/>
    </xf>
    <xf numFmtId="182" fontId="2" fillId="0" borderId="0" xfId="5" applyFont="1" applyBorder="1" applyAlignment="1">
      <alignment horizontal="center" vertical="center"/>
    </xf>
    <xf numFmtId="0" fontId="2" fillId="0" borderId="0" xfId="0" applyNumberFormat="1" applyFont="1" applyFill="1" applyBorder="1" applyAlignment="1">
      <alignment horizontal="center" vertical="center"/>
    </xf>
    <xf numFmtId="182" fontId="1" fillId="4" borderId="0" xfId="5" applyFont="1" applyFill="1" applyBorder="1" applyAlignment="1">
      <alignment horizontal="center" vertical="center"/>
    </xf>
    <xf numFmtId="0" fontId="2" fillId="0" borderId="0" xfId="0" applyNumberFormat="1" applyFont="1" applyFill="1" applyAlignment="1">
      <alignment horizontal="center" vertical="center"/>
    </xf>
    <xf numFmtId="0" fontId="2" fillId="0" borderId="0" xfId="0" applyNumberFormat="1" applyFont="1" applyFill="1" applyBorder="1" applyAlignment="1" applyProtection="1">
      <alignment horizontal="center" vertical="center"/>
      <protection locked="0"/>
    </xf>
    <xf numFmtId="0" fontId="2" fillId="0" borderId="0" xfId="0" applyFont="1" applyFill="1" applyBorder="1" applyAlignment="1" applyProtection="1">
      <alignment horizontal="center" vertical="center"/>
      <protection locked="0"/>
    </xf>
    <xf numFmtId="182" fontId="5" fillId="3" borderId="0" xfId="5" applyFont="1" applyFill="1" applyBorder="1" applyAlignment="1">
      <alignment horizontal="center" vertical="center"/>
    </xf>
    <xf numFmtId="178" fontId="7" fillId="3" borderId="1" xfId="5" applyNumberFormat="1" applyFont="1" applyFill="1" applyBorder="1" applyAlignment="1" applyProtection="1">
      <alignment horizontal="center" vertical="center"/>
      <protection locked="0"/>
    </xf>
    <xf numFmtId="178" fontId="7" fillId="3" borderId="1" xfId="5" applyNumberFormat="1" applyFont="1" applyFill="1" applyBorder="1" applyAlignment="1">
      <alignment horizontal="center" vertical="center"/>
    </xf>
    <xf numFmtId="0" fontId="7" fillId="3" borderId="1" xfId="0" applyFont="1" applyFill="1" applyBorder="1" applyAlignment="1" applyProtection="1">
      <alignment horizontal="center" vertical="center"/>
      <protection locked="0"/>
    </xf>
    <xf numFmtId="193" fontId="7" fillId="3" borderId="1" xfId="63" applyNumberFormat="1" applyFont="1" applyFill="1" applyBorder="1" applyAlignment="1" applyProtection="1">
      <alignment horizontal="center" vertical="center"/>
      <protection locked="0"/>
    </xf>
    <xf numFmtId="178" fontId="3" fillId="0" borderId="1" xfId="5" applyNumberFormat="1" applyFont="1" applyBorder="1" applyAlignment="1" applyProtection="1">
      <alignment vertical="center"/>
      <protection locked="0"/>
    </xf>
    <xf numFmtId="0" fontId="3" fillId="0" borderId="1" xfId="0" applyNumberFormat="1" applyFont="1" applyFill="1" applyBorder="1" applyAlignment="1" applyProtection="1">
      <alignment horizontal="center" vertical="center"/>
      <protection locked="0"/>
    </xf>
    <xf numFmtId="0" fontId="3" fillId="0" borderId="1" xfId="48" applyFont="1" applyFill="1" applyBorder="1" applyAlignment="1">
      <alignment horizontal="center" vertical="center"/>
    </xf>
    <xf numFmtId="0" fontId="3" fillId="0" borderId="1" xfId="63" applyNumberFormat="1" applyFont="1" applyFill="1" applyBorder="1" applyAlignment="1" applyProtection="1">
      <alignment horizontal="center" vertical="center"/>
      <protection locked="0"/>
    </xf>
    <xf numFmtId="178" fontId="3" fillId="0" borderId="1" xfId="5" applyNumberFormat="1" applyFont="1" applyBorder="1" applyAlignment="1" applyProtection="1">
      <alignment vertical="center" wrapText="1"/>
      <protection locked="0"/>
    </xf>
    <xf numFmtId="0" fontId="3" fillId="0" borderId="1" xfId="0" applyNumberFormat="1" applyFont="1" applyFill="1" applyBorder="1" applyAlignment="1">
      <alignment horizontal="center" vertical="center" wrapText="1"/>
    </xf>
    <xf numFmtId="193" fontId="3" fillId="0" borderId="1" xfId="0" applyNumberFormat="1" applyFont="1" applyFill="1" applyBorder="1" applyAlignment="1">
      <alignment horizontal="center" vertical="center" wrapText="1"/>
    </xf>
    <xf numFmtId="0" fontId="3" fillId="0" borderId="1" xfId="25" applyNumberFormat="1" applyFont="1" applyFill="1" applyBorder="1" applyAlignment="1">
      <alignment horizontal="center" vertical="center" wrapText="1"/>
    </xf>
    <xf numFmtId="193" fontId="3" fillId="0" borderId="1" xfId="25" applyNumberFormat="1" applyFont="1" applyFill="1" applyBorder="1" applyAlignment="1">
      <alignment horizontal="center" vertical="center" wrapText="1"/>
    </xf>
    <xf numFmtId="178" fontId="10" fillId="0" borderId="1" xfId="5" applyNumberFormat="1" applyFont="1" applyBorder="1" applyAlignment="1" applyProtection="1">
      <alignment vertical="center"/>
      <protection locked="0"/>
    </xf>
    <xf numFmtId="193" fontId="3" fillId="0" borderId="1" xfId="5" applyNumberFormat="1" applyFont="1" applyFill="1" applyBorder="1" applyAlignment="1">
      <alignment horizontal="center" vertical="center" wrapText="1"/>
    </xf>
    <xf numFmtId="178" fontId="3" fillId="0" borderId="1" xfId="5" applyNumberFormat="1" applyFont="1" applyFill="1" applyBorder="1" applyAlignment="1" applyProtection="1">
      <alignment vertical="center"/>
      <protection locked="0"/>
    </xf>
    <xf numFmtId="193" fontId="3" fillId="0" borderId="1" xfId="50" applyNumberFormat="1" applyFont="1" applyFill="1" applyBorder="1" applyAlignment="1">
      <alignment horizontal="center" vertical="center" wrapText="1"/>
    </xf>
    <xf numFmtId="178" fontId="10" fillId="0" borderId="1" xfId="5" applyNumberFormat="1" applyFont="1" applyFill="1" applyBorder="1" applyAlignment="1" applyProtection="1">
      <alignment vertical="center"/>
      <protection locked="0"/>
    </xf>
    <xf numFmtId="178" fontId="13" fillId="0" borderId="1" xfId="5" applyNumberFormat="1" applyFont="1" applyBorder="1" applyAlignment="1" applyProtection="1">
      <alignment vertical="center" wrapText="1"/>
      <protection locked="0"/>
    </xf>
    <xf numFmtId="0" fontId="3" fillId="0" borderId="1" xfId="0" applyNumberFormat="1" applyFont="1" applyFill="1" applyBorder="1" applyAlignment="1">
      <alignment horizontal="center" vertical="center"/>
    </xf>
    <xf numFmtId="0" fontId="3" fillId="9" borderId="1" xfId="25" applyNumberFormat="1" applyFont="1" applyFill="1" applyBorder="1" applyAlignment="1">
      <alignment horizontal="center" vertical="center" wrapText="1"/>
    </xf>
    <xf numFmtId="193" fontId="3" fillId="9" borderId="1" xfId="25" applyNumberFormat="1" applyFont="1" applyFill="1" applyBorder="1" applyAlignment="1">
      <alignment horizontal="center" vertical="center" wrapText="1"/>
    </xf>
    <xf numFmtId="193" fontId="3" fillId="9" borderId="1" xfId="0" applyNumberFormat="1" applyFont="1" applyFill="1" applyBorder="1" applyAlignment="1">
      <alignment horizontal="center" vertical="center" wrapText="1"/>
    </xf>
    <xf numFmtId="0" fontId="3" fillId="9" borderId="1" xfId="0" applyNumberFormat="1" applyFont="1" applyFill="1" applyBorder="1" applyAlignment="1">
      <alignment horizontal="center" vertical="center" wrapText="1"/>
    </xf>
    <xf numFmtId="0" fontId="3" fillId="0" borderId="1" xfId="44" applyFont="1" applyFill="1" applyBorder="1" applyAlignment="1" applyProtection="1">
      <alignment horizontal="center" vertical="center"/>
    </xf>
    <xf numFmtId="178" fontId="3" fillId="0" borderId="1" xfId="0" applyNumberFormat="1" applyFont="1" applyFill="1" applyBorder="1" applyAlignment="1">
      <alignment horizontal="center" vertical="center"/>
    </xf>
    <xf numFmtId="0" fontId="5" fillId="3" borderId="2" xfId="44" applyFont="1" applyFill="1" applyBorder="1" applyAlignment="1" applyProtection="1">
      <alignment horizontal="center" vertical="center"/>
    </xf>
    <xf numFmtId="182" fontId="1" fillId="4" borderId="2" xfId="5" applyFont="1" applyFill="1" applyBorder="1" applyAlignment="1">
      <alignment horizontal="center" vertical="center"/>
    </xf>
    <xf numFmtId="178" fontId="3" fillId="0" borderId="2" xfId="0" applyNumberFormat="1" applyFont="1" applyBorder="1" applyAlignment="1">
      <alignment horizontal="center" vertical="center"/>
    </xf>
    <xf numFmtId="182" fontId="3" fillId="0" borderId="2" xfId="5" applyFont="1" applyBorder="1" applyAlignment="1">
      <alignment horizontal="center" vertical="center"/>
    </xf>
    <xf numFmtId="0" fontId="3" fillId="0" borderId="2" xfId="0" applyNumberFormat="1" applyFont="1" applyFill="1" applyBorder="1" applyAlignment="1">
      <alignment horizontal="center" vertical="center" wrapText="1"/>
    </xf>
    <xf numFmtId="193" fontId="3" fillId="0" borderId="2" xfId="0" applyNumberFormat="1" applyFont="1" applyFill="1" applyBorder="1" applyAlignment="1">
      <alignment horizontal="center" vertical="center" wrapText="1"/>
    </xf>
    <xf numFmtId="0" fontId="5" fillId="0" borderId="0" xfId="0" applyFont="1" applyFill="1" applyBorder="1" applyAlignment="1" applyProtection="1">
      <alignment horizontal="center" vertical="center"/>
      <protection locked="0"/>
    </xf>
    <xf numFmtId="43" fontId="3" fillId="0" borderId="1" xfId="0" applyNumberFormat="1" applyFont="1" applyFill="1" applyBorder="1" applyAlignment="1" applyProtection="1">
      <alignment horizontal="center" vertical="center"/>
      <protection locked="0"/>
    </xf>
    <xf numFmtId="0" fontId="3" fillId="0" borderId="1" xfId="0" applyFont="1" applyFill="1" applyBorder="1" applyAlignment="1" applyProtection="1">
      <alignment horizontal="center" vertical="center"/>
      <protection locked="0"/>
    </xf>
    <xf numFmtId="0" fontId="3" fillId="0" borderId="1" xfId="48" applyFont="1" applyBorder="1" applyAlignment="1">
      <alignment horizontal="center" vertical="center"/>
    </xf>
    <xf numFmtId="193" fontId="3" fillId="0" borderId="1" xfId="63" applyNumberFormat="1" applyFont="1" applyFill="1" applyBorder="1" applyAlignment="1" applyProtection="1">
      <alignment horizontal="center" vertical="center"/>
      <protection locked="0"/>
    </xf>
    <xf numFmtId="0" fontId="3" fillId="0" borderId="1" xfId="63" applyFont="1" applyFill="1" applyBorder="1" applyAlignment="1" applyProtection="1">
      <alignment horizontal="center" vertical="center"/>
      <protection locked="0"/>
    </xf>
    <xf numFmtId="193" fontId="3" fillId="0" borderId="1" xfId="63" applyNumberFormat="1" applyFont="1" applyFill="1" applyBorder="1" applyAlignment="1" applyProtection="1">
      <alignment horizontal="center" vertical="center" wrapText="1"/>
      <protection locked="0"/>
    </xf>
    <xf numFmtId="0" fontId="3" fillId="0" borderId="1" xfId="47" applyFont="1" applyBorder="1" applyAlignment="1">
      <alignment horizontal="center" vertical="center"/>
    </xf>
    <xf numFmtId="0" fontId="3" fillId="0" borderId="1" xfId="47" applyFont="1" applyBorder="1" applyAlignment="1">
      <alignment horizontal="center" vertical="center" wrapText="1"/>
    </xf>
    <xf numFmtId="0" fontId="3" fillId="0" borderId="1" xfId="47" applyFont="1" applyFill="1" applyBorder="1" applyAlignment="1">
      <alignment horizontal="center" vertical="center"/>
    </xf>
    <xf numFmtId="9" fontId="3" fillId="0" borderId="1" xfId="0" applyNumberFormat="1" applyFont="1" applyFill="1" applyBorder="1" applyAlignment="1" applyProtection="1">
      <alignment horizontal="center" vertical="center"/>
      <protection locked="0"/>
    </xf>
    <xf numFmtId="193" fontId="3" fillId="0" borderId="1" xfId="0" applyNumberFormat="1" applyFont="1" applyFill="1" applyBorder="1" applyAlignment="1" applyProtection="1">
      <alignment horizontal="center" vertical="center"/>
      <protection locked="0"/>
    </xf>
    <xf numFmtId="193" fontId="3" fillId="9" borderId="1" xfId="5" applyNumberFormat="1" applyFont="1" applyFill="1" applyBorder="1" applyAlignment="1">
      <alignment horizontal="center" vertical="center" wrapText="1"/>
    </xf>
    <xf numFmtId="193" fontId="3" fillId="9" borderId="1" xfId="0" applyNumberFormat="1" applyFont="1" applyFill="1" applyBorder="1" applyAlignment="1" applyProtection="1">
      <alignment horizontal="center" vertical="center"/>
      <protection locked="0"/>
    </xf>
    <xf numFmtId="0" fontId="3" fillId="9" borderId="1" xfId="0" applyFont="1" applyFill="1" applyBorder="1" applyAlignment="1" applyProtection="1">
      <alignment horizontal="center" vertical="center"/>
      <protection locked="0"/>
    </xf>
    <xf numFmtId="193" fontId="3" fillId="0" borderId="1" xfId="2" applyNumberFormat="1" applyFont="1" applyFill="1" applyBorder="1" applyAlignment="1">
      <alignment horizontal="center" vertical="center" wrapText="1"/>
    </xf>
    <xf numFmtId="193" fontId="3" fillId="0" borderId="2" xfId="0" applyNumberFormat="1" applyFont="1" applyFill="1" applyBorder="1" applyAlignment="1" applyProtection="1">
      <alignment horizontal="center" vertical="center"/>
      <protection locked="0"/>
    </xf>
    <xf numFmtId="0" fontId="3" fillId="0" borderId="2" xfId="0" applyFont="1" applyFill="1" applyBorder="1" applyAlignment="1" applyProtection="1">
      <alignment horizontal="center" vertical="center"/>
      <protection locked="0"/>
    </xf>
    <xf numFmtId="43" fontId="7" fillId="3" borderId="1" xfId="0" applyNumberFormat="1" applyFont="1" applyFill="1" applyBorder="1" applyAlignment="1" applyProtection="1">
      <alignment horizontal="center" vertical="center"/>
      <protection locked="0"/>
    </xf>
    <xf numFmtId="193" fontId="3" fillId="0" borderId="1" xfId="47" applyNumberFormat="1" applyFont="1" applyFill="1" applyBorder="1" applyAlignment="1">
      <alignment horizontal="center" vertical="center"/>
    </xf>
    <xf numFmtId="193" fontId="3" fillId="0" borderId="1" xfId="47" applyNumberFormat="1" applyFont="1" applyBorder="1" applyAlignment="1">
      <alignment horizontal="center" vertical="center"/>
    </xf>
    <xf numFmtId="182" fontId="3" fillId="0" borderId="1" xfId="47" applyNumberFormat="1" applyFont="1" applyBorder="1" applyAlignment="1">
      <alignment horizontal="center" vertical="center"/>
    </xf>
    <xf numFmtId="182" fontId="10" fillId="0" borderId="0" xfId="5" applyFont="1" applyBorder="1" applyAlignment="1">
      <alignment horizontal="center" vertical="center"/>
    </xf>
    <xf numFmtId="43" fontId="3" fillId="0" borderId="1" xfId="63" applyNumberFormat="1" applyFont="1" applyFill="1" applyBorder="1" applyAlignment="1" applyProtection="1">
      <alignment horizontal="center" vertical="center"/>
      <protection locked="0"/>
    </xf>
    <xf numFmtId="43" fontId="3" fillId="0" borderId="1" xfId="47" applyNumberFormat="1" applyFont="1" applyFill="1" applyBorder="1" applyAlignment="1">
      <alignment horizontal="center" vertical="center"/>
    </xf>
    <xf numFmtId="43" fontId="3" fillId="9" borderId="1" xfId="0" applyNumberFormat="1" applyFont="1" applyFill="1" applyBorder="1" applyAlignment="1" applyProtection="1">
      <alignment horizontal="center" vertical="center"/>
      <protection locked="0"/>
    </xf>
    <xf numFmtId="182" fontId="5" fillId="3" borderId="7" xfId="5" applyFont="1" applyFill="1" applyBorder="1" applyAlignment="1">
      <alignment horizontal="center" vertical="center"/>
    </xf>
    <xf numFmtId="182" fontId="3" fillId="0" borderId="7" xfId="5" applyFont="1" applyBorder="1" applyAlignment="1">
      <alignment horizontal="center" vertical="center"/>
    </xf>
    <xf numFmtId="0" fontId="3" fillId="0" borderId="7" xfId="0" applyNumberFormat="1" applyFont="1" applyFill="1" applyBorder="1" applyAlignment="1">
      <alignment horizontal="center" vertical="center" wrapText="1"/>
    </xf>
    <xf numFmtId="193" fontId="3" fillId="0" borderId="7" xfId="0" applyNumberFormat="1" applyFont="1" applyFill="1" applyBorder="1" applyAlignment="1">
      <alignment horizontal="center" vertical="center" wrapText="1"/>
    </xf>
    <xf numFmtId="178" fontId="3" fillId="0" borderId="1" xfId="5" applyNumberFormat="1" applyFont="1" applyFill="1" applyBorder="1" applyAlignment="1">
      <alignment vertical="center"/>
    </xf>
    <xf numFmtId="178" fontId="3" fillId="0" borderId="1" xfId="5" applyNumberFormat="1" applyFont="1" applyFill="1" applyBorder="1" applyAlignment="1">
      <alignment vertical="center" wrapText="1"/>
    </xf>
    <xf numFmtId="178" fontId="13" fillId="0" borderId="1" xfId="5" applyNumberFormat="1" applyFont="1" applyFill="1" applyBorder="1" applyAlignment="1">
      <alignment vertical="center"/>
    </xf>
    <xf numFmtId="193" fontId="3" fillId="0" borderId="1" xfId="0" applyNumberFormat="1" applyFont="1" applyFill="1" applyBorder="1" applyAlignment="1" applyProtection="1">
      <alignment horizontal="center" vertical="center" wrapText="1"/>
      <protection locked="0"/>
    </xf>
    <xf numFmtId="0" fontId="3" fillId="0" borderId="1" xfId="0" applyFont="1" applyFill="1" applyBorder="1" applyAlignment="1" applyProtection="1">
      <alignment horizontal="center" vertical="center" wrapText="1"/>
      <protection locked="0"/>
    </xf>
    <xf numFmtId="0" fontId="5" fillId="3" borderId="2" xfId="44" applyFont="1" applyFill="1" applyBorder="1" applyAlignment="1" applyProtection="1">
      <alignment vertical="center"/>
    </xf>
    <xf numFmtId="0" fontId="5" fillId="3" borderId="7" xfId="44" applyFont="1" applyFill="1" applyBorder="1" applyAlignment="1" applyProtection="1">
      <alignment vertical="center"/>
    </xf>
    <xf numFmtId="178" fontId="7" fillId="3" borderId="1" xfId="5" applyNumberFormat="1" applyFont="1" applyFill="1" applyBorder="1" applyAlignment="1" applyProtection="1">
      <alignment vertical="center"/>
      <protection locked="0"/>
    </xf>
    <xf numFmtId="193" fontId="3" fillId="0" borderId="7" xfId="0" applyNumberFormat="1"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176" fontId="3" fillId="0" borderId="1" xfId="2" applyNumberFormat="1" applyFont="1" applyFill="1" applyBorder="1" applyAlignment="1">
      <alignment horizontal="center" vertical="center" wrapText="1"/>
    </xf>
    <xf numFmtId="193" fontId="3" fillId="0" borderId="1" xfId="5" applyNumberFormat="1" applyFont="1" applyFill="1" applyBorder="1" applyAlignment="1" applyProtection="1">
      <alignment horizontal="center" vertical="center" wrapText="1"/>
      <protection locked="0"/>
    </xf>
    <xf numFmtId="178" fontId="3" fillId="0" borderId="1" xfId="0" applyNumberFormat="1" applyFont="1" applyFill="1" applyBorder="1" applyAlignment="1" applyProtection="1">
      <alignment horizontal="center" vertical="center"/>
      <protection locked="0"/>
    </xf>
    <xf numFmtId="193" fontId="3" fillId="0" borderId="1" xfId="5" applyNumberFormat="1" applyFont="1" applyFill="1" applyBorder="1" applyAlignment="1" applyProtection="1">
      <alignment horizontal="center" vertical="center"/>
      <protection locked="0"/>
    </xf>
    <xf numFmtId="182" fontId="3" fillId="0" borderId="1" xfId="5" applyFont="1" applyFill="1" applyBorder="1" applyAlignment="1" applyProtection="1">
      <alignment horizontal="center" vertical="center"/>
      <protection locked="0"/>
    </xf>
    <xf numFmtId="182" fontId="3" fillId="0" borderId="1" xfId="0" applyNumberFormat="1" applyFont="1" applyFill="1" applyBorder="1" applyAlignment="1" applyProtection="1">
      <alignment horizontal="center" vertical="center"/>
      <protection locked="0"/>
    </xf>
    <xf numFmtId="178" fontId="13" fillId="9" borderId="1" xfId="5" applyNumberFormat="1" applyFont="1" applyFill="1" applyBorder="1" applyAlignment="1">
      <alignment vertical="center" wrapText="1"/>
    </xf>
    <xf numFmtId="178" fontId="13" fillId="0" borderId="1" xfId="5" applyNumberFormat="1" applyFont="1" applyFill="1" applyBorder="1" applyAlignment="1">
      <alignment vertical="center" wrapText="1"/>
    </xf>
    <xf numFmtId="178" fontId="3" fillId="0" borderId="1" xfId="5" applyNumberFormat="1" applyFont="1" applyBorder="1" applyAlignment="1">
      <alignment vertical="center"/>
    </xf>
    <xf numFmtId="178" fontId="5" fillId="3" borderId="1" xfId="0" applyNumberFormat="1" applyFont="1" applyFill="1" applyBorder="1" applyAlignment="1">
      <alignment horizontal="center" vertical="center"/>
    </xf>
    <xf numFmtId="182" fontId="5" fillId="0" borderId="2" xfId="5" applyFont="1" applyFill="1" applyBorder="1" applyAlignment="1">
      <alignment horizontal="center" vertical="center"/>
    </xf>
    <xf numFmtId="178" fontId="2" fillId="0" borderId="0" xfId="0" applyNumberFormat="1" applyFont="1" applyBorder="1" applyAlignment="1">
      <alignment horizontal="center" vertical="center"/>
    </xf>
    <xf numFmtId="182" fontId="5" fillId="4" borderId="0" xfId="5" applyFont="1" applyFill="1" applyBorder="1" applyAlignment="1">
      <alignment horizontal="center" vertical="center"/>
    </xf>
    <xf numFmtId="182" fontId="10" fillId="0" borderId="1" xfId="5" applyFont="1" applyBorder="1" applyAlignment="1">
      <alignment horizontal="center" vertical="center"/>
    </xf>
    <xf numFmtId="182" fontId="10" fillId="4" borderId="1" xfId="5" applyFont="1" applyFill="1" applyBorder="1" applyAlignment="1">
      <alignment horizontal="center" vertical="center"/>
    </xf>
    <xf numFmtId="182" fontId="5" fillId="4" borderId="2" xfId="5" applyFont="1" applyFill="1" applyBorder="1" applyAlignment="1">
      <alignment horizontal="center" vertical="center"/>
    </xf>
    <xf numFmtId="178" fontId="2" fillId="0" borderId="2" xfId="0" applyNumberFormat="1" applyFont="1" applyBorder="1" applyAlignment="1">
      <alignment horizontal="center" vertical="center"/>
    </xf>
    <xf numFmtId="182" fontId="2" fillId="0" borderId="2" xfId="5" applyFont="1" applyBorder="1" applyAlignment="1">
      <alignment horizontal="center" vertical="center"/>
    </xf>
    <xf numFmtId="0" fontId="2" fillId="0" borderId="2" xfId="0" applyNumberFormat="1" applyFont="1" applyFill="1" applyBorder="1" applyAlignment="1">
      <alignment horizontal="center" vertical="center"/>
    </xf>
    <xf numFmtId="0" fontId="2" fillId="0" borderId="2" xfId="0" applyFont="1" applyFill="1" applyBorder="1" applyAlignment="1">
      <alignment horizontal="center" vertical="center"/>
    </xf>
    <xf numFmtId="182" fontId="2" fillId="0" borderId="7" xfId="5" applyFont="1" applyBorder="1" applyAlignment="1">
      <alignment horizontal="center" vertical="center"/>
    </xf>
    <xf numFmtId="0" fontId="2" fillId="0" borderId="7" xfId="0" applyNumberFormat="1" applyFont="1" applyFill="1" applyBorder="1" applyAlignment="1">
      <alignment horizontal="center" vertical="center"/>
    </xf>
    <xf numFmtId="0" fontId="7" fillId="3" borderId="1" xfId="0" applyNumberFormat="1" applyFont="1" applyFill="1" applyBorder="1" applyAlignment="1">
      <alignment horizontal="center" vertical="center"/>
    </xf>
    <xf numFmtId="0" fontId="1" fillId="0" borderId="1" xfId="49" applyFont="1" applyFill="1" applyBorder="1" applyAlignment="1">
      <alignment horizontal="center" vertical="center" wrapText="1"/>
    </xf>
    <xf numFmtId="0" fontId="1" fillId="9" borderId="1" xfId="49" applyFont="1" applyFill="1" applyBorder="1" applyAlignment="1">
      <alignment horizontal="center" vertical="center"/>
    </xf>
    <xf numFmtId="0" fontId="1" fillId="0" borderId="1" xfId="49" applyFont="1" applyFill="1" applyBorder="1" applyAlignment="1">
      <alignment horizontal="center" vertical="center"/>
    </xf>
    <xf numFmtId="0" fontId="55" fillId="0" borderId="1" xfId="49" applyFont="1" applyFill="1" applyBorder="1" applyAlignment="1">
      <alignment horizontal="center" vertical="center"/>
    </xf>
    <xf numFmtId="0" fontId="1" fillId="0" borderId="1" xfId="3" applyFont="1" applyFill="1" applyBorder="1" applyAlignment="1">
      <alignment horizontal="center" vertical="center"/>
    </xf>
    <xf numFmtId="0" fontId="5" fillId="0" borderId="1" xfId="49" applyFont="1" applyFill="1" applyBorder="1" applyAlignment="1">
      <alignment horizontal="center" vertical="center"/>
    </xf>
    <xf numFmtId="0" fontId="5" fillId="0" borderId="1" xfId="49" applyFont="1" applyFill="1" applyBorder="1" applyAlignment="1">
      <alignment horizontal="center" vertical="center" wrapText="1"/>
    </xf>
    <xf numFmtId="43" fontId="1" fillId="0" borderId="1" xfId="49" applyNumberFormat="1" applyFont="1" applyFill="1" applyBorder="1" applyAlignment="1">
      <alignment horizontal="center" vertical="center"/>
    </xf>
    <xf numFmtId="43" fontId="2" fillId="0" borderId="1" xfId="49" applyNumberFormat="1" applyFont="1" applyFill="1" applyBorder="1" applyAlignment="1">
      <alignment horizontal="center" vertical="center"/>
    </xf>
    <xf numFmtId="0" fontId="1" fillId="9" borderId="1" xfId="49" applyFont="1" applyFill="1" applyBorder="1" applyAlignment="1">
      <alignment horizontal="center" vertical="center" wrapText="1"/>
    </xf>
    <xf numFmtId="198" fontId="1" fillId="0" borderId="1" xfId="49" applyNumberFormat="1" applyFont="1" applyFill="1" applyBorder="1" applyAlignment="1">
      <alignment horizontal="center" vertical="center"/>
    </xf>
    <xf numFmtId="4" fontId="1" fillId="0" borderId="1" xfId="49" applyNumberFormat="1" applyFont="1" applyFill="1" applyBorder="1" applyAlignment="1">
      <alignment horizontal="center" vertical="center"/>
    </xf>
    <xf numFmtId="43" fontId="1" fillId="0" borderId="0" xfId="46" applyNumberFormat="1" applyFont="1" applyBorder="1" applyAlignment="1">
      <alignment vertical="center"/>
    </xf>
    <xf numFmtId="43" fontId="3" fillId="0" borderId="0" xfId="46" applyNumberFormat="1" applyFont="1" applyBorder="1" applyAlignment="1">
      <alignment vertical="center"/>
    </xf>
    <xf numFmtId="43" fontId="7" fillId="0" borderId="0" xfId="46" applyNumberFormat="1" applyFont="1" applyBorder="1" applyAlignment="1">
      <alignment vertical="center"/>
    </xf>
    <xf numFmtId="43" fontId="7" fillId="0" borderId="0" xfId="46" applyNumberFormat="1" applyFont="1" applyAlignment="1">
      <alignment vertical="center"/>
    </xf>
    <xf numFmtId="43" fontId="1" fillId="0" borderId="0" xfId="0" applyNumberFormat="1" applyFont="1" applyAlignment="1">
      <alignment vertical="center"/>
    </xf>
    <xf numFmtId="43" fontId="2" fillId="0" borderId="0" xfId="46" applyNumberFormat="1" applyFont="1" applyBorder="1" applyAlignment="1">
      <alignment vertical="center"/>
    </xf>
    <xf numFmtId="43" fontId="2" fillId="0" borderId="0" xfId="46" applyNumberFormat="1" applyFont="1" applyBorder="1" applyAlignment="1">
      <alignment horizontal="center" vertical="center"/>
    </xf>
    <xf numFmtId="182" fontId="2" fillId="4" borderId="0" xfId="5" applyFont="1" applyFill="1" applyBorder="1" applyAlignment="1">
      <alignment vertical="center"/>
    </xf>
    <xf numFmtId="43" fontId="1" fillId="0" borderId="0" xfId="46" applyNumberFormat="1" applyFont="1" applyBorder="1" applyAlignment="1">
      <alignment horizontal="center" vertical="center"/>
    </xf>
    <xf numFmtId="43" fontId="1" fillId="0" borderId="0" xfId="46" applyNumberFormat="1" applyFont="1" applyBorder="1" applyAlignment="1">
      <alignment horizontal="right" vertical="center"/>
    </xf>
    <xf numFmtId="43" fontId="1" fillId="0" borderId="0" xfId="46" applyNumberFormat="1" applyFont="1" applyBorder="1" applyAlignment="1">
      <alignment horizontal="right" vertical="center" wrapText="1"/>
    </xf>
    <xf numFmtId="43" fontId="3" fillId="0" borderId="0" xfId="46" applyNumberFormat="1" applyFont="1" applyBorder="1" applyAlignment="1">
      <alignment horizontal="center" vertical="center"/>
    </xf>
    <xf numFmtId="4" fontId="7" fillId="0" borderId="24" xfId="0" applyNumberFormat="1" applyFont="1" applyBorder="1" applyAlignment="1">
      <alignment vertical="center"/>
    </xf>
    <xf numFmtId="43" fontId="3" fillId="0" borderId="25" xfId="46" applyNumberFormat="1" applyFont="1" applyBorder="1" applyAlignment="1">
      <alignment horizontal="center" vertical="center"/>
    </xf>
    <xf numFmtId="43" fontId="3" fillId="0" borderId="18" xfId="46" applyNumberFormat="1" applyFont="1" applyBorder="1" applyAlignment="1">
      <alignment horizontal="center" vertical="center"/>
    </xf>
    <xf numFmtId="43" fontId="3" fillId="0" borderId="16" xfId="46" applyNumberFormat="1" applyFont="1" applyBorder="1" applyAlignment="1">
      <alignment vertical="center"/>
    </xf>
    <xf numFmtId="43" fontId="3" fillId="0" borderId="19" xfId="46" applyNumberFormat="1" applyFont="1" applyBorder="1" applyAlignment="1">
      <alignment horizontal="center" vertical="center"/>
    </xf>
    <xf numFmtId="43" fontId="3" fillId="0" borderId="19" xfId="46" applyNumberFormat="1" applyFont="1" applyBorder="1" applyAlignment="1">
      <alignment vertical="center"/>
    </xf>
    <xf numFmtId="4" fontId="3" fillId="0" borderId="24" xfId="0" applyNumberFormat="1" applyFont="1" applyBorder="1" applyAlignment="1">
      <alignment vertical="center"/>
    </xf>
    <xf numFmtId="43" fontId="3" fillId="0" borderId="26" xfId="46" applyNumberFormat="1" applyFont="1" applyBorder="1" applyAlignment="1">
      <alignment horizontal="center" vertical="center"/>
    </xf>
    <xf numFmtId="43" fontId="3" fillId="0" borderId="24" xfId="46" applyNumberFormat="1" applyFont="1" applyBorder="1" applyAlignment="1">
      <alignment horizontal="center" vertical="center"/>
    </xf>
    <xf numFmtId="43" fontId="7" fillId="0" borderId="25" xfId="46" applyNumberFormat="1" applyFont="1" applyBorder="1" applyAlignment="1">
      <alignment horizontal="center" vertical="center"/>
    </xf>
    <xf numFmtId="43" fontId="7" fillId="0" borderId="26" xfId="46" applyNumberFormat="1" applyFont="1" applyBorder="1" applyAlignment="1">
      <alignment horizontal="center" vertical="center"/>
    </xf>
    <xf numFmtId="43" fontId="7" fillId="0" borderId="0" xfId="46" applyNumberFormat="1" applyFont="1" applyBorder="1" applyAlignment="1">
      <alignment horizontal="center" vertical="center"/>
    </xf>
    <xf numFmtId="43" fontId="59" fillId="0" borderId="24" xfId="46" applyNumberFormat="1" applyFont="1" applyBorder="1" applyAlignment="1">
      <alignment vertical="center"/>
    </xf>
    <xf numFmtId="43" fontId="59" fillId="0" borderId="0" xfId="46" applyNumberFormat="1" applyFont="1" applyBorder="1" applyAlignment="1">
      <alignment vertical="center"/>
    </xf>
    <xf numFmtId="4" fontId="3" fillId="0" borderId="24" xfId="0" applyNumberFormat="1" applyFont="1" applyBorder="1" applyAlignment="1">
      <alignment vertical="center" wrapText="1"/>
    </xf>
    <xf numFmtId="43" fontId="7" fillId="0" borderId="24" xfId="46" applyNumberFormat="1" applyFont="1" applyBorder="1" applyAlignment="1">
      <alignment horizontal="center" vertical="center"/>
    </xf>
    <xf numFmtId="43" fontId="7" fillId="0" borderId="25" xfId="46" applyNumberFormat="1" applyFont="1" applyFill="1" applyBorder="1" applyAlignment="1">
      <alignment horizontal="center" vertical="center"/>
    </xf>
    <xf numFmtId="43" fontId="3" fillId="0" borderId="24" xfId="46" applyNumberFormat="1" applyFont="1" applyFill="1" applyBorder="1" applyAlignment="1">
      <alignment vertical="center"/>
    </xf>
    <xf numFmtId="43" fontId="7" fillId="0" borderId="0" xfId="46" applyNumberFormat="1" applyFont="1" applyFill="1" applyBorder="1" applyAlignment="1">
      <alignment vertical="center"/>
    </xf>
    <xf numFmtId="43" fontId="7" fillId="0" borderId="0" xfId="46" applyNumberFormat="1" applyFont="1" applyAlignment="1">
      <alignment horizontal="left" vertical="center"/>
    </xf>
    <xf numFmtId="4" fontId="7" fillId="0" borderId="20" xfId="0" applyNumberFormat="1" applyFont="1" applyBorder="1" applyAlignment="1">
      <alignment vertical="center"/>
    </xf>
    <xf numFmtId="43" fontId="7" fillId="0" borderId="21" xfId="46" applyNumberFormat="1" applyFont="1" applyFill="1" applyBorder="1" applyAlignment="1">
      <alignment horizontal="center" vertical="center"/>
    </xf>
    <xf numFmtId="43" fontId="7" fillId="0" borderId="22" xfId="46" applyNumberFormat="1" applyFont="1" applyBorder="1" applyAlignment="1">
      <alignment horizontal="center" vertical="center"/>
    </xf>
    <xf numFmtId="43" fontId="7" fillId="0" borderId="23" xfId="46" applyNumberFormat="1" applyFont="1" applyBorder="1" applyAlignment="1">
      <alignment horizontal="center" vertical="center"/>
    </xf>
    <xf numFmtId="43" fontId="3" fillId="0" borderId="0" xfId="0" applyNumberFormat="1" applyFont="1" applyAlignment="1">
      <alignment vertical="center"/>
    </xf>
    <xf numFmtId="43" fontId="3" fillId="0" borderId="0" xfId="0" applyNumberFormat="1" applyFont="1" applyAlignment="1">
      <alignment horizontal="left" vertical="center"/>
    </xf>
    <xf numFmtId="0" fontId="13" fillId="0" borderId="0" xfId="49" applyFont="1" applyFill="1" applyAlignment="1">
      <alignment horizontal="right" vertical="center"/>
    </xf>
    <xf numFmtId="43" fontId="7" fillId="0" borderId="23" xfId="46" applyNumberFormat="1" applyFont="1" applyBorder="1" applyAlignment="1">
      <alignment vertical="center"/>
    </xf>
    <xf numFmtId="43" fontId="5" fillId="0" borderId="0" xfId="2" applyNumberFormat="1" applyFont="1" applyBorder="1" applyAlignment="1">
      <alignment vertical="center"/>
    </xf>
    <xf numFmtId="43" fontId="5" fillId="9" borderId="0" xfId="2" applyNumberFormat="1" applyFont="1" applyFill="1" applyAlignment="1">
      <alignment vertical="center"/>
    </xf>
    <xf numFmtId="43" fontId="1" fillId="9" borderId="0" xfId="2" applyNumberFormat="1" applyFont="1" applyFill="1" applyBorder="1" applyAlignment="1">
      <alignment vertical="center"/>
    </xf>
    <xf numFmtId="43" fontId="1" fillId="0" borderId="0" xfId="2" applyNumberFormat="1" applyFont="1" applyBorder="1" applyAlignment="1">
      <alignment vertical="center"/>
    </xf>
    <xf numFmtId="43" fontId="1" fillId="0" borderId="0" xfId="2" applyNumberFormat="1" applyFont="1" applyBorder="1" applyAlignment="1">
      <alignment horizontal="center" vertical="center"/>
    </xf>
    <xf numFmtId="43" fontId="1" fillId="0" borderId="23" xfId="2" applyNumberFormat="1" applyFont="1" applyBorder="1" applyAlignment="1">
      <alignment horizontal="right" vertical="center"/>
    </xf>
    <xf numFmtId="0" fontId="2" fillId="0" borderId="0" xfId="49" applyFont="1" applyFill="1" applyAlignment="1">
      <alignment horizontal="right" vertical="center"/>
    </xf>
    <xf numFmtId="4" fontId="7" fillId="0" borderId="24" xfId="0" applyNumberFormat="1" applyFont="1" applyFill="1" applyBorder="1" applyAlignment="1">
      <alignment vertical="center"/>
    </xf>
    <xf numFmtId="49" fontId="3" fillId="0" borderId="25" xfId="0" applyNumberFormat="1" applyFont="1" applyFill="1" applyBorder="1" applyAlignment="1">
      <alignment horizontal="center" vertical="center"/>
    </xf>
    <xf numFmtId="192" fontId="7" fillId="0" borderId="18" xfId="2" applyNumberFormat="1" applyFont="1" applyBorder="1" applyAlignment="1">
      <alignment vertical="center"/>
    </xf>
    <xf numFmtId="43" fontId="7" fillId="0" borderId="24" xfId="2" applyNumberFormat="1" applyFont="1" applyBorder="1" applyAlignment="1">
      <alignment vertical="center"/>
    </xf>
    <xf numFmtId="43" fontId="7" fillId="0" borderId="0" xfId="2" applyNumberFormat="1" applyFont="1" applyBorder="1" applyAlignment="1">
      <alignment vertical="center"/>
    </xf>
    <xf numFmtId="4" fontId="3" fillId="0" borderId="24" xfId="0" applyNumberFormat="1" applyFont="1" applyFill="1" applyBorder="1" applyAlignment="1">
      <alignment vertical="center"/>
    </xf>
    <xf numFmtId="192" fontId="3" fillId="0" borderId="26" xfId="2" applyNumberFormat="1" applyFont="1" applyBorder="1" applyAlignment="1">
      <alignment vertical="center"/>
    </xf>
    <xf numFmtId="43" fontId="3" fillId="0" borderId="24" xfId="2" applyNumberFormat="1" applyFont="1" applyBorder="1" applyAlignment="1">
      <alignment vertical="center"/>
    </xf>
    <xf numFmtId="43" fontId="3" fillId="0" borderId="0" xfId="2" applyNumberFormat="1" applyFont="1" applyBorder="1" applyAlignment="1">
      <alignment vertical="center"/>
    </xf>
    <xf numFmtId="49" fontId="3" fillId="0" borderId="25" xfId="0" applyNumberFormat="1" applyFont="1" applyBorder="1" applyAlignment="1">
      <alignment horizontal="center" vertical="center"/>
    </xf>
    <xf numFmtId="4" fontId="3" fillId="9" borderId="24" xfId="0" applyNumberFormat="1" applyFont="1" applyFill="1" applyBorder="1" applyAlignment="1">
      <alignment vertical="center"/>
    </xf>
    <xf numFmtId="4" fontId="13" fillId="0" borderId="24" xfId="0" applyNumberFormat="1" applyFont="1" applyFill="1" applyBorder="1" applyAlignment="1">
      <alignment vertical="center"/>
    </xf>
    <xf numFmtId="192" fontId="7" fillId="0" borderId="26" xfId="2" applyNumberFormat="1" applyFont="1" applyBorder="1" applyAlignment="1">
      <alignment vertical="center"/>
    </xf>
    <xf numFmtId="192" fontId="7" fillId="0" borderId="0" xfId="2" applyNumberFormat="1" applyFont="1" applyBorder="1" applyAlignment="1">
      <alignment vertical="center"/>
    </xf>
    <xf numFmtId="4" fontId="3" fillId="0" borderId="24" xfId="0" applyNumberFormat="1" applyFont="1" applyFill="1" applyBorder="1" applyAlignment="1">
      <alignment vertical="center" wrapText="1"/>
    </xf>
    <xf numFmtId="43" fontId="3" fillId="0" borderId="25" xfId="2" applyNumberFormat="1" applyFont="1" applyBorder="1" applyAlignment="1">
      <alignment horizontal="left" vertical="center"/>
    </xf>
    <xf numFmtId="4" fontId="3" fillId="7" borderId="24" xfId="0" applyNumberFormat="1" applyFont="1" applyFill="1" applyBorder="1" applyAlignment="1">
      <alignment vertical="center"/>
    </xf>
    <xf numFmtId="4" fontId="3" fillId="7" borderId="24" xfId="0" applyNumberFormat="1" applyFont="1" applyFill="1" applyBorder="1" applyAlignment="1">
      <alignment horizontal="left" vertical="center" indent="4"/>
    </xf>
    <xf numFmtId="4" fontId="3" fillId="9" borderId="24" xfId="0" applyNumberFormat="1" applyFont="1" applyFill="1" applyBorder="1" applyAlignment="1">
      <alignment horizontal="left" vertical="center" wrapText="1" indent="4"/>
    </xf>
    <xf numFmtId="4" fontId="61" fillId="7" borderId="24" xfId="0" applyNumberFormat="1" applyFont="1" applyFill="1" applyBorder="1" applyAlignment="1">
      <alignment horizontal="left" vertical="center" indent="4"/>
    </xf>
    <xf numFmtId="4" fontId="3" fillId="7" borderId="24" xfId="0" applyNumberFormat="1" applyFont="1" applyFill="1" applyBorder="1" applyAlignment="1">
      <alignment horizontal="left" vertical="center" wrapText="1" indent="4"/>
    </xf>
    <xf numFmtId="4" fontId="61" fillId="7" borderId="24" xfId="0" applyNumberFormat="1" applyFont="1" applyFill="1" applyBorder="1" applyAlignment="1">
      <alignment horizontal="left" vertical="center" wrapText="1" indent="4"/>
    </xf>
    <xf numFmtId="4" fontId="3" fillId="0" borderId="20" xfId="0" applyNumberFormat="1" applyFont="1" applyFill="1" applyBorder="1" applyAlignment="1">
      <alignment vertical="center"/>
    </xf>
    <xf numFmtId="43" fontId="3" fillId="0" borderId="21" xfId="2" applyNumberFormat="1" applyFont="1" applyBorder="1" applyAlignment="1">
      <alignment horizontal="left" vertical="center"/>
    </xf>
    <xf numFmtId="192" fontId="7" fillId="0" borderId="22" xfId="2" applyNumberFormat="1" applyFont="1" applyBorder="1" applyAlignment="1">
      <alignment vertical="center"/>
    </xf>
    <xf numFmtId="43" fontId="3" fillId="0" borderId="20" xfId="2" applyNumberFormat="1" applyFont="1" applyBorder="1" applyAlignment="1">
      <alignment vertical="center"/>
    </xf>
    <xf numFmtId="43" fontId="3" fillId="0" borderId="23" xfId="2" applyNumberFormat="1" applyFont="1" applyBorder="1" applyAlignment="1">
      <alignment vertical="center"/>
    </xf>
    <xf numFmtId="43" fontId="3" fillId="0" borderId="0" xfId="2" applyNumberFormat="1" applyFont="1" applyBorder="1" applyAlignment="1">
      <alignment horizontal="center" vertical="center"/>
    </xf>
    <xf numFmtId="43" fontId="3" fillId="0" borderId="0" xfId="0" applyNumberFormat="1" applyFont="1" applyBorder="1" applyAlignment="1">
      <alignment vertical="center"/>
    </xf>
    <xf numFmtId="43" fontId="3" fillId="9" borderId="0" xfId="0" applyNumberFormat="1" applyFont="1" applyFill="1" applyAlignment="1">
      <alignment vertical="center"/>
    </xf>
    <xf numFmtId="43" fontId="7" fillId="0" borderId="0" xfId="0" applyNumberFormat="1" applyFont="1" applyAlignment="1">
      <alignment vertical="center"/>
    </xf>
    <xf numFmtId="43" fontId="62" fillId="0" borderId="0" xfId="0" applyNumberFormat="1" applyFont="1" applyAlignment="1">
      <alignment vertical="center"/>
    </xf>
    <xf numFmtId="43" fontId="1" fillId="0" borderId="0" xfId="0" applyNumberFormat="1" applyFont="1" applyAlignment="1">
      <alignment horizontal="center" vertical="center"/>
    </xf>
    <xf numFmtId="31" fontId="7" fillId="3" borderId="1" xfId="0" applyNumberFormat="1" applyFont="1" applyFill="1" applyBorder="1" applyAlignment="1">
      <alignment horizontal="center" vertical="center"/>
    </xf>
    <xf numFmtId="4" fontId="7" fillId="0" borderId="10" xfId="0" applyNumberFormat="1" applyFont="1" applyFill="1" applyBorder="1" applyAlignment="1">
      <alignment horizontal="left" vertical="center"/>
    </xf>
    <xf numFmtId="49" fontId="3" fillId="0" borderId="10" xfId="0" applyNumberFormat="1" applyFont="1" applyBorder="1" applyAlignment="1">
      <alignment horizontal="center" vertical="center"/>
    </xf>
    <xf numFmtId="192" fontId="3" fillId="0" borderId="10" xfId="0" applyNumberFormat="1" applyFont="1" applyBorder="1" applyAlignment="1">
      <alignment vertical="center"/>
    </xf>
    <xf numFmtId="4" fontId="3" fillId="0" borderId="27" xfId="0" applyNumberFormat="1" applyFont="1" applyFill="1" applyBorder="1" applyAlignment="1">
      <alignment horizontal="left" vertical="center"/>
    </xf>
    <xf numFmtId="49" fontId="3" fillId="0" borderId="27" xfId="0" applyNumberFormat="1" applyFont="1" applyBorder="1" applyAlignment="1">
      <alignment horizontal="center" vertical="center"/>
    </xf>
    <xf numFmtId="192" fontId="3" fillId="0" borderId="27" xfId="0" applyNumberFormat="1" applyFont="1" applyBorder="1" applyAlignment="1">
      <alignment vertical="center"/>
    </xf>
    <xf numFmtId="198" fontId="3" fillId="0" borderId="27" xfId="0" applyNumberFormat="1" applyFont="1" applyFill="1" applyBorder="1" applyAlignment="1">
      <alignment vertical="center" wrapText="1"/>
    </xf>
    <xf numFmtId="198" fontId="13" fillId="0" borderId="27" xfId="0" applyNumberFormat="1" applyFont="1" applyFill="1" applyBorder="1" applyAlignment="1">
      <alignment vertical="center" wrapText="1"/>
    </xf>
    <xf numFmtId="198" fontId="13" fillId="9" borderId="27" xfId="0" applyNumberFormat="1" applyFont="1" applyFill="1" applyBorder="1" applyAlignment="1">
      <alignment vertical="center"/>
    </xf>
    <xf numFmtId="49" fontId="3" fillId="9" borderId="27" xfId="0" applyNumberFormat="1" applyFont="1" applyFill="1" applyBorder="1" applyAlignment="1">
      <alignment horizontal="center" vertical="center"/>
    </xf>
    <xf numFmtId="192" fontId="3" fillId="9" borderId="27" xfId="0" applyNumberFormat="1" applyFont="1" applyFill="1" applyBorder="1" applyAlignment="1">
      <alignment vertical="center"/>
    </xf>
    <xf numFmtId="198" fontId="3" fillId="0" borderId="27" xfId="0" applyNumberFormat="1" applyFont="1" applyFill="1" applyBorder="1" applyAlignment="1">
      <alignment vertical="center"/>
    </xf>
    <xf numFmtId="49" fontId="3" fillId="0" borderId="27" xfId="0" applyNumberFormat="1" applyFont="1" applyFill="1" applyBorder="1" applyAlignment="1">
      <alignment horizontal="center" vertical="center"/>
    </xf>
    <xf numFmtId="198" fontId="7" fillId="0" borderId="27" xfId="0" applyNumberFormat="1" applyFont="1" applyFill="1" applyBorder="1" applyAlignment="1">
      <alignment vertical="center"/>
    </xf>
    <xf numFmtId="192" fontId="7" fillId="0" borderId="27" xfId="0" applyNumberFormat="1" applyFont="1" applyBorder="1" applyAlignment="1">
      <alignment vertical="center"/>
    </xf>
    <xf numFmtId="0" fontId="7" fillId="11" borderId="24" xfId="0" applyFont="1" applyFill="1" applyBorder="1" applyAlignment="1">
      <alignment horizontal="center" vertical="center" shrinkToFit="1"/>
    </xf>
    <xf numFmtId="4" fontId="63" fillId="0" borderId="27" xfId="0" applyNumberFormat="1" applyFont="1" applyFill="1" applyBorder="1" applyAlignment="1">
      <alignment horizontal="left" vertical="center" wrapText="1" indent="1"/>
    </xf>
    <xf numFmtId="4" fontId="61" fillId="0" borderId="27" xfId="0" applyNumberFormat="1" applyFont="1" applyFill="1" applyBorder="1" applyAlignment="1">
      <alignment horizontal="left" vertical="center" wrapText="1" indent="4"/>
    </xf>
    <xf numFmtId="4" fontId="13" fillId="0" borderId="27" xfId="0" applyNumberFormat="1" applyFont="1" applyFill="1" applyBorder="1" applyAlignment="1">
      <alignment horizontal="left" vertical="center" wrapText="1"/>
    </xf>
    <xf numFmtId="0" fontId="7" fillId="0" borderId="0" xfId="0" applyFont="1" applyBorder="1" applyAlignment="1">
      <alignment horizontal="center" vertical="center" shrinkToFit="1"/>
    </xf>
    <xf numFmtId="0" fontId="7" fillId="11" borderId="0" xfId="0" applyFont="1" applyFill="1" applyBorder="1" applyAlignment="1">
      <alignment horizontal="center" vertical="center" shrinkToFit="1"/>
    </xf>
    <xf numFmtId="198" fontId="13" fillId="0" borderId="27" xfId="0" applyNumberFormat="1" applyFont="1" applyFill="1" applyBorder="1" applyAlignment="1">
      <alignment vertical="center"/>
    </xf>
    <xf numFmtId="198" fontId="3" fillId="0" borderId="27" xfId="0" applyNumberFormat="1" applyFont="1" applyFill="1" applyBorder="1" applyAlignment="1">
      <alignment horizontal="left" vertical="center"/>
    </xf>
    <xf numFmtId="198" fontId="7" fillId="0" borderId="27" xfId="0" applyNumberFormat="1" applyFont="1" applyFill="1" applyBorder="1" applyAlignment="1">
      <alignment horizontal="left" vertical="center"/>
    </xf>
    <xf numFmtId="198" fontId="7" fillId="0" borderId="28" xfId="0" applyNumberFormat="1" applyFont="1" applyFill="1" applyBorder="1" applyAlignment="1">
      <alignment horizontal="left" vertical="center"/>
    </xf>
    <xf numFmtId="49" fontId="3" fillId="0" borderId="28" xfId="0" applyNumberFormat="1" applyFont="1" applyBorder="1" applyAlignment="1">
      <alignment horizontal="center" vertical="center"/>
    </xf>
    <xf numFmtId="192" fontId="7" fillId="0" borderId="28" xfId="0" applyNumberFormat="1" applyFont="1" applyBorder="1" applyAlignment="1">
      <alignment vertical="center"/>
    </xf>
    <xf numFmtId="43" fontId="5" fillId="0" borderId="0" xfId="0" applyNumberFormat="1" applyFont="1" applyAlignment="1">
      <alignment vertical="center"/>
    </xf>
    <xf numFmtId="43" fontId="5" fillId="0" borderId="0" xfId="0" applyNumberFormat="1" applyFont="1" applyAlignment="1">
      <alignment horizontal="left" vertical="center"/>
    </xf>
    <xf numFmtId="43" fontId="3" fillId="0" borderId="0" xfId="0" applyNumberFormat="1" applyFont="1" applyFill="1" applyBorder="1" applyAlignment="1">
      <alignment horizontal="center" vertical="center"/>
    </xf>
    <xf numFmtId="43" fontId="3" fillId="9" borderId="0" xfId="0" applyNumberFormat="1" applyFont="1" applyFill="1" applyBorder="1" applyAlignment="1">
      <alignment horizontal="center" vertical="center"/>
    </xf>
    <xf numFmtId="43" fontId="7" fillId="0" borderId="0" xfId="0" applyNumberFormat="1" applyFont="1" applyFill="1" applyBorder="1" applyAlignment="1">
      <alignment horizontal="center" vertical="center"/>
    </xf>
    <xf numFmtId="43" fontId="7" fillId="9" borderId="0" xfId="0" applyNumberFormat="1" applyFont="1" applyFill="1" applyBorder="1" applyAlignment="1">
      <alignment horizontal="center" vertical="center"/>
    </xf>
    <xf numFmtId="43" fontId="2" fillId="0" borderId="0" xfId="0" applyNumberFormat="1" applyFont="1" applyFill="1" applyBorder="1" applyAlignment="1">
      <alignment horizontal="center" vertical="center"/>
    </xf>
    <xf numFmtId="0" fontId="3" fillId="0" borderId="0" xfId="49" applyFont="1" applyFill="1" applyAlignment="1">
      <alignment horizontal="center" vertical="center"/>
    </xf>
    <xf numFmtId="43" fontId="7" fillId="3" borderId="1" xfId="0" applyNumberFormat="1" applyFont="1" applyFill="1" applyBorder="1" applyAlignment="1">
      <alignment horizontal="center" vertical="center"/>
    </xf>
    <xf numFmtId="49" fontId="7" fillId="0" borderId="27" xfId="0" applyNumberFormat="1" applyFont="1" applyFill="1" applyBorder="1" applyAlignment="1">
      <alignment horizontal="center" vertical="center"/>
    </xf>
    <xf numFmtId="43" fontId="3" fillId="0" borderId="27" xfId="0" applyNumberFormat="1" applyFont="1" applyFill="1" applyBorder="1" applyAlignment="1">
      <alignment horizontal="center" vertical="center"/>
    </xf>
    <xf numFmtId="0" fontId="7" fillId="0" borderId="0" xfId="0" applyFont="1" applyBorder="1" applyAlignment="1">
      <alignment horizontal="center" vertical="center" wrapText="1"/>
    </xf>
    <xf numFmtId="192" fontId="3" fillId="0" borderId="27" xfId="0" applyNumberFormat="1" applyFont="1" applyFill="1" applyBorder="1" applyAlignment="1">
      <alignment horizontal="center" vertical="center"/>
    </xf>
    <xf numFmtId="198" fontId="3" fillId="0" borderId="27" xfId="0" applyNumberFormat="1" applyFont="1" applyFill="1" applyBorder="1" applyAlignment="1">
      <alignment horizontal="center" vertical="center" wrapText="1"/>
    </xf>
    <xf numFmtId="198" fontId="13" fillId="0" borderId="27" xfId="0" applyNumberFormat="1" applyFont="1" applyFill="1" applyBorder="1" applyAlignment="1">
      <alignment horizontal="center" vertical="center" wrapText="1"/>
    </xf>
    <xf numFmtId="49" fontId="13" fillId="9" borderId="27" xfId="0" applyNumberFormat="1" applyFont="1" applyFill="1" applyBorder="1" applyAlignment="1">
      <alignment horizontal="center" vertical="center"/>
    </xf>
    <xf numFmtId="192" fontId="3" fillId="9" borderId="27" xfId="0" applyNumberFormat="1" applyFont="1" applyFill="1" applyBorder="1" applyAlignment="1">
      <alignment horizontal="center" vertical="center"/>
    </xf>
    <xf numFmtId="192" fontId="7" fillId="0" borderId="27" xfId="0" applyNumberFormat="1" applyFont="1" applyFill="1" applyBorder="1" applyAlignment="1">
      <alignment horizontal="center" vertical="center"/>
    </xf>
    <xf numFmtId="49" fontId="7" fillId="0" borderId="11" xfId="0" applyNumberFormat="1" applyFont="1" applyFill="1" applyBorder="1" applyAlignment="1">
      <alignment horizontal="center" vertical="center"/>
    </xf>
    <xf numFmtId="192" fontId="7" fillId="0" borderId="11" xfId="0" applyNumberFormat="1" applyFont="1" applyFill="1" applyBorder="1" applyAlignment="1">
      <alignment horizontal="center" vertical="center"/>
    </xf>
    <xf numFmtId="0" fontId="33" fillId="0" borderId="0" xfId="0" applyFont="1" applyBorder="1" applyAlignment="1">
      <alignment horizontal="center" vertical="center" wrapText="1"/>
    </xf>
    <xf numFmtId="192" fontId="2" fillId="0" borderId="0" xfId="0" applyNumberFormat="1" applyFont="1" applyFill="1" applyBorder="1" applyAlignment="1">
      <alignment horizontal="center" vertical="center"/>
    </xf>
    <xf numFmtId="183" fontId="2" fillId="0" borderId="0" xfId="0" applyNumberFormat="1" applyFont="1" applyFill="1" applyBorder="1" applyAlignment="1">
      <alignment horizontal="center" vertical="center"/>
    </xf>
    <xf numFmtId="0" fontId="3" fillId="0" borderId="0" xfId="0" applyFont="1" applyAlignment="1">
      <alignment horizontal="center" vertical="center"/>
    </xf>
    <xf numFmtId="0" fontId="1" fillId="0" borderId="0" xfId="0" applyFont="1" applyAlignment="1">
      <alignment horizontal="center" vertical="center"/>
    </xf>
    <xf numFmtId="182" fontId="1" fillId="4" borderId="1" xfId="5" applyFont="1" applyFill="1" applyBorder="1" applyAlignment="1">
      <alignment horizontal="center" vertical="center"/>
    </xf>
    <xf numFmtId="0" fontId="20" fillId="0" borderId="0" xfId="6" applyFont="1" applyAlignment="1" applyProtection="1">
      <alignment horizontal="center"/>
    </xf>
    <xf numFmtId="0" fontId="3" fillId="0" borderId="10" xfId="0" applyFont="1" applyFill="1" applyBorder="1" applyAlignment="1">
      <alignment horizontal="center" vertical="center"/>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13" fillId="0" borderId="10" xfId="0" applyFont="1" applyBorder="1" applyAlignment="1">
      <alignment horizontal="left" vertical="center" wrapText="1"/>
    </xf>
    <xf numFmtId="0" fontId="3" fillId="0" borderId="0" xfId="0" applyFont="1" applyAlignment="1">
      <alignment horizontal="left" vertical="center"/>
    </xf>
    <xf numFmtId="0" fontId="1" fillId="0" borderId="0" xfId="0" applyNumberFormat="1" applyFont="1" applyAlignment="1">
      <alignment vertical="center"/>
    </xf>
    <xf numFmtId="0" fontId="3" fillId="0" borderId="0" xfId="0" applyFont="1" applyAlignment="1">
      <alignment vertical="center"/>
    </xf>
    <xf numFmtId="0" fontId="2" fillId="0" borderId="0" xfId="0" applyFont="1" applyAlignment="1">
      <alignment vertical="center"/>
    </xf>
    <xf numFmtId="0" fontId="1" fillId="0" borderId="0" xfId="0" applyNumberFormat="1" applyFont="1" applyAlignment="1">
      <alignment horizontal="right" vertical="center"/>
    </xf>
    <xf numFmtId="0" fontId="1" fillId="0" borderId="0" xfId="0" applyNumberFormat="1" applyFont="1" applyAlignment="1">
      <alignment horizontal="center" vertical="center"/>
    </xf>
    <xf numFmtId="0" fontId="3" fillId="0" borderId="0" xfId="44" applyFont="1" applyFill="1" applyBorder="1" applyAlignment="1" applyProtection="1">
      <alignment horizontal="left" vertical="center"/>
    </xf>
    <xf numFmtId="0" fontId="3" fillId="3" borderId="1" xfId="44" applyFont="1" applyFill="1" applyBorder="1" applyAlignment="1" applyProtection="1">
      <alignment vertical="center"/>
    </xf>
    <xf numFmtId="0" fontId="3" fillId="0" borderId="0" xfId="44" applyFont="1" applyFill="1" applyBorder="1" applyAlignment="1" applyProtection="1">
      <alignment vertical="center"/>
    </xf>
    <xf numFmtId="197" fontId="3" fillId="0" borderId="0" xfId="44" applyNumberFormat="1" applyFont="1" applyFill="1" applyBorder="1" applyAlignment="1" applyProtection="1">
      <alignment vertical="center"/>
      <protection locked="0"/>
    </xf>
    <xf numFmtId="0" fontId="3" fillId="3" borderId="1" xfId="44" applyFont="1" applyFill="1" applyBorder="1" applyAlignment="1" applyProtection="1">
      <alignment horizontal="center" vertical="center"/>
    </xf>
    <xf numFmtId="0" fontId="2" fillId="0" borderId="0" xfId="44" applyFont="1" applyFill="1" applyBorder="1" applyAlignment="1" applyProtection="1">
      <alignment vertical="center"/>
    </xf>
    <xf numFmtId="0" fontId="2"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vertical="center"/>
    </xf>
    <xf numFmtId="0" fontId="2" fillId="0" borderId="0" xfId="0" applyFont="1" applyAlignment="1">
      <alignment horizontal="right" vertical="center"/>
    </xf>
    <xf numFmtId="0" fontId="3" fillId="0" borderId="1" xfId="0" applyFont="1" applyFill="1" applyBorder="1" applyAlignment="1">
      <alignment vertical="center"/>
    </xf>
    <xf numFmtId="0" fontId="64" fillId="0" borderId="1" xfId="6" applyFont="1" applyFill="1" applyBorder="1" applyAlignment="1" applyProtection="1">
      <alignment horizontal="center" vertical="center"/>
    </xf>
    <xf numFmtId="0" fontId="65" fillId="0" borderId="1" xfId="6" applyFont="1" applyFill="1" applyBorder="1" applyAlignment="1" applyProtection="1">
      <alignment horizontal="center" vertical="center"/>
    </xf>
    <xf numFmtId="0" fontId="3" fillId="0" borderId="1" xfId="0" applyFont="1" applyFill="1" applyBorder="1" applyAlignment="1">
      <alignment vertical="center" wrapText="1"/>
    </xf>
    <xf numFmtId="0" fontId="13" fillId="0" borderId="1" xfId="0" applyFont="1" applyFill="1" applyBorder="1" applyAlignment="1">
      <alignment horizontal="left" vertical="center" wrapText="1"/>
    </xf>
    <xf numFmtId="0" fontId="66" fillId="0" borderId="1" xfId="0" applyFont="1" applyBorder="1" applyAlignment="1">
      <alignment horizontal="center" vertical="center"/>
    </xf>
    <xf numFmtId="0" fontId="67" fillId="0" borderId="1" xfId="6" applyFont="1" applyFill="1" applyBorder="1" applyAlignment="1" applyProtection="1">
      <alignment horizontal="center" vertical="center"/>
    </xf>
    <xf numFmtId="0" fontId="7" fillId="0" borderId="0" xfId="0" applyFont="1" applyFill="1" applyBorder="1" applyAlignment="1">
      <alignment vertical="center"/>
    </xf>
    <xf numFmtId="0" fontId="2" fillId="0" borderId="0" xfId="0" applyFont="1" applyFill="1" applyBorder="1" applyAlignment="1">
      <alignment vertical="center"/>
    </xf>
    <xf numFmtId="0" fontId="3" fillId="0" borderId="1" xfId="0" applyFont="1" applyFill="1" applyBorder="1" applyAlignment="1">
      <alignment horizontal="center" vertical="center" wrapText="1"/>
    </xf>
    <xf numFmtId="0" fontId="13" fillId="0" borderId="1" xfId="0" applyFont="1" applyBorder="1" applyAlignment="1">
      <alignment horizontal="left" wrapText="1"/>
    </xf>
    <xf numFmtId="0" fontId="3" fillId="9" borderId="1" xfId="0" applyFont="1" applyFill="1" applyBorder="1" applyAlignment="1">
      <alignment horizontal="center" vertical="center" wrapText="1"/>
    </xf>
    <xf numFmtId="0" fontId="3" fillId="9" borderId="0" xfId="0" applyFont="1" applyFill="1" applyAlignment="1">
      <alignment vertical="center"/>
    </xf>
    <xf numFmtId="0" fontId="13" fillId="9"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5" fillId="3" borderId="1" xfId="0" applyFont="1" applyFill="1" applyBorder="1" applyAlignment="1" applyProtection="1">
      <alignment horizontal="center" vertical="center" wrapText="1"/>
      <protection locked="0"/>
    </xf>
    <xf numFmtId="0" fontId="22" fillId="3" borderId="1" xfId="0" applyFont="1" applyFill="1" applyBorder="1" applyAlignment="1">
      <alignment horizontal="center" vertical="center" wrapText="1"/>
    </xf>
    <xf numFmtId="0" fontId="36"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27" xfId="0" applyFont="1" applyFill="1" applyBorder="1" applyAlignment="1">
      <alignment horizontal="center" vertical="center"/>
    </xf>
    <xf numFmtId="0" fontId="3" fillId="0" borderId="27" xfId="0" applyFont="1" applyBorder="1" applyAlignment="1">
      <alignment horizontal="left" vertical="center" wrapText="1"/>
    </xf>
    <xf numFmtId="0" fontId="13" fillId="0" borderId="27" xfId="0" applyFont="1" applyBorder="1" applyAlignment="1">
      <alignment horizontal="left" vertical="center" wrapText="1"/>
    </xf>
    <xf numFmtId="49" fontId="13" fillId="0" borderId="27" xfId="0" applyNumberFormat="1" applyFont="1" applyFill="1" applyBorder="1" applyAlignment="1">
      <alignment horizontal="center" vertical="center"/>
    </xf>
    <xf numFmtId="192" fontId="3" fillId="0" borderId="27" xfId="0" applyNumberFormat="1" applyFont="1" applyFill="1" applyBorder="1" applyAlignment="1">
      <alignment vertical="center"/>
    </xf>
    <xf numFmtId="192" fontId="3" fillId="0" borderId="26" xfId="2" applyNumberFormat="1" applyFont="1" applyFill="1" applyBorder="1" applyAlignment="1">
      <alignment vertical="center"/>
    </xf>
    <xf numFmtId="43" fontId="7" fillId="0" borderId="24" xfId="2" applyNumberFormat="1" applyFont="1" applyFill="1" applyBorder="1" applyAlignment="1">
      <alignment vertical="center"/>
    </xf>
    <xf numFmtId="43" fontId="7" fillId="0" borderId="0" xfId="2" applyNumberFormat="1" applyFont="1" applyFill="1" applyBorder="1" applyAlignment="1">
      <alignment vertical="center"/>
    </xf>
    <xf numFmtId="43" fontId="3" fillId="0" borderId="24" xfId="2" applyNumberFormat="1" applyFont="1" applyFill="1" applyBorder="1" applyAlignment="1">
      <alignment vertical="center"/>
    </xf>
    <xf numFmtId="43" fontId="3" fillId="0" borderId="0" xfId="2" applyNumberFormat="1" applyFont="1" applyFill="1" applyBorder="1" applyAlignment="1">
      <alignment vertical="center"/>
    </xf>
    <xf numFmtId="49" fontId="7" fillId="9" borderId="27" xfId="0" applyNumberFormat="1" applyFont="1" applyFill="1" applyBorder="1" applyAlignment="1">
      <alignment horizontal="center" vertical="center"/>
    </xf>
    <xf numFmtId="192" fontId="7" fillId="9" borderId="27" xfId="0" applyNumberFormat="1" applyFont="1" applyFill="1" applyBorder="1" applyAlignment="1">
      <alignment horizontal="center" vertical="center"/>
    </xf>
    <xf numFmtId="4" fontId="13" fillId="9" borderId="27" xfId="0" applyNumberFormat="1" applyFont="1" applyFill="1" applyBorder="1" applyAlignment="1">
      <alignment horizontal="left" vertical="center"/>
    </xf>
    <xf numFmtId="4" fontId="13" fillId="9" borderId="24" xfId="0" applyNumberFormat="1" applyFont="1" applyFill="1" applyBorder="1" applyAlignment="1">
      <alignment horizontal="left" vertical="center" wrapText="1" indent="4"/>
    </xf>
    <xf numFmtId="4" fontId="3" fillId="0" borderId="24" xfId="0" applyNumberFormat="1" applyFont="1" applyFill="1" applyBorder="1" applyAlignment="1">
      <alignment horizontal="left" vertical="center" wrapText="1" indent="4"/>
    </xf>
    <xf numFmtId="43" fontId="3" fillId="0" borderId="25" xfId="2" applyNumberFormat="1" applyFont="1" applyFill="1" applyBorder="1" applyAlignment="1">
      <alignment horizontal="left" vertical="center"/>
    </xf>
    <xf numFmtId="192" fontId="7" fillId="0" borderId="26" xfId="2" applyNumberFormat="1" applyFont="1" applyFill="1" applyBorder="1" applyAlignment="1">
      <alignment vertical="center"/>
    </xf>
    <xf numFmtId="43" fontId="1" fillId="0" borderId="0" xfId="2" applyNumberFormat="1" applyFont="1" applyFill="1" applyBorder="1" applyAlignment="1">
      <alignment vertical="center"/>
    </xf>
    <xf numFmtId="4" fontId="61" fillId="9" borderId="24" xfId="0" applyNumberFormat="1" applyFont="1" applyFill="1" applyBorder="1" applyAlignment="1">
      <alignment horizontal="left" vertical="center" wrapText="1" indent="4"/>
    </xf>
    <xf numFmtId="178" fontId="13" fillId="9" borderId="1" xfId="5" applyNumberFormat="1" applyFont="1" applyFill="1" applyBorder="1" applyAlignment="1" applyProtection="1">
      <alignment vertical="center"/>
      <protection locked="0"/>
    </xf>
    <xf numFmtId="178" fontId="13" fillId="9" borderId="1" xfId="5" applyNumberFormat="1" applyFont="1" applyFill="1" applyBorder="1" applyAlignment="1">
      <alignment vertical="center"/>
    </xf>
    <xf numFmtId="0" fontId="7" fillId="3" borderId="1" xfId="0" applyFont="1" applyFill="1" applyBorder="1" applyAlignment="1" applyProtection="1">
      <alignment horizontal="center" wrapText="1"/>
      <protection locked="0"/>
    </xf>
    <xf numFmtId="0" fontId="3" fillId="0" borderId="1" xfId="0" applyFont="1" applyBorder="1" applyAlignment="1">
      <alignment horizontal="center" vertical="center" wrapText="1"/>
    </xf>
    <xf numFmtId="0" fontId="27" fillId="0" borderId="0" xfId="0" applyFont="1" applyFill="1" applyBorder="1" applyAlignment="1">
      <alignment horizontal="center" vertical="center"/>
    </xf>
    <xf numFmtId="0" fontId="49" fillId="3" borderId="1" xfId="0" applyFont="1" applyFill="1" applyBorder="1" applyAlignment="1">
      <alignment horizontal="center" vertical="center" wrapText="1"/>
    </xf>
    <xf numFmtId="44" fontId="23" fillId="4" borderId="1" xfId="5" applyNumberFormat="1" applyFont="1" applyFill="1" applyBorder="1" applyAlignment="1">
      <alignment horizontal="center" vertical="center" wrapText="1"/>
    </xf>
    <xf numFmtId="0" fontId="27" fillId="3" borderId="10" xfId="0" applyFont="1" applyFill="1" applyBorder="1" applyAlignment="1">
      <alignment horizontal="center" vertical="center"/>
    </xf>
    <xf numFmtId="0" fontId="27" fillId="3" borderId="0" xfId="0" applyFont="1" applyFill="1" applyBorder="1" applyAlignment="1">
      <alignment horizontal="center"/>
    </xf>
    <xf numFmtId="0" fontId="3" fillId="0" borderId="1" xfId="0" applyFont="1" applyFill="1" applyBorder="1" applyAlignment="1">
      <alignment horizontal="center" vertical="center" wrapText="1"/>
    </xf>
    <xf numFmtId="0" fontId="3" fillId="0" borderId="1" xfId="0" applyFont="1" applyBorder="1" applyAlignment="1">
      <alignment horizontal="center" vertical="center"/>
    </xf>
    <xf numFmtId="0" fontId="28" fillId="0" borderId="0" xfId="0" applyFont="1" applyBorder="1" applyAlignment="1">
      <alignment horizontal="left" vertical="center"/>
    </xf>
    <xf numFmtId="0" fontId="129" fillId="0" borderId="0" xfId="0" applyFont="1"/>
    <xf numFmtId="0" fontId="13" fillId="0" borderId="1" xfId="0" applyFont="1" applyBorder="1" applyAlignment="1" applyProtection="1">
      <alignment horizontal="center" wrapText="1"/>
      <protection locked="0"/>
    </xf>
    <xf numFmtId="0" fontId="28" fillId="0" borderId="1" xfId="0" applyFont="1" applyBorder="1" applyAlignment="1">
      <alignment horizontal="center" vertical="center" wrapText="1"/>
    </xf>
    <xf numFmtId="0" fontId="103" fillId="0" borderId="0" xfId="0" applyFont="1" applyFill="1" applyBorder="1" applyAlignment="1">
      <alignment horizontal="left" vertical="center"/>
    </xf>
    <xf numFmtId="0" fontId="54" fillId="0" borderId="1" xfId="0" applyFont="1" applyBorder="1" applyAlignment="1">
      <alignment horizontal="center" wrapText="1"/>
    </xf>
    <xf numFmtId="0" fontId="50" fillId="0" borderId="1" xfId="0" applyFont="1" applyBorder="1" applyAlignment="1">
      <alignment horizontal="center" wrapText="1"/>
    </xf>
    <xf numFmtId="0" fontId="7" fillId="3" borderId="1" xfId="44" applyFont="1" applyFill="1" applyBorder="1" applyAlignment="1" applyProtection="1">
      <alignment horizontal="center" vertical="center"/>
    </xf>
    <xf numFmtId="0" fontId="3" fillId="0" borderId="5" xfId="0" applyFont="1" applyFill="1" applyBorder="1" applyAlignment="1">
      <alignment horizontal="center" vertical="center"/>
    </xf>
    <xf numFmtId="0" fontId="3" fillId="0"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36" fillId="3" borderId="1" xfId="0" applyFont="1" applyFill="1" applyBorder="1" applyAlignment="1">
      <alignment horizontal="center" vertical="center" wrapText="1"/>
    </xf>
    <xf numFmtId="0" fontId="7" fillId="3" borderId="1" xfId="0" applyFont="1" applyFill="1" applyBorder="1" applyAlignment="1" applyProtection="1">
      <alignment horizontal="center" wrapText="1"/>
      <protection locked="0"/>
    </xf>
    <xf numFmtId="0" fontId="19" fillId="3" borderId="1" xfId="0" applyFont="1" applyFill="1" applyBorder="1" applyAlignment="1" applyProtection="1">
      <alignment horizontal="center" wrapText="1"/>
      <protection locked="0"/>
    </xf>
    <xf numFmtId="0" fontId="13" fillId="0" borderId="1" xfId="0" applyFont="1" applyFill="1" applyBorder="1" applyAlignment="1">
      <alignment horizontal="center" vertical="center"/>
    </xf>
    <xf numFmtId="0" fontId="99" fillId="0" borderId="0" xfId="0" applyFont="1" applyAlignment="1">
      <alignment horizontal="justify" vertical="center"/>
    </xf>
    <xf numFmtId="0" fontId="1" fillId="0" borderId="0" xfId="0" applyFont="1" applyAlignment="1">
      <alignment horizontal="justify" vertical="center" wrapText="1"/>
    </xf>
    <xf numFmtId="0" fontId="1" fillId="0" borderId="0" xfId="0" applyFont="1" applyAlignment="1">
      <alignment horizontal="right" vertical="center" wrapText="1"/>
    </xf>
    <xf numFmtId="0" fontId="1" fillId="0" borderId="3" xfId="0" applyFont="1" applyBorder="1" applyAlignment="1">
      <alignment horizontal="justify" vertical="center" wrapText="1"/>
    </xf>
    <xf numFmtId="0" fontId="1" fillId="0" borderId="3" xfId="0" applyFont="1" applyBorder="1" applyAlignment="1">
      <alignment horizontal="right" vertical="center" wrapText="1"/>
    </xf>
    <xf numFmtId="0" fontId="136" fillId="0" borderId="0" xfId="0" applyFont="1" applyAlignment="1">
      <alignment horizontal="justify" vertical="center"/>
    </xf>
    <xf numFmtId="0" fontId="0" fillId="0" borderId="0" xfId="0" applyBorder="1"/>
    <xf numFmtId="0" fontId="134" fillId="0" borderId="0" xfId="0" applyFont="1" applyAlignment="1">
      <alignment horizontal="left" vertical="center"/>
    </xf>
    <xf numFmtId="0" fontId="32" fillId="0" borderId="3" xfId="0" applyFont="1" applyBorder="1" applyAlignment="1">
      <alignment horizontal="right" vertical="center" wrapText="1"/>
    </xf>
    <xf numFmtId="0" fontId="3" fillId="0" borderId="10" xfId="0" applyFont="1" applyBorder="1" applyAlignment="1">
      <alignment horizontal="left" vertical="center"/>
    </xf>
    <xf numFmtId="0" fontId="2" fillId="0" borderId="10" xfId="0" applyFont="1" applyBorder="1" applyAlignment="1">
      <alignment horizontal="center" vertical="center"/>
    </xf>
    <xf numFmtId="0" fontId="97" fillId="14" borderId="0" xfId="0" applyFont="1" applyFill="1" applyBorder="1" applyAlignment="1">
      <alignment horizontal="justify" vertical="center" wrapText="1"/>
    </xf>
    <xf numFmtId="0" fontId="97" fillId="14" borderId="14" xfId="0" applyFont="1" applyFill="1" applyBorder="1" applyAlignment="1">
      <alignment horizontal="justify" vertical="center" wrapText="1"/>
    </xf>
    <xf numFmtId="0" fontId="138" fillId="0" borderId="4" xfId="0" applyFont="1" applyBorder="1" applyAlignment="1">
      <alignment horizontal="justify" vertical="center" wrapText="1"/>
    </xf>
    <xf numFmtId="0" fontId="133" fillId="0" borderId="4" xfId="0" applyFont="1" applyBorder="1" applyAlignment="1">
      <alignment vertical="center"/>
    </xf>
    <xf numFmtId="0" fontId="97" fillId="14" borderId="1" xfId="0" applyFont="1" applyFill="1" applyBorder="1" applyAlignment="1">
      <alignment horizontal="justify" vertical="center" wrapText="1"/>
    </xf>
    <xf numFmtId="0" fontId="97" fillId="14" borderId="0" xfId="0" applyFont="1" applyFill="1" applyBorder="1" applyAlignment="1">
      <alignment horizontal="left" vertical="center" wrapText="1"/>
    </xf>
    <xf numFmtId="0" fontId="2" fillId="0" borderId="11" xfId="0" applyFont="1" applyBorder="1" applyAlignment="1">
      <alignment horizontal="center" vertical="center"/>
    </xf>
    <xf numFmtId="0" fontId="139" fillId="0" borderId="9" xfId="0" applyFont="1" applyBorder="1" applyAlignment="1">
      <alignment horizontal="right" vertical="center" wrapText="1"/>
    </xf>
    <xf numFmtId="0" fontId="139" fillId="0" borderId="5" xfId="0" applyFont="1" applyBorder="1" applyAlignment="1">
      <alignment horizontal="right" vertical="center" wrapText="1"/>
    </xf>
    <xf numFmtId="0" fontId="99" fillId="0" borderId="4" xfId="0" applyFont="1" applyBorder="1" applyAlignment="1">
      <alignment horizontal="justify" vertical="center" wrapText="1"/>
    </xf>
    <xf numFmtId="0" fontId="141" fillId="0" borderId="8" xfId="0" applyFont="1" applyBorder="1" applyAlignment="1">
      <alignment horizontal="justify" vertical="center" wrapText="1"/>
    </xf>
    <xf numFmtId="0" fontId="138" fillId="0" borderId="15" xfId="0" applyFont="1" applyBorder="1" applyAlignment="1">
      <alignment horizontal="justify" vertical="center" wrapText="1"/>
    </xf>
    <xf numFmtId="0" fontId="138" fillId="0" borderId="6" xfId="0" applyFont="1" applyBorder="1" applyAlignment="1">
      <alignment horizontal="justify" vertical="center" wrapText="1"/>
    </xf>
    <xf numFmtId="0" fontId="139" fillId="0" borderId="7" xfId="0" applyFont="1" applyBorder="1" applyAlignment="1">
      <alignment horizontal="right" vertical="center" wrapText="1"/>
    </xf>
    <xf numFmtId="0" fontId="139" fillId="0" borderId="13" xfId="0" applyFont="1" applyBorder="1" applyAlignment="1">
      <alignment horizontal="right" vertical="center" wrapText="1"/>
    </xf>
    <xf numFmtId="0" fontId="139" fillId="0" borderId="1" xfId="0" applyFont="1" applyBorder="1" applyAlignment="1">
      <alignment horizontal="right" vertical="center" wrapText="1"/>
    </xf>
    <xf numFmtId="0" fontId="1" fillId="0" borderId="27" xfId="0" applyFont="1" applyBorder="1" applyAlignment="1">
      <alignment horizontal="right" vertical="center" wrapText="1"/>
    </xf>
    <xf numFmtId="0" fontId="0" fillId="0" borderId="11" xfId="0" applyBorder="1"/>
    <xf numFmtId="0" fontId="139" fillId="0" borderId="10" xfId="0" applyFont="1" applyBorder="1" applyAlignment="1">
      <alignment horizontal="right" vertical="center" wrapText="1"/>
    </xf>
    <xf numFmtId="0" fontId="0" fillId="0" borderId="27" xfId="0" applyBorder="1"/>
    <xf numFmtId="0" fontId="1" fillId="0" borderId="11" xfId="0" applyFont="1" applyBorder="1" applyAlignment="1">
      <alignment horizontal="right" vertical="center" wrapText="1"/>
    </xf>
    <xf numFmtId="0" fontId="138" fillId="0" borderId="8" xfId="0" applyFont="1" applyBorder="1" applyAlignment="1">
      <alignment horizontal="justify" vertical="center" wrapText="1"/>
    </xf>
    <xf numFmtId="0" fontId="138" fillId="0" borderId="1" xfId="0" applyFont="1" applyBorder="1" applyAlignment="1">
      <alignment horizontal="justify" vertical="center" wrapText="1"/>
    </xf>
    <xf numFmtId="0" fontId="2" fillId="0" borderId="12" xfId="0" applyFont="1" applyBorder="1" applyAlignment="1">
      <alignment horizontal="center" vertical="center"/>
    </xf>
    <xf numFmtId="0" fontId="139" fillId="0" borderId="6" xfId="0" applyFont="1" applyBorder="1" applyAlignment="1">
      <alignment horizontal="justify" vertical="center" wrapText="1"/>
    </xf>
    <xf numFmtId="0" fontId="139" fillId="0" borderId="8" xfId="0" applyFont="1" applyBorder="1" applyAlignment="1">
      <alignment horizontal="justify" vertical="center" wrapText="1"/>
    </xf>
    <xf numFmtId="0" fontId="139" fillId="4" borderId="1" xfId="0" applyFont="1" applyFill="1" applyBorder="1" applyAlignment="1">
      <alignment horizontal="right" vertical="center" wrapText="1"/>
    </xf>
    <xf numFmtId="0" fontId="139" fillId="4" borderId="11" xfId="0" applyFont="1" applyFill="1" applyBorder="1" applyAlignment="1">
      <alignment horizontal="right" vertical="center" wrapText="1"/>
    </xf>
    <xf numFmtId="0" fontId="141" fillId="0" borderId="15" xfId="0" applyFont="1" applyFill="1" applyBorder="1" applyAlignment="1">
      <alignment horizontal="justify" vertical="center" wrapText="1"/>
    </xf>
    <xf numFmtId="182" fontId="3" fillId="0" borderId="11" xfId="5" applyFont="1" applyFill="1" applyBorder="1" applyAlignment="1">
      <alignment horizontal="right" vertical="center" wrapText="1"/>
    </xf>
    <xf numFmtId="0" fontId="99" fillId="0" borderId="0" xfId="0" applyFont="1" applyAlignment="1">
      <alignment horizontal="justify" vertical="center" wrapText="1"/>
    </xf>
    <xf numFmtId="0" fontId="5" fillId="0" borderId="3" xfId="0" applyFont="1" applyBorder="1" applyAlignment="1">
      <alignment horizontal="justify" vertical="center" wrapText="1"/>
    </xf>
    <xf numFmtId="0" fontId="1" fillId="0" borderId="10" xfId="0" applyFont="1" applyBorder="1" applyAlignment="1">
      <alignment horizontal="right" vertical="center" wrapText="1"/>
    </xf>
    <xf numFmtId="0" fontId="1" fillId="0" borderId="1" xfId="0" applyFont="1" applyBorder="1" applyAlignment="1">
      <alignment horizontal="right" vertical="center" wrapText="1"/>
    </xf>
    <xf numFmtId="0" fontId="32" fillId="0" borderId="11" xfId="0" applyFont="1" applyBorder="1" applyAlignment="1">
      <alignment horizontal="right" vertical="center" wrapText="1"/>
    </xf>
    <xf numFmtId="0" fontId="5" fillId="14" borderId="15" xfId="0" applyFont="1" applyFill="1" applyBorder="1" applyAlignment="1">
      <alignment horizontal="justify" vertical="center" wrapText="1"/>
    </xf>
    <xf numFmtId="0" fontId="141" fillId="14" borderId="12" xfId="0" applyFont="1" applyFill="1" applyBorder="1" applyAlignment="1">
      <alignment horizontal="right" vertical="center" wrapText="1"/>
    </xf>
    <xf numFmtId="0" fontId="13" fillId="0" borderId="1" xfId="0" applyFont="1" applyFill="1" applyBorder="1" applyAlignment="1">
      <alignment horizontal="center" vertical="center" wrapText="1"/>
    </xf>
    <xf numFmtId="0" fontId="75" fillId="0" borderId="1" xfId="6" applyFill="1" applyBorder="1" applyAlignment="1" applyProtection="1">
      <alignment horizontal="center" vertical="center"/>
    </xf>
    <xf numFmtId="0" fontId="5" fillId="0" borderId="0" xfId="0" applyFont="1" applyBorder="1" applyAlignment="1">
      <alignment horizontal="justify" vertical="center" wrapText="1"/>
    </xf>
    <xf numFmtId="0" fontId="141" fillId="0" borderId="1" xfId="0" applyFont="1" applyBorder="1" applyAlignment="1">
      <alignment horizontal="justify" vertical="center" wrapText="1"/>
    </xf>
    <xf numFmtId="0" fontId="136" fillId="0" borderId="1" xfId="0" applyFont="1" applyBorder="1" applyAlignment="1">
      <alignment horizontal="justify" vertical="center" wrapText="1"/>
    </xf>
    <xf numFmtId="0" fontId="32" fillId="0" borderId="1" xfId="0" applyFont="1" applyBorder="1" applyAlignment="1">
      <alignment horizontal="right" vertical="center" wrapText="1" indent="1"/>
    </xf>
    <xf numFmtId="0" fontId="136" fillId="0" borderId="1" xfId="0" applyFont="1" applyBorder="1" applyAlignment="1">
      <alignment horizontal="right" vertical="center" wrapText="1"/>
    </xf>
    <xf numFmtId="0" fontId="137" fillId="0" borderId="1" xfId="0" applyFont="1" applyBorder="1" applyAlignment="1">
      <alignment horizontal="right" vertical="center" wrapText="1" indent="1"/>
    </xf>
    <xf numFmtId="0" fontId="137" fillId="0" borderId="1" xfId="0" applyFont="1" applyBorder="1" applyAlignment="1">
      <alignment horizontal="justify" vertical="center" wrapText="1"/>
    </xf>
    <xf numFmtId="0" fontId="5" fillId="0" borderId="1" xfId="0" applyFont="1" applyBorder="1" applyAlignment="1">
      <alignment horizontal="right" vertical="center" wrapText="1"/>
    </xf>
    <xf numFmtId="0" fontId="141" fillId="14" borderId="1" xfId="0" applyFont="1" applyFill="1" applyBorder="1" applyAlignment="1">
      <alignment horizontal="justify" vertical="center" wrapText="1"/>
    </xf>
    <xf numFmtId="0" fontId="32" fillId="14" borderId="1" xfId="0" applyFont="1" applyFill="1" applyBorder="1" applyAlignment="1">
      <alignment horizontal="right" vertical="center" wrapText="1"/>
    </xf>
    <xf numFmtId="0" fontId="5" fillId="4" borderId="1" xfId="0" applyFont="1" applyFill="1" applyBorder="1" applyAlignment="1">
      <alignment horizontal="right" vertical="center" wrapText="1"/>
    </xf>
    <xf numFmtId="0" fontId="97" fillId="0" borderId="1" xfId="0" applyFont="1" applyBorder="1" applyAlignment="1">
      <alignment horizontal="justify" vertical="center" wrapText="1"/>
    </xf>
    <xf numFmtId="0" fontId="133" fillId="0" borderId="1" xfId="0" applyFont="1" applyBorder="1" applyAlignment="1">
      <alignment vertical="center"/>
    </xf>
    <xf numFmtId="0" fontId="0" fillId="0" borderId="1" xfId="0" applyBorder="1"/>
    <xf numFmtId="0" fontId="97" fillId="14" borderId="1" xfId="0" applyFont="1" applyFill="1" applyBorder="1" applyAlignment="1">
      <alignment horizontal="left" vertical="center" wrapText="1"/>
    </xf>
    <xf numFmtId="0" fontId="32" fillId="4" borderId="1" xfId="0" applyFont="1" applyFill="1" applyBorder="1" applyAlignment="1">
      <alignment horizontal="right" vertical="center" wrapText="1"/>
    </xf>
    <xf numFmtId="0" fontId="1" fillId="4" borderId="1" xfId="0" applyFont="1" applyFill="1" applyBorder="1" applyAlignment="1">
      <alignment horizontal="right" vertical="center" wrapText="1"/>
    </xf>
    <xf numFmtId="0" fontId="3" fillId="0" borderId="15" xfId="0" applyFont="1" applyBorder="1" applyAlignment="1">
      <alignment horizontal="left" vertical="center"/>
    </xf>
    <xf numFmtId="0" fontId="2" fillId="0" borderId="7" xfId="0" applyFont="1" applyBorder="1" applyAlignment="1">
      <alignment horizontal="center" vertical="center"/>
    </xf>
    <xf numFmtId="0" fontId="2" fillId="0" borderId="13" xfId="0" applyFont="1" applyBorder="1" applyAlignment="1">
      <alignment horizontal="center" vertical="center"/>
    </xf>
    <xf numFmtId="0" fontId="139" fillId="0" borderId="1" xfId="0" applyFont="1" applyBorder="1" applyAlignment="1">
      <alignment horizontal="justify" vertical="center" wrapText="1"/>
    </xf>
    <xf numFmtId="0" fontId="5" fillId="0" borderId="5" xfId="0" applyFont="1" applyFill="1" applyBorder="1" applyAlignment="1">
      <alignment vertical="center" wrapText="1"/>
    </xf>
    <xf numFmtId="0" fontId="139" fillId="0" borderId="1" xfId="0" applyFont="1" applyFill="1" applyBorder="1" applyAlignment="1">
      <alignment horizontal="right" vertical="center" wrapText="1"/>
    </xf>
    <xf numFmtId="0" fontId="13" fillId="0" borderId="15" xfId="0" applyFont="1" applyBorder="1" applyAlignment="1">
      <alignment horizontal="left" vertical="center"/>
    </xf>
    <xf numFmtId="0" fontId="5" fillId="0" borderId="1" xfId="0" applyFont="1" applyBorder="1" applyAlignment="1">
      <alignment horizontal="justify" vertical="center" wrapText="1"/>
    </xf>
    <xf numFmtId="178" fontId="13" fillId="0" borderId="1" xfId="5" applyNumberFormat="1" applyFont="1" applyBorder="1" applyAlignment="1" applyProtection="1">
      <alignment vertical="center"/>
      <protection locked="0"/>
    </xf>
    <xf numFmtId="178" fontId="66" fillId="0" borderId="1" xfId="5" applyNumberFormat="1" applyFont="1" applyBorder="1" applyAlignment="1" applyProtection="1">
      <alignment vertical="center"/>
      <protection locked="0"/>
    </xf>
    <xf numFmtId="0" fontId="49" fillId="0" borderId="0" xfId="0" applyFont="1" applyBorder="1" applyAlignment="1">
      <alignment horizontal="left" vertical="center"/>
    </xf>
    <xf numFmtId="0" fontId="0" fillId="0" borderId="1" xfId="0" applyFill="1" applyBorder="1"/>
    <xf numFmtId="0" fontId="5" fillId="0" borderId="0" xfId="0" applyFont="1" applyFill="1" applyBorder="1" applyAlignment="1">
      <alignment horizontal="left"/>
    </xf>
    <xf numFmtId="182" fontId="2" fillId="4" borderId="0" xfId="0" applyNumberFormat="1" applyFont="1" applyFill="1" applyBorder="1" applyAlignment="1">
      <alignment horizontal="center" vertical="center"/>
    </xf>
    <xf numFmtId="0" fontId="94" fillId="0" borderId="0" xfId="0" applyFont="1" applyBorder="1" applyAlignment="1">
      <alignment horizontal="center"/>
    </xf>
    <xf numFmtId="0" fontId="94" fillId="0" borderId="0" xfId="0" applyFont="1" applyFill="1" applyBorder="1" applyAlignment="1">
      <alignment horizontal="center"/>
    </xf>
    <xf numFmtId="10" fontId="94" fillId="0" borderId="0" xfId="0" applyNumberFormat="1" applyFont="1" applyFill="1" applyBorder="1" applyAlignment="1">
      <alignment horizontal="center"/>
    </xf>
    <xf numFmtId="0" fontId="19" fillId="0" borderId="0" xfId="0" applyFont="1" applyFill="1" applyBorder="1" applyAlignment="1">
      <alignment horizontal="left" vertical="center"/>
    </xf>
    <xf numFmtId="0" fontId="143" fillId="0" borderId="1" xfId="0" applyFont="1" applyBorder="1" applyAlignment="1">
      <alignment horizontal="justify" vertical="center" wrapText="1"/>
    </xf>
    <xf numFmtId="0" fontId="135" fillId="0" borderId="1" xfId="0" applyFont="1" applyBorder="1" applyAlignment="1">
      <alignment horizontal="right" vertical="center" wrapText="1"/>
    </xf>
    <xf numFmtId="0" fontId="144" fillId="0" borderId="1" xfId="0" applyFont="1" applyBorder="1" applyAlignment="1">
      <alignment horizontal="justify" vertical="center" wrapText="1"/>
    </xf>
    <xf numFmtId="0" fontId="135" fillId="0" borderId="1" xfId="0" applyFont="1" applyBorder="1" applyAlignment="1">
      <alignment horizontal="justify" vertical="center" wrapText="1"/>
    </xf>
    <xf numFmtId="0" fontId="135" fillId="0" borderId="1" xfId="0" applyFont="1" applyBorder="1" applyAlignment="1">
      <alignment horizontal="right" vertical="center" wrapText="1" indent="1"/>
    </xf>
    <xf numFmtId="0" fontId="97" fillId="14" borderId="1" xfId="0" applyFont="1" applyFill="1" applyBorder="1" applyAlignment="1">
      <alignment horizontal="right" vertical="center" wrapText="1"/>
    </xf>
    <xf numFmtId="0" fontId="5" fillId="14" borderId="29" xfId="0" applyFont="1" applyFill="1" applyBorder="1" applyAlignment="1">
      <alignment horizontal="justify" vertical="center" wrapText="1"/>
    </xf>
    <xf numFmtId="0" fontId="141" fillId="14" borderId="29" xfId="0" applyFont="1" applyFill="1" applyBorder="1" applyAlignment="1">
      <alignment horizontal="right" vertical="center" wrapText="1"/>
    </xf>
    <xf numFmtId="0" fontId="135" fillId="4" borderId="1" xfId="0" applyFont="1" applyFill="1" applyBorder="1" applyAlignment="1">
      <alignment horizontal="right" vertical="center" wrapText="1" indent="1"/>
    </xf>
    <xf numFmtId="0" fontId="135" fillId="4" borderId="1" xfId="0" applyFont="1" applyFill="1" applyBorder="1" applyAlignment="1">
      <alignment horizontal="right" vertical="center" wrapText="1"/>
    </xf>
    <xf numFmtId="0" fontId="3" fillId="0" borderId="10" xfId="0" applyFont="1" applyFill="1" applyBorder="1" applyAlignment="1">
      <alignment horizontal="center"/>
    </xf>
    <xf numFmtId="0" fontId="1" fillId="0" borderId="1" xfId="0" applyFont="1" applyBorder="1" applyAlignment="1">
      <alignment horizontal="justify" vertical="center" wrapText="1"/>
    </xf>
    <xf numFmtId="0" fontId="97" fillId="0" borderId="1" xfId="0" applyFont="1" applyBorder="1" applyAlignment="1">
      <alignment horizontal="center" vertical="center" wrapText="1"/>
    </xf>
    <xf numFmtId="0" fontId="89" fillId="0" borderId="0" xfId="0" applyFont="1"/>
    <xf numFmtId="0" fontId="3" fillId="0" borderId="36" xfId="0" applyFont="1" applyBorder="1" applyAlignment="1">
      <alignment vertical="center" wrapText="1"/>
    </xf>
    <xf numFmtId="0" fontId="3" fillId="0" borderId="38" xfId="0" applyFont="1" applyBorder="1" applyAlignment="1">
      <alignment vertical="center" wrapText="1"/>
    </xf>
    <xf numFmtId="0" fontId="7" fillId="4" borderId="1" xfId="44" applyFont="1" applyFill="1" applyBorder="1" applyAlignment="1" applyProtection="1">
      <alignment horizontal="center" vertical="center"/>
    </xf>
    <xf numFmtId="0" fontId="7" fillId="0" borderId="0" xfId="0" applyFont="1" applyBorder="1" applyAlignment="1">
      <alignment horizontal="center"/>
    </xf>
    <xf numFmtId="0" fontId="7" fillId="3" borderId="1" xfId="0" applyFont="1" applyFill="1" applyBorder="1" applyAlignment="1">
      <alignment horizontal="center"/>
    </xf>
    <xf numFmtId="0" fontId="7" fillId="0" borderId="0" xfId="0" applyFont="1" applyFill="1" applyBorder="1" applyAlignment="1">
      <alignment horizontal="center"/>
    </xf>
    <xf numFmtId="0" fontId="23" fillId="0" borderId="0" xfId="0" applyFont="1" applyAlignment="1">
      <alignment horizontal="justify" vertical="center"/>
    </xf>
    <xf numFmtId="0" fontId="3" fillId="0" borderId="0" xfId="0" applyFont="1"/>
    <xf numFmtId="0" fontId="7" fillId="0" borderId="3" xfId="0" applyFont="1" applyBorder="1" applyAlignment="1">
      <alignment horizontal="justify" vertical="center" wrapText="1"/>
    </xf>
    <xf numFmtId="0" fontId="3" fillId="0" borderId="0" xfId="0" applyFont="1" applyAlignment="1">
      <alignment horizontal="justify" vertical="center" wrapText="1"/>
    </xf>
    <xf numFmtId="0" fontId="3" fillId="0" borderId="0" xfId="0" applyFont="1" applyAlignment="1">
      <alignment horizontal="justify" vertical="center"/>
    </xf>
    <xf numFmtId="0" fontId="7" fillId="0" borderId="0" xfId="0" applyFont="1" applyAlignment="1">
      <alignment horizontal="justify" vertical="center"/>
    </xf>
    <xf numFmtId="0" fontId="26" fillId="0" borderId="0" xfId="0" applyFont="1" applyAlignment="1">
      <alignment horizontal="right" vertical="center" wrapText="1"/>
    </xf>
    <xf numFmtId="0" fontId="26" fillId="0" borderId="3" xfId="0" applyFont="1" applyBorder="1" applyAlignment="1">
      <alignment horizontal="justify" vertical="center" wrapText="1"/>
    </xf>
    <xf numFmtId="0" fontId="26" fillId="0" borderId="3" xfId="0" applyFont="1" applyBorder="1" applyAlignment="1">
      <alignment horizontal="right" vertical="center" wrapText="1"/>
    </xf>
    <xf numFmtId="0" fontId="7" fillId="0" borderId="33" xfId="0" applyFont="1" applyBorder="1" applyAlignment="1">
      <alignment horizontal="justify" vertical="center" wrapText="1"/>
    </xf>
    <xf numFmtId="0" fontId="7" fillId="0" borderId="34" xfId="0" applyFont="1" applyBorder="1" applyAlignment="1">
      <alignment horizontal="right" vertical="center" wrapText="1"/>
    </xf>
    <xf numFmtId="0" fontId="3" fillId="0" borderId="35" xfId="0" applyFont="1" applyBorder="1" applyAlignment="1">
      <alignment horizontal="justify" vertical="center" wrapText="1"/>
    </xf>
    <xf numFmtId="0" fontId="3" fillId="0" borderId="36" xfId="0" applyFont="1" applyBorder="1" applyAlignment="1">
      <alignment horizontal="right" vertical="center" wrapText="1"/>
    </xf>
    <xf numFmtId="0" fontId="7" fillId="0" borderId="37" xfId="0" applyFont="1" applyBorder="1" applyAlignment="1">
      <alignment horizontal="justify" vertical="center" wrapText="1"/>
    </xf>
    <xf numFmtId="0" fontId="7" fillId="0" borderId="38" xfId="0" applyFont="1" applyBorder="1" applyAlignment="1">
      <alignment horizontal="right" vertical="center" wrapText="1"/>
    </xf>
    <xf numFmtId="0" fontId="7"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right" vertical="center" wrapText="1"/>
    </xf>
    <xf numFmtId="0" fontId="22" fillId="0" borderId="1" xfId="0" applyFont="1" applyBorder="1" applyAlignment="1">
      <alignment horizontal="justify" vertical="center" wrapText="1"/>
    </xf>
    <xf numFmtId="0" fontId="22" fillId="0" borderId="1" xfId="0" applyFont="1" applyBorder="1" applyAlignment="1">
      <alignment horizontal="right" vertical="center" wrapText="1"/>
    </xf>
    <xf numFmtId="0" fontId="7" fillId="14" borderId="1" xfId="0" applyFont="1" applyFill="1" applyBorder="1" applyAlignment="1">
      <alignment horizontal="left" vertical="center" wrapText="1"/>
    </xf>
    <xf numFmtId="0" fontId="22" fillId="4" borderId="1" xfId="0" applyFont="1" applyFill="1" applyBorder="1" applyAlignment="1">
      <alignment horizontal="right" vertical="center" wrapText="1"/>
    </xf>
    <xf numFmtId="0" fontId="3" fillId="4" borderId="1" xfId="0" applyFont="1" applyFill="1" applyBorder="1" applyAlignment="1">
      <alignment horizontal="right" vertical="center" wrapText="1"/>
    </xf>
    <xf numFmtId="0" fontId="38" fillId="0" borderId="1" xfId="0" applyFont="1" applyBorder="1" applyAlignment="1">
      <alignment horizontal="justify" vertical="center" wrapText="1"/>
    </xf>
    <xf numFmtId="0" fontId="7" fillId="0" borderId="1" xfId="0" applyFont="1" applyBorder="1" applyAlignment="1">
      <alignment horizontal="right" vertical="center" wrapText="1"/>
    </xf>
    <xf numFmtId="0" fontId="7" fillId="4" borderId="1" xfId="0" applyFont="1" applyFill="1" applyBorder="1" applyAlignment="1">
      <alignment horizontal="right" vertical="center" wrapText="1"/>
    </xf>
    <xf numFmtId="0" fontId="23" fillId="0" borderId="1" xfId="0" applyFont="1" applyBorder="1" applyAlignment="1">
      <alignment horizontal="right" vertical="center" wrapText="1"/>
    </xf>
    <xf numFmtId="0" fontId="26" fillId="0" borderId="1" xfId="0" applyFont="1" applyBorder="1" applyAlignment="1">
      <alignment horizontal="right" vertical="center" wrapText="1"/>
    </xf>
    <xf numFmtId="0" fontId="26" fillId="0" borderId="1" xfId="0" applyFont="1" applyBorder="1" applyAlignment="1">
      <alignment horizontal="justify" vertical="center" wrapText="1"/>
    </xf>
    <xf numFmtId="0" fontId="7" fillId="0" borderId="1" xfId="0" applyFont="1" applyBorder="1" applyAlignment="1">
      <alignment horizontal="right" vertical="center" wrapText="1" indent="1"/>
    </xf>
    <xf numFmtId="0" fontId="7" fillId="14" borderId="1" xfId="0" applyFont="1" applyFill="1" applyBorder="1" applyAlignment="1">
      <alignment horizontal="right" vertical="center" wrapText="1"/>
    </xf>
    <xf numFmtId="0" fontId="7" fillId="4" borderId="3" xfId="0" applyFont="1" applyFill="1" applyBorder="1" applyAlignment="1">
      <alignment horizontal="right" vertical="center" wrapText="1" indent="1"/>
    </xf>
    <xf numFmtId="0" fontId="7" fillId="4" borderId="1" xfId="0" applyFont="1" applyFill="1" applyBorder="1" applyAlignment="1">
      <alignment horizontal="right" vertical="center" wrapText="1" indent="1"/>
    </xf>
    <xf numFmtId="0" fontId="135" fillId="0" borderId="0" xfId="0" applyFont="1" applyAlignment="1">
      <alignment horizontal="left" vertical="center"/>
    </xf>
    <xf numFmtId="0" fontId="19" fillId="3" borderId="10" xfId="0" applyFont="1" applyFill="1" applyBorder="1" applyAlignment="1">
      <alignment horizontal="center" vertical="center"/>
    </xf>
    <xf numFmtId="0" fontId="149" fillId="14" borderId="1" xfId="0" applyFont="1" applyFill="1" applyBorder="1" applyAlignment="1">
      <alignment horizontal="justify" vertical="center" wrapText="1"/>
    </xf>
    <xf numFmtId="0" fontId="22" fillId="14" borderId="1" xfId="0" applyFont="1" applyFill="1" applyBorder="1" applyAlignment="1">
      <alignment horizontal="right" vertical="center" wrapText="1"/>
    </xf>
    <xf numFmtId="0" fontId="22" fillId="0" borderId="1" xfId="0" applyFont="1" applyBorder="1" applyAlignment="1">
      <alignment horizontal="right" vertical="center" wrapText="1" indent="1"/>
    </xf>
    <xf numFmtId="0" fontId="23" fillId="0" borderId="1" xfId="0" applyFont="1" applyBorder="1" applyAlignment="1">
      <alignment horizontal="justify" vertical="center" wrapText="1"/>
    </xf>
    <xf numFmtId="0" fontId="23" fillId="0" borderId="1" xfId="0" applyFont="1" applyBorder="1" applyAlignment="1">
      <alignment horizontal="right" vertical="center" wrapText="1" indent="1"/>
    </xf>
    <xf numFmtId="0" fontId="149" fillId="0" borderId="1" xfId="0" applyFont="1" applyBorder="1" applyAlignment="1">
      <alignment horizontal="justify" vertical="center" wrapText="1"/>
    </xf>
    <xf numFmtId="0" fontId="26" fillId="0" borderId="0" xfId="0" applyFont="1" applyAlignment="1">
      <alignment horizontal="left" vertical="center"/>
    </xf>
    <xf numFmtId="0" fontId="151" fillId="0" borderId="0" xfId="0" applyFont="1" applyAlignment="1">
      <alignment horizontal="left" vertical="center"/>
    </xf>
    <xf numFmtId="0" fontId="89" fillId="0" borderId="0" xfId="0" applyFont="1" applyAlignment="1">
      <alignment horizontal="left"/>
    </xf>
    <xf numFmtId="0" fontId="98" fillId="14" borderId="1" xfId="0" applyFont="1" applyFill="1" applyBorder="1" applyAlignment="1">
      <alignment horizontal="left" vertical="center" wrapText="1"/>
    </xf>
    <xf numFmtId="0" fontId="98" fillId="14" borderId="1" xfId="0" applyFont="1" applyFill="1" applyBorder="1" applyAlignment="1">
      <alignment horizontal="center" vertical="center" wrapText="1"/>
    </xf>
    <xf numFmtId="0" fontId="50" fillId="0" borderId="1" xfId="0" applyFont="1" applyBorder="1" applyAlignment="1">
      <alignment horizontal="center" vertical="center" wrapText="1"/>
    </xf>
    <xf numFmtId="0" fontId="7" fillId="3" borderId="0" xfId="44" applyFont="1" applyFill="1" applyBorder="1" applyAlignment="1" applyProtection="1">
      <alignment horizontal="center" vertical="center"/>
    </xf>
    <xf numFmtId="0" fontId="7" fillId="4" borderId="0" xfId="44" applyFont="1" applyFill="1" applyBorder="1" applyAlignment="1" applyProtection="1">
      <alignment horizontal="center" vertical="center"/>
    </xf>
    <xf numFmtId="0" fontId="19" fillId="3" borderId="0" xfId="0" applyFont="1" applyFill="1" applyBorder="1" applyAlignment="1">
      <alignment horizontal="center" vertical="center"/>
    </xf>
    <xf numFmtId="0" fontId="13" fillId="0" borderId="0" xfId="0" applyFont="1"/>
    <xf numFmtId="0" fontId="98" fillId="14" borderId="1" xfId="0" applyFont="1" applyFill="1" applyBorder="1" applyAlignment="1">
      <alignment horizontal="justify" vertical="center" wrapText="1"/>
    </xf>
    <xf numFmtId="0" fontId="98" fillId="14" borderId="1" xfId="0" applyFont="1" applyFill="1" applyBorder="1" applyAlignment="1">
      <alignment horizontal="right" vertical="center" wrapText="1"/>
    </xf>
    <xf numFmtId="0" fontId="148" fillId="0" borderId="1" xfId="0" applyFont="1" applyBorder="1" applyAlignment="1">
      <alignment horizontal="justify" vertical="center" wrapText="1"/>
    </xf>
    <xf numFmtId="0" fontId="98" fillId="0" borderId="1" xfId="0" applyFont="1" applyBorder="1" applyAlignment="1">
      <alignment horizontal="justify" vertical="center" wrapText="1"/>
    </xf>
    <xf numFmtId="0" fontId="13" fillId="0" borderId="1" xfId="41" applyFont="1" applyBorder="1" applyAlignment="1">
      <alignment horizontal="center"/>
      <protection locked="0"/>
    </xf>
    <xf numFmtId="0" fontId="100" fillId="3" borderId="1" xfId="0" applyFont="1" applyFill="1" applyBorder="1" applyAlignment="1">
      <alignment horizontal="center" wrapText="1"/>
    </xf>
    <xf numFmtId="0" fontId="3" fillId="0" borderId="5" xfId="0" applyFont="1" applyBorder="1" applyAlignment="1" applyProtection="1">
      <protection locked="0"/>
    </xf>
    <xf numFmtId="0" fontId="3" fillId="0" borderId="1" xfId="0" applyFont="1" applyBorder="1" applyAlignment="1" applyProtection="1">
      <protection locked="0"/>
    </xf>
    <xf numFmtId="182" fontId="26" fillId="4" borderId="1" xfId="5" applyFont="1" applyFill="1" applyBorder="1" applyAlignment="1" applyProtection="1">
      <alignment horizontal="center" wrapText="1"/>
      <protection locked="0"/>
    </xf>
    <xf numFmtId="0" fontId="99" fillId="0" borderId="0" xfId="0" applyFont="1" applyAlignment="1">
      <alignment horizontal="left" vertical="center"/>
    </xf>
    <xf numFmtId="0" fontId="97" fillId="14" borderId="1" xfId="0" applyFont="1" applyFill="1" applyBorder="1" applyAlignment="1">
      <alignment horizontal="center" vertical="center" wrapText="1"/>
    </xf>
    <xf numFmtId="0" fontId="75" fillId="0" borderId="0" xfId="6" applyAlignment="1" applyProtection="1"/>
    <xf numFmtId="0" fontId="7" fillId="3" borderId="1" xfId="44" applyFont="1" applyFill="1" applyBorder="1" applyAlignment="1" applyProtection="1">
      <alignment horizontal="center" vertical="center"/>
    </xf>
    <xf numFmtId="0" fontId="3" fillId="0" borderId="5" xfId="0" applyFont="1" applyFill="1" applyBorder="1" applyAlignment="1">
      <alignment horizontal="center" vertical="center"/>
    </xf>
    <xf numFmtId="0" fontId="3" fillId="0"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1" xfId="0" applyFont="1" applyFill="1" applyBorder="1" applyAlignment="1">
      <alignment horizontal="center" vertical="top" wrapText="1"/>
    </xf>
    <xf numFmtId="0" fontId="23" fillId="0" borderId="8" xfId="0" applyFont="1" applyBorder="1" applyAlignment="1">
      <alignment horizontal="left" vertical="center"/>
    </xf>
    <xf numFmtId="0" fontId="23" fillId="0" borderId="9" xfId="0" applyFont="1" applyBorder="1" applyAlignment="1">
      <alignment horizontal="left" vertical="center"/>
    </xf>
    <xf numFmtId="0" fontId="7" fillId="14" borderId="1" xfId="0" applyFont="1" applyFill="1" applyBorder="1" applyAlignment="1">
      <alignment horizontal="justify" vertical="center" wrapText="1"/>
    </xf>
    <xf numFmtId="0" fontId="7" fillId="14" borderId="1" xfId="0" applyFont="1" applyFill="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horizontal="right" vertical="center" wrapText="1"/>
    </xf>
    <xf numFmtId="0" fontId="36" fillId="3" borderId="1"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54" fillId="0" borderId="1" xfId="0" applyFont="1" applyFill="1" applyBorder="1" applyAlignment="1">
      <alignment horizontal="center" vertical="center" wrapText="1"/>
    </xf>
    <xf numFmtId="0" fontId="0" fillId="4" borderId="1" xfId="0" applyFill="1" applyBorder="1"/>
    <xf numFmtId="0" fontId="0" fillId="4" borderId="0" xfId="0" applyFill="1"/>
    <xf numFmtId="182" fontId="3" fillId="4" borderId="11" xfId="5" applyFont="1" applyFill="1" applyBorder="1" applyAlignment="1">
      <alignment horizontal="right" vertical="center" wrapText="1"/>
    </xf>
    <xf numFmtId="0" fontId="54" fillId="0" borderId="15" xfId="0" applyFont="1" applyFill="1" applyBorder="1" applyAlignment="1">
      <alignment horizontal="center" vertical="center" wrapText="1"/>
    </xf>
    <xf numFmtId="199" fontId="0" fillId="4" borderId="0" xfId="0" applyNumberFormat="1" applyFill="1"/>
    <xf numFmtId="0" fontId="54" fillId="0" borderId="1" xfId="0" applyFont="1" applyFill="1" applyBorder="1" applyAlignment="1">
      <alignment horizontal="center" wrapText="1"/>
    </xf>
    <xf numFmtId="0" fontId="13" fillId="0" borderId="0" xfId="0" applyFont="1" applyFill="1" applyBorder="1" applyAlignment="1">
      <alignment horizontal="center" vertical="center"/>
    </xf>
    <xf numFmtId="182" fontId="3" fillId="4" borderId="0" xfId="5" applyFont="1" applyFill="1" applyBorder="1" applyAlignment="1">
      <alignment horizontal="center" wrapText="1"/>
    </xf>
    <xf numFmtId="10" fontId="3" fillId="4" borderId="0" xfId="7" applyNumberFormat="1" applyFont="1" applyFill="1" applyBorder="1" applyAlignment="1">
      <alignment horizontal="right" wrapText="1"/>
    </xf>
    <xf numFmtId="0" fontId="13" fillId="0" borderId="0" xfId="0" applyFont="1" applyBorder="1" applyAlignment="1">
      <alignment horizontal="center" wrapText="1"/>
    </xf>
    <xf numFmtId="0" fontId="8" fillId="4" borderId="1" xfId="0" applyFont="1" applyFill="1" applyBorder="1" applyAlignment="1">
      <alignment horizontal="center" vertical="center" wrapText="1"/>
    </xf>
    <xf numFmtId="182" fontId="2" fillId="0" borderId="0" xfId="0" applyNumberFormat="1" applyFont="1" applyFill="1" applyBorder="1" applyAlignment="1">
      <alignment horizontal="center" vertical="center"/>
    </xf>
    <xf numFmtId="182" fontId="8" fillId="4" borderId="10" xfId="5" applyFont="1" applyFill="1" applyBorder="1" applyAlignment="1">
      <alignment horizontal="center" wrapText="1"/>
    </xf>
    <xf numFmtId="0" fontId="67" fillId="0" borderId="0" xfId="6" applyFont="1" applyBorder="1" applyAlignment="1" applyProtection="1">
      <alignment horizontal="center" vertical="center"/>
    </xf>
    <xf numFmtId="0" fontId="23" fillId="0" borderId="1" xfId="0" applyFont="1" applyBorder="1" applyAlignment="1">
      <alignment horizontal="justify" vertical="center"/>
    </xf>
    <xf numFmtId="0" fontId="3" fillId="0" borderId="1" xfId="0" applyFont="1" applyBorder="1"/>
    <xf numFmtId="0" fontId="7" fillId="0" borderId="1" xfId="0" applyFont="1" applyBorder="1" applyAlignment="1">
      <alignment horizontal="center" vertical="center" wrapText="1"/>
    </xf>
    <xf numFmtId="0" fontId="26" fillId="0" borderId="8" xfId="0" applyFont="1" applyBorder="1" applyAlignment="1">
      <alignment vertical="center"/>
    </xf>
    <xf numFmtId="0" fontId="26" fillId="0" borderId="9" xfId="0" applyFont="1" applyBorder="1" applyAlignment="1">
      <alignment vertical="center"/>
    </xf>
    <xf numFmtId="0" fontId="26" fillId="0" borderId="5" xfId="0" applyFont="1" applyBorder="1" applyAlignment="1">
      <alignment vertical="center"/>
    </xf>
    <xf numFmtId="0" fontId="26" fillId="0" borderId="1" xfId="0" applyFont="1" applyBorder="1" applyAlignment="1">
      <alignment horizontal="right" vertical="center" wrapText="1" indent="1"/>
    </xf>
    <xf numFmtId="0" fontId="3" fillId="0" borderId="1" xfId="0" applyFont="1" applyBorder="1" applyAlignment="1">
      <alignment horizontal="justify" vertical="center"/>
    </xf>
    <xf numFmtId="0" fontId="149" fillId="0" borderId="0" xfId="0" applyFont="1" applyBorder="1" applyAlignment="1">
      <alignment horizontal="justify" vertical="center" wrapText="1"/>
    </xf>
    <xf numFmtId="0" fontId="7" fillId="4" borderId="0" xfId="0" applyFont="1" applyFill="1" applyBorder="1" applyAlignment="1">
      <alignment horizontal="right" vertical="center" wrapText="1"/>
    </xf>
    <xf numFmtId="0" fontId="147" fillId="0" borderId="0" xfId="0" applyFont="1" applyBorder="1" applyAlignment="1">
      <alignment horizontal="center" vertical="center" wrapText="1"/>
    </xf>
    <xf numFmtId="0" fontId="7" fillId="0" borderId="0" xfId="0" applyFont="1" applyFill="1" applyBorder="1" applyAlignment="1">
      <alignment horizontal="right" vertical="center" wrapText="1"/>
    </xf>
    <xf numFmtId="0" fontId="147" fillId="0" borderId="1" xfId="0" applyFont="1" applyBorder="1" applyAlignment="1">
      <alignment horizontal="justify" vertical="center" wrapText="1"/>
    </xf>
    <xf numFmtId="0" fontId="147" fillId="0" borderId="8" xfId="0" applyFont="1" applyBorder="1" applyAlignment="1">
      <alignment vertical="center" wrapText="1"/>
    </xf>
    <xf numFmtId="0" fontId="147" fillId="0" borderId="5" xfId="0" applyFont="1" applyBorder="1" applyAlignment="1">
      <alignment vertical="center" wrapText="1"/>
    </xf>
    <xf numFmtId="0" fontId="13" fillId="0" borderId="0" xfId="0" applyFont="1" applyAlignment="1">
      <alignment horizontal="center"/>
    </xf>
    <xf numFmtId="0" fontId="89" fillId="4" borderId="1" xfId="0" applyFont="1" applyFill="1" applyBorder="1"/>
    <xf numFmtId="0" fontId="54" fillId="0" borderId="1" xfId="0" applyFont="1" applyFill="1" applyBorder="1" applyAlignment="1">
      <alignment horizontal="left" wrapText="1"/>
    </xf>
    <xf numFmtId="0" fontId="19" fillId="3" borderId="1" xfId="0" applyFont="1" applyFill="1" applyBorder="1" applyAlignment="1" applyProtection="1">
      <alignment horizontal="center" vertical="center" wrapText="1"/>
      <protection locked="0"/>
    </xf>
    <xf numFmtId="0" fontId="3" fillId="0" borderId="1" xfId="44" applyFont="1" applyFill="1" applyBorder="1" applyAlignment="1" applyProtection="1">
      <alignment horizontal="left" vertical="center"/>
      <protection locked="0"/>
    </xf>
    <xf numFmtId="0" fontId="3" fillId="3" borderId="1" xfId="44" applyFont="1" applyFill="1" applyBorder="1" applyAlignment="1" applyProtection="1">
      <alignment horizontal="center" vertical="center"/>
      <protection locked="0"/>
    </xf>
    <xf numFmtId="43" fontId="5" fillId="0" borderId="0" xfId="0" applyNumberFormat="1" applyFont="1" applyFill="1" applyBorder="1" applyAlignment="1">
      <alignment horizontal="center" vertical="center"/>
    </xf>
    <xf numFmtId="0" fontId="5" fillId="0" borderId="0" xfId="0" applyFont="1" applyAlignment="1">
      <alignment horizontal="center" vertical="center"/>
    </xf>
    <xf numFmtId="31" fontId="3" fillId="0" borderId="0" xfId="0" applyNumberFormat="1" applyFont="1" applyBorder="1" applyAlignment="1">
      <alignment horizontal="left" vertical="center"/>
    </xf>
    <xf numFmtId="43" fontId="3" fillId="0" borderId="0" xfId="0" applyNumberFormat="1" applyFont="1" applyBorder="1" applyAlignment="1">
      <alignment horizontal="left" vertical="center"/>
    </xf>
    <xf numFmtId="43" fontId="27" fillId="0" borderId="0" xfId="0" applyNumberFormat="1" applyFont="1" applyAlignment="1">
      <alignment horizontal="center" vertical="center"/>
    </xf>
    <xf numFmtId="43" fontId="60" fillId="0" borderId="0" xfId="0" applyNumberFormat="1" applyFont="1" applyAlignment="1">
      <alignment horizontal="center" vertical="center"/>
    </xf>
    <xf numFmtId="43" fontId="7" fillId="0" borderId="16" xfId="0" applyNumberFormat="1" applyFont="1" applyBorder="1" applyAlignment="1">
      <alignment horizontal="center" vertical="center"/>
    </xf>
    <xf numFmtId="43" fontId="7" fillId="0" borderId="20" xfId="0" applyNumberFormat="1" applyFont="1" applyBorder="1" applyAlignment="1">
      <alignment horizontal="center" vertical="center"/>
    </xf>
    <xf numFmtId="192" fontId="7" fillId="0" borderId="18" xfId="2" applyNumberFormat="1" applyFont="1" applyBorder="1" applyAlignment="1">
      <alignment horizontal="center" vertical="center"/>
    </xf>
    <xf numFmtId="192" fontId="7" fillId="0" borderId="16" xfId="2" applyNumberFormat="1" applyFont="1" applyBorder="1" applyAlignment="1">
      <alignment horizontal="center" vertical="center"/>
    </xf>
    <xf numFmtId="192" fontId="7" fillId="0" borderId="22" xfId="2" applyNumberFormat="1" applyFont="1" applyBorder="1" applyAlignment="1">
      <alignment horizontal="center" vertical="center"/>
    </xf>
    <xf numFmtId="192" fontId="7" fillId="0" borderId="20" xfId="2" applyNumberFormat="1" applyFont="1" applyBorder="1" applyAlignment="1">
      <alignment horizontal="center" vertical="center"/>
    </xf>
    <xf numFmtId="192" fontId="7" fillId="0" borderId="19" xfId="2" applyNumberFormat="1" applyFont="1" applyBorder="1" applyAlignment="1">
      <alignment horizontal="center" vertical="center"/>
    </xf>
    <xf numFmtId="192" fontId="7" fillId="0" borderId="23" xfId="2" applyNumberFormat="1" applyFont="1" applyBorder="1" applyAlignment="1">
      <alignment horizontal="center" vertical="center"/>
    </xf>
    <xf numFmtId="43" fontId="3" fillId="0" borderId="0" xfId="46" applyNumberFormat="1" applyFont="1" applyBorder="1" applyAlignment="1">
      <alignment horizontal="left" vertical="center" wrapText="1"/>
    </xf>
    <xf numFmtId="43" fontId="5" fillId="0" borderId="0" xfId="46" applyNumberFormat="1" applyFont="1" applyBorder="1" applyAlignment="1">
      <alignment horizontal="center" vertical="center"/>
    </xf>
    <xf numFmtId="43" fontId="7" fillId="11" borderId="16" xfId="46" applyNumberFormat="1" applyFont="1" applyFill="1" applyBorder="1" applyAlignment="1">
      <alignment horizontal="center" vertical="center"/>
    </xf>
    <xf numFmtId="43" fontId="7" fillId="11" borderId="20" xfId="46" applyNumberFormat="1" applyFont="1" applyFill="1" applyBorder="1" applyAlignment="1">
      <alignment horizontal="center" vertical="center"/>
    </xf>
    <xf numFmtId="43" fontId="7" fillId="11" borderId="17" xfId="46" applyNumberFormat="1" applyFont="1" applyFill="1" applyBorder="1" applyAlignment="1">
      <alignment horizontal="center" vertical="center"/>
    </xf>
    <xf numFmtId="43" fontId="7" fillId="11" borderId="21" xfId="46" applyNumberFormat="1" applyFont="1" applyFill="1" applyBorder="1" applyAlignment="1">
      <alignment horizontal="center" vertical="center"/>
    </xf>
    <xf numFmtId="0" fontId="55" fillId="0" borderId="1" xfId="49" applyFont="1" applyFill="1" applyBorder="1" applyAlignment="1">
      <alignment horizontal="center" vertical="center"/>
    </xf>
    <xf numFmtId="49" fontId="5" fillId="0" borderId="1" xfId="49" applyNumberFormat="1" applyFont="1" applyFill="1" applyBorder="1" applyAlignment="1">
      <alignment horizontal="center" vertical="center"/>
    </xf>
    <xf numFmtId="0" fontId="5" fillId="0" borderId="1" xfId="49" applyFont="1" applyFill="1" applyBorder="1" applyAlignment="1">
      <alignment horizontal="center" vertical="center" wrapText="1"/>
    </xf>
    <xf numFmtId="0" fontId="56" fillId="0" borderId="1" xfId="49" applyFont="1" applyFill="1" applyBorder="1" applyAlignment="1">
      <alignment horizontal="center" vertical="center" wrapText="1"/>
    </xf>
    <xf numFmtId="0" fontId="57" fillId="0" borderId="1" xfId="49" applyFont="1" applyFill="1" applyBorder="1" applyAlignment="1">
      <alignment horizontal="center" vertical="center" wrapText="1"/>
    </xf>
    <xf numFmtId="43" fontId="58" fillId="0" borderId="1" xfId="2" applyNumberFormat="1" applyFont="1" applyFill="1" applyBorder="1" applyAlignment="1">
      <alignment horizontal="center" vertical="center" wrapText="1"/>
    </xf>
    <xf numFmtId="0" fontId="5" fillId="0" borderId="1" xfId="49" applyFont="1" applyFill="1" applyBorder="1" applyAlignment="1">
      <alignment horizontal="center" vertical="center"/>
    </xf>
    <xf numFmtId="182" fontId="7" fillId="3" borderId="1" xfId="5" applyFont="1" applyFill="1" applyBorder="1" applyAlignment="1">
      <alignment horizontal="center" vertical="center" wrapText="1"/>
    </xf>
    <xf numFmtId="182" fontId="7" fillId="3" borderId="1" xfId="5" applyFont="1" applyFill="1" applyBorder="1" applyAlignment="1">
      <alignment horizontal="center" vertical="center"/>
    </xf>
    <xf numFmtId="0" fontId="7" fillId="3" borderId="1" xfId="44" applyFont="1" applyFill="1" applyBorder="1" applyAlignment="1" applyProtection="1">
      <alignment horizontal="center" vertical="center"/>
    </xf>
    <xf numFmtId="43" fontId="7" fillId="3" borderId="1" xfId="5" applyNumberFormat="1"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6" xfId="44" applyFont="1" applyFill="1" applyBorder="1" applyAlignment="1" applyProtection="1">
      <alignment horizontal="center" vertical="center"/>
    </xf>
    <xf numFmtId="0" fontId="5" fillId="3" borderId="7" xfId="44" applyFont="1" applyFill="1" applyBorder="1" applyAlignment="1" applyProtection="1">
      <alignment horizontal="center" vertical="center"/>
    </xf>
    <xf numFmtId="0" fontId="3" fillId="3" borderId="1" xfId="0" applyFont="1" applyFill="1" applyBorder="1" applyAlignment="1">
      <alignment horizontal="center" vertical="center" wrapText="1"/>
    </xf>
    <xf numFmtId="0" fontId="3" fillId="0" borderId="8" xfId="0" applyFont="1" applyFill="1" applyBorder="1" applyAlignment="1">
      <alignment horizontal="center" vertical="center"/>
    </xf>
    <xf numFmtId="0" fontId="3" fillId="0" borderId="9" xfId="0" applyFont="1" applyFill="1" applyBorder="1" applyAlignment="1">
      <alignment horizontal="center" vertical="center"/>
    </xf>
    <xf numFmtId="0" fontId="3" fillId="0" borderId="5" xfId="0" applyFont="1" applyFill="1" applyBorder="1" applyAlignment="1">
      <alignment horizontal="center" vertical="center"/>
    </xf>
    <xf numFmtId="0" fontId="136" fillId="0" borderId="0" xfId="0" applyFont="1" applyFill="1" applyBorder="1" applyAlignment="1">
      <alignment horizontal="left" vertical="center"/>
    </xf>
    <xf numFmtId="0" fontId="3" fillId="0" borderId="1" xfId="0" applyFont="1" applyFill="1" applyBorder="1" applyAlignment="1">
      <alignment horizontal="center" vertical="center" wrapText="1"/>
    </xf>
    <xf numFmtId="0" fontId="26" fillId="0" borderId="1" xfId="0" applyFont="1" applyBorder="1" applyAlignment="1">
      <alignment horizontal="center" vertical="center"/>
    </xf>
    <xf numFmtId="0" fontId="54" fillId="3" borderId="8"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97" fillId="14" borderId="10" xfId="0" applyFont="1" applyFill="1" applyBorder="1" applyAlignment="1">
      <alignment horizontal="justify" vertical="center" wrapText="1"/>
    </xf>
    <xf numFmtId="0" fontId="97" fillId="14" borderId="27" xfId="0" applyFont="1" applyFill="1" applyBorder="1" applyAlignment="1">
      <alignment horizontal="justify" vertical="center" wrapText="1"/>
    </xf>
    <xf numFmtId="0" fontId="97" fillId="14" borderId="11" xfId="0" applyFont="1" applyFill="1" applyBorder="1" applyAlignment="1">
      <alignment horizontal="justify" vertical="center" wrapText="1"/>
    </xf>
    <xf numFmtId="0" fontId="5" fillId="14" borderId="2" xfId="0" applyFont="1" applyFill="1" applyBorder="1" applyAlignment="1">
      <alignment horizontal="center" vertical="center" wrapText="1"/>
    </xf>
    <xf numFmtId="0" fontId="97" fillId="14" borderId="9" xfId="0" applyFont="1" applyFill="1" applyBorder="1" applyAlignment="1">
      <alignment horizontal="justify" vertical="center" wrapText="1"/>
    </xf>
    <xf numFmtId="0" fontId="97" fillId="14" borderId="5" xfId="0" applyFont="1" applyFill="1" applyBorder="1" applyAlignment="1">
      <alignment horizontal="justify" vertical="center" wrapText="1"/>
    </xf>
    <xf numFmtId="0" fontId="97" fillId="14" borderId="8" xfId="0" applyFont="1" applyFill="1" applyBorder="1" applyAlignment="1">
      <alignment horizontal="justify" vertical="center" wrapText="1"/>
    </xf>
    <xf numFmtId="0" fontId="138" fillId="0" borderId="6" xfId="0" applyFont="1" applyBorder="1" applyAlignment="1">
      <alignment horizontal="justify" vertical="center" wrapText="1"/>
    </xf>
    <xf numFmtId="0" fontId="138" fillId="0" borderId="0" xfId="0" applyFont="1" applyBorder="1" applyAlignment="1">
      <alignment horizontal="justify" vertical="center" wrapText="1"/>
    </xf>
    <xf numFmtId="0" fontId="138" fillId="0" borderId="14" xfId="0" applyFont="1" applyBorder="1" applyAlignment="1">
      <alignment horizontal="justify" vertical="center" wrapText="1"/>
    </xf>
    <xf numFmtId="0" fontId="138" fillId="0" borderId="4" xfId="0" applyFont="1" applyBorder="1" applyAlignment="1">
      <alignment horizontal="justify" vertical="center" wrapText="1"/>
    </xf>
    <xf numFmtId="0" fontId="97" fillId="14" borderId="15" xfId="0" applyFont="1" applyFill="1" applyBorder="1" applyAlignment="1">
      <alignment horizontal="justify" vertical="center" wrapText="1"/>
    </xf>
    <xf numFmtId="0" fontId="97" fillId="14" borderId="4" xfId="0" applyFont="1" applyFill="1" applyBorder="1" applyAlignment="1">
      <alignment horizontal="justify" vertical="center" wrapText="1"/>
    </xf>
    <xf numFmtId="0" fontId="97" fillId="14" borderId="6" xfId="0" applyFont="1" applyFill="1" applyBorder="1" applyAlignment="1">
      <alignment horizontal="justify" vertical="center" wrapText="1"/>
    </xf>
    <xf numFmtId="0" fontId="5" fillId="14" borderId="9" xfId="0" applyFont="1" applyFill="1" applyBorder="1" applyAlignment="1">
      <alignment horizontal="center" vertical="center" wrapText="1"/>
    </xf>
    <xf numFmtId="0" fontId="5" fillId="14" borderId="5" xfId="0" applyFont="1" applyFill="1" applyBorder="1" applyAlignment="1">
      <alignment horizontal="center" vertical="center" wrapText="1"/>
    </xf>
    <xf numFmtId="0" fontId="97" fillId="14" borderId="0" xfId="0" applyFont="1" applyFill="1" applyBorder="1" applyAlignment="1">
      <alignment horizontal="justify" vertical="center" wrapText="1"/>
    </xf>
    <xf numFmtId="0" fontId="97" fillId="14" borderId="7" xfId="0" applyFont="1" applyFill="1" applyBorder="1" applyAlignment="1">
      <alignment horizontal="justify" vertical="center" wrapText="1"/>
    </xf>
    <xf numFmtId="0" fontId="97" fillId="14" borderId="14" xfId="0" applyFont="1" applyFill="1" applyBorder="1" applyAlignment="1">
      <alignment horizontal="justify" vertical="center" wrapText="1"/>
    </xf>
    <xf numFmtId="0" fontId="97" fillId="14" borderId="13" xfId="0" applyFont="1" applyFill="1" applyBorder="1" applyAlignment="1">
      <alignment horizontal="justify" vertical="center" wrapText="1"/>
    </xf>
    <xf numFmtId="0" fontId="97" fillId="14" borderId="2" xfId="0" applyFont="1" applyFill="1" applyBorder="1" applyAlignment="1">
      <alignment horizontal="center" vertical="center" wrapText="1"/>
    </xf>
    <xf numFmtId="0" fontId="97" fillId="14" borderId="7"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97" fillId="14" borderId="1" xfId="0" applyFont="1" applyFill="1" applyBorder="1" applyAlignment="1">
      <alignment horizontal="justify" vertical="center" wrapText="1"/>
    </xf>
    <xf numFmtId="0" fontId="5" fillId="14" borderId="1" xfId="0" applyFont="1" applyFill="1" applyBorder="1" applyAlignment="1">
      <alignment horizontal="center" vertical="center" wrapText="1"/>
    </xf>
    <xf numFmtId="0" fontId="138" fillId="0" borderId="1" xfId="0" applyFont="1" applyBorder="1" applyAlignment="1">
      <alignment horizontal="justify" vertical="center" wrapText="1"/>
    </xf>
    <xf numFmtId="0" fontId="97" fillId="0" borderId="14" xfId="0" applyFont="1" applyFill="1" applyBorder="1" applyAlignment="1">
      <alignment horizontal="justify" vertical="center" wrapText="1"/>
    </xf>
    <xf numFmtId="0" fontId="97" fillId="0" borderId="13" xfId="0" applyFont="1" applyFill="1" applyBorder="1" applyAlignment="1">
      <alignment horizontal="justify" vertical="center" wrapText="1"/>
    </xf>
    <xf numFmtId="0" fontId="3" fillId="0" borderId="0"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5" fillId="3" borderId="1" xfId="0" applyFont="1" applyFill="1" applyBorder="1" applyAlignment="1" applyProtection="1">
      <alignment horizontal="center" vertical="center" wrapText="1"/>
      <protection locked="0"/>
    </xf>
    <xf numFmtId="0" fontId="32" fillId="3" borderId="10" xfId="0" applyFont="1" applyFill="1" applyBorder="1" applyAlignment="1">
      <alignment horizontal="center" vertical="center" wrapText="1"/>
    </xf>
    <xf numFmtId="0" fontId="32" fillId="3" borderId="11" xfId="0" applyFont="1" applyFill="1" applyBorder="1" applyAlignment="1">
      <alignment horizontal="center" vertical="center" wrapText="1"/>
    </xf>
    <xf numFmtId="0" fontId="101" fillId="3" borderId="10" xfId="0" applyFont="1" applyFill="1" applyBorder="1" applyAlignment="1">
      <alignment horizontal="center" vertical="center" wrapText="1"/>
    </xf>
    <xf numFmtId="0" fontId="101" fillId="3" borderId="11" xfId="0" applyFont="1" applyFill="1" applyBorder="1" applyAlignment="1">
      <alignment horizontal="center" vertical="center" wrapText="1"/>
    </xf>
    <xf numFmtId="0" fontId="32" fillId="3" borderId="8" xfId="0" applyFont="1" applyFill="1" applyBorder="1" applyAlignment="1">
      <alignment horizontal="center" vertical="center" wrapText="1"/>
    </xf>
    <xf numFmtId="0" fontId="32" fillId="3" borderId="5" xfId="0" applyFont="1" applyFill="1" applyBorder="1" applyAlignment="1">
      <alignment horizontal="center" vertical="center" wrapText="1"/>
    </xf>
    <xf numFmtId="0" fontId="18" fillId="0" borderId="0" xfId="0" applyFont="1" applyBorder="1" applyAlignment="1">
      <alignment vertical="top" wrapText="1"/>
    </xf>
    <xf numFmtId="0" fontId="94" fillId="0" borderId="0" xfId="0" applyFont="1" applyBorder="1" applyAlignment="1">
      <alignment horizontal="left" wrapText="1"/>
    </xf>
    <xf numFmtId="0" fontId="22" fillId="3" borderId="1" xfId="0" applyFont="1" applyFill="1" applyBorder="1" applyAlignment="1">
      <alignment horizontal="center" vertical="center" wrapText="1"/>
    </xf>
    <xf numFmtId="0" fontId="22" fillId="3" borderId="1" xfId="0" applyFont="1" applyFill="1" applyBorder="1" applyAlignment="1">
      <alignment horizontal="center" vertical="top" wrapText="1"/>
    </xf>
    <xf numFmtId="0" fontId="23" fillId="0" borderId="8" xfId="0" applyFont="1" applyBorder="1" applyAlignment="1">
      <alignment horizontal="left" vertical="center"/>
    </xf>
    <xf numFmtId="0" fontId="23" fillId="0" borderId="9" xfId="0" applyFont="1" applyBorder="1" applyAlignment="1">
      <alignment horizontal="left" vertical="center"/>
    </xf>
    <xf numFmtId="0" fontId="23" fillId="0" borderId="5" xfId="0" applyFont="1" applyBorder="1" applyAlignment="1">
      <alignment horizontal="left" vertical="center"/>
    </xf>
    <xf numFmtId="0" fontId="1" fillId="0" borderId="32" xfId="0" applyFont="1" applyBorder="1" applyAlignment="1">
      <alignment horizontal="justify" vertical="center" wrapText="1"/>
    </xf>
    <xf numFmtId="0" fontId="1" fillId="0" borderId="0" xfId="0" applyFont="1" applyAlignment="1">
      <alignment horizontal="justify" vertical="center" wrapText="1"/>
    </xf>
    <xf numFmtId="0" fontId="1" fillId="0" borderId="32" xfId="0" applyFont="1" applyBorder="1" applyAlignment="1">
      <alignment horizontal="right" vertical="center" wrapText="1"/>
    </xf>
    <xf numFmtId="0" fontId="1" fillId="0" borderId="0" xfId="0" applyFont="1" applyAlignment="1">
      <alignment horizontal="right" vertical="center" wrapText="1"/>
    </xf>
    <xf numFmtId="0" fontId="99" fillId="0" borderId="0" xfId="0" applyFont="1" applyAlignment="1">
      <alignment horizontal="justify" vertical="center" wrapText="1"/>
    </xf>
    <xf numFmtId="0" fontId="145" fillId="0" borderId="0" xfId="0" applyFont="1" applyAlignment="1">
      <alignment horizontal="left" vertical="center"/>
    </xf>
    <xf numFmtId="0" fontId="145" fillId="0" borderId="0" xfId="0" applyFont="1" applyBorder="1" applyAlignment="1">
      <alignment horizontal="left" vertical="center"/>
    </xf>
    <xf numFmtId="0" fontId="99" fillId="0" borderId="2" xfId="0" applyFont="1" applyBorder="1" applyAlignment="1">
      <alignment horizontal="left" vertical="center"/>
    </xf>
    <xf numFmtId="0" fontId="99" fillId="0" borderId="9" xfId="0" applyFont="1" applyBorder="1" applyAlignment="1">
      <alignment horizontal="left" vertical="center"/>
    </xf>
    <xf numFmtId="0" fontId="99" fillId="0" borderId="3" xfId="0" applyFont="1" applyBorder="1" applyAlignment="1">
      <alignment horizontal="left" vertical="center"/>
    </xf>
    <xf numFmtId="0" fontId="7" fillId="14" borderId="1" xfId="0" applyFont="1" applyFill="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horizontal="right" vertical="center" wrapText="1"/>
    </xf>
    <xf numFmtId="0" fontId="3" fillId="0" borderId="8" xfId="0" applyFont="1" applyBorder="1" applyAlignment="1">
      <alignment horizontal="left" vertical="center"/>
    </xf>
    <xf numFmtId="0" fontId="3" fillId="0" borderId="9" xfId="0" applyFont="1" applyBorder="1" applyAlignment="1">
      <alignment horizontal="left" vertical="center"/>
    </xf>
    <xf numFmtId="0" fontId="3" fillId="0" borderId="5" xfId="0" applyFont="1" applyBorder="1" applyAlignment="1">
      <alignment horizontal="left" vertical="center"/>
    </xf>
    <xf numFmtId="0" fontId="36" fillId="3" borderId="1" xfId="0" applyFont="1" applyFill="1" applyBorder="1" applyAlignment="1">
      <alignment horizontal="center" vertical="center" wrapText="1"/>
    </xf>
    <xf numFmtId="0" fontId="7" fillId="14" borderId="1" xfId="0" applyFont="1" applyFill="1" applyBorder="1" applyAlignment="1">
      <alignment horizontal="justify" vertical="center" wrapText="1"/>
    </xf>
    <xf numFmtId="0" fontId="26" fillId="0" borderId="2" xfId="0" applyFont="1" applyBorder="1" applyAlignment="1">
      <alignment horizontal="left" vertical="center"/>
    </xf>
    <xf numFmtId="0" fontId="3" fillId="0" borderId="0" xfId="0" applyFont="1" applyAlignment="1">
      <alignment horizontal="left" vertical="center"/>
    </xf>
    <xf numFmtId="0" fontId="23" fillId="0" borderId="0" xfId="0" applyFont="1" applyBorder="1" applyAlignment="1">
      <alignment horizontal="center" vertical="center"/>
    </xf>
    <xf numFmtId="0" fontId="3" fillId="0" borderId="3" xfId="0" applyFont="1" applyBorder="1" applyAlignment="1">
      <alignment horizontal="left" vertical="center"/>
    </xf>
    <xf numFmtId="0" fontId="26" fillId="0" borderId="32" xfId="0" applyFont="1" applyBorder="1" applyAlignment="1">
      <alignment horizontal="left" vertical="center"/>
    </xf>
    <xf numFmtId="0" fontId="3" fillId="0" borderId="2" xfId="0" applyFont="1" applyBorder="1" applyAlignment="1">
      <alignment horizontal="left" vertical="center"/>
    </xf>
    <xf numFmtId="0" fontId="26" fillId="0" borderId="0" xfId="0" applyFont="1" applyBorder="1" applyAlignment="1">
      <alignment horizontal="left" vertical="center"/>
    </xf>
    <xf numFmtId="0" fontId="26" fillId="0" borderId="0" xfId="0" applyFont="1" applyAlignment="1">
      <alignment horizontal="left" vertical="center"/>
    </xf>
    <xf numFmtId="0" fontId="51" fillId="3" borderId="1" xfId="0" applyFont="1" applyFill="1" applyBorder="1" applyAlignment="1">
      <alignment horizontal="center" vertical="center" wrapText="1"/>
    </xf>
    <xf numFmtId="0" fontId="7" fillId="0" borderId="0" xfId="0" applyFont="1" applyFill="1" applyBorder="1" applyAlignment="1">
      <alignment horizontal="left"/>
    </xf>
    <xf numFmtId="0" fontId="36" fillId="3" borderId="1" xfId="0" applyFont="1" applyFill="1" applyBorder="1" applyAlignment="1" applyProtection="1">
      <alignment horizontal="center" vertical="center" wrapText="1"/>
    </xf>
    <xf numFmtId="0" fontId="22" fillId="3" borderId="1" xfId="0" applyFont="1" applyFill="1" applyBorder="1" applyAlignment="1" applyProtection="1">
      <alignment horizontal="center" vertical="center" wrapText="1"/>
    </xf>
    <xf numFmtId="0" fontId="46" fillId="3" borderId="1" xfId="0" applyFont="1" applyFill="1" applyBorder="1" applyAlignment="1">
      <alignment horizontal="center" vertical="center" wrapText="1"/>
    </xf>
    <xf numFmtId="0" fontId="46" fillId="3" borderId="1" xfId="0" applyFont="1" applyFill="1" applyBorder="1" applyAlignment="1">
      <alignment horizontal="center" wrapText="1"/>
    </xf>
    <xf numFmtId="0" fontId="33" fillId="0" borderId="0" xfId="0" applyFont="1" applyBorder="1" applyAlignment="1">
      <alignment horizontal="left" vertical="center"/>
    </xf>
    <xf numFmtId="0" fontId="8" fillId="0" borderId="0" xfId="0" applyFont="1" applyBorder="1" applyAlignment="1">
      <alignment horizontal="left" vertical="center"/>
    </xf>
    <xf numFmtId="0" fontId="26" fillId="0" borderId="0" xfId="0" applyFont="1" applyBorder="1" applyAlignment="1">
      <alignment horizontal="left" vertical="center" wrapText="1"/>
    </xf>
    <xf numFmtId="0" fontId="33" fillId="3" borderId="1" xfId="0" applyFont="1" applyFill="1" applyBorder="1" applyAlignment="1">
      <alignment horizontal="center" vertical="center" wrapText="1"/>
    </xf>
    <xf numFmtId="0" fontId="26" fillId="0" borderId="0" xfId="0" applyFont="1" applyBorder="1" applyAlignment="1">
      <alignment horizontal="center" vertical="center"/>
    </xf>
    <xf numFmtId="0" fontId="8" fillId="0" borderId="1" xfId="0" applyFont="1" applyBorder="1" applyAlignment="1">
      <alignment horizontal="center" vertical="center"/>
    </xf>
    <xf numFmtId="0" fontId="5" fillId="3" borderId="4" xfId="0" applyFont="1" applyFill="1" applyBorder="1" applyAlignment="1">
      <alignment horizontal="center" vertical="center"/>
    </xf>
    <xf numFmtId="0" fontId="5" fillId="3" borderId="0" xfId="0" applyFont="1" applyFill="1" applyBorder="1" applyAlignment="1">
      <alignment horizontal="center" vertical="center"/>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5" xfId="0" applyFont="1" applyBorder="1" applyAlignment="1">
      <alignment horizontal="left" vertical="center" wrapText="1"/>
    </xf>
    <xf numFmtId="0" fontId="34" fillId="0" borderId="0" xfId="0" applyFont="1" applyBorder="1" applyAlignment="1">
      <alignment horizontal="left" vertical="center"/>
    </xf>
    <xf numFmtId="0" fontId="3" fillId="0" borderId="1" xfId="0" applyFont="1" applyBorder="1" applyAlignment="1">
      <alignment horizontal="left"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5" xfId="0" applyFont="1" applyBorder="1" applyAlignment="1">
      <alignment horizontal="center" vertical="center" wrapText="1"/>
    </xf>
    <xf numFmtId="0" fontId="35" fillId="0" borderId="1" xfId="0" applyFont="1" applyBorder="1" applyAlignment="1">
      <alignment horizontal="left" vertical="center" wrapText="1"/>
    </xf>
    <xf numFmtId="0" fontId="26" fillId="0" borderId="1" xfId="0" applyFont="1" applyBorder="1" applyAlignment="1">
      <alignment horizontal="left" vertical="center"/>
    </xf>
    <xf numFmtId="0" fontId="26" fillId="0" borderId="8" xfId="0" applyFont="1" applyBorder="1" applyAlignment="1">
      <alignment horizontal="left" vertical="center"/>
    </xf>
    <xf numFmtId="0" fontId="26" fillId="0" borderId="9" xfId="0" applyFont="1" applyBorder="1" applyAlignment="1">
      <alignment horizontal="left" vertical="center"/>
    </xf>
    <xf numFmtId="0" fontId="26" fillId="0" borderId="5" xfId="0" applyFont="1" applyBorder="1" applyAlignment="1">
      <alignment horizontal="left" vertical="center"/>
    </xf>
    <xf numFmtId="0" fontId="34" fillId="0" borderId="8" xfId="0" applyFont="1" applyBorder="1" applyAlignment="1">
      <alignment horizontal="left" vertical="center"/>
    </xf>
    <xf numFmtId="0" fontId="34" fillId="0" borderId="9" xfId="0" applyFont="1" applyBorder="1" applyAlignment="1">
      <alignment horizontal="left" vertical="center"/>
    </xf>
    <xf numFmtId="0" fontId="34" fillId="0" borderId="5" xfId="0" applyFont="1" applyBorder="1" applyAlignment="1">
      <alignment horizontal="left" vertical="center"/>
    </xf>
    <xf numFmtId="0" fontId="3" fillId="0" borderId="1" xfId="0" applyFont="1" applyBorder="1" applyAlignment="1" applyProtection="1">
      <alignment horizontal="left" vertical="center" wrapText="1"/>
      <protection locked="0"/>
    </xf>
    <xf numFmtId="0" fontId="3" fillId="0" borderId="1" xfId="0" applyFont="1" applyBorder="1" applyAlignment="1" applyProtection="1">
      <alignment horizontal="left" wrapText="1"/>
      <protection locked="0"/>
    </xf>
    <xf numFmtId="0" fontId="26" fillId="0" borderId="1" xfId="0" applyFont="1" applyBorder="1" applyAlignment="1" applyProtection="1">
      <alignment horizontal="left" vertical="center" wrapText="1"/>
      <protection locked="0"/>
    </xf>
    <xf numFmtId="0" fontId="3" fillId="0" borderId="1" xfId="0" applyFont="1" applyBorder="1" applyAlignment="1" applyProtection="1">
      <alignment horizontal="left"/>
      <protection locked="0"/>
    </xf>
    <xf numFmtId="0" fontId="19" fillId="3" borderId="1" xfId="0" applyFont="1" applyFill="1" applyBorder="1" applyAlignment="1" applyProtection="1">
      <alignment horizontal="center" wrapText="1"/>
      <protection locked="0"/>
    </xf>
    <xf numFmtId="0" fontId="7" fillId="3" borderId="1" xfId="0" applyFont="1" applyFill="1" applyBorder="1" applyAlignment="1" applyProtection="1">
      <alignment horizontal="center" wrapText="1"/>
      <protection locked="0"/>
    </xf>
    <xf numFmtId="0" fontId="35" fillId="0" borderId="0" xfId="0" applyFont="1" applyBorder="1" applyAlignment="1">
      <alignment horizontal="left" vertical="center"/>
    </xf>
    <xf numFmtId="0" fontId="22" fillId="3" borderId="1" xfId="0" applyFont="1" applyFill="1" applyBorder="1" applyAlignment="1" applyProtection="1">
      <alignment horizontal="center" wrapText="1"/>
      <protection locked="0"/>
    </xf>
    <xf numFmtId="0" fontId="22" fillId="3" borderId="1" xfId="0" applyFont="1" applyFill="1" applyBorder="1" applyAlignment="1" applyProtection="1">
      <alignment horizontal="center" vertical="center" wrapText="1"/>
      <protection locked="0"/>
    </xf>
    <xf numFmtId="0" fontId="3" fillId="0" borderId="0" xfId="0" applyFont="1" applyBorder="1" applyAlignment="1" applyProtection="1">
      <alignment horizontal="left" wrapText="1"/>
      <protection locked="0"/>
    </xf>
    <xf numFmtId="0" fontId="38" fillId="0" borderId="0" xfId="0" applyFont="1" applyBorder="1" applyAlignment="1" applyProtection="1">
      <alignment horizontal="left" wrapText="1"/>
      <protection locked="0"/>
    </xf>
    <xf numFmtId="0" fontId="26" fillId="0" borderId="0" xfId="0" applyFont="1" applyBorder="1" applyAlignment="1">
      <alignment horizontal="center" vertical="center" wrapText="1"/>
    </xf>
    <xf numFmtId="0" fontId="35" fillId="0" borderId="0" xfId="0" applyFont="1" applyBorder="1" applyAlignment="1">
      <alignment horizontal="left" vertical="center" wrapText="1"/>
    </xf>
    <xf numFmtId="0" fontId="22" fillId="3" borderId="1" xfId="0" applyFont="1" applyFill="1" applyBorder="1" applyAlignment="1">
      <alignment horizontal="center" vertical="center"/>
    </xf>
    <xf numFmtId="0" fontId="73" fillId="0" borderId="0" xfId="0" applyFont="1" applyBorder="1" applyAlignment="1" applyProtection="1">
      <alignment horizontal="left" wrapText="1"/>
      <protection locked="0"/>
    </xf>
    <xf numFmtId="0" fontId="26" fillId="0" borderId="0" xfId="0" applyFont="1" applyBorder="1" applyAlignment="1" applyProtection="1">
      <alignment horizontal="left" vertical="center" wrapText="1"/>
      <protection locked="0"/>
    </xf>
    <xf numFmtId="0" fontId="26" fillId="0" borderId="0" xfId="0" applyFont="1" applyBorder="1" applyAlignment="1" applyProtection="1">
      <alignment horizontal="left" wrapText="1"/>
      <protection locked="0"/>
    </xf>
    <xf numFmtId="0" fontId="28" fillId="0" borderId="0" xfId="0" applyFont="1" applyBorder="1" applyAlignment="1" applyProtection="1">
      <alignment horizontal="left" wrapText="1"/>
      <protection locked="0"/>
    </xf>
    <xf numFmtId="0" fontId="35" fillId="0" borderId="0" xfId="0" applyFont="1" applyBorder="1" applyAlignment="1" applyProtection="1">
      <alignment horizontal="left" wrapText="1"/>
      <protection locked="0"/>
    </xf>
    <xf numFmtId="0" fontId="8" fillId="0" borderId="0" xfId="0" applyFont="1" applyFill="1" applyBorder="1" applyAlignment="1">
      <alignment horizontal="center" vertical="center" wrapText="1"/>
    </xf>
    <xf numFmtId="0" fontId="28" fillId="0" borderId="0" xfId="0" applyFont="1" applyBorder="1" applyAlignment="1" applyProtection="1">
      <alignment horizontal="left" vertical="center" wrapText="1"/>
      <protection locked="0"/>
    </xf>
    <xf numFmtId="0" fontId="3" fillId="0" borderId="0" xfId="0" applyFont="1" applyBorder="1" applyAlignment="1">
      <alignment horizontal="left" vertical="center" wrapText="1"/>
    </xf>
    <xf numFmtId="0" fontId="3"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8" xfId="0" applyFont="1" applyFill="1" applyBorder="1" applyAlignment="1">
      <alignment horizontal="left" vertical="center" wrapText="1"/>
    </xf>
    <xf numFmtId="0" fontId="4" fillId="0" borderId="9" xfId="0" applyFont="1" applyFill="1" applyBorder="1" applyAlignment="1">
      <alignment horizontal="left" vertical="center" wrapText="1"/>
    </xf>
    <xf numFmtId="0" fontId="4" fillId="0" borderId="5" xfId="0" applyFont="1" applyFill="1" applyBorder="1" applyAlignment="1">
      <alignment horizontal="left" vertical="center" wrapText="1"/>
    </xf>
    <xf numFmtId="0" fontId="7" fillId="3" borderId="1" xfId="0" applyFont="1" applyFill="1" applyBorder="1" applyAlignment="1">
      <alignment horizontal="center" vertical="center"/>
    </xf>
    <xf numFmtId="0" fontId="3" fillId="0" borderId="1" xfId="0" applyFont="1" applyBorder="1" applyAlignment="1">
      <alignment horizontal="center" vertical="center"/>
    </xf>
    <xf numFmtId="0" fontId="21" fillId="0" borderId="8" xfId="0" applyFont="1" applyFill="1" applyBorder="1" applyAlignment="1">
      <alignment horizontal="left" vertical="center" wrapText="1"/>
    </xf>
    <xf numFmtId="0" fontId="3" fillId="0" borderId="0" xfId="0" applyFont="1" applyBorder="1" applyAlignment="1">
      <alignment horizontal="left" vertical="center"/>
    </xf>
    <xf numFmtId="0" fontId="10" fillId="0" borderId="0" xfId="0" applyFont="1" applyFill="1" applyBorder="1" applyAlignment="1">
      <alignment horizontal="left" vertical="center" wrapText="1"/>
    </xf>
    <xf numFmtId="0" fontId="3" fillId="0" borderId="1" xfId="0" applyFont="1" applyBorder="1" applyAlignment="1">
      <alignment horizontal="center" vertical="center" wrapText="1"/>
    </xf>
    <xf numFmtId="0" fontId="11"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0" xfId="0" applyFont="1" applyFill="1" applyBorder="1" applyAlignment="1">
      <alignment vertical="center" wrapText="1"/>
    </xf>
    <xf numFmtId="0" fontId="12" fillId="3" borderId="1" xfId="0" applyFont="1" applyFill="1" applyBorder="1" applyAlignment="1">
      <alignment horizontal="center" vertical="center" wrapText="1"/>
    </xf>
    <xf numFmtId="0" fontId="3" fillId="0" borderId="1" xfId="0" applyFont="1" applyBorder="1" applyAlignment="1">
      <alignment vertical="center"/>
    </xf>
    <xf numFmtId="0" fontId="13" fillId="0" borderId="1" xfId="0" applyFont="1" applyBorder="1" applyAlignment="1">
      <alignment vertical="center"/>
    </xf>
    <xf numFmtId="0" fontId="14" fillId="0" borderId="0" xfId="0" applyFont="1" applyFill="1" applyBorder="1" applyAlignment="1">
      <alignment vertical="center" wrapText="1"/>
    </xf>
    <xf numFmtId="0" fontId="15" fillId="0" borderId="0" xfId="0" applyFont="1" applyBorder="1" applyAlignment="1">
      <alignment horizontal="left" vertical="center"/>
    </xf>
    <xf numFmtId="0" fontId="18" fillId="0" borderId="0" xfId="0" applyFont="1" applyFill="1" applyBorder="1" applyAlignment="1">
      <alignment vertical="center" wrapText="1"/>
    </xf>
    <xf numFmtId="0" fontId="19" fillId="3" borderId="1" xfId="0" applyFont="1" applyFill="1" applyBorder="1" applyAlignment="1">
      <alignment horizontal="center" vertical="center" wrapText="1"/>
    </xf>
  </cellXfs>
  <cellStyles count="69">
    <cellStyle name="_A17 完成阶段分析性复核" xfId="15"/>
    <cellStyle name="_B9未审报表分析性复核" xfId="1"/>
    <cellStyle name="Black" xfId="16"/>
    <cellStyle name="Border" xfId="17"/>
    <cellStyle name="Calc Currency (0)" xfId="10"/>
    <cellStyle name="Comma [0]_1995" xfId="12"/>
    <cellStyle name="Comma_1995" xfId="13"/>
    <cellStyle name="Currency [0]_1995" xfId="18"/>
    <cellStyle name="Currency_1995" xfId="8"/>
    <cellStyle name="Dezimal [0]_laroux" xfId="19"/>
    <cellStyle name="Dezimal_laroux" xfId="20"/>
    <cellStyle name="entry" xfId="9"/>
    <cellStyle name="Followed Hyperlink_AheadBehind.xls Chart 23" xfId="4"/>
    <cellStyle name="Grey" xfId="21"/>
    <cellStyle name="Header1" xfId="22"/>
    <cellStyle name="Header2" xfId="23"/>
    <cellStyle name="Hyperlink_AheadBehind.xls Chart 23" xfId="24"/>
    <cellStyle name="Input [yellow]" xfId="27"/>
    <cellStyle name="Milliers [0]_laroux" xfId="28"/>
    <cellStyle name="Milliers_laroux" xfId="29"/>
    <cellStyle name="Non défini" xfId="30"/>
    <cellStyle name="Normal - Style1" xfId="31"/>
    <cellStyle name="Normal_#18-Internet" xfId="32"/>
    <cellStyle name="Percent [2]" xfId="33"/>
    <cellStyle name="price" xfId="35"/>
    <cellStyle name="Red" xfId="36"/>
    <cellStyle name="revised" xfId="37"/>
    <cellStyle name="section" xfId="39"/>
    <cellStyle name="t]_x000d__x000a_color schemes=默认 Windows_x000d__x000a__x000d__x000a_[color schemes]_x000d__x000a_Arizona=804000,FFFFFF,FFFFFF,0,FFFFFF,0,808040,C0C0C0,FFFFF" xfId="34"/>
    <cellStyle name="title" xfId="40"/>
    <cellStyle name="パーセント_laroux" xfId="42"/>
    <cellStyle name="百分比" xfId="7" builtinId="5"/>
    <cellStyle name="標準_１１月価格表" xfId="43"/>
    <cellStyle name="標準_CBC_データ収集表（FS用英語）_071030" xfId="44"/>
    <cellStyle name="常规" xfId="0" builtinId="0"/>
    <cellStyle name="常规 2" xfId="41"/>
    <cellStyle name="常规 3" xfId="45"/>
    <cellStyle name="常规_05华胜正式报表" xfId="46"/>
    <cellStyle name="常规_⒀A10客户确认的调整分录" xfId="47"/>
    <cellStyle name="常规_附件1：决算表式（后会签稿）--1008" xfId="3"/>
    <cellStyle name="常规_歌华试算表及附注-房山0706" xfId="48"/>
    <cellStyle name="常规_新会计准则财务报表" xfId="49"/>
    <cellStyle name="常规_新审定表_05天成应付票据" xfId="50"/>
    <cellStyle name="常规_中科软——现金流量表2001新)" xfId="51"/>
    <cellStyle name="超链接" xfId="6" builtinId="8"/>
    <cellStyle name="桁区切り [0.00]_１１月価格表" xfId="53"/>
    <cellStyle name="桁区切り_１１月価格表" xfId="11"/>
    <cellStyle name="霓付 [0]_97MBO" xfId="54"/>
    <cellStyle name="霓付_97MBO" xfId="55"/>
    <cellStyle name="烹拳 [0]_97MBO" xfId="52"/>
    <cellStyle name="烹拳_97MBO" xfId="56"/>
    <cellStyle name="普通_ 白土" xfId="57"/>
    <cellStyle name="普通_损益表_正式报表" xfId="25"/>
    <cellStyle name="普通_现金流量表" xfId="58"/>
    <cellStyle name="千分位[0]_ 白土" xfId="59"/>
    <cellStyle name="千分位_ 白土" xfId="60"/>
    <cellStyle name="千位[0]_1995" xfId="14"/>
    <cellStyle name="千位_1995" xfId="61"/>
    <cellStyle name="千位分隔" xfId="5" builtinId="3"/>
    <cellStyle name="千位分隔[0]" xfId="2" builtinId="6"/>
    <cellStyle name="钎霖_laroux" xfId="26"/>
    <cellStyle name="通貨 [0.00]_１１月価格表" xfId="38"/>
    <cellStyle name="通貨_１１月価格表" xfId="62"/>
    <cellStyle name="样式 1" xfId="63"/>
    <cellStyle name="콤마 [0]_BOILER-CO1" xfId="64"/>
    <cellStyle name="콤마_BOILER-CO1" xfId="65"/>
    <cellStyle name="통화 [0]_BOILER-CO1" xfId="66"/>
    <cellStyle name="통화_BOILER-CO1" xfId="67"/>
    <cellStyle name="표준_0N-HANDLING " xfId="68"/>
  </cellStyles>
  <dxfs count="0"/>
  <tableStyles count="0" defaultTableStyle="TableStyleMedium9" defaultPivotStyle="PivotStyleLight16"/>
  <colors>
    <mruColors>
      <color rgb="FFFFFF99"/>
      <color rgb="FFFFFFCC"/>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externalLink" Target="externalLinks/externalLink10.xml"/><Relationship Id="rId128" Type="http://schemas.openxmlformats.org/officeDocument/2006/relationships/externalLink" Target="externalLinks/externalLink15.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5.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externalLink" Target="externalLinks/externalLink11.xml"/><Relationship Id="rId129"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1.xml"/><Relationship Id="rId119" Type="http://schemas.openxmlformats.org/officeDocument/2006/relationships/externalLink" Target="externalLinks/externalLink6.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externalLink" Target="externalLinks/externalLink7.xml"/><Relationship Id="rId125" Type="http://schemas.openxmlformats.org/officeDocument/2006/relationships/externalLink" Target="externalLinks/externalLink12.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externalLink" Target="externalLinks/externalLink2.xml"/><Relationship Id="rId131"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externalLink" Target="externalLinks/externalLink1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externalLink" Target="externalLinks/externalLink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externalLink" Target="externalLinks/externalLink14.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My%20Documents\&#31119;&#30000;04&#24180;&#23457;\04&#24180;&#23457;&#32508;&#21512;&#31867;\&#31119;&#30000;2004&#20013;&#26399;\&#21335;&#38144;\&#38271;&#36710;-&#21046;&#36896;&#36153;&#29992;-04&#20013;&#263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my%20worksheet\&#31119;&#30000;\2003\&#35832;&#38144;03\&#24213;&#31295;\&#35832;&#38144;-&#23384;&#36135;&#12289;&#24212;&#2018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25105;&#30340;&#25991;&#26723;\&#31119;&#30000;\2003&#20013;&#26399;\&#35832;&#38144;\&#20027;&#33829;&#25910;&#2083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6.10.96\&#21326;&#32988;07&#20849;&#20139;\&#35797;&#31639;&#24179;&#34913;&#21450;&#21512;&#24182;&#34920;&#27169;&#29256;\2007\05&#21452;&#40548;&#33647;&#19994;2006\&#23457;&#35745;&#24213;&#31295;\00&#21452;&#40548;&#26412;&#37096;\&#21512;&#24182;&#38468;&#27880;\Temp\Rar$DI01.109\03&#27431;&#26364;-&#25910;&#20837;&#25104;&#2641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10.96\&#21326;&#32988;07&#20849;&#20139;\&#35797;&#31639;&#24179;&#34913;&#21450;&#21512;&#24182;&#34920;&#27169;&#29256;\2007\05&#21452;&#40548;&#33647;&#19994;2006\&#23457;&#35745;&#24213;&#31295;\00&#21452;&#40548;&#26412;&#37096;\&#21512;&#24182;&#38468;&#27880;\&#25216;&#26415;&#25903;&#25345;&#31649;&#29702;&#37096;\&#23457;&#35745;&#31243;&#24207;&#25991;&#20214;\&#25253;&#21578;&#38454;&#27573;&#25991;&#20214;\&#19978;&#24066;&#20844;&#21496;&#27719;&#34920;&#31243;&#24207;\windows\TEMP\&#20013;&#40065;&#26126;&#32454;&#24080;j.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6.10.96\&#21326;&#32988;07&#20849;&#20139;\&#35797;&#31639;&#24179;&#34913;&#21450;&#21512;&#24182;&#34920;&#27169;&#29256;\2007\05&#21452;&#40548;&#33647;&#19994;2006\&#23457;&#35745;&#24213;&#31295;\00&#21452;&#40548;&#26412;&#37096;\&#21512;&#24182;&#38468;&#27880;\Program%20Files\Microsoft%20Office\Templates\&#30005;&#23376;&#34920;&#26684;&#27169;&#26495;\&#24037;&#19994;&#20225;&#19994;&#36130;&#21153;&#25253;&#34920;.xlt"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25105;&#30340;&#25991;&#26723;\&#31119;&#30000;03&#24180;&#20013;&#26399;&#23457;&#35745;\02&#24180;&#23457;&#26446;&#27915;\2002&#20313;&#39069;&#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w5\cb5d$\My%20Documents\&#26446;&#26149;&#38647;\2003\&#20869;&#37096;&#25253;&#34920;\200310\Book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My%20Documents\&#31119;&#30000;04&#24180;&#23457;\04&#24180;&#23457;&#32508;&#21512;&#31867;\&#25105;&#30340;&#25991;&#26723;\&#31119;&#30000;\2003&#20013;&#26399;\&#38738;&#24030;\&#38738;&#24030;&#25910;&#20837;&#25104;&#26412;&#39044;&#20184;&#3156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6.10.96\&#21326;&#32988;07&#20849;&#20139;\&#35797;&#31639;&#24179;&#34913;&#21450;&#21512;&#24182;&#34920;&#27169;&#29256;\2007\05&#21452;&#40548;&#33647;&#19994;2006\&#23457;&#35745;&#24213;&#31295;\00&#21452;&#40548;&#26412;&#37096;\&#21512;&#24182;&#38468;&#27880;\2002\&#31119;&#30000;&#20013;&#26399;\&#24037;&#20316;&#24213;&#31295;\&#31119;&#30000;2003&#20013;&#26399;\&#31119;&#30000;2003&#20013;&#26399;\&#31119;&#30000;&#20892;&#35013;2003.6.30-&#36127;&#2053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16.10.96\&#21326;&#32988;07&#20849;&#20139;\&#35797;&#31639;&#24179;&#34913;&#21450;&#21512;&#24182;&#34920;&#27169;&#29256;\2007\05&#21452;&#40548;&#33647;&#19994;2006\&#23457;&#35745;&#24213;&#31295;\00&#21452;&#40548;&#26412;&#37096;\&#21512;&#24182;&#38468;&#27880;\&#23458;&#25143;&#36164;&#26009;\&#31119;&#30000;\2005\05&#27431;&#26364;\04&#20013;&#25253;-&#27431;&#26364;&#38144;&#21806;&#24490;&#2961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My%20Documents\&#31119;&#30000;\&#23458;&#38144;--04&#65288;ELLEN&#65289;\7-11&#38144;&#2180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23458;&#25143;&#26723;&#26696;\&#21271;&#27773;&#31119;&#30000;\2004-6-30\&#21335;&#38144;\&#23458;&#25143;&#26723;&#26696;\&#21271;&#27773;&#31119;&#30000;\2003&#24180;&#23457;\&#38271;&#36710;\03&#38271;&#36710;-&#25910;&#20837;&#251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6.10.96\&#21326;&#32988;07&#20849;&#20139;\&#35797;&#31639;&#24179;&#34913;&#21450;&#21512;&#24182;&#34920;&#27169;&#29256;\2007\05&#21452;&#40548;&#33647;&#19994;2006\&#23457;&#35745;&#24213;&#31295;\00&#21452;&#40548;&#26412;&#37096;\&#21512;&#24182;&#38468;&#27880;\&#25216;&#26415;&#25903;&#25345;&#31649;&#29702;&#37096;\&#23457;&#35745;&#31243;&#24207;&#25991;&#20214;\&#25253;&#21578;&#38454;&#27573;&#25991;&#20214;\&#19978;&#24066;&#20844;&#21496;&#27719;&#34920;&#31243;&#24207;\Program%20Files\Microsoft%20Office\Templates\&#30005;&#23376;&#34920;&#26684;&#27169;&#26495;\&#24037;&#19994;&#20225;&#19994;&#36130;&#21153;&#25253;&#34920;.xlt"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23458;&#25143;&#26723;&#26696;\&#21271;&#27773;&#31119;&#30000;\2004-6-30\&#21335;&#38144;\&#23458;&#25143;&#26723;&#26696;\&#21271;&#27773;&#31119;&#30000;\2004-6-30\&#38271;&#36710;\&#38271;&#36710;&#38144;&#21806;&#24490;&#29615;2004-6-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工资"/>
      <sheetName val="福利费"/>
      <sheetName val="折旧"/>
      <sheetName val="业务招待费"/>
      <sheetName val="低值易耗品"/>
      <sheetName val="机"/>
      <sheetName val="水电费"/>
      <sheetName val="办公费"/>
      <sheetName val="通迅费"/>
      <sheetName val="差"/>
      <sheetName val="劳保"/>
      <sheetName val="修"/>
      <sheetName val="劳务费"/>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存货审计程序C10"/>
      <sheetName val="存货审定表C10-1（新）"/>
      <sheetName val="商品进销差价"/>
      <sheetName val="配件"/>
      <sheetName val="退库车"/>
      <sheetName val="Sheet1"/>
      <sheetName val="样车"/>
      <sheetName val="12进销存"/>
      <sheetName val="12进销存 (2)"/>
      <sheetName val="应付帐款程序D3 "/>
      <sheetName val="应付账款审定表D3-1（新）"/>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主营业务收入审定表F1-1（新）"/>
      <sheetName val="合同"/>
      <sheetName val="收入成本对比"/>
      <sheetName val="主营业务成本审定表F2-1（新）"/>
      <sheetName val="累计销售"/>
      <sheetName val="5月销售分析"/>
      <sheetName val="4月销售分析"/>
      <sheetName val="主营业务收入月分析F1-2"/>
      <sheetName val="以前年度损益调整审定表F12-1（新）"/>
      <sheetName val="折旧测算"/>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信息"/>
      <sheetName val="主营业务收入审计程序（销售商品）F1"/>
      <sheetName val="主营业务收入审定表F1-1（新）"/>
      <sheetName val="销售数量"/>
      <sheetName val="主营业务收入"/>
      <sheetName val="营业收入月分析F1-2 (2)"/>
      <sheetName val="Sheet3"/>
      <sheetName val="单价趋势分析"/>
      <sheetName val="营业收入月分析F1-2"/>
      <sheetName val="毛利1"/>
      <sheetName val="毛利2"/>
      <sheetName val="毛利3"/>
      <sheetName val="三兴1"/>
      <sheetName val="三兴2"/>
      <sheetName val="主营业务收入抽查表F1-4"/>
      <sheetName val="主营业务收入抽查表F1-4 (2)"/>
      <sheetName val="主营业务收入截止性测试F1-5"/>
      <sheetName val="主营业务成本审定表F2-1（新）"/>
      <sheetName val="营业成本月分析F2-2"/>
      <sheetName val="主营业务税金及附加审定表F3-1（新）"/>
      <sheetName val="主营税金"/>
      <sheetName val="其他业务利润审计程序F4"/>
      <sheetName val="其他业务利润审定表F4-1（新）"/>
      <sheetName val="其他业务利润"/>
      <sheetName val="其他业务利润明细表F4-2"/>
      <sheetName val="其他材料收入重复"/>
      <sheetName val="其他材料收入账"/>
      <sheetName val="大额及其他业务收支抽查F4-3"/>
      <sheetName val="补贴收入审计程序F9"/>
      <sheetName val="补贴收入审定表F9-1（新）"/>
      <sheetName val="补贴收入明细"/>
      <sheetName val="营业外收入审定表F10-1（新）"/>
      <sheetName val="营业外支出审定表F11-1（新）"/>
      <sheetName val="营业外收入核查表10-2"/>
      <sheetName val="营业外支出核查表F11-2"/>
      <sheetName val="所得税审计程序F13"/>
      <sheetName val="所得税审定表F13-1（新）"/>
      <sheetName val="Sheet2"/>
      <sheetName val="所得税审定表F13-1"/>
      <sheetName val="预收帐款具体审计计划D4"/>
      <sheetName val="预收账款审定表D4-1（新）"/>
      <sheetName val="未回函的预收账款核查表D4-4"/>
      <sheetName val="长期挂帐预收帐款明细表D4-5"/>
      <sheetName val="预收账款测试 (3)"/>
      <sheetName val="预收"/>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s>
    <sheetDataSet>
      <sheetData sheetId="0"/>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外协配件"/>
      <sheetName val="配件"/>
      <sheetName val="运费"/>
      <sheetName val="余额表1-12 (2)"/>
      <sheetName val="余额表1-12"/>
      <sheetName val="库存商品明细账"/>
      <sheetName val="150T2"/>
      <sheetName val="2310"/>
      <sheetName val="150TP4"/>
      <sheetName val="150T1"/>
      <sheetName val="库存商品明细表分类汇总"/>
      <sheetName val="库存商品"/>
      <sheetName val="150T-1cost"/>
      <sheetName val="150T-2cost"/>
      <sheetName val="2310cost"/>
      <sheetName val="主营业务成本"/>
      <sheetName val="1"/>
      <sheetName val="2"/>
      <sheetName val="3"/>
      <sheetName val="4"/>
      <sheetName val="5"/>
      <sheetName val="6"/>
      <sheetName val="7"/>
      <sheetName val="8"/>
      <sheetName val="9"/>
      <sheetName val="10"/>
      <sheetName val="11"/>
      <sheetName val="12"/>
      <sheetName val="销售汇总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累计产销存"/>
      <sheetName val="6汇总(6.7)"/>
      <sheetName val="7汇总(6.7)"/>
      <sheetName val="Sheet1"/>
    </sheetNames>
    <sheetDataSet>
      <sheetData sheetId="0"/>
      <sheetData sheetId="1"/>
      <sheetData sheetId="2"/>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收入个月"/>
      <sheetName val="营业收入月分析F1-2"/>
      <sheetName val="产销存"/>
      <sheetName val="主营业务收入审定表F1-1（新）"/>
      <sheetName val="毛利比较"/>
      <sheetName val="1-6累计销售"/>
      <sheetName val="2002"/>
      <sheetName val="主营业务收入月分析F1-2"/>
      <sheetName val="主营业务成本审定表F2-1（新）"/>
      <sheetName val="在建工程审定表C23-1（新）"/>
      <sheetName val="预付账款审定表C8-1（新）"/>
      <sheetName val="预付货款函证明细表C8-3"/>
    </sheetNames>
    <sheetDataSet>
      <sheetData sheetId="0"/>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负债类底稿目录D"/>
      <sheetName val="表头信息"/>
      <sheetName val="短期借款审定表D1-1（新）"/>
      <sheetName val="函证汇总D1-4"/>
      <sheetName val="应付票据审定表D2-1（新）"/>
      <sheetName val="应付账款审定表D3-1（新）"/>
      <sheetName val="应付帐款"/>
      <sheetName val="应付帐款函证汇总D3-3"/>
      <sheetName val="暂估"/>
      <sheetName val="应付帐款替代程序D3-4"/>
      <sheetName val="暂估应付D3-6"/>
      <sheetName val="预收账款审定表D4-1（新）"/>
      <sheetName val="预收账款"/>
      <sheetName val="预收帐款函证汇总D4-3(1)"/>
      <sheetName val="预收帐款函证汇总D4-3(2)"/>
      <sheetName val="未回函的预收账款核查表D4-4"/>
      <sheetName val="应付工资审定表D5-1（新）"/>
      <sheetName val="应付工资明细表D5-2-1"/>
      <sheetName val="工资"/>
      <sheetName val="奖金"/>
      <sheetName val="应付福利费审定表D6-1（新）"/>
      <sheetName val="应付福利费明细表"/>
      <sheetName val="应付福利费D6-2"/>
      <sheetName val="其他应付款审定表D10-1（新）"/>
      <sheetName val="工程往来明细表"/>
      <sheetName val="临时工押金"/>
      <sheetName val="备用金"/>
      <sheetName val="函证汇总D10-3"/>
      <sheetName val="预提费用审定表D11-1（新）"/>
      <sheetName val="长期借款审定表D16-1（新）"/>
      <sheetName val="长期借款函证情况表D16-3"/>
      <sheetName val="固定资产及累计折旧审定表C21-1（新）"/>
      <sheetName val="原值明细表"/>
      <sheetName val="折旧明细表"/>
      <sheetName val="汇总折旧"/>
      <sheetName val="计提房屋"/>
      <sheetName val="计提专用"/>
      <sheetName val="计提通用"/>
      <sheetName val="计提运输"/>
      <sheetName val="计提办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信息"/>
      <sheetName val="主营业务收入审计程序（销售商品）F1"/>
      <sheetName val="主营业务收入审定表F1-1（新）"/>
      <sheetName val="销售数量"/>
      <sheetName val="主营业务收入"/>
      <sheetName val="营业收入月分析F1-2 (2)"/>
      <sheetName val="Sheet3"/>
      <sheetName val="单价趋势分析"/>
      <sheetName val="营业收入月分析F1-2"/>
      <sheetName val="毛利1"/>
      <sheetName val="毛利2"/>
      <sheetName val="毛利3"/>
      <sheetName val="三兴1"/>
      <sheetName val="三兴2"/>
      <sheetName val="主营业务收入抽查表F1-4"/>
      <sheetName val="主营业务收入抽查表F1-4 (2)"/>
      <sheetName val="主营业务收入截止性测试F1-5"/>
      <sheetName val="主营业务成本审定表F2-1（新）"/>
      <sheetName val="营业成本月分析F2-2"/>
      <sheetName val="主营业务税金及附加审定表F3-1（新）"/>
      <sheetName val="主营税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图-1"/>
      <sheetName val="1-6销售"/>
      <sheetName val="7-11销售"/>
    </sheetNames>
    <sheetDataSet>
      <sheetData sheetId="0"/>
      <sheetData sheetId="1" refreshError="1"/>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主营业务收入审计程序（销售商品）F1"/>
      <sheetName val="主营业务收入审定表F1-1（新）"/>
      <sheetName val="累计销售明细表"/>
      <sheetName val="分类毛利比较"/>
      <sheetName val="小型车毛利分析"/>
      <sheetName val="营业收入月分析F1-2"/>
      <sheetName val="营业收入月分析细车型"/>
      <sheetName val="营业收入月分析细车型 (2)"/>
      <sheetName val="收入数量分析"/>
      <sheetName val="营业收入分析性复核F1-3  (2)"/>
      <sheetName val="主营业务收入抽查表F1-4"/>
      <sheetName val="营业收入截止性测试F1-5"/>
      <sheetName val="销售退回与折让抽查F1-6"/>
      <sheetName val="供应商退车统计"/>
      <sheetName val="12月售供应商统计 "/>
      <sheetName val="主营成本审计程序（销售商品）F2"/>
      <sheetName val="主营业务成本审定表F2-1（新）"/>
      <sheetName val="营业成本月分析F2-2"/>
      <sheetName val="营业成本分析性复核F2-3 "/>
      <sheetName val="预收帐款具体审计计划D4"/>
      <sheetName val="预收账款审定表D4-1（新）"/>
      <sheetName val="预收帐款函证汇总D4-3"/>
      <sheetName val="应收帐款审计程序C6"/>
      <sheetName val="应收账款审定表C6-1（新）"/>
      <sheetName val="应收账款余额表"/>
      <sheetName val="应收帐款函证明细表C6-3"/>
      <sheetName val="应收账款测试"/>
      <sheetName val="应收帐款审计替代程C6-4"/>
      <sheetName val="销售收入前5名"/>
      <sheetName val="所得税审计程序F13"/>
      <sheetName val="所得税审定表F13-1（新）"/>
      <sheetName val="所得税明细表"/>
      <sheetName val="应交所得税所得额审查表D8-11"/>
      <sheetName val="所得税核查表D8-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s>
    <sheetDataSet>
      <sheetData sheetId="0"/>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销售与收款循环程序B2.8-1"/>
      <sheetName val="发票合规性检查B2.8-1-b"/>
      <sheetName val="销售退回、折让、折扣的检查B2.8-1-d"/>
      <sheetName val="收款凭证的测试B2.8-1-e"/>
      <sheetName val="应收票据审计程序C3"/>
      <sheetName val="应收票据审定表C3-1"/>
      <sheetName val="应收票据盘点表C3-2"/>
      <sheetName val="应收帐款审计程序C6"/>
      <sheetName val="应收帐款及坏帐准备审定表C6-1"/>
      <sheetName val="应收账款余额表"/>
      <sheetName val="应收账款借方余额表"/>
      <sheetName val="帐龄及发生额分析表C6-2"/>
      <sheetName val="应收帐款函证明细表C6-3"/>
      <sheetName val="应收函证"/>
      <sheetName val="销售前五名C6-5"/>
      <sheetName val="坏帐准备审计程序C6-C7"/>
      <sheetName val="坏帐准备核查表C6-7"/>
      <sheetName val="预收帐款具体审计计划D4"/>
      <sheetName val="预收帐款审定表D4-1"/>
      <sheetName val="应收账款贷方余额表"/>
      <sheetName val="帐龄及发生额分析表D4-2"/>
      <sheetName val="预收帐款函证汇总D4-3"/>
      <sheetName val="应交税金具体审计计划D8"/>
      <sheetName val="应交税金审定表D8-1"/>
      <sheetName val="应交税金明细表"/>
      <sheetName val="企业纳税情况表D8-2"/>
      <sheetName val="应交增值税核查表D8-3"/>
      <sheetName val="增值税测算"/>
      <sheetName val="土地使用税审查表D8-7"/>
      <sheetName val="房产税核查表D8-8"/>
      <sheetName val="所得税核查表D8-10"/>
      <sheetName val="应交所得税所得额审查表D8-11"/>
      <sheetName val="纳税调整"/>
      <sheetName val="所得税核查表D8-10 (2)"/>
      <sheetName val="应交所得税所得额审查表D8-11 (2)"/>
      <sheetName val="纳税调整 (2)"/>
      <sheetName val="其他应交款审计程序D9"/>
      <sheetName val="其他应交款审定表D9-1"/>
      <sheetName val="其他应交款审查表D9-2"/>
      <sheetName val="主营业务收入审计程序（销售商品）F1"/>
      <sheetName val="营业收入审定表F1-1"/>
      <sheetName val="营业收入月分析F1-2"/>
      <sheetName val="营业收入分析性复核F1-3"/>
      <sheetName val="营业收入截止性测试F1-5"/>
      <sheetName val="销售退回与折让抽查F1-6"/>
      <sheetName val="营业收入月分析细车型"/>
      <sheetName val="营业收入月分析细车型 (2)"/>
      <sheetName val="营业收入月分析细车型 (3)"/>
      <sheetName val="6月南方累计"/>
      <sheetName val="6月时代累计"/>
      <sheetName val="内部交易"/>
      <sheetName val="营业税金审计程序F3"/>
      <sheetName val="营业税金及附加审定表F3-1"/>
      <sheetName val="所得税审计程序F13"/>
      <sheetName val="所得税审定表F13-1（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9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8.bin"/></Relationships>
</file>

<file path=xl/worksheets/_rels/sheet9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E120"/>
  <sheetViews>
    <sheetView tabSelected="1" view="pageBreakPreview" zoomScale="110" zoomScaleNormal="100" zoomScaleSheetLayoutView="110" workbookViewId="0">
      <pane xSplit="2" ySplit="4" topLeftCell="C5" activePane="bottomRight" state="frozen"/>
      <selection pane="topRight"/>
      <selection pane="bottomLeft"/>
      <selection pane="bottomRight" activeCell="F52" sqref="F52"/>
    </sheetView>
  </sheetViews>
  <sheetFormatPr defaultColWidth="9" defaultRowHeight="20.100000000000001" customHeight="1"/>
  <cols>
    <col min="1" max="1" width="10.375" style="915" customWidth="1"/>
    <col min="2" max="2" width="45.25" style="906" customWidth="1"/>
    <col min="3" max="5" width="16.625" style="906" customWidth="1"/>
    <col min="6" max="16384" width="9" style="906"/>
  </cols>
  <sheetData>
    <row r="2" spans="1:5" ht="24.95" customHeight="1">
      <c r="A2" s="916" t="s">
        <v>0</v>
      </c>
      <c r="B2" s="917"/>
      <c r="E2" s="918" t="s">
        <v>2476</v>
      </c>
    </row>
    <row r="3" spans="1:5" ht="20.100000000000001" customHeight="1">
      <c r="D3" s="638"/>
    </row>
    <row r="4" spans="1:5" s="637" customFormat="1" ht="20.100000000000001" customHeight="1">
      <c r="A4" s="16" t="s">
        <v>1</v>
      </c>
      <c r="B4" s="16" t="s">
        <v>2</v>
      </c>
      <c r="C4" s="26" t="s">
        <v>3</v>
      </c>
      <c r="D4" s="26" t="s">
        <v>4</v>
      </c>
      <c r="E4" s="26" t="s">
        <v>5</v>
      </c>
    </row>
    <row r="5" spans="1:5" s="905" customFormat="1" ht="20.100000000000001" customHeight="1">
      <c r="A5" s="65"/>
      <c r="B5" s="365" t="s">
        <v>6</v>
      </c>
      <c r="C5" s="919" t="s">
        <v>7</v>
      </c>
      <c r="D5" s="920" t="s">
        <v>8</v>
      </c>
      <c r="E5" s="103" t="s">
        <v>9</v>
      </c>
    </row>
    <row r="6" spans="1:5" s="905" customFormat="1" ht="20.100000000000001" customHeight="1">
      <c r="A6" s="65">
        <f>1+A5</f>
        <v>1</v>
      </c>
      <c r="B6" s="365" t="s">
        <v>10</v>
      </c>
      <c r="C6" s="919" t="s">
        <v>7</v>
      </c>
      <c r="D6" s="921" t="s">
        <v>11</v>
      </c>
      <c r="E6" s="103" t="s">
        <v>9</v>
      </c>
    </row>
    <row r="7" spans="1:5" s="905" customFormat="1" ht="20.100000000000001" customHeight="1">
      <c r="A7" s="65">
        <v>2.1</v>
      </c>
      <c r="B7" s="365" t="s">
        <v>12</v>
      </c>
      <c r="C7" s="919" t="s">
        <v>13</v>
      </c>
      <c r="D7" s="921" t="s">
        <v>14</v>
      </c>
      <c r="E7" s="103" t="s">
        <v>9</v>
      </c>
    </row>
    <row r="8" spans="1:5" s="905" customFormat="1" ht="20.100000000000001" customHeight="1">
      <c r="A8" s="65">
        <v>2.2000000000000002</v>
      </c>
      <c r="B8" s="365" t="s">
        <v>12</v>
      </c>
      <c r="C8" s="919" t="s">
        <v>13</v>
      </c>
      <c r="D8" s="921" t="s">
        <v>15</v>
      </c>
      <c r="E8" s="103" t="s">
        <v>9</v>
      </c>
    </row>
    <row r="9" spans="1:5" s="905" customFormat="1" ht="20.100000000000001" customHeight="1">
      <c r="A9" s="65">
        <v>3</v>
      </c>
      <c r="B9" s="365" t="s">
        <v>16</v>
      </c>
      <c r="C9" s="919" t="s">
        <v>13</v>
      </c>
      <c r="D9" s="921" t="s">
        <v>17</v>
      </c>
      <c r="E9" s="103" t="s">
        <v>9</v>
      </c>
    </row>
    <row r="10" spans="1:5" s="905" customFormat="1" ht="20.100000000000001" customHeight="1">
      <c r="A10" s="65">
        <f t="shared" ref="A10:A21" si="0">1+A9</f>
        <v>4</v>
      </c>
      <c r="B10" s="365" t="s">
        <v>18</v>
      </c>
      <c r="C10" s="919" t="s">
        <v>13</v>
      </c>
      <c r="D10" s="921" t="s">
        <v>19</v>
      </c>
      <c r="E10" s="103" t="s">
        <v>9</v>
      </c>
    </row>
    <row r="11" spans="1:5" s="905" customFormat="1" ht="20.100000000000001" customHeight="1">
      <c r="A11" s="65">
        <f t="shared" si="0"/>
        <v>5</v>
      </c>
      <c r="B11" s="365" t="s">
        <v>20</v>
      </c>
      <c r="C11" s="919" t="s">
        <v>13</v>
      </c>
      <c r="D11" s="921" t="s">
        <v>21</v>
      </c>
      <c r="E11" s="103" t="s">
        <v>9</v>
      </c>
    </row>
    <row r="12" spans="1:5" s="905" customFormat="1" ht="20.100000000000001" customHeight="1">
      <c r="A12" s="65">
        <f t="shared" si="0"/>
        <v>6</v>
      </c>
      <c r="B12" s="365" t="s">
        <v>22</v>
      </c>
      <c r="C12" s="919" t="s">
        <v>23</v>
      </c>
      <c r="D12" s="921" t="s">
        <v>24</v>
      </c>
      <c r="E12" s="103" t="s">
        <v>9</v>
      </c>
    </row>
    <row r="13" spans="1:5" s="905" customFormat="1" ht="20.100000000000001" customHeight="1">
      <c r="A13" s="65">
        <f t="shared" si="0"/>
        <v>7</v>
      </c>
      <c r="B13" s="365" t="s">
        <v>25</v>
      </c>
      <c r="C13" s="922" t="s">
        <v>26</v>
      </c>
      <c r="D13" s="921" t="s">
        <v>27</v>
      </c>
      <c r="E13" s="103" t="s">
        <v>9</v>
      </c>
    </row>
    <row r="14" spans="1:5" s="905" customFormat="1" ht="20.100000000000001" customHeight="1">
      <c r="A14" s="65">
        <f t="shared" si="0"/>
        <v>8</v>
      </c>
      <c r="B14" s="365" t="s">
        <v>28</v>
      </c>
      <c r="C14" s="922" t="s">
        <v>26</v>
      </c>
      <c r="D14" s="921" t="s">
        <v>29</v>
      </c>
      <c r="E14" s="103" t="s">
        <v>9</v>
      </c>
    </row>
    <row r="15" spans="1:5" s="905" customFormat="1" ht="20.100000000000001" customHeight="1">
      <c r="A15" s="65">
        <f t="shared" si="0"/>
        <v>9</v>
      </c>
      <c r="B15" s="365" t="s">
        <v>30</v>
      </c>
      <c r="C15" s="922" t="s">
        <v>31</v>
      </c>
      <c r="D15" s="921" t="s">
        <v>32</v>
      </c>
      <c r="E15" s="103" t="s">
        <v>9</v>
      </c>
    </row>
    <row r="16" spans="1:5" s="905" customFormat="1" ht="20.100000000000001" customHeight="1">
      <c r="A16" s="65">
        <f t="shared" si="0"/>
        <v>10</v>
      </c>
      <c r="B16" s="365" t="s">
        <v>33</v>
      </c>
      <c r="C16" s="922" t="s">
        <v>31</v>
      </c>
      <c r="D16" s="921" t="s">
        <v>34</v>
      </c>
      <c r="E16" s="103" t="s">
        <v>9</v>
      </c>
    </row>
    <row r="17" spans="1:5" s="905" customFormat="1" ht="20.100000000000001" customHeight="1">
      <c r="A17" s="65">
        <f t="shared" si="0"/>
        <v>11</v>
      </c>
      <c r="B17" s="365" t="s">
        <v>35</v>
      </c>
      <c r="C17" s="922" t="s">
        <v>26</v>
      </c>
      <c r="D17" s="921" t="s">
        <v>36</v>
      </c>
      <c r="E17" s="103" t="s">
        <v>9</v>
      </c>
    </row>
    <row r="18" spans="1:5" s="905" customFormat="1" ht="20.100000000000001" customHeight="1">
      <c r="A18" s="65">
        <f t="shared" si="0"/>
        <v>12</v>
      </c>
      <c r="B18" s="365" t="s">
        <v>37</v>
      </c>
      <c r="C18" s="919" t="s">
        <v>38</v>
      </c>
      <c r="D18" s="921" t="s">
        <v>39</v>
      </c>
      <c r="E18" s="103" t="s">
        <v>9</v>
      </c>
    </row>
    <row r="19" spans="1:5" s="931" customFormat="1" ht="20.100000000000001" customHeight="1">
      <c r="A19" s="930">
        <v>13</v>
      </c>
      <c r="B19" s="932" t="s">
        <v>2020</v>
      </c>
      <c r="C19" s="919" t="s">
        <v>38</v>
      </c>
      <c r="D19" s="921" t="s">
        <v>2034</v>
      </c>
      <c r="E19" s="103" t="s">
        <v>9</v>
      </c>
    </row>
    <row r="20" spans="1:5" s="905" customFormat="1" ht="20.100000000000001" customHeight="1">
      <c r="A20" s="65">
        <v>14</v>
      </c>
      <c r="B20" s="365" t="s">
        <v>40</v>
      </c>
      <c r="C20" s="919" t="s">
        <v>38</v>
      </c>
      <c r="D20" s="921" t="s">
        <v>2035</v>
      </c>
      <c r="E20" s="103" t="s">
        <v>9</v>
      </c>
    </row>
    <row r="21" spans="1:5" s="905" customFormat="1" ht="20.100000000000001" customHeight="1">
      <c r="A21" s="65">
        <f t="shared" si="0"/>
        <v>15</v>
      </c>
      <c r="B21" s="365" t="s">
        <v>41</v>
      </c>
      <c r="C21" s="919" t="s">
        <v>38</v>
      </c>
      <c r="D21" s="921" t="s">
        <v>2036</v>
      </c>
      <c r="E21" s="103" t="s">
        <v>9</v>
      </c>
    </row>
    <row r="22" spans="1:5" s="905" customFormat="1" ht="20.100000000000001" customHeight="1">
      <c r="A22" s="65">
        <v>16</v>
      </c>
      <c r="B22" s="923" t="s">
        <v>2125</v>
      </c>
      <c r="C22" s="919" t="s">
        <v>38</v>
      </c>
      <c r="D22" s="921" t="s">
        <v>2037</v>
      </c>
      <c r="E22" s="924" t="s">
        <v>43</v>
      </c>
    </row>
    <row r="23" spans="1:5" s="905" customFormat="1" ht="20.100000000000001" customHeight="1">
      <c r="A23" s="65">
        <v>17</v>
      </c>
      <c r="B23" s="923" t="s">
        <v>2126</v>
      </c>
      <c r="C23" s="919" t="s">
        <v>38</v>
      </c>
      <c r="D23" s="1033" t="s">
        <v>2129</v>
      </c>
      <c r="E23" s="103" t="s">
        <v>9</v>
      </c>
    </row>
    <row r="24" spans="1:5" s="905" customFormat="1" ht="20.100000000000001" customHeight="1">
      <c r="A24" s="930">
        <v>18</v>
      </c>
      <c r="B24" s="932" t="s">
        <v>2128</v>
      </c>
      <c r="C24" s="919" t="s">
        <v>38</v>
      </c>
      <c r="D24" s="1033" t="s">
        <v>2038</v>
      </c>
      <c r="E24" s="103" t="s">
        <v>9</v>
      </c>
    </row>
    <row r="25" spans="1:5" s="905" customFormat="1" ht="20.100000000000001" customHeight="1">
      <c r="A25" s="65">
        <v>19</v>
      </c>
      <c r="B25" s="365" t="s">
        <v>44</v>
      </c>
      <c r="C25" s="919" t="s">
        <v>38</v>
      </c>
      <c r="D25" s="1033" t="s">
        <v>2225</v>
      </c>
      <c r="E25" s="103" t="s">
        <v>9</v>
      </c>
    </row>
    <row r="26" spans="1:5" s="905" customFormat="1" ht="20.100000000000001" customHeight="1">
      <c r="A26" s="65">
        <v>20</v>
      </c>
      <c r="B26" s="923" t="s">
        <v>45</v>
      </c>
      <c r="C26" s="919" t="s">
        <v>38</v>
      </c>
      <c r="D26" s="1033" t="s">
        <v>2222</v>
      </c>
      <c r="E26" s="924" t="s">
        <v>43</v>
      </c>
    </row>
    <row r="27" spans="1:5" s="905" customFormat="1" ht="20.100000000000001" customHeight="1">
      <c r="A27" s="65">
        <v>20.100000000000001</v>
      </c>
      <c r="B27" s="923" t="s">
        <v>46</v>
      </c>
      <c r="C27" s="919" t="s">
        <v>38</v>
      </c>
      <c r="D27" s="1033" t="s">
        <v>2223</v>
      </c>
      <c r="E27" s="103" t="s">
        <v>9</v>
      </c>
    </row>
    <row r="28" spans="1:5" s="905" customFormat="1" ht="20.100000000000001" customHeight="1">
      <c r="A28" s="65">
        <v>20.2</v>
      </c>
      <c r="B28" s="923" t="s">
        <v>47</v>
      </c>
      <c r="C28" s="919" t="s">
        <v>38</v>
      </c>
      <c r="D28" s="1033" t="s">
        <v>2224</v>
      </c>
      <c r="E28" s="103" t="s">
        <v>9</v>
      </c>
    </row>
    <row r="29" spans="1:5" s="905" customFormat="1" ht="20.100000000000001" customHeight="1">
      <c r="A29" s="65">
        <v>20.3</v>
      </c>
      <c r="B29" s="923" t="s">
        <v>48</v>
      </c>
      <c r="C29" s="919" t="s">
        <v>38</v>
      </c>
      <c r="D29" s="1033" t="s">
        <v>2410</v>
      </c>
      <c r="E29" s="103" t="s">
        <v>9</v>
      </c>
    </row>
    <row r="30" spans="1:5" s="905" customFormat="1" ht="20.100000000000001" customHeight="1">
      <c r="A30" s="65">
        <v>21</v>
      </c>
      <c r="B30" s="365" t="s">
        <v>49</v>
      </c>
      <c r="C30" s="919" t="s">
        <v>38</v>
      </c>
      <c r="D30" s="1033" t="s">
        <v>2039</v>
      </c>
      <c r="E30" s="103" t="s">
        <v>9</v>
      </c>
    </row>
    <row r="31" spans="1:5" s="905" customFormat="1" ht="20.100000000000001" customHeight="1">
      <c r="A31" s="928">
        <f>A30+1</f>
        <v>22</v>
      </c>
      <c r="B31" s="932" t="s">
        <v>2021</v>
      </c>
      <c r="C31" s="919" t="s">
        <v>38</v>
      </c>
      <c r="D31" s="1033" t="s">
        <v>2040</v>
      </c>
      <c r="E31" s="103" t="s">
        <v>9</v>
      </c>
    </row>
    <row r="32" spans="1:5" s="905" customFormat="1" ht="20.100000000000001" customHeight="1">
      <c r="A32" s="967">
        <f t="shared" ref="A32:A45" si="1">A31+1</f>
        <v>23</v>
      </c>
      <c r="B32" s="923" t="s">
        <v>2112</v>
      </c>
      <c r="C32" s="919" t="s">
        <v>38</v>
      </c>
      <c r="D32" s="1033" t="s">
        <v>2041</v>
      </c>
      <c r="E32" s="103" t="s">
        <v>9</v>
      </c>
    </row>
    <row r="33" spans="1:5" s="905" customFormat="1" ht="20.100000000000001" customHeight="1">
      <c r="A33" s="967">
        <f t="shared" si="1"/>
        <v>24</v>
      </c>
      <c r="B33" s="365" t="s">
        <v>50</v>
      </c>
      <c r="C33" s="919" t="s">
        <v>38</v>
      </c>
      <c r="D33" s="1033" t="s">
        <v>2042</v>
      </c>
      <c r="E33" s="103" t="s">
        <v>9</v>
      </c>
    </row>
    <row r="34" spans="1:5" s="905" customFormat="1" ht="20.100000000000001" customHeight="1">
      <c r="A34" s="967">
        <f t="shared" si="1"/>
        <v>25</v>
      </c>
      <c r="B34" s="365" t="s">
        <v>51</v>
      </c>
      <c r="C34" s="919" t="s">
        <v>38</v>
      </c>
      <c r="D34" s="1033" t="s">
        <v>2043</v>
      </c>
      <c r="E34" s="103" t="s">
        <v>9</v>
      </c>
    </row>
    <row r="35" spans="1:5" s="931" customFormat="1" ht="20.100000000000001" customHeight="1">
      <c r="A35" s="967">
        <f t="shared" si="1"/>
        <v>26</v>
      </c>
      <c r="B35" s="932" t="s">
        <v>2022</v>
      </c>
      <c r="C35" s="919" t="s">
        <v>2029</v>
      </c>
      <c r="D35" s="1033" t="s">
        <v>2221</v>
      </c>
      <c r="E35" s="103" t="s">
        <v>9</v>
      </c>
    </row>
    <row r="36" spans="1:5" s="905" customFormat="1" ht="20.100000000000001" customHeight="1">
      <c r="A36" s="967">
        <f t="shared" si="1"/>
        <v>27</v>
      </c>
      <c r="B36" s="365" t="s">
        <v>52</v>
      </c>
      <c r="C36" s="919" t="s">
        <v>38</v>
      </c>
      <c r="D36" s="1033" t="s">
        <v>2220</v>
      </c>
      <c r="E36" s="103" t="s">
        <v>9</v>
      </c>
    </row>
    <row r="37" spans="1:5" s="905" customFormat="1" ht="20.100000000000001" customHeight="1">
      <c r="A37" s="967">
        <f t="shared" si="1"/>
        <v>28</v>
      </c>
      <c r="B37" s="932" t="s">
        <v>2023</v>
      </c>
      <c r="C37" s="919" t="s">
        <v>2029</v>
      </c>
      <c r="D37" s="1033" t="s">
        <v>2219</v>
      </c>
      <c r="E37" s="103" t="s">
        <v>9</v>
      </c>
    </row>
    <row r="38" spans="1:5" s="905" customFormat="1" ht="20.100000000000001" customHeight="1">
      <c r="A38" s="967">
        <f t="shared" si="1"/>
        <v>29</v>
      </c>
      <c r="B38" s="365" t="s">
        <v>53</v>
      </c>
      <c r="C38" s="919" t="s">
        <v>38</v>
      </c>
      <c r="D38" s="1033" t="s">
        <v>2044</v>
      </c>
      <c r="E38" s="103" t="s">
        <v>9</v>
      </c>
    </row>
    <row r="39" spans="1:5" s="905" customFormat="1" ht="20.100000000000001" customHeight="1">
      <c r="A39" s="967">
        <f t="shared" si="1"/>
        <v>30</v>
      </c>
      <c r="B39" s="365" t="s">
        <v>54</v>
      </c>
      <c r="C39" s="919" t="s">
        <v>38</v>
      </c>
      <c r="D39" s="1033" t="s">
        <v>2218</v>
      </c>
      <c r="E39" s="103" t="s">
        <v>9</v>
      </c>
    </row>
    <row r="40" spans="1:5" s="905" customFormat="1" ht="20.100000000000001" customHeight="1">
      <c r="A40" s="967">
        <f t="shared" si="1"/>
        <v>31</v>
      </c>
      <c r="B40" s="365" t="s">
        <v>55</v>
      </c>
      <c r="C40" s="919" t="s">
        <v>38</v>
      </c>
      <c r="D40" s="1033" t="s">
        <v>2045</v>
      </c>
      <c r="E40" s="103" t="s">
        <v>9</v>
      </c>
    </row>
    <row r="41" spans="1:5" s="905" customFormat="1" ht="20.100000000000001" customHeight="1">
      <c r="A41" s="967">
        <f t="shared" si="1"/>
        <v>32</v>
      </c>
      <c r="B41" s="365" t="s">
        <v>56</v>
      </c>
      <c r="C41" s="919" t="s">
        <v>38</v>
      </c>
      <c r="D41" s="1033" t="s">
        <v>2217</v>
      </c>
      <c r="E41" s="103" t="s">
        <v>9</v>
      </c>
    </row>
    <row r="42" spans="1:5" s="905" customFormat="1" ht="20.100000000000001" customHeight="1">
      <c r="A42" s="967">
        <f t="shared" si="1"/>
        <v>33</v>
      </c>
      <c r="B42" s="932" t="s">
        <v>2024</v>
      </c>
      <c r="C42" s="919" t="s">
        <v>38</v>
      </c>
      <c r="D42" s="1033" t="s">
        <v>2046</v>
      </c>
      <c r="E42" s="103" t="s">
        <v>9</v>
      </c>
    </row>
    <row r="43" spans="1:5" s="905" customFormat="1" ht="20.100000000000001" customHeight="1">
      <c r="A43" s="967">
        <f t="shared" si="1"/>
        <v>34</v>
      </c>
      <c r="B43" s="932" t="s">
        <v>2025</v>
      </c>
      <c r="C43" s="919" t="s">
        <v>38</v>
      </c>
      <c r="D43" s="1033" t="s">
        <v>2047</v>
      </c>
      <c r="E43" s="103" t="s">
        <v>9</v>
      </c>
    </row>
    <row r="44" spans="1:5" s="905" customFormat="1" ht="20.100000000000001" customHeight="1">
      <c r="A44" s="967">
        <f t="shared" si="1"/>
        <v>35</v>
      </c>
      <c r="B44" s="365" t="s">
        <v>57</v>
      </c>
      <c r="C44" s="919" t="s">
        <v>38</v>
      </c>
      <c r="D44" s="1033" t="s">
        <v>2216</v>
      </c>
      <c r="E44" s="103" t="s">
        <v>9</v>
      </c>
    </row>
    <row r="45" spans="1:5" s="905" customFormat="1" ht="20.100000000000001" customHeight="1">
      <c r="A45" s="967">
        <f t="shared" si="1"/>
        <v>36</v>
      </c>
      <c r="B45" s="923" t="s">
        <v>58</v>
      </c>
      <c r="C45" s="919" t="s">
        <v>38</v>
      </c>
      <c r="D45" s="1033" t="s">
        <v>2213</v>
      </c>
      <c r="E45" s="103" t="s">
        <v>9</v>
      </c>
    </row>
    <row r="46" spans="1:5" s="905" customFormat="1" ht="20.100000000000001" customHeight="1">
      <c r="A46" s="65">
        <v>36.1</v>
      </c>
      <c r="B46" s="923" t="s">
        <v>59</v>
      </c>
      <c r="C46" s="919" t="s">
        <v>38</v>
      </c>
      <c r="D46" s="1033" t="s">
        <v>2214</v>
      </c>
      <c r="E46" s="103" t="s">
        <v>9</v>
      </c>
    </row>
    <row r="47" spans="1:5" s="905" customFormat="1" ht="20.100000000000001" customHeight="1">
      <c r="A47" s="65">
        <v>36.200000000000003</v>
      </c>
      <c r="B47" s="923" t="s">
        <v>60</v>
      </c>
      <c r="C47" s="919" t="s">
        <v>38</v>
      </c>
      <c r="D47" s="1033" t="s">
        <v>2215</v>
      </c>
      <c r="E47" s="103" t="s">
        <v>9</v>
      </c>
    </row>
    <row r="48" spans="1:5" s="905" customFormat="1" ht="20.100000000000001" customHeight="1">
      <c r="A48" s="65">
        <v>37</v>
      </c>
      <c r="B48" s="923" t="s">
        <v>61</v>
      </c>
      <c r="C48" s="919" t="s">
        <v>38</v>
      </c>
      <c r="D48" s="1033" t="s">
        <v>2048</v>
      </c>
      <c r="E48" s="103" t="s">
        <v>9</v>
      </c>
    </row>
    <row r="49" spans="1:5" s="905" customFormat="1" ht="20.100000000000001" customHeight="1">
      <c r="A49" s="65">
        <f>1+A46</f>
        <v>37.1</v>
      </c>
      <c r="B49" s="923" t="s">
        <v>62</v>
      </c>
      <c r="C49" s="919" t="s">
        <v>38</v>
      </c>
      <c r="D49" s="1033" t="s">
        <v>2211</v>
      </c>
      <c r="E49" s="103" t="s">
        <v>9</v>
      </c>
    </row>
    <row r="50" spans="1:5" s="905" customFormat="1" ht="20.100000000000001" customHeight="1">
      <c r="A50" s="65">
        <v>37.200000000000003</v>
      </c>
      <c r="B50" s="923" t="s">
        <v>63</v>
      </c>
      <c r="C50" s="919" t="s">
        <v>38</v>
      </c>
      <c r="D50" s="1033" t="s">
        <v>2212</v>
      </c>
      <c r="E50" s="103" t="s">
        <v>9</v>
      </c>
    </row>
    <row r="51" spans="1:5" s="905" customFormat="1" ht="20.100000000000001" customHeight="1">
      <c r="A51" s="65">
        <v>38</v>
      </c>
      <c r="B51" s="365" t="s">
        <v>64</v>
      </c>
      <c r="C51" s="919" t="s">
        <v>38</v>
      </c>
      <c r="D51" s="1033" t="s">
        <v>2210</v>
      </c>
      <c r="E51" s="103" t="s">
        <v>9</v>
      </c>
    </row>
    <row r="52" spans="1:5" s="905" customFormat="1" ht="20.100000000000001" customHeight="1">
      <c r="A52" s="65">
        <f t="shared" ref="A52:A63" si="2">1+A51</f>
        <v>39</v>
      </c>
      <c r="B52" s="365" t="s">
        <v>65</v>
      </c>
      <c r="C52" s="919" t="s">
        <v>38</v>
      </c>
      <c r="D52" s="1033" t="s">
        <v>2209</v>
      </c>
      <c r="E52" s="103" t="s">
        <v>9</v>
      </c>
    </row>
    <row r="53" spans="1:5" s="905" customFormat="1" ht="20.100000000000001" customHeight="1">
      <c r="A53" s="65">
        <f t="shared" si="2"/>
        <v>40</v>
      </c>
      <c r="B53" s="365" t="s">
        <v>66</v>
      </c>
      <c r="C53" s="919" t="s">
        <v>38</v>
      </c>
      <c r="D53" s="1033" t="s">
        <v>2208</v>
      </c>
      <c r="E53" s="103" t="s">
        <v>9</v>
      </c>
    </row>
    <row r="54" spans="1:5" s="905" customFormat="1" ht="20.100000000000001" customHeight="1">
      <c r="A54" s="65">
        <f t="shared" si="2"/>
        <v>41</v>
      </c>
      <c r="B54" s="365" t="s">
        <v>67</v>
      </c>
      <c r="C54" s="919" t="s">
        <v>38</v>
      </c>
      <c r="D54" s="1033" t="s">
        <v>2207</v>
      </c>
      <c r="E54" s="103" t="s">
        <v>9</v>
      </c>
    </row>
    <row r="55" spans="1:5" s="905" customFormat="1" ht="20.100000000000001" customHeight="1">
      <c r="A55" s="65">
        <f t="shared" si="2"/>
        <v>42</v>
      </c>
      <c r="B55" s="365" t="s">
        <v>68</v>
      </c>
      <c r="C55" s="919" t="s">
        <v>38</v>
      </c>
      <c r="D55" s="1033" t="s">
        <v>2049</v>
      </c>
      <c r="E55" s="103" t="s">
        <v>9</v>
      </c>
    </row>
    <row r="56" spans="1:5" s="905" customFormat="1" ht="20.100000000000001" customHeight="1">
      <c r="A56" s="65">
        <f t="shared" si="2"/>
        <v>43</v>
      </c>
      <c r="B56" s="365" t="s">
        <v>69</v>
      </c>
      <c r="C56" s="919" t="s">
        <v>38</v>
      </c>
      <c r="D56" s="1033" t="s">
        <v>2206</v>
      </c>
      <c r="E56" s="103" t="s">
        <v>9</v>
      </c>
    </row>
    <row r="57" spans="1:5" s="905" customFormat="1" ht="20.100000000000001" customHeight="1">
      <c r="A57" s="65">
        <f t="shared" si="2"/>
        <v>44</v>
      </c>
      <c r="B57" s="365" t="s">
        <v>70</v>
      </c>
      <c r="C57" s="919" t="s">
        <v>38</v>
      </c>
      <c r="D57" s="1033" t="s">
        <v>2205</v>
      </c>
      <c r="E57" s="103" t="s">
        <v>9</v>
      </c>
    </row>
    <row r="58" spans="1:5" s="905" customFormat="1" ht="20.100000000000001" customHeight="1">
      <c r="A58" s="65">
        <f t="shared" si="2"/>
        <v>45</v>
      </c>
      <c r="B58" s="365" t="s">
        <v>71</v>
      </c>
      <c r="C58" s="919" t="s">
        <v>38</v>
      </c>
      <c r="D58" s="1033" t="s">
        <v>2204</v>
      </c>
      <c r="E58" s="103" t="s">
        <v>9</v>
      </c>
    </row>
    <row r="59" spans="1:5" s="905" customFormat="1" ht="20.100000000000001" customHeight="1">
      <c r="A59" s="65">
        <f t="shared" si="2"/>
        <v>46</v>
      </c>
      <c r="B59" s="365" t="s">
        <v>72</v>
      </c>
      <c r="C59" s="919" t="s">
        <v>38</v>
      </c>
      <c r="D59" s="1033" t="s">
        <v>2050</v>
      </c>
      <c r="E59" s="103" t="s">
        <v>9</v>
      </c>
    </row>
    <row r="60" spans="1:5" s="905" customFormat="1" ht="20.100000000000001" customHeight="1">
      <c r="A60" s="65">
        <f t="shared" si="2"/>
        <v>47</v>
      </c>
      <c r="B60" s="365" t="s">
        <v>73</v>
      </c>
      <c r="C60" s="919" t="s">
        <v>38</v>
      </c>
      <c r="D60" s="1033" t="s">
        <v>2203</v>
      </c>
      <c r="E60" s="103" t="s">
        <v>9</v>
      </c>
    </row>
    <row r="61" spans="1:5" s="905" customFormat="1" ht="20.100000000000001" customHeight="1">
      <c r="A61" s="967">
        <f t="shared" si="2"/>
        <v>48</v>
      </c>
      <c r="B61" s="932" t="s">
        <v>2026</v>
      </c>
      <c r="C61" s="919" t="s">
        <v>38</v>
      </c>
      <c r="D61" s="1033" t="s">
        <v>2202</v>
      </c>
      <c r="E61" s="103" t="s">
        <v>9</v>
      </c>
    </row>
    <row r="62" spans="1:5" s="905" customFormat="1" ht="20.100000000000001" customHeight="1">
      <c r="A62" s="65">
        <f>1+A61</f>
        <v>49</v>
      </c>
      <c r="B62" s="365" t="s">
        <v>74</v>
      </c>
      <c r="C62" s="919" t="s">
        <v>38</v>
      </c>
      <c r="D62" s="1033" t="s">
        <v>2051</v>
      </c>
      <c r="E62" s="103" t="s">
        <v>9</v>
      </c>
    </row>
    <row r="63" spans="1:5" s="905" customFormat="1" ht="20.100000000000001" customHeight="1">
      <c r="A63" s="65">
        <f t="shared" si="2"/>
        <v>50</v>
      </c>
      <c r="B63" s="365" t="s">
        <v>75</v>
      </c>
      <c r="C63" s="919" t="s">
        <v>38</v>
      </c>
      <c r="D63" s="1033" t="s">
        <v>2201</v>
      </c>
      <c r="E63" s="103" t="s">
        <v>9</v>
      </c>
    </row>
    <row r="64" spans="1:5" s="905" customFormat="1" ht="20.100000000000001" customHeight="1">
      <c r="A64" s="65">
        <v>51</v>
      </c>
      <c r="B64" s="923" t="s">
        <v>2130</v>
      </c>
      <c r="C64" s="919" t="s">
        <v>38</v>
      </c>
      <c r="D64" s="1033" t="s">
        <v>2052</v>
      </c>
      <c r="E64" s="103" t="s">
        <v>9</v>
      </c>
    </row>
    <row r="65" spans="1:5" s="905" customFormat="1" ht="20.100000000000001" customHeight="1">
      <c r="A65" s="65">
        <v>52</v>
      </c>
      <c r="B65" s="923" t="s">
        <v>2131</v>
      </c>
      <c r="C65" s="919" t="s">
        <v>38</v>
      </c>
      <c r="D65" s="1033" t="s">
        <v>2200</v>
      </c>
      <c r="E65" s="103" t="s">
        <v>9</v>
      </c>
    </row>
    <row r="66" spans="1:5" s="905" customFormat="1" ht="20.100000000000001" customHeight="1">
      <c r="A66" s="65">
        <v>53</v>
      </c>
      <c r="B66" s="365" t="s">
        <v>76</v>
      </c>
      <c r="C66" s="919" t="s">
        <v>38</v>
      </c>
      <c r="D66" s="1033" t="s">
        <v>2053</v>
      </c>
      <c r="E66" s="103" t="s">
        <v>9</v>
      </c>
    </row>
    <row r="67" spans="1:5" s="905" customFormat="1" ht="20.100000000000001" customHeight="1">
      <c r="A67" s="928">
        <f>A66+1</f>
        <v>54</v>
      </c>
      <c r="B67" s="932" t="s">
        <v>2027</v>
      </c>
      <c r="C67" s="919" t="s">
        <v>38</v>
      </c>
      <c r="D67" s="1033" t="s">
        <v>2054</v>
      </c>
      <c r="E67" s="103" t="s">
        <v>9</v>
      </c>
    </row>
    <row r="68" spans="1:5" s="905" customFormat="1" ht="20.100000000000001" customHeight="1">
      <c r="A68" s="978">
        <f t="shared" ref="A68:A70" si="3">A67+1</f>
        <v>55</v>
      </c>
      <c r="B68" s="365" t="s">
        <v>77</v>
      </c>
      <c r="C68" s="919" t="s">
        <v>38</v>
      </c>
      <c r="D68" s="1033" t="s">
        <v>2199</v>
      </c>
      <c r="E68" s="103" t="s">
        <v>9</v>
      </c>
    </row>
    <row r="69" spans="1:5" s="905" customFormat="1" ht="20.100000000000001" customHeight="1">
      <c r="A69" s="978">
        <f t="shared" si="3"/>
        <v>56</v>
      </c>
      <c r="B69" s="365" t="s">
        <v>78</v>
      </c>
      <c r="C69" s="919" t="s">
        <v>38</v>
      </c>
      <c r="D69" s="1033" t="s">
        <v>2198</v>
      </c>
      <c r="E69" s="103" t="s">
        <v>9</v>
      </c>
    </row>
    <row r="70" spans="1:5" s="905" customFormat="1" ht="20.100000000000001" customHeight="1">
      <c r="A70" s="978">
        <f t="shared" si="3"/>
        <v>57</v>
      </c>
      <c r="B70" s="923" t="s">
        <v>79</v>
      </c>
      <c r="C70" s="919" t="s">
        <v>38</v>
      </c>
      <c r="D70" s="1033" t="s">
        <v>2197</v>
      </c>
      <c r="E70" s="103" t="s">
        <v>9</v>
      </c>
    </row>
    <row r="71" spans="1:5" s="905" customFormat="1" ht="20.100000000000001" customHeight="1">
      <c r="A71" s="65">
        <v>57.1</v>
      </c>
      <c r="B71" s="923" t="s">
        <v>80</v>
      </c>
      <c r="C71" s="919" t="s">
        <v>38</v>
      </c>
      <c r="D71" s="1033" t="s">
        <v>2196</v>
      </c>
      <c r="E71" s="103" t="s">
        <v>9</v>
      </c>
    </row>
    <row r="72" spans="1:5" s="905" customFormat="1" ht="20.100000000000001" customHeight="1">
      <c r="A72" s="65">
        <v>57.2</v>
      </c>
      <c r="B72" s="923" t="s">
        <v>81</v>
      </c>
      <c r="C72" s="919" t="s">
        <v>38</v>
      </c>
      <c r="D72" s="1033" t="s">
        <v>2195</v>
      </c>
      <c r="E72" s="103" t="s">
        <v>9</v>
      </c>
    </row>
    <row r="73" spans="1:5" s="905" customFormat="1" ht="20.100000000000001" customHeight="1">
      <c r="A73" s="65">
        <v>57.3</v>
      </c>
      <c r="B73" s="923" t="s">
        <v>82</v>
      </c>
      <c r="C73" s="919" t="s">
        <v>38</v>
      </c>
      <c r="D73" s="1033" t="s">
        <v>2409</v>
      </c>
      <c r="E73" s="103" t="s">
        <v>9</v>
      </c>
    </row>
    <row r="74" spans="1:5" s="905" customFormat="1" ht="20.100000000000001" customHeight="1">
      <c r="A74" s="65">
        <v>58</v>
      </c>
      <c r="B74" s="365" t="s">
        <v>50</v>
      </c>
      <c r="C74" s="919" t="s">
        <v>38</v>
      </c>
      <c r="D74" s="1033" t="s">
        <v>2194</v>
      </c>
      <c r="E74" s="103" t="s">
        <v>9</v>
      </c>
    </row>
    <row r="75" spans="1:5" s="905" customFormat="1" ht="20.100000000000001" customHeight="1">
      <c r="A75" s="65">
        <f t="shared" ref="A75:A77" si="4">1+A74</f>
        <v>59</v>
      </c>
      <c r="B75" s="365" t="s">
        <v>83</v>
      </c>
      <c r="C75" s="919" t="s">
        <v>38</v>
      </c>
      <c r="D75" s="1033" t="s">
        <v>2193</v>
      </c>
      <c r="E75" s="103" t="s">
        <v>9</v>
      </c>
    </row>
    <row r="76" spans="1:5" s="905" customFormat="1" ht="20.100000000000001" customHeight="1">
      <c r="A76" s="65">
        <f t="shared" si="4"/>
        <v>60</v>
      </c>
      <c r="B76" s="365" t="s">
        <v>84</v>
      </c>
      <c r="C76" s="919" t="s">
        <v>38</v>
      </c>
      <c r="D76" s="1033" t="s">
        <v>2055</v>
      </c>
      <c r="E76" s="103" t="s">
        <v>9</v>
      </c>
    </row>
    <row r="77" spans="1:5" s="905" customFormat="1" ht="20.100000000000001" customHeight="1">
      <c r="A77" s="65">
        <f t="shared" si="4"/>
        <v>61</v>
      </c>
      <c r="B77" s="365" t="s">
        <v>85</v>
      </c>
      <c r="C77" s="919" t="s">
        <v>38</v>
      </c>
      <c r="D77" s="1033" t="s">
        <v>2056</v>
      </c>
      <c r="E77" s="103" t="s">
        <v>9</v>
      </c>
    </row>
    <row r="78" spans="1:5" s="905" customFormat="1" ht="20.100000000000001" customHeight="1">
      <c r="A78" s="65">
        <v>62</v>
      </c>
      <c r="B78" s="923" t="s">
        <v>86</v>
      </c>
      <c r="C78" s="919" t="s">
        <v>38</v>
      </c>
      <c r="D78" s="1033" t="s">
        <v>2192</v>
      </c>
      <c r="E78" s="103" t="s">
        <v>9</v>
      </c>
    </row>
    <row r="79" spans="1:5" s="905" customFormat="1" ht="20.100000000000001" customHeight="1">
      <c r="A79" s="65">
        <v>62.1</v>
      </c>
      <c r="B79" s="923" t="s">
        <v>87</v>
      </c>
      <c r="C79" s="919" t="s">
        <v>38</v>
      </c>
      <c r="D79" s="1033" t="s">
        <v>2191</v>
      </c>
      <c r="E79" s="103" t="s">
        <v>9</v>
      </c>
    </row>
    <row r="80" spans="1:5" s="905" customFormat="1" ht="20.100000000000001" customHeight="1">
      <c r="A80" s="65">
        <v>62.2</v>
      </c>
      <c r="B80" s="923" t="s">
        <v>88</v>
      </c>
      <c r="C80" s="919" t="s">
        <v>38</v>
      </c>
      <c r="D80" s="1033" t="s">
        <v>2190</v>
      </c>
      <c r="E80" s="103" t="s">
        <v>9</v>
      </c>
    </row>
    <row r="81" spans="1:5" s="905" customFormat="1" ht="20.100000000000001" customHeight="1">
      <c r="A81" s="65">
        <v>63</v>
      </c>
      <c r="B81" s="365" t="s">
        <v>89</v>
      </c>
      <c r="C81" s="919" t="s">
        <v>38</v>
      </c>
      <c r="D81" s="1033" t="s">
        <v>2057</v>
      </c>
      <c r="E81" s="103" t="s">
        <v>9</v>
      </c>
    </row>
    <row r="82" spans="1:5" s="905" customFormat="1" ht="20.100000000000001" customHeight="1">
      <c r="A82" s="65">
        <f>A81+1</f>
        <v>64</v>
      </c>
      <c r="B82" s="365" t="s">
        <v>90</v>
      </c>
      <c r="C82" s="919" t="s">
        <v>38</v>
      </c>
      <c r="D82" s="1033" t="s">
        <v>2189</v>
      </c>
      <c r="E82" s="103" t="s">
        <v>9</v>
      </c>
    </row>
    <row r="83" spans="1:5" s="905" customFormat="1" ht="20.100000000000001" customHeight="1">
      <c r="A83" s="65">
        <f t="shared" ref="A83:A113" si="5">1+A82</f>
        <v>65</v>
      </c>
      <c r="B83" s="365" t="s">
        <v>91</v>
      </c>
      <c r="C83" s="919" t="s">
        <v>38</v>
      </c>
      <c r="D83" s="1033" t="s">
        <v>2058</v>
      </c>
      <c r="E83" s="103" t="s">
        <v>9</v>
      </c>
    </row>
    <row r="84" spans="1:5" s="905" customFormat="1" ht="20.100000000000001" customHeight="1">
      <c r="A84" s="65">
        <f t="shared" si="5"/>
        <v>66</v>
      </c>
      <c r="B84" s="365" t="s">
        <v>92</v>
      </c>
      <c r="C84" s="919" t="s">
        <v>38</v>
      </c>
      <c r="D84" s="1033" t="s">
        <v>2059</v>
      </c>
      <c r="E84" s="103" t="s">
        <v>9</v>
      </c>
    </row>
    <row r="85" spans="1:5" s="905" customFormat="1" ht="20.100000000000001" customHeight="1">
      <c r="A85" s="65">
        <f t="shared" si="5"/>
        <v>67</v>
      </c>
      <c r="B85" s="365" t="s">
        <v>93</v>
      </c>
      <c r="C85" s="919" t="s">
        <v>38</v>
      </c>
      <c r="D85" s="1033" t="s">
        <v>2188</v>
      </c>
      <c r="E85" s="103" t="s">
        <v>9</v>
      </c>
    </row>
    <row r="86" spans="1:5" s="905" customFormat="1" ht="20.100000000000001" customHeight="1">
      <c r="A86" s="65">
        <f t="shared" si="5"/>
        <v>68</v>
      </c>
      <c r="B86" s="923" t="s">
        <v>94</v>
      </c>
      <c r="C86" s="919" t="s">
        <v>38</v>
      </c>
      <c r="D86" s="1033" t="s">
        <v>2060</v>
      </c>
      <c r="E86" s="103" t="s">
        <v>9</v>
      </c>
    </row>
    <row r="87" spans="1:5" s="905" customFormat="1" ht="20.100000000000001" customHeight="1">
      <c r="A87" s="978">
        <f t="shared" si="5"/>
        <v>69</v>
      </c>
      <c r="B87" s="365" t="s">
        <v>95</v>
      </c>
      <c r="C87" s="919" t="s">
        <v>38</v>
      </c>
      <c r="D87" s="1033" t="s">
        <v>2061</v>
      </c>
      <c r="E87" s="103" t="s">
        <v>9</v>
      </c>
    </row>
    <row r="88" spans="1:5" s="905" customFormat="1" ht="20.100000000000001" customHeight="1">
      <c r="A88" s="978">
        <f t="shared" si="5"/>
        <v>70</v>
      </c>
      <c r="B88" s="365" t="s">
        <v>96</v>
      </c>
      <c r="C88" s="919" t="s">
        <v>38</v>
      </c>
      <c r="D88" s="1033" t="s">
        <v>2187</v>
      </c>
      <c r="E88" s="103" t="s">
        <v>9</v>
      </c>
    </row>
    <row r="89" spans="1:5" s="905" customFormat="1" ht="20.100000000000001" customHeight="1">
      <c r="A89" s="978">
        <f t="shared" si="5"/>
        <v>71</v>
      </c>
      <c r="B89" s="923" t="s">
        <v>97</v>
      </c>
      <c r="C89" s="919" t="s">
        <v>38</v>
      </c>
      <c r="D89" s="1033" t="s">
        <v>2062</v>
      </c>
      <c r="E89" s="103" t="s">
        <v>9</v>
      </c>
    </row>
    <row r="90" spans="1:5" s="905" customFormat="1" ht="20.100000000000001" customHeight="1">
      <c r="A90" s="978">
        <f t="shared" si="5"/>
        <v>72</v>
      </c>
      <c r="B90" s="365" t="s">
        <v>98</v>
      </c>
      <c r="C90" s="919" t="s">
        <v>38</v>
      </c>
      <c r="D90" s="1033" t="s">
        <v>2186</v>
      </c>
      <c r="E90" s="103" t="s">
        <v>9</v>
      </c>
    </row>
    <row r="91" spans="1:5" s="905" customFormat="1" ht="20.100000000000001" customHeight="1">
      <c r="A91" s="978">
        <f>A90+1</f>
        <v>73</v>
      </c>
      <c r="B91" s="923" t="s">
        <v>99</v>
      </c>
      <c r="C91" s="919" t="s">
        <v>38</v>
      </c>
      <c r="D91" s="1033" t="s">
        <v>2185</v>
      </c>
      <c r="E91" s="103" t="s">
        <v>9</v>
      </c>
    </row>
    <row r="92" spans="1:5" s="905" customFormat="1" ht="20.100000000000001" customHeight="1">
      <c r="A92" s="978">
        <f t="shared" si="5"/>
        <v>74</v>
      </c>
      <c r="B92" s="365" t="s">
        <v>100</v>
      </c>
      <c r="C92" s="919" t="s">
        <v>38</v>
      </c>
      <c r="D92" s="1033" t="s">
        <v>2063</v>
      </c>
      <c r="E92" s="103" t="s">
        <v>9</v>
      </c>
    </row>
    <row r="93" spans="1:5" s="905" customFormat="1" ht="20.100000000000001" customHeight="1">
      <c r="A93" s="978">
        <f t="shared" si="5"/>
        <v>75</v>
      </c>
      <c r="B93" s="932" t="s">
        <v>2028</v>
      </c>
      <c r="C93" s="919" t="s">
        <v>38</v>
      </c>
      <c r="D93" s="1033" t="s">
        <v>2184</v>
      </c>
      <c r="E93" s="103" t="s">
        <v>9</v>
      </c>
    </row>
    <row r="94" spans="1:5" s="905" customFormat="1" ht="20.100000000000001" customHeight="1">
      <c r="A94" s="978">
        <f t="shared" si="5"/>
        <v>76</v>
      </c>
      <c r="B94" s="365" t="s">
        <v>101</v>
      </c>
      <c r="C94" s="919" t="s">
        <v>38</v>
      </c>
      <c r="D94" s="1033" t="s">
        <v>2064</v>
      </c>
      <c r="E94" s="103" t="s">
        <v>9</v>
      </c>
    </row>
    <row r="95" spans="1:5" s="905" customFormat="1" ht="20.100000000000001" customHeight="1">
      <c r="A95" s="978">
        <f t="shared" si="5"/>
        <v>77</v>
      </c>
      <c r="B95" s="932" t="s">
        <v>2133</v>
      </c>
      <c r="C95" s="919" t="s">
        <v>38</v>
      </c>
      <c r="D95" s="1033" t="s">
        <v>2065</v>
      </c>
      <c r="E95" s="103" t="s">
        <v>9</v>
      </c>
    </row>
    <row r="96" spans="1:5" s="905" customFormat="1" ht="20.100000000000001" customHeight="1">
      <c r="A96" s="978">
        <f t="shared" si="5"/>
        <v>78</v>
      </c>
      <c r="B96" s="923" t="s">
        <v>2132</v>
      </c>
      <c r="C96" s="919" t="s">
        <v>38</v>
      </c>
      <c r="D96" s="1033" t="s">
        <v>2408</v>
      </c>
      <c r="E96" s="103" t="s">
        <v>9</v>
      </c>
    </row>
    <row r="97" spans="1:5" s="905" customFormat="1" ht="20.100000000000001" customHeight="1">
      <c r="A97" s="978">
        <f t="shared" si="5"/>
        <v>79</v>
      </c>
      <c r="B97" s="923" t="s">
        <v>102</v>
      </c>
      <c r="C97" s="919" t="s">
        <v>38</v>
      </c>
      <c r="D97" s="1033" t="s">
        <v>2066</v>
      </c>
      <c r="E97" s="103" t="s">
        <v>9</v>
      </c>
    </row>
    <row r="98" spans="1:5" s="905" customFormat="1" ht="20.100000000000001" customHeight="1">
      <c r="A98" s="978">
        <f t="shared" si="5"/>
        <v>80</v>
      </c>
      <c r="B98" s="365" t="s">
        <v>103</v>
      </c>
      <c r="C98" s="919" t="s">
        <v>38</v>
      </c>
      <c r="D98" s="1033" t="s">
        <v>2183</v>
      </c>
      <c r="E98" s="103" t="s">
        <v>9</v>
      </c>
    </row>
    <row r="99" spans="1:5" s="905" customFormat="1" ht="20.100000000000001" customHeight="1">
      <c r="A99" s="978">
        <f t="shared" si="5"/>
        <v>81</v>
      </c>
      <c r="B99" s="365" t="s">
        <v>104</v>
      </c>
      <c r="C99" s="919" t="s">
        <v>38</v>
      </c>
      <c r="D99" s="1033" t="s">
        <v>2182</v>
      </c>
      <c r="E99" s="103" t="s">
        <v>9</v>
      </c>
    </row>
    <row r="100" spans="1:5" s="905" customFormat="1" ht="20.100000000000001" customHeight="1">
      <c r="A100" s="978">
        <f t="shared" si="5"/>
        <v>82</v>
      </c>
      <c r="B100" s="365" t="s">
        <v>105</v>
      </c>
      <c r="C100" s="919" t="s">
        <v>38</v>
      </c>
      <c r="D100" s="1033" t="s">
        <v>2067</v>
      </c>
      <c r="E100" s="103" t="s">
        <v>9</v>
      </c>
    </row>
    <row r="101" spans="1:5" s="905" customFormat="1" ht="20.100000000000001" customHeight="1">
      <c r="A101" s="978">
        <f t="shared" si="5"/>
        <v>83</v>
      </c>
      <c r="B101" s="365" t="s">
        <v>106</v>
      </c>
      <c r="C101" s="919" t="s">
        <v>38</v>
      </c>
      <c r="D101" s="1033" t="s">
        <v>2068</v>
      </c>
      <c r="E101" s="103" t="s">
        <v>9</v>
      </c>
    </row>
    <row r="102" spans="1:5" s="905" customFormat="1" ht="20.100000000000001" customHeight="1">
      <c r="A102" s="978">
        <f t="shared" si="5"/>
        <v>84</v>
      </c>
      <c r="B102" s="365" t="s">
        <v>107</v>
      </c>
      <c r="C102" s="919" t="s">
        <v>38</v>
      </c>
      <c r="D102" s="1033" t="s">
        <v>2069</v>
      </c>
      <c r="E102" s="103" t="s">
        <v>9</v>
      </c>
    </row>
    <row r="103" spans="1:5" s="905" customFormat="1" ht="20.100000000000001" customHeight="1">
      <c r="A103" s="978">
        <f t="shared" si="5"/>
        <v>85</v>
      </c>
      <c r="B103" s="365" t="s">
        <v>108</v>
      </c>
      <c r="C103" s="919" t="s">
        <v>38</v>
      </c>
      <c r="D103" s="1033" t="s">
        <v>2070</v>
      </c>
      <c r="E103" s="103" t="s">
        <v>9</v>
      </c>
    </row>
    <row r="104" spans="1:5" s="905" customFormat="1" ht="20.100000000000001" customHeight="1">
      <c r="A104" s="978">
        <f t="shared" si="5"/>
        <v>86</v>
      </c>
      <c r="B104" s="365" t="s">
        <v>109</v>
      </c>
      <c r="C104" s="919" t="s">
        <v>38</v>
      </c>
      <c r="D104" s="1033" t="s">
        <v>2181</v>
      </c>
      <c r="E104" s="103" t="s">
        <v>9</v>
      </c>
    </row>
    <row r="105" spans="1:5" s="905" customFormat="1" ht="20.100000000000001" customHeight="1">
      <c r="A105" s="978">
        <f t="shared" si="5"/>
        <v>87</v>
      </c>
      <c r="B105" s="365" t="s">
        <v>110</v>
      </c>
      <c r="C105" s="919" t="s">
        <v>38</v>
      </c>
      <c r="D105" s="1033" t="s">
        <v>2177</v>
      </c>
      <c r="E105" s="103" t="s">
        <v>9</v>
      </c>
    </row>
    <row r="106" spans="1:5" s="905" customFormat="1" ht="20.100000000000001" customHeight="1">
      <c r="A106" s="978">
        <f t="shared" si="5"/>
        <v>88</v>
      </c>
      <c r="B106" s="365" t="s">
        <v>111</v>
      </c>
      <c r="C106" s="919" t="s">
        <v>38</v>
      </c>
      <c r="D106" s="1033" t="s">
        <v>2180</v>
      </c>
      <c r="E106" s="103" t="s">
        <v>9</v>
      </c>
    </row>
    <row r="107" spans="1:5" s="905" customFormat="1" ht="20.100000000000001" customHeight="1">
      <c r="A107" s="978">
        <f t="shared" si="5"/>
        <v>89</v>
      </c>
      <c r="B107" s="365" t="s">
        <v>112</v>
      </c>
      <c r="C107" s="919" t="s">
        <v>38</v>
      </c>
      <c r="D107" s="1033" t="s">
        <v>2071</v>
      </c>
      <c r="E107" s="103" t="s">
        <v>9</v>
      </c>
    </row>
    <row r="108" spans="1:5" s="905" customFormat="1" ht="20.100000000000001" customHeight="1">
      <c r="A108" s="978">
        <f t="shared" si="5"/>
        <v>90</v>
      </c>
      <c r="B108" s="365" t="s">
        <v>113</v>
      </c>
      <c r="C108" s="919" t="s">
        <v>38</v>
      </c>
      <c r="D108" s="1033" t="s">
        <v>2179</v>
      </c>
      <c r="E108" s="103" t="s">
        <v>9</v>
      </c>
    </row>
    <row r="109" spans="1:5" s="905" customFormat="1" ht="20.100000000000001" customHeight="1">
      <c r="A109" s="978">
        <f t="shared" si="5"/>
        <v>91</v>
      </c>
      <c r="B109" s="365" t="s">
        <v>114</v>
      </c>
      <c r="C109" s="919" t="s">
        <v>38</v>
      </c>
      <c r="D109" s="1033" t="s">
        <v>2407</v>
      </c>
      <c r="E109" s="103" t="s">
        <v>9</v>
      </c>
    </row>
    <row r="110" spans="1:5" s="905" customFormat="1" ht="20.100000000000001" customHeight="1">
      <c r="A110" s="978">
        <f t="shared" si="5"/>
        <v>92</v>
      </c>
      <c r="B110" s="365" t="s">
        <v>115</v>
      </c>
      <c r="C110" s="919" t="s">
        <v>38</v>
      </c>
      <c r="D110" s="1033" t="s">
        <v>2178</v>
      </c>
      <c r="E110" s="103" t="s">
        <v>9</v>
      </c>
    </row>
    <row r="111" spans="1:5" s="905" customFormat="1" ht="20.100000000000001" customHeight="1">
      <c r="A111" s="978">
        <f t="shared" si="5"/>
        <v>93</v>
      </c>
      <c r="B111" s="365" t="s">
        <v>116</v>
      </c>
      <c r="C111" s="919" t="s">
        <v>38</v>
      </c>
      <c r="D111" s="1033" t="s">
        <v>2176</v>
      </c>
      <c r="E111" s="103" t="s">
        <v>9</v>
      </c>
    </row>
    <row r="112" spans="1:5" s="905" customFormat="1" ht="20.100000000000001" customHeight="1">
      <c r="A112" s="978">
        <f t="shared" si="5"/>
        <v>94</v>
      </c>
      <c r="B112" s="365" t="s">
        <v>117</v>
      </c>
      <c r="C112" s="919" t="s">
        <v>38</v>
      </c>
      <c r="D112" s="1033" t="s">
        <v>2175</v>
      </c>
      <c r="E112" s="103" t="s">
        <v>9</v>
      </c>
    </row>
    <row r="113" spans="1:5" s="905" customFormat="1" ht="20.100000000000001" customHeight="1">
      <c r="A113" s="978">
        <f t="shared" si="5"/>
        <v>95</v>
      </c>
      <c r="B113" s="365" t="s">
        <v>118</v>
      </c>
      <c r="C113" s="919" t="s">
        <v>38</v>
      </c>
      <c r="D113" s="1033" t="s">
        <v>2406</v>
      </c>
      <c r="E113" s="103" t="s">
        <v>9</v>
      </c>
    </row>
    <row r="114" spans="1:5" s="905" customFormat="1" ht="20.100000000000001" customHeight="1">
      <c r="A114" s="65">
        <f t="shared" ref="A114:A116" si="6">1+A113</f>
        <v>96</v>
      </c>
      <c r="B114" s="365"/>
      <c r="C114" s="919"/>
      <c r="D114" s="921"/>
      <c r="E114" s="39"/>
    </row>
    <row r="115" spans="1:5" s="905" customFormat="1" ht="20.100000000000001" customHeight="1">
      <c r="A115" s="65">
        <f t="shared" si="6"/>
        <v>97</v>
      </c>
      <c r="B115" s="365"/>
      <c r="C115" s="919"/>
      <c r="D115" s="925"/>
      <c r="E115" s="39"/>
    </row>
    <row r="116" spans="1:5" s="905" customFormat="1" ht="20.100000000000001" customHeight="1">
      <c r="A116" s="65">
        <f t="shared" si="6"/>
        <v>98</v>
      </c>
      <c r="B116" s="365"/>
      <c r="C116" s="919"/>
      <c r="D116" s="925"/>
      <c r="E116" s="39"/>
    </row>
    <row r="117" spans="1:5" s="905" customFormat="1" ht="20.100000000000001" customHeight="1">
      <c r="A117" s="65"/>
      <c r="B117" s="365"/>
      <c r="C117" s="919"/>
      <c r="D117" s="102"/>
      <c r="E117" s="39"/>
    </row>
    <row r="118" spans="1:5" s="905" customFormat="1" ht="20.100000000000001" customHeight="1">
      <c r="A118" s="926" t="s">
        <v>119</v>
      </c>
      <c r="B118" s="34"/>
      <c r="C118" s="7"/>
      <c r="D118" s="7"/>
    </row>
    <row r="119" spans="1:5" ht="20.100000000000001" customHeight="1">
      <c r="A119" s="116"/>
      <c r="B119" s="927"/>
      <c r="C119" s="927"/>
      <c r="E119" s="927"/>
    </row>
    <row r="120" spans="1:5" ht="20.100000000000001" customHeight="1">
      <c r="A120" s="1151"/>
    </row>
  </sheetData>
  <phoneticPr fontId="76" type="noConversion"/>
  <hyperlinks>
    <hyperlink ref="D6" location="'RP 001'!Print_Area" display="RP 001"/>
    <hyperlink ref="D5" location="基础信息!A1" display="基础信息"/>
    <hyperlink ref="D7" location="'RP 002-1'!A1" display="RP 002-1"/>
    <hyperlink ref="D9" location="'RP 003 '!A1" display="RP 003"/>
    <hyperlink ref="D10" location="'RP 004 '!A1" display="RP 004"/>
    <hyperlink ref="D11" location="'RP 005'!A1" display="RP 005"/>
    <hyperlink ref="D12" location="'RP 006'!A1" display="RP 006"/>
    <hyperlink ref="D13" location="'RP 007'!A1" display="RP 007"/>
    <hyperlink ref="D14:D15" location="'11'!A1" display="RP 008"/>
    <hyperlink ref="D16:D17" location="'11'!A1" display="RP 010"/>
    <hyperlink ref="D14" location="'RP 008'!A1" display="RP 008"/>
    <hyperlink ref="D15" location="'RP 009'!A1" display="RP 009"/>
    <hyperlink ref="D16" location="'RP 010'!A1" display="RP 010"/>
    <hyperlink ref="D17" location="'RP 011'!A1" display="RP 011"/>
    <hyperlink ref="D18" location="'RP 012'!A1" display="RP 012"/>
    <hyperlink ref="D20" location="'RP 014'!A1" display="RP 014"/>
    <hyperlink ref="D23" location="'RP 017'!A1" display="RP 017"/>
    <hyperlink ref="D24" location="'RP 018'!A1" display="RP 018"/>
    <hyperlink ref="D25" location="'RP 019'!A1" display="RP 019"/>
    <hyperlink ref="D28" location="'RP 020-2'!Print_Area" display="RP 020-2"/>
    <hyperlink ref="D29" location="'RP 020-3'!Print_Area" display="RP 020-3"/>
    <hyperlink ref="D30" location="'RP 021'!Print_Area" display="RP 021"/>
    <hyperlink ref="D34" location="'RP 025'!Print_Area" display="RP 025"/>
    <hyperlink ref="D36" location="'RP 027'!A1" display="RP 027"/>
    <hyperlink ref="D38" location="'RP 029'!A1" display="RP 029"/>
    <hyperlink ref="D39" location="'RP 030'!A1" display="RP 030"/>
    <hyperlink ref="D41" location="'RP 032'!A1" display="RP 032"/>
    <hyperlink ref="D44" location="'RP 035'!A1" display="RP 035"/>
    <hyperlink ref="D46" location="'RP 036-1'!A1" display="RP 036-1"/>
    <hyperlink ref="D52" location="'RP 039'!Print_Area" display="RP 039"/>
    <hyperlink ref="D53" location="'RP 040'!A1" display="RP 040"/>
    <hyperlink ref="D54" location="'RP 041'!A1" display="RP 041"/>
    <hyperlink ref="D55" location="'RP 042'!A1" display="RP 042"/>
    <hyperlink ref="D56" location="'RP 043'!Print_Area" display="RP 043"/>
    <hyperlink ref="D57" location="'RP 044'!A1" display="RP 044"/>
    <hyperlink ref="D58" location="'RP 045'!A1" display="RP 045"/>
    <hyperlink ref="D59" location="'RP 046'!A1" display="RP 046"/>
    <hyperlink ref="D60" location="'RP 047'!A1" display="RP 047"/>
    <hyperlink ref="D62" location="'RP 049'!A1" display="RP 049"/>
    <hyperlink ref="D64" location="'RP 051'!A1" display="RP 051"/>
    <hyperlink ref="D65" location="'RP 052'!A1" display="RP 052"/>
    <hyperlink ref="D66" location="'RP 053'!A1" display="RP 053"/>
    <hyperlink ref="D68" location="'RP 055'!A1" display="RP 055"/>
    <hyperlink ref="D69" location="'RP 056'!A1" display="RP 056"/>
    <hyperlink ref="D72" location="'RP 057-2'!Print_Area" display="RP 057-2"/>
    <hyperlink ref="D73" location="'RP 057-3'!Print_Area" display="RP 057-3"/>
    <hyperlink ref="D74" location="'RP 058'!A1" display="RP 058"/>
    <hyperlink ref="D76" location="'RP 060'!Print_Area" display="RP 060"/>
    <hyperlink ref="D77" location="'RP 061'!Print_Area" display="RP 061"/>
    <hyperlink ref="D79" location="'RP 062-1'!A1" display="RP 062-1"/>
    <hyperlink ref="D81" location="'RP 063'!A1" display="RP 063"/>
    <hyperlink ref="D84" location="'RP 066'!A1" display="RP 066"/>
    <hyperlink ref="D85" location="'RP 067'!A1" display="RP 067"/>
    <hyperlink ref="D88" location="'RP 070'!A1" display="RP 070"/>
    <hyperlink ref="D90" location="'RP 072'!A1" display="RP 072"/>
    <hyperlink ref="D21" location="'RP 015'!A1" display="RP 015"/>
    <hyperlink ref="D27" location="'RP 020-1'!A1" display="RP 020-1"/>
    <hyperlink ref="D32" location="'RP 023'!A1" display="RP 023"/>
    <hyperlink ref="D33" location="'RP 024'!A1" display="RP 024"/>
    <hyperlink ref="D40" location="'RP 031'!A1" display="RP 031"/>
    <hyperlink ref="D49:D50" location="'RP 026'!A1" display="RP 029-1"/>
    <hyperlink ref="D51" location="'RP 038'!A1" display="RP 038"/>
    <hyperlink ref="D63" location="'RP 050'!A1" display="RP 050"/>
    <hyperlink ref="D75" location="'RP 059'!Print_Area" display="RP 059"/>
    <hyperlink ref="D82" location="'RP 064'!A1" display="RP 064"/>
    <hyperlink ref="D83" location="'RP 065'!Print_Area" display="RP 065"/>
    <hyperlink ref="D86:D87" location="'RP 051'!A1" display="RP 057"/>
    <hyperlink ref="D71" location="'RP 057-1'!Print_Area" display="RP 057-1"/>
    <hyperlink ref="D49" location="'RP 037-1'!A1" display="RP 037-1"/>
    <hyperlink ref="D50" location="'RP 037-2'!A1" display="RP 037-2"/>
    <hyperlink ref="D86" location="'RP 068'!A1" display="RP 068"/>
    <hyperlink ref="D87" location="'RP 069'!A1" display="RP 069"/>
    <hyperlink ref="D97" location="'RP 079'!A1" display="RP 079"/>
    <hyperlink ref="D98" location="'RP 080'!A1" display="RP 080"/>
    <hyperlink ref="D99" location="'RP 081'!A1" display="RP 081"/>
    <hyperlink ref="D100" location="'RP 082'!A1" display="RP 082"/>
    <hyperlink ref="D101" location="'RP 083'!A1" display="RP 083"/>
    <hyperlink ref="D102" location="'RP 084'!A1" display="RP 084"/>
    <hyperlink ref="D103" location="'RP 085'!A1" display="RP 085"/>
    <hyperlink ref="D104" location="'RP 086'!A1" display="RP 086"/>
    <hyperlink ref="D105" location="'RP 087'!A1" display="RP 087"/>
    <hyperlink ref="D106" location="'RP 088'!A1" display="RP 088"/>
    <hyperlink ref="D107" location="'RP 089'!A1" display="RP 089"/>
    <hyperlink ref="D108" location="'RP 090'!A1" display="RP 090"/>
    <hyperlink ref="D109" location="'RP 091'!A1" display="RP 091"/>
    <hyperlink ref="D110" location="'RP 092'!A1" display="RP 092"/>
    <hyperlink ref="D111" location="'RP 093'!A1" display="RP 093"/>
    <hyperlink ref="D112" location="'RP 094'!A1" display="RP 094"/>
    <hyperlink ref="D113" location="'RP 095'!A1" display="RP 095"/>
    <hyperlink ref="D22" location="'RP 016'!A1" display="RP 016"/>
    <hyperlink ref="D26" location="'RP 019'!A1" display="RP 020"/>
    <hyperlink ref="D47" location="'RP 036-2'!A1" display="RP 036-2"/>
    <hyperlink ref="D80" location="'RP 062-2'!A1" display="RP 062-2"/>
    <hyperlink ref="D8" location="'RP 002-2'!A1" display="RP 002-2"/>
    <hyperlink ref="D45" location="'RP 036'!A1" display="RP 036"/>
    <hyperlink ref="D48" location="'RP 037'!A1" display="RP 037"/>
    <hyperlink ref="D70" location="'RP 057'!A1" display="RP 057"/>
    <hyperlink ref="D78" location="'RP 062'!A1" display="RP 062"/>
    <hyperlink ref="D89" location="'RP 071'!A1" display="RP 071"/>
    <hyperlink ref="D96" location="'RP 078'!A1" display="RP 078"/>
    <hyperlink ref="D31" location="'RP 022'!A1" display="RP 022"/>
    <hyperlink ref="D35" location="'RP 026'!A1" display="RP 026"/>
    <hyperlink ref="D37" location="'RP 028'!A1" display="RP 028"/>
    <hyperlink ref="D42" location="'RP 033'!A1" display="RP 033"/>
    <hyperlink ref="D43" location="'RP 034'!A1" display="RP 034"/>
    <hyperlink ref="D61" location="'RP 048'!A1" display="RP 048"/>
    <hyperlink ref="D67" location="'RP 054'!A1" display="RP 054"/>
    <hyperlink ref="D95" location="'RP 077'!A1" display="RP 077"/>
    <hyperlink ref="D19" location="'RP 013'!A1" display="RP 013"/>
    <hyperlink ref="D91" location="'RP 073'!A1" display="RP 073"/>
    <hyperlink ref="D92" location="'RP 074'!A1" display="RP 074"/>
    <hyperlink ref="D93" location="'RP 075'!A1" display="RP 075"/>
    <hyperlink ref="D94" location="'RP 076'!A1" display="RP 076"/>
  </hyperlinks>
  <printOptions horizontalCentered="1"/>
  <pageMargins left="0.74791666666666701" right="0.74791666666666701" top="0.98402777777777795" bottom="0.98402777777777795" header="0.51180555555555596" footer="0.51180555555555596"/>
  <pageSetup paperSize="9" scale="76" fitToHeight="0" orientation="portrait" blackAndWhite="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6"/>
  <sheetViews>
    <sheetView view="pageBreakPreview" zoomScaleNormal="100" zoomScaleSheetLayoutView="100" workbookViewId="0"/>
  </sheetViews>
  <sheetFormatPr defaultColWidth="9" defaultRowHeight="20.100000000000001" customHeight="1"/>
  <cols>
    <col min="1" max="1" width="44.375" style="906" customWidth="1"/>
    <col min="2" max="2" width="11.875" style="906" customWidth="1"/>
    <col min="3" max="3" width="9.375" style="906" customWidth="1"/>
    <col min="4" max="4" width="11" style="906" customWidth="1"/>
    <col min="5" max="16384" width="9" style="906"/>
  </cols>
  <sheetData>
    <row r="1" spans="1:8" s="904" customFormat="1" ht="24.95" customHeight="1">
      <c r="A1" s="616" t="s">
        <v>120</v>
      </c>
      <c r="G1" s="907"/>
      <c r="H1" s="908"/>
    </row>
    <row r="2" spans="1:8" s="904" customFormat="1" ht="24.75" customHeight="1">
      <c r="A2" s="616" t="s">
        <v>121</v>
      </c>
      <c r="G2" s="907"/>
      <c r="H2" s="908"/>
    </row>
    <row r="3" spans="1:8" s="905" customFormat="1" ht="20.100000000000001" customHeight="1">
      <c r="A3" s="909"/>
    </row>
    <row r="4" spans="1:8" s="905" customFormat="1" ht="20.100000000000001" customHeight="1">
      <c r="A4" s="910" t="s">
        <v>122</v>
      </c>
      <c r="B4" s="1201"/>
      <c r="C4" s="1201"/>
      <c r="D4" s="1201"/>
    </row>
    <row r="5" spans="1:8" s="905" customFormat="1" ht="20.100000000000001" customHeight="1">
      <c r="A5" s="910" t="s">
        <v>123</v>
      </c>
      <c r="B5" s="1201"/>
      <c r="C5" s="1201"/>
      <c r="D5" s="1201"/>
    </row>
    <row r="6" spans="1:8" s="905" customFormat="1" ht="20.100000000000001" customHeight="1">
      <c r="A6" s="910" t="s">
        <v>124</v>
      </c>
      <c r="B6" s="1201"/>
      <c r="C6" s="1201"/>
      <c r="D6" s="1201"/>
    </row>
    <row r="7" spans="1:8" s="905" customFormat="1" ht="20.100000000000001" customHeight="1">
      <c r="A7" s="910" t="s">
        <v>125</v>
      </c>
      <c r="B7" s="1201"/>
      <c r="C7" s="1201"/>
      <c r="D7" s="1201"/>
    </row>
    <row r="8" spans="1:8" s="905" customFormat="1" ht="20.100000000000001" customHeight="1">
      <c r="A8" s="910" t="s">
        <v>126</v>
      </c>
      <c r="B8" s="1201"/>
      <c r="C8" s="1201"/>
      <c r="D8" s="1201"/>
    </row>
    <row r="9" spans="1:8" s="905" customFormat="1" ht="20.100000000000001" customHeight="1">
      <c r="A9" s="910" t="s">
        <v>127</v>
      </c>
      <c r="B9" s="1201"/>
      <c r="C9" s="1201"/>
      <c r="D9" s="1201"/>
    </row>
    <row r="10" spans="1:8" s="905" customFormat="1" ht="20.100000000000001" customHeight="1">
      <c r="E10" s="911"/>
    </row>
    <row r="11" spans="1:8" s="905" customFormat="1" ht="20.100000000000001" customHeight="1">
      <c r="A11" s="911"/>
      <c r="B11" s="911"/>
      <c r="C11" s="911"/>
      <c r="D11" s="911"/>
      <c r="E11" s="912"/>
    </row>
    <row r="12" spans="1:8" s="905" customFormat="1" ht="20.100000000000001" customHeight="1">
      <c r="A12" s="910" t="s">
        <v>128</v>
      </c>
      <c r="B12" s="1201"/>
      <c r="C12" s="1201"/>
      <c r="D12" s="1201"/>
    </row>
    <row r="13" spans="1:8" s="905" customFormat="1" ht="20.100000000000001" customHeight="1">
      <c r="A13" s="910" t="s">
        <v>129</v>
      </c>
      <c r="B13" s="1201"/>
      <c r="C13" s="1201"/>
      <c r="D13" s="1201"/>
    </row>
    <row r="14" spans="1:8" s="905" customFormat="1" ht="20.100000000000001" customHeight="1">
      <c r="A14" s="910" t="s">
        <v>130</v>
      </c>
      <c r="B14" s="1201"/>
      <c r="C14" s="1201"/>
      <c r="D14" s="1201"/>
    </row>
    <row r="15" spans="1:8" s="905" customFormat="1" ht="20.100000000000001" customHeight="1">
      <c r="A15" s="910" t="s">
        <v>131</v>
      </c>
      <c r="B15" s="1201"/>
      <c r="C15" s="1201"/>
      <c r="D15" s="1201"/>
    </row>
    <row r="16" spans="1:8" s="905" customFormat="1" ht="20.100000000000001" customHeight="1">
      <c r="A16" s="910" t="s">
        <v>132</v>
      </c>
      <c r="B16" s="1201"/>
      <c r="C16" s="1201"/>
      <c r="D16" s="1201"/>
    </row>
    <row r="17" spans="1:5" s="905" customFormat="1" ht="20.100000000000001" customHeight="1">
      <c r="A17" s="910" t="s">
        <v>133</v>
      </c>
      <c r="B17" s="1201"/>
      <c r="C17" s="1201"/>
      <c r="D17" s="1201"/>
    </row>
    <row r="18" spans="1:5" s="905" customFormat="1" ht="20.100000000000001" customHeight="1">
      <c r="A18" s="910" t="s">
        <v>134</v>
      </c>
      <c r="B18" s="1201"/>
      <c r="C18" s="1201"/>
      <c r="D18" s="1201"/>
    </row>
    <row r="19" spans="1:5" s="905" customFormat="1" ht="20.100000000000001" customHeight="1">
      <c r="A19" s="910"/>
      <c r="B19" s="1201"/>
      <c r="C19" s="1201"/>
      <c r="D19" s="1201"/>
    </row>
    <row r="20" spans="1:5" s="905" customFormat="1" ht="20.100000000000001" customHeight="1">
      <c r="A20" s="910" t="s">
        <v>135</v>
      </c>
      <c r="B20" s="1201"/>
      <c r="C20" s="1201"/>
      <c r="D20" s="1201"/>
    </row>
    <row r="21" spans="1:5" s="905" customFormat="1" ht="20.100000000000001" customHeight="1">
      <c r="A21" s="910"/>
      <c r="B21" s="1201"/>
      <c r="C21" s="1201"/>
      <c r="D21" s="1201"/>
    </row>
    <row r="22" spans="1:5" s="905" customFormat="1" ht="20.100000000000001" customHeight="1">
      <c r="A22" s="910" t="s">
        <v>136</v>
      </c>
      <c r="B22" s="1201"/>
      <c r="C22" s="1201"/>
      <c r="D22" s="1201"/>
    </row>
    <row r="23" spans="1:5" s="905" customFormat="1" ht="20.100000000000001" customHeight="1">
      <c r="A23" s="911"/>
      <c r="B23" s="911"/>
      <c r="C23" s="911"/>
      <c r="D23" s="911"/>
      <c r="E23" s="911"/>
    </row>
    <row r="24" spans="1:5" s="905" customFormat="1" ht="20.100000000000001" customHeight="1">
      <c r="A24" s="911"/>
      <c r="B24" s="911"/>
      <c r="C24" s="911"/>
      <c r="D24" s="911"/>
      <c r="E24" s="911"/>
    </row>
    <row r="25" spans="1:5" s="905" customFormat="1" ht="20.100000000000001" customHeight="1">
      <c r="A25" s="913" t="s">
        <v>137</v>
      </c>
      <c r="B25" s="1202" t="s">
        <v>138</v>
      </c>
      <c r="C25" s="1202"/>
      <c r="D25" s="1202"/>
    </row>
    <row r="26" spans="1:5" s="905" customFormat="1" ht="20.100000000000001" customHeight="1">
      <c r="A26" s="910" t="s">
        <v>139</v>
      </c>
      <c r="B26" s="1201"/>
      <c r="C26" s="1201"/>
      <c r="D26" s="1201"/>
    </row>
    <row r="27" spans="1:5" s="905" customFormat="1" ht="20.100000000000001" customHeight="1">
      <c r="A27" s="910" t="s">
        <v>140</v>
      </c>
      <c r="B27" s="1201"/>
      <c r="C27" s="1201"/>
      <c r="D27" s="1201"/>
    </row>
    <row r="28" spans="1:5" s="905" customFormat="1" ht="20.100000000000001" customHeight="1">
      <c r="A28" s="910" t="s">
        <v>141</v>
      </c>
      <c r="B28" s="1201"/>
      <c r="C28" s="1201"/>
      <c r="D28" s="1201"/>
    </row>
    <row r="29" spans="1:5" s="905" customFormat="1" ht="20.100000000000001" customHeight="1">
      <c r="A29" s="910" t="s">
        <v>142</v>
      </c>
      <c r="B29" s="1201"/>
      <c r="C29" s="1201"/>
      <c r="D29" s="1201"/>
    </row>
    <row r="30" spans="1:5" s="905" customFormat="1" ht="20.100000000000001" customHeight="1">
      <c r="A30" s="910" t="s">
        <v>143</v>
      </c>
      <c r="B30" s="1201"/>
      <c r="C30" s="1201"/>
      <c r="D30" s="1201"/>
    </row>
    <row r="31" spans="1:5" s="905" customFormat="1" ht="20.100000000000001" customHeight="1">
      <c r="A31" s="910" t="s">
        <v>144</v>
      </c>
      <c r="B31" s="1201"/>
      <c r="C31" s="1201"/>
      <c r="D31" s="1201"/>
    </row>
    <row r="32" spans="1:5" ht="20.100000000000001" customHeight="1">
      <c r="A32" s="914"/>
      <c r="B32" s="914"/>
      <c r="C32" s="914"/>
      <c r="D32" s="914"/>
      <c r="E32" s="914"/>
    </row>
    <row r="33" spans="1:5" ht="20.100000000000001" customHeight="1">
      <c r="A33" s="914"/>
      <c r="B33" s="914"/>
      <c r="C33" s="914"/>
      <c r="D33" s="914"/>
      <c r="E33" s="914"/>
    </row>
    <row r="34" spans="1:5" ht="20.100000000000001" customHeight="1">
      <c r="A34" s="914"/>
      <c r="B34" s="914"/>
      <c r="C34" s="914"/>
      <c r="D34" s="914"/>
      <c r="E34" s="914"/>
    </row>
    <row r="35" spans="1:5" ht="20.100000000000001" customHeight="1">
      <c r="A35" s="914"/>
      <c r="B35" s="914"/>
      <c r="C35" s="914"/>
      <c r="D35" s="914"/>
      <c r="E35" s="914"/>
    </row>
    <row r="36" spans="1:5" ht="20.100000000000001" customHeight="1">
      <c r="A36" s="914"/>
      <c r="B36" s="914"/>
      <c r="C36" s="914"/>
      <c r="D36" s="914"/>
      <c r="E36" s="914"/>
    </row>
    <row r="37" spans="1:5" ht="20.100000000000001" customHeight="1">
      <c r="A37" s="914"/>
      <c r="B37" s="914"/>
      <c r="C37" s="914"/>
      <c r="D37" s="914"/>
      <c r="E37" s="914"/>
    </row>
    <row r="38" spans="1:5" ht="20.100000000000001" customHeight="1">
      <c r="A38" s="914"/>
      <c r="B38" s="914"/>
      <c r="C38" s="914"/>
      <c r="D38" s="914"/>
      <c r="E38" s="914"/>
    </row>
    <row r="39" spans="1:5" ht="20.100000000000001" customHeight="1">
      <c r="A39" s="914"/>
      <c r="B39" s="914"/>
      <c r="C39" s="914"/>
      <c r="D39" s="914"/>
      <c r="E39" s="914"/>
    </row>
    <row r="40" spans="1:5" ht="20.100000000000001" customHeight="1">
      <c r="A40" s="914"/>
      <c r="B40" s="914"/>
      <c r="C40" s="914"/>
      <c r="D40" s="914"/>
      <c r="E40" s="914"/>
    </row>
    <row r="41" spans="1:5" ht="20.100000000000001" customHeight="1">
      <c r="A41" s="914"/>
      <c r="B41" s="914"/>
      <c r="C41" s="914"/>
      <c r="D41" s="914"/>
      <c r="E41" s="914"/>
    </row>
    <row r="42" spans="1:5" ht="20.100000000000001" customHeight="1">
      <c r="A42" s="914"/>
      <c r="B42" s="914"/>
      <c r="C42" s="914"/>
      <c r="D42" s="914"/>
      <c r="E42" s="914"/>
    </row>
    <row r="43" spans="1:5" ht="20.100000000000001" customHeight="1">
      <c r="A43" s="914"/>
      <c r="B43" s="914"/>
      <c r="C43" s="914"/>
      <c r="D43" s="914"/>
      <c r="E43" s="914"/>
    </row>
    <row r="44" spans="1:5" ht="20.100000000000001" customHeight="1">
      <c r="A44" s="914"/>
      <c r="B44" s="914"/>
      <c r="C44" s="914"/>
      <c r="D44" s="914"/>
      <c r="E44" s="914"/>
    </row>
    <row r="45" spans="1:5" ht="20.100000000000001" customHeight="1">
      <c r="A45" s="914"/>
      <c r="B45" s="914"/>
      <c r="C45" s="914"/>
      <c r="D45" s="914"/>
      <c r="E45" s="914"/>
    </row>
    <row r="46" spans="1:5" ht="20.100000000000001" customHeight="1">
      <c r="A46" s="914"/>
      <c r="B46" s="914"/>
      <c r="C46" s="914"/>
      <c r="D46" s="914"/>
    </row>
  </sheetData>
  <mergeCells count="24">
    <mergeCell ref="B28:D28"/>
    <mergeCell ref="B29:D29"/>
    <mergeCell ref="B30:D30"/>
    <mergeCell ref="B31:D31"/>
    <mergeCell ref="B21:D21"/>
    <mergeCell ref="B22:D22"/>
    <mergeCell ref="B25:D25"/>
    <mergeCell ref="B26:D26"/>
    <mergeCell ref="B27:D27"/>
    <mergeCell ref="B16:D16"/>
    <mergeCell ref="B17:D17"/>
    <mergeCell ref="B18:D18"/>
    <mergeCell ref="B19:D19"/>
    <mergeCell ref="B20:D20"/>
    <mergeCell ref="B9:D9"/>
    <mergeCell ref="B12:D12"/>
    <mergeCell ref="B13:D13"/>
    <mergeCell ref="B14:D14"/>
    <mergeCell ref="B15:D15"/>
    <mergeCell ref="B4:D4"/>
    <mergeCell ref="B5:D5"/>
    <mergeCell ref="B6:D6"/>
    <mergeCell ref="B7:D7"/>
    <mergeCell ref="B8:D8"/>
  </mergeCells>
  <phoneticPr fontId="76" type="noConversion"/>
  <dataValidations count="3">
    <dataValidation allowBlank="1" showInputMessage="1" showErrorMessage="1" sqref="C6 B7 E11 B18:B22"/>
    <dataValidation type="list" allowBlank="1" showInputMessage="1" showErrorMessage="1" sqref="B8">
      <formula1>#REF!</formula1>
    </dataValidation>
    <dataValidation type="whole" operator="greaterThanOrEqual" allowBlank="1" showInputMessage="1" showErrorMessage="1" sqref="B26:C28 B30:C31">
      <formula1>0</formula1>
    </dataValidation>
  </dataValidations>
  <pageMargins left="0.74791666666666701" right="0.74791666666666701" top="0.98402777777777795" bottom="0.98402777777777795" header="0.51180555555555596" footer="0.51180555555555596"/>
  <pageSetup paperSize="9" fitToHeight="0" orientation="portrait" blackAndWhite="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77"/>
  <sheetViews>
    <sheetView view="pageBreakPreview" zoomScaleNormal="100" zoomScaleSheetLayoutView="100" workbookViewId="0">
      <selection sqref="A1:B75"/>
    </sheetView>
  </sheetViews>
  <sheetFormatPr defaultColWidth="9" defaultRowHeight="20.100000000000001" customHeight="1"/>
  <cols>
    <col min="1" max="1" width="11.125" style="896" customWidth="1"/>
    <col min="2" max="2" width="64.625" style="896" customWidth="1"/>
    <col min="3" max="16384" width="9" style="896"/>
  </cols>
  <sheetData>
    <row r="1" spans="1:5" ht="24.95" customHeight="1">
      <c r="A1" s="54" t="s">
        <v>145</v>
      </c>
      <c r="B1" s="897">
        <f>基础信息!C5</f>
        <v>0</v>
      </c>
      <c r="E1" s="898" t="s">
        <v>146</v>
      </c>
    </row>
    <row r="2" spans="1:5" ht="24.95" customHeight="1">
      <c r="A2" s="54" t="s">
        <v>147</v>
      </c>
      <c r="B2" s="897">
        <f>基础信息!B9</f>
        <v>0</v>
      </c>
    </row>
    <row r="3" spans="1:5" ht="24.95" customHeight="1">
      <c r="A3" s="64" t="s">
        <v>148</v>
      </c>
      <c r="B3" s="64" t="s">
        <v>149</v>
      </c>
    </row>
    <row r="4" spans="1:5" s="895" customFormat="1" ht="20.100000000000001" customHeight="1">
      <c r="A4" s="899">
        <v>1</v>
      </c>
      <c r="B4" s="900" t="s">
        <v>150</v>
      </c>
    </row>
    <row r="5" spans="1:5" s="895" customFormat="1" ht="20.100000000000001" customHeight="1">
      <c r="A5" s="149"/>
      <c r="B5" s="901" t="s">
        <v>151</v>
      </c>
    </row>
    <row r="6" spans="1:5" s="895" customFormat="1" ht="20.100000000000001" customHeight="1">
      <c r="A6" s="899">
        <v>2</v>
      </c>
      <c r="B6" s="900" t="s">
        <v>152</v>
      </c>
    </row>
    <row r="7" spans="1:5" s="895" customFormat="1" ht="20.100000000000001" customHeight="1">
      <c r="A7" s="149"/>
      <c r="B7" s="901"/>
    </row>
    <row r="8" spans="1:5" s="895" customFormat="1" ht="20.100000000000001" customHeight="1">
      <c r="A8" s="899">
        <v>3</v>
      </c>
      <c r="B8" s="900" t="s">
        <v>153</v>
      </c>
    </row>
    <row r="9" spans="1:5" s="895" customFormat="1" ht="20.100000000000001" customHeight="1">
      <c r="A9" s="149"/>
      <c r="B9" s="901" t="s">
        <v>151</v>
      </c>
    </row>
    <row r="10" spans="1:5" s="895" customFormat="1" ht="20.100000000000001" customHeight="1">
      <c r="A10" s="899">
        <v>4</v>
      </c>
      <c r="B10" s="900" t="s">
        <v>154</v>
      </c>
    </row>
    <row r="11" spans="1:5" s="895" customFormat="1" ht="20.100000000000001" customHeight="1">
      <c r="A11" s="149"/>
      <c r="B11" s="901"/>
    </row>
    <row r="12" spans="1:5" s="895" customFormat="1" ht="20.100000000000001" customHeight="1">
      <c r="A12" s="899">
        <v>5</v>
      </c>
      <c r="B12" s="900" t="s">
        <v>155</v>
      </c>
    </row>
    <row r="13" spans="1:5" s="895" customFormat="1" ht="20.100000000000001" customHeight="1">
      <c r="A13" s="149"/>
      <c r="B13" s="901"/>
    </row>
    <row r="14" spans="1:5" s="895" customFormat="1" ht="20.100000000000001" customHeight="1">
      <c r="A14" s="899">
        <v>6</v>
      </c>
      <c r="B14" s="900" t="s">
        <v>156</v>
      </c>
    </row>
    <row r="15" spans="1:5" s="895" customFormat="1" ht="20.100000000000001" customHeight="1">
      <c r="A15" s="149"/>
      <c r="B15" s="901"/>
    </row>
    <row r="16" spans="1:5" s="895" customFormat="1" ht="20.100000000000001" customHeight="1">
      <c r="A16" s="899">
        <v>7</v>
      </c>
      <c r="B16" s="900" t="s">
        <v>157</v>
      </c>
    </row>
    <row r="17" spans="1:2" s="895" customFormat="1" ht="20.100000000000001" customHeight="1">
      <c r="A17" s="149"/>
      <c r="B17" s="901" t="s">
        <v>151</v>
      </c>
    </row>
    <row r="18" spans="1:2" s="895" customFormat="1" ht="20.100000000000001" customHeight="1">
      <c r="A18" s="899">
        <v>8</v>
      </c>
      <c r="B18" s="900" t="s">
        <v>158</v>
      </c>
    </row>
    <row r="19" spans="1:2" s="895" customFormat="1" ht="20.100000000000001" customHeight="1">
      <c r="A19" s="149"/>
      <c r="B19" s="901" t="s">
        <v>151</v>
      </c>
    </row>
    <row r="20" spans="1:2" s="895" customFormat="1" ht="20.100000000000001" customHeight="1">
      <c r="A20" s="899">
        <v>9</v>
      </c>
      <c r="B20" s="900" t="s">
        <v>159</v>
      </c>
    </row>
    <row r="21" spans="1:2" s="895" customFormat="1" ht="20.100000000000001" customHeight="1">
      <c r="A21" s="149"/>
      <c r="B21" s="901" t="s">
        <v>151</v>
      </c>
    </row>
    <row r="22" spans="1:2" s="895" customFormat="1" ht="20.100000000000001" customHeight="1">
      <c r="A22" s="899">
        <v>10</v>
      </c>
      <c r="B22" s="900" t="s">
        <v>160</v>
      </c>
    </row>
    <row r="23" spans="1:2" s="895" customFormat="1" ht="20.100000000000001" customHeight="1">
      <c r="A23" s="149"/>
      <c r="B23" s="901"/>
    </row>
    <row r="24" spans="1:2" s="895" customFormat="1" ht="20.100000000000001" customHeight="1">
      <c r="A24" s="899">
        <v>11</v>
      </c>
      <c r="B24" s="900" t="s">
        <v>42</v>
      </c>
    </row>
    <row r="25" spans="1:2" s="895" customFormat="1" ht="20.100000000000001" customHeight="1">
      <c r="A25" s="149"/>
      <c r="B25" s="901" t="s">
        <v>151</v>
      </c>
    </row>
    <row r="26" spans="1:2" s="895" customFormat="1" ht="20.100000000000001" customHeight="1">
      <c r="A26" s="899">
        <v>12</v>
      </c>
      <c r="B26" s="900" t="s">
        <v>49</v>
      </c>
    </row>
    <row r="27" spans="1:2" s="895" customFormat="1" ht="20.100000000000001" customHeight="1">
      <c r="A27" s="149"/>
      <c r="B27" s="901" t="s">
        <v>151</v>
      </c>
    </row>
    <row r="28" spans="1:2" s="895" customFormat="1" ht="20.100000000000001" customHeight="1">
      <c r="A28" s="939">
        <v>13</v>
      </c>
      <c r="B28" s="941" t="s">
        <v>2031</v>
      </c>
    </row>
    <row r="29" spans="1:2" s="895" customFormat="1" ht="20.100000000000001" customHeight="1">
      <c r="A29" s="939"/>
      <c r="B29" s="940"/>
    </row>
    <row r="30" spans="1:2" s="895" customFormat="1" ht="20.100000000000001" customHeight="1">
      <c r="A30" s="899">
        <v>14</v>
      </c>
      <c r="B30" s="902" t="s">
        <v>161</v>
      </c>
    </row>
    <row r="31" spans="1:2" s="895" customFormat="1" ht="20.100000000000001" customHeight="1">
      <c r="A31" s="149"/>
      <c r="B31" s="901"/>
    </row>
    <row r="32" spans="1:2" s="895" customFormat="1" ht="20.100000000000001" customHeight="1">
      <c r="A32" s="939">
        <v>15</v>
      </c>
      <c r="B32" s="941" t="s">
        <v>2032</v>
      </c>
    </row>
    <row r="33" spans="1:2" s="895" customFormat="1" ht="20.100000000000001" customHeight="1">
      <c r="A33" s="939"/>
      <c r="B33" s="940"/>
    </row>
    <row r="34" spans="1:2" s="895" customFormat="1" ht="20.100000000000001" customHeight="1">
      <c r="A34" s="899">
        <v>16</v>
      </c>
      <c r="B34" s="900" t="s">
        <v>56</v>
      </c>
    </row>
    <row r="35" spans="1:2" s="895" customFormat="1" ht="20.100000000000001" customHeight="1">
      <c r="A35" s="149"/>
      <c r="B35" s="901" t="s">
        <v>151</v>
      </c>
    </row>
    <row r="36" spans="1:2" s="895" customFormat="1" ht="20.100000000000001" customHeight="1">
      <c r="A36" s="899">
        <v>17</v>
      </c>
      <c r="B36" s="900" t="s">
        <v>57</v>
      </c>
    </row>
    <row r="37" spans="1:2" s="895" customFormat="1" ht="20.100000000000001" customHeight="1">
      <c r="A37" s="149"/>
      <c r="B37" s="901" t="s">
        <v>151</v>
      </c>
    </row>
    <row r="38" spans="1:2" s="895" customFormat="1" ht="20.100000000000001" customHeight="1">
      <c r="A38" s="899">
        <v>18</v>
      </c>
      <c r="B38" s="900" t="s">
        <v>162</v>
      </c>
    </row>
    <row r="39" spans="1:2" s="895" customFormat="1" ht="20.100000000000001" customHeight="1">
      <c r="A39" s="149"/>
      <c r="B39" s="901" t="s">
        <v>151</v>
      </c>
    </row>
    <row r="40" spans="1:2" s="895" customFormat="1" ht="20.100000000000001" customHeight="1">
      <c r="A40" s="899">
        <v>19</v>
      </c>
      <c r="B40" s="900" t="s">
        <v>163</v>
      </c>
    </row>
    <row r="41" spans="1:2" s="895" customFormat="1" ht="20.100000000000001" customHeight="1">
      <c r="A41" s="149"/>
      <c r="B41" s="901" t="s">
        <v>151</v>
      </c>
    </row>
    <row r="42" spans="1:2" s="895" customFormat="1" ht="20.100000000000001" customHeight="1">
      <c r="A42" s="899">
        <v>20</v>
      </c>
      <c r="B42" s="900" t="s">
        <v>164</v>
      </c>
    </row>
    <row r="43" spans="1:2" s="895" customFormat="1" ht="20.100000000000001" customHeight="1">
      <c r="A43" s="149"/>
      <c r="B43" s="901"/>
    </row>
    <row r="44" spans="1:2" s="895" customFormat="1" ht="20.100000000000001" customHeight="1">
      <c r="A44" s="899">
        <v>21</v>
      </c>
      <c r="B44" s="900" t="s">
        <v>165</v>
      </c>
    </row>
    <row r="45" spans="1:2" s="895" customFormat="1" ht="20.100000000000001" customHeight="1">
      <c r="A45" s="149"/>
      <c r="B45" s="901"/>
    </row>
    <row r="46" spans="1:2" s="895" customFormat="1" ht="20.100000000000001" customHeight="1">
      <c r="A46" s="899">
        <v>22</v>
      </c>
      <c r="B46" s="900" t="s">
        <v>65</v>
      </c>
    </row>
    <row r="47" spans="1:2" s="895" customFormat="1" ht="20.100000000000001" customHeight="1">
      <c r="A47" s="149"/>
      <c r="B47" s="901" t="s">
        <v>151</v>
      </c>
    </row>
    <row r="48" spans="1:2" s="895" customFormat="1" ht="20.100000000000001" customHeight="1">
      <c r="A48" s="899">
        <v>23</v>
      </c>
      <c r="B48" s="900" t="s">
        <v>166</v>
      </c>
    </row>
    <row r="49" spans="1:2" s="895" customFormat="1" ht="20.100000000000001" customHeight="1">
      <c r="A49" s="149"/>
      <c r="B49" s="901"/>
    </row>
    <row r="50" spans="1:2" s="895" customFormat="1" ht="20.100000000000001" customHeight="1">
      <c r="A50" s="899">
        <v>24</v>
      </c>
      <c r="B50" s="900" t="s">
        <v>167</v>
      </c>
    </row>
    <row r="51" spans="1:2" s="895" customFormat="1" ht="20.100000000000001" customHeight="1">
      <c r="A51" s="149"/>
      <c r="B51" s="901" t="s">
        <v>151</v>
      </c>
    </row>
    <row r="52" spans="1:2" s="895" customFormat="1" ht="20.100000000000001" customHeight="1">
      <c r="A52" s="899">
        <v>25</v>
      </c>
      <c r="B52" s="900" t="s">
        <v>168</v>
      </c>
    </row>
    <row r="53" spans="1:2" s="895" customFormat="1" ht="20.100000000000001" customHeight="1">
      <c r="A53" s="149"/>
      <c r="B53" s="901" t="s">
        <v>151</v>
      </c>
    </row>
    <row r="54" spans="1:2" s="895" customFormat="1" ht="20.100000000000001" customHeight="1">
      <c r="A54" s="939">
        <v>26</v>
      </c>
      <c r="B54" s="941" t="s">
        <v>2033</v>
      </c>
    </row>
    <row r="55" spans="1:2" s="895" customFormat="1" ht="20.100000000000001" customHeight="1">
      <c r="A55" s="939"/>
      <c r="B55" s="940"/>
    </row>
    <row r="56" spans="1:2" s="895" customFormat="1" ht="20.100000000000001" customHeight="1">
      <c r="A56" s="899">
        <v>27</v>
      </c>
      <c r="B56" s="900" t="s">
        <v>169</v>
      </c>
    </row>
    <row r="57" spans="1:2" s="895" customFormat="1" ht="20.100000000000001" customHeight="1">
      <c r="A57" s="149"/>
      <c r="B57" s="901"/>
    </row>
    <row r="58" spans="1:2" s="895" customFormat="1" ht="20.100000000000001" customHeight="1">
      <c r="A58" s="899">
        <v>28</v>
      </c>
      <c r="B58" s="900" t="s">
        <v>90</v>
      </c>
    </row>
    <row r="59" spans="1:2" s="895" customFormat="1" ht="20.100000000000001" customHeight="1">
      <c r="A59" s="149"/>
      <c r="B59" s="901" t="s">
        <v>151</v>
      </c>
    </row>
    <row r="60" spans="1:2" s="895" customFormat="1" ht="20.100000000000001" customHeight="1">
      <c r="A60" s="899">
        <v>29</v>
      </c>
      <c r="B60" s="900" t="s">
        <v>113</v>
      </c>
    </row>
    <row r="61" spans="1:2" s="895" customFormat="1" ht="20.100000000000001" customHeight="1">
      <c r="A61" s="149"/>
      <c r="B61" s="901" t="s">
        <v>151</v>
      </c>
    </row>
    <row r="62" spans="1:2" s="895" customFormat="1" ht="20.100000000000001" customHeight="1">
      <c r="A62" s="899">
        <v>30</v>
      </c>
      <c r="B62" s="900" t="s">
        <v>170</v>
      </c>
    </row>
    <row r="63" spans="1:2" s="895" customFormat="1" ht="20.100000000000001" customHeight="1">
      <c r="A63" s="149"/>
      <c r="B63" s="901"/>
    </row>
    <row r="64" spans="1:2" s="895" customFormat="1" ht="20.100000000000001" customHeight="1">
      <c r="A64" s="899">
        <v>31</v>
      </c>
      <c r="B64" s="900" t="s">
        <v>171</v>
      </c>
    </row>
    <row r="65" spans="1:2" s="895" customFormat="1" ht="20.100000000000001" customHeight="1">
      <c r="A65" s="149"/>
      <c r="B65" s="901" t="s">
        <v>151</v>
      </c>
    </row>
    <row r="66" spans="1:2" s="895" customFormat="1" ht="20.100000000000001" customHeight="1">
      <c r="A66" s="899">
        <v>32</v>
      </c>
      <c r="B66" s="900" t="s">
        <v>172</v>
      </c>
    </row>
    <row r="67" spans="1:2" s="895" customFormat="1" ht="20.100000000000001" customHeight="1">
      <c r="A67" s="149"/>
      <c r="B67" s="901" t="s">
        <v>151</v>
      </c>
    </row>
    <row r="68" spans="1:2" s="895" customFormat="1" ht="20.100000000000001" customHeight="1">
      <c r="A68" s="899">
        <v>33</v>
      </c>
      <c r="B68" s="900" t="s">
        <v>173</v>
      </c>
    </row>
    <row r="69" spans="1:2" s="895" customFormat="1" ht="20.100000000000001" customHeight="1">
      <c r="A69" s="149"/>
      <c r="B69" s="901"/>
    </row>
    <row r="70" spans="1:2" s="895" customFormat="1" ht="20.100000000000001" customHeight="1">
      <c r="A70" s="899">
        <v>34</v>
      </c>
      <c r="B70" s="900" t="s">
        <v>174</v>
      </c>
    </row>
    <row r="71" spans="1:2" s="895" customFormat="1" ht="20.100000000000001" customHeight="1">
      <c r="A71" s="149"/>
      <c r="B71" s="901" t="s">
        <v>151</v>
      </c>
    </row>
    <row r="72" spans="1:2" s="895" customFormat="1" ht="20.100000000000001" customHeight="1">
      <c r="A72" s="899">
        <v>35</v>
      </c>
      <c r="B72" s="900" t="s">
        <v>175</v>
      </c>
    </row>
    <row r="73" spans="1:2" s="895" customFormat="1" ht="20.100000000000001" customHeight="1">
      <c r="A73" s="149"/>
      <c r="B73" s="901"/>
    </row>
    <row r="74" spans="1:2" s="895" customFormat="1" ht="20.100000000000001" customHeight="1">
      <c r="A74" s="899">
        <v>36</v>
      </c>
      <c r="B74" s="900" t="s">
        <v>176</v>
      </c>
    </row>
    <row r="75" spans="1:2" s="895" customFormat="1" ht="20.100000000000001" customHeight="1">
      <c r="A75" s="149"/>
      <c r="B75" s="901" t="s">
        <v>151</v>
      </c>
    </row>
    <row r="76" spans="1:2" s="895" customFormat="1" ht="20.100000000000001" customHeight="1">
      <c r="B76" s="903"/>
    </row>
    <row r="77" spans="1:2" s="895" customFormat="1" ht="20.100000000000001" customHeight="1"/>
  </sheetData>
  <autoFilter ref="A3:E6"/>
  <phoneticPr fontId="76" type="noConversion"/>
  <hyperlinks>
    <hyperlink ref="E1" location="目录!A1" display="BACK"/>
  </hyperlinks>
  <pageMargins left="0.47152777777777799" right="0.43263888888888902" top="0.98402777777777795" bottom="0.98402777777777795" header="0.51180555555555596" footer="0.51180555555555596"/>
  <pageSetup paperSize="9" fitToHeight="0" orientation="portrait" blackAndWhite="1" r:id="rId1"/>
  <headerFooter alignWithMargins="0"/>
  <rowBreaks count="1" manualBreakCount="1">
    <brk id="39" max="1"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47"/>
  <sheetViews>
    <sheetView showGridLines="0" showZeros="0" view="pageBreakPreview" zoomScaleNormal="100" zoomScaleSheetLayoutView="100" workbookViewId="0">
      <selection activeCell="E51" sqref="E51"/>
    </sheetView>
  </sheetViews>
  <sheetFormatPr defaultColWidth="13.375" defaultRowHeight="20.100000000000001" customHeight="1"/>
  <cols>
    <col min="1" max="1" width="26.125" style="878" customWidth="1"/>
    <col min="2" max="2" width="10.625" style="878" customWidth="1"/>
    <col min="3" max="4" width="25.625" style="878" customWidth="1"/>
    <col min="5" max="5" width="18.125" style="878" customWidth="1"/>
    <col min="6" max="6" width="19.125" style="878" customWidth="1"/>
    <col min="7" max="16384" width="13.375" style="878"/>
  </cols>
  <sheetData>
    <row r="1" spans="1:6" ht="24.95" customHeight="1">
      <c r="A1" s="1203" t="s">
        <v>177</v>
      </c>
      <c r="B1" s="1203"/>
      <c r="C1" s="1203"/>
      <c r="D1" s="1203"/>
    </row>
    <row r="2" spans="1:6" s="874" customFormat="1" ht="20.100000000000001" customHeight="1">
      <c r="A2" s="69">
        <f>基础信息!B6</f>
        <v>0</v>
      </c>
      <c r="D2" s="879" t="s">
        <v>178</v>
      </c>
    </row>
    <row r="3" spans="1:6" s="874" customFormat="1" ht="20.100000000000001" customHeight="1">
      <c r="A3" s="880" t="s">
        <v>137</v>
      </c>
      <c r="B3" s="844" t="s">
        <v>179</v>
      </c>
      <c r="C3" s="844" t="s">
        <v>2073</v>
      </c>
      <c r="D3" s="844" t="s">
        <v>2072</v>
      </c>
    </row>
    <row r="4" spans="1:6" s="874" customFormat="1" ht="20.100000000000001" customHeight="1">
      <c r="A4" s="881" t="s">
        <v>182</v>
      </c>
      <c r="B4" s="881"/>
      <c r="C4" s="882"/>
      <c r="D4" s="882"/>
      <c r="F4" s="883"/>
    </row>
    <row r="5" spans="1:6" s="874" customFormat="1" ht="20.100000000000001" customHeight="1">
      <c r="A5" s="857" t="s">
        <v>37</v>
      </c>
      <c r="B5" s="857"/>
      <c r="C5" s="884">
        <f>'RP 006'!E6</f>
        <v>0</v>
      </c>
      <c r="D5" s="884"/>
      <c r="F5" s="33"/>
    </row>
    <row r="6" spans="1:6" s="874" customFormat="1" ht="20.100000000000001" customHeight="1">
      <c r="A6" s="887" t="s">
        <v>2020</v>
      </c>
      <c r="B6" s="854"/>
      <c r="C6" s="888"/>
      <c r="D6" s="888"/>
      <c r="F6" s="33"/>
    </row>
    <row r="7" spans="1:6" s="874" customFormat="1" ht="27.75" customHeight="1">
      <c r="A7" s="885" t="s">
        <v>40</v>
      </c>
      <c r="B7" s="857"/>
      <c r="C7" s="884">
        <f>'RP 006'!E8</f>
        <v>0</v>
      </c>
      <c r="D7" s="884"/>
      <c r="F7" s="33"/>
    </row>
    <row r="8" spans="1:6" s="874" customFormat="1" ht="26.25" customHeight="1">
      <c r="A8" s="886" t="s">
        <v>183</v>
      </c>
      <c r="B8" s="857"/>
      <c r="C8" s="884"/>
      <c r="D8" s="884"/>
      <c r="F8" s="33"/>
    </row>
    <row r="9" spans="1:6" s="875" customFormat="1" ht="20.100000000000001" customHeight="1">
      <c r="A9" s="942" t="s">
        <v>2125</v>
      </c>
      <c r="B9" s="857"/>
      <c r="C9" s="884">
        <f>'RP 006'!E10</f>
        <v>0</v>
      </c>
      <c r="D9" s="884"/>
    </row>
    <row r="10" spans="1:6" s="875" customFormat="1" ht="20.100000000000001" customHeight="1">
      <c r="A10" s="942" t="s">
        <v>2126</v>
      </c>
      <c r="B10" s="857"/>
      <c r="C10" s="884"/>
      <c r="D10" s="884"/>
    </row>
    <row r="11" spans="1:6" s="875" customFormat="1" ht="20.100000000000001" customHeight="1">
      <c r="A11" s="942" t="s">
        <v>2128</v>
      </c>
      <c r="B11" s="857"/>
      <c r="C11" s="884"/>
      <c r="D11" s="884"/>
    </row>
    <row r="12" spans="1:6" s="874" customFormat="1" ht="20.100000000000001" customHeight="1">
      <c r="A12" s="857" t="s">
        <v>44</v>
      </c>
      <c r="B12" s="857"/>
      <c r="C12" s="884">
        <f>'RP 006'!E19</f>
        <v>0</v>
      </c>
      <c r="D12" s="884"/>
    </row>
    <row r="13" spans="1:6" s="875" customFormat="1" ht="20.100000000000001" customHeight="1">
      <c r="A13" s="942" t="s">
        <v>184</v>
      </c>
      <c r="B13" s="857"/>
      <c r="C13" s="884"/>
      <c r="D13" s="884"/>
    </row>
    <row r="14" spans="1:6" s="874" customFormat="1" ht="20.100000000000001" customHeight="1">
      <c r="A14" s="857" t="s">
        <v>49</v>
      </c>
      <c r="B14" s="857"/>
      <c r="C14" s="884">
        <f>'RP 006'!E25</f>
        <v>0</v>
      </c>
      <c r="D14" s="884"/>
    </row>
    <row r="15" spans="1:6" s="874" customFormat="1" ht="20.100000000000001" customHeight="1">
      <c r="A15" s="887" t="s">
        <v>2030</v>
      </c>
      <c r="B15" s="854"/>
      <c r="C15" s="888"/>
      <c r="D15" s="888"/>
    </row>
    <row r="16" spans="1:6" s="874" customFormat="1" ht="22.5" customHeight="1">
      <c r="A16" s="886" t="s">
        <v>185</v>
      </c>
      <c r="B16" s="857"/>
      <c r="C16" s="884"/>
      <c r="D16" s="884"/>
    </row>
    <row r="17" spans="1:6" s="874" customFormat="1" ht="20.100000000000001" customHeight="1">
      <c r="A17" s="857" t="s">
        <v>186</v>
      </c>
      <c r="B17" s="857"/>
      <c r="C17" s="884">
        <f>'RP 006'!E30</f>
        <v>0</v>
      </c>
      <c r="D17" s="884"/>
    </row>
    <row r="18" spans="1:6" s="874" customFormat="1" ht="20.100000000000001" customHeight="1">
      <c r="A18" s="857" t="s">
        <v>51</v>
      </c>
      <c r="B18" s="857"/>
      <c r="C18" s="884">
        <f>'RP 006'!E41</f>
        <v>0</v>
      </c>
      <c r="D18" s="884"/>
    </row>
    <row r="19" spans="1:6" s="874" customFormat="1" ht="20.100000000000001" customHeight="1">
      <c r="A19" s="881" t="s">
        <v>187</v>
      </c>
      <c r="B19" s="881"/>
      <c r="C19" s="889">
        <f>SUM(C5:C18)</f>
        <v>0</v>
      </c>
      <c r="D19" s="889">
        <f>SUM(D5:D18)</f>
        <v>0</v>
      </c>
      <c r="F19" s="127"/>
    </row>
    <row r="20" spans="1:6" s="874" customFormat="1" ht="20.100000000000001" customHeight="1">
      <c r="A20" s="881" t="s">
        <v>188</v>
      </c>
      <c r="B20" s="881"/>
      <c r="C20" s="884"/>
      <c r="D20" s="884"/>
    </row>
    <row r="21" spans="1:6" s="874" customFormat="1" ht="20.100000000000001" customHeight="1">
      <c r="A21" s="887" t="s">
        <v>2022</v>
      </c>
      <c r="B21" s="949"/>
      <c r="C21" s="888"/>
      <c r="D21" s="888"/>
    </row>
    <row r="22" spans="1:6" s="876" customFormat="1" ht="20.100000000000001" customHeight="1">
      <c r="A22" s="857" t="s">
        <v>52</v>
      </c>
      <c r="B22" s="857"/>
      <c r="C22" s="884">
        <f>'RP 006'!E46</f>
        <v>0</v>
      </c>
      <c r="D22" s="889"/>
    </row>
    <row r="23" spans="1:6" s="876" customFormat="1" ht="20.100000000000001" customHeight="1">
      <c r="A23" s="887" t="s">
        <v>2023</v>
      </c>
      <c r="B23" s="854"/>
      <c r="C23" s="888"/>
      <c r="D23" s="950"/>
    </row>
    <row r="24" spans="1:6" s="874" customFormat="1" ht="20.100000000000001" customHeight="1">
      <c r="A24" s="857" t="s">
        <v>53</v>
      </c>
      <c r="B24" s="857"/>
      <c r="C24" s="884">
        <f>'RP 006'!E47</f>
        <v>0</v>
      </c>
      <c r="D24" s="884"/>
    </row>
    <row r="25" spans="1:6" s="874" customFormat="1" ht="20.100000000000001" customHeight="1">
      <c r="A25" s="857" t="s">
        <v>54</v>
      </c>
      <c r="B25" s="857"/>
      <c r="C25" s="884">
        <f>'RP 006'!E48</f>
        <v>0</v>
      </c>
      <c r="D25" s="884"/>
    </row>
    <row r="26" spans="1:6" s="874" customFormat="1" ht="25.5" customHeight="1">
      <c r="A26" s="886" t="s">
        <v>189</v>
      </c>
      <c r="B26" s="857"/>
      <c r="C26" s="884"/>
      <c r="D26" s="884"/>
    </row>
    <row r="27" spans="1:6" s="874" customFormat="1" ht="20.100000000000001" customHeight="1">
      <c r="A27" s="857" t="s">
        <v>56</v>
      </c>
      <c r="B27" s="857"/>
      <c r="C27" s="884">
        <f>'RP 006'!E52</f>
        <v>0</v>
      </c>
      <c r="D27" s="884"/>
    </row>
    <row r="28" spans="1:6" s="874" customFormat="1" ht="20.100000000000001" customHeight="1">
      <c r="A28" s="887" t="s">
        <v>2024</v>
      </c>
      <c r="B28" s="854"/>
      <c r="C28" s="888"/>
      <c r="D28" s="888"/>
    </row>
    <row r="29" spans="1:6" s="874" customFormat="1" ht="20.100000000000001" customHeight="1">
      <c r="A29" s="887" t="s">
        <v>2025</v>
      </c>
      <c r="B29" s="854"/>
      <c r="C29" s="888"/>
      <c r="D29" s="888"/>
    </row>
    <row r="30" spans="1:6" s="874" customFormat="1" ht="20.100000000000001" customHeight="1">
      <c r="A30" s="857" t="s">
        <v>57</v>
      </c>
      <c r="B30" s="857"/>
      <c r="C30" s="884">
        <f>'RP 006'!E57</f>
        <v>0</v>
      </c>
      <c r="D30" s="884"/>
    </row>
    <row r="31" spans="1:6" s="877" customFormat="1" ht="20.100000000000001" customHeight="1">
      <c r="A31" s="857" t="s">
        <v>190</v>
      </c>
      <c r="B31" s="857"/>
      <c r="C31" s="884">
        <f>'RP 006'!E62</f>
        <v>0</v>
      </c>
      <c r="D31" s="884"/>
      <c r="F31" s="875"/>
    </row>
    <row r="32" spans="1:6" s="875" customFormat="1" ht="20.100000000000001" customHeight="1">
      <c r="A32" s="857" t="s">
        <v>163</v>
      </c>
      <c r="B32" s="857"/>
      <c r="C32" s="884">
        <f>'RP 006'!E63</f>
        <v>0</v>
      </c>
      <c r="D32" s="884"/>
    </row>
    <row r="33" spans="1:6" s="874" customFormat="1" ht="20.100000000000001" customHeight="1">
      <c r="A33" s="857" t="s">
        <v>64</v>
      </c>
      <c r="B33" s="857"/>
      <c r="C33" s="884">
        <f>'RP 006'!E64</f>
        <v>0</v>
      </c>
      <c r="D33" s="884"/>
    </row>
    <row r="34" spans="1:6" s="874" customFormat="1" ht="20.100000000000001" customHeight="1">
      <c r="A34" s="857" t="s">
        <v>191</v>
      </c>
      <c r="B34" s="857"/>
      <c r="C34" s="884">
        <f>'RP 006'!E65</f>
        <v>0</v>
      </c>
      <c r="D34" s="884"/>
    </row>
    <row r="35" spans="1:6" s="874" customFormat="1" ht="20.100000000000001" customHeight="1">
      <c r="A35" s="857" t="s">
        <v>65</v>
      </c>
      <c r="B35" s="857"/>
      <c r="C35" s="884">
        <f>'RP 006'!E68</f>
        <v>0</v>
      </c>
      <c r="D35" s="884"/>
    </row>
    <row r="36" spans="1:6" s="874" customFormat="1" ht="20.100000000000001" customHeight="1">
      <c r="A36" s="857" t="s">
        <v>66</v>
      </c>
      <c r="B36" s="857"/>
      <c r="C36" s="884">
        <f>'RP 006'!E69</f>
        <v>0</v>
      </c>
      <c r="D36" s="884"/>
    </row>
    <row r="37" spans="1:6" s="874" customFormat="1" ht="20.100000000000001" customHeight="1">
      <c r="A37" s="857" t="s">
        <v>67</v>
      </c>
      <c r="B37" s="857"/>
      <c r="C37" s="884">
        <f>'RP 006'!E70</f>
        <v>0</v>
      </c>
      <c r="D37" s="884"/>
    </row>
    <row r="38" spans="1:6" s="874" customFormat="1" ht="20.100000000000001" customHeight="1">
      <c r="A38" s="857" t="s">
        <v>68</v>
      </c>
      <c r="B38" s="857"/>
      <c r="C38" s="884">
        <f>'RP 006'!E71</f>
        <v>0</v>
      </c>
      <c r="D38" s="884"/>
    </row>
    <row r="39" spans="1:6" s="874" customFormat="1" ht="20.100000000000001" customHeight="1">
      <c r="A39" s="857" t="s">
        <v>192</v>
      </c>
      <c r="B39" s="857"/>
      <c r="C39" s="884">
        <f>'RP 006'!E72</f>
        <v>0</v>
      </c>
      <c r="D39" s="884"/>
    </row>
    <row r="40" spans="1:6" s="874" customFormat="1" ht="20.100000000000001" customHeight="1">
      <c r="A40" s="857" t="s">
        <v>70</v>
      </c>
      <c r="B40" s="857"/>
      <c r="C40" s="884">
        <f>'RP 006'!E73</f>
        <v>0</v>
      </c>
      <c r="D40" s="884"/>
    </row>
    <row r="41" spans="1:6" s="874" customFormat="1" ht="20.100000000000001" customHeight="1">
      <c r="A41" s="881" t="s">
        <v>193</v>
      </c>
      <c r="B41" s="881"/>
      <c r="C41" s="889">
        <f>SUM(C22:C40)</f>
        <v>0</v>
      </c>
      <c r="D41" s="889">
        <f>SUM(D22:D40)</f>
        <v>0</v>
      </c>
      <c r="F41" s="864"/>
    </row>
    <row r="42" spans="1:6" s="876" customFormat="1" ht="20.100000000000001" customHeight="1">
      <c r="A42" s="890" t="s">
        <v>194</v>
      </c>
      <c r="B42" s="890"/>
      <c r="C42" s="891">
        <f>C19+C41</f>
        <v>0</v>
      </c>
      <c r="D42" s="891">
        <f>D19+D41</f>
        <v>0</v>
      </c>
      <c r="F42" s="892"/>
    </row>
    <row r="43" spans="1:6" ht="20.100000000000001" customHeight="1">
      <c r="C43" s="893"/>
    </row>
    <row r="44" spans="1:6" ht="20.100000000000001" customHeight="1">
      <c r="C44" s="893"/>
    </row>
    <row r="45" spans="1:6" ht="20.100000000000001" customHeight="1">
      <c r="C45" s="893"/>
      <c r="D45" s="894"/>
    </row>
    <row r="46" spans="1:6" ht="20.100000000000001" customHeight="1">
      <c r="C46" s="893"/>
    </row>
    <row r="47" spans="1:6" ht="20.100000000000001" customHeight="1">
      <c r="C47" s="893"/>
    </row>
  </sheetData>
  <mergeCells count="1">
    <mergeCell ref="A1:D1"/>
  </mergeCells>
  <phoneticPr fontId="76" type="noConversion"/>
  <printOptions horizontalCentered="1" verticalCentered="1"/>
  <pageMargins left="0.43263888888888902" right="0.39305555555555599" top="0.78680555555555598" bottom="0.39305555555555599" header="0.51180555555555596" footer="0.51180555555555596"/>
  <pageSetup paperSize="9" scale="91" fitToWidth="0" orientation="portrait" blackAndWhite="1" horizontalDpi="36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49"/>
  <sheetViews>
    <sheetView showGridLines="0" showZeros="0" view="pageBreakPreview" topLeftCell="A28" zoomScaleNormal="100" zoomScaleSheetLayoutView="100" workbookViewId="0">
      <selection activeCell="A12" sqref="A12"/>
    </sheetView>
  </sheetViews>
  <sheetFormatPr defaultColWidth="14" defaultRowHeight="20.100000000000001" customHeight="1"/>
  <cols>
    <col min="1" max="1" width="29.125" style="768" customWidth="1"/>
    <col min="2" max="2" width="10.625" style="843" customWidth="1"/>
    <col min="3" max="4" width="30.625" style="768" customWidth="1"/>
    <col min="5" max="5" width="18.125" style="768" customWidth="1"/>
    <col min="6" max="6" width="23.125" style="768" customWidth="1"/>
    <col min="7" max="16384" width="14" style="768"/>
  </cols>
  <sheetData>
    <row r="1" spans="1:7" ht="24.95" customHeight="1">
      <c r="A1" s="1204" t="s">
        <v>195</v>
      </c>
      <c r="B1" s="1204"/>
      <c r="C1" s="1204"/>
      <c r="D1" s="1204"/>
    </row>
    <row r="2" spans="1:7" s="800" customFormat="1" ht="20.100000000000001" customHeight="1">
      <c r="A2" s="1205"/>
      <c r="B2" s="1206"/>
      <c r="C2" s="1206"/>
      <c r="D2" s="1206"/>
    </row>
    <row r="3" spans="1:7" s="839" customFormat="1" ht="20.100000000000001" customHeight="1">
      <c r="A3" s="844" t="s">
        <v>137</v>
      </c>
      <c r="B3" s="844" t="s">
        <v>179</v>
      </c>
      <c r="C3" s="844" t="s">
        <v>180</v>
      </c>
      <c r="D3" s="844" t="s">
        <v>181</v>
      </c>
    </row>
    <row r="4" spans="1:7" s="839" customFormat="1" ht="20.100000000000001" customHeight="1">
      <c r="A4" s="845" t="s">
        <v>196</v>
      </c>
      <c r="B4" s="846"/>
      <c r="C4" s="847"/>
      <c r="D4" s="847"/>
    </row>
    <row r="5" spans="1:7" s="800" customFormat="1" ht="20.100000000000001" customHeight="1">
      <c r="A5" s="848" t="s">
        <v>73</v>
      </c>
      <c r="B5" s="849"/>
      <c r="C5" s="850">
        <f>'RP 006'!E81</f>
        <v>0</v>
      </c>
      <c r="D5" s="850"/>
      <c r="F5" s="839"/>
      <c r="G5" s="839"/>
    </row>
    <row r="6" spans="1:7" s="800" customFormat="1" ht="20.100000000000001" customHeight="1">
      <c r="A6" s="951" t="s">
        <v>2026</v>
      </c>
      <c r="B6" s="854"/>
      <c r="C6" s="855"/>
      <c r="D6" s="855"/>
      <c r="F6" s="839"/>
      <c r="G6" s="839"/>
    </row>
    <row r="7" spans="1:7" s="800" customFormat="1" ht="26.25" customHeight="1">
      <c r="A7" s="851" t="s">
        <v>74</v>
      </c>
      <c r="B7" s="849"/>
      <c r="C7" s="850">
        <f>'RP 006'!E83</f>
        <v>0</v>
      </c>
      <c r="D7" s="850"/>
      <c r="F7" s="839"/>
      <c r="G7" s="839"/>
    </row>
    <row r="8" spans="1:7" s="800" customFormat="1" ht="26.25" customHeight="1">
      <c r="A8" s="852" t="s">
        <v>197</v>
      </c>
      <c r="B8" s="849"/>
      <c r="C8" s="850"/>
      <c r="D8" s="850"/>
    </row>
    <row r="9" spans="1:7" s="840" customFormat="1" ht="20.100000000000001" customHeight="1">
      <c r="A9" s="866" t="s">
        <v>2243</v>
      </c>
      <c r="B9" s="857"/>
      <c r="C9" s="943">
        <f>'RP 006'!E85</f>
        <v>0</v>
      </c>
      <c r="D9" s="943"/>
    </row>
    <row r="10" spans="1:7" s="840" customFormat="1" ht="20.100000000000001" customHeight="1">
      <c r="A10" s="866" t="s">
        <v>2131</v>
      </c>
      <c r="B10" s="857"/>
      <c r="C10" s="943"/>
      <c r="D10" s="943"/>
    </row>
    <row r="11" spans="1:7" s="800" customFormat="1" ht="20.100000000000001" customHeight="1">
      <c r="A11" s="856" t="s">
        <v>76</v>
      </c>
      <c r="B11" s="857"/>
      <c r="C11" s="943">
        <f>'RP 006'!E87</f>
        <v>0</v>
      </c>
      <c r="D11" s="943"/>
    </row>
    <row r="12" spans="1:7" s="800" customFormat="1" ht="20.100000000000001" customHeight="1">
      <c r="A12" s="853" t="s">
        <v>2027</v>
      </c>
      <c r="B12" s="854"/>
      <c r="C12" s="855"/>
      <c r="D12" s="855"/>
    </row>
    <row r="13" spans="1:7" s="800" customFormat="1" ht="20.100000000000001" customHeight="1">
      <c r="A13" s="856" t="s">
        <v>77</v>
      </c>
      <c r="B13" s="857"/>
      <c r="C13" s="943">
        <f>'RP 006'!E89</f>
        <v>0</v>
      </c>
      <c r="D13" s="943"/>
    </row>
    <row r="14" spans="1:7" s="800" customFormat="1" ht="20.100000000000001" customHeight="1">
      <c r="A14" s="856" t="s">
        <v>78</v>
      </c>
      <c r="B14" s="857"/>
      <c r="C14" s="943">
        <f>'RP 006'!E90</f>
        <v>0</v>
      </c>
      <c r="D14" s="943"/>
    </row>
    <row r="15" spans="1:7" s="840" customFormat="1" ht="20.100000000000001" customHeight="1">
      <c r="A15" s="856" t="s">
        <v>198</v>
      </c>
      <c r="B15" s="857"/>
      <c r="C15" s="943">
        <f>'RP 006'!E91</f>
        <v>0</v>
      </c>
      <c r="D15" s="943"/>
    </row>
    <row r="16" spans="1:7" s="800" customFormat="1" ht="26.25" customHeight="1">
      <c r="A16" s="852" t="s">
        <v>199</v>
      </c>
      <c r="B16" s="857"/>
      <c r="C16" s="943"/>
      <c r="D16" s="943"/>
    </row>
    <row r="17" spans="1:7" s="800" customFormat="1" ht="20.100000000000001" customHeight="1">
      <c r="A17" s="856" t="s">
        <v>50</v>
      </c>
      <c r="B17" s="849"/>
      <c r="C17" s="850">
        <f>'RP 006'!E93</f>
        <v>0</v>
      </c>
      <c r="D17" s="850"/>
    </row>
    <row r="18" spans="1:7" s="800" customFormat="1" ht="20.100000000000001" customHeight="1">
      <c r="A18" s="856" t="s">
        <v>83</v>
      </c>
      <c r="B18" s="849"/>
      <c r="C18" s="850">
        <f>'RP 006'!E102</f>
        <v>0</v>
      </c>
      <c r="D18" s="850"/>
    </row>
    <row r="19" spans="1:7" s="800" customFormat="1" ht="20.100000000000001" customHeight="1">
      <c r="A19" s="858" t="s">
        <v>200</v>
      </c>
      <c r="B19" s="849"/>
      <c r="C19" s="859">
        <f>SUM(C5:C18)</f>
        <v>0</v>
      </c>
      <c r="D19" s="859">
        <f>SUM(D5:D18)</f>
        <v>0</v>
      </c>
      <c r="F19" s="860"/>
    </row>
    <row r="20" spans="1:7" s="800" customFormat="1" ht="20.100000000000001" customHeight="1">
      <c r="A20" s="858" t="s">
        <v>201</v>
      </c>
      <c r="B20" s="849"/>
      <c r="C20" s="850"/>
      <c r="D20" s="850"/>
    </row>
    <row r="21" spans="1:7" s="800" customFormat="1" ht="20.100000000000001" customHeight="1">
      <c r="A21" s="856" t="s">
        <v>84</v>
      </c>
      <c r="B21" s="849"/>
      <c r="C21" s="850">
        <f>'RP 006'!E105</f>
        <v>0</v>
      </c>
      <c r="D21" s="850"/>
    </row>
    <row r="22" spans="1:7" s="800" customFormat="1" ht="20.100000000000001" customHeight="1">
      <c r="A22" s="856" t="s">
        <v>85</v>
      </c>
      <c r="B22" s="857"/>
      <c r="C22" s="850">
        <f>'RP 006'!E106</f>
        <v>0</v>
      </c>
      <c r="D22" s="850"/>
    </row>
    <row r="23" spans="1:7" s="800" customFormat="1" ht="20.100000000000001" customHeight="1">
      <c r="A23" s="861" t="s">
        <v>202</v>
      </c>
      <c r="B23" s="857"/>
      <c r="C23" s="850"/>
      <c r="D23" s="850"/>
    </row>
    <row r="24" spans="1:7" s="800" customFormat="1" ht="20.100000000000001" customHeight="1">
      <c r="A24" s="862" t="s">
        <v>203</v>
      </c>
      <c r="B24" s="857"/>
      <c r="C24" s="850"/>
      <c r="D24" s="850"/>
    </row>
    <row r="25" spans="1:7" s="840" customFormat="1" ht="20.100000000000001" customHeight="1">
      <c r="A25" s="856" t="s">
        <v>204</v>
      </c>
      <c r="B25" s="857"/>
      <c r="C25" s="943">
        <f>'RP 006'!E107</f>
        <v>0</v>
      </c>
      <c r="D25" s="943"/>
    </row>
    <row r="26" spans="1:7" s="800" customFormat="1" ht="20.100000000000001" customHeight="1">
      <c r="A26" s="863" t="s">
        <v>205</v>
      </c>
      <c r="B26" s="849"/>
      <c r="C26" s="850"/>
      <c r="D26" s="850"/>
    </row>
    <row r="27" spans="1:7" s="841" customFormat="1" ht="20.100000000000001" customHeight="1">
      <c r="A27" s="856" t="s">
        <v>90</v>
      </c>
      <c r="B27" s="849"/>
      <c r="C27" s="859">
        <f>'RP 006'!E110</f>
        <v>0</v>
      </c>
      <c r="D27" s="859"/>
    </row>
    <row r="28" spans="1:7" s="841" customFormat="1" ht="20.100000000000001" customHeight="1">
      <c r="A28" s="856" t="s">
        <v>91</v>
      </c>
      <c r="B28" s="849"/>
      <c r="C28" s="859"/>
      <c r="D28" s="859"/>
    </row>
    <row r="29" spans="1:7" s="800" customFormat="1" ht="20.100000000000001" customHeight="1">
      <c r="A29" s="856" t="s">
        <v>206</v>
      </c>
      <c r="B29" s="849"/>
      <c r="C29" s="850">
        <f>'RP 006'!E112</f>
        <v>0</v>
      </c>
      <c r="D29" s="850"/>
    </row>
    <row r="30" spans="1:7" s="800" customFormat="1" ht="20.100000000000001" customHeight="1">
      <c r="A30" s="856" t="s">
        <v>92</v>
      </c>
      <c r="B30" s="849"/>
      <c r="C30" s="850">
        <f>'RP 006'!E113</f>
        <v>0</v>
      </c>
      <c r="D30" s="850"/>
      <c r="G30" s="839"/>
    </row>
    <row r="31" spans="1:7" s="800" customFormat="1" ht="20.100000000000001" customHeight="1">
      <c r="A31" s="858" t="s">
        <v>207</v>
      </c>
      <c r="B31" s="849"/>
      <c r="C31" s="859">
        <f>SUM(C21:C30)</f>
        <v>0</v>
      </c>
      <c r="D31" s="859">
        <f>SUM(D21:D30)</f>
        <v>0</v>
      </c>
      <c r="F31" s="864"/>
      <c r="G31" s="839"/>
    </row>
    <row r="32" spans="1:7" s="800" customFormat="1" ht="20.100000000000001" customHeight="1">
      <c r="A32" s="858" t="s">
        <v>208</v>
      </c>
      <c r="B32" s="849"/>
      <c r="C32" s="859">
        <f>C19+C31</f>
        <v>0</v>
      </c>
      <c r="D32" s="859">
        <f>D19+D31</f>
        <v>0</v>
      </c>
      <c r="F32" s="865"/>
      <c r="G32" s="839"/>
    </row>
    <row r="33" spans="1:4" s="800" customFormat="1" ht="20.100000000000001" customHeight="1">
      <c r="A33" s="858" t="s">
        <v>209</v>
      </c>
      <c r="B33" s="849"/>
      <c r="C33" s="850"/>
      <c r="D33" s="850"/>
    </row>
    <row r="34" spans="1:4" s="800" customFormat="1" ht="20.100000000000001" customHeight="1">
      <c r="A34" s="856" t="s">
        <v>210</v>
      </c>
      <c r="B34" s="857"/>
      <c r="C34" s="850">
        <f>'RP 006'!E117</f>
        <v>0</v>
      </c>
      <c r="D34" s="850"/>
    </row>
    <row r="35" spans="1:4" s="800" customFormat="1" ht="20.100000000000001" customHeight="1">
      <c r="A35" s="866" t="s">
        <v>211</v>
      </c>
      <c r="B35" s="857"/>
      <c r="C35" s="850"/>
      <c r="D35" s="850"/>
    </row>
    <row r="36" spans="1:4" s="800" customFormat="1" ht="20.100000000000001" customHeight="1">
      <c r="A36" s="856" t="s">
        <v>212</v>
      </c>
      <c r="B36" s="857"/>
      <c r="C36" s="850"/>
      <c r="D36" s="850"/>
    </row>
    <row r="37" spans="1:4" s="800" customFormat="1" ht="20.100000000000001" customHeight="1">
      <c r="A37" s="856" t="s">
        <v>213</v>
      </c>
      <c r="B37" s="857"/>
      <c r="C37" s="850"/>
      <c r="D37" s="850"/>
    </row>
    <row r="38" spans="1:4" s="841" customFormat="1" ht="20.100000000000001" customHeight="1">
      <c r="A38" s="856" t="s">
        <v>214</v>
      </c>
      <c r="B38" s="857"/>
      <c r="C38" s="850">
        <f>'RP 006'!E121</f>
        <v>0</v>
      </c>
      <c r="D38" s="850"/>
    </row>
    <row r="39" spans="1:4" s="841" customFormat="1" ht="20.100000000000001" customHeight="1">
      <c r="A39" s="856" t="s">
        <v>215</v>
      </c>
      <c r="B39" s="857"/>
      <c r="C39" s="859">
        <f>'RP 006'!E122</f>
        <v>0</v>
      </c>
      <c r="D39" s="859"/>
    </row>
    <row r="40" spans="1:4" s="841" customFormat="1" ht="20.100000000000001" customHeight="1">
      <c r="A40" s="867" t="s">
        <v>216</v>
      </c>
      <c r="B40" s="857"/>
      <c r="C40" s="859"/>
      <c r="D40" s="859"/>
    </row>
    <row r="41" spans="1:4" s="841" customFormat="1" ht="20.100000000000001" customHeight="1">
      <c r="A41" s="856" t="s">
        <v>217</v>
      </c>
      <c r="B41" s="857"/>
      <c r="C41" s="859"/>
      <c r="D41" s="859"/>
    </row>
    <row r="42" spans="1:4" s="800" customFormat="1" ht="20.100000000000001" customHeight="1">
      <c r="A42" s="856" t="s">
        <v>218</v>
      </c>
      <c r="B42" s="857"/>
      <c r="C42" s="850">
        <f>'RP 006'!E124</f>
        <v>0</v>
      </c>
      <c r="D42" s="850"/>
    </row>
    <row r="43" spans="1:4" s="800" customFormat="1" ht="20.100000000000001" customHeight="1">
      <c r="A43" s="856" t="s">
        <v>219</v>
      </c>
      <c r="B43" s="857"/>
      <c r="C43" s="850">
        <f>'RP 006'!E125</f>
        <v>0</v>
      </c>
      <c r="D43" s="850"/>
    </row>
    <row r="44" spans="1:4" s="841" customFormat="1" ht="20.100000000000001" customHeight="1">
      <c r="A44" s="867" t="s">
        <v>220</v>
      </c>
      <c r="B44" s="849"/>
      <c r="C44" s="850">
        <f>SUM(C34:C43)-C39-C39</f>
        <v>0</v>
      </c>
      <c r="D44" s="850">
        <f>SUM(D34:D43)-D39-D39</f>
        <v>0</v>
      </c>
    </row>
    <row r="45" spans="1:4" s="841" customFormat="1" ht="20.100000000000001" customHeight="1">
      <c r="A45" s="856" t="s">
        <v>221</v>
      </c>
      <c r="B45" s="849"/>
      <c r="C45" s="850">
        <f>'RP 006'!E127</f>
        <v>0</v>
      </c>
      <c r="D45" s="859"/>
    </row>
    <row r="46" spans="1:4" s="841" customFormat="1" ht="20.100000000000001" customHeight="1">
      <c r="A46" s="868" t="s">
        <v>222</v>
      </c>
      <c r="B46" s="849"/>
      <c r="C46" s="859">
        <f>SUM(C44:C45)</f>
        <v>0</v>
      </c>
      <c r="D46" s="859">
        <f>SUM(D44:D45)</f>
        <v>0</v>
      </c>
    </row>
    <row r="47" spans="1:4" s="842" customFormat="1" ht="20.100000000000001" customHeight="1">
      <c r="A47" s="869" t="s">
        <v>223</v>
      </c>
      <c r="B47" s="870"/>
      <c r="C47" s="871">
        <f>C32+C46</f>
        <v>0</v>
      </c>
      <c r="D47" s="871">
        <f>D32+D46</f>
        <v>0</v>
      </c>
    </row>
    <row r="48" spans="1:4" s="800" customFormat="1" ht="20.100000000000001" customHeight="1">
      <c r="A48" s="800" t="s">
        <v>224</v>
      </c>
      <c r="B48" s="801" t="s">
        <v>225</v>
      </c>
      <c r="D48" s="801" t="s">
        <v>226</v>
      </c>
    </row>
    <row r="49" spans="1:4" ht="20.100000000000001" customHeight="1">
      <c r="A49" s="872"/>
      <c r="B49" s="873"/>
      <c r="C49" s="872"/>
      <c r="D49" s="873"/>
    </row>
  </sheetData>
  <mergeCells count="2">
    <mergeCell ref="A1:D1"/>
    <mergeCell ref="A2:D2"/>
  </mergeCells>
  <phoneticPr fontId="76" type="noConversion"/>
  <printOptions horizontalCentered="1" verticalCentered="1"/>
  <pageMargins left="0.39305555555555599" right="0" top="0.59027777777777801" bottom="0.78680555555555598" header="0.51180555555555596" footer="0.51180555555555596"/>
  <pageSetup paperSize="9" scale="78" fitToWidth="0" orientation="portrait" blackAndWhite="1" horizontalDpi="360" r:id="rId1"/>
  <headerFooter alignWithMargins="0">
    <oddFooter>&amp;C2</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65"/>
  <sheetViews>
    <sheetView showGridLines="0" showZeros="0" view="pageBreakPreview" topLeftCell="A52" zoomScaleNormal="100" zoomScaleSheetLayoutView="100" workbookViewId="0">
      <selection activeCell="A21" sqref="A21"/>
    </sheetView>
  </sheetViews>
  <sheetFormatPr defaultColWidth="14.5" defaultRowHeight="15.75"/>
  <cols>
    <col min="1" max="1" width="47.5" style="807" customWidth="1"/>
    <col min="2" max="2" width="6" style="808" customWidth="1"/>
    <col min="3" max="3" width="16.125" style="807" customWidth="1"/>
    <col min="4" max="4" width="3.5" style="807" customWidth="1"/>
    <col min="5" max="5" width="15.125" style="807" customWidth="1"/>
    <col min="6" max="6" width="3.5" style="807" customWidth="1"/>
    <col min="7" max="16384" width="14.5" style="807"/>
  </cols>
  <sheetData>
    <row r="1" spans="1:6" ht="24.95" customHeight="1">
      <c r="A1" s="1207" t="s">
        <v>227</v>
      </c>
      <c r="B1" s="1208"/>
      <c r="C1" s="1208"/>
      <c r="D1" s="1208"/>
      <c r="E1" s="1208"/>
      <c r="F1" s="1208"/>
    </row>
    <row r="2" spans="1:6" ht="16.5">
      <c r="A2" s="771">
        <f>基础信息!B6</f>
        <v>0</v>
      </c>
      <c r="C2" s="809"/>
      <c r="F2" s="810" t="s">
        <v>228</v>
      </c>
    </row>
    <row r="3" spans="1:6">
      <c r="A3" s="1209" t="s">
        <v>137</v>
      </c>
      <c r="B3" s="1209" t="s">
        <v>179</v>
      </c>
      <c r="C3" s="1211" t="s">
        <v>229</v>
      </c>
      <c r="D3" s="1212"/>
      <c r="E3" s="1215" t="s">
        <v>230</v>
      </c>
      <c r="F3" s="1215"/>
    </row>
    <row r="4" spans="1:6">
      <c r="A4" s="1210"/>
      <c r="B4" s="1210"/>
      <c r="C4" s="1213"/>
      <c r="D4" s="1214"/>
      <c r="E4" s="1216"/>
      <c r="F4" s="1216"/>
    </row>
    <row r="5" spans="1:6" s="804" customFormat="1" ht="20.100000000000001" customHeight="1">
      <c r="A5" s="811" t="s">
        <v>231</v>
      </c>
      <c r="B5" s="812"/>
      <c r="C5" s="813">
        <f>'RP 006'!E135</f>
        <v>0</v>
      </c>
      <c r="D5" s="814"/>
      <c r="E5" s="815"/>
      <c r="F5" s="815"/>
    </row>
    <row r="6" spans="1:6" ht="20.100000000000001" customHeight="1">
      <c r="A6" s="816" t="s">
        <v>232</v>
      </c>
      <c r="B6" s="812"/>
      <c r="C6" s="817">
        <f>'RP 006'!E136</f>
        <v>0</v>
      </c>
      <c r="D6" s="818"/>
      <c r="E6" s="815"/>
      <c r="F6" s="815"/>
    </row>
    <row r="7" spans="1:6" ht="20.100000000000001" customHeight="1">
      <c r="A7" s="816" t="s">
        <v>233</v>
      </c>
      <c r="B7" s="812"/>
      <c r="C7" s="817">
        <f>'RP 006'!E137</f>
        <v>0</v>
      </c>
      <c r="D7" s="818"/>
      <c r="E7" s="819"/>
      <c r="F7" s="819"/>
    </row>
    <row r="8" spans="1:6" ht="20.100000000000001" customHeight="1">
      <c r="A8" s="816" t="s">
        <v>234</v>
      </c>
      <c r="B8" s="820"/>
      <c r="C8" s="817">
        <f>'RP 006'!E138</f>
        <v>0</v>
      </c>
      <c r="D8" s="818"/>
      <c r="E8" s="819"/>
      <c r="F8" s="819"/>
    </row>
    <row r="9" spans="1:6" s="804" customFormat="1" ht="20.100000000000001" customHeight="1">
      <c r="A9" s="816" t="s">
        <v>235</v>
      </c>
      <c r="B9" s="820"/>
      <c r="C9" s="817">
        <f>'RP 006'!E139</f>
        <v>0</v>
      </c>
      <c r="D9" s="814"/>
      <c r="E9" s="815"/>
      <c r="F9" s="815"/>
    </row>
    <row r="10" spans="1:6" s="805" customFormat="1" ht="20.100000000000001" customHeight="1">
      <c r="A10" s="822" t="s">
        <v>236</v>
      </c>
      <c r="B10" s="812"/>
      <c r="C10" s="944"/>
      <c r="D10" s="945"/>
      <c r="E10" s="946"/>
      <c r="F10" s="946"/>
    </row>
    <row r="11" spans="1:6" ht="20.100000000000001" customHeight="1">
      <c r="A11" s="816" t="s">
        <v>237</v>
      </c>
      <c r="B11" s="812"/>
      <c r="C11" s="944">
        <f>'RP 006'!E141</f>
        <v>0</v>
      </c>
      <c r="D11" s="947"/>
      <c r="E11" s="948"/>
      <c r="F11" s="948"/>
    </row>
    <row r="12" spans="1:6" s="806" customFormat="1" ht="20.100000000000001" customHeight="1">
      <c r="A12" s="822" t="s">
        <v>2018</v>
      </c>
      <c r="B12" s="812"/>
      <c r="C12" s="944"/>
      <c r="D12" s="947"/>
      <c r="E12" s="948"/>
      <c r="F12" s="948"/>
    </row>
    <row r="13" spans="1:6" s="806" customFormat="1" ht="20.100000000000001" customHeight="1">
      <c r="A13" s="816" t="s">
        <v>238</v>
      </c>
      <c r="B13" s="812"/>
      <c r="C13" s="944"/>
      <c r="D13" s="947"/>
      <c r="E13" s="948"/>
      <c r="F13" s="948"/>
    </row>
    <row r="14" spans="1:6" ht="20.100000000000001" customHeight="1">
      <c r="A14" s="822" t="s">
        <v>240</v>
      </c>
      <c r="B14" s="812"/>
      <c r="C14" s="944">
        <f>'RP 006'!E144</f>
        <v>0</v>
      </c>
      <c r="D14" s="947"/>
      <c r="E14" s="948"/>
      <c r="F14" s="948"/>
    </row>
    <row r="15" spans="1:6" ht="20.100000000000001" customHeight="1">
      <c r="A15" s="816" t="s">
        <v>241</v>
      </c>
      <c r="B15" s="812"/>
      <c r="C15" s="944"/>
      <c r="D15" s="947"/>
      <c r="E15" s="948"/>
      <c r="F15" s="948"/>
    </row>
    <row r="16" spans="1:6" s="806" customFormat="1" ht="20.100000000000001" customHeight="1">
      <c r="A16" s="822" t="s">
        <v>242</v>
      </c>
      <c r="B16" s="812"/>
      <c r="C16" s="944"/>
      <c r="D16" s="947"/>
      <c r="E16" s="948"/>
      <c r="F16" s="948"/>
    </row>
    <row r="17" spans="1:6" ht="20.100000000000001" customHeight="1">
      <c r="A17" s="821" t="s">
        <v>2076</v>
      </c>
      <c r="B17" s="812"/>
      <c r="C17" s="944">
        <f>'RP 006'!E141</f>
        <v>0</v>
      </c>
      <c r="D17" s="947"/>
      <c r="E17" s="948"/>
      <c r="F17" s="948"/>
    </row>
    <row r="18" spans="1:6" ht="20.100000000000001" customHeight="1">
      <c r="A18" s="816" t="s">
        <v>243</v>
      </c>
      <c r="B18" s="812"/>
      <c r="C18" s="944">
        <f>'RP 006'!E144</f>
        <v>0</v>
      </c>
      <c r="D18" s="947"/>
      <c r="E18" s="948"/>
      <c r="F18" s="948"/>
    </row>
    <row r="19" spans="1:6" ht="20.100000000000001" customHeight="1">
      <c r="A19" s="821" t="s">
        <v>2074</v>
      </c>
      <c r="B19" s="812"/>
      <c r="C19" s="944"/>
      <c r="D19" s="947"/>
      <c r="E19" s="948"/>
      <c r="F19" s="948"/>
    </row>
    <row r="20" spans="1:6" ht="20.100000000000001" customHeight="1">
      <c r="A20" s="816" t="s">
        <v>239</v>
      </c>
      <c r="B20" s="812"/>
      <c r="C20" s="817">
        <f>'RP 006'!E147</f>
        <v>0</v>
      </c>
      <c r="D20" s="818"/>
      <c r="E20" s="819"/>
      <c r="F20" s="819"/>
    </row>
    <row r="21" spans="1:6" ht="20.100000000000001" customHeight="1">
      <c r="A21" s="822" t="s">
        <v>2077</v>
      </c>
      <c r="B21" s="820"/>
      <c r="C21" s="817"/>
      <c r="D21" s="818"/>
      <c r="E21" s="819"/>
      <c r="F21" s="819"/>
    </row>
    <row r="22" spans="1:6" s="804" customFormat="1" ht="20.100000000000001" customHeight="1">
      <c r="A22" s="811" t="s">
        <v>244</v>
      </c>
      <c r="B22" s="820"/>
      <c r="C22" s="823">
        <f>C5-C6-C7-C8-C9-C10-C11-C14+C16+C17+C20+C21</f>
        <v>0</v>
      </c>
      <c r="D22" s="824">
        <f>D5-D6-D7-D8-D9-D10-D11-D14+D16+D17+D20+D21</f>
        <v>0</v>
      </c>
      <c r="E22" s="823">
        <f>E5-E6-E7-E8-E9-E10-E11-E14+E16+E17+E20+E21</f>
        <v>0</v>
      </c>
      <c r="F22" s="815"/>
    </row>
    <row r="23" spans="1:6" ht="20.100000000000001" customHeight="1">
      <c r="A23" s="816" t="s">
        <v>245</v>
      </c>
      <c r="B23" s="812"/>
      <c r="C23" s="817">
        <f>'RP 006'!E155</f>
        <v>0</v>
      </c>
      <c r="D23" s="818"/>
      <c r="E23" s="819"/>
      <c r="F23" s="819"/>
    </row>
    <row r="24" spans="1:6" ht="20.100000000000001" customHeight="1">
      <c r="A24" s="816" t="s">
        <v>246</v>
      </c>
      <c r="B24" s="812"/>
      <c r="C24" s="817">
        <f>'RP 006'!E156</f>
        <v>0</v>
      </c>
      <c r="D24" s="818"/>
      <c r="E24" s="819"/>
      <c r="F24" s="819"/>
    </row>
    <row r="25" spans="1:6" ht="20.100000000000001" customHeight="1">
      <c r="A25" s="811" t="s">
        <v>247</v>
      </c>
      <c r="B25" s="820"/>
      <c r="C25" s="823">
        <f>C22+C23-C24</f>
        <v>0</v>
      </c>
      <c r="D25" s="818"/>
      <c r="E25" s="823">
        <f>E22+E23-E24</f>
        <v>0</v>
      </c>
      <c r="F25" s="819"/>
    </row>
    <row r="26" spans="1:6" ht="20.100000000000001" customHeight="1">
      <c r="A26" s="816" t="s">
        <v>248</v>
      </c>
      <c r="B26" s="812"/>
      <c r="C26" s="817">
        <f>'RP 006'!E158</f>
        <v>0</v>
      </c>
      <c r="D26" s="818"/>
      <c r="E26" s="819"/>
      <c r="F26" s="819"/>
    </row>
    <row r="27" spans="1:6" s="804" customFormat="1" ht="20.100000000000001" customHeight="1">
      <c r="A27" s="811" t="s">
        <v>249</v>
      </c>
      <c r="B27" s="820"/>
      <c r="C27" s="823">
        <f>C25-C26</f>
        <v>0</v>
      </c>
      <c r="D27" s="814"/>
      <c r="E27" s="823">
        <f>E25-E26</f>
        <v>0</v>
      </c>
      <c r="F27" s="815"/>
    </row>
    <row r="28" spans="1:6" s="804" customFormat="1" ht="24.95" customHeight="1">
      <c r="A28" s="825" t="s">
        <v>250</v>
      </c>
      <c r="B28" s="820"/>
      <c r="C28" s="823"/>
      <c r="D28" s="814"/>
      <c r="E28" s="815"/>
      <c r="F28" s="815"/>
    </row>
    <row r="29" spans="1:6" ht="20.100000000000001" customHeight="1">
      <c r="A29" s="816" t="s">
        <v>251</v>
      </c>
      <c r="B29" s="820"/>
      <c r="C29" s="823">
        <f>'RP 006'!E161</f>
        <v>0</v>
      </c>
      <c r="D29" s="818"/>
      <c r="E29" s="819"/>
      <c r="F29" s="819"/>
    </row>
    <row r="30" spans="1:6" ht="20.100000000000001" customHeight="1">
      <c r="A30" s="816" t="s">
        <v>252</v>
      </c>
      <c r="B30" s="826"/>
      <c r="C30" s="823">
        <f>'RP 006'!E162</f>
        <v>0</v>
      </c>
      <c r="D30" s="818"/>
      <c r="E30" s="819"/>
      <c r="F30" s="819"/>
    </row>
    <row r="31" spans="1:6" ht="20.100000000000001" customHeight="1">
      <c r="A31" s="816" t="s">
        <v>253</v>
      </c>
      <c r="B31" s="826"/>
      <c r="C31" s="823"/>
      <c r="D31" s="818"/>
      <c r="E31" s="819"/>
      <c r="F31" s="819"/>
    </row>
    <row r="32" spans="1:6" ht="20.100000000000001" customHeight="1">
      <c r="A32" s="816" t="s">
        <v>254</v>
      </c>
      <c r="B32" s="826"/>
      <c r="C32" s="823">
        <f>'RP 006'!E164</f>
        <v>0</v>
      </c>
      <c r="D32" s="818"/>
      <c r="E32" s="819"/>
      <c r="F32" s="819"/>
    </row>
    <row r="33" spans="1:6" ht="20.100000000000001" customHeight="1">
      <c r="A33" s="816" t="s">
        <v>255</v>
      </c>
      <c r="B33" s="826"/>
      <c r="C33" s="823">
        <f>'RP 006'!E165</f>
        <v>0</v>
      </c>
      <c r="D33" s="818"/>
      <c r="E33" s="819"/>
      <c r="F33" s="819"/>
    </row>
    <row r="34" spans="1:6" ht="20.100000000000001" customHeight="1">
      <c r="A34" s="811" t="s">
        <v>256</v>
      </c>
      <c r="B34" s="826"/>
      <c r="C34" s="823"/>
      <c r="D34" s="818"/>
      <c r="E34" s="819"/>
      <c r="F34" s="819"/>
    </row>
    <row r="35" spans="1:6" ht="20.100000000000001" customHeight="1">
      <c r="A35" s="827" t="s">
        <v>257</v>
      </c>
      <c r="B35" s="826"/>
      <c r="C35" s="823"/>
      <c r="D35" s="818"/>
      <c r="E35" s="819"/>
      <c r="F35" s="819"/>
    </row>
    <row r="36" spans="1:6" ht="20.100000000000001" customHeight="1">
      <c r="A36" s="828" t="s">
        <v>258</v>
      </c>
      <c r="B36" s="826"/>
      <c r="C36" s="823"/>
      <c r="D36" s="818"/>
      <c r="E36" s="819"/>
      <c r="F36" s="819"/>
    </row>
    <row r="37" spans="1:6" s="956" customFormat="1" ht="24.95" customHeight="1">
      <c r="A37" s="953" t="s">
        <v>259</v>
      </c>
      <c r="B37" s="954"/>
      <c r="C37" s="955"/>
      <c r="D37" s="947"/>
      <c r="E37" s="948"/>
      <c r="F37" s="948"/>
    </row>
    <row r="38" spans="1:6" s="956" customFormat="1" ht="24.95" customHeight="1">
      <c r="A38" s="953" t="s">
        <v>260</v>
      </c>
      <c r="B38" s="954"/>
      <c r="C38" s="955"/>
      <c r="D38" s="947"/>
      <c r="E38" s="948"/>
      <c r="F38" s="948"/>
    </row>
    <row r="39" spans="1:6" ht="24.95" customHeight="1">
      <c r="A39" s="952" t="s">
        <v>2078</v>
      </c>
      <c r="B39" s="826"/>
      <c r="C39" s="823"/>
      <c r="D39" s="818"/>
      <c r="E39" s="819"/>
      <c r="F39" s="819"/>
    </row>
    <row r="40" spans="1:6" ht="24.95" customHeight="1">
      <c r="A40" s="952" t="s">
        <v>2079</v>
      </c>
      <c r="B40" s="826"/>
      <c r="C40" s="823"/>
      <c r="D40" s="818"/>
      <c r="E40" s="819"/>
      <c r="F40" s="819"/>
    </row>
    <row r="41" spans="1:6" ht="24.95" customHeight="1">
      <c r="A41" s="952" t="s">
        <v>896</v>
      </c>
      <c r="B41" s="826"/>
      <c r="C41" s="823"/>
      <c r="D41" s="818"/>
      <c r="E41" s="819"/>
      <c r="F41" s="819"/>
    </row>
    <row r="42" spans="1:6" ht="20.100000000000001" customHeight="1">
      <c r="A42" s="830" t="s">
        <v>2080</v>
      </c>
      <c r="B42" s="826"/>
      <c r="C42" s="823"/>
      <c r="D42" s="818"/>
      <c r="E42" s="819"/>
      <c r="F42" s="819"/>
    </row>
    <row r="43" spans="1:6" ht="20.100000000000001" customHeight="1">
      <c r="A43" s="831" t="s">
        <v>261</v>
      </c>
      <c r="B43" s="826"/>
      <c r="C43" s="823"/>
      <c r="D43" s="818"/>
      <c r="E43" s="819"/>
      <c r="F43" s="819"/>
    </row>
    <row r="44" spans="1:6" ht="24.95" customHeight="1">
      <c r="A44" s="953" t="s">
        <v>2086</v>
      </c>
      <c r="B44" s="826"/>
      <c r="C44" s="823"/>
      <c r="D44" s="818"/>
      <c r="E44" s="819"/>
      <c r="F44" s="819"/>
    </row>
    <row r="45" spans="1:6" ht="24.95" customHeight="1">
      <c r="A45" s="829" t="s">
        <v>2081</v>
      </c>
      <c r="B45" s="826"/>
      <c r="C45" s="823"/>
      <c r="D45" s="818"/>
      <c r="E45" s="819"/>
      <c r="F45" s="819"/>
    </row>
    <row r="46" spans="1:6" ht="20.100000000000001" customHeight="1">
      <c r="A46" s="831" t="s">
        <v>2082</v>
      </c>
      <c r="B46" s="826"/>
      <c r="C46" s="823"/>
      <c r="D46" s="818"/>
      <c r="E46" s="819"/>
      <c r="F46" s="819"/>
    </row>
    <row r="47" spans="1:6" ht="20.100000000000001" customHeight="1">
      <c r="A47" s="829" t="s">
        <v>2085</v>
      </c>
      <c r="B47" s="826"/>
      <c r="C47" s="823"/>
      <c r="D47" s="818"/>
      <c r="E47" s="819"/>
      <c r="F47" s="819"/>
    </row>
    <row r="48" spans="1:6" ht="20.100000000000001" customHeight="1">
      <c r="A48" s="832" t="s">
        <v>2083</v>
      </c>
      <c r="B48" s="826"/>
      <c r="C48" s="823"/>
      <c r="D48" s="818"/>
      <c r="E48" s="819"/>
      <c r="F48" s="819"/>
    </row>
    <row r="49" spans="1:6" ht="20.100000000000001" customHeight="1">
      <c r="A49" s="957" t="s">
        <v>2084</v>
      </c>
      <c r="B49" s="826"/>
      <c r="C49" s="823"/>
      <c r="D49" s="818"/>
      <c r="E49" s="819"/>
      <c r="F49" s="819"/>
    </row>
    <row r="50" spans="1:6" ht="20.100000000000001" customHeight="1">
      <c r="A50" s="957" t="s">
        <v>2091</v>
      </c>
      <c r="B50" s="826"/>
      <c r="C50" s="823"/>
      <c r="D50" s="818"/>
      <c r="E50" s="819"/>
      <c r="F50" s="819"/>
    </row>
    <row r="51" spans="1:6" ht="20.100000000000001" customHeight="1">
      <c r="A51" s="832" t="s">
        <v>2087</v>
      </c>
      <c r="B51" s="826"/>
      <c r="C51" s="823"/>
      <c r="D51" s="818"/>
      <c r="E51" s="819"/>
      <c r="F51" s="819"/>
    </row>
    <row r="52" spans="1:6" ht="20.100000000000001" customHeight="1">
      <c r="A52" s="832" t="s">
        <v>2088</v>
      </c>
      <c r="B52" s="826"/>
      <c r="C52" s="823"/>
      <c r="D52" s="818"/>
      <c r="E52" s="819"/>
      <c r="F52" s="819"/>
    </row>
    <row r="53" spans="1:6" ht="20.100000000000001" customHeight="1">
      <c r="A53" s="832" t="s">
        <v>2089</v>
      </c>
      <c r="B53" s="826"/>
      <c r="C53" s="823"/>
      <c r="D53" s="818"/>
      <c r="E53" s="819"/>
      <c r="F53" s="819"/>
    </row>
    <row r="54" spans="1:6" ht="20.100000000000001" customHeight="1">
      <c r="A54" s="832" t="s">
        <v>2090</v>
      </c>
      <c r="B54" s="826"/>
      <c r="C54" s="823"/>
      <c r="D54" s="818"/>
      <c r="E54" s="819"/>
      <c r="F54" s="819"/>
    </row>
    <row r="55" spans="1:6" ht="20.100000000000001" customHeight="1">
      <c r="A55" s="827" t="s">
        <v>262</v>
      </c>
      <c r="B55" s="826"/>
      <c r="C55" s="823"/>
      <c r="D55" s="818"/>
      <c r="E55" s="819"/>
      <c r="F55" s="819"/>
    </row>
    <row r="56" spans="1:6" ht="20.100000000000001" customHeight="1">
      <c r="A56" s="811" t="s">
        <v>263</v>
      </c>
      <c r="B56" s="826"/>
      <c r="C56" s="823"/>
      <c r="D56" s="818"/>
      <c r="E56" s="819"/>
      <c r="F56" s="819"/>
    </row>
    <row r="57" spans="1:6" ht="20.100000000000001" customHeight="1">
      <c r="A57" s="816" t="s">
        <v>264</v>
      </c>
      <c r="B57" s="826"/>
      <c r="C57" s="823"/>
      <c r="D57" s="818"/>
      <c r="E57" s="819"/>
      <c r="F57" s="819"/>
    </row>
    <row r="58" spans="1:6" ht="20.100000000000001" customHeight="1">
      <c r="A58" s="816" t="s">
        <v>265</v>
      </c>
      <c r="B58" s="826"/>
      <c r="C58" s="823"/>
      <c r="D58" s="818"/>
      <c r="E58" s="819"/>
      <c r="F58" s="819"/>
    </row>
    <row r="59" spans="1:6" ht="20.100000000000001" customHeight="1">
      <c r="A59" s="811" t="s">
        <v>266</v>
      </c>
      <c r="B59" s="826"/>
      <c r="C59" s="823"/>
      <c r="D59" s="818"/>
      <c r="E59" s="819"/>
      <c r="F59" s="819"/>
    </row>
    <row r="60" spans="1:6" ht="20.100000000000001" customHeight="1">
      <c r="A60" s="816" t="s">
        <v>267</v>
      </c>
      <c r="B60" s="826"/>
      <c r="C60" s="823"/>
      <c r="D60" s="818"/>
      <c r="E60" s="819"/>
      <c r="F60" s="819"/>
    </row>
    <row r="61" spans="1:6" ht="20.100000000000001" customHeight="1">
      <c r="A61" s="833" t="s">
        <v>268</v>
      </c>
      <c r="B61" s="834"/>
      <c r="C61" s="835"/>
      <c r="D61" s="836"/>
      <c r="E61" s="837"/>
      <c r="F61" s="819"/>
    </row>
    <row r="62" spans="1:6" s="768" customFormat="1" ht="20.100000000000001" customHeight="1">
      <c r="A62" s="800" t="s">
        <v>269</v>
      </c>
      <c r="B62" s="800"/>
      <c r="C62" s="800" t="s">
        <v>270</v>
      </c>
      <c r="D62" s="801"/>
      <c r="E62" s="801"/>
      <c r="F62" s="800"/>
    </row>
    <row r="63" spans="1:6">
      <c r="B63" s="838"/>
      <c r="C63" s="819"/>
      <c r="D63" s="819"/>
    </row>
    <row r="65" spans="3:4">
      <c r="C65" s="808"/>
      <c r="D65" s="808"/>
    </row>
  </sheetData>
  <mergeCells count="5">
    <mergeCell ref="A1:F1"/>
    <mergeCell ref="A3:A4"/>
    <mergeCell ref="B3:B4"/>
    <mergeCell ref="C3:D4"/>
    <mergeCell ref="E3:F4"/>
  </mergeCells>
  <phoneticPr fontId="76" type="noConversion"/>
  <printOptions horizontalCentered="1" verticalCentered="1"/>
  <pageMargins left="0.46875" right="0.26874999999999999" top="0.59027777777777801" bottom="0.78680555555555598" header="0.51180555555555596" footer="0.51180555555555596"/>
  <pageSetup paperSize="9" scale="88" fitToWidth="2" fitToHeight="0" orientation="portrait" horizontalDpi="360" r:id="rId1"/>
  <headerFooter alignWithMargins="0">
    <oddFooter>&amp;C3</oddFooter>
  </headerFooter>
  <rowBreaks count="1" manualBreakCount="1">
    <brk id="33" max="5" man="1"/>
  </row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showGridLines="0" view="pageBreakPreview" topLeftCell="A16" zoomScaleNormal="100" zoomScaleSheetLayoutView="100" workbookViewId="0">
      <selection activeCell="B53" sqref="B53"/>
    </sheetView>
  </sheetViews>
  <sheetFormatPr defaultColWidth="16.375" defaultRowHeight="20.100000000000001" customHeight="1"/>
  <cols>
    <col min="1" max="1" width="48.375" style="769" customWidth="1"/>
    <col min="2" max="2" width="7" style="770" customWidth="1"/>
    <col min="3" max="3" width="20.125" style="770" customWidth="1"/>
    <col min="4" max="4" width="4.75" style="769" customWidth="1"/>
    <col min="5" max="5" width="17.625" style="770" hidden="1" customWidth="1"/>
    <col min="6" max="6" width="2.75" style="769" hidden="1" customWidth="1"/>
    <col min="7" max="7" width="16.375" style="769" hidden="1" customWidth="1"/>
    <col min="8" max="8" width="16.375" style="769"/>
    <col min="9" max="9" width="4.5" style="769" customWidth="1"/>
    <col min="10" max="16384" width="16.375" style="769"/>
  </cols>
  <sheetData>
    <row r="1" spans="1:9" ht="24.95" customHeight="1">
      <c r="A1" s="1218" t="s">
        <v>271</v>
      </c>
      <c r="B1" s="1218"/>
      <c r="C1" s="1218"/>
      <c r="D1" s="1218"/>
      <c r="E1" s="1218"/>
      <c r="F1" s="1218"/>
      <c r="G1" s="1218"/>
      <c r="H1" s="1218"/>
      <c r="I1" s="1218"/>
    </row>
    <row r="2" spans="1:9" s="764" customFormat="1" ht="20.100000000000001" customHeight="1">
      <c r="A2" s="771">
        <f>基础信息!B6</f>
        <v>0</v>
      </c>
      <c r="B2" s="772"/>
      <c r="C2" s="773"/>
      <c r="D2" s="774"/>
      <c r="E2" s="774"/>
      <c r="I2" s="802" t="s">
        <v>272</v>
      </c>
    </row>
    <row r="3" spans="1:9" s="764" customFormat="1" ht="20.100000000000001" customHeight="1">
      <c r="A3" s="1219" t="s">
        <v>137</v>
      </c>
      <c r="B3" s="1221" t="s">
        <v>179</v>
      </c>
      <c r="C3" s="1211" t="s">
        <v>229</v>
      </c>
      <c r="D3" s="1212"/>
      <c r="E3" s="1215" t="s">
        <v>273</v>
      </c>
      <c r="F3" s="1215"/>
      <c r="G3" s="775"/>
      <c r="H3" s="1215" t="s">
        <v>230</v>
      </c>
      <c r="I3" s="1215"/>
    </row>
    <row r="4" spans="1:9" s="764" customFormat="1" ht="20.100000000000001" customHeight="1">
      <c r="A4" s="1220"/>
      <c r="B4" s="1222"/>
      <c r="C4" s="1213"/>
      <c r="D4" s="1214"/>
      <c r="E4" s="1216"/>
      <c r="F4" s="1216"/>
      <c r="G4" s="775"/>
      <c r="H4" s="1216"/>
      <c r="I4" s="1216"/>
    </row>
    <row r="5" spans="1:9" s="765" customFormat="1" ht="20.100000000000001" customHeight="1">
      <c r="A5" s="776" t="s">
        <v>274</v>
      </c>
      <c r="B5" s="777"/>
      <c r="C5" s="778"/>
      <c r="D5" s="779"/>
      <c r="E5" s="780"/>
      <c r="F5" s="781"/>
    </row>
    <row r="6" spans="1:9" s="765" customFormat="1" ht="20.100000000000001" customHeight="1">
      <c r="A6" s="782" t="s">
        <v>275</v>
      </c>
      <c r="B6" s="777"/>
      <c r="C6" s="783"/>
      <c r="D6" s="784"/>
      <c r="E6" s="775"/>
      <c r="F6" s="775"/>
    </row>
    <row r="7" spans="1:9" s="765" customFormat="1" ht="20.100000000000001" customHeight="1">
      <c r="A7" s="782" t="s">
        <v>276</v>
      </c>
      <c r="B7" s="777"/>
      <c r="C7" s="783"/>
      <c r="D7" s="784"/>
      <c r="E7" s="775"/>
      <c r="F7" s="775"/>
    </row>
    <row r="8" spans="1:9" s="765" customFormat="1" ht="20.100000000000001" customHeight="1">
      <c r="A8" s="782" t="s">
        <v>277</v>
      </c>
      <c r="B8" s="777"/>
      <c r="C8" s="783"/>
      <c r="D8" s="784"/>
      <c r="E8" s="775"/>
      <c r="F8" s="775"/>
    </row>
    <row r="9" spans="1:9" s="765" customFormat="1" ht="20.100000000000001" customHeight="1">
      <c r="A9" s="782" t="s">
        <v>278</v>
      </c>
      <c r="B9" s="777"/>
      <c r="C9" s="783">
        <f>SUM(C6:C8)</f>
        <v>0</v>
      </c>
      <c r="D9" s="775"/>
      <c r="E9" s="775">
        <f>SUM(E6:E8)</f>
        <v>0</v>
      </c>
      <c r="F9" s="783">
        <f>SUM(F6:F8)</f>
        <v>0</v>
      </c>
      <c r="G9" s="783">
        <f>SUM(G6:G8)</f>
        <v>0</v>
      </c>
      <c r="H9" s="783">
        <f>SUM(H6:H8)</f>
        <v>0</v>
      </c>
    </row>
    <row r="10" spans="1:9" s="765" customFormat="1" ht="20.100000000000001" customHeight="1">
      <c r="A10" s="782" t="s">
        <v>279</v>
      </c>
      <c r="B10" s="777"/>
      <c r="C10" s="783"/>
      <c r="D10" s="784"/>
      <c r="E10" s="775"/>
      <c r="F10" s="775"/>
    </row>
    <row r="11" spans="1:9" s="765" customFormat="1" ht="20.100000000000001" customHeight="1">
      <c r="A11" s="782" t="s">
        <v>280</v>
      </c>
      <c r="B11" s="777"/>
      <c r="C11" s="783"/>
      <c r="D11" s="784"/>
      <c r="E11" s="775"/>
      <c r="F11" s="775"/>
    </row>
    <row r="12" spans="1:9" s="765" customFormat="1" ht="20.100000000000001" customHeight="1">
      <c r="A12" s="782" t="s">
        <v>281</v>
      </c>
      <c r="B12" s="777"/>
      <c r="C12" s="783"/>
      <c r="D12" s="784"/>
      <c r="E12" s="775"/>
      <c r="F12" s="775"/>
    </row>
    <row r="13" spans="1:9" s="765" customFormat="1" ht="20.100000000000001" customHeight="1">
      <c r="A13" s="782" t="s">
        <v>282</v>
      </c>
      <c r="B13" s="777"/>
      <c r="C13" s="783"/>
      <c r="D13" s="784"/>
      <c r="E13" s="775"/>
      <c r="F13" s="775"/>
    </row>
    <row r="14" spans="1:9" s="765" customFormat="1" ht="20.100000000000001" customHeight="1">
      <c r="A14" s="782" t="s">
        <v>283</v>
      </c>
      <c r="B14" s="777"/>
      <c r="C14" s="783">
        <f>C10+C11+C12+C13</f>
        <v>0</v>
      </c>
      <c r="D14" s="775"/>
      <c r="E14" s="775">
        <f>E10+E11+E12+E13</f>
        <v>0</v>
      </c>
      <c r="F14" s="783">
        <f>F10+F11+F12+F13</f>
        <v>0</v>
      </c>
      <c r="G14" s="783">
        <f>G10+G11+G12+G13</f>
        <v>0</v>
      </c>
      <c r="H14" s="783">
        <f>H10+H11+H12+H13</f>
        <v>0</v>
      </c>
    </row>
    <row r="15" spans="1:9" s="766" customFormat="1" ht="20.100000000000001" customHeight="1">
      <c r="A15" s="776" t="s">
        <v>284</v>
      </c>
      <c r="B15" s="785"/>
      <c r="C15" s="786">
        <f>C9-C14</f>
        <v>0</v>
      </c>
      <c r="D15" s="787"/>
      <c r="E15" s="787">
        <f>E9-E14</f>
        <v>0</v>
      </c>
      <c r="F15" s="786">
        <f>F9-F14</f>
        <v>0</v>
      </c>
      <c r="G15" s="786">
        <f>G9-G14</f>
        <v>0</v>
      </c>
      <c r="H15" s="786">
        <f>H9-H14</f>
        <v>0</v>
      </c>
    </row>
    <row r="16" spans="1:9" s="765" customFormat="1" ht="20.100000000000001" customHeight="1">
      <c r="A16" s="776" t="s">
        <v>285</v>
      </c>
      <c r="B16" s="785"/>
      <c r="C16" s="783"/>
      <c r="D16" s="788"/>
      <c r="E16" s="775"/>
      <c r="F16" s="789"/>
    </row>
    <row r="17" spans="1:8" s="766" customFormat="1" ht="20.100000000000001" customHeight="1">
      <c r="A17" s="782" t="s">
        <v>286</v>
      </c>
      <c r="B17" s="777"/>
      <c r="C17" s="783"/>
      <c r="D17" s="784"/>
      <c r="E17" s="775"/>
      <c r="F17" s="775"/>
    </row>
    <row r="18" spans="1:8" s="765" customFormat="1" ht="20.100000000000001" customHeight="1">
      <c r="A18" s="782" t="s">
        <v>287</v>
      </c>
      <c r="B18" s="777"/>
      <c r="C18" s="783"/>
      <c r="D18" s="784"/>
      <c r="E18" s="775"/>
      <c r="F18" s="775"/>
    </row>
    <row r="19" spans="1:8" s="765" customFormat="1" ht="24.95" customHeight="1">
      <c r="A19" s="790" t="s">
        <v>288</v>
      </c>
      <c r="B19" s="777"/>
      <c r="C19" s="783"/>
      <c r="D19" s="784"/>
      <c r="E19" s="775"/>
      <c r="F19" s="775"/>
    </row>
    <row r="20" spans="1:8" s="765" customFormat="1" ht="20.100000000000001" customHeight="1">
      <c r="A20" s="782" t="s">
        <v>289</v>
      </c>
      <c r="B20" s="777"/>
      <c r="C20" s="783"/>
      <c r="D20" s="784"/>
      <c r="E20" s="775"/>
      <c r="F20" s="775"/>
    </row>
    <row r="21" spans="1:8" s="765" customFormat="1" ht="20.100000000000001" customHeight="1">
      <c r="A21" s="782" t="s">
        <v>290</v>
      </c>
      <c r="B21" s="777"/>
      <c r="C21" s="783"/>
      <c r="D21" s="784"/>
      <c r="E21" s="775"/>
      <c r="F21" s="775"/>
    </row>
    <row r="22" spans="1:8" s="765" customFormat="1" ht="20.100000000000001" customHeight="1">
      <c r="A22" s="782" t="s">
        <v>291</v>
      </c>
      <c r="B22" s="777"/>
      <c r="C22" s="783">
        <f>SUM(C17:C21)</f>
        <v>0</v>
      </c>
      <c r="D22" s="775"/>
      <c r="E22" s="775">
        <f>SUM(E17:E21)</f>
        <v>0</v>
      </c>
      <c r="F22" s="783">
        <f>SUM(F17:F21)</f>
        <v>0</v>
      </c>
      <c r="G22" s="783">
        <f>SUM(G17:G21)</f>
        <v>0</v>
      </c>
      <c r="H22" s="783">
        <f>SUM(H17:H21)</f>
        <v>0</v>
      </c>
    </row>
    <row r="23" spans="1:8" s="765" customFormat="1" ht="20.100000000000001" customHeight="1">
      <c r="A23" s="782" t="s">
        <v>292</v>
      </c>
      <c r="B23" s="777"/>
      <c r="C23" s="783"/>
      <c r="D23" s="784"/>
      <c r="E23" s="775"/>
      <c r="F23" s="775"/>
    </row>
    <row r="24" spans="1:8" s="765" customFormat="1" ht="20.100000000000001" customHeight="1">
      <c r="A24" s="782" t="s">
        <v>293</v>
      </c>
      <c r="B24" s="777"/>
      <c r="C24" s="783"/>
      <c r="D24" s="784"/>
      <c r="E24" s="775"/>
      <c r="F24" s="775"/>
    </row>
    <row r="25" spans="1:8" s="765" customFormat="1" ht="20.100000000000001" customHeight="1">
      <c r="A25" s="782" t="s">
        <v>294</v>
      </c>
      <c r="B25" s="777"/>
      <c r="C25" s="783"/>
      <c r="D25" s="784"/>
      <c r="E25" s="775"/>
      <c r="F25" s="775"/>
    </row>
    <row r="26" spans="1:8" s="765" customFormat="1" ht="20.100000000000001" customHeight="1">
      <c r="A26" s="782" t="s">
        <v>295</v>
      </c>
      <c r="B26" s="777"/>
      <c r="C26" s="783"/>
      <c r="D26" s="784"/>
      <c r="E26" s="775"/>
      <c r="F26" s="775"/>
    </row>
    <row r="27" spans="1:8" s="766" customFormat="1" ht="20.100000000000001" customHeight="1">
      <c r="A27" s="782" t="s">
        <v>296</v>
      </c>
      <c r="B27" s="777"/>
      <c r="C27" s="783">
        <f>SUM(C23:C26)</f>
        <v>0</v>
      </c>
      <c r="D27" s="775"/>
      <c r="E27" s="775">
        <f>SUM(E23:E26)</f>
        <v>0</v>
      </c>
      <c r="F27" s="783">
        <f>SUM(F23:F26)</f>
        <v>0</v>
      </c>
      <c r="G27" s="783">
        <f>SUM(G23:G26)</f>
        <v>0</v>
      </c>
      <c r="H27" s="783">
        <f>SUM(H23:H26)</f>
        <v>0</v>
      </c>
    </row>
    <row r="28" spans="1:8" s="765" customFormat="1" ht="20.100000000000001" customHeight="1">
      <c r="A28" s="776" t="s">
        <v>297</v>
      </c>
      <c r="B28" s="785"/>
      <c r="C28" s="786">
        <f>C22-C27</f>
        <v>0</v>
      </c>
      <c r="D28" s="787"/>
      <c r="E28" s="787">
        <f>E22-E27</f>
        <v>0</v>
      </c>
      <c r="F28" s="786">
        <f>F22-F27</f>
        <v>0</v>
      </c>
      <c r="G28" s="786">
        <f>G22-G27</f>
        <v>0</v>
      </c>
      <c r="H28" s="786">
        <f>H22-H27</f>
        <v>0</v>
      </c>
    </row>
    <row r="29" spans="1:8" s="766" customFormat="1" ht="20.100000000000001" customHeight="1">
      <c r="A29" s="776" t="s">
        <v>298</v>
      </c>
      <c r="B29" s="785"/>
      <c r="C29" s="783"/>
      <c r="D29" s="788"/>
      <c r="E29" s="775"/>
      <c r="F29" s="789"/>
      <c r="G29" s="765"/>
    </row>
    <row r="30" spans="1:8" s="765" customFormat="1" ht="20.100000000000001" customHeight="1">
      <c r="A30" s="782" t="s">
        <v>299</v>
      </c>
      <c r="B30" s="777"/>
      <c r="C30" s="783"/>
      <c r="D30" s="784"/>
      <c r="E30" s="775"/>
      <c r="F30" s="775"/>
      <c r="G30" s="766"/>
    </row>
    <row r="31" spans="1:8" s="765" customFormat="1" ht="20.100000000000001" customHeight="1">
      <c r="A31" s="782" t="s">
        <v>300</v>
      </c>
      <c r="B31" s="777"/>
      <c r="C31" s="783"/>
      <c r="D31" s="784"/>
      <c r="E31" s="775"/>
      <c r="F31" s="775"/>
    </row>
    <row r="32" spans="1:8" s="765" customFormat="1" ht="20.100000000000001" customHeight="1">
      <c r="A32" s="782" t="s">
        <v>301</v>
      </c>
      <c r="B32" s="777"/>
      <c r="C32" s="783"/>
      <c r="D32" s="784"/>
      <c r="E32" s="775"/>
      <c r="F32" s="775"/>
    </row>
    <row r="33" spans="1:9" s="765" customFormat="1" ht="20.100000000000001" customHeight="1">
      <c r="A33" s="782" t="s">
        <v>302</v>
      </c>
      <c r="B33" s="777"/>
      <c r="C33" s="783"/>
      <c r="D33" s="784"/>
      <c r="E33" s="775"/>
      <c r="F33" s="775"/>
    </row>
    <row r="34" spans="1:9" s="765" customFormat="1" ht="20.100000000000001" customHeight="1">
      <c r="A34" s="782" t="s">
        <v>303</v>
      </c>
      <c r="B34" s="777"/>
      <c r="C34" s="783">
        <f>C30+C32+C33</f>
        <v>0</v>
      </c>
      <c r="D34" s="775"/>
      <c r="E34" s="775">
        <f>E30+E32+E33</f>
        <v>0</v>
      </c>
      <c r="F34" s="783">
        <f>F30+F32+F33</f>
        <v>0</v>
      </c>
      <c r="G34" s="783">
        <f>G30+G32+G33</f>
        <v>0</v>
      </c>
      <c r="H34" s="783">
        <f>H30+H32+H33</f>
        <v>0</v>
      </c>
    </row>
    <row r="35" spans="1:9" s="765" customFormat="1" ht="20.100000000000001" customHeight="1">
      <c r="A35" s="782" t="s">
        <v>304</v>
      </c>
      <c r="B35" s="777"/>
      <c r="C35" s="783"/>
      <c r="D35" s="784"/>
      <c r="E35" s="775"/>
      <c r="F35" s="775"/>
    </row>
    <row r="36" spans="1:9" s="765" customFormat="1" ht="20.100000000000001" customHeight="1">
      <c r="A36" s="782" t="s">
        <v>305</v>
      </c>
      <c r="B36" s="777"/>
      <c r="C36" s="783"/>
      <c r="D36" s="784"/>
      <c r="E36" s="775"/>
      <c r="F36" s="775"/>
    </row>
    <row r="37" spans="1:9" s="765" customFormat="1" ht="20.100000000000001" customHeight="1">
      <c r="A37" s="782" t="s">
        <v>306</v>
      </c>
      <c r="B37" s="777"/>
      <c r="C37" s="783"/>
      <c r="D37" s="784"/>
      <c r="E37" s="775"/>
      <c r="F37" s="775"/>
    </row>
    <row r="38" spans="1:9" s="765" customFormat="1" ht="20.100000000000001" customHeight="1">
      <c r="A38" s="782" t="s">
        <v>307</v>
      </c>
      <c r="B38" s="777"/>
      <c r="C38" s="783"/>
      <c r="D38" s="784"/>
      <c r="E38" s="775"/>
      <c r="F38" s="775"/>
      <c r="G38" s="766"/>
    </row>
    <row r="39" spans="1:9" s="765" customFormat="1" ht="20.100000000000001" customHeight="1">
      <c r="A39" s="782" t="s">
        <v>308</v>
      </c>
      <c r="B39" s="777"/>
      <c r="C39" s="783"/>
      <c r="D39" s="784"/>
      <c r="E39" s="775"/>
      <c r="F39" s="775"/>
      <c r="G39" s="766"/>
    </row>
    <row r="40" spans="1:9" s="765" customFormat="1" ht="20.100000000000001" customHeight="1">
      <c r="A40" s="782" t="s">
        <v>309</v>
      </c>
      <c r="B40" s="777"/>
      <c r="C40" s="783">
        <f>C35+C36+C38</f>
        <v>0</v>
      </c>
      <c r="D40" s="775"/>
      <c r="E40" s="775">
        <f>E35+E36+E38</f>
        <v>0</v>
      </c>
      <c r="F40" s="783">
        <f>F35+F36+F38</f>
        <v>0</v>
      </c>
      <c r="G40" s="783">
        <f>G35+G36+G38</f>
        <v>0</v>
      </c>
      <c r="H40" s="783">
        <f>H35+H36+H38</f>
        <v>0</v>
      </c>
    </row>
    <row r="41" spans="1:9" s="765" customFormat="1" ht="20.100000000000001" customHeight="1">
      <c r="A41" s="776" t="s">
        <v>310</v>
      </c>
      <c r="B41" s="785"/>
      <c r="C41" s="786">
        <f>C34-C40</f>
        <v>0</v>
      </c>
      <c r="D41" s="787"/>
      <c r="E41" s="787">
        <f>E34-E40</f>
        <v>0</v>
      </c>
      <c r="F41" s="786">
        <f>F34-F40</f>
        <v>0</v>
      </c>
      <c r="G41" s="786">
        <f>G34-G40</f>
        <v>0</v>
      </c>
      <c r="H41" s="786">
        <f>H34-H40</f>
        <v>0</v>
      </c>
    </row>
    <row r="42" spans="1:9" s="766" customFormat="1" ht="20.100000000000001" customHeight="1">
      <c r="A42" s="776" t="s">
        <v>311</v>
      </c>
      <c r="B42" s="777"/>
      <c r="C42" s="783"/>
      <c r="D42" s="791"/>
      <c r="E42" s="787"/>
      <c r="F42" s="787"/>
      <c r="G42" s="765"/>
    </row>
    <row r="43" spans="1:9" s="766" customFormat="1" ht="20.100000000000001" customHeight="1">
      <c r="A43" s="776" t="s">
        <v>312</v>
      </c>
      <c r="B43" s="792"/>
      <c r="C43" s="786">
        <f>C15+C28+C41+C42</f>
        <v>0</v>
      </c>
      <c r="D43" s="787"/>
      <c r="E43" s="787">
        <f>E15+E28+E41+E42</f>
        <v>0</v>
      </c>
      <c r="F43" s="786">
        <f>F15+F28+F41+F42</f>
        <v>0</v>
      </c>
      <c r="G43" s="786">
        <f>G15+G28+G41+G42</f>
        <v>0</v>
      </c>
      <c r="H43" s="786">
        <f>H15+H28+H41+H42</f>
        <v>0</v>
      </c>
    </row>
    <row r="44" spans="1:9" s="767" customFormat="1" ht="20.100000000000001" customHeight="1">
      <c r="A44" s="782" t="s">
        <v>313</v>
      </c>
      <c r="B44" s="792"/>
      <c r="C44" s="783"/>
      <c r="D44" s="793"/>
      <c r="E44" s="775"/>
      <c r="F44" s="794"/>
      <c r="G44" s="766"/>
      <c r="H44" s="795"/>
    </row>
    <row r="45" spans="1:9" s="767" customFormat="1" ht="20.100000000000001" customHeight="1">
      <c r="A45" s="796" t="s">
        <v>314</v>
      </c>
      <c r="B45" s="797"/>
      <c r="C45" s="798">
        <f>C43+C44</f>
        <v>0</v>
      </c>
      <c r="D45" s="799"/>
      <c r="E45" s="799">
        <f>E43+E44</f>
        <v>0</v>
      </c>
      <c r="F45" s="798">
        <f>F43+F44</f>
        <v>0</v>
      </c>
      <c r="G45" s="798">
        <f>G43+G44</f>
        <v>0</v>
      </c>
      <c r="H45" s="798">
        <f>H43+H44</f>
        <v>0</v>
      </c>
      <c r="I45" s="803"/>
    </row>
    <row r="46" spans="1:9" s="768" customFormat="1" ht="20.100000000000001" customHeight="1">
      <c r="A46" s="800" t="s">
        <v>269</v>
      </c>
      <c r="B46" s="800"/>
      <c r="C46" s="800" t="s">
        <v>315</v>
      </c>
      <c r="D46" s="801"/>
      <c r="E46" s="801"/>
      <c r="F46" s="800"/>
      <c r="G46" s="800"/>
      <c r="H46" s="800"/>
      <c r="I46" s="800"/>
    </row>
    <row r="50" spans="1:8" ht="37.5" customHeight="1">
      <c r="A50" s="1217" t="s">
        <v>2092</v>
      </c>
      <c r="B50" s="1217"/>
      <c r="C50" s="1217"/>
      <c r="D50" s="1217"/>
      <c r="E50" s="1217"/>
      <c r="F50" s="1217"/>
      <c r="G50" s="1217"/>
      <c r="H50" s="1217"/>
    </row>
  </sheetData>
  <mergeCells count="7">
    <mergeCell ref="A50:H50"/>
    <mergeCell ref="A1:I1"/>
    <mergeCell ref="A3:A4"/>
    <mergeCell ref="B3:B4"/>
    <mergeCell ref="H3:I4"/>
    <mergeCell ref="C3:D4"/>
    <mergeCell ref="E3:F4"/>
  </mergeCells>
  <phoneticPr fontId="76" type="noConversion"/>
  <printOptions horizontalCentered="1"/>
  <pageMargins left="0.59027777777777801" right="0.39305555555555599" top="0.78680555555555598" bottom="0.39305555555555599" header="0.51180555555555596" footer="0.51180555555555596"/>
  <pageSetup paperSize="9" scale="80" orientation="portrait" horizontalDpi="360" r:id="rId1"/>
  <headerFooter alignWithMargins="0">
    <oddFooter>&amp;C5</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40"/>
  <sheetViews>
    <sheetView view="pageBreakPreview" zoomScale="80" zoomScaleNormal="100" zoomScaleSheetLayoutView="80" workbookViewId="0">
      <selection activeCell="B13" sqref="B13"/>
    </sheetView>
  </sheetViews>
  <sheetFormatPr defaultColWidth="9" defaultRowHeight="15.75"/>
  <cols>
    <col min="1" max="1" width="45.625" style="754" customWidth="1"/>
    <col min="2" max="2" width="11.625" style="754" customWidth="1"/>
    <col min="3" max="5" width="11.75" style="754" customWidth="1"/>
    <col min="6" max="10" width="11.625" style="754" customWidth="1"/>
    <col min="11" max="11" width="13.75" style="754" customWidth="1"/>
    <col min="12" max="12" width="11.625" style="754" customWidth="1"/>
    <col min="13" max="13" width="12.625" style="754" customWidth="1"/>
    <col min="14" max="14" width="13.625" style="754" customWidth="1"/>
    <col min="15" max="23" width="11.625" style="754" customWidth="1"/>
    <col min="24" max="24" width="12.625" style="754" customWidth="1"/>
    <col min="25" max="25" width="11.625" style="754" customWidth="1"/>
    <col min="26" max="26" width="12.625" style="754" customWidth="1"/>
    <col min="27" max="27" width="13.625" style="754" customWidth="1"/>
    <col min="28" max="256" width="9" style="754"/>
    <col min="257" max="257" width="45.625" style="754" customWidth="1"/>
    <col min="258" max="258" width="11.625" style="754" customWidth="1"/>
    <col min="259" max="261" width="11.75" style="754" customWidth="1"/>
    <col min="262" max="266" width="11.625" style="754" customWidth="1"/>
    <col min="267" max="267" width="13.75" style="754" customWidth="1"/>
    <col min="268" max="268" width="11.625" style="754" customWidth="1"/>
    <col min="269" max="269" width="12.625" style="754" customWidth="1"/>
    <col min="270" max="270" width="13.625" style="754" customWidth="1"/>
    <col min="271" max="279" width="11.625" style="754" customWidth="1"/>
    <col min="280" max="280" width="12.625" style="754" customWidth="1"/>
    <col min="281" max="281" width="11.625" style="754" customWidth="1"/>
    <col min="282" max="282" width="12.625" style="754" customWidth="1"/>
    <col min="283" max="283" width="13.625" style="754" customWidth="1"/>
    <col min="284" max="512" width="9" style="754"/>
    <col min="513" max="513" width="45.625" style="754" customWidth="1"/>
    <col min="514" max="514" width="11.625" style="754" customWidth="1"/>
    <col min="515" max="517" width="11.75" style="754" customWidth="1"/>
    <col min="518" max="522" width="11.625" style="754" customWidth="1"/>
    <col min="523" max="523" width="13.75" style="754" customWidth="1"/>
    <col min="524" max="524" width="11.625" style="754" customWidth="1"/>
    <col min="525" max="525" width="12.625" style="754" customWidth="1"/>
    <col min="526" max="526" width="13.625" style="754" customWidth="1"/>
    <col min="527" max="535" width="11.625" style="754" customWidth="1"/>
    <col min="536" max="536" width="12.625" style="754" customWidth="1"/>
    <col min="537" max="537" width="11.625" style="754" customWidth="1"/>
    <col min="538" max="538" width="12.625" style="754" customWidth="1"/>
    <col min="539" max="539" width="13.625" style="754" customWidth="1"/>
    <col min="540" max="768" width="9" style="754"/>
    <col min="769" max="769" width="45.625" style="754" customWidth="1"/>
    <col min="770" max="770" width="11.625" style="754" customWidth="1"/>
    <col min="771" max="773" width="11.75" style="754" customWidth="1"/>
    <col min="774" max="778" width="11.625" style="754" customWidth="1"/>
    <col min="779" max="779" width="13.75" style="754" customWidth="1"/>
    <col min="780" max="780" width="11.625" style="754" customWidth="1"/>
    <col min="781" max="781" width="12.625" style="754" customWidth="1"/>
    <col min="782" max="782" width="13.625" style="754" customWidth="1"/>
    <col min="783" max="791" width="11.625" style="754" customWidth="1"/>
    <col min="792" max="792" width="12.625" style="754" customWidth="1"/>
    <col min="793" max="793" width="11.625" style="754" customWidth="1"/>
    <col min="794" max="794" width="12.625" style="754" customWidth="1"/>
    <col min="795" max="795" width="13.625" style="754" customWidth="1"/>
    <col min="796" max="1024" width="9" style="754"/>
    <col min="1025" max="1025" width="45.625" style="754" customWidth="1"/>
    <col min="1026" max="1026" width="11.625" style="754" customWidth="1"/>
    <col min="1027" max="1029" width="11.75" style="754" customWidth="1"/>
    <col min="1030" max="1034" width="11.625" style="754" customWidth="1"/>
    <col min="1035" max="1035" width="13.75" style="754" customWidth="1"/>
    <col min="1036" max="1036" width="11.625" style="754" customWidth="1"/>
    <col min="1037" max="1037" width="12.625" style="754" customWidth="1"/>
    <col min="1038" max="1038" width="13.625" style="754" customWidth="1"/>
    <col min="1039" max="1047" width="11.625" style="754" customWidth="1"/>
    <col min="1048" max="1048" width="12.625" style="754" customWidth="1"/>
    <col min="1049" max="1049" width="11.625" style="754" customWidth="1"/>
    <col min="1050" max="1050" width="12.625" style="754" customWidth="1"/>
    <col min="1051" max="1051" width="13.625" style="754" customWidth="1"/>
    <col min="1052" max="1280" width="9" style="754"/>
    <col min="1281" max="1281" width="45.625" style="754" customWidth="1"/>
    <col min="1282" max="1282" width="11.625" style="754" customWidth="1"/>
    <col min="1283" max="1285" width="11.75" style="754" customWidth="1"/>
    <col min="1286" max="1290" width="11.625" style="754" customWidth="1"/>
    <col min="1291" max="1291" width="13.75" style="754" customWidth="1"/>
    <col min="1292" max="1292" width="11.625" style="754" customWidth="1"/>
    <col min="1293" max="1293" width="12.625" style="754" customWidth="1"/>
    <col min="1294" max="1294" width="13.625" style="754" customWidth="1"/>
    <col min="1295" max="1303" width="11.625" style="754" customWidth="1"/>
    <col min="1304" max="1304" width="12.625" style="754" customWidth="1"/>
    <col min="1305" max="1305" width="11.625" style="754" customWidth="1"/>
    <col min="1306" max="1306" width="12.625" style="754" customWidth="1"/>
    <col min="1307" max="1307" width="13.625" style="754" customWidth="1"/>
    <col min="1308" max="1536" width="9" style="754"/>
    <col min="1537" max="1537" width="45.625" style="754" customWidth="1"/>
    <col min="1538" max="1538" width="11.625" style="754" customWidth="1"/>
    <col min="1539" max="1541" width="11.75" style="754" customWidth="1"/>
    <col min="1542" max="1546" width="11.625" style="754" customWidth="1"/>
    <col min="1547" max="1547" width="13.75" style="754" customWidth="1"/>
    <col min="1548" max="1548" width="11.625" style="754" customWidth="1"/>
    <col min="1549" max="1549" width="12.625" style="754" customWidth="1"/>
    <col min="1550" max="1550" width="13.625" style="754" customWidth="1"/>
    <col min="1551" max="1559" width="11.625" style="754" customWidth="1"/>
    <col min="1560" max="1560" width="12.625" style="754" customWidth="1"/>
    <col min="1561" max="1561" width="11.625" style="754" customWidth="1"/>
    <col min="1562" max="1562" width="12.625" style="754" customWidth="1"/>
    <col min="1563" max="1563" width="13.625" style="754" customWidth="1"/>
    <col min="1564" max="1792" width="9" style="754"/>
    <col min="1793" max="1793" width="45.625" style="754" customWidth="1"/>
    <col min="1794" max="1794" width="11.625" style="754" customWidth="1"/>
    <col min="1795" max="1797" width="11.75" style="754" customWidth="1"/>
    <col min="1798" max="1802" width="11.625" style="754" customWidth="1"/>
    <col min="1803" max="1803" width="13.75" style="754" customWidth="1"/>
    <col min="1804" max="1804" width="11.625" style="754" customWidth="1"/>
    <col min="1805" max="1805" width="12.625" style="754" customWidth="1"/>
    <col min="1806" max="1806" width="13.625" style="754" customWidth="1"/>
    <col min="1807" max="1815" width="11.625" style="754" customWidth="1"/>
    <col min="1816" max="1816" width="12.625" style="754" customWidth="1"/>
    <col min="1817" max="1817" width="11.625" style="754" customWidth="1"/>
    <col min="1818" max="1818" width="12.625" style="754" customWidth="1"/>
    <col min="1819" max="1819" width="13.625" style="754" customWidth="1"/>
    <col min="1820" max="2048" width="9" style="754"/>
    <col min="2049" max="2049" width="45.625" style="754" customWidth="1"/>
    <col min="2050" max="2050" width="11.625" style="754" customWidth="1"/>
    <col min="2051" max="2053" width="11.75" style="754" customWidth="1"/>
    <col min="2054" max="2058" width="11.625" style="754" customWidth="1"/>
    <col min="2059" max="2059" width="13.75" style="754" customWidth="1"/>
    <col min="2060" max="2060" width="11.625" style="754" customWidth="1"/>
    <col min="2061" max="2061" width="12.625" style="754" customWidth="1"/>
    <col min="2062" max="2062" width="13.625" style="754" customWidth="1"/>
    <col min="2063" max="2071" width="11.625" style="754" customWidth="1"/>
    <col min="2072" max="2072" width="12.625" style="754" customWidth="1"/>
    <col min="2073" max="2073" width="11.625" style="754" customWidth="1"/>
    <col min="2074" max="2074" width="12.625" style="754" customWidth="1"/>
    <col min="2075" max="2075" width="13.625" style="754" customWidth="1"/>
    <col min="2076" max="2304" width="9" style="754"/>
    <col min="2305" max="2305" width="45.625" style="754" customWidth="1"/>
    <col min="2306" max="2306" width="11.625" style="754" customWidth="1"/>
    <col min="2307" max="2309" width="11.75" style="754" customWidth="1"/>
    <col min="2310" max="2314" width="11.625" style="754" customWidth="1"/>
    <col min="2315" max="2315" width="13.75" style="754" customWidth="1"/>
    <col min="2316" max="2316" width="11.625" style="754" customWidth="1"/>
    <col min="2317" max="2317" width="12.625" style="754" customWidth="1"/>
    <col min="2318" max="2318" width="13.625" style="754" customWidth="1"/>
    <col min="2319" max="2327" width="11.625" style="754" customWidth="1"/>
    <col min="2328" max="2328" width="12.625" style="754" customWidth="1"/>
    <col min="2329" max="2329" width="11.625" style="754" customWidth="1"/>
    <col min="2330" max="2330" width="12.625" style="754" customWidth="1"/>
    <col min="2331" max="2331" width="13.625" style="754" customWidth="1"/>
    <col min="2332" max="2560" width="9" style="754"/>
    <col min="2561" max="2561" width="45.625" style="754" customWidth="1"/>
    <col min="2562" max="2562" width="11.625" style="754" customWidth="1"/>
    <col min="2563" max="2565" width="11.75" style="754" customWidth="1"/>
    <col min="2566" max="2570" width="11.625" style="754" customWidth="1"/>
    <col min="2571" max="2571" width="13.75" style="754" customWidth="1"/>
    <col min="2572" max="2572" width="11.625" style="754" customWidth="1"/>
    <col min="2573" max="2573" width="12.625" style="754" customWidth="1"/>
    <col min="2574" max="2574" width="13.625" style="754" customWidth="1"/>
    <col min="2575" max="2583" width="11.625" style="754" customWidth="1"/>
    <col min="2584" max="2584" width="12.625" style="754" customWidth="1"/>
    <col min="2585" max="2585" width="11.625" style="754" customWidth="1"/>
    <col min="2586" max="2586" width="12.625" style="754" customWidth="1"/>
    <col min="2587" max="2587" width="13.625" style="754" customWidth="1"/>
    <col min="2588" max="2816" width="9" style="754"/>
    <col min="2817" max="2817" width="45.625" style="754" customWidth="1"/>
    <col min="2818" max="2818" width="11.625" style="754" customWidth="1"/>
    <col min="2819" max="2821" width="11.75" style="754" customWidth="1"/>
    <col min="2822" max="2826" width="11.625" style="754" customWidth="1"/>
    <col min="2827" max="2827" width="13.75" style="754" customWidth="1"/>
    <col min="2828" max="2828" width="11.625" style="754" customWidth="1"/>
    <col min="2829" max="2829" width="12.625" style="754" customWidth="1"/>
    <col min="2830" max="2830" width="13.625" style="754" customWidth="1"/>
    <col min="2831" max="2839" width="11.625" style="754" customWidth="1"/>
    <col min="2840" max="2840" width="12.625" style="754" customWidth="1"/>
    <col min="2841" max="2841" width="11.625" style="754" customWidth="1"/>
    <col min="2842" max="2842" width="12.625" style="754" customWidth="1"/>
    <col min="2843" max="2843" width="13.625" style="754" customWidth="1"/>
    <col min="2844" max="3072" width="9" style="754"/>
    <col min="3073" max="3073" width="45.625" style="754" customWidth="1"/>
    <col min="3074" max="3074" width="11.625" style="754" customWidth="1"/>
    <col min="3075" max="3077" width="11.75" style="754" customWidth="1"/>
    <col min="3078" max="3082" width="11.625" style="754" customWidth="1"/>
    <col min="3083" max="3083" width="13.75" style="754" customWidth="1"/>
    <col min="3084" max="3084" width="11.625" style="754" customWidth="1"/>
    <col min="3085" max="3085" width="12.625" style="754" customWidth="1"/>
    <col min="3086" max="3086" width="13.625" style="754" customWidth="1"/>
    <col min="3087" max="3095" width="11.625" style="754" customWidth="1"/>
    <col min="3096" max="3096" width="12.625" style="754" customWidth="1"/>
    <col min="3097" max="3097" width="11.625" style="754" customWidth="1"/>
    <col min="3098" max="3098" width="12.625" style="754" customWidth="1"/>
    <col min="3099" max="3099" width="13.625" style="754" customWidth="1"/>
    <col min="3100" max="3328" width="9" style="754"/>
    <col min="3329" max="3329" width="45.625" style="754" customWidth="1"/>
    <col min="3330" max="3330" width="11.625" style="754" customWidth="1"/>
    <col min="3331" max="3333" width="11.75" style="754" customWidth="1"/>
    <col min="3334" max="3338" width="11.625" style="754" customWidth="1"/>
    <col min="3339" max="3339" width="13.75" style="754" customWidth="1"/>
    <col min="3340" max="3340" width="11.625" style="754" customWidth="1"/>
    <col min="3341" max="3341" width="12.625" style="754" customWidth="1"/>
    <col min="3342" max="3342" width="13.625" style="754" customWidth="1"/>
    <col min="3343" max="3351" width="11.625" style="754" customWidth="1"/>
    <col min="3352" max="3352" width="12.625" style="754" customWidth="1"/>
    <col min="3353" max="3353" width="11.625" style="754" customWidth="1"/>
    <col min="3354" max="3354" width="12.625" style="754" customWidth="1"/>
    <col min="3355" max="3355" width="13.625" style="754" customWidth="1"/>
    <col min="3356" max="3584" width="9" style="754"/>
    <col min="3585" max="3585" width="45.625" style="754" customWidth="1"/>
    <col min="3586" max="3586" width="11.625" style="754" customWidth="1"/>
    <col min="3587" max="3589" width="11.75" style="754" customWidth="1"/>
    <col min="3590" max="3594" width="11.625" style="754" customWidth="1"/>
    <col min="3595" max="3595" width="13.75" style="754" customWidth="1"/>
    <col min="3596" max="3596" width="11.625" style="754" customWidth="1"/>
    <col min="3597" max="3597" width="12.625" style="754" customWidth="1"/>
    <col min="3598" max="3598" width="13.625" style="754" customWidth="1"/>
    <col min="3599" max="3607" width="11.625" style="754" customWidth="1"/>
    <col min="3608" max="3608" width="12.625" style="754" customWidth="1"/>
    <col min="3609" max="3609" width="11.625" style="754" customWidth="1"/>
    <col min="3610" max="3610" width="12.625" style="754" customWidth="1"/>
    <col min="3611" max="3611" width="13.625" style="754" customWidth="1"/>
    <col min="3612" max="3840" width="9" style="754"/>
    <col min="3841" max="3841" width="45.625" style="754" customWidth="1"/>
    <col min="3842" max="3842" width="11.625" style="754" customWidth="1"/>
    <col min="3843" max="3845" width="11.75" style="754" customWidth="1"/>
    <col min="3846" max="3850" width="11.625" style="754" customWidth="1"/>
    <col min="3851" max="3851" width="13.75" style="754" customWidth="1"/>
    <col min="3852" max="3852" width="11.625" style="754" customWidth="1"/>
    <col min="3853" max="3853" width="12.625" style="754" customWidth="1"/>
    <col min="3854" max="3854" width="13.625" style="754" customWidth="1"/>
    <col min="3855" max="3863" width="11.625" style="754" customWidth="1"/>
    <col min="3864" max="3864" width="12.625" style="754" customWidth="1"/>
    <col min="3865" max="3865" width="11.625" style="754" customWidth="1"/>
    <col min="3866" max="3866" width="12.625" style="754" customWidth="1"/>
    <col min="3867" max="3867" width="13.625" style="754" customWidth="1"/>
    <col min="3868" max="4096" width="9" style="754"/>
    <col min="4097" max="4097" width="45.625" style="754" customWidth="1"/>
    <col min="4098" max="4098" width="11.625" style="754" customWidth="1"/>
    <col min="4099" max="4101" width="11.75" style="754" customWidth="1"/>
    <col min="4102" max="4106" width="11.625" style="754" customWidth="1"/>
    <col min="4107" max="4107" width="13.75" style="754" customWidth="1"/>
    <col min="4108" max="4108" width="11.625" style="754" customWidth="1"/>
    <col min="4109" max="4109" width="12.625" style="754" customWidth="1"/>
    <col min="4110" max="4110" width="13.625" style="754" customWidth="1"/>
    <col min="4111" max="4119" width="11.625" style="754" customWidth="1"/>
    <col min="4120" max="4120" width="12.625" style="754" customWidth="1"/>
    <col min="4121" max="4121" width="11.625" style="754" customWidth="1"/>
    <col min="4122" max="4122" width="12.625" style="754" customWidth="1"/>
    <col min="4123" max="4123" width="13.625" style="754" customWidth="1"/>
    <col min="4124" max="4352" width="9" style="754"/>
    <col min="4353" max="4353" width="45.625" style="754" customWidth="1"/>
    <col min="4354" max="4354" width="11.625" style="754" customWidth="1"/>
    <col min="4355" max="4357" width="11.75" style="754" customWidth="1"/>
    <col min="4358" max="4362" width="11.625" style="754" customWidth="1"/>
    <col min="4363" max="4363" width="13.75" style="754" customWidth="1"/>
    <col min="4364" max="4364" width="11.625" style="754" customWidth="1"/>
    <col min="4365" max="4365" width="12.625" style="754" customWidth="1"/>
    <col min="4366" max="4366" width="13.625" style="754" customWidth="1"/>
    <col min="4367" max="4375" width="11.625" style="754" customWidth="1"/>
    <col min="4376" max="4376" width="12.625" style="754" customWidth="1"/>
    <col min="4377" max="4377" width="11.625" style="754" customWidth="1"/>
    <col min="4378" max="4378" width="12.625" style="754" customWidth="1"/>
    <col min="4379" max="4379" width="13.625" style="754" customWidth="1"/>
    <col min="4380" max="4608" width="9" style="754"/>
    <col min="4609" max="4609" width="45.625" style="754" customWidth="1"/>
    <col min="4610" max="4610" width="11.625" style="754" customWidth="1"/>
    <col min="4611" max="4613" width="11.75" style="754" customWidth="1"/>
    <col min="4614" max="4618" width="11.625" style="754" customWidth="1"/>
    <col min="4619" max="4619" width="13.75" style="754" customWidth="1"/>
    <col min="4620" max="4620" width="11.625" style="754" customWidth="1"/>
    <col min="4621" max="4621" width="12.625" style="754" customWidth="1"/>
    <col min="4622" max="4622" width="13.625" style="754" customWidth="1"/>
    <col min="4623" max="4631" width="11.625" style="754" customWidth="1"/>
    <col min="4632" max="4632" width="12.625" style="754" customWidth="1"/>
    <col min="4633" max="4633" width="11.625" style="754" customWidth="1"/>
    <col min="4634" max="4634" width="12.625" style="754" customWidth="1"/>
    <col min="4635" max="4635" width="13.625" style="754" customWidth="1"/>
    <col min="4636" max="4864" width="9" style="754"/>
    <col min="4865" max="4865" width="45.625" style="754" customWidth="1"/>
    <col min="4866" max="4866" width="11.625" style="754" customWidth="1"/>
    <col min="4867" max="4869" width="11.75" style="754" customWidth="1"/>
    <col min="4870" max="4874" width="11.625" style="754" customWidth="1"/>
    <col min="4875" max="4875" width="13.75" style="754" customWidth="1"/>
    <col min="4876" max="4876" width="11.625" style="754" customWidth="1"/>
    <col min="4877" max="4877" width="12.625" style="754" customWidth="1"/>
    <col min="4878" max="4878" width="13.625" style="754" customWidth="1"/>
    <col min="4879" max="4887" width="11.625" style="754" customWidth="1"/>
    <col min="4888" max="4888" width="12.625" style="754" customWidth="1"/>
    <col min="4889" max="4889" width="11.625" style="754" customWidth="1"/>
    <col min="4890" max="4890" width="12.625" style="754" customWidth="1"/>
    <col min="4891" max="4891" width="13.625" style="754" customWidth="1"/>
    <col min="4892" max="5120" width="9" style="754"/>
    <col min="5121" max="5121" width="45.625" style="754" customWidth="1"/>
    <col min="5122" max="5122" width="11.625" style="754" customWidth="1"/>
    <col min="5123" max="5125" width="11.75" style="754" customWidth="1"/>
    <col min="5126" max="5130" width="11.625" style="754" customWidth="1"/>
    <col min="5131" max="5131" width="13.75" style="754" customWidth="1"/>
    <col min="5132" max="5132" width="11.625" style="754" customWidth="1"/>
    <col min="5133" max="5133" width="12.625" style="754" customWidth="1"/>
    <col min="5134" max="5134" width="13.625" style="754" customWidth="1"/>
    <col min="5135" max="5143" width="11.625" style="754" customWidth="1"/>
    <col min="5144" max="5144" width="12.625" style="754" customWidth="1"/>
    <col min="5145" max="5145" width="11.625" style="754" customWidth="1"/>
    <col min="5146" max="5146" width="12.625" style="754" customWidth="1"/>
    <col min="5147" max="5147" width="13.625" style="754" customWidth="1"/>
    <col min="5148" max="5376" width="9" style="754"/>
    <col min="5377" max="5377" width="45.625" style="754" customWidth="1"/>
    <col min="5378" max="5378" width="11.625" style="754" customWidth="1"/>
    <col min="5379" max="5381" width="11.75" style="754" customWidth="1"/>
    <col min="5382" max="5386" width="11.625" style="754" customWidth="1"/>
    <col min="5387" max="5387" width="13.75" style="754" customWidth="1"/>
    <col min="5388" max="5388" width="11.625" style="754" customWidth="1"/>
    <col min="5389" max="5389" width="12.625" style="754" customWidth="1"/>
    <col min="5390" max="5390" width="13.625" style="754" customWidth="1"/>
    <col min="5391" max="5399" width="11.625" style="754" customWidth="1"/>
    <col min="5400" max="5400" width="12.625" style="754" customWidth="1"/>
    <col min="5401" max="5401" width="11.625" style="754" customWidth="1"/>
    <col min="5402" max="5402" width="12.625" style="754" customWidth="1"/>
    <col min="5403" max="5403" width="13.625" style="754" customWidth="1"/>
    <col min="5404" max="5632" width="9" style="754"/>
    <col min="5633" max="5633" width="45.625" style="754" customWidth="1"/>
    <col min="5634" max="5634" width="11.625" style="754" customWidth="1"/>
    <col min="5635" max="5637" width="11.75" style="754" customWidth="1"/>
    <col min="5638" max="5642" width="11.625" style="754" customWidth="1"/>
    <col min="5643" max="5643" width="13.75" style="754" customWidth="1"/>
    <col min="5644" max="5644" width="11.625" style="754" customWidth="1"/>
    <col min="5645" max="5645" width="12.625" style="754" customWidth="1"/>
    <col min="5646" max="5646" width="13.625" style="754" customWidth="1"/>
    <col min="5647" max="5655" width="11.625" style="754" customWidth="1"/>
    <col min="5656" max="5656" width="12.625" style="754" customWidth="1"/>
    <col min="5657" max="5657" width="11.625" style="754" customWidth="1"/>
    <col min="5658" max="5658" width="12.625" style="754" customWidth="1"/>
    <col min="5659" max="5659" width="13.625" style="754" customWidth="1"/>
    <col min="5660" max="5888" width="9" style="754"/>
    <col min="5889" max="5889" width="45.625" style="754" customWidth="1"/>
    <col min="5890" max="5890" width="11.625" style="754" customWidth="1"/>
    <col min="5891" max="5893" width="11.75" style="754" customWidth="1"/>
    <col min="5894" max="5898" width="11.625" style="754" customWidth="1"/>
    <col min="5899" max="5899" width="13.75" style="754" customWidth="1"/>
    <col min="5900" max="5900" width="11.625" style="754" customWidth="1"/>
    <col min="5901" max="5901" width="12.625" style="754" customWidth="1"/>
    <col min="5902" max="5902" width="13.625" style="754" customWidth="1"/>
    <col min="5903" max="5911" width="11.625" style="754" customWidth="1"/>
    <col min="5912" max="5912" width="12.625" style="754" customWidth="1"/>
    <col min="5913" max="5913" width="11.625" style="754" customWidth="1"/>
    <col min="5914" max="5914" width="12.625" style="754" customWidth="1"/>
    <col min="5915" max="5915" width="13.625" style="754" customWidth="1"/>
    <col min="5916" max="6144" width="9" style="754"/>
    <col min="6145" max="6145" width="45.625" style="754" customWidth="1"/>
    <col min="6146" max="6146" width="11.625" style="754" customWidth="1"/>
    <col min="6147" max="6149" width="11.75" style="754" customWidth="1"/>
    <col min="6150" max="6154" width="11.625" style="754" customWidth="1"/>
    <col min="6155" max="6155" width="13.75" style="754" customWidth="1"/>
    <col min="6156" max="6156" width="11.625" style="754" customWidth="1"/>
    <col min="6157" max="6157" width="12.625" style="754" customWidth="1"/>
    <col min="6158" max="6158" width="13.625" style="754" customWidth="1"/>
    <col min="6159" max="6167" width="11.625" style="754" customWidth="1"/>
    <col min="6168" max="6168" width="12.625" style="754" customWidth="1"/>
    <col min="6169" max="6169" width="11.625" style="754" customWidth="1"/>
    <col min="6170" max="6170" width="12.625" style="754" customWidth="1"/>
    <col min="6171" max="6171" width="13.625" style="754" customWidth="1"/>
    <col min="6172" max="6400" width="9" style="754"/>
    <col min="6401" max="6401" width="45.625" style="754" customWidth="1"/>
    <col min="6402" max="6402" width="11.625" style="754" customWidth="1"/>
    <col min="6403" max="6405" width="11.75" style="754" customWidth="1"/>
    <col min="6406" max="6410" width="11.625" style="754" customWidth="1"/>
    <col min="6411" max="6411" width="13.75" style="754" customWidth="1"/>
    <col min="6412" max="6412" width="11.625" style="754" customWidth="1"/>
    <col min="6413" max="6413" width="12.625" style="754" customWidth="1"/>
    <col min="6414" max="6414" width="13.625" style="754" customWidth="1"/>
    <col min="6415" max="6423" width="11.625" style="754" customWidth="1"/>
    <col min="6424" max="6424" width="12.625" style="754" customWidth="1"/>
    <col min="6425" max="6425" width="11.625" style="754" customWidth="1"/>
    <col min="6426" max="6426" width="12.625" style="754" customWidth="1"/>
    <col min="6427" max="6427" width="13.625" style="754" customWidth="1"/>
    <col min="6428" max="6656" width="9" style="754"/>
    <col min="6657" max="6657" width="45.625" style="754" customWidth="1"/>
    <col min="6658" max="6658" width="11.625" style="754" customWidth="1"/>
    <col min="6659" max="6661" width="11.75" style="754" customWidth="1"/>
    <col min="6662" max="6666" width="11.625" style="754" customWidth="1"/>
    <col min="6667" max="6667" width="13.75" style="754" customWidth="1"/>
    <col min="6668" max="6668" width="11.625" style="754" customWidth="1"/>
    <col min="6669" max="6669" width="12.625" style="754" customWidth="1"/>
    <col min="6670" max="6670" width="13.625" style="754" customWidth="1"/>
    <col min="6671" max="6679" width="11.625" style="754" customWidth="1"/>
    <col min="6680" max="6680" width="12.625" style="754" customWidth="1"/>
    <col min="6681" max="6681" width="11.625" style="754" customWidth="1"/>
    <col min="6682" max="6682" width="12.625" style="754" customWidth="1"/>
    <col min="6683" max="6683" width="13.625" style="754" customWidth="1"/>
    <col min="6684" max="6912" width="9" style="754"/>
    <col min="6913" max="6913" width="45.625" style="754" customWidth="1"/>
    <col min="6914" max="6914" width="11.625" style="754" customWidth="1"/>
    <col min="6915" max="6917" width="11.75" style="754" customWidth="1"/>
    <col min="6918" max="6922" width="11.625" style="754" customWidth="1"/>
    <col min="6923" max="6923" width="13.75" style="754" customWidth="1"/>
    <col min="6924" max="6924" width="11.625" style="754" customWidth="1"/>
    <col min="6925" max="6925" width="12.625" style="754" customWidth="1"/>
    <col min="6926" max="6926" width="13.625" style="754" customWidth="1"/>
    <col min="6927" max="6935" width="11.625" style="754" customWidth="1"/>
    <col min="6936" max="6936" width="12.625" style="754" customWidth="1"/>
    <col min="6937" max="6937" width="11.625" style="754" customWidth="1"/>
    <col min="6938" max="6938" width="12.625" style="754" customWidth="1"/>
    <col min="6939" max="6939" width="13.625" style="754" customWidth="1"/>
    <col min="6940" max="7168" width="9" style="754"/>
    <col min="7169" max="7169" width="45.625" style="754" customWidth="1"/>
    <col min="7170" max="7170" width="11.625" style="754" customWidth="1"/>
    <col min="7171" max="7173" width="11.75" style="754" customWidth="1"/>
    <col min="7174" max="7178" width="11.625" style="754" customWidth="1"/>
    <col min="7179" max="7179" width="13.75" style="754" customWidth="1"/>
    <col min="7180" max="7180" width="11.625" style="754" customWidth="1"/>
    <col min="7181" max="7181" width="12.625" style="754" customWidth="1"/>
    <col min="7182" max="7182" width="13.625" style="754" customWidth="1"/>
    <col min="7183" max="7191" width="11.625" style="754" customWidth="1"/>
    <col min="7192" max="7192" width="12.625" style="754" customWidth="1"/>
    <col min="7193" max="7193" width="11.625" style="754" customWidth="1"/>
    <col min="7194" max="7194" width="12.625" style="754" customWidth="1"/>
    <col min="7195" max="7195" width="13.625" style="754" customWidth="1"/>
    <col min="7196" max="7424" width="9" style="754"/>
    <col min="7425" max="7425" width="45.625" style="754" customWidth="1"/>
    <col min="7426" max="7426" width="11.625" style="754" customWidth="1"/>
    <col min="7427" max="7429" width="11.75" style="754" customWidth="1"/>
    <col min="7430" max="7434" width="11.625" style="754" customWidth="1"/>
    <col min="7435" max="7435" width="13.75" style="754" customWidth="1"/>
    <col min="7436" max="7436" width="11.625" style="754" customWidth="1"/>
    <col min="7437" max="7437" width="12.625" style="754" customWidth="1"/>
    <col min="7438" max="7438" width="13.625" style="754" customWidth="1"/>
    <col min="7439" max="7447" width="11.625" style="754" customWidth="1"/>
    <col min="7448" max="7448" width="12.625" style="754" customWidth="1"/>
    <col min="7449" max="7449" width="11.625" style="754" customWidth="1"/>
    <col min="7450" max="7450" width="12.625" style="754" customWidth="1"/>
    <col min="7451" max="7451" width="13.625" style="754" customWidth="1"/>
    <col min="7452" max="7680" width="9" style="754"/>
    <col min="7681" max="7681" width="45.625" style="754" customWidth="1"/>
    <col min="7682" max="7682" width="11.625" style="754" customWidth="1"/>
    <col min="7683" max="7685" width="11.75" style="754" customWidth="1"/>
    <col min="7686" max="7690" width="11.625" style="754" customWidth="1"/>
    <col min="7691" max="7691" width="13.75" style="754" customWidth="1"/>
    <col min="7692" max="7692" width="11.625" style="754" customWidth="1"/>
    <col min="7693" max="7693" width="12.625" style="754" customWidth="1"/>
    <col min="7694" max="7694" width="13.625" style="754" customWidth="1"/>
    <col min="7695" max="7703" width="11.625" style="754" customWidth="1"/>
    <col min="7704" max="7704" width="12.625" style="754" customWidth="1"/>
    <col min="7705" max="7705" width="11.625" style="754" customWidth="1"/>
    <col min="7706" max="7706" width="12.625" style="754" customWidth="1"/>
    <col min="7707" max="7707" width="13.625" style="754" customWidth="1"/>
    <col min="7708" max="7936" width="9" style="754"/>
    <col min="7937" max="7937" width="45.625" style="754" customWidth="1"/>
    <col min="7938" max="7938" width="11.625" style="754" customWidth="1"/>
    <col min="7939" max="7941" width="11.75" style="754" customWidth="1"/>
    <col min="7942" max="7946" width="11.625" style="754" customWidth="1"/>
    <col min="7947" max="7947" width="13.75" style="754" customWidth="1"/>
    <col min="7948" max="7948" width="11.625" style="754" customWidth="1"/>
    <col min="7949" max="7949" width="12.625" style="754" customWidth="1"/>
    <col min="7950" max="7950" width="13.625" style="754" customWidth="1"/>
    <col min="7951" max="7959" width="11.625" style="754" customWidth="1"/>
    <col min="7960" max="7960" width="12.625" style="754" customWidth="1"/>
    <col min="7961" max="7961" width="11.625" style="754" customWidth="1"/>
    <col min="7962" max="7962" width="12.625" style="754" customWidth="1"/>
    <col min="7963" max="7963" width="13.625" style="754" customWidth="1"/>
    <col min="7964" max="8192" width="9" style="754"/>
    <col min="8193" max="8193" width="45.625" style="754" customWidth="1"/>
    <col min="8194" max="8194" width="11.625" style="754" customWidth="1"/>
    <col min="8195" max="8197" width="11.75" style="754" customWidth="1"/>
    <col min="8198" max="8202" width="11.625" style="754" customWidth="1"/>
    <col min="8203" max="8203" width="13.75" style="754" customWidth="1"/>
    <col min="8204" max="8204" width="11.625" style="754" customWidth="1"/>
    <col min="8205" max="8205" width="12.625" style="754" customWidth="1"/>
    <col min="8206" max="8206" width="13.625" style="754" customWidth="1"/>
    <col min="8207" max="8215" width="11.625" style="754" customWidth="1"/>
    <col min="8216" max="8216" width="12.625" style="754" customWidth="1"/>
    <col min="8217" max="8217" width="11.625" style="754" customWidth="1"/>
    <col min="8218" max="8218" width="12.625" style="754" customWidth="1"/>
    <col min="8219" max="8219" width="13.625" style="754" customWidth="1"/>
    <col min="8220" max="8448" width="9" style="754"/>
    <col min="8449" max="8449" width="45.625" style="754" customWidth="1"/>
    <col min="8450" max="8450" width="11.625" style="754" customWidth="1"/>
    <col min="8451" max="8453" width="11.75" style="754" customWidth="1"/>
    <col min="8454" max="8458" width="11.625" style="754" customWidth="1"/>
    <col min="8459" max="8459" width="13.75" style="754" customWidth="1"/>
    <col min="8460" max="8460" width="11.625" style="754" customWidth="1"/>
    <col min="8461" max="8461" width="12.625" style="754" customWidth="1"/>
    <col min="8462" max="8462" width="13.625" style="754" customWidth="1"/>
    <col min="8463" max="8471" width="11.625" style="754" customWidth="1"/>
    <col min="8472" max="8472" width="12.625" style="754" customWidth="1"/>
    <col min="8473" max="8473" width="11.625" style="754" customWidth="1"/>
    <col min="8474" max="8474" width="12.625" style="754" customWidth="1"/>
    <col min="8475" max="8475" width="13.625" style="754" customWidth="1"/>
    <col min="8476" max="8704" width="9" style="754"/>
    <col min="8705" max="8705" width="45.625" style="754" customWidth="1"/>
    <col min="8706" max="8706" width="11.625" style="754" customWidth="1"/>
    <col min="8707" max="8709" width="11.75" style="754" customWidth="1"/>
    <col min="8710" max="8714" width="11.625" style="754" customWidth="1"/>
    <col min="8715" max="8715" width="13.75" style="754" customWidth="1"/>
    <col min="8716" max="8716" width="11.625" style="754" customWidth="1"/>
    <col min="8717" max="8717" width="12.625" style="754" customWidth="1"/>
    <col min="8718" max="8718" width="13.625" style="754" customWidth="1"/>
    <col min="8719" max="8727" width="11.625" style="754" customWidth="1"/>
    <col min="8728" max="8728" width="12.625" style="754" customWidth="1"/>
    <col min="8729" max="8729" width="11.625" style="754" customWidth="1"/>
    <col min="8730" max="8730" width="12.625" style="754" customWidth="1"/>
    <col min="8731" max="8731" width="13.625" style="754" customWidth="1"/>
    <col min="8732" max="8960" width="9" style="754"/>
    <col min="8961" max="8961" width="45.625" style="754" customWidth="1"/>
    <col min="8962" max="8962" width="11.625" style="754" customWidth="1"/>
    <col min="8963" max="8965" width="11.75" style="754" customWidth="1"/>
    <col min="8966" max="8970" width="11.625" style="754" customWidth="1"/>
    <col min="8971" max="8971" width="13.75" style="754" customWidth="1"/>
    <col min="8972" max="8972" width="11.625" style="754" customWidth="1"/>
    <col min="8973" max="8973" width="12.625" style="754" customWidth="1"/>
    <col min="8974" max="8974" width="13.625" style="754" customWidth="1"/>
    <col min="8975" max="8983" width="11.625" style="754" customWidth="1"/>
    <col min="8984" max="8984" width="12.625" style="754" customWidth="1"/>
    <col min="8985" max="8985" width="11.625" style="754" customWidth="1"/>
    <col min="8986" max="8986" width="12.625" style="754" customWidth="1"/>
    <col min="8987" max="8987" width="13.625" style="754" customWidth="1"/>
    <col min="8988" max="9216" width="9" style="754"/>
    <col min="9217" max="9217" width="45.625" style="754" customWidth="1"/>
    <col min="9218" max="9218" width="11.625" style="754" customWidth="1"/>
    <col min="9219" max="9221" width="11.75" style="754" customWidth="1"/>
    <col min="9222" max="9226" width="11.625" style="754" customWidth="1"/>
    <col min="9227" max="9227" width="13.75" style="754" customWidth="1"/>
    <col min="9228" max="9228" width="11.625" style="754" customWidth="1"/>
    <col min="9229" max="9229" width="12.625" style="754" customWidth="1"/>
    <col min="9230" max="9230" width="13.625" style="754" customWidth="1"/>
    <col min="9231" max="9239" width="11.625" style="754" customWidth="1"/>
    <col min="9240" max="9240" width="12.625" style="754" customWidth="1"/>
    <col min="9241" max="9241" width="11.625" style="754" customWidth="1"/>
    <col min="9242" max="9242" width="12.625" style="754" customWidth="1"/>
    <col min="9243" max="9243" width="13.625" style="754" customWidth="1"/>
    <col min="9244" max="9472" width="9" style="754"/>
    <col min="9473" max="9473" width="45.625" style="754" customWidth="1"/>
    <col min="9474" max="9474" width="11.625" style="754" customWidth="1"/>
    <col min="9475" max="9477" width="11.75" style="754" customWidth="1"/>
    <col min="9478" max="9482" width="11.625" style="754" customWidth="1"/>
    <col min="9483" max="9483" width="13.75" style="754" customWidth="1"/>
    <col min="9484" max="9484" width="11.625" style="754" customWidth="1"/>
    <col min="9485" max="9485" width="12.625" style="754" customWidth="1"/>
    <col min="9486" max="9486" width="13.625" style="754" customWidth="1"/>
    <col min="9487" max="9495" width="11.625" style="754" customWidth="1"/>
    <col min="9496" max="9496" width="12.625" style="754" customWidth="1"/>
    <col min="9497" max="9497" width="11.625" style="754" customWidth="1"/>
    <col min="9498" max="9498" width="12.625" style="754" customWidth="1"/>
    <col min="9499" max="9499" width="13.625" style="754" customWidth="1"/>
    <col min="9500" max="9728" width="9" style="754"/>
    <col min="9729" max="9729" width="45.625" style="754" customWidth="1"/>
    <col min="9730" max="9730" width="11.625" style="754" customWidth="1"/>
    <col min="9731" max="9733" width="11.75" style="754" customWidth="1"/>
    <col min="9734" max="9738" width="11.625" style="754" customWidth="1"/>
    <col min="9739" max="9739" width="13.75" style="754" customWidth="1"/>
    <col min="9740" max="9740" width="11.625" style="754" customWidth="1"/>
    <col min="9741" max="9741" width="12.625" style="754" customWidth="1"/>
    <col min="9742" max="9742" width="13.625" style="754" customWidth="1"/>
    <col min="9743" max="9751" width="11.625" style="754" customWidth="1"/>
    <col min="9752" max="9752" width="12.625" style="754" customWidth="1"/>
    <col min="9753" max="9753" width="11.625" style="754" customWidth="1"/>
    <col min="9754" max="9754" width="12.625" style="754" customWidth="1"/>
    <col min="9755" max="9755" width="13.625" style="754" customWidth="1"/>
    <col min="9756" max="9984" width="9" style="754"/>
    <col min="9985" max="9985" width="45.625" style="754" customWidth="1"/>
    <col min="9986" max="9986" width="11.625" style="754" customWidth="1"/>
    <col min="9987" max="9989" width="11.75" style="754" customWidth="1"/>
    <col min="9990" max="9994" width="11.625" style="754" customWidth="1"/>
    <col min="9995" max="9995" width="13.75" style="754" customWidth="1"/>
    <col min="9996" max="9996" width="11.625" style="754" customWidth="1"/>
    <col min="9997" max="9997" width="12.625" style="754" customWidth="1"/>
    <col min="9998" max="9998" width="13.625" style="754" customWidth="1"/>
    <col min="9999" max="10007" width="11.625" style="754" customWidth="1"/>
    <col min="10008" max="10008" width="12.625" style="754" customWidth="1"/>
    <col min="10009" max="10009" width="11.625" style="754" customWidth="1"/>
    <col min="10010" max="10010" width="12.625" style="754" customWidth="1"/>
    <col min="10011" max="10011" width="13.625" style="754" customWidth="1"/>
    <col min="10012" max="10240" width="9" style="754"/>
    <col min="10241" max="10241" width="45.625" style="754" customWidth="1"/>
    <col min="10242" max="10242" width="11.625" style="754" customWidth="1"/>
    <col min="10243" max="10245" width="11.75" style="754" customWidth="1"/>
    <col min="10246" max="10250" width="11.625" style="754" customWidth="1"/>
    <col min="10251" max="10251" width="13.75" style="754" customWidth="1"/>
    <col min="10252" max="10252" width="11.625" style="754" customWidth="1"/>
    <col min="10253" max="10253" width="12.625" style="754" customWidth="1"/>
    <col min="10254" max="10254" width="13.625" style="754" customWidth="1"/>
    <col min="10255" max="10263" width="11.625" style="754" customWidth="1"/>
    <col min="10264" max="10264" width="12.625" style="754" customWidth="1"/>
    <col min="10265" max="10265" width="11.625" style="754" customWidth="1"/>
    <col min="10266" max="10266" width="12.625" style="754" customWidth="1"/>
    <col min="10267" max="10267" width="13.625" style="754" customWidth="1"/>
    <col min="10268" max="10496" width="9" style="754"/>
    <col min="10497" max="10497" width="45.625" style="754" customWidth="1"/>
    <col min="10498" max="10498" width="11.625" style="754" customWidth="1"/>
    <col min="10499" max="10501" width="11.75" style="754" customWidth="1"/>
    <col min="10502" max="10506" width="11.625" style="754" customWidth="1"/>
    <col min="10507" max="10507" width="13.75" style="754" customWidth="1"/>
    <col min="10508" max="10508" width="11.625" style="754" customWidth="1"/>
    <col min="10509" max="10509" width="12.625" style="754" customWidth="1"/>
    <col min="10510" max="10510" width="13.625" style="754" customWidth="1"/>
    <col min="10511" max="10519" width="11.625" style="754" customWidth="1"/>
    <col min="10520" max="10520" width="12.625" style="754" customWidth="1"/>
    <col min="10521" max="10521" width="11.625" style="754" customWidth="1"/>
    <col min="10522" max="10522" width="12.625" style="754" customWidth="1"/>
    <col min="10523" max="10523" width="13.625" style="754" customWidth="1"/>
    <col min="10524" max="10752" width="9" style="754"/>
    <col min="10753" max="10753" width="45.625" style="754" customWidth="1"/>
    <col min="10754" max="10754" width="11.625" style="754" customWidth="1"/>
    <col min="10755" max="10757" width="11.75" style="754" customWidth="1"/>
    <col min="10758" max="10762" width="11.625" style="754" customWidth="1"/>
    <col min="10763" max="10763" width="13.75" style="754" customWidth="1"/>
    <col min="10764" max="10764" width="11.625" style="754" customWidth="1"/>
    <col min="10765" max="10765" width="12.625" style="754" customWidth="1"/>
    <col min="10766" max="10766" width="13.625" style="754" customWidth="1"/>
    <col min="10767" max="10775" width="11.625" style="754" customWidth="1"/>
    <col min="10776" max="10776" width="12.625" style="754" customWidth="1"/>
    <col min="10777" max="10777" width="11.625" style="754" customWidth="1"/>
    <col min="10778" max="10778" width="12.625" style="754" customWidth="1"/>
    <col min="10779" max="10779" width="13.625" style="754" customWidth="1"/>
    <col min="10780" max="11008" width="9" style="754"/>
    <col min="11009" max="11009" width="45.625" style="754" customWidth="1"/>
    <col min="11010" max="11010" width="11.625" style="754" customWidth="1"/>
    <col min="11011" max="11013" width="11.75" style="754" customWidth="1"/>
    <col min="11014" max="11018" width="11.625" style="754" customWidth="1"/>
    <col min="11019" max="11019" width="13.75" style="754" customWidth="1"/>
    <col min="11020" max="11020" width="11.625" style="754" customWidth="1"/>
    <col min="11021" max="11021" width="12.625" style="754" customWidth="1"/>
    <col min="11022" max="11022" width="13.625" style="754" customWidth="1"/>
    <col min="11023" max="11031" width="11.625" style="754" customWidth="1"/>
    <col min="11032" max="11032" width="12.625" style="754" customWidth="1"/>
    <col min="11033" max="11033" width="11.625" style="754" customWidth="1"/>
    <col min="11034" max="11034" width="12.625" style="754" customWidth="1"/>
    <col min="11035" max="11035" width="13.625" style="754" customWidth="1"/>
    <col min="11036" max="11264" width="9" style="754"/>
    <col min="11265" max="11265" width="45.625" style="754" customWidth="1"/>
    <col min="11266" max="11266" width="11.625" style="754" customWidth="1"/>
    <col min="11267" max="11269" width="11.75" style="754" customWidth="1"/>
    <col min="11270" max="11274" width="11.625" style="754" customWidth="1"/>
    <col min="11275" max="11275" width="13.75" style="754" customWidth="1"/>
    <col min="11276" max="11276" width="11.625" style="754" customWidth="1"/>
    <col min="11277" max="11277" width="12.625" style="754" customWidth="1"/>
    <col min="11278" max="11278" width="13.625" style="754" customWidth="1"/>
    <col min="11279" max="11287" width="11.625" style="754" customWidth="1"/>
    <col min="11288" max="11288" width="12.625" style="754" customWidth="1"/>
    <col min="11289" max="11289" width="11.625" style="754" customWidth="1"/>
    <col min="11290" max="11290" width="12.625" style="754" customWidth="1"/>
    <col min="11291" max="11291" width="13.625" style="754" customWidth="1"/>
    <col min="11292" max="11520" width="9" style="754"/>
    <col min="11521" max="11521" width="45.625" style="754" customWidth="1"/>
    <col min="11522" max="11522" width="11.625" style="754" customWidth="1"/>
    <col min="11523" max="11525" width="11.75" style="754" customWidth="1"/>
    <col min="11526" max="11530" width="11.625" style="754" customWidth="1"/>
    <col min="11531" max="11531" width="13.75" style="754" customWidth="1"/>
    <col min="11532" max="11532" width="11.625" style="754" customWidth="1"/>
    <col min="11533" max="11533" width="12.625" style="754" customWidth="1"/>
    <col min="11534" max="11534" width="13.625" style="754" customWidth="1"/>
    <col min="11535" max="11543" width="11.625" style="754" customWidth="1"/>
    <col min="11544" max="11544" width="12.625" style="754" customWidth="1"/>
    <col min="11545" max="11545" width="11.625" style="754" customWidth="1"/>
    <col min="11546" max="11546" width="12.625" style="754" customWidth="1"/>
    <col min="11547" max="11547" width="13.625" style="754" customWidth="1"/>
    <col min="11548" max="11776" width="9" style="754"/>
    <col min="11777" max="11777" width="45.625" style="754" customWidth="1"/>
    <col min="11778" max="11778" width="11.625" style="754" customWidth="1"/>
    <col min="11779" max="11781" width="11.75" style="754" customWidth="1"/>
    <col min="11782" max="11786" width="11.625" style="754" customWidth="1"/>
    <col min="11787" max="11787" width="13.75" style="754" customWidth="1"/>
    <col min="11788" max="11788" width="11.625" style="754" customWidth="1"/>
    <col min="11789" max="11789" width="12.625" style="754" customWidth="1"/>
    <col min="11790" max="11790" width="13.625" style="754" customWidth="1"/>
    <col min="11791" max="11799" width="11.625" style="754" customWidth="1"/>
    <col min="11800" max="11800" width="12.625" style="754" customWidth="1"/>
    <col min="11801" max="11801" width="11.625" style="754" customWidth="1"/>
    <col min="11802" max="11802" width="12.625" style="754" customWidth="1"/>
    <col min="11803" max="11803" width="13.625" style="754" customWidth="1"/>
    <col min="11804" max="12032" width="9" style="754"/>
    <col min="12033" max="12033" width="45.625" style="754" customWidth="1"/>
    <col min="12034" max="12034" width="11.625" style="754" customWidth="1"/>
    <col min="12035" max="12037" width="11.75" style="754" customWidth="1"/>
    <col min="12038" max="12042" width="11.625" style="754" customWidth="1"/>
    <col min="12043" max="12043" width="13.75" style="754" customWidth="1"/>
    <col min="12044" max="12044" width="11.625" style="754" customWidth="1"/>
    <col min="12045" max="12045" width="12.625" style="754" customWidth="1"/>
    <col min="12046" max="12046" width="13.625" style="754" customWidth="1"/>
    <col min="12047" max="12055" width="11.625" style="754" customWidth="1"/>
    <col min="12056" max="12056" width="12.625" style="754" customWidth="1"/>
    <col min="12057" max="12057" width="11.625" style="754" customWidth="1"/>
    <col min="12058" max="12058" width="12.625" style="754" customWidth="1"/>
    <col min="12059" max="12059" width="13.625" style="754" customWidth="1"/>
    <col min="12060" max="12288" width="9" style="754"/>
    <col min="12289" max="12289" width="45.625" style="754" customWidth="1"/>
    <col min="12290" max="12290" width="11.625" style="754" customWidth="1"/>
    <col min="12291" max="12293" width="11.75" style="754" customWidth="1"/>
    <col min="12294" max="12298" width="11.625" style="754" customWidth="1"/>
    <col min="12299" max="12299" width="13.75" style="754" customWidth="1"/>
    <col min="12300" max="12300" width="11.625" style="754" customWidth="1"/>
    <col min="12301" max="12301" width="12.625" style="754" customWidth="1"/>
    <col min="12302" max="12302" width="13.625" style="754" customWidth="1"/>
    <col min="12303" max="12311" width="11.625" style="754" customWidth="1"/>
    <col min="12312" max="12312" width="12.625" style="754" customWidth="1"/>
    <col min="12313" max="12313" width="11.625" style="754" customWidth="1"/>
    <col min="12314" max="12314" width="12.625" style="754" customWidth="1"/>
    <col min="12315" max="12315" width="13.625" style="754" customWidth="1"/>
    <col min="12316" max="12544" width="9" style="754"/>
    <col min="12545" max="12545" width="45.625" style="754" customWidth="1"/>
    <col min="12546" max="12546" width="11.625" style="754" customWidth="1"/>
    <col min="12547" max="12549" width="11.75" style="754" customWidth="1"/>
    <col min="12550" max="12554" width="11.625" style="754" customWidth="1"/>
    <col min="12555" max="12555" width="13.75" style="754" customWidth="1"/>
    <col min="12556" max="12556" width="11.625" style="754" customWidth="1"/>
    <col min="12557" max="12557" width="12.625" style="754" customWidth="1"/>
    <col min="12558" max="12558" width="13.625" style="754" customWidth="1"/>
    <col min="12559" max="12567" width="11.625" style="754" customWidth="1"/>
    <col min="12568" max="12568" width="12.625" style="754" customWidth="1"/>
    <col min="12569" max="12569" width="11.625" style="754" customWidth="1"/>
    <col min="12570" max="12570" width="12.625" style="754" customWidth="1"/>
    <col min="12571" max="12571" width="13.625" style="754" customWidth="1"/>
    <col min="12572" max="12800" width="9" style="754"/>
    <col min="12801" max="12801" width="45.625" style="754" customWidth="1"/>
    <col min="12802" max="12802" width="11.625" style="754" customWidth="1"/>
    <col min="12803" max="12805" width="11.75" style="754" customWidth="1"/>
    <col min="12806" max="12810" width="11.625" style="754" customWidth="1"/>
    <col min="12811" max="12811" width="13.75" style="754" customWidth="1"/>
    <col min="12812" max="12812" width="11.625" style="754" customWidth="1"/>
    <col min="12813" max="12813" width="12.625" style="754" customWidth="1"/>
    <col min="12814" max="12814" width="13.625" style="754" customWidth="1"/>
    <col min="12815" max="12823" width="11.625" style="754" customWidth="1"/>
    <col min="12824" max="12824" width="12.625" style="754" customWidth="1"/>
    <col min="12825" max="12825" width="11.625" style="754" customWidth="1"/>
    <col min="12826" max="12826" width="12.625" style="754" customWidth="1"/>
    <col min="12827" max="12827" width="13.625" style="754" customWidth="1"/>
    <col min="12828" max="13056" width="9" style="754"/>
    <col min="13057" max="13057" width="45.625" style="754" customWidth="1"/>
    <col min="13058" max="13058" width="11.625" style="754" customWidth="1"/>
    <col min="13059" max="13061" width="11.75" style="754" customWidth="1"/>
    <col min="13062" max="13066" width="11.625" style="754" customWidth="1"/>
    <col min="13067" max="13067" width="13.75" style="754" customWidth="1"/>
    <col min="13068" max="13068" width="11.625" style="754" customWidth="1"/>
    <col min="13069" max="13069" width="12.625" style="754" customWidth="1"/>
    <col min="13070" max="13070" width="13.625" style="754" customWidth="1"/>
    <col min="13071" max="13079" width="11.625" style="754" customWidth="1"/>
    <col min="13080" max="13080" width="12.625" style="754" customWidth="1"/>
    <col min="13081" max="13081" width="11.625" style="754" customWidth="1"/>
    <col min="13082" max="13082" width="12.625" style="754" customWidth="1"/>
    <col min="13083" max="13083" width="13.625" style="754" customWidth="1"/>
    <col min="13084" max="13312" width="9" style="754"/>
    <col min="13313" max="13313" width="45.625" style="754" customWidth="1"/>
    <col min="13314" max="13314" width="11.625" style="754" customWidth="1"/>
    <col min="13315" max="13317" width="11.75" style="754" customWidth="1"/>
    <col min="13318" max="13322" width="11.625" style="754" customWidth="1"/>
    <col min="13323" max="13323" width="13.75" style="754" customWidth="1"/>
    <col min="13324" max="13324" width="11.625" style="754" customWidth="1"/>
    <col min="13325" max="13325" width="12.625" style="754" customWidth="1"/>
    <col min="13326" max="13326" width="13.625" style="754" customWidth="1"/>
    <col min="13327" max="13335" width="11.625" style="754" customWidth="1"/>
    <col min="13336" max="13336" width="12.625" style="754" customWidth="1"/>
    <col min="13337" max="13337" width="11.625" style="754" customWidth="1"/>
    <col min="13338" max="13338" width="12.625" style="754" customWidth="1"/>
    <col min="13339" max="13339" width="13.625" style="754" customWidth="1"/>
    <col min="13340" max="13568" width="9" style="754"/>
    <col min="13569" max="13569" width="45.625" style="754" customWidth="1"/>
    <col min="13570" max="13570" width="11.625" style="754" customWidth="1"/>
    <col min="13571" max="13573" width="11.75" style="754" customWidth="1"/>
    <col min="13574" max="13578" width="11.625" style="754" customWidth="1"/>
    <col min="13579" max="13579" width="13.75" style="754" customWidth="1"/>
    <col min="13580" max="13580" width="11.625" style="754" customWidth="1"/>
    <col min="13581" max="13581" width="12.625" style="754" customWidth="1"/>
    <col min="13582" max="13582" width="13.625" style="754" customWidth="1"/>
    <col min="13583" max="13591" width="11.625" style="754" customWidth="1"/>
    <col min="13592" max="13592" width="12.625" style="754" customWidth="1"/>
    <col min="13593" max="13593" width="11.625" style="754" customWidth="1"/>
    <col min="13594" max="13594" width="12.625" style="754" customWidth="1"/>
    <col min="13595" max="13595" width="13.625" style="754" customWidth="1"/>
    <col min="13596" max="13824" width="9" style="754"/>
    <col min="13825" max="13825" width="45.625" style="754" customWidth="1"/>
    <col min="13826" max="13826" width="11.625" style="754" customWidth="1"/>
    <col min="13827" max="13829" width="11.75" style="754" customWidth="1"/>
    <col min="13830" max="13834" width="11.625" style="754" customWidth="1"/>
    <col min="13835" max="13835" width="13.75" style="754" customWidth="1"/>
    <col min="13836" max="13836" width="11.625" style="754" customWidth="1"/>
    <col min="13837" max="13837" width="12.625" style="754" customWidth="1"/>
    <col min="13838" max="13838" width="13.625" style="754" customWidth="1"/>
    <col min="13839" max="13847" width="11.625" style="754" customWidth="1"/>
    <col min="13848" max="13848" width="12.625" style="754" customWidth="1"/>
    <col min="13849" max="13849" width="11.625" style="754" customWidth="1"/>
    <col min="13850" max="13850" width="12.625" style="754" customWidth="1"/>
    <col min="13851" max="13851" width="13.625" style="754" customWidth="1"/>
    <col min="13852" max="14080" width="9" style="754"/>
    <col min="14081" max="14081" width="45.625" style="754" customWidth="1"/>
    <col min="14082" max="14082" width="11.625" style="754" customWidth="1"/>
    <col min="14083" max="14085" width="11.75" style="754" customWidth="1"/>
    <col min="14086" max="14090" width="11.625" style="754" customWidth="1"/>
    <col min="14091" max="14091" width="13.75" style="754" customWidth="1"/>
    <col min="14092" max="14092" width="11.625" style="754" customWidth="1"/>
    <col min="14093" max="14093" width="12.625" style="754" customWidth="1"/>
    <col min="14094" max="14094" width="13.625" style="754" customWidth="1"/>
    <col min="14095" max="14103" width="11.625" style="754" customWidth="1"/>
    <col min="14104" max="14104" width="12.625" style="754" customWidth="1"/>
    <col min="14105" max="14105" width="11.625" style="754" customWidth="1"/>
    <col min="14106" max="14106" width="12.625" style="754" customWidth="1"/>
    <col min="14107" max="14107" width="13.625" style="754" customWidth="1"/>
    <col min="14108" max="14336" width="9" style="754"/>
    <col min="14337" max="14337" width="45.625" style="754" customWidth="1"/>
    <col min="14338" max="14338" width="11.625" style="754" customWidth="1"/>
    <col min="14339" max="14341" width="11.75" style="754" customWidth="1"/>
    <col min="14342" max="14346" width="11.625" style="754" customWidth="1"/>
    <col min="14347" max="14347" width="13.75" style="754" customWidth="1"/>
    <col min="14348" max="14348" width="11.625" style="754" customWidth="1"/>
    <col min="14349" max="14349" width="12.625" style="754" customWidth="1"/>
    <col min="14350" max="14350" width="13.625" style="754" customWidth="1"/>
    <col min="14351" max="14359" width="11.625" style="754" customWidth="1"/>
    <col min="14360" max="14360" width="12.625" style="754" customWidth="1"/>
    <col min="14361" max="14361" width="11.625" style="754" customWidth="1"/>
    <col min="14362" max="14362" width="12.625" style="754" customWidth="1"/>
    <col min="14363" max="14363" width="13.625" style="754" customWidth="1"/>
    <col min="14364" max="14592" width="9" style="754"/>
    <col min="14593" max="14593" width="45.625" style="754" customWidth="1"/>
    <col min="14594" max="14594" width="11.625" style="754" customWidth="1"/>
    <col min="14595" max="14597" width="11.75" style="754" customWidth="1"/>
    <col min="14598" max="14602" width="11.625" style="754" customWidth="1"/>
    <col min="14603" max="14603" width="13.75" style="754" customWidth="1"/>
    <col min="14604" max="14604" width="11.625" style="754" customWidth="1"/>
    <col min="14605" max="14605" width="12.625" style="754" customWidth="1"/>
    <col min="14606" max="14606" width="13.625" style="754" customWidth="1"/>
    <col min="14607" max="14615" width="11.625" style="754" customWidth="1"/>
    <col min="14616" max="14616" width="12.625" style="754" customWidth="1"/>
    <col min="14617" max="14617" width="11.625" style="754" customWidth="1"/>
    <col min="14618" max="14618" width="12.625" style="754" customWidth="1"/>
    <col min="14619" max="14619" width="13.625" style="754" customWidth="1"/>
    <col min="14620" max="14848" width="9" style="754"/>
    <col min="14849" max="14849" width="45.625" style="754" customWidth="1"/>
    <col min="14850" max="14850" width="11.625" style="754" customWidth="1"/>
    <col min="14851" max="14853" width="11.75" style="754" customWidth="1"/>
    <col min="14854" max="14858" width="11.625" style="754" customWidth="1"/>
    <col min="14859" max="14859" width="13.75" style="754" customWidth="1"/>
    <col min="14860" max="14860" width="11.625" style="754" customWidth="1"/>
    <col min="14861" max="14861" width="12.625" style="754" customWidth="1"/>
    <col min="14862" max="14862" width="13.625" style="754" customWidth="1"/>
    <col min="14863" max="14871" width="11.625" style="754" customWidth="1"/>
    <col min="14872" max="14872" width="12.625" style="754" customWidth="1"/>
    <col min="14873" max="14873" width="11.625" style="754" customWidth="1"/>
    <col min="14874" max="14874" width="12.625" style="754" customWidth="1"/>
    <col min="14875" max="14875" width="13.625" style="754" customWidth="1"/>
    <col min="14876" max="15104" width="9" style="754"/>
    <col min="15105" max="15105" width="45.625" style="754" customWidth="1"/>
    <col min="15106" max="15106" width="11.625" style="754" customWidth="1"/>
    <col min="15107" max="15109" width="11.75" style="754" customWidth="1"/>
    <col min="15110" max="15114" width="11.625" style="754" customWidth="1"/>
    <col min="15115" max="15115" width="13.75" style="754" customWidth="1"/>
    <col min="15116" max="15116" width="11.625" style="754" customWidth="1"/>
    <col min="15117" max="15117" width="12.625" style="754" customWidth="1"/>
    <col min="15118" max="15118" width="13.625" style="754" customWidth="1"/>
    <col min="15119" max="15127" width="11.625" style="754" customWidth="1"/>
    <col min="15128" max="15128" width="12.625" style="754" customWidth="1"/>
    <col min="15129" max="15129" width="11.625" style="754" customWidth="1"/>
    <col min="15130" max="15130" width="12.625" style="754" customWidth="1"/>
    <col min="15131" max="15131" width="13.625" style="754" customWidth="1"/>
    <col min="15132" max="15360" width="9" style="754"/>
    <col min="15361" max="15361" width="45.625" style="754" customWidth="1"/>
    <col min="15362" max="15362" width="11.625" style="754" customWidth="1"/>
    <col min="15363" max="15365" width="11.75" style="754" customWidth="1"/>
    <col min="15366" max="15370" width="11.625" style="754" customWidth="1"/>
    <col min="15371" max="15371" width="13.75" style="754" customWidth="1"/>
    <col min="15372" max="15372" width="11.625" style="754" customWidth="1"/>
    <col min="15373" max="15373" width="12.625" style="754" customWidth="1"/>
    <col min="15374" max="15374" width="13.625" style="754" customWidth="1"/>
    <col min="15375" max="15383" width="11.625" style="754" customWidth="1"/>
    <col min="15384" max="15384" width="12.625" style="754" customWidth="1"/>
    <col min="15385" max="15385" width="11.625" style="754" customWidth="1"/>
    <col min="15386" max="15386" width="12.625" style="754" customWidth="1"/>
    <col min="15387" max="15387" width="13.625" style="754" customWidth="1"/>
    <col min="15388" max="15616" width="9" style="754"/>
    <col min="15617" max="15617" width="45.625" style="754" customWidth="1"/>
    <col min="15618" max="15618" width="11.625" style="754" customWidth="1"/>
    <col min="15619" max="15621" width="11.75" style="754" customWidth="1"/>
    <col min="15622" max="15626" width="11.625" style="754" customWidth="1"/>
    <col min="15627" max="15627" width="13.75" style="754" customWidth="1"/>
    <col min="15628" max="15628" width="11.625" style="754" customWidth="1"/>
    <col min="15629" max="15629" width="12.625" style="754" customWidth="1"/>
    <col min="15630" max="15630" width="13.625" style="754" customWidth="1"/>
    <col min="15631" max="15639" width="11.625" style="754" customWidth="1"/>
    <col min="15640" max="15640" width="12.625" style="754" customWidth="1"/>
    <col min="15641" max="15641" width="11.625" style="754" customWidth="1"/>
    <col min="15642" max="15642" width="12.625" style="754" customWidth="1"/>
    <col min="15643" max="15643" width="13.625" style="754" customWidth="1"/>
    <col min="15644" max="15872" width="9" style="754"/>
    <col min="15873" max="15873" width="45.625" style="754" customWidth="1"/>
    <col min="15874" max="15874" width="11.625" style="754" customWidth="1"/>
    <col min="15875" max="15877" width="11.75" style="754" customWidth="1"/>
    <col min="15878" max="15882" width="11.625" style="754" customWidth="1"/>
    <col min="15883" max="15883" width="13.75" style="754" customWidth="1"/>
    <col min="15884" max="15884" width="11.625" style="754" customWidth="1"/>
    <col min="15885" max="15885" width="12.625" style="754" customWidth="1"/>
    <col min="15886" max="15886" width="13.625" style="754" customWidth="1"/>
    <col min="15887" max="15895" width="11.625" style="754" customWidth="1"/>
    <col min="15896" max="15896" width="12.625" style="754" customWidth="1"/>
    <col min="15897" max="15897" width="11.625" style="754" customWidth="1"/>
    <col min="15898" max="15898" width="12.625" style="754" customWidth="1"/>
    <col min="15899" max="15899" width="13.625" style="754" customWidth="1"/>
    <col min="15900" max="16128" width="9" style="754"/>
    <col min="16129" max="16129" width="45.625" style="754" customWidth="1"/>
    <col min="16130" max="16130" width="11.625" style="754" customWidth="1"/>
    <col min="16131" max="16133" width="11.75" style="754" customWidth="1"/>
    <col min="16134" max="16138" width="11.625" style="754" customWidth="1"/>
    <col min="16139" max="16139" width="13.75" style="754" customWidth="1"/>
    <col min="16140" max="16140" width="11.625" style="754" customWidth="1"/>
    <col min="16141" max="16141" width="12.625" style="754" customWidth="1"/>
    <col min="16142" max="16142" width="13.625" style="754" customWidth="1"/>
    <col min="16143" max="16151" width="11.625" style="754" customWidth="1"/>
    <col min="16152" max="16152" width="12.625" style="754" customWidth="1"/>
    <col min="16153" max="16153" width="11.625" style="754" customWidth="1"/>
    <col min="16154" max="16154" width="12.625" style="754" customWidth="1"/>
    <col min="16155" max="16155" width="13.625" style="754" customWidth="1"/>
    <col min="16156" max="16384" width="9" style="754"/>
  </cols>
  <sheetData>
    <row r="1" spans="1:27" ht="20.25">
      <c r="B1" s="1223" t="s">
        <v>316</v>
      </c>
      <c r="C1" s="1223"/>
      <c r="D1" s="1223"/>
      <c r="E1" s="1223"/>
      <c r="F1" s="1223"/>
      <c r="G1" s="1223"/>
      <c r="H1" s="1223"/>
      <c r="I1" s="1223"/>
      <c r="J1" s="1223"/>
      <c r="K1" s="1223"/>
      <c r="L1" s="1223"/>
      <c r="M1" s="1223"/>
      <c r="N1" s="1223"/>
      <c r="O1" s="1223" t="s">
        <v>316</v>
      </c>
      <c r="P1" s="1223"/>
      <c r="Q1" s="1223"/>
      <c r="R1" s="1223"/>
      <c r="S1" s="1223"/>
      <c r="T1" s="1223"/>
      <c r="U1" s="1223"/>
      <c r="V1" s="1223"/>
      <c r="W1" s="1223"/>
      <c r="X1" s="1223"/>
      <c r="Y1" s="1223"/>
      <c r="Z1" s="1223"/>
      <c r="AA1" s="1223"/>
    </row>
    <row r="2" spans="1:27" ht="20.25">
      <c r="B2" s="755"/>
      <c r="C2" s="755"/>
      <c r="D2" s="755"/>
      <c r="E2" s="755"/>
      <c r="F2" s="755"/>
      <c r="G2" s="755"/>
      <c r="H2" s="756"/>
      <c r="I2" s="755"/>
      <c r="K2" s="755"/>
      <c r="L2" s="755"/>
      <c r="M2" s="755"/>
      <c r="N2" s="755"/>
      <c r="O2" s="755"/>
      <c r="P2" s="755"/>
      <c r="Q2" s="755"/>
      <c r="R2" s="755"/>
      <c r="S2" s="755"/>
      <c r="T2" s="755"/>
      <c r="U2" s="756"/>
      <c r="V2" s="755"/>
      <c r="X2" s="755"/>
      <c r="Y2" s="755"/>
      <c r="Z2" s="755"/>
      <c r="AA2" s="755"/>
    </row>
    <row r="3" spans="1:27" ht="18.75" customHeight="1">
      <c r="A3" s="594">
        <f>基础信息!B6</f>
        <v>0</v>
      </c>
      <c r="J3" s="756"/>
      <c r="N3" s="754" t="s">
        <v>317</v>
      </c>
      <c r="W3" s="756"/>
      <c r="AA3" s="754" t="s">
        <v>317</v>
      </c>
    </row>
    <row r="4" spans="1:27" ht="19.5" customHeight="1">
      <c r="A4" s="1229" t="s">
        <v>318</v>
      </c>
      <c r="B4" s="1224" t="s">
        <v>2096</v>
      </c>
      <c r="C4" s="1224"/>
      <c r="D4" s="1224"/>
      <c r="E4" s="1224"/>
      <c r="F4" s="1224"/>
      <c r="G4" s="1224"/>
      <c r="H4" s="1224"/>
      <c r="I4" s="1224"/>
      <c r="J4" s="1224"/>
      <c r="K4" s="1224"/>
      <c r="L4" s="1224"/>
      <c r="M4" s="1224"/>
      <c r="N4" s="1224"/>
      <c r="O4" s="1224" t="s">
        <v>2095</v>
      </c>
      <c r="P4" s="1224"/>
      <c r="Q4" s="1224"/>
      <c r="R4" s="1224"/>
      <c r="S4" s="1224"/>
      <c r="T4" s="1224"/>
      <c r="U4" s="1224"/>
      <c r="V4" s="1224"/>
      <c r="W4" s="1224"/>
      <c r="X4" s="1224"/>
      <c r="Y4" s="1224"/>
      <c r="Z4" s="1224"/>
      <c r="AA4" s="1224"/>
    </row>
    <row r="5" spans="1:27" ht="22.5" customHeight="1">
      <c r="A5" s="1229"/>
      <c r="B5" s="1225" t="s">
        <v>319</v>
      </c>
      <c r="C5" s="1225"/>
      <c r="D5" s="1225"/>
      <c r="E5" s="1225"/>
      <c r="F5" s="1225"/>
      <c r="G5" s="1225"/>
      <c r="H5" s="1225"/>
      <c r="I5" s="1225"/>
      <c r="J5" s="1225"/>
      <c r="K5" s="1225"/>
      <c r="L5" s="1225"/>
      <c r="M5" s="1225" t="s">
        <v>320</v>
      </c>
      <c r="N5" s="1225" t="s">
        <v>321</v>
      </c>
      <c r="O5" s="1225" t="s">
        <v>319</v>
      </c>
      <c r="P5" s="1225"/>
      <c r="Q5" s="1225"/>
      <c r="R5" s="1225"/>
      <c r="S5" s="1225"/>
      <c r="T5" s="1225"/>
      <c r="U5" s="1225"/>
      <c r="V5" s="1225"/>
      <c r="W5" s="1225"/>
      <c r="X5" s="1225"/>
      <c r="Y5" s="1225"/>
      <c r="Z5" s="1225" t="s">
        <v>320</v>
      </c>
      <c r="AA5" s="1225" t="s">
        <v>321</v>
      </c>
    </row>
    <row r="6" spans="1:27" s="752" customFormat="1" ht="20.25" customHeight="1">
      <c r="A6" s="1229"/>
      <c r="B6" s="1225" t="s">
        <v>322</v>
      </c>
      <c r="C6" s="1226" t="s">
        <v>323</v>
      </c>
      <c r="D6" s="1227"/>
      <c r="E6" s="1227"/>
      <c r="F6" s="1225" t="s">
        <v>324</v>
      </c>
      <c r="G6" s="1225" t="s">
        <v>325</v>
      </c>
      <c r="H6" s="1225" t="s">
        <v>326</v>
      </c>
      <c r="I6" s="1225" t="s">
        <v>327</v>
      </c>
      <c r="J6" s="1225" t="s">
        <v>328</v>
      </c>
      <c r="K6" s="1225" t="s">
        <v>329</v>
      </c>
      <c r="L6" s="1225" t="s">
        <v>330</v>
      </c>
      <c r="M6" s="1225"/>
      <c r="N6" s="1225"/>
      <c r="O6" s="1225" t="s">
        <v>322</v>
      </c>
      <c r="P6" s="1226" t="s">
        <v>323</v>
      </c>
      <c r="Q6" s="1227"/>
      <c r="R6" s="1227"/>
      <c r="S6" s="1225" t="s">
        <v>324</v>
      </c>
      <c r="T6" s="1225" t="s">
        <v>325</v>
      </c>
      <c r="U6" s="1225" t="s">
        <v>326</v>
      </c>
      <c r="V6" s="1225" t="s">
        <v>327</v>
      </c>
      <c r="W6" s="1225" t="s">
        <v>328</v>
      </c>
      <c r="X6" s="1225" t="s">
        <v>329</v>
      </c>
      <c r="Y6" s="1225" t="s">
        <v>330</v>
      </c>
      <c r="Z6" s="1225"/>
      <c r="AA6" s="1225"/>
    </row>
    <row r="7" spans="1:27" s="752" customFormat="1" ht="20.25" customHeight="1">
      <c r="A7" s="1229"/>
      <c r="B7" s="1225"/>
      <c r="C7" s="758" t="s">
        <v>331</v>
      </c>
      <c r="D7" s="758" t="s">
        <v>332</v>
      </c>
      <c r="E7" s="758" t="s">
        <v>330</v>
      </c>
      <c r="F7" s="1225"/>
      <c r="G7" s="1225"/>
      <c r="H7" s="1225"/>
      <c r="I7" s="1225"/>
      <c r="J7" s="1225"/>
      <c r="K7" s="1225"/>
      <c r="L7" s="1225"/>
      <c r="M7" s="1225"/>
      <c r="N7" s="1225"/>
      <c r="O7" s="1225"/>
      <c r="P7" s="758" t="s">
        <v>331</v>
      </c>
      <c r="Q7" s="758" t="s">
        <v>332</v>
      </c>
      <c r="R7" s="758" t="s">
        <v>330</v>
      </c>
      <c r="S7" s="1225"/>
      <c r="T7" s="1225"/>
      <c r="U7" s="1225"/>
      <c r="V7" s="1225"/>
      <c r="W7" s="1225"/>
      <c r="X7" s="1225"/>
      <c r="Y7" s="1225"/>
      <c r="Z7" s="1225"/>
      <c r="AA7" s="1225"/>
    </row>
    <row r="8" spans="1:27" ht="20.100000000000001" customHeight="1">
      <c r="A8" s="757" t="s">
        <v>333</v>
      </c>
      <c r="B8" s="759">
        <f>O35</f>
        <v>0</v>
      </c>
      <c r="C8" s="759">
        <f t="shared" ref="C8:M8" si="0">P35</f>
        <v>0</v>
      </c>
      <c r="D8" s="759">
        <f t="shared" si="0"/>
        <v>0</v>
      </c>
      <c r="E8" s="759">
        <f t="shared" si="0"/>
        <v>0</v>
      </c>
      <c r="F8" s="759">
        <f t="shared" si="0"/>
        <v>0</v>
      </c>
      <c r="G8" s="759">
        <f t="shared" si="0"/>
        <v>0</v>
      </c>
      <c r="H8" s="759">
        <f t="shared" si="0"/>
        <v>0</v>
      </c>
      <c r="I8" s="759">
        <f t="shared" si="0"/>
        <v>0</v>
      </c>
      <c r="J8" s="759">
        <f t="shared" si="0"/>
        <v>0</v>
      </c>
      <c r="K8" s="759">
        <f t="shared" si="0"/>
        <v>0</v>
      </c>
      <c r="L8" s="759">
        <f t="shared" si="0"/>
        <v>0</v>
      </c>
      <c r="M8" s="759">
        <f t="shared" si="0"/>
        <v>0</v>
      </c>
      <c r="N8" s="759">
        <f>B8+C8+D8+E8+F8-G8+H8+I8+J8+K8+L8+M8</f>
        <v>0</v>
      </c>
      <c r="O8" s="759"/>
      <c r="P8" s="759"/>
      <c r="Q8" s="759"/>
      <c r="R8" s="759"/>
      <c r="S8" s="759"/>
      <c r="T8" s="759"/>
      <c r="U8" s="759"/>
      <c r="V8" s="759"/>
      <c r="W8" s="759"/>
      <c r="X8" s="759"/>
      <c r="Y8" s="759"/>
      <c r="Z8" s="759"/>
      <c r="AA8" s="759">
        <f>O8+P8+Q8+R8+S8-T8+V8+W8+X8+Y8+Z8+U8</f>
        <v>0</v>
      </c>
    </row>
    <row r="9" spans="1:27" ht="20.100000000000001" customHeight="1">
      <c r="A9" s="754" t="s">
        <v>334</v>
      </c>
      <c r="B9" s="759" t="s">
        <v>335</v>
      </c>
      <c r="C9" s="759" t="s">
        <v>335</v>
      </c>
      <c r="D9" s="759" t="s">
        <v>335</v>
      </c>
      <c r="E9" s="759" t="s">
        <v>335</v>
      </c>
      <c r="F9" s="759" t="s">
        <v>335</v>
      </c>
      <c r="G9" s="759" t="s">
        <v>335</v>
      </c>
      <c r="H9" s="759" t="s">
        <v>335</v>
      </c>
      <c r="I9" s="759" t="s">
        <v>335</v>
      </c>
      <c r="J9" s="759" t="s">
        <v>335</v>
      </c>
      <c r="K9" s="759" t="s">
        <v>335</v>
      </c>
      <c r="L9" s="759" t="s">
        <v>335</v>
      </c>
      <c r="M9" s="759" t="s">
        <v>335</v>
      </c>
      <c r="N9" s="759" t="s">
        <v>335</v>
      </c>
      <c r="O9" s="759"/>
      <c r="P9" s="759"/>
      <c r="Q9" s="759"/>
      <c r="R9" s="759"/>
      <c r="S9" s="759"/>
      <c r="T9" s="759"/>
      <c r="U9" s="759"/>
      <c r="V9" s="759"/>
      <c r="W9" s="759"/>
      <c r="X9" s="759"/>
      <c r="Y9" s="759"/>
      <c r="Z9" s="759"/>
      <c r="AA9" s="759">
        <f t="shared" ref="AA9:AA33" si="1">O9+P9+Q9+R9+S9-T9+V9+W9+X9+Y9+Z9+U9</f>
        <v>0</v>
      </c>
    </row>
    <row r="10" spans="1:27" ht="20.100000000000001" customHeight="1">
      <c r="A10" s="754" t="s">
        <v>336</v>
      </c>
      <c r="B10" s="759" t="s">
        <v>335</v>
      </c>
      <c r="C10" s="759" t="s">
        <v>335</v>
      </c>
      <c r="D10" s="759" t="s">
        <v>335</v>
      </c>
      <c r="E10" s="759" t="s">
        <v>335</v>
      </c>
      <c r="F10" s="759" t="s">
        <v>335</v>
      </c>
      <c r="G10" s="760" t="s">
        <v>335</v>
      </c>
      <c r="H10" s="759" t="s">
        <v>335</v>
      </c>
      <c r="I10" s="759" t="s">
        <v>335</v>
      </c>
      <c r="J10" s="759" t="s">
        <v>335</v>
      </c>
      <c r="K10" s="759" t="s">
        <v>335</v>
      </c>
      <c r="L10" s="759" t="s">
        <v>335</v>
      </c>
      <c r="M10" s="759" t="s">
        <v>335</v>
      </c>
      <c r="N10" s="759" t="s">
        <v>335</v>
      </c>
      <c r="O10" s="759"/>
      <c r="P10" s="759"/>
      <c r="Q10" s="759"/>
      <c r="R10" s="759"/>
      <c r="S10" s="759"/>
      <c r="T10" s="759"/>
      <c r="U10" s="759"/>
      <c r="V10" s="759"/>
      <c r="W10" s="759"/>
      <c r="X10" s="759"/>
      <c r="Y10" s="759"/>
      <c r="Z10" s="759"/>
      <c r="AA10" s="759">
        <f t="shared" si="1"/>
        <v>0</v>
      </c>
    </row>
    <row r="11" spans="1:27" ht="20.100000000000001" customHeight="1">
      <c r="A11" s="754" t="s">
        <v>337</v>
      </c>
      <c r="B11" s="759"/>
      <c r="C11" s="759"/>
      <c r="D11" s="759"/>
      <c r="E11" s="759"/>
      <c r="F11" s="759"/>
      <c r="G11" s="759"/>
      <c r="H11" s="759"/>
      <c r="I11" s="759"/>
      <c r="J11" s="759"/>
      <c r="K11" s="759"/>
      <c r="L11" s="759"/>
      <c r="M11" s="759"/>
      <c r="N11" s="759">
        <f t="shared" ref="N11:N34" si="2">B11+C11+D11+E11+F11-G11+H11+I11+J11+K11+L11+M11</f>
        <v>0</v>
      </c>
      <c r="O11" s="759"/>
      <c r="P11" s="759"/>
      <c r="Q11" s="759"/>
      <c r="R11" s="759"/>
      <c r="S11" s="759"/>
      <c r="T11" s="759"/>
      <c r="U11" s="759"/>
      <c r="V11" s="759"/>
      <c r="W11" s="759"/>
      <c r="X11" s="759"/>
      <c r="Y11" s="759"/>
      <c r="Z11" s="759"/>
      <c r="AA11" s="759">
        <f t="shared" si="1"/>
        <v>0</v>
      </c>
    </row>
    <row r="12" spans="1:27" ht="20.100000000000001" customHeight="1">
      <c r="A12" s="757" t="s">
        <v>338</v>
      </c>
      <c r="B12" s="759">
        <f>B8+B11</f>
        <v>0</v>
      </c>
      <c r="C12" s="759">
        <f>C8+C11</f>
        <v>0</v>
      </c>
      <c r="D12" s="759">
        <f>D8+D11</f>
        <v>0</v>
      </c>
      <c r="E12" s="759">
        <f>E8+E11</f>
        <v>0</v>
      </c>
      <c r="F12" s="759">
        <f t="shared" ref="F12:M12" si="3">F8+F11</f>
        <v>0</v>
      </c>
      <c r="G12" s="759">
        <f t="shared" si="3"/>
        <v>0</v>
      </c>
      <c r="H12" s="759">
        <f t="shared" si="3"/>
        <v>0</v>
      </c>
      <c r="I12" s="759">
        <f t="shared" si="3"/>
        <v>0</v>
      </c>
      <c r="J12" s="759">
        <f t="shared" si="3"/>
        <v>0</v>
      </c>
      <c r="K12" s="759">
        <f t="shared" si="3"/>
        <v>0</v>
      </c>
      <c r="L12" s="759">
        <f t="shared" si="3"/>
        <v>0</v>
      </c>
      <c r="M12" s="759">
        <f t="shared" si="3"/>
        <v>0</v>
      </c>
      <c r="N12" s="759">
        <f t="shared" si="2"/>
        <v>0</v>
      </c>
      <c r="O12" s="759">
        <f t="shared" ref="O12:Z12" si="4">O8+O9+O10+O11</f>
        <v>0</v>
      </c>
      <c r="P12" s="759">
        <f t="shared" si="4"/>
        <v>0</v>
      </c>
      <c r="Q12" s="759">
        <f t="shared" si="4"/>
        <v>0</v>
      </c>
      <c r="R12" s="759">
        <f t="shared" si="4"/>
        <v>0</v>
      </c>
      <c r="S12" s="759">
        <f t="shared" si="4"/>
        <v>0</v>
      </c>
      <c r="T12" s="759">
        <f t="shared" si="4"/>
        <v>0</v>
      </c>
      <c r="U12" s="759">
        <f t="shared" si="4"/>
        <v>0</v>
      </c>
      <c r="V12" s="759">
        <f t="shared" si="4"/>
        <v>0</v>
      </c>
      <c r="W12" s="759">
        <f t="shared" si="4"/>
        <v>0</v>
      </c>
      <c r="X12" s="759">
        <f t="shared" si="4"/>
        <v>0</v>
      </c>
      <c r="Y12" s="759">
        <f t="shared" si="4"/>
        <v>0</v>
      </c>
      <c r="Z12" s="759">
        <f t="shared" si="4"/>
        <v>0</v>
      </c>
      <c r="AA12" s="759">
        <f t="shared" si="1"/>
        <v>0</v>
      </c>
    </row>
    <row r="13" spans="1:27" ht="20.100000000000001" customHeight="1">
      <c r="A13" s="758" t="s">
        <v>339</v>
      </c>
      <c r="B13" s="759">
        <f t="shared" ref="B13:Z13" si="5">B14+B15+B20+B24+B31</f>
        <v>0</v>
      </c>
      <c r="C13" s="759">
        <f t="shared" si="5"/>
        <v>0</v>
      </c>
      <c r="D13" s="759">
        <f t="shared" si="5"/>
        <v>0</v>
      </c>
      <c r="E13" s="759">
        <f t="shared" si="5"/>
        <v>0</v>
      </c>
      <c r="F13" s="759">
        <f t="shared" si="5"/>
        <v>0</v>
      </c>
      <c r="G13" s="759">
        <f t="shared" si="5"/>
        <v>0</v>
      </c>
      <c r="H13" s="759">
        <f t="shared" si="5"/>
        <v>0</v>
      </c>
      <c r="I13" s="759">
        <f t="shared" si="5"/>
        <v>0</v>
      </c>
      <c r="J13" s="759">
        <f t="shared" si="5"/>
        <v>0</v>
      </c>
      <c r="K13" s="759">
        <f t="shared" si="5"/>
        <v>0</v>
      </c>
      <c r="L13" s="759">
        <f t="shared" si="5"/>
        <v>0</v>
      </c>
      <c r="M13" s="759">
        <f t="shared" si="5"/>
        <v>0</v>
      </c>
      <c r="N13" s="759">
        <f t="shared" si="2"/>
        <v>0</v>
      </c>
      <c r="O13" s="759">
        <f t="shared" si="5"/>
        <v>0</v>
      </c>
      <c r="P13" s="759">
        <f t="shared" si="5"/>
        <v>0</v>
      </c>
      <c r="Q13" s="759">
        <f t="shared" si="5"/>
        <v>0</v>
      </c>
      <c r="R13" s="759">
        <f t="shared" si="5"/>
        <v>0</v>
      </c>
      <c r="S13" s="759">
        <f t="shared" si="5"/>
        <v>0</v>
      </c>
      <c r="T13" s="759">
        <f t="shared" si="5"/>
        <v>0</v>
      </c>
      <c r="U13" s="759">
        <f t="shared" si="5"/>
        <v>0</v>
      </c>
      <c r="V13" s="759">
        <f t="shared" si="5"/>
        <v>0</v>
      </c>
      <c r="W13" s="759">
        <f t="shared" si="5"/>
        <v>0</v>
      </c>
      <c r="X13" s="759">
        <f t="shared" si="5"/>
        <v>0</v>
      </c>
      <c r="Y13" s="759">
        <f t="shared" si="5"/>
        <v>0</v>
      </c>
      <c r="Z13" s="759">
        <f t="shared" si="5"/>
        <v>0</v>
      </c>
      <c r="AA13" s="759">
        <f t="shared" si="1"/>
        <v>0</v>
      </c>
    </row>
    <row r="14" spans="1:27" ht="20.100000000000001" customHeight="1">
      <c r="A14" s="754" t="s">
        <v>340</v>
      </c>
      <c r="B14" s="759"/>
      <c r="C14" s="759"/>
      <c r="D14" s="759"/>
      <c r="E14" s="759"/>
      <c r="F14" s="759"/>
      <c r="G14" s="759"/>
      <c r="H14" s="759"/>
      <c r="I14" s="759"/>
      <c r="J14" s="759"/>
      <c r="K14" s="759"/>
      <c r="L14" s="759"/>
      <c r="M14" s="759"/>
      <c r="N14" s="759">
        <f t="shared" si="2"/>
        <v>0</v>
      </c>
      <c r="O14" s="759"/>
      <c r="P14" s="759"/>
      <c r="Q14" s="759"/>
      <c r="R14" s="759"/>
      <c r="S14" s="759"/>
      <c r="T14" s="759"/>
      <c r="U14" s="759"/>
      <c r="V14" s="759"/>
      <c r="W14" s="759"/>
      <c r="X14" s="759"/>
      <c r="Y14" s="759"/>
      <c r="Z14" s="759"/>
      <c r="AA14" s="759">
        <f t="shared" si="1"/>
        <v>0</v>
      </c>
    </row>
    <row r="15" spans="1:27" ht="20.100000000000001" customHeight="1">
      <c r="A15" s="754" t="s">
        <v>341</v>
      </c>
      <c r="B15" s="759">
        <f>SUM(B16:B19)</f>
        <v>0</v>
      </c>
      <c r="C15" s="759">
        <f>SUM(C16:C19)</f>
        <v>0</v>
      </c>
      <c r="D15" s="759">
        <f>SUM(D16:D19)</f>
        <v>0</v>
      </c>
      <c r="E15" s="759">
        <f>SUM(E16:E19)</f>
        <v>0</v>
      </c>
      <c r="F15" s="759">
        <f t="shared" ref="F15:M15" si="6">SUM(F16:F19)</f>
        <v>0</v>
      </c>
      <c r="G15" s="759">
        <f t="shared" si="6"/>
        <v>0</v>
      </c>
      <c r="H15" s="759">
        <f t="shared" si="6"/>
        <v>0</v>
      </c>
      <c r="I15" s="759">
        <f t="shared" si="6"/>
        <v>0</v>
      </c>
      <c r="J15" s="759">
        <f t="shared" si="6"/>
        <v>0</v>
      </c>
      <c r="K15" s="759">
        <f t="shared" si="6"/>
        <v>0</v>
      </c>
      <c r="L15" s="759">
        <f t="shared" si="6"/>
        <v>0</v>
      </c>
      <c r="M15" s="759">
        <f t="shared" si="6"/>
        <v>0</v>
      </c>
      <c r="N15" s="759">
        <f t="shared" si="2"/>
        <v>0</v>
      </c>
      <c r="O15" s="759">
        <f t="shared" ref="O15:Z15" si="7">SUM(O16:O19)</f>
        <v>0</v>
      </c>
      <c r="P15" s="759">
        <f t="shared" si="7"/>
        <v>0</v>
      </c>
      <c r="Q15" s="759">
        <f t="shared" si="7"/>
        <v>0</v>
      </c>
      <c r="R15" s="759">
        <f t="shared" si="7"/>
        <v>0</v>
      </c>
      <c r="S15" s="759">
        <f t="shared" si="7"/>
        <v>0</v>
      </c>
      <c r="T15" s="759">
        <f t="shared" si="7"/>
        <v>0</v>
      </c>
      <c r="U15" s="759">
        <f t="shared" si="7"/>
        <v>0</v>
      </c>
      <c r="V15" s="759">
        <f t="shared" si="7"/>
        <v>0</v>
      </c>
      <c r="W15" s="759">
        <f t="shared" si="7"/>
        <v>0</v>
      </c>
      <c r="X15" s="759">
        <f t="shared" si="7"/>
        <v>0</v>
      </c>
      <c r="Y15" s="759">
        <f t="shared" si="7"/>
        <v>0</v>
      </c>
      <c r="Z15" s="759">
        <f t="shared" si="7"/>
        <v>0</v>
      </c>
      <c r="AA15" s="759">
        <f t="shared" si="1"/>
        <v>0</v>
      </c>
    </row>
    <row r="16" spans="1:27" ht="20.100000000000001" customHeight="1">
      <c r="A16" s="754" t="s">
        <v>342</v>
      </c>
      <c r="B16" s="759"/>
      <c r="C16" s="759"/>
      <c r="D16" s="759"/>
      <c r="E16" s="759"/>
      <c r="F16" s="759"/>
      <c r="G16" s="759"/>
      <c r="H16" s="759"/>
      <c r="I16" s="759"/>
      <c r="J16" s="759"/>
      <c r="K16" s="759"/>
      <c r="L16" s="759"/>
      <c r="M16" s="759"/>
      <c r="N16" s="759">
        <f t="shared" si="2"/>
        <v>0</v>
      </c>
      <c r="O16" s="759"/>
      <c r="P16" s="759"/>
      <c r="Q16" s="759"/>
      <c r="R16" s="759"/>
      <c r="S16" s="759"/>
      <c r="T16" s="759"/>
      <c r="U16" s="759"/>
      <c r="V16" s="759"/>
      <c r="W16" s="759"/>
      <c r="X16" s="759"/>
      <c r="Y16" s="759"/>
      <c r="Z16" s="759"/>
      <c r="AA16" s="759">
        <f t="shared" si="1"/>
        <v>0</v>
      </c>
    </row>
    <row r="17" spans="1:27" ht="20.100000000000001" customHeight="1">
      <c r="A17" s="754" t="s">
        <v>343</v>
      </c>
      <c r="B17" s="759"/>
      <c r="C17" s="759"/>
      <c r="D17" s="759"/>
      <c r="E17" s="759"/>
      <c r="F17" s="759"/>
      <c r="G17" s="759"/>
      <c r="H17" s="759"/>
      <c r="I17" s="759"/>
      <c r="J17" s="759"/>
      <c r="K17" s="759"/>
      <c r="L17" s="759"/>
      <c r="M17" s="759"/>
      <c r="N17" s="759">
        <f t="shared" si="2"/>
        <v>0</v>
      </c>
      <c r="O17" s="759"/>
      <c r="P17" s="759"/>
      <c r="Q17" s="759"/>
      <c r="R17" s="759"/>
      <c r="S17" s="759"/>
      <c r="T17" s="759"/>
      <c r="U17" s="759"/>
      <c r="V17" s="759"/>
      <c r="W17" s="759"/>
      <c r="X17" s="759"/>
      <c r="Y17" s="759"/>
      <c r="Z17" s="759"/>
      <c r="AA17" s="759">
        <f t="shared" si="1"/>
        <v>0</v>
      </c>
    </row>
    <row r="18" spans="1:27" ht="20.100000000000001" customHeight="1">
      <c r="A18" s="754" t="s">
        <v>344</v>
      </c>
      <c r="B18" s="759"/>
      <c r="C18" s="759"/>
      <c r="D18" s="759"/>
      <c r="E18" s="759"/>
      <c r="F18" s="759"/>
      <c r="G18" s="759"/>
      <c r="H18" s="759"/>
      <c r="I18" s="759"/>
      <c r="J18" s="759"/>
      <c r="K18" s="759"/>
      <c r="L18" s="759"/>
      <c r="M18" s="759"/>
      <c r="N18" s="759">
        <f t="shared" si="2"/>
        <v>0</v>
      </c>
      <c r="O18" s="759"/>
      <c r="P18" s="759"/>
      <c r="Q18" s="759"/>
      <c r="R18" s="759"/>
      <c r="S18" s="759"/>
      <c r="T18" s="759"/>
      <c r="U18" s="759"/>
      <c r="V18" s="759"/>
      <c r="W18" s="759"/>
      <c r="X18" s="759"/>
      <c r="Y18" s="759"/>
      <c r="Z18" s="759"/>
      <c r="AA18" s="759">
        <f t="shared" si="1"/>
        <v>0</v>
      </c>
    </row>
    <row r="19" spans="1:27" ht="20.100000000000001" customHeight="1">
      <c r="A19" s="754" t="s">
        <v>345</v>
      </c>
      <c r="B19" s="759"/>
      <c r="C19" s="759"/>
      <c r="D19" s="759"/>
      <c r="E19" s="759"/>
      <c r="F19" s="759"/>
      <c r="G19" s="759"/>
      <c r="H19" s="759"/>
      <c r="I19" s="759"/>
      <c r="J19" s="759"/>
      <c r="K19" s="759"/>
      <c r="L19" s="759"/>
      <c r="M19" s="759"/>
      <c r="N19" s="759">
        <f t="shared" si="2"/>
        <v>0</v>
      </c>
      <c r="O19" s="759"/>
      <c r="P19" s="759"/>
      <c r="Q19" s="759"/>
      <c r="R19" s="759"/>
      <c r="S19" s="759"/>
      <c r="T19" s="759"/>
      <c r="U19" s="759"/>
      <c r="V19" s="759"/>
      <c r="W19" s="759"/>
      <c r="X19" s="759"/>
      <c r="Y19" s="759"/>
      <c r="Z19" s="759"/>
      <c r="AA19" s="759">
        <f t="shared" si="1"/>
        <v>0</v>
      </c>
    </row>
    <row r="20" spans="1:27" ht="20.100000000000001" customHeight="1">
      <c r="A20" s="754" t="s">
        <v>346</v>
      </c>
      <c r="B20" s="759">
        <f>SUM(B21:B23)</f>
        <v>0</v>
      </c>
      <c r="C20" s="759">
        <f>SUM(C21:C23)</f>
        <v>0</v>
      </c>
      <c r="D20" s="759">
        <f>SUM(D21:D23)</f>
        <v>0</v>
      </c>
      <c r="E20" s="759">
        <f>SUM(E21:E23)</f>
        <v>0</v>
      </c>
      <c r="F20" s="759">
        <f t="shared" ref="F20:M20" si="8">SUM(F21:F23)</f>
        <v>0</v>
      </c>
      <c r="G20" s="759">
        <f t="shared" si="8"/>
        <v>0</v>
      </c>
      <c r="H20" s="759">
        <f t="shared" si="8"/>
        <v>0</v>
      </c>
      <c r="I20" s="759">
        <f t="shared" si="8"/>
        <v>0</v>
      </c>
      <c r="J20" s="759">
        <f t="shared" si="8"/>
        <v>0</v>
      </c>
      <c r="K20" s="759">
        <f t="shared" si="8"/>
        <v>0</v>
      </c>
      <c r="L20" s="759">
        <f t="shared" si="8"/>
        <v>0</v>
      </c>
      <c r="M20" s="759">
        <f t="shared" si="8"/>
        <v>0</v>
      </c>
      <c r="N20" s="759">
        <f t="shared" si="2"/>
        <v>0</v>
      </c>
      <c r="O20" s="759">
        <f t="shared" ref="O20:Z20" si="9">SUM(O21:O23)</f>
        <v>0</v>
      </c>
      <c r="P20" s="759">
        <f t="shared" si="9"/>
        <v>0</v>
      </c>
      <c r="Q20" s="759">
        <f t="shared" si="9"/>
        <v>0</v>
      </c>
      <c r="R20" s="759">
        <f t="shared" si="9"/>
        <v>0</v>
      </c>
      <c r="S20" s="759">
        <f t="shared" si="9"/>
        <v>0</v>
      </c>
      <c r="T20" s="759">
        <f t="shared" si="9"/>
        <v>0</v>
      </c>
      <c r="U20" s="759">
        <f t="shared" si="9"/>
        <v>0</v>
      </c>
      <c r="V20" s="759">
        <f t="shared" si="9"/>
        <v>0</v>
      </c>
      <c r="W20" s="759">
        <f t="shared" si="9"/>
        <v>0</v>
      </c>
      <c r="X20" s="759">
        <f t="shared" si="9"/>
        <v>0</v>
      </c>
      <c r="Y20" s="759">
        <f t="shared" si="9"/>
        <v>0</v>
      </c>
      <c r="Z20" s="759">
        <f t="shared" si="9"/>
        <v>0</v>
      </c>
      <c r="AA20" s="759">
        <f t="shared" si="1"/>
        <v>0</v>
      </c>
    </row>
    <row r="21" spans="1:27" ht="20.100000000000001" customHeight="1">
      <c r="A21" s="754" t="s">
        <v>347</v>
      </c>
      <c r="B21" s="759"/>
      <c r="C21" s="759"/>
      <c r="D21" s="759"/>
      <c r="E21" s="759"/>
      <c r="F21" s="759"/>
      <c r="G21" s="759"/>
      <c r="H21" s="759"/>
      <c r="I21" s="759"/>
      <c r="J21" s="759"/>
      <c r="K21" s="759"/>
      <c r="L21" s="759"/>
      <c r="M21" s="759"/>
      <c r="N21" s="759">
        <f t="shared" si="2"/>
        <v>0</v>
      </c>
      <c r="O21" s="759"/>
      <c r="P21" s="759"/>
      <c r="Q21" s="759"/>
      <c r="R21" s="759"/>
      <c r="S21" s="759"/>
      <c r="T21" s="759"/>
      <c r="U21" s="759"/>
      <c r="V21" s="759"/>
      <c r="W21" s="759"/>
      <c r="X21" s="759"/>
      <c r="Y21" s="759"/>
      <c r="Z21" s="759"/>
      <c r="AA21" s="759">
        <f t="shared" si="1"/>
        <v>0</v>
      </c>
    </row>
    <row r="22" spans="1:27" ht="20.100000000000001" customHeight="1">
      <c r="A22" s="754" t="s">
        <v>348</v>
      </c>
      <c r="B22" s="759"/>
      <c r="C22" s="759"/>
      <c r="D22" s="759"/>
      <c r="E22" s="759"/>
      <c r="F22" s="759"/>
      <c r="G22" s="759"/>
      <c r="H22" s="759"/>
      <c r="I22" s="759"/>
      <c r="J22" s="759"/>
      <c r="K22" s="759"/>
      <c r="L22" s="759"/>
      <c r="M22" s="759"/>
      <c r="N22" s="759">
        <f t="shared" si="2"/>
        <v>0</v>
      </c>
      <c r="O22" s="759"/>
      <c r="P22" s="759"/>
      <c r="Q22" s="759"/>
      <c r="R22" s="759"/>
      <c r="S22" s="759"/>
      <c r="T22" s="759"/>
      <c r="U22" s="759"/>
      <c r="V22" s="759"/>
      <c r="W22" s="759"/>
      <c r="X22" s="759"/>
      <c r="Y22" s="759"/>
      <c r="Z22" s="759"/>
      <c r="AA22" s="759">
        <f t="shared" si="1"/>
        <v>0</v>
      </c>
    </row>
    <row r="23" spans="1:27" ht="20.100000000000001" customHeight="1">
      <c r="A23" s="754" t="s">
        <v>349</v>
      </c>
      <c r="B23" s="759"/>
      <c r="C23" s="759"/>
      <c r="D23" s="759"/>
      <c r="E23" s="759"/>
      <c r="F23" s="759"/>
      <c r="G23" s="759"/>
      <c r="H23" s="759"/>
      <c r="I23" s="759"/>
      <c r="J23" s="759"/>
      <c r="K23" s="759"/>
      <c r="L23" s="759"/>
      <c r="M23" s="759"/>
      <c r="N23" s="759">
        <f t="shared" si="2"/>
        <v>0</v>
      </c>
      <c r="O23" s="759"/>
      <c r="P23" s="759"/>
      <c r="Q23" s="759"/>
      <c r="R23" s="759"/>
      <c r="S23" s="759"/>
      <c r="T23" s="759"/>
      <c r="U23" s="759"/>
      <c r="V23" s="759"/>
      <c r="W23" s="759"/>
      <c r="X23" s="759"/>
      <c r="Y23" s="759"/>
      <c r="Z23" s="759"/>
      <c r="AA23" s="759">
        <f t="shared" si="1"/>
        <v>0</v>
      </c>
    </row>
    <row r="24" spans="1:27" ht="20.100000000000001" customHeight="1">
      <c r="A24" s="754" t="s">
        <v>350</v>
      </c>
      <c r="B24" s="759">
        <f>SUM(B25:B30)</f>
        <v>0</v>
      </c>
      <c r="C24" s="759">
        <f>SUM(C25:C30)</f>
        <v>0</v>
      </c>
      <c r="D24" s="759">
        <f>SUM(D25:D30)</f>
        <v>0</v>
      </c>
      <c r="E24" s="759">
        <f>SUM(E25:E30)</f>
        <v>0</v>
      </c>
      <c r="F24" s="759">
        <f t="shared" ref="F24:M24" si="10">SUM(F25:F30)</f>
        <v>0</v>
      </c>
      <c r="G24" s="759">
        <f t="shared" si="10"/>
        <v>0</v>
      </c>
      <c r="H24" s="759">
        <f t="shared" si="10"/>
        <v>0</v>
      </c>
      <c r="I24" s="759">
        <f t="shared" si="10"/>
        <v>0</v>
      </c>
      <c r="J24" s="759">
        <f t="shared" si="10"/>
        <v>0</v>
      </c>
      <c r="K24" s="759">
        <f t="shared" si="10"/>
        <v>0</v>
      </c>
      <c r="L24" s="759">
        <f t="shared" si="10"/>
        <v>0</v>
      </c>
      <c r="M24" s="759">
        <f t="shared" si="10"/>
        <v>0</v>
      </c>
      <c r="N24" s="759">
        <f t="shared" si="2"/>
        <v>0</v>
      </c>
      <c r="O24" s="759">
        <f t="shared" ref="O24:Z24" si="11">SUM(O25:O30)</f>
        <v>0</v>
      </c>
      <c r="P24" s="759">
        <f t="shared" si="11"/>
        <v>0</v>
      </c>
      <c r="Q24" s="759">
        <f t="shared" si="11"/>
        <v>0</v>
      </c>
      <c r="R24" s="759">
        <f t="shared" si="11"/>
        <v>0</v>
      </c>
      <c r="S24" s="759">
        <f t="shared" si="11"/>
        <v>0</v>
      </c>
      <c r="T24" s="759">
        <f t="shared" si="11"/>
        <v>0</v>
      </c>
      <c r="U24" s="759">
        <f t="shared" si="11"/>
        <v>0</v>
      </c>
      <c r="V24" s="759">
        <f t="shared" si="11"/>
        <v>0</v>
      </c>
      <c r="W24" s="759">
        <f t="shared" si="11"/>
        <v>0</v>
      </c>
      <c r="X24" s="759">
        <f t="shared" si="11"/>
        <v>0</v>
      </c>
      <c r="Y24" s="759">
        <f t="shared" si="11"/>
        <v>0</v>
      </c>
      <c r="Z24" s="759">
        <f t="shared" si="11"/>
        <v>0</v>
      </c>
      <c r="AA24" s="759">
        <f t="shared" si="1"/>
        <v>0</v>
      </c>
    </row>
    <row r="25" spans="1:27" ht="20.100000000000001" customHeight="1">
      <c r="A25" s="754" t="s">
        <v>351</v>
      </c>
      <c r="B25" s="759"/>
      <c r="C25" s="759"/>
      <c r="D25" s="759"/>
      <c r="E25" s="759"/>
      <c r="F25" s="759"/>
      <c r="G25" s="759"/>
      <c r="H25" s="759"/>
      <c r="I25" s="759"/>
      <c r="J25" s="759"/>
      <c r="K25" s="759"/>
      <c r="L25" s="759"/>
      <c r="M25" s="759"/>
      <c r="N25" s="759">
        <f t="shared" si="2"/>
        <v>0</v>
      </c>
      <c r="O25" s="759"/>
      <c r="P25" s="759"/>
      <c r="Q25" s="759"/>
      <c r="R25" s="759"/>
      <c r="S25" s="759"/>
      <c r="T25" s="759"/>
      <c r="U25" s="759"/>
      <c r="V25" s="759"/>
      <c r="W25" s="759"/>
      <c r="X25" s="759"/>
      <c r="Y25" s="759"/>
      <c r="Z25" s="759"/>
      <c r="AA25" s="759">
        <f t="shared" si="1"/>
        <v>0</v>
      </c>
    </row>
    <row r="26" spans="1:27" ht="20.100000000000001" customHeight="1">
      <c r="A26" s="754" t="s">
        <v>352</v>
      </c>
      <c r="B26" s="759"/>
      <c r="C26" s="759"/>
      <c r="D26" s="759"/>
      <c r="E26" s="759"/>
      <c r="F26" s="759"/>
      <c r="G26" s="759"/>
      <c r="H26" s="759"/>
      <c r="I26" s="759"/>
      <c r="J26" s="759"/>
      <c r="K26" s="759"/>
      <c r="L26" s="759"/>
      <c r="M26" s="759"/>
      <c r="N26" s="759">
        <f t="shared" si="2"/>
        <v>0</v>
      </c>
      <c r="O26" s="759"/>
      <c r="P26" s="759"/>
      <c r="Q26" s="759"/>
      <c r="R26" s="759"/>
      <c r="S26" s="759"/>
      <c r="T26" s="759"/>
      <c r="U26" s="759"/>
      <c r="V26" s="759"/>
      <c r="W26" s="759"/>
      <c r="X26" s="759"/>
      <c r="Y26" s="759"/>
      <c r="Z26" s="759"/>
      <c r="AA26" s="759">
        <f t="shared" si="1"/>
        <v>0</v>
      </c>
    </row>
    <row r="27" spans="1:27" ht="20.100000000000001" customHeight="1">
      <c r="A27" s="754" t="s">
        <v>353</v>
      </c>
      <c r="B27" s="759"/>
      <c r="C27" s="759"/>
      <c r="D27" s="759"/>
      <c r="E27" s="759"/>
      <c r="F27" s="759"/>
      <c r="G27" s="759"/>
      <c r="H27" s="759"/>
      <c r="I27" s="759"/>
      <c r="J27" s="759"/>
      <c r="K27" s="759"/>
      <c r="L27" s="759"/>
      <c r="M27" s="759"/>
      <c r="N27" s="759">
        <f t="shared" si="2"/>
        <v>0</v>
      </c>
      <c r="O27" s="759"/>
      <c r="P27" s="759"/>
      <c r="Q27" s="759"/>
      <c r="R27" s="759"/>
      <c r="S27" s="759"/>
      <c r="T27" s="759"/>
      <c r="U27" s="759"/>
      <c r="V27" s="759"/>
      <c r="W27" s="759"/>
      <c r="X27" s="759"/>
      <c r="Y27" s="759"/>
      <c r="Z27" s="759"/>
      <c r="AA27" s="759">
        <f t="shared" si="1"/>
        <v>0</v>
      </c>
    </row>
    <row r="28" spans="1:27" s="753" customFormat="1" ht="30.75" customHeight="1">
      <c r="A28" s="752" t="s">
        <v>354</v>
      </c>
      <c r="B28" s="759"/>
      <c r="C28" s="759"/>
      <c r="D28" s="759"/>
      <c r="E28" s="759"/>
      <c r="F28" s="759"/>
      <c r="G28" s="759"/>
      <c r="H28" s="759"/>
      <c r="I28" s="759"/>
      <c r="J28" s="759"/>
      <c r="K28" s="759"/>
      <c r="L28" s="759"/>
      <c r="M28" s="759"/>
      <c r="N28" s="759">
        <f t="shared" si="2"/>
        <v>0</v>
      </c>
      <c r="O28" s="759"/>
      <c r="P28" s="759"/>
      <c r="Q28" s="759"/>
      <c r="R28" s="759"/>
      <c r="S28" s="759"/>
      <c r="T28" s="759"/>
      <c r="U28" s="759"/>
      <c r="V28" s="759"/>
      <c r="W28" s="759"/>
      <c r="X28" s="759"/>
      <c r="Y28" s="759"/>
      <c r="Z28" s="759"/>
      <c r="AA28" s="759">
        <f t="shared" si="1"/>
        <v>0</v>
      </c>
    </row>
    <row r="29" spans="1:27" s="753" customFormat="1" ht="30.75" customHeight="1">
      <c r="A29" s="761" t="s">
        <v>2093</v>
      </c>
      <c r="B29" s="759"/>
      <c r="C29" s="759"/>
      <c r="D29" s="759"/>
      <c r="E29" s="759"/>
      <c r="F29" s="759"/>
      <c r="G29" s="759"/>
      <c r="H29" s="759"/>
      <c r="I29" s="759"/>
      <c r="J29" s="759"/>
      <c r="K29" s="759"/>
      <c r="L29" s="759"/>
      <c r="M29" s="759"/>
      <c r="N29" s="759"/>
      <c r="O29" s="759"/>
      <c r="P29" s="759"/>
      <c r="Q29" s="759"/>
      <c r="R29" s="759"/>
      <c r="S29" s="759"/>
      <c r="T29" s="759"/>
      <c r="U29" s="759"/>
      <c r="V29" s="759"/>
      <c r="W29" s="759"/>
      <c r="X29" s="759"/>
      <c r="Y29" s="759"/>
      <c r="Z29" s="759"/>
      <c r="AA29" s="759"/>
    </row>
    <row r="30" spans="1:27" ht="20.100000000000001" customHeight="1">
      <c r="A30" s="754" t="s">
        <v>2094</v>
      </c>
      <c r="B30" s="759"/>
      <c r="C30" s="759"/>
      <c r="D30" s="759"/>
      <c r="E30" s="759"/>
      <c r="F30" s="759"/>
      <c r="G30" s="759"/>
      <c r="H30" s="759"/>
      <c r="I30" s="759"/>
      <c r="J30" s="759"/>
      <c r="K30" s="759"/>
      <c r="L30" s="759"/>
      <c r="M30" s="759"/>
      <c r="N30" s="759">
        <f t="shared" si="2"/>
        <v>0</v>
      </c>
      <c r="O30" s="759"/>
      <c r="P30" s="759"/>
      <c r="Q30" s="759"/>
      <c r="R30" s="759"/>
      <c r="S30" s="759"/>
      <c r="T30" s="759"/>
      <c r="U30" s="759"/>
      <c r="V30" s="759"/>
      <c r="W30" s="759"/>
      <c r="X30" s="759"/>
      <c r="Y30" s="759"/>
      <c r="Z30" s="759"/>
      <c r="AA30" s="759">
        <f t="shared" si="1"/>
        <v>0</v>
      </c>
    </row>
    <row r="31" spans="1:27" ht="20.100000000000001" customHeight="1">
      <c r="A31" s="754" t="s">
        <v>355</v>
      </c>
      <c r="B31" s="759">
        <f>B32+B33</f>
        <v>0</v>
      </c>
      <c r="C31" s="759">
        <f t="shared" ref="C31:H31" si="12">C32+C33</f>
        <v>0</v>
      </c>
      <c r="D31" s="759">
        <f t="shared" si="12"/>
        <v>0</v>
      </c>
      <c r="E31" s="759">
        <f t="shared" si="12"/>
        <v>0</v>
      </c>
      <c r="F31" s="759">
        <f t="shared" si="12"/>
        <v>0</v>
      </c>
      <c r="G31" s="759">
        <f t="shared" si="12"/>
        <v>0</v>
      </c>
      <c r="H31" s="759">
        <f t="shared" si="12"/>
        <v>0</v>
      </c>
      <c r="I31" s="759">
        <f>SUM(I32:I33)</f>
        <v>0</v>
      </c>
      <c r="J31" s="759">
        <f>SUM(J32:J33)</f>
        <v>0</v>
      </c>
      <c r="K31" s="759">
        <f>SUM(K32:K33)</f>
        <v>0</v>
      </c>
      <c r="L31" s="759">
        <f>SUM(L32:L33)</f>
        <v>0</v>
      </c>
      <c r="M31" s="759">
        <f>SUM(M32:M33)</f>
        <v>0</v>
      </c>
      <c r="N31" s="759">
        <f t="shared" si="2"/>
        <v>0</v>
      </c>
      <c r="O31" s="759">
        <f>SUM(O32:O33)</f>
        <v>0</v>
      </c>
      <c r="P31" s="759">
        <f t="shared" ref="P31:Z31" si="13">SUM(P32:P33)</f>
        <v>0</v>
      </c>
      <c r="Q31" s="759">
        <f t="shared" si="13"/>
        <v>0</v>
      </c>
      <c r="R31" s="759">
        <f t="shared" si="13"/>
        <v>0</v>
      </c>
      <c r="S31" s="759">
        <f t="shared" si="13"/>
        <v>0</v>
      </c>
      <c r="T31" s="759">
        <f t="shared" si="13"/>
        <v>0</v>
      </c>
      <c r="U31" s="759">
        <f t="shared" si="13"/>
        <v>0</v>
      </c>
      <c r="V31" s="759">
        <f t="shared" si="13"/>
        <v>0</v>
      </c>
      <c r="W31" s="759">
        <f t="shared" si="13"/>
        <v>0</v>
      </c>
      <c r="X31" s="759">
        <f t="shared" si="13"/>
        <v>0</v>
      </c>
      <c r="Y31" s="759">
        <f t="shared" si="13"/>
        <v>0</v>
      </c>
      <c r="Z31" s="759">
        <f t="shared" si="13"/>
        <v>0</v>
      </c>
      <c r="AA31" s="759">
        <f t="shared" si="1"/>
        <v>0</v>
      </c>
    </row>
    <row r="32" spans="1:27" ht="20.100000000000001" customHeight="1">
      <c r="A32" s="754" t="s">
        <v>356</v>
      </c>
      <c r="B32" s="759"/>
      <c r="C32" s="759"/>
      <c r="D32" s="759"/>
      <c r="E32" s="759"/>
      <c r="F32" s="759"/>
      <c r="G32" s="759"/>
      <c r="H32" s="759"/>
      <c r="I32" s="759"/>
      <c r="J32" s="759"/>
      <c r="K32" s="759"/>
      <c r="L32" s="759"/>
      <c r="M32" s="759"/>
      <c r="N32" s="759">
        <f t="shared" si="2"/>
        <v>0</v>
      </c>
      <c r="O32" s="759"/>
      <c r="P32" s="759"/>
      <c r="Q32" s="759"/>
      <c r="R32" s="759"/>
      <c r="S32" s="759"/>
      <c r="T32" s="759"/>
      <c r="U32" s="759"/>
      <c r="V32" s="759"/>
      <c r="W32" s="759"/>
      <c r="X32" s="759"/>
      <c r="Y32" s="759"/>
      <c r="Z32" s="759"/>
      <c r="AA32" s="759">
        <f t="shared" si="1"/>
        <v>0</v>
      </c>
    </row>
    <row r="33" spans="1:28" ht="20.100000000000001" customHeight="1">
      <c r="A33" s="754" t="s">
        <v>357</v>
      </c>
      <c r="B33" s="759"/>
      <c r="C33" s="759"/>
      <c r="D33" s="759"/>
      <c r="E33" s="759"/>
      <c r="F33" s="759"/>
      <c r="G33" s="759"/>
      <c r="H33" s="759"/>
      <c r="I33" s="759"/>
      <c r="J33" s="759"/>
      <c r="K33" s="759"/>
      <c r="L33" s="759"/>
      <c r="M33" s="759"/>
      <c r="N33" s="759">
        <f t="shared" si="2"/>
        <v>0</v>
      </c>
      <c r="O33" s="759"/>
      <c r="P33" s="759"/>
      <c r="Q33" s="759"/>
      <c r="R33" s="759"/>
      <c r="S33" s="759"/>
      <c r="T33" s="759"/>
      <c r="U33" s="759"/>
      <c r="V33" s="759"/>
      <c r="W33" s="759"/>
      <c r="X33" s="759"/>
      <c r="Y33" s="759"/>
      <c r="Z33" s="759"/>
      <c r="AA33" s="759">
        <f t="shared" si="1"/>
        <v>0</v>
      </c>
    </row>
    <row r="34" spans="1:28" ht="20.100000000000001" customHeight="1">
      <c r="A34" s="754" t="s">
        <v>358</v>
      </c>
      <c r="B34" s="759"/>
      <c r="C34" s="759"/>
      <c r="D34" s="759"/>
      <c r="E34" s="759"/>
      <c r="F34" s="759"/>
      <c r="G34" s="759"/>
      <c r="H34" s="759"/>
      <c r="I34" s="759"/>
      <c r="J34" s="759"/>
      <c r="K34" s="759"/>
      <c r="L34" s="759"/>
      <c r="M34" s="759"/>
      <c r="N34" s="759">
        <f t="shared" si="2"/>
        <v>0</v>
      </c>
      <c r="O34" s="759"/>
      <c r="P34" s="759"/>
      <c r="Q34" s="759"/>
      <c r="R34" s="759"/>
      <c r="S34" s="759"/>
      <c r="T34" s="759"/>
      <c r="U34" s="759"/>
      <c r="V34" s="759"/>
      <c r="W34" s="759"/>
      <c r="X34" s="759"/>
      <c r="Y34" s="759"/>
      <c r="Z34" s="759">
        <f>SUM(O34:Y34)</f>
        <v>0</v>
      </c>
      <c r="AA34" s="759">
        <f>SUM(P34:Z34)</f>
        <v>0</v>
      </c>
      <c r="AB34" s="754" t="s">
        <v>359</v>
      </c>
    </row>
    <row r="35" spans="1:28" ht="20.100000000000001" customHeight="1">
      <c r="A35" s="757" t="s">
        <v>360</v>
      </c>
      <c r="B35" s="759">
        <f>B12+B13</f>
        <v>0</v>
      </c>
      <c r="C35" s="759">
        <f>C12+C13</f>
        <v>0</v>
      </c>
      <c r="D35" s="759">
        <f>D12+D13</f>
        <v>0</v>
      </c>
      <c r="E35" s="759">
        <f>E12+E13</f>
        <v>0</v>
      </c>
      <c r="F35" s="759">
        <f t="shared" ref="F35:O35" si="14">F12+F13</f>
        <v>0</v>
      </c>
      <c r="G35" s="759">
        <f t="shared" si="14"/>
        <v>0</v>
      </c>
      <c r="H35" s="759">
        <f t="shared" si="14"/>
        <v>0</v>
      </c>
      <c r="I35" s="759">
        <f t="shared" si="14"/>
        <v>0</v>
      </c>
      <c r="J35" s="759">
        <f t="shared" si="14"/>
        <v>0</v>
      </c>
      <c r="K35" s="759">
        <f t="shared" si="14"/>
        <v>0</v>
      </c>
      <c r="L35" s="759">
        <f t="shared" si="14"/>
        <v>0</v>
      </c>
      <c r="M35" s="759">
        <f t="shared" si="14"/>
        <v>0</v>
      </c>
      <c r="N35" s="759">
        <f t="shared" si="14"/>
        <v>0</v>
      </c>
      <c r="O35" s="759">
        <f t="shared" si="14"/>
        <v>0</v>
      </c>
      <c r="P35" s="759">
        <v>0</v>
      </c>
      <c r="Q35" s="759">
        <v>0</v>
      </c>
      <c r="R35" s="759">
        <v>0</v>
      </c>
      <c r="S35" s="759">
        <f t="shared" ref="S35:AA35" si="15">S12+S13</f>
        <v>0</v>
      </c>
      <c r="T35" s="759">
        <f t="shared" si="15"/>
        <v>0</v>
      </c>
      <c r="U35" s="759">
        <v>0</v>
      </c>
      <c r="V35" s="759">
        <f>V12+V13</f>
        <v>0</v>
      </c>
      <c r="W35" s="759">
        <f t="shared" si="15"/>
        <v>0</v>
      </c>
      <c r="X35" s="759">
        <f t="shared" si="15"/>
        <v>0</v>
      </c>
      <c r="Y35" s="759">
        <f t="shared" si="15"/>
        <v>0</v>
      </c>
      <c r="Z35" s="759">
        <f t="shared" si="15"/>
        <v>0</v>
      </c>
      <c r="AA35" s="759">
        <f t="shared" si="15"/>
        <v>0</v>
      </c>
    </row>
    <row r="36" spans="1:28" ht="20.100000000000001" customHeight="1"/>
    <row r="37" spans="1:28" ht="20.100000000000001" customHeight="1">
      <c r="A37" s="762" t="s">
        <v>361</v>
      </c>
      <c r="F37" s="762" t="s">
        <v>362</v>
      </c>
      <c r="I37" s="763"/>
      <c r="L37" s="754" t="s">
        <v>363</v>
      </c>
      <c r="S37" s="762" t="s">
        <v>362</v>
      </c>
      <c r="Y37" s="754" t="s">
        <v>363</v>
      </c>
    </row>
    <row r="39" spans="1:28">
      <c r="A39" s="1228"/>
      <c r="B39" s="1228"/>
      <c r="C39" s="1228"/>
      <c r="D39" s="1228"/>
      <c r="E39" s="1228"/>
      <c r="F39" s="1228"/>
      <c r="G39" s="1228"/>
      <c r="H39" s="1228"/>
      <c r="I39" s="1228"/>
      <c r="J39" s="1228"/>
    </row>
    <row r="40" spans="1:28" ht="14.25" customHeight="1">
      <c r="A40" s="1228"/>
      <c r="B40" s="1228"/>
      <c r="C40" s="1228"/>
      <c r="D40" s="1228"/>
      <c r="E40" s="1228"/>
      <c r="F40" s="1228"/>
      <c r="G40" s="1228"/>
      <c r="H40" s="1228"/>
      <c r="I40" s="1228"/>
      <c r="J40" s="1228"/>
      <c r="K40" s="1228"/>
      <c r="L40" s="1228"/>
      <c r="M40" s="1228"/>
      <c r="N40" s="1228"/>
    </row>
  </sheetData>
  <mergeCells count="31">
    <mergeCell ref="X6:X7"/>
    <mergeCell ref="Y6:Y7"/>
    <mergeCell ref="Z5:Z7"/>
    <mergeCell ref="AA5:AA7"/>
    <mergeCell ref="S6:S7"/>
    <mergeCell ref="T6:T7"/>
    <mergeCell ref="U6:U7"/>
    <mergeCell ref="V6:V7"/>
    <mergeCell ref="W6:W7"/>
    <mergeCell ref="C6:E6"/>
    <mergeCell ref="P6:R6"/>
    <mergeCell ref="A39:J39"/>
    <mergeCell ref="A40:N40"/>
    <mergeCell ref="A4:A7"/>
    <mergeCell ref="B6:B7"/>
    <mergeCell ref="F6:F7"/>
    <mergeCell ref="G6:G7"/>
    <mergeCell ref="H6:H7"/>
    <mergeCell ref="I6:I7"/>
    <mergeCell ref="J6:J7"/>
    <mergeCell ref="K6:K7"/>
    <mergeCell ref="L6:L7"/>
    <mergeCell ref="M5:M7"/>
    <mergeCell ref="N5:N7"/>
    <mergeCell ref="O6:O7"/>
    <mergeCell ref="B1:N1"/>
    <mergeCell ref="O1:AA1"/>
    <mergeCell ref="B4:N4"/>
    <mergeCell ref="O4:AA4"/>
    <mergeCell ref="B5:L5"/>
    <mergeCell ref="O5:Y5"/>
  </mergeCells>
  <phoneticPr fontId="76" type="noConversion"/>
  <pageMargins left="1.18055555555556" right="0.196527777777778" top="0.78680555555555598" bottom="0.98402777777777795" header="0.51180555555555596" footer="0.51180555555555596"/>
  <pageSetup paperSize="9" scale="49" orientation="landscape" blackAndWhite="1" r:id="rId1"/>
  <headerFooter alignWithMargins="0">
    <oddFooter>&amp;C5</oddFooter>
  </headerFooter>
  <colBreaks count="1" manualBreakCount="1">
    <brk id="14" max="36"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275"/>
  <sheetViews>
    <sheetView view="pageBreakPreview" zoomScaleNormal="100" zoomScaleSheetLayoutView="100" workbookViewId="0">
      <pane xSplit="1" ySplit="4" topLeftCell="B164" activePane="bottomRight" state="frozen"/>
      <selection pane="topRight"/>
      <selection pane="bottomLeft"/>
      <selection pane="bottomRight" activeCell="A152" sqref="A152"/>
    </sheetView>
  </sheetViews>
  <sheetFormatPr defaultColWidth="9" defaultRowHeight="20.100000000000001" customHeight="1"/>
  <cols>
    <col min="1" max="1" width="37.375" style="650" customWidth="1"/>
    <col min="2" max="5" width="25.625" style="650" customWidth="1"/>
    <col min="6" max="6" width="6.375" style="651" customWidth="1"/>
    <col min="7" max="13" width="12.5" style="116" customWidth="1"/>
    <col min="14" max="14" width="8.25" style="116" customWidth="1"/>
    <col min="15" max="21" width="13.75" style="116" customWidth="1"/>
    <col min="22" max="22" width="13.625" style="650" customWidth="1"/>
    <col min="23" max="23" width="15.375" style="650" customWidth="1"/>
    <col min="24" max="24" width="14.25" style="650" customWidth="1"/>
    <col min="25" max="25" width="13.625" style="650" customWidth="1"/>
    <col min="26" max="16384" width="9" style="650"/>
  </cols>
  <sheetData>
    <row r="1" spans="1:22" s="596" customFormat="1" ht="24.95" customHeight="1">
      <c r="A1" s="12" t="s">
        <v>145</v>
      </c>
      <c r="B1" s="652">
        <f>基础信息!B6</f>
        <v>0</v>
      </c>
      <c r="C1" s="653"/>
      <c r="F1" s="654"/>
      <c r="G1" s="655"/>
      <c r="H1" s="655"/>
      <c r="I1" s="655"/>
      <c r="J1" s="655"/>
      <c r="K1" s="655"/>
      <c r="L1" s="655"/>
      <c r="M1" s="655"/>
      <c r="N1" s="655"/>
      <c r="O1" s="655"/>
      <c r="P1" s="655"/>
      <c r="Q1" s="655"/>
      <c r="R1" s="655"/>
      <c r="S1" s="655"/>
      <c r="T1" s="655"/>
      <c r="U1" s="655"/>
    </row>
    <row r="2" spans="1:22" s="596" customFormat="1" ht="24.95" customHeight="1">
      <c r="A2" s="12" t="s">
        <v>147</v>
      </c>
      <c r="B2" s="652">
        <f>基础信息!B9</f>
        <v>0</v>
      </c>
      <c r="C2" s="653"/>
      <c r="F2" s="654"/>
      <c r="G2" s="655"/>
      <c r="H2" s="655"/>
      <c r="J2" s="689" t="s">
        <v>364</v>
      </c>
      <c r="K2" s="655"/>
      <c r="L2" s="655"/>
      <c r="M2" s="655"/>
      <c r="N2" s="655"/>
      <c r="O2" s="655"/>
      <c r="P2" s="655"/>
      <c r="R2" s="689" t="s">
        <v>365</v>
      </c>
      <c r="S2" s="655"/>
      <c r="T2" s="655"/>
      <c r="U2" s="655"/>
    </row>
    <row r="3" spans="1:22" s="596" customFormat="1" ht="24.95" customHeight="1">
      <c r="A3" s="12" t="s">
        <v>148</v>
      </c>
      <c r="B3" s="656" t="s">
        <v>366</v>
      </c>
      <c r="C3" s="653"/>
      <c r="F3" s="654"/>
      <c r="G3" s="655"/>
      <c r="H3" s="655"/>
      <c r="I3" s="655"/>
      <c r="J3" s="655"/>
      <c r="K3" s="655"/>
      <c r="L3" s="655"/>
      <c r="M3" s="655"/>
      <c r="N3" s="655"/>
      <c r="O3" s="655"/>
      <c r="P3" s="655"/>
      <c r="Q3" s="655"/>
      <c r="R3" s="655"/>
      <c r="S3" s="655"/>
      <c r="T3" s="655"/>
      <c r="U3" s="655"/>
    </row>
    <row r="4" spans="1:22" s="596" customFormat="1" ht="20.100000000000001" customHeight="1">
      <c r="A4" s="657" t="s">
        <v>137</v>
      </c>
      <c r="B4" s="26" t="s">
        <v>367</v>
      </c>
      <c r="C4" s="658" t="s">
        <v>368</v>
      </c>
      <c r="D4" s="658" t="s">
        <v>369</v>
      </c>
      <c r="E4" s="26" t="s">
        <v>370</v>
      </c>
      <c r="F4" s="659" t="s">
        <v>1</v>
      </c>
      <c r="G4" s="660" t="s">
        <v>371</v>
      </c>
      <c r="H4" s="660" t="s">
        <v>372</v>
      </c>
      <c r="I4" s="660" t="s">
        <v>373</v>
      </c>
      <c r="J4" s="660" t="s">
        <v>374</v>
      </c>
      <c r="K4" s="660" t="s">
        <v>375</v>
      </c>
      <c r="L4" s="660" t="s">
        <v>376</v>
      </c>
      <c r="M4" s="660" t="s">
        <v>377</v>
      </c>
      <c r="N4" s="659" t="s">
        <v>1</v>
      </c>
      <c r="O4" s="659" t="s">
        <v>371</v>
      </c>
      <c r="P4" s="659" t="s">
        <v>372</v>
      </c>
      <c r="Q4" s="659" t="s">
        <v>373</v>
      </c>
      <c r="R4" s="707" t="s">
        <v>374</v>
      </c>
      <c r="S4" s="707" t="s">
        <v>375</v>
      </c>
      <c r="T4" s="659" t="s">
        <v>376</v>
      </c>
      <c r="U4" s="659" t="s">
        <v>377</v>
      </c>
    </row>
    <row r="5" spans="1:22" s="647" customFormat="1" ht="20.100000000000001" customHeight="1">
      <c r="A5" s="661" t="s">
        <v>378</v>
      </c>
      <c r="B5" s="114"/>
      <c r="C5" s="114"/>
      <c r="D5" s="114"/>
      <c r="E5" s="114"/>
      <c r="F5" s="662"/>
      <c r="G5" s="102"/>
      <c r="H5" s="663"/>
      <c r="I5" s="663"/>
      <c r="J5" s="663"/>
      <c r="K5" s="690"/>
      <c r="L5" s="691"/>
      <c r="M5" s="691"/>
      <c r="N5" s="691"/>
      <c r="O5" s="27"/>
      <c r="P5" s="692"/>
      <c r="Q5" s="692"/>
      <c r="R5" s="692"/>
      <c r="S5" s="690"/>
      <c r="T5" s="691"/>
      <c r="U5" s="691"/>
    </row>
    <row r="6" spans="1:22" s="647" customFormat="1" ht="20.100000000000001" customHeight="1">
      <c r="A6" s="661" t="s">
        <v>37</v>
      </c>
      <c r="B6" s="114"/>
      <c r="C6" s="101">
        <f>SUMIF($P:$P,A6,R:R)-SUMIF($P:$P,A6,S:S)</f>
        <v>0</v>
      </c>
      <c r="D6" s="101">
        <f>SUMIF($H:$H,A6,J:J)-SUMIF($H:$H,A6,K:K)</f>
        <v>0</v>
      </c>
      <c r="E6" s="101">
        <f t="shared" ref="E6:E11" si="0">SUM(B6:D6)</f>
        <v>0</v>
      </c>
      <c r="F6" s="664"/>
      <c r="G6" s="102"/>
      <c r="H6" s="102"/>
      <c r="I6" s="102"/>
      <c r="J6" s="102"/>
      <c r="K6" s="102"/>
      <c r="L6" s="102"/>
      <c r="M6" s="102"/>
      <c r="N6" s="102"/>
      <c r="O6" s="102"/>
      <c r="P6" s="102"/>
      <c r="Q6" s="102"/>
      <c r="R6" s="102"/>
      <c r="S6" s="102"/>
      <c r="T6" s="102"/>
      <c r="U6" s="102"/>
    </row>
    <row r="7" spans="1:22" s="647" customFormat="1" ht="20.100000000000001" customHeight="1">
      <c r="A7" s="958" t="s">
        <v>2097</v>
      </c>
      <c r="B7" s="114"/>
      <c r="C7" s="101">
        <f>SUMIF($P:$P,A7,R:R)-SUMIF($P:$P,A7,S:S)</f>
        <v>0</v>
      </c>
      <c r="D7" s="101">
        <f>SUMIF($H:$H,A7,J:J)-SUMIF($H:$H,A7,K:K)</f>
        <v>0</v>
      </c>
      <c r="E7" s="101">
        <f t="shared" si="0"/>
        <v>0</v>
      </c>
      <c r="F7" s="664"/>
      <c r="G7" s="102"/>
      <c r="H7" s="102"/>
      <c r="I7" s="102"/>
      <c r="J7" s="102"/>
      <c r="K7" s="102"/>
      <c r="L7" s="102"/>
      <c r="M7" s="102"/>
      <c r="N7" s="102"/>
      <c r="O7" s="102"/>
      <c r="P7" s="102"/>
      <c r="Q7" s="102"/>
      <c r="R7" s="102"/>
      <c r="S7" s="102"/>
      <c r="T7" s="102"/>
      <c r="U7" s="102"/>
    </row>
    <row r="8" spans="1:22" s="647" customFormat="1" ht="32.25" customHeight="1">
      <c r="A8" s="665" t="s">
        <v>40</v>
      </c>
      <c r="B8" s="114"/>
      <c r="C8" s="101">
        <f>SUMIF($P:$P,A8,R:R)-SUMIF($P:$P,A8,S:S)</f>
        <v>0</v>
      </c>
      <c r="D8" s="101">
        <f>SUMIF($H:$H,A8,J:J)-SUMIF($H:$H,A8,K:K)</f>
        <v>0</v>
      </c>
      <c r="E8" s="101">
        <f t="shared" si="0"/>
        <v>0</v>
      </c>
      <c r="F8" s="666"/>
      <c r="G8" s="667"/>
      <c r="H8" s="667"/>
      <c r="I8" s="667"/>
      <c r="J8" s="671"/>
      <c r="K8" s="671"/>
      <c r="L8" s="693"/>
      <c r="M8" s="693"/>
      <c r="N8" s="694"/>
      <c r="O8" s="694"/>
      <c r="P8" s="694"/>
      <c r="Q8" s="694"/>
      <c r="R8" s="693"/>
      <c r="S8" s="693"/>
      <c r="T8" s="691"/>
      <c r="U8" s="691"/>
    </row>
    <row r="9" spans="1:22" s="647" customFormat="1" ht="20.100000000000001" customHeight="1">
      <c r="A9" s="661" t="s">
        <v>41</v>
      </c>
      <c r="B9" s="114"/>
      <c r="C9" s="101">
        <f>SUMIF($P:$P,A9,R:R)-SUMIF($P:$P,A9,S:S)</f>
        <v>0</v>
      </c>
      <c r="D9" s="101">
        <f>SUMIF($H:$H,A9,J:J)-SUMIF($H:$H,A9,K:K)</f>
        <v>0</v>
      </c>
      <c r="E9" s="101">
        <f t="shared" si="0"/>
        <v>0</v>
      </c>
      <c r="F9" s="666"/>
      <c r="G9" s="667"/>
      <c r="H9" s="667"/>
      <c r="I9" s="667"/>
      <c r="J9" s="671"/>
      <c r="K9" s="671"/>
      <c r="L9" s="693"/>
      <c r="M9" s="693"/>
      <c r="N9" s="694"/>
      <c r="O9" s="694"/>
      <c r="P9" s="694"/>
      <c r="Q9" s="694"/>
      <c r="R9" s="693"/>
      <c r="S9" s="693"/>
      <c r="T9" s="691"/>
      <c r="U9" s="691"/>
    </row>
    <row r="10" spans="1:22" s="647" customFormat="1" ht="20.100000000000001" customHeight="1">
      <c r="A10" s="1059" t="s">
        <v>2244</v>
      </c>
      <c r="B10" s="114"/>
      <c r="C10" s="101">
        <f>SUMIF($P:$P,A10,R:R)-SUMIF($P:$P,A10,S:S)</f>
        <v>0</v>
      </c>
      <c r="D10" s="101">
        <f>SUMIF($H:$H,A10,J:J)-SUMIF($H:$H,A10,K:K)</f>
        <v>0</v>
      </c>
      <c r="E10" s="101">
        <f t="shared" si="0"/>
        <v>0</v>
      </c>
      <c r="F10" s="666"/>
      <c r="G10" s="667"/>
      <c r="H10" s="667"/>
      <c r="I10" s="667"/>
      <c r="J10" s="671"/>
      <c r="K10" s="671"/>
      <c r="L10" s="695"/>
      <c r="M10" s="693"/>
      <c r="N10" s="694"/>
      <c r="O10" s="694"/>
      <c r="P10" s="694"/>
      <c r="Q10" s="694"/>
      <c r="R10" s="693"/>
      <c r="S10" s="693"/>
      <c r="T10" s="691"/>
      <c r="U10" s="691"/>
    </row>
    <row r="11" spans="1:22" s="251" customFormat="1" ht="20.100000000000001" customHeight="1">
      <c r="A11" s="1059" t="s">
        <v>2247</v>
      </c>
      <c r="B11" s="114"/>
      <c r="C11" s="101">
        <f>-SUMIF($P:$P,A11,R:R)+SUMIF($P:$P,A11,S:S)</f>
        <v>0</v>
      </c>
      <c r="D11" s="101">
        <f>-SUMIF($H:$H,A11,J:J)+SUMIF($H:$H,A11,K:K)</f>
        <v>0</v>
      </c>
      <c r="E11" s="101">
        <f t="shared" si="0"/>
        <v>0</v>
      </c>
      <c r="F11" s="668"/>
      <c r="G11" s="669"/>
      <c r="H11" s="667"/>
      <c r="I11" s="667"/>
      <c r="J11" s="671"/>
      <c r="K11" s="671"/>
      <c r="L11" s="693"/>
      <c r="M11" s="693"/>
      <c r="N11" s="694"/>
      <c r="O11" s="694"/>
      <c r="P11" s="694"/>
      <c r="Q11" s="698"/>
      <c r="R11" s="708"/>
      <c r="S11" s="708"/>
      <c r="T11" s="690"/>
      <c r="U11" s="691"/>
      <c r="V11" s="647"/>
    </row>
    <row r="12" spans="1:22" s="647" customFormat="1" ht="20.100000000000001" customHeight="1">
      <c r="A12" s="1060" t="s">
        <v>2246</v>
      </c>
      <c r="B12" s="101">
        <f>B10-B11</f>
        <v>0</v>
      </c>
      <c r="C12" s="101">
        <f>C10-C11</f>
        <v>0</v>
      </c>
      <c r="D12" s="101">
        <f>D10-D11</f>
        <v>0</v>
      </c>
      <c r="E12" s="101">
        <f>E10-E11</f>
        <v>0</v>
      </c>
      <c r="F12" s="668"/>
      <c r="G12" s="669"/>
      <c r="H12" s="667"/>
      <c r="I12" s="667"/>
      <c r="J12" s="671"/>
      <c r="K12" s="671"/>
      <c r="L12" s="693"/>
      <c r="M12" s="693"/>
      <c r="N12" s="694"/>
      <c r="O12" s="694"/>
      <c r="P12" s="696"/>
      <c r="Q12" s="696"/>
      <c r="R12" s="709"/>
      <c r="S12" s="709"/>
      <c r="T12" s="690"/>
      <c r="U12" s="691"/>
    </row>
    <row r="13" spans="1:22" s="647" customFormat="1" ht="20.100000000000001" customHeight="1">
      <c r="A13" s="1059" t="s">
        <v>2245</v>
      </c>
      <c r="B13" s="101"/>
      <c r="C13" s="101">
        <f>SUMIF($P:$P,A13,R:R)-SUMIF($P:$P,A13,S:S)</f>
        <v>0</v>
      </c>
      <c r="D13" s="101">
        <f>SUMIF($H:$H,A13,J:J)-SUMIF($H:$H,A13,K:K)</f>
        <v>0</v>
      </c>
      <c r="E13" s="101">
        <f t="shared" ref="E13:E14" si="1">SUM(B13:D13)</f>
        <v>0</v>
      </c>
      <c r="F13" s="668"/>
      <c r="G13" s="669"/>
      <c r="H13" s="667"/>
      <c r="I13" s="667"/>
      <c r="J13" s="671"/>
      <c r="K13" s="671"/>
      <c r="L13" s="693"/>
      <c r="M13" s="693"/>
      <c r="N13" s="694"/>
      <c r="O13" s="694"/>
      <c r="P13" s="696"/>
      <c r="Q13" s="696"/>
      <c r="R13" s="709"/>
      <c r="S13" s="709"/>
      <c r="T13" s="690"/>
      <c r="U13" s="691"/>
    </row>
    <row r="14" spans="1:22" s="647" customFormat="1" ht="20.100000000000001" customHeight="1">
      <c r="A14" s="1059" t="s">
        <v>2248</v>
      </c>
      <c r="B14" s="101"/>
      <c r="C14" s="101">
        <f>-SUMIF($P:$P,A14,R:R)+SUMIF($P:$P,A14,S:S)</f>
        <v>0</v>
      </c>
      <c r="D14" s="101">
        <f>-SUMIF($H:$H,A14,J:J)+SUMIF($H:$H,A14,K:K)</f>
        <v>0</v>
      </c>
      <c r="E14" s="101">
        <f t="shared" si="1"/>
        <v>0</v>
      </c>
      <c r="F14" s="668"/>
      <c r="G14" s="669"/>
      <c r="H14" s="667"/>
      <c r="I14" s="667"/>
      <c r="J14" s="671"/>
      <c r="K14" s="671"/>
      <c r="L14" s="693"/>
      <c r="M14" s="693"/>
      <c r="N14" s="694"/>
      <c r="O14" s="694"/>
      <c r="P14" s="696"/>
      <c r="Q14" s="696"/>
      <c r="R14" s="709"/>
      <c r="S14" s="709"/>
      <c r="T14" s="690"/>
      <c r="U14" s="691"/>
    </row>
    <row r="15" spans="1:22" s="647" customFormat="1" ht="20.100000000000001" customHeight="1">
      <c r="A15" s="1060" t="s">
        <v>2249</v>
      </c>
      <c r="B15" s="101">
        <f>B13-B14</f>
        <v>0</v>
      </c>
      <c r="C15" s="101">
        <f>C13-C14</f>
        <v>0</v>
      </c>
      <c r="D15" s="101">
        <f>D13-D14</f>
        <v>0</v>
      </c>
      <c r="E15" s="101">
        <f>E13-E14</f>
        <v>0</v>
      </c>
      <c r="F15" s="668"/>
      <c r="G15" s="669"/>
      <c r="H15" s="667"/>
      <c r="I15" s="667"/>
      <c r="J15" s="671"/>
      <c r="K15" s="671"/>
      <c r="L15" s="693"/>
      <c r="M15" s="693"/>
      <c r="N15" s="694"/>
      <c r="O15" s="694"/>
      <c r="P15" s="696"/>
      <c r="Q15" s="696"/>
      <c r="R15" s="709"/>
      <c r="S15" s="709"/>
      <c r="T15" s="690"/>
      <c r="U15" s="691"/>
    </row>
    <row r="16" spans="1:22" s="647" customFormat="1" ht="20.100000000000001" customHeight="1">
      <c r="A16" s="1060" t="s">
        <v>2252</v>
      </c>
      <c r="B16" s="101"/>
      <c r="C16" s="101">
        <f>SUMIF($P:$P,A16,R:R)-SUMIF($P:$P,A16,S:S)</f>
        <v>0</v>
      </c>
      <c r="D16" s="101">
        <f>SUMIF($H:$H,A16,J:J)-SUMIF($H:$H,A16,K:K)</f>
        <v>0</v>
      </c>
      <c r="E16" s="101">
        <f t="shared" ref="E16:E17" si="2">SUM(B16:D16)</f>
        <v>0</v>
      </c>
      <c r="F16" s="668"/>
      <c r="G16" s="669"/>
      <c r="H16" s="667"/>
      <c r="I16" s="667"/>
      <c r="J16" s="671"/>
      <c r="K16" s="671"/>
      <c r="L16" s="693"/>
      <c r="M16" s="693"/>
      <c r="N16" s="694"/>
      <c r="O16" s="694"/>
      <c r="P16" s="696"/>
      <c r="Q16" s="696"/>
      <c r="R16" s="709"/>
      <c r="S16" s="709"/>
      <c r="T16" s="690"/>
      <c r="U16" s="691"/>
    </row>
    <row r="17" spans="1:25" s="647" customFormat="1" ht="20.100000000000001" customHeight="1">
      <c r="A17" s="1060" t="s">
        <v>2253</v>
      </c>
      <c r="B17" s="101"/>
      <c r="C17" s="101">
        <f>-SUMIF($P:$P,A17,R:R)+SUMIF($P:$P,A17,S:S)</f>
        <v>0</v>
      </c>
      <c r="D17" s="101">
        <f>-SUMIF($H:$H,A17,J:J)+SUMIF($H:$H,A17,K:K)</f>
        <v>0</v>
      </c>
      <c r="E17" s="101">
        <f t="shared" si="2"/>
        <v>0</v>
      </c>
      <c r="F17" s="668"/>
      <c r="G17" s="669"/>
      <c r="H17" s="667"/>
      <c r="I17" s="667"/>
      <c r="J17" s="671"/>
      <c r="K17" s="671"/>
      <c r="L17" s="693"/>
      <c r="M17" s="693"/>
      <c r="N17" s="694"/>
      <c r="O17" s="694"/>
      <c r="P17" s="696"/>
      <c r="Q17" s="696"/>
      <c r="R17" s="709"/>
      <c r="S17" s="709"/>
      <c r="T17" s="690"/>
      <c r="U17" s="691"/>
    </row>
    <row r="18" spans="1:25" s="647" customFormat="1" ht="20.100000000000001" customHeight="1">
      <c r="A18" s="1060" t="s">
        <v>2254</v>
      </c>
      <c r="B18" s="101">
        <f>B16-B17</f>
        <v>0</v>
      </c>
      <c r="C18" s="101">
        <f>C16-C17</f>
        <v>0</v>
      </c>
      <c r="D18" s="101">
        <f>D16-D17</f>
        <v>0</v>
      </c>
      <c r="E18" s="101">
        <f>E16-E17</f>
        <v>0</v>
      </c>
      <c r="F18" s="668"/>
      <c r="G18" s="669"/>
      <c r="H18" s="667"/>
      <c r="I18" s="667"/>
      <c r="J18" s="671"/>
      <c r="K18" s="671"/>
      <c r="L18" s="693"/>
      <c r="M18" s="693"/>
      <c r="N18" s="694"/>
      <c r="O18" s="694"/>
      <c r="P18" s="696"/>
      <c r="Q18" s="696"/>
      <c r="R18" s="709"/>
      <c r="S18" s="709"/>
      <c r="T18" s="690"/>
      <c r="U18" s="691"/>
    </row>
    <row r="19" spans="1:25" s="647" customFormat="1" ht="20.100000000000001" customHeight="1">
      <c r="A19" s="661" t="s">
        <v>44</v>
      </c>
      <c r="B19" s="114"/>
      <c r="C19" s="101">
        <f>SUMIF($P:$P,A19,R:R)-SUMIF($P:$P,A19,S:S)</f>
        <v>0</v>
      </c>
      <c r="D19" s="101">
        <f>SUMIF($H:$H,A19,J:J)-SUMIF($H:$H,A19,K:K)</f>
        <v>0</v>
      </c>
      <c r="E19" s="101">
        <f>SUM(B19:D19)</f>
        <v>0</v>
      </c>
      <c r="F19" s="668"/>
      <c r="G19" s="669"/>
      <c r="H19" s="667"/>
      <c r="I19" s="667"/>
      <c r="J19" s="671"/>
      <c r="K19" s="671"/>
      <c r="L19" s="693"/>
      <c r="M19" s="693"/>
      <c r="N19" s="696"/>
      <c r="O19" s="696"/>
      <c r="P19" s="696"/>
      <c r="Q19" s="696"/>
      <c r="R19" s="696"/>
      <c r="S19" s="696"/>
      <c r="T19" s="691"/>
      <c r="U19" s="691"/>
    </row>
    <row r="20" spans="1:25" s="647" customFormat="1" ht="20.100000000000001" customHeight="1">
      <c r="A20" s="661" t="s">
        <v>379</v>
      </c>
      <c r="B20" s="114"/>
      <c r="C20" s="101">
        <f>SUMIF($P:$P,A20,R:R)-SUMIF($P:$P,A20,S:S)</f>
        <v>0</v>
      </c>
      <c r="D20" s="101">
        <f>SUMIF($H:$H,A20,J:J)-SUMIF($H:$H,A20,K:K)</f>
        <v>0</v>
      </c>
      <c r="E20" s="101">
        <f>SUM(B20:D20)</f>
        <v>0</v>
      </c>
      <c r="F20" s="668"/>
      <c r="G20" s="669"/>
      <c r="H20" s="671"/>
      <c r="I20" s="671"/>
      <c r="J20" s="671"/>
      <c r="K20" s="671"/>
      <c r="L20" s="693"/>
      <c r="M20" s="693"/>
      <c r="N20" s="696"/>
      <c r="O20" s="694"/>
      <c r="P20" s="694"/>
      <c r="Q20" s="696"/>
      <c r="R20" s="709"/>
      <c r="S20" s="709"/>
      <c r="T20" s="691"/>
      <c r="U20" s="691"/>
    </row>
    <row r="21" spans="1:25" s="251" customFormat="1" ht="20.100000000000001" customHeight="1">
      <c r="A21" s="672" t="s">
        <v>380</v>
      </c>
      <c r="B21" s="114"/>
      <c r="C21" s="101">
        <f>-SUMIF($P:$P,A21,R:R)+SUMIF($P:$P,A21,S:S)</f>
        <v>0</v>
      </c>
      <c r="D21" s="101">
        <f>-SUMIF($H:$H,A21,J:J)+SUMIF($H:$H,A21,K:K)</f>
        <v>0</v>
      </c>
      <c r="E21" s="101">
        <f>SUM(B21:D21)</f>
        <v>0</v>
      </c>
      <c r="F21" s="668"/>
      <c r="G21" s="669"/>
      <c r="H21" s="667"/>
      <c r="I21" s="667"/>
      <c r="J21" s="671"/>
      <c r="K21" s="671"/>
      <c r="L21" s="693"/>
      <c r="M21" s="693"/>
      <c r="N21" s="696"/>
      <c r="O21" s="694"/>
      <c r="P21" s="694"/>
      <c r="Q21" s="698"/>
      <c r="R21" s="708"/>
      <c r="S21" s="708"/>
      <c r="T21" s="691"/>
      <c r="U21" s="691"/>
    </row>
    <row r="22" spans="1:25" s="647" customFormat="1" ht="20.100000000000001" customHeight="1">
      <c r="A22" s="670" t="s">
        <v>381</v>
      </c>
      <c r="B22" s="101">
        <f>B20-B21</f>
        <v>0</v>
      </c>
      <c r="C22" s="101">
        <f>C20-C21</f>
        <v>0</v>
      </c>
      <c r="D22" s="101">
        <f>D20-D21</f>
        <v>0</v>
      </c>
      <c r="E22" s="101">
        <f>E20-E21</f>
        <v>0</v>
      </c>
      <c r="F22" s="668"/>
      <c r="G22" s="669"/>
      <c r="H22" s="673"/>
      <c r="I22" s="667"/>
      <c r="J22" s="671"/>
      <c r="K22" s="671"/>
      <c r="L22" s="693"/>
      <c r="M22" s="693"/>
      <c r="N22" s="696"/>
      <c r="O22" s="694"/>
      <c r="P22" s="696"/>
      <c r="Q22" s="696"/>
      <c r="R22" s="709"/>
      <c r="S22" s="709"/>
      <c r="T22" s="691"/>
      <c r="U22" s="691"/>
    </row>
    <row r="23" spans="1:25" s="647" customFormat="1" ht="20.100000000000001" customHeight="1">
      <c r="A23" s="661" t="s">
        <v>49</v>
      </c>
      <c r="B23" s="114"/>
      <c r="C23" s="101">
        <f>SUMIF($P:$P,A23,R:R)-SUMIF($P:$P,A23,S:S)</f>
        <v>0</v>
      </c>
      <c r="D23" s="101">
        <f>SUMIF($H:$H,A23,J:J)-SUMIF($H:$H,A23,K:K)</f>
        <v>0</v>
      </c>
      <c r="E23" s="101">
        <f>SUM(B23:D23)</f>
        <v>0</v>
      </c>
      <c r="F23" s="668"/>
      <c r="G23" s="669"/>
      <c r="H23" s="671"/>
      <c r="I23" s="671"/>
      <c r="J23" s="671"/>
      <c r="K23" s="671"/>
      <c r="L23" s="693"/>
      <c r="M23" s="693"/>
      <c r="N23" s="696"/>
      <c r="O23" s="694"/>
      <c r="P23" s="696"/>
      <c r="Q23" s="696"/>
      <c r="R23" s="709"/>
      <c r="S23" s="709"/>
      <c r="T23" s="691"/>
      <c r="U23" s="691"/>
    </row>
    <row r="24" spans="1:25" s="251" customFormat="1" ht="20.100000000000001" customHeight="1">
      <c r="A24" s="674" t="s">
        <v>382</v>
      </c>
      <c r="B24" s="114"/>
      <c r="C24" s="101">
        <f>-SUMIF($P:$P,A24,R:R)+SUMIF($P:$P,A24,S:S)</f>
        <v>0</v>
      </c>
      <c r="D24" s="101">
        <f>-SUMIF($H:$H,A24,J:J)+SUMIF($H:$H,A24,K:K)</f>
        <v>0</v>
      </c>
      <c r="E24" s="101">
        <f>SUM(B24:D24)</f>
        <v>0</v>
      </c>
      <c r="F24" s="668"/>
      <c r="G24" s="669"/>
      <c r="H24" s="671"/>
      <c r="I24" s="671"/>
      <c r="J24" s="671"/>
      <c r="K24" s="671"/>
      <c r="L24" s="693"/>
      <c r="M24" s="693"/>
      <c r="N24" s="696"/>
      <c r="O24" s="697"/>
      <c r="P24" s="696"/>
      <c r="Q24" s="696"/>
      <c r="R24" s="710"/>
      <c r="S24" s="709"/>
      <c r="T24" s="691"/>
      <c r="U24" s="691"/>
    </row>
    <row r="25" spans="1:25" s="647" customFormat="1" ht="20.100000000000001" customHeight="1">
      <c r="A25" s="661" t="s">
        <v>383</v>
      </c>
      <c r="B25" s="101">
        <f>B23-B24</f>
        <v>0</v>
      </c>
      <c r="C25" s="101">
        <f>C23-C24</f>
        <v>0</v>
      </c>
      <c r="D25" s="101">
        <f>D23-D24</f>
        <v>0</v>
      </c>
      <c r="E25" s="101">
        <f>E23-E24</f>
        <v>0</v>
      </c>
      <c r="F25" s="668"/>
      <c r="G25" s="669"/>
      <c r="H25" s="667"/>
      <c r="I25" s="667"/>
      <c r="J25" s="671"/>
      <c r="K25" s="671"/>
      <c r="L25" s="693"/>
      <c r="M25" s="693"/>
      <c r="N25" s="696"/>
      <c r="O25" s="697"/>
      <c r="P25" s="698"/>
      <c r="Q25" s="698"/>
      <c r="R25" s="698"/>
      <c r="S25" s="709"/>
      <c r="T25" s="691"/>
      <c r="U25" s="691"/>
    </row>
    <row r="26" spans="1:25" s="647" customFormat="1" ht="20.100000000000001" customHeight="1">
      <c r="A26" s="958" t="s">
        <v>2021</v>
      </c>
      <c r="B26" s="290"/>
      <c r="C26" s="101">
        <f t="shared" ref="C26:E27" si="3">C24-C25</f>
        <v>0</v>
      </c>
      <c r="D26" s="101">
        <f t="shared" si="3"/>
        <v>0</v>
      </c>
      <c r="E26" s="101">
        <f t="shared" si="3"/>
        <v>0</v>
      </c>
      <c r="F26" s="668"/>
      <c r="G26" s="669"/>
      <c r="H26" s="667"/>
      <c r="I26" s="667"/>
      <c r="J26" s="671"/>
      <c r="K26" s="671"/>
      <c r="L26" s="693"/>
      <c r="M26" s="693"/>
      <c r="N26" s="696"/>
      <c r="O26" s="697"/>
      <c r="P26" s="698"/>
      <c r="Q26" s="698"/>
      <c r="R26" s="698"/>
      <c r="S26" s="709"/>
      <c r="T26" s="691"/>
      <c r="U26" s="691"/>
    </row>
    <row r="27" spans="1:25" s="647" customFormat="1" ht="20.100000000000001" customHeight="1">
      <c r="A27" s="958" t="s">
        <v>2103</v>
      </c>
      <c r="B27" s="290"/>
      <c r="C27" s="101">
        <f t="shared" si="3"/>
        <v>0</v>
      </c>
      <c r="D27" s="101">
        <f t="shared" si="3"/>
        <v>0</v>
      </c>
      <c r="E27" s="101">
        <f t="shared" si="3"/>
        <v>0</v>
      </c>
      <c r="F27" s="668"/>
      <c r="G27" s="669"/>
      <c r="H27" s="667"/>
      <c r="I27" s="667"/>
      <c r="J27" s="671"/>
      <c r="K27" s="671"/>
      <c r="L27" s="693"/>
      <c r="M27" s="693"/>
      <c r="N27" s="696"/>
      <c r="O27" s="697"/>
      <c r="P27" s="698"/>
      <c r="Q27" s="698"/>
      <c r="R27" s="698"/>
      <c r="S27" s="709"/>
      <c r="T27" s="691"/>
      <c r="U27" s="691"/>
    </row>
    <row r="28" spans="1:25" s="647" customFormat="1" ht="20.100000000000001" customHeight="1">
      <c r="A28" s="958" t="s">
        <v>2104</v>
      </c>
      <c r="B28" s="101">
        <f>B26-B27</f>
        <v>0</v>
      </c>
      <c r="C28" s="101">
        <f>C26-C27</f>
        <v>0</v>
      </c>
      <c r="D28" s="101">
        <f t="shared" ref="D28:E28" si="4">D26-D27</f>
        <v>0</v>
      </c>
      <c r="E28" s="101">
        <f t="shared" si="4"/>
        <v>0</v>
      </c>
      <c r="F28" s="668"/>
      <c r="G28" s="669"/>
      <c r="H28" s="667"/>
      <c r="I28" s="667"/>
      <c r="J28" s="671"/>
      <c r="K28" s="671"/>
      <c r="L28" s="693"/>
      <c r="M28" s="693"/>
      <c r="N28" s="696"/>
      <c r="O28" s="697"/>
      <c r="P28" s="698"/>
      <c r="Q28" s="698"/>
      <c r="R28" s="698"/>
      <c r="S28" s="709"/>
      <c r="T28" s="691"/>
      <c r="U28" s="691"/>
    </row>
    <row r="29" spans="1:25" s="647" customFormat="1" ht="20.100000000000001" customHeight="1">
      <c r="A29" s="675" t="s">
        <v>384</v>
      </c>
      <c r="B29" s="114"/>
      <c r="C29" s="101">
        <f>C24-C25</f>
        <v>0</v>
      </c>
      <c r="D29" s="101">
        <f>D24-D25</f>
        <v>0</v>
      </c>
      <c r="E29" s="101">
        <f>E24-E25</f>
        <v>0</v>
      </c>
      <c r="F29" s="668"/>
      <c r="G29" s="669"/>
      <c r="H29" s="667"/>
      <c r="I29" s="667"/>
      <c r="J29" s="671"/>
      <c r="K29" s="671"/>
      <c r="L29" s="693"/>
      <c r="M29" s="693"/>
      <c r="N29" s="696"/>
      <c r="O29" s="697"/>
      <c r="P29" s="698"/>
      <c r="Q29" s="698"/>
      <c r="R29" s="698"/>
      <c r="S29" s="709"/>
      <c r="T29" s="691"/>
      <c r="U29" s="691"/>
    </row>
    <row r="30" spans="1:25" s="647" customFormat="1" ht="20.100000000000001" customHeight="1">
      <c r="A30" s="661" t="s">
        <v>186</v>
      </c>
      <c r="B30" s="114"/>
      <c r="C30" s="101">
        <f t="shared" ref="C30:C36" si="5">SUMIF($P:$P,A30,R:R)-SUMIF($P:$P,A30,S:S)</f>
        <v>0</v>
      </c>
      <c r="D30" s="101">
        <f t="shared" ref="D30:D36" si="6">SUMIF($H:$H,A30,J:J)-SUMIF($H:$H,A30,K:K)</f>
        <v>0</v>
      </c>
      <c r="E30" s="101">
        <f t="shared" ref="E30:E37" si="7">SUM(B30:D30)</f>
        <v>0</v>
      </c>
      <c r="F30" s="668"/>
      <c r="G30" s="669"/>
      <c r="H30" s="671"/>
      <c r="I30" s="671"/>
      <c r="J30" s="671"/>
      <c r="K30" s="671"/>
      <c r="L30" s="693"/>
      <c r="M30" s="693"/>
      <c r="N30" s="696"/>
      <c r="O30" s="696"/>
      <c r="P30" s="696"/>
      <c r="Q30" s="696"/>
      <c r="R30" s="696"/>
      <c r="S30" s="709"/>
      <c r="T30" s="691"/>
      <c r="U30" s="691"/>
    </row>
    <row r="31" spans="1:25" s="647" customFormat="1" ht="20.100000000000001" customHeight="1">
      <c r="A31" s="661" t="s">
        <v>385</v>
      </c>
      <c r="B31" s="114"/>
      <c r="C31" s="101">
        <f t="shared" si="5"/>
        <v>0</v>
      </c>
      <c r="D31" s="101">
        <f t="shared" si="6"/>
        <v>0</v>
      </c>
      <c r="E31" s="101">
        <f t="shared" si="7"/>
        <v>0</v>
      </c>
      <c r="F31" s="668"/>
      <c r="G31" s="669"/>
      <c r="H31" s="671"/>
      <c r="I31" s="671"/>
      <c r="J31" s="671"/>
      <c r="K31" s="671"/>
      <c r="L31" s="693"/>
      <c r="M31" s="693"/>
      <c r="N31" s="696"/>
      <c r="O31" s="697"/>
      <c r="P31" s="696"/>
      <c r="Q31" s="696"/>
      <c r="R31" s="114"/>
      <c r="S31" s="710"/>
      <c r="T31" s="691"/>
      <c r="U31" s="691"/>
    </row>
    <row r="32" spans="1:25" s="647" customFormat="1" ht="20.100000000000001" customHeight="1">
      <c r="A32" s="661" t="s">
        <v>386</v>
      </c>
      <c r="B32" s="114"/>
      <c r="C32" s="101">
        <f t="shared" si="5"/>
        <v>0</v>
      </c>
      <c r="D32" s="101">
        <f t="shared" si="6"/>
        <v>0</v>
      </c>
      <c r="E32" s="101">
        <f t="shared" si="7"/>
        <v>0</v>
      </c>
      <c r="F32" s="668"/>
      <c r="G32" s="669"/>
      <c r="H32" s="667"/>
      <c r="I32" s="667"/>
      <c r="J32" s="671"/>
      <c r="K32" s="671"/>
      <c r="L32" s="693"/>
      <c r="M32" s="693"/>
      <c r="N32" s="696"/>
      <c r="O32" s="697"/>
      <c r="P32" s="696"/>
      <c r="Q32" s="696"/>
      <c r="R32" s="696"/>
      <c r="S32" s="710"/>
      <c r="T32" s="691"/>
      <c r="U32" s="691"/>
      <c r="X32" s="711"/>
      <c r="Y32" s="711"/>
    </row>
    <row r="33" spans="1:25" s="647" customFormat="1" ht="20.100000000000001" customHeight="1">
      <c r="A33" s="661" t="s">
        <v>387</v>
      </c>
      <c r="B33" s="114"/>
      <c r="C33" s="101">
        <f t="shared" si="5"/>
        <v>0</v>
      </c>
      <c r="D33" s="101">
        <f t="shared" si="6"/>
        <v>0</v>
      </c>
      <c r="E33" s="101">
        <f t="shared" si="7"/>
        <v>0</v>
      </c>
      <c r="F33" s="668"/>
      <c r="G33" s="669"/>
      <c r="H33" s="671"/>
      <c r="I33" s="671"/>
      <c r="J33" s="671"/>
      <c r="K33" s="671"/>
      <c r="L33" s="693"/>
      <c r="M33" s="693"/>
      <c r="N33" s="696"/>
      <c r="O33" s="696"/>
      <c r="P33" s="696"/>
      <c r="Q33" s="696"/>
      <c r="R33" s="696"/>
      <c r="S33" s="696"/>
      <c r="T33" s="691"/>
      <c r="U33" s="691"/>
      <c r="X33" s="711"/>
      <c r="Y33" s="711"/>
    </row>
    <row r="34" spans="1:25" s="647" customFormat="1" ht="20.100000000000001" customHeight="1">
      <c r="A34" s="661" t="s">
        <v>388</v>
      </c>
      <c r="B34" s="114"/>
      <c r="C34" s="101">
        <f t="shared" si="5"/>
        <v>0</v>
      </c>
      <c r="D34" s="101">
        <f t="shared" si="6"/>
        <v>0</v>
      </c>
      <c r="E34" s="101">
        <f t="shared" si="7"/>
        <v>0</v>
      </c>
      <c r="F34" s="668"/>
      <c r="G34" s="669"/>
      <c r="H34" s="671"/>
      <c r="I34" s="671"/>
      <c r="J34" s="671"/>
      <c r="K34" s="671"/>
      <c r="L34" s="693"/>
      <c r="M34" s="693"/>
      <c r="N34" s="696"/>
      <c r="O34" s="697"/>
      <c r="P34" s="694"/>
      <c r="Q34" s="696"/>
      <c r="R34" s="712"/>
      <c r="S34" s="712"/>
      <c r="T34" s="691"/>
      <c r="U34" s="691"/>
      <c r="X34" s="711"/>
      <c r="Y34" s="711"/>
    </row>
    <row r="35" spans="1:25" s="647" customFormat="1" ht="20.100000000000001" customHeight="1">
      <c r="A35" s="661" t="s">
        <v>389</v>
      </c>
      <c r="B35" s="114"/>
      <c r="C35" s="101">
        <f t="shared" si="5"/>
        <v>0</v>
      </c>
      <c r="D35" s="101">
        <f t="shared" si="6"/>
        <v>0</v>
      </c>
      <c r="E35" s="101">
        <f t="shared" si="7"/>
        <v>0</v>
      </c>
      <c r="F35" s="676"/>
      <c r="G35" s="667"/>
      <c r="H35" s="667"/>
      <c r="I35" s="667"/>
      <c r="J35" s="671"/>
      <c r="K35" s="671"/>
      <c r="L35" s="693"/>
      <c r="M35" s="693"/>
      <c r="N35" s="696"/>
      <c r="O35" s="697"/>
      <c r="P35" s="694"/>
      <c r="Q35" s="694"/>
      <c r="R35" s="712"/>
      <c r="S35" s="712"/>
      <c r="T35" s="691"/>
      <c r="U35" s="691"/>
      <c r="X35" s="711"/>
      <c r="Y35" s="711"/>
    </row>
    <row r="36" spans="1:25" s="647" customFormat="1" ht="20.100000000000001" customHeight="1">
      <c r="A36" s="661" t="s">
        <v>390</v>
      </c>
      <c r="B36" s="114"/>
      <c r="C36" s="101">
        <f t="shared" si="5"/>
        <v>0</v>
      </c>
      <c r="D36" s="101">
        <f t="shared" si="6"/>
        <v>0</v>
      </c>
      <c r="E36" s="101">
        <f t="shared" si="7"/>
        <v>0</v>
      </c>
      <c r="F36" s="668"/>
      <c r="G36" s="669"/>
      <c r="H36" s="667"/>
      <c r="I36" s="671"/>
      <c r="J36" s="671"/>
      <c r="K36" s="671"/>
      <c r="L36" s="693"/>
      <c r="M36" s="693"/>
      <c r="N36" s="696"/>
      <c r="O36" s="694"/>
      <c r="P36" s="694"/>
      <c r="Q36" s="694"/>
      <c r="R36" s="712"/>
      <c r="S36" s="712"/>
      <c r="T36" s="691"/>
      <c r="U36" s="691"/>
    </row>
    <row r="37" spans="1:25" s="251" customFormat="1" ht="20.100000000000001" customHeight="1">
      <c r="A37" s="672" t="s">
        <v>391</v>
      </c>
      <c r="B37" s="114"/>
      <c r="C37" s="101">
        <f>-SUMIF($P:$P,A37,R:R)+SUMIF($P:$P,A37,S:S)</f>
        <v>0</v>
      </c>
      <c r="D37" s="101">
        <f>-SUMIF($H:$H,A37,J:J)+SUMIF($H:$H,A37,K:K)</f>
        <v>0</v>
      </c>
      <c r="E37" s="101">
        <f t="shared" si="7"/>
        <v>0</v>
      </c>
      <c r="F37" s="668"/>
      <c r="G37" s="669"/>
      <c r="H37" s="667"/>
      <c r="I37" s="671"/>
      <c r="J37" s="671"/>
      <c r="K37" s="671"/>
      <c r="L37" s="693"/>
      <c r="M37" s="693"/>
      <c r="N37" s="696"/>
      <c r="O37" s="697"/>
      <c r="P37" s="694"/>
      <c r="Q37" s="694"/>
      <c r="R37" s="712"/>
      <c r="S37" s="712"/>
      <c r="T37" s="691"/>
      <c r="U37" s="691"/>
    </row>
    <row r="38" spans="1:25" s="647" customFormat="1" ht="20.100000000000001" customHeight="1">
      <c r="A38" s="670" t="s">
        <v>392</v>
      </c>
      <c r="B38" s="101">
        <f>B36-B37</f>
        <v>0</v>
      </c>
      <c r="C38" s="101">
        <f>C36-C37</f>
        <v>0</v>
      </c>
      <c r="D38" s="101">
        <f>D36-D37</f>
        <v>0</v>
      </c>
      <c r="E38" s="101">
        <f>E36-E37</f>
        <v>0</v>
      </c>
      <c r="F38" s="668"/>
      <c r="G38" s="669"/>
      <c r="H38" s="667"/>
      <c r="I38" s="671"/>
      <c r="J38" s="671"/>
      <c r="K38" s="671"/>
      <c r="L38" s="693"/>
      <c r="M38" s="693"/>
      <c r="N38" s="696"/>
      <c r="O38" s="697"/>
      <c r="P38" s="698"/>
      <c r="Q38" s="698"/>
      <c r="R38" s="713"/>
      <c r="S38" s="698"/>
      <c r="T38" s="690"/>
      <c r="U38" s="691"/>
    </row>
    <row r="39" spans="1:25" s="647" customFormat="1" ht="20.100000000000001" customHeight="1">
      <c r="A39" s="661" t="s">
        <v>393</v>
      </c>
      <c r="B39" s="114"/>
      <c r="C39" s="101">
        <f>SUMIF($P:$P,A39,R:R)-SUMIF($P:$P,A39,S:S)</f>
        <v>0</v>
      </c>
      <c r="D39" s="101">
        <f>SUMIF($H:$H,A39,J:J)-SUMIF($H:$H,A39,K:K)</f>
        <v>0</v>
      </c>
      <c r="E39" s="101">
        <f>SUM(B39:D39)</f>
        <v>0</v>
      </c>
      <c r="F39" s="668"/>
      <c r="G39" s="669"/>
      <c r="H39" s="667"/>
      <c r="I39" s="671"/>
      <c r="J39" s="671"/>
      <c r="K39" s="671"/>
      <c r="L39" s="693"/>
      <c r="M39" s="693"/>
      <c r="N39" s="691"/>
      <c r="O39" s="690"/>
      <c r="P39" s="691"/>
      <c r="Q39" s="691"/>
      <c r="R39" s="690"/>
      <c r="S39" s="690"/>
      <c r="T39" s="691"/>
      <c r="U39" s="691"/>
    </row>
    <row r="40" spans="1:25" s="647" customFormat="1" ht="20.100000000000001" customHeight="1">
      <c r="A40" s="661" t="s">
        <v>393</v>
      </c>
      <c r="B40" s="114"/>
      <c r="C40" s="101">
        <f>SUMIF($P:$P,A40,R:R)-SUMIF($P:$P,A40,S:S)</f>
        <v>0</v>
      </c>
      <c r="D40" s="101">
        <f>SUMIF($H:$H,A40,J:J)-SUMIF($H:$H,A40,K:K)</f>
        <v>0</v>
      </c>
      <c r="E40" s="101">
        <f>SUM(B40:D40)</f>
        <v>0</v>
      </c>
      <c r="F40" s="668"/>
      <c r="G40" s="669"/>
      <c r="H40" s="667"/>
      <c r="I40" s="671"/>
      <c r="J40" s="671"/>
      <c r="K40" s="671"/>
      <c r="L40" s="693"/>
      <c r="M40" s="693"/>
      <c r="N40" s="696"/>
      <c r="O40" s="697"/>
      <c r="P40" s="694"/>
      <c r="Q40" s="694"/>
      <c r="R40" s="712"/>
      <c r="S40" s="690"/>
      <c r="T40" s="691"/>
      <c r="U40" s="691"/>
    </row>
    <row r="41" spans="1:25" s="647" customFormat="1" ht="20.100000000000001" customHeight="1">
      <c r="A41" s="661" t="s">
        <v>51</v>
      </c>
      <c r="B41" s="114"/>
      <c r="C41" s="101">
        <f>SUMIF($P:$P,A41,R:R)-SUMIF($P:$P,A41,S:S)</f>
        <v>0</v>
      </c>
      <c r="D41" s="101">
        <f>SUMIF($H:$H,A41,J:J)-SUMIF($H:$H,A41,K:K)</f>
        <v>0</v>
      </c>
      <c r="E41" s="101">
        <f>SUM(B41:D41)</f>
        <v>0</v>
      </c>
      <c r="F41" s="668"/>
      <c r="G41" s="669"/>
      <c r="H41" s="667"/>
      <c r="I41" s="671"/>
      <c r="J41" s="671"/>
      <c r="K41" s="671"/>
      <c r="L41" s="693"/>
      <c r="M41" s="693"/>
      <c r="N41" s="696"/>
      <c r="O41" s="697"/>
      <c r="P41" s="698"/>
      <c r="Q41" s="696"/>
      <c r="R41" s="713"/>
      <c r="S41" s="690"/>
      <c r="T41" s="691"/>
      <c r="U41" s="691"/>
    </row>
    <row r="42" spans="1:25" s="647" customFormat="1" ht="20.100000000000001" customHeight="1">
      <c r="A42" s="661" t="s">
        <v>394</v>
      </c>
      <c r="B42" s="101">
        <f>SUM(B6:B41)-B10-B11-B20-B21-B23-B24-B36-B37</f>
        <v>0</v>
      </c>
      <c r="C42" s="101">
        <f>SUM(C6:C41)-C10-C11-C20-C21-C23-C24-C36-C37</f>
        <v>0</v>
      </c>
      <c r="D42" s="101">
        <f>SUM(D6:D41)-D10-D11-D20-D21-D23-D24-D36-D37</f>
        <v>0</v>
      </c>
      <c r="E42" s="101">
        <f>SUM(E6:E41)-E10-E11-E20-E21-E23-E24-E36-E37</f>
        <v>0</v>
      </c>
      <c r="F42" s="668"/>
      <c r="G42" s="669"/>
      <c r="H42" s="667"/>
      <c r="I42" s="671"/>
      <c r="J42" s="671"/>
      <c r="K42" s="671"/>
      <c r="L42" s="693"/>
      <c r="M42" s="693"/>
      <c r="N42" s="691"/>
      <c r="O42" s="691"/>
      <c r="P42" s="691"/>
      <c r="Q42" s="691"/>
      <c r="R42" s="690"/>
      <c r="S42" s="690"/>
      <c r="T42" s="691"/>
      <c r="U42" s="691"/>
    </row>
    <row r="43" spans="1:25" s="647" customFormat="1" ht="20.100000000000001" customHeight="1">
      <c r="A43" s="661"/>
      <c r="B43" s="114"/>
      <c r="C43" s="114"/>
      <c r="D43" s="114"/>
      <c r="E43" s="114">
        <f t="shared" ref="E43:E51" si="8">SUM(B43:D43)</f>
        <v>0</v>
      </c>
      <c r="F43" s="668"/>
      <c r="G43" s="669"/>
      <c r="H43" s="667"/>
      <c r="I43" s="671"/>
      <c r="J43" s="671"/>
      <c r="K43" s="671"/>
      <c r="L43" s="693"/>
      <c r="M43" s="693"/>
      <c r="N43" s="691"/>
      <c r="O43" s="691"/>
      <c r="P43" s="691"/>
      <c r="Q43" s="691"/>
      <c r="R43" s="690"/>
      <c r="S43" s="690"/>
      <c r="T43" s="690"/>
      <c r="U43" s="691"/>
    </row>
    <row r="44" spans="1:25" s="647" customFormat="1" ht="20.100000000000001" customHeight="1">
      <c r="A44" s="661" t="s">
        <v>395</v>
      </c>
      <c r="B44" s="114"/>
      <c r="C44" s="101">
        <f t="shared" ref="C44:C50" si="9">SUMIF($P:$P,A44,R:R)-SUMIF($P:$P,A44,S:S)</f>
        <v>0</v>
      </c>
      <c r="D44" s="101">
        <f t="shared" ref="D44:D50" si="10">SUMIF($H:$H,A44,J:J)-SUMIF($H:$H,A44,K:K)</f>
        <v>0</v>
      </c>
      <c r="E44" s="101">
        <f t="shared" si="8"/>
        <v>0</v>
      </c>
      <c r="F44" s="668"/>
      <c r="G44" s="669"/>
      <c r="H44" s="667"/>
      <c r="I44" s="671"/>
      <c r="J44" s="671"/>
      <c r="K44" s="671"/>
      <c r="L44" s="693"/>
      <c r="M44" s="693"/>
      <c r="N44" s="691"/>
      <c r="O44" s="691"/>
      <c r="P44" s="691"/>
      <c r="Q44" s="691"/>
      <c r="R44" s="690"/>
      <c r="S44" s="690"/>
      <c r="T44" s="690"/>
      <c r="U44" s="691"/>
    </row>
    <row r="45" spans="1:25" s="647" customFormat="1" ht="20.100000000000001" customHeight="1">
      <c r="A45" s="958" t="s">
        <v>2098</v>
      </c>
      <c r="B45" s="114"/>
      <c r="C45" s="101">
        <f t="shared" si="9"/>
        <v>0</v>
      </c>
      <c r="D45" s="101">
        <f t="shared" si="10"/>
        <v>0</v>
      </c>
      <c r="E45" s="101">
        <f t="shared" si="8"/>
        <v>0</v>
      </c>
      <c r="F45" s="668"/>
      <c r="G45" s="669"/>
      <c r="H45" s="667"/>
      <c r="I45" s="671"/>
      <c r="J45" s="671"/>
      <c r="K45" s="671"/>
      <c r="L45" s="693"/>
      <c r="M45" s="693"/>
      <c r="N45" s="691"/>
      <c r="O45" s="691"/>
      <c r="P45" s="691"/>
      <c r="Q45" s="691"/>
      <c r="R45" s="690"/>
      <c r="S45" s="690"/>
      <c r="T45" s="690"/>
      <c r="U45" s="691"/>
    </row>
    <row r="46" spans="1:25" s="647" customFormat="1" ht="20.100000000000001" customHeight="1">
      <c r="A46" s="661" t="s">
        <v>52</v>
      </c>
      <c r="B46" s="114"/>
      <c r="C46" s="101">
        <f t="shared" si="9"/>
        <v>0</v>
      </c>
      <c r="D46" s="101">
        <f t="shared" si="10"/>
        <v>0</v>
      </c>
      <c r="E46" s="101">
        <f t="shared" si="8"/>
        <v>0</v>
      </c>
      <c r="F46" s="668"/>
      <c r="G46" s="669"/>
      <c r="H46" s="667"/>
      <c r="I46" s="671"/>
      <c r="J46" s="671"/>
      <c r="K46" s="671"/>
      <c r="L46" s="693"/>
      <c r="M46" s="693"/>
      <c r="N46" s="691"/>
      <c r="O46" s="691"/>
      <c r="P46" s="691"/>
      <c r="Q46" s="691"/>
      <c r="R46" s="690"/>
      <c r="S46" s="690"/>
      <c r="T46" s="691"/>
      <c r="U46" s="691"/>
    </row>
    <row r="47" spans="1:25" s="647" customFormat="1" ht="20.100000000000001" customHeight="1">
      <c r="A47" s="661" t="s">
        <v>53</v>
      </c>
      <c r="B47" s="114"/>
      <c r="C47" s="101">
        <f t="shared" si="9"/>
        <v>0</v>
      </c>
      <c r="D47" s="101">
        <f t="shared" si="10"/>
        <v>0</v>
      </c>
      <c r="E47" s="101">
        <f t="shared" si="8"/>
        <v>0</v>
      </c>
      <c r="F47" s="668"/>
      <c r="G47" s="669"/>
      <c r="H47" s="667"/>
      <c r="I47" s="671"/>
      <c r="J47" s="671"/>
      <c r="K47" s="671"/>
      <c r="L47" s="693"/>
      <c r="M47" s="693"/>
      <c r="N47" s="691"/>
      <c r="O47" s="691"/>
      <c r="P47" s="691"/>
      <c r="Q47" s="691"/>
      <c r="R47" s="690"/>
      <c r="S47" s="690"/>
      <c r="T47" s="690"/>
      <c r="U47" s="691"/>
    </row>
    <row r="48" spans="1:25" s="647" customFormat="1" ht="20.100000000000001" customHeight="1">
      <c r="A48" s="661" t="s">
        <v>54</v>
      </c>
      <c r="B48" s="114"/>
      <c r="C48" s="101">
        <f t="shared" si="9"/>
        <v>0</v>
      </c>
      <c r="D48" s="101">
        <f t="shared" si="10"/>
        <v>0</v>
      </c>
      <c r="E48" s="101">
        <f t="shared" si="8"/>
        <v>0</v>
      </c>
      <c r="F48" s="668"/>
      <c r="G48" s="669"/>
      <c r="H48" s="667"/>
      <c r="I48" s="671"/>
      <c r="J48" s="671"/>
      <c r="K48" s="671"/>
      <c r="L48" s="693"/>
      <c r="M48" s="693"/>
      <c r="N48" s="691"/>
      <c r="O48" s="699"/>
      <c r="P48" s="691"/>
      <c r="Q48" s="691"/>
      <c r="R48" s="690"/>
      <c r="S48" s="690"/>
      <c r="T48" s="690"/>
      <c r="U48" s="691"/>
    </row>
    <row r="49" spans="1:21" s="647" customFormat="1" ht="20.100000000000001" customHeight="1">
      <c r="A49" s="661" t="s">
        <v>55</v>
      </c>
      <c r="B49" s="114"/>
      <c r="C49" s="101">
        <f t="shared" si="9"/>
        <v>0</v>
      </c>
      <c r="D49" s="101">
        <f t="shared" si="10"/>
        <v>0</v>
      </c>
      <c r="E49" s="101">
        <f t="shared" ref="E49:E50" si="11">SUM(B49:D49)</f>
        <v>0</v>
      </c>
      <c r="F49" s="668"/>
      <c r="G49" s="669"/>
      <c r="H49" s="667"/>
      <c r="I49" s="671"/>
      <c r="J49" s="671"/>
      <c r="K49" s="671"/>
      <c r="L49" s="693"/>
      <c r="M49" s="693"/>
      <c r="N49" s="691"/>
      <c r="O49" s="699"/>
      <c r="P49" s="691"/>
      <c r="Q49" s="691"/>
      <c r="R49" s="690"/>
      <c r="S49" s="690"/>
      <c r="T49" s="690"/>
      <c r="U49" s="691"/>
    </row>
    <row r="50" spans="1:21" s="647" customFormat="1" ht="20.100000000000001" customHeight="1">
      <c r="A50" s="661" t="s">
        <v>56</v>
      </c>
      <c r="B50" s="114"/>
      <c r="C50" s="101">
        <f t="shared" si="9"/>
        <v>0</v>
      </c>
      <c r="D50" s="101">
        <f t="shared" si="10"/>
        <v>0</v>
      </c>
      <c r="E50" s="101">
        <f t="shared" si="11"/>
        <v>0</v>
      </c>
      <c r="F50" s="668"/>
      <c r="G50" s="669"/>
      <c r="H50" s="667"/>
      <c r="I50" s="671"/>
      <c r="J50" s="671"/>
      <c r="K50" s="671"/>
      <c r="L50" s="693"/>
      <c r="M50" s="693"/>
      <c r="N50" s="691"/>
      <c r="O50" s="691"/>
      <c r="P50" s="691"/>
      <c r="Q50" s="691"/>
      <c r="R50" s="690"/>
      <c r="S50" s="690"/>
      <c r="T50" s="691"/>
      <c r="U50" s="691"/>
    </row>
    <row r="51" spans="1:21" s="251" customFormat="1" ht="20.100000000000001" customHeight="1">
      <c r="A51" s="672" t="s">
        <v>396</v>
      </c>
      <c r="B51" s="114"/>
      <c r="C51" s="101">
        <f>-SUMIF($P:$P,A51,R:R)+SUMIF($P:$P,A51,S:S)</f>
        <v>0</v>
      </c>
      <c r="D51" s="101">
        <f>-SUMIF($H:$H,A51,J:J)+SUMIF($H:$H,A51,K:K)</f>
        <v>0</v>
      </c>
      <c r="E51" s="101">
        <f t="shared" si="8"/>
        <v>0</v>
      </c>
      <c r="F51" s="668"/>
      <c r="G51" s="669"/>
      <c r="H51" s="667"/>
      <c r="I51" s="671"/>
      <c r="J51" s="671"/>
      <c r="K51" s="671"/>
      <c r="L51" s="693"/>
      <c r="M51" s="693"/>
      <c r="N51" s="691"/>
      <c r="O51" s="691"/>
      <c r="P51" s="691"/>
      <c r="Q51" s="691"/>
      <c r="R51" s="690"/>
      <c r="S51" s="690"/>
      <c r="T51" s="691"/>
      <c r="U51" s="691"/>
    </row>
    <row r="52" spans="1:21" s="647" customFormat="1" ht="20.100000000000001" customHeight="1">
      <c r="A52" s="670" t="s">
        <v>397</v>
      </c>
      <c r="B52" s="101">
        <f>B50-B51</f>
        <v>0</v>
      </c>
      <c r="C52" s="101">
        <f>C50-C51</f>
        <v>0</v>
      </c>
      <c r="D52" s="101">
        <f>D50-D51</f>
        <v>0</v>
      </c>
      <c r="E52" s="101">
        <f>E50-E51</f>
        <v>0</v>
      </c>
      <c r="F52" s="668"/>
      <c r="G52" s="669"/>
      <c r="H52" s="667"/>
      <c r="I52" s="671"/>
      <c r="J52" s="671"/>
      <c r="K52" s="671"/>
      <c r="L52" s="693"/>
      <c r="M52" s="693"/>
      <c r="N52" s="691"/>
      <c r="O52" s="691"/>
      <c r="P52" s="691"/>
      <c r="Q52" s="691"/>
      <c r="R52" s="690"/>
      <c r="S52" s="690"/>
      <c r="T52" s="691"/>
      <c r="U52" s="691"/>
    </row>
    <row r="53" spans="1:21" s="647" customFormat="1" ht="20.100000000000001" customHeight="1">
      <c r="A53" s="958" t="s">
        <v>2024</v>
      </c>
      <c r="B53" s="101"/>
      <c r="C53" s="101">
        <f t="shared" ref="C53:E53" si="12">C51-C52</f>
        <v>0</v>
      </c>
      <c r="D53" s="101">
        <f t="shared" si="12"/>
        <v>0</v>
      </c>
      <c r="E53" s="101">
        <f t="shared" si="12"/>
        <v>0</v>
      </c>
      <c r="F53" s="668"/>
      <c r="G53" s="669"/>
      <c r="H53" s="667"/>
      <c r="I53" s="671"/>
      <c r="J53" s="671"/>
      <c r="K53" s="671"/>
      <c r="L53" s="693"/>
      <c r="M53" s="693"/>
      <c r="N53" s="691"/>
      <c r="O53" s="691"/>
      <c r="P53" s="691"/>
      <c r="Q53" s="691"/>
      <c r="R53" s="690"/>
      <c r="S53" s="690"/>
      <c r="T53" s="691"/>
      <c r="U53" s="691"/>
    </row>
    <row r="54" spans="1:21" s="647" customFormat="1" ht="20.100000000000001" customHeight="1">
      <c r="A54" s="958" t="s">
        <v>2025</v>
      </c>
      <c r="B54" s="101"/>
      <c r="C54" s="101">
        <f t="shared" ref="C54:E54" si="13">C52-C53</f>
        <v>0</v>
      </c>
      <c r="D54" s="101">
        <f t="shared" si="13"/>
        <v>0</v>
      </c>
      <c r="E54" s="101">
        <f t="shared" si="13"/>
        <v>0</v>
      </c>
      <c r="F54" s="668"/>
      <c r="G54" s="669"/>
      <c r="H54" s="667"/>
      <c r="I54" s="671"/>
      <c r="J54" s="671"/>
      <c r="K54" s="671"/>
      <c r="L54" s="693"/>
      <c r="M54" s="693"/>
      <c r="N54" s="691"/>
      <c r="O54" s="691"/>
      <c r="P54" s="691"/>
      <c r="Q54" s="691"/>
      <c r="R54" s="690"/>
      <c r="S54" s="690"/>
      <c r="T54" s="691"/>
      <c r="U54" s="691"/>
    </row>
    <row r="55" spans="1:21" s="647" customFormat="1" ht="20.100000000000001" customHeight="1">
      <c r="A55" s="661" t="s">
        <v>57</v>
      </c>
      <c r="B55" s="114"/>
      <c r="C55" s="101">
        <f>SUMIF($P:$P,A55,R:R)-SUMIF($P:$P,A55,S:S)</f>
        <v>0</v>
      </c>
      <c r="D55" s="101">
        <f>SUMIF($H:$H,A55,J:J)-SUMIF($H:$H,A55,K:K)</f>
        <v>0</v>
      </c>
      <c r="E55" s="101">
        <f>SUM(B55:D55)</f>
        <v>0</v>
      </c>
      <c r="F55" s="668"/>
      <c r="G55" s="669"/>
      <c r="H55" s="667"/>
      <c r="I55" s="671"/>
      <c r="J55" s="671"/>
      <c r="K55" s="671"/>
      <c r="L55" s="693"/>
      <c r="M55" s="693"/>
      <c r="N55" s="691"/>
      <c r="O55" s="691"/>
      <c r="P55" s="691"/>
      <c r="Q55" s="691"/>
      <c r="R55" s="690"/>
      <c r="S55" s="690"/>
      <c r="T55" s="691"/>
      <c r="U55" s="691"/>
    </row>
    <row r="56" spans="1:21" s="251" customFormat="1" ht="20.100000000000001" customHeight="1">
      <c r="A56" s="672" t="s">
        <v>398</v>
      </c>
      <c r="B56" s="114"/>
      <c r="C56" s="101">
        <f>-SUMIF($P:$P,A56,R:R)+SUMIF($P:$P,A56,S:S)</f>
        <v>0</v>
      </c>
      <c r="D56" s="101">
        <f>-SUMIF($H:$H,A56,J:J)+SUMIF($H:$H,A56,K:K)</f>
        <v>0</v>
      </c>
      <c r="E56" s="101">
        <f>SUM(B56:D56)</f>
        <v>0</v>
      </c>
      <c r="F56" s="668"/>
      <c r="G56" s="669"/>
      <c r="H56" s="667"/>
      <c r="I56" s="671"/>
      <c r="J56" s="671"/>
      <c r="K56" s="671"/>
      <c r="L56" s="693"/>
      <c r="M56" s="693"/>
      <c r="N56" s="691"/>
      <c r="O56" s="691"/>
      <c r="P56" s="691"/>
      <c r="Q56" s="691"/>
      <c r="R56" s="690"/>
      <c r="S56" s="690"/>
      <c r="T56" s="691"/>
      <c r="U56" s="691"/>
    </row>
    <row r="57" spans="1:21" s="647" customFormat="1" ht="20.100000000000001" customHeight="1">
      <c r="A57" s="670" t="s">
        <v>399</v>
      </c>
      <c r="B57" s="101">
        <f>B55-B56</f>
        <v>0</v>
      </c>
      <c r="C57" s="101">
        <f>C55-C56</f>
        <v>0</v>
      </c>
      <c r="D57" s="101">
        <f>D55-D56</f>
        <v>0</v>
      </c>
      <c r="E57" s="101">
        <f>E55-E56</f>
        <v>0</v>
      </c>
      <c r="F57" s="668"/>
      <c r="G57" s="669"/>
      <c r="H57" s="667"/>
      <c r="I57" s="667"/>
      <c r="J57" s="667"/>
      <c r="K57" s="667"/>
      <c r="L57" s="700"/>
      <c r="M57" s="700"/>
      <c r="N57" s="691"/>
      <c r="O57" s="691"/>
      <c r="P57" s="691"/>
      <c r="Q57" s="691"/>
      <c r="R57" s="690"/>
      <c r="S57" s="690"/>
      <c r="T57" s="691"/>
      <c r="U57" s="691"/>
    </row>
    <row r="58" spans="1:21" s="648" customFormat="1" ht="20.100000000000001" customHeight="1">
      <c r="A58" s="672" t="s">
        <v>400</v>
      </c>
      <c r="B58" s="290"/>
      <c r="C58" s="101">
        <f>SUMIF($P:$P,A58,R:R)-SUMIF($P:$P,A58,S:S)</f>
        <v>0</v>
      </c>
      <c r="D58" s="101">
        <f>SUMIF($H:$H,A58,J:J)-SUMIF($H:$H,A58,K:K)</f>
        <v>0</v>
      </c>
      <c r="E58" s="101">
        <f>SUM(B58:D58)</f>
        <v>0</v>
      </c>
      <c r="F58" s="677"/>
      <c r="G58" s="678"/>
      <c r="H58" s="679"/>
      <c r="I58" s="701"/>
      <c r="J58" s="679"/>
      <c r="K58" s="701"/>
      <c r="L58" s="702"/>
      <c r="M58" s="702"/>
      <c r="N58" s="703"/>
      <c r="O58" s="703"/>
      <c r="P58" s="703"/>
      <c r="Q58" s="703"/>
      <c r="R58" s="714"/>
      <c r="S58" s="714"/>
      <c r="T58" s="703"/>
      <c r="U58" s="703"/>
    </row>
    <row r="59" spans="1:21" s="647" customFormat="1" ht="20.100000000000001" customHeight="1">
      <c r="A59" s="672" t="s">
        <v>401</v>
      </c>
      <c r="B59" s="290"/>
      <c r="C59" s="101">
        <f>-SUMIF($P:$P,A59,R:R)+SUMIF($P:$P,A59,S:S)</f>
        <v>0</v>
      </c>
      <c r="D59" s="101">
        <f>-SUMIF($H:$H,A59,J:J)+SUMIF($H:$H,A59,K:K)</f>
        <v>0</v>
      </c>
      <c r="E59" s="101">
        <f>SUM(B59:D59)</f>
        <v>0</v>
      </c>
      <c r="F59" s="668"/>
      <c r="G59" s="669"/>
      <c r="H59" s="667"/>
      <c r="I59" s="671"/>
      <c r="J59" s="667"/>
      <c r="K59" s="671"/>
      <c r="L59" s="700"/>
      <c r="M59" s="700"/>
      <c r="N59" s="691"/>
      <c r="O59" s="691"/>
      <c r="P59" s="691"/>
      <c r="Q59" s="691"/>
      <c r="R59" s="691"/>
      <c r="S59" s="690"/>
      <c r="T59" s="691"/>
      <c r="U59" s="691"/>
    </row>
    <row r="60" spans="1:21" s="647" customFormat="1" ht="20.100000000000001" customHeight="1">
      <c r="A60" s="674" t="s">
        <v>402</v>
      </c>
      <c r="B60" s="101">
        <f>B58-B59</f>
        <v>0</v>
      </c>
      <c r="C60" s="101">
        <f>C58-C59</f>
        <v>0</v>
      </c>
      <c r="D60" s="101">
        <f>D58-D59</f>
        <v>0</v>
      </c>
      <c r="E60" s="101">
        <f>SUM(B60:D60)</f>
        <v>0</v>
      </c>
      <c r="F60" s="668"/>
      <c r="G60" s="669"/>
      <c r="H60" s="667"/>
      <c r="I60" s="667"/>
      <c r="J60" s="667"/>
      <c r="K60" s="667"/>
      <c r="L60" s="700"/>
      <c r="M60" s="700"/>
      <c r="N60" s="691"/>
      <c r="O60" s="691"/>
      <c r="P60" s="691"/>
      <c r="Q60" s="691"/>
      <c r="R60" s="691"/>
      <c r="S60" s="691"/>
      <c r="T60" s="691"/>
      <c r="U60" s="691"/>
    </row>
    <row r="61" spans="1:21" s="251" customFormat="1" ht="20.100000000000001" customHeight="1">
      <c r="A61" s="672" t="s">
        <v>403</v>
      </c>
      <c r="B61" s="290"/>
      <c r="C61" s="101">
        <f>-SUMIF($P:$P,A61,R:R)+SUMIF($P:$P,A61,S:S)</f>
        <v>0</v>
      </c>
      <c r="D61" s="101">
        <f>-SUMIF($H:$H,A61,J:J)+SUMIF($H:$H,A61,K:K)</f>
        <v>0</v>
      </c>
      <c r="E61" s="101">
        <f>SUM(B61:D61)</f>
        <v>0</v>
      </c>
      <c r="F61" s="668"/>
      <c r="G61" s="669"/>
      <c r="H61" s="667"/>
      <c r="I61" s="667"/>
      <c r="J61" s="667"/>
      <c r="K61" s="704"/>
      <c r="L61" s="700"/>
      <c r="M61" s="700"/>
      <c r="N61" s="691"/>
      <c r="O61" s="691"/>
      <c r="P61" s="691"/>
      <c r="Q61" s="691"/>
      <c r="R61" s="691"/>
      <c r="S61" s="691"/>
      <c r="T61" s="691"/>
      <c r="U61" s="691"/>
    </row>
    <row r="62" spans="1:21" s="647" customFormat="1" ht="20.100000000000001" customHeight="1">
      <c r="A62" s="674" t="s">
        <v>404</v>
      </c>
      <c r="B62" s="101">
        <f>B60-B61</f>
        <v>0</v>
      </c>
      <c r="C62" s="101">
        <f>C60-C61</f>
        <v>0</v>
      </c>
      <c r="D62" s="101">
        <f>D60-D61</f>
        <v>0</v>
      </c>
      <c r="E62" s="101">
        <f>E60-E61</f>
        <v>0</v>
      </c>
      <c r="F62" s="666"/>
      <c r="G62" s="667"/>
      <c r="H62" s="667"/>
      <c r="I62" s="667"/>
      <c r="J62" s="667"/>
      <c r="K62" s="667"/>
      <c r="L62" s="700"/>
      <c r="M62" s="700"/>
      <c r="N62" s="691"/>
      <c r="O62" s="691"/>
      <c r="P62" s="691"/>
      <c r="Q62" s="691"/>
      <c r="R62" s="691"/>
      <c r="S62" s="691"/>
      <c r="T62" s="691"/>
      <c r="U62" s="691"/>
    </row>
    <row r="63" spans="1:21" s="648" customFormat="1" ht="20.100000000000001" customHeight="1">
      <c r="A63" s="672" t="s">
        <v>163</v>
      </c>
      <c r="B63" s="290"/>
      <c r="C63" s="101">
        <f>SUMIF($P:$P,A63,R:R)-SUMIF($P:$P,A63,S:S)</f>
        <v>0</v>
      </c>
      <c r="D63" s="101">
        <f>SUMIF($H:$H,A63,J:J)-SUMIF($H:$H,A63,K:K)</f>
        <v>0</v>
      </c>
      <c r="E63" s="101">
        <f>SUM(B63:D63)</f>
        <v>0</v>
      </c>
      <c r="F63" s="680"/>
      <c r="G63" s="679"/>
      <c r="H63" s="679"/>
      <c r="I63" s="679"/>
      <c r="J63" s="679"/>
      <c r="K63" s="679"/>
      <c r="L63" s="702"/>
      <c r="M63" s="702"/>
      <c r="N63" s="703"/>
      <c r="O63" s="703"/>
      <c r="P63" s="703"/>
      <c r="Q63" s="703"/>
      <c r="R63" s="703"/>
      <c r="S63" s="703"/>
      <c r="T63" s="703"/>
      <c r="U63" s="703"/>
    </row>
    <row r="64" spans="1:21" s="647" customFormat="1" ht="20.100000000000001" customHeight="1">
      <c r="A64" s="661" t="s">
        <v>64</v>
      </c>
      <c r="B64" s="114"/>
      <c r="C64" s="101">
        <f>SUMIF($P:$P,A64,R:R)-SUMIF($P:$P,A64,S:S)</f>
        <v>0</v>
      </c>
      <c r="D64" s="101">
        <f>SUMIF($H:$H,A64,J:J)-SUMIF($H:$H,A64,K:K)</f>
        <v>0</v>
      </c>
      <c r="E64" s="101">
        <f>SUM(B64:D64)</f>
        <v>0</v>
      </c>
      <c r="F64" s="666"/>
      <c r="G64" s="667"/>
      <c r="H64" s="667"/>
      <c r="I64" s="667"/>
      <c r="J64" s="667"/>
      <c r="K64" s="667"/>
      <c r="L64" s="700"/>
      <c r="M64" s="700"/>
      <c r="N64" s="691"/>
      <c r="O64" s="691"/>
      <c r="P64" s="691"/>
      <c r="Q64" s="691"/>
      <c r="R64" s="691"/>
      <c r="S64" s="691"/>
      <c r="T64" s="691"/>
      <c r="U64" s="691"/>
    </row>
    <row r="65" spans="1:21" s="647" customFormat="1" ht="20.100000000000001" customHeight="1">
      <c r="A65" s="661" t="s">
        <v>191</v>
      </c>
      <c r="B65" s="114"/>
      <c r="C65" s="101">
        <f>SUMIF($P:$P,A65,R:R)-SUMIF($P:$P,A65,S:S)</f>
        <v>0</v>
      </c>
      <c r="D65" s="101">
        <f>SUMIF($H:$H,A65,J:J)-SUMIF($H:$H,A65,K:K)</f>
        <v>0</v>
      </c>
      <c r="E65" s="101">
        <f>SUM(B65:D65)</f>
        <v>0</v>
      </c>
      <c r="F65" s="666"/>
      <c r="G65" s="667"/>
      <c r="H65" s="667"/>
      <c r="I65" s="667"/>
      <c r="J65" s="667"/>
      <c r="K65" s="667"/>
      <c r="L65" s="700"/>
      <c r="M65" s="700"/>
      <c r="N65" s="691"/>
      <c r="O65" s="691"/>
      <c r="P65" s="691"/>
      <c r="Q65" s="691"/>
      <c r="R65" s="691"/>
      <c r="S65" s="691"/>
      <c r="T65" s="691"/>
      <c r="U65" s="691"/>
    </row>
    <row r="66" spans="1:21" s="647" customFormat="1" ht="20.100000000000001" customHeight="1">
      <c r="A66" s="661" t="s">
        <v>65</v>
      </c>
      <c r="B66" s="114"/>
      <c r="C66" s="101">
        <f>SUMIF($P:$P,A66,R:R)-SUMIF($P:$P,A66,S:S)</f>
        <v>0</v>
      </c>
      <c r="D66" s="101">
        <f>SUMIF($H:$H,A66,J:J)-SUMIF($H:$H,A66,K:K)</f>
        <v>0</v>
      </c>
      <c r="E66" s="101">
        <f>SUM(B66:D66)</f>
        <v>0</v>
      </c>
      <c r="F66" s="666"/>
      <c r="G66" s="667"/>
      <c r="H66" s="667"/>
      <c r="I66" s="667"/>
      <c r="J66" s="667"/>
      <c r="K66" s="667"/>
      <c r="L66" s="700"/>
      <c r="M66" s="700"/>
      <c r="N66" s="691"/>
      <c r="O66" s="102"/>
      <c r="P66" s="102"/>
      <c r="Q66" s="102"/>
      <c r="R66" s="102"/>
      <c r="S66" s="102"/>
      <c r="T66" s="691"/>
      <c r="U66" s="691"/>
    </row>
    <row r="67" spans="1:21" s="251" customFormat="1" ht="20.100000000000001" customHeight="1">
      <c r="A67" s="672" t="s">
        <v>405</v>
      </c>
      <c r="B67" s="114"/>
      <c r="C67" s="101">
        <f>-SUMIF($P:$P,A67,R:R)+SUMIF($P:$P,A67,S:S)</f>
        <v>0</v>
      </c>
      <c r="D67" s="101">
        <f>-SUMIF($H:$H,A67,J:J)+SUMIF($H:$H,A67,K:K)</f>
        <v>0</v>
      </c>
      <c r="E67" s="101">
        <f>SUM(B67:D67)</f>
        <v>0</v>
      </c>
      <c r="F67" s="666"/>
      <c r="G67" s="667"/>
      <c r="H67" s="681"/>
      <c r="I67" s="667"/>
      <c r="J67" s="667"/>
      <c r="K67" s="667"/>
      <c r="L67" s="700"/>
      <c r="M67" s="700"/>
      <c r="N67" s="691"/>
      <c r="O67" s="691"/>
      <c r="P67" s="691"/>
      <c r="Q67" s="691"/>
      <c r="R67" s="691"/>
      <c r="S67" s="691"/>
      <c r="T67" s="691"/>
      <c r="U67" s="691"/>
    </row>
    <row r="68" spans="1:21" s="647" customFormat="1" ht="20.100000000000001" customHeight="1">
      <c r="A68" s="661" t="s">
        <v>406</v>
      </c>
      <c r="B68" s="101">
        <f>B66-B67</f>
        <v>0</v>
      </c>
      <c r="C68" s="101">
        <f>C66-C67</f>
        <v>0</v>
      </c>
      <c r="D68" s="101">
        <f>D66-D67</f>
        <v>0</v>
      </c>
      <c r="E68" s="101">
        <f>E66-E67</f>
        <v>0</v>
      </c>
      <c r="F68" s="666"/>
      <c r="G68" s="667"/>
      <c r="H68" s="681"/>
      <c r="I68" s="667"/>
      <c r="J68" s="667"/>
      <c r="K68" s="667"/>
      <c r="L68" s="700"/>
      <c r="M68" s="700"/>
      <c r="N68" s="691"/>
      <c r="O68" s="691"/>
      <c r="P68" s="691"/>
      <c r="Q68" s="691"/>
      <c r="R68" s="691"/>
      <c r="S68" s="691"/>
      <c r="T68" s="691"/>
      <c r="U68" s="691"/>
    </row>
    <row r="69" spans="1:21" s="647" customFormat="1" ht="20.100000000000001" customHeight="1">
      <c r="A69" s="661" t="s">
        <v>66</v>
      </c>
      <c r="B69" s="114"/>
      <c r="C69" s="101">
        <f>SUMIF($P:$P,A69,R:R)-SUMIF($P:$P,A69,S:S)</f>
        <v>0</v>
      </c>
      <c r="D69" s="101">
        <f>SUMIF($H:$H,A69,J:J)-SUMIF($H:$H,A69,K:K)</f>
        <v>0</v>
      </c>
      <c r="E69" s="101">
        <f>SUM(B69:D69)</f>
        <v>0</v>
      </c>
      <c r="F69" s="666"/>
      <c r="G69" s="667"/>
      <c r="H69" s="682"/>
      <c r="I69" s="667"/>
      <c r="J69" s="667"/>
      <c r="K69" s="667"/>
      <c r="L69" s="700"/>
      <c r="M69" s="700"/>
      <c r="N69" s="691"/>
      <c r="O69" s="691"/>
      <c r="P69" s="691"/>
      <c r="Q69" s="691"/>
      <c r="R69" s="691"/>
      <c r="S69" s="691"/>
      <c r="T69" s="691"/>
      <c r="U69" s="691"/>
    </row>
    <row r="70" spans="1:21" s="647" customFormat="1" ht="20.100000000000001" customHeight="1">
      <c r="A70" s="661" t="s">
        <v>67</v>
      </c>
      <c r="B70" s="114"/>
      <c r="C70" s="101">
        <f>SUMIF($P:$P,A70,R:R)-SUMIF($P:$P,A70,S:S)</f>
        <v>0</v>
      </c>
      <c r="D70" s="101">
        <f>SUMIF($H:$H,A70,J:J)-SUMIF($H:$H,A70,K:K)</f>
        <v>0</v>
      </c>
      <c r="E70" s="101">
        <f>SUM(B70:D70)</f>
        <v>0</v>
      </c>
      <c r="F70" s="666"/>
      <c r="G70" s="667"/>
      <c r="H70" s="667"/>
      <c r="I70" s="667"/>
      <c r="J70" s="667"/>
      <c r="K70" s="667"/>
      <c r="L70" s="700"/>
      <c r="M70" s="700"/>
      <c r="N70" s="691"/>
      <c r="O70" s="691"/>
      <c r="P70" s="691"/>
      <c r="Q70" s="691"/>
      <c r="R70" s="691"/>
      <c r="S70" s="691"/>
      <c r="T70" s="691"/>
      <c r="U70" s="691"/>
    </row>
    <row r="71" spans="1:21" s="647" customFormat="1" ht="20.100000000000001" customHeight="1">
      <c r="A71" s="661" t="s">
        <v>68</v>
      </c>
      <c r="B71" s="114"/>
      <c r="C71" s="101">
        <f>SUMIF($P:$P,A71,R:R)-SUMIF($P:$P,A71,S:S)</f>
        <v>0</v>
      </c>
      <c r="D71" s="101">
        <f>SUMIF($H:$H,A71,J:J)-SUMIF($H:$H,A71,K:K)</f>
        <v>0</v>
      </c>
      <c r="E71" s="101">
        <f>SUM(B71:D71)</f>
        <v>0</v>
      </c>
      <c r="F71" s="666"/>
      <c r="G71" s="667"/>
      <c r="H71" s="667"/>
      <c r="I71" s="667"/>
      <c r="J71" s="667"/>
      <c r="K71" s="667"/>
      <c r="L71" s="700"/>
      <c r="M71" s="700"/>
      <c r="N71" s="691"/>
      <c r="O71" s="691"/>
      <c r="P71" s="691"/>
      <c r="Q71" s="691"/>
      <c r="R71" s="691"/>
      <c r="S71" s="691"/>
      <c r="T71" s="691"/>
      <c r="U71" s="691"/>
    </row>
    <row r="72" spans="1:21" s="647" customFormat="1" ht="20.100000000000001" customHeight="1">
      <c r="A72" s="661" t="s">
        <v>192</v>
      </c>
      <c r="B72" s="114"/>
      <c r="C72" s="101">
        <f>SUMIF($P:$P,A72,R:R)-SUMIF($P:$P,A72,S:S)</f>
        <v>0</v>
      </c>
      <c r="D72" s="101">
        <f>SUMIF($H:$H,A72,J:J)-SUMIF($H:$H,A72,K:K)</f>
        <v>0</v>
      </c>
      <c r="E72" s="101">
        <f>SUM(B72:D72)</f>
        <v>0</v>
      </c>
      <c r="F72" s="666"/>
      <c r="G72" s="667"/>
      <c r="H72" s="667"/>
      <c r="I72" s="667"/>
      <c r="J72" s="667"/>
      <c r="K72" s="667"/>
      <c r="L72" s="700"/>
      <c r="M72" s="700"/>
      <c r="N72" s="691"/>
      <c r="O72" s="691"/>
      <c r="P72" s="691"/>
      <c r="Q72" s="691"/>
      <c r="R72" s="691"/>
      <c r="S72" s="691"/>
      <c r="T72" s="691"/>
      <c r="U72" s="691"/>
    </row>
    <row r="73" spans="1:21" s="647" customFormat="1" ht="20.100000000000001" customHeight="1">
      <c r="A73" s="661" t="s">
        <v>70</v>
      </c>
      <c r="B73" s="114"/>
      <c r="C73" s="101">
        <f>SUMIF($P:$P,A73,R:R)-SUMIF($P:$P,A73,S:S)</f>
        <v>0</v>
      </c>
      <c r="D73" s="101">
        <f>SUMIF($H:$H,A73,J:J)-SUMIF($H:$H,A73,K:K)</f>
        <v>0</v>
      </c>
      <c r="E73" s="101">
        <f>SUM(B73:D73)</f>
        <v>0</v>
      </c>
      <c r="F73" s="666"/>
      <c r="G73" s="667"/>
      <c r="H73" s="667"/>
      <c r="I73" s="667"/>
      <c r="J73" s="667"/>
      <c r="K73" s="667"/>
      <c r="L73" s="700"/>
      <c r="M73" s="700"/>
      <c r="N73" s="691"/>
      <c r="O73" s="691"/>
      <c r="P73" s="691"/>
      <c r="Q73" s="691"/>
      <c r="R73" s="691"/>
      <c r="S73" s="691"/>
      <c r="T73" s="691"/>
      <c r="U73" s="691"/>
    </row>
    <row r="74" spans="1:21" s="647" customFormat="1" ht="20.100000000000001" customHeight="1">
      <c r="A74" s="661" t="s">
        <v>407</v>
      </c>
      <c r="B74" s="101">
        <f>B46+B47+B48+B52+B57+B62+B63+B64+B65+B68+B69+B70+B71+B72+B73</f>
        <v>0</v>
      </c>
      <c r="C74" s="101">
        <f>C46+C47+C48+C52+C57+C62+C63+C64+C65+C68+C69+C70+C71+C72+C73</f>
        <v>0</v>
      </c>
      <c r="D74" s="101">
        <f>D46+D47+D48+D52+D57+D62+D63+D64+D65+D68+D69+D70+D71+D72+D73</f>
        <v>0</v>
      </c>
      <c r="E74" s="101">
        <f>E46+E47+E48+E52+E57+E62+E63+E64+E65+E68+E69+E70+E71+E72+E73</f>
        <v>0</v>
      </c>
      <c r="F74" s="666"/>
      <c r="G74" s="667"/>
      <c r="H74" s="667"/>
      <c r="I74" s="667"/>
      <c r="J74" s="667"/>
      <c r="K74" s="667"/>
      <c r="L74" s="700"/>
      <c r="M74" s="700"/>
      <c r="N74" s="691"/>
      <c r="O74" s="691"/>
      <c r="P74" s="691"/>
      <c r="Q74" s="691"/>
      <c r="R74" s="691"/>
      <c r="S74" s="691"/>
      <c r="T74" s="691"/>
      <c r="U74" s="691"/>
    </row>
    <row r="75" spans="1:21" s="647" customFormat="1" ht="20.100000000000001" customHeight="1">
      <c r="A75" s="661" t="s">
        <v>408</v>
      </c>
      <c r="B75" s="101">
        <f>B42+B74</f>
        <v>0</v>
      </c>
      <c r="C75" s="101">
        <f>C42+C74</f>
        <v>0</v>
      </c>
      <c r="D75" s="101">
        <f>D42+D74</f>
        <v>0</v>
      </c>
      <c r="E75" s="101">
        <f>E42+E74</f>
        <v>0</v>
      </c>
      <c r="F75" s="666"/>
      <c r="G75" s="667"/>
      <c r="H75" s="667"/>
      <c r="I75" s="667"/>
      <c r="J75" s="667"/>
      <c r="K75" s="667"/>
      <c r="L75" s="700"/>
      <c r="M75" s="700"/>
      <c r="N75" s="691"/>
      <c r="O75" s="691"/>
      <c r="P75" s="691"/>
      <c r="Q75" s="691"/>
      <c r="R75" s="691"/>
      <c r="S75" s="691"/>
      <c r="T75" s="691"/>
      <c r="U75" s="691"/>
    </row>
    <row r="76" spans="1:21" s="647" customFormat="1" ht="20.100000000000001" customHeight="1">
      <c r="A76" s="683" t="s">
        <v>145</v>
      </c>
      <c r="B76" s="684">
        <f>基础信息!B6</f>
        <v>0</v>
      </c>
      <c r="C76" s="685"/>
      <c r="D76" s="685"/>
      <c r="E76" s="686"/>
      <c r="F76" s="687"/>
      <c r="G76" s="688"/>
      <c r="H76" s="688"/>
      <c r="I76" s="688"/>
      <c r="J76" s="688"/>
      <c r="K76" s="688"/>
      <c r="L76" s="705"/>
      <c r="M76" s="705"/>
      <c r="N76" s="706"/>
      <c r="O76" s="706"/>
      <c r="P76" s="706"/>
      <c r="Q76" s="706"/>
      <c r="R76" s="706"/>
      <c r="S76" s="706"/>
      <c r="T76" s="706"/>
      <c r="U76" s="706"/>
    </row>
    <row r="77" spans="1:21" s="647" customFormat="1" ht="20.100000000000001" customHeight="1">
      <c r="A77" s="12" t="s">
        <v>147</v>
      </c>
      <c r="B77" s="652">
        <f>日期2</f>
        <v>0</v>
      </c>
      <c r="F77" s="654"/>
      <c r="G77" s="655"/>
      <c r="H77" s="655"/>
      <c r="I77" s="596"/>
      <c r="J77" s="689" t="s">
        <v>364</v>
      </c>
      <c r="K77" s="655"/>
      <c r="L77" s="655"/>
      <c r="M77" s="655"/>
      <c r="N77" s="655"/>
      <c r="O77" s="655"/>
      <c r="P77" s="655"/>
      <c r="Q77" s="596"/>
      <c r="R77" s="689" t="s">
        <v>365</v>
      </c>
      <c r="S77" s="655"/>
      <c r="T77" s="655"/>
      <c r="U77" s="655"/>
    </row>
    <row r="78" spans="1:21" s="647" customFormat="1" ht="20.100000000000001" customHeight="1">
      <c r="A78" s="165" t="s">
        <v>148</v>
      </c>
      <c r="B78" s="715" t="s">
        <v>409</v>
      </c>
      <c r="C78" s="716"/>
      <c r="D78" s="716"/>
      <c r="E78" s="716"/>
      <c r="F78" s="717"/>
      <c r="G78" s="718"/>
      <c r="H78" s="718"/>
      <c r="I78" s="718"/>
      <c r="J78" s="718"/>
      <c r="K78" s="718"/>
      <c r="L78" s="727"/>
      <c r="M78" s="727"/>
      <c r="N78" s="728"/>
      <c r="O78" s="728"/>
      <c r="P78" s="728"/>
      <c r="Q78" s="728"/>
      <c r="R78" s="728"/>
      <c r="S78" s="728"/>
      <c r="T78" s="728"/>
      <c r="U78" s="728"/>
    </row>
    <row r="79" spans="1:21" s="251" customFormat="1" ht="20.100000000000001" customHeight="1">
      <c r="A79" s="657" t="s">
        <v>137</v>
      </c>
      <c r="B79" s="26" t="s">
        <v>410</v>
      </c>
      <c r="C79" s="658"/>
      <c r="D79" s="658" t="s">
        <v>411</v>
      </c>
      <c r="E79" s="658" t="s">
        <v>412</v>
      </c>
      <c r="F79" s="659" t="s">
        <v>1</v>
      </c>
      <c r="G79" s="660" t="s">
        <v>371</v>
      </c>
      <c r="H79" s="660" t="s">
        <v>372</v>
      </c>
      <c r="I79" s="660" t="s">
        <v>373</v>
      </c>
      <c r="J79" s="660" t="s">
        <v>374</v>
      </c>
      <c r="K79" s="660" t="s">
        <v>375</v>
      </c>
      <c r="L79" s="660" t="s">
        <v>376</v>
      </c>
      <c r="M79" s="660" t="s">
        <v>377</v>
      </c>
      <c r="N79" s="659" t="s">
        <v>1</v>
      </c>
      <c r="O79" s="659" t="s">
        <v>371</v>
      </c>
      <c r="P79" s="659" t="s">
        <v>372</v>
      </c>
      <c r="Q79" s="659" t="s">
        <v>373</v>
      </c>
      <c r="R79" s="707" t="s">
        <v>374</v>
      </c>
      <c r="S79" s="707" t="s">
        <v>375</v>
      </c>
      <c r="T79" s="659" t="s">
        <v>376</v>
      </c>
      <c r="U79" s="659" t="s">
        <v>377</v>
      </c>
    </row>
    <row r="80" spans="1:21" s="251" customFormat="1" ht="20.100000000000001" customHeight="1">
      <c r="A80" s="719" t="s">
        <v>413</v>
      </c>
      <c r="B80" s="290"/>
      <c r="C80" s="101">
        <f>-SUMIF(A80,$P:$P,R:R)+SUMIF(A80,$P:$P,S:S)</f>
        <v>0</v>
      </c>
      <c r="D80" s="101">
        <f>-SUMIF(A80,$H:$H,J:J)+SUMIF(A80,$H:$H,K:K)</f>
        <v>0</v>
      </c>
      <c r="E80" s="101">
        <f t="shared" ref="E80:E90" si="14">SUM(B80:D80)</f>
        <v>0</v>
      </c>
      <c r="F80" s="666"/>
      <c r="G80" s="667"/>
      <c r="H80" s="667"/>
      <c r="I80" s="667"/>
      <c r="J80" s="667"/>
      <c r="K80" s="667"/>
      <c r="L80" s="700"/>
      <c r="M80" s="700"/>
      <c r="N80" s="691"/>
      <c r="O80" s="691"/>
      <c r="P80" s="691"/>
      <c r="Q80" s="691"/>
      <c r="R80" s="691"/>
      <c r="S80" s="691"/>
      <c r="T80" s="691"/>
      <c r="U80" s="691"/>
    </row>
    <row r="81" spans="1:22" s="251" customFormat="1" ht="20.100000000000001" customHeight="1">
      <c r="A81" s="719" t="s">
        <v>73</v>
      </c>
      <c r="B81" s="290"/>
      <c r="C81" s="101">
        <f t="shared" ref="C81:C102" si="15">-SUMIF($P:$P,A81,R:R)+SUMIF($P:$P,A81,S:S)</f>
        <v>0</v>
      </c>
      <c r="D81" s="101">
        <f t="shared" ref="D81:D102" si="16">-SUMIF($H:$H,A81,J:J)+SUMIF($H:$H,A81,K:K)</f>
        <v>0</v>
      </c>
      <c r="E81" s="101">
        <f t="shared" si="14"/>
        <v>0</v>
      </c>
      <c r="F81" s="666"/>
      <c r="G81" s="667"/>
      <c r="H81" s="667"/>
      <c r="I81" s="667"/>
      <c r="J81" s="667"/>
      <c r="K81" s="667"/>
      <c r="L81" s="700"/>
      <c r="M81" s="700"/>
      <c r="N81" s="691"/>
      <c r="O81" s="691"/>
      <c r="P81" s="691"/>
      <c r="Q81" s="691"/>
      <c r="R81" s="691"/>
      <c r="S81" s="691"/>
      <c r="T81" s="691"/>
      <c r="U81" s="691"/>
    </row>
    <row r="82" spans="1:22" s="251" customFormat="1" ht="20.100000000000001" customHeight="1">
      <c r="A82" s="959" t="s">
        <v>2026</v>
      </c>
      <c r="B82" s="290"/>
      <c r="C82" s="101">
        <f t="shared" si="15"/>
        <v>0</v>
      </c>
      <c r="D82" s="101">
        <f t="shared" si="16"/>
        <v>0</v>
      </c>
      <c r="E82" s="101">
        <f t="shared" ref="E82" si="17">SUM(B82:D82)</f>
        <v>0</v>
      </c>
      <c r="F82" s="666"/>
      <c r="G82" s="667"/>
      <c r="H82" s="667"/>
      <c r="I82" s="667"/>
      <c r="J82" s="667"/>
      <c r="K82" s="667"/>
      <c r="L82" s="700"/>
      <c r="M82" s="700"/>
      <c r="N82" s="691"/>
      <c r="O82" s="691"/>
      <c r="P82" s="691"/>
      <c r="Q82" s="691"/>
      <c r="R82" s="691"/>
      <c r="S82" s="691"/>
      <c r="T82" s="691"/>
      <c r="U82" s="691"/>
    </row>
    <row r="83" spans="1:22" s="251" customFormat="1" ht="27" customHeight="1">
      <c r="A83" s="720" t="s">
        <v>74</v>
      </c>
      <c r="B83" s="290"/>
      <c r="C83" s="101">
        <f t="shared" si="15"/>
        <v>0</v>
      </c>
      <c r="D83" s="101">
        <f t="shared" si="16"/>
        <v>0</v>
      </c>
      <c r="E83" s="101">
        <f t="shared" si="14"/>
        <v>0</v>
      </c>
      <c r="F83" s="666"/>
      <c r="G83" s="667"/>
      <c r="H83" s="667"/>
      <c r="I83" s="667"/>
      <c r="J83" s="667"/>
      <c r="K83" s="667"/>
      <c r="L83" s="700"/>
      <c r="M83" s="700"/>
      <c r="N83" s="691"/>
      <c r="O83" s="691"/>
      <c r="P83" s="691"/>
      <c r="Q83" s="691"/>
      <c r="R83" s="691"/>
      <c r="S83" s="691"/>
      <c r="T83" s="691"/>
      <c r="U83" s="691"/>
    </row>
    <row r="84" spans="1:22" s="251" customFormat="1" ht="20.100000000000001" customHeight="1">
      <c r="A84" s="719" t="s">
        <v>75</v>
      </c>
      <c r="B84" s="290"/>
      <c r="C84" s="101">
        <f t="shared" si="15"/>
        <v>0</v>
      </c>
      <c r="D84" s="101">
        <f t="shared" si="16"/>
        <v>0</v>
      </c>
      <c r="E84" s="101">
        <f t="shared" si="14"/>
        <v>0</v>
      </c>
      <c r="F84" s="666"/>
      <c r="G84" s="667"/>
      <c r="H84" s="667"/>
      <c r="I84" s="667"/>
      <c r="J84" s="667"/>
      <c r="K84" s="667"/>
      <c r="L84" s="700"/>
      <c r="M84" s="700"/>
      <c r="N84" s="691"/>
      <c r="O84" s="691"/>
      <c r="P84" s="691"/>
      <c r="Q84" s="691"/>
      <c r="R84" s="691"/>
      <c r="S84" s="691"/>
      <c r="T84" s="691"/>
      <c r="U84" s="691"/>
    </row>
    <row r="85" spans="1:22" s="648" customFormat="1" ht="20.100000000000001" customHeight="1">
      <c r="A85" s="721" t="s">
        <v>2250</v>
      </c>
      <c r="B85" s="290"/>
      <c r="C85" s="101">
        <f t="shared" si="15"/>
        <v>0</v>
      </c>
      <c r="D85" s="101">
        <f t="shared" si="16"/>
        <v>0</v>
      </c>
      <c r="E85" s="101">
        <f t="shared" si="14"/>
        <v>0</v>
      </c>
      <c r="F85" s="666"/>
      <c r="G85" s="667"/>
      <c r="H85" s="667"/>
      <c r="I85" s="667"/>
      <c r="J85" s="667"/>
      <c r="K85" s="667"/>
      <c r="L85" s="700"/>
      <c r="M85" s="700"/>
      <c r="N85" s="691"/>
      <c r="O85" s="691"/>
      <c r="P85" s="691"/>
      <c r="Q85" s="691"/>
      <c r="R85" s="691"/>
      <c r="S85" s="691"/>
      <c r="T85" s="691"/>
      <c r="U85" s="691"/>
      <c r="V85" s="251"/>
    </row>
    <row r="86" spans="1:22" s="648" customFormat="1" ht="20.100000000000001" customHeight="1">
      <c r="A86" s="721" t="s">
        <v>2251</v>
      </c>
      <c r="B86" s="290"/>
      <c r="C86" s="101">
        <f t="shared" si="15"/>
        <v>0</v>
      </c>
      <c r="D86" s="101">
        <f t="shared" si="16"/>
        <v>0</v>
      </c>
      <c r="E86" s="101">
        <f t="shared" ref="E86" si="18">SUM(B86:D86)</f>
        <v>0</v>
      </c>
      <c r="F86" s="666"/>
      <c r="G86" s="667"/>
      <c r="H86" s="667"/>
      <c r="I86" s="667"/>
      <c r="J86" s="667"/>
      <c r="K86" s="667"/>
      <c r="L86" s="700"/>
      <c r="M86" s="700"/>
      <c r="N86" s="691"/>
      <c r="O86" s="691"/>
      <c r="P86" s="691"/>
      <c r="Q86" s="691"/>
      <c r="R86" s="691"/>
      <c r="S86" s="691"/>
      <c r="T86" s="691"/>
      <c r="U86" s="691"/>
      <c r="V86" s="251"/>
    </row>
    <row r="87" spans="1:22" s="251" customFormat="1" ht="20.100000000000001" customHeight="1">
      <c r="A87" s="719" t="s">
        <v>76</v>
      </c>
      <c r="B87" s="290"/>
      <c r="C87" s="101">
        <f t="shared" si="15"/>
        <v>0</v>
      </c>
      <c r="D87" s="101">
        <f t="shared" si="16"/>
        <v>0</v>
      </c>
      <c r="E87" s="101">
        <f t="shared" si="14"/>
        <v>0</v>
      </c>
      <c r="F87" s="666"/>
      <c r="G87" s="667"/>
      <c r="H87" s="667"/>
      <c r="I87" s="667"/>
      <c r="J87" s="667"/>
      <c r="K87" s="667"/>
      <c r="L87" s="700"/>
      <c r="M87" s="700"/>
      <c r="N87" s="691"/>
      <c r="O87" s="691"/>
      <c r="P87" s="691"/>
      <c r="Q87" s="691"/>
      <c r="R87" s="691"/>
      <c r="S87" s="691"/>
      <c r="T87" s="691"/>
      <c r="U87" s="691"/>
    </row>
    <row r="88" spans="1:22" s="251" customFormat="1" ht="20.100000000000001" customHeight="1">
      <c r="A88" s="959" t="s">
        <v>2027</v>
      </c>
      <c r="B88" s="290"/>
      <c r="C88" s="101">
        <f t="shared" si="15"/>
        <v>0</v>
      </c>
      <c r="D88" s="101">
        <f t="shared" si="16"/>
        <v>0</v>
      </c>
      <c r="E88" s="101">
        <f t="shared" ref="E88" si="19">SUM(B88:D88)</f>
        <v>0</v>
      </c>
      <c r="F88" s="666"/>
      <c r="G88" s="667"/>
      <c r="H88" s="667"/>
      <c r="I88" s="667"/>
      <c r="J88" s="667"/>
      <c r="K88" s="667"/>
      <c r="L88" s="700"/>
      <c r="M88" s="700"/>
      <c r="N88" s="691"/>
      <c r="O88" s="691"/>
      <c r="P88" s="691"/>
      <c r="Q88" s="691"/>
      <c r="R88" s="691"/>
      <c r="S88" s="691"/>
      <c r="T88" s="691"/>
      <c r="U88" s="691"/>
    </row>
    <row r="89" spans="1:22" s="251" customFormat="1" ht="20.100000000000001" customHeight="1">
      <c r="A89" s="719" t="s">
        <v>77</v>
      </c>
      <c r="B89" s="290"/>
      <c r="C89" s="101">
        <f t="shared" si="15"/>
        <v>0</v>
      </c>
      <c r="D89" s="101">
        <f t="shared" si="16"/>
        <v>0</v>
      </c>
      <c r="E89" s="101">
        <f t="shared" si="14"/>
        <v>0</v>
      </c>
      <c r="F89" s="666"/>
      <c r="G89" s="667"/>
      <c r="H89" s="667"/>
      <c r="I89" s="667"/>
      <c r="J89" s="667"/>
      <c r="K89" s="729"/>
      <c r="L89" s="700"/>
      <c r="M89" s="700"/>
      <c r="N89" s="691"/>
      <c r="O89" s="691"/>
      <c r="P89" s="691"/>
      <c r="Q89" s="691"/>
      <c r="R89" s="691"/>
      <c r="S89" s="691"/>
      <c r="T89" s="691"/>
      <c r="U89" s="691"/>
    </row>
    <row r="90" spans="1:22" s="251" customFormat="1" ht="20.100000000000001" customHeight="1">
      <c r="A90" s="719" t="s">
        <v>78</v>
      </c>
      <c r="B90" s="290"/>
      <c r="C90" s="101">
        <f t="shared" si="15"/>
        <v>0</v>
      </c>
      <c r="D90" s="101">
        <f t="shared" si="16"/>
        <v>0</v>
      </c>
      <c r="E90" s="101">
        <f t="shared" si="14"/>
        <v>0</v>
      </c>
      <c r="F90" s="666"/>
      <c r="G90" s="667"/>
      <c r="H90" s="667"/>
      <c r="I90" s="667"/>
      <c r="J90" s="667"/>
      <c r="K90" s="729"/>
      <c r="L90" s="700"/>
      <c r="M90" s="700"/>
      <c r="N90" s="691"/>
      <c r="O90" s="691"/>
      <c r="P90" s="691"/>
      <c r="Q90" s="691"/>
      <c r="R90" s="691"/>
      <c r="S90" s="691"/>
      <c r="T90" s="691"/>
      <c r="U90" s="691"/>
    </row>
    <row r="91" spans="1:22" s="648" customFormat="1" ht="20.100000000000001" customHeight="1">
      <c r="A91" s="719" t="s">
        <v>198</v>
      </c>
      <c r="B91" s="290"/>
      <c r="C91" s="101">
        <f t="shared" si="15"/>
        <v>0</v>
      </c>
      <c r="D91" s="101">
        <f t="shared" si="16"/>
        <v>0</v>
      </c>
      <c r="E91" s="101">
        <f t="shared" ref="E91:E130" si="20">SUM(B91:D91)</f>
        <v>0</v>
      </c>
      <c r="F91" s="666"/>
      <c r="G91" s="667"/>
      <c r="H91" s="667"/>
      <c r="I91" s="667"/>
      <c r="J91" s="667"/>
      <c r="K91" s="667"/>
      <c r="L91" s="700"/>
      <c r="M91" s="700"/>
      <c r="N91" s="691"/>
      <c r="O91" s="691"/>
      <c r="P91" s="691"/>
      <c r="Q91" s="691"/>
      <c r="R91" s="691"/>
      <c r="S91" s="691"/>
      <c r="T91" s="691"/>
      <c r="U91" s="691"/>
      <c r="V91" s="251"/>
    </row>
    <row r="92" spans="1:22" s="251" customFormat="1" ht="20.100000000000001" customHeight="1">
      <c r="A92" s="721" t="s">
        <v>414</v>
      </c>
      <c r="B92" s="290"/>
      <c r="C92" s="101">
        <f t="shared" si="15"/>
        <v>0</v>
      </c>
      <c r="D92" s="101">
        <f t="shared" si="16"/>
        <v>0</v>
      </c>
      <c r="E92" s="101">
        <f t="shared" si="20"/>
        <v>0</v>
      </c>
      <c r="F92" s="666"/>
      <c r="G92" s="667"/>
      <c r="H92" s="667"/>
      <c r="I92" s="667"/>
      <c r="J92" s="667"/>
      <c r="K92" s="667"/>
      <c r="L92" s="700"/>
      <c r="M92" s="700"/>
      <c r="N92" s="691"/>
      <c r="O92" s="691"/>
      <c r="P92" s="691"/>
      <c r="Q92" s="691"/>
      <c r="R92" s="691"/>
      <c r="S92" s="691"/>
      <c r="T92" s="691"/>
      <c r="U92" s="691"/>
    </row>
    <row r="93" spans="1:22" s="251" customFormat="1" ht="20.100000000000001" customHeight="1">
      <c r="A93" s="719" t="s">
        <v>50</v>
      </c>
      <c r="B93" s="290"/>
      <c r="C93" s="101">
        <f t="shared" si="15"/>
        <v>0</v>
      </c>
      <c r="D93" s="101">
        <f t="shared" si="16"/>
        <v>0</v>
      </c>
      <c r="E93" s="101">
        <f t="shared" si="20"/>
        <v>0</v>
      </c>
      <c r="F93" s="668"/>
      <c r="G93" s="669"/>
      <c r="H93" s="667"/>
      <c r="I93" s="667"/>
      <c r="J93" s="671"/>
      <c r="K93" s="667"/>
      <c r="L93" s="700"/>
      <c r="M93" s="700"/>
      <c r="N93" s="691"/>
      <c r="O93" s="691"/>
      <c r="P93" s="691"/>
      <c r="Q93" s="691"/>
      <c r="R93" s="691"/>
      <c r="S93" s="691"/>
      <c r="T93" s="691"/>
      <c r="U93" s="691"/>
    </row>
    <row r="94" spans="1:22" s="251" customFormat="1" ht="20.100000000000001" customHeight="1">
      <c r="A94" s="719" t="s">
        <v>415</v>
      </c>
      <c r="B94" s="290"/>
      <c r="C94" s="101">
        <f t="shared" si="15"/>
        <v>0</v>
      </c>
      <c r="D94" s="101">
        <f t="shared" si="16"/>
        <v>0</v>
      </c>
      <c r="E94" s="101">
        <f t="shared" si="20"/>
        <v>0</v>
      </c>
      <c r="F94" s="668"/>
      <c r="G94" s="669"/>
      <c r="H94" s="667"/>
      <c r="I94" s="671"/>
      <c r="J94" s="667"/>
      <c r="K94" s="704"/>
      <c r="L94" s="700"/>
      <c r="M94" s="700"/>
      <c r="N94" s="691"/>
      <c r="O94" s="691"/>
      <c r="P94" s="691"/>
      <c r="Q94" s="691"/>
      <c r="R94" s="691"/>
      <c r="S94" s="691"/>
      <c r="T94" s="691"/>
      <c r="U94" s="691"/>
    </row>
    <row r="95" spans="1:22" s="251" customFormat="1" ht="20.100000000000001" customHeight="1">
      <c r="A95" s="719" t="s">
        <v>416</v>
      </c>
      <c r="B95" s="290"/>
      <c r="C95" s="101">
        <f t="shared" si="15"/>
        <v>0</v>
      </c>
      <c r="D95" s="101">
        <f t="shared" si="16"/>
        <v>0</v>
      </c>
      <c r="E95" s="101">
        <f t="shared" si="20"/>
        <v>0</v>
      </c>
      <c r="F95" s="666"/>
      <c r="G95" s="667"/>
      <c r="H95" s="667"/>
      <c r="I95" s="667"/>
      <c r="J95" s="667"/>
      <c r="K95" s="667"/>
      <c r="L95" s="700"/>
      <c r="M95" s="700"/>
      <c r="N95" s="691"/>
      <c r="O95" s="691"/>
      <c r="P95" s="691"/>
      <c r="Q95" s="691"/>
      <c r="R95" s="691"/>
      <c r="S95" s="691"/>
      <c r="T95" s="691"/>
      <c r="U95" s="691"/>
    </row>
    <row r="96" spans="1:22" s="647" customFormat="1" ht="20.100000000000001" customHeight="1">
      <c r="A96" s="719" t="s">
        <v>417</v>
      </c>
      <c r="B96" s="114"/>
      <c r="C96" s="101">
        <f t="shared" si="15"/>
        <v>0</v>
      </c>
      <c r="D96" s="101">
        <f t="shared" si="16"/>
        <v>0</v>
      </c>
      <c r="E96" s="101">
        <f t="shared" si="20"/>
        <v>0</v>
      </c>
      <c r="F96" s="668"/>
      <c r="G96" s="669"/>
      <c r="H96" s="667"/>
      <c r="I96" s="667"/>
      <c r="J96" s="671"/>
      <c r="K96" s="667"/>
      <c r="L96" s="700"/>
      <c r="M96" s="700"/>
      <c r="N96" s="691"/>
      <c r="O96" s="691"/>
      <c r="P96" s="691"/>
      <c r="Q96" s="691"/>
      <c r="R96" s="691"/>
      <c r="S96" s="691"/>
      <c r="T96" s="691"/>
      <c r="U96" s="691"/>
    </row>
    <row r="97" spans="1:21" s="647" customFormat="1" ht="20.100000000000001" customHeight="1">
      <c r="A97" s="719" t="s">
        <v>418</v>
      </c>
      <c r="B97" s="114"/>
      <c r="C97" s="101">
        <f t="shared" si="15"/>
        <v>0</v>
      </c>
      <c r="D97" s="101">
        <f t="shared" si="16"/>
        <v>0</v>
      </c>
      <c r="E97" s="101">
        <f t="shared" si="20"/>
        <v>0</v>
      </c>
      <c r="F97" s="668"/>
      <c r="G97" s="669"/>
      <c r="H97" s="667"/>
      <c r="I97" s="671"/>
      <c r="J97" s="667"/>
      <c r="K97" s="704"/>
      <c r="L97" s="700"/>
      <c r="M97" s="700"/>
      <c r="N97" s="691"/>
      <c r="O97" s="691"/>
      <c r="P97" s="691"/>
      <c r="Q97" s="691"/>
      <c r="R97" s="691"/>
      <c r="S97" s="691"/>
      <c r="T97" s="691"/>
      <c r="U97" s="691"/>
    </row>
    <row r="98" spans="1:21" s="647" customFormat="1" ht="20.100000000000001" customHeight="1">
      <c r="A98" s="719" t="s">
        <v>419</v>
      </c>
      <c r="B98" s="114"/>
      <c r="C98" s="101">
        <f t="shared" si="15"/>
        <v>0</v>
      </c>
      <c r="D98" s="101">
        <f t="shared" si="16"/>
        <v>0</v>
      </c>
      <c r="E98" s="101">
        <f t="shared" si="20"/>
        <v>0</v>
      </c>
      <c r="F98" s="664"/>
      <c r="G98" s="695"/>
      <c r="H98" s="722"/>
      <c r="I98" s="695"/>
      <c r="J98" s="695"/>
      <c r="K98" s="695"/>
      <c r="L98" s="700"/>
      <c r="M98" s="700"/>
      <c r="N98" s="691"/>
      <c r="O98" s="691"/>
      <c r="P98" s="691"/>
      <c r="Q98" s="691"/>
      <c r="R98" s="691"/>
      <c r="S98" s="691"/>
      <c r="T98" s="691"/>
      <c r="U98" s="691"/>
    </row>
    <row r="99" spans="1:21" s="647" customFormat="1" ht="20.100000000000001" customHeight="1">
      <c r="A99" s="719" t="s">
        <v>420</v>
      </c>
      <c r="B99" s="114"/>
      <c r="C99" s="101">
        <f t="shared" si="15"/>
        <v>0</v>
      </c>
      <c r="D99" s="101">
        <f t="shared" si="16"/>
        <v>0</v>
      </c>
      <c r="E99" s="101">
        <f t="shared" si="20"/>
        <v>0</v>
      </c>
      <c r="F99" s="668"/>
      <c r="G99" s="669"/>
      <c r="H99" s="695"/>
      <c r="I99" s="695"/>
      <c r="J99" s="704"/>
      <c r="K99" s="695"/>
      <c r="L99" s="700"/>
      <c r="M99" s="700"/>
      <c r="N99" s="691"/>
      <c r="O99" s="691"/>
      <c r="P99" s="691"/>
      <c r="Q99" s="691"/>
      <c r="R99" s="691"/>
      <c r="S99" s="691"/>
      <c r="T99" s="691"/>
      <c r="U99" s="691"/>
    </row>
    <row r="100" spans="1:21" s="647" customFormat="1" ht="20.100000000000001" customHeight="1">
      <c r="A100" s="719" t="s">
        <v>421</v>
      </c>
      <c r="B100" s="114"/>
      <c r="C100" s="101">
        <f t="shared" si="15"/>
        <v>0</v>
      </c>
      <c r="D100" s="101">
        <f t="shared" si="16"/>
        <v>0</v>
      </c>
      <c r="E100" s="101">
        <f t="shared" si="20"/>
        <v>0</v>
      </c>
      <c r="F100" s="668"/>
      <c r="G100" s="669"/>
      <c r="H100" s="667"/>
      <c r="I100" s="695"/>
      <c r="J100" s="704"/>
      <c r="K100" s="695"/>
      <c r="L100" s="700"/>
      <c r="M100" s="700"/>
      <c r="N100" s="691"/>
      <c r="O100" s="691"/>
      <c r="P100" s="691"/>
      <c r="Q100" s="691"/>
      <c r="R100" s="691"/>
      <c r="S100" s="691"/>
      <c r="T100" s="691"/>
      <c r="U100" s="691"/>
    </row>
    <row r="101" spans="1:21" s="647" customFormat="1" ht="20.100000000000001" customHeight="1">
      <c r="A101" s="719" t="s">
        <v>393</v>
      </c>
      <c r="B101" s="114"/>
      <c r="C101" s="101">
        <f t="shared" si="15"/>
        <v>0</v>
      </c>
      <c r="D101" s="101">
        <f t="shared" si="16"/>
        <v>0</v>
      </c>
      <c r="E101" s="101">
        <f t="shared" si="20"/>
        <v>0</v>
      </c>
      <c r="F101" s="664"/>
      <c r="G101" s="695"/>
      <c r="H101" s="722"/>
      <c r="I101" s="722"/>
      <c r="J101" s="704"/>
      <c r="K101" s="730"/>
      <c r="L101" s="700"/>
      <c r="M101" s="700"/>
      <c r="N101" s="691"/>
      <c r="O101" s="691"/>
      <c r="P101" s="691"/>
      <c r="Q101" s="691"/>
      <c r="R101" s="691"/>
      <c r="S101" s="691"/>
      <c r="T101" s="691"/>
      <c r="U101" s="691"/>
    </row>
    <row r="102" spans="1:21" s="647" customFormat="1" ht="20.100000000000001" customHeight="1">
      <c r="A102" s="719" t="s">
        <v>83</v>
      </c>
      <c r="B102" s="114"/>
      <c r="C102" s="101">
        <f t="shared" si="15"/>
        <v>0</v>
      </c>
      <c r="D102" s="101">
        <f t="shared" si="16"/>
        <v>0</v>
      </c>
      <c r="E102" s="101">
        <f t="shared" si="20"/>
        <v>0</v>
      </c>
      <c r="F102" s="668"/>
      <c r="G102" s="669"/>
      <c r="H102" s="722"/>
      <c r="I102" s="722"/>
      <c r="J102" s="704"/>
      <c r="K102" s="730"/>
      <c r="L102" s="691"/>
      <c r="M102" s="691"/>
      <c r="N102" s="691"/>
      <c r="O102" s="691"/>
      <c r="P102" s="691"/>
      <c r="Q102" s="691"/>
      <c r="R102" s="691"/>
      <c r="S102" s="691"/>
      <c r="T102" s="691"/>
      <c r="U102" s="691"/>
    </row>
    <row r="103" spans="1:21" s="647" customFormat="1" ht="20.100000000000001" customHeight="1">
      <c r="A103" s="719" t="s">
        <v>422</v>
      </c>
      <c r="B103" s="101">
        <f>SUM(B81:B102)</f>
        <v>0</v>
      </c>
      <c r="C103" s="101">
        <f>SUM(C81:C102)</f>
        <v>0</v>
      </c>
      <c r="D103" s="101">
        <f>SUM(D81:D102)</f>
        <v>0</v>
      </c>
      <c r="E103" s="101">
        <f t="shared" si="20"/>
        <v>0</v>
      </c>
      <c r="F103" s="668"/>
      <c r="G103" s="669"/>
      <c r="H103" s="722"/>
      <c r="I103" s="722"/>
      <c r="J103" s="722"/>
      <c r="K103" s="730"/>
      <c r="L103" s="691"/>
      <c r="M103" s="691"/>
      <c r="N103" s="691"/>
      <c r="O103" s="691"/>
      <c r="P103" s="691"/>
      <c r="Q103" s="691"/>
      <c r="R103" s="691"/>
      <c r="S103" s="691"/>
      <c r="T103" s="691"/>
      <c r="U103" s="691"/>
    </row>
    <row r="104" spans="1:21" s="647" customFormat="1" ht="20.100000000000001" customHeight="1">
      <c r="A104" s="719" t="s">
        <v>423</v>
      </c>
      <c r="B104" s="114"/>
      <c r="C104" s="101">
        <f t="shared" ref="C104:C113" si="21">-SUMIF($P:$P,A104,R:R)+SUMIF($P:$P,A104,S:S)</f>
        <v>0</v>
      </c>
      <c r="D104" s="101">
        <f t="shared" ref="D104:D113" si="22">-SUMIF($H:$H,A104,J:J)+SUMIF($H:$H,A104,K:K)</f>
        <v>0</v>
      </c>
      <c r="E104" s="101">
        <f t="shared" si="20"/>
        <v>0</v>
      </c>
      <c r="F104" s="662"/>
      <c r="G104" s="700"/>
      <c r="H104" s="700"/>
      <c r="I104" s="700"/>
      <c r="J104" s="700"/>
      <c r="K104" s="700"/>
      <c r="L104" s="731"/>
      <c r="M104" s="691"/>
      <c r="N104" s="691"/>
      <c r="O104" s="691"/>
      <c r="P104" s="691"/>
      <c r="Q104" s="691"/>
      <c r="R104" s="691"/>
      <c r="S104" s="691"/>
      <c r="T104" s="691"/>
      <c r="U104" s="691"/>
    </row>
    <row r="105" spans="1:21" s="647" customFormat="1" ht="20.100000000000001" customHeight="1">
      <c r="A105" s="719" t="s">
        <v>84</v>
      </c>
      <c r="B105" s="114"/>
      <c r="C105" s="101">
        <f t="shared" si="21"/>
        <v>0</v>
      </c>
      <c r="D105" s="101">
        <f t="shared" si="22"/>
        <v>0</v>
      </c>
      <c r="E105" s="101">
        <f t="shared" si="20"/>
        <v>0</v>
      </c>
      <c r="F105" s="662"/>
      <c r="G105" s="700"/>
      <c r="H105" s="700"/>
      <c r="I105" s="700"/>
      <c r="J105" s="700"/>
      <c r="K105" s="700"/>
      <c r="L105" s="691"/>
      <c r="M105" s="691"/>
      <c r="N105" s="691"/>
      <c r="O105" s="691"/>
      <c r="P105" s="691"/>
      <c r="Q105" s="691"/>
      <c r="R105" s="691"/>
      <c r="S105" s="691"/>
      <c r="T105" s="691"/>
      <c r="U105" s="691"/>
    </row>
    <row r="106" spans="1:21" s="647" customFormat="1" ht="20.100000000000001" customHeight="1">
      <c r="A106" s="719" t="s">
        <v>85</v>
      </c>
      <c r="B106" s="114"/>
      <c r="C106" s="101">
        <f t="shared" si="21"/>
        <v>0</v>
      </c>
      <c r="D106" s="101">
        <f t="shared" si="22"/>
        <v>0</v>
      </c>
      <c r="E106" s="101">
        <f t="shared" si="20"/>
        <v>0</v>
      </c>
      <c r="F106" s="662"/>
      <c r="G106" s="700"/>
      <c r="H106" s="700"/>
      <c r="I106" s="700"/>
      <c r="J106" s="700"/>
      <c r="K106" s="732"/>
      <c r="L106" s="691"/>
      <c r="M106" s="691"/>
      <c r="N106" s="691"/>
      <c r="O106" s="691"/>
      <c r="P106" s="691"/>
      <c r="Q106" s="691"/>
      <c r="R106" s="691"/>
      <c r="S106" s="691"/>
      <c r="T106" s="691"/>
      <c r="U106" s="691"/>
    </row>
    <row r="107" spans="1:21" s="647" customFormat="1" ht="20.100000000000001" customHeight="1">
      <c r="A107" s="719" t="s">
        <v>204</v>
      </c>
      <c r="B107" s="114"/>
      <c r="C107" s="101">
        <f t="shared" si="21"/>
        <v>0</v>
      </c>
      <c r="D107" s="101">
        <f t="shared" si="22"/>
        <v>0</v>
      </c>
      <c r="E107" s="101">
        <f t="shared" si="20"/>
        <v>0</v>
      </c>
      <c r="F107" s="662"/>
      <c r="G107" s="700"/>
      <c r="H107" s="700"/>
      <c r="I107" s="700"/>
      <c r="J107" s="700"/>
      <c r="K107" s="732"/>
      <c r="L107" s="691"/>
      <c r="M107" s="691"/>
      <c r="N107" s="691"/>
      <c r="O107" s="691"/>
      <c r="P107" s="691"/>
      <c r="Q107" s="691"/>
      <c r="R107" s="691"/>
      <c r="S107" s="691"/>
      <c r="T107" s="691"/>
      <c r="U107" s="691"/>
    </row>
    <row r="108" spans="1:21" s="647" customFormat="1" ht="20.100000000000001" customHeight="1">
      <c r="A108" s="719" t="s">
        <v>89</v>
      </c>
      <c r="B108" s="114"/>
      <c r="C108" s="101">
        <f t="shared" si="21"/>
        <v>0</v>
      </c>
      <c r="D108" s="101">
        <f t="shared" si="22"/>
        <v>0</v>
      </c>
      <c r="E108" s="101">
        <f t="shared" si="20"/>
        <v>0</v>
      </c>
      <c r="F108" s="662"/>
      <c r="G108" s="700"/>
      <c r="H108" s="700"/>
      <c r="I108" s="700"/>
      <c r="J108" s="700"/>
      <c r="K108" s="732"/>
      <c r="L108" s="691"/>
      <c r="M108" s="691"/>
      <c r="N108" s="691"/>
      <c r="O108" s="691"/>
      <c r="P108" s="691"/>
      <c r="Q108" s="691"/>
      <c r="R108" s="691"/>
      <c r="S108" s="691"/>
      <c r="T108" s="691"/>
      <c r="U108" s="691"/>
    </row>
    <row r="109" spans="1:21" s="647" customFormat="1" ht="20.100000000000001" customHeight="1">
      <c r="A109" s="719" t="s">
        <v>424</v>
      </c>
      <c r="B109" s="114"/>
      <c r="C109" s="101">
        <f t="shared" si="21"/>
        <v>0</v>
      </c>
      <c r="D109" s="101">
        <f t="shared" si="22"/>
        <v>0</v>
      </c>
      <c r="E109" s="101">
        <f t="shared" si="20"/>
        <v>0</v>
      </c>
      <c r="F109" s="662"/>
      <c r="G109" s="691"/>
      <c r="H109" s="691"/>
      <c r="I109" s="691"/>
      <c r="J109" s="691"/>
      <c r="K109" s="733"/>
      <c r="L109" s="691"/>
      <c r="M109" s="691"/>
      <c r="N109" s="691"/>
      <c r="O109" s="691"/>
      <c r="P109" s="691"/>
      <c r="Q109" s="691"/>
      <c r="R109" s="691"/>
      <c r="S109" s="691"/>
      <c r="T109" s="691"/>
      <c r="U109" s="691"/>
    </row>
    <row r="110" spans="1:21" s="647" customFormat="1" ht="20.100000000000001" customHeight="1">
      <c r="A110" s="719" t="s">
        <v>90</v>
      </c>
      <c r="B110" s="114"/>
      <c r="C110" s="101">
        <f t="shared" si="21"/>
        <v>0</v>
      </c>
      <c r="D110" s="101">
        <f t="shared" si="22"/>
        <v>0</v>
      </c>
      <c r="E110" s="101">
        <f t="shared" si="20"/>
        <v>0</v>
      </c>
      <c r="F110" s="662"/>
      <c r="G110" s="691"/>
      <c r="H110" s="691"/>
      <c r="I110" s="691"/>
      <c r="J110" s="691"/>
      <c r="K110" s="691"/>
      <c r="L110" s="691"/>
      <c r="M110" s="691"/>
      <c r="N110" s="691"/>
      <c r="O110" s="691"/>
      <c r="P110" s="691"/>
      <c r="Q110" s="691"/>
      <c r="R110" s="691"/>
      <c r="S110" s="691"/>
      <c r="T110" s="691"/>
      <c r="U110" s="691"/>
    </row>
    <row r="111" spans="1:21" s="647" customFormat="1" ht="20.100000000000001" customHeight="1">
      <c r="A111" s="719" t="s">
        <v>91</v>
      </c>
      <c r="B111" s="114"/>
      <c r="C111" s="101">
        <f t="shared" si="21"/>
        <v>0</v>
      </c>
      <c r="D111" s="101">
        <f t="shared" si="22"/>
        <v>0</v>
      </c>
      <c r="E111" s="101">
        <f t="shared" si="20"/>
        <v>0</v>
      </c>
      <c r="F111" s="662"/>
      <c r="G111" s="691"/>
      <c r="H111" s="691"/>
      <c r="I111" s="691"/>
      <c r="J111" s="691"/>
      <c r="K111" s="691"/>
      <c r="L111" s="691"/>
      <c r="M111" s="691"/>
      <c r="N111" s="691"/>
      <c r="O111" s="691"/>
      <c r="P111" s="691"/>
      <c r="Q111" s="691"/>
      <c r="R111" s="691"/>
      <c r="S111" s="691"/>
      <c r="T111" s="691"/>
      <c r="U111" s="691"/>
    </row>
    <row r="112" spans="1:21" s="647" customFormat="1" ht="20.100000000000001" customHeight="1">
      <c r="A112" s="719" t="s">
        <v>206</v>
      </c>
      <c r="B112" s="114"/>
      <c r="C112" s="101">
        <f t="shared" si="21"/>
        <v>0</v>
      </c>
      <c r="D112" s="101">
        <f t="shared" si="22"/>
        <v>0</v>
      </c>
      <c r="E112" s="101">
        <f t="shared" si="20"/>
        <v>0</v>
      </c>
      <c r="F112" s="662"/>
      <c r="G112" s="723"/>
      <c r="H112" s="691"/>
      <c r="I112" s="691"/>
      <c r="J112" s="733"/>
      <c r="K112" s="733"/>
      <c r="L112" s="731"/>
      <c r="M112" s="691"/>
      <c r="N112" s="691"/>
      <c r="O112" s="691"/>
      <c r="P112" s="691"/>
      <c r="Q112" s="691"/>
      <c r="R112" s="691"/>
      <c r="S112" s="691"/>
      <c r="T112" s="691"/>
      <c r="U112" s="691"/>
    </row>
    <row r="113" spans="1:21" s="647" customFormat="1" ht="20.100000000000001" customHeight="1">
      <c r="A113" s="719" t="s">
        <v>92</v>
      </c>
      <c r="B113" s="114"/>
      <c r="C113" s="101">
        <f t="shared" si="21"/>
        <v>0</v>
      </c>
      <c r="D113" s="101">
        <f t="shared" si="22"/>
        <v>0</v>
      </c>
      <c r="E113" s="101">
        <f t="shared" si="20"/>
        <v>0</v>
      </c>
      <c r="F113" s="662"/>
      <c r="G113" s="723"/>
      <c r="H113" s="691"/>
      <c r="I113" s="691"/>
      <c r="J113" s="733"/>
      <c r="K113" s="733"/>
      <c r="L113" s="691"/>
      <c r="M113" s="691"/>
      <c r="N113" s="691"/>
      <c r="O113" s="691"/>
      <c r="P113" s="691"/>
      <c r="Q113" s="691"/>
      <c r="R113" s="691"/>
      <c r="S113" s="691"/>
      <c r="T113" s="691"/>
      <c r="U113" s="691"/>
    </row>
    <row r="114" spans="1:21" s="647" customFormat="1" ht="20.100000000000001" customHeight="1">
      <c r="A114" s="719" t="s">
        <v>425</v>
      </c>
      <c r="B114" s="101">
        <f>SUM(B105:B113)</f>
        <v>0</v>
      </c>
      <c r="C114" s="101">
        <f>SUM(C105:C113)</f>
        <v>0</v>
      </c>
      <c r="D114" s="101">
        <f>SUM(D105:D113)</f>
        <v>0</v>
      </c>
      <c r="E114" s="101">
        <f t="shared" si="20"/>
        <v>0</v>
      </c>
      <c r="F114" s="662"/>
      <c r="G114" s="691"/>
      <c r="H114" s="691"/>
      <c r="I114" s="691"/>
      <c r="J114" s="691"/>
      <c r="K114" s="691"/>
      <c r="L114" s="691"/>
      <c r="M114" s="691"/>
      <c r="N114" s="691"/>
      <c r="O114" s="691"/>
      <c r="P114" s="691"/>
      <c r="Q114" s="691"/>
      <c r="R114" s="691"/>
      <c r="S114" s="691"/>
      <c r="T114" s="691"/>
      <c r="U114" s="691"/>
    </row>
    <row r="115" spans="1:21" s="647" customFormat="1" ht="20.100000000000001" customHeight="1">
      <c r="A115" s="719" t="s">
        <v>426</v>
      </c>
      <c r="B115" s="101">
        <f>B114+B103</f>
        <v>0</v>
      </c>
      <c r="C115" s="101">
        <f>C114+C103</f>
        <v>0</v>
      </c>
      <c r="D115" s="101">
        <f>D114+D103</f>
        <v>0</v>
      </c>
      <c r="E115" s="101">
        <f t="shared" si="20"/>
        <v>0</v>
      </c>
      <c r="F115" s="662"/>
      <c r="G115" s="691"/>
      <c r="H115" s="691"/>
      <c r="I115" s="691"/>
      <c r="J115" s="734"/>
      <c r="K115" s="691"/>
      <c r="L115" s="691"/>
      <c r="M115" s="691"/>
      <c r="N115" s="691"/>
      <c r="O115" s="691"/>
      <c r="P115" s="691"/>
      <c r="Q115" s="691"/>
      <c r="R115" s="691"/>
      <c r="S115" s="691"/>
      <c r="T115" s="691"/>
      <c r="U115" s="691"/>
    </row>
    <row r="116" spans="1:21" s="647" customFormat="1" ht="20.100000000000001" customHeight="1">
      <c r="A116" s="719" t="s">
        <v>427</v>
      </c>
      <c r="B116" s="114"/>
      <c r="C116" s="101">
        <f>-SUMIF(A116,$P:$P,R:R)+SUMIF(A116,$P:$P,S:S)</f>
        <v>0</v>
      </c>
      <c r="D116" s="101">
        <f>-SUMIF(A116,$H:$H,J:J)+SUMIF(A116,$H:$H,K:K)</f>
        <v>0</v>
      </c>
      <c r="E116" s="101">
        <f t="shared" si="20"/>
        <v>0</v>
      </c>
      <c r="F116" s="662"/>
      <c r="G116" s="691"/>
      <c r="H116" s="691"/>
      <c r="I116" s="691"/>
      <c r="J116" s="691"/>
      <c r="K116" s="733"/>
      <c r="L116" s="691"/>
      <c r="M116" s="691"/>
      <c r="N116" s="691"/>
      <c r="O116" s="691"/>
      <c r="P116" s="691"/>
      <c r="Q116" s="691"/>
      <c r="R116" s="691"/>
      <c r="S116" s="691"/>
      <c r="T116" s="691"/>
      <c r="U116" s="691"/>
    </row>
    <row r="117" spans="1:21" s="647" customFormat="1" ht="20.100000000000001" customHeight="1">
      <c r="A117" s="719" t="s">
        <v>210</v>
      </c>
      <c r="B117" s="114"/>
      <c r="C117" s="101">
        <f t="shared" ref="C117:C129" si="23">-SUMIF($P:$P,A117,R:R)+SUMIF($P:$P,A117,S:S)</f>
        <v>0</v>
      </c>
      <c r="D117" s="101">
        <f t="shared" ref="D117:D129" si="24">-SUMIF($H:$H,A117,J:J)+SUMIF($H:$H,A117,K:K)</f>
        <v>0</v>
      </c>
      <c r="E117" s="101">
        <f t="shared" si="20"/>
        <v>0</v>
      </c>
      <c r="F117" s="662"/>
      <c r="G117" s="691"/>
      <c r="H117" s="691"/>
      <c r="I117" s="691"/>
      <c r="J117" s="691"/>
      <c r="K117" s="733"/>
      <c r="L117" s="691"/>
      <c r="M117" s="691"/>
      <c r="N117" s="691"/>
      <c r="O117" s="691"/>
      <c r="P117" s="691"/>
      <c r="Q117" s="691"/>
      <c r="R117" s="691"/>
      <c r="S117" s="691"/>
      <c r="T117" s="691"/>
      <c r="U117" s="691"/>
    </row>
    <row r="118" spans="1:21" s="647" customFormat="1" ht="20.100000000000001" customHeight="1">
      <c r="A118" s="719" t="s">
        <v>428</v>
      </c>
      <c r="B118" s="114"/>
      <c r="C118" s="101">
        <f t="shared" si="23"/>
        <v>0</v>
      </c>
      <c r="D118" s="101">
        <f t="shared" si="24"/>
        <v>0</v>
      </c>
      <c r="E118" s="101">
        <f t="shared" si="20"/>
        <v>0</v>
      </c>
      <c r="F118" s="662"/>
      <c r="G118" s="691"/>
      <c r="H118" s="691"/>
      <c r="I118" s="691"/>
      <c r="J118" s="691"/>
      <c r="K118" s="733"/>
      <c r="L118" s="691"/>
      <c r="M118" s="691"/>
      <c r="N118" s="691"/>
      <c r="O118" s="691"/>
      <c r="P118" s="691"/>
      <c r="Q118" s="691"/>
      <c r="R118" s="691"/>
      <c r="S118" s="691"/>
      <c r="T118" s="691"/>
      <c r="U118" s="691"/>
    </row>
    <row r="119" spans="1:21" s="647" customFormat="1" ht="20.100000000000001" customHeight="1">
      <c r="A119" s="719" t="s">
        <v>429</v>
      </c>
      <c r="B119" s="114"/>
      <c r="C119" s="101">
        <f t="shared" si="23"/>
        <v>0</v>
      </c>
      <c r="D119" s="101">
        <f t="shared" si="24"/>
        <v>0</v>
      </c>
      <c r="E119" s="101">
        <f t="shared" si="20"/>
        <v>0</v>
      </c>
      <c r="F119" s="662"/>
      <c r="G119" s="691"/>
      <c r="H119" s="691"/>
      <c r="I119" s="691"/>
      <c r="J119" s="691"/>
      <c r="K119" s="733"/>
      <c r="L119" s="691"/>
      <c r="M119" s="691"/>
      <c r="N119" s="691"/>
      <c r="O119" s="691"/>
      <c r="P119" s="691"/>
      <c r="Q119" s="691"/>
      <c r="R119" s="691"/>
      <c r="S119" s="691"/>
      <c r="T119" s="691"/>
      <c r="U119" s="691"/>
    </row>
    <row r="120" spans="1:21" s="647" customFormat="1" ht="20.100000000000001" customHeight="1">
      <c r="A120" s="719" t="s">
        <v>430</v>
      </c>
      <c r="B120" s="114"/>
      <c r="C120" s="101">
        <f t="shared" si="23"/>
        <v>0</v>
      </c>
      <c r="D120" s="101">
        <f t="shared" si="24"/>
        <v>0</v>
      </c>
      <c r="E120" s="101">
        <f t="shared" si="20"/>
        <v>0</v>
      </c>
      <c r="F120" s="662"/>
      <c r="G120" s="691"/>
      <c r="H120" s="691"/>
      <c r="I120" s="691"/>
      <c r="J120" s="691"/>
      <c r="K120" s="733"/>
      <c r="L120" s="691"/>
      <c r="M120" s="691"/>
      <c r="N120" s="691"/>
      <c r="O120" s="691"/>
      <c r="P120" s="691"/>
      <c r="Q120" s="691"/>
      <c r="R120" s="691"/>
      <c r="S120" s="691"/>
      <c r="T120" s="691"/>
      <c r="U120" s="691"/>
    </row>
    <row r="121" spans="1:21" s="647" customFormat="1" ht="20.100000000000001" customHeight="1">
      <c r="A121" s="719" t="s">
        <v>214</v>
      </c>
      <c r="B121" s="114"/>
      <c r="C121" s="101">
        <f t="shared" si="23"/>
        <v>0</v>
      </c>
      <c r="D121" s="101">
        <f t="shared" si="24"/>
        <v>0</v>
      </c>
      <c r="E121" s="101">
        <f t="shared" si="20"/>
        <v>0</v>
      </c>
      <c r="F121" s="662"/>
      <c r="G121" s="691"/>
      <c r="H121" s="691"/>
      <c r="I121" s="691"/>
      <c r="J121" s="691"/>
      <c r="K121" s="691"/>
      <c r="L121" s="691"/>
      <c r="M121" s="691"/>
      <c r="N121" s="691"/>
      <c r="O121" s="691"/>
      <c r="P121" s="691"/>
      <c r="Q121" s="691"/>
      <c r="R121" s="691"/>
      <c r="S121" s="691"/>
      <c r="T121" s="691"/>
      <c r="U121" s="691"/>
    </row>
    <row r="122" spans="1:21" s="647" customFormat="1" ht="20.100000000000001" customHeight="1">
      <c r="A122" s="719" t="s">
        <v>215</v>
      </c>
      <c r="B122" s="114"/>
      <c r="C122" s="101">
        <f t="shared" si="23"/>
        <v>0</v>
      </c>
      <c r="D122" s="101">
        <f t="shared" si="24"/>
        <v>0</v>
      </c>
      <c r="E122" s="101">
        <f t="shared" si="20"/>
        <v>0</v>
      </c>
      <c r="F122" s="662"/>
      <c r="G122" s="691"/>
      <c r="H122" s="691"/>
      <c r="I122" s="691"/>
      <c r="J122" s="734"/>
      <c r="K122" s="734"/>
      <c r="L122" s="691"/>
      <c r="M122" s="691"/>
      <c r="N122" s="691"/>
      <c r="O122" s="691"/>
      <c r="P122" s="691"/>
      <c r="Q122" s="691"/>
      <c r="R122" s="691"/>
      <c r="S122" s="691"/>
      <c r="T122" s="691"/>
      <c r="U122" s="691"/>
    </row>
    <row r="123" spans="1:21" s="647" customFormat="1" ht="20.100000000000001" customHeight="1">
      <c r="A123" s="719" t="s">
        <v>216</v>
      </c>
      <c r="B123" s="114"/>
      <c r="C123" s="101">
        <f t="shared" si="23"/>
        <v>0</v>
      </c>
      <c r="D123" s="101">
        <f t="shared" si="24"/>
        <v>0</v>
      </c>
      <c r="E123" s="101">
        <f t="shared" si="20"/>
        <v>0</v>
      </c>
      <c r="F123" s="662"/>
      <c r="G123" s="691"/>
      <c r="H123" s="691"/>
      <c r="I123" s="691"/>
      <c r="J123" s="734"/>
      <c r="K123" s="734"/>
      <c r="L123" s="691"/>
      <c r="M123" s="691"/>
      <c r="N123" s="691"/>
      <c r="O123" s="691"/>
      <c r="P123" s="691"/>
      <c r="Q123" s="691"/>
      <c r="R123" s="691"/>
      <c r="S123" s="691"/>
      <c r="T123" s="691"/>
      <c r="U123" s="691"/>
    </row>
    <row r="124" spans="1:21" s="647" customFormat="1" ht="20.100000000000001" customHeight="1">
      <c r="A124" s="719" t="s">
        <v>218</v>
      </c>
      <c r="B124" s="114"/>
      <c r="C124" s="101">
        <f t="shared" si="23"/>
        <v>0</v>
      </c>
      <c r="D124" s="101">
        <f t="shared" si="24"/>
        <v>0</v>
      </c>
      <c r="E124" s="101">
        <f t="shared" si="20"/>
        <v>0</v>
      </c>
      <c r="F124" s="662"/>
      <c r="G124" s="691"/>
      <c r="H124" s="691"/>
      <c r="I124" s="691"/>
      <c r="J124" s="734"/>
      <c r="K124" s="734"/>
      <c r="L124" s="691"/>
      <c r="M124" s="691"/>
      <c r="N124" s="691"/>
      <c r="O124" s="691"/>
      <c r="P124" s="691"/>
      <c r="Q124" s="691"/>
      <c r="R124" s="691"/>
      <c r="S124" s="691"/>
      <c r="T124" s="691"/>
      <c r="U124" s="691"/>
    </row>
    <row r="125" spans="1:21" s="647" customFormat="1" ht="20.100000000000001" customHeight="1">
      <c r="A125" s="719" t="s">
        <v>219</v>
      </c>
      <c r="B125" s="101">
        <f>B180</f>
        <v>0</v>
      </c>
      <c r="C125" s="101">
        <f t="shared" si="23"/>
        <v>0</v>
      </c>
      <c r="D125" s="101">
        <f t="shared" si="24"/>
        <v>0</v>
      </c>
      <c r="E125" s="101">
        <f t="shared" si="20"/>
        <v>0</v>
      </c>
      <c r="F125" s="662"/>
      <c r="G125" s="691"/>
      <c r="H125" s="691"/>
      <c r="I125" s="691"/>
      <c r="J125" s="691"/>
      <c r="K125" s="691"/>
      <c r="L125" s="691"/>
      <c r="M125" s="691"/>
      <c r="N125" s="691"/>
      <c r="O125" s="691"/>
      <c r="P125" s="691"/>
      <c r="Q125" s="691"/>
      <c r="R125" s="691"/>
      <c r="S125" s="691"/>
      <c r="T125" s="691"/>
      <c r="U125" s="691"/>
    </row>
    <row r="126" spans="1:21" s="647" customFormat="1" ht="20.100000000000001" customHeight="1">
      <c r="A126" s="719" t="s">
        <v>220</v>
      </c>
      <c r="B126" s="101">
        <f>SUM(B117:B125)-B122</f>
        <v>0</v>
      </c>
      <c r="C126" s="101">
        <f t="shared" si="23"/>
        <v>0</v>
      </c>
      <c r="D126" s="101">
        <f t="shared" si="24"/>
        <v>0</v>
      </c>
      <c r="E126" s="101">
        <f t="shared" si="20"/>
        <v>0</v>
      </c>
      <c r="F126" s="662"/>
      <c r="G126" s="691"/>
      <c r="H126" s="691"/>
      <c r="I126" s="691"/>
      <c r="J126" s="691"/>
      <c r="K126" s="691"/>
      <c r="L126" s="691"/>
      <c r="M126" s="691"/>
      <c r="N126" s="691"/>
      <c r="O126" s="691"/>
      <c r="P126" s="691"/>
      <c r="Q126" s="691"/>
      <c r="R126" s="691"/>
      <c r="S126" s="691"/>
      <c r="T126" s="691"/>
      <c r="U126" s="691"/>
    </row>
    <row r="127" spans="1:21" s="647" customFormat="1" ht="20.100000000000001" customHeight="1">
      <c r="A127" s="719" t="s">
        <v>221</v>
      </c>
      <c r="B127" s="114"/>
      <c r="C127" s="101">
        <f t="shared" si="23"/>
        <v>0</v>
      </c>
      <c r="D127" s="101">
        <f t="shared" si="24"/>
        <v>0</v>
      </c>
      <c r="E127" s="101">
        <f t="shared" si="20"/>
        <v>0</v>
      </c>
      <c r="F127" s="662"/>
      <c r="G127" s="691"/>
      <c r="H127" s="691"/>
      <c r="I127" s="691"/>
      <c r="J127" s="691"/>
      <c r="K127" s="691"/>
      <c r="L127" s="691"/>
      <c r="M127" s="691"/>
      <c r="N127" s="691"/>
      <c r="O127" s="691"/>
      <c r="P127" s="691"/>
      <c r="Q127" s="691"/>
      <c r="R127" s="691"/>
      <c r="S127" s="691"/>
      <c r="T127" s="691"/>
      <c r="U127" s="691"/>
    </row>
    <row r="128" spans="1:21" s="647" customFormat="1" ht="20.100000000000001" customHeight="1">
      <c r="A128" s="719" t="s">
        <v>431</v>
      </c>
      <c r="B128" s="101">
        <f>B126+B127</f>
        <v>0</v>
      </c>
      <c r="C128" s="101">
        <f t="shared" si="23"/>
        <v>0</v>
      </c>
      <c r="D128" s="101">
        <f t="shared" si="24"/>
        <v>0</v>
      </c>
      <c r="E128" s="101">
        <f t="shared" si="20"/>
        <v>0</v>
      </c>
      <c r="F128" s="662"/>
      <c r="G128" s="691"/>
      <c r="H128" s="691"/>
      <c r="I128" s="691"/>
      <c r="J128" s="691"/>
      <c r="K128" s="691"/>
      <c r="L128" s="691"/>
      <c r="M128" s="691"/>
      <c r="N128" s="691"/>
      <c r="O128" s="691"/>
      <c r="P128" s="691"/>
      <c r="Q128" s="691"/>
      <c r="R128" s="691"/>
      <c r="S128" s="691"/>
      <c r="T128" s="691"/>
      <c r="U128" s="691"/>
    </row>
    <row r="129" spans="1:21" s="647" customFormat="1" ht="20.100000000000001" customHeight="1">
      <c r="A129" s="719" t="s">
        <v>432</v>
      </c>
      <c r="B129" s="101">
        <f>B128+B115</f>
        <v>0</v>
      </c>
      <c r="C129" s="101">
        <f t="shared" si="23"/>
        <v>0</v>
      </c>
      <c r="D129" s="101">
        <f t="shared" si="24"/>
        <v>0</v>
      </c>
      <c r="E129" s="101">
        <f t="shared" si="20"/>
        <v>0</v>
      </c>
      <c r="F129" s="662"/>
      <c r="G129" s="691"/>
      <c r="H129" s="691"/>
      <c r="I129" s="691"/>
      <c r="J129" s="691"/>
      <c r="K129" s="691"/>
      <c r="L129" s="691"/>
      <c r="M129" s="691"/>
      <c r="N129" s="691"/>
      <c r="O129" s="691"/>
      <c r="P129" s="691"/>
      <c r="Q129" s="691"/>
      <c r="R129" s="691"/>
      <c r="S129" s="691"/>
      <c r="T129" s="691"/>
      <c r="U129" s="691"/>
    </row>
    <row r="130" spans="1:21" s="647" customFormat="1" ht="20.100000000000001" customHeight="1">
      <c r="A130" s="661"/>
      <c r="B130" s="101">
        <f>B129-B75</f>
        <v>0</v>
      </c>
      <c r="C130" s="101">
        <f>C129-C75</f>
        <v>0</v>
      </c>
      <c r="D130" s="101">
        <f>D129-D75</f>
        <v>0</v>
      </c>
      <c r="E130" s="101">
        <f t="shared" si="20"/>
        <v>0</v>
      </c>
      <c r="F130" s="662"/>
      <c r="G130" s="691"/>
      <c r="H130" s="691"/>
      <c r="I130" s="691"/>
      <c r="J130" s="691"/>
      <c r="K130" s="691"/>
      <c r="L130" s="691"/>
      <c r="M130" s="691"/>
      <c r="N130" s="691"/>
      <c r="O130" s="691"/>
      <c r="P130" s="691"/>
      <c r="Q130" s="691"/>
      <c r="R130" s="691"/>
      <c r="S130" s="691"/>
      <c r="T130" s="691"/>
      <c r="U130" s="691"/>
    </row>
    <row r="131" spans="1:21" s="647" customFormat="1" ht="24.95" customHeight="1">
      <c r="A131" s="724" t="s">
        <v>145</v>
      </c>
      <c r="B131" s="684">
        <f>基础信息!B6</f>
        <v>0</v>
      </c>
      <c r="C131" s="685"/>
      <c r="D131" s="685"/>
      <c r="E131" s="686"/>
      <c r="F131" s="687"/>
      <c r="G131" s="688"/>
      <c r="H131" s="688"/>
      <c r="I131" s="688"/>
      <c r="J131" s="688"/>
      <c r="K131" s="688"/>
      <c r="L131" s="705"/>
      <c r="M131" s="705"/>
      <c r="N131" s="706"/>
      <c r="O131" s="706"/>
      <c r="P131" s="706"/>
      <c r="Q131" s="706"/>
      <c r="R131" s="706"/>
      <c r="S131" s="706"/>
      <c r="T131" s="706"/>
      <c r="U131" s="706"/>
    </row>
    <row r="132" spans="1:21" s="647" customFormat="1" ht="24.95" customHeight="1">
      <c r="A132" s="639" t="s">
        <v>147</v>
      </c>
      <c r="B132" s="652">
        <f>基础信息!B9</f>
        <v>0</v>
      </c>
      <c r="F132" s="654"/>
      <c r="G132" s="655"/>
      <c r="H132" s="655"/>
      <c r="I132" s="596"/>
      <c r="J132" s="689" t="s">
        <v>364</v>
      </c>
      <c r="K132" s="655"/>
      <c r="L132" s="655"/>
      <c r="M132" s="655"/>
      <c r="N132" s="655"/>
      <c r="O132" s="655"/>
      <c r="P132" s="655"/>
      <c r="Q132" s="596"/>
      <c r="R132" s="689" t="s">
        <v>365</v>
      </c>
      <c r="S132" s="655"/>
      <c r="T132" s="655"/>
      <c r="U132" s="655"/>
    </row>
    <row r="133" spans="1:21" s="647" customFormat="1" ht="24.95" customHeight="1">
      <c r="A133" s="725" t="s">
        <v>148</v>
      </c>
      <c r="B133" s="715" t="s">
        <v>409</v>
      </c>
      <c r="C133" s="716"/>
      <c r="D133" s="716"/>
      <c r="E133" s="716"/>
      <c r="F133" s="717"/>
      <c r="G133" s="718"/>
      <c r="H133" s="718"/>
      <c r="I133" s="718"/>
      <c r="J133" s="718"/>
      <c r="K133" s="718"/>
      <c r="L133" s="727"/>
      <c r="M133" s="727"/>
      <c r="N133" s="728"/>
      <c r="O133" s="728"/>
      <c r="P133" s="728"/>
      <c r="Q133" s="728"/>
      <c r="R133" s="728"/>
      <c r="S133" s="728"/>
      <c r="T133" s="728"/>
      <c r="U133" s="728"/>
    </row>
    <row r="134" spans="1:21" s="251" customFormat="1" ht="20.100000000000001" customHeight="1">
      <c r="A134" s="726" t="s">
        <v>137</v>
      </c>
      <c r="B134" s="26" t="s">
        <v>410</v>
      </c>
      <c r="C134" s="658" t="s">
        <v>368</v>
      </c>
      <c r="D134" s="658" t="s">
        <v>369</v>
      </c>
      <c r="E134" s="658" t="s">
        <v>412</v>
      </c>
      <c r="F134" s="659" t="s">
        <v>1</v>
      </c>
      <c r="G134" s="660" t="s">
        <v>371</v>
      </c>
      <c r="H134" s="660" t="s">
        <v>372</v>
      </c>
      <c r="I134" s="660" t="s">
        <v>373</v>
      </c>
      <c r="J134" s="660" t="s">
        <v>374</v>
      </c>
      <c r="K134" s="660" t="s">
        <v>375</v>
      </c>
      <c r="L134" s="660" t="s">
        <v>376</v>
      </c>
      <c r="M134" s="660" t="s">
        <v>377</v>
      </c>
      <c r="N134" s="659" t="s">
        <v>1</v>
      </c>
      <c r="O134" s="659" t="s">
        <v>371</v>
      </c>
      <c r="P134" s="659" t="s">
        <v>372</v>
      </c>
      <c r="Q134" s="659" t="s">
        <v>373</v>
      </c>
      <c r="R134" s="707" t="s">
        <v>374</v>
      </c>
      <c r="S134" s="707" t="s">
        <v>375</v>
      </c>
      <c r="T134" s="659" t="s">
        <v>376</v>
      </c>
      <c r="U134" s="659" t="s">
        <v>377</v>
      </c>
    </row>
    <row r="135" spans="1:21" s="647" customFormat="1" ht="20.100000000000001" customHeight="1">
      <c r="A135" s="719" t="s">
        <v>433</v>
      </c>
      <c r="B135" s="114"/>
      <c r="C135" s="101">
        <f>-SUMIF($P:$P,A135,R:R)+SUMIF($P:$P,A135,S:S)</f>
        <v>0</v>
      </c>
      <c r="D135" s="101">
        <f t="shared" ref="D135:D141" si="25">-SUMIF($H:$H,A135,J:J)+SUMIF($H:$H,A135,K:K)</f>
        <v>0</v>
      </c>
      <c r="E135" s="101">
        <f t="shared" ref="E135:E141" si="26">SUM(B135:D135)</f>
        <v>0</v>
      </c>
      <c r="F135" s="662"/>
      <c r="G135" s="691"/>
      <c r="H135" s="691"/>
      <c r="I135" s="691"/>
      <c r="J135" s="691"/>
      <c r="K135" s="691"/>
      <c r="L135" s="691"/>
      <c r="M135" s="691"/>
      <c r="N135" s="691"/>
      <c r="O135" s="691"/>
      <c r="P135" s="691"/>
      <c r="Q135" s="691"/>
      <c r="R135" s="691"/>
      <c r="S135" s="691"/>
      <c r="T135" s="691"/>
      <c r="U135" s="691"/>
    </row>
    <row r="136" spans="1:21" s="647" customFormat="1" ht="20.100000000000001" customHeight="1">
      <c r="A136" s="719" t="s">
        <v>434</v>
      </c>
      <c r="B136" s="114"/>
      <c r="C136" s="101">
        <f t="shared" ref="C136:C141" si="27">SUMIF($P:$P,A136,R:R)-SUMIF($P:$P,A136,S:S)</f>
        <v>0</v>
      </c>
      <c r="D136" s="101">
        <f t="shared" si="25"/>
        <v>0</v>
      </c>
      <c r="E136" s="101">
        <f t="shared" si="26"/>
        <v>0</v>
      </c>
      <c r="F136" s="662"/>
      <c r="G136" s="691"/>
      <c r="H136" s="691"/>
      <c r="I136" s="691"/>
      <c r="J136" s="691"/>
      <c r="K136" s="691"/>
      <c r="L136" s="691"/>
      <c r="M136" s="691"/>
      <c r="N136" s="691"/>
      <c r="O136" s="691"/>
      <c r="P136" s="691"/>
      <c r="Q136" s="691"/>
      <c r="R136" s="691"/>
      <c r="S136" s="691"/>
      <c r="T136" s="691"/>
      <c r="U136" s="691"/>
    </row>
    <row r="137" spans="1:21" s="647" customFormat="1" ht="20.100000000000001" customHeight="1">
      <c r="A137" s="721" t="s">
        <v>94</v>
      </c>
      <c r="B137" s="114"/>
      <c r="C137" s="101">
        <f t="shared" si="27"/>
        <v>0</v>
      </c>
      <c r="D137" s="101">
        <f t="shared" si="25"/>
        <v>0</v>
      </c>
      <c r="E137" s="101">
        <f t="shared" si="26"/>
        <v>0</v>
      </c>
      <c r="F137" s="662"/>
      <c r="G137" s="691"/>
      <c r="H137" s="691"/>
      <c r="I137" s="691"/>
      <c r="J137" s="691"/>
      <c r="K137" s="691"/>
      <c r="L137" s="691"/>
      <c r="M137" s="691"/>
      <c r="N137" s="691"/>
      <c r="O137" s="691"/>
      <c r="P137" s="691"/>
      <c r="Q137" s="691"/>
      <c r="R137" s="691"/>
      <c r="S137" s="691"/>
      <c r="T137" s="691"/>
      <c r="U137" s="691"/>
    </row>
    <row r="138" spans="1:21" s="647" customFormat="1" ht="20.100000000000001" customHeight="1">
      <c r="A138" s="719" t="s">
        <v>95</v>
      </c>
      <c r="B138" s="114"/>
      <c r="C138" s="101">
        <f t="shared" si="27"/>
        <v>0</v>
      </c>
      <c r="D138" s="101">
        <f t="shared" si="25"/>
        <v>0</v>
      </c>
      <c r="E138" s="101">
        <f t="shared" si="26"/>
        <v>0</v>
      </c>
      <c r="F138" s="662"/>
      <c r="G138" s="691"/>
      <c r="H138" s="691"/>
      <c r="I138" s="691"/>
      <c r="J138" s="691"/>
      <c r="K138" s="691"/>
      <c r="L138" s="691"/>
      <c r="M138" s="691"/>
      <c r="N138" s="102"/>
      <c r="O138" s="102"/>
      <c r="P138" s="102"/>
      <c r="Q138" s="102"/>
      <c r="R138" s="102"/>
      <c r="S138" s="102"/>
      <c r="T138" s="102"/>
      <c r="U138" s="102"/>
    </row>
    <row r="139" spans="1:21" s="647" customFormat="1" ht="20.100000000000001" customHeight="1">
      <c r="A139" s="719" t="s">
        <v>96</v>
      </c>
      <c r="B139" s="114"/>
      <c r="C139" s="101">
        <f t="shared" si="27"/>
        <v>0</v>
      </c>
      <c r="D139" s="101">
        <f t="shared" si="25"/>
        <v>0</v>
      </c>
      <c r="E139" s="101">
        <f t="shared" si="26"/>
        <v>0</v>
      </c>
      <c r="F139" s="662"/>
      <c r="G139" s="691"/>
      <c r="H139" s="691"/>
      <c r="I139" s="691"/>
      <c r="J139" s="691"/>
      <c r="K139" s="691"/>
      <c r="L139" s="691"/>
      <c r="M139" s="691"/>
      <c r="N139" s="102"/>
      <c r="O139" s="102"/>
      <c r="P139" s="102"/>
      <c r="Q139" s="102"/>
      <c r="R139" s="102"/>
      <c r="S139" s="102"/>
      <c r="T139" s="102"/>
      <c r="U139" s="102"/>
    </row>
    <row r="140" spans="1:21" s="251" customFormat="1" ht="20.100000000000001" customHeight="1">
      <c r="A140" s="719" t="s">
        <v>97</v>
      </c>
      <c r="B140" s="290"/>
      <c r="C140" s="101">
        <f t="shared" si="27"/>
        <v>0</v>
      </c>
      <c r="D140" s="101">
        <f t="shared" si="25"/>
        <v>0</v>
      </c>
      <c r="E140" s="101">
        <f t="shared" si="26"/>
        <v>0</v>
      </c>
      <c r="F140" s="662"/>
      <c r="G140" s="691"/>
      <c r="H140" s="691"/>
      <c r="I140" s="691"/>
      <c r="J140" s="691"/>
      <c r="K140" s="691"/>
      <c r="L140" s="691"/>
      <c r="M140" s="691"/>
      <c r="N140" s="102"/>
      <c r="O140" s="102"/>
      <c r="P140" s="102"/>
      <c r="Q140" s="102"/>
      <c r="R140" s="102"/>
      <c r="S140" s="102"/>
      <c r="T140" s="102"/>
      <c r="U140" s="102"/>
    </row>
    <row r="141" spans="1:21" s="647" customFormat="1" ht="20.100000000000001" customHeight="1">
      <c r="A141" s="719" t="s">
        <v>98</v>
      </c>
      <c r="B141" s="114"/>
      <c r="C141" s="101">
        <f t="shared" si="27"/>
        <v>0</v>
      </c>
      <c r="D141" s="101">
        <f t="shared" si="25"/>
        <v>0</v>
      </c>
      <c r="E141" s="101">
        <f t="shared" si="26"/>
        <v>0</v>
      </c>
      <c r="F141" s="662"/>
      <c r="G141" s="691"/>
      <c r="H141" s="691"/>
      <c r="I141" s="691"/>
      <c r="J141" s="691"/>
      <c r="K141" s="691"/>
      <c r="L141" s="691"/>
      <c r="M141" s="691"/>
      <c r="N141" s="102"/>
      <c r="O141" s="102"/>
      <c r="P141" s="102"/>
      <c r="Q141" s="102"/>
      <c r="R141" s="102"/>
      <c r="S141" s="102"/>
      <c r="T141" s="102"/>
      <c r="U141" s="102"/>
    </row>
    <row r="142" spans="1:21" s="647" customFormat="1" ht="20.100000000000001" customHeight="1">
      <c r="A142" s="721" t="s">
        <v>435</v>
      </c>
      <c r="B142" s="114"/>
      <c r="C142" s="101"/>
      <c r="D142" s="101"/>
      <c r="E142" s="101"/>
      <c r="F142" s="662"/>
      <c r="G142" s="691"/>
      <c r="H142" s="691"/>
      <c r="I142" s="691"/>
      <c r="J142" s="691"/>
      <c r="K142" s="691"/>
      <c r="L142" s="691"/>
      <c r="M142" s="691"/>
      <c r="N142" s="102"/>
      <c r="O142" s="102"/>
      <c r="P142" s="102"/>
      <c r="Q142" s="102"/>
      <c r="R142" s="102"/>
      <c r="S142" s="102"/>
      <c r="T142" s="102"/>
      <c r="U142" s="102"/>
    </row>
    <row r="143" spans="1:21" s="647" customFormat="1" ht="20.100000000000001" customHeight="1">
      <c r="A143" s="719" t="s">
        <v>436</v>
      </c>
      <c r="B143" s="114"/>
      <c r="C143" s="101"/>
      <c r="D143" s="101"/>
      <c r="E143" s="101"/>
      <c r="F143" s="662"/>
      <c r="G143" s="691"/>
      <c r="H143" s="691"/>
      <c r="I143" s="691"/>
      <c r="J143" s="691"/>
      <c r="K143" s="691"/>
      <c r="L143" s="691"/>
      <c r="M143" s="691"/>
      <c r="N143" s="102"/>
      <c r="O143" s="102"/>
      <c r="P143" s="102"/>
      <c r="Q143" s="102"/>
      <c r="R143" s="102"/>
      <c r="S143" s="102"/>
      <c r="T143" s="102"/>
      <c r="U143" s="102"/>
    </row>
    <row r="144" spans="1:21" s="647" customFormat="1" ht="20.100000000000001" hidden="1" customHeight="1">
      <c r="A144" s="719"/>
      <c r="B144" s="114"/>
      <c r="C144" s="101">
        <f>SUMIF($P:$P,A144,R:R)-SUMIF($P:$P,A144,S:S)</f>
        <v>0</v>
      </c>
      <c r="D144" s="101">
        <f t="shared" ref="D144:D153" si="28">-SUMIF($H:$H,A144,J:J)+SUMIF($H:$H,A144,K:K)</f>
        <v>0</v>
      </c>
      <c r="E144" s="101">
        <f t="shared" ref="E144:E153" si="29">SUM(B144:D144)</f>
        <v>0</v>
      </c>
      <c r="F144" s="662"/>
      <c r="G144" s="691"/>
      <c r="H144" s="691"/>
      <c r="I144" s="691"/>
      <c r="J144" s="691"/>
      <c r="K144" s="691"/>
      <c r="L144" s="691"/>
      <c r="M144" s="691"/>
      <c r="N144" s="102"/>
      <c r="O144" s="102"/>
      <c r="P144" s="102"/>
      <c r="Q144" s="102"/>
      <c r="R144" s="102"/>
      <c r="S144" s="102"/>
      <c r="T144" s="102"/>
      <c r="U144" s="102"/>
    </row>
    <row r="145" spans="1:21" s="647" customFormat="1" ht="20.100000000000001" hidden="1" customHeight="1">
      <c r="A145" s="959"/>
      <c r="B145" s="114"/>
      <c r="C145" s="101">
        <f>SUMIF($P:$P,A145,R:R)-SUMIF($P:$P,A145,S:S)</f>
        <v>0</v>
      </c>
      <c r="D145" s="101">
        <f t="shared" si="28"/>
        <v>0</v>
      </c>
      <c r="E145" s="101">
        <f t="shared" ref="E145" si="30">SUM(B145:D145)</f>
        <v>0</v>
      </c>
      <c r="F145" s="662"/>
      <c r="G145" s="691"/>
      <c r="H145" s="691"/>
      <c r="I145" s="691"/>
      <c r="J145" s="691"/>
      <c r="K145" s="691"/>
      <c r="L145" s="691"/>
      <c r="M145" s="691"/>
      <c r="N145" s="102"/>
      <c r="O145" s="102"/>
      <c r="P145" s="102"/>
      <c r="Q145" s="102"/>
      <c r="R145" s="102"/>
      <c r="S145" s="102"/>
      <c r="T145" s="102"/>
      <c r="U145" s="102"/>
    </row>
    <row r="146" spans="1:21" s="251" customFormat="1" ht="20.100000000000001" customHeight="1">
      <c r="A146" s="736" t="s">
        <v>240</v>
      </c>
      <c r="B146" s="290"/>
      <c r="C146" s="101">
        <f>-SUMIF($P:$P,A146,R:R)+SUMIF($P:$P,A146,S:S)</f>
        <v>0</v>
      </c>
      <c r="D146" s="101">
        <f t="shared" si="28"/>
        <v>0</v>
      </c>
      <c r="E146" s="101">
        <f t="shared" si="29"/>
        <v>0</v>
      </c>
      <c r="F146" s="662"/>
      <c r="G146" s="691"/>
      <c r="H146" s="691"/>
      <c r="I146" s="691"/>
      <c r="J146" s="691"/>
      <c r="K146" s="691"/>
      <c r="L146" s="691"/>
      <c r="M146" s="691"/>
      <c r="N146" s="102"/>
      <c r="O146" s="102"/>
      <c r="P146" s="102"/>
      <c r="Q146" s="102"/>
      <c r="R146" s="102"/>
      <c r="S146" s="102"/>
      <c r="T146" s="102"/>
      <c r="U146" s="102"/>
    </row>
    <row r="147" spans="1:21" s="647" customFormat="1" ht="20.100000000000001" customHeight="1">
      <c r="A147" s="721" t="s">
        <v>437</v>
      </c>
      <c r="B147" s="114"/>
      <c r="C147" s="101">
        <f>-SUMIF($P:$P,A147,R:R)+SUMIF($P:$P,A147,S:S)</f>
        <v>0</v>
      </c>
      <c r="D147" s="101">
        <f t="shared" si="28"/>
        <v>0</v>
      </c>
      <c r="E147" s="101">
        <f t="shared" si="29"/>
        <v>0</v>
      </c>
      <c r="F147" s="662"/>
      <c r="G147" s="691"/>
      <c r="H147" s="691"/>
      <c r="I147" s="691"/>
      <c r="J147" s="691"/>
      <c r="K147" s="691"/>
      <c r="L147" s="691"/>
      <c r="M147" s="691"/>
      <c r="N147" s="102"/>
      <c r="O147" s="102"/>
      <c r="P147" s="102"/>
      <c r="Q147" s="102"/>
      <c r="R147" s="102"/>
      <c r="S147" s="102"/>
      <c r="T147" s="102"/>
      <c r="U147" s="102"/>
    </row>
    <row r="148" spans="1:21" s="647" customFormat="1" ht="20.100000000000001" customHeight="1">
      <c r="A148" s="736" t="s">
        <v>438</v>
      </c>
      <c r="B148" s="114"/>
      <c r="C148" s="101">
        <f>-SUMIF($P:$P,A148,R:R)+SUMIF($P:$P,A148,S:S)</f>
        <v>0</v>
      </c>
      <c r="D148" s="101">
        <f t="shared" si="28"/>
        <v>0</v>
      </c>
      <c r="E148" s="101">
        <f t="shared" si="29"/>
        <v>0</v>
      </c>
      <c r="F148" s="662"/>
      <c r="G148" s="691"/>
      <c r="H148" s="691"/>
      <c r="I148" s="691"/>
      <c r="J148" s="691"/>
      <c r="K148" s="691"/>
      <c r="L148" s="691"/>
      <c r="M148" s="691"/>
      <c r="N148" s="102"/>
      <c r="O148" s="102"/>
      <c r="P148" s="102"/>
      <c r="Q148" s="102"/>
      <c r="R148" s="102"/>
      <c r="S148" s="102"/>
      <c r="T148" s="102"/>
      <c r="U148" s="102"/>
    </row>
    <row r="149" spans="1:21" s="647" customFormat="1" ht="20.100000000000001" customHeight="1">
      <c r="A149" s="735" t="s">
        <v>2075</v>
      </c>
      <c r="B149" s="114"/>
      <c r="C149" s="101">
        <f>-SUMIF($P:$P,A149,R:R)+SUMIF($P:$P,A149,S:S)</f>
        <v>0</v>
      </c>
      <c r="D149" s="101">
        <f t="shared" si="28"/>
        <v>0</v>
      </c>
      <c r="E149" s="101">
        <f t="shared" ref="E149" si="31">SUM(B149:D149)</f>
        <v>0</v>
      </c>
      <c r="F149" s="662"/>
      <c r="G149" s="691"/>
      <c r="H149" s="691"/>
      <c r="I149" s="691"/>
      <c r="J149" s="691"/>
      <c r="K149" s="691"/>
      <c r="L149" s="691"/>
      <c r="M149" s="691"/>
      <c r="N149" s="102"/>
      <c r="O149" s="102"/>
      <c r="P149" s="102"/>
      <c r="Q149" s="102"/>
      <c r="R149" s="102"/>
      <c r="S149" s="102"/>
      <c r="T149" s="102"/>
      <c r="U149" s="102"/>
    </row>
    <row r="150" spans="1:21" s="647" customFormat="1" ht="19.5" customHeight="1">
      <c r="A150" s="721" t="s">
        <v>439</v>
      </c>
      <c r="B150" s="114"/>
      <c r="C150" s="101">
        <f>-SUMIF($P:$P,A150,R:R)+SUMIF($P:$P,A150,S:S)</f>
        <v>0</v>
      </c>
      <c r="D150" s="101">
        <f t="shared" si="28"/>
        <v>0</v>
      </c>
      <c r="E150" s="101">
        <f t="shared" si="29"/>
        <v>0</v>
      </c>
      <c r="F150" s="662"/>
      <c r="G150" s="691"/>
      <c r="H150" s="691"/>
      <c r="I150" s="691"/>
      <c r="J150" s="691"/>
      <c r="K150" s="691"/>
      <c r="L150" s="691"/>
      <c r="M150" s="691"/>
      <c r="N150" s="102"/>
      <c r="O150" s="102"/>
      <c r="P150" s="102"/>
      <c r="Q150" s="102"/>
      <c r="R150" s="102"/>
      <c r="S150" s="102"/>
      <c r="T150" s="102"/>
      <c r="U150" s="102"/>
    </row>
    <row r="151" spans="1:21" s="647" customFormat="1" ht="19.5" customHeight="1">
      <c r="A151" s="959" t="s">
        <v>2475</v>
      </c>
      <c r="B151" s="114"/>
      <c r="C151" s="101">
        <f>SUMIF($P:$P,A151,R:R)-SUMIF($P:$P,A151,S:S)</f>
        <v>0</v>
      </c>
      <c r="D151" s="101">
        <f t="shared" si="28"/>
        <v>0</v>
      </c>
      <c r="E151" s="101">
        <f t="shared" ref="E151:E152" si="32">SUM(B151:D151)</f>
        <v>0</v>
      </c>
      <c r="F151" s="662"/>
      <c r="G151" s="691"/>
      <c r="H151" s="691"/>
      <c r="I151" s="691"/>
      <c r="J151" s="691"/>
      <c r="K151" s="691"/>
      <c r="L151" s="691"/>
      <c r="M151" s="691"/>
      <c r="N151" s="102"/>
      <c r="O151" s="102"/>
      <c r="P151" s="102"/>
      <c r="Q151" s="102"/>
      <c r="R151" s="102"/>
      <c r="S151" s="102"/>
      <c r="T151" s="102"/>
      <c r="U151" s="102"/>
    </row>
    <row r="152" spans="1:21" s="647" customFormat="1" ht="19.5" customHeight="1">
      <c r="A152" s="721" t="s">
        <v>2474</v>
      </c>
      <c r="B152" s="114"/>
      <c r="C152" s="101">
        <f>SUMIF($P:$P,A152,R:R)-SUMIF($P:$P,A152,S:S)</f>
        <v>0</v>
      </c>
      <c r="D152" s="101">
        <f t="shared" si="28"/>
        <v>0</v>
      </c>
      <c r="E152" s="101">
        <f t="shared" si="32"/>
        <v>0</v>
      </c>
      <c r="F152" s="662"/>
      <c r="G152" s="691"/>
      <c r="H152" s="691"/>
      <c r="I152" s="691"/>
      <c r="J152" s="691"/>
      <c r="K152" s="691"/>
      <c r="L152" s="691"/>
      <c r="M152" s="691"/>
      <c r="N152" s="102"/>
      <c r="O152" s="102"/>
      <c r="P152" s="102"/>
      <c r="Q152" s="102"/>
      <c r="R152" s="102"/>
      <c r="S152" s="102"/>
      <c r="T152" s="102"/>
      <c r="U152" s="102"/>
    </row>
    <row r="153" spans="1:21" s="647" customFormat="1" ht="19.5" customHeight="1">
      <c r="A153" s="720" t="s">
        <v>440</v>
      </c>
      <c r="B153" s="114"/>
      <c r="C153" s="101">
        <f>-SUMIF($P:$P,A153,R:R)+SUMIF($P:$P,A153,S:S)</f>
        <v>0</v>
      </c>
      <c r="D153" s="101">
        <f t="shared" si="28"/>
        <v>0</v>
      </c>
      <c r="E153" s="101">
        <f t="shared" si="29"/>
        <v>0</v>
      </c>
      <c r="F153" s="662"/>
      <c r="G153" s="691"/>
      <c r="H153" s="691"/>
      <c r="I153" s="691"/>
      <c r="J153" s="691"/>
      <c r="K153" s="691"/>
      <c r="L153" s="691"/>
      <c r="M153" s="691"/>
      <c r="N153" s="102"/>
      <c r="O153" s="102"/>
      <c r="P153" s="102"/>
      <c r="Q153" s="102"/>
      <c r="R153" s="102"/>
      <c r="S153" s="102"/>
      <c r="T153" s="102"/>
      <c r="U153" s="102"/>
    </row>
    <row r="154" spans="1:21" s="647" customFormat="1" ht="20.100000000000001" customHeight="1">
      <c r="A154" s="719" t="s">
        <v>441</v>
      </c>
      <c r="B154" s="101">
        <f>B135-B136-B137-B138-B139-B141-B144-B140+B146+B147+B150+B153</f>
        <v>0</v>
      </c>
      <c r="C154" s="101">
        <f>C135-C136-C137-C138-C139-C141-C144-C140+C146+C147+C150+C153</f>
        <v>0</v>
      </c>
      <c r="D154" s="101">
        <f>D135-D136-D137-D138-D139-D141-D144-D140+D146+D147+D150+D153</f>
        <v>0</v>
      </c>
      <c r="E154" s="101">
        <f>E135-E136-E137-E138-E139-E141-E144-E140+E146+E147+E150+E153</f>
        <v>0</v>
      </c>
      <c r="F154" s="662"/>
      <c r="G154" s="691"/>
      <c r="H154" s="691"/>
      <c r="I154" s="691"/>
      <c r="J154" s="691"/>
      <c r="K154" s="691"/>
      <c r="L154" s="691"/>
      <c r="M154" s="691"/>
      <c r="N154" s="102"/>
      <c r="O154" s="102"/>
      <c r="P154" s="102"/>
      <c r="Q154" s="102"/>
      <c r="R154" s="102"/>
      <c r="S154" s="102"/>
      <c r="T154" s="102"/>
      <c r="U154" s="102"/>
    </row>
    <row r="155" spans="1:21" s="647" customFormat="1" ht="20.100000000000001" customHeight="1">
      <c r="A155" s="719" t="s">
        <v>103</v>
      </c>
      <c r="B155" s="114"/>
      <c r="C155" s="101">
        <f>-SUMIF($P:$P,A155,R:R)+SUMIF($P:$P,A155,S:S)</f>
        <v>0</v>
      </c>
      <c r="D155" s="101">
        <f>-SUMIF($H:$H,A155,J:J)+SUMIF($H:$H,A155,K:K)</f>
        <v>0</v>
      </c>
      <c r="E155" s="101">
        <f t="shared" ref="E155:E180" si="33">SUM(B155:D155)</f>
        <v>0</v>
      </c>
      <c r="F155" s="662"/>
      <c r="G155" s="691"/>
      <c r="H155" s="691"/>
      <c r="I155" s="691"/>
      <c r="J155" s="691"/>
      <c r="K155" s="691"/>
      <c r="L155" s="691"/>
      <c r="M155" s="691"/>
      <c r="N155" s="102"/>
      <c r="O155" s="102"/>
      <c r="P155" s="102"/>
      <c r="Q155" s="102"/>
      <c r="R155" s="102"/>
      <c r="S155" s="102"/>
      <c r="T155" s="102"/>
      <c r="U155" s="102"/>
    </row>
    <row r="156" spans="1:21" s="647" customFormat="1" ht="20.100000000000001" customHeight="1">
      <c r="A156" s="719" t="s">
        <v>104</v>
      </c>
      <c r="B156" s="114"/>
      <c r="C156" s="101">
        <f>SUMIF($P:$P,A156,R:R)-SUMIF($P:$P,A156,S:S)</f>
        <v>0</v>
      </c>
      <c r="D156" s="101">
        <f>-SUMIF($H:$H,A156,J:J)+SUMIF($H:$H,A156,K:K)</f>
        <v>0</v>
      </c>
      <c r="E156" s="101">
        <f t="shared" si="33"/>
        <v>0</v>
      </c>
      <c r="F156" s="662"/>
      <c r="G156" s="691"/>
      <c r="H156" s="691"/>
      <c r="I156" s="691"/>
      <c r="J156" s="691"/>
      <c r="K156" s="691"/>
      <c r="L156" s="691"/>
      <c r="M156" s="691"/>
      <c r="N156" s="102"/>
      <c r="O156" s="102"/>
      <c r="P156" s="102"/>
      <c r="Q156" s="102"/>
      <c r="R156" s="102"/>
      <c r="S156" s="102"/>
      <c r="T156" s="102"/>
      <c r="U156" s="102"/>
    </row>
    <row r="157" spans="1:21" s="647" customFormat="1" ht="20.100000000000001" customHeight="1">
      <c r="A157" s="719" t="s">
        <v>442</v>
      </c>
      <c r="B157" s="101">
        <f>B154+B155-B156</f>
        <v>0</v>
      </c>
      <c r="C157" s="101">
        <f>C154+C155-C156</f>
        <v>0</v>
      </c>
      <c r="D157" s="101">
        <f>-SUMIF($H:$H,A157,J:J)+SUMIF($H:$H,A157,K:K)</f>
        <v>0</v>
      </c>
      <c r="E157" s="101">
        <f t="shared" si="33"/>
        <v>0</v>
      </c>
      <c r="F157" s="662"/>
      <c r="G157" s="691"/>
      <c r="H157" s="691"/>
      <c r="I157" s="691"/>
      <c r="J157" s="691"/>
      <c r="K157" s="691"/>
      <c r="L157" s="691"/>
      <c r="M157" s="691"/>
      <c r="N157" s="102"/>
      <c r="O157" s="102"/>
      <c r="P157" s="102"/>
      <c r="Q157" s="102"/>
      <c r="R157" s="102"/>
      <c r="S157" s="102"/>
      <c r="T157" s="102"/>
      <c r="U157" s="102"/>
    </row>
    <row r="158" spans="1:21" s="647" customFormat="1" ht="20.100000000000001" customHeight="1">
      <c r="A158" s="719" t="s">
        <v>105</v>
      </c>
      <c r="B158" s="114"/>
      <c r="C158" s="101">
        <f>SUMIF($P:$P,A158,R:R)-SUMIF($P:$P,A158,S:S)</f>
        <v>0</v>
      </c>
      <c r="D158" s="101">
        <f>-SUMIF($H:$H,A158,J:J)+SUMIF($H:$H,A158,K:K)</f>
        <v>0</v>
      </c>
      <c r="E158" s="101">
        <f t="shared" si="33"/>
        <v>0</v>
      </c>
      <c r="F158" s="662"/>
      <c r="G158" s="691"/>
      <c r="H158" s="691"/>
      <c r="I158" s="691"/>
      <c r="J158" s="691"/>
      <c r="K158" s="691"/>
      <c r="L158" s="691"/>
      <c r="M158" s="691"/>
      <c r="N158" s="102"/>
      <c r="O158" s="102"/>
      <c r="P158" s="102"/>
      <c r="Q158" s="102"/>
      <c r="R158" s="102"/>
      <c r="S158" s="102"/>
      <c r="T158" s="102"/>
      <c r="U158" s="102"/>
    </row>
    <row r="159" spans="1:21" s="647" customFormat="1" ht="20.100000000000001" customHeight="1">
      <c r="A159" s="719" t="s">
        <v>443</v>
      </c>
      <c r="B159" s="101">
        <f>B157-B158</f>
        <v>0</v>
      </c>
      <c r="C159" s="101">
        <f>C157-C158</f>
        <v>0</v>
      </c>
      <c r="D159" s="101">
        <f>-SUMIF($H:$H,A159,J:J)+SUMIF($H:$H,A159,K:K)</f>
        <v>0</v>
      </c>
      <c r="E159" s="101">
        <f t="shared" si="33"/>
        <v>0</v>
      </c>
      <c r="F159" s="662"/>
      <c r="G159" s="691"/>
      <c r="H159" s="691"/>
      <c r="I159" s="691"/>
      <c r="J159" s="691"/>
      <c r="K159" s="691"/>
      <c r="L159" s="691"/>
      <c r="M159" s="691"/>
      <c r="N159" s="102"/>
      <c r="O159" s="102"/>
      <c r="P159" s="102"/>
      <c r="Q159" s="102"/>
      <c r="R159" s="102"/>
      <c r="S159" s="102"/>
      <c r="T159" s="102"/>
      <c r="U159" s="102"/>
    </row>
    <row r="160" spans="1:21" s="647" customFormat="1" ht="16.5" customHeight="1">
      <c r="A160" s="720" t="s">
        <v>444</v>
      </c>
      <c r="B160" s="114"/>
      <c r="C160" s="101"/>
      <c r="D160" s="101"/>
      <c r="E160" s="101"/>
      <c r="F160" s="662"/>
      <c r="G160" s="691"/>
      <c r="H160" s="691"/>
      <c r="I160" s="691"/>
      <c r="J160" s="691"/>
      <c r="K160" s="691"/>
      <c r="L160" s="691"/>
      <c r="M160" s="691"/>
      <c r="N160" s="102"/>
      <c r="O160" s="102"/>
      <c r="P160" s="102"/>
      <c r="Q160" s="102"/>
      <c r="R160" s="102"/>
      <c r="S160" s="102"/>
      <c r="T160" s="102"/>
      <c r="U160" s="102"/>
    </row>
    <row r="161" spans="1:21" s="647" customFormat="1" ht="20.100000000000001" customHeight="1">
      <c r="A161" s="719" t="s">
        <v>445</v>
      </c>
      <c r="B161" s="101">
        <f>B159-B162</f>
        <v>0</v>
      </c>
      <c r="C161" s="101">
        <f>C159-C162</f>
        <v>0</v>
      </c>
      <c r="D161" s="101">
        <f>-SUMIF($H:$H,A161,J:J)+SUMIF($H:$H,A161,K:K)</f>
        <v>0</v>
      </c>
      <c r="E161" s="101">
        <f t="shared" si="33"/>
        <v>0</v>
      </c>
      <c r="F161" s="662"/>
      <c r="G161" s="691"/>
      <c r="H161" s="691"/>
      <c r="I161" s="691"/>
      <c r="J161" s="691"/>
      <c r="K161" s="691"/>
      <c r="L161" s="691"/>
      <c r="M161" s="691"/>
      <c r="N161" s="102"/>
      <c r="O161" s="102"/>
      <c r="P161" s="102"/>
      <c r="Q161" s="102"/>
      <c r="R161" s="102"/>
      <c r="S161" s="102"/>
      <c r="T161" s="102"/>
      <c r="U161" s="102"/>
    </row>
    <row r="162" spans="1:21" s="647" customFormat="1" ht="20.100000000000001" customHeight="1">
      <c r="A162" s="721" t="s">
        <v>446</v>
      </c>
      <c r="B162" s="114"/>
      <c r="C162" s="101">
        <f>-SUMIF(A162,$P:$P,R:R)+SUMIF(A162,$P:$P,S:S)</f>
        <v>0</v>
      </c>
      <c r="D162" s="101">
        <f>-SUMIF($H:$H,A162,J:J)+SUMIF($H:$H,A162,K:K)</f>
        <v>0</v>
      </c>
      <c r="E162" s="101">
        <f t="shared" si="33"/>
        <v>0</v>
      </c>
      <c r="F162" s="662"/>
      <c r="G162" s="691"/>
      <c r="H162" s="691"/>
      <c r="I162" s="691"/>
      <c r="J162" s="691"/>
      <c r="K162" s="691"/>
      <c r="L162" s="691"/>
      <c r="M162" s="691"/>
      <c r="N162" s="102"/>
      <c r="O162" s="102"/>
      <c r="P162" s="102"/>
      <c r="Q162" s="102"/>
      <c r="R162" s="102"/>
      <c r="S162" s="102"/>
      <c r="T162" s="102"/>
      <c r="U162" s="102"/>
    </row>
    <row r="163" spans="1:21" s="647" customFormat="1" ht="20.100000000000001" customHeight="1">
      <c r="A163" s="719" t="s">
        <v>447</v>
      </c>
      <c r="B163" s="114"/>
      <c r="C163" s="101"/>
      <c r="D163" s="101"/>
      <c r="E163" s="101"/>
      <c r="F163" s="662"/>
      <c r="G163" s="691"/>
      <c r="H163" s="691"/>
      <c r="I163" s="691"/>
      <c r="J163" s="691"/>
      <c r="K163" s="691"/>
      <c r="L163" s="691"/>
      <c r="M163" s="691"/>
      <c r="N163" s="102"/>
      <c r="O163" s="102"/>
      <c r="P163" s="102"/>
      <c r="Q163" s="102"/>
      <c r="R163" s="102"/>
      <c r="S163" s="102"/>
      <c r="T163" s="102"/>
      <c r="U163" s="102"/>
    </row>
    <row r="164" spans="1:21" s="647" customFormat="1" ht="20.100000000000001" customHeight="1">
      <c r="A164" s="719" t="s">
        <v>448</v>
      </c>
      <c r="B164" s="101">
        <f>B159-B165</f>
        <v>0</v>
      </c>
      <c r="C164" s="101">
        <f>C162-C165</f>
        <v>0</v>
      </c>
      <c r="D164" s="101">
        <f t="shared" ref="D164:D180" si="34">-SUMIF($H:$H,A164,J:J)+SUMIF($H:$H,A164,K:K)</f>
        <v>0</v>
      </c>
      <c r="E164" s="101">
        <f t="shared" ref="E164:E165" si="35">SUM(B164:D164)</f>
        <v>0</v>
      </c>
      <c r="F164" s="662"/>
      <c r="G164" s="691"/>
      <c r="H164" s="691"/>
      <c r="I164" s="691"/>
      <c r="J164" s="691"/>
      <c r="K164" s="691"/>
      <c r="L164" s="691"/>
      <c r="M164" s="691"/>
      <c r="N164" s="102"/>
      <c r="O164" s="102"/>
      <c r="P164" s="102"/>
      <c r="Q164" s="102"/>
      <c r="R164" s="102"/>
      <c r="S164" s="102"/>
      <c r="T164" s="102"/>
      <c r="U164" s="102"/>
    </row>
    <row r="165" spans="1:21" s="647" customFormat="1" ht="20.100000000000001" customHeight="1">
      <c r="A165" s="719" t="s">
        <v>449</v>
      </c>
      <c r="B165" s="114"/>
      <c r="C165" s="101">
        <f>-SUMIF(A165,$P:$P,R:R)+SUMIF(A165,$P:$P,S:S)</f>
        <v>0</v>
      </c>
      <c r="D165" s="101">
        <f t="shared" si="34"/>
        <v>0</v>
      </c>
      <c r="E165" s="101">
        <f t="shared" si="35"/>
        <v>0</v>
      </c>
      <c r="F165" s="662"/>
      <c r="G165" s="691"/>
      <c r="H165" s="691"/>
      <c r="I165" s="691"/>
      <c r="J165" s="691"/>
      <c r="K165" s="691"/>
      <c r="L165" s="691"/>
      <c r="M165" s="691"/>
      <c r="N165" s="102"/>
      <c r="O165" s="102"/>
      <c r="P165" s="102"/>
      <c r="Q165" s="102"/>
      <c r="R165" s="102"/>
      <c r="S165" s="102"/>
      <c r="T165" s="102"/>
      <c r="U165" s="102"/>
    </row>
    <row r="166" spans="1:21" s="647" customFormat="1" ht="20.100000000000001" customHeight="1">
      <c r="A166" s="737" t="s">
        <v>450</v>
      </c>
      <c r="B166" s="114"/>
      <c r="C166" s="101">
        <f>-SUMIF($P:$P,A166,R:R)+SUMIF($P:$P,A166,S:S)</f>
        <v>0</v>
      </c>
      <c r="D166" s="101">
        <f t="shared" si="34"/>
        <v>0</v>
      </c>
      <c r="E166" s="101">
        <f t="shared" si="33"/>
        <v>0</v>
      </c>
      <c r="F166" s="662"/>
      <c r="G166" s="691"/>
      <c r="H166" s="691"/>
      <c r="I166" s="691"/>
      <c r="J166" s="691"/>
      <c r="K166" s="691"/>
      <c r="L166" s="691"/>
      <c r="M166" s="691"/>
      <c r="N166" s="102"/>
      <c r="O166" s="102"/>
      <c r="P166" s="102"/>
      <c r="Q166" s="102"/>
      <c r="R166" s="102"/>
      <c r="S166" s="102"/>
      <c r="T166" s="102"/>
      <c r="U166" s="102"/>
    </row>
    <row r="167" spans="1:21" s="647" customFormat="1" ht="20.100000000000001" customHeight="1">
      <c r="A167" s="737" t="s">
        <v>451</v>
      </c>
      <c r="B167" s="114"/>
      <c r="C167" s="101">
        <f>-SUMIF(A167,$P:$P,R:R)+SUMIF(A167,$P:$P,S:S)</f>
        <v>0</v>
      </c>
      <c r="D167" s="101">
        <f t="shared" si="34"/>
        <v>0</v>
      </c>
      <c r="E167" s="101">
        <f t="shared" si="33"/>
        <v>0</v>
      </c>
      <c r="F167" s="662"/>
      <c r="G167" s="691"/>
      <c r="H167" s="691"/>
      <c r="I167" s="691"/>
      <c r="J167" s="691"/>
      <c r="K167" s="691"/>
      <c r="L167" s="691"/>
      <c r="M167" s="691"/>
      <c r="N167" s="102"/>
      <c r="O167" s="102"/>
      <c r="P167" s="102"/>
      <c r="Q167" s="102"/>
      <c r="R167" s="102"/>
      <c r="S167" s="102"/>
      <c r="T167" s="102"/>
      <c r="U167" s="102"/>
    </row>
    <row r="168" spans="1:21" s="647" customFormat="1" ht="20.100000000000001" customHeight="1">
      <c r="A168" s="737" t="s">
        <v>452</v>
      </c>
      <c r="B168" s="114"/>
      <c r="C168" s="101">
        <f>-SUMIF(A168,$P:$P,R:R)+SUMIF(A168,$P:$P,S:S)</f>
        <v>0</v>
      </c>
      <c r="D168" s="101">
        <f t="shared" si="34"/>
        <v>0</v>
      </c>
      <c r="E168" s="101">
        <f t="shared" si="33"/>
        <v>0</v>
      </c>
      <c r="F168" s="662"/>
      <c r="G168" s="691"/>
      <c r="H168" s="691"/>
      <c r="I168" s="691"/>
      <c r="J168" s="691"/>
      <c r="K168" s="691"/>
      <c r="L168" s="691"/>
      <c r="M168" s="691"/>
      <c r="N168" s="102"/>
      <c r="O168" s="102"/>
      <c r="P168" s="102"/>
      <c r="Q168" s="102"/>
      <c r="R168" s="102"/>
      <c r="S168" s="102"/>
      <c r="T168" s="102"/>
      <c r="U168" s="102"/>
    </row>
    <row r="169" spans="1:21" s="647" customFormat="1" ht="20.100000000000001" customHeight="1">
      <c r="A169" s="737" t="s">
        <v>393</v>
      </c>
      <c r="B169" s="114"/>
      <c r="C169" s="101">
        <f>-SUMIF(A169,$P:$P,R:R)+SUMIF(A169,$P:$P,S:S)</f>
        <v>0</v>
      </c>
      <c r="D169" s="101">
        <f t="shared" si="34"/>
        <v>0</v>
      </c>
      <c r="E169" s="101">
        <f t="shared" si="33"/>
        <v>0</v>
      </c>
      <c r="F169" s="662"/>
      <c r="G169" s="691"/>
      <c r="H169" s="691"/>
      <c r="I169" s="691"/>
      <c r="J169" s="691"/>
      <c r="K169" s="691"/>
      <c r="L169" s="691"/>
      <c r="M169" s="691"/>
      <c r="N169" s="102"/>
      <c r="O169" s="102"/>
      <c r="P169" s="102"/>
      <c r="Q169" s="102"/>
      <c r="R169" s="102"/>
      <c r="S169" s="102"/>
      <c r="T169" s="102"/>
      <c r="U169" s="102"/>
    </row>
    <row r="170" spans="1:21" s="647" customFormat="1" ht="20.100000000000001" customHeight="1">
      <c r="A170" s="737" t="s">
        <v>453</v>
      </c>
      <c r="B170" s="101">
        <f>B161+B166+B167+B168</f>
        <v>0</v>
      </c>
      <c r="C170" s="101">
        <f>C161+C166+C167+C168</f>
        <v>0</v>
      </c>
      <c r="D170" s="101">
        <f t="shared" si="34"/>
        <v>0</v>
      </c>
      <c r="E170" s="101">
        <f t="shared" si="33"/>
        <v>0</v>
      </c>
      <c r="F170" s="662"/>
      <c r="G170" s="691"/>
      <c r="H170" s="691"/>
      <c r="I170" s="691"/>
      <c r="J170" s="691"/>
      <c r="K170" s="691"/>
      <c r="L170" s="691"/>
      <c r="M170" s="691"/>
      <c r="N170" s="102"/>
      <c r="O170" s="102"/>
      <c r="P170" s="102"/>
      <c r="Q170" s="102"/>
      <c r="R170" s="102"/>
      <c r="S170" s="102"/>
      <c r="T170" s="102"/>
      <c r="U170" s="102"/>
    </row>
    <row r="171" spans="1:21" s="647" customFormat="1" ht="20.100000000000001" customHeight="1">
      <c r="A171" s="737" t="s">
        <v>454</v>
      </c>
      <c r="B171" s="114"/>
      <c r="C171" s="101">
        <f>SUMIF($P:$P,A171,R:R)-SUMIF($P:$P,A171,S:S)</f>
        <v>0</v>
      </c>
      <c r="D171" s="101">
        <f t="shared" si="34"/>
        <v>0</v>
      </c>
      <c r="E171" s="101">
        <f t="shared" si="33"/>
        <v>0</v>
      </c>
      <c r="F171" s="662"/>
      <c r="G171" s="691"/>
      <c r="H171" s="691"/>
      <c r="I171" s="691"/>
      <c r="J171" s="691"/>
      <c r="K171" s="691"/>
      <c r="L171" s="691"/>
      <c r="M171" s="691"/>
      <c r="N171" s="102"/>
      <c r="O171" s="102"/>
      <c r="P171" s="102"/>
      <c r="Q171" s="102"/>
      <c r="R171" s="102"/>
      <c r="S171" s="102"/>
      <c r="T171" s="102"/>
      <c r="U171" s="102"/>
    </row>
    <row r="172" spans="1:21" s="647" customFormat="1" ht="20.100000000000001" customHeight="1">
      <c r="A172" s="737" t="s">
        <v>455</v>
      </c>
      <c r="B172" s="114"/>
      <c r="C172" s="101">
        <f>SUMIF($P:$P,A172,R:R)-SUMIF($P:$P,A172,S:S)</f>
        <v>0</v>
      </c>
      <c r="D172" s="101">
        <f t="shared" si="34"/>
        <v>0</v>
      </c>
      <c r="E172" s="101">
        <f t="shared" si="33"/>
        <v>0</v>
      </c>
      <c r="F172" s="662"/>
      <c r="G172" s="691"/>
      <c r="H172" s="691"/>
      <c r="I172" s="691"/>
      <c r="J172" s="691"/>
      <c r="K172" s="691"/>
      <c r="L172" s="691"/>
      <c r="M172" s="691"/>
      <c r="N172" s="102"/>
      <c r="O172" s="102"/>
      <c r="P172" s="102"/>
      <c r="Q172" s="102"/>
      <c r="R172" s="102"/>
      <c r="S172" s="102"/>
      <c r="T172" s="102"/>
      <c r="U172" s="102"/>
    </row>
    <row r="173" spans="1:21" s="647" customFormat="1" ht="20.100000000000001" customHeight="1">
      <c r="A173" s="737" t="s">
        <v>456</v>
      </c>
      <c r="B173" s="114"/>
      <c r="C173" s="101">
        <f>SUMIF($P:$P,A173,R:R)-SUMIF($P:$P,A173,S:S)</f>
        <v>0</v>
      </c>
      <c r="D173" s="101">
        <f t="shared" si="34"/>
        <v>0</v>
      </c>
      <c r="E173" s="101">
        <f t="shared" si="33"/>
        <v>0</v>
      </c>
      <c r="F173" s="662"/>
      <c r="G173" s="691"/>
      <c r="H173" s="691"/>
      <c r="I173" s="691"/>
      <c r="J173" s="691"/>
      <c r="K173" s="691"/>
      <c r="L173" s="691"/>
      <c r="M173" s="691"/>
      <c r="N173" s="102"/>
      <c r="O173" s="102"/>
      <c r="P173" s="102"/>
      <c r="Q173" s="102"/>
      <c r="R173" s="102"/>
      <c r="S173" s="102"/>
      <c r="T173" s="102"/>
      <c r="U173" s="102"/>
    </row>
    <row r="174" spans="1:21" s="647" customFormat="1" ht="20.100000000000001" customHeight="1">
      <c r="A174" s="737" t="s">
        <v>457</v>
      </c>
      <c r="B174" s="114">
        <f>B170-B171-B172-B173</f>
        <v>0</v>
      </c>
      <c r="C174" s="101">
        <f>C170-C171-C172-C173</f>
        <v>0</v>
      </c>
      <c r="D174" s="101">
        <f t="shared" si="34"/>
        <v>0</v>
      </c>
      <c r="E174" s="101">
        <f t="shared" si="33"/>
        <v>0</v>
      </c>
      <c r="F174" s="662"/>
      <c r="G174" s="691"/>
      <c r="H174" s="691"/>
      <c r="I174" s="691"/>
      <c r="J174" s="691"/>
      <c r="K174" s="691"/>
      <c r="L174" s="691"/>
      <c r="M174" s="691"/>
      <c r="N174" s="102"/>
      <c r="O174" s="102"/>
      <c r="P174" s="102"/>
      <c r="Q174" s="102"/>
      <c r="R174" s="102"/>
      <c r="S174" s="102"/>
      <c r="T174" s="102"/>
      <c r="U174" s="102"/>
    </row>
    <row r="175" spans="1:21" s="647" customFormat="1" ht="20.100000000000001" customHeight="1">
      <c r="A175" s="737" t="s">
        <v>458</v>
      </c>
      <c r="B175" s="114"/>
      <c r="C175" s="101">
        <f>SUMIF($P:$P,A175,R:R)-SUMIF($P:$P,A175,S:S)</f>
        <v>0</v>
      </c>
      <c r="D175" s="101">
        <f t="shared" si="34"/>
        <v>0</v>
      </c>
      <c r="E175" s="101">
        <f t="shared" si="33"/>
        <v>0</v>
      </c>
      <c r="F175" s="662"/>
      <c r="G175" s="691"/>
      <c r="H175" s="691"/>
      <c r="I175" s="691"/>
      <c r="J175" s="691"/>
      <c r="K175" s="691"/>
      <c r="L175" s="691"/>
      <c r="M175" s="691"/>
      <c r="N175" s="102"/>
      <c r="O175" s="102"/>
      <c r="P175" s="102"/>
      <c r="Q175" s="102"/>
      <c r="R175" s="102"/>
      <c r="S175" s="102"/>
      <c r="T175" s="102"/>
      <c r="U175" s="102"/>
    </row>
    <row r="176" spans="1:21" s="647" customFormat="1" ht="20.100000000000001" customHeight="1">
      <c r="A176" s="737" t="s">
        <v>459</v>
      </c>
      <c r="B176" s="114"/>
      <c r="C176" s="101">
        <f>SUMIF($P:$P,A176,R:R)-SUMIF($P:$P,A176,S:S)</f>
        <v>0</v>
      </c>
      <c r="D176" s="101">
        <f t="shared" si="34"/>
        <v>0</v>
      </c>
      <c r="E176" s="101">
        <f t="shared" si="33"/>
        <v>0</v>
      </c>
      <c r="F176" s="662"/>
      <c r="G176" s="691"/>
      <c r="H176" s="691"/>
      <c r="I176" s="691"/>
      <c r="J176" s="691"/>
      <c r="K176" s="691"/>
      <c r="L176" s="691"/>
      <c r="M176" s="691"/>
      <c r="N176" s="102"/>
      <c r="O176" s="102"/>
      <c r="P176" s="102"/>
      <c r="Q176" s="102"/>
      <c r="R176" s="102"/>
      <c r="S176" s="102"/>
      <c r="T176" s="102"/>
      <c r="U176" s="102"/>
    </row>
    <row r="177" spans="1:21" s="647" customFormat="1" ht="20.100000000000001" customHeight="1">
      <c r="A177" s="737" t="s">
        <v>460</v>
      </c>
      <c r="B177" s="114"/>
      <c r="C177" s="101">
        <f>SUMIF($P:$P,A177,R:R)-SUMIF($P:$P,A177,S:S)</f>
        <v>0</v>
      </c>
      <c r="D177" s="101">
        <f t="shared" si="34"/>
        <v>0</v>
      </c>
      <c r="E177" s="101">
        <f t="shared" si="33"/>
        <v>0</v>
      </c>
      <c r="F177" s="662"/>
      <c r="G177" s="691"/>
      <c r="H177" s="691"/>
      <c r="I177" s="691"/>
      <c r="J177" s="691"/>
      <c r="K177" s="691"/>
      <c r="L177" s="691"/>
      <c r="M177" s="691"/>
      <c r="N177" s="102"/>
      <c r="O177" s="102"/>
      <c r="P177" s="102"/>
      <c r="Q177" s="102"/>
      <c r="R177" s="102"/>
      <c r="S177" s="102"/>
      <c r="T177" s="102"/>
      <c r="U177" s="102"/>
    </row>
    <row r="178" spans="1:21" s="647" customFormat="1" ht="20.100000000000001" customHeight="1">
      <c r="A178" s="737" t="s">
        <v>461</v>
      </c>
      <c r="B178" s="114"/>
      <c r="C178" s="101">
        <f>SUMIF($P:$P,A178,R:R)-SUMIF($P:$P,A178,S:S)</f>
        <v>0</v>
      </c>
      <c r="D178" s="101">
        <f t="shared" si="34"/>
        <v>0</v>
      </c>
      <c r="E178" s="101">
        <f t="shared" si="33"/>
        <v>0</v>
      </c>
      <c r="F178" s="662"/>
      <c r="G178" s="691"/>
      <c r="H178" s="691"/>
      <c r="I178" s="691"/>
      <c r="J178" s="691"/>
      <c r="K178" s="691"/>
      <c r="L178" s="691"/>
      <c r="M178" s="691"/>
      <c r="N178" s="102"/>
      <c r="O178" s="102"/>
      <c r="P178" s="102"/>
      <c r="Q178" s="102"/>
      <c r="R178" s="102"/>
      <c r="S178" s="102"/>
      <c r="T178" s="102"/>
      <c r="U178" s="102"/>
    </row>
    <row r="179" spans="1:21" s="647" customFormat="1" ht="20.100000000000001" customHeight="1">
      <c r="A179" s="737" t="s">
        <v>456</v>
      </c>
      <c r="B179" s="114"/>
      <c r="C179" s="101">
        <f>SUMIF($P:$P,A179,R:R)-SUMIF($P:$P,A179,S:S)</f>
        <v>0</v>
      </c>
      <c r="D179" s="101">
        <f t="shared" si="34"/>
        <v>0</v>
      </c>
      <c r="E179" s="101">
        <f t="shared" si="33"/>
        <v>0</v>
      </c>
      <c r="F179" s="662"/>
      <c r="G179" s="691"/>
      <c r="H179" s="691"/>
      <c r="I179" s="691"/>
      <c r="J179" s="691"/>
      <c r="K179" s="691"/>
      <c r="L179" s="691"/>
      <c r="M179" s="691"/>
      <c r="N179" s="102"/>
      <c r="O179" s="102"/>
      <c r="P179" s="102"/>
      <c r="Q179" s="102"/>
      <c r="R179" s="102"/>
      <c r="S179" s="102"/>
      <c r="T179" s="102"/>
      <c r="U179" s="102"/>
    </row>
    <row r="180" spans="1:21" s="647" customFormat="1" ht="20.100000000000001" customHeight="1">
      <c r="A180" s="737" t="s">
        <v>462</v>
      </c>
      <c r="B180" s="101">
        <f>B174-B175-B176-B177-B178</f>
        <v>0</v>
      </c>
      <c r="C180" s="101">
        <f>C174-C175-C176-C177-C178</f>
        <v>0</v>
      </c>
      <c r="D180" s="101">
        <f t="shared" si="34"/>
        <v>0</v>
      </c>
      <c r="E180" s="101">
        <f t="shared" si="33"/>
        <v>0</v>
      </c>
      <c r="F180" s="662"/>
      <c r="G180" s="691"/>
      <c r="H180" s="691"/>
      <c r="I180" s="691"/>
      <c r="J180" s="691"/>
      <c r="K180" s="691"/>
      <c r="L180" s="691"/>
      <c r="M180" s="691"/>
      <c r="N180" s="102"/>
      <c r="O180" s="102"/>
      <c r="P180" s="102"/>
      <c r="Q180" s="102"/>
      <c r="R180" s="102"/>
      <c r="S180" s="102"/>
      <c r="T180" s="102"/>
      <c r="U180" s="102"/>
    </row>
    <row r="181" spans="1:21" ht="20.100000000000001" customHeight="1">
      <c r="A181" s="738" t="s">
        <v>463</v>
      </c>
      <c r="B181" s="739"/>
      <c r="C181" s="740"/>
      <c r="D181" s="740"/>
      <c r="F181" s="654"/>
      <c r="G181" s="655"/>
      <c r="H181" s="655"/>
      <c r="I181" s="655"/>
      <c r="J181" s="655"/>
      <c r="K181" s="655"/>
      <c r="L181" s="655"/>
      <c r="M181" s="655"/>
      <c r="N181" s="655"/>
      <c r="O181" s="655"/>
      <c r="P181" s="655"/>
      <c r="Q181" s="655"/>
      <c r="R181" s="655"/>
      <c r="S181" s="655"/>
      <c r="T181" s="655"/>
      <c r="U181" s="655"/>
    </row>
    <row r="182" spans="1:21" ht="20.100000000000001" customHeight="1">
      <c r="A182" s="12" t="s">
        <v>464</v>
      </c>
      <c r="B182" s="741">
        <f>基础信息!B6</f>
        <v>0</v>
      </c>
      <c r="C182" s="740"/>
      <c r="D182" s="740"/>
      <c r="F182" s="654"/>
      <c r="G182" s="655"/>
      <c r="H182" s="655"/>
      <c r="I182" s="596"/>
      <c r="J182" s="689" t="s">
        <v>364</v>
      </c>
      <c r="K182" s="655"/>
      <c r="L182" s="655"/>
      <c r="M182" s="655"/>
      <c r="N182" s="655"/>
      <c r="O182" s="655"/>
      <c r="P182" s="655"/>
      <c r="Q182" s="596"/>
      <c r="R182" s="689" t="s">
        <v>365</v>
      </c>
      <c r="S182" s="655"/>
      <c r="T182" s="655"/>
      <c r="U182" s="655"/>
    </row>
    <row r="183" spans="1:21" ht="20.100000000000001" customHeight="1">
      <c r="A183" s="12" t="s">
        <v>465</v>
      </c>
      <c r="B183" s="741">
        <f>基础信息!B9</f>
        <v>0</v>
      </c>
      <c r="F183" s="654"/>
      <c r="G183" s="655"/>
      <c r="H183" s="655"/>
      <c r="I183" s="655"/>
      <c r="J183" s="655"/>
      <c r="K183" s="655"/>
      <c r="L183" s="655"/>
      <c r="M183" s="655"/>
      <c r="N183" s="655"/>
      <c r="O183" s="655"/>
      <c r="P183" s="655"/>
      <c r="Q183" s="655"/>
      <c r="R183" s="655"/>
      <c r="S183" s="655"/>
      <c r="T183" s="655"/>
      <c r="U183" s="655"/>
    </row>
    <row r="184" spans="1:21" s="649" customFormat="1" ht="20.100000000000001" customHeight="1">
      <c r="A184" s="657" t="s">
        <v>137</v>
      </c>
      <c r="B184" s="26" t="s">
        <v>367</v>
      </c>
      <c r="C184" s="658" t="s">
        <v>368</v>
      </c>
      <c r="D184" s="658" t="s">
        <v>369</v>
      </c>
      <c r="E184" s="658" t="s">
        <v>370</v>
      </c>
      <c r="F184" s="659" t="s">
        <v>1</v>
      </c>
      <c r="G184" s="660" t="s">
        <v>371</v>
      </c>
      <c r="H184" s="660" t="s">
        <v>372</v>
      </c>
      <c r="I184" s="660" t="s">
        <v>373</v>
      </c>
      <c r="J184" s="660" t="s">
        <v>374</v>
      </c>
      <c r="K184" s="660" t="s">
        <v>375</v>
      </c>
      <c r="L184" s="660" t="s">
        <v>376</v>
      </c>
      <c r="M184" s="660" t="s">
        <v>377</v>
      </c>
      <c r="N184" s="659" t="s">
        <v>1</v>
      </c>
      <c r="O184" s="659" t="s">
        <v>371</v>
      </c>
      <c r="P184" s="659" t="s">
        <v>372</v>
      </c>
      <c r="Q184" s="659" t="s">
        <v>373</v>
      </c>
      <c r="R184" s="707" t="s">
        <v>374</v>
      </c>
      <c r="S184" s="707" t="s">
        <v>375</v>
      </c>
      <c r="T184" s="659" t="s">
        <v>376</v>
      </c>
      <c r="U184" s="659" t="s">
        <v>377</v>
      </c>
    </row>
    <row r="185" spans="1:21" s="647" customFormat="1" ht="20.100000000000001" customHeight="1">
      <c r="A185" s="114"/>
      <c r="B185" s="114"/>
      <c r="C185" s="114"/>
      <c r="D185" s="114"/>
      <c r="E185" s="114"/>
      <c r="F185" s="662"/>
      <c r="G185" s="691"/>
      <c r="H185" s="691"/>
      <c r="I185" s="691"/>
      <c r="J185" s="691"/>
      <c r="K185" s="691"/>
      <c r="L185" s="102"/>
      <c r="M185" s="102"/>
      <c r="N185" s="102"/>
      <c r="O185" s="102"/>
      <c r="P185" s="102"/>
      <c r="Q185" s="102"/>
      <c r="R185" s="102"/>
      <c r="S185" s="102"/>
      <c r="T185" s="102"/>
      <c r="U185" s="102"/>
    </row>
    <row r="186" spans="1:21" s="647" customFormat="1" ht="20.100000000000001" customHeight="1">
      <c r="A186" s="114" t="s">
        <v>466</v>
      </c>
      <c r="B186" s="114"/>
      <c r="C186" s="101">
        <f t="shared" ref="C186:C197" si="36">SUMIF($P:$P,A186,R:R)-SUMIF($P:$P,A186,S:S)</f>
        <v>0</v>
      </c>
      <c r="D186" s="101">
        <f t="shared" ref="D186:D197" si="37">SUMIF($H:$H,A186,J:J)-SUMIF($H:$H,A186,K:K)</f>
        <v>0</v>
      </c>
      <c r="E186" s="101">
        <f t="shared" ref="E186:E197" si="38">SUM(B186:D186)</f>
        <v>0</v>
      </c>
      <c r="F186" s="662"/>
      <c r="G186" s="691"/>
      <c r="H186" s="691"/>
      <c r="I186" s="691"/>
      <c r="J186" s="691"/>
      <c r="K186" s="691"/>
      <c r="L186" s="102"/>
      <c r="M186" s="102"/>
      <c r="N186" s="102"/>
      <c r="O186" s="102"/>
      <c r="P186" s="102"/>
      <c r="Q186" s="102"/>
      <c r="R186" s="102"/>
      <c r="S186" s="102"/>
      <c r="T186" s="102"/>
      <c r="U186" s="102"/>
    </row>
    <row r="187" spans="1:21" s="647" customFormat="1" ht="20.100000000000001" customHeight="1">
      <c r="A187" s="114" t="s">
        <v>467</v>
      </c>
      <c r="B187" s="114"/>
      <c r="C187" s="101">
        <f t="shared" si="36"/>
        <v>0</v>
      </c>
      <c r="D187" s="101">
        <f t="shared" si="37"/>
        <v>0</v>
      </c>
      <c r="E187" s="101">
        <f t="shared" si="38"/>
        <v>0</v>
      </c>
      <c r="F187" s="662"/>
      <c r="G187" s="691"/>
      <c r="H187" s="691"/>
      <c r="I187" s="691"/>
      <c r="J187" s="691"/>
      <c r="K187" s="691"/>
      <c r="L187" s="102"/>
      <c r="M187" s="102"/>
      <c r="N187" s="102"/>
      <c r="O187" s="102"/>
      <c r="P187" s="102"/>
      <c r="Q187" s="102"/>
      <c r="R187" s="102"/>
      <c r="S187" s="102"/>
      <c r="T187" s="102"/>
      <c r="U187" s="102"/>
    </row>
    <row r="188" spans="1:21" s="647" customFormat="1" ht="20.100000000000001" customHeight="1">
      <c r="A188" s="114" t="s">
        <v>468</v>
      </c>
      <c r="B188" s="114"/>
      <c r="C188" s="101">
        <f t="shared" si="36"/>
        <v>0</v>
      </c>
      <c r="D188" s="101">
        <f t="shared" si="37"/>
        <v>0</v>
      </c>
      <c r="E188" s="101">
        <f t="shared" si="38"/>
        <v>0</v>
      </c>
      <c r="F188" s="662"/>
      <c r="G188" s="691"/>
      <c r="H188" s="691"/>
      <c r="I188" s="691"/>
      <c r="J188" s="691"/>
      <c r="K188" s="691"/>
      <c r="L188" s="102"/>
      <c r="M188" s="102"/>
      <c r="N188" s="102"/>
      <c r="O188" s="102"/>
      <c r="P188" s="102"/>
      <c r="Q188" s="102"/>
      <c r="R188" s="102"/>
      <c r="S188" s="102"/>
      <c r="T188" s="102"/>
      <c r="U188" s="102"/>
    </row>
    <row r="189" spans="1:21" s="647" customFormat="1" ht="20.100000000000001" customHeight="1">
      <c r="A189" s="114" t="s">
        <v>469</v>
      </c>
      <c r="B189" s="114"/>
      <c r="C189" s="101">
        <f t="shared" si="36"/>
        <v>0</v>
      </c>
      <c r="D189" s="101">
        <f t="shared" si="37"/>
        <v>0</v>
      </c>
      <c r="E189" s="101">
        <f t="shared" si="38"/>
        <v>0</v>
      </c>
      <c r="F189" s="662"/>
      <c r="G189" s="691"/>
      <c r="H189" s="691"/>
      <c r="I189" s="691"/>
      <c r="J189" s="691"/>
      <c r="K189" s="691"/>
      <c r="L189" s="102"/>
      <c r="M189" s="102"/>
      <c r="N189" s="102"/>
      <c r="O189" s="102"/>
      <c r="P189" s="102"/>
      <c r="Q189" s="102"/>
      <c r="R189" s="102"/>
      <c r="S189" s="102"/>
      <c r="T189" s="102"/>
      <c r="U189" s="102"/>
    </row>
    <row r="190" spans="1:21" s="647" customFormat="1" ht="20.100000000000001" customHeight="1">
      <c r="A190" s="114"/>
      <c r="B190" s="114"/>
      <c r="C190" s="101">
        <f t="shared" si="36"/>
        <v>0</v>
      </c>
      <c r="D190" s="101">
        <f t="shared" si="37"/>
        <v>0</v>
      </c>
      <c r="E190" s="101">
        <f t="shared" si="38"/>
        <v>0</v>
      </c>
      <c r="F190" s="662"/>
      <c r="G190" s="691"/>
      <c r="H190" s="691"/>
      <c r="I190" s="691"/>
      <c r="J190" s="691"/>
      <c r="K190" s="691"/>
      <c r="L190" s="102"/>
      <c r="M190" s="102"/>
      <c r="N190" s="102"/>
      <c r="O190" s="102"/>
      <c r="P190" s="102"/>
      <c r="Q190" s="102"/>
      <c r="R190" s="102"/>
      <c r="S190" s="102"/>
      <c r="T190" s="102"/>
      <c r="U190" s="102"/>
    </row>
    <row r="191" spans="1:21" s="647" customFormat="1" ht="20.100000000000001" customHeight="1">
      <c r="A191" s="114"/>
      <c r="B191" s="114"/>
      <c r="C191" s="101">
        <f t="shared" si="36"/>
        <v>0</v>
      </c>
      <c r="D191" s="101">
        <f t="shared" si="37"/>
        <v>0</v>
      </c>
      <c r="E191" s="101">
        <f t="shared" si="38"/>
        <v>0</v>
      </c>
      <c r="F191" s="662"/>
      <c r="G191" s="691"/>
      <c r="H191" s="691"/>
      <c r="I191" s="691"/>
      <c r="J191" s="691"/>
      <c r="K191" s="691"/>
      <c r="L191" s="102"/>
      <c r="M191" s="102"/>
      <c r="N191" s="102"/>
      <c r="O191" s="102"/>
      <c r="P191" s="102"/>
      <c r="Q191" s="102"/>
      <c r="R191" s="102"/>
      <c r="S191" s="102"/>
      <c r="T191" s="102"/>
      <c r="U191" s="102"/>
    </row>
    <row r="192" spans="1:21" s="647" customFormat="1" ht="20.100000000000001" customHeight="1">
      <c r="A192" s="114"/>
      <c r="B192" s="114"/>
      <c r="C192" s="101">
        <f t="shared" si="36"/>
        <v>0</v>
      </c>
      <c r="D192" s="101">
        <f t="shared" si="37"/>
        <v>0</v>
      </c>
      <c r="E192" s="101">
        <f t="shared" si="38"/>
        <v>0</v>
      </c>
      <c r="F192" s="662"/>
      <c r="G192" s="691"/>
      <c r="H192" s="691"/>
      <c r="I192" s="691"/>
      <c r="J192" s="691"/>
      <c r="K192" s="691"/>
      <c r="L192" s="102"/>
      <c r="M192" s="102"/>
      <c r="N192" s="102"/>
      <c r="O192" s="102"/>
      <c r="P192" s="102"/>
      <c r="Q192" s="102"/>
      <c r="R192" s="102"/>
      <c r="S192" s="102"/>
      <c r="T192" s="102"/>
      <c r="U192" s="102"/>
    </row>
    <row r="193" spans="1:21" s="647" customFormat="1" ht="20.100000000000001" customHeight="1">
      <c r="A193" s="114"/>
      <c r="B193" s="114"/>
      <c r="C193" s="101">
        <f t="shared" si="36"/>
        <v>0</v>
      </c>
      <c r="D193" s="101">
        <f t="shared" si="37"/>
        <v>0</v>
      </c>
      <c r="E193" s="101">
        <f t="shared" si="38"/>
        <v>0</v>
      </c>
      <c r="F193" s="662"/>
      <c r="G193" s="691"/>
      <c r="H193" s="691"/>
      <c r="I193" s="691"/>
      <c r="J193" s="691"/>
      <c r="K193" s="691"/>
      <c r="L193" s="102"/>
      <c r="M193" s="102"/>
      <c r="N193" s="102"/>
      <c r="O193" s="102"/>
      <c r="P193" s="102"/>
      <c r="Q193" s="102"/>
      <c r="R193" s="102"/>
      <c r="S193" s="102"/>
      <c r="T193" s="102"/>
      <c r="U193" s="102"/>
    </row>
    <row r="194" spans="1:21" s="647" customFormat="1" ht="20.100000000000001" customHeight="1">
      <c r="A194" s="114"/>
      <c r="B194" s="114"/>
      <c r="C194" s="101">
        <f t="shared" si="36"/>
        <v>0</v>
      </c>
      <c r="D194" s="101">
        <f t="shared" si="37"/>
        <v>0</v>
      </c>
      <c r="E194" s="101">
        <f t="shared" si="38"/>
        <v>0</v>
      </c>
      <c r="F194" s="662"/>
      <c r="G194" s="691"/>
      <c r="H194" s="691"/>
      <c r="I194" s="691"/>
      <c r="J194" s="691"/>
      <c r="K194" s="691"/>
      <c r="L194" s="102"/>
      <c r="M194" s="102"/>
      <c r="N194" s="102"/>
      <c r="O194" s="102"/>
      <c r="P194" s="102"/>
      <c r="Q194" s="102"/>
      <c r="R194" s="102"/>
      <c r="S194" s="102"/>
      <c r="T194" s="102"/>
      <c r="U194" s="102"/>
    </row>
    <row r="195" spans="1:21" s="647" customFormat="1" ht="20.100000000000001" customHeight="1">
      <c r="A195" s="114"/>
      <c r="B195" s="114"/>
      <c r="C195" s="101">
        <f t="shared" si="36"/>
        <v>0</v>
      </c>
      <c r="D195" s="101">
        <f t="shared" si="37"/>
        <v>0</v>
      </c>
      <c r="E195" s="101">
        <f t="shared" si="38"/>
        <v>0</v>
      </c>
      <c r="F195" s="676"/>
      <c r="G195" s="102"/>
      <c r="H195" s="102"/>
      <c r="I195" s="102"/>
      <c r="J195" s="102"/>
      <c r="K195" s="102"/>
      <c r="L195" s="102"/>
      <c r="M195" s="102"/>
      <c r="N195" s="102"/>
      <c r="O195" s="102"/>
      <c r="P195" s="102"/>
      <c r="Q195" s="102"/>
      <c r="R195" s="102"/>
      <c r="S195" s="102"/>
      <c r="T195" s="102"/>
      <c r="U195" s="102"/>
    </row>
    <row r="196" spans="1:21" s="647" customFormat="1" ht="20.100000000000001" customHeight="1">
      <c r="A196" s="114"/>
      <c r="B196" s="114"/>
      <c r="C196" s="101">
        <f t="shared" si="36"/>
        <v>0</v>
      </c>
      <c r="D196" s="101">
        <f t="shared" si="37"/>
        <v>0</v>
      </c>
      <c r="E196" s="101">
        <f t="shared" si="38"/>
        <v>0</v>
      </c>
      <c r="F196" s="676"/>
      <c r="G196" s="102"/>
      <c r="H196" s="102"/>
      <c r="I196" s="102"/>
      <c r="J196" s="102"/>
      <c r="K196" s="102"/>
      <c r="L196" s="102"/>
      <c r="M196" s="102"/>
      <c r="N196" s="102"/>
      <c r="O196" s="102"/>
      <c r="P196" s="102"/>
      <c r="Q196" s="102"/>
      <c r="R196" s="102"/>
      <c r="S196" s="102"/>
      <c r="T196" s="102"/>
      <c r="U196" s="102"/>
    </row>
    <row r="197" spans="1:21" s="647" customFormat="1" ht="20.100000000000001" customHeight="1">
      <c r="A197" s="114"/>
      <c r="B197" s="114"/>
      <c r="C197" s="101">
        <f t="shared" si="36"/>
        <v>0</v>
      </c>
      <c r="D197" s="101">
        <f t="shared" si="37"/>
        <v>0</v>
      </c>
      <c r="E197" s="101">
        <f t="shared" si="38"/>
        <v>0</v>
      </c>
      <c r="F197" s="676"/>
      <c r="G197" s="102"/>
      <c r="H197" s="102"/>
      <c r="I197" s="102"/>
      <c r="J197" s="102"/>
      <c r="K197" s="102"/>
      <c r="L197" s="102"/>
      <c r="M197" s="102"/>
      <c r="N197" s="102"/>
      <c r="O197" s="102"/>
      <c r="P197" s="102"/>
      <c r="Q197" s="102"/>
      <c r="R197" s="102"/>
      <c r="S197" s="102"/>
      <c r="T197" s="102"/>
      <c r="U197" s="102"/>
    </row>
    <row r="198" spans="1:21" s="647" customFormat="1" ht="20.100000000000001" customHeight="1">
      <c r="A198" s="114" t="s">
        <v>470</v>
      </c>
      <c r="B198" s="101">
        <f>SUM(B186:B197)</f>
        <v>0</v>
      </c>
      <c r="C198" s="101">
        <f>SUM(C186:C197)</f>
        <v>0</v>
      </c>
      <c r="D198" s="101">
        <f>SUM(D186:D197)</f>
        <v>0</v>
      </c>
      <c r="E198" s="101">
        <f>SUM(E186:E197)</f>
        <v>0</v>
      </c>
      <c r="F198" s="676"/>
      <c r="G198" s="102"/>
      <c r="H198" s="102"/>
      <c r="I198" s="102"/>
      <c r="J198" s="102"/>
      <c r="K198" s="102"/>
      <c r="L198" s="102"/>
      <c r="M198" s="102"/>
      <c r="N198" s="102"/>
      <c r="O198" s="102"/>
      <c r="P198" s="102"/>
      <c r="Q198" s="102"/>
      <c r="R198" s="102"/>
      <c r="S198" s="102"/>
      <c r="T198" s="102"/>
      <c r="U198" s="102"/>
    </row>
    <row r="199" spans="1:21" s="647" customFormat="1" ht="20.100000000000001" customHeight="1">
      <c r="A199" s="114" t="s">
        <v>471</v>
      </c>
      <c r="B199" s="114"/>
      <c r="C199" s="101">
        <f t="shared" ref="C199:C210" si="39">SUMIF($P:$P,A199,R:R)-SUMIF($P:$P,A199,S:S)</f>
        <v>0</v>
      </c>
      <c r="D199" s="101">
        <f t="shared" ref="D199:D210" si="40">SUMIF($H:$H,A199,J:J)-SUMIF($H:$H,A199,K:K)</f>
        <v>0</v>
      </c>
      <c r="E199" s="101">
        <f t="shared" ref="E199:E210" si="41">SUM(B199:D199)</f>
        <v>0</v>
      </c>
      <c r="F199" s="676"/>
      <c r="G199" s="102"/>
      <c r="H199" s="102"/>
      <c r="I199" s="102"/>
      <c r="J199" s="102"/>
      <c r="K199" s="102"/>
      <c r="L199" s="102"/>
      <c r="M199" s="102"/>
      <c r="N199" s="102"/>
      <c r="O199" s="102"/>
      <c r="P199" s="102"/>
      <c r="Q199" s="102"/>
      <c r="R199" s="102"/>
      <c r="S199" s="102"/>
      <c r="T199" s="102"/>
      <c r="U199" s="102"/>
    </row>
    <row r="200" spans="1:21" s="647" customFormat="1" ht="20.100000000000001" customHeight="1">
      <c r="A200" s="114" t="s">
        <v>472</v>
      </c>
      <c r="B200" s="114"/>
      <c r="C200" s="101">
        <f t="shared" si="39"/>
        <v>0</v>
      </c>
      <c r="D200" s="101">
        <f t="shared" si="40"/>
        <v>0</v>
      </c>
      <c r="E200" s="101">
        <f t="shared" si="41"/>
        <v>0</v>
      </c>
      <c r="F200" s="676"/>
      <c r="G200" s="102"/>
      <c r="H200" s="102"/>
      <c r="I200" s="102"/>
      <c r="J200" s="102"/>
      <c r="K200" s="102"/>
      <c r="L200" s="102"/>
      <c r="M200" s="102"/>
      <c r="N200" s="102"/>
      <c r="O200" s="102"/>
      <c r="P200" s="102"/>
      <c r="Q200" s="102"/>
      <c r="R200" s="102"/>
      <c r="S200" s="102"/>
      <c r="T200" s="102"/>
      <c r="U200" s="102"/>
    </row>
    <row r="201" spans="1:21" s="647" customFormat="1" ht="20.100000000000001" customHeight="1">
      <c r="A201" s="114" t="s">
        <v>473</v>
      </c>
      <c r="B201" s="114"/>
      <c r="C201" s="101">
        <f t="shared" si="39"/>
        <v>0</v>
      </c>
      <c r="D201" s="101">
        <f t="shared" si="40"/>
        <v>0</v>
      </c>
      <c r="E201" s="101">
        <f t="shared" si="41"/>
        <v>0</v>
      </c>
      <c r="F201" s="676"/>
      <c r="G201" s="102"/>
      <c r="H201" s="102"/>
      <c r="I201" s="102"/>
      <c r="J201" s="102"/>
      <c r="K201" s="102"/>
      <c r="L201" s="102"/>
      <c r="M201" s="102"/>
      <c r="N201" s="102"/>
      <c r="O201" s="102"/>
      <c r="P201" s="102"/>
      <c r="Q201" s="102"/>
      <c r="R201" s="102"/>
      <c r="S201" s="102"/>
      <c r="T201" s="102"/>
      <c r="U201" s="102"/>
    </row>
    <row r="202" spans="1:21" s="647" customFormat="1" ht="20.100000000000001" customHeight="1">
      <c r="A202" s="114" t="s">
        <v>474</v>
      </c>
      <c r="B202" s="114"/>
      <c r="C202" s="101">
        <f t="shared" si="39"/>
        <v>0</v>
      </c>
      <c r="D202" s="101">
        <f t="shared" si="40"/>
        <v>0</v>
      </c>
      <c r="E202" s="101">
        <f t="shared" si="41"/>
        <v>0</v>
      </c>
      <c r="F202" s="676"/>
      <c r="G202" s="102"/>
      <c r="H202" s="102"/>
      <c r="I202" s="102"/>
      <c r="J202" s="102"/>
      <c r="K202" s="102"/>
      <c r="L202" s="102"/>
      <c r="M202" s="102"/>
      <c r="N202" s="102"/>
      <c r="O202" s="102"/>
      <c r="P202" s="102"/>
      <c r="Q202" s="102"/>
      <c r="R202" s="102"/>
      <c r="S202" s="102"/>
      <c r="T202" s="102"/>
      <c r="U202" s="102"/>
    </row>
    <row r="203" spans="1:21" s="647" customFormat="1" ht="20.100000000000001" customHeight="1">
      <c r="A203" s="114" t="s">
        <v>475</v>
      </c>
      <c r="B203" s="114"/>
      <c r="C203" s="101">
        <f t="shared" si="39"/>
        <v>0</v>
      </c>
      <c r="D203" s="101">
        <f t="shared" si="40"/>
        <v>0</v>
      </c>
      <c r="E203" s="101">
        <f t="shared" si="41"/>
        <v>0</v>
      </c>
      <c r="F203" s="676"/>
      <c r="G203" s="102"/>
      <c r="H203" s="102"/>
      <c r="I203" s="102"/>
      <c r="J203" s="102"/>
      <c r="K203" s="102"/>
      <c r="L203" s="102"/>
      <c r="M203" s="102"/>
      <c r="N203" s="102"/>
      <c r="O203" s="102"/>
      <c r="P203" s="102"/>
      <c r="Q203" s="102"/>
      <c r="R203" s="102"/>
      <c r="S203" s="102"/>
      <c r="T203" s="102"/>
      <c r="U203" s="102"/>
    </row>
    <row r="204" spans="1:21" s="647" customFormat="1" ht="20.100000000000001" customHeight="1">
      <c r="A204" s="114" t="s">
        <v>476</v>
      </c>
      <c r="B204" s="114"/>
      <c r="C204" s="101">
        <f t="shared" si="39"/>
        <v>0</v>
      </c>
      <c r="D204" s="101">
        <f t="shared" si="40"/>
        <v>0</v>
      </c>
      <c r="E204" s="101">
        <f t="shared" si="41"/>
        <v>0</v>
      </c>
      <c r="F204" s="676"/>
      <c r="G204" s="102"/>
      <c r="H204" s="102"/>
      <c r="I204" s="102"/>
      <c r="J204" s="102"/>
      <c r="K204" s="102"/>
      <c r="L204" s="102"/>
      <c r="M204" s="102"/>
      <c r="N204" s="102"/>
      <c r="O204" s="102"/>
      <c r="P204" s="102"/>
      <c r="Q204" s="102"/>
      <c r="R204" s="102"/>
      <c r="S204" s="102"/>
      <c r="T204" s="102"/>
      <c r="U204" s="102"/>
    </row>
    <row r="205" spans="1:21" s="647" customFormat="1" ht="20.100000000000001" customHeight="1">
      <c r="A205" s="114" t="s">
        <v>477</v>
      </c>
      <c r="B205" s="114"/>
      <c r="C205" s="101">
        <f t="shared" si="39"/>
        <v>0</v>
      </c>
      <c r="D205" s="101">
        <f t="shared" si="40"/>
        <v>0</v>
      </c>
      <c r="E205" s="101">
        <f t="shared" si="41"/>
        <v>0</v>
      </c>
      <c r="F205" s="676"/>
      <c r="G205" s="102"/>
      <c r="H205" s="102"/>
      <c r="I205" s="102"/>
      <c r="J205" s="102"/>
      <c r="K205" s="102"/>
      <c r="L205" s="102"/>
      <c r="M205" s="102"/>
      <c r="N205" s="102"/>
      <c r="O205" s="102"/>
      <c r="P205" s="102"/>
      <c r="Q205" s="102"/>
      <c r="R205" s="102"/>
      <c r="S205" s="102"/>
      <c r="T205" s="102"/>
      <c r="U205" s="102"/>
    </row>
    <row r="206" spans="1:21" s="647" customFormat="1" ht="20.100000000000001" customHeight="1">
      <c r="A206" s="114"/>
      <c r="B206" s="114"/>
      <c r="C206" s="101">
        <f t="shared" si="39"/>
        <v>0</v>
      </c>
      <c r="D206" s="101">
        <f t="shared" si="40"/>
        <v>0</v>
      </c>
      <c r="E206" s="101">
        <f t="shared" si="41"/>
        <v>0</v>
      </c>
      <c r="F206" s="676"/>
      <c r="G206" s="102"/>
      <c r="H206" s="102"/>
      <c r="I206" s="102"/>
      <c r="J206" s="102"/>
      <c r="K206" s="102"/>
      <c r="L206" s="102"/>
      <c r="M206" s="102"/>
      <c r="N206" s="102"/>
      <c r="O206" s="102"/>
      <c r="P206" s="102"/>
      <c r="Q206" s="102"/>
      <c r="R206" s="102"/>
      <c r="S206" s="102"/>
      <c r="T206" s="102"/>
      <c r="U206" s="102"/>
    </row>
    <row r="207" spans="1:21" s="647" customFormat="1" ht="20.100000000000001" customHeight="1">
      <c r="A207" s="114"/>
      <c r="B207" s="114"/>
      <c r="C207" s="101">
        <f t="shared" si="39"/>
        <v>0</v>
      </c>
      <c r="D207" s="101">
        <f t="shared" si="40"/>
        <v>0</v>
      </c>
      <c r="E207" s="101">
        <f t="shared" si="41"/>
        <v>0</v>
      </c>
      <c r="F207" s="676"/>
      <c r="G207" s="102"/>
      <c r="H207" s="102"/>
      <c r="I207" s="102"/>
      <c r="J207" s="102"/>
      <c r="K207" s="102"/>
      <c r="L207" s="102"/>
      <c r="M207" s="102"/>
      <c r="N207" s="102"/>
      <c r="O207" s="102"/>
      <c r="P207" s="102"/>
      <c r="Q207" s="102"/>
      <c r="R207" s="102"/>
      <c r="S207" s="102"/>
      <c r="T207" s="102"/>
      <c r="U207" s="102"/>
    </row>
    <row r="208" spans="1:21" s="647" customFormat="1" ht="20.100000000000001" customHeight="1">
      <c r="A208" s="114"/>
      <c r="B208" s="114"/>
      <c r="C208" s="101">
        <f t="shared" si="39"/>
        <v>0</v>
      </c>
      <c r="D208" s="101">
        <f t="shared" si="40"/>
        <v>0</v>
      </c>
      <c r="E208" s="101">
        <f t="shared" si="41"/>
        <v>0</v>
      </c>
      <c r="F208" s="676"/>
      <c r="G208" s="102"/>
      <c r="H208" s="102"/>
      <c r="I208" s="102"/>
      <c r="J208" s="102"/>
      <c r="K208" s="102"/>
      <c r="L208" s="102"/>
      <c r="M208" s="102"/>
      <c r="N208" s="102"/>
      <c r="O208" s="102"/>
      <c r="P208" s="102"/>
      <c r="Q208" s="102"/>
      <c r="R208" s="102"/>
      <c r="S208" s="102"/>
      <c r="T208" s="102"/>
      <c r="U208" s="102"/>
    </row>
    <row r="209" spans="1:21" s="647" customFormat="1" ht="20.100000000000001" customHeight="1">
      <c r="A209" s="114"/>
      <c r="B209" s="114"/>
      <c r="C209" s="101">
        <f t="shared" si="39"/>
        <v>0</v>
      </c>
      <c r="D209" s="101">
        <f t="shared" si="40"/>
        <v>0</v>
      </c>
      <c r="E209" s="101">
        <f t="shared" si="41"/>
        <v>0</v>
      </c>
      <c r="F209" s="676"/>
      <c r="G209" s="102"/>
      <c r="H209" s="102"/>
      <c r="I209" s="102"/>
      <c r="J209" s="102"/>
      <c r="K209" s="102"/>
      <c r="L209" s="102"/>
      <c r="M209" s="102"/>
      <c r="N209" s="102"/>
      <c r="O209" s="102"/>
      <c r="P209" s="102"/>
      <c r="Q209" s="102"/>
      <c r="R209" s="102"/>
      <c r="S209" s="102"/>
      <c r="T209" s="102"/>
      <c r="U209" s="102"/>
    </row>
    <row r="210" spans="1:21" s="647" customFormat="1" ht="20.100000000000001" customHeight="1">
      <c r="A210" s="114"/>
      <c r="B210" s="114"/>
      <c r="C210" s="101">
        <f t="shared" si="39"/>
        <v>0</v>
      </c>
      <c r="D210" s="101">
        <f t="shared" si="40"/>
        <v>0</v>
      </c>
      <c r="E210" s="101">
        <f t="shared" si="41"/>
        <v>0</v>
      </c>
      <c r="F210" s="676"/>
      <c r="G210" s="102"/>
      <c r="H210" s="102"/>
      <c r="I210" s="102"/>
      <c r="J210" s="102"/>
      <c r="K210" s="102"/>
      <c r="L210" s="102"/>
      <c r="M210" s="102"/>
      <c r="N210" s="102"/>
      <c r="O210" s="102"/>
      <c r="P210" s="102"/>
      <c r="Q210" s="102"/>
      <c r="R210" s="102"/>
      <c r="S210" s="102"/>
      <c r="T210" s="102"/>
      <c r="U210" s="102"/>
    </row>
    <row r="211" spans="1:21" s="647" customFormat="1" ht="20.100000000000001" customHeight="1">
      <c r="A211" s="114" t="s">
        <v>478</v>
      </c>
      <c r="B211" s="101">
        <f>SUM(B200:B210)</f>
        <v>0</v>
      </c>
      <c r="C211" s="101">
        <f>SUM(C200:C210)</f>
        <v>0</v>
      </c>
      <c r="D211" s="101">
        <f>SUM(D200:D210)</f>
        <v>0</v>
      </c>
      <c r="E211" s="101">
        <f>SUM(E200:E210)</f>
        <v>0</v>
      </c>
      <c r="F211" s="676"/>
      <c r="G211" s="102"/>
      <c r="H211" s="102"/>
      <c r="I211" s="102"/>
      <c r="J211" s="102"/>
      <c r="K211" s="102"/>
      <c r="L211" s="102"/>
      <c r="M211" s="102"/>
      <c r="N211" s="102"/>
      <c r="O211" s="102"/>
      <c r="P211" s="102"/>
      <c r="Q211" s="102"/>
      <c r="R211" s="102"/>
      <c r="S211" s="102"/>
      <c r="T211" s="102"/>
      <c r="U211" s="102"/>
    </row>
    <row r="212" spans="1:21" s="647" customFormat="1" ht="20.100000000000001" customHeight="1">
      <c r="A212" s="114" t="s">
        <v>479</v>
      </c>
      <c r="B212" s="101">
        <f>B198+B211</f>
        <v>0</v>
      </c>
      <c r="C212" s="101">
        <f>C198+C211</f>
        <v>0</v>
      </c>
      <c r="D212" s="101">
        <f>D198+D211</f>
        <v>0</v>
      </c>
      <c r="E212" s="101">
        <f>E198+E211</f>
        <v>0</v>
      </c>
      <c r="F212" s="676"/>
      <c r="G212" s="102"/>
      <c r="H212" s="102"/>
      <c r="I212" s="102"/>
      <c r="J212" s="102"/>
      <c r="K212" s="102"/>
      <c r="L212" s="102"/>
      <c r="M212" s="102"/>
      <c r="N212" s="102"/>
      <c r="O212" s="102"/>
      <c r="P212" s="102"/>
      <c r="Q212" s="102"/>
      <c r="R212" s="102"/>
      <c r="S212" s="102"/>
      <c r="T212" s="102"/>
      <c r="U212" s="102"/>
    </row>
    <row r="213" spans="1:21" s="647" customFormat="1" ht="20.100000000000001" customHeight="1">
      <c r="A213" s="114" t="s">
        <v>480</v>
      </c>
      <c r="B213" s="114"/>
      <c r="C213" s="101">
        <f t="shared" ref="C213:C223" si="42">-SUMIF(A213,$P:$P,R:R)+SUMIF(A213,$P:$P,S:S)</f>
        <v>0</v>
      </c>
      <c r="D213" s="101">
        <f t="shared" ref="D213:D223" si="43">-SUMIF(A213,$H:$H,J:J)+SUMIF(A213,$H:$H,K:K)</f>
        <v>0</v>
      </c>
      <c r="E213" s="101">
        <f t="shared" ref="E213:E223" si="44">SUM(B213:D213)</f>
        <v>0</v>
      </c>
      <c r="F213" s="676"/>
      <c r="G213" s="102"/>
      <c r="H213" s="102"/>
      <c r="I213" s="102"/>
      <c r="J213" s="102"/>
      <c r="K213" s="102"/>
      <c r="L213" s="102"/>
      <c r="M213" s="102"/>
      <c r="N213" s="102"/>
      <c r="O213" s="102"/>
      <c r="P213" s="102"/>
      <c r="Q213" s="102"/>
      <c r="R213" s="102"/>
      <c r="S213" s="102"/>
      <c r="T213" s="102"/>
      <c r="U213" s="102"/>
    </row>
    <row r="214" spans="1:21" s="647" customFormat="1" ht="20.100000000000001" customHeight="1">
      <c r="A214" s="114" t="s">
        <v>481</v>
      </c>
      <c r="B214" s="114"/>
      <c r="C214" s="101">
        <f t="shared" si="42"/>
        <v>0</v>
      </c>
      <c r="D214" s="101">
        <f t="shared" si="43"/>
        <v>0</v>
      </c>
      <c r="E214" s="101">
        <f t="shared" si="44"/>
        <v>0</v>
      </c>
      <c r="F214" s="676"/>
      <c r="G214" s="102"/>
      <c r="H214" s="102"/>
      <c r="I214" s="102"/>
      <c r="J214" s="102"/>
      <c r="K214" s="102"/>
      <c r="L214" s="102"/>
      <c r="M214" s="102"/>
      <c r="N214" s="102"/>
      <c r="O214" s="102"/>
      <c r="P214" s="102"/>
      <c r="Q214" s="102"/>
      <c r="R214" s="102"/>
      <c r="S214" s="102"/>
      <c r="T214" s="102"/>
      <c r="U214" s="102"/>
    </row>
    <row r="215" spans="1:21" s="647" customFormat="1" ht="20.100000000000001" customHeight="1">
      <c r="A215" s="114" t="s">
        <v>482</v>
      </c>
      <c r="B215" s="114"/>
      <c r="C215" s="101">
        <f t="shared" si="42"/>
        <v>0</v>
      </c>
      <c r="D215" s="101">
        <f t="shared" si="43"/>
        <v>0</v>
      </c>
      <c r="E215" s="101">
        <f t="shared" si="44"/>
        <v>0</v>
      </c>
      <c r="F215" s="676"/>
      <c r="G215" s="102"/>
      <c r="H215" s="102"/>
      <c r="I215" s="102"/>
      <c r="J215" s="102"/>
      <c r="K215" s="102"/>
      <c r="L215" s="102"/>
      <c r="M215" s="102"/>
      <c r="N215" s="102"/>
      <c r="O215" s="102"/>
      <c r="P215" s="102"/>
      <c r="Q215" s="102"/>
      <c r="R215" s="102"/>
      <c r="S215" s="102"/>
      <c r="T215" s="102"/>
      <c r="U215" s="102"/>
    </row>
    <row r="216" spans="1:21" s="647" customFormat="1" ht="20.100000000000001" customHeight="1">
      <c r="A216" s="114" t="s">
        <v>483</v>
      </c>
      <c r="B216" s="114"/>
      <c r="C216" s="101">
        <f t="shared" si="42"/>
        <v>0</v>
      </c>
      <c r="D216" s="101">
        <f t="shared" si="43"/>
        <v>0</v>
      </c>
      <c r="E216" s="101">
        <f t="shared" si="44"/>
        <v>0</v>
      </c>
      <c r="F216" s="676"/>
      <c r="G216" s="102"/>
      <c r="H216" s="102"/>
      <c r="I216" s="102"/>
      <c r="J216" s="102"/>
      <c r="K216" s="102"/>
      <c r="L216" s="102"/>
      <c r="M216" s="102"/>
      <c r="N216" s="102"/>
      <c r="O216" s="102"/>
      <c r="P216" s="102"/>
      <c r="Q216" s="102"/>
      <c r="R216" s="102"/>
      <c r="S216" s="102"/>
      <c r="T216" s="102"/>
      <c r="U216" s="102"/>
    </row>
    <row r="217" spans="1:21" s="647" customFormat="1" ht="20.100000000000001" customHeight="1">
      <c r="A217" s="114" t="s">
        <v>484</v>
      </c>
      <c r="B217" s="114"/>
      <c r="C217" s="101">
        <f t="shared" si="42"/>
        <v>0</v>
      </c>
      <c r="D217" s="101">
        <f t="shared" si="43"/>
        <v>0</v>
      </c>
      <c r="E217" s="101">
        <f t="shared" si="44"/>
        <v>0</v>
      </c>
      <c r="F217" s="676"/>
      <c r="G217" s="102"/>
      <c r="H217" s="102"/>
      <c r="I217" s="102"/>
      <c r="J217" s="102"/>
      <c r="K217" s="102"/>
      <c r="L217" s="102"/>
      <c r="M217" s="102"/>
      <c r="N217" s="102"/>
      <c r="O217" s="102"/>
      <c r="P217" s="102"/>
      <c r="Q217" s="102"/>
      <c r="R217" s="102"/>
      <c r="S217" s="102"/>
      <c r="T217" s="102"/>
      <c r="U217" s="102"/>
    </row>
    <row r="218" spans="1:21" s="647" customFormat="1" ht="20.100000000000001" customHeight="1">
      <c r="A218" s="114"/>
      <c r="B218" s="114"/>
      <c r="C218" s="101">
        <f t="shared" si="42"/>
        <v>0</v>
      </c>
      <c r="D218" s="101">
        <f t="shared" si="43"/>
        <v>0</v>
      </c>
      <c r="E218" s="101">
        <f t="shared" si="44"/>
        <v>0</v>
      </c>
      <c r="F218" s="676"/>
      <c r="G218" s="102"/>
      <c r="H218" s="102"/>
      <c r="I218" s="102"/>
      <c r="J218" s="102"/>
      <c r="K218" s="102"/>
      <c r="L218" s="102"/>
      <c r="M218" s="102"/>
      <c r="N218" s="102"/>
      <c r="O218" s="102"/>
      <c r="P218" s="102"/>
      <c r="Q218" s="102"/>
      <c r="R218" s="102"/>
      <c r="S218" s="102"/>
      <c r="T218" s="102"/>
      <c r="U218" s="102"/>
    </row>
    <row r="219" spans="1:21" s="647" customFormat="1" ht="20.100000000000001" customHeight="1">
      <c r="A219" s="114"/>
      <c r="B219" s="114"/>
      <c r="C219" s="101">
        <f t="shared" si="42"/>
        <v>0</v>
      </c>
      <c r="D219" s="101">
        <f t="shared" si="43"/>
        <v>0</v>
      </c>
      <c r="E219" s="101">
        <f t="shared" si="44"/>
        <v>0</v>
      </c>
      <c r="F219" s="676"/>
      <c r="G219" s="102"/>
      <c r="H219" s="102"/>
      <c r="I219" s="102"/>
      <c r="J219" s="102"/>
      <c r="K219" s="102"/>
      <c r="L219" s="102"/>
      <c r="M219" s="102"/>
      <c r="N219" s="102"/>
      <c r="O219" s="102"/>
      <c r="P219" s="102"/>
      <c r="Q219" s="102"/>
      <c r="R219" s="102"/>
      <c r="S219" s="102"/>
      <c r="T219" s="102"/>
      <c r="U219" s="102"/>
    </row>
    <row r="220" spans="1:21" s="647" customFormat="1" ht="20.100000000000001" customHeight="1">
      <c r="A220" s="114"/>
      <c r="B220" s="114"/>
      <c r="C220" s="101">
        <f t="shared" si="42"/>
        <v>0</v>
      </c>
      <c r="D220" s="101">
        <f t="shared" si="43"/>
        <v>0</v>
      </c>
      <c r="E220" s="101">
        <f t="shared" si="44"/>
        <v>0</v>
      </c>
      <c r="F220" s="676"/>
      <c r="G220" s="102"/>
      <c r="H220" s="102"/>
      <c r="I220" s="102"/>
      <c r="J220" s="102"/>
      <c r="K220" s="102"/>
      <c r="L220" s="102"/>
      <c r="M220" s="102"/>
      <c r="N220" s="102"/>
      <c r="O220" s="102"/>
      <c r="P220" s="102"/>
      <c r="Q220" s="102"/>
      <c r="R220" s="102"/>
      <c r="S220" s="102"/>
      <c r="T220" s="102"/>
      <c r="U220" s="102"/>
    </row>
    <row r="221" spans="1:21" s="647" customFormat="1" ht="20.100000000000001" customHeight="1">
      <c r="A221" s="114"/>
      <c r="B221" s="114"/>
      <c r="C221" s="101">
        <f t="shared" si="42"/>
        <v>0</v>
      </c>
      <c r="D221" s="101">
        <f t="shared" si="43"/>
        <v>0</v>
      </c>
      <c r="E221" s="101">
        <f t="shared" si="44"/>
        <v>0</v>
      </c>
      <c r="F221" s="676"/>
      <c r="G221" s="102"/>
      <c r="H221" s="102"/>
      <c r="I221" s="102"/>
      <c r="J221" s="102"/>
      <c r="K221" s="102"/>
      <c r="L221" s="102"/>
      <c r="M221" s="102"/>
      <c r="N221" s="102"/>
      <c r="O221" s="102"/>
      <c r="P221" s="102"/>
      <c r="Q221" s="102"/>
      <c r="R221" s="102"/>
      <c r="S221" s="102"/>
      <c r="T221" s="102"/>
      <c r="U221" s="102"/>
    </row>
    <row r="222" spans="1:21" s="647" customFormat="1" ht="20.100000000000001" customHeight="1">
      <c r="A222" s="114"/>
      <c r="B222" s="114"/>
      <c r="C222" s="101">
        <f t="shared" si="42"/>
        <v>0</v>
      </c>
      <c r="D222" s="101">
        <f t="shared" si="43"/>
        <v>0</v>
      </c>
      <c r="E222" s="101">
        <f t="shared" si="44"/>
        <v>0</v>
      </c>
      <c r="F222" s="676"/>
      <c r="G222" s="102"/>
      <c r="H222" s="102"/>
      <c r="I222" s="102"/>
      <c r="J222" s="102"/>
      <c r="K222" s="102"/>
      <c r="L222" s="102"/>
      <c r="M222" s="102"/>
      <c r="N222" s="102"/>
      <c r="O222" s="102"/>
      <c r="P222" s="102"/>
      <c r="Q222" s="102"/>
      <c r="R222" s="102"/>
      <c r="S222" s="102"/>
      <c r="T222" s="102"/>
      <c r="U222" s="102"/>
    </row>
    <row r="223" spans="1:21" s="647" customFormat="1" ht="20.100000000000001" customHeight="1">
      <c r="A223" s="114"/>
      <c r="B223" s="114"/>
      <c r="C223" s="101">
        <f t="shared" si="42"/>
        <v>0</v>
      </c>
      <c r="D223" s="101">
        <f t="shared" si="43"/>
        <v>0</v>
      </c>
      <c r="E223" s="101">
        <f t="shared" si="44"/>
        <v>0</v>
      </c>
      <c r="F223" s="676"/>
      <c r="G223" s="102"/>
      <c r="H223" s="102"/>
      <c r="I223" s="102"/>
      <c r="J223" s="102"/>
      <c r="K223" s="102"/>
      <c r="L223" s="102"/>
      <c r="M223" s="102"/>
      <c r="N223" s="102"/>
      <c r="O223" s="102"/>
      <c r="P223" s="102"/>
      <c r="Q223" s="102"/>
      <c r="R223" s="102"/>
      <c r="S223" s="102"/>
      <c r="T223" s="102"/>
      <c r="U223" s="102"/>
    </row>
    <row r="224" spans="1:21" s="647" customFormat="1" ht="20.100000000000001" customHeight="1">
      <c r="A224" s="114" t="s">
        <v>485</v>
      </c>
      <c r="B224" s="101">
        <f>SUM(B213:B223)</f>
        <v>0</v>
      </c>
      <c r="C224" s="101">
        <f>SUM(C213:C223)</f>
        <v>0</v>
      </c>
      <c r="D224" s="101">
        <f>SUM(D213:D223)</f>
        <v>0</v>
      </c>
      <c r="E224" s="101">
        <f>SUM(E213:E223)</f>
        <v>0</v>
      </c>
      <c r="F224" s="676"/>
      <c r="G224" s="102"/>
      <c r="H224" s="102"/>
      <c r="I224" s="102"/>
      <c r="J224" s="102"/>
      <c r="K224" s="102"/>
      <c r="L224" s="102"/>
      <c r="M224" s="102"/>
      <c r="N224" s="102"/>
      <c r="O224" s="102"/>
      <c r="P224" s="102"/>
      <c r="Q224" s="102"/>
      <c r="R224" s="102"/>
      <c r="S224" s="102"/>
      <c r="T224" s="102"/>
      <c r="U224" s="102"/>
    </row>
    <row r="225" spans="1:21" s="647" customFormat="1" ht="20.100000000000001" customHeight="1">
      <c r="A225" s="114" t="s">
        <v>486</v>
      </c>
      <c r="B225" s="114"/>
      <c r="C225" s="101">
        <f t="shared" ref="C225:C231" si="45">-SUMIF(A225,$P:$P,R:R)+SUMIF(A225,$P:$P,S:S)</f>
        <v>0</v>
      </c>
      <c r="D225" s="101">
        <f t="shared" ref="D225:D246" si="46">-SUMIF(A225,$H:$H,J:J)+SUMIF(A225,$H:$H,K:K)</f>
        <v>0</v>
      </c>
      <c r="E225" s="101">
        <f t="shared" ref="E225:E231" si="47">SUM(B225:D225)</f>
        <v>0</v>
      </c>
      <c r="F225" s="676"/>
      <c r="G225" s="102"/>
      <c r="H225" s="102"/>
      <c r="I225" s="102"/>
      <c r="J225" s="102"/>
      <c r="K225" s="102"/>
      <c r="L225" s="102"/>
      <c r="M225" s="102"/>
      <c r="N225" s="102"/>
      <c r="O225" s="102"/>
      <c r="P225" s="102"/>
      <c r="Q225" s="102"/>
      <c r="R225" s="102"/>
      <c r="S225" s="102"/>
      <c r="T225" s="102"/>
      <c r="U225" s="102"/>
    </row>
    <row r="226" spans="1:21" s="647" customFormat="1" ht="20.100000000000001" customHeight="1">
      <c r="A226" s="114" t="s">
        <v>487</v>
      </c>
      <c r="B226" s="114"/>
      <c r="C226" s="101">
        <f t="shared" si="45"/>
        <v>0</v>
      </c>
      <c r="D226" s="101">
        <f t="shared" si="46"/>
        <v>0</v>
      </c>
      <c r="E226" s="101">
        <f t="shared" si="47"/>
        <v>0</v>
      </c>
      <c r="F226" s="676"/>
      <c r="G226" s="102"/>
      <c r="H226" s="102"/>
      <c r="I226" s="102"/>
      <c r="J226" s="102"/>
      <c r="K226" s="102"/>
      <c r="L226" s="102"/>
      <c r="M226" s="102"/>
      <c r="N226" s="102"/>
      <c r="O226" s="102"/>
      <c r="P226" s="102"/>
      <c r="Q226" s="102"/>
      <c r="R226" s="102"/>
      <c r="S226" s="102"/>
      <c r="T226" s="102"/>
      <c r="U226" s="102"/>
    </row>
    <row r="227" spans="1:21" s="647" customFormat="1" ht="20.100000000000001" customHeight="1">
      <c r="A227" s="114"/>
      <c r="B227" s="114"/>
      <c r="C227" s="101">
        <f t="shared" si="45"/>
        <v>0</v>
      </c>
      <c r="D227" s="101">
        <f t="shared" si="46"/>
        <v>0</v>
      </c>
      <c r="E227" s="101">
        <f t="shared" si="47"/>
        <v>0</v>
      </c>
      <c r="F227" s="676"/>
      <c r="G227" s="102"/>
      <c r="H227" s="102"/>
      <c r="I227" s="102"/>
      <c r="J227" s="102"/>
      <c r="K227" s="102"/>
      <c r="L227" s="102"/>
      <c r="M227" s="102"/>
      <c r="N227" s="102"/>
      <c r="O227" s="102"/>
      <c r="P227" s="102"/>
      <c r="Q227" s="102"/>
      <c r="R227" s="102"/>
      <c r="S227" s="102"/>
      <c r="T227" s="102"/>
      <c r="U227" s="102"/>
    </row>
    <row r="228" spans="1:21" s="647" customFormat="1" ht="20.100000000000001" customHeight="1">
      <c r="A228" s="114"/>
      <c r="B228" s="114"/>
      <c r="C228" s="101">
        <f t="shared" si="45"/>
        <v>0</v>
      </c>
      <c r="D228" s="101">
        <f t="shared" si="46"/>
        <v>0</v>
      </c>
      <c r="E228" s="101">
        <f t="shared" si="47"/>
        <v>0</v>
      </c>
      <c r="F228" s="676"/>
      <c r="G228" s="102"/>
      <c r="H228" s="102"/>
      <c r="I228" s="102"/>
      <c r="J228" s="102"/>
      <c r="K228" s="102"/>
      <c r="L228" s="102"/>
      <c r="M228" s="102"/>
      <c r="N228" s="102"/>
      <c r="O228" s="102"/>
      <c r="P228" s="102"/>
      <c r="Q228" s="102"/>
      <c r="R228" s="102"/>
      <c r="S228" s="102"/>
      <c r="T228" s="102"/>
      <c r="U228" s="102"/>
    </row>
    <row r="229" spans="1:21" s="647" customFormat="1" ht="20.100000000000001" customHeight="1">
      <c r="A229" s="114"/>
      <c r="B229" s="114"/>
      <c r="C229" s="101">
        <f t="shared" si="45"/>
        <v>0</v>
      </c>
      <c r="D229" s="101">
        <f t="shared" si="46"/>
        <v>0</v>
      </c>
      <c r="E229" s="101">
        <f t="shared" si="47"/>
        <v>0</v>
      </c>
      <c r="F229" s="676"/>
      <c r="G229" s="102"/>
      <c r="H229" s="102"/>
      <c r="I229" s="102"/>
      <c r="J229" s="102"/>
      <c r="K229" s="102"/>
      <c r="L229" s="102"/>
      <c r="M229" s="102"/>
      <c r="N229" s="102"/>
      <c r="O229" s="102"/>
      <c r="P229" s="102"/>
      <c r="Q229" s="102"/>
      <c r="R229" s="102"/>
      <c r="S229" s="102"/>
      <c r="T229" s="102"/>
      <c r="U229" s="102"/>
    </row>
    <row r="230" spans="1:21" s="647" customFormat="1" ht="20.100000000000001" customHeight="1">
      <c r="A230" s="114"/>
      <c r="B230" s="114"/>
      <c r="C230" s="101">
        <f t="shared" si="45"/>
        <v>0</v>
      </c>
      <c r="D230" s="101">
        <f t="shared" si="46"/>
        <v>0</v>
      </c>
      <c r="E230" s="101">
        <f t="shared" si="47"/>
        <v>0</v>
      </c>
      <c r="F230" s="676"/>
      <c r="G230" s="102"/>
      <c r="H230" s="102"/>
      <c r="I230" s="102"/>
      <c r="J230" s="102"/>
      <c r="K230" s="102"/>
      <c r="L230" s="102"/>
      <c r="M230" s="102"/>
      <c r="N230" s="102"/>
      <c r="O230" s="102"/>
      <c r="P230" s="102"/>
      <c r="Q230" s="102"/>
      <c r="R230" s="102"/>
      <c r="S230" s="102"/>
      <c r="T230" s="102"/>
      <c r="U230" s="102"/>
    </row>
    <row r="231" spans="1:21" s="647" customFormat="1" ht="20.100000000000001" customHeight="1">
      <c r="A231" s="114"/>
      <c r="B231" s="114"/>
      <c r="C231" s="101">
        <f t="shared" si="45"/>
        <v>0</v>
      </c>
      <c r="D231" s="101">
        <f t="shared" si="46"/>
        <v>0</v>
      </c>
      <c r="E231" s="101">
        <f t="shared" si="47"/>
        <v>0</v>
      </c>
      <c r="F231" s="676"/>
      <c r="G231" s="102"/>
      <c r="H231" s="102"/>
      <c r="I231" s="102"/>
      <c r="J231" s="102"/>
      <c r="K231" s="102"/>
      <c r="L231" s="102"/>
      <c r="M231" s="102"/>
      <c r="N231" s="102"/>
      <c r="O231" s="102"/>
      <c r="P231" s="102"/>
      <c r="Q231" s="102"/>
      <c r="R231" s="102"/>
      <c r="S231" s="102"/>
      <c r="T231" s="102"/>
      <c r="U231" s="102"/>
    </row>
    <row r="232" spans="1:21" s="647" customFormat="1" ht="20.100000000000001" customHeight="1">
      <c r="A232" s="114" t="s">
        <v>488</v>
      </c>
      <c r="B232" s="101">
        <f>SUM(B225:B231)</f>
        <v>0</v>
      </c>
      <c r="C232" s="101">
        <f>SUM(C225:C231)</f>
        <v>0</v>
      </c>
      <c r="D232" s="101">
        <f t="shared" si="46"/>
        <v>0</v>
      </c>
      <c r="E232" s="101">
        <f>SUM(E225:E231)</f>
        <v>0</v>
      </c>
      <c r="F232" s="676"/>
      <c r="G232" s="102"/>
      <c r="H232" s="102"/>
      <c r="I232" s="102"/>
      <c r="J232" s="102"/>
      <c r="K232" s="102"/>
      <c r="L232" s="102"/>
      <c r="M232" s="102"/>
      <c r="N232" s="102"/>
      <c r="O232" s="102"/>
      <c r="P232" s="102"/>
      <c r="Q232" s="102"/>
      <c r="R232" s="102"/>
      <c r="S232" s="102"/>
      <c r="T232" s="102"/>
      <c r="U232" s="102"/>
    </row>
    <row r="233" spans="1:21" s="647" customFormat="1" ht="20.100000000000001" customHeight="1">
      <c r="A233" s="114" t="s">
        <v>489</v>
      </c>
      <c r="B233" s="101">
        <f>B232+B224</f>
        <v>0</v>
      </c>
      <c r="C233" s="101">
        <f>C232+C224</f>
        <v>0</v>
      </c>
      <c r="D233" s="101">
        <f t="shared" si="46"/>
        <v>0</v>
      </c>
      <c r="E233" s="101">
        <f>E232+E224</f>
        <v>0</v>
      </c>
      <c r="F233" s="676"/>
      <c r="G233" s="102"/>
      <c r="H233" s="102"/>
      <c r="I233" s="102"/>
      <c r="J233" s="102"/>
      <c r="K233" s="102"/>
      <c r="L233" s="102"/>
      <c r="M233" s="102"/>
      <c r="N233" s="102"/>
      <c r="O233" s="102"/>
      <c r="P233" s="102"/>
      <c r="Q233" s="102"/>
      <c r="R233" s="102"/>
      <c r="S233" s="102"/>
      <c r="T233" s="102"/>
      <c r="U233" s="102"/>
    </row>
    <row r="234" spans="1:21" s="647" customFormat="1" ht="20.100000000000001" customHeight="1">
      <c r="A234" s="114" t="s">
        <v>490</v>
      </c>
      <c r="B234" s="114"/>
      <c r="C234" s="101">
        <f t="shared" ref="C234:C241" si="48">-SUMIF(A234,$P:$P,R:R)+SUMIF(A234,$P:$P,S:S)</f>
        <v>0</v>
      </c>
      <c r="D234" s="101">
        <f t="shared" si="46"/>
        <v>0</v>
      </c>
      <c r="E234" s="101">
        <f t="shared" ref="E234:E241" si="49">SUM(B234:D234)</f>
        <v>0</v>
      </c>
      <c r="F234" s="676"/>
      <c r="G234" s="102"/>
      <c r="H234" s="102"/>
      <c r="I234" s="102"/>
      <c r="J234" s="102"/>
      <c r="K234" s="102"/>
      <c r="L234" s="102"/>
      <c r="M234" s="102"/>
      <c r="N234" s="102"/>
      <c r="O234" s="102"/>
      <c r="P234" s="102"/>
      <c r="Q234" s="102"/>
      <c r="R234" s="102"/>
      <c r="S234" s="102"/>
      <c r="T234" s="102"/>
      <c r="U234" s="102"/>
    </row>
    <row r="235" spans="1:21" s="647" customFormat="1" ht="20.100000000000001" customHeight="1">
      <c r="A235" s="18" t="s">
        <v>491</v>
      </c>
      <c r="B235" s="114"/>
      <c r="C235" s="101">
        <f t="shared" si="48"/>
        <v>0</v>
      </c>
      <c r="D235" s="101">
        <f t="shared" si="46"/>
        <v>0</v>
      </c>
      <c r="E235" s="101">
        <f t="shared" si="49"/>
        <v>0</v>
      </c>
      <c r="F235" s="676"/>
      <c r="G235" s="102"/>
      <c r="H235" s="102"/>
      <c r="I235" s="102"/>
      <c r="J235" s="102"/>
      <c r="K235" s="102"/>
      <c r="L235" s="102"/>
      <c r="M235" s="102"/>
      <c r="N235" s="102"/>
      <c r="O235" s="102"/>
      <c r="P235" s="102"/>
      <c r="Q235" s="102"/>
      <c r="R235" s="102"/>
      <c r="S235" s="102"/>
      <c r="T235" s="102"/>
      <c r="U235" s="102"/>
    </row>
    <row r="236" spans="1:21" s="647" customFormat="1" ht="20.100000000000001" customHeight="1">
      <c r="A236" s="18" t="s">
        <v>492</v>
      </c>
      <c r="B236" s="114"/>
      <c r="C236" s="101">
        <f t="shared" si="48"/>
        <v>0</v>
      </c>
      <c r="D236" s="101">
        <f t="shared" si="46"/>
        <v>0</v>
      </c>
      <c r="E236" s="101">
        <f t="shared" si="49"/>
        <v>0</v>
      </c>
      <c r="F236" s="676"/>
      <c r="G236" s="102"/>
      <c r="H236" s="102"/>
      <c r="I236" s="102"/>
      <c r="J236" s="102"/>
      <c r="K236" s="102"/>
      <c r="L236" s="102"/>
      <c r="M236" s="102"/>
      <c r="N236" s="102"/>
      <c r="O236" s="102"/>
      <c r="P236" s="102"/>
      <c r="Q236" s="102"/>
      <c r="R236" s="102"/>
      <c r="S236" s="102"/>
      <c r="T236" s="102"/>
      <c r="U236" s="102"/>
    </row>
    <row r="237" spans="1:21" s="647" customFormat="1" ht="20.100000000000001" customHeight="1">
      <c r="A237" s="18" t="s">
        <v>493</v>
      </c>
      <c r="B237" s="114"/>
      <c r="C237" s="101">
        <f t="shared" si="48"/>
        <v>0</v>
      </c>
      <c r="D237" s="101">
        <f t="shared" si="46"/>
        <v>0</v>
      </c>
      <c r="E237" s="101">
        <f t="shared" si="49"/>
        <v>0</v>
      </c>
      <c r="F237" s="676"/>
      <c r="G237" s="102"/>
      <c r="H237" s="102"/>
      <c r="I237" s="102"/>
      <c r="J237" s="102"/>
      <c r="K237" s="102"/>
      <c r="L237" s="102"/>
      <c r="M237" s="102"/>
      <c r="N237" s="102"/>
      <c r="O237" s="102"/>
      <c r="P237" s="102"/>
      <c r="Q237" s="102"/>
      <c r="R237" s="102"/>
      <c r="S237" s="102"/>
      <c r="T237" s="102"/>
      <c r="U237" s="102"/>
    </row>
    <row r="238" spans="1:21" s="647" customFormat="1" ht="20.100000000000001" customHeight="1">
      <c r="A238" s="114" t="s">
        <v>494</v>
      </c>
      <c r="B238" s="114"/>
      <c r="C238" s="101">
        <f t="shared" si="48"/>
        <v>0</v>
      </c>
      <c r="D238" s="101">
        <f t="shared" si="46"/>
        <v>0</v>
      </c>
      <c r="E238" s="101">
        <f t="shared" si="49"/>
        <v>0</v>
      </c>
      <c r="F238" s="676"/>
      <c r="G238" s="102"/>
      <c r="H238" s="102"/>
      <c r="I238" s="102"/>
      <c r="J238" s="102"/>
      <c r="K238" s="102"/>
      <c r="L238" s="102"/>
      <c r="M238" s="102"/>
      <c r="N238" s="102"/>
      <c r="O238" s="102"/>
      <c r="P238" s="102"/>
      <c r="Q238" s="102"/>
      <c r="R238" s="102"/>
      <c r="S238" s="102"/>
      <c r="T238" s="102"/>
      <c r="U238" s="102"/>
    </row>
    <row r="239" spans="1:21" s="647" customFormat="1" ht="20.100000000000001" customHeight="1">
      <c r="A239" s="18" t="s">
        <v>495</v>
      </c>
      <c r="B239" s="114"/>
      <c r="C239" s="101">
        <f t="shared" si="48"/>
        <v>0</v>
      </c>
      <c r="D239" s="101">
        <f t="shared" si="46"/>
        <v>0</v>
      </c>
      <c r="E239" s="101">
        <f t="shared" si="49"/>
        <v>0</v>
      </c>
      <c r="F239" s="676"/>
      <c r="G239" s="102"/>
      <c r="H239" s="102"/>
      <c r="I239" s="102"/>
      <c r="J239" s="102"/>
      <c r="K239" s="102"/>
      <c r="L239" s="102"/>
      <c r="M239" s="102"/>
      <c r="N239" s="102"/>
      <c r="O239" s="102"/>
      <c r="P239" s="102"/>
      <c r="Q239" s="102"/>
      <c r="R239" s="102"/>
      <c r="S239" s="102"/>
      <c r="T239" s="102"/>
      <c r="U239" s="102"/>
    </row>
    <row r="240" spans="1:21" s="647" customFormat="1" ht="20.100000000000001" customHeight="1">
      <c r="A240" s="18" t="s">
        <v>496</v>
      </c>
      <c r="B240" s="114"/>
      <c r="C240" s="101">
        <f t="shared" si="48"/>
        <v>0</v>
      </c>
      <c r="D240" s="101">
        <f t="shared" si="46"/>
        <v>0</v>
      </c>
      <c r="E240" s="101">
        <f t="shared" si="49"/>
        <v>0</v>
      </c>
      <c r="F240" s="676"/>
      <c r="G240" s="102"/>
      <c r="H240" s="102"/>
      <c r="I240" s="102"/>
      <c r="J240" s="102"/>
      <c r="K240" s="102"/>
      <c r="L240" s="102"/>
      <c r="M240" s="102"/>
      <c r="N240" s="102"/>
      <c r="O240" s="102"/>
      <c r="P240" s="102"/>
      <c r="Q240" s="102"/>
      <c r="R240" s="102"/>
      <c r="S240" s="102"/>
      <c r="T240" s="102"/>
      <c r="U240" s="102"/>
    </row>
    <row r="241" spans="1:21" s="647" customFormat="1" ht="20.100000000000001" customHeight="1">
      <c r="A241" s="18" t="s">
        <v>497</v>
      </c>
      <c r="B241" s="114"/>
      <c r="C241" s="101">
        <f t="shared" si="48"/>
        <v>0</v>
      </c>
      <c r="D241" s="101">
        <f t="shared" si="46"/>
        <v>0</v>
      </c>
      <c r="E241" s="101">
        <f t="shared" si="49"/>
        <v>0</v>
      </c>
      <c r="F241" s="676"/>
      <c r="G241" s="102"/>
      <c r="H241" s="102"/>
      <c r="I241" s="102"/>
      <c r="J241" s="102"/>
      <c r="K241" s="102"/>
      <c r="L241" s="102"/>
      <c r="M241" s="102"/>
      <c r="N241" s="102"/>
      <c r="O241" s="102"/>
      <c r="P241" s="102"/>
      <c r="Q241" s="102"/>
      <c r="R241" s="102"/>
      <c r="S241" s="102"/>
      <c r="T241" s="102"/>
      <c r="U241" s="102"/>
    </row>
    <row r="242" spans="1:21" s="647" customFormat="1" ht="20.100000000000001" customHeight="1">
      <c r="A242" s="18" t="s">
        <v>498</v>
      </c>
      <c r="B242" s="101">
        <f>B275</f>
        <v>0</v>
      </c>
      <c r="C242" s="101">
        <f>C275</f>
        <v>0</v>
      </c>
      <c r="D242" s="101">
        <f t="shared" si="46"/>
        <v>0</v>
      </c>
      <c r="E242" s="101">
        <f>E275</f>
        <v>0</v>
      </c>
      <c r="F242" s="676"/>
      <c r="G242" s="102"/>
      <c r="H242" s="102"/>
      <c r="I242" s="102"/>
      <c r="J242" s="102"/>
      <c r="K242" s="102"/>
      <c r="L242" s="102"/>
      <c r="M242" s="102"/>
      <c r="N242" s="102"/>
      <c r="O242" s="102"/>
      <c r="P242" s="102"/>
      <c r="Q242" s="102"/>
      <c r="R242" s="102"/>
      <c r="S242" s="102"/>
      <c r="T242" s="102"/>
      <c r="U242" s="102"/>
    </row>
    <row r="243" spans="1:21" s="647" customFormat="1" ht="20.100000000000001" customHeight="1">
      <c r="A243" s="18"/>
      <c r="B243" s="114"/>
      <c r="C243" s="101"/>
      <c r="D243" s="101">
        <f t="shared" si="46"/>
        <v>0</v>
      </c>
      <c r="E243" s="101">
        <f t="shared" ref="E243:E244" si="50">E276</f>
        <v>0</v>
      </c>
      <c r="F243" s="676"/>
      <c r="G243" s="102"/>
      <c r="H243" s="102"/>
      <c r="I243" s="102"/>
      <c r="J243" s="102"/>
      <c r="K243" s="102"/>
      <c r="L243" s="102"/>
      <c r="M243" s="102"/>
      <c r="N243" s="102"/>
      <c r="O243" s="102"/>
      <c r="P243" s="102"/>
      <c r="Q243" s="102"/>
      <c r="R243" s="102"/>
      <c r="S243" s="102"/>
      <c r="T243" s="102"/>
      <c r="U243" s="102"/>
    </row>
    <row r="244" spans="1:21" s="647" customFormat="1" ht="20.100000000000001" customHeight="1">
      <c r="A244" s="114"/>
      <c r="B244" s="114"/>
      <c r="C244" s="101"/>
      <c r="D244" s="101">
        <f t="shared" si="46"/>
        <v>0</v>
      </c>
      <c r="E244" s="101">
        <f t="shared" si="50"/>
        <v>0</v>
      </c>
      <c r="F244" s="676"/>
      <c r="G244" s="102"/>
      <c r="H244" s="102"/>
      <c r="I244" s="102"/>
      <c r="J244" s="102"/>
      <c r="K244" s="102"/>
      <c r="L244" s="102"/>
      <c r="M244" s="102"/>
      <c r="N244" s="102"/>
      <c r="O244" s="102"/>
      <c r="P244" s="102"/>
      <c r="Q244" s="102"/>
      <c r="R244" s="102"/>
      <c r="S244" s="102"/>
      <c r="T244" s="102"/>
      <c r="U244" s="102"/>
    </row>
    <row r="245" spans="1:21" s="647" customFormat="1" ht="20.100000000000001" customHeight="1">
      <c r="A245" s="114" t="s">
        <v>499</v>
      </c>
      <c r="B245" s="101">
        <f>SUM(B234:B244)</f>
        <v>0</v>
      </c>
      <c r="C245" s="101">
        <f>SUM(C234:C244)</f>
        <v>0</v>
      </c>
      <c r="D245" s="101">
        <f t="shared" si="46"/>
        <v>0</v>
      </c>
      <c r="E245" s="101">
        <f>SUM(E234:E244)</f>
        <v>0</v>
      </c>
      <c r="F245" s="676"/>
      <c r="G245" s="102"/>
      <c r="H245" s="102"/>
      <c r="I245" s="102"/>
      <c r="J245" s="102"/>
      <c r="K245" s="102"/>
      <c r="L245" s="102"/>
      <c r="M245" s="102"/>
      <c r="N245" s="102"/>
      <c r="O245" s="102"/>
      <c r="P245" s="102"/>
      <c r="Q245" s="102"/>
      <c r="R245" s="102"/>
      <c r="S245" s="102"/>
      <c r="T245" s="102"/>
      <c r="U245" s="102"/>
    </row>
    <row r="246" spans="1:21" s="647" customFormat="1" ht="20.100000000000001" customHeight="1">
      <c r="A246" s="742" t="s">
        <v>500</v>
      </c>
      <c r="B246" s="743">
        <f>B212-B233-B245</f>
        <v>0</v>
      </c>
      <c r="C246" s="743">
        <f>C212-C233-C245</f>
        <v>0</v>
      </c>
      <c r="D246" s="101">
        <f t="shared" si="46"/>
        <v>0</v>
      </c>
      <c r="E246" s="743">
        <f>E212-E233-E245</f>
        <v>0</v>
      </c>
      <c r="F246" s="676"/>
      <c r="G246" s="102"/>
      <c r="H246" s="102"/>
      <c r="I246" s="102"/>
      <c r="J246" s="102"/>
      <c r="K246" s="102"/>
      <c r="L246" s="102"/>
      <c r="M246" s="102"/>
      <c r="N246" s="102"/>
      <c r="O246" s="102"/>
      <c r="P246" s="102"/>
      <c r="Q246" s="102"/>
      <c r="R246" s="102"/>
      <c r="S246" s="102"/>
      <c r="T246" s="102"/>
      <c r="U246" s="102"/>
    </row>
    <row r="247" spans="1:21" s="647" customFormat="1" ht="20.100000000000001" customHeight="1">
      <c r="A247" s="114"/>
      <c r="B247" s="114"/>
      <c r="C247" s="114"/>
      <c r="D247" s="114"/>
      <c r="E247" s="114"/>
      <c r="F247" s="676"/>
      <c r="G247" s="102"/>
      <c r="H247" s="102"/>
      <c r="I247" s="102"/>
      <c r="J247" s="102"/>
      <c r="K247" s="102"/>
      <c r="L247" s="102"/>
      <c r="M247" s="102"/>
      <c r="N247" s="102"/>
      <c r="O247" s="102"/>
      <c r="P247" s="102"/>
      <c r="Q247" s="102"/>
      <c r="R247" s="102"/>
      <c r="S247" s="102"/>
      <c r="T247" s="102"/>
      <c r="U247" s="102"/>
    </row>
    <row r="248" spans="1:21" ht="20.100000000000001" customHeight="1">
      <c r="A248" s="738" t="s">
        <v>464</v>
      </c>
      <c r="B248" s="744">
        <f>基础信息!B6</f>
        <v>0</v>
      </c>
      <c r="C248" s="745"/>
      <c r="D248" s="745"/>
      <c r="E248" s="746"/>
      <c r="F248" s="747"/>
      <c r="G248" s="748"/>
      <c r="H248" s="748"/>
      <c r="I248" s="748"/>
      <c r="J248" s="748"/>
      <c r="K248" s="748"/>
      <c r="L248" s="748"/>
      <c r="M248" s="748"/>
      <c r="N248" s="748"/>
      <c r="O248" s="748"/>
      <c r="P248" s="748"/>
      <c r="Q248" s="748"/>
      <c r="R248" s="748"/>
      <c r="S248" s="748"/>
      <c r="T248" s="748"/>
      <c r="U248" s="748"/>
    </row>
    <row r="249" spans="1:21" ht="20.100000000000001" customHeight="1">
      <c r="A249" s="12" t="s">
        <v>465</v>
      </c>
      <c r="B249" s="741">
        <f>基础信息!B9</f>
        <v>0</v>
      </c>
      <c r="C249" s="740"/>
      <c r="D249" s="740"/>
      <c r="F249" s="654"/>
      <c r="G249" s="655"/>
      <c r="H249" s="655"/>
      <c r="I249" s="596"/>
      <c r="J249" s="689" t="s">
        <v>364</v>
      </c>
      <c r="K249" s="655"/>
      <c r="L249" s="655"/>
      <c r="M249" s="655"/>
      <c r="N249" s="655"/>
      <c r="O249" s="655"/>
      <c r="P249" s="655"/>
      <c r="Q249" s="596"/>
      <c r="R249" s="689" t="s">
        <v>365</v>
      </c>
      <c r="S249" s="655"/>
      <c r="T249" s="655"/>
      <c r="U249" s="655"/>
    </row>
    <row r="250" spans="1:21" ht="20.100000000000001" customHeight="1">
      <c r="A250" s="12" t="s">
        <v>501</v>
      </c>
      <c r="B250" s="741"/>
      <c r="C250" s="749"/>
      <c r="D250" s="749"/>
      <c r="E250" s="749"/>
      <c r="F250" s="750"/>
      <c r="G250" s="597"/>
      <c r="H250" s="597"/>
      <c r="I250" s="597"/>
      <c r="J250" s="597"/>
      <c r="K250" s="597"/>
      <c r="L250" s="597"/>
      <c r="M250" s="597"/>
      <c r="N250" s="597"/>
      <c r="O250" s="597"/>
      <c r="P250" s="597"/>
      <c r="Q250" s="597"/>
      <c r="R250" s="597"/>
      <c r="S250" s="597"/>
      <c r="T250" s="597"/>
      <c r="U250" s="597"/>
    </row>
    <row r="251" spans="1:21" s="649" customFormat="1" ht="20.100000000000001" customHeight="1">
      <c r="A251" s="657" t="s">
        <v>137</v>
      </c>
      <c r="B251" s="26" t="s">
        <v>367</v>
      </c>
      <c r="C251" s="658" t="s">
        <v>368</v>
      </c>
      <c r="D251" s="658" t="s">
        <v>369</v>
      </c>
      <c r="E251" s="658" t="s">
        <v>370</v>
      </c>
      <c r="F251" s="751"/>
      <c r="G251" s="26"/>
      <c r="H251" s="26"/>
      <c r="I251" s="26"/>
      <c r="J251" s="26"/>
      <c r="K251" s="26"/>
      <c r="L251" s="26"/>
      <c r="M251" s="26"/>
      <c r="N251" s="26"/>
      <c r="O251" s="26"/>
      <c r="P251" s="26"/>
      <c r="Q251" s="26"/>
      <c r="R251" s="26"/>
      <c r="S251" s="26"/>
      <c r="T251" s="26"/>
      <c r="U251" s="26"/>
    </row>
    <row r="252" spans="1:21" s="647" customFormat="1" ht="20.100000000000001" customHeight="1">
      <c r="A252" s="114" t="s">
        <v>502</v>
      </c>
      <c r="B252" s="114"/>
      <c r="C252" s="101">
        <f>-SUMIF(A252,$P:$P,R:R)+SUMIF(A252,$P:$P,S:S)</f>
        <v>0</v>
      </c>
      <c r="D252" s="101">
        <f>-SUMIF(A252,$H:$H,J:J)+SUMIF(A252,$H:$H,K:K)</f>
        <v>0</v>
      </c>
      <c r="E252" s="101">
        <f t="shared" ref="E252:E259" si="51">SUM(B252:D252)</f>
        <v>0</v>
      </c>
      <c r="F252" s="676"/>
      <c r="G252" s="102"/>
      <c r="H252" s="102"/>
      <c r="I252" s="102"/>
      <c r="J252" s="102"/>
      <c r="K252" s="102"/>
      <c r="L252" s="102"/>
      <c r="M252" s="102"/>
      <c r="N252" s="102"/>
      <c r="O252" s="102"/>
      <c r="P252" s="102"/>
      <c r="Q252" s="102"/>
      <c r="R252" s="102"/>
      <c r="S252" s="102"/>
      <c r="T252" s="102"/>
      <c r="U252" s="102"/>
    </row>
    <row r="253" spans="1:21" s="647" customFormat="1" ht="20.100000000000001" customHeight="1">
      <c r="A253" s="114" t="s">
        <v>503</v>
      </c>
      <c r="B253" s="114"/>
      <c r="C253" s="101">
        <f>SUMIF($P:$P,A253,R:R)-SUMIF($P:$P,A253,S:S)</f>
        <v>0</v>
      </c>
      <c r="D253" s="101">
        <f>SUMIF($H:$H,A253,J:J)-SUMIF($H:$H,A253,K:K)</f>
        <v>0</v>
      </c>
      <c r="E253" s="101">
        <f t="shared" si="51"/>
        <v>0</v>
      </c>
      <c r="F253" s="676"/>
      <c r="G253" s="102"/>
      <c r="H253" s="102"/>
      <c r="I253" s="102"/>
      <c r="J253" s="102"/>
      <c r="K253" s="102"/>
      <c r="L253" s="102"/>
      <c r="M253" s="102"/>
      <c r="N253" s="102"/>
      <c r="O253" s="102"/>
      <c r="P253" s="102"/>
      <c r="Q253" s="102"/>
      <c r="R253" s="102"/>
      <c r="S253" s="102"/>
      <c r="T253" s="102"/>
      <c r="U253" s="102"/>
    </row>
    <row r="254" spans="1:21" s="647" customFormat="1" ht="20.100000000000001" customHeight="1">
      <c r="A254" s="114" t="s">
        <v>504</v>
      </c>
      <c r="B254" s="114"/>
      <c r="C254" s="101">
        <f>SUMIF($P:$P,A254,R:R)-SUMIF($P:$P,A254,S:S)</f>
        <v>0</v>
      </c>
      <c r="D254" s="101">
        <f>SUMIF($H:$H,A254,J:J)-SUMIF($H:$H,A254,K:K)</f>
        <v>0</v>
      </c>
      <c r="E254" s="101">
        <f t="shared" si="51"/>
        <v>0</v>
      </c>
      <c r="F254" s="676"/>
      <c r="G254" s="102"/>
      <c r="H254" s="102"/>
      <c r="I254" s="102"/>
      <c r="J254" s="102"/>
      <c r="K254" s="102"/>
      <c r="L254" s="102"/>
      <c r="M254" s="102"/>
      <c r="N254" s="102"/>
      <c r="O254" s="102"/>
      <c r="P254" s="102"/>
      <c r="Q254" s="102"/>
      <c r="R254" s="102"/>
      <c r="S254" s="102"/>
      <c r="T254" s="102"/>
      <c r="U254" s="102"/>
    </row>
    <row r="255" spans="1:21" s="647" customFormat="1" ht="20.100000000000001" customHeight="1">
      <c r="A255" s="114" t="s">
        <v>505</v>
      </c>
      <c r="B255" s="114"/>
      <c r="C255" s="101">
        <f>-SUMIF(A255,$P:$P,R:R)+SUMIF(A255,$P:$P,S:S)</f>
        <v>0</v>
      </c>
      <c r="D255" s="101">
        <f>-SUMIF(A255,$H:$H,J:J)+SUMIF(A255,$H:$H,K:K)</f>
        <v>0</v>
      </c>
      <c r="E255" s="101">
        <f t="shared" si="51"/>
        <v>0</v>
      </c>
      <c r="F255" s="676"/>
      <c r="G255" s="102"/>
      <c r="H255" s="102"/>
      <c r="I255" s="102"/>
      <c r="J255" s="102"/>
      <c r="K255" s="102"/>
      <c r="L255" s="102"/>
      <c r="M255" s="102"/>
      <c r="N255" s="102"/>
      <c r="O255" s="102"/>
      <c r="P255" s="102"/>
      <c r="Q255" s="102"/>
      <c r="R255" s="102"/>
      <c r="S255" s="102"/>
      <c r="T255" s="102"/>
      <c r="U255" s="102"/>
    </row>
    <row r="256" spans="1:21" s="647" customFormat="1" ht="20.100000000000001" customHeight="1">
      <c r="A256" s="114" t="s">
        <v>506</v>
      </c>
      <c r="B256" s="114"/>
      <c r="C256" s="101">
        <f>SUMIF($P:$P,A256,R:R)-SUMIF($P:$P,A256,S:S)</f>
        <v>0</v>
      </c>
      <c r="D256" s="101">
        <f>SUMIF($H:$H,A256,J:J)-SUMIF($H:$H,A256,K:K)</f>
        <v>0</v>
      </c>
      <c r="E256" s="101">
        <f t="shared" si="51"/>
        <v>0</v>
      </c>
      <c r="F256" s="676"/>
      <c r="G256" s="102"/>
      <c r="H256" s="102"/>
      <c r="I256" s="102"/>
      <c r="J256" s="102"/>
      <c r="K256" s="102"/>
      <c r="L256" s="102"/>
      <c r="M256" s="102"/>
      <c r="N256" s="102"/>
      <c r="O256" s="102"/>
      <c r="P256" s="102"/>
      <c r="Q256" s="102"/>
      <c r="R256" s="102"/>
      <c r="S256" s="102"/>
      <c r="T256" s="102"/>
      <c r="U256" s="102"/>
    </row>
    <row r="257" spans="1:21" s="647" customFormat="1" ht="20.100000000000001" customHeight="1">
      <c r="A257" s="114" t="s">
        <v>507</v>
      </c>
      <c r="B257" s="114"/>
      <c r="C257" s="101">
        <f>SUMIF($P:$P,A257,R:R)-SUMIF($P:$P,A257,S:S)</f>
        <v>0</v>
      </c>
      <c r="D257" s="101">
        <f>SUMIF($H:$H,A257,J:J)-SUMIF($H:$H,A257,K:K)</f>
        <v>0</v>
      </c>
      <c r="E257" s="101">
        <f t="shared" si="51"/>
        <v>0</v>
      </c>
      <c r="F257" s="676"/>
      <c r="G257" s="102"/>
      <c r="H257" s="102"/>
      <c r="I257" s="102"/>
      <c r="J257" s="102"/>
      <c r="K257" s="102"/>
      <c r="L257" s="102"/>
      <c r="M257" s="102"/>
      <c r="N257" s="102"/>
      <c r="O257" s="102"/>
      <c r="P257" s="102"/>
      <c r="Q257" s="102"/>
      <c r="R257" s="102"/>
      <c r="S257" s="102"/>
      <c r="T257" s="102"/>
      <c r="U257" s="102"/>
    </row>
    <row r="258" spans="1:21" s="647" customFormat="1" ht="20.100000000000001" customHeight="1">
      <c r="A258" s="114" t="s">
        <v>508</v>
      </c>
      <c r="B258" s="114"/>
      <c r="C258" s="101">
        <f>SUMIF($P:$P,A258,R:R)-SUMIF($P:$P,A258,S:S)</f>
        <v>0</v>
      </c>
      <c r="D258" s="101">
        <f>SUMIF($H:$H,A258,J:J)-SUMIF($H:$H,A258,K:K)</f>
        <v>0</v>
      </c>
      <c r="E258" s="101">
        <f t="shared" si="51"/>
        <v>0</v>
      </c>
      <c r="F258" s="676"/>
      <c r="G258" s="102"/>
      <c r="H258" s="102"/>
      <c r="I258" s="102"/>
      <c r="J258" s="102"/>
      <c r="K258" s="102"/>
      <c r="L258" s="102"/>
      <c r="M258" s="102"/>
      <c r="N258" s="102"/>
      <c r="O258" s="102"/>
      <c r="P258" s="102"/>
      <c r="Q258" s="102"/>
      <c r="R258" s="102"/>
      <c r="S258" s="102"/>
      <c r="T258" s="102"/>
      <c r="U258" s="102"/>
    </row>
    <row r="259" spans="1:21" s="647" customFormat="1" ht="20.100000000000001" customHeight="1">
      <c r="A259" s="114" t="s">
        <v>509</v>
      </c>
      <c r="B259" s="114"/>
      <c r="C259" s="101">
        <f>-SUMIF(A259,$P:$P,R:R)+SUMIF(A259,$P:$P,S:S)</f>
        <v>0</v>
      </c>
      <c r="D259" s="101">
        <f>-SUMIF(A259,$H:$H,J:J)+SUMIF(A259,$H:$H,K:K)</f>
        <v>0</v>
      </c>
      <c r="E259" s="101">
        <f t="shared" si="51"/>
        <v>0</v>
      </c>
      <c r="F259" s="676"/>
      <c r="G259" s="102"/>
      <c r="H259" s="102"/>
      <c r="I259" s="102"/>
      <c r="J259" s="102"/>
      <c r="K259" s="102"/>
      <c r="L259" s="102"/>
      <c r="M259" s="102"/>
      <c r="N259" s="102"/>
      <c r="O259" s="102"/>
      <c r="P259" s="102"/>
      <c r="Q259" s="102"/>
      <c r="R259" s="102"/>
      <c r="S259" s="102"/>
      <c r="T259" s="102"/>
      <c r="U259" s="102"/>
    </row>
    <row r="260" spans="1:21" s="647" customFormat="1" ht="20.100000000000001" customHeight="1">
      <c r="A260" s="114"/>
      <c r="B260" s="114"/>
      <c r="C260" s="114"/>
      <c r="D260" s="114"/>
      <c r="E260" s="114"/>
      <c r="F260" s="676"/>
      <c r="G260" s="102"/>
      <c r="H260" s="102"/>
      <c r="I260" s="102"/>
      <c r="J260" s="102"/>
      <c r="K260" s="102"/>
      <c r="L260" s="102"/>
      <c r="M260" s="102"/>
      <c r="N260" s="102"/>
      <c r="O260" s="102"/>
      <c r="P260" s="102"/>
      <c r="Q260" s="102"/>
      <c r="R260" s="102"/>
      <c r="S260" s="102"/>
      <c r="T260" s="102"/>
      <c r="U260" s="102"/>
    </row>
    <row r="261" spans="1:21" s="647" customFormat="1" ht="20.100000000000001" customHeight="1">
      <c r="A261" s="114"/>
      <c r="B261" s="114"/>
      <c r="C261" s="114"/>
      <c r="D261" s="114"/>
      <c r="E261" s="114"/>
      <c r="F261" s="676"/>
      <c r="G261" s="102"/>
      <c r="H261" s="102"/>
      <c r="I261" s="102"/>
      <c r="J261" s="102"/>
      <c r="K261" s="102"/>
      <c r="L261" s="102"/>
      <c r="M261" s="102"/>
      <c r="N261" s="102"/>
      <c r="O261" s="102"/>
      <c r="P261" s="102"/>
      <c r="Q261" s="102"/>
      <c r="R261" s="102"/>
      <c r="S261" s="102"/>
      <c r="T261" s="102"/>
      <c r="U261" s="102"/>
    </row>
    <row r="262" spans="1:21" s="647" customFormat="1" ht="20.100000000000001" customHeight="1">
      <c r="A262" s="114"/>
      <c r="B262" s="114"/>
      <c r="C262" s="114"/>
      <c r="D262" s="114"/>
      <c r="E262" s="114"/>
      <c r="F262" s="676"/>
      <c r="G262" s="102"/>
      <c r="H262" s="102"/>
      <c r="I262" s="102"/>
      <c r="J262" s="102"/>
      <c r="K262" s="102"/>
      <c r="L262" s="102"/>
      <c r="M262" s="102"/>
      <c r="N262" s="102"/>
      <c r="O262" s="102"/>
      <c r="P262" s="102"/>
      <c r="Q262" s="102"/>
      <c r="R262" s="102"/>
      <c r="S262" s="102"/>
      <c r="T262" s="102"/>
      <c r="U262" s="102"/>
    </row>
    <row r="263" spans="1:21" s="647" customFormat="1" ht="20.100000000000001" customHeight="1">
      <c r="A263" s="114"/>
      <c r="B263" s="114"/>
      <c r="C263" s="114"/>
      <c r="D263" s="114"/>
      <c r="E263" s="114"/>
      <c r="F263" s="676"/>
      <c r="G263" s="102"/>
      <c r="H263" s="102"/>
      <c r="I263" s="102"/>
      <c r="J263" s="102"/>
      <c r="K263" s="102"/>
      <c r="L263" s="102"/>
      <c r="M263" s="102"/>
      <c r="N263" s="102"/>
      <c r="O263" s="102"/>
      <c r="P263" s="102"/>
      <c r="Q263" s="102"/>
      <c r="R263" s="102"/>
      <c r="S263" s="102"/>
      <c r="T263" s="102"/>
      <c r="U263" s="102"/>
    </row>
    <row r="264" spans="1:21" s="647" customFormat="1" ht="20.100000000000001" customHeight="1">
      <c r="A264" s="114" t="s">
        <v>510</v>
      </c>
      <c r="B264" s="101">
        <f>B252-B253-B254+B255-B256-B257-B258+B259</f>
        <v>0</v>
      </c>
      <c r="C264" s="101">
        <f>C252-C253-C254+C255-C256-C257-C258+C259</f>
        <v>0</v>
      </c>
      <c r="D264" s="101">
        <f>D252-D253-D254+D255-D256-D257-D258+D259</f>
        <v>0</v>
      </c>
      <c r="E264" s="101">
        <f>E252-E253-E254+E255-E256-E257-E258+E259</f>
        <v>0</v>
      </c>
      <c r="F264" s="676"/>
      <c r="G264" s="102"/>
      <c r="H264" s="102"/>
      <c r="I264" s="102"/>
      <c r="J264" s="102"/>
      <c r="K264" s="102"/>
      <c r="L264" s="102"/>
      <c r="M264" s="102"/>
      <c r="N264" s="102"/>
      <c r="O264" s="102"/>
      <c r="P264" s="102"/>
      <c r="Q264" s="102"/>
      <c r="R264" s="102"/>
      <c r="S264" s="102"/>
      <c r="T264" s="102"/>
      <c r="U264" s="102"/>
    </row>
    <row r="265" spans="1:21" s="647" customFormat="1" ht="20.100000000000001" customHeight="1">
      <c r="A265" s="114" t="s">
        <v>511</v>
      </c>
      <c r="B265" s="114"/>
      <c r="C265" s="101">
        <f>SUMIF($P:$P,A265,R:R)-SUMIF($P:$P,A265,S:S)</f>
        <v>0</v>
      </c>
      <c r="D265" s="101">
        <f>SUMIF($H:$H,A265,J:J)-SUMIF($H:$H,A265,K:K)</f>
        <v>0</v>
      </c>
      <c r="E265" s="101">
        <f>SUM(B265:D265)</f>
        <v>0</v>
      </c>
      <c r="F265" s="676"/>
      <c r="G265" s="102"/>
      <c r="H265" s="102"/>
      <c r="I265" s="102"/>
      <c r="J265" s="102"/>
      <c r="K265" s="102"/>
      <c r="L265" s="102"/>
      <c r="M265" s="102"/>
      <c r="N265" s="102"/>
      <c r="O265" s="102"/>
      <c r="P265" s="102"/>
      <c r="Q265" s="102"/>
      <c r="R265" s="102"/>
      <c r="S265" s="102"/>
      <c r="T265" s="102"/>
      <c r="U265" s="102"/>
    </row>
    <row r="266" spans="1:21" s="647" customFormat="1" ht="20.100000000000001" customHeight="1">
      <c r="A266" s="114" t="s">
        <v>512</v>
      </c>
      <c r="B266" s="101">
        <f>B264-B265</f>
        <v>0</v>
      </c>
      <c r="C266" s="101">
        <f>C264-C265</f>
        <v>0</v>
      </c>
      <c r="D266" s="101">
        <f>D264-D265</f>
        <v>0</v>
      </c>
      <c r="E266" s="101">
        <f>E264-E265</f>
        <v>0</v>
      </c>
      <c r="F266" s="676"/>
      <c r="G266" s="102"/>
      <c r="H266" s="102"/>
      <c r="I266" s="102"/>
      <c r="J266" s="102"/>
      <c r="K266" s="102"/>
      <c r="L266" s="102"/>
      <c r="M266" s="102"/>
      <c r="N266" s="102"/>
      <c r="O266" s="102"/>
      <c r="P266" s="102"/>
      <c r="Q266" s="102"/>
      <c r="R266" s="102"/>
      <c r="S266" s="102"/>
      <c r="T266" s="102"/>
      <c r="U266" s="102"/>
    </row>
    <row r="267" spans="1:21" s="647" customFormat="1" ht="20.100000000000001" customHeight="1">
      <c r="A267" s="114"/>
      <c r="B267" s="114"/>
      <c r="C267" s="114"/>
      <c r="D267" s="114"/>
      <c r="E267" s="114"/>
      <c r="F267" s="676"/>
      <c r="G267" s="102"/>
      <c r="H267" s="102"/>
      <c r="I267" s="102"/>
      <c r="J267" s="102"/>
      <c r="K267" s="102"/>
      <c r="L267" s="102"/>
      <c r="M267" s="102"/>
      <c r="N267" s="102"/>
      <c r="O267" s="102"/>
      <c r="P267" s="102"/>
      <c r="Q267" s="102"/>
      <c r="R267" s="102"/>
      <c r="S267" s="102"/>
      <c r="T267" s="102"/>
      <c r="U267" s="102"/>
    </row>
    <row r="268" spans="1:21" s="647" customFormat="1" ht="20.100000000000001" customHeight="1">
      <c r="A268" s="114"/>
      <c r="B268" s="114"/>
      <c r="C268" s="114"/>
      <c r="D268" s="114"/>
      <c r="E268" s="114"/>
      <c r="F268" s="676"/>
      <c r="G268" s="102"/>
      <c r="H268" s="102"/>
      <c r="I268" s="102"/>
      <c r="J268" s="102"/>
      <c r="K268" s="102"/>
      <c r="L268" s="102"/>
      <c r="M268" s="102"/>
      <c r="N268" s="102"/>
      <c r="O268" s="102"/>
      <c r="P268" s="102"/>
      <c r="Q268" s="102"/>
      <c r="R268" s="102"/>
      <c r="S268" s="102"/>
      <c r="T268" s="102"/>
      <c r="U268" s="102"/>
    </row>
    <row r="269" spans="1:21" s="647" customFormat="1" ht="20.100000000000001" customHeight="1">
      <c r="A269" s="114"/>
      <c r="B269" s="114"/>
      <c r="C269" s="114"/>
      <c r="D269" s="114"/>
      <c r="E269" s="114"/>
      <c r="F269" s="676"/>
      <c r="G269" s="102"/>
      <c r="H269" s="102"/>
      <c r="I269" s="102"/>
      <c r="J269" s="102"/>
      <c r="K269" s="102"/>
      <c r="L269" s="102"/>
      <c r="M269" s="102"/>
      <c r="N269" s="102"/>
      <c r="O269" s="102"/>
      <c r="P269" s="102"/>
      <c r="Q269" s="102"/>
      <c r="R269" s="102"/>
      <c r="S269" s="102"/>
      <c r="T269" s="102"/>
      <c r="U269" s="102"/>
    </row>
    <row r="270" spans="1:21" s="647" customFormat="1" ht="20.100000000000001" customHeight="1">
      <c r="A270" s="114"/>
      <c r="B270" s="114"/>
      <c r="C270" s="114"/>
      <c r="D270" s="114"/>
      <c r="E270" s="114"/>
      <c r="F270" s="676"/>
      <c r="G270" s="102"/>
      <c r="H270" s="102"/>
      <c r="I270" s="102"/>
      <c r="J270" s="102"/>
      <c r="K270" s="102"/>
      <c r="L270" s="102"/>
      <c r="M270" s="102"/>
      <c r="N270" s="102"/>
      <c r="O270" s="102"/>
      <c r="P270" s="102"/>
      <c r="Q270" s="102"/>
      <c r="R270" s="102"/>
      <c r="S270" s="102"/>
      <c r="T270" s="102"/>
      <c r="U270" s="102"/>
    </row>
    <row r="271" spans="1:21" s="647" customFormat="1" ht="20.100000000000001" customHeight="1">
      <c r="A271" s="114" t="s">
        <v>513</v>
      </c>
      <c r="B271" s="114"/>
      <c r="C271" s="101">
        <f>-SUMIF($P:$P,A271,R:R)+SUMIF($P:$P,A271,S:S)</f>
        <v>0</v>
      </c>
      <c r="D271" s="101">
        <f>-SUMIF($H:$H,A271,J:J)+SUMIF($H:$H,A271,K:K)</f>
        <v>0</v>
      </c>
      <c r="E271" s="101">
        <f>SUM(B271:D271)</f>
        <v>0</v>
      </c>
      <c r="F271" s="676"/>
      <c r="G271" s="102"/>
      <c r="H271" s="102"/>
      <c r="I271" s="102"/>
      <c r="J271" s="102"/>
      <c r="K271" s="102"/>
      <c r="L271" s="102"/>
      <c r="M271" s="102"/>
      <c r="N271" s="102"/>
      <c r="O271" s="102"/>
      <c r="P271" s="102"/>
      <c r="Q271" s="102"/>
      <c r="R271" s="102"/>
      <c r="S271" s="102"/>
      <c r="T271" s="102"/>
      <c r="U271" s="102"/>
    </row>
    <row r="272" spans="1:21" s="647" customFormat="1" ht="20.100000000000001" customHeight="1">
      <c r="A272" s="114" t="s">
        <v>514</v>
      </c>
      <c r="B272" s="114"/>
      <c r="C272" s="101">
        <f>SUMIF($P:$P,A272,R:R)-SUMIF($P:$P,A272,S:S)</f>
        <v>0</v>
      </c>
      <c r="D272" s="101">
        <f>SUMIF($H:$H,A272,J:J)-SUMIF($H:$H,A272,K:K)</f>
        <v>0</v>
      </c>
      <c r="E272" s="101">
        <f>SUM(B272:D272)</f>
        <v>0</v>
      </c>
      <c r="F272" s="676"/>
      <c r="G272" s="102"/>
      <c r="H272" s="102"/>
      <c r="I272" s="102"/>
      <c r="J272" s="102"/>
      <c r="K272" s="102"/>
      <c r="L272" s="102"/>
      <c r="M272" s="102"/>
      <c r="N272" s="102"/>
      <c r="O272" s="102"/>
      <c r="P272" s="102"/>
      <c r="Q272" s="102"/>
      <c r="R272" s="102"/>
      <c r="S272" s="102"/>
      <c r="T272" s="102"/>
      <c r="U272" s="102"/>
    </row>
    <row r="273" spans="1:21" s="647" customFormat="1" ht="20.100000000000001" customHeight="1">
      <c r="A273" s="114"/>
      <c r="B273" s="114"/>
      <c r="C273" s="101">
        <f>SUMIF($P:$P,A273,R:R)-SUMIF($P:$P,A273,S:S)</f>
        <v>0</v>
      </c>
      <c r="D273" s="101">
        <f>SUMIF($H:$H,A273,J:J)-SUMIF($H:$H,A273,K:K)</f>
        <v>0</v>
      </c>
      <c r="E273" s="101">
        <f>SUM(B273:D273)</f>
        <v>0</v>
      </c>
      <c r="F273" s="676"/>
      <c r="G273" s="102"/>
      <c r="H273" s="102"/>
      <c r="I273" s="102"/>
      <c r="J273" s="102"/>
      <c r="K273" s="102"/>
      <c r="L273" s="102"/>
      <c r="M273" s="102"/>
      <c r="N273" s="102"/>
      <c r="O273" s="102"/>
      <c r="P273" s="102"/>
      <c r="Q273" s="102"/>
      <c r="R273" s="102"/>
      <c r="S273" s="102"/>
      <c r="T273" s="102"/>
      <c r="U273" s="102"/>
    </row>
    <row r="274" spans="1:21" s="647" customFormat="1" ht="20.100000000000001" customHeight="1">
      <c r="A274" s="114"/>
      <c r="B274" s="114"/>
      <c r="C274" s="101">
        <f>SUMIF($P:$P,A274,R:R)-SUMIF($P:$P,A274,S:S)</f>
        <v>0</v>
      </c>
      <c r="D274" s="101">
        <f>SUMIF($H:$H,A274,J:J)-SUMIF($H:$H,A274,K:K)</f>
        <v>0</v>
      </c>
      <c r="E274" s="101">
        <f>SUM(B274:D274)</f>
        <v>0</v>
      </c>
      <c r="F274" s="676"/>
      <c r="G274" s="102"/>
      <c r="H274" s="102"/>
      <c r="I274" s="102"/>
      <c r="J274" s="102"/>
      <c r="K274" s="102"/>
      <c r="L274" s="102"/>
      <c r="M274" s="102"/>
      <c r="N274" s="102"/>
      <c r="O274" s="102"/>
      <c r="P274" s="102"/>
      <c r="Q274" s="102"/>
      <c r="R274" s="102"/>
      <c r="S274" s="102"/>
      <c r="T274" s="102"/>
      <c r="U274" s="102"/>
    </row>
    <row r="275" spans="1:21" s="647" customFormat="1" ht="20.100000000000001" customHeight="1">
      <c r="A275" s="114" t="s">
        <v>498</v>
      </c>
      <c r="B275" s="101">
        <f>B266-B267-B268-B269-B270+B271-B272-B273-B274</f>
        <v>0</v>
      </c>
      <c r="C275" s="101">
        <f>C266-C267-C268-C269-C270+C271-C272-C273-C274</f>
        <v>0</v>
      </c>
      <c r="D275" s="101">
        <f>D266-D267-D268-D269-D270+D271-D272-D273-D274</f>
        <v>0</v>
      </c>
      <c r="E275" s="101">
        <f>E266-E267-E268-E269-E270+E271-E272-E273-E274</f>
        <v>0</v>
      </c>
      <c r="F275" s="676"/>
      <c r="G275" s="102"/>
      <c r="H275" s="102"/>
      <c r="I275" s="102"/>
      <c r="J275" s="102"/>
      <c r="K275" s="102"/>
      <c r="L275" s="102"/>
      <c r="M275" s="102"/>
      <c r="N275" s="102"/>
      <c r="O275" s="102"/>
      <c r="P275" s="102"/>
      <c r="Q275" s="102"/>
      <c r="R275" s="102"/>
      <c r="S275" s="102"/>
      <c r="T275" s="102"/>
      <c r="U275" s="102"/>
    </row>
  </sheetData>
  <sheetProtection insertColumns="0" insertRows="0" deleteColumns="0" deleteRows="0" sort="0"/>
  <phoneticPr fontId="76" type="noConversion"/>
  <dataValidations count="1">
    <dataValidation type="list" allowBlank="1" showInputMessage="1" showErrorMessage="1" sqref="H1:H5 H8:H65562 P8:P65562 P1:P5">
      <formula1>$A:$A</formula1>
    </dataValidation>
  </dataValidations>
  <printOptions horizontalCentered="1"/>
  <pageMargins left="0.74791666666666701" right="0.235416666666667" top="0.31388888888888899" bottom="0.39305555555555599" header="0.51180555555555596" footer="0.51180555555555596"/>
  <pageSetup paperSize="9" scale="57" fitToHeight="24" orientation="portrait" blackAndWhite="1" r:id="rId1"/>
  <headerFooter alignWithMargins="0"/>
  <rowBreaks count="2" manualBreakCount="2">
    <brk id="75" max="20" man="1"/>
    <brk id="130" max="20" man="1"/>
  </rowBreaks>
  <colBreaks count="2" manualBreakCount="2">
    <brk id="5" max="252" man="1"/>
    <brk id="13" max="252"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view="pageBreakPreview" zoomScale="85" zoomScaleNormal="100" zoomScaleSheetLayoutView="85" workbookViewId="0"/>
  </sheetViews>
  <sheetFormatPr defaultColWidth="9" defaultRowHeight="20.100000000000001" customHeight="1"/>
  <cols>
    <col min="1" max="1" width="15.625" style="638" customWidth="1"/>
    <col min="2" max="2" width="13.75" style="638" customWidth="1"/>
    <col min="3" max="3" width="13.875" style="638" customWidth="1"/>
    <col min="4" max="4" width="15.75" style="638" customWidth="1"/>
    <col min="5" max="5" width="15.375" style="638" customWidth="1"/>
    <col min="6" max="6" width="13.5" style="638" customWidth="1"/>
    <col min="7" max="8" width="13.125" style="638" customWidth="1"/>
    <col min="9" max="9" width="14.5" style="638" customWidth="1"/>
    <col min="10" max="10" width="12" style="638" customWidth="1"/>
    <col min="11" max="12" width="11.125" style="638" customWidth="1"/>
    <col min="13" max="13" width="14.625" style="638" customWidth="1"/>
    <col min="14" max="14" width="12.5" style="638" customWidth="1"/>
    <col min="15" max="15" width="11.75" style="638" customWidth="1"/>
    <col min="16" max="16384" width="9" style="638"/>
  </cols>
  <sheetData>
    <row r="1" spans="1:12" s="635" customFormat="1" ht="24.95" customHeight="1">
      <c r="A1" s="639" t="s">
        <v>145</v>
      </c>
      <c r="B1" s="640">
        <f>基础信息!B6</f>
        <v>0</v>
      </c>
      <c r="C1" s="641"/>
      <c r="E1" s="642"/>
    </row>
    <row r="2" spans="1:12" s="635" customFormat="1" ht="24.95" customHeight="1">
      <c r="A2" s="639" t="s">
        <v>147</v>
      </c>
      <c r="B2" s="640">
        <f>基础信息!B9</f>
        <v>0</v>
      </c>
      <c r="C2" s="641"/>
    </row>
    <row r="3" spans="1:12" s="635" customFormat="1" ht="24.95" customHeight="1">
      <c r="A3" s="639" t="s">
        <v>148</v>
      </c>
      <c r="B3" s="643" t="s">
        <v>515</v>
      </c>
      <c r="C3" s="644"/>
    </row>
    <row r="4" spans="1:12" s="636" customFormat="1" ht="20.100000000000001" customHeight="1">
      <c r="A4" s="1230" t="s">
        <v>516</v>
      </c>
      <c r="B4" s="1232" t="s">
        <v>517</v>
      </c>
      <c r="C4" s="1232"/>
      <c r="D4" s="1232"/>
      <c r="E4" s="1232"/>
      <c r="F4" s="1232"/>
      <c r="G4" s="1232"/>
      <c r="H4" s="1232"/>
      <c r="I4" s="1232"/>
      <c r="J4" s="1232"/>
      <c r="K4" s="1232"/>
      <c r="L4" s="1232"/>
    </row>
    <row r="5" spans="1:12" s="636" customFormat="1" ht="21" customHeight="1">
      <c r="A5" s="1230"/>
      <c r="B5" s="1231" t="s">
        <v>518</v>
      </c>
      <c r="C5" s="1231"/>
      <c r="D5" s="1231"/>
      <c r="E5" s="1231"/>
      <c r="F5" s="1231" t="s">
        <v>519</v>
      </c>
      <c r="G5" s="1231"/>
      <c r="H5" s="1231"/>
      <c r="I5" s="1231"/>
      <c r="J5" s="1231" t="s">
        <v>520</v>
      </c>
      <c r="K5" s="601" t="s">
        <v>521</v>
      </c>
      <c r="L5" s="1231" t="s">
        <v>522</v>
      </c>
    </row>
    <row r="6" spans="1:12" s="636" customFormat="1" ht="20.100000000000001" customHeight="1">
      <c r="A6" s="1230"/>
      <c r="B6" s="601" t="s">
        <v>523</v>
      </c>
      <c r="C6" s="601" t="s">
        <v>524</v>
      </c>
      <c r="D6" s="601" t="s">
        <v>525</v>
      </c>
      <c r="E6" s="601" t="s">
        <v>526</v>
      </c>
      <c r="F6" s="601" t="s">
        <v>523</v>
      </c>
      <c r="G6" s="601" t="s">
        <v>524</v>
      </c>
      <c r="H6" s="601" t="s">
        <v>525</v>
      </c>
      <c r="I6" s="601" t="s">
        <v>526</v>
      </c>
      <c r="J6" s="1231"/>
      <c r="K6" s="646" t="s">
        <v>527</v>
      </c>
      <c r="L6" s="1231"/>
    </row>
    <row r="7" spans="1:12" s="636" customFormat="1" ht="20.100000000000001" customHeight="1">
      <c r="A7" s="611"/>
      <c r="B7" s="632">
        <f>SUM(C7:E7)</f>
        <v>0</v>
      </c>
      <c r="C7" s="611"/>
      <c r="D7" s="611"/>
      <c r="E7" s="611"/>
      <c r="F7" s="632">
        <f>SUM(G7:I7)</f>
        <v>0</v>
      </c>
      <c r="G7" s="611"/>
      <c r="H7" s="611"/>
      <c r="I7" s="611"/>
      <c r="J7" s="611"/>
      <c r="K7" s="611"/>
      <c r="L7" s="611"/>
    </row>
    <row r="8" spans="1:12" s="636" customFormat="1" ht="20.100000000000001" customHeight="1">
      <c r="A8" s="611"/>
      <c r="B8" s="632">
        <f t="shared" ref="B8:B20" si="0">SUM(C8:E8)</f>
        <v>0</v>
      </c>
      <c r="C8" s="611"/>
      <c r="D8" s="611"/>
      <c r="E8" s="611"/>
      <c r="F8" s="632">
        <f t="shared" ref="F8:F20" si="1">SUM(G8:I8)</f>
        <v>0</v>
      </c>
      <c r="G8" s="611"/>
      <c r="H8" s="611"/>
      <c r="I8" s="611"/>
      <c r="J8" s="611"/>
      <c r="K8" s="611"/>
      <c r="L8" s="611"/>
    </row>
    <row r="9" spans="1:12" s="636" customFormat="1" ht="20.100000000000001" customHeight="1">
      <c r="A9" s="611"/>
      <c r="B9" s="632">
        <f t="shared" si="0"/>
        <v>0</v>
      </c>
      <c r="C9" s="611"/>
      <c r="D9" s="611"/>
      <c r="E9" s="611"/>
      <c r="F9" s="632">
        <f t="shared" si="1"/>
        <v>0</v>
      </c>
      <c r="G9" s="611"/>
      <c r="H9" s="611"/>
      <c r="I9" s="611"/>
      <c r="J9" s="611"/>
      <c r="K9" s="611"/>
      <c r="L9" s="611"/>
    </row>
    <row r="10" spans="1:12" s="636" customFormat="1" ht="20.100000000000001" customHeight="1">
      <c r="A10" s="611"/>
      <c r="B10" s="632">
        <f t="shared" si="0"/>
        <v>0</v>
      </c>
      <c r="C10" s="611"/>
      <c r="D10" s="611"/>
      <c r="E10" s="611"/>
      <c r="F10" s="632">
        <f t="shared" si="1"/>
        <v>0</v>
      </c>
      <c r="G10" s="611"/>
      <c r="H10" s="611"/>
      <c r="I10" s="611"/>
      <c r="J10" s="611"/>
      <c r="K10" s="611"/>
      <c r="L10" s="611"/>
    </row>
    <row r="11" spans="1:12" s="636" customFormat="1" ht="20.100000000000001" customHeight="1">
      <c r="A11" s="611"/>
      <c r="B11" s="632">
        <f t="shared" si="0"/>
        <v>0</v>
      </c>
      <c r="C11" s="611"/>
      <c r="D11" s="611"/>
      <c r="E11" s="611"/>
      <c r="F11" s="632">
        <f t="shared" si="1"/>
        <v>0</v>
      </c>
      <c r="G11" s="611"/>
      <c r="H11" s="611"/>
      <c r="I11" s="611"/>
      <c r="J11" s="611"/>
      <c r="K11" s="611"/>
      <c r="L11" s="611"/>
    </row>
    <row r="12" spans="1:12" s="636" customFormat="1" ht="20.100000000000001" customHeight="1">
      <c r="A12" s="611"/>
      <c r="B12" s="632">
        <f t="shared" si="0"/>
        <v>0</v>
      </c>
      <c r="C12" s="611"/>
      <c r="D12" s="611"/>
      <c r="E12" s="611"/>
      <c r="F12" s="632">
        <f t="shared" si="1"/>
        <v>0</v>
      </c>
      <c r="G12" s="611"/>
      <c r="H12" s="611"/>
      <c r="I12" s="611"/>
      <c r="J12" s="611"/>
      <c r="K12" s="611"/>
      <c r="L12" s="611"/>
    </row>
    <row r="13" spans="1:12" s="636" customFormat="1" ht="20.100000000000001" customHeight="1">
      <c r="A13" s="611"/>
      <c r="B13" s="632">
        <f t="shared" si="0"/>
        <v>0</v>
      </c>
      <c r="C13" s="611"/>
      <c r="D13" s="611"/>
      <c r="E13" s="611"/>
      <c r="F13" s="632">
        <f t="shared" si="1"/>
        <v>0</v>
      </c>
      <c r="G13" s="611"/>
      <c r="H13" s="611"/>
      <c r="I13" s="611"/>
      <c r="J13" s="611"/>
      <c r="K13" s="611"/>
      <c r="L13" s="611"/>
    </row>
    <row r="14" spans="1:12" s="636" customFormat="1" ht="20.100000000000001" customHeight="1">
      <c r="A14" s="611"/>
      <c r="B14" s="632">
        <f t="shared" si="0"/>
        <v>0</v>
      </c>
      <c r="C14" s="611"/>
      <c r="D14" s="611"/>
      <c r="E14" s="611"/>
      <c r="F14" s="632">
        <f t="shared" si="1"/>
        <v>0</v>
      </c>
      <c r="G14" s="611"/>
      <c r="H14" s="611"/>
      <c r="I14" s="611"/>
      <c r="J14" s="611"/>
      <c r="K14" s="611"/>
      <c r="L14" s="611"/>
    </row>
    <row r="15" spans="1:12" s="636" customFormat="1" ht="20.100000000000001" customHeight="1">
      <c r="A15" s="611"/>
      <c r="B15" s="632">
        <f t="shared" si="0"/>
        <v>0</v>
      </c>
      <c r="C15" s="611"/>
      <c r="D15" s="611"/>
      <c r="E15" s="611"/>
      <c r="F15" s="632">
        <f t="shared" si="1"/>
        <v>0</v>
      </c>
      <c r="G15" s="611"/>
      <c r="H15" s="611"/>
      <c r="I15" s="611"/>
      <c r="J15" s="611"/>
      <c r="K15" s="611"/>
      <c r="L15" s="611"/>
    </row>
    <row r="16" spans="1:12" s="636" customFormat="1" ht="20.100000000000001" customHeight="1">
      <c r="A16" s="611"/>
      <c r="B16" s="632">
        <f t="shared" si="0"/>
        <v>0</v>
      </c>
      <c r="C16" s="611"/>
      <c r="D16" s="611"/>
      <c r="E16" s="611"/>
      <c r="F16" s="632">
        <f t="shared" si="1"/>
        <v>0</v>
      </c>
      <c r="G16" s="611"/>
      <c r="H16" s="611"/>
      <c r="I16" s="611"/>
      <c r="J16" s="611"/>
      <c r="K16" s="611"/>
      <c r="L16" s="611"/>
    </row>
    <row r="17" spans="1:12" s="636" customFormat="1" ht="20.100000000000001" customHeight="1">
      <c r="A17" s="611"/>
      <c r="B17" s="632">
        <f t="shared" si="0"/>
        <v>0</v>
      </c>
      <c r="C17" s="611"/>
      <c r="D17" s="611"/>
      <c r="E17" s="611"/>
      <c r="F17" s="632">
        <f t="shared" si="1"/>
        <v>0</v>
      </c>
      <c r="G17" s="611"/>
      <c r="H17" s="611"/>
      <c r="I17" s="611"/>
      <c r="J17" s="611"/>
      <c r="K17" s="611"/>
      <c r="L17" s="611"/>
    </row>
    <row r="18" spans="1:12" s="636" customFormat="1" ht="20.100000000000001" customHeight="1">
      <c r="A18" s="611"/>
      <c r="B18" s="632">
        <f t="shared" si="0"/>
        <v>0</v>
      </c>
      <c r="C18" s="611"/>
      <c r="D18" s="611"/>
      <c r="E18" s="611"/>
      <c r="F18" s="632">
        <f t="shared" si="1"/>
        <v>0</v>
      </c>
      <c r="G18" s="611"/>
      <c r="H18" s="611"/>
      <c r="I18" s="611"/>
      <c r="J18" s="611"/>
      <c r="K18" s="611"/>
      <c r="L18" s="611"/>
    </row>
    <row r="19" spans="1:12" s="636" customFormat="1" ht="20.100000000000001" customHeight="1">
      <c r="A19" s="611"/>
      <c r="B19" s="632">
        <f t="shared" si="0"/>
        <v>0</v>
      </c>
      <c r="C19" s="611"/>
      <c r="D19" s="611"/>
      <c r="E19" s="611"/>
      <c r="F19" s="632">
        <f t="shared" si="1"/>
        <v>0</v>
      </c>
      <c r="G19" s="611"/>
      <c r="H19" s="611"/>
      <c r="I19" s="611"/>
      <c r="J19" s="611"/>
      <c r="K19" s="611"/>
      <c r="L19" s="611"/>
    </row>
    <row r="20" spans="1:12" s="636" customFormat="1" ht="20.100000000000001" customHeight="1">
      <c r="A20" s="611"/>
      <c r="B20" s="632">
        <f t="shared" si="0"/>
        <v>0</v>
      </c>
      <c r="C20" s="611"/>
      <c r="D20" s="611"/>
      <c r="E20" s="611"/>
      <c r="F20" s="632">
        <f t="shared" si="1"/>
        <v>0</v>
      </c>
      <c r="G20" s="611"/>
      <c r="H20" s="611"/>
      <c r="I20" s="611"/>
      <c r="J20" s="611"/>
      <c r="K20" s="611"/>
      <c r="L20" s="611"/>
    </row>
    <row r="21" spans="1:12" s="636" customFormat="1" ht="20.100000000000001" customHeight="1">
      <c r="A21" s="645" t="s">
        <v>528</v>
      </c>
      <c r="B21" s="632">
        <f>SUM(B7:B20)</f>
        <v>0</v>
      </c>
      <c r="C21" s="632">
        <f t="shared" ref="C21:L21" si="2">SUM(C7:C20)</f>
        <v>0</v>
      </c>
      <c r="D21" s="632">
        <f t="shared" si="2"/>
        <v>0</v>
      </c>
      <c r="E21" s="632">
        <f t="shared" si="2"/>
        <v>0</v>
      </c>
      <c r="F21" s="632">
        <f t="shared" si="2"/>
        <v>0</v>
      </c>
      <c r="G21" s="632">
        <f t="shared" si="2"/>
        <v>0</v>
      </c>
      <c r="H21" s="632">
        <f t="shared" si="2"/>
        <v>0</v>
      </c>
      <c r="I21" s="632">
        <f t="shared" si="2"/>
        <v>0</v>
      </c>
      <c r="J21" s="632">
        <f t="shared" si="2"/>
        <v>0</v>
      </c>
      <c r="K21" s="632">
        <f t="shared" si="2"/>
        <v>0</v>
      </c>
      <c r="L21" s="632">
        <f t="shared" si="2"/>
        <v>0</v>
      </c>
    </row>
    <row r="22" spans="1:12" s="636" customFormat="1" ht="20.100000000000001" customHeight="1"/>
    <row r="23" spans="1:12" s="636" customFormat="1" ht="20.100000000000001" customHeight="1">
      <c r="A23" s="1230" t="s">
        <v>529</v>
      </c>
      <c r="B23" s="1231" t="s">
        <v>517</v>
      </c>
      <c r="C23" s="1231"/>
      <c r="D23" s="1231"/>
      <c r="E23" s="1231"/>
      <c r="F23" s="1231"/>
      <c r="G23" s="1231"/>
      <c r="H23" s="1231"/>
      <c r="I23" s="1231"/>
    </row>
    <row r="24" spans="1:12" s="636" customFormat="1" ht="21" customHeight="1">
      <c r="A24" s="1230"/>
      <c r="B24" s="1231" t="s">
        <v>530</v>
      </c>
      <c r="C24" s="1231"/>
      <c r="D24" s="1231"/>
      <c r="E24" s="1231"/>
      <c r="F24" s="1231" t="s">
        <v>531</v>
      </c>
      <c r="G24" s="1231" t="s">
        <v>521</v>
      </c>
      <c r="H24" s="1231"/>
      <c r="I24" s="1231" t="s">
        <v>532</v>
      </c>
      <c r="J24" s="637"/>
      <c r="L24" s="637"/>
    </row>
    <row r="25" spans="1:12" s="636" customFormat="1" ht="20.100000000000001" customHeight="1">
      <c r="A25" s="1230"/>
      <c r="B25" s="601" t="s">
        <v>523</v>
      </c>
      <c r="C25" s="601" t="s">
        <v>524</v>
      </c>
      <c r="D25" s="601" t="s">
        <v>525</v>
      </c>
      <c r="E25" s="601" t="s">
        <v>526</v>
      </c>
      <c r="F25" s="601"/>
      <c r="G25" s="601" t="s">
        <v>533</v>
      </c>
      <c r="H25" s="601" t="s">
        <v>534</v>
      </c>
      <c r="I25" s="601"/>
      <c r="J25" s="637"/>
      <c r="L25" s="637"/>
    </row>
    <row r="26" spans="1:12" s="637" customFormat="1" ht="20.100000000000001" customHeight="1">
      <c r="A26" s="611"/>
      <c r="B26" s="632">
        <f>SUM(C26:E26)</f>
        <v>0</v>
      </c>
      <c r="C26" s="611"/>
      <c r="D26" s="611"/>
      <c r="E26" s="611"/>
      <c r="F26" s="611"/>
      <c r="G26" s="611"/>
      <c r="H26" s="611"/>
      <c r="I26" s="611"/>
    </row>
    <row r="27" spans="1:12" s="637" customFormat="1" ht="20.100000000000001" customHeight="1">
      <c r="A27" s="611"/>
      <c r="B27" s="632">
        <f t="shared" ref="B27:B39" si="3">SUM(C27:E27)</f>
        <v>0</v>
      </c>
      <c r="C27" s="611"/>
      <c r="D27" s="611"/>
      <c r="E27" s="611"/>
      <c r="F27" s="611"/>
      <c r="G27" s="611"/>
      <c r="H27" s="611"/>
      <c r="I27" s="611"/>
    </row>
    <row r="28" spans="1:12" s="637" customFormat="1" ht="20.100000000000001" customHeight="1">
      <c r="A28" s="611"/>
      <c r="B28" s="632">
        <f t="shared" si="3"/>
        <v>0</v>
      </c>
      <c r="C28" s="611"/>
      <c r="D28" s="611"/>
      <c r="E28" s="611"/>
      <c r="F28" s="611"/>
      <c r="G28" s="611"/>
      <c r="H28" s="611"/>
      <c r="I28" s="611"/>
    </row>
    <row r="29" spans="1:12" s="637" customFormat="1" ht="20.100000000000001" customHeight="1">
      <c r="A29" s="611"/>
      <c r="B29" s="632">
        <f t="shared" si="3"/>
        <v>0</v>
      </c>
      <c r="C29" s="611"/>
      <c r="D29" s="611"/>
      <c r="E29" s="611"/>
      <c r="F29" s="611"/>
      <c r="G29" s="611"/>
      <c r="H29" s="611"/>
      <c r="I29" s="611"/>
    </row>
    <row r="30" spans="1:12" s="637" customFormat="1" ht="20.100000000000001" customHeight="1">
      <c r="A30" s="611"/>
      <c r="B30" s="632">
        <f t="shared" si="3"/>
        <v>0</v>
      </c>
      <c r="C30" s="611"/>
      <c r="D30" s="611"/>
      <c r="E30" s="611"/>
      <c r="F30" s="611"/>
      <c r="G30" s="611"/>
      <c r="H30" s="611"/>
      <c r="I30" s="611"/>
    </row>
    <row r="31" spans="1:12" s="637" customFormat="1" ht="20.100000000000001" customHeight="1">
      <c r="A31" s="611"/>
      <c r="B31" s="632">
        <f t="shared" si="3"/>
        <v>0</v>
      </c>
      <c r="C31" s="611"/>
      <c r="D31" s="611"/>
      <c r="E31" s="611"/>
      <c r="F31" s="611"/>
      <c r="G31" s="611"/>
      <c r="H31" s="611"/>
      <c r="I31" s="611"/>
    </row>
    <row r="32" spans="1:12" s="637" customFormat="1" ht="20.100000000000001" customHeight="1">
      <c r="A32" s="611"/>
      <c r="B32" s="632">
        <f t="shared" si="3"/>
        <v>0</v>
      </c>
      <c r="C32" s="611"/>
      <c r="D32" s="611"/>
      <c r="E32" s="611"/>
      <c r="F32" s="611"/>
      <c r="G32" s="611"/>
      <c r="H32" s="611"/>
      <c r="I32" s="611"/>
    </row>
    <row r="33" spans="1:9" s="637" customFormat="1" ht="20.100000000000001" customHeight="1">
      <c r="A33" s="611"/>
      <c r="B33" s="632">
        <f t="shared" si="3"/>
        <v>0</v>
      </c>
      <c r="C33" s="611"/>
      <c r="D33" s="611"/>
      <c r="E33" s="611"/>
      <c r="F33" s="611"/>
      <c r="G33" s="611"/>
      <c r="H33" s="611"/>
      <c r="I33" s="611"/>
    </row>
    <row r="34" spans="1:9" s="637" customFormat="1" ht="20.100000000000001" customHeight="1">
      <c r="A34" s="611"/>
      <c r="B34" s="632">
        <f t="shared" si="3"/>
        <v>0</v>
      </c>
      <c r="C34" s="611"/>
      <c r="D34" s="611"/>
      <c r="E34" s="611"/>
      <c r="F34" s="611"/>
      <c r="G34" s="611"/>
      <c r="H34" s="611"/>
      <c r="I34" s="611"/>
    </row>
    <row r="35" spans="1:9" s="637" customFormat="1" ht="20.100000000000001" customHeight="1">
      <c r="A35" s="611"/>
      <c r="B35" s="632">
        <f t="shared" si="3"/>
        <v>0</v>
      </c>
      <c r="C35" s="611"/>
      <c r="D35" s="611"/>
      <c r="E35" s="611"/>
      <c r="F35" s="611"/>
      <c r="G35" s="611"/>
      <c r="H35" s="611"/>
      <c r="I35" s="611"/>
    </row>
    <row r="36" spans="1:9" s="637" customFormat="1" ht="20.100000000000001" customHeight="1">
      <c r="A36" s="611"/>
      <c r="B36" s="632">
        <f t="shared" si="3"/>
        <v>0</v>
      </c>
      <c r="C36" s="611"/>
      <c r="D36" s="611"/>
      <c r="E36" s="611"/>
      <c r="F36" s="611"/>
      <c r="G36" s="611"/>
      <c r="H36" s="611"/>
      <c r="I36" s="611"/>
    </row>
    <row r="37" spans="1:9" s="637" customFormat="1" ht="20.100000000000001" customHeight="1">
      <c r="A37" s="611"/>
      <c r="B37" s="632">
        <f t="shared" si="3"/>
        <v>0</v>
      </c>
      <c r="C37" s="611"/>
      <c r="D37" s="611"/>
      <c r="E37" s="611"/>
      <c r="F37" s="611"/>
      <c r="G37" s="611"/>
      <c r="H37" s="611"/>
      <c r="I37" s="611"/>
    </row>
    <row r="38" spans="1:9" s="637" customFormat="1" ht="20.100000000000001" customHeight="1">
      <c r="A38" s="611"/>
      <c r="B38" s="632">
        <f t="shared" si="3"/>
        <v>0</v>
      </c>
      <c r="C38" s="611"/>
      <c r="D38" s="611"/>
      <c r="E38" s="611"/>
      <c r="F38" s="611"/>
      <c r="G38" s="611"/>
      <c r="H38" s="611"/>
      <c r="I38" s="611"/>
    </row>
    <row r="39" spans="1:9" s="637" customFormat="1" ht="20.100000000000001" customHeight="1">
      <c r="A39" s="611"/>
      <c r="B39" s="632">
        <f t="shared" si="3"/>
        <v>0</v>
      </c>
      <c r="C39" s="611"/>
      <c r="D39" s="611"/>
      <c r="E39" s="611"/>
      <c r="F39" s="611"/>
      <c r="G39" s="611"/>
      <c r="H39" s="611"/>
      <c r="I39" s="611"/>
    </row>
    <row r="40" spans="1:9" s="637" customFormat="1" ht="20.100000000000001" customHeight="1">
      <c r="A40" s="645" t="s">
        <v>528</v>
      </c>
      <c r="B40" s="632">
        <f t="shared" ref="B40:G40" si="4">SUM(B26:B39)</f>
        <v>0</v>
      </c>
      <c r="C40" s="632">
        <f t="shared" si="4"/>
        <v>0</v>
      </c>
      <c r="D40" s="632">
        <f t="shared" si="4"/>
        <v>0</v>
      </c>
      <c r="E40" s="632">
        <f t="shared" si="4"/>
        <v>0</v>
      </c>
      <c r="F40" s="632">
        <f t="shared" si="4"/>
        <v>0</v>
      </c>
      <c r="G40" s="632">
        <f t="shared" si="4"/>
        <v>0</v>
      </c>
      <c r="H40" s="632"/>
      <c r="I40" s="632">
        <f>SUM(I26:I39)</f>
        <v>0</v>
      </c>
    </row>
  </sheetData>
  <mergeCells count="10">
    <mergeCell ref="A4:A6"/>
    <mergeCell ref="A23:A25"/>
    <mergeCell ref="J5:J6"/>
    <mergeCell ref="L5:L6"/>
    <mergeCell ref="B4:L4"/>
    <mergeCell ref="B5:E5"/>
    <mergeCell ref="F5:I5"/>
    <mergeCell ref="B23:I23"/>
    <mergeCell ref="B24:E24"/>
    <mergeCell ref="F24:I24"/>
  </mergeCells>
  <phoneticPr fontId="76" type="noConversion"/>
  <pageMargins left="0.74791666666666701" right="0.74791666666666701" top="0.62916666666666698" bottom="0.15625" header="0.51180555555555596" footer="0.27500000000000002"/>
  <pageSetup paperSize="9" scale="68" orientation="landscape" blackAndWhite="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7"/>
  <sheetViews>
    <sheetView view="pageBreakPreview" zoomScaleNormal="100" zoomScaleSheetLayoutView="100" workbookViewId="0">
      <pane xSplit="2" ySplit="5" topLeftCell="C6" activePane="bottomRight" state="frozen"/>
      <selection pane="topRight"/>
      <selection pane="bottomLeft"/>
      <selection pane="bottomRight"/>
    </sheetView>
  </sheetViews>
  <sheetFormatPr defaultColWidth="9" defaultRowHeight="20.100000000000001" customHeight="1"/>
  <cols>
    <col min="1" max="1" width="10.25" style="612" customWidth="1"/>
    <col min="2" max="21" width="12.625" style="612" customWidth="1"/>
    <col min="22" max="22" width="20.875" style="612" customWidth="1"/>
    <col min="23" max="16384" width="9" style="612"/>
  </cols>
  <sheetData>
    <row r="1" spans="1:22" s="610" customFormat="1" ht="24.95" customHeight="1">
      <c r="A1" s="613" t="s">
        <v>145</v>
      </c>
      <c r="B1" s="614">
        <f>基础信息!B6</f>
        <v>0</v>
      </c>
      <c r="C1" s="615"/>
      <c r="D1" s="616"/>
      <c r="E1" s="617"/>
      <c r="F1" s="616"/>
      <c r="G1" s="618"/>
      <c r="H1" s="619"/>
      <c r="I1" s="619"/>
      <c r="J1" s="619"/>
      <c r="K1" s="619"/>
      <c r="L1" s="619"/>
      <c r="M1" s="619"/>
      <c r="N1" s="619"/>
      <c r="O1" s="619"/>
      <c r="P1" s="619"/>
      <c r="Q1" s="619"/>
      <c r="R1" s="619"/>
      <c r="S1" s="619"/>
      <c r="T1" s="619"/>
      <c r="U1" s="619"/>
      <c r="V1" s="634"/>
    </row>
    <row r="2" spans="1:22" s="610" customFormat="1" ht="24.95" customHeight="1">
      <c r="A2" s="613" t="str">
        <f>基础信息!A9</f>
        <v>财务期间</v>
      </c>
      <c r="B2" s="620">
        <f>日期2</f>
        <v>0</v>
      </c>
      <c r="C2" s="621"/>
      <c r="D2" s="622"/>
      <c r="E2" s="622"/>
      <c r="F2" s="622"/>
      <c r="G2" s="623"/>
      <c r="H2" s="619"/>
      <c r="I2" s="619"/>
      <c r="J2" s="619"/>
      <c r="K2" s="619"/>
      <c r="L2" s="619"/>
      <c r="M2" s="619"/>
      <c r="N2" s="619"/>
      <c r="O2" s="619"/>
      <c r="P2" s="619"/>
      <c r="Q2" s="619"/>
      <c r="R2" s="619"/>
      <c r="S2" s="619"/>
      <c r="T2" s="619"/>
      <c r="U2" s="619"/>
      <c r="V2" s="634"/>
    </row>
    <row r="3" spans="1:22" s="610" customFormat="1" ht="24.95" customHeight="1">
      <c r="A3" s="613" t="s">
        <v>148</v>
      </c>
      <c r="B3" s="571" t="s">
        <v>535</v>
      </c>
      <c r="C3" s="624"/>
      <c r="D3" s="625"/>
      <c r="E3" s="625"/>
      <c r="F3" s="625"/>
      <c r="G3" s="626"/>
      <c r="H3" s="627"/>
      <c r="I3" s="627"/>
      <c r="J3" s="627"/>
      <c r="K3" s="627"/>
      <c r="L3" s="627"/>
      <c r="M3" s="627"/>
      <c r="N3" s="627"/>
      <c r="O3" s="627"/>
      <c r="P3" s="627"/>
      <c r="Q3" s="627"/>
      <c r="R3" s="627"/>
      <c r="S3" s="627"/>
      <c r="T3" s="627"/>
      <c r="U3" s="627"/>
      <c r="V3" s="634"/>
    </row>
    <row r="4" spans="1:22" s="611" customFormat="1" ht="20.100000000000001" customHeight="1">
      <c r="A4" s="1230" t="s">
        <v>536</v>
      </c>
      <c r="B4" s="1231" t="s">
        <v>537</v>
      </c>
      <c r="C4" s="1231"/>
      <c r="D4" s="1231"/>
      <c r="E4" s="1231"/>
      <c r="F4" s="1231"/>
      <c r="G4" s="1231" t="s">
        <v>538</v>
      </c>
      <c r="H4" s="1231"/>
      <c r="I4" s="1231"/>
      <c r="J4" s="1231"/>
      <c r="K4" s="1231"/>
      <c r="L4" s="1231" t="s">
        <v>539</v>
      </c>
      <c r="M4" s="1231"/>
      <c r="N4" s="1231"/>
      <c r="O4" s="1231"/>
      <c r="P4" s="1231"/>
      <c r="Q4" s="1231" t="s">
        <v>540</v>
      </c>
      <c r="R4" s="1231"/>
      <c r="S4" s="1231"/>
      <c r="T4" s="1231"/>
      <c r="U4" s="1231"/>
    </row>
    <row r="5" spans="1:22" s="611" customFormat="1" ht="20.100000000000001" customHeight="1">
      <c r="A5" s="1230"/>
      <c r="B5" s="591" t="s">
        <v>523</v>
      </c>
      <c r="C5" s="601" t="s">
        <v>541</v>
      </c>
      <c r="D5" s="601" t="s">
        <v>542</v>
      </c>
      <c r="E5" s="601" t="s">
        <v>543</v>
      </c>
      <c r="F5" s="601" t="s">
        <v>544</v>
      </c>
      <c r="G5" s="591" t="s">
        <v>523</v>
      </c>
      <c r="H5" s="601" t="s">
        <v>541</v>
      </c>
      <c r="I5" s="601" t="s">
        <v>542</v>
      </c>
      <c r="J5" s="601" t="s">
        <v>543</v>
      </c>
      <c r="K5" s="601" t="s">
        <v>544</v>
      </c>
      <c r="L5" s="591" t="s">
        <v>523</v>
      </c>
      <c r="M5" s="601" t="s">
        <v>541</v>
      </c>
      <c r="N5" s="601" t="s">
        <v>542</v>
      </c>
      <c r="O5" s="601" t="s">
        <v>543</v>
      </c>
      <c r="P5" s="601" t="s">
        <v>544</v>
      </c>
      <c r="Q5" s="591" t="s">
        <v>523</v>
      </c>
      <c r="R5" s="601" t="s">
        <v>541</v>
      </c>
      <c r="S5" s="601" t="s">
        <v>542</v>
      </c>
      <c r="T5" s="601" t="s">
        <v>543</v>
      </c>
      <c r="U5" s="601" t="s">
        <v>544</v>
      </c>
    </row>
    <row r="6" spans="1:22" s="611" customFormat="1" ht="20.100000000000001" customHeight="1">
      <c r="G6" s="628">
        <f>SUM(H6:K6)</f>
        <v>0</v>
      </c>
      <c r="H6" s="629"/>
      <c r="I6" s="629"/>
      <c r="J6" s="629"/>
      <c r="K6" s="629"/>
      <c r="L6" s="629"/>
      <c r="M6" s="629"/>
      <c r="N6" s="629"/>
      <c r="O6" s="629"/>
      <c r="P6" s="629"/>
      <c r="Q6" s="628">
        <f>SUM(R6:U6)</f>
        <v>0</v>
      </c>
      <c r="R6" s="629"/>
      <c r="S6" s="629"/>
      <c r="T6" s="629"/>
      <c r="U6" s="629"/>
    </row>
    <row r="7" spans="1:22" s="611" customFormat="1" ht="20.100000000000001" customHeight="1">
      <c r="G7" s="628">
        <f>SUM(H7:K7)</f>
        <v>0</v>
      </c>
      <c r="H7" s="629"/>
      <c r="I7" s="629"/>
      <c r="J7" s="629"/>
      <c r="K7" s="629"/>
      <c r="L7" s="629"/>
      <c r="M7" s="629"/>
      <c r="N7" s="629"/>
      <c r="O7" s="629"/>
      <c r="P7" s="629"/>
      <c r="Q7" s="628">
        <f>SUM(R7:U7)</f>
        <v>0</v>
      </c>
      <c r="R7" s="629"/>
      <c r="S7" s="629"/>
      <c r="T7" s="629"/>
      <c r="U7" s="629"/>
    </row>
    <row r="8" spans="1:22" s="611" customFormat="1" ht="20.100000000000001" customHeight="1">
      <c r="G8" s="628">
        <f t="shared" ref="G8:G19" si="0">SUM(H8:K8)</f>
        <v>0</v>
      </c>
      <c r="H8" s="629"/>
      <c r="I8" s="629"/>
      <c r="J8" s="629"/>
      <c r="K8" s="629"/>
      <c r="L8" s="629"/>
      <c r="M8" s="629"/>
      <c r="N8" s="629"/>
      <c r="O8" s="629"/>
      <c r="P8" s="629"/>
      <c r="Q8" s="628">
        <f t="shared" ref="Q8:Q19" si="1">SUM(R8:U8)</f>
        <v>0</v>
      </c>
      <c r="R8" s="629"/>
      <c r="S8" s="629"/>
      <c r="T8" s="629"/>
      <c r="U8" s="629"/>
    </row>
    <row r="9" spans="1:22" s="611" customFormat="1" ht="20.100000000000001" customHeight="1">
      <c r="G9" s="628">
        <f t="shared" si="0"/>
        <v>0</v>
      </c>
      <c r="H9" s="629"/>
      <c r="I9" s="629"/>
      <c r="J9" s="629"/>
      <c r="K9" s="629"/>
      <c r="L9" s="629"/>
      <c r="M9" s="629"/>
      <c r="N9" s="629"/>
      <c r="O9" s="629"/>
      <c r="P9" s="629"/>
      <c r="Q9" s="628">
        <f t="shared" si="1"/>
        <v>0</v>
      </c>
      <c r="R9" s="629"/>
      <c r="S9" s="629"/>
      <c r="T9" s="629"/>
      <c r="U9" s="629"/>
    </row>
    <row r="10" spans="1:22" s="611" customFormat="1" ht="20.100000000000001" customHeight="1">
      <c r="G10" s="628">
        <f t="shared" si="0"/>
        <v>0</v>
      </c>
      <c r="H10" s="629"/>
      <c r="I10" s="629"/>
      <c r="J10" s="629"/>
      <c r="K10" s="629"/>
      <c r="L10" s="629"/>
      <c r="M10" s="629"/>
      <c r="N10" s="629"/>
      <c r="O10" s="629"/>
      <c r="P10" s="629"/>
      <c r="Q10" s="628">
        <f t="shared" si="1"/>
        <v>0</v>
      </c>
      <c r="R10" s="629"/>
      <c r="S10" s="629"/>
      <c r="T10" s="629"/>
      <c r="U10" s="629"/>
    </row>
    <row r="11" spans="1:22" s="611" customFormat="1" ht="20.100000000000001" customHeight="1">
      <c r="G11" s="628">
        <f t="shared" si="0"/>
        <v>0</v>
      </c>
      <c r="H11" s="629"/>
      <c r="I11" s="629"/>
      <c r="J11" s="629"/>
      <c r="K11" s="629"/>
      <c r="L11" s="629"/>
      <c r="M11" s="629"/>
      <c r="N11" s="629"/>
      <c r="O11" s="629"/>
      <c r="P11" s="629"/>
      <c r="Q11" s="628">
        <f t="shared" si="1"/>
        <v>0</v>
      </c>
      <c r="R11" s="629"/>
      <c r="S11" s="629"/>
      <c r="T11" s="629"/>
      <c r="U11" s="629"/>
    </row>
    <row r="12" spans="1:22" s="611" customFormat="1" ht="20.100000000000001" customHeight="1">
      <c r="G12" s="628">
        <f t="shared" si="0"/>
        <v>0</v>
      </c>
      <c r="H12" s="629"/>
      <c r="I12" s="629"/>
      <c r="J12" s="629"/>
      <c r="K12" s="629"/>
      <c r="L12" s="629"/>
      <c r="M12" s="629"/>
      <c r="N12" s="629"/>
      <c r="O12" s="629"/>
      <c r="P12" s="629"/>
      <c r="Q12" s="628">
        <f t="shared" si="1"/>
        <v>0</v>
      </c>
      <c r="R12" s="629"/>
      <c r="S12" s="629"/>
      <c r="T12" s="629"/>
      <c r="U12" s="629"/>
    </row>
    <row r="13" spans="1:22" s="611" customFormat="1" ht="20.100000000000001" customHeight="1">
      <c r="G13" s="628">
        <f t="shared" si="0"/>
        <v>0</v>
      </c>
      <c r="H13" s="629"/>
      <c r="I13" s="629"/>
      <c r="J13" s="629"/>
      <c r="K13" s="629"/>
      <c r="L13" s="629"/>
      <c r="M13" s="629"/>
      <c r="N13" s="629"/>
      <c r="O13" s="629"/>
      <c r="P13" s="629"/>
      <c r="Q13" s="628">
        <f t="shared" si="1"/>
        <v>0</v>
      </c>
      <c r="R13" s="629"/>
      <c r="S13" s="629"/>
      <c r="T13" s="629"/>
      <c r="U13" s="629"/>
    </row>
    <row r="14" spans="1:22" s="611" customFormat="1" ht="20.100000000000001" customHeight="1">
      <c r="G14" s="628">
        <f t="shared" si="0"/>
        <v>0</v>
      </c>
      <c r="H14" s="629"/>
      <c r="I14" s="629"/>
      <c r="J14" s="629"/>
      <c r="K14" s="629"/>
      <c r="L14" s="629"/>
      <c r="M14" s="629"/>
      <c r="N14" s="629"/>
      <c r="O14" s="629"/>
      <c r="P14" s="629"/>
      <c r="Q14" s="628">
        <f t="shared" si="1"/>
        <v>0</v>
      </c>
      <c r="R14" s="629"/>
      <c r="S14" s="629"/>
      <c r="T14" s="629"/>
      <c r="U14" s="629"/>
    </row>
    <row r="15" spans="1:22" s="611" customFormat="1" ht="20.100000000000001" customHeight="1">
      <c r="G15" s="628">
        <f t="shared" si="0"/>
        <v>0</v>
      </c>
      <c r="H15" s="629"/>
      <c r="I15" s="629"/>
      <c r="J15" s="629"/>
      <c r="K15" s="629"/>
      <c r="L15" s="629"/>
      <c r="M15" s="629"/>
      <c r="N15" s="629"/>
      <c r="O15" s="629"/>
      <c r="P15" s="629"/>
      <c r="Q15" s="628">
        <f t="shared" si="1"/>
        <v>0</v>
      </c>
      <c r="R15" s="629"/>
      <c r="S15" s="629"/>
      <c r="T15" s="629"/>
      <c r="U15" s="629"/>
    </row>
    <row r="16" spans="1:22" s="611" customFormat="1" ht="20.100000000000001" customHeight="1">
      <c r="G16" s="628">
        <f t="shared" si="0"/>
        <v>0</v>
      </c>
      <c r="H16" s="629"/>
      <c r="I16" s="629"/>
      <c r="J16" s="629"/>
      <c r="K16" s="629"/>
      <c r="L16" s="629"/>
      <c r="M16" s="629"/>
      <c r="N16" s="629"/>
      <c r="O16" s="629"/>
      <c r="P16" s="629"/>
      <c r="Q16" s="628">
        <f t="shared" si="1"/>
        <v>0</v>
      </c>
      <c r="R16" s="629"/>
      <c r="S16" s="629"/>
      <c r="T16" s="629"/>
      <c r="U16" s="629"/>
    </row>
    <row r="17" spans="1:21" s="611" customFormat="1" ht="20.100000000000001" customHeight="1">
      <c r="G17" s="628">
        <f t="shared" si="0"/>
        <v>0</v>
      </c>
      <c r="H17" s="629"/>
      <c r="I17" s="629"/>
      <c r="J17" s="629"/>
      <c r="K17" s="629"/>
      <c r="L17" s="629"/>
      <c r="M17" s="629"/>
      <c r="N17" s="629"/>
      <c r="O17" s="629"/>
      <c r="P17" s="629"/>
      <c r="Q17" s="628">
        <f t="shared" si="1"/>
        <v>0</v>
      </c>
      <c r="R17" s="629"/>
      <c r="S17" s="629"/>
      <c r="T17" s="629"/>
      <c r="U17" s="629"/>
    </row>
    <row r="18" spans="1:21" s="611" customFormat="1" ht="20.100000000000001" customHeight="1">
      <c r="G18" s="628">
        <f t="shared" si="0"/>
        <v>0</v>
      </c>
      <c r="H18" s="629"/>
      <c r="I18" s="629"/>
      <c r="J18" s="629"/>
      <c r="K18" s="629"/>
      <c r="L18" s="629"/>
      <c r="M18" s="629"/>
      <c r="N18" s="629"/>
      <c r="O18" s="629"/>
      <c r="P18" s="629"/>
      <c r="Q18" s="628">
        <f t="shared" si="1"/>
        <v>0</v>
      </c>
      <c r="R18" s="629"/>
      <c r="S18" s="629"/>
      <c r="T18" s="629"/>
      <c r="U18" s="629"/>
    </row>
    <row r="19" spans="1:21" s="611" customFormat="1" ht="20.100000000000001" customHeight="1">
      <c r="G19" s="628">
        <f t="shared" si="0"/>
        <v>0</v>
      </c>
      <c r="H19" s="629"/>
      <c r="I19" s="629"/>
      <c r="J19" s="629"/>
      <c r="K19" s="629"/>
      <c r="L19" s="629"/>
      <c r="M19" s="629"/>
      <c r="N19" s="629"/>
      <c r="O19" s="629"/>
      <c r="P19" s="629"/>
      <c r="Q19" s="628">
        <f t="shared" si="1"/>
        <v>0</v>
      </c>
      <c r="R19" s="629"/>
      <c r="S19" s="629"/>
      <c r="T19" s="629"/>
      <c r="U19" s="629"/>
    </row>
    <row r="20" spans="1:21" s="611" customFormat="1" ht="20.100000000000001" customHeight="1">
      <c r="A20" s="611" t="s">
        <v>142</v>
      </c>
      <c r="G20" s="628">
        <f t="shared" ref="G20:U20" si="2">SUM(G6:G19)</f>
        <v>0</v>
      </c>
      <c r="H20" s="628">
        <f t="shared" si="2"/>
        <v>0</v>
      </c>
      <c r="I20" s="628">
        <f t="shared" si="2"/>
        <v>0</v>
      </c>
      <c r="J20" s="628">
        <f t="shared" si="2"/>
        <v>0</v>
      </c>
      <c r="K20" s="628">
        <f t="shared" si="2"/>
        <v>0</v>
      </c>
      <c r="L20" s="629"/>
      <c r="M20" s="629"/>
      <c r="N20" s="629"/>
      <c r="O20" s="629"/>
      <c r="P20" s="629"/>
      <c r="Q20" s="628">
        <f t="shared" si="2"/>
        <v>0</v>
      </c>
      <c r="R20" s="628">
        <f t="shared" si="2"/>
        <v>0</v>
      </c>
      <c r="S20" s="628">
        <f t="shared" si="2"/>
        <v>0</v>
      </c>
      <c r="T20" s="628">
        <f t="shared" si="2"/>
        <v>0</v>
      </c>
      <c r="U20" s="628">
        <f t="shared" si="2"/>
        <v>0</v>
      </c>
    </row>
    <row r="21" spans="1:21" s="611" customFormat="1" ht="20.100000000000001" customHeight="1">
      <c r="A21" s="1230" t="s">
        <v>545</v>
      </c>
      <c r="B21" s="1231" t="s">
        <v>546</v>
      </c>
      <c r="C21" s="1231"/>
      <c r="D21" s="1231"/>
      <c r="E21" s="1231"/>
      <c r="F21" s="1231"/>
      <c r="G21" s="1233" t="s">
        <v>547</v>
      </c>
      <c r="H21" s="1233"/>
      <c r="I21" s="1233"/>
      <c r="J21" s="1233"/>
      <c r="K21" s="1233"/>
      <c r="L21" s="1231" t="s">
        <v>548</v>
      </c>
      <c r="M21" s="1231"/>
      <c r="N21" s="1231"/>
      <c r="O21" s="1231"/>
      <c r="P21" s="1231"/>
      <c r="Q21" s="1233" t="s">
        <v>549</v>
      </c>
      <c r="R21" s="1233"/>
      <c r="S21" s="1233"/>
      <c r="T21" s="1233"/>
      <c r="U21" s="1233"/>
    </row>
    <row r="22" spans="1:21" s="611" customFormat="1" ht="20.100000000000001" customHeight="1">
      <c r="A22" s="1230"/>
      <c r="B22" s="591" t="s">
        <v>523</v>
      </c>
      <c r="C22" s="601" t="s">
        <v>541</v>
      </c>
      <c r="D22" s="601" t="s">
        <v>542</v>
      </c>
      <c r="E22" s="601" t="s">
        <v>543</v>
      </c>
      <c r="F22" s="601" t="s">
        <v>544</v>
      </c>
      <c r="G22" s="631" t="s">
        <v>523</v>
      </c>
      <c r="H22" s="630" t="s">
        <v>541</v>
      </c>
      <c r="I22" s="630" t="s">
        <v>542</v>
      </c>
      <c r="J22" s="630" t="s">
        <v>543</v>
      </c>
      <c r="K22" s="633" t="s">
        <v>544</v>
      </c>
      <c r="L22" s="591" t="s">
        <v>523</v>
      </c>
      <c r="M22" s="601" t="s">
        <v>541</v>
      </c>
      <c r="N22" s="601" t="s">
        <v>542</v>
      </c>
      <c r="O22" s="601" t="s">
        <v>543</v>
      </c>
      <c r="P22" s="601" t="s">
        <v>544</v>
      </c>
      <c r="Q22" s="631" t="s">
        <v>523</v>
      </c>
      <c r="R22" s="630" t="s">
        <v>541</v>
      </c>
      <c r="S22" s="630" t="s">
        <v>542</v>
      </c>
      <c r="T22" s="630" t="s">
        <v>543</v>
      </c>
      <c r="U22" s="630" t="s">
        <v>544</v>
      </c>
    </row>
    <row r="23" spans="1:21" s="611" customFormat="1" ht="20.100000000000001" customHeight="1">
      <c r="A23" s="632">
        <f t="shared" ref="A23:A36" si="3">A6</f>
        <v>0</v>
      </c>
      <c r="G23" s="628">
        <f t="shared" ref="G23:G36" si="4">SUM(H23:K23)</f>
        <v>0</v>
      </c>
      <c r="H23" s="629"/>
      <c r="I23" s="629"/>
      <c r="J23" s="629"/>
      <c r="K23" s="629"/>
      <c r="L23" s="629"/>
      <c r="M23" s="629"/>
      <c r="N23" s="629"/>
      <c r="O23" s="629"/>
      <c r="P23" s="629"/>
      <c r="Q23" s="628">
        <f t="shared" ref="Q23:Q36" si="5">SUM(R23:U23)</f>
        <v>0</v>
      </c>
      <c r="R23" s="629"/>
      <c r="S23" s="629"/>
      <c r="T23" s="629"/>
      <c r="U23" s="629"/>
    </row>
    <row r="24" spans="1:21" s="611" customFormat="1" ht="20.100000000000001" customHeight="1">
      <c r="A24" s="632">
        <f t="shared" si="3"/>
        <v>0</v>
      </c>
      <c r="G24" s="628">
        <f t="shared" si="4"/>
        <v>0</v>
      </c>
      <c r="H24" s="629"/>
      <c r="I24" s="629"/>
      <c r="J24" s="629"/>
      <c r="K24" s="629"/>
      <c r="L24" s="629"/>
      <c r="M24" s="629"/>
      <c r="N24" s="629"/>
      <c r="O24" s="629"/>
      <c r="P24" s="629"/>
      <c r="Q24" s="628">
        <f t="shared" si="5"/>
        <v>0</v>
      </c>
      <c r="R24" s="629"/>
      <c r="S24" s="629"/>
      <c r="T24" s="629"/>
      <c r="U24" s="629"/>
    </row>
    <row r="25" spans="1:21" s="611" customFormat="1" ht="20.100000000000001" customHeight="1">
      <c r="A25" s="632">
        <f t="shared" si="3"/>
        <v>0</v>
      </c>
      <c r="G25" s="628">
        <f t="shared" si="4"/>
        <v>0</v>
      </c>
      <c r="H25" s="629"/>
      <c r="I25" s="629"/>
      <c r="J25" s="629"/>
      <c r="K25" s="629"/>
      <c r="L25" s="629"/>
      <c r="M25" s="629"/>
      <c r="N25" s="629"/>
      <c r="O25" s="629"/>
      <c r="P25" s="629"/>
      <c r="Q25" s="628">
        <f t="shared" si="5"/>
        <v>0</v>
      </c>
      <c r="R25" s="629"/>
      <c r="S25" s="629"/>
      <c r="T25" s="629"/>
      <c r="U25" s="629"/>
    </row>
    <row r="26" spans="1:21" s="611" customFormat="1" ht="20.100000000000001" customHeight="1">
      <c r="A26" s="632">
        <f t="shared" si="3"/>
        <v>0</v>
      </c>
      <c r="G26" s="628">
        <f t="shared" si="4"/>
        <v>0</v>
      </c>
      <c r="H26" s="629"/>
      <c r="I26" s="629"/>
      <c r="J26" s="629"/>
      <c r="K26" s="629"/>
      <c r="L26" s="629"/>
      <c r="M26" s="629"/>
      <c r="N26" s="629"/>
      <c r="O26" s="629"/>
      <c r="P26" s="629"/>
      <c r="Q26" s="628">
        <f t="shared" si="5"/>
        <v>0</v>
      </c>
      <c r="R26" s="629"/>
      <c r="S26" s="629"/>
      <c r="T26" s="629"/>
      <c r="U26" s="629"/>
    </row>
    <row r="27" spans="1:21" s="611" customFormat="1" ht="20.100000000000001" customHeight="1">
      <c r="A27" s="632">
        <f t="shared" si="3"/>
        <v>0</v>
      </c>
      <c r="G27" s="628">
        <f t="shared" si="4"/>
        <v>0</v>
      </c>
      <c r="H27" s="629"/>
      <c r="I27" s="629"/>
      <c r="J27" s="629"/>
      <c r="K27" s="629"/>
      <c r="L27" s="629"/>
      <c r="M27" s="629"/>
      <c r="N27" s="629"/>
      <c r="O27" s="629"/>
      <c r="P27" s="629"/>
      <c r="Q27" s="628">
        <f t="shared" si="5"/>
        <v>0</v>
      </c>
      <c r="R27" s="629"/>
      <c r="S27" s="629"/>
      <c r="T27" s="629"/>
      <c r="U27" s="629"/>
    </row>
    <row r="28" spans="1:21" s="611" customFormat="1" ht="20.100000000000001" customHeight="1">
      <c r="A28" s="632">
        <f t="shared" si="3"/>
        <v>0</v>
      </c>
      <c r="G28" s="628">
        <f t="shared" si="4"/>
        <v>0</v>
      </c>
      <c r="H28" s="629"/>
      <c r="I28" s="629"/>
      <c r="J28" s="629"/>
      <c r="K28" s="629"/>
      <c r="L28" s="629"/>
      <c r="M28" s="629"/>
      <c r="N28" s="629"/>
      <c r="O28" s="629"/>
      <c r="P28" s="629"/>
      <c r="Q28" s="628">
        <f t="shared" si="5"/>
        <v>0</v>
      </c>
      <c r="R28" s="629"/>
      <c r="S28" s="629"/>
      <c r="T28" s="629"/>
      <c r="U28" s="629"/>
    </row>
    <row r="29" spans="1:21" s="611" customFormat="1" ht="20.100000000000001" customHeight="1">
      <c r="A29" s="632">
        <f t="shared" si="3"/>
        <v>0</v>
      </c>
      <c r="G29" s="628">
        <f t="shared" si="4"/>
        <v>0</v>
      </c>
      <c r="H29" s="629"/>
      <c r="I29" s="629"/>
      <c r="J29" s="629"/>
      <c r="K29" s="629"/>
      <c r="L29" s="629"/>
      <c r="M29" s="629"/>
      <c r="N29" s="629"/>
      <c r="O29" s="629"/>
      <c r="P29" s="629"/>
      <c r="Q29" s="628">
        <f t="shared" si="5"/>
        <v>0</v>
      </c>
      <c r="R29" s="629"/>
      <c r="S29" s="629"/>
      <c r="T29" s="629"/>
      <c r="U29" s="629"/>
    </row>
    <row r="30" spans="1:21" s="611" customFormat="1" ht="20.100000000000001" customHeight="1">
      <c r="A30" s="632">
        <f t="shared" si="3"/>
        <v>0</v>
      </c>
      <c r="G30" s="628">
        <f t="shared" si="4"/>
        <v>0</v>
      </c>
      <c r="H30" s="629"/>
      <c r="I30" s="629"/>
      <c r="J30" s="629"/>
      <c r="K30" s="629"/>
      <c r="L30" s="629"/>
      <c r="M30" s="629"/>
      <c r="N30" s="629"/>
      <c r="O30" s="629"/>
      <c r="P30" s="629"/>
      <c r="Q30" s="628">
        <f t="shared" si="5"/>
        <v>0</v>
      </c>
      <c r="R30" s="629"/>
      <c r="S30" s="629"/>
      <c r="T30" s="629"/>
      <c r="U30" s="629"/>
    </row>
    <row r="31" spans="1:21" s="611" customFormat="1" ht="20.100000000000001" customHeight="1">
      <c r="A31" s="632">
        <f t="shared" si="3"/>
        <v>0</v>
      </c>
      <c r="G31" s="628">
        <f t="shared" si="4"/>
        <v>0</v>
      </c>
      <c r="H31" s="629"/>
      <c r="I31" s="629"/>
      <c r="J31" s="629"/>
      <c r="K31" s="629"/>
      <c r="L31" s="629"/>
      <c r="M31" s="629"/>
      <c r="N31" s="629"/>
      <c r="O31" s="629"/>
      <c r="P31" s="629"/>
      <c r="Q31" s="628">
        <f t="shared" si="5"/>
        <v>0</v>
      </c>
      <c r="R31" s="629"/>
      <c r="S31" s="629"/>
      <c r="T31" s="629"/>
      <c r="U31" s="629"/>
    </row>
    <row r="32" spans="1:21" s="611" customFormat="1" ht="20.100000000000001" customHeight="1">
      <c r="A32" s="632">
        <f t="shared" si="3"/>
        <v>0</v>
      </c>
      <c r="G32" s="628">
        <f t="shared" si="4"/>
        <v>0</v>
      </c>
      <c r="H32" s="629"/>
      <c r="I32" s="629"/>
      <c r="J32" s="629"/>
      <c r="K32" s="629"/>
      <c r="L32" s="629"/>
      <c r="M32" s="629"/>
      <c r="N32" s="629"/>
      <c r="O32" s="629"/>
      <c r="P32" s="629"/>
      <c r="Q32" s="628">
        <f t="shared" si="5"/>
        <v>0</v>
      </c>
      <c r="R32" s="629"/>
      <c r="S32" s="629"/>
      <c r="T32" s="629"/>
      <c r="U32" s="629"/>
    </row>
    <row r="33" spans="1:21" s="611" customFormat="1" ht="20.100000000000001" customHeight="1">
      <c r="A33" s="632">
        <f t="shared" si="3"/>
        <v>0</v>
      </c>
      <c r="G33" s="628">
        <f t="shared" si="4"/>
        <v>0</v>
      </c>
      <c r="H33" s="629"/>
      <c r="I33" s="629"/>
      <c r="J33" s="629"/>
      <c r="K33" s="629"/>
      <c r="L33" s="629"/>
      <c r="M33" s="629"/>
      <c r="N33" s="629"/>
      <c r="O33" s="629"/>
      <c r="P33" s="629"/>
      <c r="Q33" s="628">
        <f t="shared" si="5"/>
        <v>0</v>
      </c>
      <c r="R33" s="629"/>
      <c r="S33" s="629"/>
      <c r="T33" s="629"/>
      <c r="U33" s="629"/>
    </row>
    <row r="34" spans="1:21" s="611" customFormat="1" ht="20.100000000000001" customHeight="1">
      <c r="A34" s="632">
        <f t="shared" si="3"/>
        <v>0</v>
      </c>
      <c r="G34" s="628">
        <f t="shared" si="4"/>
        <v>0</v>
      </c>
      <c r="H34" s="629"/>
      <c r="I34" s="629"/>
      <c r="J34" s="629"/>
      <c r="K34" s="629"/>
      <c r="L34" s="629"/>
      <c r="M34" s="629"/>
      <c r="N34" s="629"/>
      <c r="O34" s="629"/>
      <c r="P34" s="629"/>
      <c r="Q34" s="628">
        <f t="shared" si="5"/>
        <v>0</v>
      </c>
      <c r="R34" s="629"/>
      <c r="S34" s="629"/>
      <c r="T34" s="629"/>
      <c r="U34" s="629"/>
    </row>
    <row r="35" spans="1:21" s="611" customFormat="1" ht="20.100000000000001" customHeight="1">
      <c r="A35" s="632">
        <f t="shared" si="3"/>
        <v>0</v>
      </c>
      <c r="G35" s="628">
        <f t="shared" si="4"/>
        <v>0</v>
      </c>
      <c r="H35" s="629"/>
      <c r="I35" s="629"/>
      <c r="J35" s="629"/>
      <c r="K35" s="629"/>
      <c r="L35" s="629"/>
      <c r="M35" s="629"/>
      <c r="N35" s="629"/>
      <c r="O35" s="629"/>
      <c r="P35" s="629"/>
      <c r="Q35" s="628">
        <f t="shared" si="5"/>
        <v>0</v>
      </c>
      <c r="R35" s="629"/>
      <c r="S35" s="629"/>
      <c r="T35" s="629"/>
      <c r="U35" s="629"/>
    </row>
    <row r="36" spans="1:21" s="611" customFormat="1" ht="20.100000000000001" customHeight="1">
      <c r="A36" s="632">
        <f t="shared" si="3"/>
        <v>0</v>
      </c>
      <c r="G36" s="628">
        <f t="shared" si="4"/>
        <v>0</v>
      </c>
      <c r="H36" s="629"/>
      <c r="I36" s="629"/>
      <c r="J36" s="629"/>
      <c r="K36" s="629"/>
      <c r="L36" s="629"/>
      <c r="M36" s="629"/>
      <c r="N36" s="629"/>
      <c r="O36" s="629"/>
      <c r="P36" s="629"/>
      <c r="Q36" s="628">
        <f t="shared" si="5"/>
        <v>0</v>
      </c>
      <c r="R36" s="629"/>
      <c r="S36" s="629"/>
      <c r="T36" s="629"/>
      <c r="U36" s="629"/>
    </row>
    <row r="37" spans="1:21" s="611" customFormat="1" ht="20.100000000000001" customHeight="1">
      <c r="A37" s="611" t="s">
        <v>142</v>
      </c>
      <c r="G37" s="628">
        <f t="shared" ref="G37:U37" si="6">SUM(G23:G36)</f>
        <v>0</v>
      </c>
      <c r="H37" s="628">
        <f t="shared" si="6"/>
        <v>0</v>
      </c>
      <c r="I37" s="628">
        <f t="shared" si="6"/>
        <v>0</v>
      </c>
      <c r="J37" s="628">
        <f t="shared" si="6"/>
        <v>0</v>
      </c>
      <c r="K37" s="628">
        <f t="shared" si="6"/>
        <v>0</v>
      </c>
      <c r="L37" s="629"/>
      <c r="M37" s="629"/>
      <c r="N37" s="629"/>
      <c r="O37" s="629"/>
      <c r="P37" s="629"/>
      <c r="Q37" s="628">
        <f t="shared" si="6"/>
        <v>0</v>
      </c>
      <c r="R37" s="628">
        <f t="shared" si="6"/>
        <v>0</v>
      </c>
      <c r="S37" s="628">
        <f t="shared" si="6"/>
        <v>0</v>
      </c>
      <c r="T37" s="628">
        <f t="shared" si="6"/>
        <v>0</v>
      </c>
      <c r="U37" s="628">
        <f t="shared" si="6"/>
        <v>0</v>
      </c>
    </row>
  </sheetData>
  <mergeCells count="10">
    <mergeCell ref="A4:A5"/>
    <mergeCell ref="A21:A22"/>
    <mergeCell ref="B4:F4"/>
    <mergeCell ref="G4:K4"/>
    <mergeCell ref="L4:P4"/>
    <mergeCell ref="Q4:U4"/>
    <mergeCell ref="B21:F21"/>
    <mergeCell ref="G21:K21"/>
    <mergeCell ref="L21:P21"/>
    <mergeCell ref="Q21:U21"/>
  </mergeCells>
  <phoneticPr fontId="76" type="noConversion"/>
  <pageMargins left="0.98402777777777795" right="0.43263888888888902" top="0.66805555555555596" bottom="0.39305555555555599" header="0.31388888888888899" footer="0.15625"/>
  <pageSetup paperSize="9" scale="94" orientation="portrait" blackAndWhite="1" r:id="rId1"/>
  <headerFooter alignWithMargins="0"/>
  <colBreaks count="3" manualBreakCount="3">
    <brk id="6" max="1048575" man="1"/>
    <brk id="11" max="1048575" man="1"/>
    <brk id="16"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view="pageBreakPreview" topLeftCell="O1" zoomScaleNormal="100" zoomScaleSheetLayoutView="100" workbookViewId="0">
      <selection activeCell="AF1" sqref="AF1"/>
    </sheetView>
  </sheetViews>
  <sheetFormatPr defaultColWidth="9" defaultRowHeight="20.100000000000001" customHeight="1"/>
  <cols>
    <col min="1" max="1" width="13.625" style="104" customWidth="1"/>
    <col min="2" max="2" width="16.125" style="104" customWidth="1"/>
    <col min="3" max="3" width="13" style="104" customWidth="1"/>
    <col min="4" max="7" width="16.875" style="104" customWidth="1"/>
    <col min="8" max="8" width="9" style="104"/>
    <col min="9" max="10" width="11.125" style="104" customWidth="1"/>
    <col min="11" max="11" width="14.625" style="104" customWidth="1"/>
    <col min="12" max="12" width="12.5" style="104" customWidth="1"/>
    <col min="13" max="13" width="11.75" style="104" customWidth="1"/>
    <col min="14" max="16384" width="9" style="104"/>
  </cols>
  <sheetData>
    <row r="1" spans="1:8" s="604" customFormat="1" ht="24.95" customHeight="1">
      <c r="A1" s="54" t="s">
        <v>145</v>
      </c>
      <c r="B1" s="55">
        <f>基础信息!B6</f>
        <v>0</v>
      </c>
      <c r="C1" s="595"/>
      <c r="D1" s="605"/>
      <c r="E1" s="369"/>
      <c r="F1" s="605"/>
      <c r="G1" s="605"/>
      <c r="H1" s="606"/>
    </row>
    <row r="2" spans="1:8" s="604" customFormat="1" ht="24.95" customHeight="1">
      <c r="A2" s="54" t="str">
        <f>基础信息!A9</f>
        <v>财务期间</v>
      </c>
      <c r="B2" s="55">
        <f>基础信息!B9</f>
        <v>0</v>
      </c>
      <c r="C2" s="595"/>
      <c r="D2" s="605"/>
      <c r="E2" s="605"/>
      <c r="F2" s="605"/>
      <c r="G2" s="605"/>
      <c r="H2" s="606"/>
    </row>
    <row r="3" spans="1:8" s="604" customFormat="1" ht="24.95" customHeight="1">
      <c r="A3" s="54" t="s">
        <v>148</v>
      </c>
      <c r="B3" s="54" t="s">
        <v>550</v>
      </c>
      <c r="C3" s="607"/>
      <c r="D3" s="608"/>
      <c r="E3" s="608"/>
      <c r="F3" s="608"/>
      <c r="G3" s="608"/>
      <c r="H3" s="606"/>
    </row>
    <row r="4" spans="1:8" s="102" customFormat="1" ht="35.25" customHeight="1">
      <c r="A4" s="16" t="s">
        <v>551</v>
      </c>
      <c r="B4" s="16" t="s">
        <v>552</v>
      </c>
      <c r="C4" s="16" t="s">
        <v>553</v>
      </c>
      <c r="D4" s="16" t="s">
        <v>554</v>
      </c>
      <c r="E4" s="16" t="s">
        <v>555</v>
      </c>
      <c r="F4" s="16" t="s">
        <v>556</v>
      </c>
      <c r="G4" s="26" t="s">
        <v>557</v>
      </c>
    </row>
    <row r="5" spans="1:8" s="102" customFormat="1" ht="20.100000000000001" customHeight="1">
      <c r="D5" s="599"/>
      <c r="E5" s="599"/>
      <c r="F5" s="599"/>
      <c r="G5" s="609"/>
    </row>
    <row r="6" spans="1:8" s="102" customFormat="1" ht="20.100000000000001" customHeight="1">
      <c r="D6" s="599"/>
      <c r="E6" s="599"/>
      <c r="F6" s="599"/>
      <c r="G6" s="609"/>
    </row>
    <row r="7" spans="1:8" s="102" customFormat="1" ht="20.100000000000001" customHeight="1">
      <c r="D7" s="599"/>
      <c r="E7" s="599"/>
      <c r="F7" s="599"/>
      <c r="G7" s="609"/>
    </row>
    <row r="8" spans="1:8" s="102" customFormat="1" ht="20.100000000000001" customHeight="1">
      <c r="D8" s="599"/>
      <c r="E8" s="599"/>
      <c r="F8" s="599"/>
      <c r="G8" s="609"/>
    </row>
    <row r="9" spans="1:8" s="102" customFormat="1" ht="20.100000000000001" customHeight="1">
      <c r="D9" s="599"/>
      <c r="E9" s="599"/>
      <c r="F9" s="599"/>
      <c r="G9" s="609"/>
    </row>
    <row r="10" spans="1:8" s="102" customFormat="1" ht="20.100000000000001" customHeight="1">
      <c r="D10" s="599"/>
      <c r="E10" s="599"/>
      <c r="F10" s="599"/>
      <c r="G10" s="609"/>
    </row>
    <row r="11" spans="1:8" s="102" customFormat="1" ht="20.100000000000001" customHeight="1">
      <c r="D11" s="599"/>
      <c r="E11" s="599"/>
      <c r="F11" s="599"/>
      <c r="G11" s="609"/>
    </row>
    <row r="12" spans="1:8" s="102" customFormat="1" ht="20.100000000000001" customHeight="1">
      <c r="D12" s="599"/>
      <c r="E12" s="599"/>
      <c r="F12" s="599"/>
      <c r="G12" s="609"/>
    </row>
    <row r="13" spans="1:8" s="102" customFormat="1" ht="20.100000000000001" customHeight="1">
      <c r="D13" s="599"/>
      <c r="E13" s="599"/>
      <c r="F13" s="599"/>
      <c r="G13" s="609"/>
    </row>
    <row r="14" spans="1:8" s="102" customFormat="1" ht="20.100000000000001" customHeight="1">
      <c r="D14" s="599"/>
      <c r="E14" s="599"/>
      <c r="F14" s="599"/>
      <c r="G14" s="609"/>
    </row>
    <row r="15" spans="1:8" s="102" customFormat="1" ht="20.100000000000001" customHeight="1">
      <c r="D15" s="599"/>
      <c r="E15" s="599"/>
      <c r="F15" s="599"/>
      <c r="G15" s="609"/>
    </row>
    <row r="16" spans="1:8" s="102" customFormat="1" ht="20.100000000000001" customHeight="1">
      <c r="D16" s="599"/>
      <c r="E16" s="599"/>
      <c r="F16" s="599"/>
      <c r="G16" s="609"/>
    </row>
    <row r="17" spans="1:7" s="102" customFormat="1" ht="20.100000000000001" customHeight="1">
      <c r="D17" s="599"/>
      <c r="E17" s="599"/>
      <c r="F17" s="599"/>
      <c r="G17" s="609"/>
    </row>
    <row r="18" spans="1:7" s="102" customFormat="1" ht="20.100000000000001" customHeight="1">
      <c r="D18" s="599"/>
      <c r="E18" s="599"/>
      <c r="F18" s="599"/>
      <c r="G18" s="609"/>
    </row>
    <row r="19" spans="1:7" s="102" customFormat="1" ht="20.100000000000001" customHeight="1">
      <c r="D19" s="599"/>
      <c r="E19" s="599"/>
      <c r="F19" s="599"/>
      <c r="G19" s="609"/>
    </row>
    <row r="20" spans="1:7" s="102" customFormat="1" ht="20.100000000000001" customHeight="1">
      <c r="D20" s="599"/>
      <c r="E20" s="599"/>
      <c r="F20" s="599"/>
      <c r="G20" s="609"/>
    </row>
    <row r="21" spans="1:7" s="102" customFormat="1" ht="20.100000000000001" customHeight="1">
      <c r="D21" s="599"/>
      <c r="E21" s="599"/>
      <c r="F21" s="599"/>
      <c r="G21" s="609"/>
    </row>
    <row r="22" spans="1:7" s="102" customFormat="1" ht="20.100000000000001" customHeight="1">
      <c r="A22" s="102" t="s">
        <v>142</v>
      </c>
      <c r="D22" s="599"/>
      <c r="E22" s="599"/>
      <c r="F22" s="599"/>
      <c r="G22" s="609"/>
    </row>
  </sheetData>
  <phoneticPr fontId="76" type="noConversion"/>
  <dataValidations count="2">
    <dataValidation type="list" allowBlank="1" showInputMessage="1" showErrorMessage="1" sqref="B5:B21">
      <formula1>$J$4:$J$6</formula1>
    </dataValidation>
    <dataValidation type="list" allowBlank="1" showInputMessage="1" showErrorMessage="1" sqref="C5:C21">
      <formula1>$K$4:$K$8</formula1>
    </dataValidation>
  </dataValidations>
  <pageMargins left="1.1013888888888901" right="0.27500000000000002" top="0.98402777777777795" bottom="0.98402777777777795" header="0.51180555555555596" footer="0.51180555555555596"/>
  <pageSetup paperSize="9" orientation="landscape" blackAndWhite="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4"/>
  <sheetViews>
    <sheetView view="pageBreakPreview" zoomScaleNormal="100" zoomScaleSheetLayoutView="100" workbookViewId="0"/>
  </sheetViews>
  <sheetFormatPr defaultColWidth="9" defaultRowHeight="20.100000000000001" customHeight="1"/>
  <cols>
    <col min="1" max="1" width="13" style="104" customWidth="1"/>
    <col min="2" max="2" width="15" style="104" customWidth="1"/>
    <col min="3" max="3" width="12.375" style="104" customWidth="1"/>
    <col min="4" max="4" width="13" style="104" customWidth="1"/>
    <col min="5" max="5" width="14.625" style="104" customWidth="1"/>
    <col min="6" max="6" width="14" style="104" customWidth="1"/>
    <col min="7" max="7" width="13" style="104" customWidth="1"/>
    <col min="8" max="8" width="14.625" style="104" customWidth="1"/>
    <col min="9" max="9" width="14" style="104" customWidth="1"/>
    <col min="10" max="10" width="9.25" style="104" customWidth="1"/>
    <col min="11" max="12" width="10.125" style="104" customWidth="1"/>
    <col min="13" max="13" width="12.75" style="104" customWidth="1"/>
    <col min="14" max="14" width="14.125" style="104" customWidth="1"/>
    <col min="15" max="17" width="9" style="104"/>
    <col min="18" max="18" width="11.75" style="104" customWidth="1"/>
    <col min="19" max="19" width="14" style="104" customWidth="1"/>
    <col min="20" max="16384" width="9" style="104"/>
  </cols>
  <sheetData>
    <row r="1" spans="1:21" s="594" customFormat="1" ht="24.95" customHeight="1">
      <c r="A1" s="54" t="s">
        <v>145</v>
      </c>
      <c r="B1" s="55">
        <f>基础信息!B6</f>
        <v>0</v>
      </c>
      <c r="C1" s="595"/>
      <c r="D1" s="596"/>
      <c r="E1" s="14"/>
      <c r="F1" s="596"/>
      <c r="G1" s="596"/>
      <c r="H1" s="596"/>
      <c r="I1" s="596"/>
      <c r="J1" s="602"/>
    </row>
    <row r="2" spans="1:21" s="594" customFormat="1" ht="24.95" customHeight="1">
      <c r="A2" s="54" t="str">
        <f>基础信息!A9</f>
        <v>财务期间</v>
      </c>
      <c r="B2" s="55">
        <f>基础信息!B9</f>
        <v>0</v>
      </c>
      <c r="C2" s="595"/>
      <c r="D2" s="596"/>
      <c r="E2" s="596"/>
      <c r="F2" s="596"/>
      <c r="G2" s="596"/>
      <c r="H2" s="596"/>
      <c r="I2" s="596"/>
      <c r="J2" s="602"/>
    </row>
    <row r="3" spans="1:21" ht="24.95" customHeight="1">
      <c r="A3" s="97" t="s">
        <v>148</v>
      </c>
      <c r="B3" s="1234" t="s">
        <v>558</v>
      </c>
      <c r="C3" s="1235"/>
      <c r="D3" s="1235"/>
      <c r="E3" s="597"/>
      <c r="F3" s="597"/>
      <c r="G3" s="597"/>
      <c r="H3" s="597"/>
      <c r="I3" s="597"/>
      <c r="J3" s="355"/>
    </row>
    <row r="4" spans="1:21" s="102" customFormat="1" ht="20.100000000000001" customHeight="1">
      <c r="A4" s="598" t="s">
        <v>559</v>
      </c>
      <c r="B4" s="26"/>
      <c r="C4" s="26"/>
      <c r="D4" s="26"/>
      <c r="E4" s="26"/>
      <c r="F4" s="26"/>
      <c r="G4" s="26"/>
      <c r="H4" s="26"/>
      <c r="I4" s="26"/>
    </row>
    <row r="5" spans="1:21" s="290" customFormat="1" ht="38.25" customHeight="1">
      <c r="A5" s="591" t="s">
        <v>551</v>
      </c>
      <c r="B5" s="591" t="s">
        <v>560</v>
      </c>
      <c r="C5" s="591" t="s">
        <v>561</v>
      </c>
      <c r="D5" s="591" t="s">
        <v>562</v>
      </c>
      <c r="E5" s="591" t="s">
        <v>563</v>
      </c>
      <c r="F5" s="591" t="s">
        <v>564</v>
      </c>
      <c r="G5" s="591" t="s">
        <v>565</v>
      </c>
      <c r="H5" s="591" t="s">
        <v>566</v>
      </c>
      <c r="I5" s="591" t="s">
        <v>567</v>
      </c>
      <c r="J5" s="100" t="s">
        <v>568</v>
      </c>
      <c r="K5" s="252"/>
      <c r="L5" s="252"/>
      <c r="M5" s="252"/>
      <c r="N5" s="252"/>
      <c r="O5" s="252"/>
      <c r="R5" s="290" t="s">
        <v>569</v>
      </c>
      <c r="S5" s="290" t="s">
        <v>570</v>
      </c>
      <c r="T5" s="290" t="s">
        <v>571</v>
      </c>
      <c r="U5" s="290" t="s">
        <v>572</v>
      </c>
    </row>
    <row r="6" spans="1:21" s="290" customFormat="1" ht="20.100000000000001" customHeight="1">
      <c r="D6" s="599"/>
      <c r="E6" s="599"/>
      <c r="F6" s="599"/>
      <c r="G6" s="599"/>
      <c r="H6" s="599"/>
      <c r="I6" s="599"/>
      <c r="J6" s="603" t="str">
        <f>IF(G6-(D6-E6-F6)-H6=I6,"OK","NO")</f>
        <v>OK</v>
      </c>
      <c r="R6" s="290" t="s">
        <v>573</v>
      </c>
      <c r="S6" s="290" t="s">
        <v>574</v>
      </c>
      <c r="T6" s="290" t="s">
        <v>575</v>
      </c>
      <c r="U6" s="290" t="s">
        <v>576</v>
      </c>
    </row>
    <row r="7" spans="1:21" s="290" customFormat="1" ht="20.100000000000001" customHeight="1">
      <c r="D7" s="599"/>
      <c r="E7" s="599"/>
      <c r="F7" s="599"/>
      <c r="G7" s="599"/>
      <c r="H7" s="599"/>
      <c r="I7" s="599"/>
      <c r="J7" s="603" t="str">
        <f t="shared" ref="J7:J23" si="0">IF(G7-(D7-E7-F7)-H7=I7,"OK","NO")</f>
        <v>OK</v>
      </c>
      <c r="R7" s="290" t="s">
        <v>577</v>
      </c>
      <c r="S7" s="290" t="s">
        <v>578</v>
      </c>
      <c r="T7" s="290" t="s">
        <v>579</v>
      </c>
      <c r="U7" s="290" t="s">
        <v>580</v>
      </c>
    </row>
    <row r="8" spans="1:21" s="290" customFormat="1" ht="20.100000000000001" customHeight="1">
      <c r="D8" s="599"/>
      <c r="E8" s="599"/>
      <c r="F8" s="599"/>
      <c r="G8" s="599"/>
      <c r="H8" s="599"/>
      <c r="I8" s="599"/>
      <c r="J8" s="603" t="str">
        <f t="shared" si="0"/>
        <v>OK</v>
      </c>
      <c r="R8" s="290" t="s">
        <v>581</v>
      </c>
      <c r="S8" s="290" t="s">
        <v>582</v>
      </c>
      <c r="T8" s="290" t="s">
        <v>583</v>
      </c>
    </row>
    <row r="9" spans="1:21" s="290" customFormat="1" ht="20.100000000000001" customHeight="1">
      <c r="D9" s="599"/>
      <c r="E9" s="599"/>
      <c r="F9" s="599"/>
      <c r="G9" s="599"/>
      <c r="H9" s="599"/>
      <c r="I9" s="599"/>
      <c r="J9" s="603" t="str">
        <f t="shared" si="0"/>
        <v>OK</v>
      </c>
      <c r="R9" s="290" t="s">
        <v>584</v>
      </c>
      <c r="S9" s="290" t="s">
        <v>585</v>
      </c>
      <c r="T9" s="290" t="s">
        <v>586</v>
      </c>
    </row>
    <row r="10" spans="1:21" s="290" customFormat="1" ht="20.100000000000001" customHeight="1">
      <c r="D10" s="599"/>
      <c r="E10" s="599"/>
      <c r="F10" s="599"/>
      <c r="G10" s="599"/>
      <c r="H10" s="599"/>
      <c r="I10" s="599"/>
      <c r="J10" s="603" t="str">
        <f t="shared" si="0"/>
        <v>OK</v>
      </c>
      <c r="R10" s="290" t="s">
        <v>587</v>
      </c>
      <c r="S10" s="290" t="s">
        <v>588</v>
      </c>
      <c r="T10" s="290" t="s">
        <v>589</v>
      </c>
    </row>
    <row r="11" spans="1:21" s="290" customFormat="1" ht="20.100000000000001" customHeight="1">
      <c r="D11" s="599"/>
      <c r="E11" s="599"/>
      <c r="F11" s="599"/>
      <c r="G11" s="599"/>
      <c r="H11" s="599"/>
      <c r="I11" s="599"/>
      <c r="J11" s="603" t="str">
        <f t="shared" si="0"/>
        <v>OK</v>
      </c>
      <c r="R11" s="290" t="s">
        <v>590</v>
      </c>
      <c r="S11" s="290" t="s">
        <v>456</v>
      </c>
      <c r="T11" s="290" t="s">
        <v>591</v>
      </c>
    </row>
    <row r="12" spans="1:21" s="290" customFormat="1" ht="20.100000000000001" customHeight="1">
      <c r="D12" s="599"/>
      <c r="E12" s="599"/>
      <c r="F12" s="599"/>
      <c r="G12" s="599"/>
      <c r="H12" s="599"/>
      <c r="I12" s="599"/>
      <c r="J12" s="603" t="str">
        <f t="shared" si="0"/>
        <v>OK</v>
      </c>
      <c r="R12" s="290" t="s">
        <v>592</v>
      </c>
    </row>
    <row r="13" spans="1:21" s="290" customFormat="1" ht="20.100000000000001" customHeight="1">
      <c r="D13" s="599"/>
      <c r="E13" s="599"/>
      <c r="F13" s="599"/>
      <c r="G13" s="599"/>
      <c r="H13" s="599"/>
      <c r="I13" s="599"/>
      <c r="J13" s="603" t="str">
        <f t="shared" si="0"/>
        <v>OK</v>
      </c>
      <c r="R13" s="290" t="s">
        <v>593</v>
      </c>
      <c r="S13" s="290" t="s">
        <v>570</v>
      </c>
      <c r="T13" s="290" t="s">
        <v>571</v>
      </c>
    </row>
    <row r="14" spans="1:21" s="290" customFormat="1" ht="20.100000000000001" customHeight="1">
      <c r="D14" s="599"/>
      <c r="E14" s="599"/>
      <c r="F14" s="599"/>
      <c r="G14" s="599"/>
      <c r="H14" s="599"/>
      <c r="I14" s="599"/>
      <c r="J14" s="603" t="str">
        <f t="shared" si="0"/>
        <v>OK</v>
      </c>
      <c r="R14" s="290" t="s">
        <v>594</v>
      </c>
      <c r="S14" s="290" t="s">
        <v>595</v>
      </c>
    </row>
    <row r="15" spans="1:21" s="290" customFormat="1" ht="20.100000000000001" customHeight="1">
      <c r="D15" s="599"/>
      <c r="E15" s="599"/>
      <c r="F15" s="599"/>
      <c r="G15" s="599"/>
      <c r="H15" s="599"/>
      <c r="I15" s="599"/>
      <c r="J15" s="603" t="str">
        <f t="shared" si="0"/>
        <v>OK</v>
      </c>
      <c r="R15" s="290" t="s">
        <v>596</v>
      </c>
      <c r="S15" s="290" t="s">
        <v>597</v>
      </c>
      <c r="T15" s="290" t="s">
        <v>598</v>
      </c>
    </row>
    <row r="16" spans="1:21" s="290" customFormat="1" ht="20.100000000000001" customHeight="1">
      <c r="D16" s="599"/>
      <c r="E16" s="599"/>
      <c r="F16" s="599"/>
      <c r="G16" s="599"/>
      <c r="H16" s="599"/>
      <c r="I16" s="599"/>
      <c r="J16" s="603" t="str">
        <f t="shared" si="0"/>
        <v>OK</v>
      </c>
      <c r="R16" s="290" t="s">
        <v>599</v>
      </c>
      <c r="S16" s="290" t="s">
        <v>600</v>
      </c>
      <c r="T16" s="290" t="s">
        <v>601</v>
      </c>
    </row>
    <row r="17" spans="1:20" s="290" customFormat="1" ht="20.100000000000001" customHeight="1">
      <c r="D17" s="599"/>
      <c r="E17" s="599"/>
      <c r="F17" s="599"/>
      <c r="G17" s="599"/>
      <c r="H17" s="599"/>
      <c r="I17" s="599"/>
      <c r="J17" s="603" t="str">
        <f t="shared" si="0"/>
        <v>OK</v>
      </c>
      <c r="R17" s="290" t="s">
        <v>602</v>
      </c>
      <c r="S17" s="290" t="s">
        <v>603</v>
      </c>
      <c r="T17" s="290" t="s">
        <v>604</v>
      </c>
    </row>
    <row r="18" spans="1:20" s="290" customFormat="1" ht="20.100000000000001" customHeight="1">
      <c r="D18" s="599"/>
      <c r="E18" s="599"/>
      <c r="F18" s="599"/>
      <c r="G18" s="599"/>
      <c r="H18" s="599"/>
      <c r="I18" s="599"/>
      <c r="J18" s="603" t="str">
        <f t="shared" si="0"/>
        <v>OK</v>
      </c>
      <c r="R18" s="290" t="s">
        <v>605</v>
      </c>
    </row>
    <row r="19" spans="1:20" s="290" customFormat="1" ht="20.100000000000001" customHeight="1">
      <c r="D19" s="599"/>
      <c r="E19" s="599"/>
      <c r="F19" s="599"/>
      <c r="G19" s="599"/>
      <c r="H19" s="599"/>
      <c r="I19" s="599"/>
      <c r="J19" s="603" t="str">
        <f t="shared" si="0"/>
        <v>OK</v>
      </c>
      <c r="R19" s="290" t="s">
        <v>606</v>
      </c>
    </row>
    <row r="20" spans="1:20" s="290" customFormat="1" ht="20.100000000000001" customHeight="1">
      <c r="D20" s="599"/>
      <c r="E20" s="599"/>
      <c r="F20" s="599"/>
      <c r="G20" s="599"/>
      <c r="H20" s="599"/>
      <c r="I20" s="599"/>
      <c r="J20" s="603" t="str">
        <f t="shared" si="0"/>
        <v>OK</v>
      </c>
      <c r="R20" s="290" t="s">
        <v>607</v>
      </c>
    </row>
    <row r="21" spans="1:20" s="290" customFormat="1" ht="20.100000000000001" customHeight="1">
      <c r="D21" s="599"/>
      <c r="E21" s="599"/>
      <c r="F21" s="599"/>
      <c r="G21" s="599"/>
      <c r="H21" s="599"/>
      <c r="I21" s="599"/>
      <c r="J21" s="603" t="str">
        <f t="shared" si="0"/>
        <v>OK</v>
      </c>
      <c r="R21" s="290" t="s">
        <v>608</v>
      </c>
    </row>
    <row r="22" spans="1:20" s="290" customFormat="1" ht="20.100000000000001" customHeight="1">
      <c r="D22" s="599"/>
      <c r="E22" s="599"/>
      <c r="F22" s="599"/>
      <c r="G22" s="599"/>
      <c r="H22" s="599"/>
      <c r="I22" s="599"/>
      <c r="J22" s="603" t="str">
        <f t="shared" si="0"/>
        <v>OK</v>
      </c>
      <c r="R22" s="290" t="s">
        <v>609</v>
      </c>
    </row>
    <row r="23" spans="1:20" s="290" customFormat="1" ht="20.100000000000001" customHeight="1">
      <c r="A23" s="290" t="s">
        <v>142</v>
      </c>
      <c r="D23" s="599"/>
      <c r="E23" s="599"/>
      <c r="F23" s="599"/>
      <c r="G23" s="599"/>
      <c r="H23" s="599"/>
      <c r="I23" s="599"/>
      <c r="J23" s="603" t="str">
        <f t="shared" si="0"/>
        <v>OK</v>
      </c>
    </row>
    <row r="24" spans="1:20" s="290" customFormat="1" ht="20.100000000000001" customHeight="1"/>
    <row r="25" spans="1:20" s="290" customFormat="1" ht="20.100000000000001" customHeight="1">
      <c r="A25" s="600" t="s">
        <v>610</v>
      </c>
      <c r="B25" s="601"/>
      <c r="C25" s="601"/>
      <c r="D25" s="601"/>
      <c r="E25" s="601"/>
      <c r="F25" s="601"/>
      <c r="G25" s="601"/>
      <c r="H25" s="601"/>
      <c r="I25" s="601"/>
    </row>
    <row r="26" spans="1:20" s="290" customFormat="1" ht="35.25" customHeight="1">
      <c r="A26" s="591" t="s">
        <v>551</v>
      </c>
      <c r="B26" s="591" t="s">
        <v>560</v>
      </c>
      <c r="C26" s="591" t="s">
        <v>561</v>
      </c>
      <c r="D26" s="591" t="s">
        <v>611</v>
      </c>
      <c r="E26" s="591" t="s">
        <v>612</v>
      </c>
      <c r="F26" s="591" t="s">
        <v>613</v>
      </c>
      <c r="G26" s="591" t="s">
        <v>614</v>
      </c>
      <c r="H26" s="591" t="s">
        <v>615</v>
      </c>
      <c r="I26" s="591" t="s">
        <v>616</v>
      </c>
    </row>
    <row r="27" spans="1:20" s="290" customFormat="1" ht="20.100000000000001" customHeight="1">
      <c r="E27" s="599"/>
    </row>
    <row r="28" spans="1:20" s="290" customFormat="1" ht="20.100000000000001" customHeight="1">
      <c r="E28" s="599"/>
    </row>
    <row r="29" spans="1:20" s="290" customFormat="1" ht="20.100000000000001" customHeight="1">
      <c r="E29" s="599"/>
    </row>
    <row r="30" spans="1:20" s="290" customFormat="1" ht="20.100000000000001" customHeight="1">
      <c r="E30" s="599"/>
    </row>
    <row r="31" spans="1:20" s="290" customFormat="1" ht="20.100000000000001" customHeight="1">
      <c r="E31" s="599"/>
    </row>
    <row r="32" spans="1:20" s="290" customFormat="1" ht="20.100000000000001" customHeight="1">
      <c r="E32" s="599"/>
    </row>
    <row r="33" spans="1:5" s="290" customFormat="1" ht="20.100000000000001" customHeight="1">
      <c r="E33" s="599"/>
    </row>
    <row r="34" spans="1:5" s="290" customFormat="1" ht="20.100000000000001" customHeight="1">
      <c r="E34" s="599"/>
    </row>
    <row r="35" spans="1:5" s="290" customFormat="1" ht="20.100000000000001" customHeight="1">
      <c r="E35" s="599"/>
    </row>
    <row r="36" spans="1:5" s="290" customFormat="1" ht="20.100000000000001" customHeight="1">
      <c r="E36" s="599"/>
    </row>
    <row r="37" spans="1:5" s="290" customFormat="1" ht="20.100000000000001" customHeight="1">
      <c r="E37" s="599"/>
    </row>
    <row r="38" spans="1:5" s="290" customFormat="1" ht="20.100000000000001" customHeight="1">
      <c r="E38" s="599"/>
    </row>
    <row r="39" spans="1:5" s="290" customFormat="1" ht="20.100000000000001" customHeight="1">
      <c r="E39" s="599"/>
    </row>
    <row r="40" spans="1:5" s="290" customFormat="1" ht="20.100000000000001" customHeight="1">
      <c r="E40" s="599"/>
    </row>
    <row r="41" spans="1:5" s="290" customFormat="1" ht="20.100000000000001" customHeight="1">
      <c r="E41" s="599"/>
    </row>
    <row r="42" spans="1:5" s="290" customFormat="1" ht="20.100000000000001" customHeight="1">
      <c r="E42" s="599"/>
    </row>
    <row r="43" spans="1:5" s="290" customFormat="1" ht="20.100000000000001" customHeight="1">
      <c r="E43" s="599"/>
    </row>
    <row r="44" spans="1:5" s="290" customFormat="1" ht="20.100000000000001" customHeight="1">
      <c r="A44" s="290" t="s">
        <v>142</v>
      </c>
      <c r="E44" s="599"/>
    </row>
  </sheetData>
  <mergeCells count="1">
    <mergeCell ref="B3:D3"/>
  </mergeCells>
  <phoneticPr fontId="76" type="noConversion"/>
  <dataValidations count="2">
    <dataValidation type="list" allowBlank="1" showInputMessage="1" showErrorMessage="1" sqref="A6:A23">
      <formula1>$R$6:$R$22</formula1>
    </dataValidation>
    <dataValidation type="list" allowBlank="1" showInputMessage="1" showErrorMessage="1" sqref="B6:B23 B27:B44">
      <formula1>$S$5:$S$17</formula1>
    </dataValidation>
  </dataValidations>
  <printOptions horizontalCentered="1"/>
  <pageMargins left="0.74791666666666701" right="0.15625" top="0.98402777777777795" bottom="0.98402777777777795" header="0.51180555555555596" footer="0.51180555555555596"/>
  <pageSetup paperSize="9" scale="83" orientation="landscape" blackAndWhite="1" r:id="rId1"/>
  <headerFooter alignWithMargins="0"/>
  <rowBreaks count="1" manualBreakCount="1">
    <brk id="23" max="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view="pageBreakPreview" zoomScaleNormal="100" zoomScaleSheetLayoutView="100" workbookViewId="0"/>
  </sheetViews>
  <sheetFormatPr defaultColWidth="9" defaultRowHeight="20.100000000000001" customHeight="1"/>
  <cols>
    <col min="1" max="11" width="12.625" style="327" customWidth="1"/>
    <col min="12" max="13" width="12.5" style="327" customWidth="1"/>
    <col min="14" max="16384" width="9" style="327"/>
  </cols>
  <sheetData>
    <row r="1" spans="1:12" s="585" customFormat="1" ht="24.95" customHeight="1">
      <c r="A1" s="54" t="s">
        <v>145</v>
      </c>
      <c r="B1" s="55">
        <f>基础信息!B6</f>
        <v>0</v>
      </c>
      <c r="C1" s="587"/>
      <c r="D1" s="588"/>
      <c r="E1" s="589"/>
      <c r="F1" s="588"/>
      <c r="G1" s="588"/>
      <c r="H1" s="588"/>
      <c r="I1" s="588"/>
      <c r="J1" s="588"/>
      <c r="K1" s="588"/>
      <c r="L1" s="593"/>
    </row>
    <row r="2" spans="1:12" s="585" customFormat="1" ht="24.95" customHeight="1">
      <c r="A2" s="54" t="str">
        <f>基础信息!A9</f>
        <v>财务期间</v>
      </c>
      <c r="B2" s="55">
        <f>基础信息!B9</f>
        <v>0</v>
      </c>
      <c r="C2" s="587"/>
      <c r="D2" s="588"/>
      <c r="E2" s="588"/>
      <c r="F2" s="588"/>
      <c r="G2" s="588"/>
      <c r="H2" s="588"/>
      <c r="I2" s="588"/>
      <c r="J2" s="588"/>
      <c r="K2" s="588"/>
      <c r="L2" s="593"/>
    </row>
    <row r="3" spans="1:12" s="585" customFormat="1" ht="24.95" customHeight="1">
      <c r="A3" s="54" t="s">
        <v>148</v>
      </c>
      <c r="B3" s="1236" t="s">
        <v>617</v>
      </c>
      <c r="C3" s="1237"/>
      <c r="D3" s="590"/>
      <c r="E3" s="590"/>
      <c r="F3" s="590"/>
      <c r="G3" s="590"/>
      <c r="H3" s="590"/>
      <c r="I3" s="590"/>
      <c r="J3" s="590"/>
      <c r="K3" s="590"/>
      <c r="L3" s="593"/>
    </row>
    <row r="4" spans="1:12" s="252" customFormat="1" ht="72.75" customHeight="1">
      <c r="A4" s="591" t="s">
        <v>618</v>
      </c>
      <c r="B4" s="591" t="s">
        <v>619</v>
      </c>
      <c r="C4" s="591" t="s">
        <v>620</v>
      </c>
      <c r="D4" s="591" t="s">
        <v>621</v>
      </c>
      <c r="E4" s="591" t="s">
        <v>622</v>
      </c>
      <c r="F4" s="591" t="s">
        <v>623</v>
      </c>
      <c r="G4" s="591" t="s">
        <v>624</v>
      </c>
      <c r="H4" s="591" t="s">
        <v>625</v>
      </c>
      <c r="I4" s="591" t="s">
        <v>626</v>
      </c>
      <c r="J4" s="591" t="s">
        <v>627</v>
      </c>
      <c r="K4" s="591" t="s">
        <v>628</v>
      </c>
    </row>
    <row r="5" spans="1:12" s="586" customFormat="1" ht="20.100000000000001" customHeight="1"/>
    <row r="6" spans="1:12" s="586" customFormat="1" ht="20.100000000000001" customHeight="1"/>
    <row r="7" spans="1:12" s="586" customFormat="1" ht="20.100000000000001" customHeight="1"/>
    <row r="8" spans="1:12" s="586" customFormat="1" ht="20.100000000000001" customHeight="1"/>
    <row r="9" spans="1:12" s="586" customFormat="1" ht="20.100000000000001" customHeight="1"/>
    <row r="10" spans="1:12" s="586" customFormat="1" ht="20.100000000000001" customHeight="1"/>
    <row r="11" spans="1:12" s="586" customFormat="1" ht="20.100000000000001" customHeight="1"/>
    <row r="12" spans="1:12" s="586" customFormat="1" ht="20.100000000000001" customHeight="1"/>
    <row r="13" spans="1:12" s="586" customFormat="1" ht="20.100000000000001" customHeight="1"/>
    <row r="14" spans="1:12" s="586" customFormat="1" ht="20.100000000000001" customHeight="1"/>
    <row r="15" spans="1:12" s="586" customFormat="1" ht="20.100000000000001" customHeight="1"/>
    <row r="16" spans="1:12" s="586" customFormat="1" ht="20.100000000000001" customHeight="1"/>
    <row r="17" spans="1:11" s="586" customFormat="1" ht="20.100000000000001" customHeight="1"/>
    <row r="18" spans="1:11" s="586" customFormat="1" ht="20.100000000000001" customHeight="1"/>
    <row r="19" spans="1:11" s="586" customFormat="1" ht="20.100000000000001" customHeight="1"/>
    <row r="20" spans="1:11" s="586" customFormat="1" ht="20.100000000000001" customHeight="1"/>
    <row r="21" spans="1:11" s="586" customFormat="1" ht="20.100000000000001" customHeight="1">
      <c r="A21" s="592" t="s">
        <v>629</v>
      </c>
      <c r="B21" s="486">
        <f>SUM(B5:B20)</f>
        <v>0</v>
      </c>
      <c r="C21" s="486">
        <f>SUM(C5:C20)</f>
        <v>0</v>
      </c>
    </row>
    <row r="22" spans="1:11" s="586" customFormat="1" ht="20.100000000000001" customHeight="1"/>
    <row r="23" spans="1:11" s="586" customFormat="1" ht="61.5" customHeight="1">
      <c r="A23" s="591" t="s">
        <v>630</v>
      </c>
      <c r="B23" s="591" t="s">
        <v>631</v>
      </c>
      <c r="C23" s="591" t="s">
        <v>632</v>
      </c>
      <c r="D23" s="591" t="s">
        <v>633</v>
      </c>
      <c r="E23" s="591" t="s">
        <v>634</v>
      </c>
      <c r="F23" s="591" t="s">
        <v>635</v>
      </c>
      <c r="G23" s="591" t="s">
        <v>636</v>
      </c>
      <c r="H23" s="591"/>
      <c r="I23" s="591" t="s">
        <v>637</v>
      </c>
      <c r="J23" s="591" t="s">
        <v>638</v>
      </c>
      <c r="K23" s="591" t="s">
        <v>639</v>
      </c>
    </row>
    <row r="24" spans="1:11" s="586" customFormat="1" ht="20.100000000000001" customHeight="1">
      <c r="A24" s="486">
        <f t="shared" ref="A24:A34" si="0">A5</f>
        <v>0</v>
      </c>
    </row>
    <row r="25" spans="1:11" s="586" customFormat="1" ht="20.100000000000001" customHeight="1">
      <c r="A25" s="486">
        <f t="shared" si="0"/>
        <v>0</v>
      </c>
    </row>
    <row r="26" spans="1:11" s="586" customFormat="1" ht="20.100000000000001" customHeight="1">
      <c r="A26" s="486">
        <f t="shared" si="0"/>
        <v>0</v>
      </c>
    </row>
    <row r="27" spans="1:11" s="586" customFormat="1" ht="20.100000000000001" customHeight="1">
      <c r="A27" s="486">
        <f t="shared" si="0"/>
        <v>0</v>
      </c>
    </row>
    <row r="28" spans="1:11" s="586" customFormat="1" ht="20.100000000000001" customHeight="1">
      <c r="A28" s="486">
        <f t="shared" si="0"/>
        <v>0</v>
      </c>
    </row>
    <row r="29" spans="1:11" s="586" customFormat="1" ht="20.100000000000001" customHeight="1">
      <c r="A29" s="486">
        <f t="shared" si="0"/>
        <v>0</v>
      </c>
    </row>
    <row r="30" spans="1:11" s="586" customFormat="1" ht="20.100000000000001" customHeight="1">
      <c r="A30" s="486">
        <f t="shared" si="0"/>
        <v>0</v>
      </c>
    </row>
    <row r="31" spans="1:11" s="586" customFormat="1" ht="20.100000000000001" customHeight="1">
      <c r="A31" s="486">
        <f t="shared" si="0"/>
        <v>0</v>
      </c>
    </row>
    <row r="32" spans="1:11" s="586" customFormat="1" ht="20.100000000000001" customHeight="1">
      <c r="A32" s="486">
        <f t="shared" si="0"/>
        <v>0</v>
      </c>
    </row>
    <row r="33" spans="1:3" s="586" customFormat="1" ht="20.100000000000001" customHeight="1">
      <c r="A33" s="486">
        <f t="shared" si="0"/>
        <v>0</v>
      </c>
    </row>
    <row r="34" spans="1:3" s="586" customFormat="1" ht="20.100000000000001" customHeight="1">
      <c r="A34" s="486">
        <f t="shared" si="0"/>
        <v>0</v>
      </c>
    </row>
    <row r="35" spans="1:3" s="586" customFormat="1" ht="20.100000000000001" customHeight="1">
      <c r="A35" s="486">
        <f t="shared" ref="A35:A40" si="1">A15</f>
        <v>0</v>
      </c>
    </row>
    <row r="36" spans="1:3" s="586" customFormat="1" ht="20.100000000000001" customHeight="1">
      <c r="A36" s="486">
        <f t="shared" si="1"/>
        <v>0</v>
      </c>
    </row>
    <row r="37" spans="1:3" s="586" customFormat="1" ht="20.100000000000001" customHeight="1">
      <c r="A37" s="486">
        <f t="shared" si="1"/>
        <v>0</v>
      </c>
    </row>
    <row r="38" spans="1:3" s="586" customFormat="1" ht="20.100000000000001" customHeight="1">
      <c r="A38" s="486">
        <f t="shared" si="1"/>
        <v>0</v>
      </c>
    </row>
    <row r="39" spans="1:3" s="586" customFormat="1" ht="20.100000000000001" customHeight="1">
      <c r="A39" s="486">
        <f t="shared" si="1"/>
        <v>0</v>
      </c>
    </row>
    <row r="40" spans="1:3" s="586" customFormat="1" ht="20.100000000000001" customHeight="1">
      <c r="A40" s="486">
        <f t="shared" si="1"/>
        <v>0</v>
      </c>
    </row>
    <row r="41" spans="1:3" s="586" customFormat="1" ht="20.100000000000001" customHeight="1">
      <c r="A41" s="592" t="s">
        <v>629</v>
      </c>
      <c r="B41" s="486">
        <f>SUM(B24:B40)</f>
        <v>0</v>
      </c>
      <c r="C41" s="486">
        <f>SUM(C24:C40)</f>
        <v>0</v>
      </c>
    </row>
  </sheetData>
  <mergeCells count="1">
    <mergeCell ref="B3:C3"/>
  </mergeCells>
  <phoneticPr fontId="76" type="noConversion"/>
  <pageMargins left="0.74791666666666701" right="0.74791666666666701" top="0.98402777777777795" bottom="0.98402777777777795" header="0.51180555555555596" footer="0.51180555555555596"/>
  <pageSetup paperSize="9" scale="85" orientation="landscape" blackAndWhite="1" r:id="rId1"/>
  <headerFooter alignWithMargins="0"/>
  <rowBreaks count="1" manualBreakCount="1">
    <brk id="2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view="pageBreakPreview" topLeftCell="A22" zoomScaleNormal="100" zoomScaleSheetLayoutView="100" workbookViewId="0"/>
  </sheetViews>
  <sheetFormatPr defaultColWidth="9" defaultRowHeight="20.100000000000001" customHeight="1"/>
  <cols>
    <col min="1" max="1" width="34.625" style="105" customWidth="1"/>
    <col min="2" max="2" width="28.625" style="105" customWidth="1"/>
    <col min="3" max="3" width="28.75" style="105" customWidth="1"/>
    <col min="4" max="4" width="26" style="105" customWidth="1"/>
    <col min="5" max="5" width="24.625" style="105" customWidth="1"/>
    <col min="6" max="8" width="9" style="105"/>
    <col min="9" max="9" width="3.5" style="105" customWidth="1"/>
    <col min="10" max="16384" width="9" style="105"/>
  </cols>
  <sheetData>
    <row r="1" spans="1:9" s="104" customFormat="1" ht="24.95" customHeight="1">
      <c r="A1" s="54" t="s">
        <v>145</v>
      </c>
      <c r="B1" s="55">
        <f>基础信息!B5</f>
        <v>0</v>
      </c>
      <c r="C1" s="560"/>
      <c r="D1" s="116"/>
      <c r="E1" s="574"/>
    </row>
    <row r="2" spans="1:9" s="104" customFormat="1" ht="24.95" customHeight="1">
      <c r="A2" s="54" t="s">
        <v>147</v>
      </c>
      <c r="B2" s="55">
        <f>基础信息!B9</f>
        <v>0</v>
      </c>
      <c r="C2" s="560"/>
      <c r="D2" s="116"/>
      <c r="E2" s="355"/>
    </row>
    <row r="3" spans="1:9" s="104" customFormat="1" ht="24.95" customHeight="1">
      <c r="A3" s="54" t="s">
        <v>148</v>
      </c>
      <c r="B3" s="54" t="s">
        <v>640</v>
      </c>
      <c r="C3" s="560"/>
      <c r="D3" s="116"/>
      <c r="E3" s="355"/>
    </row>
    <row r="4" spans="1:9" s="104" customFormat="1" ht="20.100000000000001" customHeight="1">
      <c r="A4" s="572"/>
      <c r="B4" s="572"/>
      <c r="C4" s="560"/>
      <c r="D4" s="116"/>
      <c r="E4" s="355"/>
    </row>
    <row r="5" spans="1:9" s="104" customFormat="1" ht="20.100000000000001" customHeight="1">
      <c r="A5" s="562" t="s">
        <v>641</v>
      </c>
      <c r="B5" s="562" t="s">
        <v>642</v>
      </c>
      <c r="C5" s="537"/>
      <c r="D5" s="7"/>
      <c r="E5" s="534"/>
    </row>
    <row r="6" spans="1:9" s="104" customFormat="1" ht="20.100000000000001" customHeight="1">
      <c r="A6" s="250" t="s">
        <v>643</v>
      </c>
      <c r="B6" s="573"/>
      <c r="C6" s="575"/>
      <c r="D6" s="251"/>
      <c r="E6" s="534"/>
    </row>
    <row r="7" spans="1:9" s="104" customFormat="1" ht="20.100000000000001" customHeight="1">
      <c r="A7" s="250" t="s">
        <v>644</v>
      </c>
      <c r="B7" s="573"/>
      <c r="C7" s="575"/>
      <c r="D7" s="251"/>
      <c r="E7" s="534"/>
    </row>
    <row r="8" spans="1:9" s="104" customFormat="1" ht="20.100000000000001" customHeight="1">
      <c r="A8" s="250" t="s">
        <v>645</v>
      </c>
      <c r="B8" s="573"/>
      <c r="C8" s="575"/>
      <c r="D8" s="251"/>
      <c r="E8" s="534"/>
    </row>
    <row r="9" spans="1:9" s="104" customFormat="1" ht="20.100000000000001" customHeight="1">
      <c r="A9" s="250" t="s">
        <v>646</v>
      </c>
      <c r="B9" s="573"/>
      <c r="C9" s="575"/>
      <c r="D9" s="251"/>
      <c r="E9" s="534"/>
    </row>
    <row r="10" spans="1:9" s="104" customFormat="1" ht="20.100000000000001" customHeight="1">
      <c r="A10" s="250" t="s">
        <v>647</v>
      </c>
      <c r="B10" s="521">
        <f>SUM(B6:B9)</f>
        <v>0</v>
      </c>
      <c r="C10" s="575"/>
      <c r="D10" s="251"/>
      <c r="E10" s="534"/>
    </row>
    <row r="11" spans="1:9" s="104" customFormat="1" ht="20.100000000000001" customHeight="1">
      <c r="A11" s="250" t="s">
        <v>648</v>
      </c>
      <c r="B11" s="573"/>
      <c r="C11" s="575"/>
      <c r="D11" s="251"/>
      <c r="E11" s="534"/>
    </row>
    <row r="12" spans="1:9" s="104" customFormat="1" ht="20.100000000000001" customHeight="1">
      <c r="A12" s="118" t="s">
        <v>649</v>
      </c>
      <c r="B12" s="521">
        <f>'RP 006'!E6</f>
        <v>0</v>
      </c>
      <c r="C12" s="575"/>
      <c r="D12" s="251"/>
      <c r="E12" s="534"/>
    </row>
    <row r="13" spans="1:9" s="104" customFormat="1" ht="20.100000000000001" customHeight="1">
      <c r="A13" s="102"/>
      <c r="B13" s="521">
        <f>B10-B12</f>
        <v>0</v>
      </c>
      <c r="C13" s="575"/>
      <c r="D13" s="251"/>
      <c r="E13" s="534"/>
    </row>
    <row r="14" spans="1:9" s="109" customFormat="1" ht="20.100000000000001" customHeight="1">
      <c r="A14" s="100"/>
      <c r="B14" s="100" t="str">
        <f>IF(B13=0,"OK","NO")</f>
        <v>OK</v>
      </c>
      <c r="C14" s="568"/>
      <c r="D14" s="576"/>
      <c r="E14" s="539"/>
    </row>
    <row r="15" spans="1:9" s="104" customFormat="1" ht="20.100000000000001" customHeight="1">
      <c r="A15" s="102" t="s">
        <v>650</v>
      </c>
      <c r="B15" s="153"/>
      <c r="C15" s="27"/>
      <c r="D15" s="27"/>
      <c r="E15" s="27"/>
      <c r="F15" s="105"/>
      <c r="G15" s="105"/>
      <c r="H15" s="105"/>
      <c r="I15" s="105"/>
    </row>
    <row r="16" spans="1:9" s="104" customFormat="1" ht="20.100000000000001" customHeight="1">
      <c r="A16" s="1238" t="s">
        <v>651</v>
      </c>
      <c r="B16" s="1238" t="s">
        <v>652</v>
      </c>
      <c r="C16" s="1238"/>
      <c r="D16" s="1238"/>
      <c r="E16" s="27"/>
    </row>
    <row r="17" spans="1:9" s="104" customFormat="1" ht="20.100000000000001" customHeight="1">
      <c r="A17" s="1238"/>
      <c r="B17" s="561" t="s">
        <v>653</v>
      </c>
      <c r="C17" s="561" t="s">
        <v>654</v>
      </c>
      <c r="D17" s="561" t="s">
        <v>655</v>
      </c>
      <c r="E17" s="27"/>
    </row>
    <row r="18" spans="1:9" s="104" customFormat="1" ht="20.100000000000001" customHeight="1">
      <c r="A18" s="32" t="s">
        <v>656</v>
      </c>
      <c r="B18" s="516"/>
      <c r="C18" s="577"/>
      <c r="D18" s="516"/>
      <c r="E18" s="27"/>
    </row>
    <row r="19" spans="1:9" s="104" customFormat="1" ht="20.100000000000001" customHeight="1">
      <c r="A19" s="32" t="s">
        <v>657</v>
      </c>
      <c r="B19" s="516"/>
      <c r="C19" s="577"/>
      <c r="D19" s="516"/>
      <c r="E19" s="27"/>
    </row>
    <row r="20" spans="1:9" s="104" customFormat="1" ht="20.100000000000001" customHeight="1">
      <c r="A20" s="32"/>
      <c r="B20" s="516"/>
      <c r="C20" s="577"/>
      <c r="D20" s="516"/>
      <c r="E20" s="27"/>
    </row>
    <row r="21" spans="1:9" s="104" customFormat="1" ht="20.100000000000001" customHeight="1">
      <c r="A21" s="32"/>
      <c r="B21" s="516"/>
      <c r="C21" s="577"/>
      <c r="D21" s="516"/>
      <c r="E21" s="27"/>
    </row>
    <row r="22" spans="1:9" s="104" customFormat="1" ht="20.100000000000001" customHeight="1">
      <c r="A22" s="32" t="s">
        <v>658</v>
      </c>
      <c r="B22" s="518">
        <f>SUM(B18:B21)</f>
        <v>0</v>
      </c>
      <c r="C22" s="577"/>
      <c r="D22" s="518">
        <f>SUM(D18:D21)</f>
        <v>0</v>
      </c>
      <c r="E22" s="27"/>
    </row>
    <row r="23" spans="1:9" s="104" customFormat="1" ht="20.100000000000001" customHeight="1">
      <c r="A23" s="102"/>
      <c r="B23" s="102"/>
      <c r="C23" s="578"/>
      <c r="D23" s="578"/>
      <c r="E23" s="32"/>
      <c r="F23" s="105"/>
    </row>
    <row r="24" spans="1:9" s="104" customFormat="1" ht="40.5" customHeight="1">
      <c r="A24" s="561" t="s">
        <v>659</v>
      </c>
      <c r="B24" s="561" t="s">
        <v>660</v>
      </c>
      <c r="C24" s="579"/>
      <c r="D24" s="9"/>
      <c r="E24" s="580"/>
      <c r="F24" s="105"/>
      <c r="G24" s="105"/>
    </row>
    <row r="25" spans="1:9" s="104" customFormat="1" ht="20.100000000000001" customHeight="1">
      <c r="A25" s="32" t="s">
        <v>661</v>
      </c>
      <c r="B25" s="516"/>
      <c r="C25" s="581"/>
      <c r="D25" s="582"/>
      <c r="E25" s="580"/>
      <c r="F25" s="105"/>
      <c r="G25" s="105"/>
    </row>
    <row r="26" spans="1:9" s="104" customFormat="1" ht="20.100000000000001" customHeight="1">
      <c r="A26" s="32" t="s">
        <v>662</v>
      </c>
      <c r="B26" s="516"/>
      <c r="C26" s="581"/>
      <c r="D26" s="582"/>
      <c r="E26" s="580"/>
      <c r="F26" s="105"/>
      <c r="G26" s="105"/>
    </row>
    <row r="27" spans="1:9" s="104" customFormat="1" ht="20.100000000000001" customHeight="1">
      <c r="A27" s="32" t="s">
        <v>663</v>
      </c>
      <c r="B27" s="516"/>
      <c r="C27" s="581"/>
      <c r="D27" s="582"/>
      <c r="E27" s="580"/>
      <c r="F27" s="105"/>
      <c r="G27" s="105"/>
    </row>
    <row r="28" spans="1:9" s="104" customFormat="1" ht="20.100000000000001" customHeight="1">
      <c r="A28" s="32" t="s">
        <v>664</v>
      </c>
      <c r="B28" s="518">
        <f>B25-B26+B27</f>
        <v>0</v>
      </c>
      <c r="C28" s="581"/>
      <c r="D28" s="582"/>
      <c r="E28" s="580"/>
      <c r="F28" s="105"/>
      <c r="G28" s="105"/>
    </row>
    <row r="29" spans="1:9" s="104" customFormat="1" ht="20.100000000000001" customHeight="1">
      <c r="A29" s="32" t="s">
        <v>665</v>
      </c>
      <c r="B29" s="516"/>
      <c r="C29" s="581"/>
      <c r="D29" s="582"/>
      <c r="E29" s="580"/>
      <c r="F29" s="105"/>
      <c r="G29" s="105"/>
    </row>
    <row r="30" spans="1:9" s="104" customFormat="1" ht="20.100000000000001" customHeight="1">
      <c r="A30" s="32" t="s">
        <v>666</v>
      </c>
      <c r="B30" s="518">
        <f>B28-B29</f>
        <v>0</v>
      </c>
      <c r="C30" s="583"/>
      <c r="D30" s="584"/>
      <c r="E30" s="580"/>
      <c r="F30" s="105"/>
      <c r="G30" s="105"/>
    </row>
    <row r="31" spans="1:9" s="104" customFormat="1" ht="20.100000000000001" customHeight="1">
      <c r="A31" s="1239" t="s">
        <v>667</v>
      </c>
      <c r="B31" s="1240"/>
      <c r="C31" s="1240"/>
      <c r="D31" s="1240"/>
      <c r="E31" s="1241"/>
    </row>
    <row r="32" spans="1:9" s="104" customFormat="1" ht="20.100000000000001" customHeight="1">
      <c r="A32" s="105"/>
      <c r="B32" s="105"/>
      <c r="C32" s="105"/>
      <c r="D32" s="105"/>
      <c r="E32" s="105"/>
      <c r="F32" s="105"/>
      <c r="G32" s="105"/>
      <c r="H32" s="105"/>
      <c r="I32" s="105"/>
    </row>
  </sheetData>
  <mergeCells count="3">
    <mergeCell ref="B16:D16"/>
    <mergeCell ref="A31:E31"/>
    <mergeCell ref="A16:A17"/>
  </mergeCells>
  <phoneticPr fontId="76" type="noConversion"/>
  <pageMargins left="0.35416666666666702" right="0.31388888888888899" top="0.59027777777777801" bottom="0.59027777777777801" header="0.51180555555555596" footer="0.51180555555555596"/>
  <pageSetup paperSize="9" scale="77" orientation="portrait" blackAndWhite="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15"/>
  <sheetViews>
    <sheetView view="pageBreakPreview" zoomScaleNormal="100" zoomScaleSheetLayoutView="100" workbookViewId="0">
      <selection activeCell="B11" sqref="B11"/>
    </sheetView>
  </sheetViews>
  <sheetFormatPr defaultRowHeight="15.75"/>
  <cols>
    <col min="1" max="1" width="36.25" customWidth="1"/>
    <col min="2" max="2" width="56.625" customWidth="1"/>
  </cols>
  <sheetData>
    <row r="1" spans="1:2">
      <c r="A1" s="54" t="s">
        <v>145</v>
      </c>
      <c r="B1" s="55">
        <f>基础信息!B6</f>
        <v>0</v>
      </c>
    </row>
    <row r="2" spans="1:2">
      <c r="A2" s="54" t="s">
        <v>147</v>
      </c>
      <c r="B2" s="55">
        <f>基础信息!B9</f>
        <v>0</v>
      </c>
    </row>
    <row r="3" spans="1:2">
      <c r="A3" s="54" t="s">
        <v>148</v>
      </c>
      <c r="B3" s="513" t="s">
        <v>2097</v>
      </c>
    </row>
    <row r="4" spans="1:2" ht="16.5">
      <c r="A4" s="572"/>
      <c r="B4" s="572"/>
    </row>
    <row r="5" spans="1:2">
      <c r="A5" s="933" t="s">
        <v>669</v>
      </c>
      <c r="B5" s="118" t="s">
        <v>642</v>
      </c>
    </row>
    <row r="6" spans="1:2">
      <c r="A6" s="938" t="s">
        <v>2101</v>
      </c>
      <c r="B6" s="516"/>
    </row>
    <row r="7" spans="1:2">
      <c r="A7" s="938" t="s">
        <v>672</v>
      </c>
      <c r="B7" s="516"/>
    </row>
    <row r="8" spans="1:2">
      <c r="A8" s="938" t="s">
        <v>673</v>
      </c>
      <c r="B8" s="516"/>
    </row>
    <row r="9" spans="1:2">
      <c r="A9" s="938" t="s">
        <v>674</v>
      </c>
      <c r="B9" s="516"/>
    </row>
    <row r="10" spans="1:2">
      <c r="A10" s="938" t="s">
        <v>658</v>
      </c>
      <c r="B10" s="521">
        <f>SUM(B6:B9)</f>
        <v>0</v>
      </c>
    </row>
    <row r="11" spans="1:2">
      <c r="A11" s="933" t="s">
        <v>676</v>
      </c>
      <c r="B11" s="521">
        <f>'RP 006'!E7</f>
        <v>0</v>
      </c>
    </row>
    <row r="12" spans="1:2">
      <c r="A12" s="933"/>
      <c r="B12" s="521">
        <f>B10-B11</f>
        <v>0</v>
      </c>
    </row>
    <row r="13" spans="1:2">
      <c r="A13" s="100"/>
      <c r="B13" s="100" t="str">
        <f>IF(B12=0,"OK","NO")</f>
        <v>OK</v>
      </c>
    </row>
    <row r="14" spans="1:2">
      <c r="A14" s="62" t="s">
        <v>2137</v>
      </c>
      <c r="B14" s="983"/>
    </row>
    <row r="15" spans="1:2">
      <c r="A15" s="1242"/>
      <c r="B15" s="1242"/>
    </row>
  </sheetData>
  <mergeCells count="1">
    <mergeCell ref="A15:B15"/>
  </mergeCells>
  <phoneticPr fontId="76" type="noConversion"/>
  <pageMargins left="0.7" right="0.7" top="0.75" bottom="0.75" header="0.3" footer="0.3"/>
  <pageSetup paperSize="9" scale="8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view="pageBreakPreview" zoomScale="85" zoomScaleNormal="100" zoomScaleSheetLayoutView="85" workbookViewId="0">
      <selection activeCell="B17" sqref="B17"/>
    </sheetView>
  </sheetViews>
  <sheetFormatPr defaultColWidth="9" defaultRowHeight="20.100000000000001" customHeight="1"/>
  <cols>
    <col min="1" max="1" width="32.25" style="105" customWidth="1"/>
    <col min="2" max="2" width="48.5" style="105" customWidth="1"/>
    <col min="3" max="3" width="24" style="105" customWidth="1"/>
    <col min="4" max="5" width="24.625" style="105" customWidth="1"/>
    <col min="6" max="16384" width="9" style="105"/>
  </cols>
  <sheetData>
    <row r="1" spans="1:5" s="53" customFormat="1" ht="24.95" customHeight="1">
      <c r="A1" s="54" t="s">
        <v>145</v>
      </c>
      <c r="B1" s="55">
        <f>基础信息!B6</f>
        <v>0</v>
      </c>
      <c r="E1" s="570"/>
    </row>
    <row r="2" spans="1:5" s="53" customFormat="1" ht="24.95" customHeight="1">
      <c r="A2" s="54" t="s">
        <v>147</v>
      </c>
      <c r="B2" s="55">
        <f>基础信息!B9</f>
        <v>0</v>
      </c>
    </row>
    <row r="3" spans="1:5" s="95" customFormat="1" ht="24.95" customHeight="1">
      <c r="A3" s="54" t="s">
        <v>148</v>
      </c>
      <c r="B3" s="571" t="s">
        <v>668</v>
      </c>
    </row>
    <row r="4" spans="1:5" s="104" customFormat="1" ht="20.100000000000001" customHeight="1">
      <c r="A4" s="572"/>
      <c r="B4" s="572"/>
    </row>
    <row r="5" spans="1:5" s="104" customFormat="1" ht="20.100000000000001" customHeight="1">
      <c r="A5" s="65" t="s">
        <v>669</v>
      </c>
      <c r="B5" s="118" t="s">
        <v>642</v>
      </c>
    </row>
    <row r="6" spans="1:5" s="104" customFormat="1" ht="20.100000000000001" customHeight="1">
      <c r="A6" s="32" t="s">
        <v>670</v>
      </c>
      <c r="B6" s="518">
        <f>SUM(B7:B10)</f>
        <v>0</v>
      </c>
    </row>
    <row r="7" spans="1:5" s="104" customFormat="1" ht="20.100000000000001" customHeight="1">
      <c r="A7" s="32" t="s">
        <v>671</v>
      </c>
      <c r="B7" s="516"/>
    </row>
    <row r="8" spans="1:5" s="104" customFormat="1" ht="20.100000000000001" customHeight="1">
      <c r="A8" s="32" t="s">
        <v>672</v>
      </c>
      <c r="B8" s="516"/>
    </row>
    <row r="9" spans="1:5" s="104" customFormat="1" ht="20.100000000000001" customHeight="1">
      <c r="A9" s="32" t="s">
        <v>673</v>
      </c>
      <c r="B9" s="516"/>
    </row>
    <row r="10" spans="1:5" s="104" customFormat="1" ht="20.100000000000001" customHeight="1">
      <c r="A10" s="32" t="s">
        <v>674</v>
      </c>
      <c r="B10" s="516"/>
    </row>
    <row r="11" spans="1:5" s="104" customFormat="1" ht="36" customHeight="1">
      <c r="A11" s="32" t="s">
        <v>675</v>
      </c>
      <c r="B11" s="518">
        <f>SUM(B12:B15)</f>
        <v>0</v>
      </c>
    </row>
    <row r="12" spans="1:5" s="104" customFormat="1" ht="20.100000000000001" customHeight="1">
      <c r="A12" s="32" t="s">
        <v>671</v>
      </c>
      <c r="B12" s="516"/>
    </row>
    <row r="13" spans="1:5" s="104" customFormat="1" ht="16.5">
      <c r="A13" s="32" t="s">
        <v>672</v>
      </c>
      <c r="B13" s="516"/>
    </row>
    <row r="14" spans="1:5" s="104" customFormat="1" ht="20.100000000000001" customHeight="1">
      <c r="A14" s="32" t="s">
        <v>673</v>
      </c>
      <c r="B14" s="516"/>
    </row>
    <row r="15" spans="1:5" s="104" customFormat="1" ht="20.100000000000001" customHeight="1">
      <c r="A15" s="32" t="s">
        <v>674</v>
      </c>
      <c r="B15" s="573"/>
    </row>
    <row r="16" spans="1:5" s="104" customFormat="1" ht="20.100000000000001" customHeight="1">
      <c r="A16" s="32" t="s">
        <v>658</v>
      </c>
      <c r="B16" s="521">
        <f>B6+B11</f>
        <v>0</v>
      </c>
    </row>
    <row r="17" spans="1:9" s="104" customFormat="1" ht="20.100000000000001" customHeight="1">
      <c r="A17" s="65" t="s">
        <v>676</v>
      </c>
      <c r="B17" s="521">
        <f>'RP 006'!E8</f>
        <v>0</v>
      </c>
    </row>
    <row r="18" spans="1:9" s="104" customFormat="1" ht="20.100000000000001" customHeight="1">
      <c r="A18" s="65"/>
      <c r="B18" s="521">
        <f>B16-B17</f>
        <v>0</v>
      </c>
    </row>
    <row r="19" spans="1:9" s="109" customFormat="1" ht="20.100000000000001" customHeight="1">
      <c r="A19" s="100"/>
      <c r="B19" s="100" t="str">
        <f>IF(B18=0,"OK","NO")</f>
        <v>OK</v>
      </c>
    </row>
    <row r="20" spans="1:9" s="104" customFormat="1" ht="20.100000000000001" customHeight="1">
      <c r="A20" s="27" t="s">
        <v>677</v>
      </c>
      <c r="B20" s="102"/>
      <c r="C20" s="105"/>
      <c r="D20" s="105"/>
      <c r="E20" s="105"/>
      <c r="F20" s="105"/>
      <c r="G20" s="105"/>
      <c r="H20" s="105"/>
      <c r="I20" s="105"/>
    </row>
    <row r="21" spans="1:9" s="104" customFormat="1" ht="39" customHeight="1">
      <c r="A21" s="1243"/>
      <c r="B21" s="1243"/>
      <c r="C21" s="163"/>
    </row>
    <row r="29" spans="1:9" s="104" customFormat="1" ht="20.100000000000001" customHeight="1">
      <c r="A29" s="105"/>
      <c r="B29" s="105"/>
      <c r="C29" s="105"/>
      <c r="D29" s="105"/>
      <c r="E29" s="105"/>
      <c r="F29" s="105"/>
      <c r="G29" s="105"/>
      <c r="H29" s="105"/>
      <c r="I29" s="105"/>
    </row>
  </sheetData>
  <mergeCells count="1">
    <mergeCell ref="A21:B21"/>
  </mergeCells>
  <phoneticPr fontId="76" type="noConversion"/>
  <pageMargins left="0.78680555555555598" right="0.39305555555555599" top="1.45625" bottom="0.51180555555555596" header="0.27500000000000002" footer="0.27500000000000002"/>
  <pageSetup paperSize="9" orientation="portrait" blackAndWhite="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view="pageBreakPreview" zoomScaleNormal="100" zoomScaleSheetLayoutView="100" workbookViewId="0">
      <selection activeCell="B13" sqref="B13:B14"/>
    </sheetView>
  </sheetViews>
  <sheetFormatPr defaultColWidth="9" defaultRowHeight="20.100000000000001" customHeight="1"/>
  <cols>
    <col min="1" max="1" width="38.875" style="105" customWidth="1"/>
    <col min="2" max="2" width="36.5" style="105" customWidth="1"/>
    <col min="3" max="3" width="34.875" style="105" customWidth="1"/>
    <col min="4" max="4" width="23" style="105" customWidth="1"/>
    <col min="5" max="5" width="12.5" style="104" customWidth="1"/>
    <col min="6" max="9" width="9" style="104"/>
    <col min="10" max="16384" width="9" style="105"/>
  </cols>
  <sheetData>
    <row r="1" spans="1:9" s="53" customFormat="1" ht="24.95" customHeight="1">
      <c r="A1" s="54" t="s">
        <v>145</v>
      </c>
      <c r="B1" s="55">
        <f>基础信息!B6</f>
        <v>0</v>
      </c>
      <c r="C1" s="95"/>
      <c r="E1" s="570"/>
      <c r="F1" s="95"/>
      <c r="G1" s="95"/>
      <c r="H1" s="95"/>
      <c r="I1" s="95"/>
    </row>
    <row r="2" spans="1:9" s="53" customFormat="1" ht="24.95" customHeight="1">
      <c r="A2" s="54" t="s">
        <v>147</v>
      </c>
      <c r="B2" s="55">
        <f>基础信息!B9</f>
        <v>0</v>
      </c>
      <c r="C2" s="95"/>
      <c r="E2" s="95"/>
      <c r="F2" s="95"/>
      <c r="G2" s="95"/>
      <c r="H2" s="95"/>
      <c r="I2" s="95"/>
    </row>
    <row r="3" spans="1:9" s="95" customFormat="1" ht="24.95" customHeight="1">
      <c r="A3" s="97" t="s">
        <v>148</v>
      </c>
      <c r="B3" s="97" t="s">
        <v>678</v>
      </c>
      <c r="D3" s="53"/>
    </row>
    <row r="4" spans="1:9" s="104" customFormat="1" ht="20.100000000000001" customHeight="1">
      <c r="A4" s="105"/>
      <c r="B4" s="105"/>
      <c r="D4" s="105"/>
    </row>
    <row r="5" spans="1:9" ht="20.100000000000001" customHeight="1">
      <c r="A5" s="94" t="s">
        <v>669</v>
      </c>
      <c r="B5" s="288" t="s">
        <v>679</v>
      </c>
      <c r="C5" s="102"/>
    </row>
    <row r="6" spans="1:9" ht="20.100000000000001" customHeight="1">
      <c r="A6" s="94"/>
      <c r="B6" s="94"/>
      <c r="C6" s="102"/>
    </row>
    <row r="7" spans="1:9" ht="20.100000000000001" customHeight="1">
      <c r="A7" s="94"/>
      <c r="B7" s="94"/>
      <c r="C7" s="102"/>
    </row>
    <row r="8" spans="1:9" ht="20.100000000000001" customHeight="1">
      <c r="A8" s="94"/>
      <c r="B8" s="94"/>
      <c r="C8" s="102"/>
    </row>
    <row r="9" spans="1:9" ht="20.100000000000001" customHeight="1">
      <c r="A9" s="94"/>
      <c r="B9" s="94"/>
      <c r="C9" s="102"/>
    </row>
    <row r="10" spans="1:9" ht="20.100000000000001" customHeight="1">
      <c r="A10" s="94"/>
      <c r="B10" s="94"/>
      <c r="C10" s="102"/>
    </row>
    <row r="11" spans="1:9" ht="20.100000000000001" customHeight="1">
      <c r="A11" s="94" t="s">
        <v>658</v>
      </c>
      <c r="B11" s="511">
        <f>SUM(B6:B10)</f>
        <v>0</v>
      </c>
      <c r="C11" s="102"/>
    </row>
    <row r="12" spans="1:9" s="354" customFormat="1" ht="16.5">
      <c r="A12" s="118" t="s">
        <v>649</v>
      </c>
      <c r="B12" s="521">
        <f>'RP 006'!E9</f>
        <v>0</v>
      </c>
      <c r="C12" s="102"/>
    </row>
    <row r="13" spans="1:9" s="354" customFormat="1" ht="16.5">
      <c r="A13" s="118"/>
      <c r="B13" s="521">
        <f>B11-B12</f>
        <v>0</v>
      </c>
      <c r="C13" s="102"/>
    </row>
    <row r="14" spans="1:9" s="354" customFormat="1" ht="16.5">
      <c r="A14" s="100"/>
      <c r="B14" s="100" t="str">
        <f>IF(B13=0,"OK","NO")</f>
        <v>OK</v>
      </c>
      <c r="C14" s="102"/>
    </row>
    <row r="15" spans="1:9" ht="20.100000000000001" customHeight="1">
      <c r="A15" s="1244" t="s">
        <v>680</v>
      </c>
      <c r="B15" s="1244"/>
      <c r="C15" s="1244"/>
    </row>
  </sheetData>
  <mergeCells count="1">
    <mergeCell ref="A15:C15"/>
  </mergeCells>
  <phoneticPr fontId="76" type="noConversion"/>
  <pageMargins left="0.70763888888888904" right="0.70763888888888904" top="0.74791666666666701" bottom="0.74791666666666701" header="0.31388888888888899" footer="0.31388888888888899"/>
  <pageSetup paperSize="9" orientation="portrait" blackAndWhite="1"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2"/>
  <sheetViews>
    <sheetView view="pageBreakPreview" topLeftCell="A4" zoomScaleNormal="100" zoomScaleSheetLayoutView="100" workbookViewId="0">
      <selection activeCell="B12" sqref="B12"/>
    </sheetView>
  </sheetViews>
  <sheetFormatPr defaultColWidth="9" defaultRowHeight="20.100000000000001" customHeight="1"/>
  <cols>
    <col min="1" max="1" width="30.625" style="105" customWidth="1"/>
    <col min="2" max="2" width="14.75" style="105" customWidth="1"/>
    <col min="3" max="3" width="13" style="105" customWidth="1"/>
    <col min="4" max="4" width="14.375" style="105" customWidth="1"/>
    <col min="5" max="5" width="17.875" style="105" customWidth="1"/>
    <col min="6" max="16384" width="9" style="105"/>
  </cols>
  <sheetData>
    <row r="1" spans="1:5" ht="24.95" customHeight="1">
      <c r="A1" s="54" t="s">
        <v>145</v>
      </c>
      <c r="B1" s="55">
        <f>基础信息!B6</f>
        <v>0</v>
      </c>
      <c r="C1" s="559"/>
      <c r="D1" s="167"/>
      <c r="E1" s="106"/>
    </row>
    <row r="2" spans="1:5" ht="24.95" customHeight="1">
      <c r="A2" s="54" t="s">
        <v>147</v>
      </c>
      <c r="B2" s="55">
        <f>基础信息!B9</f>
        <v>0</v>
      </c>
      <c r="C2" s="559"/>
      <c r="D2" s="167"/>
    </row>
    <row r="3" spans="1:5" s="104" customFormat="1" ht="24.95" customHeight="1">
      <c r="A3" s="97" t="s">
        <v>148</v>
      </c>
      <c r="B3" s="97" t="s">
        <v>684</v>
      </c>
      <c r="C3" s="559"/>
      <c r="D3" s="355"/>
    </row>
    <row r="4" spans="1:5" s="104" customFormat="1" ht="20.100000000000001" customHeight="1">
      <c r="C4" s="560"/>
      <c r="D4" s="355"/>
    </row>
    <row r="5" spans="1:5" s="104" customFormat="1" ht="20.100000000000001" customHeight="1">
      <c r="A5" s="561" t="s">
        <v>681</v>
      </c>
      <c r="B5" s="562" t="s">
        <v>642</v>
      </c>
      <c r="C5" s="537"/>
      <c r="D5" s="355"/>
    </row>
    <row r="6" spans="1:5" s="104" customFormat="1" ht="20.100000000000001" customHeight="1">
      <c r="A6" s="32" t="s">
        <v>685</v>
      </c>
      <c r="B6" s="18"/>
      <c r="C6" s="537"/>
      <c r="D6" s="355"/>
    </row>
    <row r="7" spans="1:5" s="104" customFormat="1" ht="20.100000000000001" customHeight="1">
      <c r="A7" s="32" t="s">
        <v>686</v>
      </c>
      <c r="B7" s="177"/>
      <c r="C7" s="537"/>
      <c r="D7" s="355"/>
    </row>
    <row r="8" spans="1:5" s="104" customFormat="1" ht="20.100000000000001" customHeight="1">
      <c r="A8" s="32" t="s">
        <v>658</v>
      </c>
      <c r="B8" s="521">
        <f>SUM(B6:B7)</f>
        <v>0</v>
      </c>
      <c r="C8" s="563"/>
      <c r="D8" s="355"/>
    </row>
    <row r="9" spans="1:5" s="104" customFormat="1" ht="20.100000000000001" customHeight="1">
      <c r="A9" s="174" t="s">
        <v>2411</v>
      </c>
      <c r="B9" s="521">
        <f>'RP 006'!E12</f>
        <v>0</v>
      </c>
      <c r="C9" s="563"/>
      <c r="D9" s="355"/>
    </row>
    <row r="10" spans="1:5" s="104" customFormat="1" ht="20.100000000000001" customHeight="1">
      <c r="A10" s="174"/>
      <c r="B10" s="521">
        <f>B8-B9</f>
        <v>0</v>
      </c>
      <c r="C10" s="563"/>
      <c r="D10" s="355"/>
    </row>
    <row r="11" spans="1:5" s="104" customFormat="1" ht="20.100000000000001" customHeight="1">
      <c r="A11" s="65"/>
      <c r="B11" s="100" t="str">
        <f>IF(B10=0,"OK","NO")</f>
        <v>OK</v>
      </c>
      <c r="C11" s="563"/>
      <c r="D11" s="355"/>
    </row>
    <row r="12" spans="1:5" s="104" customFormat="1" ht="20.100000000000001" customHeight="1">
      <c r="A12" s="564" t="s">
        <v>687</v>
      </c>
      <c r="B12" s="535"/>
      <c r="C12" s="563"/>
      <c r="D12" s="355"/>
    </row>
    <row r="13" spans="1:5" s="104" customFormat="1" ht="20.100000000000001" customHeight="1">
      <c r="A13" s="1248" t="s">
        <v>688</v>
      </c>
      <c r="B13" s="1245" t="s">
        <v>689</v>
      </c>
      <c r="C13" s="1246"/>
      <c r="D13" s="1247"/>
    </row>
    <row r="14" spans="1:5" s="104" customFormat="1" ht="20.100000000000001" customHeight="1">
      <c r="A14" s="1249"/>
      <c r="B14" s="562" t="s">
        <v>690</v>
      </c>
      <c r="C14" s="562" t="s">
        <v>691</v>
      </c>
      <c r="D14" s="562" t="s">
        <v>692</v>
      </c>
    </row>
    <row r="15" spans="1:5" s="104" customFormat="1" ht="20.100000000000001" customHeight="1">
      <c r="A15" s="32" t="s">
        <v>693</v>
      </c>
      <c r="B15" s="32"/>
      <c r="C15" s="32">
        <v>0</v>
      </c>
      <c r="D15" s="32"/>
    </row>
    <row r="16" spans="1:5" s="104" customFormat="1" ht="20.100000000000001" customHeight="1">
      <c r="A16" s="32" t="s">
        <v>694</v>
      </c>
      <c r="B16" s="32"/>
      <c r="C16" s="32"/>
      <c r="D16" s="32"/>
    </row>
    <row r="17" spans="1:9" s="104" customFormat="1" ht="20.100000000000001" customHeight="1">
      <c r="A17" s="32" t="s">
        <v>695</v>
      </c>
      <c r="B17" s="521"/>
      <c r="C17" s="521"/>
      <c r="D17" s="521"/>
    </row>
    <row r="18" spans="1:9" s="104" customFormat="1" ht="20.100000000000001" customHeight="1">
      <c r="A18" s="102"/>
      <c r="B18" s="535"/>
      <c r="C18" s="563"/>
      <c r="D18" s="355"/>
    </row>
    <row r="19" spans="1:9" s="104" customFormat="1" ht="20.100000000000001" customHeight="1">
      <c r="A19" s="27"/>
      <c r="B19" s="32"/>
      <c r="C19" s="565"/>
      <c r="D19" s="355"/>
    </row>
    <row r="20" spans="1:9" s="104" customFormat="1" ht="20.100000000000001" customHeight="1">
      <c r="A20" s="566" t="s">
        <v>696</v>
      </c>
      <c r="B20" s="27"/>
      <c r="C20" s="538"/>
      <c r="D20" s="567"/>
      <c r="E20" s="109"/>
      <c r="F20" s="105"/>
      <c r="G20" s="105"/>
      <c r="H20" s="105"/>
    </row>
    <row r="21" spans="1:9" s="104" customFormat="1" ht="20.100000000000001" customHeight="1">
      <c r="A21" s="561" t="s">
        <v>681</v>
      </c>
      <c r="B21" s="561" t="s">
        <v>697</v>
      </c>
      <c r="C21" s="538"/>
      <c r="D21" s="567"/>
      <c r="E21" s="109"/>
      <c r="F21" s="105"/>
      <c r="G21" s="105"/>
      <c r="H21" s="105"/>
    </row>
    <row r="22" spans="1:9" s="104" customFormat="1" ht="20.100000000000001" customHeight="1">
      <c r="A22" s="32" t="s">
        <v>685</v>
      </c>
      <c r="B22" s="18"/>
      <c r="C22" s="538"/>
      <c r="D22" s="567"/>
      <c r="E22" s="109"/>
      <c r="F22" s="105"/>
      <c r="G22" s="105"/>
      <c r="H22" s="105"/>
    </row>
    <row r="23" spans="1:9" s="104" customFormat="1" ht="20.100000000000001" customHeight="1">
      <c r="A23" s="32" t="s">
        <v>686</v>
      </c>
      <c r="B23" s="18"/>
      <c r="C23" s="538"/>
      <c r="D23" s="567"/>
      <c r="E23" s="109"/>
      <c r="F23" s="105"/>
      <c r="G23" s="105"/>
      <c r="H23" s="105"/>
    </row>
    <row r="24" spans="1:9" s="104" customFormat="1" ht="20.100000000000001" customHeight="1">
      <c r="A24" s="32"/>
      <c r="B24" s="18"/>
      <c r="C24" s="538"/>
      <c r="D24" s="567"/>
      <c r="E24" s="109"/>
      <c r="F24" s="105"/>
      <c r="G24" s="105"/>
      <c r="H24" s="105"/>
    </row>
    <row r="25" spans="1:9" s="104" customFormat="1" ht="20.100000000000001" customHeight="1">
      <c r="A25" s="32" t="s">
        <v>658</v>
      </c>
      <c r="B25" s="518">
        <f>SUM(B22:B24)</f>
        <v>0</v>
      </c>
      <c r="C25" s="538"/>
      <c r="D25" s="567"/>
      <c r="E25" s="109"/>
      <c r="F25" s="105"/>
      <c r="G25" s="105"/>
      <c r="H25" s="105"/>
    </row>
    <row r="26" spans="1:9" s="104" customFormat="1" ht="20.100000000000001" customHeight="1">
      <c r="A26" s="27"/>
      <c r="B26" s="32"/>
      <c r="C26" s="568"/>
      <c r="D26" s="567"/>
      <c r="E26" s="109"/>
      <c r="F26" s="105"/>
      <c r="G26" s="105"/>
      <c r="H26" s="105"/>
      <c r="I26" s="105"/>
    </row>
    <row r="27" spans="1:9" s="104" customFormat="1" ht="20.100000000000001" customHeight="1">
      <c r="A27" s="566" t="s">
        <v>698</v>
      </c>
      <c r="B27" s="32"/>
      <c r="C27" s="100"/>
      <c r="D27" s="109"/>
      <c r="E27" s="109"/>
      <c r="F27" s="105"/>
      <c r="G27" s="105"/>
      <c r="H27" s="105"/>
      <c r="I27" s="105"/>
    </row>
    <row r="28" spans="1:9" ht="20.100000000000001" customHeight="1">
      <c r="A28" s="561" t="s">
        <v>681</v>
      </c>
      <c r="B28" s="561" t="s">
        <v>699</v>
      </c>
      <c r="C28" s="561" t="s">
        <v>700</v>
      </c>
      <c r="D28" s="109"/>
      <c r="E28" s="109"/>
    </row>
    <row r="29" spans="1:9" ht="20.100000000000001" customHeight="1">
      <c r="A29" s="32" t="s">
        <v>701</v>
      </c>
      <c r="B29" s="516"/>
      <c r="C29" s="516"/>
    </row>
    <row r="30" spans="1:9" ht="20.100000000000001" customHeight="1">
      <c r="A30" s="32" t="s">
        <v>702</v>
      </c>
      <c r="B30" s="516"/>
      <c r="C30" s="516"/>
    </row>
    <row r="31" spans="1:9" ht="20.100000000000001" customHeight="1">
      <c r="A31" s="182" t="s">
        <v>703</v>
      </c>
      <c r="B31" s="516"/>
      <c r="C31" s="516"/>
    </row>
    <row r="32" spans="1:9" ht="20.100000000000001" customHeight="1">
      <c r="A32" s="32" t="s">
        <v>658</v>
      </c>
      <c r="B32" s="518">
        <f>SUM(B29:B31)</f>
        <v>0</v>
      </c>
      <c r="C32" s="518">
        <f>SUM(C29:C31)</f>
        <v>0</v>
      </c>
    </row>
    <row r="33" spans="1:12" ht="20.100000000000001" customHeight="1">
      <c r="A33" s="27"/>
      <c r="B33" s="569"/>
      <c r="C33" s="569"/>
    </row>
    <row r="34" spans="1:12" ht="20.100000000000001" customHeight="1">
      <c r="A34" s="27" t="s">
        <v>704</v>
      </c>
      <c r="B34" s="27"/>
      <c r="C34" s="27"/>
    </row>
    <row r="35" spans="1:12" ht="20.100000000000001" customHeight="1">
      <c r="A35" s="561" t="s">
        <v>681</v>
      </c>
      <c r="B35" s="561" t="s">
        <v>705</v>
      </c>
      <c r="C35" s="27"/>
    </row>
    <row r="36" spans="1:12" ht="20.100000000000001" customHeight="1">
      <c r="A36" s="32" t="s">
        <v>702</v>
      </c>
      <c r="B36" s="516"/>
      <c r="C36" s="569"/>
    </row>
    <row r="37" spans="1:12" ht="20.100000000000001" customHeight="1">
      <c r="A37" s="32"/>
      <c r="B37" s="516"/>
      <c r="C37" s="569"/>
    </row>
    <row r="38" spans="1:12" ht="20.100000000000001" customHeight="1">
      <c r="A38" s="284"/>
      <c r="B38" s="516"/>
      <c r="C38" s="569"/>
    </row>
    <row r="39" spans="1:12" ht="20.100000000000001" customHeight="1">
      <c r="A39" s="32" t="s">
        <v>658</v>
      </c>
      <c r="B39" s="518">
        <f>SUM(B36:B38)</f>
        <v>0</v>
      </c>
      <c r="C39" s="569"/>
    </row>
    <row r="41" spans="1:12" ht="20.100000000000001" customHeight="1">
      <c r="A41" s="993" t="s">
        <v>2138</v>
      </c>
      <c r="B41" s="994"/>
      <c r="C41" s="994"/>
      <c r="D41" s="994"/>
      <c r="E41" s="994"/>
      <c r="F41" s="994"/>
      <c r="G41" s="994"/>
      <c r="H41" s="994"/>
      <c r="I41" s="994"/>
      <c r="J41" s="994"/>
      <c r="K41" s="994"/>
    </row>
    <row r="42" spans="1:12" ht="20.100000000000001" customHeight="1">
      <c r="A42" s="1250" t="s">
        <v>2139</v>
      </c>
      <c r="B42" s="1253" t="s">
        <v>2154</v>
      </c>
      <c r="C42" s="1253"/>
      <c r="D42" s="1253"/>
      <c r="E42" s="1253"/>
      <c r="F42" s="1253"/>
      <c r="G42" s="1253" t="s">
        <v>2154</v>
      </c>
      <c r="H42" s="1253"/>
      <c r="I42" s="1253"/>
      <c r="J42" s="1253"/>
      <c r="K42" s="1253"/>
    </row>
    <row r="43" spans="1:12" ht="20.100000000000001" customHeight="1">
      <c r="A43" s="1251"/>
      <c r="B43" s="1254" t="s">
        <v>2140</v>
      </c>
      <c r="C43" s="1254"/>
      <c r="D43" s="1254" t="s">
        <v>691</v>
      </c>
      <c r="E43" s="1255"/>
      <c r="F43" s="999" t="s">
        <v>2141</v>
      </c>
      <c r="G43" s="1256" t="s">
        <v>2140</v>
      </c>
      <c r="H43" s="1254"/>
      <c r="I43" s="1254" t="s">
        <v>691</v>
      </c>
      <c r="J43" s="1255"/>
      <c r="K43" s="999" t="s">
        <v>2141</v>
      </c>
      <c r="L43" s="167"/>
    </row>
    <row r="44" spans="1:12" ht="20.100000000000001" customHeight="1">
      <c r="A44" s="1252"/>
      <c r="B44" s="995" t="s">
        <v>2143</v>
      </c>
      <c r="C44" s="1000" t="s">
        <v>2147</v>
      </c>
      <c r="D44" s="995" t="s">
        <v>2143</v>
      </c>
      <c r="E44" s="1000" t="s">
        <v>2148</v>
      </c>
      <c r="F44" s="995" t="s">
        <v>2142</v>
      </c>
      <c r="G44" s="995" t="s">
        <v>2143</v>
      </c>
      <c r="H44" s="1000" t="s">
        <v>2147</v>
      </c>
      <c r="I44" s="995" t="s">
        <v>2143</v>
      </c>
      <c r="J44" s="995" t="s">
        <v>2148</v>
      </c>
      <c r="K44" s="996" t="s">
        <v>2142</v>
      </c>
      <c r="L44" s="994"/>
    </row>
    <row r="45" spans="1:12" ht="20.100000000000001" customHeight="1">
      <c r="A45" s="1006" t="s">
        <v>2145</v>
      </c>
      <c r="B45" s="1021">
        <f>B47+B48</f>
        <v>0</v>
      </c>
      <c r="C45" s="518" t="e">
        <f>ROUND(B45/B53*100,2)</f>
        <v>#DIV/0!</v>
      </c>
      <c r="D45" s="1021">
        <f>D47+D48</f>
        <v>0</v>
      </c>
      <c r="E45" s="518" t="e">
        <f>ROUND(D45/B45*100,2)</f>
        <v>#DIV/0!</v>
      </c>
      <c r="F45" s="518">
        <f>B45-D45</f>
        <v>0</v>
      </c>
      <c r="G45" s="1021">
        <f>G47+G48</f>
        <v>0</v>
      </c>
      <c r="H45" s="518" t="e">
        <f>ROUND(G45/G53*100,2)</f>
        <v>#DIV/0!</v>
      </c>
      <c r="I45" s="1022">
        <f>I47+I48</f>
        <v>0</v>
      </c>
      <c r="J45" s="518" t="e">
        <f>ROUND(I45/G45*100,2)</f>
        <v>#DIV/0!</v>
      </c>
      <c r="K45" s="518">
        <f>G45-I45</f>
        <v>0</v>
      </c>
    </row>
    <row r="46" spans="1:12" ht="20.100000000000001" customHeight="1">
      <c r="A46" s="1257" t="s">
        <v>2146</v>
      </c>
      <c r="B46" s="1258"/>
      <c r="C46" s="1258"/>
      <c r="D46" s="1258"/>
      <c r="E46" s="1258"/>
      <c r="F46" s="1258"/>
      <c r="G46" s="1258"/>
      <c r="H46" s="1258"/>
      <c r="I46" s="1258"/>
      <c r="J46" s="1258"/>
      <c r="K46" s="1259"/>
      <c r="L46" s="1001"/>
    </row>
    <row r="47" spans="1:12" ht="20.100000000000001" customHeight="1">
      <c r="A47" s="997"/>
      <c r="B47" s="1013"/>
      <c r="C47" s="518" t="e">
        <f>ROUND(B47/$B$53*100,2)</f>
        <v>#DIV/0!</v>
      </c>
      <c r="D47" s="1013"/>
      <c r="E47" s="518" t="e">
        <f>ROUND(D47/B47*100,2)</f>
        <v>#DIV/0!</v>
      </c>
      <c r="F47" s="518">
        <f>B47-D47</f>
        <v>0</v>
      </c>
      <c r="G47" s="1013"/>
      <c r="H47" s="518" t="e">
        <f>ROUND(G47/$F$53*100,2)</f>
        <v>#DIV/0!</v>
      </c>
      <c r="I47" s="1013"/>
      <c r="J47" s="518" t="e">
        <f>ROUND(I47/G47*100,2)</f>
        <v>#DIV/0!</v>
      </c>
      <c r="K47" s="518">
        <f>G47-I47</f>
        <v>0</v>
      </c>
    </row>
    <row r="48" spans="1:12" ht="20.100000000000001" customHeight="1">
      <c r="A48" s="1016"/>
      <c r="B48" s="1010"/>
      <c r="C48" s="518" t="e">
        <f t="shared" ref="C48:C53" si="0">ROUND(B48/$B$53*100,2)</f>
        <v>#DIV/0!</v>
      </c>
      <c r="D48" s="1010"/>
      <c r="E48" s="518" t="e">
        <f>ROUND(D48/B48*100,2)</f>
        <v>#DIV/0!</v>
      </c>
      <c r="F48" s="518">
        <f>B48-D48</f>
        <v>0</v>
      </c>
      <c r="G48" s="1010"/>
      <c r="H48" s="518" t="e">
        <f>ROUND(G48/$F$53*100,2)</f>
        <v>#DIV/0!</v>
      </c>
      <c r="I48" s="1010"/>
      <c r="J48" s="518" t="e">
        <f t="shared" ref="J48:J53" si="1">ROUND(I48/G48*100,2)</f>
        <v>#DIV/0!</v>
      </c>
      <c r="K48" s="518">
        <f t="shared" ref="K48:K49" si="2">G48-I48</f>
        <v>0</v>
      </c>
    </row>
    <row r="49" spans="1:11" ht="20.100000000000001" customHeight="1">
      <c r="A49" s="1017" t="s">
        <v>2149</v>
      </c>
      <c r="B49" s="1022">
        <f>B51+B52</f>
        <v>0</v>
      </c>
      <c r="C49" s="518" t="e">
        <f t="shared" si="0"/>
        <v>#DIV/0!</v>
      </c>
      <c r="D49" s="1022">
        <f>D51+D52</f>
        <v>0</v>
      </c>
      <c r="E49" s="518" t="e">
        <f>ROUND(D49/B49*100,2)</f>
        <v>#DIV/0!</v>
      </c>
      <c r="F49" s="518">
        <f>B49-D49</f>
        <v>0</v>
      </c>
      <c r="G49" s="1022">
        <f>G51+G52</f>
        <v>0</v>
      </c>
      <c r="H49" s="518" t="e">
        <f>ROUND(G49/$F$53*100,2)</f>
        <v>#DIV/0!</v>
      </c>
      <c r="I49" s="1022">
        <f>I51+I52</f>
        <v>0</v>
      </c>
      <c r="J49" s="518" t="e">
        <f t="shared" si="1"/>
        <v>#DIV/0!</v>
      </c>
      <c r="K49" s="518">
        <f t="shared" si="2"/>
        <v>0</v>
      </c>
    </row>
    <row r="50" spans="1:11" ht="20.100000000000001" customHeight="1">
      <c r="A50" s="1260" t="s">
        <v>2146</v>
      </c>
      <c r="B50" s="1258"/>
      <c r="C50" s="1258"/>
      <c r="D50" s="1258"/>
      <c r="E50" s="1258"/>
      <c r="F50" s="1258"/>
      <c r="G50" s="1258"/>
      <c r="H50" s="1258"/>
      <c r="I50" s="1258"/>
      <c r="J50" s="1258"/>
      <c r="K50" s="1259"/>
    </row>
    <row r="51" spans="1:11" ht="20.100000000000001" customHeight="1">
      <c r="A51" s="1007" t="s">
        <v>2150</v>
      </c>
      <c r="B51" s="1010"/>
      <c r="C51" s="518" t="e">
        <f t="shared" si="0"/>
        <v>#DIV/0!</v>
      </c>
      <c r="D51" s="1010"/>
      <c r="E51" s="518" t="e">
        <f>ROUND(D51/B51*100,2)</f>
        <v>#DIV/0!</v>
      </c>
      <c r="F51" s="518">
        <f>B51-D51</f>
        <v>0</v>
      </c>
      <c r="G51" s="1010"/>
      <c r="H51" s="518" t="e">
        <f>ROUND(G51/$F$53*100,2)</f>
        <v>#DIV/0!</v>
      </c>
      <c r="I51" s="1010"/>
      <c r="J51" s="518" t="e">
        <f t="shared" si="1"/>
        <v>#DIV/0!</v>
      </c>
      <c r="K51" s="518">
        <f>G51-I51</f>
        <v>0</v>
      </c>
    </row>
    <row r="52" spans="1:11" ht="20.100000000000001" customHeight="1">
      <c r="A52" s="1004" t="s">
        <v>2151</v>
      </c>
      <c r="B52" s="1011"/>
      <c r="C52" s="518" t="e">
        <f t="shared" si="0"/>
        <v>#DIV/0!</v>
      </c>
      <c r="D52" s="1011"/>
      <c r="E52" s="518" t="e">
        <f>ROUND(D52/B52*100,2)</f>
        <v>#DIV/0!</v>
      </c>
      <c r="F52" s="518">
        <f>B52-D52</f>
        <v>0</v>
      </c>
      <c r="G52" s="1011"/>
      <c r="H52" s="518" t="e">
        <f>ROUND(G52/$F$53*100,2)</f>
        <v>#DIV/0!</v>
      </c>
      <c r="I52" s="1011"/>
      <c r="J52" s="518" t="e">
        <f t="shared" si="1"/>
        <v>#DIV/0!</v>
      </c>
      <c r="K52" s="518">
        <f t="shared" ref="K52:K53" si="3">G52-I52</f>
        <v>0</v>
      </c>
    </row>
    <row r="53" spans="1:11" ht="20.100000000000001" customHeight="1">
      <c r="A53" s="1005" t="s">
        <v>2152</v>
      </c>
      <c r="B53" s="518">
        <f>B45+B49</f>
        <v>0</v>
      </c>
      <c r="C53" s="518" t="e">
        <f t="shared" si="0"/>
        <v>#DIV/0!</v>
      </c>
      <c r="D53" s="518">
        <f>D45+D49</f>
        <v>0</v>
      </c>
      <c r="E53" s="518" t="e">
        <f>ROUND(D53/B53*100,2)</f>
        <v>#DIV/0!</v>
      </c>
      <c r="F53" s="518">
        <f>B53-D53</f>
        <v>0</v>
      </c>
      <c r="G53" s="518"/>
      <c r="H53" s="518" t="e">
        <f>ROUND(G53/$F$53*100,2)</f>
        <v>#DIV/0!</v>
      </c>
      <c r="I53" s="518"/>
      <c r="J53" s="518" t="e">
        <f t="shared" si="1"/>
        <v>#DIV/0!</v>
      </c>
      <c r="K53" s="518">
        <f t="shared" si="3"/>
        <v>0</v>
      </c>
    </row>
    <row r="54" spans="1:11" ht="20.100000000000001" customHeight="1">
      <c r="A54" s="998"/>
      <c r="B54" s="1012"/>
      <c r="C54" s="1014"/>
      <c r="D54" s="990"/>
      <c r="E54" s="990"/>
      <c r="F54" s="990"/>
      <c r="G54" s="1012"/>
      <c r="H54" s="990"/>
      <c r="I54" s="1012"/>
      <c r="J54" s="990"/>
      <c r="K54" s="1012"/>
    </row>
    <row r="55" spans="1:11" ht="20.100000000000001" customHeight="1">
      <c r="B55" s="1001"/>
      <c r="D55" s="167"/>
      <c r="G55" s="1001"/>
      <c r="I55" s="1001"/>
      <c r="K55" s="1001"/>
    </row>
    <row r="56" spans="1:11" ht="20.100000000000001" customHeight="1">
      <c r="A56" s="993" t="s">
        <v>2153</v>
      </c>
      <c r="B56" s="994"/>
      <c r="C56" s="994"/>
      <c r="D56" s="1018"/>
      <c r="E56" s="994"/>
    </row>
    <row r="57" spans="1:11" ht="20.100000000000001" customHeight="1">
      <c r="A57" s="1261" t="s">
        <v>2155</v>
      </c>
      <c r="B57" s="1264" t="s">
        <v>2134</v>
      </c>
      <c r="C57" s="1264"/>
      <c r="D57" s="1264"/>
      <c r="E57" s="1265"/>
    </row>
    <row r="58" spans="1:11" ht="20.100000000000001" customHeight="1">
      <c r="A58" s="1262"/>
      <c r="B58" s="1266" t="s">
        <v>2140</v>
      </c>
      <c r="C58" s="1266" t="s">
        <v>691</v>
      </c>
      <c r="D58" s="1270" t="s">
        <v>2144</v>
      </c>
      <c r="E58" s="1268" t="s">
        <v>2156</v>
      </c>
    </row>
    <row r="59" spans="1:11" ht="20.100000000000001" customHeight="1">
      <c r="A59" s="1263"/>
      <c r="B59" s="1267"/>
      <c r="C59" s="1267"/>
      <c r="D59" s="1271"/>
      <c r="E59" s="1269"/>
    </row>
    <row r="60" spans="1:11" ht="20.100000000000001" customHeight="1">
      <c r="A60" s="1020"/>
      <c r="B60" s="1002"/>
      <c r="C60" s="1002"/>
      <c r="D60" s="1002" t="e">
        <f>ROUND(C60/B60*100,2)</f>
        <v>#DIV/0!</v>
      </c>
      <c r="E60" s="1003"/>
    </row>
    <row r="61" spans="1:11" ht="20.100000000000001" customHeight="1">
      <c r="A61" s="1019"/>
      <c r="B61" s="1008"/>
      <c r="C61" s="1008"/>
      <c r="D61" s="1002" t="e">
        <f>ROUND(C61/B61*100,2)</f>
        <v>#DIV/0!</v>
      </c>
      <c r="E61" s="1009"/>
    </row>
    <row r="62" spans="1:11" ht="20.100000000000001" customHeight="1">
      <c r="A62" s="1005" t="s">
        <v>2152</v>
      </c>
      <c r="B62" s="518">
        <f>SUM(B60:B61)</f>
        <v>0</v>
      </c>
      <c r="C62" s="518">
        <f>SUM(C60:C61)</f>
        <v>0</v>
      </c>
      <c r="D62" s="518"/>
      <c r="E62" s="518"/>
    </row>
    <row r="63" spans="1:11" s="104" customFormat="1" ht="20.100000000000001" customHeight="1">
      <c r="A63" s="1023"/>
      <c r="B63" s="1024"/>
      <c r="C63" s="1024"/>
      <c r="D63" s="1024"/>
      <c r="E63" s="1024"/>
    </row>
    <row r="64" spans="1:11" ht="20.100000000000001" customHeight="1">
      <c r="A64" s="993" t="s">
        <v>2158</v>
      </c>
      <c r="B64" s="1001"/>
      <c r="C64" s="1001"/>
      <c r="D64" s="1001"/>
      <c r="E64" s="1001"/>
    </row>
    <row r="65" spans="1:5" ht="20.100000000000001" customHeight="1">
      <c r="A65" s="993" t="s">
        <v>2159</v>
      </c>
    </row>
    <row r="66" spans="1:5" ht="20.100000000000001" customHeight="1">
      <c r="A66" s="1261" t="s">
        <v>2155</v>
      </c>
      <c r="B66" s="1264" t="s">
        <v>2134</v>
      </c>
      <c r="C66" s="1264"/>
      <c r="D66" s="1264"/>
      <c r="E66" s="1265"/>
    </row>
    <row r="67" spans="1:5" ht="20.100000000000001" customHeight="1">
      <c r="A67" s="1262"/>
      <c r="B67" s="1266" t="s">
        <v>2140</v>
      </c>
      <c r="C67" s="1266" t="s">
        <v>691</v>
      </c>
      <c r="D67" s="1270" t="s">
        <v>2144</v>
      </c>
      <c r="E67" s="1268" t="s">
        <v>2156</v>
      </c>
    </row>
    <row r="68" spans="1:5" ht="20.100000000000001" customHeight="1">
      <c r="A68" s="1263"/>
      <c r="B68" s="1267"/>
      <c r="C68" s="1267"/>
      <c r="D68" s="1271"/>
      <c r="E68" s="1269"/>
    </row>
    <row r="69" spans="1:5" ht="20.100000000000001" customHeight="1">
      <c r="A69" s="993" t="s">
        <v>2160</v>
      </c>
      <c r="B69" s="1002"/>
      <c r="C69" s="1002"/>
      <c r="D69" s="1002" t="e">
        <f>ROUND(C69/B69*100,2)</f>
        <v>#DIV/0!</v>
      </c>
      <c r="E69" s="1003"/>
    </row>
    <row r="70" spans="1:5" ht="20.100000000000001" customHeight="1">
      <c r="A70" s="1019"/>
      <c r="B70" s="1008"/>
      <c r="C70" s="1008"/>
      <c r="D70" s="1002" t="e">
        <f>ROUND(C70/B70*100,2)</f>
        <v>#DIV/0!</v>
      </c>
      <c r="E70" s="1009"/>
    </row>
    <row r="71" spans="1:5" ht="20.100000000000001" customHeight="1">
      <c r="A71" s="1005" t="s">
        <v>2152</v>
      </c>
      <c r="B71" s="518">
        <f>SUM(B69:B70)</f>
        <v>0</v>
      </c>
      <c r="C71" s="518">
        <f>SUM(C69:C70)</f>
        <v>0</v>
      </c>
      <c r="D71" s="518"/>
      <c r="E71" s="518"/>
    </row>
    <row r="73" spans="1:5" ht="20.100000000000001" customHeight="1">
      <c r="A73" s="994"/>
      <c r="B73" s="994"/>
    </row>
    <row r="74" spans="1:5" ht="20.100000000000001" customHeight="1">
      <c r="A74" s="1030"/>
      <c r="B74" s="1031" t="s">
        <v>2161</v>
      </c>
    </row>
    <row r="75" spans="1:5" ht="20.100000000000001" customHeight="1">
      <c r="A75" s="993" t="s">
        <v>2171</v>
      </c>
      <c r="B75" s="1027"/>
    </row>
    <row r="76" spans="1:5" ht="20.100000000000001" customHeight="1">
      <c r="A76" s="993" t="s">
        <v>2163</v>
      </c>
      <c r="B76" s="1027"/>
    </row>
    <row r="77" spans="1:5" ht="20.100000000000001" customHeight="1">
      <c r="A77" s="993" t="s">
        <v>2170</v>
      </c>
      <c r="B77" s="1027"/>
    </row>
    <row r="78" spans="1:5" ht="20.100000000000001" customHeight="1">
      <c r="A78" s="993" t="s">
        <v>2165</v>
      </c>
      <c r="B78" s="1028"/>
    </row>
    <row r="79" spans="1:5" ht="20.100000000000001" customHeight="1">
      <c r="A79" s="993" t="s">
        <v>2166</v>
      </c>
      <c r="B79" s="1028"/>
    </row>
    <row r="80" spans="1:5" ht="20.100000000000001" customHeight="1">
      <c r="A80" s="993" t="s">
        <v>2167</v>
      </c>
      <c r="B80" s="1015"/>
    </row>
    <row r="81" spans="1:2" ht="20.100000000000001" customHeight="1">
      <c r="A81" s="566" t="s">
        <v>2168</v>
      </c>
      <c r="B81" s="1028"/>
    </row>
    <row r="82" spans="1:2" ht="20.100000000000001" customHeight="1">
      <c r="A82" s="1034" t="s">
        <v>2172</v>
      </c>
      <c r="B82" s="1029"/>
    </row>
  </sheetData>
  <mergeCells count="23">
    <mergeCell ref="A66:A68"/>
    <mergeCell ref="B66:E66"/>
    <mergeCell ref="B67:B68"/>
    <mergeCell ref="C67:C68"/>
    <mergeCell ref="D67:D68"/>
    <mergeCell ref="E67:E68"/>
    <mergeCell ref="A46:K46"/>
    <mergeCell ref="A50:K50"/>
    <mergeCell ref="A57:A59"/>
    <mergeCell ref="B57:E57"/>
    <mergeCell ref="B58:B59"/>
    <mergeCell ref="C58:C59"/>
    <mergeCell ref="E58:E59"/>
    <mergeCell ref="D58:D59"/>
    <mergeCell ref="B13:D13"/>
    <mergeCell ref="A13:A14"/>
    <mergeCell ref="A42:A44"/>
    <mergeCell ref="B42:F42"/>
    <mergeCell ref="G42:K42"/>
    <mergeCell ref="B43:C43"/>
    <mergeCell ref="D43:E43"/>
    <mergeCell ref="G43:H43"/>
    <mergeCell ref="I43:J43"/>
  </mergeCells>
  <phoneticPr fontId="76" type="noConversion"/>
  <printOptions gridLines="1"/>
  <pageMargins left="0.74803149606299213" right="0.39370078740157483" top="0.98425196850393704" bottom="0.98425196850393704" header="0.51181102362204722" footer="0.51181102362204722"/>
  <pageSetup paperSize="9" scale="4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2"/>
  <sheetViews>
    <sheetView view="pageBreakPreview" topLeftCell="A7" zoomScaleNormal="100" zoomScaleSheetLayoutView="100" workbookViewId="0">
      <selection activeCell="B13" sqref="B13"/>
    </sheetView>
  </sheetViews>
  <sheetFormatPr defaultColWidth="9" defaultRowHeight="20.100000000000001" customHeight="1"/>
  <cols>
    <col min="1" max="1" width="25" style="95" customWidth="1"/>
    <col min="2" max="2" width="14.5" style="95" customWidth="1"/>
    <col min="3" max="3" width="14.875" style="95" customWidth="1"/>
    <col min="4" max="4" width="24.75" style="95" customWidth="1"/>
    <col min="5" max="5" width="15" style="95" customWidth="1"/>
    <col min="6" max="6" width="20.5" style="95" customWidth="1"/>
    <col min="7" max="7" width="13" style="95" customWidth="1"/>
    <col min="8" max="16384" width="9" style="95"/>
  </cols>
  <sheetData>
    <row r="1" spans="1:10" ht="24.95" customHeight="1">
      <c r="A1" s="54" t="s">
        <v>145</v>
      </c>
      <c r="B1" s="55">
        <f>基础信息!B6</f>
        <v>0</v>
      </c>
      <c r="C1" s="525"/>
      <c r="D1" s="359"/>
      <c r="E1" s="526"/>
      <c r="F1" s="359"/>
      <c r="G1" s="527"/>
    </row>
    <row r="2" spans="1:10" ht="24.95" customHeight="1">
      <c r="A2" s="54" t="s">
        <v>147</v>
      </c>
      <c r="B2" s="55">
        <f>基础信息!B9</f>
        <v>0</v>
      </c>
      <c r="C2" s="525"/>
      <c r="D2" s="359"/>
      <c r="E2" s="359"/>
      <c r="F2" s="359"/>
      <c r="G2" s="527"/>
    </row>
    <row r="3" spans="1:10" ht="24.95" customHeight="1">
      <c r="A3" s="97" t="s">
        <v>148</v>
      </c>
      <c r="B3" s="97" t="s">
        <v>706</v>
      </c>
      <c r="C3" s="528"/>
      <c r="D3" s="359"/>
      <c r="E3" s="359"/>
      <c r="F3" s="359"/>
      <c r="G3" s="527"/>
    </row>
    <row r="4" spans="1:10" s="102" customFormat="1" ht="20.100000000000001" customHeight="1">
      <c r="A4" s="455" t="s">
        <v>707</v>
      </c>
      <c r="B4" s="142"/>
      <c r="C4" s="142"/>
      <c r="D4" s="529"/>
      <c r="E4" s="15"/>
      <c r="F4" s="15"/>
      <c r="G4" s="530"/>
      <c r="H4" s="26"/>
      <c r="I4" s="26"/>
      <c r="J4" s="26"/>
    </row>
    <row r="5" spans="1:10" s="102" customFormat="1" ht="20.100000000000001" customHeight="1">
      <c r="A5" s="1272" t="s">
        <v>708</v>
      </c>
      <c r="B5" s="1272" t="s">
        <v>709</v>
      </c>
      <c r="C5" s="1272"/>
      <c r="D5" s="1273"/>
      <c r="E5" s="1274"/>
      <c r="F5" s="15"/>
      <c r="G5" s="530"/>
      <c r="H5" s="26"/>
      <c r="I5" s="26"/>
      <c r="J5" s="26"/>
    </row>
    <row r="6" spans="1:10" s="102" customFormat="1" ht="20.100000000000001" customHeight="1">
      <c r="A6" s="1272"/>
      <c r="B6" s="16" t="s">
        <v>710</v>
      </c>
      <c r="C6" s="16" t="s">
        <v>711</v>
      </c>
      <c r="D6" s="531"/>
      <c r="E6" s="494"/>
      <c r="F6" s="15"/>
      <c r="G6" s="530"/>
      <c r="H6" s="26"/>
      <c r="I6" s="26"/>
      <c r="J6" s="26"/>
    </row>
    <row r="7" spans="1:10" s="102" customFormat="1" ht="20.100000000000001" customHeight="1">
      <c r="A7" s="65" t="s">
        <v>712</v>
      </c>
      <c r="B7" s="532"/>
      <c r="C7" s="532"/>
      <c r="D7" s="533"/>
      <c r="E7" s="37"/>
      <c r="F7" s="7"/>
      <c r="G7" s="534"/>
    </row>
    <row r="8" spans="1:10" s="102" customFormat="1" ht="64.5" customHeight="1">
      <c r="A8" s="1032" t="s">
        <v>2173</v>
      </c>
      <c r="B8" s="532"/>
      <c r="C8" s="532"/>
      <c r="D8" s="533"/>
      <c r="E8" s="37"/>
      <c r="F8" s="7"/>
      <c r="G8" s="534"/>
    </row>
    <row r="9" spans="1:10" s="102" customFormat="1" ht="20.100000000000001" customHeight="1">
      <c r="A9" s="65" t="s">
        <v>713</v>
      </c>
      <c r="B9" s="535"/>
      <c r="C9" s="535"/>
      <c r="D9" s="536"/>
      <c r="E9" s="115"/>
      <c r="F9" s="7"/>
      <c r="G9" s="534"/>
    </row>
    <row r="10" spans="1:10" s="102" customFormat="1" ht="20.100000000000001" customHeight="1">
      <c r="A10" s="65" t="s">
        <v>658</v>
      </c>
      <c r="B10" s="521">
        <f>SUM(B7:B9)</f>
        <v>0</v>
      </c>
      <c r="C10" s="521">
        <f>SUM(C7:C9)</f>
        <v>0</v>
      </c>
      <c r="D10" s="536"/>
      <c r="E10" s="115"/>
      <c r="F10" s="120"/>
      <c r="G10" s="534"/>
    </row>
    <row r="11" spans="1:10" s="102" customFormat="1" ht="20.100000000000001" customHeight="1">
      <c r="A11" s="174" t="s">
        <v>2411</v>
      </c>
      <c r="B11" s="521">
        <f>'RP 006'!E13</f>
        <v>0</v>
      </c>
      <c r="C11" s="521">
        <f>'RP 006'!E14</f>
        <v>0</v>
      </c>
      <c r="D11" s="537"/>
      <c r="E11" s="7"/>
      <c r="F11" s="7"/>
      <c r="G11" s="534"/>
    </row>
    <row r="12" spans="1:10" s="102" customFormat="1" ht="20.100000000000001" customHeight="1">
      <c r="A12" s="174"/>
      <c r="B12" s="521">
        <f>B10-B11</f>
        <v>0</v>
      </c>
      <c r="C12" s="521">
        <f>C10-C11</f>
        <v>0</v>
      </c>
      <c r="D12" s="537"/>
      <c r="E12" s="7"/>
      <c r="F12" s="7"/>
      <c r="G12" s="1153"/>
    </row>
    <row r="13" spans="1:10" s="102" customFormat="1" ht="20.100000000000001" customHeight="1">
      <c r="A13" s="1154"/>
      <c r="B13" s="1166" t="str">
        <f>IF(B12=0,"OK","NO")</f>
        <v>OK</v>
      </c>
      <c r="C13" s="1166" t="str">
        <f>IF(C12=0,"OK","NO")</f>
        <v>OK</v>
      </c>
      <c r="D13" s="537"/>
      <c r="E13" s="7"/>
      <c r="F13" s="7"/>
      <c r="G13" s="534"/>
    </row>
    <row r="14" spans="1:10" s="100" customFormat="1" ht="20.100000000000001" customHeight="1">
      <c r="D14" s="538"/>
      <c r="E14" s="29"/>
      <c r="F14" s="29"/>
      <c r="G14" s="539"/>
    </row>
    <row r="15" spans="1:10" s="100" customFormat="1" ht="20.100000000000001" customHeight="1">
      <c r="A15" s="29"/>
      <c r="B15" s="29"/>
      <c r="C15" s="29"/>
      <c r="D15" s="29"/>
      <c r="E15" s="29"/>
      <c r="F15" s="29"/>
      <c r="G15" s="539"/>
    </row>
    <row r="16" spans="1:10" s="102" customFormat="1" ht="20.100000000000001" customHeight="1">
      <c r="A16" s="540" t="s">
        <v>714</v>
      </c>
      <c r="B16" s="541"/>
      <c r="C16" s="541"/>
      <c r="D16" s="541"/>
      <c r="E16" s="541"/>
      <c r="F16" s="7"/>
      <c r="G16" s="534"/>
    </row>
    <row r="17" spans="1:7" s="102" customFormat="1" ht="20.100000000000001" customHeight="1">
      <c r="A17" s="88" t="s">
        <v>715</v>
      </c>
      <c r="B17" s="88" t="s">
        <v>716</v>
      </c>
      <c r="C17" s="88" t="s">
        <v>711</v>
      </c>
      <c r="D17" s="88" t="s">
        <v>717</v>
      </c>
      <c r="E17" s="88" t="s">
        <v>718</v>
      </c>
      <c r="F17" s="537"/>
      <c r="G17" s="534"/>
    </row>
    <row r="18" spans="1:7" s="102" customFormat="1" ht="20.100000000000001" customHeight="1">
      <c r="A18" s="94"/>
      <c r="B18" s="509"/>
      <c r="C18" s="509"/>
      <c r="D18" s="542"/>
      <c r="E18" s="94"/>
      <c r="F18" s="537"/>
      <c r="G18" s="534"/>
    </row>
    <row r="19" spans="1:7" s="102" customFormat="1" ht="20.100000000000001" customHeight="1">
      <c r="A19" s="94"/>
      <c r="B19" s="509"/>
      <c r="C19" s="509"/>
      <c r="D19" s="542"/>
      <c r="E19" s="94"/>
      <c r="F19" s="537"/>
      <c r="G19" s="534"/>
    </row>
    <row r="20" spans="1:7" s="102" customFormat="1" ht="20.100000000000001" customHeight="1">
      <c r="A20" s="94"/>
      <c r="B20" s="509"/>
      <c r="C20" s="509"/>
      <c r="D20" s="542"/>
      <c r="E20" s="94"/>
      <c r="F20" s="537"/>
      <c r="G20" s="534"/>
    </row>
    <row r="21" spans="1:7" s="102" customFormat="1" ht="20.100000000000001" customHeight="1">
      <c r="A21" s="467"/>
      <c r="B21" s="509"/>
      <c r="C21" s="509"/>
      <c r="D21" s="542"/>
      <c r="E21" s="94"/>
      <c r="F21" s="537"/>
      <c r="G21" s="534"/>
    </row>
    <row r="22" spans="1:7" s="102" customFormat="1" ht="20.100000000000001" customHeight="1">
      <c r="A22" s="94" t="s">
        <v>658</v>
      </c>
      <c r="B22" s="509"/>
      <c r="C22" s="509"/>
      <c r="D22" s="542"/>
      <c r="E22" s="94"/>
      <c r="F22" s="537"/>
      <c r="G22" s="534"/>
    </row>
    <row r="23" spans="1:7" s="102" customFormat="1" ht="20.100000000000001" customHeight="1">
      <c r="A23" s="1167" t="s">
        <v>2412</v>
      </c>
      <c r="B23" s="543">
        <f>B7</f>
        <v>0</v>
      </c>
      <c r="C23" s="543">
        <f>C7</f>
        <v>0</v>
      </c>
      <c r="D23" s="544"/>
      <c r="F23" s="537"/>
      <c r="G23" s="534"/>
    </row>
    <row r="24" spans="1:7" s="102" customFormat="1" ht="20.100000000000001" customHeight="1">
      <c r="B24" s="543">
        <f>B22-B23</f>
        <v>0</v>
      </c>
      <c r="C24" s="543">
        <f>C22-C23</f>
        <v>0</v>
      </c>
      <c r="D24" s="544"/>
      <c r="F24" s="537"/>
      <c r="G24" s="534"/>
    </row>
    <row r="25" spans="1:7" s="100" customFormat="1" ht="20.100000000000001" customHeight="1">
      <c r="B25" s="100" t="str">
        <f>IF(B24=0,"OK","NO")</f>
        <v>OK</v>
      </c>
      <c r="C25" s="100" t="str">
        <f>IF(C24=0,"OK","NO")</f>
        <v>OK</v>
      </c>
      <c r="F25" s="545"/>
      <c r="G25" s="539"/>
    </row>
    <row r="26" spans="1:7" s="102" customFormat="1" ht="20.100000000000001" customHeight="1">
      <c r="A26" s="546"/>
      <c r="B26" s="547"/>
      <c r="C26" s="546"/>
      <c r="D26" s="546"/>
      <c r="E26" s="546"/>
      <c r="F26" s="7"/>
      <c r="G26" s="534"/>
    </row>
    <row r="27" spans="1:7" s="102" customFormat="1" ht="20.100000000000001" customHeight="1">
      <c r="A27" s="540" t="s">
        <v>720</v>
      </c>
      <c r="B27" s="541"/>
      <c r="C27" s="541"/>
      <c r="D27" s="7"/>
      <c r="E27" s="7"/>
      <c r="F27" s="7"/>
      <c r="G27" s="534"/>
    </row>
    <row r="28" spans="1:7" s="102" customFormat="1" ht="20.100000000000001" customHeight="1">
      <c r="A28" s="1272" t="s">
        <v>721</v>
      </c>
      <c r="B28" s="1272" t="s">
        <v>709</v>
      </c>
      <c r="C28" s="1272"/>
      <c r="D28" s="533"/>
      <c r="E28" s="37"/>
      <c r="F28" s="7"/>
      <c r="G28" s="534"/>
    </row>
    <row r="29" spans="1:7" s="102" customFormat="1" ht="20.100000000000001" customHeight="1">
      <c r="A29" s="1272"/>
      <c r="B29" s="16" t="s">
        <v>710</v>
      </c>
      <c r="C29" s="16" t="s">
        <v>711</v>
      </c>
      <c r="D29" s="533"/>
      <c r="E29" s="37"/>
      <c r="F29" s="7"/>
      <c r="G29" s="534"/>
    </row>
    <row r="30" spans="1:7" s="102" customFormat="1" ht="20.100000000000001" customHeight="1">
      <c r="A30" s="65" t="s">
        <v>722</v>
      </c>
      <c r="B30" s="532"/>
      <c r="C30" s="532"/>
      <c r="D30" s="533"/>
      <c r="E30" s="37"/>
      <c r="F30" s="7"/>
      <c r="G30" s="534"/>
    </row>
    <row r="31" spans="1:7" s="102" customFormat="1" ht="20.100000000000001" customHeight="1">
      <c r="A31" s="65" t="s">
        <v>723</v>
      </c>
      <c r="B31" s="532"/>
      <c r="C31" s="532"/>
      <c r="D31" s="533"/>
      <c r="E31" s="37"/>
      <c r="F31" s="7"/>
      <c r="G31" s="534"/>
    </row>
    <row r="32" spans="1:7" s="102" customFormat="1" ht="20.100000000000001" customHeight="1">
      <c r="A32" s="65" t="s">
        <v>724</v>
      </c>
      <c r="B32" s="532"/>
      <c r="C32" s="532"/>
      <c r="D32" s="533"/>
      <c r="E32" s="37"/>
      <c r="F32" s="7"/>
      <c r="G32" s="534"/>
    </row>
    <row r="33" spans="1:7" s="102" customFormat="1" ht="20.100000000000001" customHeight="1">
      <c r="A33" s="548" t="s">
        <v>725</v>
      </c>
      <c r="B33" s="532"/>
      <c r="C33" s="532"/>
      <c r="D33" s="533"/>
      <c r="E33" s="37"/>
      <c r="F33" s="7"/>
      <c r="G33" s="534"/>
    </row>
    <row r="34" spans="1:7" s="102" customFormat="1" ht="20.100000000000001" customHeight="1">
      <c r="A34" s="548" t="s">
        <v>726</v>
      </c>
      <c r="B34" s="532"/>
      <c r="C34" s="532"/>
      <c r="D34" s="533"/>
      <c r="E34" s="37"/>
      <c r="F34" s="7"/>
      <c r="G34" s="534"/>
    </row>
    <row r="35" spans="1:7" s="102" customFormat="1" ht="20.100000000000001" customHeight="1">
      <c r="A35" s="548" t="s">
        <v>727</v>
      </c>
      <c r="B35" s="532"/>
      <c r="C35" s="532"/>
      <c r="D35" s="533"/>
      <c r="E35" s="37"/>
      <c r="F35" s="7"/>
      <c r="G35" s="534"/>
    </row>
    <row r="36" spans="1:7" s="102" customFormat="1" ht="20.100000000000001" customHeight="1">
      <c r="A36" s="65" t="s">
        <v>728</v>
      </c>
      <c r="B36" s="518">
        <f>SUM(B30:B33)</f>
        <v>0</v>
      </c>
      <c r="C36" s="518">
        <f>SUM(C30:C33)</f>
        <v>0</v>
      </c>
      <c r="D36" s="533"/>
      <c r="E36" s="37"/>
      <c r="F36" s="120"/>
      <c r="G36" s="534"/>
    </row>
    <row r="37" spans="1:7" s="102" customFormat="1" ht="20.100000000000001" customHeight="1">
      <c r="A37" s="118" t="s">
        <v>719</v>
      </c>
      <c r="B37" s="521">
        <f>B8</f>
        <v>0</v>
      </c>
      <c r="C37" s="521">
        <f>C8</f>
        <v>0</v>
      </c>
      <c r="D37" s="537"/>
      <c r="E37" s="7"/>
      <c r="F37" s="7"/>
      <c r="G37" s="534"/>
    </row>
    <row r="38" spans="1:7" s="102" customFormat="1" ht="20.100000000000001" customHeight="1">
      <c r="B38" s="521">
        <f>B36-B37</f>
        <v>0</v>
      </c>
      <c r="C38" s="521">
        <f>C36-C37</f>
        <v>0</v>
      </c>
      <c r="D38" s="537"/>
      <c r="E38" s="7"/>
      <c r="F38" s="7"/>
      <c r="G38" s="534"/>
    </row>
    <row r="39" spans="1:7" s="100" customFormat="1" ht="20.100000000000001" customHeight="1">
      <c r="B39" s="100" t="str">
        <f>IF(B38=0,"OK","NO")</f>
        <v>OK</v>
      </c>
      <c r="C39" s="100" t="str">
        <f>IF(C38=0,"OK","NO")</f>
        <v>OK</v>
      </c>
      <c r="D39" s="538"/>
      <c r="E39" s="29"/>
      <c r="F39" s="289"/>
      <c r="G39" s="539"/>
    </row>
    <row r="40" spans="1:7" s="102" customFormat="1" ht="20.100000000000001" customHeight="1">
      <c r="D40" s="537"/>
      <c r="E40" s="7"/>
      <c r="F40" s="7"/>
      <c r="G40" s="534"/>
    </row>
    <row r="41" spans="1:7" s="102" customFormat="1" ht="20.100000000000001" customHeight="1">
      <c r="A41" s="455" t="s">
        <v>729</v>
      </c>
      <c r="D41" s="537"/>
      <c r="E41" s="7"/>
      <c r="F41" s="7"/>
      <c r="G41" s="534"/>
    </row>
    <row r="42" spans="1:7" s="102" customFormat="1" ht="20.100000000000001" customHeight="1">
      <c r="A42" s="549" t="s">
        <v>730</v>
      </c>
      <c r="D42" s="537"/>
      <c r="E42" s="7"/>
      <c r="F42" s="7"/>
      <c r="G42" s="534"/>
    </row>
    <row r="43" spans="1:7" s="102" customFormat="1" ht="20.100000000000001" customHeight="1">
      <c r="A43" s="549" t="s">
        <v>731</v>
      </c>
      <c r="D43" s="550"/>
      <c r="E43" s="541"/>
      <c r="F43" s="7"/>
      <c r="G43" s="534"/>
    </row>
    <row r="44" spans="1:7" s="102" customFormat="1" ht="20.100000000000001" customHeight="1">
      <c r="A44" s="16" t="s">
        <v>732</v>
      </c>
      <c r="B44" s="16" t="s">
        <v>733</v>
      </c>
      <c r="C44" s="16" t="s">
        <v>734</v>
      </c>
      <c r="D44" s="16" t="s">
        <v>735</v>
      </c>
      <c r="E44" s="16" t="s">
        <v>736</v>
      </c>
      <c r="F44" s="537"/>
      <c r="G44" s="534"/>
    </row>
    <row r="45" spans="1:7" s="102" customFormat="1" ht="20.100000000000001" customHeight="1">
      <c r="A45" s="284"/>
      <c r="B45" s="32"/>
      <c r="C45" s="32"/>
      <c r="D45" s="32"/>
      <c r="E45" s="32"/>
      <c r="F45" s="537"/>
      <c r="G45" s="534"/>
    </row>
    <row r="46" spans="1:7" s="102" customFormat="1" ht="20.100000000000001" customHeight="1">
      <c r="A46" s="284" t="s">
        <v>737</v>
      </c>
      <c r="B46" s="32"/>
      <c r="C46" s="32"/>
      <c r="D46" s="32"/>
      <c r="E46" s="32"/>
      <c r="F46" s="537"/>
      <c r="G46" s="534"/>
    </row>
    <row r="47" spans="1:7" s="102" customFormat="1" ht="20.100000000000001" customHeight="1">
      <c r="A47" s="32" t="s">
        <v>658</v>
      </c>
      <c r="B47" s="551">
        <f>SUM(B45:B46)</f>
        <v>0</v>
      </c>
      <c r="C47" s="32"/>
      <c r="D47" s="32"/>
      <c r="E47" s="551">
        <f>SUM(E45:E46)</f>
        <v>0</v>
      </c>
      <c r="F47" s="537"/>
      <c r="G47" s="534"/>
    </row>
    <row r="48" spans="1:7" s="102" customFormat="1" ht="20.100000000000001" customHeight="1">
      <c r="F48" s="537"/>
      <c r="G48" s="534"/>
    </row>
    <row r="49" spans="1:7" s="102" customFormat="1" ht="20.100000000000001" customHeight="1">
      <c r="A49" s="142" t="s">
        <v>738</v>
      </c>
      <c r="C49" s="552"/>
      <c r="D49" s="546"/>
      <c r="E49" s="546"/>
      <c r="F49" s="7"/>
      <c r="G49" s="534"/>
    </row>
    <row r="50" spans="1:7" s="102" customFormat="1" ht="20.100000000000001" customHeight="1">
      <c r="A50" s="16" t="s">
        <v>137</v>
      </c>
      <c r="B50" s="16" t="s">
        <v>739</v>
      </c>
      <c r="C50" s="537"/>
      <c r="D50" s="7"/>
      <c r="E50" s="7"/>
      <c r="F50" s="7"/>
      <c r="G50" s="534"/>
    </row>
    <row r="51" spans="1:7" s="102" customFormat="1" ht="20.100000000000001" customHeight="1">
      <c r="A51" s="32" t="s">
        <v>740</v>
      </c>
      <c r="B51" s="32"/>
      <c r="C51" s="537"/>
      <c r="D51" s="7"/>
      <c r="E51" s="7"/>
      <c r="F51" s="7"/>
      <c r="G51" s="534"/>
    </row>
    <row r="52" spans="1:7" s="102" customFormat="1" ht="20.100000000000001" customHeight="1">
      <c r="A52" s="32"/>
      <c r="B52" s="32"/>
      <c r="C52" s="537"/>
      <c r="D52" s="7"/>
      <c r="E52" s="7"/>
      <c r="F52" s="7"/>
      <c r="G52" s="534"/>
    </row>
    <row r="53" spans="1:7" s="102" customFormat="1" ht="20.100000000000001" customHeight="1">
      <c r="A53" s="549" t="s">
        <v>741</v>
      </c>
      <c r="C53" s="550"/>
      <c r="D53" s="541"/>
      <c r="E53" s="541"/>
      <c r="F53" s="541"/>
      <c r="G53" s="534"/>
    </row>
    <row r="54" spans="1:7" s="102" customFormat="1" ht="20.100000000000001" customHeight="1">
      <c r="A54" s="16" t="s">
        <v>732</v>
      </c>
      <c r="B54" s="16" t="s">
        <v>742</v>
      </c>
      <c r="C54" s="16" t="s">
        <v>739</v>
      </c>
      <c r="D54" s="16" t="s">
        <v>743</v>
      </c>
      <c r="E54" s="16" t="s">
        <v>744</v>
      </c>
      <c r="F54" s="16" t="s">
        <v>745</v>
      </c>
    </row>
    <row r="55" spans="1:7" s="102" customFormat="1" ht="20.100000000000001" customHeight="1">
      <c r="A55" s="32"/>
      <c r="B55" s="32"/>
      <c r="C55" s="32"/>
      <c r="D55" s="32"/>
      <c r="E55" s="32"/>
      <c r="F55" s="32"/>
    </row>
    <row r="56" spans="1:7" s="102" customFormat="1" ht="20.100000000000001" customHeight="1">
      <c r="A56" s="32"/>
      <c r="B56" s="284"/>
      <c r="C56" s="284"/>
      <c r="D56" s="284"/>
      <c r="E56" s="284"/>
      <c r="F56" s="284"/>
    </row>
    <row r="57" spans="1:7" s="102" customFormat="1" ht="34.5" customHeight="1">
      <c r="A57" s="284"/>
      <c r="B57" s="284"/>
      <c r="C57" s="284"/>
      <c r="D57" s="284"/>
      <c r="E57" s="284"/>
      <c r="F57" s="284"/>
    </row>
    <row r="58" spans="1:7" s="102" customFormat="1" ht="20.100000000000001" customHeight="1">
      <c r="A58" s="32" t="s">
        <v>658</v>
      </c>
      <c r="B58" s="551">
        <f>SUM(B55:B57)</f>
        <v>0</v>
      </c>
      <c r="C58" s="551">
        <f>SUM(C55:C57)</f>
        <v>0</v>
      </c>
      <c r="D58" s="284"/>
      <c r="E58" s="284"/>
      <c r="F58" s="284"/>
    </row>
    <row r="59" spans="1:7" s="102" customFormat="1" ht="20.100000000000001" customHeight="1">
      <c r="A59" s="7"/>
      <c r="B59" s="7"/>
      <c r="C59" s="7"/>
      <c r="D59" s="7"/>
      <c r="E59" s="7"/>
      <c r="F59" s="7"/>
      <c r="G59" s="534"/>
    </row>
    <row r="60" spans="1:7" s="102" customFormat="1" ht="20.100000000000001" customHeight="1">
      <c r="A60" s="68" t="s">
        <v>746</v>
      </c>
      <c r="B60" s="7"/>
      <c r="C60" s="7"/>
      <c r="D60" s="7"/>
      <c r="E60" s="7"/>
      <c r="F60" s="7"/>
      <c r="G60" s="534"/>
    </row>
    <row r="61" spans="1:7" s="102" customFormat="1" ht="20.100000000000001" customHeight="1">
      <c r="A61" s="499" t="s">
        <v>747</v>
      </c>
      <c r="B61" s="7"/>
      <c r="C61" s="7"/>
      <c r="D61" s="7"/>
      <c r="E61" s="7"/>
      <c r="F61" s="7"/>
      <c r="G61" s="534"/>
    </row>
    <row r="62" spans="1:7" s="102" customFormat="1" ht="20.100000000000001" customHeight="1">
      <c r="A62" s="495" t="s">
        <v>748</v>
      </c>
      <c r="B62" s="7"/>
      <c r="C62" s="7"/>
      <c r="D62" s="7"/>
      <c r="E62" s="7"/>
      <c r="F62" s="7"/>
      <c r="G62" s="534"/>
    </row>
    <row r="63" spans="1:7" s="102" customFormat="1" ht="20.100000000000001" customHeight="1">
      <c r="A63" s="499" t="s">
        <v>749</v>
      </c>
      <c r="B63" s="7"/>
      <c r="C63" s="7"/>
      <c r="D63" s="7"/>
      <c r="E63" s="7"/>
      <c r="F63" s="7"/>
      <c r="G63" s="534"/>
    </row>
    <row r="64" spans="1:7" s="102" customFormat="1" ht="47.25" customHeight="1">
      <c r="A64" s="553" t="s">
        <v>732</v>
      </c>
      <c r="B64" s="553" t="s">
        <v>750</v>
      </c>
      <c r="C64" s="553" t="s">
        <v>751</v>
      </c>
      <c r="D64" s="553" t="s">
        <v>752</v>
      </c>
      <c r="E64" s="537"/>
      <c r="F64" s="7"/>
      <c r="G64" s="534"/>
    </row>
    <row r="65" spans="1:10" s="102" customFormat="1" ht="20.100000000000001" customHeight="1">
      <c r="A65" s="94"/>
      <c r="B65" s="94"/>
      <c r="C65" s="94"/>
      <c r="D65" s="94"/>
      <c r="E65" s="537"/>
      <c r="F65" s="7"/>
      <c r="G65" s="534"/>
    </row>
    <row r="66" spans="1:10" s="102" customFormat="1" ht="20.100000000000001" customHeight="1">
      <c r="A66" s="94"/>
      <c r="B66" s="467"/>
      <c r="C66" s="467"/>
      <c r="D66" s="467"/>
      <c r="E66" s="537"/>
      <c r="F66" s="7"/>
      <c r="G66" s="534"/>
    </row>
    <row r="67" spans="1:10" s="102" customFormat="1" ht="20.100000000000001" customHeight="1">
      <c r="A67" s="467"/>
      <c r="B67" s="467"/>
      <c r="C67" s="467"/>
      <c r="D67" s="467"/>
      <c r="E67" s="537"/>
      <c r="F67" s="7"/>
      <c r="G67" s="534"/>
    </row>
    <row r="68" spans="1:10" s="102" customFormat="1" ht="20.100000000000001" customHeight="1">
      <c r="A68" s="94" t="s">
        <v>658</v>
      </c>
      <c r="B68" s="554">
        <f>SUM(B65:B67)</f>
        <v>0</v>
      </c>
      <c r="C68" s="94">
        <f>SUM(C65:C67)</f>
        <v>0</v>
      </c>
      <c r="D68" s="94">
        <f>SUM(D65:D67)</f>
        <v>0</v>
      </c>
      <c r="E68" s="537"/>
      <c r="F68" s="7"/>
      <c r="G68" s="534"/>
    </row>
    <row r="69" spans="1:10" s="100" customFormat="1" ht="20.100000000000001" customHeight="1">
      <c r="A69" s="102"/>
      <c r="B69" s="102"/>
      <c r="C69" s="102"/>
      <c r="D69" s="102"/>
      <c r="E69" s="537"/>
      <c r="F69" s="7"/>
      <c r="G69" s="534"/>
      <c r="H69" s="102"/>
      <c r="I69" s="102"/>
      <c r="J69" s="102"/>
    </row>
    <row r="70" spans="1:10" s="102" customFormat="1" ht="20.100000000000001" customHeight="1">
      <c r="A70" s="455" t="s">
        <v>753</v>
      </c>
      <c r="E70" s="537"/>
      <c r="F70" s="7"/>
      <c r="G70" s="534"/>
    </row>
    <row r="71" spans="1:10" s="102" customFormat="1" ht="20.100000000000001" customHeight="1">
      <c r="A71" s="16" t="s">
        <v>754</v>
      </c>
      <c r="B71" s="16" t="s">
        <v>755</v>
      </c>
      <c r="C71" s="16" t="s">
        <v>756</v>
      </c>
      <c r="D71" s="16" t="s">
        <v>757</v>
      </c>
      <c r="E71" s="537"/>
      <c r="F71" s="7"/>
      <c r="G71" s="534"/>
    </row>
    <row r="72" spans="1:10" s="102" customFormat="1" ht="20.100000000000001" customHeight="1">
      <c r="A72" s="94"/>
      <c r="B72" s="94"/>
      <c r="C72" s="94"/>
      <c r="D72" s="94"/>
      <c r="E72" s="537"/>
      <c r="F72" s="7"/>
      <c r="G72" s="534"/>
    </row>
    <row r="73" spans="1:10" s="102" customFormat="1" ht="20.100000000000001" customHeight="1">
      <c r="A73" s="94"/>
      <c r="B73" s="467"/>
      <c r="C73" s="467"/>
      <c r="D73" s="467"/>
      <c r="E73" s="537"/>
      <c r="F73" s="7"/>
      <c r="G73" s="534"/>
    </row>
    <row r="74" spans="1:10" s="102" customFormat="1" ht="20.100000000000001" customHeight="1">
      <c r="A74" s="467"/>
      <c r="B74" s="467"/>
      <c r="C74" s="467"/>
      <c r="D74" s="467"/>
      <c r="E74" s="537"/>
      <c r="F74" s="7"/>
      <c r="G74" s="534"/>
    </row>
    <row r="75" spans="1:10" s="102" customFormat="1" ht="20.100000000000001" customHeight="1">
      <c r="A75" s="555" t="s">
        <v>658</v>
      </c>
      <c r="B75" s="555"/>
      <c r="C75" s="556">
        <f>SUM(C72:C74)</f>
        <v>0</v>
      </c>
      <c r="D75" s="556">
        <f>SUM(D72:D74)</f>
        <v>0</v>
      </c>
      <c r="E75" s="537"/>
      <c r="F75" s="7"/>
      <c r="G75" s="534"/>
    </row>
    <row r="76" spans="1:10" s="102" customFormat="1" ht="20.100000000000001" customHeight="1">
      <c r="A76" s="557" t="s">
        <v>677</v>
      </c>
      <c r="B76" s="546"/>
      <c r="C76" s="546"/>
      <c r="D76" s="546"/>
      <c r="E76" s="546"/>
      <c r="F76" s="546"/>
      <c r="G76" s="534"/>
    </row>
    <row r="77" spans="1:10" s="102" customFormat="1" ht="20.100000000000001" customHeight="1">
      <c r="A77" s="495" t="s">
        <v>758</v>
      </c>
      <c r="B77" s="7"/>
      <c r="C77" s="7"/>
      <c r="D77" s="7"/>
      <c r="E77" s="7"/>
      <c r="F77" s="7"/>
      <c r="G77" s="534"/>
    </row>
    <row r="78" spans="1:10" s="102" customFormat="1" ht="20.100000000000001" customHeight="1">
      <c r="A78" s="495" t="s">
        <v>759</v>
      </c>
      <c r="B78" s="7"/>
      <c r="C78" s="7"/>
      <c r="D78" s="7"/>
      <c r="E78" s="7"/>
      <c r="F78" s="7"/>
      <c r="G78" s="534"/>
    </row>
    <row r="79" spans="1:10" s="102" customFormat="1" ht="20.100000000000001" customHeight="1">
      <c r="A79" s="495" t="s">
        <v>760</v>
      </c>
      <c r="B79" s="7"/>
      <c r="C79" s="7"/>
      <c r="D79" s="7"/>
      <c r="E79" s="7"/>
      <c r="F79" s="7"/>
      <c r="G79" s="534"/>
    </row>
    <row r="80" spans="1:10" s="102" customFormat="1" ht="20.100000000000001" customHeight="1">
      <c r="A80" s="7"/>
      <c r="B80" s="7"/>
      <c r="C80" s="7"/>
      <c r="D80" s="7"/>
      <c r="E80" s="7"/>
      <c r="F80" s="7"/>
      <c r="G80" s="534"/>
    </row>
    <row r="81" spans="1:7" s="102" customFormat="1" ht="20.100000000000001" customHeight="1">
      <c r="A81" s="68" t="s">
        <v>761</v>
      </c>
      <c r="B81" s="7"/>
      <c r="C81" s="7"/>
      <c r="D81" s="7"/>
      <c r="E81" s="7"/>
      <c r="F81" s="7"/>
      <c r="G81" s="534"/>
    </row>
    <row r="82" spans="1:7" s="102" customFormat="1" ht="20.100000000000001" customHeight="1">
      <c r="A82" s="553" t="s">
        <v>754</v>
      </c>
      <c r="B82" s="553" t="s">
        <v>762</v>
      </c>
      <c r="C82" s="537"/>
      <c r="D82" s="7"/>
      <c r="E82" s="7"/>
      <c r="F82" s="7"/>
      <c r="G82" s="534"/>
    </row>
    <row r="83" spans="1:7" s="102" customFormat="1" ht="20.100000000000001" customHeight="1">
      <c r="A83" s="32" t="s">
        <v>763</v>
      </c>
      <c r="B83" s="32"/>
      <c r="C83" s="537"/>
      <c r="D83" s="7"/>
      <c r="E83" s="7"/>
      <c r="F83" s="7"/>
      <c r="G83" s="534"/>
    </row>
    <row r="84" spans="1:7" s="102" customFormat="1" ht="20.100000000000001" customHeight="1">
      <c r="A84" s="32"/>
      <c r="B84" s="32"/>
      <c r="C84" s="537"/>
      <c r="D84" s="7"/>
      <c r="E84" s="7"/>
      <c r="F84" s="7"/>
      <c r="G84" s="534"/>
    </row>
    <row r="85" spans="1:7" s="102" customFormat="1" ht="20.100000000000001" customHeight="1">
      <c r="A85" s="32" t="s">
        <v>764</v>
      </c>
      <c r="B85" s="32" t="s">
        <v>2174</v>
      </c>
      <c r="C85" s="537"/>
      <c r="D85" s="7"/>
      <c r="E85" s="7"/>
      <c r="F85" s="7"/>
      <c r="G85" s="534"/>
    </row>
    <row r="86" spans="1:7" s="102" customFormat="1" ht="20.100000000000001" customHeight="1">
      <c r="A86" s="32" t="s">
        <v>766</v>
      </c>
      <c r="B86" s="284"/>
      <c r="C86" s="537"/>
      <c r="D86" s="7"/>
      <c r="E86" s="7"/>
      <c r="F86" s="7"/>
      <c r="G86" s="534"/>
    </row>
    <row r="87" spans="1:7" s="102" customFormat="1" ht="20.100000000000001" customHeight="1">
      <c r="A87" s="284"/>
      <c r="B87" s="284"/>
      <c r="C87" s="537"/>
      <c r="D87" s="7"/>
      <c r="E87" s="7"/>
      <c r="F87" s="7"/>
      <c r="G87" s="534"/>
    </row>
    <row r="88" spans="1:7" s="102" customFormat="1" ht="20.100000000000001" customHeight="1">
      <c r="A88" s="32" t="s">
        <v>767</v>
      </c>
      <c r="B88" s="32" t="s">
        <v>765</v>
      </c>
      <c r="C88" s="537"/>
      <c r="D88" s="7"/>
      <c r="E88" s="7"/>
      <c r="F88" s="7"/>
      <c r="G88" s="534"/>
    </row>
    <row r="89" spans="1:7" s="102" customFormat="1" ht="20.100000000000001" customHeight="1">
      <c r="A89" s="549" t="s">
        <v>768</v>
      </c>
      <c r="B89" s="558"/>
      <c r="C89" s="7"/>
      <c r="D89" s="7"/>
      <c r="E89" s="7"/>
      <c r="F89" s="7"/>
      <c r="G89" s="534"/>
    </row>
    <row r="90" spans="1:7" s="102" customFormat="1" ht="20.100000000000001" customHeight="1">
      <c r="C90" s="149"/>
      <c r="D90" s="149"/>
      <c r="E90" s="149"/>
      <c r="F90" s="149"/>
    </row>
    <row r="91" spans="1:7" s="102" customFormat="1" ht="20.100000000000001" customHeight="1">
      <c r="A91" s="65"/>
      <c r="B91" s="65"/>
    </row>
    <row r="92" spans="1:7" s="102" customFormat="1" ht="20.100000000000001" customHeight="1"/>
  </sheetData>
  <mergeCells count="5">
    <mergeCell ref="B5:C5"/>
    <mergeCell ref="D5:E5"/>
    <mergeCell ref="B28:C28"/>
    <mergeCell ref="A5:A6"/>
    <mergeCell ref="A28:A29"/>
  </mergeCells>
  <phoneticPr fontId="76" type="noConversion"/>
  <pageMargins left="0.74791666666666701" right="0.27500000000000002" top="0.51180555555555596" bottom="0.51180555555555596" header="0.27500000000000002" footer="0.27500000000000002"/>
  <pageSetup paperSize="9" scale="75" orientation="portrait" blackAndWhite="1" r:id="rId1"/>
  <headerFooter alignWithMargins="0"/>
  <rowBreaks count="1" manualBreakCount="1">
    <brk id="48" max="5"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4"/>
  <sheetViews>
    <sheetView topLeftCell="A52" workbookViewId="0">
      <selection activeCell="C63" sqref="C63"/>
    </sheetView>
  </sheetViews>
  <sheetFormatPr defaultRowHeight="12.95" customHeight="1"/>
  <cols>
    <col min="1" max="1" width="31.5" customWidth="1"/>
    <col min="2" max="2" width="23.625" customWidth="1"/>
  </cols>
  <sheetData>
    <row r="1" spans="1:11" ht="12.95" customHeight="1">
      <c r="A1" s="54" t="s">
        <v>145</v>
      </c>
      <c r="B1" s="55">
        <f>基础信息!B6</f>
        <v>0</v>
      </c>
      <c r="C1" s="256"/>
    </row>
    <row r="2" spans="1:11" ht="12.95" customHeight="1">
      <c r="A2" s="54" t="s">
        <v>147</v>
      </c>
      <c r="B2" s="63">
        <f>基础信息!B9</f>
        <v>0</v>
      </c>
      <c r="C2" s="256"/>
    </row>
    <row r="3" spans="1:11" ht="12.95" customHeight="1">
      <c r="A3" s="454" t="s">
        <v>148</v>
      </c>
      <c r="B3" s="965" t="s">
        <v>2127</v>
      </c>
      <c r="C3" s="256"/>
    </row>
    <row r="5" spans="1:11" ht="12.95" customHeight="1">
      <c r="A5" s="1042" t="s">
        <v>2226</v>
      </c>
      <c r="B5" s="1043" t="s">
        <v>2227</v>
      </c>
      <c r="C5" s="1043" t="s">
        <v>2134</v>
      </c>
    </row>
    <row r="6" spans="1:11" ht="12.95" customHeight="1">
      <c r="A6" s="1036" t="s">
        <v>682</v>
      </c>
      <c r="B6" s="1037"/>
      <c r="C6" s="1038"/>
    </row>
    <row r="7" spans="1:11" ht="12.95" customHeight="1">
      <c r="A7" s="1036" t="s">
        <v>683</v>
      </c>
      <c r="B7" s="1039"/>
      <c r="C7" s="1038"/>
    </row>
    <row r="8" spans="1:11" ht="12.95" customHeight="1">
      <c r="A8" s="1040"/>
      <c r="B8" s="1039"/>
      <c r="C8" s="1038"/>
    </row>
    <row r="9" spans="1:11" ht="12.95" customHeight="1">
      <c r="A9" s="1035" t="s">
        <v>2152</v>
      </c>
      <c r="B9" s="1044">
        <f>SUM(B6:B8)</f>
        <v>0</v>
      </c>
      <c r="C9" s="1044">
        <f>SUM(C6:C8)</f>
        <v>0</v>
      </c>
    </row>
    <row r="10" spans="1:11" ht="12.95" customHeight="1">
      <c r="A10" s="174" t="s">
        <v>2411</v>
      </c>
      <c r="B10" s="521">
        <f>'RP 006'!E18</f>
        <v>0</v>
      </c>
      <c r="C10" s="535"/>
    </row>
    <row r="11" spans="1:11" ht="12.95" customHeight="1">
      <c r="A11" s="174"/>
      <c r="B11" s="521">
        <f>B9-B10</f>
        <v>0</v>
      </c>
      <c r="C11" s="535"/>
    </row>
    <row r="12" spans="1:11" ht="12.95" customHeight="1">
      <c r="A12" s="1154"/>
      <c r="B12" s="1166" t="str">
        <f>IF(B11=0,"OK","NO")</f>
        <v>OK</v>
      </c>
      <c r="C12" s="100"/>
    </row>
    <row r="14" spans="1:11" ht="12.95" customHeight="1">
      <c r="A14" s="989" t="s">
        <v>2228</v>
      </c>
    </row>
    <row r="15" spans="1:11" ht="12.95" customHeight="1">
      <c r="A15" s="1275" t="s">
        <v>2139</v>
      </c>
      <c r="B15" s="1276" t="s">
        <v>2227</v>
      </c>
      <c r="C15" s="1276"/>
      <c r="D15" s="1276"/>
      <c r="E15" s="1276"/>
      <c r="F15" s="1276"/>
      <c r="G15" s="1276" t="s">
        <v>2169</v>
      </c>
      <c r="H15" s="1276"/>
      <c r="I15" s="1276"/>
      <c r="J15" s="1276"/>
      <c r="K15" s="1276"/>
    </row>
    <row r="16" spans="1:11" ht="12.95" customHeight="1">
      <c r="A16" s="1275"/>
      <c r="B16" s="1275" t="s">
        <v>2140</v>
      </c>
      <c r="C16" s="1275"/>
      <c r="D16" s="1275" t="s">
        <v>691</v>
      </c>
      <c r="E16" s="1275"/>
      <c r="F16" s="999" t="s">
        <v>2232</v>
      </c>
      <c r="G16" s="1275" t="s">
        <v>2140</v>
      </c>
      <c r="H16" s="1275"/>
      <c r="I16" s="1275" t="s">
        <v>691</v>
      </c>
      <c r="J16" s="1275"/>
      <c r="K16" s="999" t="s">
        <v>2141</v>
      </c>
    </row>
    <row r="17" spans="1:11" ht="12.95" customHeight="1">
      <c r="A17" s="1275"/>
      <c r="B17" s="999" t="s">
        <v>2143</v>
      </c>
      <c r="C17" s="1048" t="s">
        <v>2147</v>
      </c>
      <c r="D17" s="999" t="s">
        <v>2143</v>
      </c>
      <c r="E17" s="1048" t="s">
        <v>2148</v>
      </c>
      <c r="F17" s="999" t="s">
        <v>2142</v>
      </c>
      <c r="G17" s="999" t="s">
        <v>2143</v>
      </c>
      <c r="H17" s="1048" t="s">
        <v>2147</v>
      </c>
      <c r="I17" s="999" t="s">
        <v>2143</v>
      </c>
      <c r="J17" s="999" t="s">
        <v>2148</v>
      </c>
      <c r="K17" s="999" t="s">
        <v>2142</v>
      </c>
    </row>
    <row r="18" spans="1:11" ht="12.95" customHeight="1">
      <c r="A18" s="1017" t="s">
        <v>2145</v>
      </c>
      <c r="B18" s="1050">
        <f>B20+B21</f>
        <v>0</v>
      </c>
      <c r="C18" s="1050" t="e">
        <f>C20+C21</f>
        <v>#DIV/0!</v>
      </c>
      <c r="D18" s="1050">
        <f>D20+D21</f>
        <v>0</v>
      </c>
      <c r="E18" s="1050" t="e">
        <f>ROUND(D18/B18*100,2)</f>
        <v>#DIV/0!</v>
      </c>
      <c r="F18" s="1050">
        <f>F20+F21</f>
        <v>0</v>
      </c>
      <c r="G18" s="1050">
        <f>G20+G21</f>
        <v>0</v>
      </c>
      <c r="H18" s="1050" t="e">
        <f>H20+H21</f>
        <v>#DIV/0!</v>
      </c>
      <c r="I18" s="1050">
        <f>I20+I21</f>
        <v>0</v>
      </c>
      <c r="J18" s="1050" t="e">
        <f>ROUND(I18/G18*100,2)</f>
        <v>#DIV/0!</v>
      </c>
      <c r="K18" s="1050">
        <f>K20+K21</f>
        <v>0</v>
      </c>
    </row>
    <row r="19" spans="1:11" ht="12.95" customHeight="1">
      <c r="A19" s="1277" t="s">
        <v>2146</v>
      </c>
      <c r="B19" s="1277"/>
      <c r="C19" s="1277"/>
      <c r="D19" s="1277"/>
      <c r="E19" s="1277"/>
      <c r="F19" s="1277"/>
      <c r="G19" s="1277"/>
      <c r="H19" s="1277"/>
      <c r="I19" s="1277"/>
      <c r="J19" s="1277"/>
      <c r="K19" s="1277"/>
    </row>
    <row r="20" spans="1:11" ht="12.95" customHeight="1">
      <c r="A20" s="1017"/>
      <c r="B20" s="1028"/>
      <c r="C20" s="1050" t="e">
        <f>ROUND(B20/$B$26*100,2)</f>
        <v>#DIV/0!</v>
      </c>
      <c r="D20" s="1028"/>
      <c r="E20" s="1050" t="e">
        <f>ROUND(D20/B20*100,2)</f>
        <v>#DIV/0!</v>
      </c>
      <c r="F20" s="1050">
        <f>B20-D20</f>
        <v>0</v>
      </c>
      <c r="G20" s="1028"/>
      <c r="H20" s="1050" t="e">
        <f>ROUND(G20/$G$26*100,2)</f>
        <v>#DIV/0!</v>
      </c>
      <c r="I20" s="1028"/>
      <c r="J20" s="1050" t="e">
        <f>ROUND(I20/G20*100,2)</f>
        <v>#DIV/0!</v>
      </c>
      <c r="K20" s="1050">
        <f>G20-I20</f>
        <v>0</v>
      </c>
    </row>
    <row r="21" spans="1:11" ht="12.95" customHeight="1">
      <c r="A21" s="1017"/>
      <c r="B21" s="1028"/>
      <c r="C21" s="1050" t="e">
        <f>ROUND(B21/$B$26*100,2)</f>
        <v>#DIV/0!</v>
      </c>
      <c r="D21" s="1028"/>
      <c r="E21" s="1050" t="e">
        <f>ROUND(D21/B21*100,2)</f>
        <v>#DIV/0!</v>
      </c>
      <c r="F21" s="1050">
        <f>B21-D21</f>
        <v>0</v>
      </c>
      <c r="G21" s="1028"/>
      <c r="H21" s="1050" t="e">
        <f>ROUND(G21/$G$26*100,2)</f>
        <v>#DIV/0!</v>
      </c>
      <c r="I21" s="1028"/>
      <c r="J21" s="1050" t="e">
        <f>ROUND(I21/G21*100,2)</f>
        <v>#DIV/0!</v>
      </c>
      <c r="K21" s="1050">
        <f>G21-I21</f>
        <v>0</v>
      </c>
    </row>
    <row r="22" spans="1:11" ht="12.95" customHeight="1">
      <c r="A22" s="1017" t="s">
        <v>2229</v>
      </c>
      <c r="B22" s="1050">
        <f>B24+B25</f>
        <v>0</v>
      </c>
      <c r="C22" s="1050" t="e">
        <f>C24+C25</f>
        <v>#DIV/0!</v>
      </c>
      <c r="D22" s="1050">
        <f>D24+D25</f>
        <v>0</v>
      </c>
      <c r="E22" s="1050"/>
      <c r="F22" s="1050">
        <f>F24+F25</f>
        <v>0</v>
      </c>
      <c r="G22" s="1050">
        <f>G24+G25</f>
        <v>0</v>
      </c>
      <c r="H22" s="1050" t="e">
        <f>H24+H25</f>
        <v>#DIV/0!</v>
      </c>
      <c r="I22" s="1050">
        <f>I24+I25</f>
        <v>0</v>
      </c>
      <c r="J22" s="1050" t="e">
        <f>ROUND(I22/G22*100,2)</f>
        <v>#DIV/0!</v>
      </c>
      <c r="K22" s="1050">
        <f>K24+K25</f>
        <v>0</v>
      </c>
    </row>
    <row r="23" spans="1:11" ht="12.95" customHeight="1">
      <c r="A23" s="1277" t="s">
        <v>2146</v>
      </c>
      <c r="B23" s="1277"/>
      <c r="C23" s="1277"/>
      <c r="D23" s="1277"/>
      <c r="E23" s="1277"/>
      <c r="F23" s="1277"/>
      <c r="G23" s="1277"/>
      <c r="H23" s="1277"/>
      <c r="I23" s="1277"/>
      <c r="J23" s="1277"/>
      <c r="K23" s="1277"/>
    </row>
    <row r="24" spans="1:11" ht="12.95" customHeight="1">
      <c r="A24" s="1017" t="s">
        <v>2230</v>
      </c>
      <c r="B24" s="1028"/>
      <c r="C24" s="1050" t="e">
        <f>ROUND(B24/$B$26*100,2)</f>
        <v>#DIV/0!</v>
      </c>
      <c r="D24" s="1028"/>
      <c r="E24" s="1050" t="e">
        <f>ROUND(D24/B24*100,2)</f>
        <v>#DIV/0!</v>
      </c>
      <c r="F24" s="1050">
        <f>B24-D24</f>
        <v>0</v>
      </c>
      <c r="G24" s="1028"/>
      <c r="H24" s="1050" t="e">
        <f>ROUND(G24/$G$26*100,2)</f>
        <v>#DIV/0!</v>
      </c>
      <c r="I24" s="1028"/>
      <c r="J24" s="1050" t="e">
        <f>ROUND(I24/G24*100,2)</f>
        <v>#DIV/0!</v>
      </c>
      <c r="K24" s="1050">
        <f>G24-I24</f>
        <v>0</v>
      </c>
    </row>
    <row r="25" spans="1:11" ht="12.95" customHeight="1">
      <c r="A25" s="1017" t="s">
        <v>2238</v>
      </c>
      <c r="B25" s="1028"/>
      <c r="C25" s="1050" t="e">
        <f>ROUND(B25/$B$26*100,2)</f>
        <v>#DIV/0!</v>
      </c>
      <c r="D25" s="1028"/>
      <c r="E25" s="1050" t="e">
        <f>ROUND(D25/B25*100,2)</f>
        <v>#DIV/0!</v>
      </c>
      <c r="F25" s="1050">
        <f>B25-D25</f>
        <v>0</v>
      </c>
      <c r="G25" s="1028"/>
      <c r="H25" s="1050" t="e">
        <f>ROUND(G25/$G$26*100,2)</f>
        <v>#DIV/0!</v>
      </c>
      <c r="I25" s="1028"/>
      <c r="J25" s="1050" t="e">
        <f>ROUND(I25/G25*100,2)</f>
        <v>#DIV/0!</v>
      </c>
      <c r="K25" s="1050">
        <f>G25-I25</f>
        <v>0</v>
      </c>
    </row>
    <row r="26" spans="1:11" ht="12.95" customHeight="1">
      <c r="A26" s="1035" t="s">
        <v>2152</v>
      </c>
      <c r="B26" s="1049">
        <f>B22+B18</f>
        <v>0</v>
      </c>
      <c r="C26" s="1049" t="e">
        <f>C22+C18</f>
        <v>#DIV/0!</v>
      </c>
      <c r="D26" s="1049">
        <f>D22+D18</f>
        <v>0</v>
      </c>
      <c r="E26" s="1050" t="e">
        <f>ROUND(D26/B26*100,2)</f>
        <v>#DIV/0!</v>
      </c>
      <c r="F26" s="1049">
        <f>F22+F18</f>
        <v>0</v>
      </c>
      <c r="G26" s="1049"/>
      <c r="H26" s="1049" t="e">
        <f>H22+H18</f>
        <v>#DIV/0!</v>
      </c>
      <c r="I26" s="1049"/>
      <c r="J26" s="1050" t="e">
        <f>ROUND(I26/G26*100,2)</f>
        <v>#DIV/0!</v>
      </c>
      <c r="K26" s="1049">
        <f>K22+K18</f>
        <v>0</v>
      </c>
    </row>
    <row r="27" spans="1:11" ht="18" customHeight="1">
      <c r="A27" s="1167" t="s">
        <v>2412</v>
      </c>
      <c r="B27" s="1047"/>
      <c r="C27" s="1047"/>
      <c r="D27" s="1047"/>
      <c r="E27" s="1047"/>
      <c r="F27" s="1168">
        <f>B9</f>
        <v>0</v>
      </c>
      <c r="G27" s="1047"/>
      <c r="H27" s="1047"/>
      <c r="I27" s="1047"/>
      <c r="J27" s="1047"/>
      <c r="K27" s="1047"/>
    </row>
    <row r="28" spans="1:11" ht="15.75" customHeight="1">
      <c r="F28" s="1169">
        <f>F26-F27</f>
        <v>0</v>
      </c>
    </row>
    <row r="29" spans="1:11" ht="12.95" customHeight="1">
      <c r="F29" s="1166" t="str">
        <f>IF(F28=0,"OK","NO")</f>
        <v>OK</v>
      </c>
    </row>
    <row r="30" spans="1:11" ht="12.95" customHeight="1">
      <c r="A30" s="993" t="s">
        <v>2153</v>
      </c>
      <c r="B30" s="994"/>
      <c r="C30" s="994"/>
      <c r="D30" s="1018"/>
      <c r="E30" s="994"/>
    </row>
    <row r="31" spans="1:11" ht="12.95" customHeight="1">
      <c r="A31" s="1261" t="s">
        <v>2155</v>
      </c>
      <c r="B31" s="1264" t="s">
        <v>2233</v>
      </c>
      <c r="C31" s="1264"/>
      <c r="D31" s="1264"/>
      <c r="E31" s="1265"/>
    </row>
    <row r="32" spans="1:11" ht="12.95" customHeight="1">
      <c r="A32" s="1262"/>
      <c r="B32" s="1266" t="s">
        <v>2140</v>
      </c>
      <c r="C32" s="1266" t="s">
        <v>691</v>
      </c>
      <c r="D32" s="1270" t="s">
        <v>2144</v>
      </c>
      <c r="E32" s="1268" t="s">
        <v>2156</v>
      </c>
    </row>
    <row r="33" spans="1:9" ht="12.95" customHeight="1">
      <c r="A33" s="1263"/>
      <c r="B33" s="1267"/>
      <c r="C33" s="1267"/>
      <c r="D33" s="1271"/>
      <c r="E33" s="1269"/>
    </row>
    <row r="34" spans="1:9" ht="12.95" customHeight="1">
      <c r="A34" s="1020"/>
      <c r="B34" s="1002"/>
      <c r="C34" s="1002"/>
      <c r="D34" s="1002" t="e">
        <f>ROUND(C34/B34*100,2)</f>
        <v>#DIV/0!</v>
      </c>
      <c r="E34" s="1003"/>
    </row>
    <row r="35" spans="1:9" ht="12.95" customHeight="1">
      <c r="A35" s="1019"/>
      <c r="B35" s="1008"/>
      <c r="C35" s="1008"/>
      <c r="D35" s="1002" t="e">
        <f>ROUND(C35/B35*100,2)</f>
        <v>#DIV/0!</v>
      </c>
      <c r="E35" s="1009"/>
    </row>
    <row r="36" spans="1:9" ht="12.95" customHeight="1">
      <c r="A36" s="1005" t="s">
        <v>2152</v>
      </c>
      <c r="B36" s="518">
        <f>SUM(B34:B35)</f>
        <v>0</v>
      </c>
      <c r="C36" s="518">
        <f>SUM(C34:C35)</f>
        <v>0</v>
      </c>
      <c r="D36" s="518"/>
      <c r="E36" s="518"/>
    </row>
    <row r="37" spans="1:9" ht="12.95" customHeight="1">
      <c r="A37" s="1167" t="s">
        <v>2412</v>
      </c>
      <c r="B37" s="1170">
        <f>B18</f>
        <v>0</v>
      </c>
      <c r="C37" s="1170">
        <f>D18</f>
        <v>0</v>
      </c>
      <c r="D37" s="1170"/>
      <c r="E37" s="1170"/>
    </row>
    <row r="38" spans="1:9" ht="12.95" customHeight="1">
      <c r="A38" s="1171"/>
      <c r="B38" s="1172">
        <f>B36-B37</f>
        <v>0</v>
      </c>
      <c r="C38" s="1169">
        <f>C36-C37</f>
        <v>0</v>
      </c>
      <c r="D38" s="1170"/>
      <c r="E38" s="1170"/>
    </row>
    <row r="39" spans="1:9" ht="12.95" customHeight="1">
      <c r="A39" s="1023"/>
      <c r="B39" s="1166" t="str">
        <f>IF(B38=0,"OK","NO")</f>
        <v>OK</v>
      </c>
      <c r="C39" s="1166" t="str">
        <f>IF(C38=0,"OK","NO")</f>
        <v>OK</v>
      </c>
      <c r="D39" s="1024"/>
      <c r="E39" s="1024"/>
    </row>
    <row r="40" spans="1:9" ht="12.95" customHeight="1">
      <c r="A40" s="993" t="s">
        <v>2158</v>
      </c>
      <c r="B40" s="1001"/>
      <c r="C40" s="1001"/>
      <c r="D40" s="1001"/>
      <c r="E40" s="1001"/>
    </row>
    <row r="41" spans="1:9" ht="12.95" customHeight="1">
      <c r="A41" s="1051" t="s">
        <v>2235</v>
      </c>
      <c r="B41" s="1052"/>
      <c r="C41" s="1052"/>
      <c r="D41" s="1052"/>
      <c r="E41" s="1053"/>
    </row>
    <row r="42" spans="1:9" ht="12.95" customHeight="1">
      <c r="A42" s="1261" t="s">
        <v>2155</v>
      </c>
      <c r="B42" s="1264" t="s">
        <v>2234</v>
      </c>
      <c r="C42" s="1264"/>
      <c r="D42" s="1264"/>
      <c r="E42" s="1055"/>
      <c r="I42" s="984"/>
    </row>
    <row r="43" spans="1:9" ht="12.95" customHeight="1">
      <c r="A43" s="1262"/>
      <c r="B43" s="1266" t="s">
        <v>2140</v>
      </c>
      <c r="C43" s="1266" t="s">
        <v>691</v>
      </c>
      <c r="D43" s="1270" t="s">
        <v>2144</v>
      </c>
      <c r="E43" s="1278"/>
    </row>
    <row r="44" spans="1:9" ht="12.95" customHeight="1">
      <c r="A44" s="1263"/>
      <c r="B44" s="1267"/>
      <c r="C44" s="1267"/>
      <c r="D44" s="1271"/>
      <c r="E44" s="1279"/>
    </row>
    <row r="45" spans="1:9" ht="12.95" customHeight="1">
      <c r="A45" s="566" t="s">
        <v>2236</v>
      </c>
      <c r="B45" s="1010"/>
      <c r="C45" s="1010"/>
      <c r="D45" s="1021" t="e">
        <f>ROUND(C45/B45*100,2)</f>
        <v>#DIV/0!</v>
      </c>
      <c r="E45" s="1056"/>
    </row>
    <row r="46" spans="1:9" ht="12.95" customHeight="1">
      <c r="A46" s="566" t="s">
        <v>2237</v>
      </c>
      <c r="B46" s="1010"/>
      <c r="C46" s="1010"/>
      <c r="D46" s="1021"/>
      <c r="E46" s="1056"/>
    </row>
    <row r="47" spans="1:9" ht="12.95" customHeight="1">
      <c r="A47" s="1054" t="s">
        <v>2240</v>
      </c>
      <c r="B47" s="1010"/>
      <c r="C47" s="1010"/>
      <c r="D47" s="1021" t="e">
        <f>ROUND(C47/B47*100,2)</f>
        <v>#DIV/0!</v>
      </c>
      <c r="E47" s="1056"/>
    </row>
    <row r="48" spans="1:9" ht="12.95" customHeight="1">
      <c r="A48" s="1035" t="s">
        <v>2152</v>
      </c>
      <c r="B48" s="518">
        <f>SUM(B45:B47)</f>
        <v>0</v>
      </c>
      <c r="C48" s="518">
        <f>SUM(C45:C47)</f>
        <v>0</v>
      </c>
      <c r="D48" s="518"/>
      <c r="E48" s="532"/>
    </row>
    <row r="49" spans="1:5" ht="12.95" customHeight="1">
      <c r="A49" s="1167" t="s">
        <v>2412</v>
      </c>
      <c r="B49" s="1170">
        <f>B24</f>
        <v>0</v>
      </c>
      <c r="C49" s="1170">
        <f>D24</f>
        <v>0</v>
      </c>
      <c r="D49" s="518"/>
      <c r="E49" s="532"/>
    </row>
    <row r="50" spans="1:5" ht="12.95" customHeight="1">
      <c r="A50" s="1171"/>
      <c r="B50" s="1172">
        <f>B48-B49</f>
        <v>0</v>
      </c>
      <c r="C50" s="1169">
        <f>C48-C49</f>
        <v>0</v>
      </c>
      <c r="D50" s="518"/>
      <c r="E50" s="532"/>
    </row>
    <row r="51" spans="1:5" ht="12.95" customHeight="1">
      <c r="A51" s="1023"/>
      <c r="B51" s="1166" t="str">
        <f>IF(B50=0,"OK","NO")</f>
        <v>OK</v>
      </c>
      <c r="C51" s="1166" t="str">
        <f>IF(C50=0,"OK","NO")</f>
        <v>OK</v>
      </c>
      <c r="D51" s="105"/>
      <c r="E51" s="104"/>
    </row>
    <row r="52" spans="1:5" ht="12.95" customHeight="1">
      <c r="A52" s="993" t="s">
        <v>2158</v>
      </c>
      <c r="B52" s="1001"/>
      <c r="C52" s="1001"/>
      <c r="D52" s="1001"/>
      <c r="E52" s="104"/>
    </row>
    <row r="53" spans="1:5" ht="12.95" customHeight="1">
      <c r="A53" s="1057" t="s">
        <v>2239</v>
      </c>
      <c r="B53" s="1052"/>
      <c r="C53" s="1052"/>
      <c r="D53" s="1052"/>
    </row>
    <row r="54" spans="1:5" ht="12.95" customHeight="1">
      <c r="A54" s="1261" t="s">
        <v>2155</v>
      </c>
      <c r="B54" s="1264" t="s">
        <v>2234</v>
      </c>
      <c r="C54" s="1264"/>
      <c r="D54" s="1264"/>
    </row>
    <row r="55" spans="1:5" ht="12.95" customHeight="1">
      <c r="A55" s="1262"/>
      <c r="B55" s="1266" t="s">
        <v>2140</v>
      </c>
      <c r="C55" s="1266" t="s">
        <v>691</v>
      </c>
      <c r="D55" s="1270" t="s">
        <v>2144</v>
      </c>
    </row>
    <row r="56" spans="1:5" ht="12.95" customHeight="1">
      <c r="A56" s="1263"/>
      <c r="B56" s="1267"/>
      <c r="C56" s="1267"/>
      <c r="D56" s="1271"/>
    </row>
    <row r="57" spans="1:5" ht="12.95" customHeight="1">
      <c r="A57" s="566" t="s">
        <v>2236</v>
      </c>
      <c r="B57" s="1010"/>
      <c r="C57" s="1010"/>
      <c r="D57" s="1021" t="e">
        <f>ROUND(C57/B57*100,2)</f>
        <v>#DIV/0!</v>
      </c>
    </row>
    <row r="58" spans="1:5" ht="12.95" customHeight="1">
      <c r="A58" s="566" t="s">
        <v>2237</v>
      </c>
      <c r="B58" s="1010"/>
      <c r="C58" s="1010"/>
      <c r="D58" s="1021"/>
    </row>
    <row r="59" spans="1:5" ht="12.95" customHeight="1">
      <c r="A59" s="1054" t="s">
        <v>2241</v>
      </c>
      <c r="B59" s="1010"/>
      <c r="C59" s="1010"/>
      <c r="D59" s="1021" t="e">
        <f>ROUND(C59/B59*100,2)</f>
        <v>#DIV/0!</v>
      </c>
    </row>
    <row r="60" spans="1:5" ht="12.95" customHeight="1">
      <c r="A60" s="1035" t="s">
        <v>2152</v>
      </c>
      <c r="B60" s="518">
        <f>SUM(B57:B59)</f>
        <v>0</v>
      </c>
      <c r="C60" s="518">
        <f>SUM(C57:C59)</f>
        <v>0</v>
      </c>
      <c r="D60" s="518"/>
    </row>
    <row r="61" spans="1:5" ht="12.95" customHeight="1">
      <c r="A61" s="1167" t="s">
        <v>2412</v>
      </c>
      <c r="B61" s="1170">
        <f>B36</f>
        <v>0</v>
      </c>
      <c r="C61" s="1170">
        <f>D36</f>
        <v>0</v>
      </c>
      <c r="D61" s="518"/>
    </row>
    <row r="62" spans="1:5" ht="12.95" customHeight="1">
      <c r="A62" s="1171"/>
      <c r="B62" s="1172">
        <f>B25</f>
        <v>0</v>
      </c>
      <c r="C62" s="1169">
        <f>D25</f>
        <v>0</v>
      </c>
      <c r="D62" s="518"/>
    </row>
    <row r="63" spans="1:5" ht="12.95" customHeight="1">
      <c r="A63" s="1023"/>
      <c r="B63" s="1166" t="str">
        <f>IF(B62=0,"OK","NO")</f>
        <v>OK</v>
      </c>
      <c r="C63" s="1166" t="str">
        <f>IF(C62=0,"OK","NO")</f>
        <v>OK</v>
      </c>
      <c r="D63" s="105"/>
    </row>
    <row r="64" spans="1:5" ht="12.95" customHeight="1">
      <c r="A64" s="993"/>
    </row>
    <row r="65" spans="1:2" ht="12.95" customHeight="1">
      <c r="A65" s="993" t="s">
        <v>2242</v>
      </c>
    </row>
    <row r="66" spans="1:2" ht="12.95" customHeight="1">
      <c r="A66" s="1030"/>
      <c r="B66" s="1031" t="s">
        <v>2161</v>
      </c>
    </row>
    <row r="67" spans="1:2" ht="12.95" customHeight="1">
      <c r="A67" s="993" t="s">
        <v>2171</v>
      </c>
      <c r="B67" s="1027"/>
    </row>
    <row r="68" spans="1:2" ht="12.95" customHeight="1">
      <c r="A68" s="993" t="s">
        <v>2163</v>
      </c>
      <c r="B68" s="1027"/>
    </row>
    <row r="69" spans="1:2" ht="12.95" customHeight="1">
      <c r="A69" s="993" t="s">
        <v>2170</v>
      </c>
      <c r="B69" s="1027"/>
    </row>
    <row r="70" spans="1:2" ht="12.95" customHeight="1">
      <c r="A70" s="993" t="s">
        <v>2165</v>
      </c>
      <c r="B70" s="1028"/>
    </row>
    <row r="71" spans="1:2" ht="12.95" customHeight="1">
      <c r="A71" s="993" t="s">
        <v>2166</v>
      </c>
      <c r="B71" s="1028"/>
    </row>
    <row r="72" spans="1:2" ht="12.95" customHeight="1">
      <c r="A72" s="993" t="s">
        <v>2167</v>
      </c>
      <c r="B72" s="1015"/>
    </row>
    <row r="73" spans="1:2" ht="12.95" customHeight="1">
      <c r="A73" s="566" t="s">
        <v>2168</v>
      </c>
      <c r="B73" s="1028"/>
    </row>
    <row r="74" spans="1:2" ht="12.95" customHeight="1">
      <c r="A74" s="1058" t="s">
        <v>2172</v>
      </c>
      <c r="B74" s="1029"/>
    </row>
  </sheetData>
  <mergeCells count="26">
    <mergeCell ref="A54:A56"/>
    <mergeCell ref="B54:D54"/>
    <mergeCell ref="B55:B56"/>
    <mergeCell ref="C55:C56"/>
    <mergeCell ref="D55:D56"/>
    <mergeCell ref="A42:A44"/>
    <mergeCell ref="B43:B44"/>
    <mergeCell ref="C43:C44"/>
    <mergeCell ref="D43:D44"/>
    <mergeCell ref="E43:E44"/>
    <mergeCell ref="B42:D42"/>
    <mergeCell ref="A19:K19"/>
    <mergeCell ref="A23:K23"/>
    <mergeCell ref="A31:A33"/>
    <mergeCell ref="B31:E31"/>
    <mergeCell ref="B32:B33"/>
    <mergeCell ref="C32:C33"/>
    <mergeCell ref="D32:D33"/>
    <mergeCell ref="E32:E33"/>
    <mergeCell ref="A15:A17"/>
    <mergeCell ref="B15:F15"/>
    <mergeCell ref="G15:K15"/>
    <mergeCell ref="B16:C16"/>
    <mergeCell ref="D16:E16"/>
    <mergeCell ref="G16:H16"/>
    <mergeCell ref="I16:J16"/>
  </mergeCells>
  <phoneticPr fontId="7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view="pageBreakPreview" topLeftCell="A22" zoomScaleNormal="100" zoomScaleSheetLayoutView="100" workbookViewId="0">
      <selection activeCell="B12" sqref="B12"/>
    </sheetView>
  </sheetViews>
  <sheetFormatPr defaultColWidth="9" defaultRowHeight="20.100000000000001" customHeight="1"/>
  <cols>
    <col min="1" max="1" width="30.5" style="11" customWidth="1"/>
    <col min="2" max="2" width="24.625" style="11" customWidth="1"/>
    <col min="3" max="3" width="26" style="11" customWidth="1"/>
    <col min="4" max="4" width="14.125" style="116" customWidth="1"/>
    <col min="5" max="5" width="7.875" style="11" customWidth="1"/>
    <col min="6" max="16384" width="9" style="11"/>
  </cols>
  <sheetData>
    <row r="1" spans="1:9" ht="24.95" customHeight="1">
      <c r="A1" s="54" t="s">
        <v>145</v>
      </c>
      <c r="B1" s="55">
        <f>基础信息!B6</f>
        <v>0</v>
      </c>
      <c r="C1" s="256"/>
      <c r="E1" s="14"/>
    </row>
    <row r="2" spans="1:9" ht="24.95" customHeight="1">
      <c r="A2" s="54" t="s">
        <v>147</v>
      </c>
      <c r="B2" s="63">
        <f>基础信息!B9</f>
        <v>0</v>
      </c>
      <c r="C2" s="256"/>
    </row>
    <row r="3" spans="1:9" s="116" customFormat="1" ht="24.95" customHeight="1">
      <c r="A3" s="454" t="s">
        <v>148</v>
      </c>
      <c r="B3" s="454" t="s">
        <v>769</v>
      </c>
      <c r="C3" s="256"/>
      <c r="E3" s="11"/>
      <c r="F3" s="11"/>
      <c r="G3" s="11"/>
      <c r="H3" s="11"/>
      <c r="I3" s="11"/>
    </row>
    <row r="4" spans="1:9" s="7" customFormat="1" ht="20.100000000000001" customHeight="1">
      <c r="A4" s="455" t="s">
        <v>770</v>
      </c>
      <c r="B4" s="515"/>
      <c r="C4" s="515"/>
      <c r="E4" s="9"/>
      <c r="F4" s="9"/>
      <c r="G4" s="9"/>
      <c r="H4" s="9"/>
      <c r="I4" s="9"/>
    </row>
    <row r="5" spans="1:9" s="7" customFormat="1" ht="20.100000000000001" customHeight="1">
      <c r="A5" s="1272" t="s">
        <v>721</v>
      </c>
      <c r="B5" s="1272" t="s">
        <v>771</v>
      </c>
      <c r="C5" s="1272"/>
      <c r="D5" s="9"/>
      <c r="E5" s="9"/>
      <c r="F5" s="9"/>
      <c r="G5" s="9"/>
    </row>
    <row r="6" spans="1:9" s="7" customFormat="1" ht="20.100000000000001" customHeight="1">
      <c r="A6" s="1272"/>
      <c r="B6" s="16" t="s">
        <v>772</v>
      </c>
      <c r="C6" s="16" t="s">
        <v>773</v>
      </c>
      <c r="D6" s="9"/>
      <c r="E6" s="9"/>
      <c r="F6" s="9"/>
      <c r="G6" s="9"/>
    </row>
    <row r="7" spans="1:9" s="116" customFormat="1" ht="20.100000000000001" customHeight="1">
      <c r="A7" s="32" t="s">
        <v>722</v>
      </c>
      <c r="B7" s="516"/>
      <c r="C7" s="517"/>
      <c r="D7" s="11"/>
      <c r="E7" s="11"/>
      <c r="F7" s="11"/>
      <c r="G7" s="11"/>
    </row>
    <row r="8" spans="1:9" s="116" customFormat="1" ht="20.100000000000001" customHeight="1">
      <c r="A8" s="32" t="s">
        <v>723</v>
      </c>
      <c r="B8" s="516"/>
      <c r="C8" s="517"/>
      <c r="D8" s="11"/>
      <c r="E8" s="11"/>
      <c r="F8" s="11"/>
      <c r="G8" s="11"/>
    </row>
    <row r="9" spans="1:9" s="116" customFormat="1" ht="20.100000000000001" customHeight="1">
      <c r="A9" s="32" t="s">
        <v>724</v>
      </c>
      <c r="B9" s="516"/>
      <c r="C9" s="517"/>
      <c r="D9" s="11"/>
      <c r="E9" s="11"/>
      <c r="F9" s="11"/>
      <c r="G9" s="11"/>
    </row>
    <row r="10" spans="1:9" s="116" customFormat="1" ht="20.100000000000001" customHeight="1">
      <c r="A10" s="32" t="s">
        <v>774</v>
      </c>
      <c r="B10" s="516"/>
      <c r="C10" s="517"/>
      <c r="D10" s="11"/>
      <c r="E10" s="11"/>
      <c r="F10" s="11"/>
      <c r="G10" s="11"/>
    </row>
    <row r="11" spans="1:9" s="116" customFormat="1" ht="20.100000000000001" customHeight="1">
      <c r="A11" s="32" t="s">
        <v>728</v>
      </c>
      <c r="B11" s="518">
        <f>SUM(B7:B10)</f>
        <v>0</v>
      </c>
      <c r="C11" s="519">
        <f>SUM(C7:C10)</f>
        <v>0</v>
      </c>
      <c r="D11" s="520"/>
      <c r="E11" s="11"/>
      <c r="F11" s="11"/>
      <c r="G11" s="11"/>
    </row>
    <row r="12" spans="1:9" s="116" customFormat="1" ht="20.100000000000001" customHeight="1">
      <c r="A12" s="118" t="s">
        <v>649</v>
      </c>
      <c r="B12" s="521">
        <f>'RP 006'!E19</f>
        <v>0</v>
      </c>
      <c r="C12" s="522"/>
    </row>
    <row r="13" spans="1:9" s="116" customFormat="1" ht="20.100000000000001" customHeight="1">
      <c r="A13" s="102"/>
      <c r="B13" s="521">
        <f>B11-B12</f>
        <v>0</v>
      </c>
      <c r="C13" s="522"/>
    </row>
    <row r="14" spans="1:9" s="214" customFormat="1" ht="20.100000000000001" customHeight="1">
      <c r="A14" s="29"/>
      <c r="B14" s="29" t="str">
        <f>IF(B13=0,"OK","NO")</f>
        <v>OK</v>
      </c>
      <c r="C14" s="29"/>
    </row>
    <row r="15" spans="1:9" s="116" customFormat="1" ht="20.100000000000001" customHeight="1">
      <c r="A15" s="28" t="s">
        <v>677</v>
      </c>
      <c r="B15" s="9"/>
      <c r="C15" s="9"/>
      <c r="E15" s="11"/>
      <c r="F15" s="11"/>
      <c r="G15" s="11"/>
      <c r="H15" s="11"/>
    </row>
    <row r="16" spans="1:9" s="7" customFormat="1" ht="20.100000000000001" customHeight="1">
      <c r="A16" s="9" t="s">
        <v>775</v>
      </c>
      <c r="B16" s="9"/>
      <c r="C16" s="9"/>
      <c r="E16" s="9"/>
      <c r="F16" s="9"/>
      <c r="G16" s="9"/>
      <c r="H16" s="9"/>
    </row>
    <row r="17" spans="1:8" s="7" customFormat="1" ht="20.100000000000001" customHeight="1">
      <c r="A17" s="16" t="s">
        <v>776</v>
      </c>
      <c r="B17" s="16" t="s">
        <v>777</v>
      </c>
      <c r="C17" s="16" t="s">
        <v>778</v>
      </c>
      <c r="E17" s="9"/>
      <c r="F17" s="9"/>
      <c r="G17" s="9"/>
      <c r="H17" s="9"/>
    </row>
    <row r="18" spans="1:8" s="7" customFormat="1" ht="20.100000000000001" customHeight="1">
      <c r="A18" s="523"/>
      <c r="B18" s="523"/>
      <c r="C18" s="523"/>
      <c r="E18" s="9"/>
      <c r="F18" s="9"/>
      <c r="G18" s="9"/>
      <c r="H18" s="9"/>
    </row>
    <row r="19" spans="1:8" s="9" customFormat="1" ht="20.100000000000001" customHeight="1">
      <c r="A19" s="28" t="s">
        <v>779</v>
      </c>
      <c r="D19" s="7"/>
    </row>
    <row r="20" spans="1:8" s="9" customFormat="1" ht="20.100000000000001" customHeight="1">
      <c r="A20" s="287" t="s">
        <v>780</v>
      </c>
      <c r="D20" s="7"/>
    </row>
    <row r="21" spans="1:8" s="9" customFormat="1" ht="20.100000000000001" customHeight="1">
      <c r="A21" s="28" t="s">
        <v>781</v>
      </c>
      <c r="D21" s="7"/>
    </row>
    <row r="22" spans="1:8" s="9" customFormat="1" ht="20.100000000000001" customHeight="1">
      <c r="A22" s="287" t="s">
        <v>782</v>
      </c>
      <c r="D22" s="7"/>
    </row>
    <row r="23" spans="1:8" s="9" customFormat="1" ht="27.75" customHeight="1">
      <c r="A23" s="16" t="s">
        <v>732</v>
      </c>
      <c r="B23" s="16" t="s">
        <v>783</v>
      </c>
      <c r="C23" s="16" t="s">
        <v>784</v>
      </c>
      <c r="D23" s="7"/>
    </row>
    <row r="24" spans="1:8" s="9" customFormat="1" ht="20.100000000000001" customHeight="1">
      <c r="A24" s="32"/>
      <c r="B24" s="32"/>
      <c r="C24" s="32"/>
      <c r="D24" s="7"/>
    </row>
    <row r="25" spans="1:8" s="9" customFormat="1" ht="20.100000000000001" customHeight="1">
      <c r="A25" s="32"/>
      <c r="B25" s="284"/>
      <c r="C25" s="284"/>
      <c r="D25" s="7"/>
    </row>
    <row r="26" spans="1:8" s="9" customFormat="1" ht="20.100000000000001" customHeight="1">
      <c r="A26" s="284"/>
      <c r="B26" s="284"/>
      <c r="C26" s="284"/>
      <c r="D26" s="7"/>
    </row>
    <row r="27" spans="1:8" s="9" customFormat="1" ht="20.100000000000001" customHeight="1">
      <c r="A27" s="32" t="s">
        <v>658</v>
      </c>
      <c r="B27" s="524">
        <f>SUM(B24:B26)</f>
        <v>0</v>
      </c>
      <c r="C27" s="524">
        <f>SUM(C24:C26)</f>
        <v>0</v>
      </c>
      <c r="D27" s="7"/>
    </row>
  </sheetData>
  <mergeCells count="2">
    <mergeCell ref="B5:C5"/>
    <mergeCell ref="A5:A6"/>
  </mergeCells>
  <phoneticPr fontId="76" type="noConversion"/>
  <pageMargins left="0.51180555555555596" right="0.27500000000000002" top="0.51180555555555596" bottom="0.51180555555555596" header="0.27500000000000002" footer="0.27500000000000002"/>
  <pageSetup paperSize="9" orientation="portrait" blackAndWhite="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view="pageBreakPreview" zoomScaleNormal="100" zoomScaleSheetLayoutView="100" workbookViewId="0">
      <selection activeCell="B10" sqref="B10:B11"/>
    </sheetView>
  </sheetViews>
  <sheetFormatPr defaultColWidth="9" defaultRowHeight="15.75"/>
  <cols>
    <col min="1" max="1" width="16.875" customWidth="1"/>
    <col min="2" max="2" width="27.375" customWidth="1"/>
    <col min="5" max="5" width="34.375" customWidth="1"/>
  </cols>
  <sheetData>
    <row r="1" spans="1:5" ht="16.5">
      <c r="A1" s="513" t="s">
        <v>785</v>
      </c>
      <c r="B1" s="55">
        <f>基础信息!B6</f>
        <v>0</v>
      </c>
      <c r="C1" s="318"/>
      <c r="D1" s="318"/>
      <c r="E1" s="481"/>
    </row>
    <row r="2" spans="1:5" ht="16.5">
      <c r="A2" s="513" t="s">
        <v>786</v>
      </c>
      <c r="B2" s="55">
        <f>基础信息!B9</f>
        <v>0</v>
      </c>
      <c r="C2" s="318"/>
      <c r="D2" s="318"/>
      <c r="E2" s="318"/>
    </row>
    <row r="3" spans="1:5" ht="16.5">
      <c r="A3" s="349" t="s">
        <v>787</v>
      </c>
      <c r="B3" s="349" t="s">
        <v>184</v>
      </c>
      <c r="C3" s="318"/>
      <c r="D3" s="318"/>
      <c r="E3" s="318"/>
    </row>
    <row r="4" spans="1:5">
      <c r="A4" s="514" t="s">
        <v>318</v>
      </c>
      <c r="B4" s="514" t="s">
        <v>788</v>
      </c>
      <c r="C4" s="500"/>
      <c r="D4" s="371"/>
      <c r="E4" s="371"/>
    </row>
    <row r="5" spans="1:5">
      <c r="A5" s="350" t="s">
        <v>789</v>
      </c>
      <c r="B5" s="506">
        <f>'RP 020-1'!B9</f>
        <v>0</v>
      </c>
      <c r="C5" s="276"/>
      <c r="D5" s="371"/>
      <c r="E5" s="371"/>
    </row>
    <row r="6" spans="1:5">
      <c r="A6" s="350" t="s">
        <v>790</v>
      </c>
      <c r="B6" s="506">
        <f>'RP 020-2'!B8</f>
        <v>0</v>
      </c>
      <c r="C6" s="276"/>
      <c r="D6" s="371"/>
      <c r="E6" s="371"/>
    </row>
    <row r="7" spans="1:5">
      <c r="A7" s="350" t="s">
        <v>184</v>
      </c>
      <c r="B7" s="506">
        <f>'RP 020-3'!B10-'RP 020-3'!C10</f>
        <v>0</v>
      </c>
      <c r="C7" s="276"/>
      <c r="D7" s="371"/>
      <c r="E7" s="371"/>
    </row>
    <row r="8" spans="1:5">
      <c r="A8" s="94" t="s">
        <v>658</v>
      </c>
      <c r="B8" s="508">
        <f>SUM(B5:B7)</f>
        <v>0</v>
      </c>
      <c r="C8" s="276"/>
      <c r="D8" s="501"/>
      <c r="E8" s="371"/>
    </row>
    <row r="9" spans="1:5">
      <c r="A9" s="225" t="s">
        <v>649</v>
      </c>
      <c r="B9" s="508">
        <f>'RP 006'!E22</f>
        <v>0</v>
      </c>
      <c r="C9" s="276"/>
      <c r="D9" s="371"/>
      <c r="E9" s="371"/>
    </row>
    <row r="10" spans="1:5">
      <c r="A10" s="333"/>
      <c r="B10" s="508">
        <f>B8-B9</f>
        <v>0</v>
      </c>
      <c r="C10" s="276"/>
      <c r="D10" s="371"/>
      <c r="E10" s="371"/>
    </row>
    <row r="11" spans="1:5">
      <c r="A11" s="227"/>
      <c r="B11" s="227" t="str">
        <f>IF(B10=0,"OK","NO")</f>
        <v>OK</v>
      </c>
      <c r="C11" s="227"/>
      <c r="D11" s="227"/>
      <c r="E11" s="227"/>
    </row>
  </sheetData>
  <phoneticPr fontId="76" type="noConversion"/>
  <pageMargins left="0.75" right="0.75" top="1" bottom="1" header="0.51180555555555596" footer="0.51180555555555596"/>
  <pageSetup paperSize="9" scale="91"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view="pageBreakPreview" topLeftCell="A7" zoomScaleNormal="100" zoomScaleSheetLayoutView="100" workbookViewId="0">
      <selection activeCell="B12" sqref="B12"/>
    </sheetView>
  </sheetViews>
  <sheetFormatPr defaultColWidth="9" defaultRowHeight="20.100000000000001" customHeight="1"/>
  <cols>
    <col min="1" max="4" width="20.625" style="318" customWidth="1"/>
    <col min="5" max="5" width="22.75" style="318" customWidth="1"/>
    <col min="6" max="16384" width="9" style="318"/>
  </cols>
  <sheetData>
    <row r="1" spans="1:9" ht="24.95" customHeight="1">
      <c r="A1" s="54" t="s">
        <v>145</v>
      </c>
      <c r="B1" s="55">
        <f>基础信息!B6</f>
        <v>0</v>
      </c>
      <c r="E1" s="481"/>
    </row>
    <row r="2" spans="1:9" ht="24.95" customHeight="1">
      <c r="A2" s="54" t="s">
        <v>147</v>
      </c>
      <c r="B2" s="55">
        <f>基础信息!B9</f>
        <v>0</v>
      </c>
    </row>
    <row r="3" spans="1:9" s="319" customFormat="1" ht="24.95" customHeight="1">
      <c r="A3" s="345" t="s">
        <v>148</v>
      </c>
      <c r="B3" s="345" t="s">
        <v>791</v>
      </c>
      <c r="C3" s="318"/>
      <c r="D3" s="318"/>
      <c r="E3" s="318"/>
      <c r="F3" s="318"/>
      <c r="G3" s="318"/>
      <c r="H3" s="318"/>
      <c r="I3" s="318"/>
    </row>
    <row r="4" spans="1:9" s="319" customFormat="1" ht="20.100000000000001" customHeight="1">
      <c r="A4" s="16" t="s">
        <v>754</v>
      </c>
      <c r="B4" s="16" t="s">
        <v>709</v>
      </c>
      <c r="C4" s="500"/>
      <c r="D4" s="371"/>
      <c r="E4" s="371"/>
    </row>
    <row r="5" spans="1:9" s="319" customFormat="1" ht="20.100000000000001" customHeight="1">
      <c r="A5" s="94" t="s">
        <v>792</v>
      </c>
      <c r="B5" s="506"/>
      <c r="C5" s="276"/>
      <c r="D5" s="371"/>
      <c r="E5" s="371"/>
    </row>
    <row r="6" spans="1:9" s="319" customFormat="1" ht="20.100000000000001" customHeight="1">
      <c r="A6" s="94" t="s">
        <v>793</v>
      </c>
      <c r="B6" s="506"/>
      <c r="C6" s="276"/>
      <c r="D6" s="371"/>
      <c r="E6" s="371"/>
    </row>
    <row r="7" spans="1:9" s="319" customFormat="1" ht="20.100000000000001" customHeight="1">
      <c r="A7" s="94" t="s">
        <v>794</v>
      </c>
      <c r="B7" s="506"/>
      <c r="C7" s="276"/>
      <c r="D7" s="371"/>
      <c r="E7" s="371"/>
    </row>
    <row r="8" spans="1:9" s="319" customFormat="1" ht="20.100000000000001" customHeight="1">
      <c r="A8" s="507" t="s">
        <v>795</v>
      </c>
      <c r="B8" s="506"/>
      <c r="C8" s="276"/>
      <c r="D8" s="371"/>
      <c r="E8" s="371"/>
    </row>
    <row r="9" spans="1:9" s="319" customFormat="1" ht="20.100000000000001" customHeight="1">
      <c r="A9" s="94" t="s">
        <v>658</v>
      </c>
      <c r="B9" s="508">
        <f>SUM(B5:B8)</f>
        <v>0</v>
      </c>
      <c r="C9" s="276"/>
      <c r="D9" s="501"/>
      <c r="E9" s="371"/>
    </row>
    <row r="10" spans="1:9" s="319" customFormat="1" ht="20.100000000000001" customHeight="1">
      <c r="A10" s="1173" t="s">
        <v>2414</v>
      </c>
      <c r="B10" s="508">
        <f>'RP 020'!B5</f>
        <v>0</v>
      </c>
      <c r="C10" s="276"/>
      <c r="D10" s="371"/>
      <c r="E10" s="371"/>
    </row>
    <row r="11" spans="1:9" s="319" customFormat="1" ht="20.100000000000001" customHeight="1">
      <c r="A11" s="1173"/>
      <c r="B11" s="508">
        <f>B9-B10</f>
        <v>0</v>
      </c>
      <c r="C11" s="276"/>
      <c r="D11" s="371"/>
      <c r="E11" s="371"/>
    </row>
    <row r="12" spans="1:9" s="319" customFormat="1" ht="20.100000000000001" customHeight="1">
      <c r="A12" s="333"/>
      <c r="B12" s="311" t="str">
        <f>IF(B11=0,"OK","NO")</f>
        <v>OK</v>
      </c>
      <c r="C12" s="276"/>
      <c r="D12" s="371"/>
      <c r="E12" s="371"/>
    </row>
    <row r="13" spans="1:9" s="411" customFormat="1" ht="20.100000000000001" customHeight="1">
      <c r="A13" s="227"/>
      <c r="B13" s="227"/>
      <c r="C13" s="227"/>
      <c r="D13" s="227"/>
      <c r="E13" s="227"/>
    </row>
    <row r="14" spans="1:9" s="319" customFormat="1" ht="20.100000000000001" customHeight="1">
      <c r="A14" s="28" t="s">
        <v>796</v>
      </c>
      <c r="B14" s="207"/>
      <c r="C14" s="207"/>
      <c r="D14" s="207"/>
      <c r="E14" s="207"/>
      <c r="F14" s="318"/>
      <c r="G14" s="318"/>
      <c r="H14" s="318"/>
      <c r="I14" s="318"/>
    </row>
    <row r="15" spans="1:9" ht="20.100000000000001" customHeight="1">
      <c r="A15" s="88" t="s">
        <v>797</v>
      </c>
      <c r="B15" s="87" t="s">
        <v>798</v>
      </c>
      <c r="C15" s="88" t="s">
        <v>799</v>
      </c>
      <c r="D15" s="88" t="s">
        <v>800</v>
      </c>
      <c r="E15" s="88" t="s">
        <v>801</v>
      </c>
    </row>
    <row r="16" spans="1:9" ht="19.5" customHeight="1">
      <c r="A16" s="94"/>
      <c r="B16" s="509"/>
      <c r="C16" s="94"/>
      <c r="D16" s="94"/>
      <c r="E16" s="94"/>
    </row>
    <row r="17" spans="1:5" ht="20.100000000000001" customHeight="1">
      <c r="A17" s="94"/>
      <c r="B17" s="510"/>
      <c r="C17" s="467"/>
      <c r="D17" s="467"/>
      <c r="E17" s="467"/>
    </row>
    <row r="18" spans="1:5" ht="20.100000000000001" customHeight="1">
      <c r="A18" s="467"/>
      <c r="B18" s="510"/>
      <c r="C18" s="467"/>
      <c r="D18" s="467"/>
      <c r="E18" s="467"/>
    </row>
    <row r="19" spans="1:5" ht="20.100000000000001" customHeight="1">
      <c r="A19" s="94" t="s">
        <v>658</v>
      </c>
      <c r="B19" s="511">
        <f>SUM(B16:B18)</f>
        <v>0</v>
      </c>
      <c r="C19" s="467"/>
      <c r="D19" s="94"/>
      <c r="E19" s="94"/>
    </row>
    <row r="20" spans="1:5" ht="20.100000000000001" customHeight="1">
      <c r="A20" s="512" t="s">
        <v>802</v>
      </c>
      <c r="B20" s="207"/>
      <c r="C20" s="207"/>
      <c r="D20" s="207"/>
      <c r="E20" s="207"/>
    </row>
  </sheetData>
  <phoneticPr fontId="76" type="noConversion"/>
  <pageMargins left="0.70763888888888904" right="0.70763888888888904" top="0.74791666666666701" bottom="0.74791666666666701" header="0.31388888888888899" footer="0.31388888888888899"/>
  <pageSetup paperSize="9" scale="58" orientation="portrait" blackAndWhite="1"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view="pageBreakPreview" zoomScaleNormal="100" zoomScaleSheetLayoutView="100" workbookViewId="0">
      <selection activeCell="A9" sqref="A9:B11"/>
    </sheetView>
  </sheetViews>
  <sheetFormatPr defaultColWidth="9" defaultRowHeight="20.100000000000001" customHeight="1"/>
  <cols>
    <col min="1" max="4" width="20.625" style="318" customWidth="1"/>
    <col min="5" max="5" width="27.25" style="318" customWidth="1"/>
    <col min="6" max="16384" width="9" style="318"/>
  </cols>
  <sheetData>
    <row r="1" spans="1:9" ht="24.95" customHeight="1">
      <c r="A1" s="54" t="s">
        <v>145</v>
      </c>
      <c r="B1" s="55">
        <f>基础信息!B6</f>
        <v>0</v>
      </c>
      <c r="E1" s="481"/>
    </row>
    <row r="2" spans="1:9" ht="24.95" customHeight="1">
      <c r="A2" s="54" t="s">
        <v>147</v>
      </c>
      <c r="B2" s="55">
        <f>基础信息!B9</f>
        <v>0</v>
      </c>
    </row>
    <row r="3" spans="1:9" s="319" customFormat="1" ht="24.95" customHeight="1">
      <c r="A3" s="345" t="s">
        <v>148</v>
      </c>
      <c r="B3" s="345" t="s">
        <v>803</v>
      </c>
      <c r="C3" s="318"/>
      <c r="D3" s="318"/>
      <c r="E3" s="318"/>
      <c r="F3" s="318"/>
      <c r="G3" s="318"/>
      <c r="H3" s="318"/>
      <c r="I3" s="318"/>
    </row>
    <row r="4" spans="1:9" s="319" customFormat="1" ht="20.100000000000001" customHeight="1">
      <c r="A4" s="318"/>
      <c r="B4" s="318"/>
      <c r="C4" s="318"/>
      <c r="D4" s="318"/>
      <c r="E4" s="318"/>
      <c r="F4" s="318"/>
      <c r="G4" s="318"/>
      <c r="H4" s="318"/>
      <c r="I4" s="318"/>
    </row>
    <row r="5" spans="1:9" s="319" customFormat="1" ht="20.100000000000001" customHeight="1">
      <c r="A5" s="88" t="s">
        <v>804</v>
      </c>
      <c r="B5" s="88" t="s">
        <v>709</v>
      </c>
      <c r="C5" s="500"/>
      <c r="D5" s="371"/>
      <c r="E5" s="371"/>
    </row>
    <row r="6" spans="1:9" s="319" customFormat="1" ht="20.100000000000001" customHeight="1">
      <c r="A6" s="94"/>
      <c r="B6" s="484"/>
      <c r="C6" s="276"/>
      <c r="D6" s="371"/>
      <c r="E6" s="371"/>
    </row>
    <row r="7" spans="1:9" s="319" customFormat="1" ht="20.100000000000001" customHeight="1">
      <c r="A7" s="94"/>
      <c r="B7" s="484"/>
      <c r="C7" s="276"/>
      <c r="D7" s="371"/>
      <c r="E7" s="371"/>
    </row>
    <row r="8" spans="1:9" s="319" customFormat="1" ht="20.100000000000001" customHeight="1">
      <c r="A8" s="94" t="s">
        <v>658</v>
      </c>
      <c r="B8" s="226">
        <f>SUM(B6:B7)</f>
        <v>0</v>
      </c>
      <c r="C8" s="276"/>
      <c r="D8" s="501"/>
      <c r="E8" s="371"/>
    </row>
    <row r="9" spans="1:9" s="319" customFormat="1" ht="20.100000000000001" customHeight="1">
      <c r="A9" s="350" t="s">
        <v>2414</v>
      </c>
      <c r="B9" s="226">
        <f>'RP 020'!B6</f>
        <v>0</v>
      </c>
      <c r="C9" s="276"/>
      <c r="D9" s="501"/>
      <c r="E9" s="371"/>
    </row>
    <row r="10" spans="1:9" s="319" customFormat="1" ht="20.100000000000001" customHeight="1">
      <c r="A10" s="1173"/>
      <c r="B10" s="508">
        <f>B8-B9</f>
        <v>0</v>
      </c>
      <c r="C10" s="276"/>
      <c r="D10" s="371"/>
      <c r="E10" s="371"/>
    </row>
    <row r="11" spans="1:9" s="319" customFormat="1" ht="20.100000000000001" customHeight="1">
      <c r="A11" s="333"/>
      <c r="B11" s="311" t="str">
        <f>IF(B10=0,"OK","NO")</f>
        <v>OK</v>
      </c>
      <c r="C11" s="276"/>
      <c r="D11" s="371"/>
      <c r="E11" s="371"/>
    </row>
    <row r="12" spans="1:9" s="411" customFormat="1" ht="20.100000000000001" customHeight="1">
      <c r="A12" s="227"/>
      <c r="B12" s="227"/>
      <c r="C12" s="227"/>
      <c r="D12" s="227"/>
      <c r="E12" s="227"/>
    </row>
    <row r="13" spans="1:9" s="319" customFormat="1" ht="20.100000000000001" customHeight="1">
      <c r="A13" s="207"/>
      <c r="B13" s="502"/>
      <c r="C13" s="503"/>
      <c r="D13" s="503"/>
      <c r="E13" s="207"/>
      <c r="F13" s="318"/>
      <c r="G13" s="318"/>
      <c r="H13" s="318"/>
      <c r="I13" s="318"/>
    </row>
    <row r="14" spans="1:9" s="319" customFormat="1" ht="20.100000000000001" customHeight="1">
      <c r="A14" s="504" t="s">
        <v>805</v>
      </c>
      <c r="B14" s="503"/>
      <c r="C14" s="503"/>
      <c r="D14" s="207"/>
      <c r="E14" s="207"/>
      <c r="F14" s="318"/>
      <c r="G14" s="318"/>
      <c r="H14" s="318"/>
    </row>
    <row r="15" spans="1:9" ht="20.100000000000001" customHeight="1">
      <c r="A15" s="88" t="s">
        <v>806</v>
      </c>
      <c r="B15" s="87" t="s">
        <v>798</v>
      </c>
      <c r="C15" s="88" t="s">
        <v>807</v>
      </c>
      <c r="D15" s="87" t="s">
        <v>808</v>
      </c>
      <c r="E15" s="87" t="s">
        <v>809</v>
      </c>
    </row>
    <row r="16" spans="1:9" ht="20.100000000000001" customHeight="1">
      <c r="A16" s="94"/>
      <c r="B16" s="91"/>
      <c r="C16" s="91"/>
      <c r="D16" s="94"/>
      <c r="E16" s="94"/>
    </row>
    <row r="17" spans="1:5" ht="20.100000000000001" customHeight="1">
      <c r="A17" s="94"/>
      <c r="B17" s="505"/>
      <c r="C17" s="505"/>
      <c r="D17" s="467"/>
      <c r="E17" s="467"/>
    </row>
    <row r="18" spans="1:5" ht="20.100000000000001" customHeight="1">
      <c r="A18" s="467"/>
      <c r="B18" s="505"/>
      <c r="C18" s="505"/>
      <c r="D18" s="467"/>
      <c r="E18" s="467"/>
    </row>
    <row r="19" spans="1:5" ht="20.100000000000001" customHeight="1">
      <c r="A19" s="94" t="s">
        <v>658</v>
      </c>
      <c r="B19" s="90">
        <f>SUM(B16:B18)</f>
        <v>0</v>
      </c>
      <c r="C19" s="505"/>
      <c r="D19" s="94"/>
      <c r="E19" s="94"/>
    </row>
    <row r="20" spans="1:5" ht="20.100000000000001" customHeight="1">
      <c r="A20" s="504" t="s">
        <v>810</v>
      </c>
      <c r="B20" s="207"/>
      <c r="C20" s="207"/>
      <c r="D20" s="207"/>
      <c r="E20" s="207"/>
    </row>
  </sheetData>
  <phoneticPr fontId="76" type="noConversion"/>
  <pageMargins left="0.55000000000000004" right="0.27500000000000002" top="0.86527777777777803" bottom="0.51180555555555596" header="0.27500000000000002" footer="0.27500000000000002"/>
  <pageSetup paperSize="9" scale="81" orientation="landscape" blackAndWhite="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0"/>
  <sheetViews>
    <sheetView view="pageBreakPreview" topLeftCell="A60" zoomScaleNormal="100" zoomScaleSheetLayoutView="100" workbookViewId="0">
      <selection activeCell="C20" sqref="C20"/>
    </sheetView>
  </sheetViews>
  <sheetFormatPr defaultColWidth="9" defaultRowHeight="20.100000000000001" customHeight="1"/>
  <cols>
    <col min="1" max="1" width="26.25" style="11" customWidth="1"/>
    <col min="2" max="5" width="24.625" style="11" customWidth="1"/>
    <col min="6" max="6" width="16.875" style="11" customWidth="1"/>
    <col min="7" max="7" width="14.625" style="11" customWidth="1"/>
    <col min="8" max="10" width="9" style="116"/>
    <col min="11" max="16384" width="9" style="11"/>
  </cols>
  <sheetData>
    <row r="1" spans="1:8" ht="20.100000000000001" customHeight="1">
      <c r="A1" s="54" t="s">
        <v>145</v>
      </c>
      <c r="B1" s="55">
        <f>基础信息!B6</f>
        <v>0</v>
      </c>
      <c r="E1" s="14"/>
    </row>
    <row r="2" spans="1:8" ht="20.100000000000001" customHeight="1">
      <c r="A2" s="54" t="s">
        <v>147</v>
      </c>
      <c r="B2" s="55">
        <f>基础信息!B9</f>
        <v>0</v>
      </c>
    </row>
    <row r="3" spans="1:8" ht="20.100000000000001" customHeight="1">
      <c r="A3" s="97" t="s">
        <v>148</v>
      </c>
      <c r="B3" s="97" t="s">
        <v>811</v>
      </c>
    </row>
    <row r="4" spans="1:8" ht="20.100000000000001" customHeight="1">
      <c r="A4" s="15" t="s">
        <v>707</v>
      </c>
      <c r="B4" s="15"/>
      <c r="C4" s="15"/>
      <c r="D4" s="15"/>
      <c r="E4" s="15"/>
      <c r="F4" s="15"/>
      <c r="G4" s="9"/>
    </row>
    <row r="5" spans="1:8" ht="20.100000000000001" customHeight="1">
      <c r="A5" s="1272" t="s">
        <v>708</v>
      </c>
      <c r="B5" s="1272" t="s">
        <v>709</v>
      </c>
      <c r="C5" s="1272"/>
      <c r="D5" s="1274"/>
      <c r="E5" s="1274"/>
      <c r="F5" s="15"/>
      <c r="G5" s="7"/>
    </row>
    <row r="6" spans="1:8" ht="20.100000000000001" customHeight="1">
      <c r="A6" s="1272"/>
      <c r="B6" s="16" t="s">
        <v>772</v>
      </c>
      <c r="C6" s="16" t="s">
        <v>711</v>
      </c>
      <c r="D6" s="494"/>
      <c r="E6" s="494"/>
      <c r="F6" s="15"/>
      <c r="G6" s="7"/>
    </row>
    <row r="7" spans="1:8" ht="33" customHeight="1">
      <c r="A7" s="32" t="s">
        <v>812</v>
      </c>
      <c r="B7" s="32"/>
      <c r="C7" s="32"/>
      <c r="D7" s="37"/>
      <c r="E7" s="37"/>
      <c r="F7" s="7"/>
      <c r="G7" s="7"/>
    </row>
    <row r="8" spans="1:8" ht="51.75" customHeight="1">
      <c r="A8" s="32" t="s">
        <v>813</v>
      </c>
      <c r="B8" s="32"/>
      <c r="C8" s="32"/>
      <c r="D8" s="37"/>
      <c r="E8" s="37"/>
      <c r="F8" s="7"/>
      <c r="G8" s="7"/>
    </row>
    <row r="9" spans="1:8" ht="20.100000000000001" customHeight="1">
      <c r="A9" s="32" t="s">
        <v>814</v>
      </c>
      <c r="B9" s="250"/>
      <c r="C9" s="250"/>
      <c r="D9" s="115"/>
      <c r="E9" s="115"/>
      <c r="F9" s="7"/>
      <c r="G9" s="7"/>
    </row>
    <row r="10" spans="1:8" ht="20.100000000000001" customHeight="1">
      <c r="A10" s="32" t="s">
        <v>658</v>
      </c>
      <c r="B10" s="119">
        <f>SUM(B7:B9)</f>
        <v>0</v>
      </c>
      <c r="C10" s="119">
        <f>SUM(C7:C9)</f>
        <v>0</v>
      </c>
      <c r="D10" s="115"/>
      <c r="E10" s="115"/>
      <c r="F10" s="7"/>
      <c r="G10" s="7"/>
    </row>
    <row r="11" spans="1:8" ht="20.100000000000001" customHeight="1">
      <c r="A11" s="1174" t="s">
        <v>2412</v>
      </c>
      <c r="B11" s="131"/>
      <c r="C11" s="121">
        <f>'RP 020'!B7</f>
        <v>0</v>
      </c>
      <c r="D11" s="7"/>
      <c r="E11" s="7"/>
      <c r="F11" s="7"/>
      <c r="G11" s="7"/>
    </row>
    <row r="12" spans="1:8" ht="20.100000000000001" customHeight="1">
      <c r="A12" s="1174"/>
      <c r="B12" s="131"/>
      <c r="C12" s="508">
        <f>B10-C10-C11</f>
        <v>0</v>
      </c>
      <c r="D12" s="7"/>
      <c r="E12" s="7"/>
      <c r="F12" s="7"/>
      <c r="G12" s="7"/>
    </row>
    <row r="13" spans="1:8" s="214" customFormat="1" ht="20.100000000000001" customHeight="1">
      <c r="A13" s="29"/>
      <c r="B13" s="29"/>
      <c r="C13" s="227" t="str">
        <f>IF(C12=0,"OK","NO")</f>
        <v>OK</v>
      </c>
      <c r="D13" s="29"/>
      <c r="E13" s="29"/>
      <c r="F13" s="29"/>
      <c r="G13" s="29"/>
    </row>
    <row r="14" spans="1:8" ht="20.100000000000001" customHeight="1">
      <c r="A14" s="495" t="s">
        <v>815</v>
      </c>
      <c r="B14" s="33"/>
      <c r="C14" s="255"/>
      <c r="D14" s="255"/>
      <c r="E14" s="115"/>
      <c r="F14" s="115"/>
      <c r="G14" s="115"/>
      <c r="H14" s="212"/>
    </row>
    <row r="15" spans="1:8" ht="20.100000000000001" customHeight="1">
      <c r="A15" s="88" t="s">
        <v>816</v>
      </c>
      <c r="B15" s="88" t="s">
        <v>716</v>
      </c>
      <c r="C15" s="88" t="s">
        <v>711</v>
      </c>
      <c r="D15" s="88" t="s">
        <v>717</v>
      </c>
      <c r="E15" s="88" t="s">
        <v>718</v>
      </c>
      <c r="F15" s="115"/>
      <c r="G15" s="115"/>
      <c r="H15" s="212"/>
    </row>
    <row r="16" spans="1:8" ht="20.100000000000001" customHeight="1">
      <c r="A16" s="467" t="s">
        <v>737</v>
      </c>
      <c r="B16" s="94"/>
      <c r="C16" s="94"/>
      <c r="D16" s="94"/>
      <c r="E16" s="94"/>
      <c r="F16" s="115"/>
      <c r="G16" s="115"/>
      <c r="H16" s="212"/>
    </row>
    <row r="17" spans="1:9" ht="20.100000000000001" customHeight="1">
      <c r="A17" s="94" t="s">
        <v>658</v>
      </c>
      <c r="B17" s="90">
        <f>SUM(B16)</f>
        <v>0</v>
      </c>
      <c r="C17" s="90">
        <f t="shared" ref="C17:D17" si="0">SUM(C16)</f>
        <v>0</v>
      </c>
      <c r="D17" s="496">
        <f t="shared" si="0"/>
        <v>0</v>
      </c>
      <c r="E17" s="94"/>
      <c r="F17" s="115"/>
      <c r="G17" s="115"/>
      <c r="H17" s="212"/>
    </row>
    <row r="18" spans="1:9" ht="20.100000000000001" customHeight="1">
      <c r="A18" s="1177" t="s">
        <v>2416</v>
      </c>
      <c r="B18" s="1175">
        <f>B7</f>
        <v>0</v>
      </c>
      <c r="C18" s="1175">
        <f>C7</f>
        <v>0</v>
      </c>
      <c r="D18" s="1176"/>
      <c r="E18" s="502"/>
      <c r="F18" s="1164"/>
      <c r="G18" s="1164"/>
      <c r="H18" s="212"/>
    </row>
    <row r="19" spans="1:9" ht="20.100000000000001" customHeight="1">
      <c r="A19" s="502"/>
      <c r="B19" s="1175">
        <f>B17-B18</f>
        <v>0</v>
      </c>
      <c r="C19" s="1175">
        <f>C17-C18</f>
        <v>0</v>
      </c>
      <c r="D19" s="1176"/>
      <c r="E19" s="502"/>
      <c r="F19" s="1164"/>
      <c r="G19" s="1164"/>
      <c r="H19" s="212"/>
    </row>
    <row r="20" spans="1:9" ht="20.100000000000001" customHeight="1">
      <c r="A20" s="7"/>
      <c r="B20" s="29" t="str">
        <f>IF(B19=0,"OK","NO")</f>
        <v>OK</v>
      </c>
      <c r="C20" s="29" t="str">
        <f>IF(C19=0,"OK","NO")</f>
        <v>OK</v>
      </c>
      <c r="D20" s="255"/>
      <c r="E20" s="115"/>
      <c r="F20" s="115"/>
      <c r="G20" s="115"/>
      <c r="H20" s="212"/>
    </row>
    <row r="21" spans="1:9" ht="20.100000000000001" customHeight="1">
      <c r="A21" s="495" t="s">
        <v>817</v>
      </c>
      <c r="B21" s="9"/>
      <c r="C21" s="9"/>
      <c r="D21" s="9"/>
      <c r="E21" s="9"/>
      <c r="F21" s="9"/>
      <c r="G21" s="9"/>
    </row>
    <row r="22" spans="1:9" ht="20.100000000000001" customHeight="1">
      <c r="A22" s="1272" t="s">
        <v>721</v>
      </c>
      <c r="B22" s="1272" t="s">
        <v>709</v>
      </c>
      <c r="C22" s="1272"/>
      <c r="D22" s="1280"/>
      <c r="E22" s="1280"/>
      <c r="F22" s="7"/>
      <c r="G22" s="7"/>
    </row>
    <row r="23" spans="1:9" ht="20.100000000000001" customHeight="1">
      <c r="A23" s="1272"/>
      <c r="B23" s="16" t="s">
        <v>772</v>
      </c>
      <c r="C23" s="16" t="s">
        <v>711</v>
      </c>
      <c r="D23" s="37"/>
      <c r="E23" s="37"/>
      <c r="F23" s="7"/>
      <c r="G23" s="7"/>
    </row>
    <row r="24" spans="1:9" ht="20.100000000000001" customHeight="1">
      <c r="A24" s="32" t="s">
        <v>722</v>
      </c>
      <c r="B24" s="32"/>
      <c r="C24" s="32"/>
      <c r="D24" s="37"/>
      <c r="E24" s="37"/>
      <c r="F24" s="7"/>
      <c r="G24" s="7"/>
    </row>
    <row r="25" spans="1:9" ht="20.100000000000001" customHeight="1">
      <c r="A25" s="32" t="s">
        <v>723</v>
      </c>
      <c r="B25" s="32"/>
      <c r="C25" s="32"/>
      <c r="D25" s="37"/>
      <c r="E25" s="37"/>
      <c r="F25" s="7"/>
      <c r="G25" s="7"/>
    </row>
    <row r="26" spans="1:9" ht="20.100000000000001" customHeight="1">
      <c r="A26" s="32" t="s">
        <v>724</v>
      </c>
      <c r="B26" s="32"/>
      <c r="C26" s="32"/>
      <c r="D26" s="37"/>
      <c r="E26" s="37"/>
      <c r="F26" s="7"/>
      <c r="G26" s="7"/>
    </row>
    <row r="27" spans="1:9" ht="20.100000000000001" customHeight="1">
      <c r="A27" s="32" t="s">
        <v>774</v>
      </c>
      <c r="B27" s="32"/>
      <c r="C27" s="32"/>
      <c r="D27" s="37"/>
      <c r="E27" s="37"/>
      <c r="F27" s="7"/>
      <c r="G27" s="7"/>
    </row>
    <row r="28" spans="1:9" ht="20.100000000000001" customHeight="1">
      <c r="A28" s="32" t="s">
        <v>728</v>
      </c>
      <c r="B28" s="551">
        <f>SUM(B24:B27)</f>
        <v>0</v>
      </c>
      <c r="C28" s="551">
        <f>SUM(C24:C27)</f>
        <v>0</v>
      </c>
      <c r="D28" s="37"/>
      <c r="E28" s="37"/>
      <c r="F28" s="120"/>
      <c r="G28" s="7"/>
    </row>
    <row r="29" spans="1:9" ht="20.100000000000001" customHeight="1">
      <c r="A29" s="118" t="s">
        <v>649</v>
      </c>
      <c r="B29" s="1178">
        <f>B8</f>
        <v>0</v>
      </c>
      <c r="C29" s="1178">
        <f>C8</f>
        <v>0</v>
      </c>
      <c r="D29" s="7"/>
      <c r="E29" s="7"/>
      <c r="F29" s="7"/>
      <c r="G29" s="7"/>
    </row>
    <row r="30" spans="1:9" ht="20.100000000000001" customHeight="1">
      <c r="A30" s="102"/>
      <c r="B30" s="1178">
        <f>B28-B29</f>
        <v>0</v>
      </c>
      <c r="C30" s="1178">
        <f>C28-C29</f>
        <v>0</v>
      </c>
      <c r="D30" s="7"/>
      <c r="E30" s="7"/>
      <c r="F30" s="7"/>
      <c r="G30" s="7"/>
    </row>
    <row r="31" spans="1:9" s="214" customFormat="1" ht="20.100000000000001" customHeight="1">
      <c r="A31" s="29"/>
      <c r="B31" s="29" t="str">
        <f>IF(B30=0,"OK","NO")</f>
        <v>OK</v>
      </c>
      <c r="C31" s="29" t="str">
        <f>IF(C30=0,"OK","NO")</f>
        <v>OK</v>
      </c>
      <c r="D31" s="29"/>
      <c r="E31" s="29"/>
      <c r="F31" s="29"/>
      <c r="G31" s="29"/>
    </row>
    <row r="32" spans="1:9" ht="20.100000000000001" customHeight="1">
      <c r="A32" s="33"/>
      <c r="B32" s="33"/>
      <c r="C32" s="33"/>
      <c r="D32" s="33"/>
      <c r="E32" s="33"/>
      <c r="F32" s="33"/>
      <c r="G32" s="37"/>
      <c r="H32" s="125"/>
      <c r="I32" s="125"/>
    </row>
    <row r="33" spans="1:7" ht="20.100000000000001" customHeight="1">
      <c r="A33" s="495" t="s">
        <v>818</v>
      </c>
      <c r="B33" s="33"/>
      <c r="C33" s="33"/>
      <c r="D33" s="33"/>
      <c r="E33" s="33"/>
      <c r="F33" s="33"/>
      <c r="G33" s="33"/>
    </row>
    <row r="34" spans="1:7" ht="20.100000000000001" customHeight="1">
      <c r="A34" s="495" t="s">
        <v>730</v>
      </c>
      <c r="B34" s="33"/>
      <c r="C34" s="33"/>
      <c r="D34" s="33"/>
      <c r="E34" s="33"/>
      <c r="F34" s="33"/>
      <c r="G34" s="33"/>
    </row>
    <row r="35" spans="1:7" ht="20.100000000000001" customHeight="1">
      <c r="A35" s="495" t="s">
        <v>731</v>
      </c>
      <c r="B35" s="33"/>
      <c r="C35" s="33"/>
      <c r="D35" s="33"/>
      <c r="E35" s="33"/>
      <c r="F35" s="33"/>
      <c r="G35" s="33"/>
    </row>
    <row r="36" spans="1:7" ht="20.100000000000001" customHeight="1">
      <c r="A36" s="16" t="s">
        <v>732</v>
      </c>
      <c r="B36" s="16" t="s">
        <v>733</v>
      </c>
      <c r="C36" s="16" t="s">
        <v>734</v>
      </c>
      <c r="D36" s="16" t="s">
        <v>735</v>
      </c>
      <c r="E36" s="16" t="s">
        <v>736</v>
      </c>
      <c r="F36" s="33"/>
      <c r="G36" s="33"/>
    </row>
    <row r="37" spans="1:7" s="116" customFormat="1" ht="20.100000000000001" customHeight="1">
      <c r="A37" s="284"/>
      <c r="B37" s="32"/>
      <c r="C37" s="32"/>
      <c r="D37" s="32"/>
      <c r="E37" s="32"/>
      <c r="F37" s="33"/>
      <c r="G37" s="33"/>
    </row>
    <row r="38" spans="1:7" s="214" customFormat="1" ht="20.100000000000001" customHeight="1">
      <c r="A38" s="284" t="s">
        <v>737</v>
      </c>
      <c r="B38" s="32"/>
      <c r="C38" s="32"/>
      <c r="D38" s="32"/>
      <c r="E38" s="32"/>
      <c r="F38" s="33"/>
      <c r="G38" s="33"/>
    </row>
    <row r="39" spans="1:7" s="116" customFormat="1" ht="20.100000000000001" customHeight="1">
      <c r="A39" s="32" t="s">
        <v>658</v>
      </c>
      <c r="B39" s="32"/>
      <c r="C39" s="32"/>
      <c r="D39" s="32"/>
      <c r="E39" s="20">
        <f>SUM(E37:E38)</f>
        <v>0</v>
      </c>
      <c r="F39" s="33"/>
      <c r="G39" s="33"/>
    </row>
    <row r="40" spans="1:7" s="116" customFormat="1" ht="20.100000000000001" customHeight="1">
      <c r="A40" s="33"/>
      <c r="B40" s="33"/>
      <c r="C40" s="33"/>
      <c r="D40" s="33"/>
      <c r="E40" s="33"/>
      <c r="F40" s="33"/>
      <c r="G40" s="33"/>
    </row>
    <row r="41" spans="1:7" s="116" customFormat="1" ht="20.100000000000001" customHeight="1">
      <c r="A41" s="7" t="s">
        <v>819</v>
      </c>
      <c r="B41" s="7"/>
      <c r="C41" s="7"/>
      <c r="D41" s="7"/>
      <c r="E41" s="7"/>
      <c r="F41" s="7"/>
      <c r="G41" s="33"/>
    </row>
    <row r="42" spans="1:7" s="116" customFormat="1" ht="20.100000000000001" customHeight="1">
      <c r="A42" s="16" t="s">
        <v>137</v>
      </c>
      <c r="B42" s="16" t="s">
        <v>739</v>
      </c>
      <c r="C42" s="7"/>
      <c r="D42" s="7"/>
      <c r="E42" s="7"/>
      <c r="F42" s="7"/>
      <c r="G42" s="33"/>
    </row>
    <row r="43" spans="1:7" s="116" customFormat="1" ht="20.100000000000001" customHeight="1">
      <c r="A43" s="32" t="s">
        <v>820</v>
      </c>
      <c r="B43" s="32"/>
      <c r="C43" s="7"/>
      <c r="D43" s="7"/>
      <c r="E43" s="7"/>
      <c r="F43" s="7"/>
      <c r="G43" s="33"/>
    </row>
    <row r="44" spans="1:7" s="116" customFormat="1" ht="20.100000000000001" customHeight="1">
      <c r="A44" s="33"/>
      <c r="B44" s="33"/>
      <c r="C44" s="7"/>
      <c r="D44" s="7"/>
      <c r="E44" s="7"/>
      <c r="F44" s="7"/>
      <c r="G44" s="33"/>
    </row>
    <row r="45" spans="1:7" s="116" customFormat="1" ht="20.100000000000001" customHeight="1">
      <c r="A45" s="495" t="s">
        <v>821</v>
      </c>
      <c r="B45" s="7"/>
      <c r="C45" s="7"/>
      <c r="D45" s="7"/>
      <c r="E45" s="7"/>
      <c r="F45" s="7"/>
      <c r="G45" s="33"/>
    </row>
    <row r="46" spans="1:7" s="116" customFormat="1" ht="20.100000000000001" customHeight="1">
      <c r="A46" s="16" t="s">
        <v>732</v>
      </c>
      <c r="B46" s="16" t="s">
        <v>822</v>
      </c>
      <c r="C46" s="16" t="s">
        <v>739</v>
      </c>
      <c r="D46" s="16" t="s">
        <v>743</v>
      </c>
      <c r="E46" s="16" t="s">
        <v>744</v>
      </c>
      <c r="F46" s="16" t="s">
        <v>745</v>
      </c>
      <c r="G46" s="33"/>
    </row>
    <row r="47" spans="1:7" s="116" customFormat="1" ht="20.100000000000001" customHeight="1">
      <c r="A47" s="32"/>
      <c r="B47" s="32"/>
      <c r="C47" s="32"/>
      <c r="D47" s="32"/>
      <c r="E47" s="32"/>
      <c r="F47" s="32"/>
      <c r="G47" s="33"/>
    </row>
    <row r="48" spans="1:7" s="116" customFormat="1" ht="20.100000000000001" customHeight="1">
      <c r="A48" s="32"/>
      <c r="B48" s="284"/>
      <c r="C48" s="284"/>
      <c r="D48" s="284"/>
      <c r="E48" s="284"/>
      <c r="F48" s="284"/>
      <c r="G48" s="33"/>
    </row>
    <row r="49" spans="1:10" s="116" customFormat="1" ht="20.100000000000001" customHeight="1">
      <c r="A49" s="284"/>
      <c r="B49" s="284"/>
      <c r="C49" s="284"/>
      <c r="D49" s="284"/>
      <c r="E49" s="284"/>
      <c r="F49" s="284"/>
      <c r="G49" s="33"/>
    </row>
    <row r="50" spans="1:10" s="116" customFormat="1" ht="20.100000000000001" customHeight="1">
      <c r="A50" s="32" t="s">
        <v>658</v>
      </c>
      <c r="B50" s="32"/>
      <c r="C50" s="20">
        <f>SUM(C47:C49)</f>
        <v>0</v>
      </c>
      <c r="D50" s="284"/>
      <c r="E50" s="284"/>
      <c r="F50" s="284"/>
      <c r="G50" s="33"/>
    </row>
    <row r="51" spans="1:10" s="116" customFormat="1" ht="20.100000000000001" customHeight="1">
      <c r="A51" s="7"/>
      <c r="B51" s="7"/>
      <c r="C51" s="7"/>
      <c r="D51" s="7"/>
      <c r="E51" s="7"/>
      <c r="F51" s="7"/>
      <c r="G51" s="33"/>
    </row>
    <row r="52" spans="1:10" s="116" customFormat="1" ht="20.100000000000001" customHeight="1">
      <c r="A52" s="7" t="s">
        <v>823</v>
      </c>
      <c r="B52" s="7"/>
      <c r="C52" s="7"/>
      <c r="D52" s="7"/>
      <c r="E52" s="7"/>
      <c r="F52" s="7"/>
      <c r="G52" s="33"/>
    </row>
    <row r="53" spans="1:10" s="116" customFormat="1" ht="20.100000000000001" customHeight="1">
      <c r="A53" s="497" t="s">
        <v>824</v>
      </c>
      <c r="B53" s="497" t="s">
        <v>825</v>
      </c>
      <c r="C53" s="7"/>
      <c r="D53" s="7"/>
      <c r="E53" s="7"/>
      <c r="F53" s="7"/>
      <c r="G53" s="33"/>
    </row>
    <row r="54" spans="1:10" s="116" customFormat="1" ht="20.100000000000001" customHeight="1">
      <c r="A54" s="498" t="s">
        <v>826</v>
      </c>
      <c r="B54" s="94"/>
      <c r="C54" s="7"/>
      <c r="D54" s="7"/>
      <c r="E54" s="7"/>
      <c r="F54" s="7"/>
      <c r="G54" s="33"/>
    </row>
    <row r="55" spans="1:10" s="116" customFormat="1" ht="20.100000000000001" customHeight="1">
      <c r="A55" s="498" t="s">
        <v>827</v>
      </c>
      <c r="B55" s="94"/>
      <c r="C55" s="7"/>
      <c r="D55" s="7"/>
      <c r="E55" s="7"/>
      <c r="F55" s="7"/>
      <c r="G55" s="33"/>
    </row>
    <row r="56" spans="1:10" s="116" customFormat="1" ht="20.100000000000001" customHeight="1">
      <c r="A56" s="467" t="s">
        <v>737</v>
      </c>
      <c r="B56" s="94"/>
      <c r="C56" s="7"/>
      <c r="D56" s="7"/>
      <c r="E56" s="7"/>
      <c r="F56" s="7"/>
      <c r="G56" s="33"/>
    </row>
    <row r="57" spans="1:10" s="116" customFormat="1" ht="20.100000000000001" customHeight="1">
      <c r="A57" s="94"/>
      <c r="B57" s="94"/>
      <c r="C57" s="7"/>
      <c r="D57" s="7"/>
      <c r="E57" s="7"/>
      <c r="F57" s="7"/>
      <c r="G57" s="33"/>
    </row>
    <row r="58" spans="1:10" s="116" customFormat="1" ht="20.100000000000001" customHeight="1">
      <c r="A58" s="94" t="s">
        <v>728</v>
      </c>
      <c r="B58" s="94"/>
      <c r="C58" s="7"/>
      <c r="D58" s="7"/>
      <c r="E58" s="7"/>
      <c r="F58" s="7"/>
      <c r="G58" s="33"/>
    </row>
    <row r="59" spans="1:10" s="116" customFormat="1" ht="20.100000000000001" customHeight="1">
      <c r="A59" s="7"/>
      <c r="B59" s="7"/>
      <c r="C59" s="7"/>
      <c r="D59" s="7"/>
      <c r="E59" s="7"/>
      <c r="F59" s="7"/>
      <c r="G59" s="33"/>
    </row>
    <row r="60" spans="1:10" s="116" customFormat="1" ht="20.100000000000001" customHeight="1">
      <c r="A60" s="495" t="s">
        <v>828</v>
      </c>
      <c r="B60" s="7"/>
      <c r="C60" s="7"/>
      <c r="D60" s="7"/>
      <c r="E60" s="7"/>
      <c r="F60" s="7"/>
      <c r="G60" s="33"/>
    </row>
    <row r="61" spans="1:10" s="116" customFormat="1" ht="20.100000000000001" customHeight="1">
      <c r="A61" s="499" t="s">
        <v>747</v>
      </c>
      <c r="B61" s="7"/>
      <c r="C61" s="7"/>
      <c r="D61" s="7"/>
      <c r="E61" s="7"/>
      <c r="F61" s="7"/>
      <c r="G61" s="33"/>
    </row>
    <row r="62" spans="1:10" s="116" customFormat="1" ht="20.100000000000001" customHeight="1">
      <c r="A62" s="495" t="s">
        <v>829</v>
      </c>
      <c r="B62" s="7"/>
      <c r="C62" s="7"/>
      <c r="D62" s="7"/>
      <c r="E62" s="7"/>
      <c r="F62" s="7"/>
      <c r="G62" s="33"/>
    </row>
    <row r="63" spans="1:10" ht="20.100000000000001" customHeight="1">
      <c r="A63" s="499" t="s">
        <v>749</v>
      </c>
      <c r="B63" s="7"/>
      <c r="C63" s="7"/>
      <c r="D63" s="7"/>
      <c r="E63" s="7"/>
      <c r="F63" s="7"/>
      <c r="G63" s="33"/>
      <c r="J63" s="11"/>
    </row>
    <row r="64" spans="1:10" ht="34.5" customHeight="1">
      <c r="A64" s="16" t="s">
        <v>732</v>
      </c>
      <c r="B64" s="16" t="s">
        <v>830</v>
      </c>
      <c r="C64" s="16" t="s">
        <v>831</v>
      </c>
      <c r="D64" s="16" t="s">
        <v>752</v>
      </c>
      <c r="E64" s="7"/>
      <c r="F64" s="7"/>
      <c r="G64" s="33"/>
      <c r="J64" s="11"/>
    </row>
    <row r="65" spans="1:10" ht="20.100000000000001" customHeight="1">
      <c r="A65" s="94"/>
      <c r="B65" s="94"/>
      <c r="C65" s="94"/>
      <c r="D65" s="94"/>
      <c r="E65" s="7"/>
      <c r="F65" s="7"/>
      <c r="G65" s="33"/>
      <c r="J65" s="11"/>
    </row>
    <row r="66" spans="1:10" ht="20.100000000000001" customHeight="1">
      <c r="A66" s="94"/>
      <c r="B66" s="467"/>
      <c r="C66" s="467"/>
      <c r="D66" s="467"/>
      <c r="E66" s="7"/>
      <c r="F66" s="7"/>
      <c r="G66" s="7"/>
      <c r="J66" s="11"/>
    </row>
    <row r="67" spans="1:10" ht="20.100000000000001" customHeight="1">
      <c r="A67" s="467"/>
      <c r="B67" s="467"/>
      <c r="C67" s="467"/>
      <c r="D67" s="467"/>
      <c r="E67" s="7"/>
      <c r="F67" s="7"/>
      <c r="G67" s="7"/>
      <c r="J67" s="11"/>
    </row>
    <row r="68" spans="1:10" ht="20.100000000000001" customHeight="1">
      <c r="A68" s="94" t="s">
        <v>658</v>
      </c>
      <c r="B68" s="90">
        <f>SUM(B65:B67)</f>
        <v>0</v>
      </c>
      <c r="C68" s="496">
        <f>SUM(C65:C67)</f>
        <v>0</v>
      </c>
      <c r="D68" s="90">
        <f>SUM(D65:D67)</f>
        <v>0</v>
      </c>
      <c r="E68" s="7"/>
      <c r="F68" s="7"/>
      <c r="G68" s="7"/>
      <c r="J68" s="11"/>
    </row>
    <row r="69" spans="1:10" ht="20.100000000000001" customHeight="1">
      <c r="A69" s="7"/>
      <c r="B69" s="7"/>
      <c r="C69" s="7"/>
      <c r="D69" s="7"/>
      <c r="E69" s="7"/>
      <c r="F69" s="7"/>
      <c r="G69" s="7"/>
      <c r="J69" s="11"/>
    </row>
    <row r="70" spans="1:10" ht="20.100000000000001" customHeight="1">
      <c r="A70" s="7" t="s">
        <v>832</v>
      </c>
      <c r="B70" s="7"/>
      <c r="C70" s="7"/>
      <c r="D70" s="7"/>
      <c r="E70" s="7"/>
      <c r="F70" s="7"/>
      <c r="G70" s="7"/>
      <c r="J70" s="11"/>
    </row>
    <row r="71" spans="1:10" ht="33.75" customHeight="1">
      <c r="A71" s="16" t="s">
        <v>833</v>
      </c>
      <c r="B71" s="16" t="s">
        <v>834</v>
      </c>
      <c r="C71" s="16" t="s">
        <v>835</v>
      </c>
      <c r="D71" s="16" t="s">
        <v>836</v>
      </c>
      <c r="E71" s="16" t="s">
        <v>837</v>
      </c>
      <c r="F71" s="7"/>
      <c r="G71" s="7"/>
      <c r="J71" s="11"/>
    </row>
    <row r="72" spans="1:10" ht="20.100000000000001" customHeight="1">
      <c r="A72" s="489"/>
      <c r="B72" s="489"/>
      <c r="C72" s="94"/>
      <c r="D72" s="94"/>
      <c r="E72" s="489"/>
      <c r="F72" s="7"/>
      <c r="G72" s="7"/>
      <c r="J72" s="11"/>
    </row>
    <row r="73" spans="1:10" ht="20.100000000000001" customHeight="1">
      <c r="A73" s="489"/>
      <c r="B73" s="489"/>
      <c r="C73" s="94"/>
      <c r="D73" s="94"/>
      <c r="E73" s="489"/>
      <c r="F73" s="7"/>
      <c r="G73" s="7"/>
      <c r="J73" s="11"/>
    </row>
    <row r="74" spans="1:10" ht="20.100000000000001" customHeight="1">
      <c r="A74" s="489"/>
      <c r="B74" s="489"/>
      <c r="C74" s="94"/>
      <c r="D74" s="94"/>
      <c r="E74" s="489"/>
      <c r="F74" s="7"/>
      <c r="G74" s="7"/>
      <c r="J74" s="11"/>
    </row>
    <row r="75" spans="1:10" ht="20.100000000000001" customHeight="1">
      <c r="A75" s="489" t="s">
        <v>142</v>
      </c>
      <c r="B75" s="489"/>
      <c r="C75" s="94"/>
      <c r="D75" s="94"/>
      <c r="E75" s="489"/>
      <c r="F75" s="7"/>
      <c r="G75" s="7"/>
      <c r="J75" s="11"/>
    </row>
    <row r="76" spans="1:10" ht="20.100000000000001" customHeight="1">
      <c r="A76" s="7"/>
      <c r="B76" s="7"/>
      <c r="C76" s="7"/>
      <c r="D76" s="7"/>
      <c r="E76" s="7"/>
      <c r="F76" s="7"/>
      <c r="G76" s="7"/>
      <c r="J76" s="11"/>
    </row>
    <row r="77" spans="1:10" ht="20.100000000000001" customHeight="1">
      <c r="A77" s="7"/>
      <c r="B77" s="7"/>
      <c r="C77" s="7"/>
      <c r="D77" s="7"/>
      <c r="E77" s="7"/>
      <c r="F77" s="7"/>
      <c r="G77" s="7"/>
      <c r="J77" s="11"/>
    </row>
    <row r="78" spans="1:10" ht="20.100000000000001" customHeight="1">
      <c r="A78" s="495" t="s">
        <v>838</v>
      </c>
      <c r="B78" s="7"/>
      <c r="C78" s="7"/>
      <c r="D78" s="7"/>
      <c r="E78" s="7"/>
      <c r="F78" s="7"/>
      <c r="G78" s="7"/>
      <c r="J78" s="11"/>
    </row>
    <row r="79" spans="1:10" ht="16.5">
      <c r="A79" s="16" t="s">
        <v>754</v>
      </c>
      <c r="B79" s="16" t="s">
        <v>755</v>
      </c>
      <c r="C79" s="16" t="s">
        <v>756</v>
      </c>
      <c r="D79" s="16" t="s">
        <v>757</v>
      </c>
      <c r="E79" s="7"/>
      <c r="F79" s="7"/>
      <c r="G79" s="7"/>
      <c r="J79" s="11"/>
    </row>
    <row r="80" spans="1:10" ht="20.100000000000001" customHeight="1">
      <c r="A80" s="94"/>
      <c r="B80" s="94"/>
      <c r="C80" s="94"/>
      <c r="D80" s="94"/>
      <c r="E80" s="7"/>
      <c r="F80" s="7"/>
      <c r="G80" s="7"/>
      <c r="J80" s="11"/>
    </row>
    <row r="81" spans="1:10" ht="20.100000000000001" customHeight="1">
      <c r="A81" s="94"/>
      <c r="B81" s="467"/>
      <c r="C81" s="467"/>
      <c r="D81" s="467"/>
      <c r="E81" s="7"/>
      <c r="F81" s="7"/>
      <c r="G81" s="7"/>
      <c r="J81" s="11"/>
    </row>
    <row r="82" spans="1:10" ht="20.100000000000001" customHeight="1">
      <c r="A82" s="467"/>
      <c r="B82" s="467"/>
      <c r="C82" s="467"/>
      <c r="D82" s="467"/>
      <c r="E82" s="7"/>
      <c r="F82" s="7"/>
      <c r="G82" s="9"/>
    </row>
    <row r="83" spans="1:10" ht="20.100000000000001" customHeight="1">
      <c r="A83" s="94" t="s">
        <v>658</v>
      </c>
      <c r="B83" s="94"/>
      <c r="C83" s="94">
        <f>SUM(C80:C82)</f>
        <v>0</v>
      </c>
      <c r="D83" s="94">
        <f>SUM(D80:D82)</f>
        <v>0</v>
      </c>
      <c r="E83" s="7"/>
      <c r="F83" s="7"/>
      <c r="G83" s="9"/>
    </row>
    <row r="84" spans="1:10" ht="20.100000000000001" customHeight="1">
      <c r="A84" s="207" t="s">
        <v>677</v>
      </c>
      <c r="B84" s="7"/>
      <c r="C84" s="7"/>
      <c r="D84" s="7"/>
      <c r="E84" s="7"/>
      <c r="F84" s="7"/>
      <c r="G84" s="9"/>
    </row>
    <row r="85" spans="1:10" ht="20.100000000000001" customHeight="1">
      <c r="A85" s="495" t="s">
        <v>839</v>
      </c>
      <c r="B85" s="7"/>
      <c r="C85" s="7"/>
      <c r="D85" s="7"/>
      <c r="E85" s="7"/>
      <c r="F85" s="7"/>
      <c r="G85" s="9"/>
    </row>
    <row r="86" spans="1:10" ht="20.100000000000001" customHeight="1">
      <c r="A86" s="495" t="s">
        <v>840</v>
      </c>
      <c r="B86" s="7"/>
      <c r="C86" s="7"/>
      <c r="D86" s="7"/>
      <c r="E86" s="7"/>
      <c r="F86" s="7"/>
      <c r="G86" s="9"/>
    </row>
    <row r="87" spans="1:10" ht="20.100000000000001" customHeight="1">
      <c r="A87" s="495" t="s">
        <v>841</v>
      </c>
      <c r="B87" s="7"/>
      <c r="C87" s="7"/>
      <c r="D87" s="7"/>
      <c r="E87" s="7"/>
      <c r="F87" s="7"/>
      <c r="G87" s="9"/>
    </row>
    <row r="88" spans="1:10" ht="20.100000000000001" customHeight="1">
      <c r="A88" s="7"/>
      <c r="B88" s="7"/>
      <c r="C88" s="7"/>
      <c r="D88" s="7"/>
      <c r="E88" s="7"/>
      <c r="F88" s="7"/>
      <c r="G88" s="9"/>
    </row>
    <row r="89" spans="1:10" ht="20.100000000000001" customHeight="1">
      <c r="A89" s="495" t="s">
        <v>842</v>
      </c>
      <c r="B89" s="7"/>
      <c r="C89" s="7"/>
      <c r="D89" s="7"/>
      <c r="E89" s="7"/>
      <c r="F89" s="7"/>
      <c r="G89" s="9"/>
    </row>
    <row r="90" spans="1:10" ht="20.100000000000001" customHeight="1">
      <c r="A90" s="16" t="s">
        <v>754</v>
      </c>
      <c r="B90" s="16" t="s">
        <v>762</v>
      </c>
      <c r="C90" s="7"/>
      <c r="D90" s="7"/>
      <c r="E90" s="7"/>
      <c r="F90" s="7"/>
      <c r="G90" s="9"/>
    </row>
    <row r="91" spans="1:10" ht="20.100000000000001" customHeight="1">
      <c r="A91" s="32" t="s">
        <v>763</v>
      </c>
      <c r="B91" s="32"/>
      <c r="C91" s="7"/>
      <c r="D91" s="7"/>
      <c r="E91" s="7"/>
      <c r="F91" s="7"/>
      <c r="G91" s="9"/>
    </row>
    <row r="92" spans="1:10" ht="20.100000000000001" customHeight="1">
      <c r="A92" s="32"/>
      <c r="B92" s="32"/>
      <c r="C92" s="7"/>
      <c r="D92" s="7"/>
      <c r="E92" s="7"/>
      <c r="F92" s="7"/>
      <c r="G92" s="9"/>
    </row>
    <row r="93" spans="1:10" ht="20.100000000000001" customHeight="1">
      <c r="A93" s="32" t="s">
        <v>764</v>
      </c>
      <c r="B93" s="32" t="s">
        <v>765</v>
      </c>
      <c r="C93" s="7"/>
      <c r="D93" s="7"/>
      <c r="E93" s="7"/>
      <c r="F93" s="7"/>
      <c r="G93" s="9"/>
    </row>
    <row r="94" spans="1:10" ht="20.100000000000001" customHeight="1">
      <c r="A94" s="32" t="s">
        <v>766</v>
      </c>
      <c r="B94" s="284"/>
      <c r="C94" s="7"/>
      <c r="D94" s="7"/>
      <c r="E94" s="7"/>
      <c r="F94" s="7"/>
      <c r="G94" s="9"/>
    </row>
    <row r="95" spans="1:10" ht="20.100000000000001" customHeight="1">
      <c r="A95" s="284"/>
      <c r="B95" s="284"/>
      <c r="C95" s="7"/>
      <c r="D95" s="7"/>
      <c r="E95" s="7"/>
      <c r="F95" s="7"/>
      <c r="G95" s="9"/>
    </row>
    <row r="96" spans="1:10" ht="20.100000000000001" customHeight="1">
      <c r="A96" s="32" t="s">
        <v>767</v>
      </c>
      <c r="B96" s="32" t="s">
        <v>765</v>
      </c>
      <c r="C96" s="7"/>
      <c r="D96" s="7"/>
      <c r="E96" s="7"/>
      <c r="F96" s="7"/>
      <c r="G96" s="9"/>
    </row>
    <row r="97" spans="1:10" ht="20.100000000000001" customHeight="1">
      <c r="A97" s="495" t="s">
        <v>768</v>
      </c>
      <c r="B97" s="7"/>
      <c r="C97" s="7"/>
      <c r="D97" s="7"/>
      <c r="E97" s="7"/>
      <c r="F97" s="7"/>
      <c r="G97" s="9"/>
    </row>
    <row r="98" spans="1:10" ht="20.100000000000001" customHeight="1">
      <c r="A98" s="7"/>
      <c r="B98" s="7"/>
      <c r="C98" s="7"/>
      <c r="D98" s="7"/>
      <c r="E98" s="7"/>
      <c r="F98" s="7"/>
      <c r="G98" s="9"/>
    </row>
    <row r="99" spans="1:10" ht="20.100000000000001" customHeight="1">
      <c r="A99" s="9"/>
      <c r="B99" s="9"/>
      <c r="C99" s="9"/>
      <c r="D99" s="9"/>
      <c r="E99" s="9"/>
      <c r="F99" s="9"/>
      <c r="G99" s="9"/>
    </row>
    <row r="100" spans="1:10" ht="20.100000000000001" customHeight="1">
      <c r="A100" s="7"/>
      <c r="B100" s="7"/>
      <c r="C100" s="7"/>
      <c r="D100" s="7"/>
      <c r="E100" s="7"/>
      <c r="F100" s="7"/>
      <c r="G100" s="7"/>
      <c r="J100" s="11"/>
    </row>
    <row r="101" spans="1:10" ht="20.100000000000001" customHeight="1">
      <c r="A101" s="9"/>
      <c r="B101" s="9"/>
      <c r="C101" s="9"/>
      <c r="D101" s="9"/>
      <c r="E101" s="9"/>
      <c r="F101" s="9"/>
      <c r="G101" s="9"/>
    </row>
    <row r="102" spans="1:10" ht="20.100000000000001" customHeight="1">
      <c r="A102" s="9"/>
      <c r="B102" s="9"/>
      <c r="C102" s="9"/>
      <c r="D102" s="9"/>
      <c r="E102" s="9"/>
      <c r="F102" s="9"/>
      <c r="G102" s="9"/>
    </row>
    <row r="103" spans="1:10" ht="20.100000000000001" customHeight="1">
      <c r="A103" s="9"/>
      <c r="B103" s="9"/>
      <c r="C103" s="9"/>
      <c r="D103" s="9"/>
      <c r="E103" s="9"/>
      <c r="F103" s="9"/>
      <c r="G103" s="9"/>
    </row>
    <row r="104" spans="1:10" ht="20.100000000000001" customHeight="1">
      <c r="A104" s="9"/>
      <c r="B104" s="9"/>
      <c r="C104" s="9"/>
      <c r="D104" s="9"/>
      <c r="E104" s="9"/>
      <c r="F104" s="9"/>
      <c r="G104" s="9"/>
    </row>
    <row r="105" spans="1:10" ht="20.100000000000001" customHeight="1">
      <c r="A105" s="9"/>
      <c r="B105" s="9"/>
      <c r="C105" s="9"/>
      <c r="D105" s="9"/>
      <c r="E105" s="9"/>
      <c r="F105" s="9"/>
      <c r="G105" s="9"/>
    </row>
    <row r="106" spans="1:10" ht="20.100000000000001" customHeight="1">
      <c r="A106" s="9"/>
      <c r="B106" s="9"/>
      <c r="C106" s="9"/>
      <c r="D106" s="9"/>
      <c r="E106" s="9"/>
      <c r="F106" s="9"/>
      <c r="G106" s="9"/>
    </row>
    <row r="107" spans="1:10" ht="20.100000000000001" customHeight="1">
      <c r="A107" s="9"/>
      <c r="B107" s="9"/>
      <c r="C107" s="9"/>
      <c r="D107" s="9"/>
      <c r="E107" s="9"/>
      <c r="F107" s="9"/>
      <c r="G107" s="9"/>
    </row>
    <row r="108" spans="1:10" ht="20.100000000000001" customHeight="1">
      <c r="A108" s="9"/>
      <c r="B108" s="9"/>
      <c r="C108" s="9"/>
      <c r="D108" s="9"/>
      <c r="E108" s="9"/>
      <c r="F108" s="9"/>
      <c r="G108" s="9"/>
    </row>
    <row r="109" spans="1:10" ht="20.100000000000001" customHeight="1">
      <c r="A109" s="9"/>
      <c r="B109" s="9"/>
      <c r="C109" s="9"/>
      <c r="D109" s="9"/>
      <c r="E109" s="9"/>
      <c r="F109" s="9"/>
      <c r="G109" s="9"/>
    </row>
    <row r="110" spans="1:10" ht="20.100000000000001" customHeight="1">
      <c r="A110" s="9"/>
      <c r="B110" s="9"/>
      <c r="C110" s="9"/>
      <c r="D110" s="9"/>
      <c r="E110" s="9"/>
      <c r="F110" s="9"/>
      <c r="G110" s="9"/>
    </row>
    <row r="111" spans="1:10" ht="20.100000000000001" customHeight="1">
      <c r="A111" s="9"/>
      <c r="B111" s="9"/>
      <c r="C111" s="9"/>
      <c r="D111" s="9"/>
      <c r="E111" s="9"/>
      <c r="F111" s="9"/>
      <c r="G111" s="9"/>
    </row>
    <row r="112" spans="1:10" ht="20.100000000000001" customHeight="1">
      <c r="A112" s="9"/>
      <c r="B112" s="9"/>
      <c r="C112" s="9"/>
      <c r="D112" s="9"/>
      <c r="E112" s="9"/>
      <c r="F112" s="9"/>
      <c r="G112" s="9"/>
    </row>
    <row r="113" spans="1:7" ht="20.100000000000001" customHeight="1">
      <c r="A113" s="9"/>
      <c r="B113" s="9"/>
      <c r="C113" s="9"/>
      <c r="D113" s="9"/>
      <c r="E113" s="9"/>
      <c r="F113" s="9"/>
      <c r="G113" s="9"/>
    </row>
    <row r="114" spans="1:7" ht="20.100000000000001" customHeight="1">
      <c r="A114" s="9"/>
      <c r="B114" s="9"/>
      <c r="C114" s="9"/>
      <c r="D114" s="9"/>
      <c r="E114" s="9"/>
      <c r="F114" s="9"/>
      <c r="G114" s="9"/>
    </row>
    <row r="115" spans="1:7" ht="20.100000000000001" customHeight="1">
      <c r="A115" s="9"/>
      <c r="B115" s="9"/>
      <c r="C115" s="9"/>
      <c r="D115" s="9"/>
      <c r="E115" s="9"/>
      <c r="F115" s="9"/>
      <c r="G115" s="9"/>
    </row>
    <row r="116" spans="1:7" ht="20.100000000000001" customHeight="1">
      <c r="A116" s="9"/>
      <c r="B116" s="9"/>
      <c r="C116" s="9"/>
      <c r="D116" s="9"/>
      <c r="E116" s="9"/>
      <c r="F116" s="9"/>
      <c r="G116" s="9"/>
    </row>
    <row r="117" spans="1:7" ht="20.100000000000001" customHeight="1">
      <c r="A117" s="9"/>
      <c r="B117" s="9"/>
      <c r="C117" s="9"/>
      <c r="D117" s="9"/>
      <c r="E117" s="9"/>
      <c r="F117" s="9"/>
      <c r="G117" s="9"/>
    </row>
    <row r="118" spans="1:7" ht="20.100000000000001" customHeight="1">
      <c r="A118" s="9"/>
      <c r="B118" s="9"/>
      <c r="C118" s="9"/>
      <c r="D118" s="9"/>
      <c r="E118" s="9"/>
      <c r="F118" s="9"/>
      <c r="G118" s="9"/>
    </row>
    <row r="119" spans="1:7" ht="20.100000000000001" customHeight="1">
      <c r="A119" s="9"/>
      <c r="B119" s="9"/>
      <c r="C119" s="9"/>
      <c r="D119" s="9"/>
      <c r="E119" s="9"/>
      <c r="F119" s="9"/>
      <c r="G119" s="9"/>
    </row>
    <row r="120" spans="1:7" ht="20.100000000000001" customHeight="1">
      <c r="A120" s="9"/>
      <c r="B120" s="9"/>
      <c r="C120" s="9"/>
      <c r="D120" s="9"/>
      <c r="E120" s="9"/>
      <c r="F120" s="9"/>
      <c r="G120" s="9"/>
    </row>
    <row r="121" spans="1:7" ht="20.100000000000001" customHeight="1">
      <c r="A121" s="9"/>
      <c r="B121" s="9"/>
      <c r="C121" s="9"/>
      <c r="D121" s="9"/>
      <c r="E121" s="9"/>
      <c r="F121" s="9"/>
      <c r="G121" s="9"/>
    </row>
    <row r="122" spans="1:7" ht="20.100000000000001" customHeight="1">
      <c r="A122" s="9"/>
      <c r="B122" s="9"/>
      <c r="C122" s="9"/>
      <c r="D122" s="9"/>
      <c r="E122" s="9"/>
      <c r="F122" s="9"/>
      <c r="G122" s="9"/>
    </row>
    <row r="123" spans="1:7" ht="20.100000000000001" customHeight="1">
      <c r="A123" s="9"/>
      <c r="B123" s="9"/>
      <c r="C123" s="9"/>
      <c r="D123" s="9"/>
      <c r="E123" s="9"/>
      <c r="F123" s="9"/>
      <c r="G123" s="9"/>
    </row>
    <row r="124" spans="1:7" ht="20.100000000000001" customHeight="1">
      <c r="A124" s="9"/>
      <c r="B124" s="9"/>
      <c r="C124" s="9"/>
      <c r="D124" s="9"/>
      <c r="E124" s="9"/>
      <c r="F124" s="9"/>
      <c r="G124" s="9"/>
    </row>
    <row r="125" spans="1:7" ht="20.100000000000001" customHeight="1">
      <c r="A125" s="9"/>
      <c r="B125" s="9"/>
      <c r="C125" s="9"/>
      <c r="D125" s="9"/>
      <c r="E125" s="9"/>
      <c r="F125" s="9"/>
      <c r="G125" s="9"/>
    </row>
    <row r="126" spans="1:7" ht="20.100000000000001" customHeight="1">
      <c r="A126" s="9"/>
      <c r="B126" s="9"/>
      <c r="C126" s="9"/>
      <c r="D126" s="9"/>
      <c r="E126" s="9"/>
      <c r="F126" s="9"/>
      <c r="G126" s="9"/>
    </row>
    <row r="127" spans="1:7" ht="20.100000000000001" customHeight="1">
      <c r="A127" s="9"/>
      <c r="B127" s="9"/>
      <c r="C127" s="9"/>
      <c r="D127" s="9"/>
      <c r="E127" s="9"/>
      <c r="F127" s="9"/>
      <c r="G127" s="9"/>
    </row>
    <row r="128" spans="1:7" ht="20.100000000000001" customHeight="1">
      <c r="A128" s="9"/>
      <c r="B128" s="9"/>
      <c r="C128" s="9"/>
      <c r="D128" s="9"/>
      <c r="E128" s="9"/>
      <c r="F128" s="9"/>
      <c r="G128" s="9"/>
    </row>
    <row r="129" spans="1:7" ht="20.100000000000001" customHeight="1">
      <c r="A129" s="9"/>
      <c r="B129" s="9"/>
      <c r="C129" s="9"/>
      <c r="D129" s="9"/>
      <c r="E129" s="9"/>
      <c r="F129" s="9"/>
      <c r="G129" s="9"/>
    </row>
    <row r="130" spans="1:7" ht="20.100000000000001" customHeight="1">
      <c r="A130" s="9"/>
      <c r="B130" s="9"/>
      <c r="C130" s="9"/>
      <c r="D130" s="9"/>
      <c r="E130" s="9"/>
      <c r="F130" s="9"/>
      <c r="G130" s="9"/>
    </row>
  </sheetData>
  <mergeCells count="6">
    <mergeCell ref="B5:C5"/>
    <mergeCell ref="D5:E5"/>
    <mergeCell ref="B22:C22"/>
    <mergeCell ref="D22:E22"/>
    <mergeCell ref="A5:A6"/>
    <mergeCell ref="A22:A23"/>
  </mergeCells>
  <phoneticPr fontId="76" type="noConversion"/>
  <pageMargins left="0.27500000000000002" right="0.27500000000000002" top="0.51180555555555596" bottom="0.51180555555555596" header="0.27500000000000002" footer="0.27500000000000002"/>
  <pageSetup paperSize="9" scale="74" orientation="landscape" blackAndWhite="1" r:id="rId1"/>
  <headerFooter alignWithMargins="0"/>
  <rowBreaks count="3" manualBreakCount="3">
    <brk id="32" max="16383" man="1"/>
    <brk id="59" max="5" man="1"/>
    <brk id="77" max="5"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view="pageBreakPreview" topLeftCell="A28" zoomScale="90" zoomScaleNormal="100" zoomScaleSheetLayoutView="90" workbookViewId="0">
      <selection activeCell="G31" sqref="G31"/>
    </sheetView>
  </sheetViews>
  <sheetFormatPr defaultColWidth="9" defaultRowHeight="20.100000000000001" customHeight="1"/>
  <cols>
    <col min="1" max="1" width="29.875" style="11" customWidth="1"/>
    <col min="2" max="2" width="24.625" style="11" customWidth="1"/>
    <col min="3" max="3" width="22.625" style="11" customWidth="1"/>
    <col min="4" max="4" width="21.75" style="11" customWidth="1"/>
    <col min="5" max="5" width="23" style="11" customWidth="1"/>
    <col min="6" max="6" width="17" style="11" customWidth="1"/>
    <col min="7" max="7" width="16.25" style="11" customWidth="1"/>
    <col min="8" max="9" width="9" style="116"/>
    <col min="10" max="16384" width="9" style="11"/>
  </cols>
  <sheetData>
    <row r="1" spans="1:7" ht="20.100000000000001" customHeight="1">
      <c r="A1" s="54" t="s">
        <v>145</v>
      </c>
      <c r="B1" s="55">
        <f>基础信息!B6</f>
        <v>0</v>
      </c>
      <c r="C1" s="256"/>
      <c r="D1" s="256"/>
      <c r="E1" s="261"/>
      <c r="F1" s="256"/>
      <c r="G1" s="256"/>
    </row>
    <row r="2" spans="1:7" ht="20.100000000000001" customHeight="1">
      <c r="A2" s="54" t="s">
        <v>147</v>
      </c>
      <c r="B2" s="55">
        <f>基础信息!B9</f>
        <v>0</v>
      </c>
      <c r="C2" s="256"/>
      <c r="D2" s="256"/>
      <c r="E2" s="256"/>
      <c r="F2" s="256"/>
      <c r="G2" s="256"/>
    </row>
    <row r="3" spans="1:7" ht="20.100000000000001" customHeight="1">
      <c r="A3" s="97" t="s">
        <v>148</v>
      </c>
      <c r="B3" s="97" t="s">
        <v>843</v>
      </c>
      <c r="C3" s="256"/>
      <c r="D3" s="256"/>
      <c r="E3" s="256"/>
      <c r="F3" s="256"/>
      <c r="G3" s="256"/>
    </row>
    <row r="4" spans="1:7" ht="20.100000000000001" customHeight="1">
      <c r="A4" s="128" t="s">
        <v>844</v>
      </c>
      <c r="B4" s="128"/>
      <c r="C4" s="128"/>
      <c r="D4" s="128"/>
      <c r="E4" s="257"/>
      <c r="F4" s="257"/>
      <c r="G4" s="257"/>
    </row>
    <row r="5" spans="1:7" ht="20.100000000000001" customHeight="1">
      <c r="A5" s="1282" t="s">
        <v>318</v>
      </c>
      <c r="B5" s="1282" t="s">
        <v>845</v>
      </c>
      <c r="C5" s="1282"/>
      <c r="D5" s="1282"/>
      <c r="E5" s="257"/>
      <c r="F5" s="257"/>
      <c r="G5" s="257"/>
    </row>
    <row r="6" spans="1:7" ht="20.100000000000001" customHeight="1">
      <c r="A6" s="1282"/>
      <c r="B6" s="301" t="s">
        <v>846</v>
      </c>
      <c r="C6" s="301" t="s">
        <v>847</v>
      </c>
      <c r="D6" s="301" t="s">
        <v>848</v>
      </c>
      <c r="E6" s="257"/>
      <c r="F6" s="257"/>
      <c r="G6" s="257"/>
    </row>
    <row r="7" spans="1:7" ht="20.100000000000001" customHeight="1">
      <c r="A7" s="187" t="s">
        <v>849</v>
      </c>
      <c r="B7" s="265"/>
      <c r="C7" s="265"/>
      <c r="D7" s="493">
        <f>B7-C7</f>
        <v>0</v>
      </c>
    </row>
    <row r="8" spans="1:7" ht="20.100000000000001" customHeight="1">
      <c r="A8" s="187" t="s">
        <v>850</v>
      </c>
      <c r="B8" s="265"/>
      <c r="C8" s="265"/>
      <c r="D8" s="493">
        <f t="shared" ref="D8:D15" si="0">B8-C8</f>
        <v>0</v>
      </c>
    </row>
    <row r="9" spans="1:7" ht="20.100000000000001" customHeight="1">
      <c r="A9" s="187" t="s">
        <v>851</v>
      </c>
      <c r="B9" s="265"/>
      <c r="C9" s="265"/>
      <c r="D9" s="493">
        <f t="shared" si="0"/>
        <v>0</v>
      </c>
    </row>
    <row r="10" spans="1:7" ht="20.100000000000001" customHeight="1">
      <c r="A10" s="187" t="s">
        <v>852</v>
      </c>
      <c r="B10" s="265"/>
      <c r="C10" s="265"/>
      <c r="D10" s="493">
        <f t="shared" si="0"/>
        <v>0</v>
      </c>
    </row>
    <row r="11" spans="1:7" ht="20.100000000000001" customHeight="1">
      <c r="A11" s="187" t="s">
        <v>853</v>
      </c>
      <c r="B11" s="265"/>
      <c r="C11" s="265"/>
      <c r="D11" s="493">
        <f t="shared" si="0"/>
        <v>0</v>
      </c>
    </row>
    <row r="12" spans="1:7" ht="20.100000000000001" customHeight="1">
      <c r="A12" s="187" t="s">
        <v>854</v>
      </c>
      <c r="B12" s="265"/>
      <c r="C12" s="265"/>
      <c r="D12" s="493">
        <f t="shared" si="0"/>
        <v>0</v>
      </c>
    </row>
    <row r="13" spans="1:7" ht="20.100000000000001" customHeight="1">
      <c r="A13" s="187" t="s">
        <v>855</v>
      </c>
      <c r="B13" s="265"/>
      <c r="C13" s="265"/>
      <c r="D13" s="493">
        <f t="shared" si="0"/>
        <v>0</v>
      </c>
    </row>
    <row r="14" spans="1:7" ht="20.100000000000001" customHeight="1">
      <c r="A14" s="187"/>
      <c r="B14" s="265"/>
      <c r="C14" s="265"/>
      <c r="D14" s="493">
        <f t="shared" si="0"/>
        <v>0</v>
      </c>
    </row>
    <row r="15" spans="1:7" ht="20.100000000000001" customHeight="1">
      <c r="A15" s="187" t="s">
        <v>456</v>
      </c>
      <c r="B15" s="265"/>
      <c r="C15" s="265"/>
      <c r="D15" s="493">
        <f t="shared" si="0"/>
        <v>0</v>
      </c>
    </row>
    <row r="16" spans="1:7" ht="20.100000000000001" customHeight="1">
      <c r="A16" s="187" t="s">
        <v>658</v>
      </c>
      <c r="B16" s="493">
        <f>SUM(B7:B15)</f>
        <v>0</v>
      </c>
      <c r="C16" s="493">
        <f>SUM(C7:C15)</f>
        <v>0</v>
      </c>
      <c r="D16" s="493">
        <f>SUM(D7:D15)</f>
        <v>0</v>
      </c>
    </row>
    <row r="17" spans="1:7" ht="20.100000000000001" customHeight="1">
      <c r="A17" s="118" t="s">
        <v>649</v>
      </c>
      <c r="B17" s="119">
        <f>'RP 006'!E23</f>
        <v>0</v>
      </c>
      <c r="C17" s="119">
        <f>'RP 006'!E24</f>
        <v>0</v>
      </c>
      <c r="D17" s="101">
        <f>'RP 006'!E25</f>
        <v>0</v>
      </c>
    </row>
    <row r="18" spans="1:7" ht="20.100000000000001" customHeight="1">
      <c r="A18" s="102"/>
      <c r="B18" s="119">
        <f>B16-B17</f>
        <v>0</v>
      </c>
      <c r="C18" s="119">
        <f>C16-C17</f>
        <v>0</v>
      </c>
      <c r="D18" s="119">
        <f>D16-D17</f>
        <v>0</v>
      </c>
    </row>
    <row r="19" spans="1:7" ht="20.100000000000001" customHeight="1">
      <c r="A19" s="29"/>
      <c r="B19" s="29" t="str">
        <f>IF(B18=0,"OK","NO")</f>
        <v>OK</v>
      </c>
      <c r="C19" s="29" t="str">
        <f>IF(C18=0,"OK","NO")</f>
        <v>OK</v>
      </c>
      <c r="D19" s="29" t="str">
        <f>IF(D18=0,"OK","NO")</f>
        <v>OK</v>
      </c>
    </row>
    <row r="20" spans="1:7" ht="20.100000000000001" customHeight="1">
      <c r="A20" s="240" t="s">
        <v>856</v>
      </c>
      <c r="B20" s="9"/>
      <c r="C20" s="9"/>
      <c r="D20" s="9"/>
    </row>
    <row r="21" spans="1:7" ht="20.100000000000001" customHeight="1">
      <c r="A21" s="475" t="s">
        <v>857</v>
      </c>
      <c r="B21" s="257"/>
      <c r="C21" s="257"/>
      <c r="D21" s="257"/>
      <c r="E21" s="257"/>
      <c r="F21" s="257"/>
      <c r="G21" s="257"/>
    </row>
    <row r="22" spans="1:7" ht="20.100000000000001" customHeight="1">
      <c r="A22" s="1281" t="s">
        <v>858</v>
      </c>
      <c r="B22" s="1281" t="s">
        <v>859</v>
      </c>
      <c r="C22" s="1281" t="s">
        <v>860</v>
      </c>
      <c r="D22" s="1281"/>
      <c r="E22" s="1281" t="s">
        <v>861</v>
      </c>
      <c r="F22" s="1281"/>
      <c r="G22" s="1281" t="s">
        <v>862</v>
      </c>
    </row>
    <row r="23" spans="1:7" ht="20.100000000000001" customHeight="1">
      <c r="A23" s="1281"/>
      <c r="B23" s="1281"/>
      <c r="C23" s="172" t="s">
        <v>863</v>
      </c>
      <c r="D23" s="172" t="s">
        <v>864</v>
      </c>
      <c r="E23" s="172" t="s">
        <v>865</v>
      </c>
      <c r="F23" s="172" t="s">
        <v>864</v>
      </c>
      <c r="G23" s="1281"/>
    </row>
    <row r="24" spans="1:7" ht="20.100000000000001" customHeight="1">
      <c r="A24" s="32" t="s">
        <v>849</v>
      </c>
      <c r="B24" s="139"/>
      <c r="C24" s="139"/>
      <c r="D24" s="139"/>
      <c r="E24" s="139"/>
      <c r="F24" s="139"/>
      <c r="G24" s="139"/>
    </row>
    <row r="25" spans="1:7" ht="20.100000000000001" customHeight="1">
      <c r="A25" s="32" t="s">
        <v>866</v>
      </c>
      <c r="B25" s="139"/>
      <c r="C25" s="18"/>
      <c r="D25" s="18"/>
      <c r="E25" s="18"/>
      <c r="F25" s="139"/>
      <c r="G25" s="139"/>
    </row>
    <row r="26" spans="1:7" ht="20.100000000000001" customHeight="1">
      <c r="A26" s="32" t="s">
        <v>867</v>
      </c>
      <c r="B26" s="139"/>
      <c r="C26" s="18"/>
      <c r="D26" s="18"/>
      <c r="E26" s="18"/>
      <c r="F26" s="139"/>
      <c r="G26" s="139"/>
    </row>
    <row r="27" spans="1:7" ht="20.100000000000001" customHeight="1">
      <c r="A27" s="32" t="s">
        <v>868</v>
      </c>
      <c r="B27" s="139"/>
      <c r="C27" s="18"/>
      <c r="D27" s="18"/>
      <c r="E27" s="18"/>
      <c r="F27" s="139"/>
      <c r="G27" s="139"/>
    </row>
    <row r="28" spans="1:7" ht="20.100000000000001" customHeight="1">
      <c r="A28" s="32" t="s">
        <v>853</v>
      </c>
      <c r="B28" s="139"/>
      <c r="C28" s="139"/>
      <c r="D28" s="139"/>
      <c r="E28" s="139"/>
      <c r="F28" s="139"/>
      <c r="G28" s="139"/>
    </row>
    <row r="29" spans="1:7" ht="20.100000000000001" customHeight="1">
      <c r="A29" s="32" t="s">
        <v>658</v>
      </c>
      <c r="B29" s="20">
        <f t="shared" ref="B29:G29" si="1">SUM(B24:B28)</f>
        <v>0</v>
      </c>
      <c r="C29" s="20">
        <f t="shared" si="1"/>
        <v>0</v>
      </c>
      <c r="D29" s="20">
        <f t="shared" si="1"/>
        <v>0</v>
      </c>
      <c r="E29" s="20">
        <f t="shared" si="1"/>
        <v>0</v>
      </c>
      <c r="F29" s="20">
        <f t="shared" si="1"/>
        <v>0</v>
      </c>
      <c r="G29" s="20">
        <f t="shared" si="1"/>
        <v>0</v>
      </c>
    </row>
    <row r="30" spans="1:7" ht="20.100000000000001" customHeight="1">
      <c r="A30" s="118" t="s">
        <v>649</v>
      </c>
      <c r="B30" s="130"/>
      <c r="C30" s="130"/>
      <c r="D30" s="114"/>
      <c r="E30" s="114"/>
      <c r="F30" s="114"/>
      <c r="G30" s="101">
        <f>C17</f>
        <v>0</v>
      </c>
    </row>
    <row r="31" spans="1:7" ht="20.100000000000001" customHeight="1">
      <c r="A31" s="9"/>
      <c r="B31" s="9"/>
      <c r="C31" s="9"/>
      <c r="D31" s="9"/>
      <c r="E31" s="9"/>
      <c r="F31" s="9"/>
      <c r="G31" s="29" t="str">
        <f>IF(G30=0,"OK","NO")</f>
        <v>OK</v>
      </c>
    </row>
    <row r="32" spans="1:7" ht="20.100000000000001" customHeight="1">
      <c r="A32" s="9"/>
      <c r="B32" s="9"/>
      <c r="C32" s="9"/>
      <c r="D32" s="9"/>
      <c r="E32" s="9"/>
      <c r="F32" s="9"/>
      <c r="G32" s="9"/>
    </row>
    <row r="33" spans="1:7" ht="20.100000000000001" customHeight="1">
      <c r="A33" s="9" t="s">
        <v>869</v>
      </c>
      <c r="B33" s="9"/>
      <c r="C33" s="9"/>
      <c r="D33" s="9"/>
      <c r="E33" s="9"/>
      <c r="F33" s="9"/>
      <c r="G33" s="9"/>
    </row>
    <row r="34" spans="1:7" ht="34.5" customHeight="1">
      <c r="A34" s="231" t="s">
        <v>870</v>
      </c>
      <c r="B34" s="16" t="s">
        <v>871</v>
      </c>
      <c r="C34" s="16" t="s">
        <v>872</v>
      </c>
      <c r="D34" s="9"/>
      <c r="E34" s="9"/>
      <c r="F34" s="9"/>
      <c r="G34" s="9"/>
    </row>
    <row r="35" spans="1:7" ht="20.100000000000001" customHeight="1">
      <c r="A35" s="32" t="s">
        <v>849</v>
      </c>
      <c r="B35" s="32"/>
      <c r="C35" s="32"/>
      <c r="D35" s="9"/>
      <c r="E35" s="9"/>
      <c r="F35" s="9"/>
      <c r="G35" s="9"/>
    </row>
    <row r="36" spans="1:7" ht="20.100000000000001" customHeight="1">
      <c r="A36" s="32" t="s">
        <v>866</v>
      </c>
      <c r="B36" s="284"/>
      <c r="C36" s="284"/>
      <c r="D36" s="9"/>
      <c r="E36" s="9"/>
      <c r="F36" s="9"/>
      <c r="G36" s="9"/>
    </row>
    <row r="37" spans="1:7" ht="20.100000000000001" customHeight="1">
      <c r="A37" s="32" t="s">
        <v>867</v>
      </c>
      <c r="B37" s="284"/>
      <c r="C37" s="284"/>
      <c r="D37" s="9"/>
      <c r="E37" s="9"/>
      <c r="F37" s="9"/>
      <c r="G37" s="9"/>
    </row>
    <row r="38" spans="1:7" ht="20.100000000000001" customHeight="1">
      <c r="A38" s="32" t="s">
        <v>868</v>
      </c>
      <c r="B38" s="284"/>
      <c r="C38" s="284"/>
      <c r="D38" s="9"/>
      <c r="E38" s="9"/>
      <c r="F38" s="9"/>
      <c r="G38" s="9"/>
    </row>
    <row r="39" spans="1:7" ht="20.100000000000001" customHeight="1">
      <c r="A39" s="32" t="s">
        <v>853</v>
      </c>
      <c r="B39" s="284"/>
      <c r="C39" s="284"/>
      <c r="D39" s="9" t="s">
        <v>873</v>
      </c>
      <c r="E39" s="9"/>
      <c r="F39" s="9"/>
      <c r="G39" s="9"/>
    </row>
    <row r="40" spans="1:7" ht="20.100000000000001" customHeight="1">
      <c r="A40" s="32" t="s">
        <v>658</v>
      </c>
      <c r="B40" s="284"/>
      <c r="C40" s="32"/>
      <c r="D40" s="9"/>
      <c r="E40" s="9"/>
      <c r="F40" s="9"/>
      <c r="G40" s="9"/>
    </row>
    <row r="41" spans="1:7" ht="20.100000000000001" customHeight="1">
      <c r="A41" s="240" t="s">
        <v>874</v>
      </c>
      <c r="B41" s="9"/>
      <c r="C41" s="9"/>
      <c r="D41" s="9"/>
      <c r="E41" s="9"/>
      <c r="F41" s="9"/>
      <c r="G41" s="9"/>
    </row>
    <row r="42" spans="1:7" ht="20.100000000000001" customHeight="1">
      <c r="A42" s="86" t="s">
        <v>875</v>
      </c>
      <c r="B42" s="9"/>
      <c r="C42" s="9"/>
      <c r="D42" s="9"/>
      <c r="E42" s="9"/>
      <c r="F42" s="9"/>
      <c r="G42" s="9"/>
    </row>
    <row r="43" spans="1:7" ht="20.100000000000001" customHeight="1">
      <c r="A43" s="86"/>
      <c r="B43" s="9"/>
      <c r="C43" s="9"/>
      <c r="D43" s="9"/>
      <c r="E43" s="9"/>
      <c r="F43" s="9"/>
      <c r="G43" s="9"/>
    </row>
    <row r="44" spans="1:7" ht="20.100000000000001" customHeight="1">
      <c r="A44" s="240" t="s">
        <v>876</v>
      </c>
      <c r="B44" s="9"/>
      <c r="C44" s="9"/>
      <c r="D44" s="9"/>
      <c r="E44" s="9"/>
      <c r="F44" s="9"/>
      <c r="G44" s="9"/>
    </row>
  </sheetData>
  <mergeCells count="7">
    <mergeCell ref="G22:G23"/>
    <mergeCell ref="B5:D5"/>
    <mergeCell ref="C22:D22"/>
    <mergeCell ref="E22:F22"/>
    <mergeCell ref="A5:A6"/>
    <mergeCell ref="A22:A23"/>
    <mergeCell ref="B22:B23"/>
  </mergeCells>
  <phoneticPr fontId="76" type="noConversion"/>
  <pageMargins left="0.27500000000000002" right="0.27500000000000002" top="0.51180555555555596" bottom="0.51180555555555596" header="0.27500000000000002" footer="0.27500000000000002"/>
  <pageSetup paperSize="9" scale="52" orientation="landscape" blackAndWhite="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45"/>
  <sheetViews>
    <sheetView topLeftCell="A34" workbookViewId="0">
      <selection activeCell="F47" sqref="F47"/>
    </sheetView>
  </sheetViews>
  <sheetFormatPr defaultRowHeight="15.75"/>
  <cols>
    <col min="1" max="1" width="25" customWidth="1"/>
    <col min="2" max="2" width="12.625" customWidth="1"/>
    <col min="3" max="3" width="14.75" customWidth="1"/>
    <col min="4" max="4" width="12.75" customWidth="1"/>
  </cols>
  <sheetData>
    <row r="1" spans="1:7" ht="16.5">
      <c r="A1" s="54" t="s">
        <v>145</v>
      </c>
      <c r="B1" s="55">
        <f>基础信息!B6</f>
        <v>0</v>
      </c>
      <c r="C1" s="256"/>
      <c r="D1" s="256"/>
      <c r="E1" s="261"/>
      <c r="F1" s="256"/>
      <c r="G1" s="256"/>
    </row>
    <row r="2" spans="1:7" ht="16.5">
      <c r="A2" s="54" t="s">
        <v>147</v>
      </c>
      <c r="B2" s="55">
        <f>基础信息!B9</f>
        <v>0</v>
      </c>
      <c r="C2" s="256"/>
      <c r="D2" s="256"/>
      <c r="E2" s="256"/>
      <c r="F2" s="256"/>
      <c r="G2" s="256"/>
    </row>
    <row r="3" spans="1:7" ht="16.5">
      <c r="A3" s="97" t="s">
        <v>148</v>
      </c>
      <c r="B3" s="313" t="s">
        <v>2111</v>
      </c>
      <c r="C3" s="256"/>
      <c r="D3" s="256"/>
      <c r="E3" s="256"/>
      <c r="F3" s="256"/>
      <c r="G3" s="256"/>
    </row>
    <row r="4" spans="1:7" ht="16.5">
      <c r="A4" s="962" t="s">
        <v>2102</v>
      </c>
      <c r="B4" s="128"/>
      <c r="C4" s="128"/>
      <c r="D4" s="128"/>
      <c r="E4" s="257"/>
      <c r="F4" s="257"/>
      <c r="G4" s="257"/>
    </row>
    <row r="5" spans="1:7" ht="16.5">
      <c r="A5" s="1282" t="s">
        <v>318</v>
      </c>
      <c r="B5" s="1282" t="s">
        <v>845</v>
      </c>
      <c r="C5" s="1282"/>
      <c r="D5" s="1282"/>
      <c r="E5" s="257"/>
      <c r="F5" s="257"/>
      <c r="G5" s="257"/>
    </row>
    <row r="6" spans="1:7" ht="16.5">
      <c r="A6" s="1282"/>
      <c r="B6" s="934" t="s">
        <v>846</v>
      </c>
      <c r="C6" s="934" t="s">
        <v>847</v>
      </c>
      <c r="D6" s="934" t="s">
        <v>848</v>
      </c>
      <c r="E6" s="257"/>
      <c r="F6" s="257"/>
      <c r="G6" s="257"/>
    </row>
    <row r="7" spans="1:7" ht="16.5">
      <c r="A7" s="187"/>
      <c r="B7" s="265"/>
      <c r="C7" s="265"/>
      <c r="D7" s="493">
        <f>B7-C7</f>
        <v>0</v>
      </c>
      <c r="E7" s="11"/>
      <c r="F7" s="11"/>
      <c r="G7" s="11"/>
    </row>
    <row r="8" spans="1:7" ht="16.5">
      <c r="A8" s="187"/>
      <c r="B8" s="265"/>
      <c r="C8" s="265"/>
      <c r="D8" s="493">
        <f t="shared" ref="D8:D12" si="0">B8-C8</f>
        <v>0</v>
      </c>
      <c r="E8" s="11"/>
      <c r="F8" s="11"/>
      <c r="G8" s="11"/>
    </row>
    <row r="9" spans="1:7" ht="16.5">
      <c r="A9" s="187"/>
      <c r="B9" s="265"/>
      <c r="C9" s="265"/>
      <c r="D9" s="493">
        <f t="shared" si="0"/>
        <v>0</v>
      </c>
      <c r="E9" s="11"/>
      <c r="F9" s="11"/>
      <c r="G9" s="11"/>
    </row>
    <row r="10" spans="1:7" ht="16.5">
      <c r="A10" s="187"/>
      <c r="B10" s="265"/>
      <c r="C10" s="265"/>
      <c r="D10" s="493">
        <f t="shared" si="0"/>
        <v>0</v>
      </c>
      <c r="E10" s="11"/>
      <c r="F10" s="11"/>
      <c r="G10" s="11"/>
    </row>
    <row r="11" spans="1:7" ht="16.5">
      <c r="A11" s="187"/>
      <c r="B11" s="265"/>
      <c r="C11" s="265"/>
      <c r="D11" s="493">
        <f t="shared" si="0"/>
        <v>0</v>
      </c>
      <c r="E11" s="11"/>
      <c r="F11" s="11"/>
      <c r="G11" s="11"/>
    </row>
    <row r="12" spans="1:7" ht="16.5">
      <c r="A12" s="187"/>
      <c r="B12" s="265"/>
      <c r="C12" s="265"/>
      <c r="D12" s="493">
        <f t="shared" si="0"/>
        <v>0</v>
      </c>
      <c r="E12" s="11"/>
      <c r="F12" s="11"/>
      <c r="G12" s="11"/>
    </row>
    <row r="13" spans="1:7" ht="16.5">
      <c r="A13" s="187" t="s">
        <v>658</v>
      </c>
      <c r="B13" s="493">
        <f>SUM(B7:B12)</f>
        <v>0</v>
      </c>
      <c r="C13" s="493">
        <f>SUM(C7:C12)</f>
        <v>0</v>
      </c>
      <c r="D13" s="493">
        <f>SUM(D7:D12)</f>
        <v>0</v>
      </c>
      <c r="E13" s="11"/>
      <c r="F13" s="11"/>
      <c r="G13" s="11"/>
    </row>
    <row r="14" spans="1:7" ht="16.5">
      <c r="A14" s="118" t="s">
        <v>649</v>
      </c>
      <c r="B14" s="119">
        <f>'RP 006'!E26</f>
        <v>0</v>
      </c>
      <c r="C14" s="119">
        <f>'RP 006'!E27</f>
        <v>0</v>
      </c>
      <c r="D14" s="101">
        <f>'RP 006'!E28</f>
        <v>0</v>
      </c>
      <c r="E14" s="11"/>
      <c r="F14" s="11"/>
      <c r="G14" s="11"/>
    </row>
    <row r="15" spans="1:7" ht="16.5">
      <c r="A15" s="102"/>
      <c r="B15" s="119">
        <f>B13-B14</f>
        <v>0</v>
      </c>
      <c r="C15" s="119">
        <f>C13-C14</f>
        <v>0</v>
      </c>
      <c r="D15" s="119">
        <f>D13-D14</f>
        <v>0</v>
      </c>
      <c r="E15" s="11"/>
      <c r="F15" s="11"/>
      <c r="G15" s="11"/>
    </row>
    <row r="16" spans="1:7" ht="16.5">
      <c r="A16" s="29"/>
      <c r="B16" s="29" t="str">
        <f>IF(B15=0,"OK","NO")</f>
        <v>OK</v>
      </c>
      <c r="C16" s="29" t="str">
        <f>IF(C15=0,"OK","NO")</f>
        <v>OK</v>
      </c>
      <c r="D16" s="29" t="str">
        <f>IF(D15=0,"OK","NO")</f>
        <v>OK</v>
      </c>
      <c r="E16" s="11"/>
      <c r="F16" s="11"/>
      <c r="G16" s="11"/>
    </row>
    <row r="17" spans="1:11" ht="16.5">
      <c r="A17" s="969"/>
      <c r="B17" s="9"/>
      <c r="C17" s="9"/>
      <c r="D17" s="9"/>
      <c r="E17" s="11"/>
      <c r="F17" s="11"/>
      <c r="G17" s="11"/>
    </row>
    <row r="18" spans="1:11" ht="16.5">
      <c r="A18" s="1061" t="s">
        <v>2257</v>
      </c>
      <c r="B18" s="9"/>
      <c r="C18" s="9"/>
      <c r="D18" s="9"/>
      <c r="E18" s="11"/>
      <c r="F18" s="11"/>
      <c r="G18" s="11"/>
    </row>
    <row r="19" spans="1:11">
      <c r="A19" s="1275" t="s">
        <v>2139</v>
      </c>
      <c r="B19" s="1276" t="s">
        <v>2227</v>
      </c>
      <c r="C19" s="1276"/>
      <c r="D19" s="1276"/>
      <c r="E19" s="1276"/>
      <c r="F19" s="1276"/>
      <c r="G19" s="1276" t="s">
        <v>2169</v>
      </c>
      <c r="H19" s="1276"/>
      <c r="I19" s="1276"/>
      <c r="J19" s="1276"/>
      <c r="K19" s="1276"/>
    </row>
    <row r="20" spans="1:11" ht="15.75" customHeight="1">
      <c r="A20" s="1275"/>
      <c r="B20" s="1275" t="s">
        <v>2140</v>
      </c>
      <c r="C20" s="1275"/>
      <c r="D20" s="1275" t="s">
        <v>691</v>
      </c>
      <c r="E20" s="1275"/>
      <c r="F20" s="999" t="s">
        <v>2232</v>
      </c>
      <c r="G20" s="1275" t="s">
        <v>2140</v>
      </c>
      <c r="H20" s="1275"/>
      <c r="I20" s="1275" t="s">
        <v>691</v>
      </c>
      <c r="J20" s="1275"/>
      <c r="K20" s="999" t="s">
        <v>2141</v>
      </c>
    </row>
    <row r="21" spans="1:11" ht="44.25">
      <c r="A21" s="1275"/>
      <c r="B21" s="999" t="s">
        <v>2143</v>
      </c>
      <c r="C21" s="1048" t="s">
        <v>2147</v>
      </c>
      <c r="D21" s="999" t="s">
        <v>2143</v>
      </c>
      <c r="E21" s="1048" t="s">
        <v>2148</v>
      </c>
      <c r="F21" s="999" t="s">
        <v>2142</v>
      </c>
      <c r="G21" s="999" t="s">
        <v>2143</v>
      </c>
      <c r="H21" s="1048" t="s">
        <v>2147</v>
      </c>
      <c r="I21" s="999" t="s">
        <v>2143</v>
      </c>
      <c r="J21" s="999" t="s">
        <v>2148</v>
      </c>
      <c r="K21" s="999" t="s">
        <v>2142</v>
      </c>
    </row>
    <row r="22" spans="1:11">
      <c r="A22" s="1017" t="s">
        <v>2145</v>
      </c>
      <c r="B22" s="1050">
        <f>B24+B25</f>
        <v>0</v>
      </c>
      <c r="C22" s="1050" t="e">
        <f>C24+C25</f>
        <v>#DIV/0!</v>
      </c>
      <c r="D22" s="1050">
        <f>D24+D25</f>
        <v>0</v>
      </c>
      <c r="E22" s="1050" t="e">
        <f>ROUND(D22/B22*100,2)</f>
        <v>#DIV/0!</v>
      </c>
      <c r="F22" s="1050">
        <f>F24+F25</f>
        <v>0</v>
      </c>
      <c r="G22" s="1050">
        <f>G24+G25</f>
        <v>0</v>
      </c>
      <c r="H22" s="1050" t="e">
        <f>H24+H25</f>
        <v>#DIV/0!</v>
      </c>
      <c r="I22" s="1050">
        <f>I24+I25</f>
        <v>0</v>
      </c>
      <c r="J22" s="1050" t="e">
        <f>ROUND(I22/G22*100,2)</f>
        <v>#DIV/0!</v>
      </c>
      <c r="K22" s="1050">
        <f>K24+K25</f>
        <v>0</v>
      </c>
    </row>
    <row r="23" spans="1:11">
      <c r="A23" s="1277" t="s">
        <v>2146</v>
      </c>
      <c r="B23" s="1277"/>
      <c r="C23" s="1277"/>
      <c r="D23" s="1277"/>
      <c r="E23" s="1277"/>
      <c r="F23" s="1277"/>
      <c r="G23" s="1277"/>
      <c r="H23" s="1277"/>
      <c r="I23" s="1277"/>
      <c r="J23" s="1277"/>
      <c r="K23" s="1277"/>
    </row>
    <row r="24" spans="1:11">
      <c r="A24" s="1017"/>
      <c r="B24" s="1028"/>
      <c r="C24" s="1050" t="e">
        <f>ROUND(B24/$B$24*100,2)</f>
        <v>#DIV/0!</v>
      </c>
      <c r="D24" s="1028"/>
      <c r="E24" s="1050" t="e">
        <f>ROUND(D24/B24*100,2)</f>
        <v>#DIV/0!</v>
      </c>
      <c r="F24" s="1050">
        <f>B24-D24</f>
        <v>0</v>
      </c>
      <c r="G24" s="1028"/>
      <c r="H24" s="1050" t="e">
        <f>ROUND(G24/$G$24*100,2)</f>
        <v>#DIV/0!</v>
      </c>
      <c r="I24" s="1028"/>
      <c r="J24" s="1050" t="e">
        <f>ROUND(I24/G24*100,2)</f>
        <v>#DIV/0!</v>
      </c>
      <c r="K24" s="1050">
        <f>G24-I24</f>
        <v>0</v>
      </c>
    </row>
    <row r="25" spans="1:11">
      <c r="A25" s="1017"/>
      <c r="B25" s="1028"/>
      <c r="C25" s="1050" t="e">
        <f>ROUND(B25/$B$24*100,2)</f>
        <v>#DIV/0!</v>
      </c>
      <c r="D25" s="1028"/>
      <c r="E25" s="1050" t="e">
        <f>ROUND(D25/B25*100,2)</f>
        <v>#DIV/0!</v>
      </c>
      <c r="F25" s="1050">
        <f>B25-D25</f>
        <v>0</v>
      </c>
      <c r="G25" s="1028"/>
      <c r="H25" s="1050" t="e">
        <f>ROUND(G25/$G$24*100,2)</f>
        <v>#DIV/0!</v>
      </c>
      <c r="I25" s="1028"/>
      <c r="J25" s="1050" t="e">
        <f>ROUND(I25/G25*100,2)</f>
        <v>#DIV/0!</v>
      </c>
      <c r="K25" s="1050">
        <f>G25-I25</f>
        <v>0</v>
      </c>
    </row>
    <row r="26" spans="1:11">
      <c r="A26" s="1017" t="s">
        <v>2229</v>
      </c>
      <c r="B26" s="1050">
        <f>B28+B29</f>
        <v>0</v>
      </c>
      <c r="C26" s="1050" t="e">
        <f>C28+C29</f>
        <v>#DIV/0!</v>
      </c>
      <c r="D26" s="1050">
        <f>D28+D29</f>
        <v>0</v>
      </c>
      <c r="E26" s="1050"/>
      <c r="F26" s="1050">
        <f>F28+F29</f>
        <v>0</v>
      </c>
      <c r="G26" s="1050">
        <f>G28+G29</f>
        <v>0</v>
      </c>
      <c r="H26" s="1050" t="e">
        <f>H28+H29</f>
        <v>#DIV/0!</v>
      </c>
      <c r="I26" s="1050">
        <f>I28+I29</f>
        <v>0</v>
      </c>
      <c r="J26" s="1050" t="e">
        <f>ROUND(I26/G26*100,2)</f>
        <v>#DIV/0!</v>
      </c>
      <c r="K26" s="1050">
        <f>K28+K29</f>
        <v>0</v>
      </c>
    </row>
    <row r="27" spans="1:11" ht="16.5" customHeight="1">
      <c r="A27" s="1277" t="s">
        <v>2146</v>
      </c>
      <c r="B27" s="1277"/>
      <c r="C27" s="1277"/>
      <c r="D27" s="1277"/>
      <c r="E27" s="1277"/>
      <c r="F27" s="1277"/>
      <c r="G27" s="1277"/>
      <c r="H27" s="1277"/>
      <c r="I27" s="1277"/>
      <c r="J27" s="1277"/>
      <c r="K27" s="1277"/>
    </row>
    <row r="28" spans="1:11">
      <c r="A28" s="1017"/>
      <c r="B28" s="1028"/>
      <c r="C28" s="1050" t="e">
        <f>ROUND(B28/$B$24*100,2)</f>
        <v>#DIV/0!</v>
      </c>
      <c r="D28" s="1028"/>
      <c r="E28" s="1050" t="e">
        <f>ROUND(D28/B28*100,2)</f>
        <v>#DIV/0!</v>
      </c>
      <c r="F28" s="1050">
        <f>B28-D28</f>
        <v>0</v>
      </c>
      <c r="G28" s="1028"/>
      <c r="H28" s="1050" t="e">
        <f>ROUND(G28/$G$24*100,2)</f>
        <v>#DIV/0!</v>
      </c>
      <c r="I28" s="1028"/>
      <c r="J28" s="1050" t="e">
        <f>ROUND(I28/G28*100,2)</f>
        <v>#DIV/0!</v>
      </c>
      <c r="K28" s="1050">
        <f>G28-I28</f>
        <v>0</v>
      </c>
    </row>
    <row r="29" spans="1:11">
      <c r="A29" s="1017"/>
      <c r="B29" s="1028"/>
      <c r="C29" s="1050" t="e">
        <f>ROUND(B29/$B$24*100,2)</f>
        <v>#DIV/0!</v>
      </c>
      <c r="D29" s="1028"/>
      <c r="E29" s="1050" t="e">
        <f>ROUND(D29/B29*100,2)</f>
        <v>#DIV/0!</v>
      </c>
      <c r="F29" s="1050">
        <f>B29-D29</f>
        <v>0</v>
      </c>
      <c r="G29" s="1028"/>
      <c r="H29" s="1050" t="e">
        <f>ROUND(G29/$G$24*100,2)</f>
        <v>#DIV/0!</v>
      </c>
      <c r="I29" s="1028"/>
      <c r="J29" s="1050" t="e">
        <f>ROUND(I29/G29*100,2)</f>
        <v>#DIV/0!</v>
      </c>
      <c r="K29" s="1050">
        <f>G29-I29</f>
        <v>0</v>
      </c>
    </row>
    <row r="30" spans="1:11">
      <c r="A30" s="1035" t="s">
        <v>2152</v>
      </c>
      <c r="B30" s="1049">
        <f>B26+B22</f>
        <v>0</v>
      </c>
      <c r="C30" s="1049" t="e">
        <f>C26+C22</f>
        <v>#DIV/0!</v>
      </c>
      <c r="D30" s="1049">
        <f>D26+D22</f>
        <v>0</v>
      </c>
      <c r="E30" s="1050" t="e">
        <f>ROUND(D30/B30*100,2)</f>
        <v>#DIV/0!</v>
      </c>
      <c r="F30" s="1049">
        <f>F26+F22</f>
        <v>0</v>
      </c>
      <c r="G30" s="1049"/>
      <c r="H30" s="1049" t="e">
        <f>H26+H22</f>
        <v>#DIV/0!</v>
      </c>
      <c r="I30" s="1049"/>
      <c r="J30" s="1050" t="e">
        <f>ROUND(I30/G30*100,2)</f>
        <v>#DIV/0!</v>
      </c>
      <c r="K30" s="1049">
        <f>K26+K22</f>
        <v>0</v>
      </c>
    </row>
    <row r="31" spans="1:11">
      <c r="A31" s="1046" t="s">
        <v>2231</v>
      </c>
      <c r="B31" s="1047"/>
      <c r="C31" s="1062"/>
      <c r="D31" s="1047"/>
      <c r="E31" s="1047"/>
      <c r="F31" s="1047"/>
      <c r="G31" s="1047"/>
      <c r="H31" s="1047"/>
      <c r="I31" s="1047"/>
      <c r="J31" s="1047"/>
      <c r="K31" s="1047"/>
    </row>
    <row r="32" spans="1:11" ht="16.5">
      <c r="A32" s="969" t="s">
        <v>2417</v>
      </c>
      <c r="B32" s="9"/>
      <c r="C32" s="9"/>
      <c r="D32" s="9"/>
      <c r="E32" s="11"/>
      <c r="F32" s="1064">
        <f>D14</f>
        <v>0</v>
      </c>
      <c r="G32" s="11"/>
      <c r="K32" s="1179"/>
    </row>
    <row r="33" spans="1:11" ht="16.5">
      <c r="A33" s="969"/>
      <c r="B33" s="9"/>
      <c r="C33" s="9"/>
      <c r="D33" s="9"/>
      <c r="E33" s="11"/>
      <c r="F33" s="29" t="str">
        <f>IF(F32-F30=0,"OK","NO")</f>
        <v>OK</v>
      </c>
      <c r="G33" s="11"/>
      <c r="K33" s="29"/>
    </row>
    <row r="34" spans="1:11" ht="16.5">
      <c r="A34" s="1063" t="s">
        <v>2259</v>
      </c>
      <c r="B34" s="257"/>
      <c r="C34" s="257"/>
      <c r="D34" s="257"/>
      <c r="E34" s="257"/>
      <c r="F34" s="257"/>
      <c r="G34" s="257"/>
    </row>
    <row r="35" spans="1:11" ht="15.75" customHeight="1">
      <c r="A35" s="1285" t="s">
        <v>2255</v>
      </c>
      <c r="B35" s="1283" t="s">
        <v>859</v>
      </c>
      <c r="C35" s="1287" t="s">
        <v>860</v>
      </c>
      <c r="D35" s="1288"/>
      <c r="E35" s="1287" t="s">
        <v>861</v>
      </c>
      <c r="F35" s="1288"/>
      <c r="G35" s="1283" t="s">
        <v>862</v>
      </c>
    </row>
    <row r="36" spans="1:11" ht="28.5">
      <c r="A36" s="1286"/>
      <c r="B36" s="1284"/>
      <c r="C36" s="979" t="s">
        <v>863</v>
      </c>
      <c r="D36" s="979" t="s">
        <v>864</v>
      </c>
      <c r="E36" s="979" t="s">
        <v>865</v>
      </c>
      <c r="F36" s="979" t="s">
        <v>864</v>
      </c>
      <c r="G36" s="1284"/>
    </row>
    <row r="37" spans="1:11">
      <c r="A37" s="938"/>
      <c r="B37" s="139"/>
      <c r="C37" s="139"/>
      <c r="D37" s="139"/>
      <c r="E37" s="139"/>
      <c r="F37" s="139"/>
      <c r="G37" s="139"/>
    </row>
    <row r="38" spans="1:11">
      <c r="A38" s="938"/>
      <c r="B38" s="139"/>
      <c r="C38" s="18"/>
      <c r="D38" s="18"/>
      <c r="E38" s="18"/>
      <c r="F38" s="139"/>
      <c r="G38" s="139"/>
    </row>
    <row r="39" spans="1:11">
      <c r="A39" s="938"/>
      <c r="B39" s="139"/>
      <c r="C39" s="18"/>
      <c r="D39" s="18"/>
      <c r="E39" s="18"/>
      <c r="F39" s="139"/>
      <c r="G39" s="139"/>
    </row>
    <row r="40" spans="1:11">
      <c r="A40" s="938"/>
      <c r="B40" s="139"/>
      <c r="C40" s="18"/>
      <c r="D40" s="18"/>
      <c r="E40" s="18"/>
      <c r="F40" s="139"/>
      <c r="G40" s="139"/>
    </row>
    <row r="41" spans="1:11">
      <c r="A41" s="938"/>
      <c r="B41" s="139"/>
      <c r="C41" s="18"/>
      <c r="D41" s="18"/>
      <c r="E41" s="18"/>
      <c r="F41" s="139"/>
      <c r="G41" s="139"/>
    </row>
    <row r="42" spans="1:11">
      <c r="A42" s="938"/>
      <c r="B42" s="139"/>
      <c r="C42" s="139"/>
      <c r="D42" s="139"/>
      <c r="E42" s="139"/>
      <c r="F42" s="139"/>
      <c r="G42" s="139"/>
    </row>
    <row r="43" spans="1:11">
      <c r="A43" s="938" t="s">
        <v>658</v>
      </c>
      <c r="B43" s="20">
        <f>SUM(B37:B42)</f>
        <v>0</v>
      </c>
      <c r="C43" s="20">
        <f t="shared" ref="C43:G43" si="1">SUM(C37:C42)</f>
        <v>0</v>
      </c>
      <c r="D43" s="20">
        <f t="shared" si="1"/>
        <v>0</v>
      </c>
      <c r="E43" s="20">
        <f t="shared" si="1"/>
        <v>0</v>
      </c>
      <c r="F43" s="20">
        <f t="shared" si="1"/>
        <v>0</v>
      </c>
      <c r="G43" s="20">
        <f t="shared" si="1"/>
        <v>0</v>
      </c>
    </row>
    <row r="44" spans="1:11">
      <c r="A44" s="1167" t="s">
        <v>2415</v>
      </c>
      <c r="B44" s="130"/>
      <c r="C44" s="130"/>
      <c r="D44" s="114"/>
      <c r="E44" s="114"/>
      <c r="F44" s="114"/>
      <c r="G44" s="101">
        <f>C14</f>
        <v>0</v>
      </c>
    </row>
    <row r="45" spans="1:11">
      <c r="G45" s="29" t="str">
        <f>IF(G44=0,"OK","NO")</f>
        <v>OK</v>
      </c>
    </row>
  </sheetData>
  <mergeCells count="16">
    <mergeCell ref="G35:G36"/>
    <mergeCell ref="A5:A6"/>
    <mergeCell ref="B5:D5"/>
    <mergeCell ref="A35:A36"/>
    <mergeCell ref="B35:B36"/>
    <mergeCell ref="C35:D35"/>
    <mergeCell ref="E35:F35"/>
    <mergeCell ref="A19:A21"/>
    <mergeCell ref="B19:F19"/>
    <mergeCell ref="G19:K19"/>
    <mergeCell ref="B20:C20"/>
    <mergeCell ref="D20:E20"/>
    <mergeCell ref="G20:H20"/>
    <mergeCell ref="I20:J20"/>
    <mergeCell ref="A23:K23"/>
    <mergeCell ref="A27:K27"/>
  </mergeCells>
  <phoneticPr fontId="76"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view="pageBreakPreview" topLeftCell="A52" zoomScale="90" zoomScaleNormal="100" zoomScaleSheetLayoutView="90" workbookViewId="0">
      <selection activeCell="B23" sqref="B23"/>
    </sheetView>
  </sheetViews>
  <sheetFormatPr defaultColWidth="9" defaultRowHeight="20.100000000000001" customHeight="1"/>
  <cols>
    <col min="1" max="1" width="34.625" style="318" customWidth="1"/>
    <col min="2" max="2" width="42.875" style="318" customWidth="1"/>
    <col min="3" max="4" width="20.625" style="318" customWidth="1"/>
    <col min="5" max="5" width="22.75" style="318" customWidth="1"/>
    <col min="6" max="16384" width="9" style="318"/>
  </cols>
  <sheetData>
    <row r="1" spans="1:9" ht="24.95" customHeight="1">
      <c r="A1" s="54" t="s">
        <v>145</v>
      </c>
      <c r="B1" s="55">
        <f>基础信息!B6</f>
        <v>0</v>
      </c>
      <c r="E1" s="481"/>
    </row>
    <row r="2" spans="1:9" ht="24.95" customHeight="1">
      <c r="A2" s="54" t="s">
        <v>147</v>
      </c>
      <c r="B2" s="55">
        <f>基础信息!B9</f>
        <v>0</v>
      </c>
    </row>
    <row r="3" spans="1:9" s="319" customFormat="1" ht="24.95" customHeight="1">
      <c r="A3" s="345" t="s">
        <v>148</v>
      </c>
      <c r="B3" s="349" t="s">
        <v>877</v>
      </c>
      <c r="C3" s="318"/>
      <c r="D3" s="318"/>
      <c r="E3" s="318"/>
      <c r="F3" s="318"/>
      <c r="G3" s="318"/>
      <c r="H3" s="318"/>
      <c r="I3" s="318"/>
    </row>
    <row r="4" spans="1:9" s="319" customFormat="1" ht="20.100000000000001" customHeight="1">
      <c r="A4" s="318"/>
      <c r="B4" s="318"/>
      <c r="C4" s="318"/>
      <c r="D4" s="318"/>
      <c r="E4" s="318"/>
      <c r="F4" s="318"/>
      <c r="G4" s="318"/>
      <c r="H4" s="318"/>
      <c r="I4" s="318"/>
    </row>
    <row r="5" spans="1:9" s="319" customFormat="1" ht="20.100000000000001" customHeight="1">
      <c r="C5" s="116"/>
    </row>
    <row r="6" spans="1:9" s="116" customFormat="1" ht="20.100000000000001" customHeight="1">
      <c r="A6" s="231" t="s">
        <v>878</v>
      </c>
      <c r="B6" s="231" t="s">
        <v>798</v>
      </c>
      <c r="C6" s="7"/>
      <c r="D6" s="7"/>
      <c r="E6" s="7"/>
      <c r="F6" s="7"/>
    </row>
    <row r="7" spans="1:9" s="116" customFormat="1" ht="20.100000000000001" customHeight="1">
      <c r="A7" s="487" t="s">
        <v>879</v>
      </c>
      <c r="B7" s="233"/>
      <c r="C7" s="7"/>
      <c r="D7" s="7"/>
      <c r="E7" s="7"/>
      <c r="F7" s="7"/>
    </row>
    <row r="8" spans="1:9" s="116" customFormat="1" ht="20.100000000000001" customHeight="1">
      <c r="A8" s="487" t="s">
        <v>880</v>
      </c>
      <c r="B8" s="233"/>
      <c r="C8" s="7"/>
      <c r="D8" s="7"/>
      <c r="E8" s="7"/>
      <c r="F8" s="7"/>
    </row>
    <row r="9" spans="1:9" s="116" customFormat="1" ht="20.100000000000001" customHeight="1">
      <c r="A9" s="487" t="s">
        <v>881</v>
      </c>
      <c r="B9" s="233"/>
      <c r="C9" s="7"/>
      <c r="D9" s="7"/>
      <c r="E9" s="7"/>
      <c r="F9" s="7"/>
    </row>
    <row r="10" spans="1:9" s="116" customFormat="1" ht="20.100000000000001" customHeight="1">
      <c r="A10" s="233" t="s">
        <v>882</v>
      </c>
      <c r="B10" s="233"/>
      <c r="C10" s="7"/>
      <c r="D10" s="7"/>
      <c r="E10" s="7"/>
      <c r="F10" s="7"/>
    </row>
    <row r="11" spans="1:9" s="116" customFormat="1" ht="20.100000000000001" customHeight="1">
      <c r="A11" s="233" t="s">
        <v>883</v>
      </c>
      <c r="B11" s="233"/>
      <c r="C11" s="7"/>
      <c r="D11" s="7"/>
      <c r="E11" s="7"/>
      <c r="F11" s="7"/>
    </row>
    <row r="12" spans="1:9" s="116" customFormat="1" ht="20.100000000000001" customHeight="1">
      <c r="A12" s="233" t="s">
        <v>884</v>
      </c>
      <c r="B12" s="20">
        <f>SUM(B7:B11)</f>
        <v>0</v>
      </c>
      <c r="C12" s="7"/>
      <c r="D12" s="7"/>
      <c r="E12" s="7"/>
      <c r="F12" s="7"/>
    </row>
    <row r="13" spans="1:9" ht="20.100000000000001" customHeight="1">
      <c r="A13" s="118" t="s">
        <v>649</v>
      </c>
      <c r="B13" s="486">
        <f>'RP 006'!E29</f>
        <v>0</v>
      </c>
      <c r="C13" s="7"/>
      <c r="D13" s="371"/>
      <c r="E13" s="371"/>
      <c r="F13" s="371"/>
    </row>
    <row r="14" spans="1:9" ht="20.100000000000001" customHeight="1">
      <c r="A14" s="118"/>
      <c r="B14" s="119">
        <f>B12-B13</f>
        <v>0</v>
      </c>
      <c r="C14" s="7"/>
      <c r="D14" s="371"/>
      <c r="E14" s="371"/>
      <c r="F14" s="371"/>
    </row>
    <row r="15" spans="1:9" ht="20.100000000000001" customHeight="1">
      <c r="A15" s="115"/>
      <c r="B15" s="29" t="str">
        <f>IF(B14=0,"OK","NO")</f>
        <v>OK</v>
      </c>
      <c r="C15" s="7"/>
      <c r="D15" s="371"/>
      <c r="E15" s="371"/>
      <c r="F15" s="371"/>
    </row>
    <row r="16" spans="1:9" ht="20.100000000000001" customHeight="1">
      <c r="A16" s="371"/>
      <c r="B16" s="371"/>
      <c r="C16" s="7"/>
      <c r="D16" s="371"/>
      <c r="E16" s="371"/>
      <c r="F16" s="371"/>
    </row>
    <row r="17" spans="1:9" s="116" customFormat="1" ht="20.100000000000001" customHeight="1">
      <c r="A17" s="231" t="s">
        <v>878</v>
      </c>
      <c r="B17" s="231" t="s">
        <v>798</v>
      </c>
      <c r="C17" s="7"/>
      <c r="D17" s="7"/>
      <c r="E17" s="7"/>
      <c r="F17" s="7"/>
    </row>
    <row r="18" spans="1:9" s="214" customFormat="1" ht="20.100000000000001" customHeight="1">
      <c r="A18" s="487" t="s">
        <v>885</v>
      </c>
      <c r="B18" s="233"/>
      <c r="C18" s="7"/>
      <c r="D18" s="7"/>
      <c r="E18" s="7"/>
      <c r="F18" s="7"/>
    </row>
    <row r="19" spans="1:9" s="116" customFormat="1" ht="20.100000000000001" customHeight="1">
      <c r="A19" s="487" t="s">
        <v>886</v>
      </c>
      <c r="B19" s="233"/>
      <c r="C19" s="7"/>
      <c r="D19" s="7"/>
      <c r="E19" s="7"/>
      <c r="F19" s="7"/>
      <c r="G19" s="11"/>
      <c r="H19" s="11"/>
      <c r="I19" s="11"/>
    </row>
    <row r="20" spans="1:9" s="116" customFormat="1" ht="20.100000000000001" customHeight="1">
      <c r="A20" s="233" t="s">
        <v>882</v>
      </c>
      <c r="B20" s="233"/>
      <c r="C20" s="7"/>
      <c r="D20" s="7"/>
      <c r="E20" s="7"/>
      <c r="F20" s="7"/>
      <c r="G20" s="11"/>
      <c r="H20" s="11"/>
      <c r="I20" s="11"/>
    </row>
    <row r="21" spans="1:9" s="11" customFormat="1" ht="20.100000000000001" customHeight="1">
      <c r="A21" s="233" t="s">
        <v>883</v>
      </c>
      <c r="B21" s="233"/>
      <c r="C21" s="7"/>
      <c r="D21" s="7"/>
      <c r="E21" s="7"/>
      <c r="F21" s="7"/>
    </row>
    <row r="22" spans="1:9" ht="20.100000000000001" customHeight="1">
      <c r="A22" s="288" t="s">
        <v>884</v>
      </c>
      <c r="B22" s="119">
        <f>SUM(B18:B21)</f>
        <v>0</v>
      </c>
      <c r="C22" s="7"/>
      <c r="D22" s="371"/>
      <c r="E22" s="371"/>
      <c r="F22" s="371"/>
    </row>
    <row r="23" spans="1:9" ht="20.100000000000001" customHeight="1">
      <c r="A23" s="118" t="s">
        <v>649</v>
      </c>
      <c r="B23" s="119">
        <f>'RP 006'!E92</f>
        <v>0</v>
      </c>
      <c r="C23" s="7"/>
      <c r="D23" s="371"/>
      <c r="E23" s="371"/>
      <c r="F23" s="371"/>
    </row>
    <row r="24" spans="1:9" ht="20.100000000000001" customHeight="1">
      <c r="A24" s="118"/>
      <c r="B24" s="119">
        <f>B22-B23</f>
        <v>0</v>
      </c>
      <c r="C24" s="371"/>
      <c r="D24" s="371"/>
      <c r="E24" s="371"/>
      <c r="F24" s="371"/>
    </row>
    <row r="25" spans="1:9" ht="20.100000000000001" customHeight="1">
      <c r="A25" s="115"/>
      <c r="B25" s="29" t="str">
        <f>IF(B24=0,"OK","NO")</f>
        <v>OK</v>
      </c>
      <c r="C25" s="371"/>
      <c r="D25" s="371"/>
      <c r="E25" s="371"/>
      <c r="F25" s="371"/>
    </row>
    <row r="26" spans="1:9" ht="20.100000000000001" customHeight="1">
      <c r="A26" s="371"/>
      <c r="B26" s="371"/>
      <c r="C26" s="371"/>
      <c r="D26" s="371"/>
      <c r="E26" s="371"/>
      <c r="F26" s="371"/>
    </row>
    <row r="27" spans="1:9" ht="20.100000000000001" customHeight="1">
      <c r="A27" s="488" t="s">
        <v>887</v>
      </c>
      <c r="B27" s="371"/>
      <c r="C27" s="371"/>
      <c r="D27" s="371"/>
      <c r="E27" s="371"/>
      <c r="F27" s="371"/>
    </row>
    <row r="28" spans="1:9" ht="20.100000000000001" customHeight="1">
      <c r="A28" s="287" t="s">
        <v>888</v>
      </c>
      <c r="B28" s="371"/>
      <c r="C28" s="371"/>
      <c r="D28" s="371"/>
      <c r="E28" s="371"/>
      <c r="F28" s="371"/>
    </row>
    <row r="29" spans="1:9" ht="20.100000000000001" customHeight="1">
      <c r="A29" s="488" t="s">
        <v>889</v>
      </c>
      <c r="B29" s="371"/>
      <c r="C29" s="371"/>
      <c r="D29" s="371"/>
      <c r="E29" s="371"/>
      <c r="F29" s="371"/>
    </row>
    <row r="30" spans="1:9" ht="20.100000000000001" customHeight="1">
      <c r="A30" s="16" t="s">
        <v>754</v>
      </c>
      <c r="B30" s="16" t="s">
        <v>890</v>
      </c>
      <c r="C30" s="16" t="s">
        <v>891</v>
      </c>
      <c r="D30" s="16" t="s">
        <v>892</v>
      </c>
      <c r="E30" s="16" t="s">
        <v>893</v>
      </c>
      <c r="F30" s="371"/>
    </row>
    <row r="31" spans="1:9" ht="20.100000000000001" customHeight="1">
      <c r="A31" s="489"/>
      <c r="B31" s="489"/>
      <c r="C31" s="489"/>
      <c r="D31" s="489"/>
      <c r="E31" s="489"/>
      <c r="F31" s="371"/>
    </row>
    <row r="32" spans="1:9" ht="20.100000000000001" customHeight="1">
      <c r="A32" s="489"/>
      <c r="B32" s="489"/>
      <c r="C32" s="489"/>
      <c r="D32" s="489"/>
      <c r="E32" s="489"/>
      <c r="F32" s="207"/>
    </row>
    <row r="33" spans="1:6" ht="20.100000000000001" customHeight="1">
      <c r="A33" s="489"/>
      <c r="B33" s="489"/>
      <c r="C33" s="489"/>
      <c r="D33" s="489"/>
      <c r="E33" s="489"/>
      <c r="F33" s="207"/>
    </row>
    <row r="34" spans="1:6" ht="20.100000000000001" customHeight="1">
      <c r="A34" s="489"/>
      <c r="B34" s="489"/>
      <c r="C34" s="489"/>
      <c r="D34" s="489"/>
      <c r="E34" s="489"/>
      <c r="F34" s="207"/>
    </row>
    <row r="35" spans="1:6" ht="20.100000000000001" customHeight="1">
      <c r="A35" s="489" t="s">
        <v>658</v>
      </c>
      <c r="B35" s="489"/>
      <c r="C35" s="489"/>
      <c r="D35" s="489"/>
      <c r="E35" s="489"/>
      <c r="F35" s="207"/>
    </row>
    <row r="36" spans="1:6" ht="20.100000000000001" customHeight="1">
      <c r="A36" s="207"/>
      <c r="B36" s="207"/>
      <c r="C36" s="207"/>
      <c r="D36" s="207"/>
      <c r="E36" s="207"/>
      <c r="F36" s="207"/>
    </row>
    <row r="37" spans="1:6" ht="20.100000000000001" customHeight="1">
      <c r="A37" s="86" t="s">
        <v>894</v>
      </c>
      <c r="B37" s="207"/>
      <c r="C37" s="207"/>
      <c r="D37" s="207"/>
      <c r="E37" s="207"/>
      <c r="F37" s="207"/>
    </row>
    <row r="38" spans="1:6" ht="20.100000000000001" customHeight="1">
      <c r="A38" s="86" t="s">
        <v>895</v>
      </c>
      <c r="B38" s="207"/>
      <c r="C38" s="207"/>
      <c r="D38" s="207"/>
      <c r="E38" s="207"/>
      <c r="F38" s="207"/>
    </row>
    <row r="39" spans="1:6" ht="20.100000000000001" customHeight="1">
      <c r="A39" s="16" t="s">
        <v>754</v>
      </c>
      <c r="B39" s="16" t="s">
        <v>890</v>
      </c>
      <c r="C39" s="16" t="s">
        <v>891</v>
      </c>
      <c r="D39" s="16" t="s">
        <v>892</v>
      </c>
      <c r="E39" s="16" t="s">
        <v>893</v>
      </c>
      <c r="F39" s="207"/>
    </row>
    <row r="40" spans="1:6" ht="20.100000000000001" customHeight="1">
      <c r="A40" s="490" t="s">
        <v>881</v>
      </c>
      <c r="B40" s="489"/>
      <c r="C40" s="489"/>
      <c r="D40" s="489"/>
      <c r="E40" s="489"/>
      <c r="F40" s="207"/>
    </row>
    <row r="41" spans="1:6" ht="20.100000000000001" customHeight="1">
      <c r="A41" s="489" t="s">
        <v>37</v>
      </c>
      <c r="B41" s="489"/>
      <c r="C41" s="489"/>
      <c r="D41" s="489"/>
      <c r="E41" s="489"/>
      <c r="F41" s="207"/>
    </row>
    <row r="42" spans="1:6" ht="20.100000000000001" customHeight="1">
      <c r="A42" s="489"/>
      <c r="B42" s="489"/>
      <c r="C42" s="489"/>
      <c r="D42" s="489"/>
      <c r="E42" s="489"/>
      <c r="F42" s="207"/>
    </row>
    <row r="43" spans="1:6" ht="20.100000000000001" customHeight="1">
      <c r="A43" s="489" t="s">
        <v>190</v>
      </c>
      <c r="B43" s="489"/>
      <c r="C43" s="489"/>
      <c r="D43" s="489"/>
      <c r="E43" s="489"/>
      <c r="F43" s="207"/>
    </row>
    <row r="44" spans="1:6" ht="20.100000000000001" customHeight="1">
      <c r="A44" s="489" t="s">
        <v>896</v>
      </c>
      <c r="B44" s="489"/>
      <c r="C44" s="489"/>
      <c r="D44" s="489"/>
      <c r="E44" s="489"/>
      <c r="F44" s="207"/>
    </row>
    <row r="45" spans="1:6" ht="20.100000000000001" customHeight="1">
      <c r="A45" s="489"/>
      <c r="B45" s="489"/>
      <c r="C45" s="489"/>
      <c r="D45" s="491"/>
      <c r="E45" s="489"/>
      <c r="F45" s="207"/>
    </row>
    <row r="46" spans="1:6" ht="20.100000000000001" customHeight="1">
      <c r="A46" s="490" t="s">
        <v>886</v>
      </c>
      <c r="B46" s="489"/>
      <c r="C46" s="489"/>
      <c r="D46" s="489"/>
      <c r="E46" s="489"/>
      <c r="F46" s="207"/>
    </row>
    <row r="47" spans="1:6" ht="20.100000000000001" customHeight="1">
      <c r="A47" s="489" t="s">
        <v>897</v>
      </c>
      <c r="B47" s="489"/>
      <c r="C47" s="489"/>
      <c r="D47" s="489"/>
      <c r="E47" s="489"/>
      <c r="F47" s="207"/>
    </row>
    <row r="48" spans="1:6" ht="20.100000000000001" customHeight="1">
      <c r="A48" s="489" t="s">
        <v>204</v>
      </c>
      <c r="B48" s="489"/>
      <c r="C48" s="489"/>
      <c r="D48" s="489"/>
      <c r="E48" s="489"/>
      <c r="F48" s="207"/>
    </row>
    <row r="49" spans="1:6" ht="20.100000000000001" customHeight="1">
      <c r="A49" s="489" t="s">
        <v>896</v>
      </c>
      <c r="B49" s="489"/>
      <c r="C49" s="489"/>
      <c r="D49" s="489"/>
      <c r="E49" s="489"/>
      <c r="F49" s="207"/>
    </row>
    <row r="50" spans="1:6" ht="20.100000000000001" customHeight="1">
      <c r="A50" s="207"/>
      <c r="B50" s="207"/>
      <c r="C50" s="207"/>
      <c r="D50" s="207"/>
      <c r="E50" s="207"/>
      <c r="F50" s="207"/>
    </row>
    <row r="51" spans="1:6" ht="20.100000000000001" customHeight="1">
      <c r="A51" s="86" t="s">
        <v>898</v>
      </c>
      <c r="B51" s="207"/>
      <c r="C51" s="207"/>
      <c r="D51" s="207"/>
      <c r="E51" s="207"/>
      <c r="F51" s="207"/>
    </row>
    <row r="52" spans="1:6" ht="20.100000000000001" customHeight="1">
      <c r="A52" s="16" t="s">
        <v>754</v>
      </c>
      <c r="B52" s="16" t="s">
        <v>890</v>
      </c>
      <c r="C52" s="16" t="s">
        <v>891</v>
      </c>
      <c r="D52" s="16" t="s">
        <v>892</v>
      </c>
      <c r="E52" s="16" t="s">
        <v>893</v>
      </c>
      <c r="F52" s="207"/>
    </row>
    <row r="53" spans="1:6" ht="20.100000000000001" customHeight="1">
      <c r="A53" s="490" t="s">
        <v>881</v>
      </c>
      <c r="B53" s="489"/>
      <c r="C53" s="489"/>
      <c r="D53" s="489"/>
      <c r="E53" s="489"/>
      <c r="F53" s="207"/>
    </row>
    <row r="54" spans="1:6" ht="20.100000000000001" customHeight="1">
      <c r="A54" s="489" t="s">
        <v>37</v>
      </c>
      <c r="B54" s="489"/>
      <c r="C54" s="489"/>
      <c r="D54" s="489"/>
      <c r="E54" s="489"/>
      <c r="F54" s="207"/>
    </row>
    <row r="55" spans="1:6" ht="20.100000000000001" customHeight="1">
      <c r="A55" s="489"/>
      <c r="B55" s="489"/>
      <c r="C55" s="489"/>
      <c r="D55" s="489"/>
      <c r="E55" s="489"/>
      <c r="F55" s="207"/>
    </row>
    <row r="56" spans="1:6" ht="20.100000000000001" customHeight="1">
      <c r="A56" s="489" t="s">
        <v>190</v>
      </c>
      <c r="B56" s="489"/>
      <c r="C56" s="489"/>
      <c r="D56" s="489"/>
      <c r="E56" s="489"/>
      <c r="F56" s="207"/>
    </row>
    <row r="57" spans="1:6" ht="20.100000000000001" customHeight="1">
      <c r="A57" s="489" t="s">
        <v>896</v>
      </c>
      <c r="B57" s="489"/>
      <c r="C57" s="489"/>
      <c r="D57" s="489"/>
      <c r="E57" s="489"/>
      <c r="F57" s="207"/>
    </row>
    <row r="58" spans="1:6" ht="20.100000000000001" customHeight="1">
      <c r="A58" s="489"/>
      <c r="B58" s="489"/>
      <c r="C58" s="489"/>
      <c r="D58" s="489"/>
      <c r="E58" s="489"/>
      <c r="F58" s="207"/>
    </row>
    <row r="59" spans="1:6" ht="20.100000000000001" customHeight="1">
      <c r="A59" s="490" t="s">
        <v>886</v>
      </c>
      <c r="B59" s="489"/>
      <c r="C59" s="489"/>
      <c r="D59" s="489"/>
      <c r="E59" s="489"/>
      <c r="F59" s="207"/>
    </row>
    <row r="60" spans="1:6" ht="20.100000000000001" customHeight="1">
      <c r="A60" s="489" t="s">
        <v>897</v>
      </c>
      <c r="B60" s="489"/>
      <c r="C60" s="489"/>
      <c r="D60" s="489"/>
      <c r="E60" s="489"/>
      <c r="F60" s="207"/>
    </row>
    <row r="61" spans="1:6" ht="20.100000000000001" customHeight="1">
      <c r="A61" s="489" t="s">
        <v>204</v>
      </c>
      <c r="B61" s="489"/>
      <c r="C61" s="489"/>
      <c r="D61" s="489"/>
      <c r="E61" s="489"/>
      <c r="F61" s="207"/>
    </row>
    <row r="62" spans="1:6" ht="20.100000000000001" customHeight="1">
      <c r="A62" s="489" t="s">
        <v>896</v>
      </c>
      <c r="B62" s="489"/>
      <c r="C62" s="489"/>
      <c r="D62" s="489"/>
      <c r="E62" s="489"/>
      <c r="F62" s="207"/>
    </row>
    <row r="63" spans="1:6" ht="20.100000000000001" customHeight="1">
      <c r="A63" s="492"/>
      <c r="B63" s="492"/>
      <c r="C63" s="492"/>
      <c r="D63" s="492"/>
      <c r="E63" s="492"/>
      <c r="F63" s="207"/>
    </row>
    <row r="64" spans="1:6" ht="28.5" customHeight="1">
      <c r="A64" s="1289" t="s">
        <v>899</v>
      </c>
      <c r="B64" s="1289"/>
      <c r="C64" s="1289"/>
      <c r="D64" s="1289"/>
      <c r="E64" s="1289"/>
      <c r="F64" s="207"/>
    </row>
    <row r="65" spans="1:6" ht="36.75" customHeight="1">
      <c r="A65" s="1289" t="s">
        <v>900</v>
      </c>
      <c r="B65" s="1289"/>
      <c r="C65" s="1289"/>
      <c r="D65" s="1289"/>
      <c r="E65" s="1289"/>
      <c r="F65" s="207"/>
    </row>
    <row r="66" spans="1:6" ht="20.100000000000001" customHeight="1">
      <c r="A66" s="492"/>
      <c r="B66" s="492"/>
      <c r="C66" s="492"/>
      <c r="D66" s="492"/>
      <c r="E66" s="492"/>
      <c r="F66" s="207"/>
    </row>
    <row r="67" spans="1:6" ht="20.100000000000001" customHeight="1">
      <c r="A67" s="492"/>
      <c r="B67" s="492"/>
      <c r="C67" s="492"/>
      <c r="D67" s="492"/>
      <c r="E67" s="492"/>
      <c r="F67" s="207"/>
    </row>
  </sheetData>
  <mergeCells count="2">
    <mergeCell ref="A64:E64"/>
    <mergeCell ref="A65:E65"/>
  </mergeCells>
  <phoneticPr fontId="76" type="noConversion"/>
  <pageMargins left="0.70763888888888904" right="0.70763888888888904" top="0.74791666666666701" bottom="0.74791666666666701" header="0.31388888888888899" footer="0.31388888888888899"/>
  <pageSetup paperSize="9" scale="48" orientation="portrait" blackAndWhite="1"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6"/>
  <sheetViews>
    <sheetView view="pageBreakPreview" zoomScaleNormal="100" zoomScaleSheetLayoutView="100" workbookViewId="0">
      <selection activeCell="B14" sqref="B14"/>
    </sheetView>
  </sheetViews>
  <sheetFormatPr defaultColWidth="9" defaultRowHeight="20.100000000000001" customHeight="1"/>
  <cols>
    <col min="1" max="1" width="34.625" style="318" customWidth="1"/>
    <col min="2" max="2" width="33.25" style="318" customWidth="1"/>
    <col min="3" max="4" width="20.625" style="318" customWidth="1"/>
    <col min="5" max="5" width="22.75" style="318" customWidth="1"/>
    <col min="6" max="16384" width="9" style="318"/>
  </cols>
  <sheetData>
    <row r="1" spans="1:9" ht="24.95" customHeight="1">
      <c r="A1" s="54" t="s">
        <v>145</v>
      </c>
      <c r="B1" s="55">
        <f>基础信息!B6</f>
        <v>0</v>
      </c>
      <c r="E1" s="481"/>
    </row>
    <row r="2" spans="1:9" ht="24.75" customHeight="1">
      <c r="A2" s="54" t="s">
        <v>147</v>
      </c>
      <c r="B2" s="55">
        <f>基础信息!B9</f>
        <v>0</v>
      </c>
    </row>
    <row r="3" spans="1:9" s="319" customFormat="1" ht="24.75" customHeight="1">
      <c r="A3" s="345" t="s">
        <v>148</v>
      </c>
      <c r="B3" s="345" t="s">
        <v>901</v>
      </c>
      <c r="C3" s="318"/>
      <c r="D3" s="318"/>
      <c r="E3" s="318"/>
      <c r="F3" s="318"/>
      <c r="G3" s="318"/>
      <c r="H3" s="318"/>
      <c r="I3" s="318"/>
    </row>
    <row r="4" spans="1:9" s="319" customFormat="1" ht="20.100000000000001" customHeight="1">
      <c r="A4" s="318"/>
      <c r="B4" s="318"/>
      <c r="C4" s="318"/>
      <c r="D4" s="318"/>
      <c r="E4" s="318"/>
      <c r="F4" s="318"/>
      <c r="G4" s="318"/>
      <c r="H4" s="318"/>
      <c r="I4" s="318"/>
    </row>
    <row r="5" spans="1:9" s="319" customFormat="1" ht="20.100000000000001" customHeight="1">
      <c r="A5" s="318"/>
      <c r="B5" s="318"/>
      <c r="C5" s="116"/>
    </row>
    <row r="6" spans="1:9" s="116" customFormat="1" ht="20.100000000000001" customHeight="1">
      <c r="A6" s="207" t="s">
        <v>902</v>
      </c>
      <c r="B6" s="207"/>
    </row>
    <row r="7" spans="1:9" s="116" customFormat="1" ht="20.100000000000001" customHeight="1">
      <c r="A7" s="231" t="s">
        <v>903</v>
      </c>
      <c r="B7" s="231" t="s">
        <v>798</v>
      </c>
    </row>
    <row r="8" spans="1:9" s="116" customFormat="1" ht="20.100000000000001" customHeight="1">
      <c r="A8" s="362" t="s">
        <v>904</v>
      </c>
      <c r="B8" s="288"/>
    </row>
    <row r="9" spans="1:9" s="116" customFormat="1" ht="20.100000000000001" customHeight="1">
      <c r="A9" s="362" t="s">
        <v>905</v>
      </c>
      <c r="B9" s="288"/>
    </row>
    <row r="10" spans="1:9" s="116" customFormat="1" ht="20.100000000000001" customHeight="1">
      <c r="A10" s="362" t="s">
        <v>2260</v>
      </c>
      <c r="B10" s="288"/>
    </row>
    <row r="11" spans="1:9" s="116" customFormat="1" ht="20.100000000000001" customHeight="1">
      <c r="A11" s="362" t="s">
        <v>2261</v>
      </c>
      <c r="B11" s="288"/>
    </row>
    <row r="12" spans="1:9" s="116" customFormat="1" ht="20.100000000000001" customHeight="1">
      <c r="A12" s="975" t="s">
        <v>2263</v>
      </c>
      <c r="B12" s="288"/>
    </row>
    <row r="13" spans="1:9" s="116" customFormat="1" ht="20.100000000000001" customHeight="1">
      <c r="A13" s="288" t="s">
        <v>907</v>
      </c>
      <c r="B13" s="90">
        <f>SUM(B8:B11)</f>
        <v>0</v>
      </c>
    </row>
    <row r="14" spans="1:9" ht="20.100000000000001" customHeight="1">
      <c r="A14" s="118" t="s">
        <v>649</v>
      </c>
      <c r="B14" s="486">
        <f>'RP 006'!E30</f>
        <v>0</v>
      </c>
      <c r="C14" s="116"/>
      <c r="D14" s="319"/>
      <c r="E14" s="319"/>
      <c r="F14" s="319"/>
    </row>
    <row r="15" spans="1:9" ht="20.100000000000001" customHeight="1">
      <c r="A15" s="118"/>
      <c r="B15" s="119">
        <f>B17-B14</f>
        <v>0</v>
      </c>
      <c r="C15" s="116"/>
      <c r="D15" s="319"/>
      <c r="E15" s="319"/>
      <c r="F15" s="319"/>
    </row>
    <row r="16" spans="1:9" ht="20.100000000000001" customHeight="1">
      <c r="A16" s="115"/>
      <c r="B16" s="29" t="str">
        <f>IF(B15=0,"OK","NO")</f>
        <v>OK</v>
      </c>
      <c r="C16" s="116"/>
      <c r="D16" s="319"/>
      <c r="E16" s="319"/>
      <c r="F16" s="319"/>
    </row>
    <row r="17" spans="1:9" ht="20.100000000000001" customHeight="1">
      <c r="A17" s="480" t="s">
        <v>908</v>
      </c>
      <c r="B17" s="207"/>
      <c r="C17" s="116"/>
      <c r="D17" s="319"/>
      <c r="E17" s="319"/>
      <c r="F17" s="319"/>
    </row>
    <row r="18" spans="1:9" s="116" customFormat="1" ht="20.100000000000001" customHeight="1">
      <c r="A18" s="318"/>
      <c r="B18" s="318"/>
    </row>
    <row r="19" spans="1:9" s="214" customFormat="1" ht="57" customHeight="1">
      <c r="A19" s="1290" t="s">
        <v>2124</v>
      </c>
      <c r="B19" s="1290"/>
      <c r="C19" s="1290"/>
      <c r="D19" s="116"/>
      <c r="E19" s="116"/>
      <c r="F19" s="116"/>
    </row>
    <row r="20" spans="1:9" s="116" customFormat="1" ht="16.5">
      <c r="A20" s="318"/>
      <c r="B20" s="318"/>
      <c r="G20" s="11"/>
      <c r="H20" s="11"/>
      <c r="I20" s="11"/>
    </row>
    <row r="21" spans="1:9" s="116" customFormat="1" ht="16.5">
      <c r="A21" s="318"/>
      <c r="B21" s="318"/>
      <c r="G21" s="11"/>
      <c r="H21" s="11"/>
      <c r="I21" s="11"/>
    </row>
    <row r="22" spans="1:9" s="11" customFormat="1" ht="16.5">
      <c r="A22" s="318"/>
      <c r="B22" s="318"/>
      <c r="C22" s="116"/>
      <c r="D22" s="116"/>
      <c r="E22" s="116"/>
      <c r="F22" s="116"/>
    </row>
    <row r="23" spans="1:9" ht="16.5">
      <c r="C23" s="116"/>
      <c r="D23" s="319"/>
      <c r="E23" s="319"/>
      <c r="F23" s="319"/>
    </row>
    <row r="24" spans="1:9" ht="20.100000000000001" customHeight="1">
      <c r="C24" s="116"/>
      <c r="D24" s="319"/>
      <c r="E24" s="319"/>
      <c r="F24" s="319"/>
    </row>
    <row r="25" spans="1:9" ht="20.100000000000001" customHeight="1">
      <c r="C25" s="319"/>
      <c r="D25" s="319"/>
      <c r="E25" s="319"/>
      <c r="F25" s="319"/>
    </row>
    <row r="26" spans="1:9" ht="20.100000000000001" customHeight="1">
      <c r="C26" s="319"/>
      <c r="D26" s="319"/>
      <c r="E26" s="319"/>
      <c r="F26" s="319"/>
    </row>
    <row r="27" spans="1:9" ht="20.100000000000001" customHeight="1">
      <c r="C27" s="319"/>
      <c r="D27" s="319"/>
      <c r="E27" s="319"/>
      <c r="F27" s="319"/>
    </row>
    <row r="28" spans="1:9" ht="20.100000000000001" customHeight="1">
      <c r="C28" s="319"/>
      <c r="D28" s="319"/>
      <c r="E28" s="319"/>
      <c r="F28" s="319"/>
    </row>
    <row r="29" spans="1:9" ht="20.100000000000001" customHeight="1">
      <c r="C29" s="319"/>
      <c r="D29" s="319"/>
      <c r="E29" s="319"/>
      <c r="F29" s="319"/>
    </row>
    <row r="30" spans="1:9" ht="20.100000000000001" customHeight="1">
      <c r="C30" s="319"/>
      <c r="D30" s="319"/>
      <c r="E30" s="319"/>
      <c r="F30" s="319"/>
    </row>
    <row r="31" spans="1:9" ht="20.100000000000001" customHeight="1">
      <c r="C31" s="319"/>
      <c r="D31" s="319"/>
      <c r="E31" s="319"/>
      <c r="F31" s="319"/>
    </row>
    <row r="32" spans="1:9" ht="20.100000000000001" customHeight="1">
      <c r="C32" s="319"/>
      <c r="D32" s="319"/>
      <c r="E32" s="319"/>
      <c r="F32" s="319"/>
    </row>
    <row r="33" spans="3:6" ht="20.100000000000001" customHeight="1">
      <c r="C33" s="319"/>
      <c r="D33" s="319"/>
      <c r="E33" s="319"/>
      <c r="F33" s="319"/>
    </row>
    <row r="34" spans="3:6" ht="16.5">
      <c r="C34" s="319"/>
      <c r="D34" s="319"/>
      <c r="E34" s="319"/>
      <c r="F34" s="319"/>
    </row>
    <row r="35" spans="3:6" ht="16.5">
      <c r="C35" s="319"/>
      <c r="D35" s="319"/>
      <c r="E35" s="319"/>
      <c r="F35" s="319"/>
    </row>
    <row r="36" spans="3:6" ht="16.5">
      <c r="C36" s="319"/>
      <c r="D36" s="319"/>
      <c r="E36" s="319"/>
      <c r="F36" s="319"/>
    </row>
    <row r="37" spans="3:6" ht="20.100000000000001" customHeight="1">
      <c r="C37" s="319"/>
      <c r="D37" s="319"/>
      <c r="E37" s="319"/>
      <c r="F37" s="319"/>
    </row>
    <row r="38" spans="3:6" ht="16.5">
      <c r="C38" s="319"/>
      <c r="D38" s="319"/>
      <c r="E38" s="319"/>
      <c r="F38" s="319"/>
    </row>
    <row r="39" spans="3:6" ht="16.5">
      <c r="C39" s="319"/>
      <c r="D39" s="319"/>
      <c r="E39" s="319"/>
      <c r="F39" s="319"/>
    </row>
    <row r="40" spans="3:6" ht="16.5">
      <c r="C40" s="319"/>
      <c r="D40" s="319"/>
      <c r="E40" s="319"/>
      <c r="F40" s="319"/>
    </row>
    <row r="41" spans="3:6" ht="16.5">
      <c r="C41" s="319"/>
      <c r="D41" s="319"/>
      <c r="E41" s="319"/>
      <c r="F41" s="319"/>
    </row>
    <row r="42" spans="3:6" ht="16.5">
      <c r="C42" s="319"/>
      <c r="D42" s="319"/>
      <c r="E42" s="319"/>
      <c r="F42" s="319"/>
    </row>
    <row r="43" spans="3:6" ht="16.5">
      <c r="C43" s="319"/>
      <c r="D43" s="319"/>
      <c r="E43" s="319"/>
      <c r="F43" s="319"/>
    </row>
    <row r="44" spans="3:6" ht="16.5">
      <c r="C44" s="319"/>
      <c r="D44" s="319"/>
      <c r="E44" s="319"/>
      <c r="F44" s="319"/>
    </row>
    <row r="45" spans="3:6" ht="16.5">
      <c r="C45" s="319"/>
      <c r="D45" s="319"/>
      <c r="E45" s="319"/>
      <c r="F45" s="319"/>
    </row>
    <row r="46" spans="3:6" ht="16.5">
      <c r="C46" s="319"/>
      <c r="D46" s="319"/>
      <c r="E46" s="319"/>
      <c r="F46" s="319"/>
    </row>
    <row r="47" spans="3:6" ht="16.5">
      <c r="C47" s="319"/>
      <c r="D47" s="319"/>
      <c r="E47" s="319"/>
      <c r="F47" s="319"/>
    </row>
    <row r="48" spans="3:6" ht="16.5">
      <c r="C48" s="319"/>
      <c r="D48" s="319"/>
      <c r="E48" s="319"/>
      <c r="F48" s="319"/>
    </row>
    <row r="49" spans="3:6" ht="16.5">
      <c r="C49" s="319"/>
      <c r="D49" s="319"/>
      <c r="E49" s="319"/>
      <c r="F49" s="319"/>
    </row>
    <row r="50" spans="3:6" ht="16.5">
      <c r="C50" s="319"/>
      <c r="D50" s="319"/>
      <c r="E50" s="319"/>
      <c r="F50" s="319"/>
    </row>
    <row r="51" spans="3:6" ht="20.100000000000001" customHeight="1">
      <c r="C51" s="319"/>
      <c r="D51" s="319"/>
      <c r="E51" s="319"/>
      <c r="F51" s="319"/>
    </row>
    <row r="52" spans="3:6" ht="16.5">
      <c r="C52" s="319"/>
      <c r="D52" s="319"/>
      <c r="E52" s="319"/>
      <c r="F52" s="319"/>
    </row>
    <row r="53" spans="3:6" ht="16.5">
      <c r="C53" s="319"/>
      <c r="D53" s="319"/>
      <c r="E53" s="319"/>
      <c r="F53" s="319"/>
    </row>
    <row r="54" spans="3:6" ht="16.5">
      <c r="C54" s="319"/>
      <c r="D54" s="319"/>
      <c r="E54" s="319"/>
      <c r="F54" s="319"/>
    </row>
    <row r="55" spans="3:6" ht="16.5">
      <c r="C55" s="319"/>
      <c r="D55" s="319"/>
      <c r="E55" s="319"/>
      <c r="F55" s="319"/>
    </row>
    <row r="56" spans="3:6" ht="16.5">
      <c r="C56" s="319"/>
      <c r="D56" s="319"/>
      <c r="E56" s="319"/>
      <c r="F56" s="319"/>
    </row>
    <row r="57" spans="3:6" ht="16.5">
      <c r="C57" s="319"/>
      <c r="D57" s="319"/>
      <c r="E57" s="319"/>
      <c r="F57" s="319"/>
    </row>
    <row r="58" spans="3:6" ht="16.5">
      <c r="C58" s="319"/>
      <c r="D58" s="319"/>
      <c r="E58" s="319"/>
      <c r="F58" s="319"/>
    </row>
    <row r="59" spans="3:6" ht="16.5">
      <c r="C59" s="319"/>
      <c r="D59" s="319"/>
      <c r="E59" s="319"/>
      <c r="F59" s="319"/>
    </row>
    <row r="60" spans="3:6" ht="16.5">
      <c r="C60" s="319"/>
      <c r="D60" s="319"/>
      <c r="E60" s="319"/>
      <c r="F60" s="319"/>
    </row>
    <row r="61" spans="3:6" ht="16.5">
      <c r="C61" s="319"/>
      <c r="D61" s="319"/>
      <c r="E61" s="319"/>
      <c r="F61" s="319"/>
    </row>
    <row r="62" spans="3:6" ht="16.5">
      <c r="C62" s="319"/>
      <c r="D62" s="319"/>
      <c r="E62" s="319"/>
      <c r="F62" s="319"/>
    </row>
    <row r="63" spans="3:6" ht="16.5">
      <c r="C63" s="319"/>
      <c r="D63" s="319"/>
      <c r="E63" s="319"/>
      <c r="F63" s="319"/>
    </row>
    <row r="64" spans="3:6" ht="20.100000000000001" customHeight="1">
      <c r="C64" s="319"/>
      <c r="D64" s="319"/>
      <c r="E64" s="319"/>
      <c r="F64" s="319"/>
    </row>
    <row r="65" spans="3:6" ht="20.100000000000001" customHeight="1">
      <c r="C65" s="319"/>
      <c r="D65" s="319"/>
      <c r="E65" s="319"/>
      <c r="F65" s="319"/>
    </row>
    <row r="66" spans="3:6" ht="20.100000000000001" customHeight="1">
      <c r="C66" s="319"/>
      <c r="D66" s="319"/>
      <c r="E66" s="319"/>
      <c r="F66" s="319"/>
    </row>
  </sheetData>
  <mergeCells count="1">
    <mergeCell ref="A19:C19"/>
  </mergeCells>
  <phoneticPr fontId="76" type="noConversion"/>
  <pageMargins left="0.70763888888888904" right="0.70763888888888904" top="0.74791666666666701" bottom="0.74791666666666701" header="0.31388888888888899" footer="0.31388888888888899"/>
  <pageSetup paperSize="9" orientation="portrait" blackAndWhite="1" horizontalDpi="1200" verticalDpi="1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Normal="100" zoomScaleSheetLayoutView="100" workbookViewId="0">
      <selection activeCell="B18" sqref="B18"/>
    </sheetView>
  </sheetViews>
  <sheetFormatPr defaultColWidth="9" defaultRowHeight="20.100000000000001" customHeight="1"/>
  <cols>
    <col min="1" max="1" width="20.375" style="318" customWidth="1"/>
    <col min="2" max="2" width="28.5" style="318" customWidth="1"/>
    <col min="3" max="3" width="24.625" style="318" customWidth="1"/>
    <col min="4" max="4" width="14.875" style="318" customWidth="1"/>
    <col min="5" max="5" width="9" style="318"/>
    <col min="6" max="6" width="13" style="318" customWidth="1"/>
    <col min="7" max="7" width="12.75" style="318" customWidth="1"/>
    <col min="8" max="16384" width="9" style="318"/>
  </cols>
  <sheetData>
    <row r="1" spans="1:8" ht="20.100000000000001" customHeight="1">
      <c r="A1" s="54" t="s">
        <v>145</v>
      </c>
      <c r="B1" s="55">
        <f>基础信息!B6</f>
        <v>0</v>
      </c>
      <c r="D1" s="481"/>
    </row>
    <row r="2" spans="1:8" ht="20.100000000000001" customHeight="1">
      <c r="A2" s="54" t="s">
        <v>147</v>
      </c>
      <c r="B2" s="55">
        <f>基础信息!B9</f>
        <v>0</v>
      </c>
    </row>
    <row r="3" spans="1:8" s="319" customFormat="1" ht="20.100000000000001" customHeight="1">
      <c r="A3" s="345" t="s">
        <v>148</v>
      </c>
      <c r="B3" s="345" t="s">
        <v>909</v>
      </c>
      <c r="C3" s="318"/>
      <c r="D3" s="318"/>
      <c r="E3" s="318"/>
      <c r="F3" s="318"/>
      <c r="G3" s="318"/>
      <c r="H3" s="318"/>
    </row>
    <row r="4" spans="1:8" s="319" customFormat="1" ht="20.100000000000001" customHeight="1">
      <c r="A4" s="482" t="s">
        <v>910</v>
      </c>
      <c r="B4" s="482" t="s">
        <v>911</v>
      </c>
      <c r="C4" s="483"/>
    </row>
    <row r="5" spans="1:8" s="319" customFormat="1" ht="20.100000000000001" customHeight="1">
      <c r="A5" s="484" t="s">
        <v>2264</v>
      </c>
      <c r="B5" s="484"/>
      <c r="C5" s="483"/>
    </row>
    <row r="6" spans="1:8" s="319" customFormat="1" ht="20.100000000000001" customHeight="1">
      <c r="A6" s="484" t="s">
        <v>2265</v>
      </c>
      <c r="B6" s="484"/>
      <c r="C6" s="483"/>
    </row>
    <row r="7" spans="1:8" s="319" customFormat="1" ht="20.100000000000001" customHeight="1">
      <c r="A7" s="484" t="s">
        <v>2266</v>
      </c>
      <c r="B7" s="484"/>
      <c r="C7" s="483"/>
    </row>
    <row r="8" spans="1:8" s="319" customFormat="1" ht="20.100000000000001" customHeight="1">
      <c r="A8" s="484" t="s">
        <v>2267</v>
      </c>
      <c r="B8" s="484"/>
      <c r="C8" s="483"/>
    </row>
    <row r="9" spans="1:8" s="319" customFormat="1" ht="20.100000000000001" customHeight="1">
      <c r="A9" s="484" t="s">
        <v>2268</v>
      </c>
      <c r="B9" s="484"/>
      <c r="C9" s="483"/>
    </row>
    <row r="10" spans="1:8" s="319" customFormat="1" ht="20.100000000000001" customHeight="1">
      <c r="A10" s="484" t="s">
        <v>2269</v>
      </c>
      <c r="B10" s="484"/>
      <c r="C10" s="483"/>
    </row>
    <row r="11" spans="1:8" s="319" customFormat="1" ht="20.100000000000001" customHeight="1">
      <c r="A11" s="484" t="s">
        <v>2270</v>
      </c>
      <c r="B11" s="484"/>
      <c r="C11" s="483"/>
    </row>
    <row r="12" spans="1:8" s="319" customFormat="1" ht="20.100000000000001" customHeight="1">
      <c r="A12" s="484" t="s">
        <v>2271</v>
      </c>
      <c r="B12" s="484"/>
      <c r="C12" s="483"/>
    </row>
    <row r="13" spans="1:8" s="319" customFormat="1" ht="20.100000000000001" customHeight="1">
      <c r="A13" s="484" t="s">
        <v>2272</v>
      </c>
      <c r="B13" s="484"/>
      <c r="C13" s="483"/>
    </row>
    <row r="14" spans="1:8" s="319" customFormat="1" ht="20.100000000000001" customHeight="1">
      <c r="A14" s="974" t="s">
        <v>2273</v>
      </c>
      <c r="B14" s="484"/>
      <c r="C14" s="483"/>
    </row>
    <row r="15" spans="1:8" s="319" customFormat="1" ht="20.100000000000001" customHeight="1">
      <c r="A15" s="974" t="s">
        <v>2274</v>
      </c>
      <c r="B15" s="484"/>
      <c r="C15" s="483"/>
    </row>
    <row r="16" spans="1:8" s="319" customFormat="1" ht="20.100000000000001" customHeight="1">
      <c r="A16" s="974" t="s">
        <v>2275</v>
      </c>
      <c r="B16" s="484"/>
      <c r="C16" s="483"/>
    </row>
    <row r="17" spans="1:3" s="319" customFormat="1" ht="20.100000000000001" customHeight="1">
      <c r="A17" s="484" t="s">
        <v>912</v>
      </c>
      <c r="B17" s="90">
        <f>SUM(B5:B16)</f>
        <v>0</v>
      </c>
      <c r="C17" s="485"/>
    </row>
    <row r="18" spans="1:3" s="319" customFormat="1" ht="20.100000000000001" customHeight="1">
      <c r="A18" s="225" t="s">
        <v>649</v>
      </c>
      <c r="B18" s="226">
        <f>'RP 006'!E41</f>
        <v>0</v>
      </c>
      <c r="C18" s="483"/>
    </row>
    <row r="19" spans="1:3" s="319" customFormat="1" ht="20.100000000000001" customHeight="1">
      <c r="A19" s="333"/>
      <c r="B19" s="226">
        <f>B17-B18</f>
        <v>0</v>
      </c>
      <c r="C19" s="483"/>
    </row>
    <row r="20" spans="1:3" s="411" customFormat="1" ht="20.100000000000001" customHeight="1">
      <c r="A20" s="227"/>
      <c r="B20" s="227" t="str">
        <f>IF(B19=0,"OK","NO")</f>
        <v>OK</v>
      </c>
    </row>
    <row r="23" spans="1:3" ht="20.100000000000001" customHeight="1">
      <c r="A23" s="1065" t="s">
        <v>2264</v>
      </c>
    </row>
    <row r="24" spans="1:3" ht="20.100000000000001" customHeight="1">
      <c r="A24" s="1066" t="s">
        <v>2265</v>
      </c>
    </row>
    <row r="25" spans="1:3" ht="20.100000000000001" customHeight="1">
      <c r="A25" s="1066" t="s">
        <v>2266</v>
      </c>
    </row>
    <row r="26" spans="1:3" ht="20.100000000000001" customHeight="1">
      <c r="A26" s="1066" t="s">
        <v>2267</v>
      </c>
    </row>
    <row r="27" spans="1:3" ht="20.100000000000001" customHeight="1">
      <c r="A27" s="1066" t="s">
        <v>2268</v>
      </c>
    </row>
    <row r="28" spans="1:3" ht="20.100000000000001" customHeight="1">
      <c r="A28" s="1066" t="s">
        <v>2269</v>
      </c>
    </row>
    <row r="29" spans="1:3" ht="20.100000000000001" customHeight="1">
      <c r="A29" s="1066" t="s">
        <v>2270</v>
      </c>
    </row>
    <row r="30" spans="1:3" ht="20.100000000000001" customHeight="1">
      <c r="A30" s="1066" t="s">
        <v>2271</v>
      </c>
    </row>
    <row r="31" spans="1:3" ht="20.100000000000001" customHeight="1">
      <c r="A31" s="1066" t="s">
        <v>2272</v>
      </c>
    </row>
    <row r="32" spans="1:3" ht="20.100000000000001" customHeight="1">
      <c r="A32" s="1067" t="s">
        <v>2273</v>
      </c>
    </row>
    <row r="33" spans="1:1" ht="20.100000000000001" customHeight="1">
      <c r="A33" s="1066" t="s">
        <v>2274</v>
      </c>
    </row>
    <row r="34" spans="1:1" ht="20.100000000000001" customHeight="1">
      <c r="A34" s="1066" t="s">
        <v>2275</v>
      </c>
    </row>
  </sheetData>
  <phoneticPr fontId="76" type="noConversion"/>
  <pageMargins left="0.78680555555555598" right="0.51180555555555596" top="0.94374999999999998" bottom="0.51180555555555596" header="0.27500000000000002" footer="0.27500000000000002"/>
  <pageSetup paperSize="9" orientation="portrait" blackAndWhite="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74"/>
  <sheetViews>
    <sheetView workbookViewId="0">
      <selection activeCell="D16" sqref="D16"/>
    </sheetView>
  </sheetViews>
  <sheetFormatPr defaultRowHeight="15.75"/>
  <cols>
    <col min="1" max="1" width="26.25" customWidth="1"/>
    <col min="2" max="2" width="18.125" customWidth="1"/>
    <col min="3" max="3" width="19" customWidth="1"/>
    <col min="5" max="5" width="17.375" customWidth="1"/>
  </cols>
  <sheetData>
    <row r="1" spans="1:6" ht="16.5">
      <c r="A1" s="54" t="s">
        <v>145</v>
      </c>
      <c r="B1" s="55">
        <f>基础信息!B6</f>
        <v>0</v>
      </c>
      <c r="C1" s="11"/>
      <c r="D1" s="11"/>
      <c r="E1" s="14"/>
      <c r="F1" s="11"/>
    </row>
    <row r="2" spans="1:6" ht="16.5">
      <c r="A2" s="54" t="s">
        <v>147</v>
      </c>
      <c r="B2" s="55">
        <f>基础信息!B9</f>
        <v>0</v>
      </c>
      <c r="C2" s="11"/>
      <c r="D2" s="11"/>
      <c r="E2" s="11"/>
      <c r="F2" s="11"/>
    </row>
    <row r="3" spans="1:6" ht="16.5">
      <c r="A3" s="97" t="s">
        <v>148</v>
      </c>
      <c r="B3" s="313" t="s">
        <v>2105</v>
      </c>
      <c r="C3" s="11"/>
      <c r="D3" s="11"/>
      <c r="E3" s="11"/>
      <c r="F3" s="11"/>
    </row>
    <row r="4" spans="1:6">
      <c r="A4" s="1068" t="s">
        <v>2286</v>
      </c>
      <c r="B4" s="15"/>
      <c r="C4" s="15"/>
      <c r="D4" s="15"/>
      <c r="E4" s="15"/>
      <c r="F4" s="15"/>
    </row>
    <row r="5" spans="1:6">
      <c r="A5" s="1291" t="s">
        <v>903</v>
      </c>
      <c r="B5" s="1292" t="s">
        <v>798</v>
      </c>
      <c r="C5" s="1292"/>
      <c r="D5" s="1292"/>
      <c r="E5" s="15"/>
      <c r="F5" s="15"/>
    </row>
    <row r="6" spans="1:6">
      <c r="A6" s="1291"/>
      <c r="B6" s="935" t="s">
        <v>915</v>
      </c>
      <c r="C6" s="935" t="s">
        <v>916</v>
      </c>
      <c r="D6" s="935" t="s">
        <v>917</v>
      </c>
      <c r="E6" s="15"/>
      <c r="F6" s="15"/>
    </row>
    <row r="7" spans="1:6" ht="16.5">
      <c r="A7" s="233"/>
      <c r="B7" s="139"/>
      <c r="C7" s="139"/>
      <c r="D7" s="285">
        <f>B7-C7</f>
        <v>0</v>
      </c>
      <c r="E7" s="11"/>
      <c r="F7" s="11"/>
    </row>
    <row r="8" spans="1:6" ht="16.5">
      <c r="A8" s="233"/>
      <c r="B8" s="139"/>
      <c r="C8" s="139"/>
      <c r="D8" s="285">
        <f t="shared" ref="D8:D11" si="0">B8-C8</f>
        <v>0</v>
      </c>
      <c r="E8" s="11"/>
      <c r="F8" s="11"/>
    </row>
    <row r="9" spans="1:6" ht="16.5">
      <c r="A9" s="233"/>
      <c r="B9" s="139"/>
      <c r="C9" s="139"/>
      <c r="D9" s="285">
        <f t="shared" si="0"/>
        <v>0</v>
      </c>
      <c r="E9" s="11"/>
      <c r="F9" s="11"/>
    </row>
    <row r="10" spans="1:6" ht="16.5">
      <c r="A10" s="233"/>
      <c r="B10" s="139"/>
      <c r="C10" s="139"/>
      <c r="D10" s="285">
        <f t="shared" si="0"/>
        <v>0</v>
      </c>
      <c r="E10" s="11"/>
      <c r="F10" s="11"/>
    </row>
    <row r="11" spans="1:6" ht="16.5">
      <c r="A11" s="233"/>
      <c r="B11" s="139"/>
      <c r="C11" s="139"/>
      <c r="D11" s="285">
        <f t="shared" si="0"/>
        <v>0</v>
      </c>
      <c r="E11" s="11"/>
      <c r="F11" s="11"/>
    </row>
    <row r="12" spans="1:6" ht="16.5">
      <c r="A12" s="233" t="s">
        <v>929</v>
      </c>
      <c r="B12" s="285">
        <f>SUM(B7:B11)</f>
        <v>0</v>
      </c>
      <c r="C12" s="285">
        <f t="shared" ref="C12:D12" si="1">SUM(C7:C11)</f>
        <v>0</v>
      </c>
      <c r="D12" s="285">
        <f t="shared" si="1"/>
        <v>0</v>
      </c>
      <c r="E12" s="11"/>
      <c r="F12" s="11"/>
    </row>
    <row r="13" spans="1:6" ht="16.5">
      <c r="A13" s="1293" t="s">
        <v>2106</v>
      </c>
      <c r="B13" s="1294"/>
      <c r="C13" s="1294"/>
      <c r="D13" s="1295"/>
      <c r="E13" s="11"/>
      <c r="F13" s="11"/>
    </row>
    <row r="14" spans="1:6" ht="16.5">
      <c r="A14" s="233" t="s">
        <v>907</v>
      </c>
      <c r="B14" s="476">
        <f>B12-B13</f>
        <v>0</v>
      </c>
      <c r="C14" s="476">
        <f t="shared" ref="C14:D14" si="2">C12-C13</f>
        <v>0</v>
      </c>
      <c r="D14" s="476">
        <f t="shared" si="2"/>
        <v>0</v>
      </c>
      <c r="E14" s="11"/>
      <c r="F14" s="11"/>
    </row>
    <row r="15" spans="1:6" ht="16.5">
      <c r="A15" s="225" t="s">
        <v>649</v>
      </c>
      <c r="B15" s="225"/>
      <c r="C15" s="233"/>
      <c r="D15" s="476">
        <f>'RP 006'!E45</f>
        <v>0</v>
      </c>
      <c r="E15" s="11"/>
      <c r="F15" s="11"/>
    </row>
    <row r="16" spans="1:6" ht="16.5">
      <c r="A16" s="333"/>
      <c r="B16" s="225"/>
      <c r="C16" s="233"/>
      <c r="D16" s="477">
        <f>D14-D15</f>
        <v>0</v>
      </c>
      <c r="E16" s="11"/>
      <c r="F16" s="11"/>
    </row>
    <row r="17" spans="1:6" ht="16.5">
      <c r="A17" s="227"/>
      <c r="B17" s="227"/>
      <c r="C17" s="381"/>
      <c r="D17" s="227" t="str">
        <f>IF(D16=0,"OK","NO")</f>
        <v>OK</v>
      </c>
      <c r="E17" s="11"/>
      <c r="F17" s="11"/>
    </row>
    <row r="18" spans="1:6" ht="16.5">
      <c r="A18" s="478"/>
      <c r="B18" s="381"/>
      <c r="C18" s="381"/>
      <c r="D18" s="381"/>
      <c r="E18" s="11"/>
      <c r="F18" s="11"/>
    </row>
    <row r="19" spans="1:6">
      <c r="A19" s="1068" t="s">
        <v>2287</v>
      </c>
      <c r="B19" s="221"/>
      <c r="C19" s="221"/>
      <c r="D19" s="221"/>
      <c r="E19" s="221"/>
      <c r="F19" s="221"/>
    </row>
    <row r="20" spans="1:6">
      <c r="A20" s="963" t="s">
        <v>2107</v>
      </c>
      <c r="B20" s="936" t="s">
        <v>933</v>
      </c>
      <c r="C20" s="936" t="s">
        <v>934</v>
      </c>
      <c r="D20" s="936" t="s">
        <v>935</v>
      </c>
      <c r="E20" s="936" t="s">
        <v>936</v>
      </c>
      <c r="F20" s="221"/>
    </row>
    <row r="21" spans="1:6">
      <c r="A21" s="548"/>
      <c r="B21" s="548"/>
      <c r="C21" s="548"/>
      <c r="D21" s="548"/>
      <c r="E21" s="548"/>
      <c r="F21" s="223"/>
    </row>
    <row r="22" spans="1:6">
      <c r="A22" s="548" t="s">
        <v>937</v>
      </c>
      <c r="B22" s="548" t="s">
        <v>765</v>
      </c>
      <c r="C22" s="548" t="s">
        <v>924</v>
      </c>
      <c r="D22" s="548" t="s">
        <v>924</v>
      </c>
      <c r="E22" s="548" t="s">
        <v>924</v>
      </c>
      <c r="F22" s="223"/>
    </row>
    <row r="25" spans="1:6">
      <c r="A25" s="984" t="s">
        <v>2276</v>
      </c>
    </row>
    <row r="26" spans="1:6">
      <c r="A26" s="1301" t="s">
        <v>2288</v>
      </c>
      <c r="B26" s="1301"/>
      <c r="C26" s="1301"/>
      <c r="D26" s="1301"/>
      <c r="E26" s="1301"/>
    </row>
    <row r="27" spans="1:6">
      <c r="A27" s="1302" t="s">
        <v>2289</v>
      </c>
      <c r="B27" s="1302"/>
      <c r="C27" s="1302"/>
      <c r="D27" s="1302"/>
      <c r="E27" s="1302"/>
    </row>
    <row r="28" spans="1:6" ht="35.25" customHeight="1">
      <c r="A28" s="999" t="s">
        <v>2139</v>
      </c>
      <c r="B28" s="1048" t="s">
        <v>2140</v>
      </c>
      <c r="C28" s="1048" t="s">
        <v>2277</v>
      </c>
      <c r="D28" s="1048" t="s">
        <v>2256</v>
      </c>
      <c r="E28" s="1074" t="s">
        <v>2278</v>
      </c>
      <c r="F28" s="1074" t="s">
        <v>2279</v>
      </c>
    </row>
    <row r="29" spans="1:6">
      <c r="A29" s="1069" t="s">
        <v>2145</v>
      </c>
      <c r="B29" s="1028"/>
      <c r="C29" s="1028"/>
      <c r="D29" s="1028"/>
      <c r="E29" s="1028"/>
      <c r="F29" s="1028"/>
    </row>
    <row r="30" spans="1:6">
      <c r="A30" s="1069" t="s">
        <v>2146</v>
      </c>
      <c r="B30" s="1070"/>
      <c r="C30" s="1070"/>
      <c r="D30" s="1070"/>
      <c r="E30" s="1070"/>
      <c r="F30" s="1070"/>
    </row>
    <row r="31" spans="1:6">
      <c r="A31" s="1071"/>
      <c r="B31" s="1070"/>
      <c r="C31" s="1070"/>
      <c r="D31" s="1070"/>
      <c r="E31" s="1070"/>
      <c r="F31" s="1070"/>
    </row>
    <row r="32" spans="1:6">
      <c r="A32" s="1071"/>
      <c r="B32" s="1070"/>
      <c r="C32" s="1070"/>
      <c r="D32" s="1070"/>
      <c r="E32" s="1070"/>
      <c r="F32" s="1070"/>
    </row>
    <row r="33" spans="1:6">
      <c r="A33" s="1069" t="s">
        <v>2280</v>
      </c>
      <c r="B33" s="1070"/>
      <c r="C33" s="1070"/>
      <c r="D33" s="1070"/>
      <c r="E33" s="1070"/>
      <c r="F33" s="1070"/>
    </row>
    <row r="34" spans="1:6">
      <c r="A34" s="1069" t="s">
        <v>2146</v>
      </c>
      <c r="B34" s="1070"/>
      <c r="C34" s="1070"/>
      <c r="D34" s="1070"/>
      <c r="E34" s="1070"/>
      <c r="F34" s="1070"/>
    </row>
    <row r="35" spans="1:6">
      <c r="A35" s="1071"/>
      <c r="B35" s="1070"/>
      <c r="C35" s="1070"/>
      <c r="D35" s="1070"/>
      <c r="E35" s="1070"/>
      <c r="F35" s="1070"/>
    </row>
    <row r="36" spans="1:6">
      <c r="A36" s="1072"/>
      <c r="B36" s="1070"/>
      <c r="C36" s="1070"/>
      <c r="D36" s="1070"/>
      <c r="E36" s="1070"/>
      <c r="F36" s="1070"/>
    </row>
    <row r="37" spans="1:6">
      <c r="A37" s="1045" t="s">
        <v>2135</v>
      </c>
      <c r="B37" s="1073"/>
      <c r="C37" s="1073"/>
      <c r="D37" s="1073"/>
      <c r="E37" s="1073"/>
      <c r="F37" s="1073"/>
    </row>
    <row r="38" spans="1:6">
      <c r="A38" s="1304" t="s">
        <v>2281</v>
      </c>
      <c r="B38" s="1304"/>
      <c r="C38" s="1304"/>
      <c r="D38" s="1304"/>
      <c r="E38" s="1304"/>
      <c r="F38" s="1304"/>
    </row>
    <row r="39" spans="1:6" ht="30.75" customHeight="1">
      <c r="A39" s="999" t="s">
        <v>2139</v>
      </c>
      <c r="B39" s="1048" t="s">
        <v>2140</v>
      </c>
      <c r="C39" s="1048" t="s">
        <v>2282</v>
      </c>
      <c r="D39" s="1048" t="s">
        <v>2256</v>
      </c>
      <c r="E39" s="1074" t="s">
        <v>2278</v>
      </c>
      <c r="F39" s="1074" t="s">
        <v>2279</v>
      </c>
    </row>
    <row r="40" spans="1:6">
      <c r="A40" s="1069" t="s">
        <v>2145</v>
      </c>
      <c r="B40" s="1050">
        <f>B42+B43</f>
        <v>0</v>
      </c>
      <c r="C40" s="1050"/>
      <c r="D40" s="1050">
        <f>D42+D43</f>
        <v>0</v>
      </c>
      <c r="E40" s="1050">
        <f>B40-C40</f>
        <v>0</v>
      </c>
      <c r="F40" s="1028"/>
    </row>
    <row r="41" spans="1:6">
      <c r="A41" s="1069" t="s">
        <v>2146</v>
      </c>
      <c r="B41" s="1070"/>
      <c r="C41" s="1070"/>
      <c r="D41" s="1070"/>
      <c r="E41" s="1050">
        <f t="shared" ref="E41:E47" si="3">B41-C41</f>
        <v>0</v>
      </c>
      <c r="F41" s="1070"/>
    </row>
    <row r="42" spans="1:6">
      <c r="A42" s="1071"/>
      <c r="B42" s="1070"/>
      <c r="C42" s="1070"/>
      <c r="D42" s="1070"/>
      <c r="E42" s="1050">
        <f t="shared" si="3"/>
        <v>0</v>
      </c>
      <c r="F42" s="1070"/>
    </row>
    <row r="43" spans="1:6">
      <c r="A43" s="1071"/>
      <c r="B43" s="1070"/>
      <c r="C43" s="1070"/>
      <c r="D43" s="1070"/>
      <c r="E43" s="1050">
        <f t="shared" si="3"/>
        <v>0</v>
      </c>
      <c r="F43" s="1070"/>
    </row>
    <row r="44" spans="1:6">
      <c r="A44" s="1069" t="s">
        <v>2280</v>
      </c>
      <c r="B44" s="1078">
        <f>B45+B46+B47</f>
        <v>0</v>
      </c>
      <c r="C44" s="1078"/>
      <c r="D44" s="1050">
        <f>D46+D47</f>
        <v>0</v>
      </c>
      <c r="E44" s="1050">
        <f t="shared" si="3"/>
        <v>0</v>
      </c>
      <c r="F44" s="1070"/>
    </row>
    <row r="45" spans="1:6">
      <c r="A45" s="1069" t="s">
        <v>2146</v>
      </c>
      <c r="B45" s="1070"/>
      <c r="C45" s="1070"/>
      <c r="D45" s="1070"/>
      <c r="E45" s="1050">
        <f t="shared" si="3"/>
        <v>0</v>
      </c>
      <c r="F45" s="1070"/>
    </row>
    <row r="46" spans="1:6">
      <c r="A46" s="1071"/>
      <c r="B46" s="1070"/>
      <c r="C46" s="1070"/>
      <c r="D46" s="1070"/>
      <c r="E46" s="1050">
        <f t="shared" si="3"/>
        <v>0</v>
      </c>
      <c r="F46" s="1070"/>
    </row>
    <row r="47" spans="1:6">
      <c r="A47" s="1072"/>
      <c r="B47" s="1070"/>
      <c r="C47" s="1070"/>
      <c r="D47" s="1070"/>
      <c r="E47" s="1050">
        <f t="shared" si="3"/>
        <v>0</v>
      </c>
      <c r="F47" s="1070"/>
    </row>
    <row r="48" spans="1:6">
      <c r="A48" s="1045" t="s">
        <v>2135</v>
      </c>
      <c r="B48" s="1077">
        <f>B44+B40</f>
        <v>0</v>
      </c>
      <c r="C48" s="1077"/>
      <c r="D48" s="1050">
        <f>D44+D40</f>
        <v>0</v>
      </c>
      <c r="E48" s="1050">
        <f>E44+E40</f>
        <v>0</v>
      </c>
      <c r="F48" s="1073"/>
    </row>
    <row r="49" spans="1:6">
      <c r="A49" s="1303" t="s">
        <v>2283</v>
      </c>
      <c r="B49" s="1303"/>
      <c r="C49" s="1303"/>
      <c r="D49" s="1303"/>
      <c r="E49" s="1303"/>
      <c r="F49" s="1303"/>
    </row>
    <row r="50" spans="1:6" ht="30">
      <c r="A50" s="999" t="s">
        <v>2139</v>
      </c>
      <c r="B50" s="1048" t="s">
        <v>2140</v>
      </c>
      <c r="C50" s="1048" t="s">
        <v>2282</v>
      </c>
      <c r="D50" s="1048" t="s">
        <v>2256</v>
      </c>
      <c r="E50" s="1074" t="s">
        <v>2278</v>
      </c>
      <c r="F50" s="1074" t="s">
        <v>2279</v>
      </c>
    </row>
    <row r="51" spans="1:6">
      <c r="A51" s="1069" t="s">
        <v>2145</v>
      </c>
      <c r="B51" s="1050">
        <f>B53+B54</f>
        <v>0</v>
      </c>
      <c r="C51" s="1050"/>
      <c r="D51" s="1050">
        <f>D53+D54</f>
        <v>0</v>
      </c>
      <c r="E51" s="1050">
        <f>B51-C51</f>
        <v>0</v>
      </c>
      <c r="F51" s="1028"/>
    </row>
    <row r="52" spans="1:6">
      <c r="A52" s="1069" t="s">
        <v>2146</v>
      </c>
      <c r="B52" s="1070"/>
      <c r="C52" s="1070"/>
      <c r="D52" s="1070"/>
      <c r="E52" s="1050">
        <f t="shared" ref="E52:E58" si="4">B52-C52</f>
        <v>0</v>
      </c>
      <c r="F52" s="1070"/>
    </row>
    <row r="53" spans="1:6">
      <c r="A53" s="1071"/>
      <c r="B53" s="1070"/>
      <c r="C53" s="1070"/>
      <c r="D53" s="1070"/>
      <c r="E53" s="1050">
        <f t="shared" si="4"/>
        <v>0</v>
      </c>
      <c r="F53" s="1070"/>
    </row>
    <row r="54" spans="1:6">
      <c r="A54" s="1071"/>
      <c r="B54" s="1070"/>
      <c r="C54" s="1070"/>
      <c r="D54" s="1070"/>
      <c r="E54" s="1050">
        <f t="shared" si="4"/>
        <v>0</v>
      </c>
      <c r="F54" s="1070"/>
    </row>
    <row r="55" spans="1:6">
      <c r="A55" s="1069" t="s">
        <v>2280</v>
      </c>
      <c r="B55" s="1078">
        <f>B56+B57+B58</f>
        <v>0</v>
      </c>
      <c r="C55" s="1078"/>
      <c r="D55" s="1050">
        <f>D57+D58</f>
        <v>0</v>
      </c>
      <c r="E55" s="1050">
        <f t="shared" si="4"/>
        <v>0</v>
      </c>
      <c r="F55" s="1070"/>
    </row>
    <row r="56" spans="1:6">
      <c r="A56" s="1069" t="s">
        <v>2146</v>
      </c>
      <c r="B56" s="1070"/>
      <c r="C56" s="1070"/>
      <c r="D56" s="1070"/>
      <c r="E56" s="1050">
        <f t="shared" si="4"/>
        <v>0</v>
      </c>
      <c r="F56" s="1070"/>
    </row>
    <row r="57" spans="1:6">
      <c r="A57" s="1071"/>
      <c r="B57" s="1070"/>
      <c r="C57" s="1070"/>
      <c r="D57" s="1070"/>
      <c r="E57" s="1050">
        <f t="shared" si="4"/>
        <v>0</v>
      </c>
      <c r="F57" s="1070"/>
    </row>
    <row r="58" spans="1:6">
      <c r="A58" s="1072"/>
      <c r="B58" s="1070"/>
      <c r="C58" s="1070"/>
      <c r="D58" s="1070"/>
      <c r="E58" s="1050">
        <f t="shared" si="4"/>
        <v>0</v>
      </c>
      <c r="F58" s="1070"/>
    </row>
    <row r="59" spans="1:6">
      <c r="A59" s="1045" t="s">
        <v>2135</v>
      </c>
      <c r="B59" s="1077">
        <f>B55+B51</f>
        <v>0</v>
      </c>
      <c r="C59" s="1077"/>
      <c r="D59" s="1050">
        <f>D55+D51</f>
        <v>0</v>
      </c>
      <c r="E59" s="1050">
        <f>E55+E51</f>
        <v>0</v>
      </c>
      <c r="F59" s="1073"/>
    </row>
    <row r="60" spans="1:6">
      <c r="A60" s="984"/>
    </row>
    <row r="61" spans="1:6">
      <c r="A61" s="984"/>
    </row>
    <row r="62" spans="1:6" ht="16.5" thickBot="1">
      <c r="A62" s="1305" t="s">
        <v>2284</v>
      </c>
      <c r="B62" s="1305"/>
    </row>
    <row r="63" spans="1:6" ht="16.5" thickBot="1">
      <c r="A63" s="1075"/>
      <c r="B63" s="1076" t="s">
        <v>2285</v>
      </c>
    </row>
    <row r="64" spans="1:6">
      <c r="A64" s="1296" t="s">
        <v>2290</v>
      </c>
      <c r="B64" s="1298"/>
    </row>
    <row r="65" spans="1:2">
      <c r="A65" s="1297"/>
      <c r="B65" s="1299"/>
    </row>
    <row r="66" spans="1:2">
      <c r="A66" s="1300" t="s">
        <v>2163</v>
      </c>
      <c r="B66" s="1299"/>
    </row>
    <row r="67" spans="1:2">
      <c r="A67" s="1300"/>
      <c r="B67" s="1299"/>
    </row>
    <row r="68" spans="1:2">
      <c r="A68" s="985" t="s">
        <v>2258</v>
      </c>
      <c r="B68" s="986"/>
    </row>
    <row r="69" spans="1:2">
      <c r="A69" s="1025" t="s">
        <v>2164</v>
      </c>
      <c r="B69" s="986"/>
    </row>
    <row r="70" spans="1:2">
      <c r="A70" s="1025" t="s">
        <v>2165</v>
      </c>
      <c r="B70" s="986"/>
    </row>
    <row r="71" spans="1:2">
      <c r="A71" s="1025" t="s">
        <v>2166</v>
      </c>
      <c r="B71" s="986"/>
    </row>
    <row r="72" spans="1:2">
      <c r="A72" s="985" t="s">
        <v>2167</v>
      </c>
      <c r="B72" s="986"/>
    </row>
    <row r="73" spans="1:2" ht="16.5" thickBot="1">
      <c r="A73" s="987" t="s">
        <v>2168</v>
      </c>
      <c r="B73" s="988"/>
    </row>
    <row r="74" spans="1:2" ht="16.5" thickBot="1">
      <c r="A74" s="1026" t="s">
        <v>2172</v>
      </c>
      <c r="B74" s="992"/>
    </row>
  </sheetData>
  <mergeCells count="12">
    <mergeCell ref="A66:A67"/>
    <mergeCell ref="B66:B67"/>
    <mergeCell ref="A26:E26"/>
    <mergeCell ref="A27:E27"/>
    <mergeCell ref="A49:F49"/>
    <mergeCell ref="A38:F38"/>
    <mergeCell ref="A62:B62"/>
    <mergeCell ref="A5:A6"/>
    <mergeCell ref="B5:D5"/>
    <mergeCell ref="A13:D13"/>
    <mergeCell ref="A64:A65"/>
    <mergeCell ref="B64:B65"/>
  </mergeCells>
  <phoneticPr fontId="76"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view="pageBreakPreview" zoomScale="90" zoomScaleNormal="100" zoomScaleSheetLayoutView="90" workbookViewId="0">
      <selection activeCell="D15" sqref="D15"/>
    </sheetView>
  </sheetViews>
  <sheetFormatPr defaultColWidth="9" defaultRowHeight="20.100000000000001" customHeight="1"/>
  <cols>
    <col min="1" max="1" width="22.875" style="11" customWidth="1"/>
    <col min="2" max="2" width="18.375" style="11" customWidth="1"/>
    <col min="3" max="3" width="20" style="11" customWidth="1"/>
    <col min="4" max="8" width="15.625" style="11" customWidth="1"/>
    <col min="9" max="9" width="12.25" style="11" customWidth="1"/>
    <col min="10" max="16384" width="9" style="11"/>
  </cols>
  <sheetData>
    <row r="1" spans="1:11" ht="24.95" customHeight="1">
      <c r="A1" s="54" t="s">
        <v>145</v>
      </c>
      <c r="B1" s="55">
        <f>基础信息!B6</f>
        <v>0</v>
      </c>
      <c r="E1" s="14"/>
    </row>
    <row r="2" spans="1:11" ht="24.95" customHeight="1">
      <c r="A2" s="54" t="s">
        <v>147</v>
      </c>
      <c r="B2" s="55">
        <f>基础信息!B9</f>
        <v>0</v>
      </c>
    </row>
    <row r="3" spans="1:11" s="116" customFormat="1" ht="24.95" customHeight="1">
      <c r="A3" s="97" t="s">
        <v>148</v>
      </c>
      <c r="B3" s="97" t="s">
        <v>913</v>
      </c>
      <c r="C3" s="11"/>
      <c r="D3" s="11"/>
      <c r="E3" s="11"/>
      <c r="F3" s="11"/>
      <c r="G3" s="11"/>
      <c r="H3" s="11"/>
      <c r="I3" s="11"/>
    </row>
    <row r="4" spans="1:11" s="415" customFormat="1" ht="24.95" customHeight="1">
      <c r="A4" s="479" t="s">
        <v>914</v>
      </c>
      <c r="B4" s="221"/>
      <c r="C4" s="221"/>
      <c r="D4" s="221"/>
      <c r="E4" s="15"/>
      <c r="F4" s="15"/>
      <c r="G4" s="15"/>
      <c r="H4" s="221"/>
      <c r="I4" s="221"/>
      <c r="J4" s="221"/>
      <c r="K4" s="221"/>
    </row>
    <row r="5" spans="1:11" s="388" customFormat="1" ht="24.95" customHeight="1">
      <c r="A5" s="1291" t="s">
        <v>903</v>
      </c>
      <c r="B5" s="1292" t="s">
        <v>798</v>
      </c>
      <c r="C5" s="1292"/>
      <c r="D5" s="1292"/>
      <c r="E5" s="15"/>
      <c r="F5" s="15"/>
      <c r="G5" s="15"/>
      <c r="H5" s="221"/>
      <c r="I5" s="221"/>
      <c r="J5" s="221"/>
      <c r="K5" s="221"/>
    </row>
    <row r="6" spans="1:11" s="388" customFormat="1" ht="24.95" customHeight="1">
      <c r="A6" s="1291"/>
      <c r="B6" s="231" t="s">
        <v>915</v>
      </c>
      <c r="C6" s="231" t="s">
        <v>916</v>
      </c>
      <c r="D6" s="231" t="s">
        <v>917</v>
      </c>
      <c r="E6" s="15"/>
      <c r="F6" s="15"/>
      <c r="G6" s="15"/>
      <c r="H6" s="221"/>
      <c r="I6" s="221"/>
      <c r="J6" s="221"/>
      <c r="K6" s="221"/>
    </row>
    <row r="7" spans="1:11" s="388" customFormat="1" ht="20.100000000000001" customHeight="1">
      <c r="A7" s="233" t="s">
        <v>918</v>
      </c>
      <c r="B7" s="139"/>
      <c r="C7" s="139"/>
      <c r="D7" s="285">
        <f>B7-C7</f>
        <v>0</v>
      </c>
      <c r="E7" s="9"/>
      <c r="F7" s="9"/>
      <c r="G7" s="9"/>
      <c r="H7" s="223"/>
      <c r="I7" s="223"/>
      <c r="J7" s="223"/>
      <c r="K7" s="223"/>
    </row>
    <row r="8" spans="1:11" s="388" customFormat="1" ht="20.100000000000001" customHeight="1">
      <c r="A8" s="233" t="s">
        <v>919</v>
      </c>
      <c r="B8" s="139"/>
      <c r="C8" s="139"/>
      <c r="D8" s="285">
        <f t="shared" ref="D8:D11" si="0">B8-C8</f>
        <v>0</v>
      </c>
      <c r="E8" s="9"/>
      <c r="F8" s="9"/>
      <c r="G8" s="9"/>
      <c r="H8" s="223"/>
      <c r="I8" s="223"/>
      <c r="J8" s="223"/>
      <c r="K8" s="223"/>
    </row>
    <row r="9" spans="1:11" s="388" customFormat="1" ht="20.100000000000001" customHeight="1">
      <c r="A9" s="233" t="s">
        <v>920</v>
      </c>
      <c r="B9" s="139"/>
      <c r="C9" s="139"/>
      <c r="D9" s="285">
        <f t="shared" si="0"/>
        <v>0</v>
      </c>
      <c r="E9" s="9"/>
      <c r="F9" s="9"/>
      <c r="G9" s="9"/>
      <c r="H9" s="223"/>
      <c r="I9" s="223"/>
      <c r="J9" s="223"/>
      <c r="K9" s="223"/>
    </row>
    <row r="10" spans="1:11" s="388" customFormat="1" ht="20.100000000000001" customHeight="1">
      <c r="A10" s="233" t="s">
        <v>921</v>
      </c>
      <c r="B10" s="139"/>
      <c r="C10" s="139"/>
      <c r="D10" s="285">
        <f t="shared" si="0"/>
        <v>0</v>
      </c>
      <c r="E10" s="9"/>
      <c r="F10" s="9"/>
      <c r="G10" s="9"/>
      <c r="H10" s="223"/>
      <c r="I10" s="223"/>
      <c r="J10" s="223"/>
      <c r="K10" s="223"/>
    </row>
    <row r="11" spans="1:11" s="388" customFormat="1" ht="20.100000000000001" customHeight="1">
      <c r="A11" s="233" t="s">
        <v>922</v>
      </c>
      <c r="B11" s="139"/>
      <c r="C11" s="139"/>
      <c r="D11" s="285">
        <f t="shared" si="0"/>
        <v>0</v>
      </c>
      <c r="E11" s="9"/>
      <c r="F11" s="9"/>
      <c r="G11" s="9"/>
      <c r="H11" s="223"/>
      <c r="I11" s="223"/>
      <c r="J11" s="223"/>
      <c r="K11" s="223"/>
    </row>
    <row r="12" spans="1:11" s="388" customFormat="1" ht="20.100000000000001" customHeight="1">
      <c r="A12" s="233" t="s">
        <v>907</v>
      </c>
      <c r="B12" s="285">
        <f>SUM(B7:B11)</f>
        <v>0</v>
      </c>
      <c r="C12" s="285">
        <f t="shared" ref="C12:D12" si="1">SUM(C7:C11)</f>
        <v>0</v>
      </c>
      <c r="D12" s="285">
        <f t="shared" si="1"/>
        <v>0</v>
      </c>
      <c r="E12" s="9"/>
      <c r="F12" s="9"/>
      <c r="G12" s="9"/>
      <c r="H12" s="223"/>
      <c r="I12" s="223"/>
      <c r="J12" s="223"/>
      <c r="K12" s="223"/>
    </row>
    <row r="13" spans="1:11" s="388" customFormat="1" ht="20.100000000000001" customHeight="1">
      <c r="A13" s="225" t="s">
        <v>649</v>
      </c>
      <c r="B13" s="370"/>
      <c r="C13" s="139"/>
      <c r="D13" s="285">
        <f>'RP 006'!E46</f>
        <v>0</v>
      </c>
      <c r="E13" s="9"/>
      <c r="F13" s="9"/>
      <c r="G13" s="9"/>
      <c r="H13" s="223"/>
      <c r="I13" s="223"/>
      <c r="J13" s="223"/>
      <c r="K13" s="223"/>
    </row>
    <row r="14" spans="1:11" s="388" customFormat="1" ht="20.100000000000001" customHeight="1">
      <c r="A14" s="333"/>
      <c r="B14" s="370"/>
      <c r="C14" s="139"/>
      <c r="D14" s="226">
        <f>D12-D13</f>
        <v>0</v>
      </c>
      <c r="E14" s="9"/>
      <c r="F14" s="9"/>
      <c r="G14" s="9"/>
      <c r="H14" s="223"/>
      <c r="I14" s="223"/>
      <c r="J14" s="223"/>
      <c r="K14" s="223"/>
    </row>
    <row r="15" spans="1:11" s="388" customFormat="1" ht="20.100000000000001" customHeight="1">
      <c r="A15" s="227"/>
      <c r="B15" s="227"/>
      <c r="C15" s="381"/>
      <c r="D15" s="227" t="str">
        <f>IF(D14=0,"OK","NO")</f>
        <v>OK</v>
      </c>
      <c r="E15" s="9"/>
      <c r="F15" s="9"/>
      <c r="G15" s="9"/>
      <c r="H15" s="223"/>
      <c r="I15" s="223"/>
      <c r="J15" s="223"/>
      <c r="K15" s="223"/>
    </row>
    <row r="16" spans="1:11" s="388" customFormat="1" ht="20.100000000000001" customHeight="1">
      <c r="A16" s="381"/>
      <c r="B16" s="381"/>
      <c r="C16" s="381"/>
      <c r="D16" s="381"/>
      <c r="E16" s="9"/>
      <c r="F16" s="9"/>
      <c r="G16" s="9"/>
      <c r="H16" s="223"/>
      <c r="I16" s="223"/>
      <c r="J16" s="223"/>
      <c r="K16" s="223"/>
    </row>
    <row r="17" s="388" customFormat="1" ht="20.100000000000001" customHeight="1"/>
    <row r="18" s="388" customFormat="1" ht="20.100000000000001" customHeight="1"/>
    <row r="19" s="388" customFormat="1" ht="20.100000000000001" customHeight="1"/>
  </sheetData>
  <mergeCells count="2">
    <mergeCell ref="A5:A6"/>
    <mergeCell ref="B5:D5"/>
  </mergeCells>
  <phoneticPr fontId="76" type="noConversion"/>
  <pageMargins left="0.31388888888888899" right="0.31388888888888899" top="0.74791666666666701" bottom="0.31388888888888899" header="0.51180555555555596" footer="0.196527777777778"/>
  <pageSetup paperSize="9" scale="74" orientation="landscape" blackAndWhite="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81"/>
  <sheetViews>
    <sheetView view="pageBreakPreview" zoomScaleNormal="100" zoomScaleSheetLayoutView="100" workbookViewId="0">
      <selection activeCell="C22" sqref="C22"/>
    </sheetView>
  </sheetViews>
  <sheetFormatPr defaultRowHeight="12.75"/>
  <cols>
    <col min="1" max="1" width="27.375" style="1090" customWidth="1"/>
    <col min="2" max="2" width="15.75" style="1090" customWidth="1"/>
    <col min="3" max="3" width="17.875" style="1090" customWidth="1"/>
    <col min="4" max="4" width="10" style="1090" customWidth="1"/>
    <col min="5" max="5" width="9.875" style="1090" customWidth="1"/>
    <col min="6" max="7" width="9" style="1090"/>
    <col min="8" max="8" width="18.375" style="1090" customWidth="1"/>
    <col min="9" max="16384" width="9" style="1090"/>
  </cols>
  <sheetData>
    <row r="1" spans="1:7">
      <c r="A1" s="1152" t="s">
        <v>776</v>
      </c>
      <c r="B1" s="1085">
        <f>基础信息!B6</f>
        <v>0</v>
      </c>
      <c r="C1" s="1181"/>
      <c r="D1" s="9"/>
    </row>
    <row r="2" spans="1:7">
      <c r="A2" s="1152" t="s">
        <v>2293</v>
      </c>
      <c r="B2" s="1085">
        <f>基础信息!B9</f>
        <v>0</v>
      </c>
      <c r="C2" s="9"/>
      <c r="D2" s="9"/>
    </row>
    <row r="3" spans="1:7">
      <c r="A3" s="1165" t="s">
        <v>1246</v>
      </c>
      <c r="B3" s="1165" t="s">
        <v>2421</v>
      </c>
      <c r="C3" s="9"/>
      <c r="D3" s="9"/>
    </row>
    <row r="4" spans="1:7">
      <c r="A4" s="479" t="s">
        <v>2108</v>
      </c>
      <c r="B4" s="221"/>
      <c r="C4" s="15"/>
      <c r="D4" s="15"/>
    </row>
    <row r="5" spans="1:7">
      <c r="A5" s="1291" t="s">
        <v>903</v>
      </c>
      <c r="B5" s="1156" t="s">
        <v>798</v>
      </c>
      <c r="C5" s="15"/>
      <c r="D5" s="15"/>
    </row>
    <row r="6" spans="1:7">
      <c r="A6" s="1291"/>
      <c r="B6" s="1155" t="s">
        <v>2418</v>
      </c>
      <c r="C6" s="15"/>
      <c r="D6" s="15"/>
    </row>
    <row r="7" spans="1:7">
      <c r="A7" s="233"/>
      <c r="B7" s="139"/>
      <c r="C7" s="9"/>
      <c r="D7" s="9"/>
    </row>
    <row r="8" spans="1:7">
      <c r="A8" s="233"/>
      <c r="B8" s="139"/>
      <c r="C8" s="9"/>
      <c r="D8" s="9"/>
    </row>
    <row r="9" spans="1:7">
      <c r="A9" s="233"/>
      <c r="B9" s="139"/>
      <c r="C9" s="9"/>
      <c r="D9" s="9"/>
    </row>
    <row r="10" spans="1:7">
      <c r="A10" s="233"/>
      <c r="B10" s="139"/>
      <c r="C10" s="9"/>
      <c r="D10" s="9"/>
    </row>
    <row r="11" spans="1:7">
      <c r="A11" s="233"/>
      <c r="B11" s="139"/>
      <c r="C11" s="9"/>
      <c r="D11" s="9"/>
    </row>
    <row r="12" spans="1:7">
      <c r="A12" s="233" t="s">
        <v>2419</v>
      </c>
      <c r="B12" s="285">
        <f>SUM(B7:B11)</f>
        <v>0</v>
      </c>
      <c r="C12" s="9"/>
      <c r="D12" s="9"/>
    </row>
    <row r="13" spans="1:7">
      <c r="A13" s="1293" t="s">
        <v>2106</v>
      </c>
      <c r="B13" s="1294"/>
      <c r="C13" s="9"/>
      <c r="D13" s="9"/>
    </row>
    <row r="14" spans="1:7">
      <c r="A14" s="1157"/>
      <c r="B14" s="1158"/>
      <c r="C14" s="9"/>
      <c r="D14" s="9"/>
    </row>
    <row r="15" spans="1:7">
      <c r="A15" s="1157" t="s">
        <v>2420</v>
      </c>
      <c r="B15" s="964">
        <f>B12-B14</f>
        <v>0</v>
      </c>
      <c r="C15" s="9"/>
      <c r="D15" s="9"/>
    </row>
    <row r="16" spans="1:7">
      <c r="A16" s="225" t="s">
        <v>649</v>
      </c>
      <c r="B16" s="226">
        <f>'RP 006'!E53</f>
        <v>0</v>
      </c>
      <c r="C16" s="9"/>
      <c r="D16" s="9"/>
      <c r="E16" s="9"/>
      <c r="F16" s="9"/>
      <c r="G16" s="9"/>
    </row>
    <row r="17" spans="1:9">
      <c r="A17" s="1079"/>
      <c r="B17" s="1180">
        <f>B15-B16</f>
        <v>0</v>
      </c>
      <c r="C17" s="9"/>
      <c r="D17" s="9"/>
    </row>
    <row r="18" spans="1:9">
      <c r="A18" s="1079"/>
      <c r="B18" s="227" t="str">
        <f>IF(B17=0,"OK","NO")</f>
        <v>OK</v>
      </c>
      <c r="C18" s="9"/>
      <c r="D18" s="9"/>
    </row>
    <row r="19" spans="1:9">
      <c r="A19" s="1182" t="s">
        <v>2422</v>
      </c>
      <c r="B19" s="1183"/>
      <c r="C19" s="1183"/>
      <c r="D19" s="1183"/>
      <c r="E19" s="1183"/>
      <c r="F19" s="1183"/>
      <c r="G19" s="1183"/>
      <c r="H19" s="1183"/>
      <c r="I19" s="1183"/>
    </row>
    <row r="20" spans="1:9" ht="30.75" customHeight="1">
      <c r="A20" s="1109" t="s">
        <v>2423</v>
      </c>
      <c r="B20" s="1160" t="s">
        <v>2170</v>
      </c>
      <c r="C20" s="1160" t="s">
        <v>2424</v>
      </c>
      <c r="D20" s="1160" t="s">
        <v>2425</v>
      </c>
      <c r="E20" s="1160" t="s">
        <v>2172</v>
      </c>
      <c r="F20" s="1160" t="s">
        <v>2426</v>
      </c>
      <c r="G20" s="1160" t="s">
        <v>2427</v>
      </c>
      <c r="H20" s="1160" t="s">
        <v>2428</v>
      </c>
      <c r="I20" s="1183"/>
    </row>
    <row r="21" spans="1:9">
      <c r="A21" s="1161"/>
      <c r="B21" s="1162"/>
      <c r="C21" s="1162"/>
      <c r="D21" s="1162"/>
      <c r="E21" s="1162"/>
      <c r="F21" s="1162"/>
      <c r="G21" s="1162"/>
      <c r="H21" s="1162"/>
      <c r="I21" s="1183"/>
    </row>
    <row r="22" spans="1:9">
      <c r="A22" s="1161"/>
      <c r="B22" s="1162"/>
      <c r="C22" s="1162"/>
      <c r="D22" s="1162"/>
      <c r="E22" s="1162"/>
      <c r="F22" s="1162"/>
      <c r="G22" s="1162"/>
      <c r="H22" s="1162"/>
      <c r="I22" s="1183"/>
    </row>
    <row r="23" spans="1:9">
      <c r="A23" s="1161" t="s">
        <v>2429</v>
      </c>
      <c r="B23" s="1162"/>
      <c r="C23" s="1162"/>
      <c r="D23" s="1162"/>
      <c r="E23" s="1162"/>
      <c r="F23" s="1162"/>
      <c r="G23" s="1162"/>
      <c r="H23" s="1162"/>
      <c r="I23" s="1183"/>
    </row>
    <row r="24" spans="1:9">
      <c r="A24" s="1182" t="s">
        <v>2430</v>
      </c>
      <c r="B24" s="1183"/>
      <c r="C24" s="1183"/>
      <c r="D24" s="1183"/>
      <c r="E24" s="1183"/>
      <c r="F24" s="1183"/>
      <c r="G24" s="1183"/>
      <c r="H24" s="1183"/>
      <c r="I24" s="1183"/>
    </row>
    <row r="25" spans="1:9">
      <c r="A25" s="1182" t="s">
        <v>2431</v>
      </c>
      <c r="B25" s="1183"/>
      <c r="C25" s="1183"/>
      <c r="D25" s="1183"/>
      <c r="E25" s="1183"/>
      <c r="F25" s="1183"/>
      <c r="G25" s="1183"/>
      <c r="H25" s="1183"/>
      <c r="I25" s="1183"/>
    </row>
    <row r="26" spans="1:9" ht="15.75" customHeight="1">
      <c r="A26" s="1306" t="s">
        <v>2423</v>
      </c>
      <c r="B26" s="1306" t="s">
        <v>2172</v>
      </c>
      <c r="C26" s="1306"/>
      <c r="D26" s="1306"/>
      <c r="E26" s="1306"/>
      <c r="F26" s="1306" t="s">
        <v>2290</v>
      </c>
      <c r="G26" s="1306"/>
      <c r="H26" s="1306"/>
      <c r="I26" s="1306"/>
    </row>
    <row r="27" spans="1:9">
      <c r="A27" s="1306"/>
      <c r="B27" s="1160" t="s">
        <v>2432</v>
      </c>
      <c r="C27" s="1160" t="s">
        <v>2433</v>
      </c>
      <c r="D27" s="1160" t="s">
        <v>2434</v>
      </c>
      <c r="E27" s="1160" t="s">
        <v>2435</v>
      </c>
      <c r="F27" s="1160" t="s">
        <v>2432</v>
      </c>
      <c r="G27" s="1160" t="s">
        <v>2433</v>
      </c>
      <c r="H27" s="1160" t="s">
        <v>2434</v>
      </c>
      <c r="I27" s="1160" t="s">
        <v>2435</v>
      </c>
    </row>
    <row r="28" spans="1:9">
      <c r="A28" s="1161"/>
      <c r="B28" s="1162"/>
      <c r="C28" s="1162"/>
      <c r="D28" s="1162"/>
      <c r="E28" s="1162"/>
      <c r="F28" s="1162" t="s">
        <v>2291</v>
      </c>
      <c r="G28" s="1162" t="s">
        <v>2291</v>
      </c>
      <c r="H28" s="1162" t="s">
        <v>2291</v>
      </c>
      <c r="I28" s="1162" t="s">
        <v>2291</v>
      </c>
    </row>
    <row r="29" spans="1:9">
      <c r="A29" s="1161"/>
      <c r="B29" s="1162"/>
      <c r="C29" s="1162"/>
      <c r="D29" s="1162"/>
      <c r="E29" s="1162"/>
      <c r="F29" s="1162" t="s">
        <v>2291</v>
      </c>
      <c r="G29" s="1162" t="s">
        <v>2291</v>
      </c>
      <c r="H29" s="1162" t="s">
        <v>2291</v>
      </c>
      <c r="I29" s="1162" t="s">
        <v>2291</v>
      </c>
    </row>
    <row r="30" spans="1:9">
      <c r="A30" s="1184" t="s">
        <v>2436</v>
      </c>
      <c r="B30" s="1113"/>
      <c r="C30" s="1113" t="s">
        <v>2157</v>
      </c>
      <c r="D30" s="1113" t="s">
        <v>2157</v>
      </c>
      <c r="E30" s="1113" t="s">
        <v>2157</v>
      </c>
      <c r="F30" s="1113" t="s">
        <v>2291</v>
      </c>
      <c r="G30" s="1113" t="s">
        <v>2157</v>
      </c>
      <c r="H30" s="1113" t="s">
        <v>2157</v>
      </c>
      <c r="I30" s="1113" t="s">
        <v>2157</v>
      </c>
    </row>
    <row r="31" spans="1:9">
      <c r="A31" s="1182" t="s">
        <v>2437</v>
      </c>
      <c r="B31" s="1183"/>
      <c r="C31" s="1183"/>
      <c r="D31" s="1183"/>
      <c r="E31" s="1183"/>
      <c r="F31" s="1183"/>
      <c r="G31" s="1183"/>
      <c r="H31" s="1183"/>
      <c r="I31" s="1183"/>
    </row>
    <row r="32" spans="1:9">
      <c r="A32" s="1185" t="s">
        <v>2438</v>
      </c>
      <c r="B32" s="1186"/>
      <c r="C32" s="1186"/>
      <c r="D32" s="1186"/>
      <c r="E32" s="1186"/>
      <c r="F32" s="1186"/>
      <c r="G32" s="1186"/>
      <c r="H32" s="1187"/>
      <c r="I32" s="1183"/>
    </row>
    <row r="33" spans="1:9">
      <c r="A33" s="1309" t="s">
        <v>2439</v>
      </c>
      <c r="B33" s="1310"/>
      <c r="C33" s="1310"/>
      <c r="D33" s="1310"/>
      <c r="E33" s="1310"/>
      <c r="F33" s="1310"/>
      <c r="G33" s="1310"/>
      <c r="H33" s="1310"/>
      <c r="I33" s="1311"/>
    </row>
    <row r="34" spans="1:9" ht="33" customHeight="1">
      <c r="A34" s="1159" t="s">
        <v>2440</v>
      </c>
      <c r="B34" s="1109" t="s">
        <v>2296</v>
      </c>
      <c r="C34" s="1109" t="s">
        <v>2441</v>
      </c>
      <c r="D34" s="1109" t="s">
        <v>2442</v>
      </c>
      <c r="E34" s="1119" t="s">
        <v>2443</v>
      </c>
      <c r="F34" s="1119" t="s">
        <v>2444</v>
      </c>
      <c r="G34" s="1183"/>
      <c r="H34" s="1183"/>
      <c r="I34" s="1183"/>
    </row>
    <row r="35" spans="1:9">
      <c r="A35" s="1112" t="s">
        <v>2445</v>
      </c>
      <c r="B35" s="1162"/>
      <c r="C35" s="1162"/>
      <c r="D35" s="1162"/>
      <c r="E35" s="1162"/>
      <c r="F35" s="1162"/>
      <c r="G35" s="1183"/>
      <c r="H35" s="1183"/>
      <c r="I35" s="1183"/>
    </row>
    <row r="36" spans="1:9">
      <c r="A36" s="1112" t="s">
        <v>2446</v>
      </c>
      <c r="B36" s="1116"/>
      <c r="C36" s="1116"/>
      <c r="D36" s="1116"/>
      <c r="E36" s="1116"/>
      <c r="F36" s="1116"/>
      <c r="G36" s="1183"/>
      <c r="H36" s="1183"/>
      <c r="I36" s="1183"/>
    </row>
    <row r="37" spans="1:9">
      <c r="A37" s="1112"/>
      <c r="B37" s="1116"/>
      <c r="C37" s="1116"/>
      <c r="D37" s="1116"/>
      <c r="E37" s="1116"/>
      <c r="F37" s="1116"/>
      <c r="G37" s="1183"/>
      <c r="H37" s="1183"/>
      <c r="I37" s="1183"/>
    </row>
    <row r="38" spans="1:9">
      <c r="A38" s="1112"/>
      <c r="B38" s="1116"/>
      <c r="C38" s="1116"/>
      <c r="D38" s="1116"/>
      <c r="E38" s="1116"/>
      <c r="F38" s="1116"/>
      <c r="G38" s="1183"/>
      <c r="H38" s="1183"/>
      <c r="I38" s="1183"/>
    </row>
    <row r="39" spans="1:9">
      <c r="A39" s="1112" t="s">
        <v>2447</v>
      </c>
      <c r="B39" s="1116"/>
      <c r="C39" s="1116"/>
      <c r="D39" s="1116"/>
      <c r="E39" s="1116"/>
      <c r="F39" s="1116"/>
      <c r="G39" s="1183"/>
      <c r="H39" s="1183"/>
      <c r="I39" s="1183"/>
    </row>
    <row r="40" spans="1:9">
      <c r="A40" s="1112" t="s">
        <v>2446</v>
      </c>
      <c r="B40" s="1116"/>
      <c r="C40" s="1116"/>
      <c r="D40" s="1116"/>
      <c r="E40" s="1116"/>
      <c r="F40" s="1116"/>
      <c r="G40" s="1183"/>
      <c r="H40" s="1183"/>
      <c r="I40" s="1183"/>
    </row>
    <row r="41" spans="1:9">
      <c r="A41" s="1112"/>
      <c r="B41" s="1116"/>
      <c r="C41" s="1116"/>
      <c r="D41" s="1116"/>
      <c r="E41" s="1116"/>
      <c r="F41" s="1116"/>
      <c r="G41" s="1183"/>
      <c r="H41" s="1183"/>
      <c r="I41" s="1183"/>
    </row>
    <row r="42" spans="1:9">
      <c r="A42" s="1117"/>
      <c r="B42" s="1116"/>
      <c r="C42" s="1116"/>
      <c r="D42" s="1116"/>
      <c r="E42" s="1116"/>
      <c r="F42" s="1116"/>
      <c r="G42" s="1183"/>
      <c r="H42" s="1183"/>
      <c r="I42" s="1183"/>
    </row>
    <row r="43" spans="1:9">
      <c r="A43" s="1104" t="s">
        <v>2324</v>
      </c>
      <c r="B43" s="1188"/>
      <c r="C43" s="1188"/>
      <c r="D43" s="1188"/>
      <c r="E43" s="1188"/>
      <c r="F43" s="1188"/>
      <c r="G43" s="1183"/>
      <c r="H43" s="1183"/>
      <c r="I43" s="1183"/>
    </row>
    <row r="44" spans="1:9">
      <c r="A44" s="1189"/>
      <c r="B44" s="1183"/>
      <c r="C44" s="1183"/>
      <c r="D44" s="1183"/>
      <c r="E44" s="1183"/>
      <c r="F44" s="1183"/>
      <c r="G44" s="1183"/>
      <c r="H44" s="1183"/>
      <c r="I44" s="1183"/>
    </row>
    <row r="45" spans="1:9">
      <c r="A45" s="1309" t="s">
        <v>2448</v>
      </c>
      <c r="B45" s="1310"/>
      <c r="C45" s="1310"/>
      <c r="D45" s="1310"/>
      <c r="E45" s="1310"/>
      <c r="F45" s="1310"/>
      <c r="G45" s="1310"/>
      <c r="H45" s="1310"/>
      <c r="I45" s="1311"/>
    </row>
    <row r="46" spans="1:9" ht="29.25" customHeight="1">
      <c r="A46" s="1159" t="s">
        <v>2440</v>
      </c>
      <c r="B46" s="1109" t="s">
        <v>2296</v>
      </c>
      <c r="C46" s="1109" t="s">
        <v>2449</v>
      </c>
      <c r="D46" s="1109" t="s">
        <v>2442</v>
      </c>
      <c r="E46" s="1119" t="s">
        <v>2443</v>
      </c>
      <c r="F46" s="1119" t="s">
        <v>2444</v>
      </c>
      <c r="G46" s="1183"/>
      <c r="H46" s="1183"/>
      <c r="I46" s="1183"/>
    </row>
    <row r="47" spans="1:9">
      <c r="A47" s="1112" t="s">
        <v>2445</v>
      </c>
      <c r="B47" s="1162"/>
      <c r="C47" s="1162"/>
      <c r="D47" s="1162"/>
      <c r="E47" s="1162"/>
      <c r="F47" s="1162"/>
      <c r="G47" s="1183"/>
      <c r="H47" s="1183"/>
      <c r="I47" s="1183"/>
    </row>
    <row r="48" spans="1:9">
      <c r="A48" s="1112" t="s">
        <v>2446</v>
      </c>
      <c r="B48" s="1116"/>
      <c r="C48" s="1116"/>
      <c r="D48" s="1116"/>
      <c r="E48" s="1116"/>
      <c r="F48" s="1116"/>
      <c r="G48" s="1183"/>
      <c r="H48" s="1183"/>
      <c r="I48" s="1183"/>
    </row>
    <row r="49" spans="1:9">
      <c r="A49" s="1112"/>
      <c r="B49" s="1116"/>
      <c r="C49" s="1116"/>
      <c r="D49" s="1116"/>
      <c r="E49" s="1116"/>
      <c r="F49" s="1116"/>
      <c r="G49" s="1183"/>
      <c r="H49" s="1183"/>
      <c r="I49" s="1183"/>
    </row>
    <row r="50" spans="1:9">
      <c r="A50" s="1112"/>
      <c r="B50" s="1116"/>
      <c r="C50" s="1116"/>
      <c r="D50" s="1116"/>
      <c r="E50" s="1116"/>
      <c r="F50" s="1116"/>
      <c r="G50" s="1183"/>
      <c r="H50" s="1183"/>
      <c r="I50" s="1183"/>
    </row>
    <row r="51" spans="1:9">
      <c r="A51" s="1112" t="s">
        <v>2447</v>
      </c>
      <c r="B51" s="1116"/>
      <c r="C51" s="1116"/>
      <c r="D51" s="1116"/>
      <c r="E51" s="1116"/>
      <c r="F51" s="1116"/>
      <c r="G51" s="1183"/>
      <c r="H51" s="1183"/>
      <c r="I51" s="1183"/>
    </row>
    <row r="52" spans="1:9">
      <c r="A52" s="1112" t="s">
        <v>2446</v>
      </c>
      <c r="B52" s="1116"/>
      <c r="C52" s="1116"/>
      <c r="D52" s="1116"/>
      <c r="E52" s="1116"/>
      <c r="F52" s="1116"/>
      <c r="G52" s="1183"/>
      <c r="H52" s="1183"/>
      <c r="I52" s="1183"/>
    </row>
    <row r="53" spans="1:9">
      <c r="A53" s="1112"/>
      <c r="B53" s="1116"/>
      <c r="C53" s="1116"/>
      <c r="D53" s="1116"/>
      <c r="E53" s="1116"/>
      <c r="F53" s="1116"/>
      <c r="G53" s="1183"/>
      <c r="H53" s="1183"/>
      <c r="I53" s="1183"/>
    </row>
    <row r="54" spans="1:9">
      <c r="A54" s="1117"/>
      <c r="B54" s="1116"/>
      <c r="C54" s="1116"/>
      <c r="D54" s="1116"/>
      <c r="E54" s="1116"/>
      <c r="F54" s="1116"/>
      <c r="G54" s="1183"/>
      <c r="H54" s="1183"/>
      <c r="I54" s="1183"/>
    </row>
    <row r="55" spans="1:9">
      <c r="A55" s="1104" t="s">
        <v>2324</v>
      </c>
      <c r="B55" s="1188"/>
      <c r="C55" s="1188"/>
      <c r="D55" s="1188"/>
      <c r="E55" s="1188"/>
      <c r="F55" s="1188"/>
      <c r="G55" s="1183"/>
      <c r="H55" s="1183"/>
      <c r="I55" s="1183"/>
    </row>
    <row r="56" spans="1:9">
      <c r="A56" s="1309" t="s">
        <v>2450</v>
      </c>
      <c r="B56" s="1310"/>
      <c r="C56" s="1310"/>
      <c r="D56" s="1310"/>
      <c r="E56" s="1310"/>
      <c r="F56" s="1311"/>
      <c r="G56" s="1183"/>
      <c r="H56" s="1183"/>
      <c r="I56" s="1183"/>
    </row>
    <row r="57" spans="1:9" ht="24.75">
      <c r="A57" s="1159" t="s">
        <v>2440</v>
      </c>
      <c r="B57" s="1109" t="s">
        <v>2296</v>
      </c>
      <c r="C57" s="1109" t="s">
        <v>2449</v>
      </c>
      <c r="D57" s="1109" t="s">
        <v>2442</v>
      </c>
      <c r="E57" s="1119" t="s">
        <v>2443</v>
      </c>
      <c r="F57" s="1119" t="s">
        <v>2444</v>
      </c>
      <c r="G57" s="1183"/>
      <c r="H57" s="1183"/>
      <c r="I57" s="1183"/>
    </row>
    <row r="58" spans="1:9">
      <c r="A58" s="1112" t="s">
        <v>2445</v>
      </c>
      <c r="B58" s="1162"/>
      <c r="C58" s="1162"/>
      <c r="D58" s="1162"/>
      <c r="E58" s="1162"/>
      <c r="F58" s="1162"/>
      <c r="G58" s="1183"/>
      <c r="H58" s="1183"/>
      <c r="I58" s="1183"/>
    </row>
    <row r="59" spans="1:9">
      <c r="A59" s="1112" t="s">
        <v>2446</v>
      </c>
      <c r="B59" s="1116"/>
      <c r="C59" s="1116"/>
      <c r="D59" s="1116"/>
      <c r="E59" s="1116"/>
      <c r="F59" s="1116"/>
      <c r="G59" s="1183"/>
      <c r="H59" s="1183"/>
      <c r="I59" s="1183"/>
    </row>
    <row r="60" spans="1:9">
      <c r="A60" s="1112"/>
      <c r="B60" s="1116"/>
      <c r="C60" s="1116"/>
      <c r="D60" s="1116"/>
      <c r="E60" s="1116"/>
      <c r="F60" s="1116"/>
      <c r="G60" s="1183"/>
      <c r="H60" s="1183"/>
      <c r="I60" s="1183"/>
    </row>
    <row r="61" spans="1:9">
      <c r="A61" s="1112"/>
      <c r="B61" s="1116"/>
      <c r="C61" s="1116"/>
      <c r="D61" s="1116"/>
      <c r="E61" s="1116"/>
      <c r="F61" s="1116"/>
      <c r="G61" s="1183"/>
      <c r="H61" s="1183"/>
      <c r="I61" s="1183"/>
    </row>
    <row r="62" spans="1:9">
      <c r="A62" s="1112" t="s">
        <v>2447</v>
      </c>
      <c r="B62" s="1116"/>
      <c r="C62" s="1116"/>
      <c r="D62" s="1116"/>
      <c r="E62" s="1116"/>
      <c r="F62" s="1116"/>
      <c r="G62" s="1183"/>
      <c r="H62" s="1183"/>
      <c r="I62" s="1183"/>
    </row>
    <row r="63" spans="1:9">
      <c r="A63" s="1112" t="s">
        <v>2446</v>
      </c>
      <c r="B63" s="1116"/>
      <c r="C63" s="1116"/>
      <c r="D63" s="1116"/>
      <c r="E63" s="1116"/>
      <c r="F63" s="1116"/>
      <c r="G63" s="1183"/>
      <c r="H63" s="1183"/>
      <c r="I63" s="1183"/>
    </row>
    <row r="64" spans="1:9">
      <c r="A64" s="1112"/>
      <c r="B64" s="1116"/>
      <c r="C64" s="1116"/>
      <c r="D64" s="1116"/>
      <c r="E64" s="1116"/>
      <c r="F64" s="1116"/>
      <c r="G64" s="1183"/>
      <c r="H64" s="1183"/>
      <c r="I64" s="1183"/>
    </row>
    <row r="65" spans="1:9">
      <c r="A65" s="1117"/>
      <c r="B65" s="1116"/>
      <c r="C65" s="1116"/>
      <c r="D65" s="1116"/>
      <c r="E65" s="1116"/>
      <c r="F65" s="1116"/>
      <c r="G65" s="1183"/>
      <c r="H65" s="1183"/>
      <c r="I65" s="1183"/>
    </row>
    <row r="66" spans="1:9">
      <c r="A66" s="1104" t="s">
        <v>2324</v>
      </c>
      <c r="B66" s="1188"/>
      <c r="C66" s="1188"/>
      <c r="D66" s="1188"/>
      <c r="E66" s="1188"/>
      <c r="F66" s="1188"/>
      <c r="G66" s="1183"/>
      <c r="H66" s="1183"/>
      <c r="I66" s="1183"/>
    </row>
    <row r="67" spans="1:9">
      <c r="A67" s="1309" t="s">
        <v>2451</v>
      </c>
      <c r="B67" s="1310"/>
      <c r="C67" s="1310"/>
      <c r="D67" s="1310"/>
      <c r="E67" s="1310"/>
      <c r="F67" s="1311"/>
      <c r="G67" s="1183"/>
      <c r="H67" s="1183"/>
      <c r="I67" s="1183"/>
    </row>
    <row r="68" spans="1:9">
      <c r="A68" s="1309" t="s">
        <v>2452</v>
      </c>
      <c r="B68" s="1310"/>
      <c r="C68" s="1310"/>
      <c r="D68" s="1310"/>
      <c r="E68" s="1310"/>
      <c r="F68" s="1311"/>
      <c r="G68" s="1183"/>
      <c r="H68" s="1183"/>
      <c r="I68" s="1183"/>
    </row>
    <row r="69" spans="1:9">
      <c r="A69" s="1309" t="s">
        <v>2453</v>
      </c>
      <c r="B69" s="1310"/>
      <c r="C69" s="1310"/>
      <c r="D69" s="1310"/>
      <c r="E69" s="1310"/>
      <c r="F69" s="1311"/>
      <c r="G69" s="1183"/>
      <c r="H69" s="1183"/>
      <c r="I69" s="1183"/>
    </row>
    <row r="70" spans="1:9">
      <c r="A70" s="1104"/>
      <c r="B70" s="1108" t="s">
        <v>2454</v>
      </c>
      <c r="C70" s="1183"/>
      <c r="D70" s="1183"/>
      <c r="E70" s="1183"/>
      <c r="F70" s="1183"/>
      <c r="G70" s="1183"/>
      <c r="H70" s="1183"/>
      <c r="I70" s="1183"/>
    </row>
    <row r="71" spans="1:9">
      <c r="A71" s="1307" t="s">
        <v>2290</v>
      </c>
      <c r="B71" s="1308"/>
      <c r="C71" s="1183"/>
      <c r="D71" s="1183"/>
      <c r="E71" s="1183"/>
      <c r="F71" s="1183"/>
      <c r="G71" s="1183"/>
      <c r="H71" s="1183"/>
      <c r="I71" s="1183"/>
    </row>
    <row r="72" spans="1:9">
      <c r="A72" s="1307"/>
      <c r="B72" s="1308"/>
      <c r="C72" s="1183"/>
      <c r="D72" s="1183"/>
      <c r="E72" s="1183"/>
      <c r="F72" s="1183"/>
      <c r="G72" s="1183"/>
      <c r="H72" s="1183"/>
      <c r="I72" s="1183"/>
    </row>
    <row r="73" spans="1:9">
      <c r="A73" s="1307" t="s">
        <v>2312</v>
      </c>
      <c r="B73" s="1308"/>
      <c r="C73" s="1183"/>
      <c r="D73" s="1183"/>
      <c r="E73" s="1183"/>
      <c r="F73" s="1183"/>
      <c r="G73" s="1183"/>
      <c r="H73" s="1183"/>
      <c r="I73" s="1183"/>
    </row>
    <row r="74" spans="1:9">
      <c r="A74" s="1307"/>
      <c r="B74" s="1308"/>
      <c r="C74" s="1183"/>
      <c r="D74" s="1183"/>
      <c r="E74" s="1183"/>
      <c r="F74" s="1183"/>
      <c r="G74" s="1183"/>
      <c r="H74" s="1183"/>
      <c r="I74" s="1183"/>
    </row>
    <row r="75" spans="1:9">
      <c r="A75" s="1161" t="s">
        <v>2258</v>
      </c>
      <c r="B75" s="1162"/>
      <c r="C75" s="1183"/>
      <c r="D75" s="1183"/>
      <c r="E75" s="1183"/>
      <c r="F75" s="1183"/>
      <c r="G75" s="1183"/>
      <c r="H75" s="1183"/>
      <c r="I75" s="1183"/>
    </row>
    <row r="76" spans="1:9">
      <c r="A76" s="1161" t="s">
        <v>2313</v>
      </c>
      <c r="B76" s="1162"/>
      <c r="C76" s="1183"/>
      <c r="D76" s="1183"/>
      <c r="E76" s="1183"/>
      <c r="F76" s="1183"/>
      <c r="G76" s="1183"/>
      <c r="H76" s="1183"/>
      <c r="I76" s="1183"/>
    </row>
    <row r="77" spans="1:9">
      <c r="A77" s="1161" t="s">
        <v>2314</v>
      </c>
      <c r="B77" s="1162"/>
      <c r="C77" s="1183"/>
      <c r="D77" s="1183"/>
      <c r="E77" s="1183"/>
      <c r="F77" s="1183"/>
      <c r="G77" s="1183"/>
      <c r="H77" s="1183"/>
      <c r="I77" s="1183"/>
    </row>
    <row r="78" spans="1:9">
      <c r="A78" s="1161" t="s">
        <v>2315</v>
      </c>
      <c r="B78" s="1162"/>
      <c r="C78" s="1183"/>
      <c r="D78" s="1183"/>
      <c r="E78" s="1183"/>
      <c r="F78" s="1183"/>
      <c r="G78" s="1183"/>
      <c r="H78" s="1183"/>
      <c r="I78" s="1183"/>
    </row>
    <row r="79" spans="1:9">
      <c r="A79" s="1161" t="s">
        <v>2316</v>
      </c>
      <c r="B79" s="1162"/>
      <c r="C79" s="1183"/>
      <c r="D79" s="1183"/>
      <c r="E79" s="1183"/>
      <c r="F79" s="1183"/>
      <c r="G79" s="1183"/>
      <c r="H79" s="1183"/>
      <c r="I79" s="1183"/>
    </row>
    <row r="80" spans="1:9">
      <c r="A80" s="1161" t="s">
        <v>2317</v>
      </c>
      <c r="B80" s="1162"/>
      <c r="C80" s="1183"/>
      <c r="D80" s="1183"/>
      <c r="E80" s="1183"/>
      <c r="F80" s="1183"/>
      <c r="G80" s="1183"/>
      <c r="H80" s="1183"/>
      <c r="I80" s="1183"/>
    </row>
    <row r="81" spans="1:9">
      <c r="A81" s="1104" t="s">
        <v>2172</v>
      </c>
      <c r="B81" s="1108"/>
      <c r="C81" s="1183"/>
      <c r="D81" s="1183"/>
      <c r="E81" s="1183"/>
      <c r="F81" s="1183"/>
      <c r="G81" s="1183"/>
      <c r="H81" s="1183"/>
      <c r="I81" s="1183"/>
    </row>
  </sheetData>
  <mergeCells count="15">
    <mergeCell ref="A71:A72"/>
    <mergeCell ref="B71:B72"/>
    <mergeCell ref="A73:A74"/>
    <mergeCell ref="B73:B74"/>
    <mergeCell ref="A33:I33"/>
    <mergeCell ref="A45:I45"/>
    <mergeCell ref="A56:F56"/>
    <mergeCell ref="A67:F67"/>
    <mergeCell ref="A68:F68"/>
    <mergeCell ref="A69:F69"/>
    <mergeCell ref="A5:A6"/>
    <mergeCell ref="A13:B13"/>
    <mergeCell ref="A26:A27"/>
    <mergeCell ref="B26:E26"/>
    <mergeCell ref="F26:I26"/>
  </mergeCells>
  <phoneticPr fontId="76" type="noConversion"/>
  <pageMargins left="0.7" right="0.7" top="0.75" bottom="0.75" header="0.3" footer="0.3"/>
  <pageSetup paperSize="9" scale="56"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view="pageBreakPreview" topLeftCell="A13" zoomScaleNormal="100" zoomScaleSheetLayoutView="100" workbookViewId="0">
      <selection activeCell="D15" sqref="D15"/>
    </sheetView>
  </sheetViews>
  <sheetFormatPr defaultColWidth="9" defaultRowHeight="20.100000000000001" customHeight="1"/>
  <cols>
    <col min="1" max="1" width="13.875" style="11" customWidth="1"/>
    <col min="2" max="2" width="24.625" style="11" customWidth="1"/>
    <col min="3" max="4" width="19" style="11" customWidth="1"/>
    <col min="5" max="5" width="24.625" style="11" customWidth="1"/>
    <col min="6" max="6" width="25.5" style="11" customWidth="1"/>
    <col min="7" max="7" width="16.125" style="11" customWidth="1"/>
    <col min="8" max="9" width="9" style="116"/>
    <col min="10" max="16384" width="9" style="11"/>
  </cols>
  <sheetData>
    <row r="1" spans="1:11" ht="24.95" customHeight="1">
      <c r="A1" s="54" t="s">
        <v>145</v>
      </c>
      <c r="B1" s="55">
        <f>基础信息!B6</f>
        <v>0</v>
      </c>
      <c r="E1" s="14"/>
    </row>
    <row r="2" spans="1:11" ht="24.95" customHeight="1">
      <c r="A2" s="54" t="s">
        <v>147</v>
      </c>
      <c r="B2" s="55">
        <f>基础信息!B9</f>
        <v>0</v>
      </c>
    </row>
    <row r="3" spans="1:11" ht="24.95" customHeight="1">
      <c r="A3" s="97" t="s">
        <v>148</v>
      </c>
      <c r="B3" s="97" t="s">
        <v>927</v>
      </c>
    </row>
    <row r="4" spans="1:11" s="424" customFormat="1" ht="20.100000000000001" customHeight="1">
      <c r="A4" s="68" t="s">
        <v>928</v>
      </c>
      <c r="B4" s="15"/>
      <c r="C4" s="15"/>
      <c r="D4" s="15"/>
      <c r="E4" s="15"/>
      <c r="F4" s="15"/>
      <c r="G4" s="7"/>
    </row>
    <row r="5" spans="1:11" s="368" customFormat="1" ht="20.100000000000001" customHeight="1">
      <c r="A5" s="1291" t="s">
        <v>903</v>
      </c>
      <c r="B5" s="1292" t="s">
        <v>798</v>
      </c>
      <c r="C5" s="1292"/>
      <c r="D5" s="1292"/>
      <c r="E5" s="15"/>
      <c r="F5" s="15"/>
      <c r="G5" s="9"/>
    </row>
    <row r="6" spans="1:11" s="368" customFormat="1" ht="20.100000000000001" customHeight="1">
      <c r="A6" s="1291"/>
      <c r="B6" s="231" t="s">
        <v>915</v>
      </c>
      <c r="C6" s="231" t="s">
        <v>916</v>
      </c>
      <c r="D6" s="231" t="s">
        <v>917</v>
      </c>
      <c r="E6" s="15"/>
      <c r="F6" s="15"/>
      <c r="G6" s="9"/>
    </row>
    <row r="7" spans="1:11" s="368" customFormat="1" ht="20.100000000000001" customHeight="1">
      <c r="A7" s="233"/>
      <c r="B7" s="139"/>
      <c r="C7" s="139"/>
      <c r="D7" s="285">
        <f>B7-C7</f>
        <v>0</v>
      </c>
      <c r="E7" s="11"/>
      <c r="F7" s="11"/>
      <c r="G7" s="11"/>
    </row>
    <row r="8" spans="1:11" s="368" customFormat="1" ht="20.100000000000001" customHeight="1">
      <c r="A8" s="233"/>
      <c r="B8" s="139"/>
      <c r="C8" s="139"/>
      <c r="D8" s="285">
        <f t="shared" ref="D8:D11" si="0">B8-C8</f>
        <v>0</v>
      </c>
      <c r="E8" s="11"/>
      <c r="F8" s="11"/>
      <c r="G8" s="11"/>
    </row>
    <row r="9" spans="1:11" s="368" customFormat="1" ht="20.100000000000001" customHeight="1">
      <c r="A9" s="233"/>
      <c r="B9" s="139"/>
      <c r="C9" s="139"/>
      <c r="D9" s="285">
        <f t="shared" si="0"/>
        <v>0</v>
      </c>
      <c r="E9" s="11"/>
      <c r="F9" s="11"/>
      <c r="G9" s="11"/>
    </row>
    <row r="10" spans="1:11" s="368" customFormat="1" ht="20.100000000000001" customHeight="1">
      <c r="A10" s="233"/>
      <c r="B10" s="139"/>
      <c r="C10" s="139"/>
      <c r="D10" s="285">
        <f t="shared" si="0"/>
        <v>0</v>
      </c>
      <c r="E10" s="11"/>
      <c r="F10" s="11"/>
      <c r="G10" s="11"/>
    </row>
    <row r="11" spans="1:11" s="368" customFormat="1" ht="20.100000000000001" customHeight="1">
      <c r="A11" s="233"/>
      <c r="B11" s="139"/>
      <c r="C11" s="139"/>
      <c r="D11" s="285">
        <f t="shared" si="0"/>
        <v>0</v>
      </c>
      <c r="E11" s="11"/>
      <c r="F11" s="11"/>
      <c r="G11" s="11"/>
    </row>
    <row r="12" spans="1:11" s="368" customFormat="1" ht="20.100000000000001" customHeight="1">
      <c r="A12" s="233" t="s">
        <v>929</v>
      </c>
      <c r="B12" s="285">
        <f>SUM(B7:B11)</f>
        <v>0</v>
      </c>
      <c r="C12" s="285">
        <f t="shared" ref="C12:D12" si="1">SUM(C7:C11)</f>
        <v>0</v>
      </c>
      <c r="D12" s="285">
        <f t="shared" si="1"/>
        <v>0</v>
      </c>
      <c r="E12" s="11"/>
      <c r="F12" s="11"/>
      <c r="G12" s="11"/>
    </row>
    <row r="13" spans="1:11" s="368" customFormat="1" ht="20.100000000000001" customHeight="1">
      <c r="A13" s="1293" t="s">
        <v>930</v>
      </c>
      <c r="B13" s="1294"/>
      <c r="C13" s="1294"/>
      <c r="D13" s="1295"/>
      <c r="E13" s="11"/>
      <c r="F13" s="11"/>
      <c r="G13" s="11"/>
    </row>
    <row r="14" spans="1:11" s="368" customFormat="1" ht="20.100000000000001" customHeight="1">
      <c r="A14" s="233" t="s">
        <v>907</v>
      </c>
      <c r="B14" s="476">
        <f>B12-B13</f>
        <v>0</v>
      </c>
      <c r="C14" s="476">
        <f t="shared" ref="C14:D14" si="2">C12-C13</f>
        <v>0</v>
      </c>
      <c r="D14" s="476">
        <f t="shared" si="2"/>
        <v>0</v>
      </c>
      <c r="E14" s="11"/>
      <c r="F14" s="11"/>
      <c r="G14" s="11"/>
    </row>
    <row r="15" spans="1:11" s="388" customFormat="1" ht="20.100000000000001" customHeight="1">
      <c r="A15" s="225" t="s">
        <v>649</v>
      </c>
      <c r="B15" s="225"/>
      <c r="C15" s="233"/>
      <c r="D15" s="476">
        <f>'RP 006'!E47</f>
        <v>0</v>
      </c>
      <c r="E15" s="11"/>
      <c r="F15" s="11"/>
      <c r="G15" s="11"/>
      <c r="H15" s="392"/>
      <c r="I15" s="392"/>
      <c r="J15" s="392"/>
      <c r="K15" s="392"/>
    </row>
    <row r="16" spans="1:11" s="388" customFormat="1" ht="20.100000000000001" customHeight="1">
      <c r="A16" s="333"/>
      <c r="B16" s="225"/>
      <c r="C16" s="233"/>
      <c r="D16" s="477">
        <f>D14-D15</f>
        <v>0</v>
      </c>
      <c r="E16" s="11"/>
      <c r="F16" s="11"/>
      <c r="G16" s="11"/>
      <c r="H16" s="392"/>
      <c r="I16" s="392"/>
      <c r="J16" s="392"/>
      <c r="K16" s="392"/>
    </row>
    <row r="17" spans="1:11" s="388" customFormat="1" ht="20.100000000000001" customHeight="1">
      <c r="A17" s="227"/>
      <c r="B17" s="227"/>
      <c r="C17" s="381"/>
      <c r="D17" s="227" t="str">
        <f>IF(D16=0,"OK","NO")</f>
        <v>OK</v>
      </c>
      <c r="E17" s="11"/>
      <c r="F17" s="11"/>
      <c r="G17" s="11"/>
      <c r="H17" s="392"/>
      <c r="I17" s="392"/>
      <c r="J17" s="392"/>
      <c r="K17" s="392"/>
    </row>
    <row r="18" spans="1:11" s="368" customFormat="1" ht="20.100000000000001" customHeight="1">
      <c r="A18" s="478"/>
      <c r="B18" s="381"/>
      <c r="C18" s="381"/>
      <c r="D18" s="381"/>
      <c r="E18" s="11"/>
      <c r="F18" s="11"/>
      <c r="G18" s="11"/>
    </row>
    <row r="19" spans="1:11" s="424" customFormat="1" ht="20.100000000000001" customHeight="1">
      <c r="A19" s="68" t="s">
        <v>931</v>
      </c>
      <c r="B19" s="221"/>
      <c r="C19" s="221"/>
      <c r="D19" s="221"/>
      <c r="E19" s="221"/>
      <c r="F19" s="221"/>
      <c r="G19" s="279"/>
    </row>
    <row r="20" spans="1:11" s="368" customFormat="1" ht="20.100000000000001" customHeight="1">
      <c r="A20" s="181" t="s">
        <v>932</v>
      </c>
      <c r="B20" s="181" t="s">
        <v>933</v>
      </c>
      <c r="C20" s="181" t="s">
        <v>934</v>
      </c>
      <c r="D20" s="181" t="s">
        <v>935</v>
      </c>
      <c r="E20" s="181" t="s">
        <v>936</v>
      </c>
      <c r="F20" s="221"/>
      <c r="G20" s="223"/>
    </row>
    <row r="21" spans="1:11" s="368" customFormat="1" ht="20.100000000000001" customHeight="1">
      <c r="A21" s="182"/>
      <c r="B21" s="182"/>
      <c r="C21" s="182"/>
      <c r="D21" s="182"/>
      <c r="E21" s="182"/>
      <c r="F21" s="223"/>
      <c r="G21" s="392"/>
    </row>
    <row r="22" spans="1:11" s="368" customFormat="1" ht="20.100000000000001" customHeight="1">
      <c r="A22" s="182" t="s">
        <v>937</v>
      </c>
      <c r="B22" s="182" t="s">
        <v>765</v>
      </c>
      <c r="C22" s="182" t="s">
        <v>924</v>
      </c>
      <c r="D22" s="182" t="s">
        <v>924</v>
      </c>
      <c r="E22" s="182" t="s">
        <v>924</v>
      </c>
      <c r="F22" s="223"/>
      <c r="G22" s="392"/>
    </row>
    <row r="23" spans="1:11" s="368" customFormat="1" ht="20.100000000000001" customHeight="1">
      <c r="A23" s="240" t="s">
        <v>938</v>
      </c>
      <c r="B23" s="223"/>
      <c r="C23" s="223"/>
      <c r="D23" s="223"/>
      <c r="E23" s="223"/>
      <c r="F23" s="223"/>
      <c r="G23" s="392"/>
    </row>
    <row r="24" spans="1:11" s="368" customFormat="1" ht="20.100000000000001" customHeight="1">
      <c r="A24" s="28" t="s">
        <v>939</v>
      </c>
      <c r="B24" s="223"/>
      <c r="C24" s="223"/>
      <c r="D24" s="223"/>
      <c r="E24" s="223"/>
      <c r="F24" s="223"/>
      <c r="G24" s="392"/>
    </row>
    <row r="25" spans="1:11" s="368" customFormat="1" ht="20.100000000000001" customHeight="1">
      <c r="A25" s="240" t="s">
        <v>940</v>
      </c>
      <c r="B25" s="223"/>
      <c r="C25" s="223"/>
      <c r="D25" s="223"/>
      <c r="E25" s="223"/>
      <c r="F25" s="223"/>
      <c r="G25" s="392"/>
    </row>
    <row r="26" spans="1:11" s="368" customFormat="1" ht="20.100000000000001" customHeight="1">
      <c r="A26" s="242" t="s">
        <v>941</v>
      </c>
      <c r="B26" s="223"/>
      <c r="C26" s="223"/>
      <c r="D26" s="223"/>
      <c r="E26" s="223"/>
      <c r="F26" s="223"/>
      <c r="G26" s="392"/>
    </row>
    <row r="27" spans="1:11" s="368" customFormat="1" ht="16.5">
      <c r="A27" s="388"/>
      <c r="B27" s="388"/>
      <c r="C27" s="388"/>
      <c r="D27" s="388"/>
      <c r="E27" s="388"/>
      <c r="F27" s="388"/>
      <c r="G27" s="388"/>
    </row>
    <row r="28" spans="1:11" s="368" customFormat="1" ht="16.5">
      <c r="A28" s="388"/>
      <c r="B28" s="388"/>
      <c r="C28" s="388"/>
      <c r="D28" s="388"/>
      <c r="E28" s="388"/>
      <c r="F28" s="388"/>
      <c r="G28" s="388"/>
    </row>
    <row r="29" spans="1:11" s="368" customFormat="1" ht="16.5">
      <c r="A29" s="388"/>
      <c r="B29" s="388"/>
      <c r="C29" s="388"/>
      <c r="D29" s="388"/>
      <c r="E29" s="388"/>
      <c r="F29" s="388"/>
      <c r="G29" s="388"/>
    </row>
    <row r="30" spans="1:11" s="368" customFormat="1" ht="16.5">
      <c r="A30" s="388"/>
      <c r="B30" s="388"/>
      <c r="C30" s="388"/>
      <c r="D30" s="388"/>
      <c r="E30" s="388"/>
      <c r="F30" s="388"/>
      <c r="G30" s="388"/>
    </row>
    <row r="31" spans="1:11" s="368" customFormat="1" ht="16.5">
      <c r="A31" s="388"/>
      <c r="B31" s="388"/>
      <c r="C31" s="388"/>
      <c r="D31" s="388"/>
      <c r="E31" s="388"/>
      <c r="F31" s="388"/>
      <c r="G31" s="388"/>
    </row>
    <row r="32" spans="1:11" s="368" customFormat="1" ht="12.75"/>
    <row r="33" spans="7:9" ht="20.100000000000001" customHeight="1">
      <c r="G33" s="116"/>
      <c r="I33" s="11"/>
    </row>
  </sheetData>
  <mergeCells count="3">
    <mergeCell ref="B5:D5"/>
    <mergeCell ref="A13:D13"/>
    <mergeCell ref="A5:A6"/>
  </mergeCells>
  <phoneticPr fontId="76" type="noConversion"/>
  <pageMargins left="0.27500000000000002" right="0.27500000000000002" top="0.51180555555555596" bottom="0.51180555555555596" header="0.27500000000000002" footer="0.27500000000000002"/>
  <pageSetup paperSize="9" scale="90" orientation="landscape" blackAndWhite="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8"/>
  <sheetViews>
    <sheetView view="pageBreakPreview" zoomScaleNormal="100" zoomScaleSheetLayoutView="100" workbookViewId="0">
      <selection activeCell="D18" sqref="D18"/>
    </sheetView>
  </sheetViews>
  <sheetFormatPr defaultColWidth="9" defaultRowHeight="20.100000000000001" customHeight="1"/>
  <cols>
    <col min="1" max="1" width="25.625" style="207" customWidth="1"/>
    <col min="2" max="2" width="12.25" style="207" customWidth="1"/>
    <col min="3" max="3" width="13" style="207" customWidth="1"/>
    <col min="4" max="4" width="11.875" style="207" customWidth="1"/>
    <col min="5" max="5" width="12.625" style="207" customWidth="1"/>
    <col min="6" max="16384" width="9" style="207"/>
  </cols>
  <sheetData>
    <row r="1" spans="1:5" ht="20.100000000000001" customHeight="1">
      <c r="A1" s="1152" t="s">
        <v>776</v>
      </c>
      <c r="B1" s="1085">
        <f>基础信息!B6</f>
        <v>0</v>
      </c>
      <c r="C1" s="1086"/>
      <c r="D1" s="1086"/>
      <c r="E1" s="1086"/>
    </row>
    <row r="2" spans="1:5" ht="20.100000000000001" customHeight="1">
      <c r="A2" s="1152" t="s">
        <v>2293</v>
      </c>
      <c r="B2" s="1085">
        <f>基础信息!B9</f>
        <v>0</v>
      </c>
      <c r="C2" s="1086"/>
      <c r="D2" s="1086"/>
      <c r="E2" s="1086"/>
    </row>
    <row r="3" spans="1:5" s="371" customFormat="1" ht="20.100000000000001" customHeight="1">
      <c r="A3" s="1087" t="s">
        <v>1246</v>
      </c>
      <c r="B3" s="1087" t="s">
        <v>2294</v>
      </c>
      <c r="C3" s="1086"/>
      <c r="D3" s="1086"/>
      <c r="E3" s="1088"/>
    </row>
    <row r="4" spans="1:5" s="424" customFormat="1" ht="20.100000000000001" customHeight="1">
      <c r="A4" s="221" t="s">
        <v>942</v>
      </c>
      <c r="B4" s="221"/>
      <c r="C4" s="221"/>
      <c r="D4" s="221"/>
      <c r="E4" s="221"/>
    </row>
    <row r="5" spans="1:5" s="474" customFormat="1" ht="20.100000000000001" customHeight="1">
      <c r="A5" s="1312" t="s">
        <v>943</v>
      </c>
      <c r="B5" s="1312" t="s">
        <v>944</v>
      </c>
      <c r="C5" s="1312"/>
      <c r="D5" s="1312"/>
      <c r="E5" s="1312" t="s">
        <v>945</v>
      </c>
    </row>
    <row r="6" spans="1:5" s="474" customFormat="1" ht="20.100000000000001" customHeight="1">
      <c r="A6" s="1312"/>
      <c r="B6" s="1163" t="s">
        <v>946</v>
      </c>
      <c r="C6" s="1163" t="s">
        <v>947</v>
      </c>
      <c r="D6" s="1163" t="s">
        <v>948</v>
      </c>
      <c r="E6" s="1312"/>
    </row>
    <row r="7" spans="1:5" s="368" customFormat="1" ht="20.100000000000001" customHeight="1">
      <c r="A7" s="182" t="s">
        <v>949</v>
      </c>
      <c r="B7" s="222"/>
      <c r="C7" s="222"/>
      <c r="D7" s="20">
        <f>B7-C7</f>
        <v>0</v>
      </c>
      <c r="E7" s="222"/>
    </row>
    <row r="8" spans="1:5" s="368" customFormat="1" ht="20.100000000000001" customHeight="1">
      <c r="A8" s="182" t="s">
        <v>2292</v>
      </c>
      <c r="B8" s="222"/>
      <c r="C8" s="222"/>
      <c r="D8" s="20">
        <f t="shared" ref="D8:D16" si="0">B8-C8</f>
        <v>0</v>
      </c>
      <c r="E8" s="222"/>
    </row>
    <row r="9" spans="1:5" s="368" customFormat="1" ht="20.100000000000001" customHeight="1">
      <c r="A9" s="182" t="s">
        <v>950</v>
      </c>
      <c r="B9" s="222"/>
      <c r="C9" s="222"/>
      <c r="D9" s="20">
        <f t="shared" si="0"/>
        <v>0</v>
      </c>
      <c r="E9" s="222"/>
    </row>
    <row r="10" spans="1:5" s="368" customFormat="1" ht="20.100000000000001" customHeight="1">
      <c r="A10" s="182" t="s">
        <v>951</v>
      </c>
      <c r="B10" s="222"/>
      <c r="C10" s="222"/>
      <c r="D10" s="20">
        <f t="shared" si="0"/>
        <v>0</v>
      </c>
      <c r="E10" s="222"/>
    </row>
    <row r="11" spans="1:5" s="368" customFormat="1" ht="20.100000000000001" customHeight="1">
      <c r="A11" s="182" t="s">
        <v>952</v>
      </c>
      <c r="B11" s="222"/>
      <c r="C11" s="222"/>
      <c r="D11" s="20">
        <f t="shared" si="0"/>
        <v>0</v>
      </c>
      <c r="E11" s="222"/>
    </row>
    <row r="12" spans="1:5" s="368" customFormat="1" ht="20.100000000000001" customHeight="1">
      <c r="A12" s="182" t="s">
        <v>951</v>
      </c>
      <c r="B12" s="222"/>
      <c r="C12" s="222"/>
      <c r="D12" s="20">
        <f t="shared" si="0"/>
        <v>0</v>
      </c>
      <c r="E12" s="222"/>
    </row>
    <row r="13" spans="1:5" s="368" customFormat="1" ht="20.100000000000001" customHeight="1">
      <c r="A13" s="182" t="s">
        <v>906</v>
      </c>
      <c r="B13" s="222"/>
      <c r="C13" s="222"/>
      <c r="D13" s="20">
        <f t="shared" si="0"/>
        <v>0</v>
      </c>
      <c r="E13" s="222"/>
    </row>
    <row r="14" spans="1:5" s="368" customFormat="1" ht="20.100000000000001" customHeight="1">
      <c r="A14" s="284" t="s">
        <v>737</v>
      </c>
      <c r="B14" s="222"/>
      <c r="C14" s="222"/>
      <c r="D14" s="20">
        <f t="shared" si="0"/>
        <v>0</v>
      </c>
      <c r="E14" s="222"/>
    </row>
    <row r="15" spans="1:5" s="368" customFormat="1" ht="20.100000000000001" customHeight="1">
      <c r="A15" s="182" t="s">
        <v>953</v>
      </c>
      <c r="B15" s="222"/>
      <c r="C15" s="222"/>
      <c r="D15" s="20">
        <f t="shared" si="0"/>
        <v>0</v>
      </c>
      <c r="E15" s="222"/>
    </row>
    <row r="16" spans="1:5" s="368" customFormat="1" ht="20.100000000000001" customHeight="1">
      <c r="A16" s="182" t="s">
        <v>954</v>
      </c>
      <c r="B16" s="222"/>
      <c r="C16" s="222"/>
      <c r="D16" s="20">
        <f t="shared" si="0"/>
        <v>0</v>
      </c>
      <c r="E16" s="222"/>
    </row>
    <row r="17" spans="1:11" s="368" customFormat="1" ht="20.100000000000001" customHeight="1">
      <c r="A17" s="182" t="s">
        <v>937</v>
      </c>
      <c r="B17" s="224">
        <f>B15-B16</f>
        <v>0</v>
      </c>
      <c r="C17" s="224">
        <f t="shared" ref="C17:D17" si="1">C15-C16</f>
        <v>0</v>
      </c>
      <c r="D17" s="20">
        <f t="shared" si="1"/>
        <v>0</v>
      </c>
      <c r="E17" s="222"/>
    </row>
    <row r="18" spans="1:11" s="368" customFormat="1" ht="20.100000000000001" customHeight="1">
      <c r="A18" s="225" t="s">
        <v>649</v>
      </c>
      <c r="B18" s="370"/>
      <c r="C18" s="139"/>
      <c r="D18" s="20">
        <f>'RP 006'!E48</f>
        <v>0</v>
      </c>
      <c r="E18" s="222"/>
    </row>
    <row r="19" spans="1:11" s="368" customFormat="1" ht="20.100000000000001" customHeight="1">
      <c r="A19" s="333"/>
      <c r="B19" s="370"/>
      <c r="C19" s="139"/>
      <c r="D19" s="90">
        <f>D17-D18</f>
        <v>0</v>
      </c>
      <c r="E19" s="222"/>
    </row>
    <row r="20" spans="1:11" s="368" customFormat="1" ht="20.100000000000001" customHeight="1">
      <c r="A20" s="227"/>
      <c r="B20" s="227"/>
      <c r="C20" s="381"/>
      <c r="D20" s="227" t="str">
        <f>IF(D19=0,"OK","NO")</f>
        <v>OK</v>
      </c>
      <c r="E20" s="325"/>
    </row>
    <row r="21" spans="1:11" s="368" customFormat="1" ht="20.100000000000001" customHeight="1">
      <c r="A21" s="325"/>
      <c r="B21" s="325"/>
      <c r="C21" s="325"/>
      <c r="D21" s="325"/>
      <c r="E21" s="325"/>
    </row>
    <row r="22" spans="1:11" s="368" customFormat="1" ht="12.75">
      <c r="A22" s="1089" t="s">
        <v>2295</v>
      </c>
      <c r="B22" s="1090"/>
      <c r="C22" s="1090"/>
      <c r="D22" s="1090"/>
      <c r="E22" s="1090"/>
      <c r="F22" s="1090"/>
      <c r="G22" s="1090"/>
      <c r="H22" s="1090"/>
      <c r="I22" s="1090"/>
      <c r="J22" s="1090"/>
      <c r="K22" s="1090"/>
    </row>
    <row r="23" spans="1:11" s="368" customFormat="1" ht="20.100000000000001" customHeight="1">
      <c r="A23" s="1313" t="s">
        <v>2440</v>
      </c>
      <c r="B23" s="1306" t="s">
        <v>2227</v>
      </c>
      <c r="C23" s="1306"/>
      <c r="D23" s="1306"/>
      <c r="E23" s="1306"/>
      <c r="F23" s="1306"/>
      <c r="G23" s="1306" t="s">
        <v>2169</v>
      </c>
      <c r="H23" s="1306"/>
      <c r="I23" s="1306"/>
      <c r="J23" s="1306"/>
      <c r="K23" s="1306"/>
    </row>
    <row r="24" spans="1:11" ht="20.100000000000001" customHeight="1">
      <c r="A24" s="1313"/>
      <c r="B24" s="1313" t="s">
        <v>2296</v>
      </c>
      <c r="C24" s="1313"/>
      <c r="D24" s="1313" t="s">
        <v>2297</v>
      </c>
      <c r="E24" s="1313"/>
      <c r="F24" s="1159" t="s">
        <v>2455</v>
      </c>
      <c r="G24" s="1313" t="s">
        <v>2296</v>
      </c>
      <c r="H24" s="1313"/>
      <c r="I24" s="1313" t="s">
        <v>2297</v>
      </c>
      <c r="J24" s="1313"/>
      <c r="K24" s="1159" t="s">
        <v>2456</v>
      </c>
    </row>
    <row r="25" spans="1:11" ht="20.100000000000001" customHeight="1">
      <c r="A25" s="1313"/>
      <c r="B25" s="1159" t="s">
        <v>2457</v>
      </c>
      <c r="C25" s="1109" t="s">
        <v>2458</v>
      </c>
      <c r="D25" s="1159" t="s">
        <v>2457</v>
      </c>
      <c r="E25" s="1109" t="s">
        <v>2298</v>
      </c>
      <c r="F25" s="1159" t="s">
        <v>2459</v>
      </c>
      <c r="G25" s="1159" t="s">
        <v>2457</v>
      </c>
      <c r="H25" s="1109" t="s">
        <v>2458</v>
      </c>
      <c r="I25" s="1159" t="s">
        <v>2457</v>
      </c>
      <c r="J25" s="1159" t="s">
        <v>2298</v>
      </c>
      <c r="K25" s="1159" t="s">
        <v>2459</v>
      </c>
    </row>
    <row r="26" spans="1:11" ht="20.100000000000001" customHeight="1">
      <c r="A26" s="1161" t="s">
        <v>2460</v>
      </c>
      <c r="B26" s="1111">
        <f>B28+B29</f>
        <v>0</v>
      </c>
      <c r="C26" s="1111" t="e">
        <f>C28+C29</f>
        <v>#VALUE!</v>
      </c>
      <c r="D26" s="1111">
        <f>D28+D29</f>
        <v>0</v>
      </c>
      <c r="E26" s="1111" t="e">
        <f>ROUND(D26/B26*100,2)</f>
        <v>#DIV/0!</v>
      </c>
      <c r="F26" s="1111">
        <f>F28+F29</f>
        <v>0</v>
      </c>
      <c r="G26" s="1111">
        <f>G28+G29</f>
        <v>0</v>
      </c>
      <c r="H26" s="1111" t="e">
        <f>H28+H29</f>
        <v>#VALUE!</v>
      </c>
      <c r="I26" s="1111">
        <f>I28+I29</f>
        <v>0</v>
      </c>
      <c r="J26" s="1111" t="e">
        <f>ROUND(I26/G26*100,2)</f>
        <v>#DIV/0!</v>
      </c>
      <c r="K26" s="1111">
        <f>K28+K29</f>
        <v>0</v>
      </c>
    </row>
    <row r="27" spans="1:11" ht="20.100000000000001" customHeight="1">
      <c r="A27" s="1307" t="s">
        <v>2461</v>
      </c>
      <c r="B27" s="1307"/>
      <c r="C27" s="1307"/>
      <c r="D27" s="1307"/>
      <c r="E27" s="1307"/>
      <c r="F27" s="1307"/>
      <c r="G27" s="1307"/>
      <c r="H27" s="1307"/>
      <c r="I27" s="1307"/>
      <c r="J27" s="1307"/>
      <c r="K27" s="1307"/>
    </row>
    <row r="28" spans="1:11" ht="20.100000000000001" customHeight="1">
      <c r="A28" s="1161"/>
      <c r="B28" s="1162"/>
      <c r="C28" s="1111" t="e">
        <f>ROUND(B28/$B$24*100,2)</f>
        <v>#VALUE!</v>
      </c>
      <c r="D28" s="1162"/>
      <c r="E28" s="1111" t="e">
        <f>ROUND(D28/B28*100,2)</f>
        <v>#DIV/0!</v>
      </c>
      <c r="F28" s="1111">
        <f>B28-D28</f>
        <v>0</v>
      </c>
      <c r="G28" s="1162"/>
      <c r="H28" s="1111" t="e">
        <f>ROUND(G28/$G$24*100,2)</f>
        <v>#VALUE!</v>
      </c>
      <c r="I28" s="1162"/>
      <c r="J28" s="1111" t="e">
        <f>ROUND(I28/G28*100,2)</f>
        <v>#DIV/0!</v>
      </c>
      <c r="K28" s="1111">
        <f>G28-I28</f>
        <v>0</v>
      </c>
    </row>
    <row r="29" spans="1:11" ht="20.100000000000001" customHeight="1">
      <c r="A29" s="1161"/>
      <c r="B29" s="1162"/>
      <c r="C29" s="1111" t="e">
        <f>ROUND(B29/$B$24*100,2)</f>
        <v>#VALUE!</v>
      </c>
      <c r="D29" s="1162"/>
      <c r="E29" s="1111" t="e">
        <f>ROUND(D29/B29*100,2)</f>
        <v>#DIV/0!</v>
      </c>
      <c r="F29" s="1111">
        <f>B29-D29</f>
        <v>0</v>
      </c>
      <c r="G29" s="1162"/>
      <c r="H29" s="1111" t="e">
        <f>ROUND(G29/$G$24*100,2)</f>
        <v>#VALUE!</v>
      </c>
      <c r="I29" s="1162"/>
      <c r="J29" s="1111" t="e">
        <f>ROUND(I29/G29*100,2)</f>
        <v>#DIV/0!</v>
      </c>
      <c r="K29" s="1111">
        <f>G29-I29</f>
        <v>0</v>
      </c>
    </row>
    <row r="30" spans="1:11" ht="20.100000000000001" customHeight="1">
      <c r="A30" s="1161" t="s">
        <v>2462</v>
      </c>
      <c r="B30" s="1111">
        <f>B32+B33</f>
        <v>0</v>
      </c>
      <c r="C30" s="1111" t="e">
        <f>C32+C33</f>
        <v>#VALUE!</v>
      </c>
      <c r="D30" s="1111">
        <f>D32+D33</f>
        <v>0</v>
      </c>
      <c r="E30" s="1111"/>
      <c r="F30" s="1111">
        <f>F32+F33</f>
        <v>0</v>
      </c>
      <c r="G30" s="1111">
        <f>G32+G33</f>
        <v>0</v>
      </c>
      <c r="H30" s="1111" t="e">
        <f>H32+H33</f>
        <v>#VALUE!</v>
      </c>
      <c r="I30" s="1111">
        <f>I32+I33</f>
        <v>0</v>
      </c>
      <c r="J30" s="1111" t="e">
        <f>ROUND(I30/G30*100,2)</f>
        <v>#DIV/0!</v>
      </c>
      <c r="K30" s="1111">
        <f>K32+K33</f>
        <v>0</v>
      </c>
    </row>
    <row r="31" spans="1:11" ht="20.100000000000001" customHeight="1">
      <c r="A31" s="1307" t="s">
        <v>2461</v>
      </c>
      <c r="B31" s="1307"/>
      <c r="C31" s="1307"/>
      <c r="D31" s="1307"/>
      <c r="E31" s="1307"/>
      <c r="F31" s="1307"/>
      <c r="G31" s="1307"/>
      <c r="H31" s="1307"/>
      <c r="I31" s="1307"/>
      <c r="J31" s="1307"/>
      <c r="K31" s="1307"/>
    </row>
    <row r="32" spans="1:11" ht="20.100000000000001" customHeight="1">
      <c r="A32" s="1161"/>
      <c r="B32" s="1162"/>
      <c r="C32" s="1111" t="e">
        <f>ROUND(B32/$B$24*100,2)</f>
        <v>#VALUE!</v>
      </c>
      <c r="D32" s="1162"/>
      <c r="E32" s="1111" t="e">
        <f>ROUND(D32/B32*100,2)</f>
        <v>#DIV/0!</v>
      </c>
      <c r="F32" s="1111">
        <f>B32-D32</f>
        <v>0</v>
      </c>
      <c r="G32" s="1162"/>
      <c r="H32" s="1111" t="e">
        <f>ROUND(G32/$G$24*100,2)</f>
        <v>#VALUE!</v>
      </c>
      <c r="I32" s="1162"/>
      <c r="J32" s="1111" t="e">
        <f>ROUND(I32/G32*100,2)</f>
        <v>#DIV/0!</v>
      </c>
      <c r="K32" s="1111">
        <f>G32-I32</f>
        <v>0</v>
      </c>
    </row>
    <row r="33" spans="1:11" ht="20.100000000000001" customHeight="1">
      <c r="A33" s="1161"/>
      <c r="B33" s="1162"/>
      <c r="C33" s="1111" t="e">
        <f>ROUND(B33/$B$24*100,2)</f>
        <v>#VALUE!</v>
      </c>
      <c r="D33" s="1162"/>
      <c r="E33" s="1111" t="e">
        <f>ROUND(D33/B33*100,2)</f>
        <v>#DIV/0!</v>
      </c>
      <c r="F33" s="1111">
        <f>B33-D33</f>
        <v>0</v>
      </c>
      <c r="G33" s="1162"/>
      <c r="H33" s="1111" t="e">
        <f>ROUND(G33/$G$24*100,2)</f>
        <v>#VALUE!</v>
      </c>
      <c r="I33" s="1162"/>
      <c r="J33" s="1111" t="e">
        <f>ROUND(I33/G33*100,2)</f>
        <v>#DIV/0!</v>
      </c>
      <c r="K33" s="1111">
        <f>G33-I33</f>
        <v>0</v>
      </c>
    </row>
    <row r="34" spans="1:11" ht="20.100000000000001" customHeight="1">
      <c r="A34" s="1107" t="s">
        <v>2299</v>
      </c>
      <c r="B34" s="1110">
        <f>B30+B26</f>
        <v>0</v>
      </c>
      <c r="C34" s="1110" t="e">
        <f>C30+C26</f>
        <v>#VALUE!</v>
      </c>
      <c r="D34" s="1110">
        <f>D30+D26</f>
        <v>0</v>
      </c>
      <c r="E34" s="1111" t="e">
        <f>ROUND(D34/B34*100,2)</f>
        <v>#DIV/0!</v>
      </c>
      <c r="F34" s="1110">
        <f>F30+F26</f>
        <v>0</v>
      </c>
      <c r="G34" s="1110"/>
      <c r="H34" s="1110" t="e">
        <f>H30+H26</f>
        <v>#VALUE!</v>
      </c>
      <c r="I34" s="1110"/>
      <c r="J34" s="1111" t="e">
        <f>ROUND(I34/G34*100,2)</f>
        <v>#DIV/0!</v>
      </c>
      <c r="K34" s="1110">
        <f>K30+K26</f>
        <v>0</v>
      </c>
    </row>
    <row r="35" spans="1:11" ht="20.100000000000001" customHeight="1">
      <c r="A35" s="1093" t="s">
        <v>2300</v>
      </c>
      <c r="B35" s="1090"/>
      <c r="C35" s="1090"/>
      <c r="D35" s="1090"/>
      <c r="E35" s="1090"/>
      <c r="F35" s="1090"/>
      <c r="G35" s="1090"/>
      <c r="H35" s="1090"/>
      <c r="I35" s="1090"/>
      <c r="J35" s="1090"/>
      <c r="K35" s="1090"/>
    </row>
    <row r="36" spans="1:11" ht="20.100000000000001" customHeight="1">
      <c r="A36" s="1313" t="s">
        <v>2301</v>
      </c>
      <c r="B36" s="1306" t="s">
        <v>2346</v>
      </c>
      <c r="C36" s="1306"/>
      <c r="D36" s="1306"/>
      <c r="E36" s="1306"/>
      <c r="F36" s="1090"/>
      <c r="G36" s="1090"/>
      <c r="H36" s="1090"/>
      <c r="I36" s="1090"/>
      <c r="J36" s="1090"/>
      <c r="K36" s="1090"/>
    </row>
    <row r="37" spans="1:11" ht="20.100000000000001" customHeight="1">
      <c r="A37" s="1313"/>
      <c r="B37" s="1159" t="s">
        <v>2296</v>
      </c>
      <c r="C37" s="1159" t="s">
        <v>2297</v>
      </c>
      <c r="D37" s="1109" t="s">
        <v>2298</v>
      </c>
      <c r="E37" s="1159" t="s">
        <v>2302</v>
      </c>
      <c r="F37" s="1090"/>
      <c r="G37" s="1090"/>
      <c r="H37" s="1090"/>
      <c r="I37" s="1090"/>
      <c r="J37" s="1090"/>
      <c r="K37" s="1090"/>
    </row>
    <row r="38" spans="1:11" ht="20.100000000000001" customHeight="1">
      <c r="A38" s="1161"/>
      <c r="B38" s="1162"/>
      <c r="C38" s="1162"/>
      <c r="D38" s="1114" t="e">
        <f>C38/B38*100</f>
        <v>#DIV/0!</v>
      </c>
      <c r="E38" s="1162"/>
      <c r="F38" s="1090"/>
      <c r="G38" s="1090"/>
      <c r="H38" s="1090"/>
      <c r="I38" s="1090"/>
      <c r="J38" s="1090"/>
      <c r="K38" s="1090"/>
    </row>
    <row r="39" spans="1:11" ht="20.100000000000001" customHeight="1">
      <c r="A39" s="1161"/>
      <c r="B39" s="1162"/>
      <c r="C39" s="1162"/>
      <c r="D39" s="1114" t="e">
        <f>C39/B39*100</f>
        <v>#DIV/0!</v>
      </c>
      <c r="E39" s="1162"/>
      <c r="F39" s="1090"/>
      <c r="G39" s="1090"/>
      <c r="H39" s="1090"/>
      <c r="I39" s="1090"/>
      <c r="J39" s="1090"/>
      <c r="K39" s="1090"/>
    </row>
    <row r="40" spans="1:11" ht="20.100000000000001" customHeight="1">
      <c r="A40" s="1107" t="s">
        <v>2299</v>
      </c>
      <c r="B40" s="1110">
        <f>SUM(B38:B39)</f>
        <v>0</v>
      </c>
      <c r="C40" s="1110">
        <f>SUM(C38:C39)</f>
        <v>0</v>
      </c>
      <c r="D40" s="1114" t="e">
        <f>C40/B40*100</f>
        <v>#DIV/0!</v>
      </c>
      <c r="E40" s="1110" t="s">
        <v>2157</v>
      </c>
      <c r="F40" s="1090"/>
      <c r="G40" s="1090"/>
      <c r="H40" s="1090"/>
      <c r="I40" s="1090"/>
      <c r="J40" s="1090"/>
      <c r="K40" s="1090"/>
    </row>
    <row r="41" spans="1:11" ht="20.100000000000001" customHeight="1">
      <c r="A41" s="1094" t="s">
        <v>2303</v>
      </c>
      <c r="B41" s="1090"/>
      <c r="C41" s="1090"/>
      <c r="D41" s="1090"/>
      <c r="E41" s="1090"/>
      <c r="F41" s="1090"/>
      <c r="G41" s="1090"/>
      <c r="H41" s="1090"/>
      <c r="I41" s="1090"/>
      <c r="J41" s="1090"/>
      <c r="K41" s="1090"/>
    </row>
    <row r="42" spans="1:11" ht="20.100000000000001" customHeight="1">
      <c r="A42" s="1093" t="s">
        <v>2304</v>
      </c>
      <c r="B42" s="1090"/>
      <c r="C42" s="1090"/>
      <c r="D42" s="1090"/>
      <c r="E42" s="1090"/>
      <c r="F42" s="1090"/>
      <c r="G42" s="1090"/>
      <c r="H42" s="1090"/>
      <c r="I42" s="1090"/>
      <c r="J42" s="1090"/>
      <c r="K42" s="1090"/>
    </row>
    <row r="43" spans="1:11" ht="20.100000000000001" customHeight="1">
      <c r="A43" s="1313"/>
      <c r="B43" s="1306" t="s">
        <v>2134</v>
      </c>
      <c r="C43" s="1306"/>
      <c r="D43" s="1306"/>
      <c r="E43" s="1090"/>
      <c r="F43" s="1090"/>
      <c r="G43" s="1090"/>
      <c r="H43" s="1090"/>
      <c r="I43" s="1090"/>
      <c r="J43" s="1090"/>
      <c r="K43" s="1090"/>
    </row>
    <row r="44" spans="1:11" ht="20.100000000000001" customHeight="1">
      <c r="A44" s="1313"/>
      <c r="B44" s="1160" t="s">
        <v>2305</v>
      </c>
      <c r="C44" s="1160" t="s">
        <v>2297</v>
      </c>
      <c r="D44" s="1160" t="s">
        <v>2298</v>
      </c>
      <c r="E44" s="1090"/>
      <c r="F44" s="1090"/>
      <c r="G44" s="1090"/>
      <c r="H44" s="1090"/>
      <c r="I44" s="1090"/>
      <c r="J44" s="1090"/>
      <c r="K44" s="1090"/>
    </row>
    <row r="45" spans="1:11" ht="20.100000000000001" customHeight="1">
      <c r="A45" s="1112" t="s">
        <v>2306</v>
      </c>
      <c r="B45" s="1113"/>
      <c r="C45" s="1113"/>
      <c r="D45" s="1114" t="e">
        <f>C45/B45*100</f>
        <v>#DIV/0!</v>
      </c>
      <c r="E45" s="1090"/>
      <c r="F45" s="1090"/>
      <c r="G45" s="1090"/>
      <c r="H45" s="1090"/>
      <c r="I45" s="1090"/>
      <c r="J45" s="1090"/>
      <c r="K45" s="1090"/>
    </row>
    <row r="46" spans="1:11" ht="20.100000000000001" customHeight="1">
      <c r="A46" s="1112" t="s">
        <v>2307</v>
      </c>
      <c r="B46" s="1113"/>
      <c r="C46" s="1113"/>
      <c r="D46" s="1114" t="e">
        <f t="shared" ref="D46:D49" si="2">C46/B46*100</f>
        <v>#DIV/0!</v>
      </c>
      <c r="E46" s="1090"/>
      <c r="F46" s="1090"/>
      <c r="G46" s="1090"/>
      <c r="H46" s="1090"/>
      <c r="I46" s="1090"/>
      <c r="J46" s="1090"/>
      <c r="K46" s="1090"/>
    </row>
    <row r="47" spans="1:11" ht="20.100000000000001" customHeight="1">
      <c r="A47" s="1112" t="s">
        <v>2308</v>
      </c>
      <c r="B47" s="1113"/>
      <c r="C47" s="1113"/>
      <c r="D47" s="1114" t="e">
        <f t="shared" si="2"/>
        <v>#DIV/0!</v>
      </c>
      <c r="E47" s="1090"/>
      <c r="F47" s="1090"/>
      <c r="G47" s="1090"/>
      <c r="H47" s="1090"/>
      <c r="I47" s="1090"/>
      <c r="J47" s="1090"/>
      <c r="K47" s="1090"/>
    </row>
    <row r="48" spans="1:11" ht="20.100000000000001" customHeight="1">
      <c r="A48" s="1112" t="s">
        <v>896</v>
      </c>
      <c r="B48" s="1113"/>
      <c r="C48" s="1113"/>
      <c r="D48" s="1114" t="e">
        <f t="shared" si="2"/>
        <v>#DIV/0!</v>
      </c>
      <c r="E48" s="1090"/>
      <c r="F48" s="1090"/>
      <c r="G48" s="1090"/>
      <c r="H48" s="1090"/>
      <c r="I48" s="1090"/>
      <c r="J48" s="1090"/>
      <c r="K48" s="1090"/>
    </row>
    <row r="49" spans="1:11" ht="20.100000000000001" customHeight="1">
      <c r="A49" s="1107" t="s">
        <v>2299</v>
      </c>
      <c r="B49" s="1110">
        <f>SUM(B45:B48)</f>
        <v>0</v>
      </c>
      <c r="C49" s="1110">
        <f>SUM(C45:C48)</f>
        <v>0</v>
      </c>
      <c r="D49" s="1114" t="e">
        <f t="shared" si="2"/>
        <v>#DIV/0!</v>
      </c>
      <c r="E49" s="1090"/>
      <c r="F49" s="1090"/>
      <c r="G49" s="1090"/>
      <c r="H49" s="1090"/>
      <c r="I49" s="1090"/>
      <c r="J49" s="1090"/>
      <c r="K49" s="1090"/>
    </row>
    <row r="50" spans="1:11" ht="20.100000000000001" customHeight="1">
      <c r="A50" s="1314" t="s">
        <v>2309</v>
      </c>
      <c r="B50" s="1314"/>
      <c r="C50" s="1090"/>
      <c r="D50" s="1090"/>
      <c r="E50" s="1090"/>
      <c r="F50" s="1090"/>
      <c r="G50" s="1090"/>
      <c r="H50" s="1090"/>
      <c r="I50" s="1090"/>
      <c r="J50" s="1090"/>
      <c r="K50" s="1090"/>
    </row>
    <row r="51" spans="1:11" ht="20.100000000000001" customHeight="1">
      <c r="A51" s="1315" t="s">
        <v>2347</v>
      </c>
      <c r="B51" s="1315"/>
      <c r="C51" s="1090"/>
      <c r="D51" s="1090"/>
      <c r="E51" s="1090"/>
      <c r="F51" s="1090"/>
      <c r="G51" s="1090"/>
      <c r="H51" s="1090"/>
      <c r="I51" s="1090"/>
      <c r="J51" s="1090"/>
      <c r="K51" s="1090"/>
    </row>
    <row r="52" spans="1:11" ht="20.100000000000001" customHeight="1">
      <c r="A52" s="1316" t="s">
        <v>2310</v>
      </c>
      <c r="B52" s="1316"/>
      <c r="C52" s="1090"/>
      <c r="D52" s="1090"/>
      <c r="E52" s="1090"/>
      <c r="F52" s="1090"/>
      <c r="G52" s="1090"/>
      <c r="H52" s="1090"/>
      <c r="I52" s="1090"/>
      <c r="J52" s="1090"/>
      <c r="K52" s="1090"/>
    </row>
    <row r="53" spans="1:11" ht="20.100000000000001" customHeight="1">
      <c r="A53" s="1104"/>
      <c r="B53" s="1108" t="s">
        <v>2311</v>
      </c>
      <c r="C53" s="1090"/>
      <c r="D53" s="1090"/>
      <c r="E53" s="1090"/>
      <c r="F53" s="1090"/>
      <c r="G53" s="1090"/>
      <c r="H53" s="1090"/>
      <c r="I53" s="1090"/>
      <c r="J53" s="1090"/>
      <c r="K53" s="1090"/>
    </row>
    <row r="54" spans="1:11" ht="20.25" customHeight="1">
      <c r="A54" s="1161" t="s">
        <v>2171</v>
      </c>
      <c r="B54" s="1162">
        <v>100</v>
      </c>
      <c r="C54" s="1090"/>
      <c r="D54" s="1090"/>
      <c r="E54" s="1090"/>
      <c r="F54" s="1090"/>
      <c r="G54" s="1090"/>
      <c r="H54" s="1090"/>
      <c r="I54" s="1090"/>
      <c r="J54" s="1090"/>
      <c r="K54" s="1090"/>
    </row>
    <row r="55" spans="1:11" ht="20.100000000000001" customHeight="1">
      <c r="A55" s="1307" t="s">
        <v>2312</v>
      </c>
      <c r="B55" s="1308"/>
      <c r="C55" s="1090"/>
      <c r="D55" s="1090"/>
      <c r="E55" s="1090"/>
      <c r="F55" s="1090"/>
      <c r="G55" s="1090"/>
      <c r="H55" s="1090"/>
      <c r="I55" s="1090"/>
      <c r="J55" s="1090"/>
      <c r="K55" s="1090"/>
    </row>
    <row r="56" spans="1:11" ht="20.100000000000001" customHeight="1">
      <c r="A56" s="1307"/>
      <c r="B56" s="1308"/>
      <c r="C56" s="1090"/>
      <c r="D56" s="1090"/>
      <c r="E56" s="1090"/>
      <c r="F56" s="1090"/>
      <c r="G56" s="1090"/>
      <c r="H56" s="1090"/>
      <c r="I56" s="1090"/>
      <c r="J56" s="1090"/>
      <c r="K56" s="1090"/>
    </row>
    <row r="57" spans="1:11" ht="20.100000000000001" customHeight="1">
      <c r="A57" s="1161" t="s">
        <v>2170</v>
      </c>
      <c r="B57" s="1111">
        <f>B54+B55</f>
        <v>100</v>
      </c>
      <c r="C57" s="1090"/>
      <c r="D57" s="1090"/>
      <c r="E57" s="1090"/>
      <c r="F57" s="1090"/>
      <c r="G57" s="1090"/>
      <c r="H57" s="1090"/>
      <c r="I57" s="1090"/>
      <c r="J57" s="1090"/>
      <c r="K57" s="1090"/>
    </row>
    <row r="58" spans="1:11" ht="20.100000000000001" customHeight="1">
      <c r="A58" s="1161" t="s">
        <v>2313</v>
      </c>
      <c r="B58" s="1162"/>
      <c r="C58" s="1090"/>
      <c r="D58" s="1090"/>
      <c r="E58" s="1090"/>
      <c r="F58" s="1090"/>
      <c r="G58" s="1090"/>
      <c r="H58" s="1090"/>
      <c r="I58" s="1090"/>
      <c r="J58" s="1090"/>
      <c r="K58" s="1090"/>
    </row>
    <row r="59" spans="1:11" ht="20.100000000000001" customHeight="1">
      <c r="A59" s="1161" t="s">
        <v>2314</v>
      </c>
      <c r="B59" s="1162">
        <v>100</v>
      </c>
      <c r="C59" s="1090"/>
      <c r="D59" s="1090"/>
      <c r="E59" s="1090"/>
      <c r="F59" s="1090"/>
      <c r="G59" s="1090"/>
      <c r="H59" s="1090"/>
      <c r="I59" s="1090"/>
      <c r="J59" s="1090"/>
      <c r="K59" s="1090"/>
    </row>
    <row r="60" spans="1:11" ht="20.100000000000001" customHeight="1">
      <c r="A60" s="1161" t="s">
        <v>2315</v>
      </c>
      <c r="B60" s="1162"/>
      <c r="C60" s="1090"/>
      <c r="D60" s="1090"/>
      <c r="E60" s="1090"/>
      <c r="F60" s="1090"/>
      <c r="G60" s="1090"/>
      <c r="H60" s="1090"/>
      <c r="I60" s="1090"/>
      <c r="J60" s="1090"/>
      <c r="K60" s="1090"/>
    </row>
    <row r="61" spans="1:11" ht="20.100000000000001" customHeight="1">
      <c r="A61" s="1161" t="s">
        <v>2316</v>
      </c>
      <c r="B61" s="1162"/>
      <c r="C61" s="1090"/>
      <c r="D61" s="1090"/>
      <c r="E61" s="1090"/>
      <c r="F61" s="1090"/>
      <c r="G61" s="1090"/>
      <c r="H61" s="1090"/>
      <c r="I61" s="1090"/>
      <c r="J61" s="1090"/>
      <c r="K61" s="1090"/>
    </row>
    <row r="62" spans="1:11" ht="20.100000000000001" customHeight="1">
      <c r="A62" s="1161" t="s">
        <v>2317</v>
      </c>
      <c r="B62" s="1162"/>
      <c r="C62" s="1090"/>
      <c r="D62" s="1090"/>
      <c r="E62" s="1090"/>
      <c r="F62" s="1090"/>
      <c r="G62" s="1090"/>
      <c r="H62" s="1090"/>
      <c r="I62" s="1090"/>
      <c r="J62" s="1090"/>
      <c r="K62" s="1090"/>
    </row>
    <row r="63" spans="1:11" ht="20.100000000000001" customHeight="1">
      <c r="A63" s="1104" t="s">
        <v>2172</v>
      </c>
      <c r="B63" s="1110">
        <f>B57+B58-B59+B60</f>
        <v>0</v>
      </c>
      <c r="C63" s="1090"/>
      <c r="D63" s="1090"/>
      <c r="E63" s="1090"/>
      <c r="F63" s="1090"/>
      <c r="G63" s="1090"/>
      <c r="H63" s="1090"/>
      <c r="I63" s="1090"/>
      <c r="J63" s="1090"/>
      <c r="K63" s="1090"/>
    </row>
    <row r="64" spans="1:11" ht="20.100000000000001" customHeight="1">
      <c r="A64" s="1093" t="s">
        <v>2318</v>
      </c>
      <c r="B64" s="1090"/>
      <c r="C64" s="1090"/>
      <c r="D64" s="1090"/>
      <c r="E64" s="1090"/>
      <c r="F64" s="1090"/>
      <c r="G64" s="1090"/>
      <c r="H64" s="1090"/>
      <c r="I64" s="1090"/>
      <c r="J64" s="1090"/>
      <c r="K64" s="1090"/>
    </row>
    <row r="65" spans="1:11" ht="20.100000000000001" customHeight="1">
      <c r="A65" s="1104" t="s">
        <v>2319</v>
      </c>
      <c r="B65" s="1113" t="s">
        <v>2172</v>
      </c>
      <c r="C65" s="1113" t="s">
        <v>2134</v>
      </c>
      <c r="D65" s="1090"/>
      <c r="E65" s="1090"/>
      <c r="F65" s="1090"/>
      <c r="G65" s="1090"/>
      <c r="H65" s="1090"/>
      <c r="I65" s="1090"/>
      <c r="J65" s="1090"/>
      <c r="K65" s="1090"/>
    </row>
    <row r="66" spans="1:11" ht="20.100000000000001" customHeight="1">
      <c r="A66" s="1161" t="s">
        <v>2320</v>
      </c>
      <c r="B66" s="1162"/>
      <c r="C66" s="1162"/>
      <c r="D66" s="1090"/>
      <c r="E66" s="1090"/>
      <c r="F66" s="1090"/>
      <c r="G66" s="1090"/>
      <c r="H66" s="1090"/>
      <c r="I66" s="1090"/>
      <c r="J66" s="1090"/>
      <c r="K66" s="1090"/>
    </row>
    <row r="67" spans="1:11" ht="20.100000000000001" customHeight="1">
      <c r="A67" s="1161" t="s">
        <v>2321</v>
      </c>
      <c r="B67" s="1162"/>
      <c r="C67" s="1162"/>
      <c r="D67" s="1090"/>
      <c r="E67" s="1090"/>
      <c r="F67" s="1090"/>
      <c r="G67" s="1090"/>
      <c r="H67" s="1090"/>
      <c r="I67" s="1090"/>
      <c r="J67" s="1090"/>
      <c r="K67" s="1090"/>
    </row>
    <row r="68" spans="1:11" ht="20.100000000000001" customHeight="1">
      <c r="A68" s="1161" t="s">
        <v>2322</v>
      </c>
      <c r="B68" s="1162"/>
      <c r="C68" s="1162"/>
      <c r="D68" s="1090"/>
      <c r="E68" s="1090"/>
      <c r="F68" s="1090"/>
      <c r="G68" s="1090"/>
      <c r="H68" s="1090"/>
      <c r="I68" s="1090"/>
      <c r="J68" s="1090"/>
      <c r="K68" s="1090"/>
    </row>
    <row r="69" spans="1:11" ht="20.100000000000001" customHeight="1">
      <c r="A69" s="1161" t="s">
        <v>2323</v>
      </c>
      <c r="B69" s="1115"/>
      <c r="C69" s="1115"/>
      <c r="D69" s="1090"/>
      <c r="E69" s="1090"/>
      <c r="F69" s="1090"/>
      <c r="G69" s="1090"/>
      <c r="H69" s="1090"/>
      <c r="I69" s="1090"/>
      <c r="J69" s="1090"/>
      <c r="K69" s="1090"/>
    </row>
    <row r="70" spans="1:11" ht="20.100000000000001" customHeight="1">
      <c r="A70" s="1104" t="s">
        <v>2324</v>
      </c>
      <c r="B70" s="1114">
        <f>SUM(B66:B69)</f>
        <v>0</v>
      </c>
      <c r="C70" s="1114">
        <f>SUM(C66:C69)</f>
        <v>0</v>
      </c>
      <c r="D70" s="1090"/>
      <c r="E70" s="1090"/>
      <c r="F70" s="1090"/>
      <c r="G70" s="1090"/>
      <c r="H70" s="1090"/>
      <c r="I70" s="1090"/>
      <c r="J70" s="1090"/>
      <c r="K70" s="1090"/>
    </row>
    <row r="71" spans="1:11" ht="20.100000000000001" customHeight="1">
      <c r="A71" s="1319" t="s">
        <v>2325</v>
      </c>
      <c r="B71" s="1319"/>
      <c r="C71" s="1319"/>
      <c r="D71" s="1090"/>
      <c r="E71" s="1090"/>
      <c r="F71" s="1090"/>
      <c r="G71" s="1090"/>
      <c r="H71" s="1090"/>
      <c r="I71" s="1090"/>
      <c r="J71" s="1090"/>
      <c r="K71" s="1090"/>
    </row>
    <row r="72" spans="1:11" ht="20.100000000000001" customHeight="1">
      <c r="A72" s="905" t="s">
        <v>2326</v>
      </c>
      <c r="B72" s="905"/>
      <c r="C72" s="905"/>
      <c r="D72" s="905"/>
      <c r="E72" s="1090"/>
      <c r="F72" s="1090"/>
      <c r="G72" s="1090"/>
      <c r="H72" s="1090"/>
      <c r="I72" s="1090"/>
      <c r="J72" s="1090"/>
      <c r="K72" s="1090"/>
    </row>
    <row r="73" spans="1:11" ht="20.100000000000001" customHeight="1">
      <c r="A73" s="1320" t="s">
        <v>2327</v>
      </c>
      <c r="B73" s="1320"/>
      <c r="C73" s="1320"/>
      <c r="D73" s="1320"/>
      <c r="E73" s="1090"/>
      <c r="F73" s="1090"/>
      <c r="G73" s="1090"/>
      <c r="H73" s="1090"/>
      <c r="I73" s="1090"/>
      <c r="J73" s="1090"/>
      <c r="K73" s="1090"/>
    </row>
    <row r="74" spans="1:11" ht="20.100000000000001" customHeight="1">
      <c r="A74" s="1159" t="s">
        <v>2328</v>
      </c>
      <c r="B74" s="1119" t="s">
        <v>2329</v>
      </c>
      <c r="C74" s="1119" t="s">
        <v>2330</v>
      </c>
      <c r="D74" s="1119" t="s">
        <v>2348</v>
      </c>
      <c r="E74" s="1090"/>
      <c r="F74" s="1090"/>
      <c r="G74" s="1090"/>
      <c r="H74" s="1090"/>
      <c r="I74" s="1090"/>
      <c r="J74" s="1090"/>
      <c r="K74" s="1090"/>
    </row>
    <row r="75" spans="1:11" ht="20.100000000000001" customHeight="1">
      <c r="A75" s="1161"/>
      <c r="B75" s="1162"/>
      <c r="C75" s="1162"/>
      <c r="D75" s="1162"/>
      <c r="E75" s="1090"/>
      <c r="F75" s="1090"/>
      <c r="G75" s="1090"/>
      <c r="H75" s="1090"/>
      <c r="I75" s="1090"/>
      <c r="J75" s="1090"/>
      <c r="K75" s="1090"/>
    </row>
    <row r="76" spans="1:11" ht="20.100000000000001" customHeight="1">
      <c r="A76" s="1161"/>
      <c r="B76" s="1116"/>
      <c r="C76" s="1116"/>
      <c r="D76" s="1116"/>
      <c r="E76" s="1090"/>
      <c r="F76" s="1090"/>
      <c r="G76" s="1090"/>
      <c r="H76" s="1090"/>
      <c r="I76" s="1090"/>
      <c r="J76" s="1090"/>
      <c r="K76" s="1090"/>
    </row>
    <row r="77" spans="1:11" ht="20.100000000000001" customHeight="1">
      <c r="A77" s="1117"/>
      <c r="B77" s="1116"/>
      <c r="C77" s="1116"/>
      <c r="D77" s="1116"/>
      <c r="E77" s="1090"/>
      <c r="F77" s="1090"/>
      <c r="G77" s="1090"/>
      <c r="H77" s="1090"/>
      <c r="I77" s="1090"/>
      <c r="J77" s="1090"/>
      <c r="K77" s="1090"/>
    </row>
    <row r="78" spans="1:11" ht="20.100000000000001" customHeight="1">
      <c r="A78" s="1104" t="s">
        <v>2324</v>
      </c>
      <c r="B78" s="1118"/>
      <c r="C78" s="1121">
        <f>C75+C76+C77</f>
        <v>0</v>
      </c>
      <c r="D78" s="1121">
        <f>D75+D76+D77</f>
        <v>0</v>
      </c>
      <c r="E78" s="1090"/>
      <c r="F78" s="1090"/>
      <c r="G78" s="1090"/>
      <c r="H78" s="1090"/>
      <c r="I78" s="1090"/>
      <c r="J78" s="1090"/>
      <c r="K78" s="1090"/>
    </row>
    <row r="79" spans="1:11" ht="20.100000000000001" customHeight="1">
      <c r="A79" s="1093" t="s">
        <v>2331</v>
      </c>
      <c r="B79" s="1090"/>
      <c r="C79" s="1090"/>
      <c r="D79" s="1090"/>
      <c r="E79" s="1090"/>
      <c r="F79" s="1090"/>
      <c r="G79" s="1090"/>
      <c r="H79" s="1090"/>
      <c r="I79" s="1090"/>
      <c r="J79" s="1090"/>
      <c r="K79" s="1090"/>
    </row>
    <row r="80" spans="1:11" ht="20.100000000000001" customHeight="1">
      <c r="A80" s="1315" t="s">
        <v>2332</v>
      </c>
      <c r="B80" s="1315"/>
      <c r="C80" s="1090"/>
      <c r="D80" s="1090"/>
      <c r="E80" s="1090"/>
      <c r="F80" s="1090"/>
      <c r="G80" s="1090"/>
      <c r="H80" s="1090"/>
      <c r="I80" s="1090"/>
      <c r="J80" s="1090"/>
      <c r="K80" s="1090"/>
    </row>
    <row r="81" spans="1:11" ht="20.100000000000001" customHeight="1">
      <c r="A81" s="1320" t="s">
        <v>2333</v>
      </c>
      <c r="B81" s="1320"/>
      <c r="C81" s="1090"/>
      <c r="D81" s="1090"/>
      <c r="E81" s="1090"/>
      <c r="F81" s="1090"/>
      <c r="G81" s="1090"/>
      <c r="H81" s="1090"/>
      <c r="I81" s="1090"/>
      <c r="J81" s="1090"/>
      <c r="K81" s="1090"/>
    </row>
    <row r="82" spans="1:11" ht="20.100000000000001" customHeight="1">
      <c r="A82" s="1104" t="s">
        <v>2328</v>
      </c>
      <c r="B82" s="1113" t="s">
        <v>2334</v>
      </c>
      <c r="C82" s="1090"/>
      <c r="D82" s="1090"/>
      <c r="E82" s="1090"/>
      <c r="F82" s="1090"/>
      <c r="G82" s="1090"/>
      <c r="H82" s="1090"/>
      <c r="I82" s="1090"/>
      <c r="J82" s="1090"/>
      <c r="K82" s="1090"/>
    </row>
    <row r="83" spans="1:11" ht="20.100000000000001" customHeight="1">
      <c r="A83" s="1161" t="s">
        <v>2335</v>
      </c>
      <c r="B83" s="1162"/>
      <c r="C83" s="1090"/>
      <c r="D83" s="1090"/>
      <c r="E83" s="1090"/>
      <c r="F83" s="1090"/>
      <c r="G83" s="1090"/>
      <c r="H83" s="1090"/>
      <c r="I83" s="1090"/>
      <c r="J83" s="1090"/>
      <c r="K83" s="1090"/>
    </row>
    <row r="84" spans="1:11" ht="20.100000000000001" customHeight="1">
      <c r="A84" s="1161"/>
      <c r="B84" s="1162"/>
      <c r="C84" s="1090"/>
      <c r="D84" s="1090"/>
      <c r="E84" s="1090"/>
      <c r="F84" s="1090"/>
      <c r="G84" s="1090"/>
      <c r="H84" s="1090"/>
      <c r="I84" s="1090"/>
      <c r="J84" s="1090"/>
      <c r="K84" s="1090"/>
    </row>
    <row r="85" spans="1:11" ht="20.100000000000001" customHeight="1">
      <c r="A85" s="1104" t="s">
        <v>2336</v>
      </c>
      <c r="B85" s="1114">
        <f>B84</f>
        <v>0</v>
      </c>
      <c r="C85" s="1090"/>
      <c r="D85" s="1090"/>
      <c r="E85" s="1090"/>
      <c r="F85" s="1090"/>
      <c r="G85" s="1090"/>
      <c r="H85" s="1090"/>
      <c r="I85" s="1090"/>
      <c r="J85" s="1090"/>
      <c r="K85" s="1090"/>
    </row>
    <row r="86" spans="1:11" ht="20.100000000000001" customHeight="1">
      <c r="A86" s="1092" t="s">
        <v>2337</v>
      </c>
      <c r="B86" s="1095"/>
      <c r="C86" s="1090"/>
      <c r="D86" s="1090"/>
      <c r="E86" s="1090"/>
      <c r="F86" s="1090"/>
      <c r="G86" s="1090"/>
      <c r="H86" s="1090"/>
      <c r="I86" s="1090"/>
      <c r="J86" s="1090"/>
      <c r="K86" s="1090"/>
    </row>
    <row r="87" spans="1:11" ht="20.100000000000001" customHeight="1" thickBot="1">
      <c r="A87" s="1096"/>
      <c r="B87" s="1097"/>
      <c r="C87" s="1090"/>
      <c r="D87" s="1090"/>
      <c r="E87" s="1090"/>
      <c r="F87" s="1090"/>
      <c r="G87" s="1090"/>
      <c r="H87" s="1090"/>
      <c r="I87" s="1090"/>
      <c r="J87" s="1090"/>
      <c r="K87" s="1090"/>
    </row>
    <row r="88" spans="1:11" ht="20.100000000000001" customHeight="1" thickBot="1">
      <c r="A88" s="1091" t="s">
        <v>2338</v>
      </c>
      <c r="B88" s="1120">
        <f>B87</f>
        <v>0</v>
      </c>
      <c r="C88" s="1090"/>
      <c r="D88" s="1090"/>
      <c r="E88" s="1090"/>
      <c r="F88" s="1090"/>
      <c r="G88" s="1090"/>
      <c r="H88" s="1090"/>
      <c r="I88" s="1090"/>
      <c r="J88" s="1090"/>
      <c r="K88" s="1090"/>
    </row>
    <row r="89" spans="1:11" ht="20.100000000000001" customHeight="1">
      <c r="A89" s="1093" t="s">
        <v>2331</v>
      </c>
      <c r="B89" s="1090"/>
      <c r="C89" s="1090"/>
      <c r="D89" s="1090"/>
      <c r="E89" s="1090"/>
      <c r="F89" s="1090"/>
      <c r="G89" s="1090"/>
      <c r="H89" s="1090"/>
      <c r="I89" s="1090"/>
      <c r="J89" s="1090"/>
      <c r="K89" s="1090"/>
    </row>
    <row r="90" spans="1:11" ht="20.100000000000001" customHeight="1">
      <c r="A90" s="1321" t="s">
        <v>2339</v>
      </c>
      <c r="B90" s="1321"/>
      <c r="C90" s="1090"/>
      <c r="D90" s="1090"/>
      <c r="E90" s="1090"/>
      <c r="F90" s="1090"/>
      <c r="G90" s="1090"/>
      <c r="H90" s="1090"/>
      <c r="I90" s="1090"/>
      <c r="J90" s="1090"/>
      <c r="K90" s="1090"/>
    </row>
    <row r="91" spans="1:11" ht="20.100000000000001" customHeight="1" thickBot="1">
      <c r="A91" s="1317" t="s">
        <v>2340</v>
      </c>
      <c r="B91" s="1317"/>
      <c r="C91" s="1090"/>
      <c r="D91" s="1090"/>
      <c r="E91" s="1090"/>
      <c r="F91" s="1090"/>
      <c r="G91" s="1090"/>
      <c r="H91" s="1090"/>
      <c r="I91" s="1090"/>
      <c r="J91" s="1090"/>
      <c r="K91" s="1090"/>
    </row>
    <row r="92" spans="1:11" ht="20.100000000000001" customHeight="1" thickBot="1">
      <c r="A92" s="1098" t="s">
        <v>2328</v>
      </c>
      <c r="B92" s="1099" t="s">
        <v>2349</v>
      </c>
      <c r="C92" s="1099" t="s">
        <v>2341</v>
      </c>
      <c r="D92" s="1099" t="s">
        <v>2342</v>
      </c>
      <c r="E92" s="1099" t="s">
        <v>2350</v>
      </c>
      <c r="F92" s="1090"/>
      <c r="G92" s="1090"/>
      <c r="H92" s="1090"/>
      <c r="I92" s="1090"/>
      <c r="J92" s="1090"/>
      <c r="K92" s="1090"/>
    </row>
    <row r="93" spans="1:11" ht="20.100000000000001" customHeight="1" thickBot="1">
      <c r="A93" s="1100" t="s">
        <v>2343</v>
      </c>
      <c r="B93" s="1083"/>
      <c r="C93" s="1101"/>
      <c r="D93" s="1101"/>
      <c r="E93" s="1083"/>
      <c r="F93" s="1090"/>
      <c r="G93" s="1090"/>
      <c r="H93" s="1090"/>
      <c r="I93" s="1090"/>
      <c r="J93" s="1090"/>
      <c r="K93" s="1090"/>
    </row>
    <row r="94" spans="1:11" ht="20.100000000000001" customHeight="1" thickBot="1">
      <c r="A94" s="1100" t="s">
        <v>2344</v>
      </c>
      <c r="B94" s="1083"/>
      <c r="C94" s="1101"/>
      <c r="D94" s="1101"/>
      <c r="E94" s="1083"/>
      <c r="F94" s="1090"/>
      <c r="G94" s="1090"/>
      <c r="H94" s="1090"/>
      <c r="I94" s="1090"/>
      <c r="J94" s="1090"/>
      <c r="K94" s="1090"/>
    </row>
    <row r="95" spans="1:11" ht="20.100000000000001" customHeight="1" thickBot="1">
      <c r="A95" s="1102" t="s">
        <v>2324</v>
      </c>
      <c r="B95" s="1084"/>
      <c r="C95" s="1103"/>
      <c r="D95" s="1103"/>
      <c r="E95" s="1084"/>
      <c r="F95" s="1090"/>
      <c r="G95" s="1090"/>
      <c r="H95" s="1090"/>
      <c r="I95" s="1090"/>
      <c r="J95" s="1090"/>
      <c r="K95" s="1090"/>
    </row>
    <row r="96" spans="1:11" ht="20.100000000000001" customHeight="1">
      <c r="A96" s="1318" t="s">
        <v>2345</v>
      </c>
      <c r="B96" s="1318"/>
      <c r="C96" s="1318"/>
      <c r="D96" s="1318"/>
      <c r="E96" s="1318"/>
      <c r="F96" s="1090"/>
      <c r="G96" s="1090"/>
      <c r="H96" s="1090"/>
      <c r="I96" s="1090"/>
      <c r="J96" s="1090"/>
      <c r="K96" s="1090"/>
    </row>
    <row r="97" spans="1:11" ht="20.100000000000001" customHeight="1">
      <c r="A97" s="1090"/>
      <c r="B97" s="1090"/>
      <c r="C97" s="1090"/>
      <c r="D97" s="1090"/>
      <c r="E97" s="1090"/>
      <c r="F97" s="1090"/>
      <c r="G97" s="1090"/>
      <c r="H97" s="1090"/>
      <c r="I97" s="1090"/>
      <c r="J97" s="1090"/>
      <c r="K97" s="1090"/>
    </row>
    <row r="98" spans="1:11" ht="20.100000000000001" customHeight="1">
      <c r="A98" s="905"/>
      <c r="B98" s="1090"/>
      <c r="C98" s="1090"/>
      <c r="D98" s="1090"/>
      <c r="E98" s="1090"/>
      <c r="F98" s="1090"/>
      <c r="G98" s="1090"/>
      <c r="H98" s="1090"/>
      <c r="I98" s="1090"/>
      <c r="J98" s="1090"/>
      <c r="K98" s="1090"/>
    </row>
  </sheetData>
  <mergeCells count="28">
    <mergeCell ref="A91:B91"/>
    <mergeCell ref="A96:E96"/>
    <mergeCell ref="A71:C71"/>
    <mergeCell ref="A73:D73"/>
    <mergeCell ref="A80:B80"/>
    <mergeCell ref="A81:B81"/>
    <mergeCell ref="A90:B90"/>
    <mergeCell ref="A43:A44"/>
    <mergeCell ref="B43:D43"/>
    <mergeCell ref="A55:A56"/>
    <mergeCell ref="B55:B56"/>
    <mergeCell ref="G23:K23"/>
    <mergeCell ref="B24:C24"/>
    <mergeCell ref="D24:E24"/>
    <mergeCell ref="G24:H24"/>
    <mergeCell ref="I24:J24"/>
    <mergeCell ref="A27:K27"/>
    <mergeCell ref="A31:K31"/>
    <mergeCell ref="A36:A37"/>
    <mergeCell ref="B36:E36"/>
    <mergeCell ref="A50:B50"/>
    <mergeCell ref="A51:B51"/>
    <mergeCell ref="A52:B52"/>
    <mergeCell ref="A5:A6"/>
    <mergeCell ref="E5:E6"/>
    <mergeCell ref="B5:D5"/>
    <mergeCell ref="A23:A25"/>
    <mergeCell ref="B23:F23"/>
  </mergeCells>
  <phoneticPr fontId="76" type="noConversion"/>
  <pageMargins left="0.74791666666666701" right="0.74791666666666701" top="0.98402777777777795" bottom="0.98402777777777795" header="0.51180555555555596" footer="0.51180555555555596"/>
  <pageSetup paperSize="9" scale="46" orientation="portrait" blackAndWhite="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view="pageBreakPreview" zoomScaleNormal="100" zoomScaleSheetLayoutView="100" workbookViewId="0">
      <selection activeCell="E10" sqref="E10"/>
    </sheetView>
  </sheetViews>
  <sheetFormatPr defaultColWidth="9" defaultRowHeight="20.100000000000001" customHeight="1"/>
  <cols>
    <col min="1" max="1" width="34.625" style="330" customWidth="1"/>
    <col min="2" max="2" width="33.25" style="330" customWidth="1"/>
    <col min="3" max="4" width="20.625" style="330" customWidth="1"/>
    <col min="5" max="5" width="22.75" style="330" customWidth="1"/>
    <col min="6" max="16384" width="9" style="330"/>
  </cols>
  <sheetData>
    <row r="1" spans="1:9" ht="20.100000000000001" customHeight="1">
      <c r="A1" s="54" t="s">
        <v>145</v>
      </c>
      <c r="B1" s="55">
        <f>基础信息!B6</f>
        <v>0</v>
      </c>
      <c r="C1" s="470"/>
      <c r="D1" s="320"/>
      <c r="E1" s="321"/>
      <c r="F1" s="331"/>
    </row>
    <row r="2" spans="1:9" ht="20.100000000000001" customHeight="1">
      <c r="A2" s="54" t="s">
        <v>147</v>
      </c>
      <c r="B2" s="55">
        <f>基础信息!B9</f>
        <v>0</v>
      </c>
      <c r="C2" s="470"/>
      <c r="D2" s="320"/>
      <c r="E2" s="320"/>
      <c r="F2" s="331"/>
    </row>
    <row r="3" spans="1:9" s="327" customFormat="1" ht="20.100000000000001" customHeight="1">
      <c r="A3" s="345" t="s">
        <v>148</v>
      </c>
      <c r="B3" s="345" t="s">
        <v>956</v>
      </c>
      <c r="C3" s="471"/>
      <c r="D3" s="375"/>
      <c r="E3" s="375"/>
      <c r="F3" s="331"/>
      <c r="G3" s="330"/>
      <c r="H3" s="330"/>
      <c r="I3" s="330"/>
    </row>
    <row r="4" spans="1:9" s="102" customFormat="1" ht="20.100000000000001" customHeight="1">
      <c r="A4" s="142" t="s">
        <v>957</v>
      </c>
      <c r="B4" s="472"/>
      <c r="C4" s="142"/>
      <c r="D4" s="142"/>
      <c r="E4" s="142"/>
    </row>
    <row r="5" spans="1:9" s="100" customFormat="1" ht="20.100000000000001" customHeight="1">
      <c r="A5" s="16" t="s">
        <v>754</v>
      </c>
      <c r="B5" s="16" t="s">
        <v>958</v>
      </c>
      <c r="C5" s="16" t="s">
        <v>959</v>
      </c>
      <c r="D5" s="16" t="s">
        <v>960</v>
      </c>
      <c r="E5" s="16" t="s">
        <v>762</v>
      </c>
      <c r="F5" s="102"/>
    </row>
    <row r="6" spans="1:9" s="102" customFormat="1" ht="20.100000000000001" customHeight="1">
      <c r="A6" s="32" t="s">
        <v>55</v>
      </c>
      <c r="B6" s="91"/>
      <c r="C6" s="91"/>
      <c r="D6" s="91"/>
      <c r="E6" s="90">
        <f>B6+C6-D6</f>
        <v>0</v>
      </c>
      <c r="G6" s="27"/>
      <c r="H6" s="27"/>
      <c r="I6" s="27"/>
    </row>
    <row r="7" spans="1:9" s="102" customFormat="1" ht="20.100000000000001" customHeight="1">
      <c r="A7" s="32"/>
      <c r="B7" s="91"/>
      <c r="C7" s="91"/>
      <c r="D7" s="91"/>
      <c r="E7" s="90">
        <f t="shared" ref="E7:E8" si="0">B7+C7-D7</f>
        <v>0</v>
      </c>
      <c r="G7" s="27"/>
      <c r="H7" s="27"/>
      <c r="I7" s="27"/>
    </row>
    <row r="8" spans="1:9" s="27" customFormat="1" ht="28.5" customHeight="1">
      <c r="A8" s="174" t="s">
        <v>961</v>
      </c>
      <c r="B8" s="91"/>
      <c r="C8" s="91"/>
      <c r="D8" s="91"/>
      <c r="E8" s="90">
        <f t="shared" si="0"/>
        <v>0</v>
      </c>
      <c r="F8" s="102"/>
    </row>
    <row r="9" spans="1:9" s="316" customFormat="1" ht="20.100000000000001" customHeight="1">
      <c r="A9" s="32" t="s">
        <v>658</v>
      </c>
      <c r="B9" s="90">
        <f>SUM(B6:B8)</f>
        <v>0</v>
      </c>
      <c r="C9" s="90">
        <f t="shared" ref="C9:E9" si="1">SUM(C6:C8)</f>
        <v>0</v>
      </c>
      <c r="D9" s="90">
        <f t="shared" si="1"/>
        <v>0</v>
      </c>
      <c r="E9" s="90">
        <f t="shared" si="1"/>
        <v>0</v>
      </c>
      <c r="F9" s="333"/>
    </row>
    <row r="10" spans="1:9" s="351" customFormat="1" ht="20.100000000000001" customHeight="1">
      <c r="A10" s="118" t="s">
        <v>649</v>
      </c>
      <c r="B10" s="370"/>
      <c r="C10" s="139"/>
      <c r="D10" s="139"/>
      <c r="E10" s="285">
        <f>'RP 006'!E49</f>
        <v>0</v>
      </c>
    </row>
    <row r="11" spans="1:9" s="351" customFormat="1" ht="20.100000000000001" customHeight="1">
      <c r="A11" s="333"/>
      <c r="B11" s="370"/>
      <c r="C11" s="139"/>
      <c r="D11" s="370"/>
      <c r="E11" s="226">
        <f>E9-E10</f>
        <v>0</v>
      </c>
    </row>
    <row r="12" spans="1:9" s="351" customFormat="1" ht="20.100000000000001" customHeight="1">
      <c r="A12" s="311"/>
      <c r="B12" s="311"/>
      <c r="C12" s="233"/>
      <c r="D12" s="311"/>
      <c r="E12" s="311" t="str">
        <f>IF(E11=0,"OK","NO")</f>
        <v>OK</v>
      </c>
    </row>
    <row r="13" spans="1:9" ht="20.100000000000001" customHeight="1">
      <c r="A13" s="473" t="s">
        <v>962</v>
      </c>
      <c r="B13" s="316"/>
      <c r="C13" s="333"/>
      <c r="D13" s="333"/>
      <c r="E13" s="333"/>
      <c r="F13" s="327"/>
    </row>
    <row r="14" spans="1:9" ht="20.100000000000001" customHeight="1">
      <c r="C14" s="327"/>
      <c r="D14" s="327"/>
      <c r="E14" s="327"/>
      <c r="F14" s="327"/>
    </row>
    <row r="15" spans="1:9" ht="20.100000000000001" customHeight="1">
      <c r="C15" s="327"/>
      <c r="D15" s="327"/>
      <c r="E15" s="327"/>
      <c r="F15" s="327"/>
    </row>
    <row r="16" spans="1:9" ht="20.100000000000001" customHeight="1">
      <c r="C16" s="327"/>
      <c r="D16" s="327"/>
      <c r="E16" s="327"/>
      <c r="F16" s="327"/>
    </row>
    <row r="17" spans="3:6" ht="20.100000000000001" customHeight="1">
      <c r="C17" s="327"/>
      <c r="D17" s="327"/>
      <c r="E17" s="327"/>
      <c r="F17" s="327"/>
    </row>
    <row r="18" spans="3:6" ht="20.100000000000001" customHeight="1">
      <c r="C18" s="327"/>
      <c r="D18" s="327"/>
      <c r="E18" s="327"/>
      <c r="F18" s="327"/>
    </row>
    <row r="19" spans="3:6" ht="20.100000000000001" customHeight="1">
      <c r="C19" s="327"/>
      <c r="D19" s="327"/>
      <c r="E19" s="327"/>
      <c r="F19" s="327"/>
    </row>
    <row r="20" spans="3:6" ht="16.5">
      <c r="C20" s="327"/>
      <c r="D20" s="327"/>
      <c r="E20" s="327"/>
      <c r="F20" s="327"/>
    </row>
    <row r="21" spans="3:6" ht="16.5">
      <c r="C21" s="327"/>
      <c r="D21" s="327"/>
      <c r="E21" s="327"/>
      <c r="F21" s="327"/>
    </row>
    <row r="22" spans="3:6" ht="16.5">
      <c r="C22" s="327"/>
      <c r="D22" s="327"/>
      <c r="E22" s="327"/>
      <c r="F22" s="327"/>
    </row>
    <row r="23" spans="3:6" ht="16.5">
      <c r="C23" s="327"/>
      <c r="D23" s="327"/>
      <c r="E23" s="327"/>
      <c r="F23" s="327"/>
    </row>
    <row r="24" spans="3:6" ht="16.5">
      <c r="C24" s="327"/>
      <c r="D24" s="327"/>
      <c r="E24" s="327"/>
      <c r="F24" s="327"/>
    </row>
    <row r="25" spans="3:6" ht="16.5">
      <c r="C25" s="327"/>
      <c r="D25" s="327"/>
      <c r="E25" s="327"/>
      <c r="F25" s="327"/>
    </row>
    <row r="26" spans="3:6" ht="16.5">
      <c r="C26" s="327"/>
      <c r="D26" s="327"/>
      <c r="E26" s="327"/>
      <c r="F26" s="327"/>
    </row>
    <row r="27" spans="3:6" ht="16.5">
      <c r="C27" s="327"/>
      <c r="D27" s="327"/>
      <c r="E27" s="327"/>
      <c r="F27" s="327"/>
    </row>
    <row r="28" spans="3:6" ht="16.5">
      <c r="C28" s="327"/>
      <c r="D28" s="327"/>
      <c r="E28" s="327"/>
      <c r="F28" s="327"/>
    </row>
    <row r="29" spans="3:6" ht="16.5">
      <c r="C29" s="327"/>
      <c r="D29" s="327"/>
      <c r="E29" s="327"/>
      <c r="F29" s="327"/>
    </row>
    <row r="30" spans="3:6" ht="16.5">
      <c r="C30" s="327"/>
      <c r="D30" s="327"/>
      <c r="E30" s="327"/>
      <c r="F30" s="327"/>
    </row>
    <row r="31" spans="3:6" ht="16.5">
      <c r="C31" s="327"/>
      <c r="D31" s="327"/>
      <c r="E31" s="327"/>
      <c r="F31" s="327"/>
    </row>
    <row r="32" spans="3:6" ht="16.5">
      <c r="C32" s="327"/>
      <c r="D32" s="327"/>
      <c r="E32" s="327"/>
      <c r="F32" s="327"/>
    </row>
    <row r="33" spans="3:6" ht="16.5">
      <c r="C33" s="327"/>
      <c r="D33" s="327"/>
      <c r="E33" s="327"/>
      <c r="F33" s="327"/>
    </row>
    <row r="34" spans="3:6" ht="16.5">
      <c r="C34" s="327"/>
      <c r="D34" s="327"/>
      <c r="E34" s="327"/>
      <c r="F34" s="327"/>
    </row>
    <row r="35" spans="3:6" ht="16.5">
      <c r="C35" s="327"/>
      <c r="D35" s="327"/>
      <c r="E35" s="327"/>
      <c r="F35" s="327"/>
    </row>
    <row r="36" spans="3:6" ht="16.5">
      <c r="C36" s="327"/>
      <c r="D36" s="327"/>
      <c r="E36" s="327"/>
      <c r="F36" s="327"/>
    </row>
    <row r="37" spans="3:6" ht="16.5">
      <c r="C37" s="327"/>
      <c r="D37" s="327"/>
      <c r="E37" s="327"/>
      <c r="F37" s="327"/>
    </row>
    <row r="38" spans="3:6" ht="16.5">
      <c r="C38" s="327"/>
      <c r="D38" s="327"/>
      <c r="E38" s="327"/>
      <c r="F38" s="327"/>
    </row>
    <row r="39" spans="3:6" ht="16.5">
      <c r="C39" s="327"/>
      <c r="D39" s="327"/>
      <c r="E39" s="327"/>
      <c r="F39" s="327"/>
    </row>
    <row r="40" spans="3:6" ht="16.5">
      <c r="C40" s="327"/>
      <c r="D40" s="327"/>
      <c r="E40" s="327"/>
      <c r="F40" s="327"/>
    </row>
    <row r="41" spans="3:6" ht="16.5">
      <c r="C41" s="327"/>
      <c r="D41" s="327"/>
      <c r="E41" s="327"/>
      <c r="F41" s="327"/>
    </row>
    <row r="42" spans="3:6" ht="16.5">
      <c r="C42" s="327"/>
      <c r="D42" s="327"/>
      <c r="E42" s="327"/>
      <c r="F42" s="327"/>
    </row>
    <row r="43" spans="3:6" ht="16.5">
      <c r="C43" s="327"/>
      <c r="D43" s="327"/>
      <c r="E43" s="327"/>
      <c r="F43" s="327"/>
    </row>
    <row r="44" spans="3:6" ht="16.5">
      <c r="C44" s="327"/>
      <c r="D44" s="327"/>
      <c r="E44" s="327"/>
      <c r="F44" s="327"/>
    </row>
    <row r="45" spans="3:6" ht="16.5">
      <c r="C45" s="327"/>
      <c r="D45" s="327"/>
      <c r="E45" s="327"/>
      <c r="F45" s="327"/>
    </row>
    <row r="46" spans="3:6" ht="16.5">
      <c r="C46" s="327"/>
      <c r="D46" s="327"/>
      <c r="E46" s="327"/>
      <c r="F46" s="327"/>
    </row>
    <row r="47" spans="3:6" ht="16.5">
      <c r="C47" s="327"/>
      <c r="D47" s="327"/>
      <c r="E47" s="327"/>
      <c r="F47" s="327"/>
    </row>
    <row r="48" spans="3:6" ht="16.5">
      <c r="C48" s="327"/>
      <c r="D48" s="327"/>
      <c r="E48" s="327"/>
      <c r="F48" s="327"/>
    </row>
    <row r="49" spans="3:6" ht="16.5">
      <c r="C49" s="327"/>
      <c r="D49" s="327"/>
      <c r="E49" s="327"/>
      <c r="F49" s="327"/>
    </row>
    <row r="50" spans="3:6" ht="16.5">
      <c r="C50" s="327"/>
      <c r="D50" s="327"/>
      <c r="E50" s="327"/>
      <c r="F50" s="327"/>
    </row>
    <row r="51" spans="3:6" ht="16.5">
      <c r="C51" s="327"/>
      <c r="D51" s="327"/>
      <c r="E51" s="327"/>
      <c r="F51" s="327"/>
    </row>
    <row r="52" spans="3:6" ht="16.5">
      <c r="C52" s="327"/>
      <c r="D52" s="327"/>
      <c r="E52" s="327"/>
      <c r="F52" s="327"/>
    </row>
  </sheetData>
  <phoneticPr fontId="76" type="noConversion"/>
  <pageMargins left="0.70763888888888904" right="0.70763888888888904" top="0.74791666666666701" bottom="0.74791666666666701" header="0.31388888888888899" footer="0.31388888888888899"/>
  <pageSetup paperSize="9" scale="49" orientation="portrait" blackAndWhite="1" horizontalDpi="1200" verticalDpi="12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8"/>
  <sheetViews>
    <sheetView view="pageBreakPreview" topLeftCell="A13" zoomScaleNormal="100" zoomScaleSheetLayoutView="100" workbookViewId="0">
      <selection activeCell="K20" sqref="K20"/>
    </sheetView>
  </sheetViews>
  <sheetFormatPr defaultColWidth="9" defaultRowHeight="20.100000000000001" customHeight="1"/>
  <cols>
    <col min="1" max="1" width="30.5" style="11" customWidth="1"/>
    <col min="2" max="2" width="18.625" style="11" customWidth="1"/>
    <col min="3" max="4" width="11" style="11" customWidth="1"/>
    <col min="5" max="5" width="11.875" style="11" customWidth="1"/>
    <col min="6" max="6" width="16.375" style="11" customWidth="1"/>
    <col min="7" max="7" width="19.875" style="11" customWidth="1"/>
    <col min="8" max="9" width="8.25" style="11" customWidth="1"/>
    <col min="10" max="12" width="8.25" style="116" customWidth="1"/>
    <col min="13" max="16384" width="9" style="116"/>
  </cols>
  <sheetData>
    <row r="1" spans="1:12" ht="20.100000000000001" customHeight="1">
      <c r="A1" s="54" t="s">
        <v>145</v>
      </c>
      <c r="B1" s="55">
        <f>基础信息!B6</f>
        <v>0</v>
      </c>
      <c r="C1" s="22"/>
      <c r="D1" s="22"/>
      <c r="E1" s="25"/>
      <c r="F1" s="22"/>
      <c r="G1" s="22"/>
      <c r="H1" s="22"/>
      <c r="I1" s="22"/>
      <c r="J1" s="128"/>
      <c r="K1" s="128"/>
      <c r="L1" s="128"/>
    </row>
    <row r="2" spans="1:12" ht="20.100000000000001" customHeight="1">
      <c r="A2" s="54" t="s">
        <v>147</v>
      </c>
      <c r="B2" s="55">
        <f>基础信息!B9</f>
        <v>0</v>
      </c>
      <c r="C2" s="22"/>
      <c r="D2" s="22"/>
      <c r="E2" s="22"/>
      <c r="F2" s="22"/>
      <c r="G2" s="22"/>
      <c r="H2" s="22"/>
      <c r="I2" s="22"/>
      <c r="J2" s="128"/>
      <c r="K2" s="128"/>
      <c r="L2" s="128"/>
    </row>
    <row r="3" spans="1:12" ht="20.100000000000001" customHeight="1">
      <c r="A3" s="454" t="s">
        <v>148</v>
      </c>
      <c r="B3" s="454" t="s">
        <v>963</v>
      </c>
      <c r="C3" s="22"/>
      <c r="D3" s="22"/>
      <c r="E3" s="22"/>
      <c r="F3" s="22"/>
      <c r="G3" s="22"/>
      <c r="H3" s="22"/>
      <c r="I3" s="22"/>
      <c r="J3" s="128"/>
      <c r="K3" s="128"/>
      <c r="L3" s="128"/>
    </row>
    <row r="4" spans="1:12" s="7" customFormat="1" ht="20.100000000000001" customHeight="1">
      <c r="A4" s="1272" t="s">
        <v>964</v>
      </c>
      <c r="B4" s="1272" t="s">
        <v>965</v>
      </c>
      <c r="C4" s="1272" t="s">
        <v>966</v>
      </c>
      <c r="D4" s="1272"/>
      <c r="E4" s="1272"/>
      <c r="F4" s="1272"/>
      <c r="G4" s="1272"/>
      <c r="H4" s="1272"/>
      <c r="I4" s="1272"/>
      <c r="J4" s="1272"/>
      <c r="K4" s="1272" t="s">
        <v>835</v>
      </c>
      <c r="L4" s="1272" t="s">
        <v>967</v>
      </c>
    </row>
    <row r="5" spans="1:12" s="7" customFormat="1" ht="42" customHeight="1">
      <c r="A5" s="1272"/>
      <c r="B5" s="1272"/>
      <c r="C5" s="16" t="s">
        <v>968</v>
      </c>
      <c r="D5" s="16" t="s">
        <v>969</v>
      </c>
      <c r="E5" s="16" t="s">
        <v>970</v>
      </c>
      <c r="F5" s="16" t="s">
        <v>971</v>
      </c>
      <c r="G5" s="231" t="s">
        <v>972</v>
      </c>
      <c r="H5" s="231" t="s">
        <v>973</v>
      </c>
      <c r="I5" s="16" t="s">
        <v>974</v>
      </c>
      <c r="J5" s="16" t="s">
        <v>975</v>
      </c>
      <c r="K5" s="1272"/>
      <c r="L5" s="1272"/>
    </row>
    <row r="6" spans="1:12" s="7" customFormat="1" ht="20.100000000000001" customHeight="1">
      <c r="A6" s="32" t="s">
        <v>976</v>
      </c>
      <c r="B6" s="32"/>
      <c r="C6" s="32"/>
      <c r="D6" s="32"/>
      <c r="E6" s="32"/>
      <c r="F6" s="32"/>
      <c r="G6" s="32"/>
      <c r="H6" s="32"/>
      <c r="I6" s="32"/>
      <c r="J6" s="32"/>
      <c r="K6" s="32"/>
      <c r="L6" s="32"/>
    </row>
    <row r="7" spans="1:12" s="7" customFormat="1" ht="20.100000000000001" customHeight="1">
      <c r="A7" s="32" t="s">
        <v>977</v>
      </c>
      <c r="B7" s="32"/>
      <c r="C7" s="32"/>
      <c r="D7" s="32"/>
      <c r="E7" s="32"/>
      <c r="F7" s="32"/>
      <c r="G7" s="32"/>
      <c r="H7" s="32"/>
      <c r="I7" s="32"/>
      <c r="J7" s="32"/>
      <c r="K7" s="32"/>
      <c r="L7" s="32"/>
    </row>
    <row r="8" spans="1:12" s="7" customFormat="1" ht="20.100000000000001" customHeight="1">
      <c r="A8" s="32"/>
      <c r="B8" s="32"/>
      <c r="C8" s="32"/>
      <c r="D8" s="32"/>
      <c r="E8" s="32"/>
      <c r="F8" s="32"/>
      <c r="G8" s="32"/>
      <c r="H8" s="32"/>
      <c r="I8" s="32"/>
      <c r="J8" s="32"/>
      <c r="K8" s="32"/>
      <c r="L8" s="32"/>
    </row>
    <row r="9" spans="1:12" s="7" customFormat="1" ht="20.100000000000001" customHeight="1">
      <c r="A9" s="32" t="s">
        <v>978</v>
      </c>
      <c r="B9" s="32"/>
      <c r="C9" s="32"/>
      <c r="D9" s="32"/>
      <c r="E9" s="32"/>
      <c r="F9" s="32"/>
      <c r="G9" s="32"/>
      <c r="H9" s="32"/>
      <c r="I9" s="32"/>
      <c r="J9" s="32"/>
      <c r="K9" s="32"/>
      <c r="L9" s="32"/>
    </row>
    <row r="10" spans="1:12" s="7" customFormat="1" ht="20.100000000000001" customHeight="1">
      <c r="A10" s="32" t="s">
        <v>979</v>
      </c>
      <c r="B10" s="32"/>
      <c r="C10" s="32"/>
      <c r="D10" s="32"/>
      <c r="E10" s="32"/>
      <c r="F10" s="32"/>
      <c r="G10" s="32"/>
      <c r="H10" s="32"/>
      <c r="I10" s="32"/>
      <c r="J10" s="32"/>
      <c r="K10" s="32"/>
      <c r="L10" s="32"/>
    </row>
    <row r="11" spans="1:12" s="7" customFormat="1" ht="20.100000000000001" customHeight="1">
      <c r="A11" s="32" t="s">
        <v>977</v>
      </c>
      <c r="B11" s="32"/>
      <c r="C11" s="32"/>
      <c r="D11" s="32"/>
      <c r="E11" s="32"/>
      <c r="F11" s="32"/>
      <c r="G11" s="32"/>
      <c r="H11" s="32"/>
      <c r="I11" s="32"/>
      <c r="J11" s="32"/>
      <c r="K11" s="32"/>
      <c r="L11" s="32"/>
    </row>
    <row r="12" spans="1:12" s="7" customFormat="1" ht="20.100000000000001" customHeight="1">
      <c r="A12" s="32"/>
      <c r="B12" s="32"/>
      <c r="C12" s="32"/>
      <c r="D12" s="32"/>
      <c r="E12" s="32"/>
      <c r="F12" s="32"/>
      <c r="G12" s="32"/>
      <c r="H12" s="32"/>
      <c r="I12" s="32"/>
      <c r="J12" s="32"/>
      <c r="K12" s="32"/>
      <c r="L12" s="32"/>
    </row>
    <row r="13" spans="1:12" s="7" customFormat="1" ht="20.100000000000001" customHeight="1">
      <c r="A13" s="32"/>
      <c r="B13" s="32"/>
      <c r="C13" s="32"/>
      <c r="D13" s="32"/>
      <c r="E13" s="32"/>
      <c r="F13" s="32"/>
      <c r="G13" s="32"/>
      <c r="H13" s="32"/>
      <c r="I13" s="32"/>
      <c r="J13" s="32"/>
      <c r="K13" s="32"/>
      <c r="L13" s="32"/>
    </row>
    <row r="14" spans="1:12" s="7" customFormat="1" ht="20.100000000000001" customHeight="1">
      <c r="A14" s="32"/>
      <c r="B14" s="32"/>
      <c r="C14" s="32"/>
      <c r="D14" s="32"/>
      <c r="E14" s="32"/>
      <c r="F14" s="32"/>
      <c r="G14" s="32"/>
      <c r="H14" s="32"/>
      <c r="I14" s="32"/>
      <c r="J14" s="32"/>
      <c r="K14" s="32"/>
      <c r="L14" s="32"/>
    </row>
    <row r="15" spans="1:12" s="7" customFormat="1" ht="20.100000000000001" customHeight="1">
      <c r="A15" s="32"/>
      <c r="B15" s="32"/>
      <c r="C15" s="32"/>
      <c r="D15" s="32"/>
      <c r="E15" s="32"/>
      <c r="F15" s="32"/>
      <c r="G15" s="32"/>
      <c r="H15" s="32"/>
      <c r="I15" s="32"/>
      <c r="J15" s="32"/>
      <c r="K15" s="32"/>
      <c r="L15" s="32"/>
    </row>
    <row r="16" spans="1:12" s="7" customFormat="1" ht="20.100000000000001" customHeight="1">
      <c r="A16" s="32" t="s">
        <v>978</v>
      </c>
      <c r="B16" s="32"/>
      <c r="C16" s="32"/>
      <c r="D16" s="32"/>
      <c r="E16" s="32"/>
      <c r="F16" s="32"/>
      <c r="G16" s="32"/>
      <c r="H16" s="32"/>
      <c r="I16" s="32"/>
      <c r="J16" s="32"/>
      <c r="K16" s="32"/>
      <c r="L16" s="32"/>
    </row>
    <row r="17" spans="1:12" s="7" customFormat="1" ht="20.100000000000001" customHeight="1">
      <c r="A17" s="32" t="s">
        <v>658</v>
      </c>
      <c r="B17" s="32"/>
      <c r="C17" s="32"/>
      <c r="D17" s="32"/>
      <c r="E17" s="32"/>
      <c r="F17" s="32"/>
      <c r="G17" s="32"/>
      <c r="H17" s="32"/>
      <c r="I17" s="32"/>
      <c r="J17" s="32"/>
      <c r="K17" s="32"/>
      <c r="L17" s="32"/>
    </row>
    <row r="18" spans="1:12" s="7" customFormat="1" ht="20.100000000000001" customHeight="1">
      <c r="A18" s="225" t="s">
        <v>649</v>
      </c>
      <c r="B18" s="225"/>
      <c r="C18" s="233"/>
      <c r="D18" s="233"/>
      <c r="E18" s="27"/>
      <c r="F18" s="27"/>
      <c r="G18" s="27"/>
      <c r="H18" s="27"/>
      <c r="I18" s="102"/>
      <c r="J18" s="102"/>
      <c r="K18" s="285">
        <f>'RP 006'!E50</f>
        <v>0</v>
      </c>
      <c r="L18" s="101">
        <f>'RP 006'!E51</f>
        <v>0</v>
      </c>
    </row>
    <row r="19" spans="1:12" s="7" customFormat="1" ht="20.100000000000001" customHeight="1">
      <c r="A19" s="333"/>
      <c r="B19" s="225"/>
      <c r="C19" s="233"/>
      <c r="D19" s="225"/>
      <c r="E19" s="27"/>
      <c r="F19" s="27"/>
      <c r="G19" s="27"/>
      <c r="H19" s="27"/>
      <c r="I19" s="102"/>
      <c r="J19" s="102"/>
      <c r="K19" s="226">
        <f>K17-K18</f>
        <v>0</v>
      </c>
      <c r="L19" s="226">
        <f>L17-L18</f>
        <v>0</v>
      </c>
    </row>
    <row r="20" spans="1:12" s="7" customFormat="1" ht="20.100000000000001" customHeight="1">
      <c r="A20" s="227"/>
      <c r="B20" s="227"/>
      <c r="C20" s="381"/>
      <c r="D20" s="227"/>
      <c r="E20" s="9"/>
      <c r="F20" s="9"/>
      <c r="G20" s="9"/>
      <c r="H20" s="9"/>
      <c r="I20" s="9"/>
      <c r="K20" s="227" t="str">
        <f>IF(K19=0,"OK","NO")</f>
        <v>OK</v>
      </c>
      <c r="L20" s="227" t="str">
        <f>IF(L19=0,"OK","NO")</f>
        <v>OK</v>
      </c>
    </row>
    <row r="21" spans="1:12" s="7" customFormat="1" ht="20.100000000000001" customHeight="1">
      <c r="A21" s="9"/>
      <c r="B21" s="9"/>
      <c r="C21" s="9"/>
      <c r="D21" s="9"/>
      <c r="E21" s="9"/>
      <c r="F21" s="9"/>
      <c r="G21" s="9"/>
      <c r="H21" s="9"/>
      <c r="I21" s="9"/>
    </row>
    <row r="22" spans="1:12" s="7" customFormat="1" ht="20.100000000000001" customHeight="1">
      <c r="A22" s="1323" t="s">
        <v>980</v>
      </c>
      <c r="B22" s="1323"/>
      <c r="C22" s="15"/>
      <c r="D22" s="15"/>
      <c r="E22" s="15"/>
      <c r="F22" s="15"/>
      <c r="G22" s="15"/>
      <c r="H22" s="15"/>
      <c r="I22" s="15"/>
      <c r="J22" s="15"/>
      <c r="K22" s="15"/>
      <c r="L22" s="15"/>
    </row>
    <row r="23" spans="1:12" s="7" customFormat="1" ht="20.100000000000001" customHeight="1">
      <c r="A23" s="1272" t="s">
        <v>981</v>
      </c>
      <c r="B23" s="1272" t="s">
        <v>982</v>
      </c>
      <c r="C23" s="1272" t="s">
        <v>983</v>
      </c>
      <c r="D23" s="1272" t="s">
        <v>984</v>
      </c>
      <c r="E23" s="1272" t="s">
        <v>985</v>
      </c>
      <c r="F23" s="1272"/>
      <c r="G23" s="1272" t="s">
        <v>986</v>
      </c>
      <c r="H23" s="15"/>
      <c r="I23" s="15"/>
      <c r="J23" s="15"/>
      <c r="K23" s="15"/>
      <c r="L23" s="15"/>
    </row>
    <row r="24" spans="1:12" s="7" customFormat="1" ht="20.100000000000001" customHeight="1">
      <c r="A24" s="1272"/>
      <c r="B24" s="1272"/>
      <c r="C24" s="1272"/>
      <c r="D24" s="1272"/>
      <c r="E24" s="16" t="s">
        <v>987</v>
      </c>
      <c r="F24" s="16" t="s">
        <v>988</v>
      </c>
      <c r="G24" s="1272"/>
      <c r="H24" s="15"/>
      <c r="I24" s="15"/>
      <c r="J24" s="15"/>
      <c r="K24" s="15"/>
      <c r="L24" s="15"/>
    </row>
    <row r="25" spans="1:12" s="7" customFormat="1" ht="20.100000000000001" customHeight="1">
      <c r="A25" s="94" t="s">
        <v>989</v>
      </c>
      <c r="B25" s="288"/>
      <c r="C25" s="288"/>
      <c r="D25" s="288"/>
      <c r="E25" s="288"/>
      <c r="F25" s="288"/>
      <c r="G25" s="288"/>
      <c r="H25" s="9"/>
      <c r="I25" s="9"/>
    </row>
    <row r="26" spans="1:12" s="7" customFormat="1" ht="20.100000000000001" customHeight="1">
      <c r="A26" s="288"/>
      <c r="B26" s="288"/>
      <c r="C26" s="288"/>
      <c r="D26" s="288"/>
      <c r="E26" s="288"/>
      <c r="F26" s="288"/>
      <c r="G26" s="288"/>
      <c r="H26" s="9"/>
      <c r="I26" s="9"/>
    </row>
    <row r="27" spans="1:12" s="7" customFormat="1" ht="20.100000000000001" customHeight="1">
      <c r="A27" s="288"/>
      <c r="B27" s="288"/>
      <c r="C27" s="288"/>
      <c r="D27" s="288"/>
      <c r="E27" s="288"/>
      <c r="F27" s="288"/>
      <c r="G27" s="288"/>
      <c r="H27" s="9"/>
      <c r="I27" s="9"/>
    </row>
    <row r="28" spans="1:12" s="7" customFormat="1" ht="20.100000000000001" customHeight="1">
      <c r="A28" s="288"/>
      <c r="B28" s="288"/>
      <c r="C28" s="288"/>
      <c r="D28" s="288"/>
      <c r="E28" s="288"/>
      <c r="F28" s="288"/>
      <c r="G28" s="288"/>
      <c r="H28" s="9"/>
      <c r="I28" s="9"/>
    </row>
    <row r="29" spans="1:12" s="7" customFormat="1" ht="20.100000000000001" customHeight="1">
      <c r="A29" s="288" t="s">
        <v>990</v>
      </c>
      <c r="B29" s="288"/>
      <c r="C29" s="288"/>
      <c r="D29" s="288"/>
      <c r="E29" s="288"/>
      <c r="F29" s="288"/>
      <c r="G29" s="288"/>
      <c r="H29" s="9"/>
      <c r="I29" s="9"/>
    </row>
    <row r="30" spans="1:12" s="7" customFormat="1" ht="20.100000000000001" customHeight="1">
      <c r="A30" s="288"/>
      <c r="B30" s="288"/>
      <c r="C30" s="288"/>
      <c r="D30" s="288"/>
      <c r="E30" s="288"/>
      <c r="F30" s="288"/>
      <c r="G30" s="288"/>
      <c r="H30" s="9"/>
      <c r="I30" s="9"/>
    </row>
    <row r="31" spans="1:12" s="7" customFormat="1" ht="20.100000000000001" customHeight="1">
      <c r="A31" s="467" t="s">
        <v>737</v>
      </c>
      <c r="B31" s="288"/>
      <c r="C31" s="288"/>
      <c r="D31" s="288"/>
      <c r="E31" s="288"/>
      <c r="F31" s="288"/>
      <c r="G31" s="288"/>
      <c r="H31" s="9"/>
      <c r="I31" s="9"/>
    </row>
    <row r="32" spans="1:12" s="7" customFormat="1" ht="20.100000000000001" customHeight="1">
      <c r="A32" s="94"/>
      <c r="B32" s="94"/>
      <c r="C32" s="94"/>
      <c r="D32" s="94"/>
      <c r="E32" s="94"/>
      <c r="F32" s="94"/>
      <c r="G32" s="94"/>
      <c r="H32" s="9"/>
      <c r="I32" s="9"/>
    </row>
    <row r="33" spans="1:12" s="7" customFormat="1" ht="20.100000000000001" customHeight="1">
      <c r="A33" s="207" t="s">
        <v>677</v>
      </c>
      <c r="B33" s="9"/>
      <c r="C33" s="9"/>
      <c r="D33" s="9"/>
      <c r="E33" s="9"/>
      <c r="F33" s="9"/>
      <c r="G33" s="9"/>
      <c r="H33" s="9"/>
      <c r="I33" s="9"/>
    </row>
    <row r="34" spans="1:12" s="7" customFormat="1" ht="20.100000000000001" customHeight="1">
      <c r="A34" s="86" t="s">
        <v>991</v>
      </c>
      <c r="B34" s="207"/>
      <c r="C34" s="207"/>
      <c r="D34" s="207"/>
      <c r="E34" s="207"/>
      <c r="F34" s="207"/>
      <c r="G34" s="207"/>
      <c r="H34" s="9"/>
      <c r="I34" s="9"/>
    </row>
    <row r="35" spans="1:12" s="7" customFormat="1" ht="20.100000000000001" customHeight="1">
      <c r="A35" s="86" t="s">
        <v>992</v>
      </c>
      <c r="B35" s="207"/>
      <c r="C35" s="207"/>
      <c r="D35" s="207"/>
      <c r="E35" s="207"/>
      <c r="F35" s="207"/>
      <c r="G35" s="207"/>
      <c r="H35" s="9"/>
      <c r="I35" s="9"/>
    </row>
    <row r="36" spans="1:12" s="7" customFormat="1" ht="20.100000000000001" customHeight="1">
      <c r="A36" s="86" t="s">
        <v>993</v>
      </c>
      <c r="B36" s="207"/>
      <c r="C36" s="207"/>
      <c r="D36" s="207"/>
      <c r="E36" s="207"/>
      <c r="F36" s="207"/>
      <c r="G36" s="207"/>
      <c r="H36" s="9"/>
      <c r="I36" s="9"/>
    </row>
    <row r="37" spans="1:12" s="7" customFormat="1" ht="20.100000000000001" customHeight="1">
      <c r="A37" s="86" t="s">
        <v>994</v>
      </c>
      <c r="B37" s="207"/>
      <c r="C37" s="207"/>
      <c r="D37" s="207"/>
      <c r="E37" s="207"/>
      <c r="F37" s="207"/>
      <c r="G37" s="207"/>
      <c r="H37" s="9"/>
      <c r="I37" s="9"/>
    </row>
    <row r="38" spans="1:12" s="7" customFormat="1" ht="20.100000000000001" customHeight="1">
      <c r="A38" s="86" t="s">
        <v>995</v>
      </c>
      <c r="B38" s="9"/>
      <c r="C38" s="9"/>
      <c r="D38" s="9"/>
      <c r="E38" s="9"/>
      <c r="F38" s="9"/>
      <c r="G38" s="9"/>
      <c r="H38" s="9"/>
      <c r="I38" s="9"/>
    </row>
    <row r="39" spans="1:12" s="7" customFormat="1" ht="20.100000000000001" customHeight="1">
      <c r="A39" s="86" t="s">
        <v>996</v>
      </c>
      <c r="B39" s="9"/>
      <c r="C39" s="9"/>
      <c r="D39" s="9"/>
      <c r="E39" s="9"/>
      <c r="F39" s="9"/>
      <c r="G39" s="9"/>
      <c r="H39" s="9"/>
      <c r="I39" s="9"/>
    </row>
    <row r="40" spans="1:12" s="7" customFormat="1" ht="20.100000000000001" customHeight="1">
      <c r="A40" s="1272" t="s">
        <v>997</v>
      </c>
      <c r="B40" s="1322" t="s">
        <v>998</v>
      </c>
      <c r="C40" s="1322"/>
      <c r="D40" s="1322" t="s">
        <v>999</v>
      </c>
      <c r="E40" s="1322"/>
      <c r="F40" s="1322" t="s">
        <v>1000</v>
      </c>
      <c r="G40" s="1322"/>
      <c r="H40" s="15"/>
      <c r="I40" s="15"/>
      <c r="J40" s="15"/>
      <c r="K40" s="15"/>
      <c r="L40" s="15"/>
    </row>
    <row r="41" spans="1:12" s="7" customFormat="1" ht="20.100000000000001" customHeight="1">
      <c r="A41" s="1272"/>
      <c r="B41" s="16" t="s">
        <v>762</v>
      </c>
      <c r="C41" s="16" t="s">
        <v>958</v>
      </c>
      <c r="D41" s="16" t="s">
        <v>762</v>
      </c>
      <c r="E41" s="16" t="s">
        <v>958</v>
      </c>
      <c r="F41" s="16" t="s">
        <v>762</v>
      </c>
      <c r="G41" s="16" t="s">
        <v>958</v>
      </c>
      <c r="H41" s="15"/>
      <c r="I41" s="15"/>
      <c r="J41" s="15"/>
      <c r="K41" s="15"/>
      <c r="L41" s="15"/>
    </row>
    <row r="42" spans="1:12" s="7" customFormat="1" ht="20.100000000000001" customHeight="1">
      <c r="A42" s="94" t="s">
        <v>1001</v>
      </c>
      <c r="B42" s="94"/>
      <c r="C42" s="94"/>
      <c r="D42" s="94"/>
      <c r="E42" s="94"/>
      <c r="F42" s="94"/>
      <c r="G42" s="94"/>
      <c r="H42" s="9"/>
      <c r="I42" s="9"/>
    </row>
    <row r="43" spans="1:12" s="7" customFormat="1" ht="20.100000000000001" customHeight="1">
      <c r="A43" s="94" t="s">
        <v>1002</v>
      </c>
      <c r="B43" s="94"/>
      <c r="C43" s="94"/>
      <c r="D43" s="94"/>
      <c r="E43" s="94"/>
      <c r="F43" s="94"/>
      <c r="G43" s="94"/>
      <c r="H43" s="9"/>
      <c r="I43" s="9"/>
    </row>
    <row r="44" spans="1:12" s="7" customFormat="1" ht="20.100000000000001" customHeight="1">
      <c r="A44" s="94" t="s">
        <v>395</v>
      </c>
      <c r="B44" s="94"/>
      <c r="C44" s="94"/>
      <c r="D44" s="94"/>
      <c r="E44" s="94"/>
      <c r="F44" s="94"/>
      <c r="G44" s="94"/>
      <c r="H44" s="9"/>
      <c r="I44" s="9"/>
    </row>
    <row r="45" spans="1:12" s="7" customFormat="1" ht="20.100000000000001" customHeight="1">
      <c r="A45" s="94" t="s">
        <v>1003</v>
      </c>
      <c r="B45" s="94"/>
      <c r="C45" s="94"/>
      <c r="D45" s="94"/>
      <c r="E45" s="94"/>
      <c r="F45" s="94"/>
      <c r="G45" s="94"/>
      <c r="H45" s="9"/>
      <c r="I45" s="9"/>
    </row>
    <row r="46" spans="1:12" s="7" customFormat="1" ht="20.100000000000001" customHeight="1">
      <c r="A46" s="94" t="s">
        <v>1004</v>
      </c>
      <c r="B46" s="94"/>
      <c r="C46" s="94"/>
      <c r="D46" s="94"/>
      <c r="E46" s="94"/>
      <c r="F46" s="94"/>
      <c r="G46" s="94"/>
      <c r="H46" s="9"/>
      <c r="I46" s="9"/>
    </row>
    <row r="47" spans="1:12" s="7" customFormat="1" ht="20.100000000000001" customHeight="1">
      <c r="A47" s="94" t="s">
        <v>1005</v>
      </c>
      <c r="B47" s="94"/>
      <c r="C47" s="94"/>
      <c r="D47" s="94"/>
      <c r="E47" s="94"/>
      <c r="F47" s="94"/>
      <c r="G47" s="94"/>
      <c r="H47" s="9"/>
      <c r="I47" s="9"/>
    </row>
    <row r="48" spans="1:12" s="7" customFormat="1" ht="20.100000000000001" customHeight="1">
      <c r="A48" s="94" t="s">
        <v>426</v>
      </c>
      <c r="B48" s="94"/>
      <c r="C48" s="94"/>
      <c r="D48" s="94"/>
      <c r="E48" s="94"/>
      <c r="F48" s="94"/>
      <c r="G48" s="94"/>
      <c r="H48" s="9"/>
      <c r="I48" s="9"/>
    </row>
    <row r="49" spans="1:12" s="7" customFormat="1" ht="20.100000000000001" customHeight="1">
      <c r="A49" s="94" t="s">
        <v>1006</v>
      </c>
      <c r="B49" s="94"/>
      <c r="C49" s="94"/>
      <c r="D49" s="94"/>
      <c r="E49" s="94"/>
      <c r="F49" s="94"/>
      <c r="G49" s="94"/>
      <c r="H49" s="9"/>
      <c r="I49" s="9"/>
    </row>
    <row r="50" spans="1:12" s="7" customFormat="1" ht="20.100000000000001" customHeight="1">
      <c r="A50" s="94" t="s">
        <v>1007</v>
      </c>
      <c r="B50" s="94"/>
      <c r="C50" s="94"/>
      <c r="D50" s="94"/>
      <c r="E50" s="94"/>
      <c r="F50" s="94"/>
      <c r="G50" s="94"/>
      <c r="H50" s="9"/>
      <c r="I50" s="9"/>
    </row>
    <row r="51" spans="1:12" s="7" customFormat="1" ht="20.100000000000001" customHeight="1">
      <c r="A51" s="94" t="s">
        <v>1008</v>
      </c>
      <c r="B51" s="94"/>
      <c r="C51" s="94"/>
      <c r="D51" s="94"/>
      <c r="E51" s="94"/>
      <c r="F51" s="94"/>
      <c r="G51" s="94"/>
      <c r="H51" s="9"/>
      <c r="I51" s="9"/>
    </row>
    <row r="52" spans="1:12" s="7" customFormat="1" ht="20.100000000000001" customHeight="1">
      <c r="A52" s="94" t="s">
        <v>1009</v>
      </c>
      <c r="B52" s="94"/>
      <c r="C52" s="94"/>
      <c r="D52" s="94"/>
      <c r="E52" s="94"/>
      <c r="F52" s="94"/>
      <c r="G52" s="94"/>
      <c r="H52" s="9"/>
      <c r="I52" s="9"/>
    </row>
    <row r="53" spans="1:12" s="7" customFormat="1" ht="20.100000000000001" customHeight="1">
      <c r="A53" s="94" t="s">
        <v>1010</v>
      </c>
      <c r="B53" s="94"/>
      <c r="C53" s="94"/>
      <c r="D53" s="94"/>
      <c r="E53" s="94"/>
      <c r="F53" s="94"/>
      <c r="G53" s="94"/>
      <c r="H53" s="9"/>
      <c r="I53" s="9"/>
    </row>
    <row r="54" spans="1:12" s="7" customFormat="1" ht="20.100000000000001" customHeight="1">
      <c r="A54" s="94" t="s">
        <v>1011</v>
      </c>
      <c r="B54" s="94"/>
      <c r="C54" s="94"/>
      <c r="D54" s="94"/>
      <c r="E54" s="94"/>
      <c r="F54" s="94"/>
      <c r="G54" s="94"/>
      <c r="H54" s="9"/>
      <c r="I54" s="9"/>
    </row>
    <row r="55" spans="1:12" s="7" customFormat="1" ht="20.100000000000001" customHeight="1">
      <c r="A55" s="94" t="s">
        <v>1012</v>
      </c>
      <c r="B55" s="94"/>
      <c r="C55" s="94"/>
      <c r="D55" s="94"/>
      <c r="E55" s="94"/>
      <c r="F55" s="94"/>
      <c r="G55" s="94"/>
      <c r="H55" s="9"/>
      <c r="I55" s="9"/>
    </row>
    <row r="56" spans="1:12" s="7" customFormat="1" ht="20.100000000000001" customHeight="1">
      <c r="A56" s="94" t="s">
        <v>1013</v>
      </c>
      <c r="B56" s="94"/>
      <c r="C56" s="94"/>
      <c r="D56" s="94"/>
      <c r="E56" s="94"/>
      <c r="F56" s="94"/>
      <c r="G56" s="94"/>
      <c r="H56" s="9"/>
      <c r="I56" s="9"/>
    </row>
    <row r="57" spans="1:12" s="7" customFormat="1" ht="20.100000000000001" customHeight="1">
      <c r="A57" s="94" t="s">
        <v>1014</v>
      </c>
      <c r="B57" s="94"/>
      <c r="C57" s="94"/>
      <c r="D57" s="94"/>
      <c r="E57" s="94"/>
      <c r="F57" s="94"/>
      <c r="G57" s="94"/>
      <c r="H57" s="9"/>
      <c r="I57" s="9"/>
    </row>
    <row r="58" spans="1:12" s="7" customFormat="1" ht="20.100000000000001" customHeight="1">
      <c r="A58" s="32" t="s">
        <v>1015</v>
      </c>
      <c r="B58" s="94"/>
      <c r="C58" s="94"/>
      <c r="D58" s="94"/>
      <c r="E58" s="94"/>
      <c r="F58" s="94"/>
      <c r="G58" s="94"/>
      <c r="H58" s="9"/>
      <c r="I58" s="9"/>
    </row>
    <row r="59" spans="1:12" s="7" customFormat="1" ht="20.100000000000001" customHeight="1">
      <c r="A59" s="32" t="s">
        <v>1016</v>
      </c>
      <c r="B59" s="94"/>
      <c r="C59" s="94"/>
      <c r="D59" s="94"/>
      <c r="E59" s="94"/>
      <c r="F59" s="94"/>
      <c r="G59" s="94"/>
      <c r="H59" s="9"/>
      <c r="I59" s="9"/>
    </row>
    <row r="60" spans="1:12" s="7" customFormat="1" ht="20.100000000000001" customHeight="1">
      <c r="A60" s="9"/>
      <c r="B60" s="9"/>
      <c r="C60" s="9"/>
      <c r="D60" s="9"/>
      <c r="E60" s="9"/>
      <c r="F60" s="9"/>
      <c r="G60" s="9"/>
      <c r="H60" s="9"/>
      <c r="I60" s="9"/>
    </row>
    <row r="61" spans="1:12" s="7" customFormat="1" ht="20.100000000000001" customHeight="1">
      <c r="A61" s="1272" t="s">
        <v>754</v>
      </c>
      <c r="B61" s="1322" t="s">
        <v>998</v>
      </c>
      <c r="C61" s="1322"/>
      <c r="D61" s="1322" t="s">
        <v>999</v>
      </c>
      <c r="E61" s="1322"/>
      <c r="F61" s="1322" t="s">
        <v>1000</v>
      </c>
      <c r="G61" s="1322"/>
      <c r="H61" s="15"/>
      <c r="I61" s="15"/>
      <c r="J61" s="15"/>
      <c r="K61" s="15"/>
      <c r="L61" s="15"/>
    </row>
    <row r="62" spans="1:12" s="7" customFormat="1" ht="20.100000000000001" customHeight="1">
      <c r="A62" s="1272"/>
      <c r="B62" s="16" t="s">
        <v>1017</v>
      </c>
      <c r="C62" s="16" t="s">
        <v>1018</v>
      </c>
      <c r="D62" s="16" t="s">
        <v>1017</v>
      </c>
      <c r="E62" s="16" t="s">
        <v>1018</v>
      </c>
      <c r="F62" s="16" t="s">
        <v>1017</v>
      </c>
      <c r="G62" s="16" t="s">
        <v>1018</v>
      </c>
      <c r="H62" s="15"/>
      <c r="I62" s="15"/>
      <c r="J62" s="15"/>
      <c r="K62" s="15"/>
      <c r="L62" s="15"/>
    </row>
    <row r="63" spans="1:12" s="7" customFormat="1" ht="20.100000000000001" customHeight="1">
      <c r="A63" s="32" t="s">
        <v>433</v>
      </c>
      <c r="B63" s="94"/>
      <c r="C63" s="94"/>
      <c r="D63" s="94"/>
      <c r="E63" s="94"/>
      <c r="F63" s="94"/>
      <c r="G63" s="94"/>
      <c r="H63" s="9"/>
      <c r="I63" s="9"/>
    </row>
    <row r="64" spans="1:12" s="7" customFormat="1" ht="20.100000000000001" customHeight="1">
      <c r="A64" s="32" t="s">
        <v>98</v>
      </c>
      <c r="B64" s="94"/>
      <c r="C64" s="94"/>
      <c r="D64" s="94"/>
      <c r="E64" s="94"/>
      <c r="F64" s="94"/>
      <c r="G64" s="94"/>
      <c r="H64" s="9"/>
      <c r="I64" s="9"/>
    </row>
    <row r="65" spans="1:12" s="7" customFormat="1" ht="20.100000000000001" customHeight="1">
      <c r="A65" s="32" t="s">
        <v>105</v>
      </c>
      <c r="B65" s="94"/>
      <c r="C65" s="94"/>
      <c r="D65" s="94"/>
      <c r="E65" s="94"/>
      <c r="F65" s="94"/>
      <c r="G65" s="94"/>
      <c r="H65" s="9"/>
      <c r="I65" s="9"/>
    </row>
    <row r="66" spans="1:12" s="7" customFormat="1" ht="20.100000000000001" customHeight="1">
      <c r="A66" s="32" t="s">
        <v>1019</v>
      </c>
      <c r="B66" s="94"/>
      <c r="C66" s="94"/>
      <c r="D66" s="94"/>
      <c r="E66" s="94"/>
      <c r="F66" s="94"/>
      <c r="G66" s="94"/>
      <c r="H66" s="9"/>
      <c r="I66" s="9"/>
    </row>
    <row r="67" spans="1:12" s="7" customFormat="1" ht="20.100000000000001" customHeight="1">
      <c r="A67" s="32" t="s">
        <v>1020</v>
      </c>
      <c r="B67" s="94"/>
      <c r="C67" s="94"/>
      <c r="D67" s="94"/>
      <c r="E67" s="94"/>
      <c r="F67" s="94"/>
      <c r="G67" s="94"/>
      <c r="H67" s="9"/>
      <c r="I67" s="9"/>
    </row>
    <row r="68" spans="1:12" s="7" customFormat="1" ht="20.100000000000001" customHeight="1">
      <c r="A68" s="32" t="s">
        <v>216</v>
      </c>
      <c r="B68" s="94"/>
      <c r="C68" s="94"/>
      <c r="D68" s="94"/>
      <c r="E68" s="94"/>
      <c r="F68" s="94"/>
      <c r="G68" s="94"/>
      <c r="H68" s="9"/>
      <c r="I68" s="9"/>
    </row>
    <row r="69" spans="1:12" s="7" customFormat="1" ht="20.100000000000001" customHeight="1">
      <c r="A69" s="32" t="s">
        <v>1021</v>
      </c>
      <c r="B69" s="94"/>
      <c r="C69" s="94"/>
      <c r="D69" s="94"/>
      <c r="E69" s="94"/>
      <c r="F69" s="94"/>
      <c r="G69" s="94"/>
      <c r="H69" s="9"/>
      <c r="I69" s="9"/>
    </row>
    <row r="70" spans="1:12" s="7" customFormat="1" ht="20.100000000000001" customHeight="1">
      <c r="A70" s="32" t="s">
        <v>1022</v>
      </c>
      <c r="B70" s="94"/>
      <c r="C70" s="94"/>
      <c r="D70" s="94"/>
      <c r="E70" s="94"/>
      <c r="F70" s="94"/>
      <c r="G70" s="94"/>
      <c r="H70" s="9"/>
      <c r="I70" s="9"/>
    </row>
    <row r="71" spans="1:12" s="7" customFormat="1" ht="20.100000000000001" customHeight="1">
      <c r="A71" s="9"/>
      <c r="B71" s="9"/>
      <c r="C71" s="9"/>
      <c r="D71" s="9"/>
      <c r="E71" s="9"/>
      <c r="F71" s="9"/>
      <c r="G71" s="9"/>
      <c r="H71" s="9"/>
      <c r="I71" s="9"/>
    </row>
    <row r="72" spans="1:12" s="7" customFormat="1" ht="20.100000000000001" customHeight="1">
      <c r="A72" s="179" t="s">
        <v>1023</v>
      </c>
      <c r="B72" s="9"/>
      <c r="C72" s="9"/>
      <c r="D72" s="9"/>
      <c r="E72" s="9"/>
      <c r="F72" s="9"/>
      <c r="G72" s="9"/>
      <c r="H72" s="9"/>
      <c r="I72" s="9"/>
    </row>
    <row r="73" spans="1:12" s="7" customFormat="1" ht="20.100000000000001" customHeight="1">
      <c r="A73" s="179" t="s">
        <v>1024</v>
      </c>
      <c r="B73" s="9"/>
      <c r="C73" s="9"/>
      <c r="D73" s="9"/>
      <c r="E73" s="9"/>
      <c r="F73" s="9"/>
      <c r="G73" s="9"/>
      <c r="H73" s="9"/>
      <c r="I73" s="9"/>
    </row>
    <row r="74" spans="1:12" s="7" customFormat="1" ht="20.100000000000001" customHeight="1">
      <c r="A74" s="179" t="s">
        <v>1025</v>
      </c>
      <c r="B74" s="9"/>
      <c r="C74" s="9"/>
      <c r="D74" s="9"/>
      <c r="E74" s="9"/>
      <c r="F74" s="9"/>
      <c r="G74" s="9"/>
      <c r="H74" s="9"/>
      <c r="I74" s="9"/>
    </row>
    <row r="75" spans="1:12" s="7" customFormat="1" ht="20.100000000000001" customHeight="1">
      <c r="A75" s="179" t="s">
        <v>1026</v>
      </c>
      <c r="B75" s="9"/>
      <c r="C75" s="9"/>
      <c r="D75" s="9"/>
      <c r="E75" s="9"/>
      <c r="F75" s="9"/>
      <c r="G75" s="9"/>
      <c r="H75" s="9"/>
      <c r="I75" s="9"/>
    </row>
    <row r="76" spans="1:12" s="7" customFormat="1" ht="20.100000000000001" customHeight="1">
      <c r="A76" s="179" t="s">
        <v>1027</v>
      </c>
      <c r="B76" s="9"/>
      <c r="C76" s="9"/>
      <c r="D76" s="9"/>
      <c r="E76" s="9"/>
      <c r="F76" s="9"/>
      <c r="G76" s="9"/>
      <c r="H76" s="9"/>
      <c r="I76" s="9"/>
    </row>
    <row r="77" spans="1:12" s="7" customFormat="1" ht="20.100000000000001" customHeight="1">
      <c r="A77" s="179" t="s">
        <v>1028</v>
      </c>
      <c r="B77" s="9"/>
      <c r="C77" s="9"/>
      <c r="D77" s="9"/>
      <c r="E77" s="9"/>
      <c r="F77" s="9"/>
      <c r="G77" s="9"/>
      <c r="H77" s="9"/>
      <c r="I77" s="9"/>
    </row>
    <row r="78" spans="1:12" s="7" customFormat="1" ht="20.100000000000001" customHeight="1">
      <c r="A78" s="1272" t="s">
        <v>997</v>
      </c>
      <c r="B78" s="1322" t="s">
        <v>998</v>
      </c>
      <c r="C78" s="1322"/>
      <c r="D78" s="1322" t="s">
        <v>999</v>
      </c>
      <c r="E78" s="1322"/>
      <c r="F78" s="1322" t="s">
        <v>1000</v>
      </c>
      <c r="G78" s="1322"/>
      <c r="H78" s="15"/>
      <c r="I78" s="15"/>
      <c r="J78" s="15"/>
      <c r="K78" s="15"/>
      <c r="L78" s="15"/>
    </row>
    <row r="79" spans="1:12" s="7" customFormat="1" ht="20.100000000000001" customHeight="1">
      <c r="A79" s="1272"/>
      <c r="B79" s="16" t="s">
        <v>762</v>
      </c>
      <c r="C79" s="16" t="s">
        <v>958</v>
      </c>
      <c r="D79" s="16" t="s">
        <v>762</v>
      </c>
      <c r="E79" s="16" t="s">
        <v>958</v>
      </c>
      <c r="F79" s="16" t="s">
        <v>762</v>
      </c>
      <c r="G79" s="16" t="s">
        <v>958</v>
      </c>
      <c r="H79" s="15"/>
      <c r="I79" s="15"/>
      <c r="J79" s="15"/>
      <c r="K79" s="15"/>
      <c r="L79" s="15"/>
    </row>
    <row r="80" spans="1:12" s="7" customFormat="1" ht="20.100000000000001" customHeight="1">
      <c r="A80" s="94" t="s">
        <v>1001</v>
      </c>
      <c r="B80" s="94"/>
      <c r="C80" s="94"/>
      <c r="D80" s="94"/>
      <c r="E80" s="94"/>
      <c r="F80" s="94"/>
      <c r="G80" s="94"/>
      <c r="H80" s="9"/>
      <c r="I80" s="9"/>
    </row>
    <row r="81" spans="1:9" s="7" customFormat="1" ht="20.100000000000001" customHeight="1">
      <c r="A81" s="94" t="s">
        <v>395</v>
      </c>
      <c r="B81" s="94"/>
      <c r="C81" s="94"/>
      <c r="D81" s="94"/>
      <c r="E81" s="94"/>
      <c r="F81" s="94"/>
      <c r="G81" s="94"/>
      <c r="H81" s="9"/>
      <c r="I81" s="9"/>
    </row>
    <row r="82" spans="1:9" s="7" customFormat="1" ht="20.100000000000001" customHeight="1">
      <c r="A82" s="94" t="s">
        <v>1003</v>
      </c>
      <c r="B82" s="94"/>
      <c r="C82" s="94"/>
      <c r="D82" s="94"/>
      <c r="E82" s="94"/>
      <c r="F82" s="94"/>
      <c r="G82" s="94"/>
      <c r="H82" s="9"/>
      <c r="I82" s="9"/>
    </row>
    <row r="83" spans="1:9" s="7" customFormat="1" ht="20.100000000000001" customHeight="1">
      <c r="A83" s="94" t="s">
        <v>1004</v>
      </c>
      <c r="B83" s="94"/>
      <c r="C83" s="94"/>
      <c r="D83" s="94"/>
      <c r="E83" s="94"/>
      <c r="F83" s="94"/>
      <c r="G83" s="94"/>
      <c r="H83" s="9"/>
      <c r="I83" s="9"/>
    </row>
    <row r="84" spans="1:9" s="7" customFormat="1" ht="20.100000000000001" customHeight="1">
      <c r="A84" s="94" t="s">
        <v>1005</v>
      </c>
      <c r="B84" s="94"/>
      <c r="C84" s="94"/>
      <c r="D84" s="94"/>
      <c r="E84" s="94"/>
      <c r="F84" s="94"/>
      <c r="G84" s="94"/>
      <c r="H84" s="9"/>
      <c r="I84" s="9"/>
    </row>
    <row r="85" spans="1:9" s="7" customFormat="1" ht="20.100000000000001" customHeight="1">
      <c r="A85" s="94" t="s">
        <v>426</v>
      </c>
      <c r="B85" s="94"/>
      <c r="C85" s="94"/>
      <c r="D85" s="94"/>
      <c r="E85" s="94"/>
      <c r="F85" s="94"/>
      <c r="G85" s="94"/>
      <c r="H85" s="9"/>
      <c r="I85" s="9"/>
    </row>
    <row r="86" spans="1:9" s="7" customFormat="1" ht="20.100000000000001" customHeight="1">
      <c r="A86" s="94" t="s">
        <v>1006</v>
      </c>
      <c r="B86" s="94"/>
      <c r="C86" s="94"/>
      <c r="D86" s="94"/>
      <c r="E86" s="94"/>
      <c r="F86" s="94"/>
      <c r="G86" s="94"/>
      <c r="H86" s="9"/>
      <c r="I86" s="9"/>
    </row>
    <row r="87" spans="1:9" s="7" customFormat="1" ht="20.100000000000001" customHeight="1">
      <c r="A87" s="94" t="s">
        <v>1007</v>
      </c>
      <c r="B87" s="94"/>
      <c r="C87" s="94"/>
      <c r="D87" s="94"/>
      <c r="E87" s="94"/>
      <c r="F87" s="94"/>
      <c r="G87" s="94"/>
      <c r="H87" s="9"/>
      <c r="I87" s="9"/>
    </row>
    <row r="88" spans="1:9" s="7" customFormat="1" ht="20.100000000000001" customHeight="1">
      <c r="A88" s="94" t="s">
        <v>1008</v>
      </c>
      <c r="B88" s="94"/>
      <c r="C88" s="94"/>
      <c r="D88" s="94"/>
      <c r="E88" s="94"/>
      <c r="F88" s="94"/>
      <c r="G88" s="94"/>
      <c r="H88" s="9"/>
      <c r="I88" s="9"/>
    </row>
    <row r="89" spans="1:9" s="7" customFormat="1" ht="20.100000000000001" customHeight="1">
      <c r="A89" s="94" t="s">
        <v>1009</v>
      </c>
      <c r="B89" s="94"/>
      <c r="C89" s="94"/>
      <c r="D89" s="94"/>
      <c r="E89" s="94"/>
      <c r="F89" s="94"/>
      <c r="G89" s="94"/>
      <c r="H89" s="9"/>
      <c r="I89" s="9"/>
    </row>
    <row r="90" spans="1:9" s="7" customFormat="1" ht="20.100000000000001" customHeight="1">
      <c r="A90" s="94" t="s">
        <v>1010</v>
      </c>
      <c r="B90" s="94"/>
      <c r="C90" s="94"/>
      <c r="D90" s="94"/>
      <c r="E90" s="94"/>
      <c r="F90" s="94"/>
      <c r="G90" s="94"/>
      <c r="H90" s="9"/>
      <c r="I90" s="9"/>
    </row>
    <row r="91" spans="1:9" s="7" customFormat="1" ht="20.100000000000001" customHeight="1">
      <c r="A91" s="94" t="s">
        <v>1011</v>
      </c>
      <c r="B91" s="94"/>
      <c r="C91" s="94"/>
      <c r="D91" s="94"/>
      <c r="E91" s="94"/>
      <c r="F91" s="94"/>
      <c r="G91" s="94"/>
      <c r="H91" s="9"/>
      <c r="I91" s="9"/>
    </row>
    <row r="92" spans="1:9" s="7" customFormat="1" ht="20.100000000000001" customHeight="1">
      <c r="A92" s="94" t="s">
        <v>1012</v>
      </c>
      <c r="B92" s="94"/>
      <c r="C92" s="94"/>
      <c r="D92" s="94"/>
      <c r="E92" s="94"/>
      <c r="F92" s="94"/>
      <c r="G92" s="94"/>
      <c r="H92" s="9"/>
      <c r="I92" s="9"/>
    </row>
    <row r="93" spans="1:9" s="7" customFormat="1" ht="20.100000000000001" customHeight="1">
      <c r="A93" s="94" t="s">
        <v>1013</v>
      </c>
      <c r="B93" s="94"/>
      <c r="C93" s="94"/>
      <c r="D93" s="94"/>
      <c r="E93" s="94"/>
      <c r="F93" s="94"/>
      <c r="G93" s="94"/>
      <c r="H93" s="9"/>
      <c r="I93" s="9"/>
    </row>
    <row r="94" spans="1:9" s="7" customFormat="1" ht="20.100000000000001" customHeight="1">
      <c r="A94" s="94" t="s">
        <v>1014</v>
      </c>
      <c r="B94" s="94"/>
      <c r="C94" s="94"/>
      <c r="D94" s="94"/>
      <c r="E94" s="94"/>
      <c r="F94" s="94"/>
      <c r="G94" s="94"/>
      <c r="H94" s="9"/>
      <c r="I94" s="9"/>
    </row>
    <row r="95" spans="1:9" s="7" customFormat="1" ht="20.100000000000001" customHeight="1">
      <c r="A95" s="94" t="s">
        <v>1029</v>
      </c>
      <c r="B95" s="94"/>
      <c r="C95" s="94"/>
      <c r="D95" s="94"/>
      <c r="E95" s="94"/>
      <c r="F95" s="94"/>
      <c r="G95" s="94"/>
      <c r="H95" s="9"/>
      <c r="I95" s="9"/>
    </row>
    <row r="96" spans="1:9" s="7" customFormat="1" ht="20.100000000000001" customHeight="1">
      <c r="A96" s="94" t="s">
        <v>1016</v>
      </c>
      <c r="B96" s="94"/>
      <c r="C96" s="94"/>
      <c r="D96" s="94"/>
      <c r="E96" s="94"/>
      <c r="F96" s="94"/>
      <c r="G96" s="94"/>
      <c r="H96" s="9"/>
      <c r="I96" s="9"/>
    </row>
    <row r="97" spans="1:13" s="7" customFormat="1" ht="20.100000000000001" customHeight="1">
      <c r="A97" s="9"/>
      <c r="B97" s="9"/>
      <c r="C97" s="9"/>
      <c r="D97" s="9"/>
      <c r="E97" s="9"/>
      <c r="F97" s="9"/>
      <c r="G97" s="9"/>
      <c r="H97" s="9"/>
      <c r="I97" s="9"/>
    </row>
    <row r="98" spans="1:13" s="7" customFormat="1" ht="20.100000000000001" customHeight="1">
      <c r="A98" s="1272" t="s">
        <v>754</v>
      </c>
      <c r="B98" s="1322" t="s">
        <v>998</v>
      </c>
      <c r="C98" s="1322"/>
      <c r="D98" s="1322" t="s">
        <v>999</v>
      </c>
      <c r="E98" s="1322"/>
      <c r="F98" s="1322" t="s">
        <v>1000</v>
      </c>
      <c r="G98" s="1322"/>
      <c r="H98" s="15"/>
      <c r="I98" s="15"/>
      <c r="J98" s="15"/>
      <c r="K98" s="15"/>
      <c r="L98" s="15"/>
      <c r="M98" s="23"/>
    </row>
    <row r="99" spans="1:13" s="7" customFormat="1" ht="20.100000000000001" customHeight="1">
      <c r="A99" s="1272"/>
      <c r="B99" s="16" t="s">
        <v>1017</v>
      </c>
      <c r="C99" s="16" t="s">
        <v>1018</v>
      </c>
      <c r="D99" s="16" t="s">
        <v>1017</v>
      </c>
      <c r="E99" s="16" t="s">
        <v>1018</v>
      </c>
      <c r="F99" s="16" t="s">
        <v>1017</v>
      </c>
      <c r="G99" s="16" t="s">
        <v>1018</v>
      </c>
      <c r="H99" s="15"/>
      <c r="I99" s="15"/>
      <c r="J99" s="15"/>
      <c r="K99" s="15"/>
      <c r="L99" s="15"/>
      <c r="M99" s="23"/>
    </row>
    <row r="100" spans="1:13" s="7" customFormat="1" ht="20.100000000000001" customHeight="1">
      <c r="A100" s="32" t="s">
        <v>433</v>
      </c>
      <c r="B100" s="94"/>
      <c r="C100" s="94"/>
      <c r="D100" s="94"/>
      <c r="E100" s="94"/>
      <c r="F100" s="94"/>
      <c r="G100" s="94"/>
      <c r="H100" s="9"/>
      <c r="I100" s="9"/>
    </row>
    <row r="101" spans="1:13" s="7" customFormat="1" ht="20.100000000000001" customHeight="1">
      <c r="A101" s="32" t="s">
        <v>1019</v>
      </c>
      <c r="B101" s="94"/>
      <c r="C101" s="94"/>
      <c r="D101" s="94"/>
      <c r="E101" s="94"/>
      <c r="F101" s="94"/>
      <c r="G101" s="94"/>
      <c r="H101" s="9"/>
      <c r="I101" s="9"/>
    </row>
    <row r="102" spans="1:13" s="7" customFormat="1" ht="20.100000000000001" customHeight="1">
      <c r="A102" s="32" t="s">
        <v>1020</v>
      </c>
      <c r="B102" s="94"/>
      <c r="C102" s="94"/>
      <c r="D102" s="94"/>
      <c r="E102" s="94"/>
      <c r="F102" s="94"/>
      <c r="G102" s="94"/>
      <c r="H102" s="9"/>
      <c r="I102" s="9"/>
    </row>
    <row r="103" spans="1:13" s="7" customFormat="1" ht="20.100000000000001" customHeight="1">
      <c r="A103" s="32" t="s">
        <v>216</v>
      </c>
      <c r="B103" s="94"/>
      <c r="C103" s="94"/>
      <c r="D103" s="94"/>
      <c r="E103" s="94"/>
      <c r="F103" s="94"/>
      <c r="G103" s="94"/>
      <c r="H103" s="9"/>
      <c r="I103" s="9"/>
    </row>
    <row r="104" spans="1:13" s="7" customFormat="1" ht="20.100000000000001" customHeight="1">
      <c r="A104" s="32" t="s">
        <v>1021</v>
      </c>
      <c r="B104" s="94"/>
      <c r="C104" s="94"/>
      <c r="D104" s="94"/>
      <c r="E104" s="94"/>
      <c r="F104" s="94"/>
      <c r="G104" s="94"/>
      <c r="H104" s="9"/>
      <c r="I104" s="9"/>
    </row>
    <row r="105" spans="1:13" s="7" customFormat="1" ht="20.100000000000001" customHeight="1">
      <c r="A105" s="32" t="s">
        <v>1030</v>
      </c>
      <c r="B105" s="94"/>
      <c r="C105" s="94"/>
      <c r="D105" s="94"/>
      <c r="E105" s="94"/>
      <c r="F105" s="94"/>
      <c r="G105" s="94"/>
      <c r="H105" s="9"/>
      <c r="I105" s="9"/>
    </row>
    <row r="106" spans="1:13" s="7" customFormat="1" ht="20.100000000000001" customHeight="1">
      <c r="A106" s="179" t="s">
        <v>1023</v>
      </c>
      <c r="B106" s="9"/>
      <c r="C106" s="9"/>
      <c r="D106" s="9"/>
      <c r="E106" s="9"/>
      <c r="F106" s="9"/>
      <c r="G106" s="9"/>
      <c r="H106" s="9"/>
      <c r="I106" s="9"/>
    </row>
    <row r="107" spans="1:13" s="7" customFormat="1" ht="20.100000000000001" customHeight="1">
      <c r="A107" s="179" t="s">
        <v>1031</v>
      </c>
      <c r="B107" s="9"/>
      <c r="C107" s="9"/>
      <c r="D107" s="9"/>
      <c r="E107" s="9"/>
      <c r="F107" s="9"/>
      <c r="G107" s="9"/>
      <c r="H107" s="9"/>
      <c r="I107" s="9"/>
    </row>
    <row r="108" spans="1:13" s="7" customFormat="1" ht="20.100000000000001" customHeight="1">
      <c r="A108" s="179" t="s">
        <v>1032</v>
      </c>
      <c r="B108" s="9"/>
      <c r="C108" s="9"/>
      <c r="D108" s="9"/>
      <c r="E108" s="9"/>
      <c r="F108" s="9"/>
      <c r="G108" s="9"/>
      <c r="H108" s="9"/>
      <c r="I108" s="9"/>
    </row>
    <row r="109" spans="1:13" s="7" customFormat="1" ht="20.100000000000001" customHeight="1">
      <c r="A109" s="26" t="s">
        <v>754</v>
      </c>
      <c r="B109" s="26" t="s">
        <v>1033</v>
      </c>
      <c r="C109" s="26" t="s">
        <v>1017</v>
      </c>
      <c r="D109" s="26" t="s">
        <v>1034</v>
      </c>
      <c r="E109" s="26" t="s">
        <v>1018</v>
      </c>
      <c r="F109" s="15"/>
      <c r="G109" s="15"/>
      <c r="H109" s="15"/>
      <c r="I109" s="15"/>
      <c r="J109" s="15"/>
      <c r="K109" s="15"/>
      <c r="L109" s="15"/>
      <c r="M109" s="23"/>
    </row>
    <row r="110" spans="1:13" s="7" customFormat="1" ht="20.100000000000001" customHeight="1">
      <c r="A110" s="27" t="s">
        <v>1035</v>
      </c>
      <c r="B110" s="27"/>
      <c r="C110" s="27"/>
      <c r="D110" s="27"/>
      <c r="E110" s="27"/>
      <c r="F110" s="9"/>
      <c r="G110" s="9"/>
      <c r="H110" s="9"/>
      <c r="I110" s="9"/>
    </row>
    <row r="111" spans="1:13" s="7" customFormat="1" ht="20.100000000000001" customHeight="1">
      <c r="A111" s="27" t="s">
        <v>1036</v>
      </c>
      <c r="B111" s="27"/>
      <c r="C111" s="27"/>
      <c r="D111" s="27"/>
      <c r="E111" s="27"/>
      <c r="F111" s="9"/>
      <c r="G111" s="9"/>
      <c r="H111" s="9"/>
      <c r="I111" s="9"/>
    </row>
    <row r="112" spans="1:13" s="7" customFormat="1" ht="20.100000000000001" customHeight="1">
      <c r="A112" s="27" t="s">
        <v>1037</v>
      </c>
      <c r="B112" s="27"/>
      <c r="C112" s="27"/>
      <c r="D112" s="27"/>
      <c r="E112" s="27"/>
      <c r="F112" s="9"/>
      <c r="G112" s="9"/>
      <c r="H112" s="9"/>
      <c r="I112" s="9"/>
    </row>
    <row r="113" spans="1:12" s="7" customFormat="1" ht="20.100000000000001" customHeight="1">
      <c r="A113" s="27" t="s">
        <v>1019</v>
      </c>
      <c r="B113" s="27"/>
      <c r="C113" s="27"/>
      <c r="D113" s="27"/>
      <c r="E113" s="27"/>
      <c r="F113" s="9"/>
      <c r="G113" s="9"/>
      <c r="H113" s="9"/>
      <c r="I113" s="9"/>
    </row>
    <row r="114" spans="1:12" s="7" customFormat="1" ht="20.100000000000001" customHeight="1">
      <c r="A114" s="27" t="s">
        <v>216</v>
      </c>
      <c r="B114" s="27"/>
      <c r="C114" s="27"/>
      <c r="D114" s="27"/>
      <c r="E114" s="27"/>
      <c r="F114" s="9"/>
      <c r="G114" s="9"/>
      <c r="H114" s="9"/>
      <c r="I114" s="9"/>
    </row>
    <row r="115" spans="1:12" s="7" customFormat="1" ht="20.100000000000001" customHeight="1">
      <c r="A115" s="27" t="s">
        <v>1021</v>
      </c>
      <c r="B115" s="27"/>
      <c r="C115" s="27"/>
      <c r="D115" s="27"/>
      <c r="E115" s="27"/>
      <c r="F115" s="9"/>
      <c r="G115" s="9"/>
      <c r="H115" s="9"/>
      <c r="I115" s="9"/>
    </row>
    <row r="116" spans="1:12" s="7" customFormat="1" ht="20.100000000000001" customHeight="1">
      <c r="A116" s="27" t="s">
        <v>1038</v>
      </c>
      <c r="B116" s="27"/>
      <c r="C116" s="27"/>
      <c r="D116" s="27"/>
      <c r="E116" s="27"/>
      <c r="F116" s="9"/>
      <c r="G116" s="9"/>
      <c r="H116" s="9"/>
      <c r="I116" s="9"/>
    </row>
    <row r="117" spans="1:12" s="7" customFormat="1" ht="20.100000000000001" customHeight="1">
      <c r="A117" s="27" t="s">
        <v>1036</v>
      </c>
      <c r="B117" s="27"/>
      <c r="C117" s="27"/>
      <c r="D117" s="27"/>
      <c r="E117" s="27"/>
      <c r="F117" s="9"/>
      <c r="G117" s="9"/>
      <c r="H117" s="9"/>
      <c r="I117" s="9"/>
    </row>
    <row r="118" spans="1:12" s="7" customFormat="1" ht="20.100000000000001" customHeight="1">
      <c r="A118" s="27" t="s">
        <v>1037</v>
      </c>
      <c r="B118" s="27"/>
      <c r="C118" s="27"/>
      <c r="D118" s="27"/>
      <c r="E118" s="27"/>
      <c r="F118" s="9"/>
      <c r="G118" s="9"/>
      <c r="H118" s="9"/>
      <c r="I118" s="9"/>
    </row>
    <row r="119" spans="1:12" s="7" customFormat="1" ht="20.100000000000001" customHeight="1">
      <c r="A119" s="27" t="s">
        <v>1019</v>
      </c>
      <c r="B119" s="27"/>
      <c r="C119" s="27"/>
      <c r="D119" s="27"/>
      <c r="E119" s="27"/>
      <c r="F119" s="9"/>
      <c r="G119" s="9"/>
      <c r="H119" s="9"/>
      <c r="I119" s="9"/>
    </row>
    <row r="120" spans="1:12" s="7" customFormat="1" ht="20.100000000000001" customHeight="1">
      <c r="A120" s="27" t="s">
        <v>216</v>
      </c>
      <c r="B120" s="27"/>
      <c r="C120" s="27"/>
      <c r="D120" s="27"/>
      <c r="E120" s="27"/>
      <c r="F120" s="9"/>
      <c r="G120" s="9"/>
      <c r="H120" s="9"/>
      <c r="I120" s="9"/>
    </row>
    <row r="121" spans="1:12" s="7" customFormat="1" ht="20.100000000000001" customHeight="1">
      <c r="A121" s="27" t="s">
        <v>1021</v>
      </c>
      <c r="B121" s="27"/>
      <c r="C121" s="27"/>
      <c r="D121" s="27"/>
      <c r="E121" s="27"/>
      <c r="F121" s="9"/>
      <c r="G121" s="9"/>
      <c r="H121" s="9"/>
      <c r="I121" s="9"/>
    </row>
    <row r="122" spans="1:12" s="7" customFormat="1" ht="20.100000000000001" customHeight="1">
      <c r="A122" s="9"/>
      <c r="B122" s="9"/>
      <c r="C122" s="9"/>
      <c r="D122" s="9"/>
      <c r="E122" s="9"/>
      <c r="F122" s="9"/>
      <c r="G122" s="9"/>
      <c r="H122" s="9"/>
      <c r="I122" s="9"/>
    </row>
    <row r="123" spans="1:12" s="7" customFormat="1" ht="20.100000000000001" customHeight="1">
      <c r="A123" s="68" t="s">
        <v>1039</v>
      </c>
      <c r="B123" s="15"/>
      <c r="C123" s="15"/>
      <c r="D123" s="15"/>
      <c r="E123" s="15"/>
      <c r="F123" s="15"/>
      <c r="G123" s="15"/>
      <c r="H123" s="15"/>
      <c r="I123" s="15"/>
      <c r="J123" s="15"/>
      <c r="K123" s="15"/>
      <c r="L123" s="15"/>
    </row>
    <row r="124" spans="1:12" s="7" customFormat="1" ht="20.100000000000001" customHeight="1">
      <c r="A124" s="1272" t="s">
        <v>1040</v>
      </c>
      <c r="B124" s="1272" t="s">
        <v>982</v>
      </c>
      <c r="C124" s="1272" t="s">
        <v>983</v>
      </c>
      <c r="D124" s="1272" t="s">
        <v>984</v>
      </c>
      <c r="E124" s="1272" t="s">
        <v>1041</v>
      </c>
      <c r="F124" s="1272"/>
      <c r="G124" s="15"/>
      <c r="H124" s="15"/>
      <c r="I124" s="15"/>
      <c r="J124" s="15"/>
      <c r="K124" s="15"/>
      <c r="L124" s="15"/>
    </row>
    <row r="125" spans="1:12" s="7" customFormat="1" ht="20.100000000000001" customHeight="1">
      <c r="A125" s="1272"/>
      <c r="B125" s="1272"/>
      <c r="C125" s="1272"/>
      <c r="D125" s="1272"/>
      <c r="E125" s="16" t="s">
        <v>987</v>
      </c>
      <c r="F125" s="16" t="s">
        <v>988</v>
      </c>
      <c r="G125" s="15"/>
      <c r="H125" s="15"/>
      <c r="I125" s="15"/>
      <c r="J125" s="15"/>
      <c r="K125" s="15"/>
      <c r="L125" s="15"/>
    </row>
    <row r="126" spans="1:12" s="7" customFormat="1" ht="20.100000000000001" customHeight="1">
      <c r="A126" s="233"/>
      <c r="B126" s="233"/>
      <c r="C126" s="233"/>
      <c r="D126" s="233"/>
      <c r="E126" s="233"/>
      <c r="F126" s="233"/>
      <c r="G126" s="9"/>
      <c r="H126" s="9"/>
      <c r="I126" s="9"/>
    </row>
    <row r="127" spans="1:12" s="7" customFormat="1" ht="20.100000000000001" customHeight="1">
      <c r="A127" s="233"/>
      <c r="B127" s="233"/>
      <c r="C127" s="233"/>
      <c r="D127" s="233"/>
      <c r="E127" s="233"/>
      <c r="F127" s="233"/>
      <c r="G127" s="9"/>
      <c r="H127" s="9"/>
      <c r="I127" s="9"/>
    </row>
    <row r="128" spans="1:12" s="7" customFormat="1" ht="20.100000000000001" customHeight="1">
      <c r="A128" s="233"/>
      <c r="B128" s="233"/>
      <c r="C128" s="233"/>
      <c r="D128" s="233"/>
      <c r="E128" s="233"/>
      <c r="F128" s="233"/>
      <c r="G128" s="9"/>
      <c r="H128" s="9"/>
      <c r="I128" s="9"/>
    </row>
    <row r="129" spans="1:9" s="7" customFormat="1" ht="20.100000000000001" customHeight="1">
      <c r="A129" s="233"/>
      <c r="B129" s="233"/>
      <c r="C129" s="233"/>
      <c r="D129" s="233"/>
      <c r="E129" s="233"/>
      <c r="F129" s="233"/>
      <c r="G129" s="9"/>
      <c r="H129" s="9"/>
      <c r="I129" s="9"/>
    </row>
    <row r="130" spans="1:9" s="7" customFormat="1" ht="20.100000000000001" customHeight="1">
      <c r="A130" s="233"/>
      <c r="B130" s="233"/>
      <c r="C130" s="233"/>
      <c r="D130" s="233"/>
      <c r="E130" s="233"/>
      <c r="F130" s="233"/>
      <c r="G130" s="9"/>
      <c r="H130" s="9"/>
      <c r="I130" s="9"/>
    </row>
    <row r="131" spans="1:9" s="7" customFormat="1" ht="20.100000000000001" customHeight="1">
      <c r="A131" s="233"/>
      <c r="B131" s="233"/>
      <c r="C131" s="233"/>
      <c r="D131" s="233"/>
      <c r="E131" s="233"/>
      <c r="F131" s="233"/>
      <c r="G131" s="9"/>
      <c r="H131" s="9"/>
      <c r="I131" s="9"/>
    </row>
    <row r="132" spans="1:9" s="7" customFormat="1" ht="20.100000000000001" customHeight="1">
      <c r="A132" s="284" t="s">
        <v>737</v>
      </c>
      <c r="B132" s="233"/>
      <c r="C132" s="233"/>
      <c r="D132" s="233"/>
      <c r="E132" s="233"/>
      <c r="F132" s="233"/>
      <c r="G132" s="9"/>
      <c r="H132" s="9"/>
      <c r="I132" s="9"/>
    </row>
    <row r="133" spans="1:9" s="7" customFormat="1" ht="20.100000000000001" customHeight="1">
      <c r="A133" s="32"/>
      <c r="B133" s="32"/>
      <c r="C133" s="32"/>
      <c r="D133" s="32"/>
      <c r="E133" s="32"/>
      <c r="F133" s="32"/>
      <c r="G133" s="9"/>
      <c r="H133" s="9"/>
      <c r="I133" s="9"/>
    </row>
    <row r="134" spans="1:9" s="7" customFormat="1" ht="20.100000000000001" customHeight="1">
      <c r="A134" s="468" t="s">
        <v>1042</v>
      </c>
      <c r="B134" s="9"/>
      <c r="C134" s="9"/>
      <c r="D134" s="9"/>
      <c r="E134" s="9"/>
      <c r="F134" s="9"/>
      <c r="G134" s="9"/>
      <c r="H134" s="9"/>
      <c r="I134" s="9"/>
    </row>
    <row r="135" spans="1:9" s="7" customFormat="1" ht="20.100000000000001" customHeight="1">
      <c r="A135" s="469" t="s">
        <v>1043</v>
      </c>
      <c r="B135" s="9"/>
      <c r="C135" s="9"/>
      <c r="D135" s="9"/>
      <c r="E135" s="9"/>
      <c r="F135" s="9"/>
      <c r="G135" s="9"/>
      <c r="H135" s="9"/>
      <c r="I135" s="9"/>
    </row>
    <row r="136" spans="1:9" s="7" customFormat="1" ht="20.100000000000001" customHeight="1">
      <c r="A136" s="469" t="s">
        <v>1044</v>
      </c>
      <c r="B136" s="9"/>
      <c r="C136" s="9"/>
      <c r="D136" s="9"/>
      <c r="E136" s="9"/>
      <c r="F136" s="9"/>
      <c r="G136" s="9"/>
      <c r="H136" s="9"/>
      <c r="I136" s="9"/>
    </row>
    <row r="137" spans="1:9" s="7" customFormat="1" ht="20.100000000000001" customHeight="1">
      <c r="A137" s="9"/>
      <c r="B137" s="9"/>
      <c r="C137" s="9"/>
      <c r="D137" s="9"/>
      <c r="E137" s="9"/>
      <c r="F137" s="9"/>
      <c r="G137" s="9"/>
      <c r="H137" s="9"/>
      <c r="I137" s="9"/>
    </row>
    <row r="138" spans="1:9" s="7" customFormat="1" ht="20.100000000000001" customHeight="1">
      <c r="A138" s="9"/>
      <c r="B138" s="9"/>
      <c r="C138" s="9"/>
      <c r="D138" s="9"/>
      <c r="E138" s="9"/>
      <c r="F138" s="9"/>
      <c r="G138" s="9"/>
      <c r="H138" s="9"/>
      <c r="I138" s="9"/>
    </row>
  </sheetData>
  <mergeCells count="33">
    <mergeCell ref="A4:A5"/>
    <mergeCell ref="A78:A79"/>
    <mergeCell ref="K4:K5"/>
    <mergeCell ref="L4:L5"/>
    <mergeCell ref="B98:C98"/>
    <mergeCell ref="D98:E98"/>
    <mergeCell ref="F98:G98"/>
    <mergeCell ref="C23:C24"/>
    <mergeCell ref="D61:E61"/>
    <mergeCell ref="F61:G61"/>
    <mergeCell ref="D78:E78"/>
    <mergeCell ref="F78:G78"/>
    <mergeCell ref="B4:B5"/>
    <mergeCell ref="C4:J4"/>
    <mergeCell ref="A22:B22"/>
    <mergeCell ref="F40:G40"/>
    <mergeCell ref="D23:D24"/>
    <mergeCell ref="D124:D125"/>
    <mergeCell ref="G23:G24"/>
    <mergeCell ref="E124:F124"/>
    <mergeCell ref="C124:C125"/>
    <mergeCell ref="E23:F23"/>
    <mergeCell ref="D40:E40"/>
    <mergeCell ref="A98:A99"/>
    <mergeCell ref="A124:A125"/>
    <mergeCell ref="B23:B24"/>
    <mergeCell ref="B124:B125"/>
    <mergeCell ref="B61:C61"/>
    <mergeCell ref="B78:C78"/>
    <mergeCell ref="B40:C40"/>
    <mergeCell ref="A23:A24"/>
    <mergeCell ref="A40:A41"/>
    <mergeCell ref="A61:A62"/>
  </mergeCells>
  <phoneticPr fontId="76" type="noConversion"/>
  <pageMargins left="0.27500000000000002" right="0.27500000000000002" top="0.51180555555555596" bottom="0.51180555555555596" header="0.27500000000000002" footer="0.27500000000000002"/>
  <pageSetup paperSize="9" scale="78" orientation="landscape" blackAndWhite="1" r:id="rId1"/>
  <headerFooter alignWithMargins="0"/>
  <rowBreaks count="1" manualBreakCount="1">
    <brk id="122" max="11"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21"/>
  <sheetViews>
    <sheetView workbookViewId="0">
      <selection activeCell="B13" sqref="B13"/>
    </sheetView>
  </sheetViews>
  <sheetFormatPr defaultRowHeight="12.75"/>
  <cols>
    <col min="1" max="1" width="29.75" style="1082" customWidth="1"/>
    <col min="2" max="2" width="13" style="1082" customWidth="1"/>
    <col min="3" max="16384" width="9" style="1082"/>
  </cols>
  <sheetData>
    <row r="1" spans="1:3">
      <c r="A1" s="976" t="s">
        <v>776</v>
      </c>
      <c r="B1" s="1085">
        <f>基础信息!B6</f>
        <v>0</v>
      </c>
    </row>
    <row r="2" spans="1:3">
      <c r="A2" s="976" t="s">
        <v>2293</v>
      </c>
      <c r="B2" s="1085">
        <f>基础信息!B9</f>
        <v>0</v>
      </c>
    </row>
    <row r="3" spans="1:3">
      <c r="A3" s="384" t="s">
        <v>1246</v>
      </c>
      <c r="B3" s="1123" t="s">
        <v>2109</v>
      </c>
    </row>
    <row r="6" spans="1:3">
      <c r="A6" s="1124" t="s">
        <v>1717</v>
      </c>
      <c r="B6" s="1125" t="s">
        <v>2464</v>
      </c>
      <c r="C6" s="1125" t="s">
        <v>2134</v>
      </c>
    </row>
    <row r="7" spans="1:3">
      <c r="A7" s="1107"/>
      <c r="B7" s="1126"/>
      <c r="C7" s="1108" t="s">
        <v>2291</v>
      </c>
    </row>
    <row r="8" spans="1:3">
      <c r="A8" s="1127"/>
      <c r="B8" s="1128"/>
      <c r="C8" s="1115" t="s">
        <v>2291</v>
      </c>
    </row>
    <row r="9" spans="1:3">
      <c r="A9" s="1127"/>
      <c r="B9" s="1115"/>
      <c r="C9" s="1115" t="s">
        <v>2291</v>
      </c>
    </row>
    <row r="10" spans="1:3">
      <c r="A10" s="1129" t="s">
        <v>2357</v>
      </c>
      <c r="B10" s="1114">
        <f>SUM(B7:B9)</f>
        <v>0</v>
      </c>
      <c r="C10" s="1114">
        <f>SUM(C7:C9)</f>
        <v>0</v>
      </c>
    </row>
    <row r="11" spans="1:3">
      <c r="A11" s="1192" t="s">
        <v>2463</v>
      </c>
      <c r="B11" s="1191">
        <f>'RP 006'!E53</f>
        <v>0</v>
      </c>
      <c r="C11" s="1193"/>
    </row>
    <row r="12" spans="1:3">
      <c r="A12" s="1190"/>
      <c r="B12" s="1191">
        <f>B10-B11</f>
        <v>0</v>
      </c>
      <c r="C12" s="1193"/>
    </row>
    <row r="13" spans="1:3">
      <c r="A13" s="1190"/>
      <c r="B13" s="227" t="str">
        <f>IF(B12=0,"OK","NO")</f>
        <v>OK</v>
      </c>
      <c r="C13" s="1193"/>
    </row>
    <row r="15" spans="1:3">
      <c r="A15" s="1130" t="s">
        <v>2358</v>
      </c>
    </row>
    <row r="16" spans="1:3">
      <c r="A16" s="1131" t="s">
        <v>2359</v>
      </c>
    </row>
    <row r="17" spans="1:6" ht="48">
      <c r="A17" s="1133" t="s">
        <v>2360</v>
      </c>
      <c r="B17" s="1134" t="s">
        <v>2352</v>
      </c>
      <c r="C17" s="1134" t="s">
        <v>2353</v>
      </c>
      <c r="D17" s="1134" t="s">
        <v>2354</v>
      </c>
      <c r="E17" s="1134" t="s">
        <v>2355</v>
      </c>
      <c r="F17" s="1134" t="s">
        <v>2356</v>
      </c>
    </row>
    <row r="18" spans="1:6">
      <c r="A18" s="1105"/>
      <c r="B18" s="1105"/>
      <c r="C18" s="1105"/>
      <c r="D18" s="1105"/>
      <c r="E18" s="1105"/>
      <c r="F18" s="1105"/>
    </row>
    <row r="19" spans="1:6">
      <c r="A19" s="1105"/>
      <c r="B19" s="1105"/>
      <c r="C19" s="1105"/>
      <c r="D19" s="1105"/>
      <c r="E19" s="1105"/>
      <c r="F19" s="1105"/>
    </row>
    <row r="20" spans="1:6">
      <c r="A20" s="1105"/>
      <c r="B20" s="1105"/>
      <c r="C20" s="1105"/>
      <c r="D20" s="1105"/>
      <c r="E20" s="1105"/>
      <c r="F20" s="1105"/>
    </row>
    <row r="21" spans="1:6">
      <c r="A21" s="1130" t="s">
        <v>2361</v>
      </c>
      <c r="B21" s="1132"/>
      <c r="C21" s="1132"/>
      <c r="D21" s="1132"/>
      <c r="E21" s="1132"/>
      <c r="F21" s="1132"/>
    </row>
  </sheetData>
  <phoneticPr fontId="76"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14"/>
  <sheetViews>
    <sheetView workbookViewId="0">
      <selection activeCell="C17" sqref="C17"/>
    </sheetView>
  </sheetViews>
  <sheetFormatPr defaultRowHeight="12.75"/>
  <cols>
    <col min="1" max="1" width="34.625" style="1082" customWidth="1"/>
    <col min="2" max="2" width="30.125" style="1082" customWidth="1"/>
    <col min="3" max="16384" width="9" style="1082"/>
  </cols>
  <sheetData>
    <row r="1" spans="1:3">
      <c r="A1" s="1152" t="s">
        <v>776</v>
      </c>
      <c r="B1" s="1085">
        <f>基础信息!B6</f>
        <v>0</v>
      </c>
    </row>
    <row r="2" spans="1:3">
      <c r="A2" s="1152" t="s">
        <v>2293</v>
      </c>
      <c r="B2" s="1085">
        <f>基础信息!B9</f>
        <v>0</v>
      </c>
    </row>
    <row r="3" spans="1:3">
      <c r="A3" s="384" t="s">
        <v>1246</v>
      </c>
      <c r="B3" s="1123" t="s">
        <v>2025</v>
      </c>
    </row>
    <row r="6" spans="1:3">
      <c r="A6" s="1129" t="s">
        <v>1949</v>
      </c>
      <c r="B6" s="1108" t="s">
        <v>2134</v>
      </c>
      <c r="C6" s="1108" t="s">
        <v>2162</v>
      </c>
    </row>
    <row r="7" spans="1:3">
      <c r="A7" s="1194" t="s">
        <v>2362</v>
      </c>
      <c r="B7" s="1126"/>
      <c r="C7" s="1108" t="s">
        <v>2291</v>
      </c>
    </row>
    <row r="8" spans="1:3">
      <c r="A8" s="1194" t="s">
        <v>2363</v>
      </c>
      <c r="B8" s="1128"/>
      <c r="C8" s="1115" t="s">
        <v>2291</v>
      </c>
    </row>
    <row r="9" spans="1:3" ht="24.75" customHeight="1">
      <c r="A9" s="1195" t="s">
        <v>2364</v>
      </c>
      <c r="B9" s="1196"/>
      <c r="C9" s="1115" t="s">
        <v>2291</v>
      </c>
    </row>
    <row r="10" spans="1:3">
      <c r="A10" s="1194" t="s">
        <v>2262</v>
      </c>
      <c r="B10" s="1115"/>
      <c r="C10" s="1115" t="s">
        <v>2291</v>
      </c>
    </row>
    <row r="11" spans="1:3">
      <c r="A11" s="1129" t="s">
        <v>2357</v>
      </c>
      <c r="B11" s="1114">
        <f>SUM(B7:B10)</f>
        <v>0</v>
      </c>
      <c r="C11" s="1114">
        <f>SUM(C7:C10)</f>
        <v>0</v>
      </c>
    </row>
    <row r="12" spans="1:3">
      <c r="A12" s="1197" t="s">
        <v>2465</v>
      </c>
      <c r="B12" s="1198">
        <f>'RP 006'!E54</f>
        <v>0</v>
      </c>
    </row>
    <row r="13" spans="1:3">
      <c r="B13" s="1198">
        <f>B11-B12</f>
        <v>0</v>
      </c>
    </row>
    <row r="14" spans="1:3">
      <c r="B14" s="311" t="str">
        <f>IF(B13=0,"OK","NO")</f>
        <v>OK</v>
      </c>
    </row>
  </sheetData>
  <phoneticPr fontId="76"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6"/>
  <sheetViews>
    <sheetView view="pageBreakPreview" topLeftCell="A28" zoomScaleNormal="100" zoomScaleSheetLayoutView="100" workbookViewId="0">
      <selection activeCell="E44" sqref="E44"/>
    </sheetView>
  </sheetViews>
  <sheetFormatPr defaultColWidth="9" defaultRowHeight="20.100000000000001" customHeight="1"/>
  <cols>
    <col min="1" max="1" width="27.625" style="11" customWidth="1"/>
    <col min="2" max="2" width="15.625" style="11" customWidth="1"/>
    <col min="3" max="3" width="20.5" style="11" customWidth="1"/>
    <col min="4" max="13" width="15.625" style="11" customWidth="1"/>
    <col min="14" max="16384" width="9" style="11"/>
  </cols>
  <sheetData>
    <row r="1" spans="1:12" s="256" customFormat="1" ht="24.95" customHeight="1">
      <c r="A1" s="54" t="s">
        <v>145</v>
      </c>
      <c r="B1" s="55">
        <f>基础信息!B6</f>
        <v>0</v>
      </c>
      <c r="C1" s="22"/>
      <c r="D1" s="22"/>
      <c r="E1" s="25"/>
    </row>
    <row r="2" spans="1:12" s="256" customFormat="1" ht="24.95" customHeight="1">
      <c r="A2" s="54" t="s">
        <v>147</v>
      </c>
      <c r="B2" s="55">
        <f>基础信息!B9</f>
        <v>0</v>
      </c>
      <c r="C2" s="22"/>
      <c r="D2" s="22"/>
      <c r="E2" s="22"/>
    </row>
    <row r="3" spans="1:12" s="257" customFormat="1" ht="24.95" customHeight="1">
      <c r="A3" s="454" t="s">
        <v>148</v>
      </c>
      <c r="B3" s="454" t="s">
        <v>1045</v>
      </c>
      <c r="C3" s="22"/>
      <c r="D3" s="22"/>
      <c r="E3" s="22"/>
      <c r="F3" s="256"/>
      <c r="G3" s="256"/>
      <c r="H3" s="256"/>
      <c r="I3" s="256"/>
    </row>
    <row r="4" spans="1:12" s="446" customFormat="1" ht="20.100000000000001" customHeight="1">
      <c r="A4" s="455" t="s">
        <v>1046</v>
      </c>
      <c r="B4" s="456"/>
      <c r="C4" s="456"/>
      <c r="D4" s="456"/>
      <c r="E4" s="456"/>
      <c r="H4" s="15"/>
    </row>
    <row r="5" spans="1:12" s="453" customFormat="1" ht="20.100000000000001" customHeight="1">
      <c r="A5" s="457" t="s">
        <v>943</v>
      </c>
      <c r="B5" s="428" t="s">
        <v>1047</v>
      </c>
      <c r="C5" s="428" t="s">
        <v>1048</v>
      </c>
      <c r="D5" s="428" t="s">
        <v>1049</v>
      </c>
      <c r="E5" s="428" t="s">
        <v>923</v>
      </c>
      <c r="F5" s="458"/>
      <c r="G5" s="458"/>
      <c r="H5" s="23"/>
      <c r="I5" s="458"/>
      <c r="J5" s="458"/>
      <c r="K5" s="458"/>
      <c r="L5" s="458"/>
    </row>
    <row r="6" spans="1:12" s="445" customFormat="1" ht="20.100000000000001" customHeight="1">
      <c r="A6" s="459" t="s">
        <v>1050</v>
      </c>
      <c r="B6" s="421"/>
      <c r="C6" s="421"/>
      <c r="D6" s="421"/>
      <c r="E6" s="421"/>
      <c r="H6" s="9"/>
    </row>
    <row r="7" spans="1:12" s="445" customFormat="1" ht="20.100000000000001" customHeight="1">
      <c r="A7" s="459" t="s">
        <v>1051</v>
      </c>
      <c r="B7" s="421"/>
      <c r="C7" s="421"/>
      <c r="D7" s="421"/>
      <c r="E7" s="431">
        <f t="shared" ref="E7" si="0">SUM(B7:D7)</f>
        <v>0</v>
      </c>
      <c r="H7" s="9"/>
    </row>
    <row r="8" spans="1:12" s="445" customFormat="1" ht="20.100000000000001" customHeight="1">
      <c r="A8" s="459" t="s">
        <v>1052</v>
      </c>
      <c r="B8" s="431">
        <f>SUM(B9:B12)</f>
        <v>0</v>
      </c>
      <c r="C8" s="431">
        <f t="shared" ref="C8:E8" si="1">SUM(C9:C12)</f>
        <v>0</v>
      </c>
      <c r="D8" s="431">
        <f t="shared" si="1"/>
        <v>0</v>
      </c>
      <c r="E8" s="431">
        <f t="shared" si="1"/>
        <v>0</v>
      </c>
      <c r="H8" s="9"/>
    </row>
    <row r="9" spans="1:12" s="445" customFormat="1" ht="20.100000000000001" customHeight="1">
      <c r="A9" s="459" t="s">
        <v>1053</v>
      </c>
      <c r="B9" s="421"/>
      <c r="C9" s="421"/>
      <c r="D9" s="421"/>
      <c r="E9" s="421"/>
      <c r="H9" s="9"/>
    </row>
    <row r="10" spans="1:12" s="445" customFormat="1" ht="20.100000000000001" customHeight="1">
      <c r="A10" s="459" t="s">
        <v>1054</v>
      </c>
      <c r="B10" s="421"/>
      <c r="C10" s="421"/>
      <c r="D10" s="421"/>
      <c r="E10" s="421"/>
      <c r="H10" s="9"/>
    </row>
    <row r="11" spans="1:12" s="445" customFormat="1" ht="20.100000000000001" customHeight="1">
      <c r="A11" s="459" t="s">
        <v>1055</v>
      </c>
      <c r="B11" s="421"/>
      <c r="C11" s="421"/>
      <c r="D11" s="421"/>
      <c r="E11" s="421"/>
      <c r="H11" s="9"/>
    </row>
    <row r="12" spans="1:12" s="445" customFormat="1" ht="20.100000000000001" customHeight="1">
      <c r="A12" s="460" t="s">
        <v>737</v>
      </c>
      <c r="B12" s="421"/>
      <c r="C12" s="421"/>
      <c r="D12" s="421"/>
      <c r="E12" s="421"/>
      <c r="H12" s="9"/>
    </row>
    <row r="13" spans="1:12" s="445" customFormat="1" ht="20.100000000000001" customHeight="1">
      <c r="A13" s="459" t="s">
        <v>1056</v>
      </c>
      <c r="B13" s="431">
        <f>SUM(B14:B16)</f>
        <v>0</v>
      </c>
      <c r="C13" s="431">
        <f t="shared" ref="C13:E13" si="2">SUM(C14:C16)</f>
        <v>0</v>
      </c>
      <c r="D13" s="431">
        <f t="shared" si="2"/>
        <v>0</v>
      </c>
      <c r="E13" s="431">
        <f t="shared" si="2"/>
        <v>0</v>
      </c>
    </row>
    <row r="14" spans="1:12" s="445" customFormat="1" ht="20.100000000000001" customHeight="1">
      <c r="A14" s="459" t="s">
        <v>1057</v>
      </c>
      <c r="B14" s="421"/>
      <c r="C14" s="421"/>
      <c r="D14" s="421"/>
      <c r="E14" s="421"/>
    </row>
    <row r="15" spans="1:12" s="445" customFormat="1" ht="20.100000000000001" customHeight="1">
      <c r="A15" s="459" t="s">
        <v>1058</v>
      </c>
      <c r="B15" s="421"/>
      <c r="C15" s="421"/>
      <c r="D15" s="421"/>
      <c r="E15" s="421"/>
    </row>
    <row r="16" spans="1:12" s="445" customFormat="1" ht="20.100000000000001" customHeight="1">
      <c r="A16" s="460" t="s">
        <v>737</v>
      </c>
      <c r="B16" s="421"/>
      <c r="C16" s="421"/>
      <c r="D16" s="421"/>
      <c r="E16" s="421"/>
    </row>
    <row r="17" spans="1:5" s="445" customFormat="1" ht="20.100000000000001" customHeight="1">
      <c r="A17" s="459" t="s">
        <v>1059</v>
      </c>
      <c r="B17" s="431">
        <f>B7+B8-B13</f>
        <v>0</v>
      </c>
      <c r="C17" s="431">
        <f t="shared" ref="C17:E17" si="3">C7+C8-C13</f>
        <v>0</v>
      </c>
      <c r="D17" s="431">
        <f t="shared" si="3"/>
        <v>0</v>
      </c>
      <c r="E17" s="431">
        <f t="shared" si="3"/>
        <v>0</v>
      </c>
    </row>
    <row r="18" spans="1:5" s="445" customFormat="1" ht="20.100000000000001" customHeight="1">
      <c r="A18" s="461" t="s">
        <v>1060</v>
      </c>
      <c r="B18" s="421"/>
      <c r="C18" s="421"/>
      <c r="D18" s="421"/>
      <c r="E18" s="421"/>
    </row>
    <row r="19" spans="1:5" s="445" customFormat="1" ht="20.100000000000001" customHeight="1">
      <c r="A19" s="459" t="s">
        <v>1051</v>
      </c>
      <c r="B19" s="421"/>
      <c r="C19" s="421"/>
      <c r="D19" s="421"/>
      <c r="E19" s="421"/>
    </row>
    <row r="20" spans="1:5" s="445" customFormat="1" ht="20.100000000000001" customHeight="1">
      <c r="A20" s="459" t="s">
        <v>1052</v>
      </c>
      <c r="B20" s="431">
        <f>SUM(B21:B24)</f>
        <v>0</v>
      </c>
      <c r="C20" s="431">
        <f t="shared" ref="C20:E20" si="4">SUM(C21:C24)</f>
        <v>0</v>
      </c>
      <c r="D20" s="431">
        <f t="shared" si="4"/>
        <v>0</v>
      </c>
      <c r="E20" s="431">
        <f t="shared" si="4"/>
        <v>0</v>
      </c>
    </row>
    <row r="21" spans="1:5" s="445" customFormat="1" ht="20.100000000000001" customHeight="1">
      <c r="A21" s="459" t="s">
        <v>1061</v>
      </c>
      <c r="B21" s="421"/>
      <c r="C21" s="421"/>
      <c r="D21" s="421"/>
      <c r="E21" s="421"/>
    </row>
    <row r="22" spans="1:5" s="445" customFormat="1" ht="20.100000000000001" customHeight="1">
      <c r="A22" s="459" t="s">
        <v>1062</v>
      </c>
      <c r="B22" s="421"/>
      <c r="C22" s="421"/>
      <c r="D22" s="421"/>
      <c r="E22" s="421"/>
    </row>
    <row r="23" spans="1:5" s="445" customFormat="1" ht="20.100000000000001" customHeight="1">
      <c r="A23" s="459" t="s">
        <v>1063</v>
      </c>
      <c r="B23" s="421"/>
      <c r="C23" s="421"/>
      <c r="D23" s="421"/>
      <c r="E23" s="421"/>
    </row>
    <row r="24" spans="1:5" s="445" customFormat="1" ht="20.100000000000001" customHeight="1">
      <c r="A24" s="460" t="s">
        <v>737</v>
      </c>
      <c r="B24" s="421"/>
      <c r="C24" s="421"/>
      <c r="D24" s="421"/>
      <c r="E24" s="421"/>
    </row>
    <row r="25" spans="1:5" s="445" customFormat="1" ht="20.100000000000001" customHeight="1">
      <c r="A25" s="459" t="s">
        <v>1056</v>
      </c>
      <c r="B25" s="431">
        <f>SUM(B26:B28)</f>
        <v>0</v>
      </c>
      <c r="C25" s="431">
        <f t="shared" ref="C25:E25" si="5">SUM(C26:C28)</f>
        <v>0</v>
      </c>
      <c r="D25" s="431">
        <f t="shared" si="5"/>
        <v>0</v>
      </c>
      <c r="E25" s="431">
        <f t="shared" si="5"/>
        <v>0</v>
      </c>
    </row>
    <row r="26" spans="1:5" s="445" customFormat="1" ht="20.100000000000001" customHeight="1">
      <c r="A26" s="459" t="s">
        <v>1057</v>
      </c>
      <c r="B26" s="421"/>
      <c r="C26" s="421"/>
      <c r="D26" s="421"/>
      <c r="E26" s="421"/>
    </row>
    <row r="27" spans="1:5" s="445" customFormat="1" ht="20.100000000000001" customHeight="1">
      <c r="A27" s="459" t="s">
        <v>1058</v>
      </c>
      <c r="B27" s="421"/>
      <c r="C27" s="421"/>
      <c r="D27" s="421"/>
      <c r="E27" s="421"/>
    </row>
    <row r="28" spans="1:5" s="445" customFormat="1" ht="20.100000000000001" customHeight="1">
      <c r="A28" s="460" t="s">
        <v>737</v>
      </c>
      <c r="B28" s="421"/>
      <c r="C28" s="421"/>
      <c r="D28" s="421"/>
      <c r="E28" s="421"/>
    </row>
    <row r="29" spans="1:5" s="445" customFormat="1" ht="20.100000000000001" customHeight="1">
      <c r="A29" s="459" t="s">
        <v>1059</v>
      </c>
      <c r="B29" s="431">
        <f>B19+B20-B25</f>
        <v>0</v>
      </c>
      <c r="C29" s="431">
        <f t="shared" ref="C29:E29" si="6">C19+C20-C25</f>
        <v>0</v>
      </c>
      <c r="D29" s="431">
        <f t="shared" si="6"/>
        <v>0</v>
      </c>
      <c r="E29" s="431">
        <f t="shared" si="6"/>
        <v>0</v>
      </c>
    </row>
    <row r="30" spans="1:5" s="445" customFormat="1" ht="20.100000000000001" customHeight="1">
      <c r="A30" s="461" t="s">
        <v>1064</v>
      </c>
      <c r="B30" s="421"/>
      <c r="C30" s="421"/>
      <c r="D30" s="421"/>
      <c r="E30" s="421"/>
    </row>
    <row r="31" spans="1:5" s="445" customFormat="1" ht="20.100000000000001" customHeight="1">
      <c r="A31" s="459" t="s">
        <v>1051</v>
      </c>
      <c r="B31" s="421"/>
      <c r="C31" s="421"/>
      <c r="D31" s="421"/>
      <c r="E31" s="421"/>
    </row>
    <row r="32" spans="1:5" s="445" customFormat="1" ht="20.100000000000001" customHeight="1">
      <c r="A32" s="459" t="s">
        <v>1052</v>
      </c>
      <c r="B32" s="431">
        <f>SUM(B33:B35)</f>
        <v>0</v>
      </c>
      <c r="C32" s="431">
        <f t="shared" ref="C32:E32" si="7">SUM(C33:C35)</f>
        <v>0</v>
      </c>
      <c r="D32" s="431">
        <f t="shared" si="7"/>
        <v>0</v>
      </c>
      <c r="E32" s="431">
        <f t="shared" si="7"/>
        <v>0</v>
      </c>
    </row>
    <row r="33" spans="1:11" s="445" customFormat="1" ht="20.100000000000001" customHeight="1">
      <c r="A33" s="459" t="s">
        <v>1065</v>
      </c>
      <c r="B33" s="421"/>
      <c r="C33" s="421"/>
      <c r="D33" s="421"/>
      <c r="E33" s="421"/>
    </row>
    <row r="34" spans="1:11" s="445" customFormat="1" ht="20.100000000000001" customHeight="1">
      <c r="A34" s="459" t="s">
        <v>1066</v>
      </c>
      <c r="B34" s="421"/>
      <c r="C34" s="421"/>
      <c r="D34" s="421"/>
      <c r="E34" s="421"/>
    </row>
    <row r="35" spans="1:11" s="445" customFormat="1" ht="20.100000000000001" customHeight="1">
      <c r="A35" s="460" t="s">
        <v>737</v>
      </c>
      <c r="B35" s="421"/>
      <c r="C35" s="421"/>
      <c r="D35" s="421"/>
      <c r="E35" s="421"/>
    </row>
    <row r="36" spans="1:11" s="445" customFormat="1" ht="20.100000000000001" customHeight="1">
      <c r="A36" s="459" t="s">
        <v>1067</v>
      </c>
      <c r="B36" s="431">
        <f>SUM(B37:B39)</f>
        <v>0</v>
      </c>
      <c r="C36" s="431">
        <f t="shared" ref="C36:E36" si="8">SUM(C37:C39)</f>
        <v>0</v>
      </c>
      <c r="D36" s="431">
        <f t="shared" si="8"/>
        <v>0</v>
      </c>
      <c r="E36" s="431">
        <f t="shared" si="8"/>
        <v>0</v>
      </c>
    </row>
    <row r="37" spans="1:11" s="445" customFormat="1" ht="20.100000000000001" customHeight="1">
      <c r="A37" s="459" t="s">
        <v>1057</v>
      </c>
      <c r="B37" s="421"/>
      <c r="C37" s="421"/>
      <c r="D37" s="421"/>
      <c r="E37" s="421"/>
    </row>
    <row r="38" spans="1:11" s="445" customFormat="1" ht="20.100000000000001" customHeight="1">
      <c r="A38" s="459" t="s">
        <v>1058</v>
      </c>
      <c r="B38" s="421"/>
      <c r="C38" s="421"/>
      <c r="D38" s="421"/>
      <c r="E38" s="421"/>
    </row>
    <row r="39" spans="1:11" s="445" customFormat="1" ht="20.100000000000001" customHeight="1">
      <c r="A39" s="460" t="s">
        <v>737</v>
      </c>
      <c r="B39" s="421"/>
      <c r="C39" s="421"/>
      <c r="D39" s="421"/>
      <c r="E39" s="421"/>
    </row>
    <row r="40" spans="1:11" s="445" customFormat="1" ht="20.100000000000001" customHeight="1">
      <c r="A40" s="459" t="s">
        <v>1059</v>
      </c>
      <c r="B40" s="421"/>
      <c r="C40" s="421"/>
      <c r="D40" s="421"/>
      <c r="E40" s="421"/>
    </row>
    <row r="41" spans="1:11" s="445" customFormat="1" ht="20.100000000000001" customHeight="1">
      <c r="A41" s="461" t="s">
        <v>1068</v>
      </c>
      <c r="B41" s="421"/>
      <c r="C41" s="421"/>
      <c r="D41" s="421"/>
      <c r="E41" s="421"/>
    </row>
    <row r="42" spans="1:11" s="445" customFormat="1" ht="20.100000000000001" customHeight="1">
      <c r="A42" s="459" t="s">
        <v>1069</v>
      </c>
      <c r="B42" s="421"/>
      <c r="C42" s="421"/>
      <c r="D42" s="421"/>
      <c r="E42" s="421"/>
    </row>
    <row r="43" spans="1:11" s="445" customFormat="1" ht="20.100000000000001" customHeight="1">
      <c r="A43" s="459" t="s">
        <v>1070</v>
      </c>
      <c r="B43" s="421"/>
      <c r="C43" s="421"/>
      <c r="D43" s="421"/>
      <c r="E43" s="421"/>
    </row>
    <row r="44" spans="1:11" s="368" customFormat="1" ht="20.100000000000001" customHeight="1">
      <c r="A44" s="449" t="s">
        <v>649</v>
      </c>
      <c r="B44" s="370"/>
      <c r="C44" s="139"/>
      <c r="D44" s="198"/>
      <c r="E44" s="285">
        <f>'RP 006'!E57</f>
        <v>0</v>
      </c>
      <c r="F44" s="9"/>
      <c r="G44" s="9"/>
      <c r="H44" s="223"/>
      <c r="I44" s="223"/>
      <c r="J44" s="223"/>
      <c r="K44" s="223"/>
    </row>
    <row r="45" spans="1:11" s="368" customFormat="1" ht="20.100000000000001" customHeight="1">
      <c r="A45" s="333"/>
      <c r="B45" s="370"/>
      <c r="C45" s="139"/>
      <c r="D45" s="198"/>
      <c r="E45" s="226">
        <f>E42-E44</f>
        <v>0</v>
      </c>
      <c r="F45" s="9"/>
      <c r="G45" s="9"/>
      <c r="H45" s="223"/>
      <c r="I45" s="223"/>
      <c r="J45" s="223"/>
      <c r="K45" s="223"/>
    </row>
    <row r="46" spans="1:11" s="368" customFormat="1" ht="20.100000000000001" customHeight="1">
      <c r="A46" s="227"/>
      <c r="B46" s="227"/>
      <c r="C46" s="381"/>
      <c r="E46" s="227" t="str">
        <f>IF(E45=0,"OK","NO")</f>
        <v>OK</v>
      </c>
      <c r="F46" s="9"/>
      <c r="G46" s="9"/>
      <c r="H46" s="223"/>
      <c r="I46" s="223"/>
      <c r="J46" s="223"/>
      <c r="K46" s="223"/>
    </row>
    <row r="47" spans="1:11" s="445" customFormat="1" ht="20.100000000000001" customHeight="1">
      <c r="A47" s="430"/>
      <c r="B47" s="430"/>
      <c r="C47" s="430"/>
      <c r="D47" s="430"/>
      <c r="E47" s="430"/>
    </row>
    <row r="48" spans="1:11" s="445" customFormat="1" ht="20.100000000000001" customHeight="1">
      <c r="A48" s="430"/>
      <c r="B48" s="430"/>
      <c r="C48" s="430"/>
      <c r="D48" s="430"/>
      <c r="E48" s="430"/>
    </row>
    <row r="49" spans="1:5" s="445" customFormat="1" ht="20.100000000000001" customHeight="1">
      <c r="A49" s="434" t="s">
        <v>1071</v>
      </c>
      <c r="B49" s="430"/>
      <c r="C49" s="430"/>
      <c r="D49" s="430"/>
      <c r="E49" s="430"/>
    </row>
    <row r="50" spans="1:5" s="445" customFormat="1" ht="20.100000000000001" customHeight="1">
      <c r="A50" s="179" t="s">
        <v>1072</v>
      </c>
      <c r="B50" s="430"/>
      <c r="C50" s="430"/>
      <c r="D50" s="430"/>
      <c r="E50" s="430"/>
    </row>
    <row r="51" spans="1:5" s="445" customFormat="1" ht="20.100000000000001" customHeight="1">
      <c r="A51" s="462" t="s">
        <v>903</v>
      </c>
      <c r="B51" s="427" t="s">
        <v>1073</v>
      </c>
      <c r="C51" s="427" t="s">
        <v>1074</v>
      </c>
      <c r="D51" s="427" t="s">
        <v>1075</v>
      </c>
      <c r="E51" s="427" t="s">
        <v>1076</v>
      </c>
    </row>
    <row r="52" spans="1:5" s="445" customFormat="1" ht="20.100000000000001" customHeight="1">
      <c r="A52" s="463" t="s">
        <v>1077</v>
      </c>
      <c r="B52" s="422"/>
      <c r="C52" s="422"/>
      <c r="D52" s="422"/>
      <c r="E52" s="422"/>
    </row>
    <row r="53" spans="1:5" s="445" customFormat="1" ht="20.100000000000001" customHeight="1">
      <c r="A53" s="463" t="s">
        <v>1078</v>
      </c>
      <c r="B53" s="422"/>
      <c r="C53" s="422"/>
      <c r="D53" s="422"/>
      <c r="E53" s="422"/>
    </row>
    <row r="54" spans="1:5" s="445" customFormat="1" ht="20.100000000000001" customHeight="1">
      <c r="A54" s="464" t="s">
        <v>1079</v>
      </c>
      <c r="B54" s="422"/>
      <c r="C54" s="422"/>
      <c r="D54" s="422"/>
      <c r="E54" s="422"/>
    </row>
    <row r="55" spans="1:5" s="445" customFormat="1" ht="20.100000000000001" customHeight="1">
      <c r="A55" s="464" t="s">
        <v>1080</v>
      </c>
      <c r="B55" s="422"/>
      <c r="C55" s="422"/>
      <c r="D55" s="422"/>
      <c r="E55" s="422"/>
    </row>
    <row r="56" spans="1:5" s="445" customFormat="1" ht="20.100000000000001" customHeight="1">
      <c r="A56" s="464" t="s">
        <v>1081</v>
      </c>
      <c r="B56" s="422"/>
      <c r="C56" s="422"/>
      <c r="D56" s="422"/>
      <c r="E56" s="422"/>
    </row>
    <row r="57" spans="1:5" s="445" customFormat="1" ht="20.100000000000001" customHeight="1">
      <c r="A57" s="464" t="s">
        <v>1082</v>
      </c>
      <c r="B57" s="422"/>
      <c r="C57" s="422"/>
      <c r="D57" s="422"/>
      <c r="E57" s="422"/>
    </row>
    <row r="58" spans="1:5" s="445" customFormat="1" ht="20.100000000000001" customHeight="1">
      <c r="A58" s="464" t="s">
        <v>1083</v>
      </c>
      <c r="B58" s="422"/>
      <c r="C58" s="422"/>
      <c r="D58" s="422"/>
      <c r="E58" s="422"/>
    </row>
    <row r="59" spans="1:5" s="445" customFormat="1" ht="20.100000000000001" customHeight="1">
      <c r="A59" s="464" t="s">
        <v>1084</v>
      </c>
      <c r="B59" s="422"/>
      <c r="C59" s="422"/>
      <c r="D59" s="422"/>
      <c r="E59" s="422"/>
    </row>
    <row r="60" spans="1:5" s="445" customFormat="1" ht="20.100000000000001" customHeight="1">
      <c r="A60" s="464"/>
      <c r="B60" s="422"/>
      <c r="C60" s="422"/>
      <c r="D60" s="422"/>
      <c r="E60" s="422"/>
    </row>
    <row r="61" spans="1:5" s="445" customFormat="1" ht="20.100000000000001" customHeight="1">
      <c r="A61" s="463" t="s">
        <v>1085</v>
      </c>
      <c r="B61" s="422"/>
      <c r="C61" s="422"/>
      <c r="D61" s="422"/>
      <c r="E61" s="422"/>
    </row>
    <row r="62" spans="1:5" s="445" customFormat="1" ht="20.100000000000001" customHeight="1">
      <c r="A62" s="465"/>
      <c r="B62" s="432"/>
      <c r="C62" s="432"/>
      <c r="D62" s="432"/>
      <c r="E62" s="432"/>
    </row>
    <row r="63" spans="1:5" s="445" customFormat="1" ht="20.100000000000001" customHeight="1">
      <c r="A63" s="465"/>
      <c r="B63" s="432"/>
      <c r="C63" s="432"/>
      <c r="D63" s="432"/>
      <c r="E63" s="432"/>
    </row>
    <row r="64" spans="1:5" s="445" customFormat="1" ht="20.100000000000001" customHeight="1">
      <c r="A64" s="434" t="s">
        <v>1086</v>
      </c>
      <c r="B64" s="430"/>
      <c r="C64" s="430"/>
      <c r="D64" s="430"/>
      <c r="E64" s="430"/>
    </row>
    <row r="65" spans="1:5" s="445" customFormat="1" ht="20.100000000000001" customHeight="1">
      <c r="A65" s="179" t="s">
        <v>1087</v>
      </c>
      <c r="B65" s="430"/>
      <c r="C65" s="430"/>
      <c r="D65" s="430"/>
      <c r="E65" s="430"/>
    </row>
    <row r="66" spans="1:5" s="445" customFormat="1" ht="20.100000000000001" customHeight="1">
      <c r="A66" s="462" t="s">
        <v>903</v>
      </c>
      <c r="B66" s="427" t="s">
        <v>917</v>
      </c>
      <c r="C66" s="427" t="s">
        <v>1088</v>
      </c>
      <c r="D66" s="430"/>
      <c r="E66" s="430"/>
    </row>
    <row r="67" spans="1:5" s="445" customFormat="1" ht="20.100000000000001" customHeight="1">
      <c r="A67" s="466" t="s">
        <v>737</v>
      </c>
      <c r="B67" s="422"/>
      <c r="C67" s="422"/>
      <c r="D67" s="430"/>
      <c r="E67" s="430"/>
    </row>
    <row r="68" spans="1:5" s="445" customFormat="1" ht="20.100000000000001" customHeight="1">
      <c r="A68" s="465"/>
      <c r="B68" s="432"/>
      <c r="C68" s="432"/>
      <c r="D68" s="430"/>
      <c r="E68" s="430"/>
    </row>
    <row r="69" spans="1:5" s="445" customFormat="1" ht="20.100000000000001" customHeight="1">
      <c r="A69" s="465"/>
      <c r="B69" s="432"/>
      <c r="C69" s="432"/>
      <c r="D69" s="430"/>
      <c r="E69" s="430"/>
    </row>
    <row r="70" spans="1:5" s="445" customFormat="1" ht="20.100000000000001" customHeight="1">
      <c r="A70" s="465"/>
      <c r="B70" s="432"/>
      <c r="C70" s="432"/>
      <c r="D70" s="430"/>
      <c r="E70" s="430"/>
    </row>
    <row r="71" spans="1:5" s="445" customFormat="1" ht="20.100000000000001" customHeight="1">
      <c r="A71" s="179" t="s">
        <v>1089</v>
      </c>
      <c r="B71" s="430"/>
      <c r="C71" s="430"/>
      <c r="D71" s="430"/>
      <c r="E71" s="430"/>
    </row>
    <row r="72" spans="1:5" s="445" customFormat="1" ht="20.100000000000001" customHeight="1">
      <c r="A72" s="179" t="s">
        <v>1090</v>
      </c>
      <c r="B72" s="430"/>
      <c r="C72" s="430"/>
      <c r="D72" s="430"/>
      <c r="E72" s="430"/>
    </row>
    <row r="73" spans="1:5" s="445" customFormat="1" ht="20.100000000000001" customHeight="1">
      <c r="A73" s="179" t="s">
        <v>1091</v>
      </c>
      <c r="B73" s="430"/>
      <c r="C73" s="430"/>
      <c r="D73" s="430"/>
      <c r="E73" s="430"/>
    </row>
    <row r="74" spans="1:5" s="397" customFormat="1" ht="16.5"/>
    <row r="75" spans="1:5" s="397" customFormat="1" ht="16.5"/>
    <row r="76" spans="1:5" s="397" customFormat="1" ht="16.5"/>
  </sheetData>
  <phoneticPr fontId="76" type="noConversion"/>
  <pageMargins left="0.27500000000000002" right="0.27500000000000002" top="0.51180555555555596" bottom="0.51180555555555596" header="0.27500000000000002" footer="0.27500000000000002"/>
  <pageSetup paperSize="9" scale="78" orientation="landscape" blackAndWhite="1" r:id="rId1"/>
  <headerFooter alignWithMargins="0"/>
  <rowBreaks count="2" manualBreakCount="2">
    <brk id="23" max="4" man="1"/>
    <brk id="48" max="4"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view="pageBreakPreview" zoomScaleNormal="100" zoomScaleSheetLayoutView="100" workbookViewId="0">
      <selection activeCell="B10" sqref="B10"/>
    </sheetView>
  </sheetViews>
  <sheetFormatPr defaultColWidth="9" defaultRowHeight="15.75"/>
  <cols>
    <col min="1" max="1" width="29.75" customWidth="1"/>
    <col min="2" max="2" width="17.5" customWidth="1"/>
    <col min="3" max="3" width="21.625" customWidth="1"/>
  </cols>
  <sheetData>
    <row r="1" spans="1:3">
      <c r="A1" s="54" t="s">
        <v>145</v>
      </c>
      <c r="B1" s="55">
        <f>基础信息!B6</f>
        <v>0</v>
      </c>
      <c r="C1" s="56"/>
    </row>
    <row r="2" spans="1:3">
      <c r="A2" s="54" t="s">
        <v>147</v>
      </c>
      <c r="B2" s="55">
        <f>基础信息!B9</f>
        <v>0</v>
      </c>
      <c r="C2" s="56"/>
    </row>
    <row r="3" spans="1:3">
      <c r="A3" s="97" t="s">
        <v>148</v>
      </c>
      <c r="B3" s="313" t="s">
        <v>58</v>
      </c>
      <c r="C3" s="59"/>
    </row>
    <row r="4" spans="1:3">
      <c r="A4" s="88" t="s">
        <v>754</v>
      </c>
      <c r="B4" s="88" t="s">
        <v>762</v>
      </c>
      <c r="C4" s="88" t="s">
        <v>1092</v>
      </c>
    </row>
    <row r="5" spans="1:3">
      <c r="A5" s="350" t="s">
        <v>58</v>
      </c>
      <c r="B5" s="91">
        <f>'RP 036-1'!F41</f>
        <v>0</v>
      </c>
      <c r="C5" s="91"/>
    </row>
    <row r="6" spans="1:3">
      <c r="A6" s="350" t="s">
        <v>1093</v>
      </c>
      <c r="B6" s="91">
        <f>'RP 036-2'!B7</f>
        <v>0</v>
      </c>
      <c r="C6" s="91"/>
    </row>
    <row r="7" spans="1:3">
      <c r="A7" s="94" t="s">
        <v>658</v>
      </c>
      <c r="B7" s="286">
        <f>SUM(B5:B6)</f>
        <v>0</v>
      </c>
      <c r="C7" s="91"/>
    </row>
    <row r="8" spans="1:3">
      <c r="A8" s="225" t="s">
        <v>649</v>
      </c>
      <c r="B8" s="285">
        <f>'RP 006'!E62</f>
        <v>0</v>
      </c>
      <c r="C8" s="114"/>
    </row>
    <row r="9" spans="1:3">
      <c r="A9" s="333"/>
      <c r="B9" s="226">
        <f>B7-B8</f>
        <v>0</v>
      </c>
      <c r="C9" s="114"/>
    </row>
    <row r="10" spans="1:3">
      <c r="A10" s="311"/>
      <c r="B10" s="311" t="str">
        <f>IF(B9=0,"OK","NO")</f>
        <v>OK</v>
      </c>
      <c r="C10" s="351"/>
    </row>
    <row r="11" spans="1:3">
      <c r="A11" s="443"/>
      <c r="B11" s="27"/>
      <c r="C11" s="27"/>
    </row>
  </sheetData>
  <phoneticPr fontId="76" type="noConversion"/>
  <pageMargins left="0.75" right="0.75" top="1" bottom="1" header="0.51180555555555596" footer="0.51180555555555596"/>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9"/>
  <sheetViews>
    <sheetView view="pageBreakPreview" topLeftCell="A46" zoomScaleNormal="100" zoomScaleSheetLayoutView="100" workbookViewId="0">
      <selection activeCell="F45" sqref="F45"/>
    </sheetView>
  </sheetViews>
  <sheetFormatPr defaultColWidth="9" defaultRowHeight="20.100000000000001" customHeight="1"/>
  <cols>
    <col min="1" max="1" width="15.625" style="24" customWidth="1"/>
    <col min="2" max="2" width="19.125" style="24" customWidth="1"/>
    <col min="3" max="3" width="19.625" style="24" customWidth="1"/>
    <col min="4" max="11" width="15.625" style="24" customWidth="1"/>
    <col min="12" max="16384" width="9" style="24"/>
  </cols>
  <sheetData>
    <row r="1" spans="1:9" ht="20.100000000000001" customHeight="1">
      <c r="A1" s="54" t="s">
        <v>145</v>
      </c>
      <c r="B1" s="55">
        <f>基础信息!B6</f>
        <v>0</v>
      </c>
      <c r="C1" s="22"/>
      <c r="D1" s="22"/>
      <c r="E1" s="25"/>
      <c r="F1" s="22"/>
      <c r="G1" s="22"/>
      <c r="H1" s="22"/>
    </row>
    <row r="2" spans="1:9" ht="20.100000000000001" customHeight="1">
      <c r="A2" s="54" t="s">
        <v>147</v>
      </c>
      <c r="B2" s="55">
        <f>基础信息!B9</f>
        <v>0</v>
      </c>
      <c r="C2" s="22"/>
      <c r="D2" s="22"/>
      <c r="E2" s="22"/>
      <c r="F2" s="22"/>
      <c r="G2" s="22"/>
      <c r="H2" s="22"/>
    </row>
    <row r="3" spans="1:9" s="359" customFormat="1" ht="20.100000000000001" customHeight="1">
      <c r="A3" s="97" t="s">
        <v>148</v>
      </c>
      <c r="B3" s="97" t="s">
        <v>1094</v>
      </c>
      <c r="C3" s="22"/>
      <c r="D3" s="22"/>
      <c r="E3" s="22"/>
      <c r="F3" s="22"/>
      <c r="G3" s="22"/>
      <c r="H3" s="22"/>
      <c r="I3" s="24"/>
    </row>
    <row r="4" spans="1:9" s="444" customFormat="1" ht="20.100000000000001" customHeight="1">
      <c r="A4" s="15" t="s">
        <v>1095</v>
      </c>
      <c r="B4" s="425"/>
      <c r="C4" s="425"/>
      <c r="D4" s="425"/>
      <c r="E4" s="425"/>
      <c r="F4" s="425"/>
      <c r="G4" s="446"/>
      <c r="H4" s="446"/>
    </row>
    <row r="5" spans="1:9" s="445" customFormat="1" ht="20.100000000000001" customHeight="1">
      <c r="A5" s="427" t="s">
        <v>903</v>
      </c>
      <c r="B5" s="427" t="s">
        <v>1096</v>
      </c>
      <c r="C5" s="427" t="s">
        <v>1097</v>
      </c>
      <c r="D5" s="427" t="s">
        <v>1098</v>
      </c>
      <c r="E5" s="427" t="s">
        <v>896</v>
      </c>
      <c r="F5" s="427" t="s">
        <v>1099</v>
      </c>
      <c r="G5" s="446"/>
      <c r="H5" s="446"/>
    </row>
    <row r="6" spans="1:9" s="445" customFormat="1" ht="20.100000000000001" customHeight="1">
      <c r="A6" s="447" t="s">
        <v>1100</v>
      </c>
      <c r="B6" s="423"/>
      <c r="C6" s="423"/>
      <c r="D6" s="423"/>
      <c r="E6" s="423"/>
      <c r="F6" s="429">
        <f>SUM(B6:E6)</f>
        <v>0</v>
      </c>
    </row>
    <row r="7" spans="1:9" s="445" customFormat="1" ht="20.100000000000001" customHeight="1">
      <c r="A7" s="448" t="s">
        <v>1101</v>
      </c>
      <c r="B7" s="423"/>
      <c r="C7" s="423"/>
      <c r="D7" s="423"/>
      <c r="E7" s="423"/>
      <c r="F7" s="429">
        <f t="shared" ref="F7:F42" si="0">SUM(B7:E7)</f>
        <v>0</v>
      </c>
    </row>
    <row r="8" spans="1:9" s="445" customFormat="1" ht="20.100000000000001" customHeight="1">
      <c r="A8" s="448" t="s">
        <v>1102</v>
      </c>
      <c r="B8" s="429">
        <f>SUM(B9:B12)</f>
        <v>0</v>
      </c>
      <c r="C8" s="429">
        <f t="shared" ref="C8:E8" si="1">SUM(C9:C12)</f>
        <v>0</v>
      </c>
      <c r="D8" s="429">
        <f t="shared" si="1"/>
        <v>0</v>
      </c>
      <c r="E8" s="429">
        <f t="shared" si="1"/>
        <v>0</v>
      </c>
      <c r="F8" s="429">
        <f t="shared" si="0"/>
        <v>0</v>
      </c>
    </row>
    <row r="9" spans="1:9" s="445" customFormat="1" ht="20.100000000000001" customHeight="1">
      <c r="A9" s="448" t="s">
        <v>1103</v>
      </c>
      <c r="B9" s="423"/>
      <c r="C9" s="423"/>
      <c r="D9" s="423"/>
      <c r="E9" s="423"/>
      <c r="F9" s="429">
        <f t="shared" si="0"/>
        <v>0</v>
      </c>
    </row>
    <row r="10" spans="1:9" s="445" customFormat="1" ht="20.100000000000001" customHeight="1">
      <c r="A10" s="448" t="s">
        <v>1104</v>
      </c>
      <c r="B10" s="423"/>
      <c r="C10" s="423"/>
      <c r="D10" s="423"/>
      <c r="E10" s="423"/>
      <c r="F10" s="429">
        <f t="shared" si="0"/>
        <v>0</v>
      </c>
    </row>
    <row r="11" spans="1:9" s="445" customFormat="1" ht="20.100000000000001" customHeight="1">
      <c r="A11" s="448" t="s">
        <v>1105</v>
      </c>
      <c r="B11" s="423"/>
      <c r="C11" s="423"/>
      <c r="D11" s="423"/>
      <c r="E11" s="423"/>
      <c r="F11" s="429">
        <f t="shared" si="0"/>
        <v>0</v>
      </c>
    </row>
    <row r="12" spans="1:9" s="445" customFormat="1" ht="20.100000000000001" customHeight="1">
      <c r="A12" s="448" t="s">
        <v>896</v>
      </c>
      <c r="B12" s="423"/>
      <c r="C12" s="423"/>
      <c r="D12" s="423"/>
      <c r="E12" s="423"/>
      <c r="F12" s="429">
        <f t="shared" si="0"/>
        <v>0</v>
      </c>
    </row>
    <row r="13" spans="1:9" s="445" customFormat="1" ht="20.100000000000001" customHeight="1">
      <c r="A13" s="448" t="s">
        <v>1106</v>
      </c>
      <c r="B13" s="423"/>
      <c r="C13" s="423"/>
      <c r="D13" s="423"/>
      <c r="E13" s="423"/>
      <c r="F13" s="429">
        <f t="shared" si="0"/>
        <v>0</v>
      </c>
    </row>
    <row r="14" spans="1:9" s="445" customFormat="1" ht="20.100000000000001" customHeight="1">
      <c r="A14" s="448" t="s">
        <v>1107</v>
      </c>
      <c r="B14" s="423"/>
      <c r="C14" s="423"/>
      <c r="D14" s="423"/>
      <c r="E14" s="423"/>
      <c r="F14" s="429">
        <f t="shared" si="0"/>
        <v>0</v>
      </c>
    </row>
    <row r="15" spans="1:9" s="445" customFormat="1" ht="20.100000000000001" customHeight="1">
      <c r="A15" s="448" t="s">
        <v>1108</v>
      </c>
      <c r="B15" s="423"/>
      <c r="C15" s="423"/>
      <c r="D15" s="423"/>
      <c r="E15" s="423"/>
      <c r="F15" s="429">
        <f t="shared" si="0"/>
        <v>0</v>
      </c>
    </row>
    <row r="16" spans="1:9" s="445" customFormat="1" ht="20.100000000000001" customHeight="1">
      <c r="A16" s="448" t="s">
        <v>896</v>
      </c>
      <c r="B16" s="423"/>
      <c r="C16" s="423"/>
      <c r="D16" s="423"/>
      <c r="E16" s="423"/>
      <c r="F16" s="429">
        <f t="shared" si="0"/>
        <v>0</v>
      </c>
    </row>
    <row r="17" spans="1:6" s="445" customFormat="1" ht="20.100000000000001" customHeight="1">
      <c r="A17" s="448" t="s">
        <v>1109</v>
      </c>
      <c r="B17" s="423"/>
      <c r="C17" s="423"/>
      <c r="D17" s="423"/>
      <c r="E17" s="423"/>
      <c r="F17" s="429">
        <f t="shared" si="0"/>
        <v>0</v>
      </c>
    </row>
    <row r="18" spans="1:6" s="445" customFormat="1" ht="20.100000000000001" customHeight="1">
      <c r="A18" s="447" t="s">
        <v>1110</v>
      </c>
      <c r="B18" s="423"/>
      <c r="C18" s="423"/>
      <c r="D18" s="423"/>
      <c r="E18" s="423"/>
      <c r="F18" s="429">
        <f t="shared" si="0"/>
        <v>0</v>
      </c>
    </row>
    <row r="19" spans="1:6" s="445" customFormat="1" ht="20.100000000000001" customHeight="1">
      <c r="A19" s="448" t="s">
        <v>1101</v>
      </c>
      <c r="B19" s="423"/>
      <c r="C19" s="423"/>
      <c r="D19" s="423"/>
      <c r="E19" s="423"/>
      <c r="F19" s="429">
        <f t="shared" si="0"/>
        <v>0</v>
      </c>
    </row>
    <row r="20" spans="1:6" s="445" customFormat="1" ht="20.100000000000001" customHeight="1">
      <c r="A20" s="448" t="s">
        <v>1102</v>
      </c>
      <c r="B20" s="423"/>
      <c r="C20" s="423"/>
      <c r="D20" s="423"/>
      <c r="E20" s="423"/>
      <c r="F20" s="429">
        <f t="shared" si="0"/>
        <v>0</v>
      </c>
    </row>
    <row r="21" spans="1:6" s="445" customFormat="1" ht="20.100000000000001" customHeight="1">
      <c r="A21" s="448" t="s">
        <v>1111</v>
      </c>
      <c r="B21" s="423"/>
      <c r="C21" s="423"/>
      <c r="D21" s="423"/>
      <c r="E21" s="423"/>
      <c r="F21" s="429">
        <f t="shared" si="0"/>
        <v>0</v>
      </c>
    </row>
    <row r="22" spans="1:6" s="445" customFormat="1" ht="20.100000000000001" customHeight="1">
      <c r="A22" s="448" t="s">
        <v>1112</v>
      </c>
      <c r="B22" s="423"/>
      <c r="C22" s="423"/>
      <c r="D22" s="423"/>
      <c r="E22" s="423"/>
      <c r="F22" s="429">
        <f t="shared" si="0"/>
        <v>0</v>
      </c>
    </row>
    <row r="23" spans="1:6" s="445" customFormat="1" ht="20.100000000000001" customHeight="1">
      <c r="A23" s="448" t="s">
        <v>896</v>
      </c>
      <c r="B23" s="423"/>
      <c r="C23" s="423"/>
      <c r="D23" s="423"/>
      <c r="E23" s="423"/>
      <c r="F23" s="429">
        <f t="shared" si="0"/>
        <v>0</v>
      </c>
    </row>
    <row r="24" spans="1:6" s="445" customFormat="1" ht="20.100000000000001" customHeight="1">
      <c r="A24" s="448" t="s">
        <v>1106</v>
      </c>
      <c r="B24" s="423"/>
      <c r="C24" s="423"/>
      <c r="D24" s="423"/>
      <c r="E24" s="423"/>
      <c r="F24" s="429">
        <f t="shared" si="0"/>
        <v>0</v>
      </c>
    </row>
    <row r="25" spans="1:6" s="445" customFormat="1" ht="20.100000000000001" customHeight="1">
      <c r="A25" s="448" t="s">
        <v>1107</v>
      </c>
      <c r="B25" s="423"/>
      <c r="C25" s="423"/>
      <c r="D25" s="423"/>
      <c r="E25" s="423"/>
      <c r="F25" s="429">
        <f t="shared" si="0"/>
        <v>0</v>
      </c>
    </row>
    <row r="26" spans="1:6" s="445" customFormat="1" ht="20.100000000000001" customHeight="1">
      <c r="A26" s="448" t="s">
        <v>1108</v>
      </c>
      <c r="B26" s="423"/>
      <c r="C26" s="423"/>
      <c r="D26" s="423"/>
      <c r="E26" s="423"/>
      <c r="F26" s="429">
        <f t="shared" si="0"/>
        <v>0</v>
      </c>
    </row>
    <row r="27" spans="1:6" s="445" customFormat="1" ht="20.100000000000001" customHeight="1">
      <c r="A27" s="448" t="s">
        <v>896</v>
      </c>
      <c r="B27" s="423"/>
      <c r="C27" s="423"/>
      <c r="D27" s="423"/>
      <c r="E27" s="423"/>
      <c r="F27" s="429">
        <f t="shared" si="0"/>
        <v>0</v>
      </c>
    </row>
    <row r="28" spans="1:6" s="445" customFormat="1" ht="20.100000000000001" customHeight="1">
      <c r="A28" s="448" t="s">
        <v>1109</v>
      </c>
      <c r="B28" s="423"/>
      <c r="C28" s="423"/>
      <c r="D28" s="423"/>
      <c r="E28" s="423"/>
      <c r="F28" s="429">
        <f t="shared" si="0"/>
        <v>0</v>
      </c>
    </row>
    <row r="29" spans="1:6" s="445" customFormat="1" ht="20.100000000000001" customHeight="1">
      <c r="A29" s="447" t="s">
        <v>1113</v>
      </c>
      <c r="B29" s="423"/>
      <c r="C29" s="423"/>
      <c r="D29" s="423"/>
      <c r="E29" s="423"/>
      <c r="F29" s="429">
        <f t="shared" si="0"/>
        <v>0</v>
      </c>
    </row>
    <row r="30" spans="1:6" s="445" customFormat="1" ht="20.100000000000001" customHeight="1">
      <c r="A30" s="448" t="s">
        <v>1101</v>
      </c>
      <c r="B30" s="423"/>
      <c r="C30" s="423"/>
      <c r="D30" s="423"/>
      <c r="E30" s="423"/>
      <c r="F30" s="429">
        <f t="shared" si="0"/>
        <v>0</v>
      </c>
    </row>
    <row r="31" spans="1:6" s="445" customFormat="1" ht="20.100000000000001" customHeight="1">
      <c r="A31" s="448" t="s">
        <v>1102</v>
      </c>
      <c r="B31" s="423"/>
      <c r="C31" s="423"/>
      <c r="D31" s="423"/>
      <c r="E31" s="423"/>
      <c r="F31" s="429">
        <f t="shared" si="0"/>
        <v>0</v>
      </c>
    </row>
    <row r="32" spans="1:6" s="445" customFormat="1" ht="20.100000000000001" customHeight="1">
      <c r="A32" s="448" t="s">
        <v>1111</v>
      </c>
      <c r="B32" s="423"/>
      <c r="C32" s="423"/>
      <c r="D32" s="423"/>
      <c r="E32" s="423"/>
      <c r="F32" s="429">
        <f t="shared" si="0"/>
        <v>0</v>
      </c>
    </row>
    <row r="33" spans="1:11" s="445" customFormat="1" ht="20.100000000000001" customHeight="1">
      <c r="A33" s="448" t="s">
        <v>1112</v>
      </c>
      <c r="B33" s="423"/>
      <c r="C33" s="423"/>
      <c r="D33" s="423"/>
      <c r="E33" s="423"/>
      <c r="F33" s="429">
        <f t="shared" si="0"/>
        <v>0</v>
      </c>
    </row>
    <row r="34" spans="1:11" s="445" customFormat="1" ht="20.100000000000001" customHeight="1">
      <c r="A34" s="448" t="s">
        <v>896</v>
      </c>
      <c r="B34" s="423"/>
      <c r="C34" s="423"/>
      <c r="D34" s="423"/>
      <c r="E34" s="423"/>
      <c r="F34" s="429">
        <f t="shared" si="0"/>
        <v>0</v>
      </c>
    </row>
    <row r="35" spans="1:11" s="445" customFormat="1" ht="20.100000000000001" customHeight="1">
      <c r="A35" s="448" t="s">
        <v>1106</v>
      </c>
      <c r="B35" s="423"/>
      <c r="C35" s="423"/>
      <c r="D35" s="423"/>
      <c r="E35" s="423"/>
      <c r="F35" s="429">
        <f t="shared" si="0"/>
        <v>0</v>
      </c>
    </row>
    <row r="36" spans="1:11" s="445" customFormat="1" ht="20.100000000000001" customHeight="1">
      <c r="A36" s="448" t="s">
        <v>1107</v>
      </c>
      <c r="B36" s="423"/>
      <c r="C36" s="423"/>
      <c r="D36" s="423"/>
      <c r="E36" s="423"/>
      <c r="F36" s="429">
        <f t="shared" si="0"/>
        <v>0</v>
      </c>
    </row>
    <row r="37" spans="1:11" s="445" customFormat="1" ht="20.100000000000001" customHeight="1">
      <c r="A37" s="448" t="s">
        <v>1114</v>
      </c>
      <c r="B37" s="423"/>
      <c r="C37" s="423"/>
      <c r="D37" s="423"/>
      <c r="E37" s="423"/>
      <c r="F37" s="429">
        <f t="shared" si="0"/>
        <v>0</v>
      </c>
    </row>
    <row r="38" spans="1:11" s="445" customFormat="1" ht="20.100000000000001" customHeight="1">
      <c r="A38" s="448" t="s">
        <v>896</v>
      </c>
      <c r="B38" s="423"/>
      <c r="C38" s="423"/>
      <c r="D38" s="423"/>
      <c r="E38" s="423"/>
      <c r="F38" s="429">
        <f t="shared" si="0"/>
        <v>0</v>
      </c>
    </row>
    <row r="39" spans="1:11" s="445" customFormat="1" ht="20.100000000000001" customHeight="1">
      <c r="A39" s="448" t="s">
        <v>1109</v>
      </c>
      <c r="B39" s="423"/>
      <c r="C39" s="423"/>
      <c r="D39" s="423"/>
      <c r="E39" s="423"/>
      <c r="F39" s="429">
        <f t="shared" si="0"/>
        <v>0</v>
      </c>
    </row>
    <row r="40" spans="1:11" s="445" customFormat="1" ht="20.100000000000001" customHeight="1">
      <c r="A40" s="447" t="s">
        <v>1115</v>
      </c>
      <c r="B40" s="423"/>
      <c r="C40" s="423"/>
      <c r="D40" s="423"/>
      <c r="E40" s="423"/>
      <c r="F40" s="429">
        <f t="shared" si="0"/>
        <v>0</v>
      </c>
    </row>
    <row r="41" spans="1:11" s="445" customFormat="1" ht="20.100000000000001" customHeight="1">
      <c r="A41" s="448" t="s">
        <v>1116</v>
      </c>
      <c r="B41" s="423"/>
      <c r="C41" s="423"/>
      <c r="D41" s="423"/>
      <c r="E41" s="423"/>
      <c r="F41" s="429">
        <f t="shared" si="0"/>
        <v>0</v>
      </c>
    </row>
    <row r="42" spans="1:11" s="445" customFormat="1" ht="20.100000000000001" customHeight="1">
      <c r="A42" s="448" t="s">
        <v>1117</v>
      </c>
      <c r="B42" s="423"/>
      <c r="C42" s="423"/>
      <c r="D42" s="423"/>
      <c r="E42" s="423"/>
      <c r="F42" s="429">
        <f t="shared" si="0"/>
        <v>0</v>
      </c>
    </row>
    <row r="43" spans="1:11" s="368" customFormat="1" ht="20.100000000000001" customHeight="1">
      <c r="A43" s="1199" t="s">
        <v>2415</v>
      </c>
      <c r="B43" s="370"/>
      <c r="C43" s="139"/>
      <c r="D43" s="198"/>
      <c r="E43" s="198"/>
      <c r="F43" s="285">
        <f>'RP 036'!B5</f>
        <v>0</v>
      </c>
      <c r="G43" s="9"/>
      <c r="H43" s="223"/>
      <c r="I43" s="223"/>
      <c r="J43" s="223"/>
      <c r="K43" s="223"/>
    </row>
    <row r="44" spans="1:11" s="368" customFormat="1" ht="20.100000000000001" customHeight="1">
      <c r="A44" s="333"/>
      <c r="B44" s="370"/>
      <c r="C44" s="139"/>
      <c r="D44" s="198"/>
      <c r="E44" s="198"/>
      <c r="F44" s="226">
        <f>F41-F43</f>
        <v>0</v>
      </c>
      <c r="G44" s="9"/>
      <c r="H44" s="223"/>
      <c r="I44" s="223"/>
      <c r="J44" s="223"/>
      <c r="K44" s="223"/>
    </row>
    <row r="45" spans="1:11" s="368" customFormat="1" ht="20.100000000000001" customHeight="1">
      <c r="A45" s="227"/>
      <c r="B45" s="227"/>
      <c r="C45" s="381"/>
      <c r="F45" s="311" t="str">
        <f>IF(F44=0,"OK","NO")</f>
        <v>OK</v>
      </c>
      <c r="G45" s="9"/>
      <c r="H45" s="223"/>
      <c r="I45" s="223"/>
      <c r="J45" s="223"/>
      <c r="K45" s="223"/>
    </row>
    <row r="46" spans="1:11" s="445" customFormat="1" ht="20.100000000000001" customHeight="1">
      <c r="A46" s="430" t="s">
        <v>955</v>
      </c>
      <c r="B46" s="430"/>
      <c r="C46" s="430"/>
      <c r="D46" s="430"/>
      <c r="E46" s="430"/>
      <c r="F46" s="430"/>
    </row>
    <row r="47" spans="1:11" s="445" customFormat="1" ht="20.100000000000001" customHeight="1">
      <c r="A47" s="179" t="s">
        <v>1118</v>
      </c>
      <c r="B47" s="430"/>
      <c r="C47" s="430"/>
      <c r="D47" s="430"/>
      <c r="E47" s="430"/>
      <c r="F47" s="430"/>
    </row>
    <row r="48" spans="1:11" s="445" customFormat="1" ht="20.100000000000001" customHeight="1">
      <c r="A48" s="179" t="s">
        <v>1119</v>
      </c>
      <c r="B48" s="430"/>
      <c r="C48" s="430"/>
      <c r="D48" s="430"/>
      <c r="E48" s="430"/>
      <c r="F48" s="430"/>
    </row>
    <row r="49" spans="1:6" s="445" customFormat="1" ht="20.100000000000001" customHeight="1">
      <c r="A49" s="179" t="s">
        <v>1120</v>
      </c>
      <c r="B49" s="430"/>
      <c r="C49" s="430"/>
      <c r="D49" s="430"/>
      <c r="E49" s="430"/>
      <c r="F49" s="430"/>
    </row>
    <row r="50" spans="1:6" s="445" customFormat="1" ht="20.100000000000001" customHeight="1">
      <c r="A50" s="179" t="s">
        <v>1121</v>
      </c>
      <c r="B50" s="430"/>
      <c r="C50" s="430"/>
      <c r="D50" s="430"/>
      <c r="E50" s="430"/>
      <c r="F50" s="430"/>
    </row>
    <row r="51" spans="1:6" s="445" customFormat="1" ht="20.100000000000001" customHeight="1">
      <c r="A51" s="434" t="s">
        <v>1122</v>
      </c>
      <c r="B51" s="430"/>
      <c r="C51" s="430"/>
      <c r="D51" s="430"/>
      <c r="E51" s="430"/>
      <c r="F51" s="430"/>
    </row>
    <row r="52" spans="1:6" s="445" customFormat="1" ht="20.100000000000001" customHeight="1">
      <c r="A52" s="427" t="s">
        <v>903</v>
      </c>
      <c r="B52" s="427" t="s">
        <v>1123</v>
      </c>
      <c r="C52" s="427" t="s">
        <v>1124</v>
      </c>
      <c r="D52" s="427" t="s">
        <v>916</v>
      </c>
      <c r="E52" s="427" t="s">
        <v>917</v>
      </c>
      <c r="F52" s="427" t="s">
        <v>1125</v>
      </c>
    </row>
    <row r="53" spans="1:6" s="445" customFormat="1" ht="20.100000000000001" customHeight="1">
      <c r="A53" s="422" t="s">
        <v>1126</v>
      </c>
      <c r="B53" s="423"/>
      <c r="C53" s="423"/>
      <c r="D53" s="423"/>
      <c r="E53" s="429">
        <f>B53-C53-D53</f>
        <v>0</v>
      </c>
      <c r="F53" s="422"/>
    </row>
    <row r="54" spans="1:6" s="445" customFormat="1" ht="20.100000000000001" customHeight="1">
      <c r="A54" s="422" t="s">
        <v>1127</v>
      </c>
      <c r="B54" s="423"/>
      <c r="C54" s="423"/>
      <c r="D54" s="423"/>
      <c r="E54" s="429">
        <f t="shared" ref="E54:E57" si="2">B54-C54-D54</f>
        <v>0</v>
      </c>
      <c r="F54" s="422"/>
    </row>
    <row r="55" spans="1:6" s="445" customFormat="1" ht="20.100000000000001" customHeight="1">
      <c r="A55" s="422" t="s">
        <v>1128</v>
      </c>
      <c r="B55" s="423"/>
      <c r="C55" s="423"/>
      <c r="D55" s="423"/>
      <c r="E55" s="429">
        <f t="shared" si="2"/>
        <v>0</v>
      </c>
      <c r="F55" s="422"/>
    </row>
    <row r="56" spans="1:6" s="445" customFormat="1" ht="20.100000000000001" customHeight="1">
      <c r="A56" s="422" t="s">
        <v>1129</v>
      </c>
      <c r="B56" s="423"/>
      <c r="C56" s="423"/>
      <c r="D56" s="423"/>
      <c r="E56" s="429">
        <f t="shared" si="2"/>
        <v>0</v>
      </c>
      <c r="F56" s="422"/>
    </row>
    <row r="57" spans="1:6" s="445" customFormat="1" ht="20.100000000000001" customHeight="1">
      <c r="A57" s="450" t="s">
        <v>737</v>
      </c>
      <c r="B57" s="421"/>
      <c r="C57" s="423"/>
      <c r="D57" s="423"/>
      <c r="E57" s="429">
        <f t="shared" si="2"/>
        <v>0</v>
      </c>
      <c r="F57" s="420"/>
    </row>
    <row r="58" spans="1:6" s="445" customFormat="1" ht="20.100000000000001" customHeight="1">
      <c r="A58" s="422" t="s">
        <v>907</v>
      </c>
      <c r="B58" s="431">
        <f>SUM(B53:B57)</f>
        <v>0</v>
      </c>
      <c r="C58" s="431">
        <f t="shared" ref="C58:E58" si="3">SUM(C53:C57)</f>
        <v>0</v>
      </c>
      <c r="D58" s="431">
        <f t="shared" si="3"/>
        <v>0</v>
      </c>
      <c r="E58" s="431">
        <f t="shared" si="3"/>
        <v>0</v>
      </c>
      <c r="F58" s="420"/>
    </row>
    <row r="59" spans="1:6" s="445" customFormat="1" ht="20.100000000000001" customHeight="1">
      <c r="A59" s="451"/>
      <c r="B59" s="452"/>
      <c r="C59" s="452"/>
      <c r="D59" s="452"/>
      <c r="E59" s="452"/>
      <c r="F59" s="452"/>
    </row>
    <row r="60" spans="1:6" s="445" customFormat="1" ht="20.100000000000001" customHeight="1">
      <c r="A60" s="451"/>
      <c r="B60" s="452"/>
      <c r="C60" s="452"/>
      <c r="D60" s="452"/>
      <c r="E60" s="452"/>
      <c r="F60" s="452"/>
    </row>
    <row r="61" spans="1:6" s="445" customFormat="1" ht="20.100000000000001" customHeight="1">
      <c r="A61" s="434" t="s">
        <v>1130</v>
      </c>
      <c r="B61" s="430"/>
      <c r="C61" s="430"/>
      <c r="D61" s="430"/>
      <c r="E61" s="430"/>
      <c r="F61" s="430"/>
    </row>
    <row r="62" spans="1:6" s="445" customFormat="1" ht="20.100000000000001" customHeight="1">
      <c r="A62" s="427" t="s">
        <v>903</v>
      </c>
      <c r="B62" s="427" t="s">
        <v>1123</v>
      </c>
      <c r="C62" s="427" t="s">
        <v>1124</v>
      </c>
      <c r="D62" s="427" t="s">
        <v>916</v>
      </c>
      <c r="E62" s="427" t="s">
        <v>917</v>
      </c>
      <c r="F62" s="430"/>
    </row>
    <row r="63" spans="1:6" s="445" customFormat="1" ht="20.100000000000001" customHeight="1">
      <c r="A63" s="422" t="s">
        <v>1126</v>
      </c>
      <c r="B63" s="423"/>
      <c r="C63" s="423"/>
      <c r="D63" s="423"/>
      <c r="E63" s="429">
        <f>B63-C63-D63</f>
        <v>0</v>
      </c>
      <c r="F63" s="430"/>
    </row>
    <row r="64" spans="1:6" s="445" customFormat="1" ht="20.100000000000001" customHeight="1">
      <c r="A64" s="422" t="s">
        <v>1127</v>
      </c>
      <c r="B64" s="423"/>
      <c r="C64" s="423"/>
      <c r="D64" s="423"/>
      <c r="E64" s="429">
        <f t="shared" ref="E64:E67" si="4">B64-C64-D64</f>
        <v>0</v>
      </c>
      <c r="F64" s="430"/>
    </row>
    <row r="65" spans="1:6" s="445" customFormat="1" ht="20.100000000000001" customHeight="1">
      <c r="A65" s="422" t="s">
        <v>1128</v>
      </c>
      <c r="B65" s="423"/>
      <c r="C65" s="423"/>
      <c r="D65" s="423"/>
      <c r="E65" s="429">
        <f t="shared" si="4"/>
        <v>0</v>
      </c>
      <c r="F65" s="430"/>
    </row>
    <row r="66" spans="1:6" s="445" customFormat="1" ht="20.100000000000001" customHeight="1">
      <c r="A66" s="422" t="s">
        <v>1129</v>
      </c>
      <c r="B66" s="423"/>
      <c r="C66" s="423"/>
      <c r="D66" s="423"/>
      <c r="E66" s="429">
        <f t="shared" si="4"/>
        <v>0</v>
      </c>
      <c r="F66" s="430"/>
    </row>
    <row r="67" spans="1:6" s="445" customFormat="1" ht="20.100000000000001" customHeight="1">
      <c r="A67" s="450" t="s">
        <v>737</v>
      </c>
      <c r="B67" s="421"/>
      <c r="C67" s="423"/>
      <c r="D67" s="423"/>
      <c r="E67" s="429">
        <f t="shared" si="4"/>
        <v>0</v>
      </c>
      <c r="F67" s="430"/>
    </row>
    <row r="68" spans="1:6" s="445" customFormat="1" ht="20.100000000000001" customHeight="1">
      <c r="A68" s="422" t="s">
        <v>907</v>
      </c>
      <c r="B68" s="431">
        <f>SUM(B63:B67)</f>
        <v>0</v>
      </c>
      <c r="C68" s="431">
        <f t="shared" ref="C68:E68" si="5">SUM(C63:C67)</f>
        <v>0</v>
      </c>
      <c r="D68" s="431">
        <f t="shared" si="5"/>
        <v>0</v>
      </c>
      <c r="E68" s="431">
        <f t="shared" si="5"/>
        <v>0</v>
      </c>
      <c r="F68" s="430"/>
    </row>
    <row r="69" spans="1:6" s="445" customFormat="1" ht="20.100000000000001" customHeight="1">
      <c r="A69" s="451"/>
      <c r="B69" s="452"/>
      <c r="C69" s="452"/>
      <c r="D69" s="452"/>
      <c r="E69" s="452"/>
      <c r="F69" s="430"/>
    </row>
    <row r="70" spans="1:6" s="445" customFormat="1" ht="20.100000000000001" customHeight="1">
      <c r="A70" s="451"/>
      <c r="B70" s="452"/>
      <c r="C70" s="452"/>
      <c r="D70" s="452"/>
      <c r="E70" s="452"/>
      <c r="F70" s="430"/>
    </row>
    <row r="71" spans="1:6" s="445" customFormat="1" ht="20.100000000000001" customHeight="1">
      <c r="A71" s="28" t="s">
        <v>1131</v>
      </c>
      <c r="B71" s="430"/>
      <c r="C71" s="430"/>
      <c r="D71" s="430"/>
      <c r="E71" s="430"/>
      <c r="F71" s="430"/>
    </row>
    <row r="72" spans="1:6" s="445" customFormat="1" ht="20.100000000000001" customHeight="1">
      <c r="A72" s="427" t="s">
        <v>903</v>
      </c>
      <c r="B72" s="427" t="s">
        <v>917</v>
      </c>
      <c r="C72" s="430"/>
      <c r="D72" s="430"/>
      <c r="E72" s="430"/>
      <c r="F72" s="430"/>
    </row>
    <row r="73" spans="1:6" s="445" customFormat="1" ht="20.100000000000001" customHeight="1">
      <c r="A73" s="422" t="s">
        <v>1126</v>
      </c>
      <c r="B73" s="422"/>
      <c r="C73" s="430"/>
      <c r="D73" s="430"/>
      <c r="E73" s="430"/>
      <c r="F73" s="430"/>
    </row>
    <row r="74" spans="1:6" s="445" customFormat="1" ht="20.100000000000001" customHeight="1">
      <c r="A74" s="422" t="s">
        <v>1127</v>
      </c>
      <c r="B74" s="422"/>
      <c r="C74" s="430"/>
      <c r="D74" s="430"/>
      <c r="E74" s="430"/>
      <c r="F74" s="430"/>
    </row>
    <row r="75" spans="1:6" s="445" customFormat="1" ht="20.100000000000001" customHeight="1">
      <c r="A75" s="422" t="s">
        <v>1128</v>
      </c>
      <c r="B75" s="422"/>
      <c r="C75" s="430"/>
      <c r="D75" s="430"/>
      <c r="E75" s="430"/>
      <c r="F75" s="430"/>
    </row>
    <row r="76" spans="1:6" s="445" customFormat="1" ht="20.100000000000001" customHeight="1">
      <c r="A76" s="422" t="s">
        <v>1129</v>
      </c>
      <c r="B76" s="422"/>
      <c r="C76" s="430"/>
      <c r="D76" s="430"/>
      <c r="E76" s="430"/>
      <c r="F76" s="430"/>
    </row>
    <row r="77" spans="1:6" s="445" customFormat="1" ht="20.100000000000001" customHeight="1">
      <c r="A77" s="450" t="s">
        <v>737</v>
      </c>
      <c r="B77" s="420"/>
      <c r="C77" s="430"/>
      <c r="D77" s="430"/>
      <c r="E77" s="430"/>
      <c r="F77" s="430"/>
    </row>
    <row r="78" spans="1:6" s="445" customFormat="1" ht="20.100000000000001" customHeight="1">
      <c r="A78" s="422" t="s">
        <v>907</v>
      </c>
      <c r="B78" s="431">
        <f>SUM(B73:B77)</f>
        <v>0</v>
      </c>
      <c r="C78" s="430"/>
      <c r="D78" s="430"/>
      <c r="E78" s="430"/>
      <c r="F78" s="430"/>
    </row>
    <row r="79" spans="1:6" s="445" customFormat="1" ht="20.100000000000001" customHeight="1">
      <c r="A79" s="432"/>
      <c r="B79" s="433"/>
      <c r="C79" s="430"/>
      <c r="D79" s="430"/>
      <c r="E79" s="430"/>
      <c r="F79" s="430"/>
    </row>
    <row r="80" spans="1:6" s="445" customFormat="1" ht="20.100000000000001" customHeight="1">
      <c r="A80" s="432"/>
      <c r="B80" s="433"/>
      <c r="C80" s="430"/>
      <c r="D80" s="430"/>
      <c r="E80" s="430"/>
      <c r="F80" s="430"/>
    </row>
    <row r="81" spans="1:6" s="445" customFormat="1" ht="20.100000000000001" customHeight="1">
      <c r="A81" s="28" t="s">
        <v>1132</v>
      </c>
      <c r="B81" s="430"/>
      <c r="C81" s="430"/>
      <c r="D81" s="430"/>
      <c r="E81" s="430"/>
      <c r="F81" s="430"/>
    </row>
    <row r="82" spans="1:6" s="445" customFormat="1" ht="20.100000000000001" customHeight="1">
      <c r="A82" s="179" t="s">
        <v>1133</v>
      </c>
      <c r="B82" s="430"/>
      <c r="C82" s="430"/>
      <c r="D82" s="430"/>
      <c r="E82" s="430"/>
      <c r="F82" s="430"/>
    </row>
    <row r="83" spans="1:6" s="445" customFormat="1" ht="20.100000000000001" customHeight="1">
      <c r="A83" s="427" t="s">
        <v>903</v>
      </c>
      <c r="B83" s="427" t="s">
        <v>917</v>
      </c>
      <c r="C83" s="428" t="s">
        <v>1134</v>
      </c>
      <c r="D83" s="430"/>
      <c r="E83" s="430"/>
      <c r="F83" s="430"/>
    </row>
    <row r="84" spans="1:6" s="445" customFormat="1" ht="20.100000000000001" customHeight="1">
      <c r="A84" s="422"/>
      <c r="B84" s="422"/>
      <c r="C84" s="422"/>
      <c r="D84" s="430"/>
      <c r="E84" s="430"/>
      <c r="F84" s="430"/>
    </row>
    <row r="85" spans="1:6" s="445" customFormat="1" ht="20.100000000000001" customHeight="1">
      <c r="A85" s="422"/>
      <c r="B85" s="422"/>
      <c r="C85" s="422"/>
      <c r="D85" s="430"/>
      <c r="E85" s="430"/>
      <c r="F85" s="430"/>
    </row>
    <row r="86" spans="1:6" s="445" customFormat="1" ht="20.100000000000001" customHeight="1">
      <c r="A86" s="422"/>
      <c r="B86" s="420"/>
      <c r="C86" s="422"/>
      <c r="D86" s="430"/>
      <c r="E86" s="430"/>
      <c r="F86" s="430"/>
    </row>
    <row r="87" spans="1:6" s="445" customFormat="1" ht="20.100000000000001" customHeight="1">
      <c r="A87" s="430" t="s">
        <v>1135</v>
      </c>
      <c r="B87" s="430"/>
      <c r="C87" s="430"/>
      <c r="D87" s="430"/>
      <c r="E87" s="430"/>
      <c r="F87" s="430"/>
    </row>
    <row r="88" spans="1:6" s="445" customFormat="1" ht="20.100000000000001" customHeight="1"/>
    <row r="89" spans="1:6" s="397" customFormat="1" ht="16.5"/>
  </sheetData>
  <phoneticPr fontId="76" type="noConversion"/>
  <pageMargins left="0.27500000000000002" right="0.27500000000000002" top="0.51180555555555596" bottom="0.51180555555555596" header="0.27500000000000002" footer="0.27500000000000002"/>
  <pageSetup paperSize="9" scale="75" orientation="landscape" blackAndWhite="1" r:id="rId1"/>
  <headerFooter alignWithMargins="0"/>
  <rowBreaks count="2" manualBreakCount="2">
    <brk id="26" max="5" man="1"/>
    <brk id="59" max="5"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5"/>
  <sheetViews>
    <sheetView view="pageBreakPreview" zoomScaleNormal="100" zoomScaleSheetLayoutView="100" workbookViewId="0">
      <selection activeCell="B10" sqref="B10"/>
    </sheetView>
  </sheetViews>
  <sheetFormatPr defaultColWidth="9" defaultRowHeight="20.100000000000001" customHeight="1"/>
  <cols>
    <col min="1" max="1" width="21.5" style="53" customWidth="1"/>
    <col min="2" max="2" width="15.625" style="53" customWidth="1"/>
    <col min="3" max="3" width="19.625" style="53" customWidth="1"/>
    <col min="4" max="11" width="15.625" style="53" customWidth="1"/>
    <col min="12" max="16384" width="9" style="53"/>
  </cols>
  <sheetData>
    <row r="1" spans="1:10" ht="24.95" customHeight="1">
      <c r="A1" s="54" t="s">
        <v>145</v>
      </c>
      <c r="B1" s="55">
        <f>基础信息!B6</f>
        <v>0</v>
      </c>
      <c r="C1" s="56"/>
      <c r="D1" s="184"/>
      <c r="E1" s="96"/>
    </row>
    <row r="2" spans="1:10" ht="24.95" customHeight="1">
      <c r="A2" s="54" t="s">
        <v>147</v>
      </c>
      <c r="B2" s="55">
        <f>基础信息!B9</f>
        <v>0</v>
      </c>
      <c r="C2" s="56"/>
      <c r="D2" s="184"/>
    </row>
    <row r="3" spans="1:10" s="95" customFormat="1" ht="24.95" customHeight="1">
      <c r="A3" s="97" t="s">
        <v>148</v>
      </c>
      <c r="B3" s="97" t="s">
        <v>1136</v>
      </c>
      <c r="C3" s="59"/>
      <c r="D3" s="184"/>
      <c r="E3" s="53"/>
      <c r="F3" s="53"/>
      <c r="G3" s="53"/>
      <c r="H3" s="53"/>
      <c r="I3" s="53"/>
    </row>
    <row r="4" spans="1:10" s="351" customFormat="1" ht="20.100000000000001" customHeight="1">
      <c r="A4" s="88" t="s">
        <v>754</v>
      </c>
      <c r="B4" s="88" t="s">
        <v>762</v>
      </c>
      <c r="C4" s="88" t="s">
        <v>1092</v>
      </c>
      <c r="D4" s="442"/>
      <c r="E4" s="52"/>
      <c r="F4" s="52"/>
      <c r="G4" s="52"/>
      <c r="H4" s="52"/>
      <c r="I4" s="52"/>
      <c r="J4" s="52"/>
    </row>
    <row r="5" spans="1:10" s="354" customFormat="1" ht="20.100000000000001" customHeight="1">
      <c r="A5" s="94"/>
      <c r="B5" s="91"/>
      <c r="C5" s="91"/>
      <c r="D5" s="351"/>
      <c r="E5" s="53"/>
      <c r="F5" s="53"/>
      <c r="G5" s="53"/>
      <c r="H5" s="53"/>
      <c r="I5" s="53"/>
      <c r="J5" s="53"/>
    </row>
    <row r="6" spans="1:10" s="354" customFormat="1" ht="20.100000000000001" customHeight="1">
      <c r="A6" s="94"/>
      <c r="B6" s="91"/>
      <c r="C6" s="91"/>
      <c r="D6" s="351"/>
      <c r="E6" s="53"/>
      <c r="F6" s="53"/>
      <c r="G6" s="53"/>
      <c r="H6" s="53"/>
      <c r="I6" s="53"/>
      <c r="J6" s="53"/>
    </row>
    <row r="7" spans="1:10" s="354" customFormat="1" ht="20.100000000000001" customHeight="1">
      <c r="A7" s="94" t="s">
        <v>658</v>
      </c>
      <c r="B7" s="286">
        <f>SUM(B5:B6)</f>
        <v>0</v>
      </c>
      <c r="C7" s="91"/>
      <c r="D7" s="351"/>
      <c r="E7" s="53"/>
      <c r="F7" s="53"/>
      <c r="G7" s="53"/>
      <c r="J7" s="53"/>
    </row>
    <row r="8" spans="1:10" s="354" customFormat="1" ht="20.100000000000001" customHeight="1">
      <c r="A8" s="1173" t="s">
        <v>2466</v>
      </c>
      <c r="B8" s="285">
        <f>'RP 036'!B6</f>
        <v>0</v>
      </c>
      <c r="C8" s="114"/>
      <c r="D8" s="351"/>
    </row>
    <row r="9" spans="1:10" s="354" customFormat="1" ht="20.100000000000001" customHeight="1">
      <c r="A9" s="333"/>
      <c r="B9" s="226">
        <f>B7-B8</f>
        <v>0</v>
      </c>
      <c r="C9" s="114"/>
      <c r="D9" s="351"/>
    </row>
    <row r="10" spans="1:10" s="354" customFormat="1" ht="20.100000000000001" customHeight="1">
      <c r="A10" s="311"/>
      <c r="B10" s="311" t="str">
        <f>IF(B9=0,"OK","NO")</f>
        <v>OK</v>
      </c>
      <c r="C10" s="351"/>
      <c r="D10" s="351"/>
      <c r="E10" s="105"/>
      <c r="J10" s="105"/>
    </row>
    <row r="11" spans="1:10" s="354" customFormat="1" ht="20.100000000000001" customHeight="1">
      <c r="A11" s="443" t="s">
        <v>1137</v>
      </c>
      <c r="B11" s="27"/>
      <c r="C11" s="27"/>
      <c r="D11" s="27"/>
      <c r="E11" s="53"/>
      <c r="J11" s="53"/>
    </row>
    <row r="12" spans="1:10" s="354" customFormat="1" ht="16.5">
      <c r="A12" s="53"/>
      <c r="B12" s="53"/>
      <c r="C12" s="53"/>
      <c r="D12" s="53"/>
      <c r="E12" s="53"/>
      <c r="J12" s="53"/>
    </row>
    <row r="13" spans="1:10" s="354" customFormat="1" ht="16.5">
      <c r="A13" s="53"/>
      <c r="B13" s="53"/>
      <c r="C13" s="53"/>
      <c r="D13" s="53"/>
      <c r="E13" s="53"/>
      <c r="J13" s="53"/>
    </row>
    <row r="14" spans="1:10" s="354" customFormat="1" ht="16.5">
      <c r="A14" s="53"/>
      <c r="B14" s="53"/>
      <c r="C14" s="53"/>
      <c r="D14" s="53"/>
      <c r="E14" s="53"/>
      <c r="J14" s="53"/>
    </row>
    <row r="15" spans="1:10" s="354" customFormat="1" ht="16.5">
      <c r="A15" s="53"/>
      <c r="B15" s="53"/>
      <c r="C15" s="53"/>
      <c r="D15" s="53"/>
      <c r="E15" s="53"/>
      <c r="J15" s="53"/>
    </row>
    <row r="16" spans="1:10" s="354" customFormat="1" ht="16.5">
      <c r="A16" s="53"/>
      <c r="B16" s="53"/>
      <c r="C16" s="53"/>
      <c r="D16" s="53"/>
      <c r="E16" s="53"/>
      <c r="J16" s="53"/>
    </row>
    <row r="17" spans="1:10" s="354" customFormat="1" ht="16.5">
      <c r="A17" s="53"/>
      <c r="B17" s="53"/>
      <c r="C17" s="53"/>
      <c r="D17" s="53"/>
      <c r="E17" s="53"/>
      <c r="J17" s="53"/>
    </row>
    <row r="18" spans="1:10" s="354" customFormat="1" ht="16.5">
      <c r="A18" s="53"/>
      <c r="B18" s="53"/>
      <c r="C18" s="53"/>
      <c r="D18" s="53"/>
      <c r="E18" s="53"/>
      <c r="F18" s="53"/>
      <c r="I18" s="53"/>
      <c r="J18" s="53"/>
    </row>
    <row r="19" spans="1:10" s="354" customFormat="1" ht="16.5">
      <c r="A19" s="53"/>
      <c r="B19" s="53"/>
      <c r="C19" s="53"/>
      <c r="D19" s="53"/>
      <c r="E19" s="53"/>
      <c r="F19" s="53"/>
      <c r="I19" s="53"/>
      <c r="J19" s="53"/>
    </row>
    <row r="20" spans="1:10" s="354" customFormat="1" ht="16.5">
      <c r="A20" s="53"/>
      <c r="B20" s="53"/>
      <c r="C20" s="53"/>
      <c r="D20" s="53"/>
      <c r="E20" s="53"/>
      <c r="F20" s="53"/>
      <c r="I20" s="53"/>
      <c r="J20" s="53"/>
    </row>
    <row r="21" spans="1:10" s="354" customFormat="1" ht="16.5">
      <c r="A21" s="53"/>
      <c r="B21" s="53"/>
      <c r="C21" s="53"/>
      <c r="D21" s="53"/>
      <c r="E21" s="53"/>
      <c r="F21" s="53"/>
      <c r="G21" s="53"/>
      <c r="H21" s="53"/>
      <c r="I21" s="53"/>
      <c r="J21" s="53"/>
    </row>
    <row r="22" spans="1:10" s="354" customFormat="1" ht="16.5">
      <c r="A22" s="53"/>
      <c r="B22" s="53"/>
      <c r="C22" s="53"/>
      <c r="D22" s="53"/>
      <c r="E22" s="53"/>
      <c r="F22" s="53"/>
      <c r="G22" s="53"/>
      <c r="H22" s="105"/>
      <c r="I22" s="105"/>
      <c r="J22" s="53"/>
    </row>
    <row r="23" spans="1:10" s="354" customFormat="1" ht="16.5">
      <c r="A23" s="53"/>
      <c r="B23" s="53"/>
      <c r="C23" s="53"/>
      <c r="D23" s="53"/>
      <c r="E23" s="53"/>
      <c r="F23" s="53"/>
      <c r="G23" s="53"/>
      <c r="H23" s="53"/>
      <c r="I23" s="53"/>
      <c r="J23" s="53"/>
    </row>
    <row r="24" spans="1:10" s="354" customFormat="1" ht="16.5">
      <c r="A24" s="53"/>
      <c r="B24" s="53"/>
      <c r="C24" s="53"/>
      <c r="D24" s="53"/>
      <c r="E24" s="53"/>
      <c r="F24" s="53"/>
      <c r="G24" s="53"/>
      <c r="H24" s="53"/>
      <c r="I24" s="53"/>
      <c r="J24" s="53"/>
    </row>
    <row r="25" spans="1:10" s="354" customFormat="1" ht="16.5">
      <c r="A25" s="53"/>
      <c r="B25" s="53"/>
      <c r="C25" s="53"/>
      <c r="D25" s="53"/>
      <c r="E25" s="53"/>
      <c r="F25" s="53"/>
      <c r="G25" s="53"/>
      <c r="I25" s="53"/>
      <c r="J25" s="53"/>
    </row>
    <row r="26" spans="1:10" s="354" customFormat="1" ht="16.5">
      <c r="A26" s="53"/>
      <c r="B26" s="53"/>
      <c r="C26" s="53"/>
      <c r="D26" s="53"/>
      <c r="E26" s="53"/>
      <c r="F26" s="53"/>
      <c r="G26" s="53"/>
      <c r="I26" s="53"/>
      <c r="J26" s="53"/>
    </row>
    <row r="27" spans="1:10" s="354" customFormat="1" ht="16.5">
      <c r="A27" s="53"/>
      <c r="B27" s="53"/>
      <c r="C27" s="53"/>
      <c r="D27" s="53"/>
      <c r="E27" s="53"/>
      <c r="F27" s="53"/>
      <c r="G27" s="53"/>
      <c r="I27" s="53"/>
      <c r="J27" s="53"/>
    </row>
    <row r="28" spans="1:10" s="418" customFormat="1" ht="16.5">
      <c r="A28" s="53"/>
      <c r="B28" s="53"/>
      <c r="C28" s="53"/>
      <c r="D28" s="53"/>
      <c r="E28" s="53"/>
      <c r="F28" s="53"/>
      <c r="G28" s="53"/>
      <c r="H28" s="354"/>
      <c r="I28" s="53"/>
      <c r="J28" s="53"/>
    </row>
    <row r="29" spans="1:10" s="418" customFormat="1" ht="16.5">
      <c r="A29" s="53"/>
      <c r="B29" s="53"/>
      <c r="C29" s="53"/>
      <c r="D29" s="53"/>
      <c r="E29" s="53"/>
      <c r="F29" s="53"/>
      <c r="G29" s="53"/>
      <c r="H29" s="354"/>
      <c r="I29" s="53"/>
      <c r="J29" s="53"/>
    </row>
    <row r="30" spans="1:10" s="418" customFormat="1" ht="16.5">
      <c r="A30" s="53"/>
      <c r="B30" s="53"/>
      <c r="C30" s="53"/>
      <c r="D30" s="53"/>
      <c r="E30" s="53"/>
      <c r="F30" s="53"/>
      <c r="G30" s="53"/>
      <c r="H30" s="105"/>
      <c r="I30" s="53"/>
      <c r="J30" s="53"/>
    </row>
    <row r="31" spans="1:10" s="418" customFormat="1" ht="16.5">
      <c r="A31" s="53"/>
      <c r="B31" s="53"/>
      <c r="C31" s="53"/>
      <c r="D31" s="53"/>
      <c r="E31" s="53"/>
      <c r="F31" s="53"/>
      <c r="G31" s="53"/>
      <c r="H31" s="53"/>
      <c r="I31" s="53"/>
      <c r="J31" s="53"/>
    </row>
    <row r="32" spans="1:10" s="418" customFormat="1" ht="16.5">
      <c r="A32" s="53"/>
      <c r="B32" s="53"/>
      <c r="C32" s="53"/>
      <c r="D32" s="53"/>
      <c r="E32" s="53"/>
      <c r="F32" s="53"/>
      <c r="G32" s="53"/>
      <c r="H32" s="53"/>
      <c r="I32" s="53"/>
      <c r="J32" s="53"/>
    </row>
    <row r="33" spans="1:10" s="418" customFormat="1" ht="16.5">
      <c r="A33" s="53"/>
      <c r="B33" s="53"/>
      <c r="C33" s="53"/>
      <c r="D33" s="53"/>
      <c r="E33" s="53"/>
      <c r="F33" s="53"/>
      <c r="G33" s="53"/>
      <c r="H33" s="53"/>
      <c r="I33" s="53"/>
      <c r="J33" s="53"/>
    </row>
    <row r="34" spans="1:10" s="418" customFormat="1" ht="16.5">
      <c r="A34" s="53"/>
      <c r="B34" s="53"/>
      <c r="C34" s="53"/>
      <c r="D34" s="53"/>
      <c r="E34" s="53"/>
      <c r="F34" s="53"/>
      <c r="G34" s="53"/>
      <c r="H34" s="53"/>
      <c r="I34" s="53"/>
      <c r="J34" s="53"/>
    </row>
    <row r="35" spans="1:10" s="418" customFormat="1" ht="16.5">
      <c r="A35" s="53"/>
      <c r="B35" s="53"/>
      <c r="C35" s="53"/>
      <c r="D35" s="53"/>
      <c r="E35" s="53"/>
      <c r="F35" s="53"/>
      <c r="G35" s="53"/>
      <c r="H35" s="53"/>
      <c r="I35" s="53"/>
      <c r="J35" s="53"/>
    </row>
    <row r="36" spans="1:10" s="418" customFormat="1" ht="16.5">
      <c r="A36" s="53"/>
      <c r="B36" s="53"/>
      <c r="C36" s="53"/>
      <c r="D36" s="53"/>
      <c r="E36" s="53"/>
      <c r="F36" s="53"/>
      <c r="G36" s="53"/>
      <c r="H36" s="53"/>
      <c r="I36" s="53"/>
      <c r="J36" s="53"/>
    </row>
    <row r="37" spans="1:10" s="418" customFormat="1" ht="16.5">
      <c r="A37" s="53"/>
      <c r="B37" s="53"/>
      <c r="C37" s="53"/>
      <c r="D37" s="53"/>
      <c r="E37" s="53"/>
      <c r="F37" s="53"/>
      <c r="G37" s="53"/>
      <c r="H37" s="53"/>
      <c r="I37" s="53"/>
      <c r="J37" s="53"/>
    </row>
    <row r="38" spans="1:10" s="418" customFormat="1" ht="16.5">
      <c r="A38" s="53"/>
      <c r="B38" s="53"/>
      <c r="C38" s="53"/>
      <c r="D38" s="53"/>
      <c r="E38" s="53"/>
      <c r="F38" s="53"/>
      <c r="G38" s="53"/>
      <c r="H38" s="53"/>
      <c r="I38" s="53"/>
      <c r="J38" s="53"/>
    </row>
    <row r="39" spans="1:10" s="418" customFormat="1" ht="16.5">
      <c r="A39" s="53"/>
      <c r="B39" s="53"/>
      <c r="C39" s="53"/>
      <c r="D39" s="53"/>
      <c r="E39" s="53"/>
      <c r="F39" s="53"/>
      <c r="G39" s="53"/>
      <c r="H39" s="53"/>
      <c r="I39" s="53"/>
      <c r="J39" s="53"/>
    </row>
    <row r="40" spans="1:10" s="418" customFormat="1" ht="16.5">
      <c r="A40" s="53"/>
      <c r="B40" s="53"/>
      <c r="C40" s="53"/>
      <c r="D40" s="53"/>
      <c r="E40" s="53"/>
      <c r="F40" s="53"/>
      <c r="G40" s="53"/>
      <c r="H40" s="53"/>
      <c r="I40" s="53"/>
      <c r="J40" s="53"/>
    </row>
    <row r="41" spans="1:10" s="418" customFormat="1" ht="16.5">
      <c r="A41" s="53"/>
      <c r="B41" s="53"/>
      <c r="C41" s="53"/>
      <c r="D41" s="53"/>
      <c r="E41" s="53"/>
      <c r="F41" s="53"/>
      <c r="G41" s="53"/>
      <c r="H41" s="53"/>
      <c r="I41" s="53"/>
      <c r="J41" s="53"/>
    </row>
    <row r="42" spans="1:10" s="418" customFormat="1" ht="16.5">
      <c r="A42" s="53"/>
      <c r="B42" s="53"/>
      <c r="C42" s="53"/>
      <c r="D42" s="53"/>
      <c r="E42" s="53"/>
      <c r="F42" s="53"/>
      <c r="G42" s="53"/>
      <c r="H42" s="53"/>
      <c r="I42" s="53"/>
      <c r="J42" s="53"/>
    </row>
    <row r="43" spans="1:10" s="418" customFormat="1" ht="16.5">
      <c r="A43" s="53"/>
      <c r="B43" s="53"/>
      <c r="C43" s="53"/>
      <c r="D43" s="53"/>
      <c r="E43" s="53"/>
      <c r="F43" s="53"/>
      <c r="G43" s="53"/>
      <c r="H43" s="53"/>
      <c r="I43" s="53"/>
      <c r="J43" s="53"/>
    </row>
    <row r="44" spans="1:10" s="418" customFormat="1" ht="16.5">
      <c r="A44" s="53"/>
      <c r="B44" s="53"/>
      <c r="C44" s="53"/>
      <c r="D44" s="53"/>
      <c r="E44" s="53"/>
      <c r="F44" s="53"/>
      <c r="G44" s="53"/>
      <c r="H44" s="53"/>
      <c r="I44" s="53"/>
      <c r="J44" s="53"/>
    </row>
    <row r="45" spans="1:10" s="418" customFormat="1" ht="16.5">
      <c r="A45" s="53"/>
      <c r="B45" s="53"/>
      <c r="C45" s="53"/>
      <c r="D45" s="53"/>
      <c r="E45" s="53"/>
      <c r="F45" s="53"/>
      <c r="G45" s="53"/>
      <c r="H45" s="53"/>
      <c r="I45" s="53"/>
      <c r="J45" s="53"/>
    </row>
    <row r="46" spans="1:10" s="418" customFormat="1" ht="16.5">
      <c r="A46" s="53"/>
      <c r="B46" s="53"/>
      <c r="C46" s="53"/>
      <c r="D46" s="53"/>
      <c r="E46" s="53"/>
      <c r="F46" s="53"/>
      <c r="G46" s="53"/>
      <c r="H46" s="53"/>
      <c r="I46" s="53"/>
      <c r="J46" s="53"/>
    </row>
    <row r="47" spans="1:10" s="418" customFormat="1" ht="16.5">
      <c r="A47" s="53"/>
      <c r="B47" s="53"/>
      <c r="C47" s="53"/>
      <c r="D47" s="53"/>
      <c r="E47" s="53"/>
      <c r="F47" s="53"/>
      <c r="G47" s="53"/>
      <c r="H47" s="53"/>
      <c r="I47" s="53"/>
      <c r="J47" s="53"/>
    </row>
    <row r="48" spans="1:10" s="418" customFormat="1" ht="16.5">
      <c r="A48" s="53"/>
      <c r="B48" s="53"/>
      <c r="C48" s="53"/>
      <c r="D48" s="53"/>
      <c r="E48" s="53"/>
      <c r="F48" s="53"/>
      <c r="G48" s="53"/>
      <c r="H48" s="53"/>
      <c r="I48" s="53"/>
      <c r="J48" s="53"/>
    </row>
    <row r="49" spans="1:10" s="418" customFormat="1" ht="16.5">
      <c r="A49" s="53"/>
      <c r="B49" s="53"/>
      <c r="C49" s="53"/>
      <c r="D49" s="53"/>
      <c r="E49" s="53"/>
      <c r="F49" s="53"/>
      <c r="G49" s="53"/>
      <c r="H49" s="53"/>
      <c r="I49" s="53"/>
      <c r="J49" s="53"/>
    </row>
    <row r="50" spans="1:10" s="418" customFormat="1" ht="16.5">
      <c r="A50" s="53"/>
      <c r="B50" s="53"/>
      <c r="C50" s="53"/>
      <c r="D50" s="53"/>
      <c r="E50" s="53"/>
      <c r="F50" s="53"/>
      <c r="G50" s="53"/>
      <c r="H50" s="53"/>
      <c r="I50" s="53"/>
      <c r="J50" s="53"/>
    </row>
    <row r="51" spans="1:10" s="418" customFormat="1" ht="16.5">
      <c r="A51" s="53"/>
      <c r="B51" s="53"/>
      <c r="C51" s="53"/>
      <c r="D51" s="53"/>
      <c r="E51" s="53"/>
      <c r="F51" s="53"/>
      <c r="G51" s="53"/>
      <c r="H51" s="53"/>
      <c r="I51" s="53"/>
      <c r="J51" s="53"/>
    </row>
    <row r="52" spans="1:10" s="418" customFormat="1" ht="16.5">
      <c r="A52" s="53"/>
      <c r="B52" s="53"/>
      <c r="C52" s="53"/>
      <c r="D52" s="53"/>
      <c r="E52" s="53"/>
      <c r="F52" s="53"/>
      <c r="G52" s="53"/>
      <c r="H52" s="53"/>
      <c r="I52" s="53"/>
      <c r="J52" s="53"/>
    </row>
    <row r="53" spans="1:10" s="418" customFormat="1" ht="16.5">
      <c r="A53" s="53"/>
      <c r="B53" s="53"/>
      <c r="C53" s="53"/>
      <c r="D53" s="53"/>
      <c r="E53" s="53"/>
      <c r="F53" s="53"/>
      <c r="G53" s="53"/>
      <c r="H53" s="53"/>
      <c r="I53" s="53"/>
      <c r="J53" s="53"/>
    </row>
    <row r="54" spans="1:10" s="418" customFormat="1" ht="16.5">
      <c r="A54" s="53"/>
      <c r="B54" s="53"/>
      <c r="C54" s="53"/>
      <c r="D54" s="53"/>
      <c r="E54" s="53"/>
      <c r="F54" s="53"/>
      <c r="G54" s="53"/>
      <c r="H54" s="53"/>
      <c r="I54" s="53"/>
      <c r="J54" s="53"/>
    </row>
    <row r="55" spans="1:10" s="418" customFormat="1" ht="16.5">
      <c r="A55" s="53"/>
      <c r="B55" s="53"/>
      <c r="C55" s="53"/>
      <c r="D55" s="53"/>
      <c r="E55" s="53"/>
      <c r="F55" s="53"/>
      <c r="G55" s="53"/>
      <c r="H55" s="53"/>
      <c r="I55" s="53"/>
      <c r="J55" s="53"/>
    </row>
    <row r="56" spans="1:10" s="418" customFormat="1" ht="16.5">
      <c r="A56" s="53"/>
      <c r="B56" s="53"/>
      <c r="C56" s="53"/>
      <c r="D56" s="53"/>
      <c r="E56" s="53"/>
      <c r="F56" s="53"/>
      <c r="G56" s="53"/>
      <c r="H56" s="53"/>
      <c r="I56" s="53"/>
      <c r="J56" s="53"/>
    </row>
    <row r="57" spans="1:10" s="418" customFormat="1" ht="16.5">
      <c r="A57" s="53"/>
      <c r="B57" s="53"/>
      <c r="C57" s="53"/>
      <c r="D57" s="53"/>
      <c r="E57" s="53"/>
      <c r="F57" s="53"/>
      <c r="G57" s="53"/>
      <c r="H57" s="53"/>
      <c r="I57" s="53"/>
      <c r="J57" s="53"/>
    </row>
    <row r="58" spans="1:10" s="418" customFormat="1" ht="16.5">
      <c r="A58" s="53"/>
      <c r="B58" s="53"/>
      <c r="C58" s="53"/>
      <c r="D58" s="53"/>
      <c r="E58" s="53"/>
      <c r="F58" s="53"/>
      <c r="G58" s="53"/>
      <c r="H58" s="53"/>
      <c r="I58" s="53"/>
      <c r="J58" s="53"/>
    </row>
    <row r="59" spans="1:10" s="418" customFormat="1" ht="16.5">
      <c r="A59" s="53"/>
      <c r="B59" s="53"/>
      <c r="C59" s="53"/>
      <c r="D59" s="53"/>
      <c r="E59" s="53"/>
      <c r="F59" s="53"/>
      <c r="G59" s="53"/>
      <c r="H59" s="53"/>
      <c r="I59" s="53"/>
      <c r="J59" s="53"/>
    </row>
    <row r="60" spans="1:10" s="418" customFormat="1" ht="16.5">
      <c r="A60" s="53"/>
      <c r="B60" s="53"/>
      <c r="C60" s="53"/>
      <c r="D60" s="53"/>
      <c r="E60" s="53"/>
      <c r="F60" s="53"/>
      <c r="G60" s="53"/>
      <c r="H60" s="53"/>
      <c r="I60" s="53"/>
      <c r="J60" s="53"/>
    </row>
    <row r="61" spans="1:10" s="418" customFormat="1" ht="16.5">
      <c r="A61" s="53"/>
      <c r="B61" s="53"/>
      <c r="C61" s="53"/>
      <c r="D61" s="53"/>
      <c r="E61" s="53"/>
      <c r="F61" s="53"/>
      <c r="G61" s="53"/>
      <c r="H61" s="53"/>
      <c r="I61" s="53"/>
      <c r="J61" s="53"/>
    </row>
    <row r="62" spans="1:10" s="418" customFormat="1" ht="16.5">
      <c r="A62" s="53"/>
      <c r="B62" s="53"/>
      <c r="C62" s="53"/>
      <c r="D62" s="53"/>
      <c r="E62" s="53"/>
      <c r="F62" s="53"/>
      <c r="G62" s="53"/>
      <c r="H62" s="53"/>
      <c r="I62" s="53"/>
      <c r="J62" s="53"/>
    </row>
    <row r="63" spans="1:10" s="418" customFormat="1" ht="16.5">
      <c r="A63" s="53"/>
      <c r="B63" s="53"/>
      <c r="C63" s="53"/>
      <c r="D63" s="53"/>
      <c r="E63" s="53"/>
      <c r="F63" s="53"/>
      <c r="G63" s="53"/>
      <c r="H63" s="53"/>
      <c r="I63" s="53"/>
      <c r="J63" s="53"/>
    </row>
    <row r="64" spans="1:10" s="418" customFormat="1" ht="16.5">
      <c r="A64" s="53"/>
      <c r="B64" s="53"/>
      <c r="C64" s="53"/>
      <c r="D64" s="53"/>
      <c r="E64" s="53"/>
      <c r="F64" s="53"/>
      <c r="G64" s="53"/>
      <c r="H64" s="53"/>
      <c r="I64" s="53"/>
      <c r="J64" s="53"/>
    </row>
    <row r="65" spans="1:10" s="418" customFormat="1" ht="16.5">
      <c r="A65" s="53"/>
      <c r="B65" s="53"/>
      <c r="C65" s="53"/>
      <c r="D65" s="53"/>
      <c r="E65" s="53"/>
      <c r="F65" s="53"/>
      <c r="G65" s="53"/>
      <c r="H65" s="53"/>
      <c r="I65" s="53"/>
      <c r="J65" s="53"/>
    </row>
    <row r="66" spans="1:10" s="418" customFormat="1" ht="16.5">
      <c r="A66" s="53"/>
      <c r="B66" s="53"/>
      <c r="C66" s="53"/>
      <c r="D66" s="53"/>
      <c r="E66" s="53"/>
      <c r="F66" s="53"/>
      <c r="G66" s="53"/>
      <c r="H66" s="53"/>
      <c r="I66" s="53"/>
      <c r="J66" s="53"/>
    </row>
    <row r="67" spans="1:10" s="418" customFormat="1" ht="16.5">
      <c r="A67" s="53"/>
      <c r="B67" s="53"/>
      <c r="C67" s="53"/>
      <c r="D67" s="53"/>
      <c r="E67" s="53"/>
      <c r="F67" s="53"/>
      <c r="G67" s="53"/>
      <c r="H67" s="53"/>
      <c r="I67" s="53"/>
      <c r="J67" s="53"/>
    </row>
    <row r="68" spans="1:10" s="418" customFormat="1" ht="16.5">
      <c r="A68" s="53"/>
      <c r="B68" s="53"/>
      <c r="C68" s="53"/>
      <c r="D68" s="53"/>
      <c r="E68" s="53"/>
      <c r="F68" s="53"/>
      <c r="G68" s="53"/>
      <c r="H68" s="53"/>
      <c r="I68" s="53"/>
      <c r="J68" s="53"/>
    </row>
    <row r="69" spans="1:10" s="418" customFormat="1" ht="16.5">
      <c r="A69" s="53"/>
      <c r="B69" s="53"/>
      <c r="C69" s="53"/>
      <c r="D69" s="53"/>
      <c r="E69" s="53"/>
      <c r="F69" s="53"/>
      <c r="G69" s="53"/>
      <c r="H69" s="53"/>
      <c r="I69" s="53"/>
      <c r="J69" s="53"/>
    </row>
    <row r="70" spans="1:10" s="418" customFormat="1" ht="16.5">
      <c r="A70" s="53"/>
      <c r="B70" s="53"/>
      <c r="C70" s="53"/>
      <c r="D70" s="53"/>
      <c r="E70" s="53"/>
      <c r="F70" s="53"/>
      <c r="G70" s="53"/>
      <c r="H70" s="53"/>
      <c r="I70" s="53"/>
      <c r="J70" s="53"/>
    </row>
    <row r="71" spans="1:10" s="418" customFormat="1" ht="16.5">
      <c r="A71" s="53"/>
      <c r="B71" s="53"/>
      <c r="C71" s="53"/>
      <c r="D71" s="53"/>
      <c r="E71" s="53"/>
      <c r="F71" s="53"/>
      <c r="G71" s="53"/>
      <c r="H71" s="53"/>
      <c r="I71" s="53"/>
      <c r="J71" s="53"/>
    </row>
    <row r="72" spans="1:10" s="418" customFormat="1" ht="16.5">
      <c r="A72" s="53"/>
      <c r="B72" s="53"/>
      <c r="C72" s="53"/>
      <c r="D72" s="53"/>
      <c r="E72" s="53"/>
      <c r="F72" s="53"/>
      <c r="G72" s="53"/>
      <c r="H72" s="53"/>
      <c r="I72" s="53"/>
      <c r="J72" s="53"/>
    </row>
    <row r="73" spans="1:10" s="418" customFormat="1" ht="16.5">
      <c r="A73" s="53"/>
      <c r="B73" s="53"/>
      <c r="C73" s="53"/>
      <c r="D73" s="53"/>
      <c r="E73" s="53"/>
      <c r="F73" s="53"/>
      <c r="G73" s="53"/>
      <c r="H73" s="53"/>
      <c r="I73" s="53"/>
      <c r="J73" s="53"/>
    </row>
    <row r="74" spans="1:10" s="418" customFormat="1" ht="16.5">
      <c r="A74" s="53"/>
      <c r="B74" s="53"/>
      <c r="C74" s="53"/>
      <c r="D74" s="53"/>
      <c r="E74" s="53"/>
      <c r="F74" s="53"/>
      <c r="G74" s="53"/>
      <c r="H74" s="53"/>
      <c r="I74" s="53"/>
      <c r="J74" s="53"/>
    </row>
    <row r="75" spans="1:10" s="418" customFormat="1" ht="16.5"/>
    <row r="76" spans="1:10" s="418" customFormat="1" ht="16.5"/>
    <row r="77" spans="1:10" s="418" customFormat="1" ht="16.5"/>
    <row r="78" spans="1:10" s="418" customFormat="1" ht="16.5"/>
    <row r="79" spans="1:10" s="418" customFormat="1" ht="16.5"/>
    <row r="80" spans="1:10" s="418" customFormat="1" ht="16.5"/>
    <row r="81" s="418" customFormat="1" ht="16.5"/>
    <row r="82" s="418" customFormat="1" ht="16.5"/>
    <row r="83" s="418" customFormat="1" ht="16.5"/>
    <row r="84" s="418" customFormat="1" ht="16.5"/>
    <row r="85" s="418" customFormat="1" ht="16.5"/>
  </sheetData>
  <phoneticPr fontId="76" type="noConversion"/>
  <pageMargins left="0.70763888888888904" right="0.70763888888888904" top="0.74791666666666701" bottom="0.74791666666666701" header="0.31388888888888899" footer="0.31388888888888899"/>
  <pageSetup paperSize="9" orientation="portrait" blackAndWhite="1" horizontalDpi="1200" verticalDpi="12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view="pageBreakPreview" zoomScaleNormal="100" zoomScaleSheetLayoutView="100" workbookViewId="0">
      <selection activeCell="B10" sqref="B10"/>
    </sheetView>
  </sheetViews>
  <sheetFormatPr defaultColWidth="9" defaultRowHeight="15.75"/>
  <cols>
    <col min="1" max="1" width="19.625" customWidth="1"/>
    <col min="2" max="2" width="37" customWidth="1"/>
  </cols>
  <sheetData>
    <row r="1" spans="1:2">
      <c r="A1" s="54" t="s">
        <v>145</v>
      </c>
      <c r="B1" s="55">
        <f>基础信息!B6</f>
        <v>0</v>
      </c>
    </row>
    <row r="2" spans="1:2">
      <c r="A2" s="54" t="s">
        <v>147</v>
      </c>
      <c r="B2" s="55">
        <f>基础信息!B9</f>
        <v>0</v>
      </c>
    </row>
    <row r="3" spans="1:2">
      <c r="A3" s="97" t="s">
        <v>148</v>
      </c>
      <c r="B3" s="313" t="s">
        <v>61</v>
      </c>
    </row>
    <row r="4" spans="1:2">
      <c r="A4" s="439" t="s">
        <v>943</v>
      </c>
      <c r="B4" s="439" t="s">
        <v>689</v>
      </c>
    </row>
    <row r="5" spans="1:2">
      <c r="A5" s="440" t="s">
        <v>61</v>
      </c>
      <c r="B5" s="421">
        <f>'RP 037-1'!D10</f>
        <v>0</v>
      </c>
    </row>
    <row r="6" spans="1:2">
      <c r="A6" s="441" t="s">
        <v>1138</v>
      </c>
      <c r="B6" s="421">
        <f>'RP 037-2'!B11</f>
        <v>0</v>
      </c>
    </row>
    <row r="7" spans="1:2">
      <c r="A7" s="422" t="s">
        <v>907</v>
      </c>
      <c r="B7" s="423">
        <f>B6+B5</f>
        <v>0</v>
      </c>
    </row>
    <row r="8" spans="1:2">
      <c r="A8" s="225" t="s">
        <v>649</v>
      </c>
      <c r="B8" s="285">
        <f>'RP 006'!E63</f>
        <v>0</v>
      </c>
    </row>
    <row r="9" spans="1:2">
      <c r="A9" s="333"/>
      <c r="B9" s="226">
        <f>B7-B8</f>
        <v>0</v>
      </c>
    </row>
    <row r="10" spans="1:2">
      <c r="A10" s="311"/>
      <c r="B10" s="311" t="str">
        <f>IF(B9=0,"OK","NO")</f>
        <v>OK</v>
      </c>
    </row>
  </sheetData>
  <phoneticPr fontId="76" type="noConversion"/>
  <pageMargins left="0.75" right="0.75" top="1" bottom="1" header="0.51180555555555596" footer="0.51180555555555596"/>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4"/>
  <sheetViews>
    <sheetView view="pageBreakPreview" zoomScaleNormal="100" zoomScaleSheetLayoutView="100" workbookViewId="0">
      <selection activeCell="D13" sqref="D13"/>
    </sheetView>
  </sheetViews>
  <sheetFormatPr defaultColWidth="9" defaultRowHeight="20.100000000000001" customHeight="1"/>
  <cols>
    <col min="1" max="2" width="15.625" style="24" customWidth="1"/>
    <col min="3" max="3" width="19.625" style="24" customWidth="1"/>
    <col min="4" max="11" width="15.625" style="24" customWidth="1"/>
    <col min="12" max="16384" width="9" style="24"/>
  </cols>
  <sheetData>
    <row r="1" spans="1:11" ht="24.95" customHeight="1">
      <c r="A1" s="12" t="s">
        <v>145</v>
      </c>
      <c r="B1" s="13">
        <f>基础信息!B6</f>
        <v>0</v>
      </c>
      <c r="C1" s="128"/>
      <c r="D1" s="128"/>
      <c r="E1" s="369"/>
      <c r="F1" s="359"/>
      <c r="G1" s="359"/>
      <c r="H1" s="359"/>
      <c r="I1" s="359"/>
    </row>
    <row r="2" spans="1:11" ht="24.95" customHeight="1">
      <c r="A2" s="12" t="s">
        <v>147</v>
      </c>
      <c r="B2" s="13">
        <f>基础信息!B9</f>
        <v>0</v>
      </c>
      <c r="C2" s="128"/>
      <c r="D2" s="128"/>
      <c r="E2" s="128"/>
      <c r="F2" s="359"/>
      <c r="G2" s="359"/>
      <c r="H2" s="359"/>
      <c r="I2" s="359"/>
    </row>
    <row r="3" spans="1:11" s="359" customFormat="1" ht="24.95" customHeight="1">
      <c r="A3" s="74" t="s">
        <v>148</v>
      </c>
      <c r="B3" s="74" t="s">
        <v>1139</v>
      </c>
      <c r="C3" s="128"/>
      <c r="D3" s="128"/>
      <c r="E3" s="128"/>
    </row>
    <row r="4" spans="1:11" s="424" customFormat="1" ht="20.100000000000001" customHeight="1">
      <c r="A4" s="15" t="s">
        <v>1140</v>
      </c>
      <c r="B4" s="425"/>
      <c r="C4" s="425"/>
      <c r="D4" s="425"/>
      <c r="E4" s="15"/>
      <c r="F4" s="7"/>
      <c r="G4" s="7"/>
      <c r="H4" s="426"/>
      <c r="I4" s="426"/>
    </row>
    <row r="5" spans="1:11" s="368" customFormat="1" ht="20.100000000000001" customHeight="1">
      <c r="A5" s="1325" t="s">
        <v>903</v>
      </c>
      <c r="B5" s="1324" t="s">
        <v>944</v>
      </c>
      <c r="C5" s="1324"/>
      <c r="D5" s="1324"/>
      <c r="E5" s="15"/>
      <c r="F5" s="7"/>
      <c r="G5" s="7"/>
      <c r="H5" s="426"/>
      <c r="I5" s="426"/>
    </row>
    <row r="6" spans="1:11" s="368" customFormat="1" ht="20.100000000000001" customHeight="1">
      <c r="A6" s="1325"/>
      <c r="B6" s="427" t="s">
        <v>915</v>
      </c>
      <c r="C6" s="427" t="s">
        <v>916</v>
      </c>
      <c r="D6" s="427" t="s">
        <v>1141</v>
      </c>
      <c r="E6" s="15"/>
      <c r="F6" s="7"/>
      <c r="G6" s="7"/>
      <c r="H6" s="426"/>
      <c r="I6" s="426"/>
    </row>
    <row r="7" spans="1:11" s="368" customFormat="1" ht="20.100000000000001" customHeight="1">
      <c r="A7" s="422"/>
      <c r="B7" s="423"/>
      <c r="C7" s="423"/>
      <c r="D7" s="429">
        <f>B7-C7</f>
        <v>0</v>
      </c>
      <c r="E7" s="9"/>
      <c r="F7" s="9"/>
      <c r="G7" s="9"/>
      <c r="H7" s="430"/>
      <c r="I7" s="430"/>
    </row>
    <row r="8" spans="1:11" s="368" customFormat="1" ht="20.100000000000001" customHeight="1">
      <c r="A8" s="422"/>
      <c r="B8" s="423"/>
      <c r="C8" s="423"/>
      <c r="D8" s="429">
        <f t="shared" ref="D8:D9" si="0">B8-C8</f>
        <v>0</v>
      </c>
      <c r="E8" s="9"/>
      <c r="F8" s="9"/>
      <c r="G8" s="9"/>
      <c r="H8" s="430"/>
      <c r="I8" s="430"/>
    </row>
    <row r="9" spans="1:11" s="368" customFormat="1" ht="20.100000000000001" customHeight="1">
      <c r="A9" s="422"/>
      <c r="B9" s="423"/>
      <c r="C9" s="423"/>
      <c r="D9" s="429">
        <f t="shared" si="0"/>
        <v>0</v>
      </c>
      <c r="E9" s="9"/>
      <c r="F9" s="9"/>
      <c r="G9" s="9"/>
      <c r="H9" s="430"/>
      <c r="I9" s="430"/>
    </row>
    <row r="10" spans="1:11" s="368" customFormat="1" ht="20.100000000000001" customHeight="1">
      <c r="A10" s="422" t="s">
        <v>907</v>
      </c>
      <c r="B10" s="431">
        <f>SUM(B7:B9)</f>
        <v>0</v>
      </c>
      <c r="C10" s="431">
        <f t="shared" ref="C10:D10" si="1">SUM(C7:C9)</f>
        <v>0</v>
      </c>
      <c r="D10" s="431">
        <f t="shared" si="1"/>
        <v>0</v>
      </c>
      <c r="E10" s="9"/>
      <c r="F10" s="9"/>
      <c r="G10" s="9"/>
      <c r="H10" s="430"/>
      <c r="I10" s="430"/>
    </row>
    <row r="11" spans="1:11" s="368" customFormat="1" ht="20.100000000000001" customHeight="1">
      <c r="A11" s="1173" t="s">
        <v>2466</v>
      </c>
      <c r="B11" s="370"/>
      <c r="C11" s="139"/>
      <c r="D11" s="285">
        <f>'RP 037'!B5</f>
        <v>0</v>
      </c>
      <c r="E11" s="9"/>
      <c r="F11" s="9"/>
      <c r="G11" s="9"/>
      <c r="H11" s="223"/>
      <c r="I11" s="223"/>
      <c r="J11" s="223"/>
      <c r="K11" s="223"/>
    </row>
    <row r="12" spans="1:11" s="368" customFormat="1" ht="20.100000000000001" customHeight="1">
      <c r="A12" s="333"/>
      <c r="B12" s="370"/>
      <c r="C12" s="139"/>
      <c r="D12" s="226">
        <f>D10-D11</f>
        <v>0</v>
      </c>
      <c r="E12" s="9"/>
      <c r="F12" s="9"/>
      <c r="G12" s="9"/>
      <c r="H12" s="223"/>
      <c r="I12" s="223"/>
      <c r="J12" s="223"/>
      <c r="K12" s="223"/>
    </row>
    <row r="13" spans="1:11" s="368" customFormat="1" ht="20.100000000000001" customHeight="1">
      <c r="A13" s="227"/>
      <c r="B13" s="227"/>
      <c r="C13" s="381"/>
      <c r="D13" s="311" t="str">
        <f>IF(D12=0,"OK","NO")</f>
        <v>OK</v>
      </c>
      <c r="E13" s="9"/>
      <c r="F13" s="9"/>
      <c r="G13" s="9"/>
      <c r="H13" s="223"/>
      <c r="I13" s="223"/>
      <c r="J13" s="223"/>
      <c r="K13" s="223"/>
    </row>
    <row r="14" spans="1:11" s="368" customFormat="1" ht="20.100000000000001" customHeight="1">
      <c r="A14" s="432"/>
      <c r="B14" s="433"/>
      <c r="C14" s="433"/>
      <c r="D14" s="433"/>
      <c r="E14" s="433"/>
      <c r="F14" s="433"/>
      <c r="G14" s="433"/>
      <c r="H14" s="430"/>
      <c r="I14" s="430"/>
    </row>
    <row r="15" spans="1:11" s="368" customFormat="1" ht="20.100000000000001" customHeight="1">
      <c r="A15" s="432"/>
      <c r="B15" s="433"/>
      <c r="C15" s="433"/>
      <c r="D15" s="433"/>
      <c r="E15" s="433"/>
      <c r="F15" s="433"/>
      <c r="G15" s="433"/>
      <c r="H15" s="430"/>
      <c r="I15" s="430"/>
    </row>
    <row r="16" spans="1:11" s="368" customFormat="1" ht="20.100000000000001" customHeight="1">
      <c r="A16" s="434" t="s">
        <v>1142</v>
      </c>
      <c r="B16" s="430"/>
      <c r="C16" s="430"/>
      <c r="D16" s="430"/>
      <c r="E16" s="430"/>
      <c r="F16" s="430"/>
      <c r="G16" s="430"/>
      <c r="H16" s="430"/>
      <c r="I16" s="430"/>
    </row>
    <row r="17" spans="1:9" s="368" customFormat="1" ht="20.100000000000001" customHeight="1">
      <c r="A17" s="428" t="s">
        <v>1143</v>
      </c>
      <c r="B17" s="428" t="s">
        <v>1144</v>
      </c>
      <c r="C17" s="427" t="s">
        <v>1145</v>
      </c>
      <c r="D17" s="427" t="s">
        <v>1146</v>
      </c>
      <c r="E17" s="427" t="s">
        <v>1147</v>
      </c>
      <c r="F17" s="427" t="s">
        <v>1148</v>
      </c>
      <c r="G17" s="427" t="s">
        <v>1149</v>
      </c>
      <c r="H17" s="427" t="s">
        <v>1150</v>
      </c>
      <c r="I17" s="438" t="s">
        <v>762</v>
      </c>
    </row>
    <row r="18" spans="1:9" s="368" customFormat="1" ht="20.100000000000001" customHeight="1">
      <c r="A18" s="435"/>
      <c r="B18" s="436"/>
      <c r="C18" s="436"/>
      <c r="D18" s="436"/>
      <c r="E18" s="436"/>
      <c r="F18" s="436"/>
      <c r="G18" s="436"/>
      <c r="H18" s="436"/>
      <c r="I18" s="436"/>
    </row>
    <row r="19" spans="1:9" s="368" customFormat="1" ht="20.100000000000001" customHeight="1">
      <c r="A19" s="420"/>
      <c r="B19" s="421"/>
      <c r="C19" s="421"/>
      <c r="D19" s="421"/>
      <c r="E19" s="421"/>
      <c r="F19" s="421"/>
      <c r="G19" s="421"/>
      <c r="H19" s="421"/>
      <c r="I19" s="421"/>
    </row>
    <row r="20" spans="1:9" s="368" customFormat="1" ht="20.100000000000001" customHeight="1">
      <c r="A20" s="420" t="s">
        <v>937</v>
      </c>
      <c r="B20" s="431">
        <f>SUM(B18:B19)</f>
        <v>0</v>
      </c>
      <c r="C20" s="431">
        <f t="shared" ref="C20:I20" si="2">SUM(C18:C19)</f>
        <v>0</v>
      </c>
      <c r="D20" s="431">
        <f t="shared" si="2"/>
        <v>0</v>
      </c>
      <c r="E20" s="431">
        <f t="shared" si="2"/>
        <v>0</v>
      </c>
      <c r="F20" s="431">
        <f t="shared" si="2"/>
        <v>0</v>
      </c>
      <c r="G20" s="431">
        <f t="shared" si="2"/>
        <v>0</v>
      </c>
      <c r="H20" s="431">
        <f t="shared" si="2"/>
        <v>0</v>
      </c>
      <c r="I20" s="431">
        <f t="shared" si="2"/>
        <v>0</v>
      </c>
    </row>
    <row r="21" spans="1:9" s="368" customFormat="1" ht="20.100000000000001" customHeight="1">
      <c r="A21" s="28" t="s">
        <v>1151</v>
      </c>
      <c r="B21" s="430"/>
      <c r="C21" s="430"/>
      <c r="D21" s="430"/>
      <c r="E21" s="430"/>
      <c r="F21" s="430"/>
      <c r="G21" s="430"/>
      <c r="H21" s="430"/>
      <c r="I21" s="430"/>
    </row>
    <row r="22" spans="1:9" s="368" customFormat="1" ht="30.75" customHeight="1">
      <c r="A22" s="428" t="s">
        <v>1143</v>
      </c>
      <c r="B22" s="427" t="s">
        <v>1152</v>
      </c>
      <c r="C22" s="427" t="s">
        <v>1153</v>
      </c>
      <c r="D22" s="427" t="s">
        <v>1154</v>
      </c>
      <c r="E22" s="427" t="s">
        <v>1155</v>
      </c>
      <c r="F22" s="430"/>
      <c r="G22" s="430"/>
      <c r="H22" s="430"/>
      <c r="I22" s="430"/>
    </row>
    <row r="23" spans="1:9" s="368" customFormat="1" ht="20.100000000000001" customHeight="1">
      <c r="A23" s="420"/>
      <c r="B23" s="423"/>
      <c r="C23" s="423"/>
      <c r="D23" s="423"/>
      <c r="E23" s="423"/>
      <c r="F23" s="430"/>
      <c r="G23" s="430"/>
      <c r="H23" s="430"/>
      <c r="I23" s="430"/>
    </row>
    <row r="24" spans="1:9" s="368" customFormat="1" ht="20.100000000000001" customHeight="1">
      <c r="A24" s="420"/>
      <c r="B24" s="421"/>
      <c r="C24" s="421"/>
      <c r="D24" s="421"/>
      <c r="E24" s="421"/>
      <c r="F24" s="430"/>
      <c r="G24" s="430"/>
      <c r="H24" s="430"/>
      <c r="I24" s="430"/>
    </row>
    <row r="25" spans="1:9" s="368" customFormat="1" ht="20.100000000000001" customHeight="1">
      <c r="A25" s="420" t="s">
        <v>937</v>
      </c>
      <c r="B25" s="431">
        <f>SUM(B23:B24)</f>
        <v>0</v>
      </c>
      <c r="C25" s="437">
        <f t="shared" ref="C25:E25" si="3">SUM(C23:C24)</f>
        <v>0</v>
      </c>
      <c r="D25" s="431">
        <f t="shared" si="3"/>
        <v>0</v>
      </c>
      <c r="E25" s="431">
        <f t="shared" si="3"/>
        <v>0</v>
      </c>
      <c r="F25" s="430"/>
      <c r="G25" s="430"/>
      <c r="H25" s="430"/>
      <c r="I25" s="430"/>
    </row>
    <row r="26" spans="1:9" s="368" customFormat="1" ht="20.100000000000001" customHeight="1">
      <c r="A26" s="179" t="s">
        <v>1156</v>
      </c>
      <c r="B26" s="430"/>
      <c r="C26" s="430"/>
      <c r="D26" s="430"/>
      <c r="E26" s="430"/>
      <c r="F26" s="430"/>
      <c r="G26" s="430"/>
      <c r="H26" s="430"/>
      <c r="I26" s="430"/>
    </row>
    <row r="27" spans="1:9" s="368" customFormat="1" ht="20.100000000000001" customHeight="1">
      <c r="A27" s="28" t="s">
        <v>1157</v>
      </c>
      <c r="B27" s="430"/>
      <c r="C27" s="430"/>
      <c r="D27" s="430"/>
      <c r="E27" s="430"/>
      <c r="F27" s="430"/>
      <c r="G27" s="430"/>
      <c r="H27" s="430"/>
      <c r="I27" s="430"/>
    </row>
    <row r="28" spans="1:9" s="368" customFormat="1" ht="20.100000000000001" customHeight="1">
      <c r="A28" s="179" t="s">
        <v>1158</v>
      </c>
      <c r="B28" s="430"/>
      <c r="C28" s="430"/>
      <c r="D28" s="430"/>
      <c r="E28" s="430"/>
      <c r="F28" s="430"/>
      <c r="G28" s="430"/>
      <c r="H28" s="430"/>
      <c r="I28" s="430"/>
    </row>
    <row r="29" spans="1:9" s="368" customFormat="1" ht="20.100000000000001" customHeight="1">
      <c r="A29" s="361"/>
      <c r="B29" s="430"/>
      <c r="C29" s="430"/>
      <c r="D29" s="430"/>
      <c r="E29" s="430"/>
      <c r="F29" s="430"/>
      <c r="G29" s="430"/>
      <c r="H29" s="430"/>
      <c r="I29" s="430"/>
    </row>
    <row r="30" spans="1:9" s="368" customFormat="1" ht="20.100000000000001" customHeight="1">
      <c r="A30" s="361"/>
      <c r="B30" s="430"/>
      <c r="C30" s="430"/>
      <c r="D30" s="430"/>
      <c r="E30" s="430"/>
      <c r="F30" s="430"/>
      <c r="G30" s="430"/>
      <c r="H30" s="430"/>
      <c r="I30" s="430"/>
    </row>
    <row r="31" spans="1:9" s="368" customFormat="1" ht="20.100000000000001" customHeight="1">
      <c r="A31" s="127" t="s">
        <v>1159</v>
      </c>
      <c r="B31" s="430"/>
      <c r="C31" s="430"/>
      <c r="D31" s="430"/>
      <c r="E31" s="430"/>
      <c r="F31" s="430"/>
      <c r="G31" s="430"/>
      <c r="H31" s="430"/>
      <c r="I31" s="430"/>
    </row>
    <row r="32" spans="1:9" s="368" customFormat="1" ht="20.100000000000001" customHeight="1">
      <c r="A32" s="428" t="s">
        <v>943</v>
      </c>
      <c r="B32" s="428" t="s">
        <v>1160</v>
      </c>
      <c r="C32" s="428" t="s">
        <v>1161</v>
      </c>
      <c r="D32" s="430"/>
      <c r="E32" s="430"/>
      <c r="F32" s="430"/>
      <c r="G32" s="430"/>
      <c r="H32" s="430"/>
      <c r="I32" s="430"/>
    </row>
    <row r="33" spans="1:9" s="368" customFormat="1" ht="20.100000000000001" customHeight="1">
      <c r="A33" s="420"/>
      <c r="B33" s="420"/>
      <c r="C33" s="420"/>
      <c r="D33" s="430"/>
      <c r="E33" s="430"/>
      <c r="F33" s="430"/>
      <c r="G33" s="430"/>
      <c r="H33" s="430"/>
      <c r="I33" s="430"/>
    </row>
    <row r="34" spans="1:9" s="368" customFormat="1" ht="20.100000000000001" customHeight="1">
      <c r="A34" s="420"/>
      <c r="B34" s="420"/>
      <c r="C34" s="420"/>
      <c r="D34" s="430"/>
      <c r="E34" s="430"/>
      <c r="F34" s="430"/>
      <c r="G34" s="430"/>
      <c r="H34" s="430"/>
      <c r="I34" s="430"/>
    </row>
    <row r="35" spans="1:9" s="368" customFormat="1" ht="20.100000000000001" customHeight="1">
      <c r="A35" s="420" t="s">
        <v>937</v>
      </c>
      <c r="B35" s="431">
        <f>SUM(B33:B34)</f>
        <v>0</v>
      </c>
      <c r="C35" s="420"/>
      <c r="D35" s="430"/>
      <c r="E35" s="430"/>
      <c r="F35" s="430"/>
      <c r="G35" s="430"/>
      <c r="H35" s="430"/>
      <c r="I35" s="430"/>
    </row>
    <row r="36" spans="1:9" s="368" customFormat="1" ht="20.100000000000001" customHeight="1">
      <c r="A36" s="179" t="s">
        <v>1162</v>
      </c>
      <c r="B36" s="430"/>
      <c r="C36" s="430"/>
      <c r="D36" s="430"/>
      <c r="E36" s="430"/>
      <c r="F36" s="430"/>
      <c r="G36" s="430"/>
      <c r="H36" s="430"/>
      <c r="I36" s="430"/>
    </row>
    <row r="37" spans="1:9" s="397" customFormat="1" ht="16.5"/>
    <row r="38" spans="1:9" s="397" customFormat="1" ht="16.5"/>
    <row r="39" spans="1:9" s="397" customFormat="1" ht="16.5"/>
    <row r="40" spans="1:9" s="397" customFormat="1" ht="16.5"/>
    <row r="41" spans="1:9" s="397" customFormat="1" ht="16.5"/>
    <row r="42" spans="1:9" s="397" customFormat="1" ht="16.5"/>
    <row r="43" spans="1:9" s="397" customFormat="1" ht="16.5"/>
    <row r="44" spans="1:9" s="397" customFormat="1" ht="16.5"/>
    <row r="45" spans="1:9" s="397" customFormat="1" ht="16.5"/>
    <row r="46" spans="1:9" s="397" customFormat="1" ht="16.5"/>
    <row r="47" spans="1:9" s="397" customFormat="1" ht="16.5"/>
    <row r="48" spans="1:9" s="397" customFormat="1" ht="16.5"/>
    <row r="49" s="397" customFormat="1" ht="16.5"/>
    <row r="50" s="397" customFormat="1" ht="16.5"/>
    <row r="51" s="397" customFormat="1" ht="16.5"/>
    <row r="52" s="397" customFormat="1" ht="16.5"/>
    <row r="53" s="397" customFormat="1" ht="16.5"/>
    <row r="54" s="397" customFormat="1" ht="16.5"/>
    <row r="55" s="397" customFormat="1" ht="16.5"/>
    <row r="56" s="397" customFormat="1" ht="16.5"/>
    <row r="57" s="397" customFormat="1" ht="16.5"/>
    <row r="58" s="397" customFormat="1" ht="16.5"/>
    <row r="59" s="397" customFormat="1" ht="16.5"/>
    <row r="60" s="397" customFormat="1" ht="16.5"/>
    <row r="61" s="397" customFormat="1" ht="16.5"/>
    <row r="62" s="397" customFormat="1" ht="16.5"/>
    <row r="63" s="397" customFormat="1" ht="16.5"/>
    <row r="64" s="397" customFormat="1" ht="16.5"/>
    <row r="65" s="397" customFormat="1" ht="16.5"/>
    <row r="66" s="397" customFormat="1" ht="16.5"/>
    <row r="67" s="397" customFormat="1" ht="16.5"/>
    <row r="68" s="397" customFormat="1" ht="16.5"/>
    <row r="69" s="397" customFormat="1" ht="16.5"/>
    <row r="70" s="397" customFormat="1" ht="16.5"/>
    <row r="71" s="397" customFormat="1" ht="16.5"/>
    <row r="72" s="397" customFormat="1" ht="16.5"/>
    <row r="73" s="397" customFormat="1" ht="16.5"/>
    <row r="74" s="397" customFormat="1" ht="16.5"/>
    <row r="75" s="397" customFormat="1" ht="16.5"/>
    <row r="76" s="397" customFormat="1" ht="16.5"/>
    <row r="77" s="397" customFormat="1" ht="16.5"/>
    <row r="78" s="397" customFormat="1" ht="16.5"/>
    <row r="79" s="397" customFormat="1" ht="16.5"/>
    <row r="80" s="397" customFormat="1" ht="16.5"/>
    <row r="81" s="397" customFormat="1" ht="16.5"/>
    <row r="82" s="397" customFormat="1" ht="16.5"/>
    <row r="83" s="397" customFormat="1" ht="16.5"/>
    <row r="84" s="397" customFormat="1" ht="16.5"/>
    <row r="85" s="397" customFormat="1" ht="16.5"/>
    <row r="86" s="397" customFormat="1" ht="16.5"/>
    <row r="87" s="397" customFormat="1" ht="16.5"/>
    <row r="88" s="397" customFormat="1" ht="16.5"/>
    <row r="89" s="397" customFormat="1" ht="16.5"/>
    <row r="90" s="397" customFormat="1" ht="16.5"/>
    <row r="91" s="397" customFormat="1" ht="16.5"/>
    <row r="92" s="397" customFormat="1" ht="20.100000000000001" customHeight="1"/>
    <row r="93" s="397" customFormat="1" ht="20.100000000000001" customHeight="1"/>
    <row r="94" s="397" customFormat="1" ht="20.100000000000001" customHeight="1"/>
  </sheetData>
  <mergeCells count="2">
    <mergeCell ref="B5:D5"/>
    <mergeCell ref="A5:A6"/>
  </mergeCells>
  <phoneticPr fontId="76" type="noConversion"/>
  <pageMargins left="0.70763888888888904" right="0.70763888888888904" top="0.74791666666666701" bottom="0.74791666666666701" header="0.31388888888888899" footer="0.31388888888888899"/>
  <pageSetup paperSize="9" scale="85" orientation="landscape" blackAndWhite="1" horizontalDpi="1200" verticalDpi="1200" r:id="rId1"/>
  <rowBreaks count="1" manualBreakCount="1">
    <brk id="15" max="8"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4"/>
  <sheetViews>
    <sheetView view="pageBreakPreview" zoomScaleNormal="100" zoomScaleSheetLayoutView="100" workbookViewId="0">
      <selection activeCell="B15" sqref="B15"/>
    </sheetView>
  </sheetViews>
  <sheetFormatPr defaultColWidth="9" defaultRowHeight="20.100000000000001" customHeight="1"/>
  <cols>
    <col min="1" max="1" width="21.5" style="53" customWidth="1"/>
    <col min="2" max="2" width="15.625" style="53" customWidth="1"/>
    <col min="3" max="3" width="19.625" style="53" customWidth="1"/>
    <col min="4" max="11" width="15.625" style="53" customWidth="1"/>
    <col min="12" max="16384" width="9" style="53"/>
  </cols>
  <sheetData>
    <row r="1" spans="1:10" ht="15.75">
      <c r="A1" s="54" t="s">
        <v>145</v>
      </c>
      <c r="B1" s="55">
        <f>基础信息!B6</f>
        <v>0</v>
      </c>
      <c r="E1" s="96"/>
    </row>
    <row r="2" spans="1:10" ht="15.75">
      <c r="A2" s="54" t="s">
        <v>147</v>
      </c>
      <c r="B2" s="55">
        <f>基础信息!B9</f>
        <v>0</v>
      </c>
    </row>
    <row r="3" spans="1:10" s="95" customFormat="1" ht="15.75">
      <c r="A3" s="97" t="s">
        <v>148</v>
      </c>
      <c r="B3" s="97" t="s">
        <v>1163</v>
      </c>
      <c r="C3" s="53"/>
      <c r="D3" s="53"/>
      <c r="E3" s="53"/>
      <c r="F3" s="53"/>
      <c r="G3" s="53"/>
      <c r="H3" s="53"/>
      <c r="I3" s="53"/>
    </row>
    <row r="4" spans="1:10" s="354" customFormat="1" ht="16.5">
      <c r="A4" s="419" t="s">
        <v>1164</v>
      </c>
      <c r="B4" s="419"/>
      <c r="C4" s="53"/>
    </row>
    <row r="5" spans="1:10" s="354" customFormat="1" ht="16.5">
      <c r="A5" s="420" t="s">
        <v>1165</v>
      </c>
      <c r="B5" s="420" t="s">
        <v>1166</v>
      </c>
      <c r="C5" s="53"/>
    </row>
    <row r="6" spans="1:10" s="354" customFormat="1" ht="16.5">
      <c r="A6" s="420" t="s">
        <v>1167</v>
      </c>
      <c r="B6" s="421"/>
      <c r="C6" s="53"/>
    </row>
    <row r="7" spans="1:10" s="354" customFormat="1" ht="16.5">
      <c r="A7" s="422" t="s">
        <v>1168</v>
      </c>
      <c r="B7" s="421"/>
      <c r="C7" s="53"/>
    </row>
    <row r="8" spans="1:10" s="354" customFormat="1" ht="16.5">
      <c r="A8" s="422" t="s">
        <v>1169</v>
      </c>
      <c r="B8" s="421"/>
      <c r="C8" s="53"/>
    </row>
    <row r="9" spans="1:10" s="354" customFormat="1" ht="16.5">
      <c r="A9" s="422"/>
      <c r="B9" s="423">
        <f>SUM(B6:B8)</f>
        <v>0</v>
      </c>
      <c r="C9" s="53"/>
    </row>
    <row r="10" spans="1:10" s="354" customFormat="1" ht="20.25" customHeight="1">
      <c r="A10" s="422" t="s">
        <v>1170</v>
      </c>
      <c r="B10" s="423"/>
      <c r="C10" s="53"/>
    </row>
    <row r="11" spans="1:10" s="354" customFormat="1" ht="20.25" customHeight="1">
      <c r="A11" s="422" t="s">
        <v>907</v>
      </c>
      <c r="B11" s="429">
        <f>B9-B10</f>
        <v>0</v>
      </c>
      <c r="C11" s="53"/>
    </row>
    <row r="12" spans="1:10" s="354" customFormat="1" ht="16.5">
      <c r="A12" s="1173" t="s">
        <v>2466</v>
      </c>
      <c r="B12" s="285">
        <f>'RP 037'!B6</f>
        <v>0</v>
      </c>
    </row>
    <row r="13" spans="1:10" s="354" customFormat="1" ht="16.5">
      <c r="A13" s="333"/>
      <c r="B13" s="226">
        <f>B11-B12</f>
        <v>0</v>
      </c>
    </row>
    <row r="14" spans="1:10" s="354" customFormat="1" ht="16.5">
      <c r="A14" s="311"/>
      <c r="B14" s="311" t="str">
        <f>IF(B13=0,"OK","NO")</f>
        <v>OK</v>
      </c>
      <c r="E14" s="105"/>
      <c r="F14" s="105"/>
      <c r="G14" s="105"/>
      <c r="H14" s="105"/>
      <c r="I14" s="105"/>
      <c r="J14" s="105"/>
    </row>
    <row r="15" spans="1:10" s="354" customFormat="1" ht="16.5">
      <c r="A15" s="105"/>
      <c r="B15" s="105"/>
      <c r="C15" s="105"/>
      <c r="D15" s="105"/>
      <c r="E15" s="105"/>
      <c r="F15" s="105"/>
      <c r="G15" s="105"/>
      <c r="H15" s="105"/>
      <c r="I15" s="105"/>
      <c r="J15" s="105"/>
    </row>
    <row r="16" spans="1:10" s="354" customFormat="1" ht="16.5">
      <c r="A16" s="53"/>
      <c r="B16" s="53"/>
      <c r="C16" s="53"/>
      <c r="D16" s="53"/>
      <c r="E16" s="53"/>
      <c r="F16" s="53"/>
      <c r="G16" s="53"/>
      <c r="H16" s="53"/>
      <c r="I16" s="53"/>
      <c r="J16" s="53"/>
    </row>
    <row r="17" spans="1:10" s="354" customFormat="1" ht="16.5">
      <c r="A17" s="53"/>
      <c r="B17" s="53"/>
      <c r="C17" s="53"/>
      <c r="D17" s="53"/>
      <c r="E17" s="53"/>
      <c r="F17" s="53"/>
      <c r="G17" s="53"/>
      <c r="H17" s="53"/>
      <c r="I17" s="53"/>
      <c r="J17" s="53"/>
    </row>
    <row r="18" spans="1:10" s="354" customFormat="1" ht="16.5">
      <c r="A18" s="53"/>
      <c r="B18" s="53"/>
      <c r="C18" s="53"/>
      <c r="D18" s="53"/>
      <c r="E18" s="53"/>
      <c r="F18" s="53"/>
      <c r="G18" s="53"/>
      <c r="H18" s="53"/>
      <c r="I18" s="53"/>
      <c r="J18" s="53"/>
    </row>
    <row r="19" spans="1:10" s="354" customFormat="1" ht="16.5">
      <c r="A19" s="53"/>
      <c r="B19" s="53"/>
      <c r="C19" s="53"/>
      <c r="D19" s="53"/>
      <c r="E19" s="53"/>
      <c r="F19" s="53"/>
      <c r="G19" s="53"/>
      <c r="H19" s="53"/>
      <c r="I19" s="53"/>
      <c r="J19" s="53"/>
    </row>
    <row r="20" spans="1:10" s="354" customFormat="1" ht="16.5">
      <c r="A20" s="53"/>
      <c r="B20" s="53"/>
      <c r="C20" s="53"/>
      <c r="D20" s="53"/>
      <c r="E20" s="53"/>
      <c r="F20" s="53"/>
      <c r="G20" s="53"/>
      <c r="H20" s="53"/>
      <c r="I20" s="53"/>
      <c r="J20" s="53"/>
    </row>
    <row r="21" spans="1:10" s="354" customFormat="1" ht="16.5">
      <c r="A21" s="53"/>
      <c r="B21" s="53"/>
      <c r="C21" s="53"/>
      <c r="D21" s="53"/>
      <c r="E21" s="53"/>
      <c r="F21" s="53"/>
      <c r="G21" s="53"/>
      <c r="H21" s="53"/>
      <c r="I21" s="53"/>
      <c r="J21" s="53"/>
    </row>
    <row r="22" spans="1:10" s="354" customFormat="1" ht="16.5">
      <c r="A22" s="53"/>
      <c r="B22" s="53"/>
      <c r="C22" s="53"/>
      <c r="D22" s="53"/>
      <c r="E22" s="53"/>
      <c r="F22" s="53"/>
      <c r="G22" s="53"/>
      <c r="H22" s="53"/>
      <c r="I22" s="53"/>
      <c r="J22" s="53"/>
    </row>
    <row r="23" spans="1:10" s="354" customFormat="1" ht="16.5">
      <c r="A23" s="53"/>
      <c r="B23" s="53"/>
      <c r="C23" s="53"/>
      <c r="D23" s="53"/>
      <c r="E23" s="53"/>
      <c r="F23" s="53"/>
      <c r="G23" s="53"/>
      <c r="H23" s="53"/>
      <c r="I23" s="53"/>
      <c r="J23" s="53"/>
    </row>
    <row r="24" spans="1:10" s="354" customFormat="1" ht="16.5">
      <c r="A24" s="53"/>
      <c r="B24" s="53"/>
      <c r="C24" s="53"/>
      <c r="D24" s="53"/>
      <c r="E24" s="53"/>
      <c r="F24" s="53"/>
      <c r="G24" s="53"/>
      <c r="H24" s="53"/>
      <c r="I24" s="53"/>
      <c r="J24" s="53"/>
    </row>
    <row r="25" spans="1:10" s="354" customFormat="1" ht="16.5">
      <c r="A25" s="53"/>
      <c r="B25" s="53"/>
      <c r="C25" s="53"/>
      <c r="D25" s="53"/>
      <c r="E25" s="53"/>
      <c r="F25" s="53"/>
      <c r="G25" s="53"/>
      <c r="H25" s="53"/>
      <c r="I25" s="53"/>
      <c r="J25" s="53"/>
    </row>
    <row r="26" spans="1:10" s="354" customFormat="1" ht="16.5">
      <c r="A26" s="53"/>
      <c r="B26" s="53"/>
      <c r="C26" s="53"/>
      <c r="D26" s="53"/>
      <c r="E26" s="53"/>
      <c r="F26" s="53"/>
      <c r="G26" s="53"/>
      <c r="H26" s="53"/>
      <c r="I26" s="53"/>
      <c r="J26" s="53"/>
    </row>
    <row r="27" spans="1:10" s="354" customFormat="1" ht="16.5">
      <c r="A27" s="53"/>
      <c r="B27" s="53"/>
      <c r="C27" s="53"/>
      <c r="D27" s="53"/>
      <c r="E27" s="53"/>
      <c r="F27" s="53"/>
      <c r="G27" s="53"/>
      <c r="H27" s="53"/>
      <c r="I27" s="53"/>
      <c r="J27" s="53"/>
    </row>
    <row r="28" spans="1:10" s="354" customFormat="1" ht="16.5">
      <c r="A28" s="53"/>
      <c r="B28" s="53"/>
      <c r="C28" s="53"/>
      <c r="D28" s="53"/>
      <c r="E28" s="53"/>
      <c r="F28" s="53"/>
      <c r="G28" s="53"/>
      <c r="H28" s="53"/>
      <c r="I28" s="53"/>
      <c r="J28" s="53"/>
    </row>
    <row r="29" spans="1:10" s="354" customFormat="1" ht="16.5">
      <c r="A29" s="53"/>
      <c r="B29" s="53"/>
      <c r="C29" s="53"/>
      <c r="D29" s="53"/>
      <c r="E29" s="53"/>
      <c r="F29" s="53"/>
      <c r="G29" s="53"/>
      <c r="H29" s="53"/>
      <c r="I29" s="53"/>
      <c r="J29" s="53"/>
    </row>
    <row r="30" spans="1:10" s="354" customFormat="1" ht="16.5">
      <c r="A30" s="53"/>
      <c r="B30" s="53"/>
      <c r="C30" s="53"/>
      <c r="D30" s="53"/>
      <c r="E30" s="53"/>
      <c r="F30" s="53"/>
      <c r="G30" s="53"/>
      <c r="H30" s="53"/>
      <c r="I30" s="53"/>
      <c r="J30" s="53"/>
    </row>
    <row r="31" spans="1:10" s="354" customFormat="1" ht="16.5">
      <c r="A31" s="53"/>
      <c r="B31" s="53"/>
      <c r="C31" s="53"/>
      <c r="D31" s="53"/>
      <c r="E31" s="53"/>
      <c r="F31" s="53"/>
      <c r="G31" s="53"/>
      <c r="H31" s="53"/>
      <c r="I31" s="53"/>
      <c r="J31" s="53"/>
    </row>
    <row r="32" spans="1:10" s="354" customFormat="1" ht="16.5">
      <c r="A32" s="53"/>
      <c r="B32" s="53"/>
      <c r="C32" s="53"/>
      <c r="D32" s="53"/>
      <c r="E32" s="53"/>
      <c r="F32" s="53"/>
      <c r="G32" s="53"/>
      <c r="H32" s="53"/>
      <c r="I32" s="53"/>
      <c r="J32" s="53"/>
    </row>
    <row r="33" spans="1:10" s="354" customFormat="1" ht="16.5">
      <c r="A33" s="53"/>
      <c r="B33" s="53"/>
      <c r="C33" s="53"/>
      <c r="D33" s="53"/>
      <c r="E33" s="53"/>
      <c r="F33" s="53"/>
      <c r="G33" s="53"/>
      <c r="H33" s="53"/>
      <c r="I33" s="53"/>
      <c r="J33" s="53"/>
    </row>
    <row r="34" spans="1:10" s="354" customFormat="1" ht="16.5">
      <c r="A34" s="53"/>
      <c r="B34" s="53"/>
      <c r="C34" s="53"/>
      <c r="D34" s="53"/>
      <c r="E34" s="53"/>
      <c r="F34" s="53"/>
      <c r="G34" s="53"/>
      <c r="H34" s="53"/>
      <c r="I34" s="53"/>
      <c r="J34" s="53"/>
    </row>
    <row r="35" spans="1:10" s="354" customFormat="1" ht="16.5">
      <c r="A35" s="53"/>
      <c r="B35" s="53"/>
      <c r="C35" s="53"/>
      <c r="D35" s="53"/>
      <c r="E35" s="53"/>
      <c r="F35" s="53"/>
      <c r="G35" s="53"/>
      <c r="H35" s="53"/>
      <c r="I35" s="53"/>
      <c r="J35" s="53"/>
    </row>
    <row r="36" spans="1:10" s="354" customFormat="1" ht="16.5">
      <c r="A36" s="53"/>
      <c r="B36" s="53"/>
      <c r="C36" s="53"/>
      <c r="D36" s="53"/>
      <c r="E36" s="53"/>
      <c r="F36" s="53"/>
      <c r="G36" s="53"/>
      <c r="H36" s="53"/>
      <c r="I36" s="53"/>
      <c r="J36" s="53"/>
    </row>
    <row r="37" spans="1:10" s="418" customFormat="1" ht="16.5">
      <c r="A37" s="53"/>
      <c r="B37" s="53"/>
      <c r="C37" s="53"/>
      <c r="D37" s="53"/>
      <c r="E37" s="53"/>
      <c r="F37" s="53"/>
      <c r="G37" s="53"/>
      <c r="H37" s="53"/>
      <c r="I37" s="53"/>
      <c r="J37" s="53"/>
    </row>
    <row r="38" spans="1:10" s="418" customFormat="1" ht="16.5">
      <c r="A38" s="53"/>
      <c r="B38" s="53"/>
      <c r="C38" s="53"/>
      <c r="D38" s="53"/>
      <c r="E38" s="53"/>
      <c r="F38" s="53"/>
      <c r="G38" s="53"/>
      <c r="H38" s="53"/>
      <c r="I38" s="53"/>
      <c r="J38" s="53"/>
    </row>
    <row r="39" spans="1:10" s="418" customFormat="1" ht="16.5">
      <c r="A39" s="53"/>
      <c r="B39" s="53"/>
      <c r="C39" s="53"/>
      <c r="D39" s="53"/>
      <c r="E39" s="53"/>
      <c r="F39" s="53"/>
      <c r="G39" s="53"/>
      <c r="H39" s="53"/>
      <c r="I39" s="53"/>
      <c r="J39" s="53"/>
    </row>
    <row r="40" spans="1:10" s="418" customFormat="1" ht="16.5">
      <c r="A40" s="53"/>
      <c r="B40" s="53"/>
      <c r="C40" s="53"/>
      <c r="D40" s="53"/>
      <c r="E40" s="53"/>
      <c r="F40" s="53"/>
      <c r="G40" s="53"/>
      <c r="H40" s="53"/>
      <c r="I40" s="53"/>
      <c r="J40" s="53"/>
    </row>
    <row r="41" spans="1:10" s="418" customFormat="1" ht="16.5">
      <c r="A41" s="53"/>
      <c r="B41" s="53"/>
      <c r="C41" s="53"/>
      <c r="D41" s="53"/>
      <c r="E41" s="53"/>
      <c r="F41" s="53"/>
      <c r="G41" s="53"/>
      <c r="H41" s="53"/>
      <c r="I41" s="53"/>
      <c r="J41" s="53"/>
    </row>
    <row r="42" spans="1:10" s="418" customFormat="1" ht="16.5">
      <c r="A42" s="53"/>
      <c r="B42" s="53"/>
      <c r="C42" s="53"/>
      <c r="D42" s="53"/>
      <c r="E42" s="53"/>
      <c r="F42" s="53"/>
      <c r="G42" s="53"/>
      <c r="H42" s="53"/>
      <c r="I42" s="53"/>
      <c r="J42" s="53"/>
    </row>
    <row r="43" spans="1:10" s="418" customFormat="1" ht="16.5">
      <c r="A43" s="53"/>
      <c r="B43" s="53"/>
      <c r="C43" s="53"/>
      <c r="D43" s="53"/>
      <c r="E43" s="53"/>
      <c r="F43" s="53"/>
      <c r="G43" s="53"/>
      <c r="H43" s="53"/>
      <c r="I43" s="53"/>
      <c r="J43" s="53"/>
    </row>
    <row r="44" spans="1:10" s="418" customFormat="1" ht="16.5">
      <c r="A44" s="53"/>
      <c r="B44" s="53"/>
      <c r="C44" s="53"/>
      <c r="D44" s="53"/>
      <c r="E44" s="53"/>
      <c r="F44" s="53"/>
      <c r="G44" s="53"/>
      <c r="H44" s="53"/>
      <c r="I44" s="53"/>
      <c r="J44" s="53"/>
    </row>
    <row r="45" spans="1:10" s="418" customFormat="1" ht="16.5">
      <c r="A45" s="53"/>
      <c r="B45" s="53"/>
      <c r="C45" s="53"/>
      <c r="D45" s="53"/>
      <c r="E45" s="53"/>
      <c r="F45" s="53"/>
      <c r="G45" s="53"/>
      <c r="H45" s="53"/>
      <c r="I45" s="53"/>
      <c r="J45" s="53"/>
    </row>
    <row r="46" spans="1:10" s="418" customFormat="1" ht="16.5">
      <c r="A46" s="53"/>
      <c r="B46" s="53"/>
      <c r="C46" s="53"/>
      <c r="D46" s="53"/>
      <c r="E46" s="53"/>
      <c r="F46" s="53"/>
      <c r="G46" s="53"/>
      <c r="H46" s="53"/>
      <c r="I46" s="53"/>
      <c r="J46" s="53"/>
    </row>
    <row r="47" spans="1:10" s="418" customFormat="1" ht="16.5">
      <c r="A47" s="53"/>
      <c r="B47" s="53"/>
      <c r="C47" s="53"/>
      <c r="D47" s="53"/>
      <c r="E47" s="53"/>
      <c r="F47" s="53"/>
      <c r="G47" s="53"/>
      <c r="H47" s="53"/>
      <c r="I47" s="53"/>
      <c r="J47" s="53"/>
    </row>
    <row r="48" spans="1:10" s="418" customFormat="1" ht="16.5">
      <c r="A48" s="53"/>
      <c r="B48" s="53"/>
      <c r="C48" s="53"/>
      <c r="D48" s="53"/>
      <c r="E48" s="53"/>
      <c r="F48" s="53"/>
      <c r="G48" s="53"/>
      <c r="H48" s="53"/>
      <c r="I48" s="53"/>
      <c r="J48" s="53"/>
    </row>
    <row r="49" spans="1:10" s="418" customFormat="1" ht="16.5">
      <c r="A49" s="53"/>
      <c r="B49" s="53"/>
      <c r="C49" s="53"/>
      <c r="D49" s="53"/>
      <c r="E49" s="53"/>
      <c r="F49" s="53"/>
      <c r="G49" s="53"/>
      <c r="H49" s="53"/>
      <c r="I49" s="53"/>
      <c r="J49" s="53"/>
    </row>
    <row r="50" spans="1:10" s="418" customFormat="1" ht="16.5">
      <c r="A50" s="53"/>
      <c r="B50" s="53"/>
      <c r="C50" s="53"/>
      <c r="D50" s="53"/>
      <c r="E50" s="53"/>
      <c r="F50" s="53"/>
      <c r="G50" s="53"/>
      <c r="H50" s="53"/>
      <c r="I50" s="53"/>
      <c r="J50" s="53"/>
    </row>
    <row r="51" spans="1:10" s="418" customFormat="1" ht="16.5">
      <c r="A51" s="53"/>
      <c r="B51" s="53"/>
      <c r="C51" s="53"/>
      <c r="D51" s="53"/>
      <c r="E51" s="53"/>
      <c r="F51" s="53"/>
      <c r="G51" s="53"/>
      <c r="H51" s="53"/>
      <c r="I51" s="53"/>
      <c r="J51" s="53"/>
    </row>
    <row r="52" spans="1:10" s="418" customFormat="1" ht="16.5">
      <c r="A52" s="53"/>
      <c r="B52" s="53"/>
      <c r="C52" s="53"/>
      <c r="D52" s="53"/>
      <c r="E52" s="53"/>
      <c r="F52" s="53"/>
      <c r="G52" s="53"/>
      <c r="H52" s="53"/>
      <c r="I52" s="53"/>
      <c r="J52" s="53"/>
    </row>
    <row r="53" spans="1:10" s="418" customFormat="1" ht="16.5">
      <c r="A53" s="53"/>
      <c r="B53" s="53"/>
      <c r="C53" s="53"/>
      <c r="D53" s="53"/>
      <c r="E53" s="53"/>
      <c r="F53" s="53"/>
      <c r="G53" s="53"/>
      <c r="H53" s="53"/>
      <c r="I53" s="53"/>
      <c r="J53" s="53"/>
    </row>
    <row r="54" spans="1:10" s="418" customFormat="1" ht="16.5">
      <c r="A54" s="53"/>
      <c r="B54" s="53"/>
      <c r="C54" s="53"/>
      <c r="D54" s="53"/>
      <c r="E54" s="53"/>
      <c r="F54" s="53"/>
      <c r="G54" s="53"/>
      <c r="H54" s="53"/>
      <c r="I54" s="53"/>
      <c r="J54" s="53"/>
    </row>
    <row r="55" spans="1:10" s="418" customFormat="1" ht="16.5">
      <c r="A55" s="53"/>
      <c r="B55" s="53"/>
      <c r="C55" s="53"/>
      <c r="D55" s="53"/>
      <c r="E55" s="53"/>
      <c r="F55" s="53"/>
      <c r="G55" s="53"/>
      <c r="H55" s="53"/>
      <c r="I55" s="53"/>
      <c r="J55" s="53"/>
    </row>
    <row r="56" spans="1:10" s="418" customFormat="1" ht="16.5">
      <c r="A56" s="53"/>
      <c r="B56" s="53"/>
      <c r="C56" s="53"/>
      <c r="D56" s="53"/>
      <c r="E56" s="53"/>
      <c r="F56" s="53"/>
      <c r="G56" s="53"/>
      <c r="H56" s="53"/>
      <c r="I56" s="53"/>
      <c r="J56" s="53"/>
    </row>
    <row r="57" spans="1:10" s="418" customFormat="1" ht="16.5">
      <c r="A57" s="53"/>
      <c r="B57" s="53"/>
      <c r="C57" s="53"/>
      <c r="D57" s="53"/>
      <c r="E57" s="53"/>
      <c r="F57" s="53"/>
      <c r="G57" s="53"/>
      <c r="H57" s="53"/>
      <c r="I57" s="53"/>
      <c r="J57" s="53"/>
    </row>
    <row r="58" spans="1:10" s="418" customFormat="1" ht="16.5">
      <c r="A58" s="53"/>
      <c r="B58" s="53"/>
      <c r="C58" s="53"/>
      <c r="D58" s="53"/>
      <c r="E58" s="53"/>
      <c r="F58" s="53"/>
      <c r="G58" s="53"/>
      <c r="H58" s="53"/>
      <c r="I58" s="53"/>
      <c r="J58" s="53"/>
    </row>
    <row r="59" spans="1:10" s="418" customFormat="1" ht="16.5">
      <c r="A59" s="53"/>
      <c r="B59" s="53"/>
      <c r="C59" s="53"/>
      <c r="D59" s="53"/>
      <c r="E59" s="53"/>
      <c r="F59" s="53"/>
      <c r="G59" s="53"/>
      <c r="H59" s="53"/>
      <c r="I59" s="53"/>
      <c r="J59" s="53"/>
    </row>
    <row r="60" spans="1:10" s="418" customFormat="1" ht="16.5">
      <c r="A60" s="53"/>
      <c r="B60" s="53"/>
      <c r="C60" s="53"/>
      <c r="D60" s="53"/>
      <c r="E60" s="53"/>
      <c r="F60" s="53"/>
      <c r="G60" s="53"/>
      <c r="H60" s="53"/>
      <c r="I60" s="53"/>
      <c r="J60" s="53"/>
    </row>
    <row r="61" spans="1:10" s="418" customFormat="1" ht="16.5">
      <c r="A61" s="53"/>
      <c r="B61" s="53"/>
      <c r="C61" s="53"/>
      <c r="D61" s="53"/>
      <c r="E61" s="53"/>
      <c r="F61" s="53"/>
      <c r="G61" s="53"/>
      <c r="H61" s="53"/>
      <c r="I61" s="53"/>
      <c r="J61" s="53"/>
    </row>
    <row r="62" spans="1:10" s="418" customFormat="1" ht="16.5">
      <c r="A62" s="53"/>
      <c r="B62" s="53"/>
      <c r="C62" s="53"/>
      <c r="D62" s="53"/>
      <c r="E62" s="53"/>
      <c r="F62" s="53"/>
      <c r="G62" s="53"/>
      <c r="H62" s="53"/>
      <c r="I62" s="53"/>
      <c r="J62" s="53"/>
    </row>
    <row r="63" spans="1:10" s="418" customFormat="1" ht="16.5">
      <c r="A63" s="53"/>
      <c r="B63" s="53"/>
      <c r="C63" s="53"/>
      <c r="D63" s="53"/>
      <c r="E63" s="53"/>
      <c r="F63" s="53"/>
      <c r="G63" s="53"/>
      <c r="H63" s="53"/>
      <c r="I63" s="53"/>
      <c r="J63" s="53"/>
    </row>
    <row r="64" spans="1:10" s="418" customFormat="1" ht="16.5">
      <c r="A64" s="53"/>
      <c r="B64" s="53"/>
      <c r="C64" s="53"/>
      <c r="D64" s="53"/>
      <c r="E64" s="53"/>
      <c r="F64" s="53"/>
      <c r="G64" s="53"/>
      <c r="H64" s="53"/>
      <c r="I64" s="53"/>
      <c r="J64" s="53"/>
    </row>
    <row r="65" spans="1:10" s="418" customFormat="1" ht="16.5">
      <c r="A65" s="53"/>
      <c r="B65" s="53"/>
      <c r="C65" s="53"/>
      <c r="D65" s="53"/>
      <c r="E65" s="53"/>
      <c r="F65" s="53"/>
      <c r="G65" s="53"/>
      <c r="H65" s="53"/>
      <c r="I65" s="53"/>
      <c r="J65" s="53"/>
    </row>
    <row r="66" spans="1:10" s="418" customFormat="1" ht="16.5">
      <c r="A66" s="53"/>
      <c r="B66" s="53"/>
      <c r="C66" s="53"/>
      <c r="D66" s="53"/>
      <c r="E66" s="53"/>
      <c r="F66" s="53"/>
      <c r="G66" s="53"/>
      <c r="H66" s="53"/>
      <c r="I66" s="53"/>
      <c r="J66" s="53"/>
    </row>
    <row r="67" spans="1:10" s="418" customFormat="1" ht="16.5">
      <c r="A67" s="53"/>
      <c r="B67" s="53"/>
      <c r="C67" s="53"/>
      <c r="D67" s="53"/>
      <c r="E67" s="53"/>
      <c r="F67" s="53"/>
      <c r="G67" s="53"/>
      <c r="H67" s="53"/>
      <c r="I67" s="53"/>
      <c r="J67" s="53"/>
    </row>
    <row r="68" spans="1:10" s="418" customFormat="1" ht="16.5">
      <c r="A68" s="53"/>
      <c r="B68" s="53"/>
      <c r="C68" s="53"/>
      <c r="D68" s="53"/>
      <c r="E68" s="53"/>
      <c r="F68" s="53"/>
      <c r="G68" s="53"/>
      <c r="H68" s="53"/>
      <c r="I68" s="53"/>
      <c r="J68" s="53"/>
    </row>
    <row r="69" spans="1:10" s="418" customFormat="1" ht="16.5">
      <c r="A69" s="53"/>
      <c r="B69" s="53"/>
      <c r="C69" s="53"/>
      <c r="D69" s="53"/>
      <c r="E69" s="53"/>
      <c r="F69" s="53"/>
      <c r="G69" s="53"/>
      <c r="H69" s="53"/>
      <c r="I69" s="53"/>
      <c r="J69" s="53"/>
    </row>
    <row r="70" spans="1:10" s="418" customFormat="1" ht="16.5">
      <c r="A70" s="53"/>
      <c r="B70" s="53"/>
      <c r="C70" s="53"/>
      <c r="D70" s="53"/>
      <c r="E70" s="53"/>
      <c r="F70" s="53"/>
      <c r="G70" s="53"/>
      <c r="H70" s="53"/>
      <c r="I70" s="53"/>
      <c r="J70" s="53"/>
    </row>
    <row r="71" spans="1:10" s="418" customFormat="1" ht="16.5">
      <c r="A71" s="53"/>
      <c r="B71" s="53"/>
      <c r="C71" s="53"/>
      <c r="D71" s="53"/>
      <c r="E71" s="53"/>
      <c r="F71" s="53"/>
      <c r="G71" s="53"/>
      <c r="H71" s="53"/>
      <c r="I71" s="53"/>
      <c r="J71" s="53"/>
    </row>
    <row r="72" spans="1:10" s="418" customFormat="1" ht="16.5">
      <c r="A72" s="53"/>
      <c r="B72" s="53"/>
      <c r="C72" s="53"/>
      <c r="D72" s="53"/>
      <c r="E72" s="53"/>
      <c r="F72" s="53"/>
      <c r="G72" s="53"/>
      <c r="H72" s="53"/>
      <c r="I72" s="53"/>
      <c r="J72" s="53"/>
    </row>
    <row r="73" spans="1:10" s="418" customFormat="1" ht="16.5">
      <c r="A73" s="53"/>
      <c r="B73" s="53"/>
      <c r="C73" s="53"/>
      <c r="D73" s="53"/>
      <c r="E73" s="53"/>
      <c r="F73" s="53"/>
      <c r="G73" s="53"/>
      <c r="H73" s="53"/>
      <c r="I73" s="53"/>
      <c r="J73" s="53"/>
    </row>
    <row r="74" spans="1:10" s="418" customFormat="1" ht="16.5">
      <c r="A74" s="53"/>
      <c r="B74" s="53"/>
      <c r="C74" s="53"/>
      <c r="D74" s="53"/>
      <c r="E74" s="53"/>
      <c r="F74" s="53"/>
      <c r="G74" s="53"/>
      <c r="H74" s="53"/>
      <c r="I74" s="53"/>
      <c r="J74" s="53"/>
    </row>
    <row r="75" spans="1:10" s="418" customFormat="1" ht="16.5">
      <c r="A75" s="53"/>
      <c r="B75" s="53"/>
      <c r="C75" s="53"/>
      <c r="D75" s="53"/>
      <c r="E75" s="53"/>
      <c r="F75" s="53"/>
      <c r="G75" s="53"/>
      <c r="H75" s="53"/>
      <c r="I75" s="53"/>
      <c r="J75" s="53"/>
    </row>
    <row r="76" spans="1:10" s="418" customFormat="1" ht="16.5">
      <c r="A76" s="53"/>
      <c r="B76" s="53"/>
      <c r="C76" s="53"/>
      <c r="D76" s="53"/>
      <c r="E76" s="53"/>
      <c r="F76" s="53"/>
      <c r="G76" s="53"/>
      <c r="H76" s="53"/>
      <c r="I76" s="53"/>
      <c r="J76" s="53"/>
    </row>
    <row r="77" spans="1:10" s="418" customFormat="1" ht="16.5">
      <c r="A77" s="53"/>
      <c r="B77" s="53"/>
      <c r="C77" s="53"/>
      <c r="D77" s="53"/>
      <c r="E77" s="53"/>
      <c r="F77" s="53"/>
      <c r="G77" s="53"/>
      <c r="H77" s="53"/>
      <c r="I77" s="53"/>
      <c r="J77" s="53"/>
    </row>
    <row r="78" spans="1:10" s="418" customFormat="1" ht="16.5">
      <c r="A78" s="53"/>
      <c r="B78" s="53"/>
      <c r="C78" s="53"/>
      <c r="D78" s="53"/>
      <c r="E78" s="53"/>
      <c r="F78" s="53"/>
      <c r="G78" s="53"/>
      <c r="H78" s="53"/>
      <c r="I78" s="53"/>
      <c r="J78" s="53"/>
    </row>
    <row r="79" spans="1:10" s="418" customFormat="1" ht="16.5">
      <c r="A79" s="53"/>
      <c r="B79" s="53"/>
      <c r="C79" s="53"/>
      <c r="D79" s="53"/>
      <c r="E79" s="53"/>
      <c r="F79" s="53"/>
      <c r="G79" s="53"/>
      <c r="H79" s="53"/>
      <c r="I79" s="53"/>
      <c r="J79" s="53"/>
    </row>
    <row r="80" spans="1:10" s="418" customFormat="1" ht="16.5">
      <c r="A80" s="53"/>
      <c r="B80" s="53"/>
      <c r="C80" s="53"/>
      <c r="D80" s="53"/>
      <c r="E80" s="53"/>
      <c r="F80" s="53"/>
      <c r="G80" s="53"/>
      <c r="H80" s="53"/>
      <c r="I80" s="53"/>
      <c r="J80" s="53"/>
    </row>
    <row r="81" spans="1:10" s="418" customFormat="1" ht="16.5">
      <c r="A81" s="53"/>
      <c r="B81" s="53"/>
      <c r="C81" s="53"/>
      <c r="D81" s="53"/>
      <c r="E81" s="53"/>
      <c r="F81" s="53"/>
      <c r="G81" s="53"/>
      <c r="H81" s="53"/>
      <c r="I81" s="53"/>
      <c r="J81" s="53"/>
    </row>
    <row r="82" spans="1:10" s="418" customFormat="1" ht="16.5">
      <c r="A82" s="53"/>
      <c r="B82" s="53"/>
      <c r="C82" s="53"/>
      <c r="D82" s="53"/>
      <c r="E82" s="53"/>
      <c r="F82" s="53"/>
      <c r="G82" s="53"/>
      <c r="H82" s="53"/>
      <c r="I82" s="53"/>
      <c r="J82" s="53"/>
    </row>
    <row r="83" spans="1:10" s="418" customFormat="1" ht="16.5">
      <c r="A83" s="53"/>
      <c r="B83" s="53"/>
      <c r="C83" s="53"/>
      <c r="D83" s="53"/>
      <c r="E83" s="53"/>
      <c r="F83" s="53"/>
      <c r="G83" s="53"/>
      <c r="H83" s="53"/>
      <c r="I83" s="53"/>
      <c r="J83" s="53"/>
    </row>
    <row r="84" spans="1:10" s="418" customFormat="1" ht="16.5"/>
    <row r="85" spans="1:10" s="418" customFormat="1" ht="16.5"/>
    <row r="86" spans="1:10" s="418" customFormat="1" ht="16.5"/>
    <row r="87" spans="1:10" s="418" customFormat="1" ht="16.5"/>
    <row r="88" spans="1:10" s="418" customFormat="1" ht="16.5"/>
    <row r="89" spans="1:10" s="418" customFormat="1" ht="16.5"/>
    <row r="90" spans="1:10" s="418" customFormat="1" ht="16.5"/>
    <row r="91" spans="1:10" s="418" customFormat="1" ht="16.5"/>
    <row r="92" spans="1:10" s="418" customFormat="1" ht="16.5"/>
    <row r="93" spans="1:10" s="418" customFormat="1" ht="16.5"/>
    <row r="94" spans="1:10" s="418" customFormat="1" ht="16.5"/>
  </sheetData>
  <phoneticPr fontId="76" type="noConversion"/>
  <pageMargins left="0.70763888888888904" right="0.70763888888888904" top="0.74791666666666701" bottom="0.74791666666666701" header="0.31388888888888899" footer="0.31388888888888899"/>
  <pageSetup paperSize="9" orientation="portrait" blackAndWhite="1" horizontalDpi="1200" verticalDpi="120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0"/>
  <sheetViews>
    <sheetView view="pageBreakPreview" topLeftCell="A28" zoomScale="90" zoomScaleNormal="50" zoomScaleSheetLayoutView="90" workbookViewId="0">
      <selection activeCell="J40" sqref="J40"/>
    </sheetView>
  </sheetViews>
  <sheetFormatPr defaultColWidth="9" defaultRowHeight="20.100000000000001" customHeight="1"/>
  <cols>
    <col min="1" max="1" width="21.5" style="24" customWidth="1"/>
    <col min="2" max="2" width="15.625" style="24" customWidth="1"/>
    <col min="3" max="3" width="19.625" style="24" customWidth="1"/>
    <col min="4" max="11" width="15.625" style="24" customWidth="1"/>
    <col min="12" max="16384" width="9" style="24"/>
  </cols>
  <sheetData>
    <row r="1" spans="1:13" s="396" customFormat="1" ht="16.5">
      <c r="A1" s="398" t="s">
        <v>1171</v>
      </c>
      <c r="B1" s="399">
        <f>基础信息!B6</f>
        <v>0</v>
      </c>
      <c r="C1" s="359"/>
      <c r="D1" s="359"/>
      <c r="E1" s="400"/>
      <c r="F1" s="359"/>
      <c r="G1" s="359"/>
      <c r="H1" s="359"/>
      <c r="I1" s="359"/>
      <c r="J1" s="359"/>
      <c r="K1" s="359"/>
      <c r="L1" s="359"/>
      <c r="M1" s="359"/>
    </row>
    <row r="2" spans="1:13" s="396" customFormat="1" ht="16.5">
      <c r="A2" s="398" t="s">
        <v>1172</v>
      </c>
      <c r="B2" s="399">
        <f>基础信息!B9</f>
        <v>0</v>
      </c>
      <c r="C2" s="359"/>
      <c r="D2" s="359"/>
      <c r="E2" s="359"/>
      <c r="F2" s="359"/>
      <c r="G2" s="359"/>
      <c r="H2" s="359"/>
      <c r="I2" s="359"/>
      <c r="J2" s="359"/>
      <c r="K2" s="359"/>
      <c r="L2" s="359"/>
      <c r="M2" s="359"/>
    </row>
    <row r="3" spans="1:13" s="359" customFormat="1" ht="16.5">
      <c r="A3" s="401" t="s">
        <v>1173</v>
      </c>
      <c r="B3" s="74" t="s">
        <v>1174</v>
      </c>
    </row>
    <row r="4" spans="1:13" s="388" customFormat="1" ht="16.5">
      <c r="A4" s="1326" t="s">
        <v>1175</v>
      </c>
      <c r="B4" s="1326" t="s">
        <v>1176</v>
      </c>
      <c r="C4" s="1326"/>
      <c r="D4" s="1326" t="s">
        <v>1177</v>
      </c>
      <c r="E4" s="1326"/>
      <c r="F4" s="1326" t="s">
        <v>1178</v>
      </c>
      <c r="G4" s="1326"/>
      <c r="H4" s="1326" t="s">
        <v>1179</v>
      </c>
      <c r="I4" s="1326"/>
      <c r="J4" s="1326" t="s">
        <v>1180</v>
      </c>
      <c r="K4" s="415"/>
      <c r="L4" s="415"/>
      <c r="M4" s="415"/>
    </row>
    <row r="5" spans="1:13" s="388" customFormat="1" ht="16.5">
      <c r="A5" s="1326"/>
      <c r="B5" s="402" t="s">
        <v>1181</v>
      </c>
      <c r="C5" s="402" t="s">
        <v>896</v>
      </c>
      <c r="D5" s="402" t="s">
        <v>1181</v>
      </c>
      <c r="E5" s="402" t="s">
        <v>896</v>
      </c>
      <c r="F5" s="402" t="s">
        <v>1181</v>
      </c>
      <c r="G5" s="402" t="s">
        <v>896</v>
      </c>
      <c r="H5" s="402" t="s">
        <v>1181</v>
      </c>
      <c r="I5" s="402" t="s">
        <v>896</v>
      </c>
      <c r="J5" s="1326"/>
      <c r="K5" s="415"/>
      <c r="L5" s="415"/>
      <c r="M5" s="415"/>
    </row>
    <row r="6" spans="1:13" s="388" customFormat="1" ht="16.5">
      <c r="A6" s="403" t="s">
        <v>1182</v>
      </c>
      <c r="B6" s="404"/>
      <c r="C6" s="404"/>
      <c r="D6" s="404"/>
      <c r="E6" s="404"/>
      <c r="F6" s="404"/>
      <c r="G6" s="404"/>
      <c r="H6" s="404"/>
      <c r="I6" s="404"/>
      <c r="J6" s="407">
        <f>SUM(B6:I6)</f>
        <v>0</v>
      </c>
    </row>
    <row r="7" spans="1:13" s="388" customFormat="1" ht="16.5">
      <c r="A7" s="405" t="s">
        <v>1183</v>
      </c>
      <c r="B7" s="404"/>
      <c r="C7" s="404"/>
      <c r="D7" s="404"/>
      <c r="E7" s="404"/>
      <c r="F7" s="404"/>
      <c r="G7" s="406"/>
      <c r="H7" s="404"/>
      <c r="I7" s="404"/>
      <c r="J7" s="407">
        <f t="shared" ref="J7:J39" si="0">SUM(B7:I7)</f>
        <v>0</v>
      </c>
    </row>
    <row r="8" spans="1:13" s="388" customFormat="1" ht="16.5">
      <c r="A8" s="405" t="s">
        <v>1184</v>
      </c>
      <c r="B8" s="407">
        <f>SUM(B9:B11)</f>
        <v>0</v>
      </c>
      <c r="C8" s="407">
        <f t="shared" ref="C8:I8" si="1">SUM(C9:C11)</f>
        <v>0</v>
      </c>
      <c r="D8" s="407">
        <f t="shared" si="1"/>
        <v>0</v>
      </c>
      <c r="E8" s="407">
        <f t="shared" si="1"/>
        <v>0</v>
      </c>
      <c r="F8" s="407">
        <f t="shared" si="1"/>
        <v>0</v>
      </c>
      <c r="G8" s="407">
        <f t="shared" si="1"/>
        <v>0</v>
      </c>
      <c r="H8" s="407">
        <f t="shared" si="1"/>
        <v>0</v>
      </c>
      <c r="I8" s="407">
        <f t="shared" si="1"/>
        <v>0</v>
      </c>
      <c r="J8" s="407">
        <f t="shared" si="0"/>
        <v>0</v>
      </c>
    </row>
    <row r="9" spans="1:13" s="388" customFormat="1" ht="16.5">
      <c r="A9" s="405" t="s">
        <v>1185</v>
      </c>
      <c r="B9" s="404"/>
      <c r="C9" s="404"/>
      <c r="D9" s="404"/>
      <c r="E9" s="404"/>
      <c r="F9" s="404"/>
      <c r="G9" s="404"/>
      <c r="H9" s="404"/>
      <c r="I9" s="404"/>
      <c r="J9" s="407">
        <f t="shared" si="0"/>
        <v>0</v>
      </c>
    </row>
    <row r="10" spans="1:13" s="388" customFormat="1" ht="16.5">
      <c r="A10" s="405" t="s">
        <v>1186</v>
      </c>
      <c r="B10" s="404"/>
      <c r="C10" s="404"/>
      <c r="D10" s="404"/>
      <c r="E10" s="404"/>
      <c r="F10" s="404"/>
      <c r="G10" s="404"/>
      <c r="H10" s="404"/>
      <c r="I10" s="404"/>
      <c r="J10" s="407">
        <f t="shared" si="0"/>
        <v>0</v>
      </c>
    </row>
    <row r="11" spans="1:13" s="388" customFormat="1" ht="16.5">
      <c r="A11" s="405" t="s">
        <v>1187</v>
      </c>
      <c r="B11" s="404"/>
      <c r="C11" s="404"/>
      <c r="D11" s="404"/>
      <c r="E11" s="404"/>
      <c r="F11" s="404"/>
      <c r="G11" s="404"/>
      <c r="H11" s="404"/>
      <c r="I11" s="404"/>
      <c r="J11" s="407">
        <f t="shared" si="0"/>
        <v>0</v>
      </c>
    </row>
    <row r="12" spans="1:13" s="388" customFormat="1" ht="16.5">
      <c r="A12" s="405" t="s">
        <v>1188</v>
      </c>
      <c r="B12" s="404"/>
      <c r="C12" s="404"/>
      <c r="D12" s="404"/>
      <c r="E12" s="404"/>
      <c r="F12" s="404"/>
      <c r="G12" s="404"/>
      <c r="H12" s="404"/>
      <c r="I12" s="404"/>
      <c r="J12" s="407">
        <f t="shared" si="0"/>
        <v>0</v>
      </c>
    </row>
    <row r="13" spans="1:13" s="388" customFormat="1" ht="16.5">
      <c r="A13" s="405" t="s">
        <v>1189</v>
      </c>
      <c r="B13" s="404"/>
      <c r="C13" s="404"/>
      <c r="D13" s="404"/>
      <c r="E13" s="404"/>
      <c r="F13" s="404"/>
      <c r="G13" s="404"/>
      <c r="H13" s="404"/>
      <c r="I13" s="404"/>
      <c r="J13" s="407">
        <f t="shared" si="0"/>
        <v>0</v>
      </c>
    </row>
    <row r="14" spans="1:13" s="388" customFormat="1" ht="16.5">
      <c r="A14" s="405" t="s">
        <v>1190</v>
      </c>
      <c r="B14" s="404"/>
      <c r="C14" s="404"/>
      <c r="D14" s="404"/>
      <c r="E14" s="404"/>
      <c r="F14" s="404"/>
      <c r="G14" s="404"/>
      <c r="H14" s="404"/>
      <c r="I14" s="404"/>
      <c r="J14" s="407">
        <f t="shared" si="0"/>
        <v>0</v>
      </c>
    </row>
    <row r="15" spans="1:13" s="388" customFormat="1" ht="16.5">
      <c r="A15" s="405" t="s">
        <v>896</v>
      </c>
      <c r="B15" s="404"/>
      <c r="C15" s="404"/>
      <c r="D15" s="404"/>
      <c r="E15" s="404"/>
      <c r="F15" s="404"/>
      <c r="G15" s="404"/>
      <c r="H15" s="404"/>
      <c r="I15" s="404"/>
      <c r="J15" s="407">
        <f t="shared" si="0"/>
        <v>0</v>
      </c>
    </row>
    <row r="16" spans="1:13" s="388" customFormat="1" ht="16.5">
      <c r="A16" s="405" t="s">
        <v>1191</v>
      </c>
      <c r="B16" s="404"/>
      <c r="C16" s="404"/>
      <c r="D16" s="404"/>
      <c r="E16" s="404"/>
      <c r="F16" s="404"/>
      <c r="G16" s="404"/>
      <c r="H16" s="404"/>
      <c r="I16" s="404"/>
      <c r="J16" s="407">
        <f t="shared" si="0"/>
        <v>0</v>
      </c>
    </row>
    <row r="17" spans="1:10" s="397" customFormat="1" ht="16.5">
      <c r="A17" s="403" t="s">
        <v>1192</v>
      </c>
      <c r="B17" s="404"/>
      <c r="C17" s="404"/>
      <c r="D17" s="404"/>
      <c r="E17" s="404"/>
      <c r="F17" s="404"/>
      <c r="G17" s="404"/>
      <c r="H17" s="404"/>
      <c r="I17" s="404"/>
      <c r="J17" s="407">
        <f t="shared" si="0"/>
        <v>0</v>
      </c>
    </row>
    <row r="18" spans="1:10" s="397" customFormat="1" ht="16.5">
      <c r="A18" s="405" t="s">
        <v>1183</v>
      </c>
      <c r="B18" s="404"/>
      <c r="C18" s="404"/>
      <c r="D18" s="404"/>
      <c r="E18" s="404"/>
      <c r="F18" s="404"/>
      <c r="G18" s="404"/>
      <c r="H18" s="404"/>
      <c r="I18" s="404"/>
      <c r="J18" s="407">
        <f t="shared" si="0"/>
        <v>0</v>
      </c>
    </row>
    <row r="19" spans="1:10" s="397" customFormat="1" ht="16.5">
      <c r="A19" s="405" t="s">
        <v>1184</v>
      </c>
      <c r="B19" s="404"/>
      <c r="C19" s="404"/>
      <c r="D19" s="404"/>
      <c r="E19" s="404"/>
      <c r="F19" s="404"/>
      <c r="G19" s="404"/>
      <c r="H19" s="404"/>
      <c r="I19" s="404"/>
      <c r="J19" s="407">
        <f t="shared" si="0"/>
        <v>0</v>
      </c>
    </row>
    <row r="20" spans="1:10" s="397" customFormat="1" ht="16.5">
      <c r="A20" s="405" t="s">
        <v>1193</v>
      </c>
      <c r="B20" s="404"/>
      <c r="C20" s="404"/>
      <c r="D20" s="404"/>
      <c r="E20" s="404"/>
      <c r="F20" s="404"/>
      <c r="G20" s="404"/>
      <c r="H20" s="404"/>
      <c r="I20" s="404"/>
      <c r="J20" s="407">
        <f t="shared" si="0"/>
        <v>0</v>
      </c>
    </row>
    <row r="21" spans="1:10" s="397" customFormat="1" ht="16.5">
      <c r="A21" s="405" t="s">
        <v>1194</v>
      </c>
      <c r="B21" s="404"/>
      <c r="C21" s="404"/>
      <c r="D21" s="404"/>
      <c r="E21" s="404"/>
      <c r="F21" s="404"/>
      <c r="G21" s="404"/>
      <c r="H21" s="404"/>
      <c r="I21" s="404"/>
      <c r="J21" s="407">
        <f t="shared" si="0"/>
        <v>0</v>
      </c>
    </row>
    <row r="22" spans="1:10" s="397" customFormat="1" ht="16.5">
      <c r="A22" s="405" t="s">
        <v>1188</v>
      </c>
      <c r="B22" s="404"/>
      <c r="C22" s="404"/>
      <c r="D22" s="404"/>
      <c r="E22" s="404"/>
      <c r="F22" s="404"/>
      <c r="G22" s="404"/>
      <c r="H22" s="404"/>
      <c r="I22" s="404"/>
      <c r="J22" s="407">
        <f t="shared" si="0"/>
        <v>0</v>
      </c>
    </row>
    <row r="23" spans="1:10" s="397" customFormat="1" ht="16.5">
      <c r="A23" s="405" t="s">
        <v>1189</v>
      </c>
      <c r="B23" s="404"/>
      <c r="C23" s="404"/>
      <c r="D23" s="404"/>
      <c r="E23" s="404"/>
      <c r="F23" s="404"/>
      <c r="G23" s="404"/>
      <c r="H23" s="404"/>
      <c r="I23" s="404"/>
      <c r="J23" s="407">
        <f t="shared" si="0"/>
        <v>0</v>
      </c>
    </row>
    <row r="24" spans="1:10" s="397" customFormat="1" ht="16.5">
      <c r="A24" s="405" t="s">
        <v>1190</v>
      </c>
      <c r="B24" s="404"/>
      <c r="C24" s="404"/>
      <c r="D24" s="404"/>
      <c r="E24" s="404"/>
      <c r="F24" s="404"/>
      <c r="G24" s="404"/>
      <c r="H24" s="404"/>
      <c r="I24" s="404"/>
      <c r="J24" s="407">
        <f t="shared" si="0"/>
        <v>0</v>
      </c>
    </row>
    <row r="25" spans="1:10" s="397" customFormat="1" ht="16.5">
      <c r="A25" s="405" t="s">
        <v>896</v>
      </c>
      <c r="B25" s="404"/>
      <c r="C25" s="404"/>
      <c r="D25" s="404"/>
      <c r="E25" s="404"/>
      <c r="F25" s="404"/>
      <c r="G25" s="404"/>
      <c r="H25" s="404"/>
      <c r="I25" s="404"/>
      <c r="J25" s="407">
        <f t="shared" si="0"/>
        <v>0</v>
      </c>
    </row>
    <row r="26" spans="1:10" s="397" customFormat="1" ht="16.5">
      <c r="A26" s="405" t="s">
        <v>1195</v>
      </c>
      <c r="B26" s="404"/>
      <c r="C26" s="404"/>
      <c r="D26" s="404"/>
      <c r="E26" s="404"/>
      <c r="F26" s="404"/>
      <c r="G26" s="404"/>
      <c r="H26" s="404"/>
      <c r="I26" s="404"/>
      <c r="J26" s="407">
        <f t="shared" si="0"/>
        <v>0</v>
      </c>
    </row>
    <row r="27" spans="1:10" s="397" customFormat="1" ht="16.5">
      <c r="A27" s="403" t="s">
        <v>1196</v>
      </c>
      <c r="B27" s="404"/>
      <c r="C27" s="404"/>
      <c r="D27" s="404"/>
      <c r="E27" s="404"/>
      <c r="F27" s="404"/>
      <c r="G27" s="404"/>
      <c r="H27" s="404"/>
      <c r="I27" s="404"/>
      <c r="J27" s="407">
        <f t="shared" si="0"/>
        <v>0</v>
      </c>
    </row>
    <row r="28" spans="1:10" s="397" customFormat="1" ht="16.5">
      <c r="A28" s="405" t="s">
        <v>1183</v>
      </c>
      <c r="B28" s="404"/>
      <c r="C28" s="404"/>
      <c r="D28" s="404"/>
      <c r="E28" s="404"/>
      <c r="F28" s="404"/>
      <c r="G28" s="404"/>
      <c r="H28" s="404"/>
      <c r="I28" s="404"/>
      <c r="J28" s="407">
        <f t="shared" si="0"/>
        <v>0</v>
      </c>
    </row>
    <row r="29" spans="1:10" s="397" customFormat="1" ht="16.5">
      <c r="A29" s="405" t="s">
        <v>1184</v>
      </c>
      <c r="B29" s="404"/>
      <c r="C29" s="404"/>
      <c r="D29" s="404"/>
      <c r="E29" s="404"/>
      <c r="F29" s="404"/>
      <c r="G29" s="404"/>
      <c r="H29" s="404"/>
      <c r="I29" s="404"/>
      <c r="J29" s="407">
        <f t="shared" si="0"/>
        <v>0</v>
      </c>
    </row>
    <row r="30" spans="1:10" s="397" customFormat="1" ht="16.5">
      <c r="A30" s="405" t="s">
        <v>1193</v>
      </c>
      <c r="B30" s="404"/>
      <c r="C30" s="404"/>
      <c r="D30" s="404"/>
      <c r="E30" s="404"/>
      <c r="F30" s="404"/>
      <c r="G30" s="404"/>
      <c r="H30" s="404"/>
      <c r="I30" s="404"/>
      <c r="J30" s="407">
        <f t="shared" si="0"/>
        <v>0</v>
      </c>
    </row>
    <row r="31" spans="1:10" s="397" customFormat="1" ht="16.5">
      <c r="A31" s="405" t="s">
        <v>1194</v>
      </c>
      <c r="B31" s="404"/>
      <c r="C31" s="404"/>
      <c r="D31" s="404"/>
      <c r="E31" s="404"/>
      <c r="F31" s="404"/>
      <c r="G31" s="404"/>
      <c r="H31" s="404"/>
      <c r="I31" s="404"/>
      <c r="J31" s="407">
        <f t="shared" si="0"/>
        <v>0</v>
      </c>
    </row>
    <row r="32" spans="1:10" s="397" customFormat="1" ht="16.5">
      <c r="A32" s="405" t="s">
        <v>1188</v>
      </c>
      <c r="B32" s="404"/>
      <c r="C32" s="404"/>
      <c r="D32" s="404"/>
      <c r="E32" s="404"/>
      <c r="F32" s="404"/>
      <c r="G32" s="404"/>
      <c r="H32" s="404"/>
      <c r="I32" s="404"/>
      <c r="J32" s="407">
        <f t="shared" si="0"/>
        <v>0</v>
      </c>
    </row>
    <row r="33" spans="1:10" s="397" customFormat="1" ht="16.5">
      <c r="A33" s="405" t="s">
        <v>1189</v>
      </c>
      <c r="B33" s="404"/>
      <c r="C33" s="404"/>
      <c r="D33" s="404"/>
      <c r="E33" s="404"/>
      <c r="F33" s="404"/>
      <c r="G33" s="404"/>
      <c r="H33" s="404"/>
      <c r="I33" s="404"/>
      <c r="J33" s="407">
        <f t="shared" si="0"/>
        <v>0</v>
      </c>
    </row>
    <row r="34" spans="1:10" s="397" customFormat="1" ht="16.5">
      <c r="A34" s="405" t="s">
        <v>1190</v>
      </c>
      <c r="B34" s="404"/>
      <c r="C34" s="404"/>
      <c r="D34" s="404"/>
      <c r="E34" s="404"/>
      <c r="F34" s="404"/>
      <c r="G34" s="404"/>
      <c r="H34" s="404"/>
      <c r="I34" s="404"/>
      <c r="J34" s="407">
        <f t="shared" si="0"/>
        <v>0</v>
      </c>
    </row>
    <row r="35" spans="1:10" s="397" customFormat="1" ht="16.5">
      <c r="A35" s="405" t="s">
        <v>896</v>
      </c>
      <c r="B35" s="404"/>
      <c r="C35" s="404"/>
      <c r="D35" s="404"/>
      <c r="E35" s="404"/>
      <c r="F35" s="404"/>
      <c r="G35" s="404"/>
      <c r="H35" s="404"/>
      <c r="I35" s="404"/>
      <c r="J35" s="407">
        <f t="shared" si="0"/>
        <v>0</v>
      </c>
    </row>
    <row r="36" spans="1:10" s="397" customFormat="1" ht="16.5">
      <c r="A36" s="405" t="s">
        <v>1195</v>
      </c>
      <c r="B36" s="404"/>
      <c r="C36" s="404"/>
      <c r="D36" s="404"/>
      <c r="E36" s="404"/>
      <c r="F36" s="404"/>
      <c r="G36" s="404"/>
      <c r="H36" s="404"/>
      <c r="I36" s="404"/>
      <c r="J36" s="407">
        <f t="shared" si="0"/>
        <v>0</v>
      </c>
    </row>
    <row r="37" spans="1:10" s="397" customFormat="1" ht="16.5">
      <c r="A37" s="403" t="s">
        <v>1197</v>
      </c>
      <c r="B37" s="404"/>
      <c r="C37" s="404"/>
      <c r="D37" s="404"/>
      <c r="E37" s="404"/>
      <c r="F37" s="404"/>
      <c r="G37" s="404"/>
      <c r="H37" s="404"/>
      <c r="I37" s="404"/>
      <c r="J37" s="407">
        <f t="shared" si="0"/>
        <v>0</v>
      </c>
    </row>
    <row r="38" spans="1:10" s="397" customFormat="1" ht="16.5">
      <c r="A38" s="405" t="s">
        <v>1198</v>
      </c>
      <c r="B38" s="404"/>
      <c r="C38" s="404"/>
      <c r="D38" s="404"/>
      <c r="E38" s="404"/>
      <c r="F38" s="404"/>
      <c r="G38" s="404"/>
      <c r="H38" s="404"/>
      <c r="I38" s="404"/>
      <c r="J38" s="407">
        <f t="shared" si="0"/>
        <v>0</v>
      </c>
    </row>
    <row r="39" spans="1:10" s="397" customFormat="1" ht="16.5">
      <c r="A39" s="405" t="s">
        <v>1199</v>
      </c>
      <c r="B39" s="404"/>
      <c r="C39" s="404"/>
      <c r="D39" s="404"/>
      <c r="E39" s="404"/>
      <c r="F39" s="404"/>
      <c r="G39" s="404"/>
      <c r="H39" s="404"/>
      <c r="I39" s="404"/>
      <c r="J39" s="407">
        <f t="shared" si="0"/>
        <v>0</v>
      </c>
    </row>
    <row r="40" spans="1:10" s="397" customFormat="1" ht="16.5">
      <c r="A40" s="376" t="s">
        <v>1200</v>
      </c>
      <c r="B40" s="408"/>
      <c r="C40" s="404"/>
      <c r="D40" s="404"/>
      <c r="E40" s="404"/>
      <c r="F40" s="404"/>
      <c r="G40" s="404"/>
      <c r="H40" s="404"/>
      <c r="I40" s="404"/>
      <c r="J40" s="416">
        <f>'RP 006'!E64</f>
        <v>0</v>
      </c>
    </row>
    <row r="41" spans="1:10" s="397" customFormat="1" ht="16.5">
      <c r="A41" s="319"/>
      <c r="B41" s="409"/>
      <c r="C41" s="410"/>
      <c r="D41" s="410"/>
      <c r="E41" s="410"/>
      <c r="F41" s="410"/>
      <c r="G41" s="410"/>
      <c r="H41" s="410"/>
      <c r="I41" s="410"/>
      <c r="J41" s="417">
        <f>J38-J40</f>
        <v>0</v>
      </c>
    </row>
    <row r="42" spans="1:10" s="397" customFormat="1" ht="16.5">
      <c r="A42" s="411"/>
      <c r="C42" s="412"/>
      <c r="D42" s="412"/>
      <c r="E42" s="412"/>
      <c r="F42" s="412"/>
      <c r="G42" s="412"/>
      <c r="H42" s="412"/>
      <c r="I42" s="412"/>
      <c r="J42" s="411" t="str">
        <f>IF(J41=0,"OK","NO")</f>
        <v>OK</v>
      </c>
    </row>
    <row r="43" spans="1:10" s="397" customFormat="1" ht="16.5">
      <c r="A43" s="11"/>
      <c r="B43" s="11"/>
      <c r="C43" s="11"/>
      <c r="D43" s="11"/>
      <c r="E43" s="11"/>
      <c r="F43" s="11"/>
      <c r="G43" s="11"/>
      <c r="H43" s="11"/>
      <c r="I43" s="11"/>
      <c r="J43" s="11"/>
    </row>
    <row r="44" spans="1:10" s="397" customFormat="1" ht="16.5">
      <c r="A44" s="256" t="s">
        <v>1201</v>
      </c>
      <c r="B44" s="11"/>
      <c r="C44" s="11"/>
      <c r="D44" s="11"/>
      <c r="E44" s="11"/>
      <c r="F44" s="11"/>
      <c r="G44" s="11"/>
      <c r="H44" s="11"/>
      <c r="I44" s="11"/>
      <c r="J44" s="11"/>
    </row>
    <row r="45" spans="1:10" s="397" customFormat="1" ht="16.5">
      <c r="A45" s="1327" t="s">
        <v>1175</v>
      </c>
      <c r="B45" s="1327" t="s">
        <v>1176</v>
      </c>
      <c r="C45" s="1327"/>
      <c r="D45" s="1327" t="s">
        <v>1177</v>
      </c>
      <c r="E45" s="1327"/>
      <c r="F45" s="1327" t="s">
        <v>1178</v>
      </c>
      <c r="G45" s="1327"/>
      <c r="H45" s="1327" t="s">
        <v>1179</v>
      </c>
      <c r="I45" s="1327"/>
      <c r="J45" s="1327" t="s">
        <v>1180</v>
      </c>
    </row>
    <row r="46" spans="1:10" s="397" customFormat="1" ht="16.5">
      <c r="A46" s="1327"/>
      <c r="B46" s="413" t="s">
        <v>1181</v>
      </c>
      <c r="C46" s="413" t="s">
        <v>896</v>
      </c>
      <c r="D46" s="413" t="s">
        <v>1181</v>
      </c>
      <c r="E46" s="413" t="s">
        <v>896</v>
      </c>
      <c r="F46" s="413" t="s">
        <v>1181</v>
      </c>
      <c r="G46" s="413" t="s">
        <v>896</v>
      </c>
      <c r="H46" s="413" t="s">
        <v>1181</v>
      </c>
      <c r="I46" s="413" t="s">
        <v>896</v>
      </c>
      <c r="J46" s="1327"/>
    </row>
    <row r="47" spans="1:10" s="397" customFormat="1" ht="16.5">
      <c r="A47" s="403" t="s">
        <v>1202</v>
      </c>
      <c r="B47" s="404"/>
      <c r="C47" s="404"/>
      <c r="D47" s="404"/>
      <c r="E47" s="404"/>
      <c r="F47" s="404"/>
      <c r="G47" s="404"/>
      <c r="H47" s="404"/>
      <c r="I47" s="404"/>
      <c r="J47" s="404"/>
    </row>
    <row r="48" spans="1:10" s="397" customFormat="1" ht="16.5">
      <c r="A48" s="403" t="s">
        <v>1203</v>
      </c>
      <c r="B48" s="404"/>
      <c r="C48" s="404"/>
      <c r="D48" s="404"/>
      <c r="E48" s="404"/>
      <c r="F48" s="404"/>
      <c r="G48" s="404"/>
      <c r="H48" s="404"/>
      <c r="I48" s="404"/>
      <c r="J48" s="404"/>
    </row>
    <row r="49" spans="1:10" s="397" customFormat="1" ht="16.5">
      <c r="A49" s="405" t="s">
        <v>1204</v>
      </c>
      <c r="B49" s="404"/>
      <c r="C49" s="404"/>
      <c r="D49" s="404"/>
      <c r="E49" s="404"/>
      <c r="F49" s="404"/>
      <c r="G49" s="404"/>
      <c r="H49" s="404"/>
      <c r="I49" s="404"/>
      <c r="J49" s="404"/>
    </row>
    <row r="50" spans="1:10" s="397" customFormat="1" ht="16.5">
      <c r="A50" s="405" t="s">
        <v>1205</v>
      </c>
      <c r="B50" s="404"/>
      <c r="C50" s="404"/>
      <c r="D50" s="404"/>
      <c r="E50" s="404"/>
      <c r="F50" s="404"/>
      <c r="G50" s="404"/>
      <c r="H50" s="404"/>
      <c r="I50" s="404"/>
      <c r="J50" s="404"/>
    </row>
    <row r="51" spans="1:10" s="397" customFormat="1" ht="16.5">
      <c r="A51" s="405" t="s">
        <v>1206</v>
      </c>
      <c r="B51" s="404"/>
      <c r="C51" s="404"/>
      <c r="D51" s="404"/>
      <c r="E51" s="404"/>
      <c r="F51" s="404"/>
      <c r="G51" s="404"/>
      <c r="H51" s="404"/>
      <c r="I51" s="404"/>
      <c r="J51" s="404"/>
    </row>
    <row r="52" spans="1:10" s="397" customFormat="1" ht="16.5">
      <c r="A52" s="405" t="s">
        <v>1207</v>
      </c>
      <c r="B52" s="404"/>
      <c r="C52" s="404"/>
      <c r="D52" s="404"/>
      <c r="E52" s="404"/>
      <c r="F52" s="404"/>
      <c r="G52" s="404"/>
      <c r="H52" s="404"/>
      <c r="I52" s="404"/>
      <c r="J52" s="404"/>
    </row>
    <row r="53" spans="1:10" s="397" customFormat="1" ht="16.5">
      <c r="A53" s="405" t="s">
        <v>1208</v>
      </c>
      <c r="B53" s="404"/>
      <c r="C53" s="404"/>
      <c r="D53" s="404"/>
      <c r="E53" s="404"/>
      <c r="F53" s="404"/>
      <c r="G53" s="404"/>
      <c r="H53" s="404"/>
      <c r="I53" s="404"/>
      <c r="J53" s="404"/>
    </row>
    <row r="54" spans="1:10" s="397" customFormat="1" ht="16.5">
      <c r="A54" s="405" t="s">
        <v>1209</v>
      </c>
      <c r="B54" s="404"/>
      <c r="C54" s="404"/>
      <c r="D54" s="404"/>
      <c r="E54" s="404"/>
      <c r="F54" s="404"/>
      <c r="G54" s="404"/>
      <c r="H54" s="404"/>
      <c r="I54" s="404"/>
      <c r="J54" s="404"/>
    </row>
    <row r="55" spans="1:10" s="397" customFormat="1" ht="16.5">
      <c r="A55" s="405" t="s">
        <v>896</v>
      </c>
      <c r="B55" s="404"/>
      <c r="C55" s="404"/>
      <c r="D55" s="404"/>
      <c r="E55" s="404"/>
      <c r="F55" s="404"/>
      <c r="G55" s="404"/>
      <c r="H55" s="404"/>
      <c r="I55" s="404"/>
      <c r="J55" s="404"/>
    </row>
    <row r="56" spans="1:10" s="397" customFormat="1" ht="16.5">
      <c r="A56" s="403" t="s">
        <v>1210</v>
      </c>
      <c r="B56" s="404"/>
      <c r="C56" s="404"/>
      <c r="D56" s="404"/>
      <c r="E56" s="404"/>
      <c r="F56" s="404"/>
      <c r="G56" s="404"/>
      <c r="H56" s="404"/>
      <c r="I56" s="404"/>
      <c r="J56" s="404"/>
    </row>
    <row r="57" spans="1:10" s="397" customFormat="1" ht="16.5">
      <c r="A57" s="376" t="s">
        <v>1200</v>
      </c>
      <c r="B57" s="408"/>
      <c r="C57" s="404"/>
      <c r="D57" s="404"/>
      <c r="E57" s="404"/>
      <c r="F57" s="404"/>
      <c r="G57" s="404"/>
      <c r="H57" s="404"/>
      <c r="I57" s="404"/>
      <c r="J57" s="416">
        <f>'RP 006'!E64</f>
        <v>0</v>
      </c>
    </row>
    <row r="58" spans="1:10" s="397" customFormat="1" ht="16.5">
      <c r="A58" s="319"/>
      <c r="B58" s="409"/>
      <c r="C58" s="410"/>
      <c r="D58" s="410"/>
      <c r="E58" s="410"/>
      <c r="F58" s="410"/>
      <c r="G58" s="410"/>
      <c r="H58" s="410"/>
      <c r="I58" s="410"/>
      <c r="J58" s="417">
        <f>J55-J57</f>
        <v>0</v>
      </c>
    </row>
    <row r="59" spans="1:10" s="397" customFormat="1" ht="16.5">
      <c r="A59" s="411"/>
      <c r="C59" s="412"/>
      <c r="D59" s="412"/>
      <c r="E59" s="412"/>
      <c r="F59" s="412"/>
      <c r="G59" s="412"/>
      <c r="H59" s="412"/>
      <c r="I59" s="412"/>
      <c r="J59" s="411" t="str">
        <f>IF(J58=0,"OK","NO")</f>
        <v>OK</v>
      </c>
    </row>
    <row r="60" spans="1:10" s="397" customFormat="1" ht="16.5">
      <c r="A60" s="24"/>
      <c r="B60" s="24"/>
      <c r="C60" s="24"/>
      <c r="D60" s="24"/>
      <c r="E60" s="24"/>
      <c r="F60" s="24"/>
      <c r="G60" s="24"/>
      <c r="H60" s="24"/>
      <c r="I60" s="24"/>
      <c r="J60" s="24"/>
    </row>
    <row r="61" spans="1:10" s="397" customFormat="1" ht="16.5">
      <c r="A61" s="414" t="s">
        <v>1211</v>
      </c>
      <c r="B61" s="24"/>
      <c r="C61" s="24"/>
      <c r="D61" s="24"/>
      <c r="E61" s="24"/>
      <c r="F61" s="24"/>
      <c r="G61" s="24"/>
      <c r="H61" s="24"/>
      <c r="I61" s="24"/>
      <c r="J61" s="24"/>
    </row>
    <row r="62" spans="1:10" s="397" customFormat="1" ht="16.5">
      <c r="A62" s="24"/>
      <c r="B62" s="24"/>
      <c r="C62" s="24"/>
      <c r="D62" s="24"/>
      <c r="E62" s="24"/>
      <c r="F62" s="24"/>
      <c r="G62" s="24"/>
      <c r="H62" s="24"/>
      <c r="I62" s="24"/>
      <c r="J62" s="24"/>
    </row>
    <row r="63" spans="1:10" s="397" customFormat="1" ht="16.5">
      <c r="A63" s="24"/>
      <c r="B63" s="24"/>
      <c r="C63" s="24"/>
      <c r="D63" s="24"/>
      <c r="E63" s="24"/>
      <c r="F63" s="24"/>
      <c r="G63" s="24"/>
      <c r="H63" s="24"/>
      <c r="I63" s="24"/>
      <c r="J63" s="24"/>
    </row>
    <row r="64" spans="1:10" s="397" customFormat="1" ht="16.5">
      <c r="A64" s="24"/>
      <c r="B64" s="24"/>
      <c r="C64" s="24"/>
      <c r="D64" s="24"/>
      <c r="E64" s="24"/>
      <c r="F64" s="24"/>
      <c r="G64" s="24"/>
      <c r="H64" s="24"/>
      <c r="I64" s="24"/>
      <c r="J64" s="24"/>
    </row>
    <row r="65" spans="1:10" s="397" customFormat="1" ht="16.5">
      <c r="A65" s="24"/>
      <c r="B65" s="24"/>
      <c r="C65" s="24"/>
      <c r="D65" s="24"/>
      <c r="E65" s="24"/>
      <c r="F65" s="24"/>
      <c r="G65" s="24"/>
      <c r="H65" s="24"/>
      <c r="I65" s="24"/>
      <c r="J65" s="24"/>
    </row>
    <row r="66" spans="1:10" s="397" customFormat="1" ht="16.5">
      <c r="A66" s="24"/>
      <c r="B66" s="24"/>
      <c r="C66" s="24"/>
      <c r="D66" s="24"/>
      <c r="E66" s="24"/>
      <c r="F66" s="24"/>
      <c r="G66" s="24"/>
      <c r="H66" s="24"/>
      <c r="I66" s="24"/>
      <c r="J66" s="24"/>
    </row>
    <row r="67" spans="1:10" s="397" customFormat="1" ht="16.5">
      <c r="A67" s="24"/>
      <c r="B67" s="24"/>
      <c r="C67" s="24"/>
      <c r="D67" s="24"/>
      <c r="E67" s="24"/>
      <c r="F67" s="24"/>
      <c r="G67" s="24"/>
      <c r="H67" s="24"/>
      <c r="I67" s="24"/>
      <c r="J67" s="24"/>
    </row>
    <row r="68" spans="1:10" s="397" customFormat="1" ht="16.5">
      <c r="A68" s="24"/>
      <c r="B68" s="24"/>
      <c r="C68" s="24"/>
      <c r="D68" s="24"/>
      <c r="E68" s="24"/>
      <c r="F68" s="24"/>
      <c r="G68" s="24"/>
      <c r="H68" s="24"/>
      <c r="I68" s="24"/>
      <c r="J68" s="24"/>
    </row>
    <row r="69" spans="1:10" s="397" customFormat="1" ht="16.5">
      <c r="A69" s="24"/>
      <c r="B69" s="24"/>
      <c r="C69" s="24"/>
      <c r="D69" s="24"/>
      <c r="E69" s="24"/>
      <c r="F69" s="24"/>
      <c r="G69" s="24"/>
      <c r="H69" s="24"/>
      <c r="I69" s="24"/>
      <c r="J69" s="24"/>
    </row>
    <row r="70" spans="1:10" s="397" customFormat="1" ht="16.5"/>
    <row r="71" spans="1:10" s="397" customFormat="1" ht="16.5"/>
    <row r="72" spans="1:10" s="397" customFormat="1" ht="16.5"/>
    <row r="73" spans="1:10" s="397" customFormat="1" ht="16.5"/>
    <row r="74" spans="1:10" s="397" customFormat="1" ht="16.5"/>
    <row r="75" spans="1:10" s="397" customFormat="1" ht="16.5"/>
    <row r="76" spans="1:10" s="397" customFormat="1" ht="16.5"/>
    <row r="77" spans="1:10" s="397" customFormat="1" ht="16.5"/>
    <row r="78" spans="1:10" s="397" customFormat="1" ht="16.5"/>
    <row r="79" spans="1:10" s="397" customFormat="1" ht="16.5"/>
    <row r="80" spans="1:10" s="397" customFormat="1" ht="16.5"/>
  </sheetData>
  <mergeCells count="12">
    <mergeCell ref="A4:A5"/>
    <mergeCell ref="A45:A46"/>
    <mergeCell ref="J4:J5"/>
    <mergeCell ref="J45:J46"/>
    <mergeCell ref="B4:C4"/>
    <mergeCell ref="D4:E4"/>
    <mergeCell ref="F4:G4"/>
    <mergeCell ref="H4:I4"/>
    <mergeCell ref="B45:C45"/>
    <mergeCell ref="D45:E45"/>
    <mergeCell ref="F45:G45"/>
    <mergeCell ref="H45:I45"/>
  </mergeCells>
  <phoneticPr fontId="76" type="noConversion"/>
  <pageMargins left="0.70763888888888904" right="0.70763888888888904" top="0.74791666666666701" bottom="0.74791666666666701" header="0.31388888888888899" footer="0.31388888888888899"/>
  <pageSetup paperSize="9" scale="64" orientation="landscape" blackAndWhite="1" horizontalDpi="1200" verticalDpi="1200" r:id="rId1"/>
  <rowBreaks count="1" manualBreakCount="1">
    <brk id="42" max="9" man="1"/>
  </rowBreaks>
  <colBreaks count="1" manualBreakCount="1">
    <brk id="10" max="60" man="1"/>
  </col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5"/>
  <sheetViews>
    <sheetView view="pageBreakPreview" zoomScaleNormal="100" zoomScaleSheetLayoutView="100" workbookViewId="0">
      <selection activeCell="F44" sqref="F44"/>
    </sheetView>
  </sheetViews>
  <sheetFormatPr defaultColWidth="9" defaultRowHeight="20.100000000000001" customHeight="1"/>
  <cols>
    <col min="1" max="1" width="20.75" style="11" customWidth="1"/>
    <col min="2" max="2" width="27.25" style="11" customWidth="1"/>
    <col min="3" max="6" width="15.75" style="11" customWidth="1"/>
    <col min="7" max="7" width="19.875" style="116" customWidth="1"/>
    <col min="8" max="11" width="9" style="116"/>
    <col min="12" max="16384" width="9" style="11"/>
  </cols>
  <sheetData>
    <row r="1" spans="1:7" ht="20.100000000000001" customHeight="1">
      <c r="A1" s="54" t="s">
        <v>145</v>
      </c>
      <c r="B1" s="55">
        <f>基础信息!B6</f>
        <v>0</v>
      </c>
      <c r="C1" s="128"/>
      <c r="D1" s="128"/>
      <c r="E1" s="369"/>
      <c r="F1" s="128"/>
    </row>
    <row r="2" spans="1:7" ht="20.100000000000001" customHeight="1">
      <c r="A2" s="54" t="s">
        <v>147</v>
      </c>
      <c r="B2" s="55">
        <f>基础信息!B9</f>
        <v>0</v>
      </c>
      <c r="C2" s="128"/>
      <c r="D2" s="128"/>
      <c r="E2" s="128"/>
      <c r="F2" s="128"/>
    </row>
    <row r="3" spans="1:7" ht="20.100000000000001" customHeight="1">
      <c r="A3" s="97" t="s">
        <v>148</v>
      </c>
      <c r="B3" s="97" t="s">
        <v>1212</v>
      </c>
      <c r="C3" s="128"/>
      <c r="D3" s="128"/>
      <c r="E3" s="128"/>
      <c r="F3" s="128"/>
    </row>
    <row r="4" spans="1:7" s="378" customFormat="1" ht="18" customHeight="1">
      <c r="A4" s="216" t="s">
        <v>1213</v>
      </c>
      <c r="B4" s="216"/>
      <c r="C4" s="216"/>
      <c r="D4" s="216"/>
      <c r="E4" s="216"/>
      <c r="F4" s="216"/>
    </row>
    <row r="5" spans="1:7" s="218" customFormat="1" ht="18" customHeight="1">
      <c r="A5" s="231" t="s">
        <v>1214</v>
      </c>
      <c r="B5" s="231" t="s">
        <v>1074</v>
      </c>
      <c r="C5" s="231" t="s">
        <v>1215</v>
      </c>
      <c r="D5" s="231" t="s">
        <v>1216</v>
      </c>
      <c r="E5" s="231" t="s">
        <v>896</v>
      </c>
      <c r="F5" s="231" t="s">
        <v>1076</v>
      </c>
    </row>
    <row r="6" spans="1:7" s="219" customFormat="1" ht="18" customHeight="1">
      <c r="A6" s="389" t="s">
        <v>1217</v>
      </c>
      <c r="B6" s="390"/>
      <c r="C6" s="390"/>
      <c r="D6" s="390"/>
      <c r="E6" s="390"/>
      <c r="F6" s="391">
        <f>SUM(B6:E6)</f>
        <v>0</v>
      </c>
    </row>
    <row r="7" spans="1:7" s="219" customFormat="1" ht="18" customHeight="1">
      <c r="A7" s="233" t="s">
        <v>1218</v>
      </c>
      <c r="B7" s="390"/>
      <c r="C7" s="390"/>
      <c r="D7" s="390"/>
      <c r="E7" s="390"/>
      <c r="F7" s="391">
        <f t="shared" ref="F7:F43" si="0">SUM(B7:E7)</f>
        <v>0</v>
      </c>
    </row>
    <row r="8" spans="1:7" s="219" customFormat="1" ht="18" customHeight="1">
      <c r="A8" s="233" t="s">
        <v>1219</v>
      </c>
      <c r="B8" s="391">
        <f>SUM(B9:B13)</f>
        <v>0</v>
      </c>
      <c r="C8" s="391">
        <f t="shared" ref="C8:E8" si="1">SUM(C9:C13)</f>
        <v>0</v>
      </c>
      <c r="D8" s="391">
        <f t="shared" si="1"/>
        <v>0</v>
      </c>
      <c r="E8" s="391">
        <f t="shared" si="1"/>
        <v>0</v>
      </c>
      <c r="F8" s="391">
        <f t="shared" si="0"/>
        <v>0</v>
      </c>
    </row>
    <row r="9" spans="1:7" s="219" customFormat="1" ht="18" customHeight="1">
      <c r="A9" s="233" t="s">
        <v>1220</v>
      </c>
      <c r="B9" s="390"/>
      <c r="C9" s="390"/>
      <c r="D9" s="390"/>
      <c r="E9" s="390"/>
      <c r="F9" s="391">
        <f t="shared" si="0"/>
        <v>0</v>
      </c>
      <c r="G9" s="11"/>
    </row>
    <row r="10" spans="1:7" s="219" customFormat="1" ht="18" customHeight="1">
      <c r="A10" s="233" t="s">
        <v>1221</v>
      </c>
      <c r="B10" s="390"/>
      <c r="C10" s="390"/>
      <c r="D10" s="390"/>
      <c r="E10" s="390"/>
      <c r="F10" s="391">
        <f t="shared" si="0"/>
        <v>0</v>
      </c>
    </row>
    <row r="11" spans="1:7" s="219" customFormat="1" ht="18" customHeight="1">
      <c r="A11" s="233" t="s">
        <v>1222</v>
      </c>
      <c r="B11" s="390"/>
      <c r="C11" s="390"/>
      <c r="D11" s="390"/>
      <c r="E11" s="390"/>
      <c r="F11" s="391">
        <f t="shared" si="0"/>
        <v>0</v>
      </c>
    </row>
    <row r="12" spans="1:7" s="219" customFormat="1" ht="18" customHeight="1">
      <c r="A12" s="233" t="s">
        <v>1223</v>
      </c>
      <c r="B12" s="390"/>
      <c r="C12" s="390"/>
      <c r="D12" s="390"/>
      <c r="E12" s="390"/>
      <c r="F12" s="391">
        <f t="shared" si="0"/>
        <v>0</v>
      </c>
    </row>
    <row r="13" spans="1:7" s="219" customFormat="1" ht="18" customHeight="1">
      <c r="A13" s="233" t="s">
        <v>1224</v>
      </c>
      <c r="B13" s="390"/>
      <c r="C13" s="390"/>
      <c r="D13" s="390"/>
      <c r="E13" s="390"/>
      <c r="F13" s="391">
        <f t="shared" si="0"/>
        <v>0</v>
      </c>
    </row>
    <row r="14" spans="1:7" s="219" customFormat="1" ht="18" customHeight="1">
      <c r="A14" s="233" t="s">
        <v>1225</v>
      </c>
      <c r="B14" s="391">
        <f>SUM(B15:B17)</f>
        <v>0</v>
      </c>
      <c r="C14" s="391">
        <f t="shared" ref="C14:F14" si="2">SUM(C15:C17)</f>
        <v>0</v>
      </c>
      <c r="D14" s="391">
        <f t="shared" si="2"/>
        <v>0</v>
      </c>
      <c r="E14" s="391">
        <f t="shared" si="2"/>
        <v>0</v>
      </c>
      <c r="F14" s="391">
        <f t="shared" si="2"/>
        <v>0</v>
      </c>
    </row>
    <row r="15" spans="1:7" s="219" customFormat="1" ht="18" customHeight="1">
      <c r="A15" s="233" t="s">
        <v>1226</v>
      </c>
      <c r="B15" s="390"/>
      <c r="C15" s="390"/>
      <c r="D15" s="390"/>
      <c r="E15" s="390"/>
      <c r="F15" s="391">
        <f t="shared" si="0"/>
        <v>0</v>
      </c>
    </row>
    <row r="16" spans="1:7" s="219" customFormat="1" ht="18" customHeight="1">
      <c r="A16" s="233" t="s">
        <v>1227</v>
      </c>
      <c r="B16" s="390"/>
      <c r="C16" s="390"/>
      <c r="D16" s="390"/>
      <c r="E16" s="390"/>
      <c r="F16" s="391">
        <f t="shared" si="0"/>
        <v>0</v>
      </c>
    </row>
    <row r="17" spans="1:6" s="219" customFormat="1" ht="18" customHeight="1">
      <c r="A17" s="233" t="s">
        <v>896</v>
      </c>
      <c r="B17" s="390"/>
      <c r="C17" s="390"/>
      <c r="D17" s="390"/>
      <c r="E17" s="390"/>
      <c r="F17" s="391">
        <f t="shared" si="0"/>
        <v>0</v>
      </c>
    </row>
    <row r="18" spans="1:6" s="219" customFormat="1" ht="18" customHeight="1">
      <c r="A18" s="233" t="s">
        <v>1228</v>
      </c>
      <c r="B18" s="391">
        <f>B7+B8-B14</f>
        <v>0</v>
      </c>
      <c r="C18" s="391">
        <f t="shared" ref="C18:E18" si="3">C7+C8-C14</f>
        <v>0</v>
      </c>
      <c r="D18" s="391">
        <f t="shared" si="3"/>
        <v>0</v>
      </c>
      <c r="E18" s="391">
        <f t="shared" si="3"/>
        <v>0</v>
      </c>
      <c r="F18" s="391">
        <f t="shared" si="0"/>
        <v>0</v>
      </c>
    </row>
    <row r="19" spans="1:6" s="219" customFormat="1" ht="18" customHeight="1">
      <c r="A19" s="389" t="s">
        <v>1229</v>
      </c>
      <c r="B19" s="390"/>
      <c r="C19" s="390"/>
      <c r="D19" s="390"/>
      <c r="E19" s="390"/>
      <c r="F19" s="391">
        <f t="shared" si="0"/>
        <v>0</v>
      </c>
    </row>
    <row r="20" spans="1:6" s="219" customFormat="1" ht="18" customHeight="1">
      <c r="A20" s="233" t="s">
        <v>1218</v>
      </c>
      <c r="B20" s="390"/>
      <c r="C20" s="390"/>
      <c r="D20" s="390"/>
      <c r="E20" s="390"/>
      <c r="F20" s="391">
        <f t="shared" si="0"/>
        <v>0</v>
      </c>
    </row>
    <row r="21" spans="1:6" s="219" customFormat="1" ht="18" customHeight="1">
      <c r="A21" s="233" t="s">
        <v>1219</v>
      </c>
      <c r="B21" s="391">
        <f>SUM(B22:B24)</f>
        <v>0</v>
      </c>
      <c r="C21" s="391">
        <f t="shared" ref="C21:E21" si="4">SUM(C22:C24)</f>
        <v>0</v>
      </c>
      <c r="D21" s="391">
        <f t="shared" si="4"/>
        <v>0</v>
      </c>
      <c r="E21" s="391">
        <f t="shared" si="4"/>
        <v>0</v>
      </c>
      <c r="F21" s="391">
        <f t="shared" si="0"/>
        <v>0</v>
      </c>
    </row>
    <row r="22" spans="1:6" s="219" customFormat="1" ht="18" customHeight="1">
      <c r="A22" s="233" t="s">
        <v>1230</v>
      </c>
      <c r="B22" s="390"/>
      <c r="C22" s="390"/>
      <c r="D22" s="390"/>
      <c r="E22" s="390"/>
      <c r="F22" s="391">
        <f t="shared" si="0"/>
        <v>0</v>
      </c>
    </row>
    <row r="23" spans="1:6" s="219" customFormat="1" ht="18" customHeight="1">
      <c r="A23" s="233" t="s">
        <v>1231</v>
      </c>
      <c r="B23" s="390"/>
      <c r="C23" s="390"/>
      <c r="D23" s="390"/>
      <c r="E23" s="390"/>
      <c r="F23" s="391">
        <f t="shared" si="0"/>
        <v>0</v>
      </c>
    </row>
    <row r="24" spans="1:6" s="219" customFormat="1" ht="18" customHeight="1">
      <c r="A24" s="233" t="s">
        <v>1224</v>
      </c>
      <c r="B24" s="390"/>
      <c r="C24" s="390"/>
      <c r="D24" s="390"/>
      <c r="E24" s="390"/>
      <c r="F24" s="391">
        <f t="shared" si="0"/>
        <v>0</v>
      </c>
    </row>
    <row r="25" spans="1:6" s="219" customFormat="1" ht="18" customHeight="1">
      <c r="A25" s="233" t="s">
        <v>1225</v>
      </c>
      <c r="B25" s="391">
        <f>SUM(B26:B28)</f>
        <v>0</v>
      </c>
      <c r="C25" s="391">
        <f t="shared" ref="C25:E25" si="5">SUM(C26:C28)</f>
        <v>0</v>
      </c>
      <c r="D25" s="391">
        <f t="shared" si="5"/>
        <v>0</v>
      </c>
      <c r="E25" s="391">
        <f t="shared" si="5"/>
        <v>0</v>
      </c>
      <c r="F25" s="391">
        <f t="shared" si="0"/>
        <v>0</v>
      </c>
    </row>
    <row r="26" spans="1:6" s="219" customFormat="1" ht="18" customHeight="1">
      <c r="A26" s="233" t="s">
        <v>1226</v>
      </c>
      <c r="B26" s="390"/>
      <c r="C26" s="390"/>
      <c r="D26" s="390"/>
      <c r="E26" s="390"/>
      <c r="F26" s="391">
        <f t="shared" si="0"/>
        <v>0</v>
      </c>
    </row>
    <row r="27" spans="1:6" s="219" customFormat="1" ht="18" customHeight="1">
      <c r="A27" s="233" t="s">
        <v>1227</v>
      </c>
      <c r="B27" s="390"/>
      <c r="C27" s="390"/>
      <c r="D27" s="390"/>
      <c r="E27" s="390"/>
      <c r="F27" s="391">
        <f t="shared" si="0"/>
        <v>0</v>
      </c>
    </row>
    <row r="28" spans="1:6" s="219" customFormat="1" ht="18" customHeight="1">
      <c r="A28" s="233" t="s">
        <v>896</v>
      </c>
      <c r="B28" s="390"/>
      <c r="C28" s="390"/>
      <c r="D28" s="390"/>
      <c r="E28" s="390"/>
      <c r="F28" s="391">
        <f t="shared" si="0"/>
        <v>0</v>
      </c>
    </row>
    <row r="29" spans="1:6" s="219" customFormat="1" ht="18" customHeight="1">
      <c r="A29" s="233" t="s">
        <v>1232</v>
      </c>
      <c r="B29" s="391">
        <f>B7+B8-B14</f>
        <v>0</v>
      </c>
      <c r="C29" s="391">
        <f t="shared" ref="C29:E29" si="6">C7+C8-C14</f>
        <v>0</v>
      </c>
      <c r="D29" s="391">
        <f t="shared" si="6"/>
        <v>0</v>
      </c>
      <c r="E29" s="391">
        <f t="shared" si="6"/>
        <v>0</v>
      </c>
      <c r="F29" s="391">
        <f t="shared" si="0"/>
        <v>0</v>
      </c>
    </row>
    <row r="30" spans="1:6" s="219" customFormat="1" ht="18" customHeight="1">
      <c r="A30" s="389" t="s">
        <v>1113</v>
      </c>
      <c r="B30" s="390"/>
      <c r="C30" s="390"/>
      <c r="D30" s="390"/>
      <c r="E30" s="390"/>
      <c r="F30" s="391">
        <f t="shared" si="0"/>
        <v>0</v>
      </c>
    </row>
    <row r="31" spans="1:6" s="219" customFormat="1" ht="18" customHeight="1">
      <c r="A31" s="233" t="s">
        <v>1218</v>
      </c>
      <c r="B31" s="390"/>
      <c r="C31" s="390"/>
      <c r="D31" s="390"/>
      <c r="E31" s="390"/>
      <c r="F31" s="391">
        <f t="shared" si="0"/>
        <v>0</v>
      </c>
    </row>
    <row r="32" spans="1:6" s="219" customFormat="1" ht="18" customHeight="1">
      <c r="A32" s="233" t="s">
        <v>1219</v>
      </c>
      <c r="B32" s="391">
        <f>SUM(B33:B35)</f>
        <v>0</v>
      </c>
      <c r="C32" s="391">
        <f t="shared" ref="C32:E32" si="7">SUM(C33:C35)</f>
        <v>0</v>
      </c>
      <c r="D32" s="391">
        <f t="shared" si="7"/>
        <v>0</v>
      </c>
      <c r="E32" s="391">
        <f t="shared" si="7"/>
        <v>0</v>
      </c>
      <c r="F32" s="391">
        <f t="shared" si="0"/>
        <v>0</v>
      </c>
    </row>
    <row r="33" spans="1:11" s="219" customFormat="1" ht="18" customHeight="1">
      <c r="A33" s="233" t="s">
        <v>1233</v>
      </c>
      <c r="B33" s="390"/>
      <c r="C33" s="390"/>
      <c r="D33" s="390"/>
      <c r="E33" s="390"/>
      <c r="F33" s="391">
        <f t="shared" si="0"/>
        <v>0</v>
      </c>
    </row>
    <row r="34" spans="1:11" s="219" customFormat="1" ht="18" customHeight="1">
      <c r="A34" s="233" t="s">
        <v>1231</v>
      </c>
      <c r="B34" s="390"/>
      <c r="C34" s="390"/>
      <c r="D34" s="390"/>
      <c r="E34" s="390"/>
      <c r="F34" s="391">
        <f t="shared" si="0"/>
        <v>0</v>
      </c>
    </row>
    <row r="35" spans="1:11" s="219" customFormat="1" ht="18" customHeight="1">
      <c r="A35" s="233" t="s">
        <v>1224</v>
      </c>
      <c r="B35" s="390"/>
      <c r="C35" s="390"/>
      <c r="D35" s="390"/>
      <c r="E35" s="390"/>
      <c r="F35" s="391">
        <f t="shared" si="0"/>
        <v>0</v>
      </c>
    </row>
    <row r="36" spans="1:11" s="219" customFormat="1" ht="18" customHeight="1">
      <c r="A36" s="233" t="s">
        <v>1225</v>
      </c>
      <c r="B36" s="391">
        <f>SUM(B37:B39)</f>
        <v>0</v>
      </c>
      <c r="C36" s="391">
        <f t="shared" ref="C36:E36" si="8">SUM(C37:C39)</f>
        <v>0</v>
      </c>
      <c r="D36" s="391">
        <f t="shared" si="8"/>
        <v>0</v>
      </c>
      <c r="E36" s="391">
        <f t="shared" si="8"/>
        <v>0</v>
      </c>
      <c r="F36" s="391">
        <f t="shared" si="0"/>
        <v>0</v>
      </c>
    </row>
    <row r="37" spans="1:11" s="219" customFormat="1" ht="18" customHeight="1">
      <c r="A37" s="233" t="s">
        <v>1226</v>
      </c>
      <c r="B37" s="390"/>
      <c r="C37" s="390"/>
      <c r="D37" s="390"/>
      <c r="E37" s="390"/>
      <c r="F37" s="391">
        <f t="shared" si="0"/>
        <v>0</v>
      </c>
    </row>
    <row r="38" spans="1:11" s="219" customFormat="1" ht="18" customHeight="1">
      <c r="A38" s="233" t="s">
        <v>1227</v>
      </c>
      <c r="B38" s="390"/>
      <c r="C38" s="390"/>
      <c r="D38" s="390"/>
      <c r="E38" s="390"/>
      <c r="F38" s="391">
        <f t="shared" si="0"/>
        <v>0</v>
      </c>
    </row>
    <row r="39" spans="1:11" s="219" customFormat="1" ht="18" customHeight="1">
      <c r="A39" s="233" t="s">
        <v>896</v>
      </c>
      <c r="B39" s="390"/>
      <c r="C39" s="390"/>
      <c r="D39" s="390"/>
      <c r="E39" s="390"/>
      <c r="F39" s="391">
        <f t="shared" si="0"/>
        <v>0</v>
      </c>
    </row>
    <row r="40" spans="1:11" s="219" customFormat="1" ht="18" customHeight="1">
      <c r="A40" s="233" t="s">
        <v>1232</v>
      </c>
      <c r="B40" s="391">
        <f>B31+B32-B36</f>
        <v>0</v>
      </c>
      <c r="C40" s="391">
        <f t="shared" ref="C40:F40" si="9">C31+C32-C36</f>
        <v>0</v>
      </c>
      <c r="D40" s="391">
        <f t="shared" si="9"/>
        <v>0</v>
      </c>
      <c r="E40" s="391">
        <f t="shared" si="9"/>
        <v>0</v>
      </c>
      <c r="F40" s="391">
        <f t="shared" si="9"/>
        <v>0</v>
      </c>
    </row>
    <row r="41" spans="1:11" s="219" customFormat="1" ht="18" customHeight="1">
      <c r="A41" s="389" t="s">
        <v>1115</v>
      </c>
      <c r="B41" s="390"/>
      <c r="C41" s="390"/>
      <c r="D41" s="390"/>
      <c r="E41" s="390"/>
      <c r="F41" s="391">
        <f t="shared" si="0"/>
        <v>0</v>
      </c>
    </row>
    <row r="42" spans="1:11" s="219" customFormat="1" ht="18" customHeight="1">
      <c r="A42" s="233" t="s">
        <v>1234</v>
      </c>
      <c r="B42" s="391">
        <f>B18-B29-B40</f>
        <v>0</v>
      </c>
      <c r="C42" s="391">
        <f t="shared" ref="C42:E42" si="10">C18-C29-C40</f>
        <v>0</v>
      </c>
      <c r="D42" s="391">
        <f t="shared" si="10"/>
        <v>0</v>
      </c>
      <c r="E42" s="391">
        <f t="shared" si="10"/>
        <v>0</v>
      </c>
      <c r="F42" s="391">
        <f t="shared" si="0"/>
        <v>0</v>
      </c>
    </row>
    <row r="43" spans="1:11" s="219" customFormat="1" ht="18" customHeight="1">
      <c r="A43" s="233" t="s">
        <v>1235</v>
      </c>
      <c r="B43" s="391">
        <f>B7-B20-B31</f>
        <v>0</v>
      </c>
      <c r="C43" s="391">
        <f t="shared" ref="C43:E43" si="11">C7-C20-C31</f>
        <v>0</v>
      </c>
      <c r="D43" s="391">
        <f t="shared" si="11"/>
        <v>0</v>
      </c>
      <c r="E43" s="391">
        <f t="shared" si="11"/>
        <v>0</v>
      </c>
      <c r="F43" s="391">
        <f t="shared" si="0"/>
        <v>0</v>
      </c>
    </row>
    <row r="44" spans="1:11" s="388" customFormat="1" ht="16.5">
      <c r="A44" s="225" t="s">
        <v>649</v>
      </c>
      <c r="B44" s="370"/>
      <c r="C44" s="139"/>
      <c r="D44" s="198"/>
      <c r="E44" s="198"/>
      <c r="F44" s="285">
        <f>'RP 006'!E68</f>
        <v>0</v>
      </c>
      <c r="G44" s="11"/>
      <c r="H44" s="392"/>
      <c r="I44" s="392"/>
      <c r="J44" s="392"/>
      <c r="K44" s="392"/>
    </row>
    <row r="45" spans="1:11" s="388" customFormat="1" ht="16.5">
      <c r="A45" s="371"/>
      <c r="B45" s="372"/>
      <c r="C45" s="386"/>
      <c r="D45" s="199"/>
      <c r="E45" s="199"/>
      <c r="F45" s="277">
        <f>E42-F44</f>
        <v>0</v>
      </c>
      <c r="G45" s="11"/>
      <c r="H45" s="392"/>
      <c r="I45" s="392"/>
      <c r="J45" s="392"/>
      <c r="K45" s="392"/>
    </row>
    <row r="46" spans="1:11" s="388" customFormat="1" ht="16.5">
      <c r="A46" s="227"/>
      <c r="B46" s="227"/>
      <c r="C46" s="381"/>
      <c r="D46" s="368"/>
      <c r="E46" s="368"/>
      <c r="F46" s="227" t="str">
        <f>IF(F45=0,"OK","NO")</f>
        <v>OK</v>
      </c>
      <c r="G46" s="11"/>
      <c r="H46" s="392"/>
      <c r="I46" s="392"/>
      <c r="J46" s="392"/>
      <c r="K46" s="392"/>
    </row>
    <row r="47" spans="1:11" s="219" customFormat="1" ht="18" customHeight="1">
      <c r="A47" s="218" t="s">
        <v>1236</v>
      </c>
      <c r="B47" s="218"/>
      <c r="C47" s="218"/>
      <c r="D47" s="218"/>
      <c r="E47" s="218"/>
      <c r="F47" s="218"/>
    </row>
    <row r="48" spans="1:11" s="219" customFormat="1" ht="18" customHeight="1">
      <c r="A48" s="1329" t="s">
        <v>1237</v>
      </c>
      <c r="B48" s="1329"/>
      <c r="C48" s="1329"/>
      <c r="D48" s="1329"/>
      <c r="E48" s="1329"/>
      <c r="F48" s="1329"/>
    </row>
    <row r="49" spans="1:11" s="219" customFormat="1" ht="18" customHeight="1">
      <c r="A49" s="1320" t="s">
        <v>1238</v>
      </c>
      <c r="B49" s="1320"/>
      <c r="C49" s="1320"/>
      <c r="D49" s="1320"/>
      <c r="E49" s="1320"/>
      <c r="F49" s="1320"/>
    </row>
    <row r="50" spans="1:11" s="219" customFormat="1" ht="18" customHeight="1">
      <c r="A50" s="1320" t="s">
        <v>1239</v>
      </c>
      <c r="B50" s="1320"/>
      <c r="C50" s="1320"/>
      <c r="D50" s="1320"/>
      <c r="E50" s="1320"/>
      <c r="F50" s="1320"/>
    </row>
    <row r="51" spans="1:11" s="219" customFormat="1" ht="18" customHeight="1">
      <c r="A51" s="1320" t="s">
        <v>1240</v>
      </c>
      <c r="B51" s="1320"/>
      <c r="C51" s="1320"/>
      <c r="D51" s="1320"/>
      <c r="E51" s="1320"/>
      <c r="F51" s="1320"/>
    </row>
    <row r="52" spans="1:11" s="219" customFormat="1" ht="31.5" customHeight="1">
      <c r="A52" s="1330" t="s">
        <v>1241</v>
      </c>
      <c r="B52" s="1330"/>
      <c r="C52" s="1330"/>
      <c r="D52" s="1330"/>
      <c r="E52" s="1330"/>
      <c r="F52" s="1330"/>
    </row>
    <row r="53" spans="1:11" s="219" customFormat="1" ht="17.25" customHeight="1">
      <c r="A53" s="241"/>
      <c r="B53" s="241"/>
      <c r="C53" s="241"/>
      <c r="D53" s="241"/>
      <c r="E53" s="241"/>
      <c r="F53" s="241"/>
    </row>
    <row r="54" spans="1:11" s="219" customFormat="1" ht="17.25" customHeight="1">
      <c r="A54" s="241"/>
      <c r="B54" s="241"/>
      <c r="C54" s="241"/>
      <c r="D54" s="241"/>
      <c r="E54" s="241"/>
      <c r="F54" s="241"/>
    </row>
    <row r="55" spans="1:11" s="219" customFormat="1" ht="18" customHeight="1">
      <c r="A55" s="1328" t="s">
        <v>1242</v>
      </c>
      <c r="B55" s="1328"/>
      <c r="C55" s="1328"/>
      <c r="D55" s="1328"/>
      <c r="E55" s="1328"/>
      <c r="F55" s="1328"/>
    </row>
    <row r="56" spans="1:11" s="219" customFormat="1" ht="18" customHeight="1">
      <c r="A56" s="1320" t="s">
        <v>1243</v>
      </c>
      <c r="B56" s="1320"/>
      <c r="C56" s="1320"/>
      <c r="D56" s="1320"/>
      <c r="E56" s="1320"/>
      <c r="F56" s="1320"/>
    </row>
    <row r="57" spans="1:11" s="219" customFormat="1" ht="30" customHeight="1">
      <c r="A57" s="231" t="s">
        <v>1244</v>
      </c>
      <c r="B57" s="231" t="s">
        <v>917</v>
      </c>
      <c r="C57" s="175" t="s">
        <v>1245</v>
      </c>
      <c r="D57" s="218"/>
      <c r="E57" s="218"/>
      <c r="F57" s="218"/>
    </row>
    <row r="58" spans="1:11" s="219" customFormat="1" ht="18" customHeight="1">
      <c r="A58" s="393"/>
      <c r="B58" s="393"/>
      <c r="C58" s="393"/>
    </row>
    <row r="59" spans="1:11" s="219" customFormat="1" ht="18" customHeight="1">
      <c r="A59" s="393"/>
      <c r="B59" s="393"/>
      <c r="C59" s="393"/>
    </row>
    <row r="60" spans="1:11" s="219" customFormat="1" ht="18" customHeight="1">
      <c r="A60" s="393"/>
      <c r="B60" s="394"/>
      <c r="C60" s="393"/>
    </row>
    <row r="61" spans="1:11" s="219" customFormat="1" ht="16.5">
      <c r="A61" s="395"/>
      <c r="B61" s="395"/>
      <c r="C61" s="395"/>
    </row>
    <row r="62" spans="1:11" ht="20.100000000000001" customHeight="1">
      <c r="A62" s="105"/>
      <c r="B62" s="105"/>
      <c r="C62" s="105"/>
      <c r="F62" s="116"/>
      <c r="K62" s="11"/>
    </row>
    <row r="63" spans="1:11" ht="20.100000000000001" customHeight="1">
      <c r="A63" s="105"/>
      <c r="B63" s="105"/>
      <c r="C63" s="105"/>
      <c r="F63" s="116"/>
      <c r="K63" s="11"/>
    </row>
    <row r="64" spans="1:11" ht="20.100000000000001" customHeight="1">
      <c r="A64" s="105"/>
      <c r="B64" s="105"/>
      <c r="C64" s="105"/>
      <c r="F64" s="116"/>
      <c r="K64" s="11"/>
    </row>
    <row r="65" spans="6:11" ht="20.100000000000001" customHeight="1">
      <c r="F65" s="116"/>
      <c r="K65" s="11"/>
    </row>
    <row r="66" spans="6:11" ht="20.100000000000001" customHeight="1">
      <c r="F66" s="116"/>
      <c r="K66" s="11"/>
    </row>
    <row r="67" spans="6:11" ht="20.100000000000001" customHeight="1">
      <c r="F67" s="116"/>
      <c r="K67" s="11"/>
    </row>
    <row r="68" spans="6:11" ht="20.100000000000001" customHeight="1">
      <c r="F68" s="116"/>
      <c r="K68" s="11"/>
    </row>
    <row r="69" spans="6:11" ht="20.100000000000001" customHeight="1">
      <c r="F69" s="116"/>
      <c r="K69" s="11"/>
    </row>
    <row r="70" spans="6:11" ht="20.100000000000001" customHeight="1">
      <c r="F70" s="116"/>
      <c r="K70" s="11"/>
    </row>
    <row r="71" spans="6:11" ht="20.100000000000001" customHeight="1">
      <c r="F71" s="116"/>
      <c r="K71" s="11"/>
    </row>
    <row r="72" spans="6:11" ht="20.100000000000001" customHeight="1">
      <c r="F72" s="116"/>
      <c r="K72" s="11"/>
    </row>
    <row r="73" spans="6:11" ht="20.100000000000001" customHeight="1">
      <c r="F73" s="116"/>
      <c r="K73" s="11"/>
    </row>
    <row r="74" spans="6:11" ht="20.100000000000001" customHeight="1">
      <c r="F74" s="116"/>
      <c r="K74" s="11"/>
    </row>
    <row r="75" spans="6:11" ht="20.100000000000001" customHeight="1">
      <c r="F75" s="116"/>
      <c r="K75" s="11"/>
    </row>
    <row r="76" spans="6:11" ht="20.100000000000001" customHeight="1">
      <c r="F76" s="116"/>
      <c r="K76" s="11"/>
    </row>
    <row r="77" spans="6:11" ht="20.100000000000001" customHeight="1">
      <c r="F77" s="116"/>
      <c r="K77" s="11"/>
    </row>
    <row r="78" spans="6:11" ht="20.100000000000001" customHeight="1">
      <c r="F78" s="116"/>
      <c r="K78" s="11"/>
    </row>
    <row r="79" spans="6:11" ht="20.100000000000001" customHeight="1">
      <c r="F79" s="116"/>
      <c r="K79" s="11"/>
    </row>
    <row r="80" spans="6:11" ht="20.100000000000001" customHeight="1">
      <c r="F80" s="116"/>
      <c r="K80" s="11"/>
    </row>
    <row r="81" spans="6:11" ht="20.100000000000001" customHeight="1">
      <c r="F81" s="116"/>
      <c r="K81" s="11"/>
    </row>
    <row r="82" spans="6:11" ht="20.100000000000001" customHeight="1">
      <c r="F82" s="116"/>
      <c r="K82" s="11"/>
    </row>
    <row r="83" spans="6:11" ht="20.100000000000001" customHeight="1">
      <c r="F83" s="116"/>
      <c r="K83" s="11"/>
    </row>
    <row r="84" spans="6:11" ht="20.100000000000001" customHeight="1">
      <c r="F84" s="116"/>
      <c r="K84" s="11"/>
    </row>
    <row r="85" spans="6:11" ht="20.100000000000001" customHeight="1">
      <c r="F85" s="116"/>
      <c r="K85" s="11"/>
    </row>
    <row r="86" spans="6:11" ht="20.100000000000001" customHeight="1">
      <c r="F86" s="116"/>
      <c r="K86" s="11"/>
    </row>
    <row r="87" spans="6:11" ht="20.100000000000001" customHeight="1">
      <c r="F87" s="116"/>
      <c r="K87" s="11"/>
    </row>
    <row r="88" spans="6:11" ht="20.100000000000001" customHeight="1">
      <c r="F88" s="116"/>
      <c r="K88" s="11"/>
    </row>
    <row r="89" spans="6:11" ht="20.100000000000001" customHeight="1">
      <c r="F89" s="116"/>
      <c r="K89" s="11"/>
    </row>
    <row r="90" spans="6:11" ht="20.100000000000001" customHeight="1">
      <c r="F90" s="116"/>
      <c r="K90" s="11"/>
    </row>
    <row r="91" spans="6:11" ht="20.100000000000001" customHeight="1">
      <c r="F91" s="116"/>
      <c r="K91" s="11"/>
    </row>
    <row r="92" spans="6:11" ht="20.100000000000001" customHeight="1">
      <c r="F92" s="116"/>
      <c r="K92" s="11"/>
    </row>
    <row r="93" spans="6:11" ht="20.100000000000001" customHeight="1">
      <c r="F93" s="116"/>
      <c r="K93" s="11"/>
    </row>
    <row r="94" spans="6:11" ht="20.100000000000001" customHeight="1">
      <c r="F94" s="116"/>
      <c r="K94" s="11"/>
    </row>
    <row r="95" spans="6:11" ht="20.100000000000001" customHeight="1">
      <c r="F95" s="116"/>
      <c r="K95" s="11"/>
    </row>
    <row r="96" spans="6:11" ht="20.100000000000001" customHeight="1">
      <c r="F96" s="116"/>
      <c r="K96" s="11"/>
    </row>
    <row r="97" spans="6:11" ht="20.100000000000001" customHeight="1">
      <c r="F97" s="116"/>
      <c r="K97" s="11"/>
    </row>
    <row r="98" spans="6:11" ht="20.100000000000001" customHeight="1">
      <c r="F98" s="116"/>
      <c r="K98" s="11"/>
    </row>
    <row r="99" spans="6:11" ht="20.100000000000001" customHeight="1">
      <c r="F99" s="116"/>
      <c r="K99" s="11"/>
    </row>
    <row r="100" spans="6:11" ht="20.100000000000001" customHeight="1">
      <c r="F100" s="116"/>
      <c r="K100" s="11"/>
    </row>
    <row r="101" spans="6:11" ht="20.100000000000001" customHeight="1">
      <c r="F101" s="116"/>
      <c r="K101" s="11"/>
    </row>
    <row r="102" spans="6:11" ht="20.100000000000001" customHeight="1">
      <c r="F102" s="116"/>
      <c r="K102" s="11"/>
    </row>
    <row r="103" spans="6:11" ht="20.100000000000001" customHeight="1">
      <c r="F103" s="116"/>
      <c r="K103" s="11"/>
    </row>
    <row r="104" spans="6:11" ht="20.100000000000001" customHeight="1">
      <c r="F104" s="116"/>
      <c r="K104" s="11"/>
    </row>
    <row r="105" spans="6:11" ht="20.100000000000001" customHeight="1">
      <c r="F105" s="116"/>
      <c r="K105" s="11"/>
    </row>
    <row r="106" spans="6:11" ht="20.100000000000001" customHeight="1">
      <c r="F106" s="116"/>
      <c r="K106" s="11"/>
    </row>
    <row r="107" spans="6:11" ht="20.100000000000001" customHeight="1">
      <c r="F107" s="116"/>
      <c r="K107" s="11"/>
    </row>
    <row r="108" spans="6:11" ht="20.100000000000001" customHeight="1">
      <c r="F108" s="116"/>
      <c r="K108" s="11"/>
    </row>
    <row r="109" spans="6:11" ht="20.100000000000001" customHeight="1">
      <c r="F109" s="116"/>
      <c r="K109" s="11"/>
    </row>
    <row r="110" spans="6:11" ht="20.100000000000001" customHeight="1">
      <c r="F110" s="116"/>
      <c r="K110" s="11"/>
    </row>
    <row r="111" spans="6:11" ht="20.100000000000001" customHeight="1">
      <c r="F111" s="116"/>
      <c r="K111" s="11"/>
    </row>
    <row r="112" spans="6:11" ht="20.100000000000001" customHeight="1">
      <c r="F112" s="116"/>
      <c r="K112" s="11"/>
    </row>
    <row r="113" spans="6:11" ht="20.100000000000001" customHeight="1">
      <c r="F113" s="116"/>
      <c r="K113" s="11"/>
    </row>
    <row r="114" spans="6:11" ht="20.100000000000001" customHeight="1">
      <c r="F114" s="116"/>
      <c r="K114" s="11"/>
    </row>
    <row r="115" spans="6:11" ht="20.100000000000001" customHeight="1">
      <c r="F115" s="116"/>
      <c r="K115" s="11"/>
    </row>
    <row r="116" spans="6:11" ht="20.100000000000001" customHeight="1">
      <c r="F116" s="116"/>
      <c r="K116" s="11"/>
    </row>
    <row r="117" spans="6:11" ht="20.100000000000001" customHeight="1">
      <c r="F117" s="116"/>
      <c r="K117" s="11"/>
    </row>
    <row r="118" spans="6:11" ht="20.100000000000001" customHeight="1">
      <c r="F118" s="116"/>
      <c r="K118" s="11"/>
    </row>
    <row r="119" spans="6:11" ht="20.100000000000001" customHeight="1">
      <c r="F119" s="116"/>
      <c r="K119" s="11"/>
    </row>
    <row r="120" spans="6:11" ht="20.100000000000001" customHeight="1">
      <c r="F120" s="116"/>
      <c r="K120" s="11"/>
    </row>
    <row r="121" spans="6:11" ht="20.100000000000001" customHeight="1">
      <c r="F121" s="116"/>
      <c r="K121" s="11"/>
    </row>
    <row r="122" spans="6:11" ht="20.100000000000001" customHeight="1">
      <c r="F122" s="116"/>
      <c r="K122" s="11"/>
    </row>
    <row r="123" spans="6:11" ht="20.100000000000001" customHeight="1">
      <c r="F123" s="116"/>
      <c r="K123" s="11"/>
    </row>
    <row r="124" spans="6:11" ht="20.100000000000001" customHeight="1">
      <c r="F124" s="116"/>
      <c r="K124" s="11"/>
    </row>
    <row r="125" spans="6:11" ht="20.100000000000001" customHeight="1">
      <c r="F125" s="116"/>
      <c r="K125" s="11"/>
    </row>
    <row r="126" spans="6:11" ht="20.100000000000001" customHeight="1">
      <c r="F126" s="116"/>
      <c r="K126" s="11"/>
    </row>
    <row r="127" spans="6:11" ht="20.100000000000001" customHeight="1">
      <c r="F127" s="116"/>
      <c r="K127" s="11"/>
    </row>
    <row r="128" spans="6:11" ht="20.100000000000001" customHeight="1">
      <c r="F128" s="116"/>
      <c r="K128" s="11"/>
    </row>
    <row r="129" spans="6:11" ht="20.100000000000001" customHeight="1">
      <c r="F129" s="116"/>
      <c r="K129" s="11"/>
    </row>
    <row r="130" spans="6:11" ht="20.100000000000001" customHeight="1">
      <c r="F130" s="116"/>
      <c r="K130" s="11"/>
    </row>
    <row r="131" spans="6:11" ht="20.100000000000001" customHeight="1">
      <c r="F131" s="116"/>
      <c r="K131" s="11"/>
    </row>
    <row r="132" spans="6:11" ht="20.100000000000001" customHeight="1">
      <c r="F132" s="116"/>
      <c r="K132" s="11"/>
    </row>
    <row r="133" spans="6:11" ht="20.100000000000001" customHeight="1">
      <c r="F133" s="116"/>
      <c r="K133" s="11"/>
    </row>
    <row r="134" spans="6:11" ht="20.100000000000001" customHeight="1">
      <c r="F134" s="116"/>
      <c r="K134" s="11"/>
    </row>
    <row r="135" spans="6:11" ht="20.100000000000001" customHeight="1">
      <c r="F135" s="116"/>
      <c r="K135" s="11"/>
    </row>
    <row r="136" spans="6:11" ht="20.100000000000001" customHeight="1">
      <c r="F136" s="116"/>
      <c r="K136" s="11"/>
    </row>
    <row r="137" spans="6:11" ht="20.100000000000001" customHeight="1">
      <c r="F137" s="116"/>
      <c r="K137" s="11"/>
    </row>
    <row r="138" spans="6:11" ht="20.100000000000001" customHeight="1">
      <c r="F138" s="116"/>
      <c r="K138" s="11"/>
    </row>
    <row r="139" spans="6:11" ht="20.100000000000001" customHeight="1">
      <c r="F139" s="116"/>
      <c r="K139" s="11"/>
    </row>
    <row r="140" spans="6:11" ht="20.100000000000001" customHeight="1">
      <c r="F140" s="116"/>
      <c r="K140" s="11"/>
    </row>
    <row r="141" spans="6:11" ht="20.100000000000001" customHeight="1">
      <c r="F141" s="116"/>
      <c r="K141" s="11"/>
    </row>
    <row r="142" spans="6:11" ht="20.100000000000001" customHeight="1">
      <c r="F142" s="116"/>
      <c r="K142" s="11"/>
    </row>
    <row r="143" spans="6:11" ht="20.100000000000001" customHeight="1">
      <c r="F143" s="116"/>
      <c r="K143" s="11"/>
    </row>
    <row r="144" spans="6:11" ht="20.100000000000001" customHeight="1">
      <c r="F144" s="116"/>
      <c r="K144" s="11"/>
    </row>
    <row r="145" spans="6:11" ht="20.100000000000001" customHeight="1">
      <c r="F145" s="116"/>
      <c r="K145" s="11"/>
    </row>
    <row r="146" spans="6:11" ht="20.100000000000001" customHeight="1">
      <c r="F146" s="116"/>
      <c r="K146" s="11"/>
    </row>
    <row r="147" spans="6:11" ht="20.100000000000001" customHeight="1">
      <c r="F147" s="116"/>
      <c r="K147" s="11"/>
    </row>
    <row r="148" spans="6:11" ht="20.100000000000001" customHeight="1">
      <c r="F148" s="116"/>
      <c r="K148" s="11"/>
    </row>
    <row r="149" spans="6:11" ht="20.100000000000001" customHeight="1">
      <c r="F149" s="116"/>
      <c r="K149" s="11"/>
    </row>
    <row r="150" spans="6:11" ht="20.100000000000001" customHeight="1">
      <c r="F150" s="116"/>
      <c r="K150" s="11"/>
    </row>
    <row r="151" spans="6:11" ht="20.100000000000001" customHeight="1">
      <c r="F151" s="116"/>
      <c r="K151" s="11"/>
    </row>
    <row r="152" spans="6:11" ht="20.100000000000001" customHeight="1">
      <c r="F152" s="116"/>
      <c r="K152" s="11"/>
    </row>
    <row r="153" spans="6:11" ht="20.100000000000001" customHeight="1">
      <c r="F153" s="116"/>
      <c r="K153" s="11"/>
    </row>
    <row r="154" spans="6:11" ht="20.100000000000001" customHeight="1">
      <c r="F154" s="116"/>
      <c r="K154" s="11"/>
    </row>
    <row r="155" spans="6:11" ht="20.100000000000001" customHeight="1">
      <c r="F155" s="116"/>
      <c r="K155" s="11"/>
    </row>
    <row r="156" spans="6:11" ht="20.100000000000001" customHeight="1">
      <c r="F156" s="116"/>
      <c r="K156" s="11"/>
    </row>
    <row r="157" spans="6:11" ht="20.100000000000001" customHeight="1">
      <c r="F157" s="116"/>
      <c r="K157" s="11"/>
    </row>
    <row r="158" spans="6:11" ht="20.100000000000001" customHeight="1">
      <c r="F158" s="116"/>
      <c r="K158" s="11"/>
    </row>
    <row r="159" spans="6:11" ht="20.100000000000001" customHeight="1">
      <c r="F159" s="116"/>
      <c r="K159" s="11"/>
    </row>
    <row r="160" spans="6:11" ht="20.100000000000001" customHeight="1">
      <c r="F160" s="116"/>
      <c r="K160" s="11"/>
    </row>
    <row r="161" spans="6:11" ht="20.100000000000001" customHeight="1">
      <c r="F161" s="116"/>
      <c r="K161" s="11"/>
    </row>
    <row r="162" spans="6:11" ht="20.100000000000001" customHeight="1">
      <c r="F162" s="116"/>
      <c r="K162" s="11"/>
    </row>
    <row r="163" spans="6:11" ht="20.100000000000001" customHeight="1">
      <c r="F163" s="116"/>
      <c r="K163" s="11"/>
    </row>
    <row r="164" spans="6:11" ht="20.100000000000001" customHeight="1">
      <c r="F164" s="116"/>
      <c r="K164" s="11"/>
    </row>
    <row r="165" spans="6:11" ht="20.100000000000001" customHeight="1">
      <c r="F165" s="116"/>
      <c r="K165" s="11"/>
    </row>
    <row r="166" spans="6:11" ht="20.100000000000001" customHeight="1">
      <c r="F166" s="116"/>
      <c r="K166" s="11"/>
    </row>
    <row r="167" spans="6:11" ht="20.100000000000001" customHeight="1">
      <c r="F167" s="116"/>
      <c r="K167" s="11"/>
    </row>
    <row r="168" spans="6:11" ht="20.100000000000001" customHeight="1">
      <c r="F168" s="116"/>
      <c r="K168" s="11"/>
    </row>
    <row r="169" spans="6:11" ht="20.100000000000001" customHeight="1">
      <c r="F169" s="116"/>
      <c r="K169" s="11"/>
    </row>
    <row r="170" spans="6:11" ht="20.100000000000001" customHeight="1">
      <c r="F170" s="116"/>
      <c r="K170" s="11"/>
    </row>
    <row r="171" spans="6:11" ht="20.100000000000001" customHeight="1">
      <c r="F171" s="116"/>
      <c r="K171" s="11"/>
    </row>
    <row r="172" spans="6:11" ht="20.100000000000001" customHeight="1">
      <c r="F172" s="116"/>
      <c r="K172" s="11"/>
    </row>
    <row r="173" spans="6:11" ht="20.100000000000001" customHeight="1">
      <c r="F173" s="116"/>
      <c r="K173" s="11"/>
    </row>
    <row r="174" spans="6:11" ht="20.100000000000001" customHeight="1">
      <c r="F174" s="116"/>
      <c r="K174" s="11"/>
    </row>
    <row r="175" spans="6:11" ht="20.100000000000001" customHeight="1">
      <c r="F175" s="116"/>
      <c r="K175" s="11"/>
    </row>
    <row r="176" spans="6:11" ht="20.100000000000001" customHeight="1">
      <c r="F176" s="116"/>
      <c r="K176" s="11"/>
    </row>
    <row r="177" spans="6:11" ht="20.100000000000001" customHeight="1">
      <c r="F177" s="116"/>
      <c r="K177" s="11"/>
    </row>
    <row r="178" spans="6:11" ht="20.100000000000001" customHeight="1">
      <c r="F178" s="116"/>
      <c r="K178" s="11"/>
    </row>
    <row r="179" spans="6:11" ht="20.100000000000001" customHeight="1">
      <c r="F179" s="116"/>
      <c r="K179" s="11"/>
    </row>
    <row r="180" spans="6:11" ht="20.100000000000001" customHeight="1">
      <c r="F180" s="116"/>
      <c r="K180" s="11"/>
    </row>
    <row r="181" spans="6:11" ht="20.100000000000001" customHeight="1">
      <c r="F181" s="116"/>
      <c r="K181" s="11"/>
    </row>
    <row r="182" spans="6:11" ht="20.100000000000001" customHeight="1">
      <c r="F182" s="116"/>
      <c r="K182" s="11"/>
    </row>
    <row r="183" spans="6:11" ht="20.100000000000001" customHeight="1">
      <c r="F183" s="116"/>
      <c r="K183" s="11"/>
    </row>
    <row r="184" spans="6:11" ht="20.100000000000001" customHeight="1">
      <c r="F184" s="116"/>
      <c r="K184" s="11"/>
    </row>
    <row r="185" spans="6:11" ht="20.100000000000001" customHeight="1">
      <c r="F185" s="116"/>
      <c r="K185" s="11"/>
    </row>
    <row r="186" spans="6:11" ht="20.100000000000001" customHeight="1">
      <c r="F186" s="116"/>
      <c r="K186" s="11"/>
    </row>
    <row r="187" spans="6:11" ht="20.100000000000001" customHeight="1">
      <c r="F187" s="116"/>
      <c r="K187" s="11"/>
    </row>
    <row r="188" spans="6:11" ht="20.100000000000001" customHeight="1">
      <c r="F188" s="116"/>
      <c r="K188" s="11"/>
    </row>
    <row r="189" spans="6:11" ht="20.100000000000001" customHeight="1">
      <c r="F189" s="116"/>
      <c r="K189" s="11"/>
    </row>
    <row r="190" spans="6:11" ht="20.100000000000001" customHeight="1">
      <c r="F190" s="116"/>
      <c r="K190" s="11"/>
    </row>
    <row r="191" spans="6:11" ht="20.100000000000001" customHeight="1">
      <c r="F191" s="116"/>
      <c r="K191" s="11"/>
    </row>
    <row r="192" spans="6:11" ht="20.100000000000001" customHeight="1">
      <c r="F192" s="116"/>
      <c r="K192" s="11"/>
    </row>
    <row r="193" spans="6:11" ht="20.100000000000001" customHeight="1">
      <c r="F193" s="116"/>
      <c r="K193" s="11"/>
    </row>
    <row r="194" spans="6:11" ht="20.100000000000001" customHeight="1">
      <c r="F194" s="116"/>
      <c r="K194" s="11"/>
    </row>
    <row r="195" spans="6:11" ht="20.100000000000001" customHeight="1">
      <c r="F195" s="116"/>
      <c r="K195" s="11"/>
    </row>
    <row r="196" spans="6:11" ht="20.100000000000001" customHeight="1">
      <c r="F196" s="116"/>
      <c r="K196" s="11"/>
    </row>
    <row r="197" spans="6:11" ht="20.100000000000001" customHeight="1">
      <c r="F197" s="116"/>
      <c r="K197" s="11"/>
    </row>
    <row r="198" spans="6:11" ht="20.100000000000001" customHeight="1">
      <c r="F198" s="116"/>
      <c r="K198" s="11"/>
    </row>
    <row r="199" spans="6:11" ht="20.100000000000001" customHeight="1">
      <c r="F199" s="116"/>
      <c r="K199" s="11"/>
    </row>
    <row r="200" spans="6:11" ht="20.100000000000001" customHeight="1">
      <c r="F200" s="116"/>
      <c r="K200" s="11"/>
    </row>
    <row r="201" spans="6:11" ht="20.100000000000001" customHeight="1">
      <c r="F201" s="116"/>
      <c r="K201" s="11"/>
    </row>
    <row r="202" spans="6:11" ht="20.100000000000001" customHeight="1">
      <c r="F202" s="116"/>
      <c r="K202" s="11"/>
    </row>
    <row r="203" spans="6:11" ht="20.100000000000001" customHeight="1">
      <c r="F203" s="116"/>
      <c r="K203" s="11"/>
    </row>
    <row r="204" spans="6:11" ht="20.100000000000001" customHeight="1">
      <c r="F204" s="116"/>
      <c r="K204" s="11"/>
    </row>
    <row r="205" spans="6:11" ht="20.100000000000001" customHeight="1">
      <c r="F205" s="116"/>
      <c r="K205" s="11"/>
    </row>
    <row r="206" spans="6:11" ht="20.100000000000001" customHeight="1">
      <c r="F206" s="116"/>
      <c r="K206" s="11"/>
    </row>
    <row r="207" spans="6:11" ht="20.100000000000001" customHeight="1">
      <c r="F207" s="116"/>
      <c r="K207" s="11"/>
    </row>
    <row r="208" spans="6:11" ht="20.100000000000001" customHeight="1">
      <c r="F208" s="116"/>
      <c r="K208" s="11"/>
    </row>
    <row r="209" spans="6:11" ht="20.100000000000001" customHeight="1">
      <c r="F209" s="116"/>
      <c r="K209" s="11"/>
    </row>
    <row r="210" spans="6:11" ht="20.100000000000001" customHeight="1">
      <c r="F210" s="116"/>
      <c r="K210" s="11"/>
    </row>
    <row r="211" spans="6:11" ht="20.100000000000001" customHeight="1">
      <c r="F211" s="116"/>
      <c r="K211" s="11"/>
    </row>
    <row r="212" spans="6:11" ht="20.100000000000001" customHeight="1">
      <c r="F212" s="116"/>
      <c r="K212" s="11"/>
    </row>
    <row r="213" spans="6:11" ht="20.100000000000001" customHeight="1">
      <c r="F213" s="116"/>
      <c r="K213" s="11"/>
    </row>
    <row r="214" spans="6:11" ht="20.100000000000001" customHeight="1">
      <c r="F214" s="116"/>
      <c r="K214" s="11"/>
    </row>
    <row r="215" spans="6:11" ht="20.100000000000001" customHeight="1">
      <c r="F215" s="116"/>
      <c r="K215" s="11"/>
    </row>
  </sheetData>
  <mergeCells count="7">
    <mergeCell ref="A55:F55"/>
    <mergeCell ref="A56:F56"/>
    <mergeCell ref="A48:F48"/>
    <mergeCell ref="A49:F49"/>
    <mergeCell ref="A50:F50"/>
    <mergeCell ref="A51:F51"/>
    <mergeCell ref="A52:F52"/>
  </mergeCells>
  <phoneticPr fontId="76" type="noConversion"/>
  <pageMargins left="0.27500000000000002" right="0.27500000000000002" top="0.51180555555555596" bottom="0.51180555555555596" header="0.27500000000000002" footer="0.27500000000000002"/>
  <pageSetup paperSize="9" orientation="landscape" blackAndWhite="1" r:id="rId1"/>
  <headerFooter alignWithMargins="0"/>
  <rowBreaks count="2" manualBreakCount="2">
    <brk id="25" max="5" man="1"/>
    <brk id="51" max="5"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view="pageBreakPreview" zoomScaleNormal="100" zoomScaleSheetLayoutView="100" workbookViewId="0">
      <selection activeCell="G10" sqref="G10"/>
    </sheetView>
  </sheetViews>
  <sheetFormatPr defaultColWidth="9" defaultRowHeight="20.100000000000001" customHeight="1"/>
  <cols>
    <col min="1" max="3" width="16.625" style="24" customWidth="1"/>
    <col min="4" max="4" width="21.125" style="24" customWidth="1"/>
    <col min="5" max="5" width="16.625" style="24" customWidth="1"/>
    <col min="6" max="6" width="18.5" style="24" customWidth="1"/>
    <col min="7" max="7" width="18.75" style="24" customWidth="1"/>
    <col min="8" max="8" width="15.125" style="24" customWidth="1"/>
    <col min="9" max="16384" width="9" style="24"/>
  </cols>
  <sheetData>
    <row r="1" spans="1:11" ht="24.95" customHeight="1">
      <c r="A1" s="54" t="s">
        <v>145</v>
      </c>
      <c r="B1" s="55">
        <f>基础信息!B6</f>
        <v>0</v>
      </c>
      <c r="C1" s="22"/>
      <c r="D1" s="22"/>
      <c r="E1" s="25"/>
      <c r="F1" s="22"/>
      <c r="G1" s="22"/>
    </row>
    <row r="2" spans="1:11" ht="24.95" customHeight="1">
      <c r="A2" s="54" t="s">
        <v>147</v>
      </c>
      <c r="B2" s="55">
        <f>基础信息!B9</f>
        <v>0</v>
      </c>
      <c r="C2" s="22"/>
      <c r="D2" s="22"/>
      <c r="E2" s="22"/>
      <c r="F2" s="22"/>
      <c r="G2" s="22"/>
    </row>
    <row r="3" spans="1:11" s="7" customFormat="1" ht="24.95" customHeight="1">
      <c r="A3" s="384" t="s">
        <v>1246</v>
      </c>
      <c r="B3" s="384" t="s">
        <v>1247</v>
      </c>
      <c r="C3" s="127"/>
      <c r="D3" s="127"/>
      <c r="E3" s="127"/>
      <c r="F3" s="127"/>
      <c r="G3" s="127"/>
      <c r="H3" s="9"/>
      <c r="I3" s="9"/>
    </row>
    <row r="4" spans="1:11" s="218" customFormat="1" ht="24.95" customHeight="1">
      <c r="A4" s="1291" t="s">
        <v>1244</v>
      </c>
      <c r="B4" s="1291" t="s">
        <v>1248</v>
      </c>
      <c r="C4" s="1291" t="s">
        <v>1145</v>
      </c>
      <c r="D4" s="1291"/>
      <c r="E4" s="1291" t="s">
        <v>1249</v>
      </c>
      <c r="F4" s="1291"/>
      <c r="G4" s="1291" t="s">
        <v>798</v>
      </c>
    </row>
    <row r="5" spans="1:11" s="218" customFormat="1" ht="24.95" customHeight="1">
      <c r="A5" s="1291"/>
      <c r="B5" s="1291"/>
      <c r="C5" s="231" t="s">
        <v>1250</v>
      </c>
      <c r="D5" s="231" t="s">
        <v>1251</v>
      </c>
      <c r="E5" s="231" t="s">
        <v>1252</v>
      </c>
      <c r="F5" s="231" t="s">
        <v>1253</v>
      </c>
      <c r="G5" s="1291"/>
    </row>
    <row r="6" spans="1:11" s="218" customFormat="1" ht="20.100000000000001" customHeight="1">
      <c r="A6" s="233"/>
      <c r="B6" s="139"/>
      <c r="C6" s="139"/>
      <c r="D6" s="139"/>
      <c r="E6" s="139"/>
      <c r="F6" s="139"/>
      <c r="G6" s="139"/>
    </row>
    <row r="7" spans="1:11" s="218" customFormat="1" ht="20.100000000000001" customHeight="1">
      <c r="A7" s="233"/>
      <c r="B7" s="139"/>
      <c r="C7" s="139"/>
      <c r="D7" s="139"/>
      <c r="E7" s="139"/>
      <c r="F7" s="139"/>
      <c r="G7" s="139"/>
    </row>
    <row r="8" spans="1:11" s="218" customFormat="1" ht="20.100000000000001" customHeight="1">
      <c r="A8" s="233"/>
      <c r="B8" s="177"/>
      <c r="C8" s="139"/>
      <c r="D8" s="139"/>
      <c r="E8" s="139"/>
      <c r="F8" s="177"/>
      <c r="G8" s="18"/>
    </row>
    <row r="9" spans="1:11" s="218" customFormat="1" ht="20.100000000000001" customHeight="1">
      <c r="A9" s="233" t="s">
        <v>1254</v>
      </c>
      <c r="B9" s="285">
        <f>SUM(B6:B8)</f>
        <v>0</v>
      </c>
      <c r="C9" s="285">
        <f t="shared" ref="C9:G9" si="0">SUM(C6:C8)</f>
        <v>0</v>
      </c>
      <c r="D9" s="285">
        <f t="shared" si="0"/>
        <v>0</v>
      </c>
      <c r="E9" s="285">
        <f t="shared" si="0"/>
        <v>0</v>
      </c>
      <c r="F9" s="285">
        <f t="shared" si="0"/>
        <v>0</v>
      </c>
      <c r="G9" s="285">
        <f t="shared" si="0"/>
        <v>0</v>
      </c>
    </row>
    <row r="10" spans="1:11" s="368" customFormat="1" ht="20.100000000000001" customHeight="1">
      <c r="A10" s="225" t="s">
        <v>649</v>
      </c>
      <c r="B10" s="226"/>
      <c r="C10" s="285"/>
      <c r="D10" s="385"/>
      <c r="E10" s="385"/>
      <c r="F10" s="385"/>
      <c r="G10" s="285">
        <f>'RP 006'!E69</f>
        <v>0</v>
      </c>
      <c r="H10" s="223"/>
      <c r="I10" s="223"/>
      <c r="J10" s="223"/>
      <c r="K10" s="223"/>
    </row>
    <row r="11" spans="1:11" s="368" customFormat="1" ht="20.100000000000001" customHeight="1">
      <c r="A11" s="371"/>
      <c r="B11" s="372"/>
      <c r="C11" s="386"/>
      <c r="D11" s="199"/>
      <c r="E11" s="199"/>
      <c r="F11" s="199"/>
      <c r="G11" s="277">
        <f>G9-G10</f>
        <v>0</v>
      </c>
      <c r="H11" s="223"/>
      <c r="I11" s="223"/>
      <c r="J11" s="223"/>
      <c r="K11" s="223"/>
    </row>
    <row r="12" spans="1:11" s="368" customFormat="1" ht="20.100000000000001" customHeight="1">
      <c r="A12" s="227"/>
      <c r="B12" s="227"/>
      <c r="C12" s="381"/>
      <c r="G12" s="227" t="str">
        <f>IF(G11=0,"OK","NO")</f>
        <v>OK</v>
      </c>
      <c r="H12" s="223"/>
      <c r="I12" s="223"/>
      <c r="J12" s="223"/>
      <c r="K12" s="223"/>
    </row>
    <row r="13" spans="1:11" s="218" customFormat="1" ht="20.100000000000001" customHeight="1">
      <c r="A13" s="240" t="s">
        <v>1255</v>
      </c>
      <c r="B13" s="287"/>
      <c r="C13" s="287"/>
      <c r="D13" s="287"/>
      <c r="E13" s="287"/>
      <c r="F13" s="287"/>
    </row>
    <row r="14" spans="1:11" s="218" customFormat="1" ht="20.100000000000001" customHeight="1">
      <c r="A14" s="218" t="s">
        <v>1256</v>
      </c>
    </row>
    <row r="15" spans="1:11" s="218" customFormat="1" ht="20.100000000000001" customHeight="1">
      <c r="A15" s="387" t="s">
        <v>1257</v>
      </c>
      <c r="B15" s="387" t="s">
        <v>1258</v>
      </c>
      <c r="C15" s="387" t="s">
        <v>1259</v>
      </c>
      <c r="D15" s="387" t="s">
        <v>1260</v>
      </c>
    </row>
    <row r="16" spans="1:11" s="218" customFormat="1" ht="20.100000000000001" customHeight="1">
      <c r="A16" s="233"/>
      <c r="B16" s="233"/>
      <c r="C16" s="233"/>
      <c r="D16" s="233"/>
    </row>
    <row r="17" spans="1:4" s="218" customFormat="1" ht="20.100000000000001" customHeight="1">
      <c r="A17" s="233"/>
      <c r="B17" s="233"/>
      <c r="C17" s="233"/>
      <c r="D17" s="233"/>
    </row>
    <row r="18" spans="1:4" s="218" customFormat="1" ht="20.100000000000001" customHeight="1">
      <c r="A18" s="233"/>
      <c r="B18" s="250"/>
      <c r="C18" s="250"/>
      <c r="D18" s="250"/>
    </row>
    <row r="19" spans="1:4" s="218" customFormat="1" ht="20.100000000000001" customHeight="1">
      <c r="A19" s="233" t="s">
        <v>1254</v>
      </c>
      <c r="B19" s="250"/>
      <c r="C19" s="250"/>
      <c r="D19" s="233"/>
    </row>
    <row r="20" spans="1:4" s="218" customFormat="1" ht="20.100000000000001" customHeight="1">
      <c r="A20" s="287" t="s">
        <v>1261</v>
      </c>
    </row>
    <row r="21" spans="1:4" s="218" customFormat="1" ht="18" customHeight="1"/>
    <row r="22" spans="1:4" s="9" customFormat="1" ht="20.100000000000001" customHeight="1"/>
  </sheetData>
  <mergeCells count="5">
    <mergeCell ref="C4:D4"/>
    <mergeCell ref="E4:F4"/>
    <mergeCell ref="A4:A5"/>
    <mergeCell ref="B4:B5"/>
    <mergeCell ref="G4:G5"/>
  </mergeCells>
  <phoneticPr fontId="76" type="noConversion"/>
  <pageMargins left="0.27500000000000002" right="0.27500000000000002" top="0.51180555555555596" bottom="0.51180555555555596" header="0.27500000000000002" footer="0.27500000000000002"/>
  <pageSetup paperSize="9" orientation="landscape" blackAndWhite="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view="pageBreakPreview" zoomScaleNormal="100" zoomScaleSheetLayoutView="100" workbookViewId="0">
      <selection activeCell="G21" sqref="G21"/>
    </sheetView>
  </sheetViews>
  <sheetFormatPr defaultColWidth="9" defaultRowHeight="20.100000000000001" customHeight="1"/>
  <cols>
    <col min="1" max="1" width="26.25" style="318" customWidth="1"/>
    <col min="2" max="7" width="15.625" style="318" customWidth="1"/>
    <col min="8" max="8" width="19" style="318" customWidth="1"/>
    <col min="9" max="9" width="11.875" style="318" customWidth="1"/>
    <col min="10" max="16384" width="9" style="318"/>
  </cols>
  <sheetData>
    <row r="1" spans="1:8" ht="24.95" customHeight="1">
      <c r="A1" s="54" t="s">
        <v>145</v>
      </c>
      <c r="B1" s="55">
        <f>基础信息!B6</f>
        <v>0</v>
      </c>
      <c r="C1" s="320"/>
      <c r="D1" s="320"/>
      <c r="E1" s="321"/>
      <c r="F1" s="320"/>
      <c r="G1" s="320"/>
    </row>
    <row r="2" spans="1:8" ht="24.95" customHeight="1">
      <c r="A2" s="54" t="s">
        <v>147</v>
      </c>
      <c r="B2" s="55">
        <f>基础信息!B9</f>
        <v>0</v>
      </c>
      <c r="C2" s="320"/>
      <c r="D2" s="320"/>
      <c r="E2" s="320"/>
      <c r="F2" s="320"/>
      <c r="G2" s="320"/>
    </row>
    <row r="3" spans="1:8" s="319" customFormat="1" ht="24.95" customHeight="1">
      <c r="A3" s="345" t="s">
        <v>148</v>
      </c>
      <c r="B3" s="345" t="s">
        <v>1262</v>
      </c>
      <c r="C3" s="320"/>
      <c r="D3" s="320"/>
      <c r="E3" s="320"/>
      <c r="F3" s="320"/>
      <c r="G3" s="320"/>
      <c r="H3" s="318"/>
    </row>
    <row r="4" spans="1:8" s="378" customFormat="1" ht="24.95" customHeight="1">
      <c r="A4" s="216" t="s">
        <v>1263</v>
      </c>
      <c r="B4" s="216"/>
      <c r="C4" s="216"/>
      <c r="D4" s="216"/>
      <c r="E4" s="216"/>
      <c r="F4" s="216"/>
      <c r="G4" s="216"/>
    </row>
    <row r="5" spans="1:8" s="379" customFormat="1" ht="24.95" customHeight="1">
      <c r="A5" s="1331" t="s">
        <v>1264</v>
      </c>
      <c r="B5" s="1331" t="s">
        <v>1265</v>
      </c>
      <c r="C5" s="1331" t="s">
        <v>1266</v>
      </c>
      <c r="D5" s="1331"/>
      <c r="E5" s="1331" t="s">
        <v>1267</v>
      </c>
      <c r="F5" s="1331"/>
      <c r="G5" s="1331" t="s">
        <v>1268</v>
      </c>
    </row>
    <row r="6" spans="1:8" s="379" customFormat="1" ht="24.95" customHeight="1">
      <c r="A6" s="1331"/>
      <c r="B6" s="1331"/>
      <c r="C6" s="175" t="s">
        <v>1269</v>
      </c>
      <c r="D6" s="380" t="s">
        <v>1270</v>
      </c>
      <c r="E6" s="175" t="s">
        <v>1271</v>
      </c>
      <c r="F6" s="380" t="s">
        <v>1270</v>
      </c>
      <c r="G6" s="1331"/>
    </row>
    <row r="7" spans="1:8" s="218" customFormat="1" ht="20.100000000000001" customHeight="1">
      <c r="A7" s="284" t="s">
        <v>737</v>
      </c>
      <c r="B7" s="177"/>
      <c r="C7" s="177"/>
      <c r="D7" s="177"/>
      <c r="E7" s="177"/>
      <c r="F7" s="177"/>
      <c r="G7" s="119">
        <f>B7+C7+D7-E7-F7</f>
        <v>0</v>
      </c>
    </row>
    <row r="8" spans="1:8" s="218" customFormat="1" ht="20.100000000000001" customHeight="1">
      <c r="A8" s="250"/>
      <c r="B8" s="177"/>
      <c r="C8" s="177"/>
      <c r="D8" s="177"/>
      <c r="E8" s="177"/>
      <c r="F8" s="177"/>
      <c r="G8" s="119">
        <f t="shared" ref="G8:G9" si="0">B8+C8+D8-E8-F8</f>
        <v>0</v>
      </c>
    </row>
    <row r="9" spans="1:8" s="218" customFormat="1" ht="20.100000000000001" customHeight="1">
      <c r="A9" s="250"/>
      <c r="B9" s="177"/>
      <c r="C9" s="177"/>
      <c r="D9" s="177"/>
      <c r="E9" s="177"/>
      <c r="F9" s="177"/>
      <c r="G9" s="20">
        <f t="shared" si="0"/>
        <v>0</v>
      </c>
    </row>
    <row r="10" spans="1:8" s="218" customFormat="1" ht="20.100000000000001" customHeight="1">
      <c r="A10" s="250" t="s">
        <v>647</v>
      </c>
      <c r="B10" s="119">
        <f>SUM(B7:B9)</f>
        <v>0</v>
      </c>
      <c r="C10" s="119">
        <f t="shared" ref="C10" si="1">SUM(C7:C9)</f>
        <v>0</v>
      </c>
      <c r="D10" s="119">
        <f t="shared" ref="D10" si="2">SUM(D7:D9)</f>
        <v>0</v>
      </c>
      <c r="E10" s="119">
        <f t="shared" ref="E10" si="3">SUM(E7:E9)</f>
        <v>0</v>
      </c>
      <c r="F10" s="119">
        <f t="shared" ref="F10" si="4">SUM(F7:F9)</f>
        <v>0</v>
      </c>
      <c r="G10" s="119">
        <f t="shared" ref="G10" si="5">SUM(G7:G9)</f>
        <v>0</v>
      </c>
    </row>
    <row r="11" spans="1:8" s="218" customFormat="1" ht="20.100000000000001" customHeight="1">
      <c r="A11" s="1332" t="s">
        <v>1272</v>
      </c>
      <c r="B11" s="1332"/>
      <c r="C11" s="1332"/>
      <c r="D11" s="1332"/>
      <c r="E11" s="1332"/>
      <c r="F11" s="1332"/>
      <c r="G11" s="1332"/>
    </row>
    <row r="12" spans="1:8" s="218" customFormat="1" ht="20.100000000000001" customHeight="1">
      <c r="A12" s="218" t="s">
        <v>1273</v>
      </c>
    </row>
    <row r="13" spans="1:8" s="218" customFormat="1" ht="20.100000000000001" customHeight="1">
      <c r="A13" s="1331" t="s">
        <v>1264</v>
      </c>
      <c r="B13" s="1331" t="s">
        <v>1265</v>
      </c>
      <c r="C13" s="1331" t="s">
        <v>1266</v>
      </c>
      <c r="D13" s="1331"/>
      <c r="E13" s="1331" t="s">
        <v>1267</v>
      </c>
      <c r="F13" s="1331"/>
      <c r="G13" s="1331" t="s">
        <v>1268</v>
      </c>
    </row>
    <row r="14" spans="1:8" s="218" customFormat="1" ht="20.100000000000001" customHeight="1">
      <c r="A14" s="1331"/>
      <c r="B14" s="1331"/>
      <c r="C14" s="175" t="s">
        <v>1274</v>
      </c>
      <c r="D14" s="380" t="s">
        <v>1275</v>
      </c>
      <c r="E14" s="175" t="s">
        <v>1271</v>
      </c>
      <c r="F14" s="380" t="s">
        <v>1275</v>
      </c>
      <c r="G14" s="1331"/>
    </row>
    <row r="15" spans="1:8" s="218" customFormat="1" ht="20.100000000000001" customHeight="1">
      <c r="A15" s="284" t="s">
        <v>737</v>
      </c>
      <c r="B15" s="177"/>
      <c r="C15" s="177"/>
      <c r="D15" s="177"/>
      <c r="E15" s="177"/>
      <c r="F15" s="177"/>
      <c r="G15" s="119">
        <f>B15+C15+D15-E15-F15</f>
        <v>0</v>
      </c>
    </row>
    <row r="16" spans="1:8" s="218" customFormat="1" ht="20.100000000000001" customHeight="1">
      <c r="A16" s="250"/>
      <c r="B16" s="177"/>
      <c r="C16" s="177"/>
      <c r="D16" s="177"/>
      <c r="E16" s="177"/>
      <c r="F16" s="177"/>
      <c r="G16" s="119">
        <f t="shared" ref="G16:G17" si="6">B16+C16+D16-E16-F16</f>
        <v>0</v>
      </c>
    </row>
    <row r="17" spans="1:11" s="218" customFormat="1" ht="20.100000000000001" customHeight="1">
      <c r="A17" s="250"/>
      <c r="B17" s="177"/>
      <c r="C17" s="177"/>
      <c r="D17" s="177"/>
      <c r="E17" s="177"/>
      <c r="F17" s="177"/>
      <c r="G17" s="119">
        <f t="shared" si="6"/>
        <v>0</v>
      </c>
    </row>
    <row r="18" spans="1:11" s="218" customFormat="1" ht="20.100000000000001" customHeight="1">
      <c r="A18" s="250" t="s">
        <v>647</v>
      </c>
      <c r="B18" s="119">
        <f>SUM(B15:B17)</f>
        <v>0</v>
      </c>
      <c r="C18" s="119">
        <f t="shared" ref="C18:G18" si="7">SUM(C15:C17)</f>
        <v>0</v>
      </c>
      <c r="D18" s="119">
        <f t="shared" si="7"/>
        <v>0</v>
      </c>
      <c r="E18" s="119">
        <f t="shared" si="7"/>
        <v>0</v>
      </c>
      <c r="F18" s="119">
        <f t="shared" si="7"/>
        <v>0</v>
      </c>
      <c r="G18" s="119">
        <f t="shared" si="7"/>
        <v>0</v>
      </c>
    </row>
    <row r="19" spans="1:11" s="218" customFormat="1" ht="21" customHeight="1">
      <c r="A19" s="1329" t="s">
        <v>1276</v>
      </c>
      <c r="B19" s="1329"/>
      <c r="C19" s="1329"/>
      <c r="D19" s="1329"/>
      <c r="E19" s="1329"/>
      <c r="F19" s="1329"/>
      <c r="G19" s="1329"/>
    </row>
    <row r="20" spans="1:11" s="218" customFormat="1" ht="73.5" customHeight="1">
      <c r="A20" s="1330" t="s">
        <v>1277</v>
      </c>
      <c r="B20" s="1330"/>
      <c r="C20" s="1330"/>
      <c r="D20" s="1330"/>
      <c r="E20" s="1330"/>
      <c r="F20" s="1330"/>
      <c r="G20" s="1330"/>
    </row>
    <row r="21" spans="1:11" s="368" customFormat="1" ht="20.100000000000001" customHeight="1">
      <c r="A21" s="276" t="s">
        <v>649</v>
      </c>
      <c r="B21" s="276"/>
      <c r="C21" s="381"/>
      <c r="G21" s="382">
        <f>'RP 006'!E70</f>
        <v>0</v>
      </c>
      <c r="H21" s="223"/>
      <c r="I21" s="223"/>
      <c r="J21" s="223"/>
      <c r="K21" s="223"/>
    </row>
    <row r="22" spans="1:11" s="368" customFormat="1" ht="20.100000000000001" customHeight="1">
      <c r="A22" s="371"/>
      <c r="B22" s="276"/>
      <c r="C22" s="381"/>
      <c r="G22" s="383">
        <f>G10-G18-G21</f>
        <v>0</v>
      </c>
      <c r="H22" s="223"/>
      <c r="I22" s="223"/>
      <c r="J22" s="223"/>
      <c r="K22" s="223"/>
    </row>
    <row r="23" spans="1:11" s="368" customFormat="1" ht="20.100000000000001" customHeight="1">
      <c r="A23" s="227"/>
      <c r="B23" s="227"/>
      <c r="C23" s="381"/>
      <c r="G23" s="227" t="str">
        <f>IF(G22=0,"OK","NO")</f>
        <v>OK</v>
      </c>
      <c r="H23" s="223"/>
      <c r="I23" s="223"/>
      <c r="J23" s="223"/>
      <c r="K23" s="223"/>
    </row>
    <row r="24" spans="1:11" s="219" customFormat="1" ht="18" customHeight="1"/>
  </sheetData>
  <mergeCells count="13">
    <mergeCell ref="A19:G19"/>
    <mergeCell ref="A20:G20"/>
    <mergeCell ref="A5:A6"/>
    <mergeCell ref="A13:A14"/>
    <mergeCell ref="B5:B6"/>
    <mergeCell ref="B13:B14"/>
    <mergeCell ref="G5:G6"/>
    <mergeCell ref="G13:G14"/>
    <mergeCell ref="C5:D5"/>
    <mergeCell ref="E5:F5"/>
    <mergeCell ref="A11:G11"/>
    <mergeCell ref="C13:D13"/>
    <mergeCell ref="E13:F13"/>
  </mergeCells>
  <phoneticPr fontId="76" type="noConversion"/>
  <pageMargins left="0.62916666666666698" right="0.74791666666666701" top="0.98402777777777795" bottom="0.98402777777777795" header="0.51180555555555596" footer="0.51180555555555596"/>
  <pageSetup paperSize="9" orientation="landscape" blackAndWhite="1" r:id="rId1"/>
  <headerFooter alignWithMargins="0"/>
  <colBreaks count="1" manualBreakCount="1">
    <brk id="8" max="1048575" man="1"/>
  </col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view="pageBreakPreview" zoomScaleNormal="100" zoomScaleSheetLayoutView="100" workbookViewId="0">
      <selection activeCell="F10" sqref="F10"/>
    </sheetView>
  </sheetViews>
  <sheetFormatPr defaultColWidth="9" defaultRowHeight="20.100000000000001" customHeight="1"/>
  <cols>
    <col min="1" max="1" width="16.25" style="330" customWidth="1"/>
    <col min="2" max="2" width="17.25" style="330" customWidth="1"/>
    <col min="3" max="3" width="15.5" style="330" customWidth="1"/>
    <col min="4" max="4" width="18" style="330" customWidth="1"/>
    <col min="5" max="5" width="16.375" style="330" customWidth="1"/>
    <col min="6" max="6" width="16.5" style="330" customWidth="1"/>
    <col min="7" max="7" width="16" style="330" customWidth="1"/>
    <col min="8" max="8" width="15.875" style="330" customWidth="1"/>
    <col min="9" max="16384" width="9" style="330"/>
  </cols>
  <sheetData>
    <row r="1" spans="1:11" ht="24.95" customHeight="1">
      <c r="A1" s="54" t="s">
        <v>145</v>
      </c>
      <c r="B1" s="55">
        <f>基础信息!B6</f>
        <v>0</v>
      </c>
      <c r="C1" s="320"/>
      <c r="D1" s="320"/>
      <c r="E1" s="321"/>
      <c r="F1" s="320"/>
      <c r="G1" s="331"/>
    </row>
    <row r="2" spans="1:11" ht="24.95" customHeight="1">
      <c r="A2" s="54" t="s">
        <v>147</v>
      </c>
      <c r="B2" s="55">
        <f>基础信息!B9</f>
        <v>0</v>
      </c>
      <c r="C2" s="320"/>
      <c r="D2" s="320"/>
      <c r="E2" s="320"/>
      <c r="F2" s="320"/>
      <c r="G2" s="331"/>
    </row>
    <row r="3" spans="1:11" s="327" customFormat="1" ht="24.95" customHeight="1">
      <c r="A3" s="345" t="s">
        <v>148</v>
      </c>
      <c r="B3" s="374" t="s">
        <v>1278</v>
      </c>
      <c r="C3" s="375"/>
      <c r="D3" s="375"/>
      <c r="E3" s="375"/>
      <c r="F3" s="375"/>
      <c r="G3" s="331"/>
      <c r="H3" s="330"/>
      <c r="I3" s="330"/>
    </row>
    <row r="4" spans="1:11" s="27" customFormat="1" ht="24.95" customHeight="1">
      <c r="A4" s="1291" t="s">
        <v>1244</v>
      </c>
      <c r="B4" s="1291" t="s">
        <v>1248</v>
      </c>
      <c r="C4" s="1291" t="s">
        <v>1145</v>
      </c>
      <c r="D4" s="1291" t="s">
        <v>1249</v>
      </c>
      <c r="E4" s="1291"/>
      <c r="F4" s="1291" t="s">
        <v>798</v>
      </c>
    </row>
    <row r="5" spans="1:11" s="27" customFormat="1" ht="24.95" customHeight="1">
      <c r="A5" s="1291"/>
      <c r="B5" s="1291"/>
      <c r="C5" s="1291"/>
      <c r="D5" s="231" t="s">
        <v>1279</v>
      </c>
      <c r="E5" s="231" t="s">
        <v>1147</v>
      </c>
      <c r="F5" s="1291"/>
    </row>
    <row r="6" spans="1:11" s="27" customFormat="1" ht="20.100000000000001" customHeight="1">
      <c r="A6" s="233"/>
      <c r="B6" s="139"/>
      <c r="C6" s="139"/>
      <c r="D6" s="139"/>
      <c r="E6" s="139"/>
      <c r="F6" s="285">
        <f>B6+C6-D6-E6</f>
        <v>0</v>
      </c>
    </row>
    <row r="7" spans="1:11" s="27" customFormat="1" ht="20.100000000000001" customHeight="1">
      <c r="A7" s="233"/>
      <c r="B7" s="139"/>
      <c r="C7" s="139"/>
      <c r="D7" s="139"/>
      <c r="E7" s="139"/>
      <c r="F7" s="285">
        <f t="shared" ref="F7:F8" si="0">B7+C7-D7-E7</f>
        <v>0</v>
      </c>
    </row>
    <row r="8" spans="1:11" s="53" customFormat="1" ht="20.100000000000001" customHeight="1">
      <c r="A8" s="233"/>
      <c r="B8" s="177"/>
      <c r="C8" s="177"/>
      <c r="D8" s="177"/>
      <c r="E8" s="177"/>
      <c r="F8" s="285">
        <f t="shared" si="0"/>
        <v>0</v>
      </c>
    </row>
    <row r="9" spans="1:11" s="53" customFormat="1" ht="20.100000000000001" customHeight="1">
      <c r="A9" s="233" t="s">
        <v>1254</v>
      </c>
      <c r="B9" s="285">
        <f>SUM(B6:B8)</f>
        <v>0</v>
      </c>
      <c r="C9" s="285">
        <f t="shared" ref="C9:F9" si="1">SUM(C6:C8)</f>
        <v>0</v>
      </c>
      <c r="D9" s="285">
        <f t="shared" si="1"/>
        <v>0</v>
      </c>
      <c r="E9" s="285">
        <f t="shared" si="1"/>
        <v>0</v>
      </c>
      <c r="F9" s="285">
        <f t="shared" si="1"/>
        <v>0</v>
      </c>
      <c r="G9" s="105"/>
    </row>
    <row r="10" spans="1:11" s="354" customFormat="1" ht="20.100000000000001" customHeight="1">
      <c r="A10" s="225" t="s">
        <v>649</v>
      </c>
      <c r="B10" s="370"/>
      <c r="C10" s="139"/>
      <c r="D10" s="198"/>
      <c r="E10" s="198"/>
      <c r="F10" s="285">
        <f>'RP 006'!E71</f>
        <v>0</v>
      </c>
      <c r="H10" s="358"/>
      <c r="I10" s="358"/>
      <c r="J10" s="358"/>
      <c r="K10" s="358"/>
    </row>
    <row r="11" spans="1:11" s="354" customFormat="1" ht="20.100000000000001" customHeight="1">
      <c r="A11" s="333"/>
      <c r="B11" s="370"/>
      <c r="C11" s="139"/>
      <c r="D11" s="198"/>
      <c r="E11" s="198"/>
      <c r="F11" s="226">
        <f>F9-F10</f>
        <v>0</v>
      </c>
      <c r="H11" s="358"/>
      <c r="I11" s="358"/>
      <c r="J11" s="358"/>
      <c r="K11" s="358"/>
    </row>
    <row r="12" spans="1:11" s="354" customFormat="1" ht="20.100000000000001" customHeight="1">
      <c r="A12" s="311"/>
      <c r="B12" s="311"/>
      <c r="C12" s="233"/>
      <c r="D12" s="351"/>
      <c r="E12" s="351"/>
      <c r="F12" s="311" t="str">
        <f>IF(F11=0,"OK","NO")</f>
        <v>OK</v>
      </c>
      <c r="H12" s="358"/>
      <c r="I12" s="358"/>
      <c r="J12" s="358"/>
      <c r="K12" s="358"/>
    </row>
    <row r="13" spans="1:11" s="53" customFormat="1" ht="20.100000000000001" customHeight="1">
      <c r="A13" s="1333" t="s">
        <v>1280</v>
      </c>
      <c r="B13" s="1333"/>
      <c r="C13" s="1333"/>
      <c r="D13" s="1333"/>
      <c r="E13" s="1333"/>
      <c r="F13" s="1333"/>
    </row>
    <row r="14" spans="1:11" s="373" customFormat="1" ht="20.100000000000001" customHeight="1"/>
    <row r="15" spans="1:11" s="327" customFormat="1" ht="20.100000000000001" customHeight="1">
      <c r="A15" s="376"/>
      <c r="B15" s="376"/>
      <c r="C15" s="376"/>
      <c r="D15" s="376"/>
      <c r="E15" s="376"/>
      <c r="F15" s="376"/>
      <c r="G15" s="376"/>
      <c r="H15" s="376"/>
    </row>
    <row r="16" spans="1:11" s="327" customFormat="1" ht="20.100000000000001" customHeight="1">
      <c r="A16" s="377"/>
      <c r="B16" s="377"/>
      <c r="C16" s="377"/>
      <c r="D16" s="377"/>
      <c r="E16" s="377"/>
      <c r="F16" s="377"/>
      <c r="G16" s="377"/>
      <c r="H16" s="377"/>
    </row>
  </sheetData>
  <mergeCells count="6">
    <mergeCell ref="D4:E4"/>
    <mergeCell ref="A13:F13"/>
    <mergeCell ref="A4:A5"/>
    <mergeCell ref="B4:B5"/>
    <mergeCell ref="C4:C5"/>
    <mergeCell ref="F4:F5"/>
  </mergeCells>
  <phoneticPr fontId="76" type="noConversion"/>
  <pageMargins left="0.27500000000000002" right="0.27500000000000002" top="0.51180555555555596" bottom="0.51180555555555596" header="0.27500000000000002" footer="0.27500000000000002"/>
  <pageSetup paperSize="9" orientation="landscape" blackAndWhite="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view="pageBreakPreview" topLeftCell="A34" zoomScaleNormal="100" zoomScaleSheetLayoutView="100" workbookViewId="0">
      <selection activeCell="C24" sqref="C24"/>
    </sheetView>
  </sheetViews>
  <sheetFormatPr defaultColWidth="9" defaultRowHeight="20.100000000000001" customHeight="1"/>
  <cols>
    <col min="1" max="1" width="35.875" style="11" customWidth="1"/>
    <col min="2" max="3" width="16.75" style="11" customWidth="1"/>
    <col min="4" max="4" width="15.625" style="11" customWidth="1"/>
    <col min="5" max="5" width="16.375" style="11" customWidth="1"/>
    <col min="6" max="7" width="15.625" style="11" customWidth="1"/>
    <col min="8" max="8" width="14.125" style="11" customWidth="1"/>
    <col min="9" max="16384" width="9" style="11"/>
  </cols>
  <sheetData>
    <row r="1" spans="1:11" s="74" customFormat="1" ht="24.95" customHeight="1">
      <c r="A1" s="54" t="s">
        <v>145</v>
      </c>
      <c r="B1" s="55">
        <f>基础信息!B6</f>
        <v>0</v>
      </c>
      <c r="C1" s="128"/>
      <c r="D1" s="128"/>
      <c r="E1" s="369"/>
    </row>
    <row r="2" spans="1:11" s="74" customFormat="1" ht="24.95" customHeight="1">
      <c r="A2" s="54" t="s">
        <v>147</v>
      </c>
      <c r="B2" s="55">
        <f>基础信息!B9</f>
        <v>0</v>
      </c>
      <c r="C2" s="128"/>
      <c r="D2" s="128"/>
      <c r="E2" s="128"/>
    </row>
    <row r="3" spans="1:11" s="74" customFormat="1" ht="24.95" customHeight="1">
      <c r="A3" s="97" t="s">
        <v>148</v>
      </c>
      <c r="B3" s="1334" t="s">
        <v>1281</v>
      </c>
      <c r="C3" s="1335"/>
      <c r="D3" s="128"/>
      <c r="E3" s="128"/>
    </row>
    <row r="4" spans="1:11" s="15" customFormat="1" ht="24.95" customHeight="1">
      <c r="A4" s="216" t="s">
        <v>1282</v>
      </c>
      <c r="B4" s="216"/>
      <c r="C4" s="216"/>
      <c r="D4" s="216"/>
      <c r="E4" s="216"/>
      <c r="F4" s="216" t="s">
        <v>873</v>
      </c>
      <c r="G4" s="216"/>
    </row>
    <row r="5" spans="1:11" s="23" customFormat="1" ht="24.95" customHeight="1">
      <c r="A5" s="1272" t="s">
        <v>754</v>
      </c>
      <c r="B5" s="1272" t="s">
        <v>762</v>
      </c>
      <c r="C5" s="1272"/>
      <c r="D5" s="1272" t="s">
        <v>958</v>
      </c>
      <c r="E5" s="1272"/>
    </row>
    <row r="6" spans="1:11" s="23" customFormat="1" ht="33" customHeight="1">
      <c r="A6" s="1272"/>
      <c r="B6" s="16" t="s">
        <v>1283</v>
      </c>
      <c r="C6" s="16" t="s">
        <v>1284</v>
      </c>
      <c r="D6" s="16" t="s">
        <v>1283</v>
      </c>
      <c r="E6" s="16" t="s">
        <v>1284</v>
      </c>
    </row>
    <row r="7" spans="1:11" s="9" customFormat="1" ht="20.100000000000001" customHeight="1">
      <c r="A7" s="1336" t="s">
        <v>1285</v>
      </c>
      <c r="B7" s="1337"/>
      <c r="C7" s="1337"/>
      <c r="D7" s="1337"/>
      <c r="E7" s="1338"/>
    </row>
    <row r="8" spans="1:11" s="9" customFormat="1" ht="20.100000000000001" customHeight="1">
      <c r="A8" s="174" t="s">
        <v>2369</v>
      </c>
      <c r="B8" s="18"/>
      <c r="C8" s="18"/>
      <c r="D8" s="18"/>
      <c r="E8" s="18"/>
    </row>
    <row r="9" spans="1:11" s="9" customFormat="1" ht="20.100000000000001" customHeight="1">
      <c r="A9" s="174" t="s">
        <v>2370</v>
      </c>
      <c r="B9" s="18"/>
      <c r="C9" s="18"/>
      <c r="D9" s="18"/>
      <c r="E9" s="18"/>
    </row>
    <row r="10" spans="1:11" s="9" customFormat="1" ht="20.100000000000001" customHeight="1">
      <c r="A10" s="174" t="s">
        <v>2371</v>
      </c>
      <c r="B10" s="18"/>
      <c r="C10" s="18"/>
      <c r="D10" s="18"/>
      <c r="E10" s="18"/>
    </row>
    <row r="11" spans="1:11" s="9" customFormat="1" ht="20.100000000000001" customHeight="1">
      <c r="A11" s="174" t="s">
        <v>2372</v>
      </c>
      <c r="B11" s="18"/>
      <c r="C11" s="18"/>
      <c r="D11" s="18"/>
      <c r="E11" s="18"/>
    </row>
    <row r="12" spans="1:11" s="9" customFormat="1" ht="20.100000000000001" customHeight="1">
      <c r="A12" s="32" t="s">
        <v>1287</v>
      </c>
      <c r="B12" s="285">
        <f>SUM(B8:B11)</f>
        <v>0</v>
      </c>
      <c r="C12" s="285">
        <f t="shared" ref="C12:E12" si="0">SUM(C8:C11)</f>
        <v>0</v>
      </c>
      <c r="D12" s="285">
        <f t="shared" si="0"/>
        <v>0</v>
      </c>
      <c r="E12" s="285">
        <f t="shared" si="0"/>
        <v>0</v>
      </c>
    </row>
    <row r="13" spans="1:11" s="368" customFormat="1" ht="20.100000000000001" customHeight="1">
      <c r="A13" s="225" t="s">
        <v>649</v>
      </c>
      <c r="B13" s="370"/>
      <c r="C13" s="285">
        <f>'RP 006'!C72</f>
        <v>0</v>
      </c>
      <c r="D13" s="198"/>
      <c r="E13" s="285">
        <f>'RP 002-1'!D39</f>
        <v>0</v>
      </c>
      <c r="H13" s="223"/>
      <c r="I13" s="223"/>
      <c r="J13" s="223"/>
      <c r="K13" s="223"/>
    </row>
    <row r="14" spans="1:11" s="368" customFormat="1" ht="20.100000000000001" customHeight="1">
      <c r="A14" s="371"/>
      <c r="B14" s="372"/>
      <c r="C14" s="277">
        <f>D12-C13</f>
        <v>0</v>
      </c>
      <c r="D14" s="199"/>
      <c r="E14" s="277">
        <f>F12-E13</f>
        <v>0</v>
      </c>
      <c r="H14" s="223"/>
      <c r="I14" s="223"/>
      <c r="J14" s="223"/>
      <c r="K14" s="223"/>
    </row>
    <row r="15" spans="1:11" s="368" customFormat="1" ht="20.100000000000001" customHeight="1">
      <c r="A15" s="227"/>
      <c r="B15" s="227"/>
      <c r="C15" s="227" t="str">
        <f>IF(C14=0,"OK","NO")</f>
        <v>OK</v>
      </c>
      <c r="E15" s="227" t="str">
        <f>IF(E14=0,"OK","NO")</f>
        <v>OK</v>
      </c>
      <c r="H15" s="223"/>
      <c r="I15" s="223"/>
      <c r="J15" s="223"/>
      <c r="K15" s="223"/>
    </row>
    <row r="16" spans="1:11" s="9" customFormat="1" ht="20.100000000000001" customHeight="1">
      <c r="A16" s="1272" t="s">
        <v>754</v>
      </c>
      <c r="B16" s="1272" t="s">
        <v>762</v>
      </c>
      <c r="C16" s="1272"/>
      <c r="D16" s="1272" t="s">
        <v>958</v>
      </c>
      <c r="E16" s="1272"/>
    </row>
    <row r="17" spans="1:11" s="9" customFormat="1" ht="31.5" customHeight="1">
      <c r="A17" s="1272"/>
      <c r="B17" s="16" t="s">
        <v>1283</v>
      </c>
      <c r="C17" s="16" t="s">
        <v>1284</v>
      </c>
      <c r="D17" s="16" t="s">
        <v>1283</v>
      </c>
      <c r="E17" s="16" t="s">
        <v>1284</v>
      </c>
    </row>
    <row r="18" spans="1:11" s="9" customFormat="1" ht="20.100000000000001" customHeight="1">
      <c r="A18" s="1340" t="s">
        <v>1288</v>
      </c>
      <c r="B18" s="1340"/>
      <c r="C18" s="1340"/>
      <c r="D18" s="1340"/>
      <c r="E18" s="1340"/>
    </row>
    <row r="19" spans="1:11" s="9" customFormat="1" ht="20.100000000000001" customHeight="1">
      <c r="A19" s="174" t="s">
        <v>2365</v>
      </c>
      <c r="B19" s="18"/>
      <c r="C19" s="18"/>
      <c r="D19" s="18"/>
      <c r="E19" s="18"/>
    </row>
    <row r="20" spans="1:11" s="9" customFormat="1" ht="20.100000000000001" customHeight="1">
      <c r="A20" s="174" t="s">
        <v>2366</v>
      </c>
      <c r="B20" s="18"/>
      <c r="C20" s="18"/>
      <c r="D20" s="18"/>
      <c r="E20" s="18"/>
    </row>
    <row r="21" spans="1:11" s="9" customFormat="1" ht="20.100000000000001" customHeight="1">
      <c r="A21" s="174" t="s">
        <v>2367</v>
      </c>
      <c r="B21" s="18"/>
      <c r="C21" s="18"/>
      <c r="D21" s="18"/>
      <c r="E21" s="18"/>
    </row>
    <row r="22" spans="1:11" s="9" customFormat="1" ht="20.100000000000001" customHeight="1">
      <c r="A22" s="174" t="s">
        <v>2368</v>
      </c>
      <c r="B22" s="18"/>
      <c r="C22" s="18"/>
      <c r="D22" s="18"/>
      <c r="E22" s="18"/>
    </row>
    <row r="23" spans="1:11" s="9" customFormat="1" ht="20.100000000000001" customHeight="1">
      <c r="A23" s="94" t="s">
        <v>1287</v>
      </c>
      <c r="B23" s="286">
        <f>SUM(B19:B22)</f>
        <v>0</v>
      </c>
      <c r="C23" s="286">
        <f t="shared" ref="C23:E23" si="1">SUM(C19:C22)</f>
        <v>0</v>
      </c>
      <c r="D23" s="286">
        <f t="shared" si="1"/>
        <v>0</v>
      </c>
      <c r="E23" s="286">
        <f t="shared" si="1"/>
        <v>0</v>
      </c>
    </row>
    <row r="24" spans="1:11" s="368" customFormat="1" ht="20.100000000000001" customHeight="1">
      <c r="A24" s="225" t="s">
        <v>649</v>
      </c>
      <c r="B24" s="370"/>
      <c r="C24" s="285">
        <f>'RP 006'!E112</f>
        <v>0</v>
      </c>
      <c r="D24" s="198"/>
      <c r="E24" s="285">
        <f>'RP 002-2'!D29</f>
        <v>0</v>
      </c>
      <c r="H24" s="223"/>
      <c r="I24" s="223"/>
      <c r="J24" s="223"/>
      <c r="K24" s="223"/>
    </row>
    <row r="25" spans="1:11" s="368" customFormat="1" ht="20.100000000000001" customHeight="1">
      <c r="A25" s="333"/>
      <c r="B25" s="370"/>
      <c r="C25" s="226">
        <f>D23-C24</f>
        <v>0</v>
      </c>
      <c r="D25" s="198"/>
      <c r="E25" s="226">
        <f>F23-E24</f>
        <v>0</v>
      </c>
      <c r="H25" s="223"/>
      <c r="I25" s="223"/>
      <c r="J25" s="223"/>
      <c r="K25" s="223"/>
    </row>
    <row r="26" spans="1:11" s="368" customFormat="1" ht="20.100000000000001" customHeight="1">
      <c r="A26" s="227"/>
      <c r="B26" s="227"/>
      <c r="C26" s="227" t="str">
        <f>IF(C25=0,"OK","NO")</f>
        <v>OK</v>
      </c>
      <c r="E26" s="227" t="str">
        <f>IF(E25=0,"OK","NO")</f>
        <v>OK</v>
      </c>
      <c r="H26" s="223"/>
      <c r="I26" s="223"/>
      <c r="J26" s="223"/>
      <c r="K26" s="223"/>
    </row>
    <row r="27" spans="1:11" s="9" customFormat="1" ht="20.100000000000001" customHeight="1"/>
    <row r="28" spans="1:11" s="9" customFormat="1" ht="20.100000000000001" customHeight="1">
      <c r="A28" s="1339" t="s">
        <v>1289</v>
      </c>
      <c r="B28" s="1339"/>
      <c r="C28" s="1339"/>
      <c r="D28" s="1339"/>
      <c r="E28" s="1339"/>
      <c r="F28" s="1339"/>
    </row>
    <row r="29" spans="1:11" s="9" customFormat="1" ht="20.100000000000001" customHeight="1">
      <c r="A29" s="1339" t="s">
        <v>1290</v>
      </c>
      <c r="B29" s="1339"/>
      <c r="C29" s="1339"/>
      <c r="D29" s="1339"/>
      <c r="E29" s="1339"/>
      <c r="F29" s="1339"/>
    </row>
    <row r="30" spans="1:11" s="9" customFormat="1" ht="46.5" customHeight="1">
      <c r="A30" s="16" t="s">
        <v>754</v>
      </c>
      <c r="B30" s="16" t="s">
        <v>1291</v>
      </c>
      <c r="C30" s="16" t="s">
        <v>1292</v>
      </c>
      <c r="D30" s="16" t="s">
        <v>1293</v>
      </c>
      <c r="E30" s="16" t="s">
        <v>1294</v>
      </c>
    </row>
    <row r="31" spans="1:11" s="9" customFormat="1" ht="20.100000000000001" customHeight="1">
      <c r="A31" s="94" t="s">
        <v>192</v>
      </c>
      <c r="B31" s="94"/>
      <c r="C31" s="94"/>
      <c r="D31" s="94"/>
      <c r="E31" s="94"/>
    </row>
    <row r="32" spans="1:11" s="9" customFormat="1" ht="20.100000000000001" customHeight="1">
      <c r="A32" s="94" t="s">
        <v>206</v>
      </c>
      <c r="B32" s="94"/>
      <c r="C32" s="94"/>
      <c r="D32" s="94"/>
      <c r="E32" s="94"/>
    </row>
    <row r="33" spans="1:6" s="9" customFormat="1" ht="20.100000000000001" customHeight="1">
      <c r="A33" s="94"/>
      <c r="B33" s="94"/>
      <c r="C33" s="94"/>
      <c r="D33" s="94"/>
      <c r="E33" s="94"/>
    </row>
    <row r="34" spans="1:6" s="9" customFormat="1" ht="20.100000000000001" customHeight="1">
      <c r="A34" s="1339" t="s">
        <v>1295</v>
      </c>
      <c r="B34" s="1339"/>
      <c r="C34" s="1339"/>
      <c r="D34" s="1339"/>
      <c r="E34" s="1339"/>
      <c r="F34" s="1339"/>
    </row>
    <row r="35" spans="1:6" s="9" customFormat="1" ht="20.100000000000001" customHeight="1">
      <c r="A35" s="88" t="s">
        <v>754</v>
      </c>
      <c r="B35" s="88" t="s">
        <v>762</v>
      </c>
      <c r="C35" s="88" t="s">
        <v>958</v>
      </c>
    </row>
    <row r="36" spans="1:6" s="9" customFormat="1" ht="20.100000000000001" customHeight="1">
      <c r="A36" s="94" t="s">
        <v>1296</v>
      </c>
      <c r="B36" s="94"/>
      <c r="C36" s="94"/>
    </row>
    <row r="37" spans="1:6" s="9" customFormat="1" ht="20.100000000000001" customHeight="1">
      <c r="A37" s="94" t="s">
        <v>1286</v>
      </c>
      <c r="B37" s="94"/>
      <c r="C37" s="94"/>
    </row>
    <row r="38" spans="1:6" s="9" customFormat="1" ht="20.100000000000001" customHeight="1">
      <c r="A38" s="94"/>
      <c r="B38" s="94"/>
      <c r="C38" s="94"/>
    </row>
    <row r="39" spans="1:6" s="9" customFormat="1" ht="20.100000000000001" customHeight="1">
      <c r="A39" s="94" t="s">
        <v>658</v>
      </c>
      <c r="B39" s="288" t="s">
        <v>765</v>
      </c>
      <c r="C39" s="288" t="s">
        <v>765</v>
      </c>
    </row>
    <row r="40" spans="1:6" s="9" customFormat="1" ht="20.100000000000001" customHeight="1">
      <c r="A40" s="1339" t="s">
        <v>1297</v>
      </c>
      <c r="B40" s="1339"/>
      <c r="C40" s="1339"/>
      <c r="D40" s="1339"/>
      <c r="E40" s="1339"/>
      <c r="F40" s="1339"/>
    </row>
    <row r="41" spans="1:6" s="9" customFormat="1" ht="20.100000000000001" customHeight="1">
      <c r="A41" s="1339" t="s">
        <v>1298</v>
      </c>
      <c r="B41" s="1339"/>
      <c r="C41" s="1339"/>
      <c r="D41" s="1339"/>
      <c r="E41" s="1339"/>
      <c r="F41" s="1339"/>
    </row>
    <row r="42" spans="1:6" s="9" customFormat="1" ht="20.100000000000001" customHeight="1">
      <c r="A42" s="88" t="s">
        <v>1299</v>
      </c>
      <c r="B42" s="88" t="s">
        <v>762</v>
      </c>
      <c r="C42" s="88" t="s">
        <v>958</v>
      </c>
      <c r="D42" s="88" t="s">
        <v>376</v>
      </c>
    </row>
    <row r="43" spans="1:6" s="9" customFormat="1" ht="20.100000000000001" customHeight="1">
      <c r="A43" s="94" t="s">
        <v>2373</v>
      </c>
      <c r="B43" s="94" t="s">
        <v>335</v>
      </c>
      <c r="C43" s="94"/>
      <c r="D43" s="94"/>
    </row>
    <row r="44" spans="1:6" s="9" customFormat="1" ht="20.100000000000001" customHeight="1">
      <c r="A44" s="94" t="s">
        <v>2374</v>
      </c>
      <c r="B44" s="94"/>
      <c r="C44" s="94"/>
      <c r="D44" s="94"/>
    </row>
    <row r="45" spans="1:6" s="9" customFormat="1" ht="20.100000000000001" customHeight="1">
      <c r="A45" s="94" t="s">
        <v>2375</v>
      </c>
      <c r="B45" s="94"/>
      <c r="C45" s="94"/>
      <c r="D45" s="94"/>
    </row>
    <row r="46" spans="1:6" s="9" customFormat="1" ht="20.100000000000001" customHeight="1">
      <c r="A46" s="94" t="s">
        <v>2376</v>
      </c>
      <c r="B46" s="94"/>
      <c r="C46" s="94"/>
      <c r="D46" s="94"/>
    </row>
    <row r="47" spans="1:6" s="9" customFormat="1" ht="20.100000000000001" customHeight="1">
      <c r="A47" s="94" t="s">
        <v>2377</v>
      </c>
      <c r="B47" s="94"/>
      <c r="C47" s="94"/>
      <c r="D47" s="94"/>
    </row>
    <row r="48" spans="1:6" s="9" customFormat="1" ht="20.100000000000001" customHeight="1">
      <c r="A48" s="94" t="s">
        <v>2378</v>
      </c>
      <c r="B48" s="94"/>
      <c r="C48" s="94" t="s">
        <v>335</v>
      </c>
      <c r="D48" s="94"/>
    </row>
    <row r="49" spans="1:6" s="9" customFormat="1" ht="20.100000000000001" customHeight="1">
      <c r="A49" s="94" t="s">
        <v>658</v>
      </c>
      <c r="B49" s="288" t="s">
        <v>765</v>
      </c>
      <c r="C49" s="288" t="s">
        <v>765</v>
      </c>
      <c r="D49" s="94"/>
    </row>
    <row r="50" spans="1:6" s="9" customFormat="1" ht="20.100000000000001" customHeight="1">
      <c r="A50" s="1339" t="s">
        <v>1300</v>
      </c>
      <c r="B50" s="1339"/>
      <c r="C50" s="1339"/>
      <c r="D50" s="1339"/>
      <c r="E50" s="1339"/>
      <c r="F50" s="1339"/>
    </row>
  </sheetData>
  <mergeCells count="15">
    <mergeCell ref="A41:F41"/>
    <mergeCell ref="A50:F50"/>
    <mergeCell ref="A5:A6"/>
    <mergeCell ref="A16:A17"/>
    <mergeCell ref="A18:E18"/>
    <mergeCell ref="A28:F28"/>
    <mergeCell ref="A29:F29"/>
    <mergeCell ref="A34:F34"/>
    <mergeCell ref="A40:F40"/>
    <mergeCell ref="B3:C3"/>
    <mergeCell ref="B5:C5"/>
    <mergeCell ref="D5:E5"/>
    <mergeCell ref="A7:E7"/>
    <mergeCell ref="B16:C16"/>
    <mergeCell ref="D16:E16"/>
  </mergeCells>
  <phoneticPr fontId="76" type="noConversion"/>
  <pageMargins left="0.27500000000000002" right="0.27500000000000002" top="0.51180555555555596" bottom="0.51180555555555596" header="0.27500000000000002" footer="0.27500000000000002"/>
  <pageSetup paperSize="9" scale="81" orientation="landscape" blackAndWhite="1" r:id="rId1"/>
  <headerFooter alignWithMargins="0">
    <oddFooter>&amp;C&amp;P/&amp;N</oddFooter>
  </headerFooter>
  <rowBreaks count="1" manualBreakCount="1">
    <brk id="28" max="4"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view="pageBreakPreview" zoomScaleNormal="100" zoomScaleSheetLayoutView="100" workbookViewId="0">
      <selection activeCell="B16" sqref="B16"/>
    </sheetView>
  </sheetViews>
  <sheetFormatPr defaultColWidth="9" defaultRowHeight="20.100000000000001" customHeight="1"/>
  <cols>
    <col min="1" max="1" width="18.375" style="105" customWidth="1"/>
    <col min="2" max="2" width="24.625" style="105" customWidth="1"/>
    <col min="3" max="3" width="21.125" style="105" customWidth="1"/>
    <col min="4" max="4" width="24.625" style="105" customWidth="1"/>
    <col min="5" max="5" width="22.125" style="105" customWidth="1"/>
    <col min="6" max="6" width="18.25" style="105" customWidth="1"/>
    <col min="7" max="9" width="9" style="104"/>
    <col min="10" max="16384" width="9" style="105"/>
  </cols>
  <sheetData>
    <row r="1" spans="1:9" s="164" customFormat="1" ht="24.95" customHeight="1">
      <c r="A1" s="54" t="s">
        <v>145</v>
      </c>
      <c r="B1" s="55">
        <f>基础信息!B6</f>
        <v>0</v>
      </c>
      <c r="E1" s="366"/>
    </row>
    <row r="2" spans="1:9" s="164" customFormat="1" ht="24.95" customHeight="1">
      <c r="A2" s="54" t="s">
        <v>147</v>
      </c>
      <c r="B2" s="55">
        <f>基础信息!B9</f>
        <v>0</v>
      </c>
    </row>
    <row r="3" spans="1:9" s="164" customFormat="1" ht="24.95" customHeight="1">
      <c r="A3" s="97" t="s">
        <v>148</v>
      </c>
      <c r="B3" s="97" t="s">
        <v>1301</v>
      </c>
    </row>
    <row r="4" spans="1:9" s="52" customFormat="1" ht="24.95" customHeight="1">
      <c r="A4" s="88" t="s">
        <v>754</v>
      </c>
      <c r="B4" s="88" t="s">
        <v>762</v>
      </c>
      <c r="C4" s="367"/>
      <c r="D4" s="367"/>
    </row>
    <row r="5" spans="1:9" s="27" customFormat="1" ht="20.100000000000001" customHeight="1">
      <c r="A5" s="362" t="s">
        <v>1302</v>
      </c>
      <c r="B5" s="94"/>
      <c r="C5" s="100"/>
      <c r="D5" s="100"/>
      <c r="F5" s="102"/>
      <c r="G5" s="102"/>
      <c r="H5" s="102"/>
    </row>
    <row r="6" spans="1:9" s="27" customFormat="1" ht="20.100000000000001" customHeight="1">
      <c r="A6" s="362" t="s">
        <v>1303</v>
      </c>
      <c r="B6" s="94"/>
      <c r="C6" s="100"/>
      <c r="D6" s="100"/>
      <c r="F6" s="102"/>
      <c r="G6" s="102"/>
      <c r="H6" s="102"/>
    </row>
    <row r="7" spans="1:9" s="27" customFormat="1" ht="20.100000000000001" customHeight="1">
      <c r="A7" s="362" t="s">
        <v>1304</v>
      </c>
      <c r="B7" s="94"/>
      <c r="C7" s="100"/>
      <c r="D7" s="100"/>
      <c r="G7" s="102"/>
      <c r="H7" s="102"/>
      <c r="I7" s="102"/>
    </row>
    <row r="8" spans="1:9" s="27" customFormat="1" ht="20.100000000000001" customHeight="1">
      <c r="A8" s="362" t="s">
        <v>1305</v>
      </c>
      <c r="B8" s="94"/>
      <c r="C8" s="100"/>
      <c r="D8" s="100"/>
      <c r="G8" s="102"/>
      <c r="H8" s="102"/>
      <c r="I8" s="102"/>
    </row>
    <row r="9" spans="1:9" s="27" customFormat="1" ht="20.100000000000001" customHeight="1">
      <c r="A9" s="362" t="s">
        <v>1306</v>
      </c>
      <c r="B9" s="94"/>
      <c r="C9" s="100"/>
      <c r="D9" s="100"/>
      <c r="G9" s="102"/>
      <c r="H9" s="102"/>
      <c r="I9" s="102"/>
    </row>
    <row r="10" spans="1:9" s="27" customFormat="1" ht="20.100000000000001" customHeight="1">
      <c r="A10" s="362" t="s">
        <v>1307</v>
      </c>
      <c r="B10" s="94"/>
      <c r="C10" s="100"/>
      <c r="D10" s="100"/>
      <c r="G10" s="102"/>
      <c r="H10" s="102"/>
      <c r="I10" s="102"/>
    </row>
    <row r="11" spans="1:9" s="968" customFormat="1" ht="20.100000000000001" customHeight="1">
      <c r="A11" s="975" t="s">
        <v>2117</v>
      </c>
      <c r="B11" s="94"/>
      <c r="C11" s="100"/>
      <c r="D11" s="100"/>
      <c r="G11" s="102"/>
      <c r="H11" s="102"/>
      <c r="I11" s="102"/>
    </row>
    <row r="12" spans="1:9" s="968" customFormat="1" ht="20.100000000000001" customHeight="1">
      <c r="A12" s="975" t="s">
        <v>2119</v>
      </c>
      <c r="B12" s="94"/>
      <c r="C12" s="100"/>
      <c r="D12" s="100"/>
      <c r="G12" s="102"/>
      <c r="H12" s="102"/>
      <c r="I12" s="102"/>
    </row>
    <row r="13" spans="1:9" s="27" customFormat="1" ht="20.100000000000001" customHeight="1">
      <c r="A13" s="350" t="s">
        <v>2120</v>
      </c>
      <c r="B13" s="94"/>
      <c r="C13" s="100"/>
      <c r="D13" s="100"/>
      <c r="G13" s="102"/>
      <c r="H13" s="102"/>
      <c r="I13" s="102"/>
    </row>
    <row r="14" spans="1:9" s="968" customFormat="1" ht="20.100000000000001" customHeight="1">
      <c r="A14" s="350" t="s">
        <v>2121</v>
      </c>
      <c r="B14" s="94"/>
      <c r="C14" s="100"/>
      <c r="D14" s="100"/>
      <c r="G14" s="102"/>
      <c r="H14" s="102"/>
      <c r="I14" s="102"/>
    </row>
    <row r="15" spans="1:9" s="27" customFormat="1" ht="20.100000000000001" customHeight="1">
      <c r="A15" s="94" t="s">
        <v>658</v>
      </c>
      <c r="B15" s="90">
        <f>SUM(B5:B14)</f>
        <v>0</v>
      </c>
      <c r="C15" s="100"/>
      <c r="D15" s="100"/>
      <c r="G15" s="102"/>
      <c r="H15" s="102"/>
      <c r="I15" s="102"/>
    </row>
    <row r="16" spans="1:9" s="118" customFormat="1" ht="20.100000000000001" customHeight="1">
      <c r="A16" s="118" t="s">
        <v>649</v>
      </c>
      <c r="B16" s="119">
        <f>'RP 006'!E73</f>
        <v>0</v>
      </c>
      <c r="C16" s="100"/>
      <c r="D16" s="100"/>
    </row>
    <row r="17" spans="1:9" s="118" customFormat="1" ht="20.100000000000001" customHeight="1">
      <c r="B17" s="119">
        <f>B15-B16</f>
        <v>0</v>
      </c>
      <c r="C17" s="100"/>
      <c r="D17" s="100"/>
    </row>
    <row r="18" spans="1:9" s="100" customFormat="1" ht="20.100000000000001" customHeight="1">
      <c r="B18" s="100" t="str">
        <f>IF(B17=0,"OK","NO")</f>
        <v>OK</v>
      </c>
    </row>
    <row r="19" spans="1:9" s="27" customFormat="1" ht="20.100000000000001" customHeight="1">
      <c r="A19" s="316" t="s">
        <v>677</v>
      </c>
      <c r="C19" s="100"/>
      <c r="D19" s="100"/>
      <c r="G19" s="102"/>
      <c r="H19" s="102"/>
      <c r="I19" s="102"/>
    </row>
    <row r="21" spans="1:9" ht="62.25" customHeight="1">
      <c r="A21" s="1341" t="s">
        <v>2118</v>
      </c>
      <c r="B21" s="1342"/>
      <c r="C21" s="1342"/>
      <c r="D21" s="1342"/>
      <c r="E21" s="1343"/>
    </row>
  </sheetData>
  <mergeCells count="1">
    <mergeCell ref="A21:E21"/>
  </mergeCells>
  <phoneticPr fontId="76" type="noConversion"/>
  <pageMargins left="0.43263888888888902" right="0.59027777777777801" top="0.98402777777777795" bottom="0.98402777777777795" header="0.51180555555555596" footer="0.51180555555555596"/>
  <pageSetup paperSize="9" orientation="landscape" blackAndWhite="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view="pageBreakPreview" topLeftCell="A10" zoomScaleNormal="100" zoomScaleSheetLayoutView="100" workbookViewId="0"/>
  </sheetViews>
  <sheetFormatPr defaultColWidth="9" defaultRowHeight="20.100000000000001" customHeight="1"/>
  <cols>
    <col min="1" max="1" width="25.125" style="53" customWidth="1"/>
    <col min="2" max="6" width="16.625" style="53" customWidth="1"/>
    <col min="7" max="7" width="16.125" style="53" customWidth="1"/>
    <col min="8" max="16384" width="9" style="53"/>
  </cols>
  <sheetData>
    <row r="1" spans="1:9" ht="24.95" customHeight="1">
      <c r="A1" s="54" t="s">
        <v>145</v>
      </c>
      <c r="B1" s="55">
        <f>基础信息!B6</f>
        <v>0</v>
      </c>
      <c r="C1" s="56"/>
      <c r="D1" s="22"/>
      <c r="E1" s="25"/>
      <c r="F1" s="22"/>
      <c r="G1" s="58"/>
    </row>
    <row r="2" spans="1:9" ht="24.95" customHeight="1">
      <c r="A2" s="54" t="s">
        <v>147</v>
      </c>
      <c r="B2" s="55">
        <f>基础信息!B9</f>
        <v>0</v>
      </c>
      <c r="C2" s="56"/>
      <c r="D2" s="22"/>
      <c r="E2" s="22"/>
      <c r="F2" s="22"/>
      <c r="G2" s="58"/>
    </row>
    <row r="3" spans="1:9" s="95" customFormat="1" ht="24.95" customHeight="1">
      <c r="A3" s="97" t="s">
        <v>148</v>
      </c>
      <c r="B3" s="97" t="s">
        <v>1308</v>
      </c>
      <c r="C3" s="59"/>
      <c r="D3" s="60"/>
      <c r="E3" s="60"/>
      <c r="F3" s="60"/>
      <c r="G3" s="58"/>
      <c r="H3" s="53"/>
      <c r="I3" s="53"/>
    </row>
    <row r="4" spans="1:9" s="102" customFormat="1" ht="24.95" customHeight="1">
      <c r="A4" s="1272" t="s">
        <v>997</v>
      </c>
      <c r="B4" s="1272" t="s">
        <v>1309</v>
      </c>
      <c r="C4" s="1272" t="s">
        <v>1310</v>
      </c>
      <c r="D4" s="1272" t="s">
        <v>1311</v>
      </c>
      <c r="E4" s="1272"/>
      <c r="F4" s="1272" t="s">
        <v>709</v>
      </c>
      <c r="G4" s="27"/>
      <c r="H4" s="27"/>
    </row>
    <row r="5" spans="1:9" s="102" customFormat="1" ht="24.95" customHeight="1">
      <c r="A5" s="1272"/>
      <c r="B5" s="1272"/>
      <c r="C5" s="1272"/>
      <c r="D5" s="16" t="s">
        <v>1312</v>
      </c>
      <c r="E5" s="16" t="s">
        <v>1313</v>
      </c>
      <c r="F5" s="1272"/>
      <c r="G5" s="27"/>
      <c r="H5" s="27"/>
    </row>
    <row r="6" spans="1:9" s="102" customFormat="1" ht="20.100000000000001" customHeight="1">
      <c r="A6" s="17" t="s">
        <v>1314</v>
      </c>
      <c r="B6" s="18"/>
      <c r="C6" s="18"/>
      <c r="D6" s="18"/>
      <c r="E6" s="18"/>
      <c r="F6" s="20">
        <f>B6+C6-D6-E6</f>
        <v>0</v>
      </c>
      <c r="G6" s="27"/>
      <c r="H6" s="27"/>
    </row>
    <row r="7" spans="1:9" s="102" customFormat="1" ht="20.100000000000001" customHeight="1">
      <c r="A7" s="17" t="s">
        <v>1315</v>
      </c>
      <c r="B7" s="18"/>
      <c r="C7" s="18"/>
      <c r="D7" s="18"/>
      <c r="E7" s="18"/>
      <c r="F7" s="20">
        <f t="shared" ref="F7:F16" si="0">B7+C7-D7-E7</f>
        <v>0</v>
      </c>
      <c r="G7" s="27"/>
      <c r="H7" s="27"/>
    </row>
    <row r="8" spans="1:9" s="102" customFormat="1" ht="20.100000000000001" customHeight="1">
      <c r="A8" s="17" t="s">
        <v>1316</v>
      </c>
      <c r="B8" s="18"/>
      <c r="C8" s="18"/>
      <c r="D8" s="18"/>
      <c r="E8" s="18"/>
      <c r="F8" s="20">
        <f t="shared" si="0"/>
        <v>0</v>
      </c>
      <c r="G8" s="27"/>
      <c r="H8" s="27"/>
    </row>
    <row r="9" spans="1:9" s="102" customFormat="1" ht="20.100000000000001" customHeight="1">
      <c r="A9" s="17" t="s">
        <v>1317</v>
      </c>
      <c r="B9" s="18"/>
      <c r="C9" s="18"/>
      <c r="D9" s="18"/>
      <c r="E9" s="18"/>
      <c r="F9" s="20">
        <f t="shared" si="0"/>
        <v>0</v>
      </c>
      <c r="G9" s="27"/>
      <c r="H9" s="27"/>
    </row>
    <row r="10" spans="1:9" s="102" customFormat="1" ht="20.100000000000001" customHeight="1">
      <c r="A10" s="17" t="s">
        <v>1318</v>
      </c>
      <c r="B10" s="18"/>
      <c r="C10" s="18"/>
      <c r="D10" s="18"/>
      <c r="E10" s="18"/>
      <c r="F10" s="20">
        <f t="shared" si="0"/>
        <v>0</v>
      </c>
      <c r="G10" s="27"/>
      <c r="H10" s="27"/>
    </row>
    <row r="11" spans="1:9" s="102" customFormat="1" ht="20.100000000000001" customHeight="1">
      <c r="A11" s="365" t="s">
        <v>398</v>
      </c>
      <c r="B11" s="252"/>
      <c r="C11" s="252"/>
      <c r="D11" s="252"/>
      <c r="E11" s="252"/>
      <c r="F11" s="20">
        <f t="shared" si="0"/>
        <v>0</v>
      </c>
    </row>
    <row r="12" spans="1:9" s="102" customFormat="1" ht="20.100000000000001" customHeight="1">
      <c r="A12" s="365" t="s">
        <v>403</v>
      </c>
      <c r="B12" s="252"/>
      <c r="C12" s="252"/>
      <c r="D12" s="252"/>
      <c r="E12" s="252"/>
      <c r="F12" s="20">
        <f t="shared" si="0"/>
        <v>0</v>
      </c>
    </row>
    <row r="13" spans="1:9" s="102" customFormat="1" ht="20.100000000000001" customHeight="1">
      <c r="A13" s="365" t="s">
        <v>1319</v>
      </c>
      <c r="B13" s="252"/>
      <c r="C13" s="252"/>
      <c r="D13" s="252"/>
      <c r="E13" s="252"/>
      <c r="F13" s="20">
        <f t="shared" si="0"/>
        <v>0</v>
      </c>
    </row>
    <row r="14" spans="1:9" s="102" customFormat="1" ht="20.100000000000001" customHeight="1">
      <c r="A14" s="365" t="s">
        <v>1320</v>
      </c>
      <c r="B14" s="252"/>
      <c r="C14" s="252"/>
      <c r="D14" s="252"/>
      <c r="E14" s="252"/>
      <c r="F14" s="20">
        <f t="shared" si="0"/>
        <v>0</v>
      </c>
    </row>
    <row r="15" spans="1:9" s="102" customFormat="1" ht="20.100000000000001" customHeight="1">
      <c r="A15" s="365" t="s">
        <v>405</v>
      </c>
      <c r="B15" s="252"/>
      <c r="C15" s="252"/>
      <c r="D15" s="252"/>
      <c r="E15" s="252"/>
      <c r="F15" s="20">
        <f t="shared" si="0"/>
        <v>0</v>
      </c>
    </row>
    <row r="16" spans="1:9" s="102" customFormat="1" ht="20.100000000000001" customHeight="1">
      <c r="A16" s="365" t="s">
        <v>1321</v>
      </c>
      <c r="B16" s="252"/>
      <c r="C16" s="252"/>
      <c r="D16" s="252"/>
      <c r="E16" s="252"/>
      <c r="F16" s="20">
        <f t="shared" si="0"/>
        <v>0</v>
      </c>
    </row>
    <row r="17" spans="1:6" s="102" customFormat="1" ht="20.100000000000001" customHeight="1">
      <c r="A17" s="365" t="s">
        <v>1322</v>
      </c>
      <c r="B17" s="252"/>
      <c r="C17" s="252"/>
      <c r="D17" s="252"/>
      <c r="E17" s="252"/>
      <c r="F17" s="20">
        <f t="shared" ref="F17" si="1">B17+C17-D17-E17</f>
        <v>0</v>
      </c>
    </row>
    <row r="18" spans="1:6" s="102" customFormat="1" ht="20.100000000000001" customHeight="1">
      <c r="A18" s="65" t="s">
        <v>658</v>
      </c>
      <c r="B18" s="20">
        <f>SUM(B6:B17)</f>
        <v>0</v>
      </c>
      <c r="C18" s="20">
        <f>SUM(C6:C17)</f>
        <v>0</v>
      </c>
      <c r="D18" s="20">
        <f>SUM(D6:D17)</f>
        <v>0</v>
      </c>
      <c r="E18" s="20">
        <f>SUM(E6:E17)</f>
        <v>0</v>
      </c>
      <c r="F18" s="20">
        <f>SUM(F6:F17)</f>
        <v>0</v>
      </c>
    </row>
    <row r="19" spans="1:6" s="102" customFormat="1" ht="20.100000000000001" customHeight="1">
      <c r="A19" s="65"/>
      <c r="B19" s="65"/>
      <c r="C19" s="65"/>
      <c r="D19" s="65"/>
      <c r="E19" s="65"/>
      <c r="F19" s="65"/>
    </row>
    <row r="20" spans="1:6" s="102" customFormat="1" ht="20.100000000000001" customHeight="1">
      <c r="A20" s="65"/>
      <c r="B20" s="65"/>
      <c r="C20" s="65"/>
      <c r="D20" s="65"/>
      <c r="E20" s="65"/>
      <c r="F20" s="65"/>
    </row>
  </sheetData>
  <mergeCells count="5">
    <mergeCell ref="D4:E4"/>
    <mergeCell ref="A4:A5"/>
    <mergeCell ref="B4:B5"/>
    <mergeCell ref="C4:C5"/>
    <mergeCell ref="F4:F5"/>
  </mergeCells>
  <phoneticPr fontId="76" type="noConversion"/>
  <pageMargins left="0.59027777777777801" right="0.43263888888888902" top="0.98402777777777795" bottom="0.98402777777777795" header="0.51180555555555596" footer="0.51180555555555596"/>
  <pageSetup paperSize="9" orientation="landscape" blackAndWhite="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view="pageBreakPreview" zoomScaleNormal="100" zoomScaleSheetLayoutView="100" workbookViewId="0">
      <selection activeCell="B11" sqref="B11"/>
    </sheetView>
  </sheetViews>
  <sheetFormatPr defaultColWidth="9" defaultRowHeight="20.100000000000001" customHeight="1"/>
  <cols>
    <col min="1" max="1" width="27.375" style="105" customWidth="1"/>
    <col min="2" max="2" width="26.875" style="105" customWidth="1"/>
    <col min="3" max="5" width="24.625" style="105" customWidth="1"/>
    <col min="6" max="6" width="20.375" style="105" customWidth="1"/>
    <col min="7" max="16384" width="9" style="105"/>
  </cols>
  <sheetData>
    <row r="1" spans="1:5" ht="24.95" customHeight="1">
      <c r="A1" s="54" t="s">
        <v>145</v>
      </c>
      <c r="B1" s="55">
        <f>基础信息!B6</f>
        <v>0</v>
      </c>
      <c r="C1" s="56"/>
      <c r="D1" s="167"/>
      <c r="E1" s="106"/>
    </row>
    <row r="2" spans="1:5" ht="24.95" customHeight="1">
      <c r="A2" s="54" t="s">
        <v>147</v>
      </c>
      <c r="B2" s="55">
        <f>基础信息!B9</f>
        <v>0</v>
      </c>
      <c r="C2" s="59"/>
      <c r="D2" s="167"/>
    </row>
    <row r="3" spans="1:5" s="104" customFormat="1" ht="24.95" customHeight="1">
      <c r="A3" s="97" t="s">
        <v>148</v>
      </c>
      <c r="B3" s="97" t="s">
        <v>1323</v>
      </c>
      <c r="C3" s="97"/>
    </row>
    <row r="4" spans="1:5" s="52" customFormat="1" ht="24.95" customHeight="1">
      <c r="A4" s="181" t="s">
        <v>943</v>
      </c>
      <c r="B4" s="181" t="s">
        <v>1324</v>
      </c>
      <c r="C4" s="181" t="s">
        <v>1325</v>
      </c>
    </row>
    <row r="5" spans="1:5" s="27" customFormat="1" ht="20.100000000000001" customHeight="1">
      <c r="A5" s="362" t="s">
        <v>1326</v>
      </c>
      <c r="B5" s="363"/>
      <c r="C5" s="363"/>
    </row>
    <row r="6" spans="1:5" s="27" customFormat="1" ht="20.100000000000001" customHeight="1">
      <c r="A6" s="362" t="s">
        <v>1327</v>
      </c>
      <c r="B6" s="363"/>
      <c r="C6" s="363"/>
    </row>
    <row r="7" spans="1:5" s="27" customFormat="1" ht="20.100000000000001" customHeight="1">
      <c r="A7" s="362" t="s">
        <v>1328</v>
      </c>
      <c r="B7" s="363"/>
      <c r="C7" s="363"/>
    </row>
    <row r="8" spans="1:5" s="27" customFormat="1" ht="20.100000000000001" customHeight="1">
      <c r="A8" s="362" t="s">
        <v>1329</v>
      </c>
      <c r="B8" s="363"/>
      <c r="C8" s="363"/>
    </row>
    <row r="9" spans="1:5" s="27" customFormat="1" ht="20.100000000000001" customHeight="1">
      <c r="A9" s="362" t="s">
        <v>1330</v>
      </c>
      <c r="B9" s="363"/>
      <c r="C9" s="363"/>
    </row>
    <row r="10" spans="1:5" s="27" customFormat="1" ht="20.100000000000001" customHeight="1">
      <c r="A10" s="362" t="s">
        <v>896</v>
      </c>
      <c r="B10" s="363"/>
      <c r="C10" s="363"/>
    </row>
    <row r="11" spans="1:5" s="27" customFormat="1" ht="20.100000000000001" customHeight="1">
      <c r="A11" s="362" t="s">
        <v>937</v>
      </c>
      <c r="B11" s="364">
        <f>SUM(B5:B10)</f>
        <v>0</v>
      </c>
      <c r="C11" s="364">
        <f>SUM(C5:C10)</f>
        <v>0</v>
      </c>
    </row>
  </sheetData>
  <phoneticPr fontId="76" type="noConversion"/>
  <pageMargins left="0.27500000000000002" right="0.27500000000000002" top="0.51180555555555596" bottom="0.51180555555555596" header="0.27500000000000002" footer="0.27500000000000002"/>
  <pageSetup paperSize="9" orientation="landscape" blackAndWhite="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view="pageBreakPreview" topLeftCell="A10" zoomScaleNormal="100" zoomScaleSheetLayoutView="100" workbookViewId="0">
      <selection activeCell="B11" sqref="B11"/>
    </sheetView>
  </sheetViews>
  <sheetFormatPr defaultColWidth="9" defaultRowHeight="15.75"/>
  <cols>
    <col min="1" max="7" width="15.625" style="24" customWidth="1"/>
    <col min="8" max="8" width="11.875" style="24" customWidth="1"/>
    <col min="9" max="16384" width="9" style="24"/>
  </cols>
  <sheetData>
    <row r="1" spans="1:9" ht="24.95" customHeight="1">
      <c r="A1" s="54" t="s">
        <v>145</v>
      </c>
      <c r="B1" s="55">
        <f>基础信息!B6</f>
        <v>0</v>
      </c>
      <c r="C1" s="22"/>
      <c r="D1" s="22"/>
      <c r="E1" s="25"/>
    </row>
    <row r="2" spans="1:9" ht="24.95" customHeight="1">
      <c r="A2" s="54" t="s">
        <v>147</v>
      </c>
      <c r="B2" s="55">
        <f>基础信息!B9</f>
        <v>0</v>
      </c>
      <c r="C2" s="22"/>
      <c r="D2" s="22"/>
      <c r="E2" s="22"/>
    </row>
    <row r="3" spans="1:9" s="359" customFormat="1" ht="24.95" customHeight="1">
      <c r="A3" s="97" t="s">
        <v>148</v>
      </c>
      <c r="B3" s="97" t="s">
        <v>1331</v>
      </c>
      <c r="C3" s="22"/>
      <c r="D3" s="22"/>
      <c r="E3" s="22"/>
      <c r="F3" s="24"/>
      <c r="G3" s="24"/>
      <c r="H3" s="24"/>
      <c r="I3" s="24"/>
    </row>
    <row r="4" spans="1:9" s="339" customFormat="1" ht="24.95" customHeight="1">
      <c r="A4" s="191" t="s">
        <v>1332</v>
      </c>
      <c r="B4" s="191"/>
      <c r="C4" s="191"/>
      <c r="D4" s="191"/>
      <c r="E4" s="191"/>
    </row>
    <row r="5" spans="1:9" s="360" customFormat="1" ht="24.95" customHeight="1">
      <c r="A5" s="263" t="s">
        <v>754</v>
      </c>
      <c r="B5" s="263" t="s">
        <v>762</v>
      </c>
      <c r="C5" s="191"/>
      <c r="D5" s="191"/>
      <c r="E5" s="191"/>
      <c r="F5" s="339"/>
      <c r="G5" s="339"/>
    </row>
    <row r="6" spans="1:9" s="189" customFormat="1" ht="20.100000000000001" customHeight="1">
      <c r="A6" s="196" t="s">
        <v>1333</v>
      </c>
      <c r="B6" s="196"/>
    </row>
    <row r="7" spans="1:9" s="189" customFormat="1" ht="20.100000000000001" customHeight="1">
      <c r="A7" s="196" t="s">
        <v>1334</v>
      </c>
      <c r="B7" s="196" t="s">
        <v>1335</v>
      </c>
    </row>
    <row r="8" spans="1:9" s="189" customFormat="1" ht="20.100000000000001" customHeight="1">
      <c r="A8" s="196" t="s">
        <v>1336</v>
      </c>
      <c r="B8" s="196"/>
    </row>
    <row r="9" spans="1:9" s="189" customFormat="1" ht="20.100000000000001" customHeight="1">
      <c r="A9" s="196" t="s">
        <v>1337</v>
      </c>
      <c r="B9" s="196"/>
    </row>
    <row r="10" spans="1:9" s="189" customFormat="1" ht="20.100000000000001" customHeight="1">
      <c r="A10" s="196" t="s">
        <v>658</v>
      </c>
      <c r="B10" s="196">
        <f>SUM(B6:B9)</f>
        <v>0</v>
      </c>
    </row>
    <row r="11" spans="1:9" s="189" customFormat="1" ht="20.100000000000001" customHeight="1">
      <c r="A11" s="118" t="s">
        <v>649</v>
      </c>
      <c r="B11" s="118">
        <f>'RP 006'!E81</f>
        <v>0</v>
      </c>
    </row>
    <row r="12" spans="1:9" s="189" customFormat="1" ht="20.100000000000001" customHeight="1">
      <c r="A12" s="115"/>
      <c r="B12" s="115">
        <f>B10-B11</f>
        <v>0</v>
      </c>
      <c r="C12" s="203"/>
    </row>
    <row r="13" spans="1:9" s="189" customFormat="1" ht="20.100000000000001" customHeight="1">
      <c r="A13" s="29"/>
      <c r="B13" s="29" t="str">
        <f>IF(B12=0,"OK","NO")</f>
        <v>OK</v>
      </c>
      <c r="C13" s="203"/>
    </row>
    <row r="14" spans="1:9" s="189" customFormat="1" ht="20.100000000000001" customHeight="1">
      <c r="A14" s="203"/>
      <c r="B14" s="203"/>
      <c r="C14" s="203"/>
    </row>
    <row r="15" spans="1:9" s="189" customFormat="1" ht="20.100000000000001" customHeight="1">
      <c r="A15" s="179" t="s">
        <v>1338</v>
      </c>
    </row>
    <row r="16" spans="1:9" s="189" customFormat="1" ht="20.100000000000001" customHeight="1">
      <c r="A16" s="179" t="s">
        <v>1339</v>
      </c>
    </row>
    <row r="17" spans="1:5" s="189" customFormat="1" ht="20.100000000000001" customHeight="1">
      <c r="A17" s="179" t="s">
        <v>1340</v>
      </c>
    </row>
    <row r="18" spans="1:5" s="189" customFormat="1" ht="20.100000000000001" customHeight="1">
      <c r="A18" s="179" t="s">
        <v>1341</v>
      </c>
    </row>
    <row r="19" spans="1:5" s="189" customFormat="1" ht="20.100000000000001" customHeight="1">
      <c r="A19" s="242" t="s">
        <v>1342</v>
      </c>
    </row>
    <row r="20" spans="1:5" s="189" customFormat="1" ht="20.100000000000001" customHeight="1">
      <c r="A20" s="209" t="s">
        <v>797</v>
      </c>
      <c r="B20" s="190" t="s">
        <v>1343</v>
      </c>
      <c r="C20" s="190" t="s">
        <v>1344</v>
      </c>
      <c r="D20" s="190" t="s">
        <v>1345</v>
      </c>
      <c r="E20" s="209" t="s">
        <v>1346</v>
      </c>
    </row>
    <row r="21" spans="1:5" s="189" customFormat="1" ht="20.100000000000001" customHeight="1">
      <c r="A21" s="192"/>
      <c r="B21" s="192"/>
      <c r="C21" s="192"/>
      <c r="D21" s="192"/>
      <c r="E21" s="192"/>
    </row>
    <row r="22" spans="1:5" s="189" customFormat="1" ht="20.100000000000001" customHeight="1">
      <c r="A22" s="196"/>
      <c r="B22" s="196"/>
      <c r="C22" s="196"/>
      <c r="D22" s="196"/>
      <c r="E22" s="196"/>
    </row>
    <row r="23" spans="1:5" s="189" customFormat="1" ht="20.100000000000001" customHeight="1">
      <c r="A23" s="192"/>
      <c r="B23" s="192"/>
      <c r="C23" s="192"/>
      <c r="D23" s="192"/>
      <c r="E23" s="192"/>
    </row>
    <row r="24" spans="1:5" s="189" customFormat="1" ht="20.100000000000001" customHeight="1">
      <c r="A24" s="192" t="s">
        <v>907</v>
      </c>
      <c r="B24" s="196"/>
      <c r="C24" s="196" t="s">
        <v>924</v>
      </c>
      <c r="D24" s="196" t="s">
        <v>924</v>
      </c>
      <c r="E24" s="196" t="s">
        <v>924</v>
      </c>
    </row>
    <row r="25" spans="1:5" s="189" customFormat="1" ht="20.100000000000001" customHeight="1">
      <c r="A25" s="361" t="s">
        <v>1338</v>
      </c>
    </row>
    <row r="26" spans="1:5" s="210" customFormat="1" ht="16.5"/>
    <row r="27" spans="1:5" s="208" customFormat="1"/>
    <row r="28" spans="1:5" s="208" customFormat="1"/>
    <row r="29" spans="1:5" s="208" customFormat="1"/>
    <row r="30" spans="1:5" s="208" customFormat="1"/>
    <row r="31" spans="1:5" s="208" customFormat="1"/>
    <row r="32" spans="1:5" s="208" customFormat="1"/>
    <row r="33" spans="1:8" s="359" customFormat="1">
      <c r="A33" s="208"/>
      <c r="B33" s="208"/>
      <c r="C33" s="208"/>
      <c r="D33" s="208"/>
      <c r="E33" s="208"/>
      <c r="F33" s="208"/>
      <c r="G33" s="208"/>
      <c r="H33" s="208"/>
    </row>
    <row r="34" spans="1:8" s="359" customFormat="1">
      <c r="A34" s="208"/>
      <c r="B34" s="208"/>
      <c r="C34" s="208"/>
      <c r="D34" s="208"/>
      <c r="E34" s="208"/>
      <c r="F34" s="208"/>
      <c r="G34" s="208"/>
      <c r="H34" s="208"/>
    </row>
    <row r="35" spans="1:8" s="359" customFormat="1">
      <c r="A35" s="208"/>
      <c r="B35" s="208"/>
      <c r="C35" s="208"/>
      <c r="D35" s="208"/>
      <c r="E35" s="208"/>
      <c r="F35" s="208"/>
      <c r="G35" s="208"/>
      <c r="H35" s="208"/>
    </row>
    <row r="36" spans="1:8" s="359" customFormat="1">
      <c r="A36" s="208"/>
      <c r="B36" s="208"/>
      <c r="C36" s="208"/>
      <c r="D36" s="208"/>
      <c r="E36" s="208"/>
      <c r="F36" s="208"/>
      <c r="G36" s="208"/>
      <c r="H36" s="208"/>
    </row>
    <row r="37" spans="1:8" s="359" customFormat="1">
      <c r="A37" s="208"/>
      <c r="B37" s="208"/>
      <c r="C37" s="208"/>
      <c r="D37" s="208"/>
      <c r="E37" s="208"/>
      <c r="F37" s="208"/>
      <c r="G37" s="208"/>
      <c r="H37" s="208"/>
    </row>
    <row r="38" spans="1:8" s="359" customFormat="1">
      <c r="A38" s="208"/>
      <c r="B38" s="208"/>
      <c r="C38" s="208"/>
      <c r="D38" s="208"/>
      <c r="E38" s="208"/>
      <c r="F38" s="208"/>
      <c r="G38" s="208"/>
      <c r="H38" s="208"/>
    </row>
    <row r="39" spans="1:8" s="359" customFormat="1" ht="33.75" customHeight="1">
      <c r="A39" s="208"/>
      <c r="B39" s="208"/>
      <c r="C39" s="208"/>
      <c r="D39" s="208"/>
      <c r="E39" s="208"/>
      <c r="F39" s="208"/>
      <c r="G39" s="208"/>
      <c r="H39" s="208"/>
    </row>
    <row r="40" spans="1:8" s="359" customFormat="1">
      <c r="A40" s="208"/>
      <c r="B40" s="208"/>
      <c r="C40" s="208"/>
      <c r="D40" s="208"/>
      <c r="E40" s="208"/>
      <c r="F40" s="208"/>
      <c r="G40" s="208"/>
      <c r="H40" s="208"/>
    </row>
    <row r="41" spans="1:8" s="359" customFormat="1">
      <c r="A41" s="208"/>
      <c r="B41" s="208"/>
      <c r="C41" s="208"/>
      <c r="D41" s="208"/>
      <c r="E41" s="208"/>
      <c r="F41" s="208"/>
      <c r="G41" s="208"/>
      <c r="H41" s="208"/>
    </row>
    <row r="42" spans="1:8" s="359" customFormat="1">
      <c r="A42" s="208"/>
      <c r="B42" s="208"/>
      <c r="C42" s="208"/>
      <c r="D42" s="208"/>
      <c r="E42" s="208"/>
      <c r="F42" s="208"/>
      <c r="G42" s="208"/>
      <c r="H42" s="208"/>
    </row>
    <row r="43" spans="1:8">
      <c r="A43" s="208"/>
      <c r="B43" s="208"/>
      <c r="C43" s="208"/>
      <c r="D43" s="208"/>
      <c r="E43" s="208"/>
      <c r="F43" s="208"/>
      <c r="G43" s="208"/>
      <c r="H43" s="208"/>
    </row>
  </sheetData>
  <phoneticPr fontId="76" type="noConversion"/>
  <pageMargins left="0.27500000000000002" right="0.27500000000000002" top="0.51180555555555596" bottom="0.51180555555555596" header="0.27500000000000002" footer="0.27500000000000002"/>
  <pageSetup paperSize="9" orientation="landscape" blackAndWhite="1" r:id="rId1"/>
  <headerFooter alignWithMargins="0"/>
  <rowBreaks count="1" manualBreakCount="1">
    <brk id="32" max="6"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24"/>
  <sheetViews>
    <sheetView workbookViewId="0">
      <selection activeCell="B15" sqref="B15"/>
    </sheetView>
  </sheetViews>
  <sheetFormatPr defaultRowHeight="12.75"/>
  <cols>
    <col min="1" max="1" width="21.5" style="1082" customWidth="1"/>
    <col min="2" max="2" width="30.125" style="1082" customWidth="1"/>
    <col min="3" max="3" width="17.75" style="1082" customWidth="1"/>
    <col min="4" max="4" width="14.625" style="1082" customWidth="1"/>
    <col min="5" max="16384" width="9" style="1082"/>
  </cols>
  <sheetData>
    <row r="1" spans="1:6">
      <c r="A1" s="1136" t="s">
        <v>776</v>
      </c>
      <c r="B1" s="1137">
        <f>基础信息!B6</f>
        <v>0</v>
      </c>
      <c r="C1" s="977"/>
    </row>
    <row r="2" spans="1:6">
      <c r="A2" s="1136" t="s">
        <v>2293</v>
      </c>
      <c r="B2" s="1137">
        <f>基础信息!B9</f>
        <v>0</v>
      </c>
      <c r="C2" s="977"/>
    </row>
    <row r="3" spans="1:6">
      <c r="A3" s="23" t="s">
        <v>1246</v>
      </c>
      <c r="B3" s="1138" t="s">
        <v>2113</v>
      </c>
      <c r="C3" s="977"/>
    </row>
    <row r="4" spans="1:6">
      <c r="A4" s="356"/>
      <c r="B4" s="356"/>
      <c r="C4" s="352"/>
    </row>
    <row r="5" spans="1:6">
      <c r="A5" s="980" t="s">
        <v>943</v>
      </c>
      <c r="B5" s="980" t="s">
        <v>925</v>
      </c>
      <c r="C5" s="353"/>
    </row>
    <row r="6" spans="1:6">
      <c r="A6" s="182" t="s">
        <v>1349</v>
      </c>
      <c r="B6" s="182"/>
      <c r="C6" s="351"/>
      <c r="F6" s="1139"/>
    </row>
    <row r="7" spans="1:6" ht="36">
      <c r="A7" s="1135" t="s">
        <v>2379</v>
      </c>
      <c r="B7" s="182"/>
      <c r="C7" s="351"/>
      <c r="F7" s="1139"/>
    </row>
    <row r="8" spans="1:6">
      <c r="A8" s="182" t="s">
        <v>906</v>
      </c>
      <c r="B8" s="182"/>
      <c r="C8" s="351"/>
      <c r="F8" s="1139"/>
    </row>
    <row r="9" spans="1:6">
      <c r="A9" s="182"/>
      <c r="B9" s="182"/>
      <c r="C9" s="351"/>
      <c r="F9" s="1139"/>
    </row>
    <row r="10" spans="1:6">
      <c r="A10" s="182"/>
      <c r="B10" s="182"/>
      <c r="C10" s="351"/>
    </row>
    <row r="11" spans="1:6">
      <c r="A11" s="182"/>
      <c r="B11" s="182"/>
      <c r="C11" s="351"/>
      <c r="F11" s="1139"/>
    </row>
    <row r="12" spans="1:6">
      <c r="A12" s="182"/>
      <c r="B12" s="182"/>
      <c r="C12" s="351"/>
    </row>
    <row r="13" spans="1:6">
      <c r="A13" s="182"/>
      <c r="B13" s="182"/>
      <c r="C13" s="351"/>
    </row>
    <row r="14" spans="1:6">
      <c r="A14" s="182" t="s">
        <v>937</v>
      </c>
      <c r="B14" s="182"/>
      <c r="C14" s="351"/>
    </row>
    <row r="15" spans="1:6">
      <c r="A15" s="118" t="s">
        <v>649</v>
      </c>
      <c r="B15" s="119">
        <f>'RP 006'!E82</f>
        <v>0</v>
      </c>
      <c r="C15" s="351"/>
    </row>
    <row r="16" spans="1:6">
      <c r="A16" s="118"/>
      <c r="B16" s="119">
        <f>B14-B15</f>
        <v>0</v>
      </c>
      <c r="C16" s="351"/>
    </row>
    <row r="17" spans="1:4">
      <c r="A17" s="100"/>
      <c r="B17" s="100" t="str">
        <f>IF(B16=0,"OK","NO")</f>
        <v>OK</v>
      </c>
      <c r="C17" s="351"/>
    </row>
    <row r="18" spans="1:4">
      <c r="A18" s="1130" t="s">
        <v>2383</v>
      </c>
    </row>
    <row r="19" spans="1:4">
      <c r="A19" s="1130" t="s">
        <v>2384</v>
      </c>
    </row>
    <row r="20" spans="1:4" ht="36">
      <c r="A20" s="1140" t="s">
        <v>1717</v>
      </c>
      <c r="B20" s="1119" t="s">
        <v>2385</v>
      </c>
      <c r="C20" s="1141" t="s">
        <v>2380</v>
      </c>
      <c r="D20" s="1133" t="s">
        <v>2381</v>
      </c>
    </row>
    <row r="21" spans="1:4">
      <c r="A21" s="1142" t="s">
        <v>2382</v>
      </c>
      <c r="B21" s="1106" t="s">
        <v>335</v>
      </c>
      <c r="C21" s="1106"/>
      <c r="D21" s="1106"/>
    </row>
    <row r="22" spans="1:4">
      <c r="A22" s="1105"/>
      <c r="B22" s="1106"/>
      <c r="C22" s="1106"/>
      <c r="D22" s="1106"/>
    </row>
    <row r="23" spans="1:4">
      <c r="A23" s="1143" t="s">
        <v>2386</v>
      </c>
      <c r="B23" s="1114">
        <f>SUM(B21:B22)</f>
        <v>0</v>
      </c>
      <c r="C23" s="1114">
        <f>SUM(C21:C22)</f>
        <v>0</v>
      </c>
      <c r="D23" s="1113"/>
    </row>
    <row r="24" spans="1:4">
      <c r="A24" s="1130" t="s">
        <v>2387</v>
      </c>
    </row>
  </sheetData>
  <phoneticPr fontId="76"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view="pageBreakPreview" zoomScaleNormal="100" zoomScaleSheetLayoutView="100" workbookViewId="0">
      <selection activeCell="B15" sqref="B15"/>
    </sheetView>
  </sheetViews>
  <sheetFormatPr defaultColWidth="9" defaultRowHeight="20.100000000000001" customHeight="1"/>
  <cols>
    <col min="1" max="1" width="38.875" style="105" customWidth="1"/>
    <col min="2" max="2" width="60.875" style="105" customWidth="1"/>
    <col min="3" max="3" width="34.875" style="105" customWidth="1"/>
    <col min="4" max="4" width="23" style="105" customWidth="1"/>
    <col min="5" max="5" width="12.5" style="104" customWidth="1"/>
    <col min="6" max="9" width="9" style="104"/>
    <col min="10" max="16384" width="9" style="105"/>
  </cols>
  <sheetData>
    <row r="1" spans="1:5" ht="24.95" customHeight="1">
      <c r="A1" s="12" t="s">
        <v>145</v>
      </c>
      <c r="B1" s="13">
        <f>基础信息!B6</f>
        <v>0</v>
      </c>
      <c r="C1" s="355"/>
      <c r="E1" s="106"/>
    </row>
    <row r="2" spans="1:5" ht="24.95" customHeight="1">
      <c r="A2" s="12" t="s">
        <v>147</v>
      </c>
      <c r="B2" s="13">
        <f>基础信息!B9</f>
        <v>0</v>
      </c>
      <c r="C2" s="355"/>
    </row>
    <row r="3" spans="1:5" s="104" customFormat="1" ht="24.95" customHeight="1">
      <c r="A3" s="74" t="s">
        <v>148</v>
      </c>
      <c r="B3" s="74" t="s">
        <v>1347</v>
      </c>
      <c r="C3" s="355"/>
      <c r="D3" s="105"/>
    </row>
    <row r="4" spans="1:5" s="352" customFormat="1" ht="24.95" customHeight="1">
      <c r="A4" s="356" t="s">
        <v>1348</v>
      </c>
      <c r="B4" s="356"/>
    </row>
    <row r="5" spans="1:5" s="353" customFormat="1" ht="24.95" customHeight="1">
      <c r="A5" s="181" t="s">
        <v>943</v>
      </c>
      <c r="B5" s="181" t="s">
        <v>925</v>
      </c>
    </row>
    <row r="6" spans="1:5" s="351" customFormat="1" ht="20.100000000000001" customHeight="1">
      <c r="A6" s="182" t="s">
        <v>1349</v>
      </c>
      <c r="B6" s="182"/>
      <c r="C6" s="1144"/>
    </row>
    <row r="7" spans="1:5" s="351" customFormat="1" ht="20.100000000000001" customHeight="1">
      <c r="A7" s="182" t="s">
        <v>1350</v>
      </c>
      <c r="B7" s="182"/>
    </row>
    <row r="8" spans="1:5" s="351" customFormat="1" ht="20.100000000000001" customHeight="1">
      <c r="A8" s="182" t="s">
        <v>1351</v>
      </c>
      <c r="B8" s="182"/>
      <c r="C8" s="1144"/>
    </row>
    <row r="9" spans="1:5" s="351" customFormat="1" ht="20.100000000000001" customHeight="1">
      <c r="A9" s="182" t="s">
        <v>906</v>
      </c>
      <c r="B9" s="182"/>
      <c r="C9" s="1144"/>
    </row>
    <row r="10" spans="1:5" s="351" customFormat="1" ht="20.100000000000001" customHeight="1">
      <c r="A10" s="182" t="s">
        <v>1352</v>
      </c>
      <c r="B10" s="182"/>
    </row>
    <row r="11" spans="1:5" s="351" customFormat="1" ht="20.100000000000001" customHeight="1">
      <c r="A11" s="182"/>
      <c r="B11" s="182"/>
    </row>
    <row r="12" spans="1:5" s="351" customFormat="1" ht="20.100000000000001" customHeight="1">
      <c r="A12" s="182"/>
      <c r="B12" s="182"/>
    </row>
    <row r="13" spans="1:5" s="351" customFormat="1" ht="20.100000000000001" customHeight="1">
      <c r="A13" s="182"/>
      <c r="B13" s="182"/>
    </row>
    <row r="14" spans="1:5" s="351" customFormat="1" ht="20.100000000000001" customHeight="1">
      <c r="A14" s="182" t="s">
        <v>937</v>
      </c>
      <c r="B14" s="182"/>
    </row>
    <row r="15" spans="1:5" s="351" customFormat="1" ht="20.100000000000001" customHeight="1">
      <c r="A15" s="118" t="s">
        <v>649</v>
      </c>
      <c r="B15" s="119">
        <f>'RP 006'!E83</f>
        <v>0</v>
      </c>
    </row>
    <row r="16" spans="1:5" s="351" customFormat="1" ht="20.100000000000001" customHeight="1">
      <c r="A16" s="118"/>
      <c r="B16" s="119">
        <f>B14-B15</f>
        <v>0</v>
      </c>
    </row>
    <row r="17" spans="1:3" s="351" customFormat="1" ht="20.100000000000001" customHeight="1">
      <c r="A17" s="100"/>
      <c r="B17" s="100" t="str">
        <f>IF(B16=0,"OK","NO")</f>
        <v>OK</v>
      </c>
    </row>
    <row r="18" spans="1:3" s="351" customFormat="1" ht="20.100000000000001" customHeight="1">
      <c r="A18" s="1344" t="s">
        <v>1353</v>
      </c>
      <c r="B18" s="1344"/>
      <c r="C18" s="1344"/>
    </row>
    <row r="19" spans="1:3" s="351" customFormat="1" ht="20.100000000000001" customHeight="1">
      <c r="A19" s="1345" t="s">
        <v>1354</v>
      </c>
      <c r="B19" s="1345"/>
      <c r="C19" s="1345"/>
    </row>
    <row r="20" spans="1:3" s="354" customFormat="1" ht="16.5">
      <c r="A20" s="357"/>
      <c r="B20" s="358"/>
      <c r="C20" s="358"/>
    </row>
  </sheetData>
  <mergeCells count="2">
    <mergeCell ref="A18:C18"/>
    <mergeCell ref="A19:C19"/>
  </mergeCells>
  <phoneticPr fontId="76" type="noConversion"/>
  <pageMargins left="0.51180555555555596" right="0.27500000000000002" top="0.86527777777777803" bottom="0.51180555555555596" header="0.27500000000000002" footer="0.27500000000000002"/>
  <pageSetup paperSize="9" scale="89" orientation="portrait" blackAndWhite="1"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view="pageBreakPreview" zoomScaleNormal="100" zoomScaleSheetLayoutView="100" workbookViewId="0">
      <selection activeCell="B13" sqref="B13"/>
    </sheetView>
  </sheetViews>
  <sheetFormatPr defaultColWidth="18.25" defaultRowHeight="20.100000000000001" customHeight="1"/>
  <cols>
    <col min="1" max="1" width="18.25" style="105"/>
    <col min="2" max="2" width="30.5" style="105" customWidth="1"/>
    <col min="3" max="4" width="18.25" style="105"/>
    <col min="5" max="9" width="18.25" style="104"/>
    <col min="10" max="16384" width="18.25" style="105"/>
  </cols>
  <sheetData>
    <row r="1" spans="1:9" ht="24.95" customHeight="1">
      <c r="A1" s="54" t="s">
        <v>145</v>
      </c>
      <c r="B1" s="55">
        <f>基础信息!B6</f>
        <v>0</v>
      </c>
      <c r="C1" s="107"/>
      <c r="E1" s="106"/>
    </row>
    <row r="2" spans="1:9" ht="24.95" customHeight="1">
      <c r="A2" s="54" t="s">
        <v>147</v>
      </c>
      <c r="B2" s="55">
        <f>基础信息!B9</f>
        <v>0</v>
      </c>
      <c r="C2" s="107"/>
    </row>
    <row r="3" spans="1:9" s="104" customFormat="1" ht="24.95" customHeight="1">
      <c r="A3" s="97" t="s">
        <v>148</v>
      </c>
      <c r="B3" s="97" t="s">
        <v>1355</v>
      </c>
      <c r="C3" s="107"/>
      <c r="D3" s="105"/>
    </row>
    <row r="4" spans="1:9" s="52" customFormat="1" ht="24.95" customHeight="1">
      <c r="A4" s="88" t="s">
        <v>754</v>
      </c>
      <c r="B4" s="1145" t="s">
        <v>2388</v>
      </c>
      <c r="C4" s="26"/>
    </row>
    <row r="5" spans="1:9" s="27" customFormat="1" ht="20.100000000000001" customHeight="1">
      <c r="A5" s="94"/>
      <c r="B5" s="91"/>
      <c r="E5" s="102"/>
      <c r="F5" s="102"/>
      <c r="G5" s="102"/>
      <c r="H5" s="102"/>
      <c r="I5" s="102"/>
    </row>
    <row r="6" spans="1:9" s="27" customFormat="1" ht="20.100000000000001" customHeight="1">
      <c r="A6" s="94"/>
      <c r="B6" s="91"/>
      <c r="E6" s="102"/>
      <c r="F6" s="102"/>
      <c r="G6" s="102"/>
      <c r="H6" s="102"/>
      <c r="I6" s="102"/>
    </row>
    <row r="7" spans="1:9" s="27" customFormat="1" ht="20.100000000000001" customHeight="1">
      <c r="A7" s="94"/>
      <c r="B7" s="91"/>
      <c r="E7" s="102"/>
      <c r="F7" s="102"/>
      <c r="G7" s="102"/>
      <c r="H7" s="102"/>
      <c r="I7" s="102"/>
    </row>
    <row r="8" spans="1:9" s="27" customFormat="1" ht="20.100000000000001" customHeight="1">
      <c r="A8" s="94"/>
      <c r="B8" s="91"/>
      <c r="E8" s="102"/>
      <c r="F8" s="102"/>
      <c r="G8" s="102"/>
      <c r="H8" s="102"/>
      <c r="I8" s="102"/>
    </row>
    <row r="9" spans="1:9" s="27" customFormat="1" ht="20.100000000000001" customHeight="1">
      <c r="A9" s="94"/>
      <c r="B9" s="91"/>
      <c r="E9" s="102"/>
      <c r="F9" s="102"/>
      <c r="G9" s="102"/>
      <c r="H9" s="102"/>
      <c r="I9" s="102"/>
    </row>
    <row r="10" spans="1:9" s="27" customFormat="1" ht="20.100000000000001" customHeight="1">
      <c r="A10" s="94" t="s">
        <v>658</v>
      </c>
      <c r="B10" s="90">
        <f>SUM(B5:B9)</f>
        <v>0</v>
      </c>
      <c r="E10" s="102"/>
      <c r="F10" s="102"/>
      <c r="G10" s="102"/>
      <c r="H10" s="102"/>
      <c r="I10" s="102"/>
    </row>
    <row r="11" spans="1:9" s="351" customFormat="1" ht="20.100000000000001" customHeight="1">
      <c r="A11" s="118" t="s">
        <v>649</v>
      </c>
      <c r="B11" s="119">
        <f>'RP 006'!E84</f>
        <v>0</v>
      </c>
      <c r="C11" s="27"/>
      <c r="D11" s="27"/>
    </row>
    <row r="12" spans="1:9" s="351" customFormat="1" ht="20.100000000000001" customHeight="1">
      <c r="A12" s="118"/>
      <c r="B12" s="119">
        <f>B10-B11</f>
        <v>0</v>
      </c>
    </row>
    <row r="13" spans="1:9" s="351" customFormat="1" ht="20.100000000000001" customHeight="1">
      <c r="A13" s="100"/>
      <c r="B13" s="100" t="str">
        <f>IF(B12=0,"OK","NO")</f>
        <v>OK</v>
      </c>
    </row>
    <row r="14" spans="1:9" s="27" customFormat="1" ht="20.100000000000001" customHeight="1">
      <c r="A14" s="1346" t="s">
        <v>1356</v>
      </c>
      <c r="B14" s="1347"/>
      <c r="C14" s="1348"/>
      <c r="E14" s="102"/>
      <c r="F14" s="102"/>
      <c r="G14" s="102"/>
      <c r="H14" s="102"/>
      <c r="I14" s="102"/>
    </row>
  </sheetData>
  <mergeCells count="1">
    <mergeCell ref="A14:C14"/>
  </mergeCells>
  <phoneticPr fontId="76" type="noConversion"/>
  <pageMargins left="0.70763888888888904" right="0.70763888888888904" top="0.74791666666666701" bottom="0.74791666666666701" header="0.31388888888888899" footer="0.31388888888888899"/>
  <pageSetup paperSize="9" orientation="portrait" blackAndWhite="1" horizontalDpi="1200" verticalDpi="120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view="pageBreakPreview" zoomScaleNormal="100" zoomScaleSheetLayoutView="100" workbookViewId="0">
      <selection activeCell="B10" sqref="B10"/>
    </sheetView>
  </sheetViews>
  <sheetFormatPr defaultColWidth="9" defaultRowHeight="20.100000000000001" customHeight="1"/>
  <cols>
    <col min="1" max="1" width="29.25" style="330" customWidth="1"/>
    <col min="2" max="5" width="24.625" style="330" customWidth="1"/>
    <col min="6" max="16384" width="9" style="330"/>
  </cols>
  <sheetData>
    <row r="1" spans="1:8" ht="24.95" customHeight="1">
      <c r="A1" s="54" t="s">
        <v>145</v>
      </c>
      <c r="B1" s="55">
        <f>基础信息!B6</f>
        <v>0</v>
      </c>
      <c r="E1" s="332"/>
    </row>
    <row r="2" spans="1:8" ht="20.100000000000001" customHeight="1">
      <c r="A2" s="54" t="s">
        <v>147</v>
      </c>
      <c r="B2" s="55">
        <f>基础信息!B9</f>
        <v>0</v>
      </c>
    </row>
    <row r="3" spans="1:8" s="327" customFormat="1" ht="20.100000000000001" customHeight="1">
      <c r="A3" s="345" t="s">
        <v>148</v>
      </c>
      <c r="B3" s="345" t="s">
        <v>1359</v>
      </c>
      <c r="C3" s="330"/>
      <c r="D3" s="330"/>
    </row>
    <row r="4" spans="1:8" s="344" customFormat="1" ht="20.100000000000001" customHeight="1">
      <c r="A4" s="346" t="s">
        <v>1357</v>
      </c>
      <c r="B4" s="346" t="s">
        <v>1358</v>
      </c>
      <c r="C4" s="347"/>
    </row>
    <row r="5" spans="1:8" s="333" customFormat="1" ht="20.100000000000001" customHeight="1">
      <c r="A5" s="94" t="s">
        <v>685</v>
      </c>
      <c r="B5" s="91"/>
      <c r="C5" s="348"/>
    </row>
    <row r="6" spans="1:8" s="333" customFormat="1" ht="20.100000000000001" customHeight="1">
      <c r="A6" s="94" t="s">
        <v>686</v>
      </c>
      <c r="B6" s="91"/>
      <c r="C6" s="348"/>
    </row>
    <row r="7" spans="1:8" s="333" customFormat="1" ht="20.100000000000001" customHeight="1">
      <c r="A7" s="94" t="s">
        <v>658</v>
      </c>
      <c r="B7" s="91"/>
      <c r="C7" s="348"/>
    </row>
    <row r="8" spans="1:8" s="225" customFormat="1" ht="20.100000000000001" customHeight="1">
      <c r="A8" s="1173" t="s">
        <v>2465</v>
      </c>
      <c r="B8" s="226">
        <f>'RP 006'!E85</f>
        <v>0</v>
      </c>
    </row>
    <row r="9" spans="1:8" s="225" customFormat="1" ht="20.100000000000001" customHeight="1">
      <c r="B9" s="226">
        <f>B7-B8</f>
        <v>0</v>
      </c>
      <c r="G9" s="348"/>
    </row>
    <row r="10" spans="1:8" s="311" customFormat="1" ht="20.100000000000001" customHeight="1">
      <c r="B10" s="100" t="str">
        <f>IF(B9=0,"OK","NO")</f>
        <v>OK</v>
      </c>
    </row>
    <row r="11" spans="1:8" s="333" customFormat="1" ht="20.100000000000001" customHeight="1">
      <c r="A11" s="1349" t="s">
        <v>1360</v>
      </c>
      <c r="B11" s="1350"/>
      <c r="C11" s="1351"/>
    </row>
    <row r="12" spans="1:8" ht="20.100000000000001" customHeight="1">
      <c r="D12" s="327"/>
      <c r="E12" s="327"/>
      <c r="F12" s="327"/>
      <c r="G12" s="327"/>
      <c r="H12" s="327"/>
    </row>
    <row r="13" spans="1:8" ht="20.100000000000001" customHeight="1">
      <c r="D13" s="327"/>
      <c r="E13" s="327"/>
      <c r="F13" s="327"/>
      <c r="G13" s="327"/>
      <c r="H13" s="327"/>
    </row>
    <row r="14" spans="1:8" ht="20.100000000000001" customHeight="1">
      <c r="D14" s="327"/>
      <c r="E14" s="327"/>
      <c r="F14" s="327"/>
      <c r="G14" s="327"/>
      <c r="H14" s="327"/>
    </row>
  </sheetData>
  <mergeCells count="1">
    <mergeCell ref="A11:C11"/>
  </mergeCells>
  <phoneticPr fontId="76" type="noConversion"/>
  <pageMargins left="0.74791666666666701" right="0.74791666666666701" top="0.98402777777777795" bottom="0.98402777777777795" header="0.51180555555555596" footer="0.51180555555555596"/>
  <pageSetup paperSize="9" orientation="portrait" blackAndWhite="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view="pageBreakPreview" zoomScaleNormal="100" zoomScaleSheetLayoutView="100" workbookViewId="0">
      <selection activeCell="B11" sqref="B11"/>
    </sheetView>
  </sheetViews>
  <sheetFormatPr defaultColWidth="9" defaultRowHeight="20.100000000000001" customHeight="1"/>
  <cols>
    <col min="1" max="1" width="24.5" style="53" customWidth="1"/>
    <col min="2" max="2" width="24.625" style="53" customWidth="1"/>
    <col min="3" max="3" width="27.25" style="53" customWidth="1"/>
    <col min="4" max="4" width="24.625" style="53" customWidth="1"/>
    <col min="5" max="5" width="24.625" style="95" customWidth="1"/>
    <col min="6" max="9" width="9" style="95"/>
    <col min="10" max="16384" width="9" style="53"/>
  </cols>
  <sheetData>
    <row r="1" spans="1:5" ht="24.95" customHeight="1">
      <c r="A1" s="12" t="s">
        <v>145</v>
      </c>
      <c r="B1" s="13">
        <f>基础信息!B6</f>
        <v>0</v>
      </c>
      <c r="C1" s="337"/>
      <c r="D1" s="58"/>
      <c r="E1" s="96"/>
    </row>
    <row r="2" spans="1:5" ht="24.95" customHeight="1">
      <c r="A2" s="12" t="s">
        <v>147</v>
      </c>
      <c r="B2" s="13">
        <f>基础信息!B9</f>
        <v>0</v>
      </c>
      <c r="C2" s="337"/>
      <c r="D2" s="58"/>
    </row>
    <row r="3" spans="1:5" s="95" customFormat="1" ht="24.95" customHeight="1">
      <c r="A3" s="74" t="s">
        <v>148</v>
      </c>
      <c r="B3" s="74" t="s">
        <v>1361</v>
      </c>
      <c r="C3" s="337"/>
      <c r="D3" s="58"/>
    </row>
    <row r="4" spans="1:5" s="310" customFormat="1" ht="24.95" customHeight="1">
      <c r="A4" s="296" t="s">
        <v>1362</v>
      </c>
      <c r="B4" s="296" t="s">
        <v>845</v>
      </c>
      <c r="C4" s="338"/>
    </row>
    <row r="5" spans="1:5" s="308" customFormat="1" ht="20.100000000000001" customHeight="1">
      <c r="A5" s="297" t="s">
        <v>1363</v>
      </c>
      <c r="B5" s="195"/>
      <c r="C5" s="339"/>
      <c r="D5" s="340"/>
    </row>
    <row r="6" spans="1:5" s="308" customFormat="1" ht="20.100000000000001" customHeight="1">
      <c r="A6" s="297" t="s">
        <v>1364</v>
      </c>
      <c r="B6" s="195"/>
      <c r="C6" s="189"/>
      <c r="D6" s="340"/>
    </row>
    <row r="7" spans="1:5" s="308" customFormat="1" ht="20.100000000000001" customHeight="1">
      <c r="A7" s="297" t="s">
        <v>737</v>
      </c>
      <c r="B7" s="195"/>
      <c r="C7" s="189"/>
      <c r="D7" s="340"/>
    </row>
    <row r="8" spans="1:5" s="308" customFormat="1" ht="20.100000000000001" customHeight="1">
      <c r="A8" s="196" t="s">
        <v>728</v>
      </c>
      <c r="B8" s="197">
        <f>SUM(B5:B7)</f>
        <v>0</v>
      </c>
      <c r="C8" s="189"/>
      <c r="D8" s="340"/>
    </row>
    <row r="9" spans="1:5" s="308" customFormat="1" ht="20.100000000000001" customHeight="1">
      <c r="A9" s="1173" t="s">
        <v>2465</v>
      </c>
      <c r="B9" s="226">
        <f>'RP 006'!E86</f>
        <v>0</v>
      </c>
      <c r="C9" s="189"/>
      <c r="D9" s="340"/>
    </row>
    <row r="10" spans="1:5" s="308" customFormat="1" ht="20.100000000000001" customHeight="1">
      <c r="A10" s="225"/>
      <c r="B10" s="341">
        <f>B8-B9</f>
        <v>0</v>
      </c>
      <c r="C10" s="203"/>
      <c r="D10" s="340"/>
    </row>
    <row r="11" spans="1:5" s="308" customFormat="1" ht="20.100000000000001" customHeight="1">
      <c r="A11" s="311"/>
      <c r="B11" s="100" t="str">
        <f>IF(B10=0,"OK","NO")</f>
        <v>OK</v>
      </c>
      <c r="C11" s="203"/>
      <c r="D11" s="340"/>
    </row>
    <row r="12" spans="1:5" s="308" customFormat="1" ht="20.100000000000001" customHeight="1">
      <c r="A12" s="342" t="s">
        <v>1365</v>
      </c>
      <c r="B12" s="343"/>
      <c r="C12" s="189"/>
      <c r="D12" s="340"/>
    </row>
    <row r="13" spans="1:5" s="304" customFormat="1" ht="20.100000000000001" customHeight="1">
      <c r="A13" s="263" t="s">
        <v>137</v>
      </c>
      <c r="B13" s="263" t="s">
        <v>762</v>
      </c>
      <c r="C13" s="263" t="s">
        <v>1366</v>
      </c>
    </row>
    <row r="14" spans="1:5" s="308" customFormat="1" ht="20.100000000000001" customHeight="1">
      <c r="A14" s="297"/>
      <c r="B14" s="297"/>
      <c r="C14" s="297"/>
    </row>
    <row r="15" spans="1:5" s="308" customFormat="1" ht="20.100000000000001" customHeight="1">
      <c r="A15" s="297"/>
      <c r="B15" s="297"/>
      <c r="C15" s="297"/>
    </row>
    <row r="16" spans="1:5" s="308" customFormat="1" ht="20.100000000000001" customHeight="1">
      <c r="A16" s="196" t="s">
        <v>728</v>
      </c>
      <c r="B16" s="196"/>
      <c r="C16" s="196"/>
    </row>
    <row r="17" s="310" customFormat="1" ht="18" customHeight="1"/>
    <row r="18" s="310" customFormat="1" ht="18" customHeight="1"/>
    <row r="19" s="310" customFormat="1" ht="18" customHeight="1"/>
    <row r="20" s="310" customFormat="1" ht="18" customHeight="1"/>
    <row r="21" s="310" customFormat="1" ht="18" customHeight="1"/>
  </sheetData>
  <phoneticPr fontId="76" type="noConversion"/>
  <pageMargins left="0.51180555555555596" right="0.27500000000000002" top="0.51180555555555596" bottom="0.51180555555555596" header="0.27500000000000002" footer="0.27500000000000002"/>
  <pageSetup paperSize="9" orientation="portrait" blackAndWhite="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
  <sheetViews>
    <sheetView view="pageBreakPreview" zoomScaleNormal="100" zoomScaleSheetLayoutView="100" workbookViewId="0">
      <selection activeCell="B12" sqref="B12"/>
    </sheetView>
  </sheetViews>
  <sheetFormatPr defaultColWidth="9" defaultRowHeight="20.100000000000001" customHeight="1"/>
  <cols>
    <col min="1" max="1" width="26.25" style="330" customWidth="1"/>
    <col min="2" max="2" width="24.625" style="330" customWidth="1"/>
    <col min="3" max="3" width="35" style="330" customWidth="1"/>
    <col min="4" max="4" width="24.625" style="327" customWidth="1"/>
    <col min="5" max="7" width="9" style="327"/>
    <col min="8" max="16384" width="9" style="330"/>
  </cols>
  <sheetData>
    <row r="1" spans="1:8" ht="24.95" customHeight="1">
      <c r="A1" s="12" t="s">
        <v>145</v>
      </c>
      <c r="B1" s="13">
        <f>基础信息!B6</f>
        <v>0</v>
      </c>
      <c r="C1" s="320"/>
      <c r="D1" s="332"/>
    </row>
    <row r="2" spans="1:8" ht="24.95" customHeight="1">
      <c r="A2" s="12" t="s">
        <v>147</v>
      </c>
      <c r="B2" s="13">
        <f>基础信息!B9</f>
        <v>0</v>
      </c>
      <c r="C2" s="320"/>
    </row>
    <row r="3" spans="1:8" s="327" customFormat="1" ht="24.95" customHeight="1">
      <c r="A3" s="322" t="s">
        <v>148</v>
      </c>
      <c r="B3" s="322" t="s">
        <v>1367</v>
      </c>
      <c r="C3" s="320"/>
      <c r="H3" s="330"/>
    </row>
    <row r="4" spans="1:8" s="328" customFormat="1" ht="24.95" customHeight="1">
      <c r="A4" s="191" t="s">
        <v>2469</v>
      </c>
      <c r="B4" s="191"/>
      <c r="C4" s="191"/>
      <c r="D4" s="333"/>
    </row>
    <row r="5" spans="1:8" s="328" customFormat="1" ht="24.95" customHeight="1">
      <c r="A5" s="334"/>
      <c r="B5" s="334"/>
      <c r="C5" s="334"/>
      <c r="D5" s="333"/>
    </row>
    <row r="6" spans="1:8" s="329" customFormat="1" ht="24.95" customHeight="1">
      <c r="A6" s="981"/>
      <c r="B6" s="982" t="s">
        <v>2172</v>
      </c>
      <c r="C6" s="982" t="s">
        <v>2171</v>
      </c>
      <c r="D6" s="335"/>
    </row>
    <row r="7" spans="1:8" s="308" customFormat="1" ht="20.100000000000001" customHeight="1">
      <c r="A7" s="196" t="s">
        <v>2389</v>
      </c>
      <c r="B7" s="195"/>
      <c r="C7" s="195"/>
      <c r="D7" s="316"/>
    </row>
    <row r="8" spans="1:8" s="308" customFormat="1" ht="20.100000000000001" customHeight="1">
      <c r="A8" s="196" t="s">
        <v>2390</v>
      </c>
      <c r="B8" s="195"/>
      <c r="C8" s="195"/>
      <c r="D8" s="316"/>
    </row>
    <row r="9" spans="1:8" s="308" customFormat="1" ht="20.100000000000001" customHeight="1">
      <c r="A9" s="196" t="s">
        <v>2391</v>
      </c>
      <c r="B9" s="195"/>
      <c r="C9" s="195"/>
      <c r="D9" s="316"/>
    </row>
    <row r="10" spans="1:8" s="308" customFormat="1" ht="20.100000000000001" customHeight="1">
      <c r="A10" s="196" t="s">
        <v>2392</v>
      </c>
      <c r="B10" s="195"/>
      <c r="C10" s="195"/>
      <c r="D10" s="316"/>
    </row>
    <row r="11" spans="1:8" s="308" customFormat="1" ht="20.100000000000001" customHeight="1">
      <c r="A11" s="196" t="s">
        <v>658</v>
      </c>
      <c r="B11" s="197">
        <f>SUM(B7:B10)</f>
        <v>0</v>
      </c>
      <c r="C11" s="197">
        <f>SUM(C7:C10)</f>
        <v>0</v>
      </c>
      <c r="D11" s="316"/>
    </row>
    <row r="12" spans="1:8" s="308" customFormat="1" ht="20.100000000000001" customHeight="1">
      <c r="A12" s="225" t="s">
        <v>649</v>
      </c>
      <c r="B12" s="226">
        <f>'RP 006'!E87</f>
        <v>0</v>
      </c>
      <c r="C12" s="195"/>
      <c r="D12" s="316"/>
    </row>
    <row r="13" spans="1:8" s="308" customFormat="1" ht="20.100000000000001" customHeight="1">
      <c r="A13" s="225"/>
      <c r="B13" s="226">
        <f>B11-B12</f>
        <v>0</v>
      </c>
      <c r="C13" s="195"/>
      <c r="D13" s="196"/>
    </row>
    <row r="14" spans="1:8" s="308" customFormat="1" ht="20.100000000000001" customHeight="1">
      <c r="A14" s="311"/>
      <c r="B14" s="311" t="str">
        <f>IF(B13=0,"OK","NO")</f>
        <v>OK</v>
      </c>
      <c r="C14" s="196"/>
      <c r="D14" s="196"/>
    </row>
    <row r="15" spans="1:8" s="308" customFormat="1" ht="20.100000000000001" customHeight="1">
      <c r="A15" s="971" t="s">
        <v>2393</v>
      </c>
      <c r="B15" s="196"/>
      <c r="C15" s="196"/>
      <c r="D15" s="196"/>
    </row>
    <row r="16" spans="1:8" s="308" customFormat="1" ht="20.100000000000001" customHeight="1">
      <c r="A16" s="263" t="s">
        <v>732</v>
      </c>
      <c r="B16" s="1200" t="s">
        <v>2467</v>
      </c>
      <c r="C16" s="263" t="s">
        <v>2395</v>
      </c>
      <c r="D16" s="196"/>
    </row>
    <row r="17" spans="1:6" s="308" customFormat="1" ht="20.100000000000001" customHeight="1">
      <c r="A17" s="196"/>
      <c r="B17" s="195"/>
      <c r="C17" s="196"/>
      <c r="D17" s="196"/>
    </row>
    <row r="18" spans="1:6" s="308" customFormat="1" ht="20.100000000000001" customHeight="1">
      <c r="A18" s="196"/>
      <c r="B18" s="300"/>
      <c r="C18" s="196"/>
      <c r="D18" s="196"/>
    </row>
    <row r="19" spans="1:6" s="308" customFormat="1" ht="20.100000000000001" customHeight="1">
      <c r="A19" s="971" t="s">
        <v>2394</v>
      </c>
      <c r="B19" s="1148">
        <f>SUM(B17:B18)</f>
        <v>0</v>
      </c>
      <c r="C19" s="1147"/>
      <c r="D19" s="1146"/>
    </row>
    <row r="20" spans="1:6" s="308" customFormat="1" ht="20.100000000000001" customHeight="1">
      <c r="A20" s="1355" t="s">
        <v>2470</v>
      </c>
      <c r="B20" s="1355"/>
      <c r="C20" s="1355"/>
      <c r="D20" s="1355"/>
    </row>
    <row r="21" spans="1:6" s="308" customFormat="1" ht="20.100000000000001" customHeight="1">
      <c r="A21" s="1353" t="s">
        <v>2471</v>
      </c>
      <c r="B21" s="1353"/>
      <c r="C21" s="1353"/>
      <c r="D21" s="1353"/>
    </row>
    <row r="22" spans="1:6" s="308" customFormat="1" ht="20.100000000000001" customHeight="1">
      <c r="A22" s="1354" t="s">
        <v>2472</v>
      </c>
      <c r="B22" s="1354"/>
      <c r="C22" s="1354"/>
      <c r="D22" s="1354"/>
    </row>
    <row r="23" spans="1:6" s="308" customFormat="1" ht="20.100000000000001" customHeight="1">
      <c r="A23" s="1354" t="s">
        <v>780</v>
      </c>
      <c r="B23" s="1354"/>
      <c r="C23" s="1354"/>
      <c r="D23" s="1354"/>
    </row>
    <row r="24" spans="1:6" s="308" customFormat="1" ht="20.100000000000001" customHeight="1">
      <c r="A24" s="1352" t="s">
        <v>2473</v>
      </c>
      <c r="B24" s="1352"/>
      <c r="C24" s="1352"/>
      <c r="D24" s="1352"/>
    </row>
    <row r="25" spans="1:6" s="308" customFormat="1" ht="20.100000000000001" customHeight="1">
      <c r="A25" s="336" t="s">
        <v>782</v>
      </c>
    </row>
    <row r="26" spans="1:6" s="304" customFormat="1" ht="20.100000000000001" customHeight="1">
      <c r="A26" s="263" t="s">
        <v>732</v>
      </c>
      <c r="B26" s="1200" t="s">
        <v>2467</v>
      </c>
      <c r="C26" s="263" t="s">
        <v>2468</v>
      </c>
    </row>
    <row r="27" spans="1:6" s="308" customFormat="1" ht="20.100000000000001" customHeight="1">
      <c r="A27" s="196"/>
      <c r="B27" s="195"/>
      <c r="C27" s="195"/>
    </row>
    <row r="28" spans="1:6" s="308" customFormat="1" ht="20.100000000000001" customHeight="1">
      <c r="A28" s="196"/>
      <c r="B28" s="300"/>
      <c r="C28" s="300"/>
    </row>
    <row r="29" spans="1:6" s="308" customFormat="1" ht="20.100000000000001" customHeight="1">
      <c r="A29" s="297"/>
      <c r="B29" s="300"/>
      <c r="C29" s="300"/>
    </row>
    <row r="30" spans="1:6" s="308" customFormat="1" ht="20.100000000000001" customHeight="1">
      <c r="A30" s="196" t="s">
        <v>658</v>
      </c>
      <c r="B30" s="197">
        <f>SUM(B27:B29)</f>
        <v>0</v>
      </c>
      <c r="C30" s="197">
        <f>SUM(C27:C29)</f>
        <v>0</v>
      </c>
    </row>
    <row r="31" spans="1:6" s="308" customFormat="1" ht="20.100000000000001" customHeight="1"/>
    <row r="32" spans="1:6" s="316" customFormat="1" ht="20.100000000000001" customHeight="1">
      <c r="D32" s="333"/>
      <c r="E32" s="333"/>
      <c r="F32" s="333"/>
    </row>
    <row r="33" spans="4:6" s="316" customFormat="1" ht="20.100000000000001" customHeight="1">
      <c r="D33" s="333"/>
      <c r="E33" s="333"/>
      <c r="F33" s="333"/>
    </row>
    <row r="34" spans="4:6" s="316" customFormat="1" ht="20.100000000000001" customHeight="1">
      <c r="D34" s="333"/>
      <c r="E34" s="333"/>
      <c r="F34" s="333"/>
    </row>
    <row r="35" spans="4:6" s="316" customFormat="1" ht="20.100000000000001" customHeight="1">
      <c r="D35" s="333"/>
      <c r="E35" s="333"/>
      <c r="F35" s="333"/>
    </row>
    <row r="36" spans="4:6" s="316" customFormat="1" ht="20.100000000000001" customHeight="1">
      <c r="D36" s="333"/>
      <c r="E36" s="333"/>
      <c r="F36" s="333"/>
    </row>
    <row r="37" spans="4:6" s="316" customFormat="1" ht="20.100000000000001" customHeight="1">
      <c r="D37" s="333"/>
      <c r="E37" s="333"/>
      <c r="F37" s="333"/>
    </row>
    <row r="38" spans="4:6" s="316" customFormat="1" ht="20.100000000000001" customHeight="1">
      <c r="D38" s="333"/>
      <c r="E38" s="333"/>
      <c r="F38" s="333"/>
    </row>
    <row r="39" spans="4:6" s="316" customFormat="1" ht="20.100000000000001" customHeight="1">
      <c r="D39" s="333"/>
      <c r="E39" s="333"/>
      <c r="F39" s="333"/>
    </row>
    <row r="40" spans="4:6" s="316" customFormat="1" ht="20.100000000000001" customHeight="1">
      <c r="D40" s="333"/>
      <c r="E40" s="333"/>
      <c r="F40" s="333"/>
    </row>
    <row r="41" spans="4:6" s="316" customFormat="1" ht="20.100000000000001" customHeight="1">
      <c r="D41" s="333"/>
      <c r="E41" s="333"/>
      <c r="F41" s="333"/>
    </row>
    <row r="42" spans="4:6" s="316" customFormat="1" ht="20.100000000000001" customHeight="1">
      <c r="D42" s="333"/>
      <c r="E42" s="333"/>
      <c r="F42" s="333"/>
    </row>
    <row r="43" spans="4:6" s="316" customFormat="1" ht="20.100000000000001" customHeight="1">
      <c r="D43" s="333"/>
      <c r="E43" s="333"/>
      <c r="F43" s="333"/>
    </row>
    <row r="44" spans="4:6" s="316" customFormat="1" ht="20.100000000000001" customHeight="1">
      <c r="D44" s="333"/>
      <c r="E44" s="333"/>
      <c r="F44" s="333"/>
    </row>
    <row r="45" spans="4:6" s="316" customFormat="1" ht="20.100000000000001" customHeight="1">
      <c r="D45" s="333"/>
      <c r="E45" s="333"/>
      <c r="F45" s="333"/>
    </row>
    <row r="46" spans="4:6" s="316" customFormat="1" ht="20.100000000000001" customHeight="1">
      <c r="D46" s="333"/>
      <c r="E46" s="333"/>
      <c r="F46" s="333"/>
    </row>
    <row r="47" spans="4:6" s="316" customFormat="1" ht="20.100000000000001" customHeight="1">
      <c r="D47" s="333"/>
      <c r="E47" s="333"/>
      <c r="F47" s="333"/>
    </row>
    <row r="48" spans="4:6" s="316" customFormat="1" ht="20.100000000000001" customHeight="1">
      <c r="D48" s="333"/>
      <c r="E48" s="333"/>
      <c r="F48" s="333"/>
    </row>
    <row r="49" spans="4:7" s="316" customFormat="1" ht="20.100000000000001" customHeight="1">
      <c r="D49" s="333"/>
      <c r="E49" s="333"/>
      <c r="F49" s="333"/>
    </row>
    <row r="50" spans="4:7" s="316" customFormat="1" ht="20.100000000000001" customHeight="1">
      <c r="D50" s="333"/>
      <c r="E50" s="333"/>
      <c r="F50" s="333"/>
    </row>
    <row r="51" spans="4:7" s="316" customFormat="1" ht="20.100000000000001" customHeight="1">
      <c r="D51" s="333"/>
      <c r="E51" s="333"/>
      <c r="F51" s="333"/>
    </row>
    <row r="52" spans="4:7" s="316" customFormat="1" ht="20.100000000000001" customHeight="1">
      <c r="D52" s="333"/>
      <c r="E52" s="333"/>
      <c r="F52" s="333"/>
    </row>
    <row r="53" spans="4:7" s="316" customFormat="1" ht="20.100000000000001" customHeight="1">
      <c r="D53" s="333"/>
      <c r="E53" s="333"/>
      <c r="F53" s="333"/>
    </row>
    <row r="54" spans="4:7" s="316" customFormat="1" ht="20.100000000000001" customHeight="1">
      <c r="D54" s="333"/>
      <c r="E54" s="333"/>
      <c r="F54" s="333"/>
    </row>
    <row r="55" spans="4:7" s="316" customFormat="1" ht="20.100000000000001" customHeight="1">
      <c r="D55" s="333"/>
      <c r="E55" s="333"/>
      <c r="F55" s="333"/>
    </row>
    <row r="56" spans="4:7" s="316" customFormat="1" ht="20.100000000000001" customHeight="1">
      <c r="D56" s="333"/>
      <c r="E56" s="333"/>
      <c r="F56" s="333"/>
    </row>
    <row r="57" spans="4:7" s="316" customFormat="1" ht="20.100000000000001" customHeight="1">
      <c r="D57" s="333"/>
      <c r="E57" s="333"/>
      <c r="F57" s="333"/>
    </row>
    <row r="58" spans="4:7" s="316" customFormat="1" ht="20.100000000000001" customHeight="1">
      <c r="D58" s="333"/>
      <c r="E58" s="333"/>
      <c r="F58" s="333"/>
    </row>
    <row r="59" spans="4:7" s="316" customFormat="1" ht="20.100000000000001" customHeight="1">
      <c r="D59" s="333"/>
      <c r="E59" s="333"/>
      <c r="F59" s="333"/>
    </row>
    <row r="60" spans="4:7" ht="20.100000000000001" customHeight="1">
      <c r="G60" s="330"/>
    </row>
    <row r="61" spans="4:7" ht="20.100000000000001" customHeight="1">
      <c r="G61" s="330"/>
    </row>
    <row r="62" spans="4:7" ht="20.100000000000001" customHeight="1">
      <c r="G62" s="330"/>
    </row>
    <row r="63" spans="4:7" ht="20.100000000000001" customHeight="1">
      <c r="G63" s="330"/>
    </row>
    <row r="64" spans="4:7" ht="20.100000000000001" customHeight="1">
      <c r="G64" s="330"/>
    </row>
    <row r="65" spans="7:7" ht="20.100000000000001" customHeight="1">
      <c r="G65" s="330"/>
    </row>
    <row r="66" spans="7:7" ht="20.100000000000001" customHeight="1">
      <c r="G66" s="330"/>
    </row>
    <row r="67" spans="7:7" ht="20.100000000000001" customHeight="1">
      <c r="G67" s="330"/>
    </row>
    <row r="68" spans="7:7" ht="20.100000000000001" customHeight="1">
      <c r="G68" s="330"/>
    </row>
    <row r="69" spans="7:7" ht="20.100000000000001" customHeight="1">
      <c r="G69" s="330"/>
    </row>
  </sheetData>
  <mergeCells count="5">
    <mergeCell ref="A24:D24"/>
    <mergeCell ref="A21:D21"/>
    <mergeCell ref="A22:D22"/>
    <mergeCell ref="A23:D23"/>
    <mergeCell ref="A20:D20"/>
  </mergeCells>
  <phoneticPr fontId="76" type="noConversion"/>
  <pageMargins left="0.51180555555555596" right="0.27500000000000002" top="0.51180555555555596" bottom="0.51180555555555596" header="0.27500000000000002" footer="0.27500000000000002"/>
  <pageSetup paperSize="9" orientation="portrait" blackAndWhite="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28"/>
  <sheetViews>
    <sheetView workbookViewId="0">
      <selection activeCell="B11" sqref="B11"/>
    </sheetView>
  </sheetViews>
  <sheetFormatPr defaultRowHeight="15.75"/>
  <cols>
    <col min="1" max="1" width="24.75" customWidth="1"/>
    <col min="2" max="2" width="26.75" customWidth="1"/>
    <col min="3" max="3" width="12.125" customWidth="1"/>
  </cols>
  <sheetData>
    <row r="1" spans="1:3">
      <c r="A1" s="12" t="s">
        <v>145</v>
      </c>
      <c r="B1" s="13">
        <f>基础信息!B6</f>
        <v>0</v>
      </c>
    </row>
    <row r="2" spans="1:3">
      <c r="A2" s="12" t="s">
        <v>147</v>
      </c>
      <c r="B2" s="13">
        <f>基础信息!B9</f>
        <v>0</v>
      </c>
    </row>
    <row r="3" spans="1:3">
      <c r="A3" s="322" t="s">
        <v>148</v>
      </c>
      <c r="B3" s="966" t="s">
        <v>2110</v>
      </c>
    </row>
    <row r="4" spans="1:3">
      <c r="A4" s="970"/>
    </row>
    <row r="5" spans="1:3">
      <c r="A5" s="1356" t="s">
        <v>2114</v>
      </c>
      <c r="B5" s="960" t="s">
        <v>762</v>
      </c>
    </row>
    <row r="6" spans="1:3">
      <c r="A6" s="1357"/>
      <c r="B6" s="960" t="s">
        <v>772</v>
      </c>
    </row>
    <row r="7" spans="1:3">
      <c r="A7" s="196"/>
      <c r="B7" s="195"/>
    </row>
    <row r="8" spans="1:3">
      <c r="A8" s="196"/>
      <c r="B8" s="195"/>
    </row>
    <row r="9" spans="1:3">
      <c r="A9" s="196"/>
      <c r="B9" s="195"/>
    </row>
    <row r="10" spans="1:3">
      <c r="A10" s="196" t="s">
        <v>658</v>
      </c>
      <c r="B10" s="197">
        <f>SUM(B6:B9)</f>
        <v>0</v>
      </c>
    </row>
    <row r="11" spans="1:3">
      <c r="A11" s="225" t="s">
        <v>649</v>
      </c>
      <c r="B11" s="226">
        <f>'RP 006'!E88</f>
        <v>0</v>
      </c>
    </row>
    <row r="12" spans="1:3">
      <c r="A12" s="225"/>
      <c r="B12" s="226">
        <f>B10-B11</f>
        <v>0</v>
      </c>
    </row>
    <row r="13" spans="1:3">
      <c r="A13" s="311"/>
      <c r="B13" s="311" t="str">
        <f>IF(B12=0,"OK","NO")</f>
        <v>OK</v>
      </c>
    </row>
    <row r="15" spans="1:3">
      <c r="A15" s="1149" t="s">
        <v>2396</v>
      </c>
    </row>
    <row r="16" spans="1:3">
      <c r="A16" s="1150" t="s">
        <v>2351</v>
      </c>
      <c r="B16" s="1150" t="s">
        <v>2397</v>
      </c>
      <c r="C16" s="1150" t="s">
        <v>2398</v>
      </c>
    </row>
    <row r="17" spans="1:3">
      <c r="A17" s="1080"/>
      <c r="B17" s="1028"/>
      <c r="C17" s="1028"/>
    </row>
    <row r="18" spans="1:3">
      <c r="A18" s="1080"/>
      <c r="B18" s="1028"/>
      <c r="C18" s="1028"/>
    </row>
    <row r="19" spans="1:3">
      <c r="A19" s="1080"/>
      <c r="B19" s="1028"/>
      <c r="C19" s="1028"/>
    </row>
    <row r="20" spans="1:3">
      <c r="A20" s="1080"/>
      <c r="B20" s="1028"/>
      <c r="C20" s="1028"/>
    </row>
    <row r="21" spans="1:3">
      <c r="A21" s="1081" t="s">
        <v>2135</v>
      </c>
      <c r="B21" s="1044">
        <f>SUM(B17:B20)</f>
        <v>0</v>
      </c>
      <c r="C21" s="1041"/>
    </row>
    <row r="22" spans="1:3">
      <c r="A22" s="984" t="s">
        <v>2136</v>
      </c>
    </row>
    <row r="23" spans="1:3">
      <c r="A23" s="1122" t="s">
        <v>2399</v>
      </c>
    </row>
    <row r="24" spans="1:3">
      <c r="A24" s="1122" t="s">
        <v>2400</v>
      </c>
    </row>
    <row r="25" spans="1:3">
      <c r="A25" s="1122" t="s">
        <v>2401</v>
      </c>
    </row>
    <row r="26" spans="1:3">
      <c r="A26" s="991" t="s">
        <v>2402</v>
      </c>
    </row>
    <row r="27" spans="1:3">
      <c r="A27" s="991" t="s">
        <v>2403</v>
      </c>
    </row>
    <row r="28" spans="1:3">
      <c r="A28" s="991" t="s">
        <v>2404</v>
      </c>
    </row>
  </sheetData>
  <mergeCells count="1">
    <mergeCell ref="A5:A6"/>
  </mergeCells>
  <phoneticPr fontId="76"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Views>
    <sheetView view="pageBreakPreview" topLeftCell="A19" zoomScaleNormal="100" zoomScaleSheetLayoutView="100" workbookViewId="0">
      <selection activeCell="E11" sqref="E11"/>
    </sheetView>
  </sheetViews>
  <sheetFormatPr defaultColWidth="9" defaultRowHeight="20.100000000000001" customHeight="1"/>
  <cols>
    <col min="1" max="1" width="28" style="318" customWidth="1"/>
    <col min="2" max="5" width="24.625" style="318" customWidth="1"/>
    <col min="6" max="6" width="21.25" style="318" customWidth="1"/>
    <col min="7" max="7" width="9" style="318"/>
    <col min="8" max="9" width="9" style="319"/>
    <col min="10" max="16384" width="9" style="318"/>
  </cols>
  <sheetData>
    <row r="1" spans="1:7" ht="24.95" customHeight="1">
      <c r="A1" s="12" t="s">
        <v>145</v>
      </c>
      <c r="B1" s="13">
        <f>基础信息!B6</f>
        <v>0</v>
      </c>
      <c r="C1" s="320"/>
      <c r="D1" s="320"/>
      <c r="E1" s="321"/>
    </row>
    <row r="2" spans="1:7" ht="24.95" customHeight="1">
      <c r="A2" s="12" t="s">
        <v>147</v>
      </c>
      <c r="B2" s="13">
        <f>基础信息!B9</f>
        <v>0</v>
      </c>
      <c r="C2" s="320"/>
      <c r="D2" s="320"/>
      <c r="E2" s="320"/>
    </row>
    <row r="3" spans="1:7" ht="24.95" customHeight="1">
      <c r="A3" s="322" t="s">
        <v>148</v>
      </c>
      <c r="B3" s="322" t="s">
        <v>1368</v>
      </c>
      <c r="C3" s="320"/>
      <c r="D3" s="320"/>
      <c r="E3" s="320"/>
    </row>
    <row r="4" spans="1:7" s="218" customFormat="1" ht="24.95" customHeight="1">
      <c r="A4" s="181" t="s">
        <v>1369</v>
      </c>
      <c r="B4" s="181" t="s">
        <v>1144</v>
      </c>
      <c r="C4" s="181" t="s">
        <v>1370</v>
      </c>
      <c r="D4" s="181" t="s">
        <v>1371</v>
      </c>
      <c r="E4" s="181" t="s">
        <v>944</v>
      </c>
    </row>
    <row r="5" spans="1:7" s="218" customFormat="1" ht="20.100000000000001" customHeight="1">
      <c r="A5" s="182" t="s">
        <v>1372</v>
      </c>
      <c r="B5" s="222"/>
      <c r="C5" s="222"/>
      <c r="D5" s="222"/>
      <c r="E5" s="224">
        <f>B5+C5-D5</f>
        <v>0</v>
      </c>
    </row>
    <row r="6" spans="1:7" s="218" customFormat="1" ht="20.100000000000001" customHeight="1">
      <c r="A6" s="182" t="s">
        <v>1373</v>
      </c>
      <c r="B6" s="222"/>
      <c r="C6" s="222"/>
      <c r="D6" s="222"/>
      <c r="E6" s="224">
        <f t="shared" ref="E6:E9" si="0">B6+C6-D6</f>
        <v>0</v>
      </c>
    </row>
    <row r="7" spans="1:7" s="218" customFormat="1" ht="20.100000000000001" customHeight="1">
      <c r="A7" s="182" t="s">
        <v>1374</v>
      </c>
      <c r="B7" s="222"/>
      <c r="C7" s="222"/>
      <c r="D7" s="222"/>
      <c r="E7" s="224">
        <f t="shared" si="0"/>
        <v>0</v>
      </c>
    </row>
    <row r="8" spans="1:7" s="218" customFormat="1" ht="20.100000000000001" customHeight="1">
      <c r="A8" s="182" t="s">
        <v>1375</v>
      </c>
      <c r="B8" s="222"/>
      <c r="C8" s="222"/>
      <c r="D8" s="222"/>
      <c r="E8" s="224">
        <f t="shared" si="0"/>
        <v>0</v>
      </c>
    </row>
    <row r="9" spans="1:7" s="218" customFormat="1" ht="20.100000000000001" customHeight="1">
      <c r="A9" s="182"/>
      <c r="B9" s="222"/>
      <c r="C9" s="222"/>
      <c r="D9" s="222"/>
      <c r="E9" s="224">
        <f t="shared" si="0"/>
        <v>0</v>
      </c>
      <c r="G9" s="9"/>
    </row>
    <row r="10" spans="1:7" s="218" customFormat="1" ht="20.100000000000001" customHeight="1">
      <c r="A10" s="182" t="s">
        <v>926</v>
      </c>
      <c r="B10" s="224">
        <f>SUM(B5:B9)</f>
        <v>0</v>
      </c>
      <c r="C10" s="224">
        <f t="shared" ref="C10:E10" si="1">SUM(C5:C9)</f>
        <v>0</v>
      </c>
      <c r="D10" s="224">
        <f t="shared" si="1"/>
        <v>0</v>
      </c>
      <c r="E10" s="224">
        <f t="shared" si="1"/>
        <v>0</v>
      </c>
    </row>
    <row r="11" spans="1:7" s="218" customFormat="1" ht="20.100000000000001" customHeight="1">
      <c r="A11" s="225" t="s">
        <v>649</v>
      </c>
      <c r="B11" s="315"/>
      <c r="C11" s="222"/>
      <c r="D11" s="222"/>
      <c r="E11" s="226">
        <f>'RP 006'!E89</f>
        <v>0</v>
      </c>
    </row>
    <row r="12" spans="1:7" s="218" customFormat="1" ht="20.100000000000001" customHeight="1">
      <c r="A12" s="276"/>
      <c r="B12" s="323"/>
      <c r="C12" s="324"/>
      <c r="D12" s="324"/>
      <c r="E12" s="277">
        <f>E10-E11</f>
        <v>0</v>
      </c>
    </row>
    <row r="13" spans="1:7" s="218" customFormat="1" ht="20.100000000000001" customHeight="1">
      <c r="A13" s="227"/>
      <c r="C13" s="325"/>
      <c r="D13" s="325"/>
      <c r="E13" s="227" t="str">
        <f>IF(E12=0,"OK","NO")</f>
        <v>OK</v>
      </c>
    </row>
    <row r="14" spans="1:7" s="218" customFormat="1" ht="20.100000000000001" customHeight="1">
      <c r="A14" s="325"/>
      <c r="B14" s="325"/>
      <c r="C14" s="325"/>
      <c r="D14" s="325"/>
      <c r="E14" s="325"/>
    </row>
    <row r="15" spans="1:7" s="218" customFormat="1" ht="20.100000000000001" customHeight="1">
      <c r="A15" s="240" t="s">
        <v>1376</v>
      </c>
      <c r="B15" s="242"/>
      <c r="C15" s="242"/>
      <c r="D15" s="242"/>
      <c r="E15" s="242"/>
    </row>
    <row r="16" spans="1:7" s="218" customFormat="1" ht="31.5" customHeight="1">
      <c r="A16" s="1330" t="s">
        <v>1377</v>
      </c>
      <c r="B16" s="1330"/>
      <c r="C16" s="1330"/>
      <c r="D16" s="1330"/>
      <c r="E16" s="1330"/>
    </row>
    <row r="17" spans="1:5" s="218" customFormat="1" ht="31.5" customHeight="1">
      <c r="A17" s="1330" t="s">
        <v>1378</v>
      </c>
      <c r="B17" s="1330"/>
      <c r="C17" s="1330"/>
      <c r="D17" s="1330"/>
      <c r="E17" s="1330"/>
    </row>
    <row r="18" spans="1:5" s="218" customFormat="1" ht="20.100000000000001" customHeight="1">
      <c r="A18" s="242" t="s">
        <v>1379</v>
      </c>
      <c r="B18" s="242"/>
      <c r="C18" s="242"/>
      <c r="D18" s="242"/>
      <c r="E18" s="242"/>
    </row>
    <row r="19" spans="1:5" s="218" customFormat="1" ht="20.100000000000001" customHeight="1">
      <c r="A19" s="181" t="s">
        <v>1369</v>
      </c>
      <c r="B19" s="181" t="s">
        <v>1144</v>
      </c>
      <c r="C19" s="181" t="s">
        <v>1370</v>
      </c>
      <c r="D19" s="181" t="s">
        <v>1371</v>
      </c>
      <c r="E19" s="181" t="s">
        <v>944</v>
      </c>
    </row>
    <row r="20" spans="1:5" s="218" customFormat="1" ht="20.100000000000001" customHeight="1">
      <c r="A20" s="248" t="s">
        <v>1380</v>
      </c>
      <c r="B20" s="222"/>
      <c r="C20" s="222"/>
      <c r="D20" s="222"/>
      <c r="E20" s="224">
        <f>B20+C20-D20</f>
        <v>0</v>
      </c>
    </row>
    <row r="21" spans="1:5" s="218" customFormat="1" ht="20.100000000000001" customHeight="1">
      <c r="A21" s="248" t="s">
        <v>1381</v>
      </c>
      <c r="B21" s="222"/>
      <c r="C21" s="222"/>
      <c r="D21" s="222"/>
      <c r="E21" s="224">
        <f t="shared" ref="E21:E36" si="2">B21+C21-D21</f>
        <v>0</v>
      </c>
    </row>
    <row r="22" spans="1:5" s="218" customFormat="1" ht="20.100000000000001" customHeight="1">
      <c r="A22" s="248" t="s">
        <v>1382</v>
      </c>
      <c r="B22" s="224">
        <f>SUM(B23:B29)</f>
        <v>0</v>
      </c>
      <c r="C22" s="224">
        <f t="shared" ref="C22:D22" si="3">SUM(C23:C29)</f>
        <v>0</v>
      </c>
      <c r="D22" s="224">
        <f t="shared" si="3"/>
        <v>0</v>
      </c>
      <c r="E22" s="224">
        <f t="shared" si="2"/>
        <v>0</v>
      </c>
    </row>
    <row r="23" spans="1:5" s="218" customFormat="1" ht="20.100000000000001" customHeight="1">
      <c r="A23" s="248" t="s">
        <v>1383</v>
      </c>
      <c r="B23" s="222"/>
      <c r="C23" s="222"/>
      <c r="D23" s="222"/>
      <c r="E23" s="224">
        <f t="shared" si="2"/>
        <v>0</v>
      </c>
    </row>
    <row r="24" spans="1:5" s="218" customFormat="1" ht="20.100000000000001" customHeight="1">
      <c r="A24" s="248" t="s">
        <v>1384</v>
      </c>
      <c r="B24" s="222"/>
      <c r="C24" s="222"/>
      <c r="D24" s="222"/>
      <c r="E24" s="224">
        <f t="shared" si="2"/>
        <v>0</v>
      </c>
    </row>
    <row r="25" spans="1:5" s="218" customFormat="1" ht="20.100000000000001" customHeight="1">
      <c r="A25" s="248" t="s">
        <v>1385</v>
      </c>
      <c r="B25" s="222"/>
      <c r="C25" s="222"/>
      <c r="D25" s="222"/>
      <c r="E25" s="224">
        <f t="shared" si="2"/>
        <v>0</v>
      </c>
    </row>
    <row r="26" spans="1:5" s="218" customFormat="1" ht="20.100000000000001" customHeight="1">
      <c r="A26" s="248" t="s">
        <v>896</v>
      </c>
      <c r="B26" s="222"/>
      <c r="C26" s="222"/>
      <c r="D26" s="222"/>
      <c r="E26" s="224">
        <f t="shared" si="2"/>
        <v>0</v>
      </c>
    </row>
    <row r="27" spans="1:5" s="218" customFormat="1" ht="20.100000000000001" customHeight="1">
      <c r="A27" s="248"/>
      <c r="B27" s="222"/>
      <c r="C27" s="222"/>
      <c r="D27" s="222"/>
      <c r="E27" s="224">
        <f t="shared" si="2"/>
        <v>0</v>
      </c>
    </row>
    <row r="28" spans="1:5" s="218" customFormat="1" ht="20.100000000000001" customHeight="1">
      <c r="A28" s="248"/>
      <c r="B28" s="222"/>
      <c r="C28" s="222"/>
      <c r="D28" s="222"/>
      <c r="E28" s="224">
        <f t="shared" si="2"/>
        <v>0</v>
      </c>
    </row>
    <row r="29" spans="1:5" s="218" customFormat="1" ht="20.100000000000001" customHeight="1">
      <c r="A29" s="248"/>
      <c r="B29" s="222"/>
      <c r="C29" s="222"/>
      <c r="D29" s="222"/>
      <c r="E29" s="224">
        <f t="shared" si="2"/>
        <v>0</v>
      </c>
    </row>
    <row r="30" spans="1:5" s="218" customFormat="1" ht="20.100000000000001" customHeight="1">
      <c r="A30" s="248" t="s">
        <v>1386</v>
      </c>
      <c r="B30" s="222"/>
      <c r="C30" s="222"/>
      <c r="D30" s="222"/>
      <c r="E30" s="224">
        <f t="shared" si="2"/>
        <v>0</v>
      </c>
    </row>
    <row r="31" spans="1:5" s="218" customFormat="1" ht="20.100000000000001" customHeight="1">
      <c r="A31" s="248" t="s">
        <v>1387</v>
      </c>
      <c r="B31" s="222"/>
      <c r="C31" s="222"/>
      <c r="D31" s="222"/>
      <c r="E31" s="224">
        <f t="shared" si="2"/>
        <v>0</v>
      </c>
    </row>
    <row r="32" spans="1:5" s="218" customFormat="1" ht="20.100000000000001" customHeight="1">
      <c r="A32" s="248" t="s">
        <v>1388</v>
      </c>
      <c r="B32" s="222"/>
      <c r="C32" s="222"/>
      <c r="D32" s="222"/>
      <c r="E32" s="224">
        <f t="shared" si="2"/>
        <v>0</v>
      </c>
    </row>
    <row r="33" spans="1:5" s="218" customFormat="1" ht="20.100000000000001" customHeight="1">
      <c r="A33" s="248" t="s">
        <v>1389</v>
      </c>
      <c r="B33" s="222"/>
      <c r="C33" s="222"/>
      <c r="D33" s="222"/>
      <c r="E33" s="224">
        <f t="shared" si="2"/>
        <v>0</v>
      </c>
    </row>
    <row r="34" spans="1:5" s="218" customFormat="1" ht="20.100000000000001" customHeight="1">
      <c r="A34" s="248" t="s">
        <v>1390</v>
      </c>
      <c r="B34" s="222"/>
      <c r="C34" s="222"/>
      <c r="D34" s="222"/>
      <c r="E34" s="224">
        <f t="shared" si="2"/>
        <v>0</v>
      </c>
    </row>
    <row r="35" spans="1:5" s="218" customFormat="1" ht="20.100000000000001" customHeight="1">
      <c r="A35" s="248" t="s">
        <v>1391</v>
      </c>
      <c r="B35" s="222"/>
      <c r="C35" s="222"/>
      <c r="D35" s="222"/>
      <c r="E35" s="224">
        <f t="shared" si="2"/>
        <v>0</v>
      </c>
    </row>
    <row r="36" spans="1:5" s="218" customFormat="1" ht="20.100000000000001" customHeight="1">
      <c r="A36" s="248"/>
      <c r="B36" s="222"/>
      <c r="C36" s="222"/>
      <c r="D36" s="222"/>
      <c r="E36" s="224">
        <f t="shared" si="2"/>
        <v>0</v>
      </c>
    </row>
    <row r="37" spans="1:5" s="218" customFormat="1" ht="20.100000000000001" customHeight="1">
      <c r="A37" s="248" t="s">
        <v>937</v>
      </c>
      <c r="B37" s="224">
        <f>SUM(B20:B36)-B23-B24-B25-B26-B27-B28-B29</f>
        <v>0</v>
      </c>
      <c r="C37" s="224">
        <f t="shared" ref="C37:E37" si="4">SUM(C20:C36)-C23-C24-C25-C26-C27-C28-C29</f>
        <v>0</v>
      </c>
      <c r="D37" s="224">
        <f t="shared" si="4"/>
        <v>0</v>
      </c>
      <c r="E37" s="224">
        <f t="shared" si="4"/>
        <v>0</v>
      </c>
    </row>
    <row r="38" spans="1:5" s="218" customFormat="1" ht="20.100000000000001" customHeight="1">
      <c r="A38" s="225" t="s">
        <v>649</v>
      </c>
      <c r="B38" s="315"/>
      <c r="C38" s="222"/>
      <c r="D38" s="222"/>
      <c r="E38" s="226">
        <f>E5</f>
        <v>0</v>
      </c>
    </row>
    <row r="39" spans="1:5" s="218" customFormat="1" ht="20.100000000000001" customHeight="1">
      <c r="A39" s="276"/>
      <c r="B39" s="323"/>
      <c r="C39" s="324"/>
      <c r="D39" s="324"/>
      <c r="E39" s="277">
        <f>E37-E38</f>
        <v>0</v>
      </c>
    </row>
    <row r="40" spans="1:5" s="218" customFormat="1" ht="20.100000000000001" customHeight="1">
      <c r="A40" s="227"/>
      <c r="B40" s="323"/>
      <c r="C40" s="324"/>
      <c r="D40" s="324"/>
      <c r="E40" s="326" t="str">
        <f>IF(E39=0,"OK","NO")</f>
        <v>OK</v>
      </c>
    </row>
    <row r="41" spans="1:5" s="218" customFormat="1" ht="20.100000000000001" customHeight="1">
      <c r="A41" s="223" t="s">
        <v>955</v>
      </c>
      <c r="B41" s="223"/>
      <c r="C41" s="223"/>
      <c r="D41" s="223"/>
      <c r="E41" s="223"/>
    </row>
    <row r="42" spans="1:5" s="218" customFormat="1" ht="20.100000000000001" customHeight="1">
      <c r="A42" s="1358" t="s">
        <v>1392</v>
      </c>
      <c r="B42" s="1358"/>
      <c r="C42" s="1358"/>
      <c r="D42" s="1358"/>
      <c r="E42" s="1358"/>
    </row>
    <row r="43" spans="1:5" s="218" customFormat="1" ht="20.100000000000001" customHeight="1">
      <c r="A43" s="1320" t="s">
        <v>1393</v>
      </c>
      <c r="B43" s="1320"/>
      <c r="C43" s="1320"/>
      <c r="D43" s="1320"/>
      <c r="E43" s="1320"/>
    </row>
    <row r="44" spans="1:5" s="218" customFormat="1" ht="20.100000000000001" customHeight="1">
      <c r="A44" s="242" t="s">
        <v>1394</v>
      </c>
      <c r="B44" s="223"/>
      <c r="C44" s="223"/>
      <c r="D44" s="223"/>
      <c r="E44" s="223"/>
    </row>
    <row r="45" spans="1:5" s="218" customFormat="1" ht="20.100000000000001" customHeight="1">
      <c r="A45" s="181" t="s">
        <v>1369</v>
      </c>
      <c r="B45" s="181" t="s">
        <v>1144</v>
      </c>
      <c r="C45" s="181" t="s">
        <v>1370</v>
      </c>
      <c r="D45" s="181" t="s">
        <v>1371</v>
      </c>
      <c r="E45" s="181" t="s">
        <v>944</v>
      </c>
    </row>
    <row r="46" spans="1:5" s="218" customFormat="1" ht="20.100000000000001" customHeight="1">
      <c r="A46" s="248" t="s">
        <v>1395</v>
      </c>
      <c r="B46" s="224">
        <f>SUM(B47:B50)</f>
        <v>0</v>
      </c>
      <c r="C46" s="224">
        <f t="shared" ref="C46:D46" si="5">SUM(C47:C50)</f>
        <v>0</v>
      </c>
      <c r="D46" s="224">
        <f t="shared" si="5"/>
        <v>0</v>
      </c>
      <c r="E46" s="224">
        <f>B46+C46-D46</f>
        <v>0</v>
      </c>
    </row>
    <row r="47" spans="1:5" s="218" customFormat="1" ht="20.100000000000001" customHeight="1">
      <c r="A47" s="248" t="s">
        <v>1396</v>
      </c>
      <c r="B47" s="222"/>
      <c r="C47" s="222"/>
      <c r="D47" s="222"/>
      <c r="E47" s="224">
        <f t="shared" ref="E47:E54" si="6">B47+C47-D47</f>
        <v>0</v>
      </c>
    </row>
    <row r="48" spans="1:5" s="218" customFormat="1" ht="20.100000000000001" customHeight="1">
      <c r="A48" s="248" t="s">
        <v>1397</v>
      </c>
      <c r="B48" s="222"/>
      <c r="C48" s="222"/>
      <c r="D48" s="222"/>
      <c r="E48" s="224">
        <f t="shared" si="6"/>
        <v>0</v>
      </c>
    </row>
    <row r="49" spans="1:5" s="218" customFormat="1" ht="20.100000000000001" customHeight="1">
      <c r="A49" s="248" t="s">
        <v>1398</v>
      </c>
      <c r="B49" s="222"/>
      <c r="C49" s="222"/>
      <c r="D49" s="222"/>
      <c r="E49" s="224">
        <f t="shared" si="6"/>
        <v>0</v>
      </c>
    </row>
    <row r="50" spans="1:5" s="218" customFormat="1" ht="20.100000000000001" customHeight="1">
      <c r="A50" s="248" t="s">
        <v>1399</v>
      </c>
      <c r="B50" s="222"/>
      <c r="C50" s="222"/>
      <c r="D50" s="222"/>
      <c r="E50" s="224">
        <f t="shared" si="6"/>
        <v>0</v>
      </c>
    </row>
    <row r="51" spans="1:5" s="218" customFormat="1" ht="20.100000000000001" customHeight="1">
      <c r="A51" s="248" t="s">
        <v>1400</v>
      </c>
      <c r="B51" s="224">
        <f>SUM(B52:B53)</f>
        <v>0</v>
      </c>
      <c r="C51" s="224">
        <f t="shared" ref="C51:D51" si="7">SUM(C52:C53)</f>
        <v>0</v>
      </c>
      <c r="D51" s="224">
        <f t="shared" si="7"/>
        <v>0</v>
      </c>
      <c r="E51" s="224">
        <f t="shared" si="6"/>
        <v>0</v>
      </c>
    </row>
    <row r="52" spans="1:5" s="218" customFormat="1" ht="20.100000000000001" customHeight="1">
      <c r="A52" s="248" t="s">
        <v>1401</v>
      </c>
      <c r="B52" s="222"/>
      <c r="C52" s="222"/>
      <c r="D52" s="222"/>
      <c r="E52" s="224">
        <f t="shared" si="6"/>
        <v>0</v>
      </c>
    </row>
    <row r="53" spans="1:5" s="218" customFormat="1" ht="20.100000000000001" customHeight="1">
      <c r="A53" s="248" t="s">
        <v>1402</v>
      </c>
      <c r="B53" s="222"/>
      <c r="C53" s="222"/>
      <c r="D53" s="222"/>
      <c r="E53" s="224">
        <f t="shared" si="6"/>
        <v>0</v>
      </c>
    </row>
    <row r="54" spans="1:5" s="218" customFormat="1" ht="20.100000000000001" customHeight="1">
      <c r="A54" s="248" t="s">
        <v>937</v>
      </c>
      <c r="B54" s="224">
        <f>B46+B51</f>
        <v>0</v>
      </c>
      <c r="C54" s="224">
        <f t="shared" ref="C54:D54" si="8">C46+C51</f>
        <v>0</v>
      </c>
      <c r="D54" s="224">
        <f t="shared" si="8"/>
        <v>0</v>
      </c>
      <c r="E54" s="224">
        <f t="shared" si="6"/>
        <v>0</v>
      </c>
    </row>
    <row r="55" spans="1:5" s="218" customFormat="1" ht="20.100000000000001" customHeight="1">
      <c r="A55" s="225" t="s">
        <v>649</v>
      </c>
      <c r="B55" s="315"/>
      <c r="C55" s="222"/>
      <c r="D55" s="222"/>
      <c r="E55" s="226">
        <f>E6</f>
        <v>0</v>
      </c>
    </row>
    <row r="56" spans="1:5" s="218" customFormat="1" ht="20.100000000000001" customHeight="1">
      <c r="A56" s="276"/>
      <c r="B56" s="323"/>
      <c r="C56" s="324"/>
      <c r="D56" s="324"/>
      <c r="E56" s="277">
        <f>E54-E55</f>
        <v>0</v>
      </c>
    </row>
    <row r="57" spans="1:5" s="218" customFormat="1" ht="20.100000000000001" customHeight="1">
      <c r="A57" s="227"/>
      <c r="C57" s="325"/>
      <c r="D57" s="325"/>
      <c r="E57" s="227" t="str">
        <f>IF(E56=0,"OK","NO")</f>
        <v>OK</v>
      </c>
    </row>
    <row r="58" spans="1:5" s="218" customFormat="1" ht="20.100000000000001" customHeight="1">
      <c r="A58" s="1358" t="s">
        <v>1403</v>
      </c>
      <c r="B58" s="1358"/>
      <c r="C58" s="1358"/>
      <c r="D58" s="1358"/>
      <c r="E58" s="1358"/>
    </row>
    <row r="59" spans="1:5" s="218" customFormat="1" ht="20.100000000000001" customHeight="1">
      <c r="A59" s="1320" t="s">
        <v>1404</v>
      </c>
      <c r="B59" s="1320"/>
      <c r="C59" s="1320"/>
      <c r="D59" s="1320"/>
      <c r="E59" s="1320"/>
    </row>
    <row r="60" spans="1:5" s="218" customFormat="1" ht="20.100000000000001" customHeight="1">
      <c r="A60" s="223" t="s">
        <v>1405</v>
      </c>
      <c r="B60" s="223"/>
      <c r="C60" s="223"/>
      <c r="D60" s="223"/>
      <c r="E60" s="223"/>
    </row>
    <row r="61" spans="1:5" s="218" customFormat="1" ht="20.100000000000001" customHeight="1">
      <c r="A61" s="1358" t="s">
        <v>1406</v>
      </c>
      <c r="B61" s="1358"/>
      <c r="C61" s="1358"/>
      <c r="D61" s="1358"/>
      <c r="E61" s="1358"/>
    </row>
    <row r="62" spans="1:5" s="218" customFormat="1" ht="37.5" customHeight="1">
      <c r="A62" s="1330" t="s">
        <v>1407</v>
      </c>
      <c r="B62" s="1330"/>
      <c r="C62" s="1330"/>
      <c r="D62" s="1330"/>
      <c r="E62" s="1330"/>
    </row>
  </sheetData>
  <mergeCells count="8">
    <mergeCell ref="A59:E59"/>
    <mergeCell ref="A61:E61"/>
    <mergeCell ref="A62:E62"/>
    <mergeCell ref="A16:E16"/>
    <mergeCell ref="A17:E17"/>
    <mergeCell ref="A42:E42"/>
    <mergeCell ref="A43:E43"/>
    <mergeCell ref="A58:E58"/>
  </mergeCells>
  <phoneticPr fontId="76" type="noConversion"/>
  <pageMargins left="0.27500000000000002" right="0.27500000000000002" top="0.51180555555555596" bottom="0.51180555555555596" header="0.27500000000000002" footer="0.27500000000000002"/>
  <pageSetup paperSize="9" scale="90" orientation="landscape" blackAndWhite="1"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view="pageBreakPreview" topLeftCell="A4" zoomScaleNormal="100" zoomScaleSheetLayoutView="100" workbookViewId="0">
      <selection activeCell="E17" sqref="E17"/>
    </sheetView>
  </sheetViews>
  <sheetFormatPr defaultColWidth="9" defaultRowHeight="20.100000000000001" customHeight="1"/>
  <cols>
    <col min="1" max="1" width="25.875" style="105" customWidth="1"/>
    <col min="2" max="2" width="27.625" style="105" customWidth="1"/>
    <col min="3" max="3" width="20.625" style="105" customWidth="1"/>
    <col min="4" max="4" width="20.75" style="105" customWidth="1"/>
    <col min="5" max="5" width="20.375" style="105" customWidth="1"/>
    <col min="6" max="16384" width="9" style="105"/>
  </cols>
  <sheetData>
    <row r="1" spans="1:5" s="183" customFormat="1" ht="24.95" customHeight="1">
      <c r="A1" s="54" t="s">
        <v>145</v>
      </c>
      <c r="B1" s="55">
        <f>基础信息!B6</f>
        <v>0</v>
      </c>
      <c r="D1" s="185"/>
    </row>
    <row r="2" spans="1:5" s="183" customFormat="1" ht="24.95" customHeight="1">
      <c r="A2" s="54" t="s">
        <v>147</v>
      </c>
      <c r="B2" s="55">
        <f>基础信息!B9</f>
        <v>0</v>
      </c>
    </row>
    <row r="3" spans="1:5" s="107" customFormat="1" ht="24.95" customHeight="1">
      <c r="A3" s="97" t="s">
        <v>148</v>
      </c>
      <c r="B3" s="97" t="s">
        <v>1408</v>
      </c>
      <c r="C3" s="183"/>
    </row>
    <row r="4" spans="1:5" s="97" customFormat="1" ht="24.95" customHeight="1">
      <c r="A4" s="296" t="s">
        <v>318</v>
      </c>
      <c r="B4" s="296" t="s">
        <v>1409</v>
      </c>
      <c r="C4" s="296" t="s">
        <v>1410</v>
      </c>
      <c r="D4" s="296" t="s">
        <v>1411</v>
      </c>
      <c r="E4" s="296" t="s">
        <v>1412</v>
      </c>
    </row>
    <row r="5" spans="1:5" s="102" customFormat="1" ht="20.100000000000001" customHeight="1">
      <c r="A5" s="196" t="s">
        <v>1413</v>
      </c>
      <c r="B5" s="195"/>
      <c r="C5" s="195"/>
      <c r="D5" s="195"/>
      <c r="E5" s="197">
        <f>B5+C5-D5</f>
        <v>0</v>
      </c>
    </row>
    <row r="6" spans="1:5" s="102" customFormat="1" ht="20.100000000000001" customHeight="1">
      <c r="A6" s="196" t="s">
        <v>1414</v>
      </c>
      <c r="B6" s="195"/>
      <c r="C6" s="195"/>
      <c r="D6" s="195"/>
      <c r="E6" s="197">
        <f t="shared" ref="E6:E16" si="0">B6+C6-D6</f>
        <v>0</v>
      </c>
    </row>
    <row r="7" spans="1:5" s="102" customFormat="1" ht="20.100000000000001" customHeight="1">
      <c r="A7" s="196" t="s">
        <v>1415</v>
      </c>
      <c r="B7" s="195"/>
      <c r="C7" s="195"/>
      <c r="D7" s="195"/>
      <c r="E7" s="197">
        <f t="shared" si="0"/>
        <v>0</v>
      </c>
    </row>
    <row r="8" spans="1:5" s="102" customFormat="1" ht="20.100000000000001" customHeight="1">
      <c r="A8" s="196" t="s">
        <v>1416</v>
      </c>
      <c r="B8" s="195"/>
      <c r="C8" s="195"/>
      <c r="D8" s="195"/>
      <c r="E8" s="197">
        <f t="shared" si="0"/>
        <v>0</v>
      </c>
    </row>
    <row r="9" spans="1:5" s="102" customFormat="1" ht="20.100000000000001" customHeight="1">
      <c r="A9" s="196" t="s">
        <v>1417</v>
      </c>
      <c r="B9" s="195"/>
      <c r="C9" s="195"/>
      <c r="D9" s="195"/>
      <c r="E9" s="197">
        <f t="shared" si="0"/>
        <v>0</v>
      </c>
    </row>
    <row r="10" spans="1:5" s="102" customFormat="1" ht="20.100000000000001" customHeight="1">
      <c r="A10" s="196" t="s">
        <v>1418</v>
      </c>
      <c r="B10" s="195"/>
      <c r="C10" s="195"/>
      <c r="D10" s="195"/>
      <c r="E10" s="197">
        <f t="shared" si="0"/>
        <v>0</v>
      </c>
    </row>
    <row r="11" spans="1:5" s="102" customFormat="1" ht="20.100000000000001" customHeight="1">
      <c r="A11" s="196" t="s">
        <v>1419</v>
      </c>
      <c r="B11" s="195"/>
      <c r="C11" s="195"/>
      <c r="D11" s="195"/>
      <c r="E11" s="197">
        <f t="shared" si="0"/>
        <v>0</v>
      </c>
    </row>
    <row r="12" spans="1:5" s="102" customFormat="1" ht="20.100000000000001" customHeight="1">
      <c r="A12" s="196" t="s">
        <v>1420</v>
      </c>
      <c r="B12" s="195"/>
      <c r="C12" s="195"/>
      <c r="D12" s="195"/>
      <c r="E12" s="197">
        <f t="shared" si="0"/>
        <v>0</v>
      </c>
    </row>
    <row r="13" spans="1:5" s="118" customFormat="1" ht="20.100000000000001" customHeight="1">
      <c r="A13" s="196" t="s">
        <v>1421</v>
      </c>
      <c r="B13" s="195"/>
      <c r="C13" s="195"/>
      <c r="D13" s="195"/>
      <c r="E13" s="197">
        <f t="shared" si="0"/>
        <v>0</v>
      </c>
    </row>
    <row r="14" spans="1:5" s="118" customFormat="1" ht="20.100000000000001" customHeight="1">
      <c r="A14" s="196" t="s">
        <v>1422</v>
      </c>
      <c r="B14" s="195"/>
      <c r="C14" s="195"/>
      <c r="D14" s="195"/>
      <c r="E14" s="197">
        <f t="shared" si="0"/>
        <v>0</v>
      </c>
    </row>
    <row r="15" spans="1:5" s="100" customFormat="1" ht="20.100000000000001" customHeight="1">
      <c r="A15" s="196" t="s">
        <v>1423</v>
      </c>
      <c r="B15" s="195"/>
      <c r="C15" s="195"/>
      <c r="D15" s="195"/>
      <c r="E15" s="197">
        <f t="shared" si="0"/>
        <v>0</v>
      </c>
    </row>
    <row r="16" spans="1:5" s="102" customFormat="1" ht="20.100000000000001" customHeight="1">
      <c r="A16" s="196" t="s">
        <v>658</v>
      </c>
      <c r="B16" s="197">
        <f>SUM(B5:B15)</f>
        <v>0</v>
      </c>
      <c r="C16" s="197">
        <f t="shared" ref="C16:D16" si="1">SUM(C5:C15)</f>
        <v>0</v>
      </c>
      <c r="D16" s="197">
        <f t="shared" si="1"/>
        <v>0</v>
      </c>
      <c r="E16" s="197">
        <f t="shared" si="0"/>
        <v>0</v>
      </c>
    </row>
    <row r="17" spans="1:9" s="309" customFormat="1" ht="20.100000000000001" customHeight="1">
      <c r="A17" s="225" t="s">
        <v>649</v>
      </c>
      <c r="B17" s="315"/>
      <c r="C17" s="222"/>
      <c r="D17" s="222"/>
      <c r="E17" s="226">
        <f>'RP 006'!E90</f>
        <v>0</v>
      </c>
    </row>
    <row r="18" spans="1:9" s="309" customFormat="1" ht="20.100000000000001" customHeight="1">
      <c r="A18" s="225"/>
      <c r="B18" s="315"/>
      <c r="C18" s="222"/>
      <c r="D18" s="222"/>
      <c r="E18" s="226">
        <f>E16-E17</f>
        <v>0</v>
      </c>
    </row>
    <row r="19" spans="1:9" s="309" customFormat="1" ht="20.100000000000001" customHeight="1">
      <c r="A19" s="311"/>
      <c r="C19" s="182"/>
      <c r="D19" s="182"/>
      <c r="E19" s="311" t="str">
        <f>IF(E18=0,"OK","NO")</f>
        <v>OK</v>
      </c>
    </row>
    <row r="20" spans="1:9" s="27" customFormat="1" ht="20.100000000000001" customHeight="1">
      <c r="A20" s="316" t="s">
        <v>1424</v>
      </c>
    </row>
    <row r="21" spans="1:9" s="27" customFormat="1" ht="20.100000000000001" customHeight="1">
      <c r="A21" s="317" t="s">
        <v>1425</v>
      </c>
    </row>
    <row r="22" spans="1:9" s="27" customFormat="1" ht="20.100000000000001" customHeight="1">
      <c r="A22" s="317" t="s">
        <v>1426</v>
      </c>
    </row>
    <row r="28" spans="1:9" s="104" customFormat="1" ht="20.100000000000001" customHeight="1">
      <c r="A28" s="105"/>
      <c r="B28" s="105"/>
      <c r="C28" s="105"/>
      <c r="D28" s="105"/>
      <c r="E28" s="105"/>
      <c r="F28" s="105"/>
      <c r="G28" s="105"/>
      <c r="H28" s="105"/>
      <c r="I28" s="105"/>
    </row>
  </sheetData>
  <phoneticPr fontId="76" type="noConversion"/>
  <pageMargins left="1.1416666666666699" right="0.74791666666666701" top="1.4166666666666701" bottom="0.98402777777777795" header="0.51180555555555596" footer="0.51180555555555596"/>
  <pageSetup paperSize="9" scale="66"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view="pageBreakPreview" zoomScaleNormal="100" zoomScaleSheetLayoutView="100" workbookViewId="0">
      <selection activeCell="B11" sqref="B11"/>
    </sheetView>
  </sheetViews>
  <sheetFormatPr defaultColWidth="9" defaultRowHeight="15.75"/>
  <cols>
    <col min="1" max="1" width="19.125" customWidth="1"/>
    <col min="2" max="2" width="29.875" customWidth="1"/>
    <col min="3" max="3" width="17.875" customWidth="1"/>
  </cols>
  <sheetData>
    <row r="1" spans="1:3">
      <c r="A1" s="54" t="s">
        <v>145</v>
      </c>
      <c r="B1" s="55">
        <f>基础信息!B6</f>
        <v>0</v>
      </c>
      <c r="C1" s="183"/>
    </row>
    <row r="2" spans="1:3">
      <c r="A2" s="54" t="s">
        <v>147</v>
      </c>
      <c r="B2" s="55">
        <f>基础信息!B9</f>
        <v>0</v>
      </c>
      <c r="C2" s="183"/>
    </row>
    <row r="3" spans="1:3">
      <c r="A3" s="97" t="s">
        <v>148</v>
      </c>
      <c r="B3" s="313" t="s">
        <v>79</v>
      </c>
      <c r="C3" s="183"/>
    </row>
    <row r="4" spans="1:3">
      <c r="A4" s="209" t="s">
        <v>754</v>
      </c>
      <c r="B4" s="190" t="s">
        <v>798</v>
      </c>
      <c r="C4" s="307"/>
    </row>
    <row r="5" spans="1:3" ht="20.100000000000001" customHeight="1">
      <c r="A5" s="314" t="s">
        <v>1427</v>
      </c>
      <c r="B5" s="192"/>
      <c r="C5" s="308"/>
    </row>
    <row r="6" spans="1:3">
      <c r="A6" s="314" t="s">
        <v>1428</v>
      </c>
      <c r="B6" s="196"/>
      <c r="C6" s="308"/>
    </row>
    <row r="7" spans="1:3">
      <c r="A7" s="314" t="s">
        <v>79</v>
      </c>
      <c r="B7" s="196"/>
      <c r="C7" s="308"/>
    </row>
    <row r="8" spans="1:3">
      <c r="A8" s="192" t="s">
        <v>907</v>
      </c>
      <c r="B8" s="197">
        <f>SUM(B5:B7)</f>
        <v>0</v>
      </c>
      <c r="C8" s="308"/>
    </row>
    <row r="9" spans="1:3">
      <c r="A9" s="225" t="s">
        <v>649</v>
      </c>
      <c r="B9" s="226">
        <f>'RP 006'!E91</f>
        <v>0</v>
      </c>
      <c r="C9" s="309"/>
    </row>
    <row r="10" spans="1:3">
      <c r="A10" s="225"/>
      <c r="B10" s="226">
        <f>B8-B9</f>
        <v>0</v>
      </c>
      <c r="C10" s="309"/>
    </row>
    <row r="11" spans="1:3">
      <c r="A11" s="311"/>
      <c r="B11" s="311" t="str">
        <f>IF(B10=0,"OK","NO")</f>
        <v>OK</v>
      </c>
      <c r="C11" s="309"/>
    </row>
  </sheetData>
  <phoneticPr fontId="76" type="noConversion"/>
  <pageMargins left="0.75" right="0.75" top="1" bottom="1" header="0.51180555555555596" footer="0.51180555555555596"/>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view="pageBreakPreview" topLeftCell="A4" zoomScaleNormal="100" zoomScaleSheetLayoutView="100" workbookViewId="0">
      <selection activeCell="B15" sqref="B15"/>
    </sheetView>
  </sheetViews>
  <sheetFormatPr defaultColWidth="9" defaultRowHeight="20.100000000000001" customHeight="1"/>
  <cols>
    <col min="1" max="2" width="30.625" style="105" customWidth="1"/>
    <col min="3" max="3" width="32.125" style="105" customWidth="1"/>
    <col min="4" max="5" width="24.625" style="105" customWidth="1"/>
    <col min="6" max="16384" width="9" style="105"/>
  </cols>
  <sheetData>
    <row r="1" spans="1:9" s="183" customFormat="1" ht="24.95" customHeight="1">
      <c r="A1" s="54" t="s">
        <v>145</v>
      </c>
      <c r="B1" s="55">
        <f>基础信息!B6</f>
        <v>0</v>
      </c>
      <c r="E1" s="185"/>
    </row>
    <row r="2" spans="1:9" s="183" customFormat="1" ht="24.95" customHeight="1">
      <c r="A2" s="54" t="s">
        <v>147</v>
      </c>
      <c r="B2" s="55">
        <f>基础信息!B9</f>
        <v>0</v>
      </c>
    </row>
    <row r="3" spans="1:9" s="107" customFormat="1" ht="24.95" customHeight="1">
      <c r="A3" s="97" t="s">
        <v>148</v>
      </c>
      <c r="B3" s="97" t="s">
        <v>1429</v>
      </c>
      <c r="C3" s="183"/>
      <c r="D3" s="183"/>
      <c r="E3" s="183"/>
      <c r="F3" s="183"/>
      <c r="G3" s="183"/>
      <c r="H3" s="183"/>
      <c r="I3" s="183"/>
    </row>
    <row r="4" spans="1:9" s="307" customFormat="1" ht="24.95" customHeight="1">
      <c r="A4" s="209" t="s">
        <v>754</v>
      </c>
      <c r="B4" s="190" t="s">
        <v>798</v>
      </c>
    </row>
    <row r="5" spans="1:9" s="308" customFormat="1" ht="20.100000000000001" customHeight="1">
      <c r="A5" s="192" t="s">
        <v>1430</v>
      </c>
      <c r="B5" s="192"/>
    </row>
    <row r="6" spans="1:9" s="308" customFormat="1" ht="20.100000000000001" customHeight="1">
      <c r="A6" s="192" t="s">
        <v>1431</v>
      </c>
      <c r="B6" s="196"/>
    </row>
    <row r="7" spans="1:9" s="308" customFormat="1" ht="20.100000000000001" customHeight="1">
      <c r="A7" s="192" t="s">
        <v>1432</v>
      </c>
      <c r="B7" s="196"/>
    </row>
    <row r="8" spans="1:9" s="308" customFormat="1" ht="20.100000000000001" customHeight="1">
      <c r="A8" s="192" t="s">
        <v>1433</v>
      </c>
      <c r="B8" s="196"/>
    </row>
    <row r="9" spans="1:9" s="308" customFormat="1" ht="20.100000000000001" customHeight="1">
      <c r="A9" s="192" t="s">
        <v>1434</v>
      </c>
      <c r="B9" s="196"/>
    </row>
    <row r="10" spans="1:9" s="308" customFormat="1" ht="20.100000000000001" customHeight="1">
      <c r="A10" s="192" t="s">
        <v>1435</v>
      </c>
      <c r="B10" s="196"/>
    </row>
    <row r="11" spans="1:9" s="308" customFormat="1" ht="20.100000000000001" customHeight="1">
      <c r="A11" s="192"/>
      <c r="B11" s="196"/>
    </row>
    <row r="12" spans="1:9" s="308" customFormat="1" ht="20.100000000000001" customHeight="1">
      <c r="A12" s="192" t="s">
        <v>907</v>
      </c>
      <c r="B12" s="197">
        <f>SUM(B5:B11)</f>
        <v>0</v>
      </c>
    </row>
    <row r="13" spans="1:9" s="309" customFormat="1" ht="20.100000000000001" customHeight="1">
      <c r="A13" s="1173" t="s">
        <v>2413</v>
      </c>
      <c r="B13" s="226">
        <f>'RP 057'!B5</f>
        <v>0</v>
      </c>
    </row>
    <row r="14" spans="1:9" s="309" customFormat="1" ht="20.100000000000001" customHeight="1">
      <c r="A14" s="225"/>
      <c r="B14" s="226">
        <f>B12-B13</f>
        <v>0</v>
      </c>
      <c r="D14" s="182"/>
    </row>
    <row r="15" spans="1:9" s="309" customFormat="1" ht="20.100000000000001" customHeight="1">
      <c r="A15" s="311"/>
      <c r="B15" s="311" t="str">
        <f>IF(B14=0,"OK","NO")</f>
        <v>OK</v>
      </c>
      <c r="D15" s="182"/>
    </row>
    <row r="16" spans="1:9" s="308" customFormat="1" ht="20.100000000000001" customHeight="1">
      <c r="A16" s="192"/>
      <c r="B16" s="196"/>
    </row>
    <row r="17" spans="1:3" s="308" customFormat="1" ht="20.100000000000001" customHeight="1">
      <c r="A17" s="308" t="s">
        <v>1436</v>
      </c>
    </row>
    <row r="18" spans="1:3" s="308" customFormat="1" ht="20.100000000000001" customHeight="1">
      <c r="A18" s="312" t="s">
        <v>1437</v>
      </c>
      <c r="B18" s="312" t="s">
        <v>1438</v>
      </c>
      <c r="C18" s="312" t="s">
        <v>1439</v>
      </c>
    </row>
    <row r="19" spans="1:3" s="308" customFormat="1" ht="20.100000000000001" customHeight="1">
      <c r="A19" s="297" t="s">
        <v>737</v>
      </c>
      <c r="B19" s="196"/>
      <c r="C19" s="196"/>
    </row>
    <row r="20" spans="1:3" s="308" customFormat="1" ht="20.100000000000001" customHeight="1">
      <c r="A20" s="196"/>
      <c r="B20" s="196"/>
      <c r="C20" s="196"/>
    </row>
    <row r="21" spans="1:3" s="308" customFormat="1" ht="20.100000000000001" customHeight="1">
      <c r="A21" s="196" t="s">
        <v>142</v>
      </c>
      <c r="B21" s="196"/>
      <c r="C21" s="196" t="s">
        <v>924</v>
      </c>
    </row>
    <row r="22" spans="1:3" s="310" customFormat="1" ht="16.5"/>
  </sheetData>
  <phoneticPr fontId="76" type="noConversion"/>
  <pageMargins left="0.70763888888888904" right="0.70763888888888904" top="0.74791666666666701" bottom="0.74791666666666701" header="0.31388888888888899" footer="0.31388888888888899"/>
  <pageSetup paperSize="9" scale="87" orientation="portrait" blackAndWhite="1" horizontalDpi="1200" verticalDpi="1200"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view="pageBreakPreview" zoomScaleNormal="100" zoomScaleSheetLayoutView="100" workbookViewId="0">
      <selection activeCell="B13" sqref="B13"/>
    </sheetView>
  </sheetViews>
  <sheetFormatPr defaultColWidth="9" defaultRowHeight="20.100000000000001" customHeight="1"/>
  <cols>
    <col min="1" max="1" width="33.5" style="105" customWidth="1"/>
    <col min="2" max="2" width="30.625" style="105" customWidth="1"/>
    <col min="3" max="3" width="32.125" style="105" customWidth="1"/>
    <col min="4" max="5" width="24.625" style="105" customWidth="1"/>
    <col min="6" max="16384" width="9" style="105"/>
  </cols>
  <sheetData>
    <row r="1" spans="1:9" ht="24.95" customHeight="1">
      <c r="A1" s="12" t="s">
        <v>145</v>
      </c>
      <c r="B1" s="13">
        <f>基础信息!B6</f>
        <v>0</v>
      </c>
      <c r="C1" s="22"/>
      <c r="D1" s="167"/>
      <c r="E1" s="106"/>
    </row>
    <row r="2" spans="1:9" ht="24.95" customHeight="1">
      <c r="A2" s="12" t="s">
        <v>147</v>
      </c>
      <c r="B2" s="13">
        <f>基础信息!B9</f>
        <v>0</v>
      </c>
      <c r="C2" s="22"/>
      <c r="D2" s="167"/>
    </row>
    <row r="3" spans="1:9" s="104" customFormat="1" ht="24.95" customHeight="1">
      <c r="A3" s="155" t="s">
        <v>148</v>
      </c>
      <c r="B3" s="155" t="s">
        <v>1440</v>
      </c>
      <c r="C3" s="60"/>
      <c r="D3" s="167"/>
      <c r="E3" s="105"/>
      <c r="F3" s="105"/>
      <c r="G3" s="105"/>
      <c r="H3" s="105"/>
      <c r="I3" s="105"/>
    </row>
    <row r="4" spans="1:9" s="164" customFormat="1" ht="24.95" customHeight="1">
      <c r="A4" s="301" t="s">
        <v>1441</v>
      </c>
      <c r="B4" s="302" t="s">
        <v>862</v>
      </c>
      <c r="C4" s="303"/>
    </row>
    <row r="5" spans="1:9" s="102" customFormat="1" ht="20.100000000000001" customHeight="1">
      <c r="A5" s="186" t="s">
        <v>1442</v>
      </c>
      <c r="B5" s="187"/>
      <c r="C5" s="100"/>
    </row>
    <row r="6" spans="1:9" s="102" customFormat="1" ht="20.100000000000001" customHeight="1">
      <c r="A6" s="186" t="s">
        <v>1443</v>
      </c>
      <c r="B6" s="187"/>
      <c r="C6" s="100"/>
    </row>
    <row r="7" spans="1:9" s="102" customFormat="1" ht="20.100000000000001" customHeight="1">
      <c r="A7" s="186" t="s">
        <v>1444</v>
      </c>
      <c r="B7" s="187"/>
      <c r="C7" s="100"/>
      <c r="D7" s="161"/>
    </row>
    <row r="8" spans="1:9" s="102" customFormat="1" ht="20.100000000000001" customHeight="1">
      <c r="A8" s="186" t="s">
        <v>1445</v>
      </c>
      <c r="B8" s="187"/>
      <c r="C8" s="100"/>
    </row>
    <row r="9" spans="1:9" s="102" customFormat="1" ht="20.100000000000001" customHeight="1">
      <c r="A9" s="186"/>
      <c r="B9" s="187"/>
      <c r="C9" s="100"/>
    </row>
    <row r="10" spans="1:9" s="100" customFormat="1" ht="20.100000000000001" customHeight="1">
      <c r="A10" s="186" t="s">
        <v>907</v>
      </c>
      <c r="B10" s="187"/>
    </row>
    <row r="11" spans="1:9" s="100" customFormat="1" ht="20.100000000000001" customHeight="1">
      <c r="A11" s="1167" t="s">
        <v>2466</v>
      </c>
      <c r="B11" s="119">
        <f>'RP 057'!B6</f>
        <v>0</v>
      </c>
    </row>
    <row r="12" spans="1:9" s="100" customFormat="1" ht="20.100000000000001" customHeight="1">
      <c r="A12" s="118"/>
      <c r="B12" s="119">
        <f>B10-B11</f>
        <v>0</v>
      </c>
    </row>
    <row r="13" spans="1:9" s="100" customFormat="1" ht="20.100000000000001" customHeight="1">
      <c r="B13" s="311" t="str">
        <f>IF(B12=0,"OK","NO")</f>
        <v>OK</v>
      </c>
    </row>
    <row r="14" spans="1:9" s="100" customFormat="1" ht="20.100000000000001" customHeight="1">
      <c r="A14" s="186"/>
      <c r="B14" s="187"/>
      <c r="C14" s="187"/>
    </row>
    <row r="15" spans="1:9" s="102" customFormat="1" ht="20.100000000000001" customHeight="1">
      <c r="A15" s="304" t="s">
        <v>1446</v>
      </c>
      <c r="B15" s="304"/>
      <c r="C15" s="304"/>
      <c r="D15" s="27"/>
      <c r="E15" s="27"/>
      <c r="F15" s="27"/>
      <c r="G15" s="27"/>
      <c r="H15" s="27"/>
    </row>
    <row r="16" spans="1:9" s="102" customFormat="1" ht="20.100000000000001" customHeight="1">
      <c r="A16" s="305" t="s">
        <v>1447</v>
      </c>
      <c r="B16" s="305" t="s">
        <v>1448</v>
      </c>
      <c r="C16" s="305" t="s">
        <v>1449</v>
      </c>
      <c r="D16" s="27"/>
      <c r="E16" s="27"/>
      <c r="F16" s="27"/>
      <c r="G16" s="27"/>
      <c r="H16" s="27"/>
    </row>
    <row r="17" spans="1:3" s="27" customFormat="1" ht="20.100000000000001" customHeight="1">
      <c r="A17" s="306" t="s">
        <v>737</v>
      </c>
      <c r="B17" s="187"/>
      <c r="C17" s="187"/>
    </row>
    <row r="18" spans="1:3" s="27" customFormat="1" ht="20.100000000000001" customHeight="1">
      <c r="A18" s="187"/>
      <c r="B18" s="187"/>
      <c r="C18" s="187"/>
    </row>
    <row r="19" spans="1:3" s="27" customFormat="1" ht="20.100000000000001" customHeight="1">
      <c r="A19" s="187" t="s">
        <v>142</v>
      </c>
      <c r="B19" s="187"/>
      <c r="C19" s="187" t="s">
        <v>924</v>
      </c>
    </row>
    <row r="20" spans="1:3" s="27" customFormat="1" ht="20.100000000000001" customHeight="1">
      <c r="A20" s="304"/>
      <c r="B20" s="304"/>
      <c r="C20" s="304"/>
    </row>
    <row r="21" spans="1:3" ht="20.100000000000001" customHeight="1">
      <c r="A21" s="104"/>
    </row>
  </sheetData>
  <phoneticPr fontId="76" type="noConversion"/>
  <pageMargins left="0.74791666666666701" right="0.59027777777777801" top="0.98402777777777795" bottom="0.98402777777777795" header="0.51180555555555596" footer="0.51180555555555596"/>
  <pageSetup paperSize="9" scale="86" orientation="portrait" blackAndWhite="1"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view="pageBreakPreview" zoomScaleNormal="100" zoomScaleSheetLayoutView="100" workbookViewId="0">
      <selection activeCell="B13" sqref="B13"/>
    </sheetView>
  </sheetViews>
  <sheetFormatPr defaultColWidth="9" defaultRowHeight="20.100000000000001" customHeight="1"/>
  <cols>
    <col min="1" max="3" width="25.625" style="11" customWidth="1"/>
    <col min="4" max="4" width="21.875" style="11" customWidth="1"/>
    <col min="5" max="5" width="24.625" style="11" customWidth="1"/>
    <col min="6" max="16384" width="9" style="11"/>
  </cols>
  <sheetData>
    <row r="1" spans="1:5" s="74" customFormat="1" ht="24.95" customHeight="1">
      <c r="A1" s="12" t="s">
        <v>145</v>
      </c>
      <c r="B1" s="13">
        <f>基础信息!B6</f>
        <v>0</v>
      </c>
      <c r="C1" s="128"/>
      <c r="E1" s="294"/>
    </row>
    <row r="2" spans="1:5" s="74" customFormat="1" ht="24.95" customHeight="1">
      <c r="A2" s="12" t="s">
        <v>147</v>
      </c>
      <c r="B2" s="13">
        <f>基础信息!B9</f>
        <v>0</v>
      </c>
      <c r="C2" s="128"/>
    </row>
    <row r="3" spans="1:5" s="74" customFormat="1" ht="24.95" customHeight="1">
      <c r="A3" s="74" t="s">
        <v>148</v>
      </c>
      <c r="B3" s="74" t="s">
        <v>1450</v>
      </c>
      <c r="C3" s="128"/>
    </row>
    <row r="4" spans="1:5" s="292" customFormat="1" ht="24.95" customHeight="1">
      <c r="A4" s="295" t="s">
        <v>1451</v>
      </c>
    </row>
    <row r="5" spans="1:5" s="293" customFormat="1" ht="24.95" customHeight="1">
      <c r="A5" s="296" t="s">
        <v>318</v>
      </c>
      <c r="B5" s="296" t="s">
        <v>845</v>
      </c>
      <c r="C5" s="292"/>
    </row>
    <row r="6" spans="1:5" s="189" customFormat="1" ht="20.100000000000001" customHeight="1">
      <c r="A6" s="297" t="s">
        <v>1452</v>
      </c>
      <c r="B6" s="195"/>
    </row>
    <row r="7" spans="1:5" s="189" customFormat="1" ht="20.100000000000001" customHeight="1">
      <c r="A7" s="297" t="s">
        <v>1453</v>
      </c>
      <c r="B7" s="195"/>
    </row>
    <row r="8" spans="1:5" s="189" customFormat="1" ht="20.100000000000001" customHeight="1">
      <c r="A8" s="297" t="s">
        <v>737</v>
      </c>
      <c r="B8" s="195"/>
    </row>
    <row r="9" spans="1:5" s="189" customFormat="1" ht="20.100000000000001" customHeight="1">
      <c r="A9" s="196"/>
      <c r="B9" s="195"/>
    </row>
    <row r="10" spans="1:5" s="189" customFormat="1" ht="20.100000000000001" customHeight="1">
      <c r="A10" s="196" t="s">
        <v>658</v>
      </c>
      <c r="B10" s="197">
        <f>SUM(B6:B9)</f>
        <v>0</v>
      </c>
    </row>
    <row r="11" spans="1:5" s="29" customFormat="1" ht="20.100000000000001" customHeight="1">
      <c r="A11" s="1173" t="s">
        <v>2414</v>
      </c>
      <c r="B11" s="226">
        <f>'RP 057'!B7</f>
        <v>0</v>
      </c>
    </row>
    <row r="12" spans="1:5" s="29" customFormat="1" ht="20.100000000000001" customHeight="1">
      <c r="A12" s="276"/>
      <c r="B12" s="277">
        <f>B10-B11</f>
        <v>0</v>
      </c>
    </row>
    <row r="13" spans="1:5" s="29" customFormat="1" ht="20.100000000000001" customHeight="1">
      <c r="A13" s="227"/>
      <c r="B13" s="311" t="str">
        <f>IF(B12=0,"OK","NO")</f>
        <v>OK</v>
      </c>
    </row>
    <row r="14" spans="1:5" s="189" customFormat="1" ht="20.100000000000001" customHeight="1">
      <c r="A14" s="298"/>
      <c r="B14" s="298"/>
      <c r="C14" s="298"/>
    </row>
    <row r="15" spans="1:5" s="189" customFormat="1" ht="20.100000000000001" customHeight="1">
      <c r="A15" s="298"/>
      <c r="B15" s="298"/>
      <c r="C15" s="298"/>
    </row>
    <row r="16" spans="1:5" s="189" customFormat="1" ht="20.100000000000001" customHeight="1">
      <c r="A16" s="299" t="s">
        <v>1454</v>
      </c>
    </row>
    <row r="17" spans="1:3" s="189" customFormat="1" ht="20.100000000000001" customHeight="1">
      <c r="A17" s="209" t="s">
        <v>137</v>
      </c>
      <c r="B17" s="209" t="s">
        <v>1455</v>
      </c>
      <c r="C17" s="209" t="s">
        <v>1366</v>
      </c>
    </row>
    <row r="18" spans="1:3" s="189" customFormat="1" ht="20.100000000000001" customHeight="1">
      <c r="A18" s="297"/>
      <c r="B18" s="300"/>
      <c r="C18" s="297"/>
    </row>
    <row r="19" spans="1:3" s="189" customFormat="1" ht="20.100000000000001" customHeight="1">
      <c r="A19" s="297"/>
      <c r="B19" s="300"/>
      <c r="C19" s="297"/>
    </row>
    <row r="20" spans="1:3" s="189" customFormat="1" ht="20.100000000000001" customHeight="1">
      <c r="A20" s="196" t="s">
        <v>728</v>
      </c>
      <c r="B20" s="197">
        <f>SUM(B18:B19)</f>
        <v>0</v>
      </c>
      <c r="C20" s="196"/>
    </row>
    <row r="21" spans="1:3" s="189" customFormat="1" ht="20.100000000000001" customHeight="1"/>
    <row r="22" spans="1:3" s="7" customFormat="1" ht="20.100000000000001" customHeight="1"/>
  </sheetData>
  <phoneticPr fontId="76" type="noConversion"/>
  <pageMargins left="0.43263888888888902" right="0.39305555555555599" top="0.98402777777777795" bottom="0.98402777777777795" header="0.51180555555555596" footer="0.51180555555555596"/>
  <pageSetup paperSize="9" orientation="portrait" blackAndWhite="1"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4"/>
  <sheetViews>
    <sheetView view="pageBreakPreview" zoomScale="90" zoomScaleNormal="100" zoomScaleSheetLayoutView="90" workbookViewId="0">
      <selection activeCell="B11" sqref="B11"/>
    </sheetView>
  </sheetViews>
  <sheetFormatPr defaultColWidth="9" defaultRowHeight="20.100000000000001" customHeight="1"/>
  <cols>
    <col min="1" max="1" width="24.375" style="11" customWidth="1"/>
    <col min="2" max="7" width="16.625" style="11" customWidth="1"/>
    <col min="8" max="8" width="11.25" style="11" customWidth="1"/>
    <col min="9" max="9" width="9" style="116"/>
    <col min="10" max="16384" width="9" style="11"/>
  </cols>
  <sheetData>
    <row r="1" spans="1:9" ht="24.95" customHeight="1">
      <c r="A1" s="12" t="s">
        <v>145</v>
      </c>
      <c r="B1" s="13">
        <f>基础信息!B6</f>
        <v>0</v>
      </c>
      <c r="C1" s="128"/>
      <c r="D1" s="22"/>
      <c r="E1" s="25"/>
      <c r="F1" s="22"/>
      <c r="G1" s="22"/>
      <c r="H1" s="22"/>
      <c r="I1" s="128"/>
    </row>
    <row r="2" spans="1:9" ht="24.95" customHeight="1">
      <c r="A2" s="12" t="s">
        <v>147</v>
      </c>
      <c r="B2" s="13">
        <f>基础信息!B9</f>
        <v>0</v>
      </c>
      <c r="C2" s="128"/>
      <c r="D2" s="22"/>
      <c r="E2" s="22"/>
      <c r="F2" s="22"/>
      <c r="G2" s="22"/>
      <c r="H2" s="22"/>
      <c r="I2" s="128"/>
    </row>
    <row r="3" spans="1:9" ht="24.95" customHeight="1">
      <c r="A3" s="74" t="s">
        <v>148</v>
      </c>
      <c r="B3" s="1335" t="s">
        <v>1456</v>
      </c>
      <c r="C3" s="1335"/>
      <c r="D3" s="22"/>
      <c r="E3" s="22"/>
      <c r="F3" s="22"/>
      <c r="G3" s="22"/>
      <c r="H3" s="22"/>
      <c r="I3" s="128"/>
    </row>
    <row r="4" spans="1:9" s="66" customFormat="1" ht="24.95" customHeight="1">
      <c r="A4" s="88" t="s">
        <v>754</v>
      </c>
      <c r="B4" s="88" t="s">
        <v>762</v>
      </c>
      <c r="C4" s="15"/>
      <c r="D4" s="15"/>
      <c r="E4" s="15"/>
      <c r="F4" s="15"/>
      <c r="G4" s="15"/>
      <c r="H4" s="15"/>
      <c r="I4" s="15"/>
    </row>
    <row r="5" spans="1:9" s="7" customFormat="1" ht="20.100000000000001" customHeight="1">
      <c r="A5" s="94" t="s">
        <v>1457</v>
      </c>
      <c r="B5" s="91"/>
    </row>
    <row r="6" spans="1:9" s="7" customFormat="1" ht="20.100000000000001" customHeight="1">
      <c r="A6" s="94" t="s">
        <v>1458</v>
      </c>
      <c r="B6" s="91"/>
    </row>
    <row r="7" spans="1:9" s="7" customFormat="1" ht="20.100000000000001" customHeight="1">
      <c r="A7" s="94" t="s">
        <v>1459</v>
      </c>
      <c r="B7" s="91"/>
    </row>
    <row r="8" spans="1:9" s="7" customFormat="1" ht="20.100000000000001" customHeight="1">
      <c r="A8" s="94" t="s">
        <v>1460</v>
      </c>
      <c r="B8" s="91"/>
    </row>
    <row r="9" spans="1:9" s="7" customFormat="1" ht="20.100000000000001" customHeight="1">
      <c r="A9" s="94" t="s">
        <v>1461</v>
      </c>
      <c r="B9" s="91"/>
    </row>
    <row r="10" spans="1:9" s="7" customFormat="1" ht="20.100000000000001" customHeight="1">
      <c r="A10" s="94" t="s">
        <v>658</v>
      </c>
      <c r="B10" s="286">
        <f>SUM(B5:B9)</f>
        <v>0</v>
      </c>
    </row>
    <row r="11" spans="1:9" s="7" customFormat="1" ht="20.100000000000001" customHeight="1">
      <c r="A11" s="225" t="s">
        <v>649</v>
      </c>
      <c r="B11" s="226">
        <f>'RP 006'!E93</f>
        <v>0</v>
      </c>
    </row>
    <row r="12" spans="1:9" s="7" customFormat="1" ht="20.100000000000001" customHeight="1">
      <c r="A12" s="276"/>
      <c r="B12" s="277">
        <f>B10-B11</f>
        <v>0</v>
      </c>
    </row>
    <row r="13" spans="1:9" s="7" customFormat="1" ht="20.100000000000001" customHeight="1">
      <c r="A13" s="227"/>
      <c r="B13" s="227" t="str">
        <f>IF(B12=0,"OK","NO")</f>
        <v>OK</v>
      </c>
    </row>
    <row r="14" spans="1:9" s="7" customFormat="1" ht="20.100000000000001" customHeight="1">
      <c r="A14" s="287" t="s">
        <v>1462</v>
      </c>
      <c r="B14" s="287"/>
      <c r="C14" s="287"/>
    </row>
    <row r="15" spans="1:9" s="7" customFormat="1" ht="20.100000000000001" customHeight="1">
      <c r="A15" s="88" t="s">
        <v>754</v>
      </c>
      <c r="B15" s="87" t="s">
        <v>798</v>
      </c>
    </row>
    <row r="16" spans="1:9" s="7" customFormat="1" ht="20.100000000000001" customHeight="1">
      <c r="A16" s="288" t="s">
        <v>1463</v>
      </c>
      <c r="B16" s="91"/>
    </row>
    <row r="17" spans="1:5" s="7" customFormat="1" ht="20.100000000000001" customHeight="1">
      <c r="A17" s="94" t="s">
        <v>1334</v>
      </c>
      <c r="B17" s="92"/>
    </row>
    <row r="18" spans="1:5" s="7" customFormat="1" ht="20.100000000000001" customHeight="1">
      <c r="A18" s="94" t="s">
        <v>1336</v>
      </c>
      <c r="B18" s="91"/>
    </row>
    <row r="19" spans="1:5" s="7" customFormat="1" ht="20.100000000000001" customHeight="1">
      <c r="A19" s="288" t="s">
        <v>1464</v>
      </c>
      <c r="B19" s="92"/>
    </row>
    <row r="20" spans="1:5" s="7" customFormat="1" ht="20.100000000000001" customHeight="1">
      <c r="A20" s="288" t="s">
        <v>907</v>
      </c>
      <c r="B20" s="286">
        <f>SUM(B16:B19)</f>
        <v>0</v>
      </c>
    </row>
    <row r="21" spans="1:5" s="7" customFormat="1" ht="20.100000000000001" customHeight="1">
      <c r="A21" s="225" t="s">
        <v>649</v>
      </c>
      <c r="B21" s="226">
        <f>B5</f>
        <v>0</v>
      </c>
    </row>
    <row r="22" spans="1:5" s="7" customFormat="1" ht="20.100000000000001" customHeight="1">
      <c r="A22" s="225"/>
      <c r="B22" s="226">
        <f>B20-B21</f>
        <v>0</v>
      </c>
    </row>
    <row r="23" spans="1:5" s="7" customFormat="1" ht="20.100000000000001" customHeight="1">
      <c r="A23" s="227"/>
      <c r="B23" s="227" t="str">
        <f>IF(B22=0,"OK","NO")</f>
        <v>OK</v>
      </c>
    </row>
    <row r="24" spans="1:5" s="7" customFormat="1" ht="20.100000000000001" customHeight="1">
      <c r="A24" s="1332" t="s">
        <v>1465</v>
      </c>
      <c r="B24" s="1332"/>
      <c r="C24" s="1332"/>
    </row>
    <row r="25" spans="1:5" s="7" customFormat="1" ht="20.100000000000001" customHeight="1">
      <c r="A25" s="289"/>
    </row>
    <row r="26" spans="1:5" s="7" customFormat="1" ht="20.100000000000001" customHeight="1">
      <c r="A26" s="289" t="s">
        <v>1466</v>
      </c>
    </row>
    <row r="27" spans="1:5" s="7" customFormat="1" ht="20.100000000000001" customHeight="1">
      <c r="A27" s="88" t="s">
        <v>1467</v>
      </c>
      <c r="B27" s="88" t="s">
        <v>1468</v>
      </c>
      <c r="C27" s="88" t="s">
        <v>1469</v>
      </c>
      <c r="D27" s="88" t="s">
        <v>1470</v>
      </c>
      <c r="E27" s="88" t="s">
        <v>1471</v>
      </c>
    </row>
    <row r="28" spans="1:5" s="7" customFormat="1" ht="20.100000000000001" customHeight="1">
      <c r="A28" s="94"/>
      <c r="B28" s="91"/>
      <c r="C28" s="91"/>
      <c r="D28" s="91"/>
      <c r="E28" s="91"/>
    </row>
    <row r="29" spans="1:5" s="7" customFormat="1" ht="20.100000000000001" customHeight="1">
      <c r="A29" s="94"/>
      <c r="B29" s="91"/>
      <c r="C29" s="91"/>
      <c r="D29" s="91"/>
      <c r="E29" s="91"/>
    </row>
    <row r="30" spans="1:5" s="7" customFormat="1" ht="20.100000000000001" customHeight="1">
      <c r="A30" s="94" t="s">
        <v>1287</v>
      </c>
      <c r="B30" s="286">
        <f>SUM(B28:B29)</f>
        <v>0</v>
      </c>
      <c r="C30" s="91"/>
      <c r="D30" s="91"/>
      <c r="E30" s="286">
        <f>SUM(E28:E29)</f>
        <v>0</v>
      </c>
    </row>
    <row r="31" spans="1:5" s="7" customFormat="1" ht="20.100000000000001" customHeight="1">
      <c r="A31" s="225" t="s">
        <v>649</v>
      </c>
      <c r="B31" s="290"/>
      <c r="C31" s="290"/>
      <c r="D31" s="290"/>
      <c r="E31" s="226">
        <f>B6</f>
        <v>0</v>
      </c>
    </row>
    <row r="32" spans="1:5" s="7" customFormat="1" ht="20.100000000000001" customHeight="1">
      <c r="A32" s="225"/>
      <c r="B32" s="290"/>
      <c r="C32" s="290"/>
      <c r="D32" s="290"/>
      <c r="E32" s="226">
        <f>E30-E31</f>
        <v>0</v>
      </c>
    </row>
    <row r="33" spans="1:7" s="7" customFormat="1" ht="20.100000000000001" customHeight="1">
      <c r="A33" s="227"/>
      <c r="E33" s="227" t="str">
        <f>IF(E32=0,"OK","NO")</f>
        <v>OK</v>
      </c>
    </row>
    <row r="34" spans="1:7" s="7" customFormat="1" ht="20.100000000000001" customHeight="1">
      <c r="A34" s="279" t="s">
        <v>1472</v>
      </c>
    </row>
    <row r="35" spans="1:7" s="7" customFormat="1" ht="20.100000000000001" customHeight="1">
      <c r="A35" s="88" t="s">
        <v>1467</v>
      </c>
      <c r="B35" s="88" t="s">
        <v>965</v>
      </c>
      <c r="C35" s="88" t="s">
        <v>1473</v>
      </c>
      <c r="D35" s="88" t="s">
        <v>1474</v>
      </c>
      <c r="E35" s="88" t="s">
        <v>1475</v>
      </c>
      <c r="F35" s="88" t="s">
        <v>1476</v>
      </c>
      <c r="G35" s="88" t="s">
        <v>835</v>
      </c>
    </row>
    <row r="36" spans="1:7" s="7" customFormat="1" ht="20.100000000000001" customHeight="1">
      <c r="A36" s="94"/>
      <c r="B36" s="91"/>
      <c r="C36" s="91"/>
      <c r="D36" s="91"/>
      <c r="E36" s="91"/>
      <c r="F36" s="91"/>
      <c r="G36" s="91"/>
    </row>
    <row r="37" spans="1:7" s="7" customFormat="1" ht="20.100000000000001" customHeight="1">
      <c r="A37" s="94"/>
      <c r="B37" s="91"/>
      <c r="C37" s="91"/>
      <c r="D37" s="91"/>
      <c r="E37" s="91"/>
      <c r="F37" s="91"/>
      <c r="G37" s="91" t="s">
        <v>1477</v>
      </c>
    </row>
    <row r="38" spans="1:7" s="7" customFormat="1" ht="20.100000000000001" customHeight="1">
      <c r="A38" s="288" t="s">
        <v>907</v>
      </c>
      <c r="B38" s="286">
        <f>SUM(B36:B37)</f>
        <v>0</v>
      </c>
      <c r="C38" s="286">
        <f t="shared" ref="C38:G38" si="0">SUM(C36:C37)</f>
        <v>0</v>
      </c>
      <c r="D38" s="286">
        <f t="shared" si="0"/>
        <v>0</v>
      </c>
      <c r="E38" s="286">
        <f t="shared" si="0"/>
        <v>0</v>
      </c>
      <c r="F38" s="286">
        <f t="shared" si="0"/>
        <v>0</v>
      </c>
      <c r="G38" s="286">
        <f t="shared" si="0"/>
        <v>0</v>
      </c>
    </row>
    <row r="39" spans="1:7" s="7" customFormat="1" ht="20.100000000000001" customHeight="1">
      <c r="A39" s="207" t="s">
        <v>677</v>
      </c>
    </row>
    <row r="40" spans="1:7" s="7" customFormat="1" ht="20.100000000000001" customHeight="1">
      <c r="A40" s="279" t="s">
        <v>1478</v>
      </c>
    </row>
    <row r="41" spans="1:7" s="7" customFormat="1" ht="20.100000000000001" customHeight="1">
      <c r="A41" s="88" t="s">
        <v>754</v>
      </c>
      <c r="B41" s="87" t="s">
        <v>798</v>
      </c>
    </row>
    <row r="42" spans="1:7" s="7" customFormat="1" ht="20.100000000000001" customHeight="1">
      <c r="A42" s="94" t="s">
        <v>1479</v>
      </c>
      <c r="B42" s="91"/>
    </row>
    <row r="43" spans="1:7" s="7" customFormat="1" ht="20.100000000000001" customHeight="1">
      <c r="A43" s="94"/>
      <c r="B43" s="91"/>
    </row>
    <row r="44" spans="1:7" s="7" customFormat="1" ht="20.100000000000001" customHeight="1">
      <c r="A44" s="94"/>
      <c r="B44" s="91"/>
    </row>
    <row r="45" spans="1:7" s="7" customFormat="1" ht="20.100000000000001" customHeight="1">
      <c r="A45" s="94" t="s">
        <v>658</v>
      </c>
      <c r="B45" s="286">
        <f>SUM(B42:B44)</f>
        <v>0</v>
      </c>
    </row>
    <row r="46" spans="1:7" s="7" customFormat="1" ht="20.100000000000001" customHeight="1">
      <c r="A46" s="225" t="s">
        <v>649</v>
      </c>
      <c r="B46" s="226">
        <f>B7</f>
        <v>0</v>
      </c>
    </row>
    <row r="47" spans="1:7" s="7" customFormat="1" ht="20.100000000000001" customHeight="1">
      <c r="A47" s="276"/>
      <c r="B47" s="277">
        <f>B45-B46</f>
        <v>0</v>
      </c>
    </row>
    <row r="48" spans="1:7" s="7" customFormat="1" ht="20.100000000000001" customHeight="1">
      <c r="A48" s="227"/>
      <c r="B48" s="227" t="str">
        <f>IF(B47=0,"OK","NO")</f>
        <v>OK</v>
      </c>
    </row>
    <row r="49" spans="1:1" s="7" customFormat="1" ht="20.100000000000001" customHeight="1">
      <c r="A49" s="289"/>
    </row>
    <row r="50" spans="1:1" s="7" customFormat="1" ht="20.100000000000001" customHeight="1">
      <c r="A50" s="289"/>
    </row>
    <row r="51" spans="1:1" s="7" customFormat="1" ht="20.100000000000001" customHeight="1">
      <c r="A51" s="289"/>
    </row>
    <row r="52" spans="1:1" s="7" customFormat="1" ht="20.100000000000001" customHeight="1">
      <c r="A52" s="289"/>
    </row>
    <row r="53" spans="1:1" s="7" customFormat="1" ht="20.100000000000001" customHeight="1">
      <c r="A53" s="289"/>
    </row>
    <row r="54" spans="1:1" s="7" customFormat="1" ht="20.100000000000001" customHeight="1">
      <c r="A54" s="289"/>
    </row>
    <row r="55" spans="1:1" s="7" customFormat="1" ht="20.100000000000001" customHeight="1">
      <c r="A55" s="289"/>
    </row>
    <row r="56" spans="1:1" s="7" customFormat="1" ht="20.100000000000001" customHeight="1">
      <c r="A56" s="289"/>
    </row>
    <row r="57" spans="1:1" s="7" customFormat="1" ht="20.100000000000001" customHeight="1">
      <c r="A57" s="289"/>
    </row>
    <row r="58" spans="1:1" s="7" customFormat="1" ht="20.100000000000001" customHeight="1">
      <c r="A58" s="289"/>
    </row>
    <row r="59" spans="1:1" s="7" customFormat="1" ht="20.100000000000001" customHeight="1">
      <c r="A59" s="289"/>
    </row>
    <row r="60" spans="1:1" s="7" customFormat="1" ht="20.100000000000001" customHeight="1">
      <c r="A60" s="289"/>
    </row>
    <row r="61" spans="1:1" s="7" customFormat="1" ht="20.100000000000001" customHeight="1">
      <c r="A61" s="289"/>
    </row>
    <row r="62" spans="1:1" s="7" customFormat="1" ht="20.100000000000001" customHeight="1">
      <c r="A62" s="289"/>
    </row>
    <row r="63" spans="1:1" s="7" customFormat="1" ht="20.100000000000001" customHeight="1">
      <c r="A63" s="289"/>
    </row>
    <row r="64" spans="1:1" s="7" customFormat="1" ht="20.100000000000001" customHeight="1">
      <c r="A64" s="289"/>
    </row>
    <row r="65" spans="1:9" s="7" customFormat="1" ht="20.100000000000001" customHeight="1">
      <c r="A65" s="289"/>
    </row>
    <row r="66" spans="1:9" s="7" customFormat="1" ht="20.100000000000001" customHeight="1">
      <c r="A66" s="289"/>
    </row>
    <row r="67" spans="1:9" s="116" customFormat="1" ht="20.100000000000001" customHeight="1">
      <c r="A67" s="291"/>
    </row>
    <row r="68" spans="1:9" s="116" customFormat="1" ht="20.100000000000001" customHeight="1">
      <c r="A68" s="291"/>
    </row>
    <row r="69" spans="1:9" s="116" customFormat="1" ht="20.100000000000001" customHeight="1">
      <c r="A69" s="291"/>
    </row>
    <row r="70" spans="1:9" s="116" customFormat="1" ht="20.100000000000001" customHeight="1">
      <c r="A70" s="291"/>
    </row>
    <row r="71" spans="1:9" ht="20.100000000000001" customHeight="1">
      <c r="H71" s="116"/>
      <c r="I71" s="11"/>
    </row>
    <row r="72" spans="1:9" ht="20.100000000000001" customHeight="1">
      <c r="H72" s="116"/>
      <c r="I72" s="11"/>
    </row>
    <row r="73" spans="1:9" ht="20.100000000000001" customHeight="1">
      <c r="H73" s="116"/>
      <c r="I73" s="11"/>
    </row>
    <row r="74" spans="1:9" ht="20.100000000000001" customHeight="1">
      <c r="H74" s="116"/>
      <c r="I74" s="11"/>
    </row>
  </sheetData>
  <mergeCells count="2">
    <mergeCell ref="B3:C3"/>
    <mergeCell ref="A24:C24"/>
  </mergeCells>
  <phoneticPr fontId="76" type="noConversion"/>
  <pageMargins left="0.47152777777777799" right="0.27500000000000002" top="0.51180555555555596" bottom="0.51180555555555596" header="0.27500000000000002" footer="0.27500000000000002"/>
  <pageSetup paperSize="9" scale="84" orientation="landscape" blackAndWhite="1" r:id="rId1"/>
  <headerFooter alignWithMargins="0"/>
  <rowBreaks count="1" manualBreakCount="1">
    <brk id="25" max="16383" man="1"/>
  </row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view="pageBreakPreview" zoomScaleNormal="100" zoomScaleSheetLayoutView="100" workbookViewId="0">
      <selection activeCell="B9" sqref="B9"/>
    </sheetView>
  </sheetViews>
  <sheetFormatPr defaultColWidth="9" defaultRowHeight="20.100000000000001" customHeight="1"/>
  <cols>
    <col min="1" max="1" width="24.375" style="11" customWidth="1"/>
    <col min="2" max="2" width="25" style="11" customWidth="1"/>
    <col min="3" max="7" width="16.625" style="11" customWidth="1"/>
    <col min="8" max="8" width="11.25" style="11" customWidth="1"/>
    <col min="9" max="9" width="9" style="116"/>
    <col min="10" max="16384" width="9" style="11"/>
  </cols>
  <sheetData>
    <row r="1" spans="1:9" ht="24.95" customHeight="1">
      <c r="A1" s="12" t="s">
        <v>145</v>
      </c>
      <c r="B1" s="13">
        <f>基础信息!B6</f>
        <v>0</v>
      </c>
      <c r="C1" s="128"/>
      <c r="D1" s="22"/>
      <c r="E1" s="25"/>
      <c r="F1" s="22"/>
      <c r="G1" s="22"/>
    </row>
    <row r="2" spans="1:9" ht="24.95" customHeight="1">
      <c r="A2" s="12" t="s">
        <v>147</v>
      </c>
      <c r="B2" s="13">
        <f>基础信息!B9</f>
        <v>0</v>
      </c>
      <c r="C2" s="128"/>
      <c r="D2" s="22"/>
      <c r="E2" s="22"/>
      <c r="F2" s="22"/>
      <c r="G2" s="22"/>
    </row>
    <row r="3" spans="1:9" ht="24.95" customHeight="1">
      <c r="A3" s="74" t="s">
        <v>148</v>
      </c>
      <c r="B3" s="74" t="s">
        <v>1480</v>
      </c>
      <c r="C3" s="128"/>
      <c r="D3" s="22"/>
      <c r="E3" s="22"/>
      <c r="F3" s="22"/>
      <c r="G3" s="22"/>
    </row>
    <row r="4" spans="1:9" s="66" customFormat="1" ht="24.95" customHeight="1">
      <c r="A4" s="16" t="s">
        <v>754</v>
      </c>
      <c r="B4" s="231" t="s">
        <v>798</v>
      </c>
      <c r="C4" s="15"/>
      <c r="D4" s="15"/>
      <c r="E4" s="15"/>
      <c r="F4" s="15"/>
      <c r="G4" s="15"/>
    </row>
    <row r="5" spans="1:9" s="7" customFormat="1" ht="20.100000000000001" customHeight="1">
      <c r="A5" s="32" t="s">
        <v>1481</v>
      </c>
      <c r="B5" s="32"/>
    </row>
    <row r="6" spans="1:9" s="7" customFormat="1" ht="20.100000000000001" customHeight="1">
      <c r="A6" s="284" t="s">
        <v>1482</v>
      </c>
      <c r="B6" s="32"/>
    </row>
    <row r="7" spans="1:9" s="7" customFormat="1" ht="20.100000000000001" customHeight="1">
      <c r="A7" s="972" t="s">
        <v>2115</v>
      </c>
      <c r="B7" s="961"/>
    </row>
    <row r="8" spans="1:9" s="7" customFormat="1" ht="20.100000000000001" customHeight="1">
      <c r="A8" s="32" t="s">
        <v>658</v>
      </c>
      <c r="B8" s="20">
        <f>SUM(B5:B6)</f>
        <v>0</v>
      </c>
    </row>
    <row r="9" spans="1:9" s="9" customFormat="1" ht="20.100000000000001" customHeight="1">
      <c r="A9" s="118" t="s">
        <v>649</v>
      </c>
      <c r="B9" s="119">
        <f>'RP 006'!E102</f>
        <v>0</v>
      </c>
      <c r="C9" s="7"/>
      <c r="D9" s="7"/>
      <c r="H9" s="7"/>
    </row>
    <row r="10" spans="1:9" s="9" customFormat="1" ht="20.100000000000001" customHeight="1">
      <c r="A10" s="115"/>
      <c r="B10" s="121">
        <f>B8-B9</f>
        <v>0</v>
      </c>
      <c r="H10" s="7"/>
    </row>
    <row r="11" spans="1:9" s="9" customFormat="1" ht="20.100000000000001" customHeight="1">
      <c r="A11" s="29"/>
      <c r="B11" s="29" t="str">
        <f>IF(B10=0,"OK","NO")</f>
        <v>OK</v>
      </c>
      <c r="H11" s="7"/>
    </row>
    <row r="12" spans="1:9" s="9" customFormat="1" ht="20.100000000000001" customHeight="1">
      <c r="H12" s="7"/>
    </row>
    <row r="13" spans="1:9" s="9" customFormat="1" ht="20.100000000000001" customHeight="1">
      <c r="A13" s="230" t="s">
        <v>955</v>
      </c>
      <c r="I13" s="7"/>
    </row>
    <row r="14" spans="1:9" s="9" customFormat="1" ht="20.100000000000001" customHeight="1">
      <c r="A14" s="228" t="s">
        <v>1483</v>
      </c>
      <c r="I14" s="7"/>
    </row>
    <row r="15" spans="1:9" s="9" customFormat="1" ht="20.100000000000001" customHeight="1">
      <c r="A15" s="228" t="s">
        <v>1484</v>
      </c>
      <c r="I15" s="7"/>
    </row>
    <row r="16" spans="1:9" s="9" customFormat="1" ht="20.100000000000001" customHeight="1">
      <c r="A16" s="228" t="s">
        <v>1485</v>
      </c>
      <c r="I16" s="7"/>
    </row>
    <row r="17" spans="1:9" s="9" customFormat="1" ht="20.100000000000001" customHeight="1">
      <c r="A17" s="228" t="s">
        <v>1486</v>
      </c>
      <c r="I17" s="7"/>
    </row>
    <row r="18" spans="1:9" s="9" customFormat="1" ht="20.100000000000001" customHeight="1">
      <c r="A18" s="228" t="s">
        <v>1487</v>
      </c>
      <c r="I18" s="7"/>
    </row>
    <row r="19" spans="1:9" s="9" customFormat="1" ht="20.100000000000001" customHeight="1">
      <c r="A19" s="973" t="s">
        <v>2116</v>
      </c>
      <c r="I19" s="7"/>
    </row>
    <row r="20" spans="1:9" s="9" customFormat="1" ht="20.100000000000001" customHeight="1">
      <c r="A20" s="9" t="s">
        <v>1488</v>
      </c>
      <c r="I20" s="7"/>
    </row>
    <row r="21" spans="1:9" s="9" customFormat="1" ht="20.100000000000001" customHeight="1">
      <c r="A21" s="16" t="s">
        <v>1467</v>
      </c>
      <c r="B21" s="16" t="s">
        <v>1468</v>
      </c>
      <c r="C21" s="16" t="s">
        <v>1469</v>
      </c>
      <c r="D21" s="16" t="s">
        <v>1470</v>
      </c>
      <c r="E21" s="16" t="s">
        <v>1471</v>
      </c>
      <c r="I21" s="7"/>
    </row>
    <row r="22" spans="1:9" s="9" customFormat="1" ht="20.100000000000001" customHeight="1">
      <c r="A22" s="32"/>
      <c r="B22" s="18"/>
      <c r="C22" s="18"/>
      <c r="D22" s="18"/>
      <c r="E22" s="18"/>
      <c r="I22" s="7"/>
    </row>
    <row r="23" spans="1:9" s="9" customFormat="1" ht="20.100000000000001" customHeight="1">
      <c r="A23" s="32"/>
      <c r="B23" s="18"/>
      <c r="C23" s="18"/>
      <c r="D23" s="18"/>
      <c r="E23" s="18"/>
      <c r="I23" s="7"/>
    </row>
    <row r="24" spans="1:9" s="9" customFormat="1" ht="20.100000000000001" customHeight="1">
      <c r="A24" s="32" t="s">
        <v>1287</v>
      </c>
      <c r="B24" s="285">
        <f>SUM(B22:B23)</f>
        <v>0</v>
      </c>
      <c r="C24" s="18"/>
      <c r="D24" s="18"/>
      <c r="E24" s="285">
        <f>SUM(E22:E23)</f>
        <v>0</v>
      </c>
      <c r="I24" s="7"/>
    </row>
    <row r="25" spans="1:9" s="9" customFormat="1" ht="20.100000000000001" customHeight="1">
      <c r="A25" s="9" t="s">
        <v>1489</v>
      </c>
      <c r="I25" s="7"/>
    </row>
    <row r="26" spans="1:9" s="9" customFormat="1" ht="20.100000000000001" customHeight="1">
      <c r="A26" s="16" t="s">
        <v>1467</v>
      </c>
      <c r="B26" s="16" t="s">
        <v>965</v>
      </c>
      <c r="C26" s="16" t="s">
        <v>1473</v>
      </c>
      <c r="D26" s="16" t="s">
        <v>1474</v>
      </c>
      <c r="E26" s="16" t="s">
        <v>1475</v>
      </c>
      <c r="F26" s="16" t="s">
        <v>1476</v>
      </c>
      <c r="G26" s="16" t="s">
        <v>835</v>
      </c>
      <c r="I26" s="7"/>
    </row>
    <row r="27" spans="1:9" s="9" customFormat="1" ht="20.100000000000001" customHeight="1">
      <c r="A27" s="32"/>
      <c r="B27" s="32"/>
      <c r="C27" s="32"/>
      <c r="D27" s="32"/>
      <c r="E27" s="32"/>
      <c r="F27" s="32"/>
      <c r="G27" s="32"/>
      <c r="I27" s="7"/>
    </row>
    <row r="28" spans="1:9" s="9" customFormat="1" ht="20.100000000000001" customHeight="1">
      <c r="A28" s="32"/>
      <c r="B28" s="32"/>
      <c r="C28" s="32"/>
      <c r="D28" s="32"/>
      <c r="E28" s="32"/>
      <c r="F28" s="32"/>
      <c r="G28" s="32" t="s">
        <v>1477</v>
      </c>
      <c r="I28" s="7"/>
    </row>
    <row r="29" spans="1:9" s="9" customFormat="1" ht="20.100000000000001" customHeight="1">
      <c r="A29" s="233" t="s">
        <v>907</v>
      </c>
      <c r="B29" s="285">
        <f>SUM(B27:B28)</f>
        <v>0</v>
      </c>
      <c r="C29" s="285">
        <f>SUM(C27:C28)</f>
        <v>0</v>
      </c>
      <c r="D29" s="285">
        <f t="shared" ref="D29:G29" si="0">SUM(D27:D28)</f>
        <v>0</v>
      </c>
      <c r="E29" s="285">
        <f t="shared" si="0"/>
        <v>0</v>
      </c>
      <c r="F29" s="285">
        <f t="shared" si="0"/>
        <v>0</v>
      </c>
      <c r="G29" s="285">
        <f t="shared" si="0"/>
        <v>0</v>
      </c>
      <c r="I29" s="7"/>
    </row>
    <row r="30" spans="1:9" s="9" customFormat="1" ht="20.100000000000001" customHeight="1">
      <c r="A30" s="9" t="s">
        <v>677</v>
      </c>
      <c r="I30" s="7"/>
    </row>
    <row r="31" spans="1:9" s="9" customFormat="1" ht="20.100000000000001" customHeight="1">
      <c r="A31" s="278" t="s">
        <v>1490</v>
      </c>
      <c r="I31" s="7"/>
    </row>
    <row r="32" spans="1:9" s="9" customFormat="1" ht="20.100000000000001" customHeight="1">
      <c r="A32" s="1272" t="s">
        <v>1491</v>
      </c>
      <c r="B32" s="1272" t="s">
        <v>965</v>
      </c>
      <c r="C32" s="1272" t="s">
        <v>1492</v>
      </c>
      <c r="D32" s="1272" t="s">
        <v>1493</v>
      </c>
      <c r="E32" s="16" t="s">
        <v>975</v>
      </c>
      <c r="F32" s="16" t="s">
        <v>709</v>
      </c>
      <c r="G32" s="1272" t="s">
        <v>1494</v>
      </c>
      <c r="I32" s="7"/>
    </row>
    <row r="33" spans="1:9" s="9" customFormat="1" ht="20.100000000000001" customHeight="1">
      <c r="A33" s="1272"/>
      <c r="B33" s="1272"/>
      <c r="C33" s="1272"/>
      <c r="D33" s="1272"/>
      <c r="E33" s="16" t="s">
        <v>1495</v>
      </c>
      <c r="F33" s="16" t="s">
        <v>1496</v>
      </c>
      <c r="G33" s="1272"/>
      <c r="I33" s="7"/>
    </row>
    <row r="34" spans="1:9" s="9" customFormat="1" ht="20.100000000000001" customHeight="1">
      <c r="A34" s="32"/>
      <c r="B34" s="18"/>
      <c r="C34" s="18"/>
      <c r="D34" s="18"/>
      <c r="E34" s="18"/>
      <c r="F34" s="18"/>
      <c r="G34" s="18"/>
      <c r="I34" s="7"/>
    </row>
    <row r="35" spans="1:9" s="9" customFormat="1" ht="20.100000000000001" customHeight="1">
      <c r="A35" s="32"/>
      <c r="B35" s="18"/>
      <c r="C35" s="18"/>
      <c r="D35" s="18"/>
      <c r="E35" s="18"/>
      <c r="F35" s="18"/>
      <c r="G35" s="18"/>
      <c r="I35" s="7"/>
    </row>
    <row r="36" spans="1:9" s="9" customFormat="1" ht="20.100000000000001" customHeight="1">
      <c r="A36" s="32"/>
      <c r="B36" s="18"/>
      <c r="C36" s="18"/>
      <c r="D36" s="18"/>
      <c r="E36" s="18"/>
      <c r="F36" s="18"/>
      <c r="G36" s="18"/>
      <c r="I36" s="7"/>
    </row>
    <row r="37" spans="1:9" s="9" customFormat="1" ht="20.100000000000001" customHeight="1">
      <c r="A37" s="32" t="s">
        <v>142</v>
      </c>
      <c r="B37" s="20">
        <f>SUM(B34:B36)</f>
        <v>0</v>
      </c>
      <c r="C37" s="20">
        <f t="shared" ref="C37:F37" si="1">SUM(C34:C36)</f>
        <v>0</v>
      </c>
      <c r="D37" s="20">
        <f t="shared" si="1"/>
        <v>0</v>
      </c>
      <c r="E37" s="20">
        <f t="shared" si="1"/>
        <v>0</v>
      </c>
      <c r="F37" s="20">
        <f t="shared" si="1"/>
        <v>0</v>
      </c>
      <c r="G37" s="18"/>
      <c r="I37" s="7"/>
    </row>
    <row r="38" spans="1:9" s="9" customFormat="1" ht="20.100000000000001" customHeight="1">
      <c r="A38" s="9" t="s">
        <v>677</v>
      </c>
      <c r="I38" s="7"/>
    </row>
    <row r="39" spans="1:9" s="9" customFormat="1" ht="20.100000000000001" customHeight="1">
      <c r="A39" s="228" t="s">
        <v>1497</v>
      </c>
      <c r="I39" s="7"/>
    </row>
    <row r="40" spans="1:9" s="9" customFormat="1" ht="20.100000000000001" customHeight="1">
      <c r="A40" s="228" t="s">
        <v>1498</v>
      </c>
      <c r="I40" s="7"/>
    </row>
  </sheetData>
  <mergeCells count="5">
    <mergeCell ref="A32:A33"/>
    <mergeCell ref="B32:B33"/>
    <mergeCell ref="C32:C33"/>
    <mergeCell ref="D32:D33"/>
    <mergeCell ref="G32:G33"/>
  </mergeCells>
  <phoneticPr fontId="76" type="noConversion"/>
  <pageMargins left="0.70763888888888904" right="0.70763888888888904" top="0.74791666666666701" bottom="0.74791666666666701" header="0.31388888888888899" footer="0.31388888888888899"/>
  <pageSetup paperSize="9" scale="92" orientation="landscape" blackAndWhite="1" horizontalDpi="1200" verticalDpi="1200"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9"/>
  <sheetViews>
    <sheetView view="pageBreakPreview" zoomScaleNormal="100" zoomScaleSheetLayoutView="100" workbookViewId="0">
      <selection activeCell="B13" sqref="B13"/>
    </sheetView>
  </sheetViews>
  <sheetFormatPr defaultColWidth="9" defaultRowHeight="20.100000000000001" customHeight="1"/>
  <cols>
    <col min="1" max="1" width="19.875" style="11" customWidth="1"/>
    <col min="2" max="2" width="16.5" style="11" customWidth="1"/>
    <col min="3" max="3" width="20" style="11" customWidth="1"/>
    <col min="4" max="4" width="22.125" style="11" customWidth="1"/>
    <col min="5" max="5" width="19.75" style="11" customWidth="1"/>
    <col min="6" max="6" width="19" style="11" customWidth="1"/>
    <col min="7" max="7" width="17.5" style="11" customWidth="1"/>
    <col min="8" max="9" width="9" style="116"/>
    <col min="10" max="16384" width="9" style="11"/>
  </cols>
  <sheetData>
    <row r="1" spans="1:9" s="22" customFormat="1" ht="24.95" customHeight="1">
      <c r="A1" s="12" t="s">
        <v>145</v>
      </c>
      <c r="B1" s="13">
        <f>基础信息!B6</f>
        <v>0</v>
      </c>
      <c r="E1" s="25"/>
      <c r="H1" s="128"/>
      <c r="I1" s="128"/>
    </row>
    <row r="2" spans="1:9" s="22" customFormat="1" ht="24.95" customHeight="1">
      <c r="A2" s="12" t="s">
        <v>147</v>
      </c>
      <c r="B2" s="13">
        <f>基础信息!B9</f>
        <v>0</v>
      </c>
      <c r="H2" s="128"/>
      <c r="I2" s="128"/>
    </row>
    <row r="3" spans="1:9" s="22" customFormat="1" ht="24.95" customHeight="1">
      <c r="A3" s="74" t="s">
        <v>148</v>
      </c>
      <c r="B3" s="74" t="s">
        <v>1499</v>
      </c>
      <c r="H3" s="128"/>
      <c r="I3" s="128"/>
    </row>
    <row r="4" spans="1:9" s="258" customFormat="1" ht="24.95" customHeight="1">
      <c r="A4" s="258" t="s">
        <v>1500</v>
      </c>
    </row>
    <row r="5" spans="1:9" s="280" customFormat="1" ht="24.95" customHeight="1">
      <c r="A5" s="263" t="s">
        <v>754</v>
      </c>
      <c r="B5" s="264" t="s">
        <v>798</v>
      </c>
      <c r="C5" s="264" t="s">
        <v>1501</v>
      </c>
      <c r="D5" s="264" t="s">
        <v>1248</v>
      </c>
      <c r="E5" s="263" t="s">
        <v>1502</v>
      </c>
    </row>
    <row r="6" spans="1:9" s="260" customFormat="1" ht="20.100000000000001" customHeight="1">
      <c r="A6" s="186" t="s">
        <v>1463</v>
      </c>
      <c r="B6" s="265"/>
      <c r="C6" s="265"/>
      <c r="D6" s="265"/>
      <c r="E6" s="265"/>
    </row>
    <row r="7" spans="1:9" s="260" customFormat="1" ht="20.100000000000001" customHeight="1">
      <c r="A7" s="187" t="s">
        <v>1334</v>
      </c>
      <c r="B7" s="267"/>
      <c r="C7" s="265"/>
      <c r="D7" s="265"/>
      <c r="E7" s="265"/>
    </row>
    <row r="8" spans="1:9" s="260" customFormat="1" ht="20.100000000000001" customHeight="1">
      <c r="A8" s="187" t="s">
        <v>1336</v>
      </c>
      <c r="B8" s="265"/>
      <c r="C8" s="265"/>
      <c r="D8" s="265"/>
      <c r="E8" s="265"/>
    </row>
    <row r="9" spans="1:9" s="260" customFormat="1" ht="20.100000000000001" customHeight="1">
      <c r="A9" s="186" t="s">
        <v>1464</v>
      </c>
      <c r="B9" s="265"/>
      <c r="C9" s="265"/>
      <c r="D9" s="265"/>
      <c r="E9" s="265"/>
    </row>
    <row r="10" spans="1:9" s="260" customFormat="1" ht="20.100000000000001" customHeight="1">
      <c r="A10" s="186" t="s">
        <v>929</v>
      </c>
      <c r="B10" s="266">
        <f>SUM(B6:B9)</f>
        <v>0</v>
      </c>
      <c r="C10" s="267"/>
      <c r="D10" s="266">
        <f t="shared" ref="D10" si="0">SUM(D6:D9)</f>
        <v>0</v>
      </c>
      <c r="E10" s="265"/>
    </row>
    <row r="11" spans="1:9" s="260" customFormat="1" ht="26.25" customHeight="1">
      <c r="A11" s="186" t="s">
        <v>1503</v>
      </c>
      <c r="B11" s="265"/>
      <c r="C11" s="265"/>
      <c r="D11" s="265"/>
      <c r="E11" s="265"/>
    </row>
    <row r="12" spans="1:9" s="260" customFormat="1" ht="20.100000000000001" customHeight="1">
      <c r="A12" s="186" t="s">
        <v>907</v>
      </c>
      <c r="B12" s="266">
        <f>B10-B11</f>
        <v>0</v>
      </c>
      <c r="C12" s="267"/>
      <c r="D12" s="266">
        <f>D10-D11</f>
        <v>0</v>
      </c>
      <c r="E12" s="265"/>
    </row>
    <row r="13" spans="1:9" s="260" customFormat="1" ht="20.100000000000001" customHeight="1">
      <c r="A13" s="118" t="s">
        <v>649</v>
      </c>
      <c r="B13" s="119">
        <f>'RP 006'!E105</f>
        <v>0</v>
      </c>
      <c r="C13" s="267"/>
      <c r="D13" s="267"/>
      <c r="E13" s="265"/>
    </row>
    <row r="14" spans="1:9" s="260" customFormat="1" ht="20.100000000000001" customHeight="1">
      <c r="A14" s="115"/>
      <c r="B14" s="121">
        <f>B12-B13</f>
        <v>0</v>
      </c>
      <c r="C14" s="282"/>
      <c r="D14" s="282"/>
      <c r="E14" s="283"/>
    </row>
    <row r="15" spans="1:9" s="260" customFormat="1" ht="20.100000000000001" customHeight="1">
      <c r="A15" s="29"/>
      <c r="B15" s="29" t="str">
        <f>IF(B14=0,"OK","NO")</f>
        <v>OK</v>
      </c>
      <c r="C15" s="268"/>
      <c r="D15" s="268"/>
      <c r="E15" s="270"/>
    </row>
    <row r="16" spans="1:9" s="260" customFormat="1" ht="20.100000000000001" customHeight="1">
      <c r="A16" s="268"/>
      <c r="B16" s="268"/>
      <c r="C16" s="268"/>
      <c r="D16" s="268"/>
      <c r="E16" s="270"/>
    </row>
    <row r="17" spans="1:9" s="260" customFormat="1" ht="20.100000000000001" customHeight="1">
      <c r="A17" s="228" t="s">
        <v>1504</v>
      </c>
    </row>
    <row r="18" spans="1:9" s="260" customFormat="1" ht="20.100000000000001" customHeight="1"/>
    <row r="19" spans="1:9" s="260" customFormat="1" ht="20.100000000000001" customHeight="1">
      <c r="A19" s="279" t="s">
        <v>1505</v>
      </c>
    </row>
    <row r="20" spans="1:9" s="260" customFormat="1" ht="20.100000000000001" customHeight="1">
      <c r="A20" s="263" t="s">
        <v>754</v>
      </c>
      <c r="B20" s="264" t="s">
        <v>798</v>
      </c>
    </row>
    <row r="21" spans="1:9" s="260" customFormat="1" ht="20.100000000000001" customHeight="1">
      <c r="A21" s="186" t="s">
        <v>1463</v>
      </c>
      <c r="B21" s="265"/>
    </row>
    <row r="22" spans="1:9" s="260" customFormat="1" ht="20.100000000000001" customHeight="1">
      <c r="A22" s="187" t="s">
        <v>1334</v>
      </c>
      <c r="B22" s="267"/>
    </row>
    <row r="23" spans="1:9" s="260" customFormat="1" ht="20.100000000000001" customHeight="1">
      <c r="A23" s="187" t="s">
        <v>1336</v>
      </c>
      <c r="B23" s="265"/>
    </row>
    <row r="24" spans="1:9" s="260" customFormat="1" ht="20.100000000000001" customHeight="1">
      <c r="A24" s="186" t="s">
        <v>1464</v>
      </c>
      <c r="B24" s="267"/>
    </row>
    <row r="25" spans="1:9" s="260" customFormat="1" ht="20.100000000000001" customHeight="1">
      <c r="A25" s="186" t="s">
        <v>907</v>
      </c>
      <c r="B25" s="266">
        <f>SUM(B21:B24)</f>
        <v>0</v>
      </c>
    </row>
    <row r="26" spans="1:9" s="260" customFormat="1" ht="20.100000000000001" customHeight="1">
      <c r="A26" s="118" t="s">
        <v>649</v>
      </c>
      <c r="B26" s="119">
        <f>'RP 058'!B20</f>
        <v>0</v>
      </c>
      <c r="E26" s="270"/>
    </row>
    <row r="27" spans="1:9" s="260" customFormat="1" ht="20.100000000000001" customHeight="1">
      <c r="A27" s="115"/>
      <c r="B27" s="121">
        <f>B25-B26</f>
        <v>0</v>
      </c>
      <c r="C27" s="268"/>
      <c r="D27" s="268"/>
      <c r="E27" s="270"/>
    </row>
    <row r="28" spans="1:9" s="260" customFormat="1" ht="20.100000000000001" customHeight="1">
      <c r="A28" s="29"/>
      <c r="B28" s="29" t="str">
        <f>IF(B27=0,"OK","NO")</f>
        <v>OK</v>
      </c>
      <c r="C28" s="268"/>
      <c r="D28" s="268"/>
      <c r="E28" s="270"/>
    </row>
    <row r="29" spans="1:9" s="260" customFormat="1" ht="20.100000000000001" customHeight="1">
      <c r="A29" s="228" t="s">
        <v>1506</v>
      </c>
    </row>
    <row r="30" spans="1:9" s="281" customFormat="1" ht="16.5"/>
    <row r="31" spans="1:9" s="281" customFormat="1" ht="16.5"/>
    <row r="32" spans="1:9" ht="20.100000000000001" customHeight="1">
      <c r="G32" s="116"/>
      <c r="I32" s="11"/>
    </row>
    <row r="33" spans="7:9" ht="20.100000000000001" customHeight="1">
      <c r="G33" s="116"/>
      <c r="I33" s="11"/>
    </row>
    <row r="34" spans="7:9" ht="20.100000000000001" customHeight="1">
      <c r="G34" s="116"/>
      <c r="I34" s="11"/>
    </row>
    <row r="35" spans="7:9" ht="20.100000000000001" customHeight="1">
      <c r="G35" s="116"/>
      <c r="I35" s="11"/>
    </row>
    <row r="36" spans="7:9" ht="20.100000000000001" customHeight="1">
      <c r="G36" s="116"/>
      <c r="I36" s="11"/>
    </row>
    <row r="37" spans="7:9" ht="20.100000000000001" customHeight="1">
      <c r="G37" s="116"/>
      <c r="I37" s="11"/>
    </row>
    <row r="38" spans="7:9" ht="20.100000000000001" customHeight="1">
      <c r="G38" s="116"/>
      <c r="I38" s="11"/>
    </row>
    <row r="39" spans="7:9" ht="20.100000000000001" customHeight="1">
      <c r="G39" s="116"/>
      <c r="I39" s="11"/>
    </row>
    <row r="40" spans="7:9" ht="20.100000000000001" customHeight="1">
      <c r="G40" s="116"/>
      <c r="I40" s="11"/>
    </row>
    <row r="41" spans="7:9" ht="20.100000000000001" customHeight="1">
      <c r="G41" s="116"/>
      <c r="I41" s="11"/>
    </row>
    <row r="42" spans="7:9" ht="20.100000000000001" customHeight="1">
      <c r="G42" s="116"/>
      <c r="I42" s="11"/>
    </row>
    <row r="43" spans="7:9" ht="20.100000000000001" customHeight="1">
      <c r="G43" s="116"/>
      <c r="I43" s="11"/>
    </row>
    <row r="44" spans="7:9" ht="20.100000000000001" customHeight="1">
      <c r="G44" s="116"/>
      <c r="I44" s="11"/>
    </row>
    <row r="45" spans="7:9" ht="20.100000000000001" customHeight="1">
      <c r="G45" s="116"/>
      <c r="I45" s="11"/>
    </row>
    <row r="46" spans="7:9" ht="20.100000000000001" customHeight="1">
      <c r="G46" s="116"/>
      <c r="I46" s="11"/>
    </row>
    <row r="47" spans="7:9" ht="20.100000000000001" customHeight="1">
      <c r="G47" s="116"/>
      <c r="I47" s="11"/>
    </row>
    <row r="48" spans="7:9" ht="20.100000000000001" customHeight="1">
      <c r="G48" s="116"/>
      <c r="I48" s="11"/>
    </row>
    <row r="49" spans="7:9" ht="20.100000000000001" customHeight="1">
      <c r="G49" s="116"/>
      <c r="I49" s="11"/>
    </row>
    <row r="50" spans="7:9" ht="20.100000000000001" customHeight="1">
      <c r="G50" s="116"/>
      <c r="I50" s="11"/>
    </row>
    <row r="51" spans="7:9" ht="20.100000000000001" customHeight="1">
      <c r="G51" s="116"/>
      <c r="I51" s="11"/>
    </row>
    <row r="52" spans="7:9" ht="20.100000000000001" customHeight="1">
      <c r="G52" s="116"/>
      <c r="I52" s="11"/>
    </row>
    <row r="53" spans="7:9" ht="20.100000000000001" customHeight="1">
      <c r="G53" s="116"/>
      <c r="I53" s="11"/>
    </row>
    <row r="54" spans="7:9" ht="20.100000000000001" customHeight="1">
      <c r="G54" s="116"/>
      <c r="I54" s="11"/>
    </row>
    <row r="55" spans="7:9" ht="20.100000000000001" customHeight="1">
      <c r="G55" s="116"/>
      <c r="I55" s="11"/>
    </row>
    <row r="56" spans="7:9" ht="20.100000000000001" customHeight="1">
      <c r="G56" s="116"/>
      <c r="I56" s="11"/>
    </row>
    <row r="57" spans="7:9" ht="20.100000000000001" customHeight="1">
      <c r="G57" s="116"/>
      <c r="I57" s="11"/>
    </row>
    <row r="58" spans="7:9" ht="20.100000000000001" customHeight="1">
      <c r="G58" s="116"/>
      <c r="I58" s="11"/>
    </row>
    <row r="59" spans="7:9" ht="20.100000000000001" customHeight="1">
      <c r="G59" s="116"/>
      <c r="I59" s="11"/>
    </row>
  </sheetData>
  <phoneticPr fontId="76" type="noConversion"/>
  <pageMargins left="0.27500000000000002" right="0.27500000000000002" top="0.51180555555555596" bottom="0.51180555555555596" header="0.27500000000000002" footer="0.27500000000000002"/>
  <pageSetup paperSize="9" scale="79" orientation="landscape" blackAndWhite="1"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6"/>
  <sheetViews>
    <sheetView view="pageBreakPreview" zoomScaleNormal="100" zoomScaleSheetLayoutView="100" workbookViewId="0">
      <selection activeCell="B9" sqref="B9"/>
    </sheetView>
  </sheetViews>
  <sheetFormatPr defaultColWidth="9" defaultRowHeight="20.100000000000001" customHeight="1"/>
  <cols>
    <col min="1" max="1" width="20.5" style="11" customWidth="1"/>
    <col min="2" max="2" width="17.75" style="11" customWidth="1"/>
    <col min="3" max="3" width="18.625" style="11" customWidth="1"/>
    <col min="4" max="4" width="20.125" style="11" customWidth="1"/>
    <col min="5" max="5" width="18.125" style="11" customWidth="1"/>
    <col min="6" max="6" width="14.625" style="11" customWidth="1"/>
    <col min="7" max="8" width="15.375" style="11" customWidth="1"/>
    <col min="9" max="9" width="9" style="116"/>
    <col min="10" max="16384" width="9" style="11"/>
  </cols>
  <sheetData>
    <row r="1" spans="1:10" s="22" customFormat="1" ht="24.95" customHeight="1">
      <c r="A1" s="12" t="s">
        <v>145</v>
      </c>
      <c r="B1" s="13">
        <f>基础信息!B6</f>
        <v>0</v>
      </c>
      <c r="E1" s="25"/>
      <c r="I1" s="128"/>
    </row>
    <row r="2" spans="1:10" s="22" customFormat="1" ht="24.95" customHeight="1">
      <c r="A2" s="12" t="s">
        <v>147</v>
      </c>
      <c r="B2" s="13">
        <f>基础信息!B9</f>
        <v>0</v>
      </c>
      <c r="I2" s="128"/>
    </row>
    <row r="3" spans="1:10" s="128" customFormat="1" ht="24.95" customHeight="1">
      <c r="A3" s="74" t="s">
        <v>148</v>
      </c>
      <c r="B3" s="74" t="s">
        <v>1507</v>
      </c>
    </row>
    <row r="4" spans="1:10" s="191" customFormat="1" ht="24.95" customHeight="1">
      <c r="A4" s="191" t="s">
        <v>1508</v>
      </c>
    </row>
    <row r="5" spans="1:10" s="188" customFormat="1" ht="24.95" customHeight="1">
      <c r="A5" s="209" t="s">
        <v>754</v>
      </c>
      <c r="B5" s="190" t="s">
        <v>798</v>
      </c>
      <c r="C5" s="273"/>
      <c r="D5" s="273"/>
      <c r="E5" s="191"/>
      <c r="F5" s="191"/>
      <c r="G5" s="191"/>
      <c r="H5" s="191"/>
      <c r="I5" s="191"/>
      <c r="J5" s="191"/>
    </row>
    <row r="6" spans="1:10" s="188" customFormat="1" ht="24.95" customHeight="1">
      <c r="A6" s="274"/>
      <c r="B6" s="275"/>
      <c r="C6" s="273"/>
      <c r="D6" s="273"/>
      <c r="E6" s="191"/>
      <c r="F6" s="191"/>
      <c r="G6" s="191"/>
      <c r="H6" s="191"/>
      <c r="I6" s="191"/>
      <c r="J6" s="191"/>
    </row>
    <row r="7" spans="1:10" s="188" customFormat="1" ht="24.95" customHeight="1">
      <c r="A7" s="274"/>
      <c r="B7" s="275"/>
      <c r="C7" s="273"/>
      <c r="D7" s="273"/>
      <c r="E7" s="191"/>
      <c r="F7" s="191"/>
      <c r="G7" s="191"/>
      <c r="H7" s="191"/>
      <c r="I7" s="191"/>
      <c r="J7" s="191"/>
    </row>
    <row r="8" spans="1:10" s="189" customFormat="1" ht="20.100000000000001" customHeight="1">
      <c r="A8" s="196" t="s">
        <v>658</v>
      </c>
      <c r="B8" s="197">
        <f>SUM(B6:B7)</f>
        <v>0</v>
      </c>
      <c r="C8" s="202"/>
      <c r="D8" s="202"/>
    </row>
    <row r="9" spans="1:10" s="189" customFormat="1" ht="20.100000000000001" customHeight="1">
      <c r="A9" s="225" t="s">
        <v>649</v>
      </c>
      <c r="B9" s="226">
        <f>'RP 006'!E106</f>
        <v>0</v>
      </c>
      <c r="C9" s="202"/>
      <c r="D9" s="202"/>
      <c r="E9" s="203"/>
    </row>
    <row r="10" spans="1:10" s="189" customFormat="1" ht="20.100000000000001" customHeight="1">
      <c r="A10" s="276"/>
      <c r="B10" s="277">
        <f>B8-B9</f>
        <v>0</v>
      </c>
      <c r="C10" s="202"/>
      <c r="D10" s="202"/>
      <c r="E10" s="203"/>
    </row>
    <row r="11" spans="1:10" s="189" customFormat="1" ht="20.100000000000001" customHeight="1">
      <c r="A11" s="227"/>
      <c r="B11" s="227" t="str">
        <f>IF(B10=0,"OK","NO")</f>
        <v>OK</v>
      </c>
      <c r="C11" s="202"/>
      <c r="D11" s="202"/>
      <c r="E11" s="203"/>
    </row>
    <row r="12" spans="1:10" s="189" customFormat="1" ht="20.100000000000001" customHeight="1">
      <c r="A12" s="227"/>
      <c r="B12" s="227"/>
      <c r="C12" s="202"/>
      <c r="D12" s="202"/>
      <c r="E12" s="203"/>
    </row>
    <row r="13" spans="1:10" s="189" customFormat="1" ht="20.100000000000001" customHeight="1">
      <c r="A13" s="227"/>
      <c r="B13" s="227"/>
      <c r="C13" s="202"/>
      <c r="D13" s="202"/>
      <c r="E13" s="203"/>
    </row>
    <row r="14" spans="1:10" s="189" customFormat="1" ht="20.100000000000001" customHeight="1">
      <c r="A14" s="228" t="s">
        <v>1509</v>
      </c>
    </row>
    <row r="15" spans="1:10" s="189" customFormat="1" ht="20.100000000000001" customHeight="1">
      <c r="A15" s="209" t="s">
        <v>1467</v>
      </c>
      <c r="B15" s="209" t="s">
        <v>1468</v>
      </c>
      <c r="C15" s="209" t="s">
        <v>1469</v>
      </c>
      <c r="D15" s="209" t="s">
        <v>1470</v>
      </c>
      <c r="E15" s="209" t="s">
        <v>1471</v>
      </c>
    </row>
    <row r="16" spans="1:10" s="189" customFormat="1" ht="20.100000000000001" customHeight="1">
      <c r="A16" s="196"/>
      <c r="B16" s="196"/>
      <c r="C16" s="196"/>
      <c r="D16" s="196"/>
      <c r="E16" s="196"/>
    </row>
    <row r="17" spans="1:7" s="189" customFormat="1" ht="20.100000000000001" customHeight="1">
      <c r="A17" s="196"/>
      <c r="B17" s="196"/>
      <c r="C17" s="196"/>
      <c r="D17" s="196"/>
      <c r="E17" s="196"/>
    </row>
    <row r="18" spans="1:7" s="189" customFormat="1" ht="20.100000000000001" customHeight="1">
      <c r="A18" s="196" t="s">
        <v>1287</v>
      </c>
      <c r="B18" s="194">
        <f>SUM(B16:B17)</f>
        <v>0</v>
      </c>
      <c r="C18" s="195"/>
      <c r="D18" s="195"/>
      <c r="E18" s="194">
        <f>SUM(E16:E17)</f>
        <v>0</v>
      </c>
    </row>
    <row r="19" spans="1:7" s="189" customFormat="1" ht="20.100000000000001" customHeight="1">
      <c r="A19" s="203"/>
      <c r="B19" s="202"/>
      <c r="C19" s="203"/>
      <c r="D19" s="203"/>
      <c r="E19" s="202"/>
    </row>
    <row r="20" spans="1:7" s="189" customFormat="1" ht="20.100000000000001" customHeight="1">
      <c r="A20" s="203"/>
      <c r="B20" s="202"/>
      <c r="C20" s="203"/>
      <c r="D20" s="203"/>
      <c r="E20" s="202"/>
    </row>
    <row r="21" spans="1:7" s="189" customFormat="1" ht="20.100000000000001" customHeight="1">
      <c r="A21" s="189" t="s">
        <v>1510</v>
      </c>
    </row>
    <row r="22" spans="1:7" s="189" customFormat="1" ht="20.100000000000001" customHeight="1">
      <c r="A22" s="209" t="s">
        <v>1467</v>
      </c>
      <c r="B22" s="209" t="s">
        <v>965</v>
      </c>
      <c r="C22" s="209" t="s">
        <v>1473</v>
      </c>
      <c r="D22" s="209" t="s">
        <v>1474</v>
      </c>
      <c r="E22" s="209" t="s">
        <v>1475</v>
      </c>
      <c r="F22" s="209" t="s">
        <v>1476</v>
      </c>
      <c r="G22" s="209" t="s">
        <v>835</v>
      </c>
    </row>
    <row r="23" spans="1:7" s="189" customFormat="1" ht="20.100000000000001" customHeight="1">
      <c r="A23" s="196"/>
      <c r="B23" s="195"/>
      <c r="C23" s="195"/>
      <c r="D23" s="195"/>
      <c r="E23" s="195"/>
      <c r="F23" s="195"/>
      <c r="G23" s="195"/>
    </row>
    <row r="24" spans="1:7" s="189" customFormat="1" ht="20.100000000000001" customHeight="1">
      <c r="A24" s="196"/>
      <c r="B24" s="195"/>
      <c r="C24" s="195"/>
      <c r="D24" s="195"/>
      <c r="E24" s="195"/>
      <c r="F24" s="195"/>
      <c r="G24" s="195" t="s">
        <v>1477</v>
      </c>
    </row>
    <row r="25" spans="1:7" s="189" customFormat="1" ht="20.100000000000001" customHeight="1">
      <c r="A25" s="196" t="s">
        <v>1287</v>
      </c>
      <c r="B25" s="194">
        <f>SUM(B23:B24)</f>
        <v>0</v>
      </c>
      <c r="C25" s="194">
        <f t="shared" ref="C25:G25" si="0">SUM(C23:C24)</f>
        <v>0</v>
      </c>
      <c r="D25" s="194">
        <f t="shared" si="0"/>
        <v>0</v>
      </c>
      <c r="E25" s="194">
        <f t="shared" si="0"/>
        <v>0</v>
      </c>
      <c r="F25" s="194">
        <f t="shared" si="0"/>
        <v>0</v>
      </c>
      <c r="G25" s="194">
        <f t="shared" si="0"/>
        <v>0</v>
      </c>
    </row>
    <row r="26" spans="1:7" s="189" customFormat="1" ht="20.100000000000001" customHeight="1">
      <c r="A26" s="192" t="s">
        <v>1511</v>
      </c>
      <c r="B26" s="193"/>
      <c r="C26" s="193"/>
      <c r="D26" s="193"/>
      <c r="E26" s="193"/>
      <c r="F26" s="193"/>
      <c r="G26" s="193"/>
    </row>
    <row r="27" spans="1:7" s="189" customFormat="1" ht="20.100000000000001" customHeight="1">
      <c r="A27" s="192" t="s">
        <v>907</v>
      </c>
      <c r="B27" s="194">
        <f>B25-B26</f>
        <v>0</v>
      </c>
      <c r="C27" s="194">
        <f t="shared" ref="C27:G27" si="1">C25-C26</f>
        <v>0</v>
      </c>
      <c r="D27" s="194">
        <f t="shared" si="1"/>
        <v>0</v>
      </c>
      <c r="E27" s="194">
        <f t="shared" si="1"/>
        <v>0</v>
      </c>
      <c r="F27" s="194">
        <f t="shared" si="1"/>
        <v>0</v>
      </c>
      <c r="G27" s="194">
        <f t="shared" si="1"/>
        <v>0</v>
      </c>
    </row>
    <row r="28" spans="1:7" s="189" customFormat="1" ht="20.100000000000001" customHeight="1">
      <c r="A28" s="202"/>
      <c r="B28" s="202"/>
      <c r="C28" s="202"/>
      <c r="D28" s="202"/>
      <c r="E28" s="202"/>
      <c r="F28" s="202"/>
      <c r="G28" s="202"/>
    </row>
    <row r="29" spans="1:7" s="189" customFormat="1" ht="20.100000000000001" customHeight="1">
      <c r="A29" s="202"/>
      <c r="B29" s="202"/>
      <c r="C29" s="202"/>
      <c r="D29" s="202"/>
      <c r="E29" s="202"/>
      <c r="F29" s="202"/>
      <c r="G29" s="202"/>
    </row>
    <row r="30" spans="1:7" s="189" customFormat="1" ht="20.100000000000001" customHeight="1">
      <c r="A30" s="204" t="s">
        <v>1512</v>
      </c>
    </row>
    <row r="31" spans="1:7" s="204" customFormat="1" ht="20.100000000000001" customHeight="1">
      <c r="A31" s="1361" t="s">
        <v>1513</v>
      </c>
      <c r="B31" s="1361"/>
      <c r="C31" s="1361"/>
      <c r="D31" s="1361"/>
      <c r="E31" s="1361"/>
      <c r="F31" s="1361"/>
      <c r="G31" s="1361"/>
    </row>
    <row r="32" spans="1:7" s="204" customFormat="1" ht="33.75" customHeight="1">
      <c r="A32" s="1362" t="s">
        <v>1514</v>
      </c>
      <c r="B32" s="1362"/>
      <c r="C32" s="1362"/>
      <c r="D32" s="1362"/>
      <c r="E32" s="1362"/>
      <c r="F32" s="1362"/>
      <c r="G32" s="1362"/>
    </row>
    <row r="33" spans="1:9" s="204" customFormat="1" ht="33.75" customHeight="1">
      <c r="A33" s="1362" t="s">
        <v>1515</v>
      </c>
      <c r="B33" s="1362"/>
      <c r="C33" s="1362"/>
      <c r="D33" s="1362"/>
      <c r="E33" s="1362"/>
      <c r="F33" s="1362"/>
      <c r="G33" s="1362"/>
    </row>
    <row r="34" spans="1:9" s="204" customFormat="1" ht="33.75" customHeight="1">
      <c r="A34" s="1362" t="s">
        <v>1516</v>
      </c>
      <c r="B34" s="1362"/>
      <c r="C34" s="1362"/>
      <c r="D34" s="1362"/>
      <c r="E34" s="1362"/>
      <c r="F34" s="1362"/>
      <c r="G34" s="1362"/>
    </row>
    <row r="35" spans="1:9" s="189" customFormat="1" ht="20.100000000000001" customHeight="1">
      <c r="A35" s="228" t="s">
        <v>1517</v>
      </c>
    </row>
    <row r="36" spans="1:9" s="189" customFormat="1" ht="20.100000000000001" customHeight="1">
      <c r="A36" s="228" t="s">
        <v>1518</v>
      </c>
      <c r="B36" s="278"/>
      <c r="C36" s="278"/>
      <c r="D36" s="278"/>
      <c r="E36" s="278"/>
      <c r="F36" s="278"/>
      <c r="G36" s="278"/>
    </row>
    <row r="37" spans="1:9" s="189" customFormat="1" ht="20.100000000000001" customHeight="1">
      <c r="A37" s="230" t="s">
        <v>1519</v>
      </c>
      <c r="B37" s="279"/>
      <c r="C37" s="279"/>
      <c r="D37" s="279"/>
      <c r="E37" s="279"/>
      <c r="F37" s="279"/>
      <c r="G37" s="279"/>
    </row>
    <row r="38" spans="1:9" s="189" customFormat="1" ht="20.100000000000001" customHeight="1">
      <c r="A38" s="228" t="s">
        <v>1520</v>
      </c>
      <c r="B38" s="279"/>
      <c r="C38" s="279"/>
      <c r="D38" s="279"/>
      <c r="E38" s="279"/>
      <c r="F38" s="279"/>
      <c r="G38" s="279"/>
    </row>
    <row r="39" spans="1:9" s="189" customFormat="1" ht="20.100000000000001" customHeight="1">
      <c r="A39" s="230" t="s">
        <v>1521</v>
      </c>
    </row>
    <row r="40" spans="1:9" s="189" customFormat="1" ht="20.100000000000001" customHeight="1">
      <c r="A40" s="1360" t="s">
        <v>1522</v>
      </c>
      <c r="B40" s="1359" t="s">
        <v>1248</v>
      </c>
      <c r="C40" s="1359"/>
      <c r="D40" s="1359" t="s">
        <v>1145</v>
      </c>
      <c r="E40" s="1359"/>
      <c r="F40" s="1359" t="s">
        <v>1249</v>
      </c>
      <c r="G40" s="1359"/>
      <c r="H40" s="1359" t="s">
        <v>798</v>
      </c>
      <c r="I40" s="1359"/>
    </row>
    <row r="41" spans="1:9" s="189" customFormat="1" ht="20.100000000000001" customHeight="1">
      <c r="A41" s="1360"/>
      <c r="B41" s="190" t="s">
        <v>1523</v>
      </c>
      <c r="C41" s="190" t="s">
        <v>917</v>
      </c>
      <c r="D41" s="190" t="s">
        <v>1523</v>
      </c>
      <c r="E41" s="190" t="s">
        <v>917</v>
      </c>
      <c r="F41" s="190" t="s">
        <v>1523</v>
      </c>
      <c r="G41" s="190" t="s">
        <v>917</v>
      </c>
      <c r="H41" s="190" t="s">
        <v>1523</v>
      </c>
      <c r="I41" s="190" t="s">
        <v>917</v>
      </c>
    </row>
    <row r="42" spans="1:9" s="189" customFormat="1" ht="20.100000000000001" customHeight="1">
      <c r="A42" s="192" t="s">
        <v>1524</v>
      </c>
      <c r="B42" s="193"/>
      <c r="C42" s="193"/>
      <c r="D42" s="193"/>
      <c r="E42" s="193"/>
      <c r="F42" s="193"/>
      <c r="G42" s="193"/>
      <c r="H42" s="193"/>
      <c r="I42" s="193"/>
    </row>
    <row r="43" spans="1:9" s="189" customFormat="1" ht="20.100000000000001" customHeight="1">
      <c r="A43" s="192"/>
      <c r="B43" s="193"/>
      <c r="C43" s="193"/>
      <c r="D43" s="193"/>
      <c r="E43" s="193"/>
      <c r="F43" s="193"/>
      <c r="G43" s="193"/>
      <c r="H43" s="193"/>
      <c r="I43" s="193" t="s">
        <v>1477</v>
      </c>
    </row>
    <row r="44" spans="1:9" s="189" customFormat="1" ht="20.100000000000001" customHeight="1">
      <c r="A44" s="192" t="s">
        <v>907</v>
      </c>
      <c r="B44" s="194">
        <f>SUM(B42:B43)</f>
        <v>0</v>
      </c>
      <c r="C44" s="194">
        <f t="shared" ref="C44:I44" si="2">SUM(C42:C43)</f>
        <v>0</v>
      </c>
      <c r="D44" s="194">
        <f t="shared" si="2"/>
        <v>0</v>
      </c>
      <c r="E44" s="194">
        <f t="shared" si="2"/>
        <v>0</v>
      </c>
      <c r="F44" s="194">
        <f t="shared" si="2"/>
        <v>0</v>
      </c>
      <c r="G44" s="194">
        <f t="shared" si="2"/>
        <v>0</v>
      </c>
      <c r="H44" s="194">
        <f t="shared" si="2"/>
        <v>0</v>
      </c>
      <c r="I44" s="194">
        <f t="shared" si="2"/>
        <v>0</v>
      </c>
    </row>
    <row r="45" spans="1:9" s="189" customFormat="1" ht="20.100000000000001" customHeight="1">
      <c r="A45" s="230" t="s">
        <v>1525</v>
      </c>
    </row>
    <row r="46" spans="1:9" s="210" customFormat="1" ht="16.5"/>
    <row r="47" spans="1:9" s="210" customFormat="1" ht="16.5"/>
    <row r="48" spans="1:9" ht="20.100000000000001" customHeight="1">
      <c r="H48" s="116"/>
      <c r="I48" s="11"/>
    </row>
    <row r="49" spans="8:9" ht="20.100000000000001" customHeight="1">
      <c r="H49" s="116"/>
      <c r="I49" s="11"/>
    </row>
    <row r="50" spans="8:9" ht="20.100000000000001" customHeight="1">
      <c r="H50" s="116"/>
      <c r="I50" s="11"/>
    </row>
    <row r="51" spans="8:9" ht="20.100000000000001" customHeight="1">
      <c r="H51" s="116"/>
      <c r="I51" s="11"/>
    </row>
    <row r="52" spans="8:9" ht="20.100000000000001" customHeight="1">
      <c r="H52" s="116"/>
      <c r="I52" s="11"/>
    </row>
    <row r="53" spans="8:9" ht="20.100000000000001" customHeight="1">
      <c r="H53" s="116"/>
      <c r="I53" s="11"/>
    </row>
    <row r="54" spans="8:9" ht="20.100000000000001" customHeight="1">
      <c r="H54" s="116"/>
      <c r="I54" s="11"/>
    </row>
    <row r="55" spans="8:9" ht="20.100000000000001" customHeight="1">
      <c r="H55" s="116"/>
      <c r="I55" s="11"/>
    </row>
    <row r="56" spans="8:9" ht="20.100000000000001" customHeight="1">
      <c r="H56" s="116"/>
      <c r="I56" s="11"/>
    </row>
    <row r="57" spans="8:9" ht="20.100000000000001" customHeight="1">
      <c r="H57" s="116"/>
      <c r="I57" s="11"/>
    </row>
    <row r="58" spans="8:9" ht="20.100000000000001" customHeight="1">
      <c r="H58" s="116"/>
      <c r="I58" s="11"/>
    </row>
    <row r="59" spans="8:9" ht="20.100000000000001" customHeight="1">
      <c r="H59" s="116"/>
      <c r="I59" s="11"/>
    </row>
    <row r="60" spans="8:9" ht="20.100000000000001" customHeight="1">
      <c r="H60" s="116"/>
      <c r="I60" s="11"/>
    </row>
    <row r="61" spans="8:9" ht="20.100000000000001" customHeight="1">
      <c r="H61" s="116"/>
      <c r="I61" s="11"/>
    </row>
    <row r="62" spans="8:9" ht="20.100000000000001" customHeight="1">
      <c r="H62" s="116"/>
      <c r="I62" s="11"/>
    </row>
    <row r="63" spans="8:9" ht="20.100000000000001" customHeight="1">
      <c r="H63" s="116"/>
      <c r="I63" s="11"/>
    </row>
    <row r="64" spans="8:9" ht="20.100000000000001" customHeight="1">
      <c r="H64" s="116"/>
      <c r="I64" s="11"/>
    </row>
    <row r="65" spans="8:9" ht="20.100000000000001" customHeight="1">
      <c r="H65" s="116"/>
      <c r="I65" s="11"/>
    </row>
    <row r="66" spans="8:9" ht="20.100000000000001" customHeight="1">
      <c r="H66" s="116"/>
      <c r="I66" s="11"/>
    </row>
    <row r="67" spans="8:9" ht="20.100000000000001" customHeight="1">
      <c r="H67" s="116"/>
      <c r="I67" s="11"/>
    </row>
    <row r="68" spans="8:9" ht="20.100000000000001" customHeight="1">
      <c r="H68" s="116"/>
      <c r="I68" s="11"/>
    </row>
    <row r="69" spans="8:9" ht="20.100000000000001" customHeight="1">
      <c r="H69" s="116"/>
      <c r="I69" s="11"/>
    </row>
    <row r="70" spans="8:9" ht="20.100000000000001" customHeight="1">
      <c r="H70" s="116"/>
      <c r="I70" s="11"/>
    </row>
    <row r="71" spans="8:9" ht="20.100000000000001" customHeight="1">
      <c r="H71" s="116"/>
      <c r="I71" s="11"/>
    </row>
    <row r="72" spans="8:9" ht="20.100000000000001" customHeight="1">
      <c r="H72" s="116"/>
      <c r="I72" s="11"/>
    </row>
    <row r="73" spans="8:9" ht="20.100000000000001" customHeight="1">
      <c r="H73" s="116"/>
      <c r="I73" s="11"/>
    </row>
    <row r="74" spans="8:9" ht="20.100000000000001" customHeight="1">
      <c r="H74" s="116"/>
      <c r="I74" s="11"/>
    </row>
    <row r="75" spans="8:9" ht="20.100000000000001" customHeight="1">
      <c r="H75" s="116"/>
      <c r="I75" s="11"/>
    </row>
    <row r="76" spans="8:9" ht="20.100000000000001" customHeight="1">
      <c r="H76" s="116"/>
      <c r="I76" s="11"/>
    </row>
    <row r="77" spans="8:9" ht="20.100000000000001" customHeight="1">
      <c r="H77" s="116"/>
      <c r="I77" s="11"/>
    </row>
    <row r="78" spans="8:9" ht="20.100000000000001" customHeight="1">
      <c r="H78" s="116"/>
      <c r="I78" s="11"/>
    </row>
    <row r="79" spans="8:9" ht="20.100000000000001" customHeight="1">
      <c r="H79" s="116"/>
      <c r="I79" s="11"/>
    </row>
    <row r="80" spans="8:9" ht="20.100000000000001" customHeight="1">
      <c r="H80" s="116"/>
      <c r="I80" s="11"/>
    </row>
    <row r="81" spans="8:9" ht="20.100000000000001" customHeight="1">
      <c r="H81" s="116"/>
      <c r="I81" s="11"/>
    </row>
    <row r="82" spans="8:9" ht="20.100000000000001" customHeight="1">
      <c r="H82" s="116"/>
      <c r="I82" s="11"/>
    </row>
    <row r="83" spans="8:9" ht="20.100000000000001" customHeight="1">
      <c r="H83" s="116"/>
      <c r="I83" s="11"/>
    </row>
    <row r="84" spans="8:9" ht="20.100000000000001" customHeight="1">
      <c r="H84" s="116"/>
      <c r="I84" s="11"/>
    </row>
    <row r="85" spans="8:9" ht="20.100000000000001" customHeight="1">
      <c r="H85" s="116"/>
      <c r="I85" s="11"/>
    </row>
    <row r="86" spans="8:9" ht="20.100000000000001" customHeight="1">
      <c r="H86" s="116"/>
      <c r="I86" s="11"/>
    </row>
  </sheetData>
  <mergeCells count="9">
    <mergeCell ref="H40:I40"/>
    <mergeCell ref="A40:A41"/>
    <mergeCell ref="A31:G31"/>
    <mergeCell ref="A32:G32"/>
    <mergeCell ref="A33:G33"/>
    <mergeCell ref="A34:G34"/>
    <mergeCell ref="B40:C40"/>
    <mergeCell ref="D40:E40"/>
    <mergeCell ref="F40:G40"/>
  </mergeCells>
  <phoneticPr fontId="76" type="noConversion"/>
  <pageMargins left="0.27500000000000002" right="0.27500000000000002" top="0.51180555555555596" bottom="0.51180555555555596" header="0.27500000000000002" footer="0.27500000000000002"/>
  <pageSetup paperSize="9" scale="88" orientation="landscape" blackAndWhite="1" r:id="rId1"/>
  <headerFooter alignWithMargins="0">
    <oddFooter>&amp;C&amp;P/&amp;N</oddFooter>
  </headerFooter>
  <rowBreaks count="1" manualBreakCount="1">
    <brk id="24" max="8" man="1"/>
  </rowBreak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B12" sqref="B12"/>
    </sheetView>
  </sheetViews>
  <sheetFormatPr defaultColWidth="9" defaultRowHeight="15.75"/>
  <cols>
    <col min="1" max="1" width="25.375" customWidth="1"/>
    <col min="2" max="2" width="23.5" customWidth="1"/>
  </cols>
  <sheetData>
    <row r="1" spans="1:4" ht="16.5">
      <c r="A1" s="12" t="s">
        <v>145</v>
      </c>
      <c r="B1" s="13">
        <f>基础信息!B6</f>
        <v>0</v>
      </c>
      <c r="C1" s="256"/>
      <c r="D1" s="256"/>
    </row>
    <row r="2" spans="1:4" ht="16.5">
      <c r="A2" s="12" t="s">
        <v>147</v>
      </c>
      <c r="B2" s="13">
        <f>基础信息!B9</f>
        <v>0</v>
      </c>
      <c r="C2" s="256"/>
      <c r="D2" s="256"/>
    </row>
    <row r="3" spans="1:4" ht="16.5">
      <c r="A3" s="74" t="s">
        <v>148</v>
      </c>
      <c r="B3" s="74" t="s">
        <v>1526</v>
      </c>
      <c r="C3" s="256"/>
      <c r="D3" s="256"/>
    </row>
    <row r="4" spans="1:4">
      <c r="A4" s="262"/>
      <c r="B4" s="258"/>
      <c r="C4" s="258"/>
      <c r="D4" s="258"/>
    </row>
    <row r="5" spans="1:4">
      <c r="A5" s="263" t="s">
        <v>754</v>
      </c>
      <c r="B5" s="264" t="s">
        <v>798</v>
      </c>
      <c r="C5" s="258"/>
      <c r="D5" s="258"/>
    </row>
    <row r="6" spans="1:4">
      <c r="A6" s="272" t="s">
        <v>86</v>
      </c>
      <c r="B6" s="265">
        <f>'RP 062-1'!B11</f>
        <v>0</v>
      </c>
      <c r="C6" s="260"/>
      <c r="D6" s="260"/>
    </row>
    <row r="7" spans="1:4">
      <c r="A7" s="272" t="s">
        <v>1527</v>
      </c>
      <c r="B7" s="265">
        <f>'RP 062-2'!E7</f>
        <v>0</v>
      </c>
      <c r="C7" s="260"/>
      <c r="D7" s="260"/>
    </row>
    <row r="8" spans="1:4">
      <c r="A8" s="187"/>
      <c r="B8" s="265"/>
      <c r="C8" s="260"/>
      <c r="D8" s="260"/>
    </row>
    <row r="9" spans="1:4">
      <c r="A9" s="187" t="s">
        <v>978</v>
      </c>
      <c r="B9" s="266">
        <f>SUM(B6:B8)</f>
        <v>0</v>
      </c>
      <c r="C9" s="260"/>
      <c r="D9" s="260"/>
    </row>
    <row r="10" spans="1:4">
      <c r="A10" s="187" t="s">
        <v>1528</v>
      </c>
      <c r="B10" s="267"/>
      <c r="C10" s="260"/>
      <c r="D10" s="260"/>
    </row>
    <row r="11" spans="1:4">
      <c r="A11" s="187" t="s">
        <v>658</v>
      </c>
      <c r="B11" s="266">
        <f>B9-B10</f>
        <v>0</v>
      </c>
      <c r="C11" s="260"/>
      <c r="D11" s="260"/>
    </row>
    <row r="12" spans="1:4">
      <c r="A12" s="118" t="s">
        <v>649</v>
      </c>
      <c r="B12" s="119">
        <f>'RP 006'!E107</f>
        <v>0</v>
      </c>
      <c r="C12" s="260"/>
      <c r="D12" s="260"/>
    </row>
    <row r="13" spans="1:4">
      <c r="A13" s="118"/>
      <c r="B13" s="119">
        <f>B11-B12</f>
        <v>0</v>
      </c>
      <c r="C13" s="268"/>
      <c r="D13" s="260"/>
    </row>
    <row r="14" spans="1:4">
      <c r="A14" s="100"/>
      <c r="B14" s="269" t="str">
        <f>IF(B13=0,"OK","NO")</f>
        <v>OK</v>
      </c>
      <c r="C14" s="268"/>
      <c r="D14" s="260"/>
    </row>
    <row r="15" spans="1:4">
      <c r="A15" s="118" t="s">
        <v>649</v>
      </c>
      <c r="B15" s="119">
        <f>'RP 058'!B7</f>
        <v>0</v>
      </c>
      <c r="C15" s="260"/>
      <c r="D15" s="260"/>
    </row>
    <row r="16" spans="1:4">
      <c r="A16" s="115"/>
      <c r="B16" s="121">
        <f>B10-B15</f>
        <v>0</v>
      </c>
      <c r="C16" s="268"/>
      <c r="D16" s="260"/>
    </row>
    <row r="17" spans="1:4">
      <c r="A17" s="29"/>
      <c r="B17" s="29" t="str">
        <f>IF(B16=0,"OK","NO")</f>
        <v>OK</v>
      </c>
      <c r="C17" s="268"/>
      <c r="D17" s="260"/>
    </row>
    <row r="18" spans="1:4">
      <c r="A18" s="270"/>
      <c r="B18" s="268"/>
      <c r="C18" s="268"/>
      <c r="D18" s="260"/>
    </row>
    <row r="19" spans="1:4">
      <c r="A19" s="228" t="s">
        <v>1529</v>
      </c>
      <c r="B19" s="260"/>
      <c r="C19" s="260"/>
      <c r="D19" s="260"/>
    </row>
  </sheetData>
  <phoneticPr fontId="76" type="noConversion"/>
  <pageMargins left="0.75" right="0.75" top="1" bottom="1" header="0.51180555555555596" footer="0.51180555555555596"/>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view="pageBreakPreview" zoomScaleNormal="100" zoomScaleSheetLayoutView="100" workbookViewId="0">
      <selection activeCell="C10" sqref="C10"/>
    </sheetView>
  </sheetViews>
  <sheetFormatPr defaultColWidth="9" defaultRowHeight="20.100000000000001" customHeight="1"/>
  <cols>
    <col min="1" max="1" width="24.75" style="11" customWidth="1"/>
    <col min="2" max="2" width="24.625" style="11" customWidth="1"/>
    <col min="3" max="3" width="26.5" style="11" customWidth="1"/>
    <col min="4" max="4" width="17.625" style="11" customWidth="1"/>
    <col min="5" max="5" width="23.625" style="11" customWidth="1"/>
    <col min="6" max="6" width="25.375" style="11" customWidth="1"/>
    <col min="7" max="16384" width="9" style="11"/>
  </cols>
  <sheetData>
    <row r="1" spans="1:5" s="256" customFormat="1" ht="24.75" customHeight="1">
      <c r="A1" s="12" t="s">
        <v>145</v>
      </c>
      <c r="B1" s="13">
        <f>基础信息!B6</f>
        <v>0</v>
      </c>
      <c r="E1" s="261"/>
    </row>
    <row r="2" spans="1:5" s="256" customFormat="1" ht="24.95" customHeight="1">
      <c r="A2" s="12" t="s">
        <v>147</v>
      </c>
      <c r="B2" s="13">
        <f>基础信息!B9</f>
        <v>0</v>
      </c>
    </row>
    <row r="3" spans="1:5" s="257" customFormat="1" ht="24.95" customHeight="1">
      <c r="A3" s="74" t="s">
        <v>148</v>
      </c>
      <c r="B3" s="74" t="s">
        <v>1526</v>
      </c>
      <c r="C3" s="256"/>
      <c r="D3" s="256"/>
      <c r="E3" s="256"/>
    </row>
    <row r="4" spans="1:5" s="258" customFormat="1" ht="24.95" customHeight="1">
      <c r="A4" s="262" t="s">
        <v>1530</v>
      </c>
    </row>
    <row r="5" spans="1:5" s="259" customFormat="1" ht="24.95" customHeight="1">
      <c r="A5" s="263" t="s">
        <v>754</v>
      </c>
      <c r="B5" s="264" t="s">
        <v>798</v>
      </c>
      <c r="C5" s="258"/>
      <c r="D5" s="258"/>
    </row>
    <row r="6" spans="1:5" s="260" customFormat="1" ht="20.100000000000001" customHeight="1">
      <c r="A6" s="187" t="s">
        <v>1479</v>
      </c>
      <c r="B6" s="265"/>
    </row>
    <row r="7" spans="1:5" s="260" customFormat="1" ht="20.100000000000001" customHeight="1">
      <c r="A7" s="187"/>
      <c r="B7" s="265"/>
    </row>
    <row r="8" spans="1:5" s="260" customFormat="1" ht="20.100000000000001" customHeight="1">
      <c r="A8" s="187"/>
      <c r="B8" s="265"/>
    </row>
    <row r="9" spans="1:5" s="260" customFormat="1" ht="20.100000000000001" customHeight="1">
      <c r="A9" s="187" t="s">
        <v>978</v>
      </c>
      <c r="B9" s="266">
        <f>SUM(B6:B8)</f>
        <v>0</v>
      </c>
    </row>
    <row r="10" spans="1:5" s="260" customFormat="1" ht="20.100000000000001" customHeight="1">
      <c r="A10" s="187" t="s">
        <v>1528</v>
      </c>
      <c r="B10" s="267"/>
    </row>
    <row r="11" spans="1:5" s="260" customFormat="1" ht="20.100000000000001" customHeight="1">
      <c r="A11" s="187" t="s">
        <v>658</v>
      </c>
      <c r="B11" s="266">
        <f>B9-B10</f>
        <v>0</v>
      </c>
    </row>
    <row r="12" spans="1:5" s="260" customFormat="1" ht="20.100000000000001" customHeight="1">
      <c r="A12" s="1167" t="s">
        <v>2415</v>
      </c>
      <c r="B12" s="119">
        <f>'RP 062'!B6</f>
        <v>0</v>
      </c>
    </row>
    <row r="13" spans="1:5" s="260" customFormat="1" ht="20.100000000000001" customHeight="1">
      <c r="A13" s="115"/>
      <c r="B13" s="121">
        <f>B10-B12</f>
        <v>0</v>
      </c>
      <c r="C13" s="268"/>
    </row>
    <row r="14" spans="1:5" s="260" customFormat="1" ht="20.100000000000001" customHeight="1">
      <c r="A14" s="29"/>
      <c r="B14" s="29" t="str">
        <f>IF(B13=0,"OK","NO")</f>
        <v>OK</v>
      </c>
      <c r="C14" s="268"/>
    </row>
    <row r="15" spans="1:5" s="260" customFormat="1" ht="20.100000000000001" customHeight="1">
      <c r="A15" s="270"/>
      <c r="B15" s="268"/>
      <c r="C15" s="268"/>
    </row>
    <row r="16" spans="1:5" s="260" customFormat="1" ht="20.100000000000001" customHeight="1">
      <c r="A16" s="228" t="s">
        <v>1529</v>
      </c>
    </row>
    <row r="17" spans="1:15" s="260" customFormat="1" ht="20.100000000000001" customHeight="1">
      <c r="A17" s="271"/>
      <c r="B17" s="271"/>
      <c r="C17" s="271"/>
    </row>
    <row r="18" spans="1:15" ht="20.100000000000001" customHeight="1">
      <c r="A18" s="116"/>
      <c r="F18" s="116"/>
      <c r="G18" s="116"/>
      <c r="H18" s="116"/>
      <c r="I18" s="116"/>
      <c r="J18" s="116"/>
      <c r="K18" s="116"/>
      <c r="L18" s="116"/>
      <c r="M18" s="116"/>
      <c r="N18" s="116"/>
      <c r="O18" s="116"/>
    </row>
    <row r="19" spans="1:15" ht="20.100000000000001" customHeight="1">
      <c r="A19" s="116"/>
    </row>
    <row r="20" spans="1:15" ht="20.100000000000001" customHeight="1">
      <c r="A20" s="116"/>
    </row>
  </sheetData>
  <phoneticPr fontId="76" type="noConversion"/>
  <pageMargins left="0.82638888888888895" right="0.27500000000000002" top="0.82638888888888895" bottom="0.51180555555555596" header="0.27500000000000002" footer="0.27500000000000002"/>
  <pageSetup paperSize="9" orientation="landscape" blackAndWhite="1"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90" zoomScaleNormal="100" zoomScaleSheetLayoutView="90" workbookViewId="0">
      <selection activeCell="C12" sqref="C12"/>
    </sheetView>
  </sheetViews>
  <sheetFormatPr defaultColWidth="9" defaultRowHeight="20.100000000000001" customHeight="1"/>
  <cols>
    <col min="1" max="1" width="13.875" style="11" customWidth="1"/>
    <col min="2" max="2" width="24.625" style="11" customWidth="1"/>
    <col min="3" max="3" width="20.875" style="11" customWidth="1"/>
    <col min="4" max="4" width="22.625" style="11" customWidth="1"/>
    <col min="5" max="5" width="22.5" style="11" customWidth="1"/>
    <col min="6" max="6" width="19.5" style="11" customWidth="1"/>
    <col min="7" max="16384" width="9" style="11"/>
  </cols>
  <sheetData>
    <row r="1" spans="1:13" s="22" customFormat="1" ht="24.95" customHeight="1">
      <c r="A1" s="12" t="s">
        <v>145</v>
      </c>
      <c r="B1" s="13">
        <f>基础信息!B6</f>
        <v>0</v>
      </c>
      <c r="E1" s="25"/>
    </row>
    <row r="2" spans="1:13" s="22" customFormat="1" ht="24.95" customHeight="1">
      <c r="A2" s="12" t="s">
        <v>147</v>
      </c>
      <c r="B2" s="13">
        <f>基础信息!B9</f>
        <v>0</v>
      </c>
    </row>
    <row r="3" spans="1:13" s="128" customFormat="1" ht="24.95" customHeight="1">
      <c r="A3" s="74" t="s">
        <v>148</v>
      </c>
      <c r="B3" s="74" t="s">
        <v>1531</v>
      </c>
      <c r="C3" s="22"/>
      <c r="D3" s="22"/>
      <c r="E3" s="22"/>
      <c r="F3" s="22"/>
      <c r="G3" s="22"/>
      <c r="H3" s="22"/>
      <c r="I3" s="22"/>
    </row>
    <row r="4" spans="1:13" s="23" customFormat="1" ht="24.95" customHeight="1">
      <c r="A4" s="175" t="s">
        <v>1532</v>
      </c>
      <c r="B4" s="175" t="s">
        <v>1533</v>
      </c>
      <c r="C4" s="175" t="s">
        <v>1266</v>
      </c>
      <c r="D4" s="175" t="s">
        <v>1267</v>
      </c>
      <c r="E4" s="175" t="s">
        <v>911</v>
      </c>
      <c r="F4" s="15"/>
    </row>
    <row r="5" spans="1:13" s="7" customFormat="1" ht="20.100000000000001" customHeight="1">
      <c r="A5" s="250"/>
      <c r="B5" s="177"/>
      <c r="C5" s="177"/>
      <c r="D5" s="177"/>
      <c r="E5" s="119">
        <f>B5+C5-D5</f>
        <v>0</v>
      </c>
      <c r="F5" s="251"/>
    </row>
    <row r="6" spans="1:13" s="7" customFormat="1" ht="20.100000000000001" customHeight="1">
      <c r="A6" s="250"/>
      <c r="B6" s="18"/>
      <c r="C6" s="177"/>
      <c r="D6" s="177"/>
      <c r="E6" s="119">
        <f>B6+C6-D6</f>
        <v>0</v>
      </c>
      <c r="F6" s="251"/>
    </row>
    <row r="7" spans="1:13" s="7" customFormat="1" ht="20.100000000000001" customHeight="1">
      <c r="A7" s="32" t="s">
        <v>658</v>
      </c>
      <c r="B7" s="20">
        <f>SUM(B5:B6)</f>
        <v>0</v>
      </c>
      <c r="C7" s="20">
        <f t="shared" ref="C7:E7" si="0">SUM(C5:C6)</f>
        <v>0</v>
      </c>
      <c r="D7" s="20">
        <f t="shared" si="0"/>
        <v>0</v>
      </c>
      <c r="E7" s="20">
        <f t="shared" si="0"/>
        <v>0</v>
      </c>
      <c r="F7" s="251"/>
    </row>
    <row r="8" spans="1:13" s="7" customFormat="1" ht="20.100000000000001" customHeight="1">
      <c r="A8" s="1167" t="s">
        <v>2466</v>
      </c>
      <c r="B8" s="252"/>
      <c r="C8" s="130"/>
      <c r="D8" s="130"/>
      <c r="E8" s="119">
        <f>'RP 062'!B7</f>
        <v>0</v>
      </c>
      <c r="F8" s="251"/>
    </row>
    <row r="9" spans="1:13" s="7" customFormat="1" ht="20.100000000000001" customHeight="1">
      <c r="A9" s="115"/>
      <c r="B9" s="253"/>
      <c r="C9" s="131"/>
      <c r="D9" s="131"/>
      <c r="E9" s="121">
        <f>E7-E8</f>
        <v>0</v>
      </c>
      <c r="F9" s="251"/>
    </row>
    <row r="10" spans="1:13" s="7" customFormat="1" ht="20.100000000000001" customHeight="1">
      <c r="A10" s="29"/>
      <c r="B10" s="253"/>
      <c r="C10" s="131"/>
      <c r="D10" s="254"/>
      <c r="E10" s="254" t="str">
        <f>IF(E9=0,"OK","NO")</f>
        <v>OK</v>
      </c>
      <c r="F10" s="251"/>
    </row>
    <row r="11" spans="1:13" s="7" customFormat="1" ht="20.100000000000001" customHeight="1">
      <c r="A11" s="33"/>
      <c r="B11" s="33"/>
      <c r="C11" s="255"/>
      <c r="D11" s="255"/>
      <c r="E11" s="33"/>
    </row>
    <row r="12" spans="1:13" s="9" customFormat="1" ht="20.100000000000001" customHeight="1">
      <c r="A12" s="215" t="s">
        <v>1534</v>
      </c>
      <c r="F12" s="7"/>
      <c r="G12" s="7"/>
      <c r="H12" s="7"/>
      <c r="I12" s="7"/>
      <c r="J12" s="7"/>
      <c r="K12" s="7"/>
      <c r="L12" s="7"/>
      <c r="M12" s="7"/>
    </row>
    <row r="13" spans="1:13" s="9" customFormat="1" ht="20.100000000000001" customHeight="1">
      <c r="A13" s="215" t="s">
        <v>1535</v>
      </c>
      <c r="F13" s="7"/>
      <c r="G13" s="7"/>
      <c r="H13" s="7"/>
      <c r="I13" s="7"/>
      <c r="J13" s="7"/>
      <c r="K13" s="7"/>
      <c r="L13" s="7"/>
      <c r="M13" s="7"/>
    </row>
    <row r="14" spans="1:13" s="9" customFormat="1" ht="20.100000000000001" customHeight="1">
      <c r="A14" s="215" t="s">
        <v>1536</v>
      </c>
    </row>
  </sheetData>
  <phoneticPr fontId="76" type="noConversion"/>
  <pageMargins left="0.51180555555555596" right="0.51180555555555596" top="0.98402777777777795" bottom="0.98402777777777795" header="0.51180555555555596" footer="0.51180555555555596"/>
  <pageSetup paperSize="9" orientation="landscape" blackAndWhite="1"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5"/>
  <sheetViews>
    <sheetView view="pageBreakPreview" zoomScaleNormal="100" zoomScaleSheetLayoutView="100" workbookViewId="0">
      <selection activeCell="B13" sqref="B13"/>
    </sheetView>
  </sheetViews>
  <sheetFormatPr defaultColWidth="9" defaultRowHeight="20.100000000000001" customHeight="1"/>
  <cols>
    <col min="1" max="1" width="24.75" style="11" customWidth="1"/>
    <col min="2" max="2" width="24.625" style="11" customWidth="1"/>
    <col min="3" max="3" width="26.5" style="11" customWidth="1"/>
    <col min="4" max="4" width="17.625" style="11" customWidth="1"/>
    <col min="5" max="5" width="23.625" style="11" customWidth="1"/>
    <col min="6" max="6" width="25.375" style="11" customWidth="1"/>
    <col min="7" max="16384" width="9" style="11"/>
  </cols>
  <sheetData>
    <row r="1" spans="1:7" s="22" customFormat="1" ht="24.95" customHeight="1">
      <c r="A1" s="12" t="s">
        <v>145</v>
      </c>
      <c r="B1" s="13">
        <f>基础信息!B6</f>
        <v>0</v>
      </c>
      <c r="E1" s="25"/>
    </row>
    <row r="2" spans="1:7" s="22" customFormat="1" ht="24.95" customHeight="1">
      <c r="A2" s="12" t="s">
        <v>147</v>
      </c>
      <c r="B2" s="13">
        <f>基础信息!B9</f>
        <v>0</v>
      </c>
    </row>
    <row r="3" spans="1:7" s="128" customFormat="1" ht="24.95" customHeight="1">
      <c r="A3" s="74" t="s">
        <v>148</v>
      </c>
      <c r="B3" s="74" t="s">
        <v>1537</v>
      </c>
      <c r="C3" s="22"/>
      <c r="D3" s="22"/>
      <c r="E3" s="22"/>
    </row>
    <row r="4" spans="1:7" s="216" customFormat="1" ht="24.95" customHeight="1">
      <c r="A4" s="220" t="s">
        <v>1538</v>
      </c>
      <c r="B4" s="221"/>
      <c r="C4" s="221"/>
      <c r="D4" s="221"/>
    </row>
    <row r="5" spans="1:7" s="217" customFormat="1" ht="24.95" customHeight="1">
      <c r="A5" s="181" t="s">
        <v>943</v>
      </c>
      <c r="B5" s="181" t="s">
        <v>944</v>
      </c>
      <c r="C5" s="181" t="s">
        <v>1144</v>
      </c>
      <c r="D5" s="221"/>
    </row>
    <row r="6" spans="1:7" s="218" customFormat="1" ht="20.100000000000001" customHeight="1">
      <c r="A6" s="182" t="s">
        <v>1539</v>
      </c>
      <c r="B6" s="222"/>
      <c r="C6" s="222"/>
      <c r="D6" s="223"/>
    </row>
    <row r="7" spans="1:7" s="218" customFormat="1" ht="20.100000000000001" customHeight="1">
      <c r="A7" s="182" t="s">
        <v>1374</v>
      </c>
      <c r="B7" s="222"/>
      <c r="C7" s="222"/>
      <c r="D7" s="223"/>
    </row>
    <row r="8" spans="1:7" s="218" customFormat="1" ht="38.25" customHeight="1">
      <c r="A8" s="182" t="s">
        <v>1540</v>
      </c>
      <c r="B8" s="222"/>
      <c r="C8" s="222"/>
      <c r="D8" s="223"/>
    </row>
    <row r="9" spans="1:7" s="218" customFormat="1" ht="20.100000000000001" customHeight="1">
      <c r="A9" s="182" t="s">
        <v>1541</v>
      </c>
      <c r="B9" s="222"/>
      <c r="C9" s="222"/>
      <c r="D9" s="223"/>
      <c r="G9" s="9"/>
    </row>
    <row r="10" spans="1:7" s="218" customFormat="1" ht="20.100000000000001" customHeight="1">
      <c r="A10" s="182" t="s">
        <v>953</v>
      </c>
      <c r="B10" s="224">
        <f>SUM(B6:B9)</f>
        <v>0</v>
      </c>
      <c r="C10" s="224">
        <f>SUM(C6:C9)</f>
        <v>0</v>
      </c>
      <c r="D10" s="223"/>
    </row>
    <row r="11" spans="1:7" s="218" customFormat="1" ht="28.5" customHeight="1">
      <c r="A11" s="182" t="s">
        <v>1542</v>
      </c>
      <c r="B11" s="222"/>
      <c r="C11" s="222"/>
      <c r="D11" s="223"/>
    </row>
    <row r="12" spans="1:7" s="218" customFormat="1" ht="20.100000000000001" customHeight="1">
      <c r="A12" s="182" t="s">
        <v>937</v>
      </c>
      <c r="B12" s="224">
        <f>B10-B11</f>
        <v>0</v>
      </c>
      <c r="C12" s="224">
        <f>C10-C11</f>
        <v>0</v>
      </c>
      <c r="D12" s="223"/>
    </row>
    <row r="13" spans="1:7" s="189" customFormat="1" ht="20.100000000000001" customHeight="1">
      <c r="A13" s="225" t="s">
        <v>649</v>
      </c>
      <c r="B13" s="226">
        <f>'RP 006'!E108</f>
        <v>0</v>
      </c>
      <c r="C13" s="193"/>
    </row>
    <row r="14" spans="1:7" s="189" customFormat="1" ht="20.100000000000001" customHeight="1">
      <c r="A14" s="225"/>
      <c r="B14" s="226">
        <f>B12-B13</f>
        <v>0</v>
      </c>
      <c r="C14" s="193"/>
    </row>
    <row r="15" spans="1:7" s="189" customFormat="1" ht="20.100000000000001" customHeight="1">
      <c r="A15" s="227"/>
      <c r="B15" s="227" t="str">
        <f>IF(B14=0,"OK","NO")</f>
        <v>OK</v>
      </c>
      <c r="C15" s="202"/>
    </row>
    <row r="16" spans="1:7" s="218" customFormat="1" ht="20.100000000000001" customHeight="1">
      <c r="A16" s="228" t="s">
        <v>1543</v>
      </c>
      <c r="B16" s="223"/>
      <c r="C16" s="223"/>
      <c r="D16" s="223"/>
    </row>
    <row r="17" spans="1:4" s="218" customFormat="1" ht="20.100000000000001" customHeight="1">
      <c r="A17" s="228" t="s">
        <v>1544</v>
      </c>
      <c r="B17" s="223"/>
      <c r="C17" s="223"/>
      <c r="D17" s="223"/>
    </row>
    <row r="18" spans="1:4" s="218" customFormat="1" ht="20.100000000000001" customHeight="1">
      <c r="A18" s="229" t="s">
        <v>1545</v>
      </c>
      <c r="B18" s="223"/>
      <c r="C18" s="223"/>
      <c r="D18" s="223"/>
    </row>
    <row r="19" spans="1:4" s="218" customFormat="1" ht="20.100000000000001" customHeight="1">
      <c r="A19" s="230" t="s">
        <v>1546</v>
      </c>
      <c r="B19" s="223"/>
      <c r="C19" s="223"/>
      <c r="D19" s="223"/>
    </row>
    <row r="20" spans="1:4" s="218" customFormat="1" ht="20.100000000000001" customHeight="1">
      <c r="A20" s="231" t="s">
        <v>1547</v>
      </c>
      <c r="B20" s="231" t="s">
        <v>1548</v>
      </c>
      <c r="C20" s="231" t="s">
        <v>1549</v>
      </c>
      <c r="D20" s="223"/>
    </row>
    <row r="21" spans="1:4" s="218" customFormat="1" ht="20.100000000000001" customHeight="1">
      <c r="A21" s="232" t="s">
        <v>1077</v>
      </c>
      <c r="B21" s="233"/>
      <c r="C21" s="233"/>
      <c r="D21" s="223"/>
    </row>
    <row r="22" spans="1:4" s="218" customFormat="1" ht="31.5" customHeight="1">
      <c r="A22" s="232" t="s">
        <v>1550</v>
      </c>
      <c r="B22" s="233"/>
      <c r="C22" s="233"/>
      <c r="D22" s="223"/>
    </row>
    <row r="23" spans="1:4" s="218" customFormat="1" ht="20.100000000000001" customHeight="1">
      <c r="A23" s="234" t="s">
        <v>1551</v>
      </c>
      <c r="B23" s="233"/>
      <c r="C23" s="233"/>
      <c r="D23" s="223"/>
    </row>
    <row r="24" spans="1:4" s="218" customFormat="1" ht="20.100000000000001" customHeight="1">
      <c r="A24" s="234" t="s">
        <v>1552</v>
      </c>
      <c r="B24" s="233"/>
      <c r="C24" s="233"/>
      <c r="D24" s="223"/>
    </row>
    <row r="25" spans="1:4" s="218" customFormat="1" ht="20.100000000000001" customHeight="1">
      <c r="A25" s="234" t="s">
        <v>1553</v>
      </c>
      <c r="B25" s="233"/>
      <c r="C25" s="233"/>
      <c r="D25" s="223"/>
    </row>
    <row r="26" spans="1:4" s="218" customFormat="1" ht="20.100000000000001" customHeight="1">
      <c r="A26" s="234" t="s">
        <v>1554</v>
      </c>
      <c r="B26" s="233"/>
      <c r="C26" s="233"/>
      <c r="D26" s="223"/>
    </row>
    <row r="27" spans="1:4" s="218" customFormat="1" ht="27" customHeight="1">
      <c r="A27" s="232" t="s">
        <v>1555</v>
      </c>
      <c r="B27" s="233"/>
      <c r="C27" s="233"/>
      <c r="D27" s="223"/>
    </row>
    <row r="28" spans="1:4" s="218" customFormat="1" ht="20.100000000000001" customHeight="1">
      <c r="A28" s="234" t="s">
        <v>1556</v>
      </c>
      <c r="B28" s="233"/>
      <c r="C28" s="233"/>
      <c r="D28" s="223"/>
    </row>
    <row r="29" spans="1:4" s="218" customFormat="1" ht="20.100000000000001" customHeight="1">
      <c r="A29" s="235"/>
      <c r="B29" s="182"/>
      <c r="C29" s="182"/>
      <c r="D29" s="223"/>
    </row>
    <row r="30" spans="1:4" s="218" customFormat="1" ht="20.100000000000001" customHeight="1">
      <c r="A30" s="235"/>
      <c r="B30" s="182"/>
      <c r="C30" s="182"/>
      <c r="D30" s="223"/>
    </row>
    <row r="31" spans="1:4" s="218" customFormat="1" ht="20.100000000000001" customHeight="1">
      <c r="A31" s="232" t="s">
        <v>1557</v>
      </c>
      <c r="B31" s="233"/>
      <c r="C31" s="233"/>
      <c r="D31" s="223"/>
    </row>
    <row r="32" spans="1:4" s="218" customFormat="1" ht="20.100000000000001" customHeight="1">
      <c r="A32" s="234" t="s">
        <v>1558</v>
      </c>
      <c r="B32" s="233"/>
      <c r="C32" s="233"/>
      <c r="D32" s="223"/>
    </row>
    <row r="33" spans="1:4" s="218" customFormat="1" ht="20.100000000000001" customHeight="1">
      <c r="A33" s="234" t="s">
        <v>1559</v>
      </c>
      <c r="B33" s="233"/>
      <c r="C33" s="233"/>
      <c r="D33" s="223"/>
    </row>
    <row r="34" spans="1:4" s="218" customFormat="1" ht="20.100000000000001" customHeight="1">
      <c r="A34" s="234" t="s">
        <v>896</v>
      </c>
      <c r="B34" s="233"/>
      <c r="C34" s="233"/>
      <c r="D34" s="223"/>
    </row>
    <row r="35" spans="1:4" s="218" customFormat="1" ht="20.100000000000001" customHeight="1">
      <c r="A35" s="232" t="s">
        <v>1560</v>
      </c>
      <c r="B35" s="233"/>
      <c r="C35" s="233"/>
      <c r="D35" s="223"/>
    </row>
    <row r="36" spans="1:4" s="218" customFormat="1" ht="20.100000000000001" customHeight="1">
      <c r="A36" s="236"/>
      <c r="B36" s="223"/>
      <c r="C36" s="223"/>
      <c r="D36" s="223"/>
    </row>
    <row r="37" spans="1:4" s="218" customFormat="1" ht="20.100000000000001" customHeight="1">
      <c r="A37" s="237" t="s">
        <v>1561</v>
      </c>
      <c r="B37" s="223"/>
      <c r="C37" s="223"/>
      <c r="D37" s="223"/>
    </row>
    <row r="38" spans="1:4" s="218" customFormat="1" ht="20.100000000000001" customHeight="1">
      <c r="A38" s="231" t="s">
        <v>1547</v>
      </c>
      <c r="B38" s="231" t="s">
        <v>1548</v>
      </c>
      <c r="C38" s="231" t="s">
        <v>1549</v>
      </c>
      <c r="D38" s="223"/>
    </row>
    <row r="39" spans="1:4" s="218" customFormat="1" ht="20.100000000000001" customHeight="1">
      <c r="A39" s="232" t="s">
        <v>1077</v>
      </c>
      <c r="B39" s="233"/>
      <c r="C39" s="233"/>
      <c r="D39" s="223"/>
    </row>
    <row r="40" spans="1:4" s="218" customFormat="1" ht="31.5" customHeight="1">
      <c r="A40" s="232" t="s">
        <v>1550</v>
      </c>
      <c r="B40" s="233"/>
      <c r="C40" s="233"/>
      <c r="D40" s="223"/>
    </row>
    <row r="41" spans="1:4" s="218" customFormat="1" ht="20.100000000000001" customHeight="1">
      <c r="A41" s="234" t="s">
        <v>1562</v>
      </c>
      <c r="B41" s="233"/>
      <c r="C41" s="233"/>
      <c r="D41" s="223"/>
    </row>
    <row r="42" spans="1:4" s="218" customFormat="1" ht="20.100000000000001" customHeight="1">
      <c r="A42" s="234" t="s">
        <v>1563</v>
      </c>
      <c r="B42" s="233"/>
      <c r="C42" s="233"/>
      <c r="D42" s="223"/>
    </row>
    <row r="43" spans="1:4" s="218" customFormat="1" ht="31.5" customHeight="1">
      <c r="A43" s="232" t="s">
        <v>1555</v>
      </c>
      <c r="B43" s="233"/>
      <c r="C43" s="233"/>
      <c r="D43" s="223"/>
    </row>
    <row r="44" spans="1:4" s="218" customFormat="1" ht="35.25" customHeight="1">
      <c r="A44" s="234" t="s">
        <v>1564</v>
      </c>
      <c r="B44" s="233"/>
      <c r="C44" s="233"/>
      <c r="D44" s="223"/>
    </row>
    <row r="45" spans="1:4" s="218" customFormat="1" ht="39.75" customHeight="1">
      <c r="A45" s="234" t="s">
        <v>1565</v>
      </c>
      <c r="B45" s="233"/>
      <c r="C45" s="233"/>
      <c r="D45" s="223"/>
    </row>
    <row r="46" spans="1:4" s="218" customFormat="1" ht="20.100000000000001" customHeight="1">
      <c r="A46" s="232" t="s">
        <v>1557</v>
      </c>
      <c r="B46" s="233"/>
      <c r="C46" s="233"/>
      <c r="D46" s="223"/>
    </row>
    <row r="47" spans="1:4" s="218" customFormat="1" ht="20.100000000000001" customHeight="1">
      <c r="A47" s="235"/>
      <c r="B47" s="233"/>
      <c r="C47" s="233"/>
      <c r="D47" s="223"/>
    </row>
    <row r="48" spans="1:4" s="218" customFormat="1" ht="20.100000000000001" customHeight="1">
      <c r="A48" s="235"/>
      <c r="B48" s="233"/>
      <c r="C48" s="233"/>
      <c r="D48" s="223"/>
    </row>
    <row r="49" spans="1:4" s="218" customFormat="1" ht="20.100000000000001" customHeight="1">
      <c r="A49" s="234" t="s">
        <v>896</v>
      </c>
      <c r="B49" s="233"/>
      <c r="C49" s="233"/>
      <c r="D49" s="223"/>
    </row>
    <row r="50" spans="1:4" s="218" customFormat="1" ht="20.100000000000001" customHeight="1">
      <c r="A50" s="232" t="s">
        <v>1560</v>
      </c>
      <c r="B50" s="233"/>
      <c r="C50" s="233"/>
      <c r="D50" s="223"/>
    </row>
    <row r="51" spans="1:4" s="218" customFormat="1" ht="20.100000000000001" customHeight="1">
      <c r="A51" s="1363" t="s">
        <v>1566</v>
      </c>
      <c r="B51" s="1363"/>
      <c r="C51" s="1363"/>
      <c r="D51" s="223"/>
    </row>
    <row r="52" spans="1:4" s="218" customFormat="1" ht="20.100000000000001" customHeight="1">
      <c r="A52" s="238" t="s">
        <v>1567</v>
      </c>
      <c r="B52" s="223"/>
      <c r="C52" s="223"/>
      <c r="D52" s="223"/>
    </row>
    <row r="53" spans="1:4" s="218" customFormat="1" ht="20.100000000000001" customHeight="1">
      <c r="A53" s="231" t="s">
        <v>1547</v>
      </c>
      <c r="B53" s="231" t="s">
        <v>1548</v>
      </c>
      <c r="C53" s="231" t="s">
        <v>1549</v>
      </c>
      <c r="D53" s="223"/>
    </row>
    <row r="54" spans="1:4" s="218" customFormat="1" ht="20.100000000000001" customHeight="1">
      <c r="A54" s="239" t="s">
        <v>1568</v>
      </c>
      <c r="B54" s="233"/>
      <c r="C54" s="233"/>
      <c r="D54" s="223"/>
    </row>
    <row r="55" spans="1:4" s="218" customFormat="1" ht="31.5" customHeight="1">
      <c r="A55" s="239" t="s">
        <v>1569</v>
      </c>
      <c r="B55" s="233"/>
      <c r="C55" s="233"/>
      <c r="D55" s="223"/>
    </row>
    <row r="56" spans="1:4" s="218" customFormat="1" ht="31.5" customHeight="1">
      <c r="A56" s="239" t="s">
        <v>1570</v>
      </c>
      <c r="B56" s="233"/>
      <c r="C56" s="233"/>
      <c r="D56" s="223"/>
    </row>
    <row r="57" spans="1:4" s="218" customFormat="1" ht="20.100000000000001" customHeight="1">
      <c r="A57" s="239" t="s">
        <v>1571</v>
      </c>
      <c r="B57" s="233"/>
      <c r="C57" s="233"/>
      <c r="D57" s="223"/>
    </row>
    <row r="58" spans="1:4" s="218" customFormat="1" ht="20.100000000000001" customHeight="1">
      <c r="A58" s="239" t="s">
        <v>1572</v>
      </c>
      <c r="B58" s="233"/>
      <c r="C58" s="233"/>
      <c r="D58" s="223"/>
    </row>
    <row r="59" spans="1:4" s="218" customFormat="1" ht="20.100000000000001" customHeight="1">
      <c r="A59" s="1364" t="s">
        <v>1573</v>
      </c>
      <c r="B59" s="1364"/>
      <c r="C59" s="1364"/>
      <c r="D59" s="223"/>
    </row>
    <row r="60" spans="1:4" s="218" customFormat="1" ht="20.100000000000001" customHeight="1">
      <c r="A60" s="1320" t="s">
        <v>1574</v>
      </c>
      <c r="B60" s="1320"/>
      <c r="C60" s="1320"/>
      <c r="D60" s="223"/>
    </row>
    <row r="61" spans="1:4" s="218" customFormat="1" ht="55.5" customHeight="1">
      <c r="A61" s="1330" t="s">
        <v>1575</v>
      </c>
      <c r="B61" s="1330"/>
      <c r="C61" s="1330"/>
      <c r="D61" s="223"/>
    </row>
    <row r="62" spans="1:4" s="218" customFormat="1" ht="20.100000000000001" customHeight="1">
      <c r="A62" s="242" t="s">
        <v>1576</v>
      </c>
      <c r="B62" s="223"/>
      <c r="C62" s="223"/>
      <c r="D62" s="223"/>
    </row>
    <row r="63" spans="1:4" s="218" customFormat="1" ht="20.100000000000001" customHeight="1">
      <c r="A63" s="243" t="s">
        <v>903</v>
      </c>
      <c r="B63" s="243" t="s">
        <v>1577</v>
      </c>
      <c r="C63" s="223"/>
      <c r="D63" s="223"/>
    </row>
    <row r="64" spans="1:4" s="218" customFormat="1" ht="20.100000000000001" customHeight="1">
      <c r="A64" s="244" t="s">
        <v>1578</v>
      </c>
      <c r="B64" s="245"/>
      <c r="C64" s="223"/>
      <c r="D64" s="223"/>
    </row>
    <row r="65" spans="1:4" s="218" customFormat="1" ht="20.100000000000001" customHeight="1">
      <c r="A65" s="244" t="s">
        <v>1579</v>
      </c>
      <c r="B65" s="245"/>
      <c r="C65" s="223"/>
      <c r="D65" s="223"/>
    </row>
    <row r="66" spans="1:4" s="218" customFormat="1" ht="20.100000000000001" customHeight="1">
      <c r="A66" s="244" t="s">
        <v>1580</v>
      </c>
      <c r="B66" s="245"/>
      <c r="C66" s="223"/>
      <c r="D66" s="223"/>
    </row>
    <row r="67" spans="1:4" s="218" customFormat="1" ht="20.100000000000001" customHeight="1">
      <c r="A67" s="244" t="s">
        <v>1581</v>
      </c>
      <c r="B67" s="245"/>
      <c r="C67" s="223"/>
      <c r="D67" s="223"/>
    </row>
    <row r="68" spans="1:4" s="218" customFormat="1" ht="20.100000000000001" customHeight="1">
      <c r="A68" s="244" t="s">
        <v>907</v>
      </c>
      <c r="B68" s="244"/>
      <c r="C68" s="223"/>
      <c r="D68" s="223"/>
    </row>
    <row r="69" spans="1:4" s="218" customFormat="1" ht="20.100000000000001" customHeight="1">
      <c r="A69" s="246" t="s">
        <v>1582</v>
      </c>
      <c r="B69" s="223"/>
      <c r="C69" s="223"/>
      <c r="D69" s="223"/>
    </row>
    <row r="70" spans="1:4" s="218" customFormat="1" ht="20.100000000000001" customHeight="1">
      <c r="A70" s="1312" t="s">
        <v>943</v>
      </c>
      <c r="B70" s="1312" t="s">
        <v>1583</v>
      </c>
      <c r="C70" s="1312"/>
      <c r="D70" s="223"/>
    </row>
    <row r="71" spans="1:4" s="218" customFormat="1" ht="20.100000000000001" customHeight="1">
      <c r="A71" s="1312"/>
      <c r="B71" s="247" t="s">
        <v>944</v>
      </c>
      <c r="C71" s="247" t="s">
        <v>1144</v>
      </c>
      <c r="D71" s="223"/>
    </row>
    <row r="72" spans="1:4" s="218" customFormat="1" ht="20.100000000000001" customHeight="1">
      <c r="A72" s="248" t="s">
        <v>1584</v>
      </c>
      <c r="B72" s="248"/>
      <c r="C72" s="248"/>
      <c r="D72" s="223"/>
    </row>
    <row r="73" spans="1:4" s="218" customFormat="1" ht="20.100000000000001" customHeight="1">
      <c r="A73" s="248" t="s">
        <v>1585</v>
      </c>
      <c r="B73" s="248"/>
      <c r="C73" s="248"/>
      <c r="D73" s="223"/>
    </row>
    <row r="74" spans="1:4" s="218" customFormat="1" ht="20.100000000000001" customHeight="1">
      <c r="A74" s="248" t="s">
        <v>1586</v>
      </c>
      <c r="B74" s="248"/>
      <c r="C74" s="248"/>
      <c r="D74" s="223"/>
    </row>
    <row r="75" spans="1:4" s="218" customFormat="1" ht="20.100000000000001" customHeight="1">
      <c r="A75" s="248" t="s">
        <v>1587</v>
      </c>
      <c r="B75" s="248"/>
      <c r="C75" s="248"/>
      <c r="D75" s="223"/>
    </row>
    <row r="76" spans="1:4" s="218" customFormat="1" ht="20.100000000000001" customHeight="1">
      <c r="A76" s="248" t="s">
        <v>896</v>
      </c>
      <c r="B76" s="248"/>
      <c r="C76" s="248"/>
      <c r="D76" s="223"/>
    </row>
    <row r="77" spans="1:4" s="218" customFormat="1" ht="20.100000000000001" customHeight="1">
      <c r="A77" s="248" t="s">
        <v>1588</v>
      </c>
      <c r="B77" s="248"/>
      <c r="C77" s="248"/>
      <c r="D77" s="223"/>
    </row>
    <row r="78" spans="1:4" s="218" customFormat="1" ht="20.100000000000001" customHeight="1">
      <c r="A78" s="248" t="s">
        <v>1586</v>
      </c>
      <c r="B78" s="248"/>
      <c r="C78" s="248"/>
      <c r="D78" s="223"/>
    </row>
    <row r="79" spans="1:4" s="218" customFormat="1" ht="20.100000000000001" customHeight="1">
      <c r="A79" s="248" t="s">
        <v>1587</v>
      </c>
      <c r="B79" s="248"/>
      <c r="C79" s="248"/>
      <c r="D79" s="223"/>
    </row>
    <row r="80" spans="1:4" s="218" customFormat="1" ht="20.100000000000001" customHeight="1">
      <c r="A80" s="248" t="s">
        <v>896</v>
      </c>
      <c r="B80" s="248"/>
      <c r="C80" s="248"/>
      <c r="D80" s="223"/>
    </row>
    <row r="81" spans="1:4" s="218" customFormat="1" ht="20.100000000000001" customHeight="1">
      <c r="A81" s="248" t="s">
        <v>906</v>
      </c>
      <c r="B81" s="248"/>
      <c r="C81" s="248"/>
      <c r="D81" s="223"/>
    </row>
    <row r="82" spans="1:4" s="218" customFormat="1" ht="20.100000000000001" customHeight="1">
      <c r="A82" s="249" t="s">
        <v>1589</v>
      </c>
      <c r="B82" s="249"/>
      <c r="C82" s="249"/>
      <c r="D82" s="223"/>
    </row>
    <row r="83" spans="1:4" s="218" customFormat="1" ht="20.100000000000001" customHeight="1">
      <c r="A83" s="1320" t="s">
        <v>1590</v>
      </c>
      <c r="B83" s="1320"/>
      <c r="C83" s="1320"/>
      <c r="D83" s="223"/>
    </row>
    <row r="84" spans="1:4" s="218" customFormat="1" ht="20.100000000000001" customHeight="1">
      <c r="A84" s="1320" t="s">
        <v>1591</v>
      </c>
      <c r="B84" s="1320"/>
      <c r="C84" s="1320"/>
      <c r="D84" s="223"/>
    </row>
    <row r="85" spans="1:4" s="218" customFormat="1" ht="20.100000000000001" customHeight="1">
      <c r="A85" s="246" t="s">
        <v>1592</v>
      </c>
      <c r="B85" s="223"/>
      <c r="C85" s="223"/>
      <c r="D85" s="223"/>
    </row>
    <row r="86" spans="1:4" s="218" customFormat="1" ht="20.100000000000001" customHeight="1">
      <c r="A86" s="231" t="s">
        <v>903</v>
      </c>
      <c r="B86" s="231" t="s">
        <v>798</v>
      </c>
      <c r="C86" s="231" t="s">
        <v>1248</v>
      </c>
      <c r="D86" s="223"/>
    </row>
    <row r="87" spans="1:4" s="218" customFormat="1" ht="20.100000000000001" customHeight="1">
      <c r="A87" s="248" t="s">
        <v>1593</v>
      </c>
      <c r="B87" s="182"/>
      <c r="C87" s="182"/>
      <c r="D87" s="223"/>
    </row>
    <row r="88" spans="1:4" s="218" customFormat="1" ht="20.100000000000001" customHeight="1">
      <c r="A88" s="248" t="s">
        <v>1594</v>
      </c>
      <c r="B88" s="182"/>
      <c r="C88" s="182"/>
      <c r="D88" s="223"/>
    </row>
    <row r="89" spans="1:4" s="218" customFormat="1" ht="20.100000000000001" customHeight="1">
      <c r="A89" s="248" t="s">
        <v>1595</v>
      </c>
      <c r="B89" s="182"/>
      <c r="C89" s="182"/>
      <c r="D89" s="223"/>
    </row>
    <row r="90" spans="1:4" s="218" customFormat="1" ht="20.100000000000001" customHeight="1">
      <c r="A90" s="248" t="s">
        <v>1596</v>
      </c>
      <c r="B90" s="182"/>
      <c r="C90" s="182"/>
      <c r="D90" s="223"/>
    </row>
    <row r="91" spans="1:4" s="218" customFormat="1" ht="20.100000000000001" customHeight="1">
      <c r="A91" s="248" t="s">
        <v>1597</v>
      </c>
      <c r="B91" s="182"/>
      <c r="C91" s="182"/>
      <c r="D91" s="223"/>
    </row>
    <row r="92" spans="1:4" s="218" customFormat="1" ht="20.100000000000001" customHeight="1">
      <c r="A92" s="248" t="s">
        <v>896</v>
      </c>
      <c r="B92" s="182"/>
      <c r="C92" s="182"/>
      <c r="D92" s="223"/>
    </row>
    <row r="93" spans="1:4" s="218" customFormat="1" ht="20.100000000000001" customHeight="1">
      <c r="A93" s="246" t="s">
        <v>1598</v>
      </c>
      <c r="B93" s="223"/>
      <c r="C93" s="223"/>
      <c r="D93" s="223"/>
    </row>
    <row r="94" spans="1:4" s="218" customFormat="1" ht="20.100000000000001" customHeight="1">
      <c r="A94" s="1365" t="s">
        <v>1214</v>
      </c>
      <c r="B94" s="1365" t="s">
        <v>1599</v>
      </c>
      <c r="C94" s="1365" t="s">
        <v>1600</v>
      </c>
      <c r="D94" s="1365"/>
    </row>
    <row r="95" spans="1:4" s="218" customFormat="1" ht="20.100000000000001" customHeight="1">
      <c r="A95" s="1365"/>
      <c r="B95" s="1365"/>
      <c r="C95" s="243" t="s">
        <v>1601</v>
      </c>
      <c r="D95" s="243" t="s">
        <v>1602</v>
      </c>
    </row>
    <row r="96" spans="1:4" s="218" customFormat="1" ht="20.100000000000001" customHeight="1">
      <c r="A96" s="244" t="s">
        <v>1603</v>
      </c>
      <c r="B96" s="245"/>
      <c r="C96" s="245"/>
      <c r="D96" s="245"/>
    </row>
    <row r="97" spans="1:4" s="218" customFormat="1" ht="20.100000000000001" customHeight="1">
      <c r="A97" s="244" t="s">
        <v>1604</v>
      </c>
      <c r="B97" s="245"/>
      <c r="C97" s="245"/>
      <c r="D97" s="245"/>
    </row>
    <row r="98" spans="1:4" s="218" customFormat="1" ht="20.100000000000001" customHeight="1">
      <c r="A98" s="245" t="s">
        <v>1595</v>
      </c>
      <c r="B98" s="245"/>
      <c r="C98" s="245"/>
      <c r="D98" s="245"/>
    </row>
    <row r="99" spans="1:4" s="218" customFormat="1" ht="20.100000000000001" customHeight="1">
      <c r="A99" s="244" t="s">
        <v>1605</v>
      </c>
      <c r="B99" s="245"/>
      <c r="C99" s="245"/>
      <c r="D99" s="245"/>
    </row>
    <row r="100" spans="1:4" s="218" customFormat="1" ht="20.100000000000001" customHeight="1">
      <c r="A100" s="244" t="s">
        <v>1606</v>
      </c>
      <c r="B100" s="245"/>
      <c r="C100" s="245"/>
      <c r="D100" s="245"/>
    </row>
    <row r="101" spans="1:4" s="218" customFormat="1" ht="20.100000000000001" customHeight="1">
      <c r="A101" s="238" t="s">
        <v>1042</v>
      </c>
      <c r="B101" s="223"/>
      <c r="C101" s="223"/>
      <c r="D101" s="223"/>
    </row>
    <row r="102" spans="1:4" s="218" customFormat="1" ht="28.5" customHeight="1">
      <c r="A102" s="1330" t="s">
        <v>1607</v>
      </c>
      <c r="B102" s="1330"/>
      <c r="C102" s="1330"/>
      <c r="D102" s="1330"/>
    </row>
    <row r="103" spans="1:4" s="218" customFormat="1" ht="20.100000000000001" customHeight="1">
      <c r="A103" s="1330" t="s">
        <v>1608</v>
      </c>
      <c r="B103" s="1330"/>
      <c r="C103" s="1330"/>
      <c r="D103" s="1330"/>
    </row>
    <row r="104" spans="1:4" s="218" customFormat="1" ht="20.100000000000001" customHeight="1">
      <c r="A104" s="1320" t="s">
        <v>1609</v>
      </c>
      <c r="B104" s="1320"/>
      <c r="C104" s="1320"/>
      <c r="D104" s="1320"/>
    </row>
    <row r="105" spans="1:4" s="219" customFormat="1" ht="18" customHeight="1"/>
  </sheetData>
  <mergeCells count="14">
    <mergeCell ref="A104:D104"/>
    <mergeCell ref="A70:A71"/>
    <mergeCell ref="A94:A95"/>
    <mergeCell ref="B94:B95"/>
    <mergeCell ref="A83:C83"/>
    <mergeCell ref="A84:C84"/>
    <mergeCell ref="C94:D94"/>
    <mergeCell ref="A102:D102"/>
    <mergeCell ref="A103:D103"/>
    <mergeCell ref="A51:C51"/>
    <mergeCell ref="A59:C59"/>
    <mergeCell ref="A60:C60"/>
    <mergeCell ref="A61:C61"/>
    <mergeCell ref="B70:C70"/>
  </mergeCells>
  <phoneticPr fontId="76" type="noConversion"/>
  <pageMargins left="0.70763888888888904" right="0.70763888888888904" top="0.74791666666666701" bottom="0.74791666666666701" header="0.31388888888888899" footer="0.31388888888888899"/>
  <pageSetup paperSize="9" scale="87" orientation="portrait" blackAndWhite="1" horizontalDpi="1200" verticalDpi="1200" r:id="rId1"/>
  <rowBreaks count="2" manualBreakCount="2">
    <brk id="36" max="3" man="1"/>
    <brk id="68" max="3" man="1"/>
  </rowBreak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view="pageBreakPreview" zoomScaleNormal="100" zoomScaleSheetLayoutView="100" workbookViewId="0">
      <selection activeCell="B14" sqref="B14"/>
    </sheetView>
  </sheetViews>
  <sheetFormatPr defaultColWidth="9" defaultRowHeight="20.100000000000001" customHeight="1"/>
  <cols>
    <col min="1" max="1" width="20" style="11" customWidth="1"/>
    <col min="2" max="5" width="24.625" style="11" customWidth="1"/>
    <col min="6" max="6" width="24" style="11" customWidth="1"/>
    <col min="7" max="16384" width="9" style="11"/>
  </cols>
  <sheetData>
    <row r="1" spans="1:7" s="22" customFormat="1" ht="20.100000000000001" customHeight="1">
      <c r="A1" s="12" t="s">
        <v>145</v>
      </c>
      <c r="B1" s="13">
        <f>基础信息!B6</f>
        <v>0</v>
      </c>
      <c r="E1" s="25"/>
    </row>
    <row r="2" spans="1:7" s="22" customFormat="1" ht="20.100000000000001" customHeight="1">
      <c r="A2" s="12" t="s">
        <v>147</v>
      </c>
      <c r="B2" s="13">
        <f>基础信息!B9</f>
        <v>0</v>
      </c>
    </row>
    <row r="3" spans="1:7" s="128" customFormat="1" ht="20.100000000000001" customHeight="1">
      <c r="A3" s="74" t="s">
        <v>148</v>
      </c>
      <c r="B3" s="74" t="s">
        <v>1610</v>
      </c>
      <c r="C3" s="22"/>
      <c r="D3" s="22"/>
      <c r="E3" s="22"/>
      <c r="F3" s="22"/>
    </row>
    <row r="4" spans="1:7" s="188" customFormat="1" ht="12.75">
      <c r="A4" s="209" t="s">
        <v>754</v>
      </c>
      <c r="B4" s="190" t="s">
        <v>798</v>
      </c>
      <c r="C4" s="190" t="s">
        <v>1611</v>
      </c>
    </row>
    <row r="5" spans="1:7" s="208" customFormat="1" ht="20.100000000000001" customHeight="1">
      <c r="A5" s="192" t="s">
        <v>1612</v>
      </c>
      <c r="B5" s="193"/>
      <c r="C5" s="196"/>
    </row>
    <row r="6" spans="1:7" s="208" customFormat="1" ht="20.100000000000001" customHeight="1">
      <c r="A6" s="196" t="s">
        <v>1613</v>
      </c>
      <c r="B6" s="195"/>
      <c r="C6" s="196"/>
    </row>
    <row r="7" spans="1:7" s="208" customFormat="1" ht="20.100000000000001" customHeight="1">
      <c r="A7" s="196" t="s">
        <v>1614</v>
      </c>
      <c r="B7" s="195"/>
      <c r="C7" s="196"/>
    </row>
    <row r="8" spans="1:7" s="208" customFormat="1" ht="20.100000000000001" customHeight="1">
      <c r="A8" s="196" t="s">
        <v>1615</v>
      </c>
      <c r="B8" s="195"/>
      <c r="C8" s="196"/>
    </row>
    <row r="9" spans="1:7" s="208" customFormat="1" ht="20.100000000000001" customHeight="1">
      <c r="A9" s="196" t="s">
        <v>1616</v>
      </c>
      <c r="B9" s="195"/>
      <c r="C9" s="196"/>
      <c r="G9" s="210"/>
    </row>
    <row r="10" spans="1:7" s="208" customFormat="1" ht="20.100000000000001" customHeight="1">
      <c r="A10" s="196" t="s">
        <v>1617</v>
      </c>
      <c r="B10" s="195"/>
      <c r="C10" s="196"/>
    </row>
    <row r="11" spans="1:7" s="208" customFormat="1" ht="20.100000000000001" customHeight="1">
      <c r="A11" s="971" t="s">
        <v>2122</v>
      </c>
      <c r="B11" s="193"/>
      <c r="C11" s="196"/>
    </row>
    <row r="12" spans="1:7" s="208" customFormat="1" ht="20.100000000000001" customHeight="1">
      <c r="A12" s="196" t="s">
        <v>456</v>
      </c>
      <c r="B12" s="193"/>
      <c r="C12" s="196"/>
    </row>
    <row r="13" spans="1:7" s="208" customFormat="1" ht="20.100000000000001" customHeight="1">
      <c r="A13" s="192" t="s">
        <v>1254</v>
      </c>
      <c r="B13" s="194">
        <f>SUM(B5:B12)</f>
        <v>0</v>
      </c>
      <c r="C13" s="192"/>
    </row>
    <row r="14" spans="1:7" s="116" customFormat="1" ht="20.100000000000001" customHeight="1">
      <c r="A14" s="162" t="s">
        <v>1200</v>
      </c>
      <c r="B14" s="211">
        <f>'RP 006'!E110</f>
        <v>0</v>
      </c>
      <c r="C14" s="105"/>
      <c r="D14" s="212"/>
    </row>
    <row r="15" spans="1:7" s="116" customFormat="1" ht="20.100000000000001" customHeight="1">
      <c r="A15" s="212"/>
      <c r="B15" s="213">
        <f>E13-B14</f>
        <v>0</v>
      </c>
      <c r="C15" s="11"/>
      <c r="D15" s="212"/>
    </row>
    <row r="16" spans="1:7" s="116" customFormat="1" ht="20.100000000000001" customHeight="1">
      <c r="A16" s="214"/>
      <c r="B16" s="214" t="str">
        <f>IF(B15=0,"OK","NO")</f>
        <v>OK</v>
      </c>
      <c r="C16" s="11"/>
      <c r="D16" s="214"/>
    </row>
    <row r="17" spans="1:5" s="208" customFormat="1" ht="20.100000000000001" customHeight="1">
      <c r="A17" s="215" t="s">
        <v>1618</v>
      </c>
      <c r="B17" s="189"/>
      <c r="C17" s="11"/>
      <c r="D17" s="189"/>
    </row>
    <row r="18" spans="1:5" s="208" customFormat="1" ht="15.75"/>
    <row r="19" spans="1:5" s="208" customFormat="1" ht="33" customHeight="1">
      <c r="A19" s="1366" t="s">
        <v>2123</v>
      </c>
      <c r="B19" s="1366"/>
      <c r="C19" s="1366"/>
      <c r="D19" s="1366"/>
      <c r="E19" s="1366"/>
    </row>
  </sheetData>
  <mergeCells count="1">
    <mergeCell ref="A19:E19"/>
  </mergeCells>
  <phoneticPr fontId="76" type="noConversion"/>
  <pageMargins left="0.51180555555555596" right="0.27500000000000002" top="0.70763888888888904" bottom="0.51180555555555596" header="0.27500000000000002" footer="0.27500000000000002"/>
  <pageSetup paperSize="9" orientation="landscape" blackAndWhite="1"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view="pageBreakPreview" zoomScaleNormal="100" zoomScaleSheetLayoutView="100" workbookViewId="0">
      <selection activeCell="F8" sqref="F8"/>
    </sheetView>
  </sheetViews>
  <sheetFormatPr defaultColWidth="9" defaultRowHeight="20.100000000000001" customHeight="1"/>
  <cols>
    <col min="1" max="1" width="20" style="11" customWidth="1"/>
    <col min="2" max="2" width="24.625" style="11" customWidth="1"/>
    <col min="3" max="6" width="14" style="11" customWidth="1"/>
    <col min="7" max="16384" width="9" style="11"/>
  </cols>
  <sheetData>
    <row r="1" spans="1:7" s="22" customFormat="1" ht="24.95" customHeight="1">
      <c r="A1" s="12" t="s">
        <v>145</v>
      </c>
      <c r="B1" s="13">
        <f>基础信息!B6</f>
        <v>0</v>
      </c>
      <c r="E1" s="25"/>
    </row>
    <row r="2" spans="1:7" s="22" customFormat="1" ht="24.95" customHeight="1">
      <c r="A2" s="12" t="s">
        <v>147</v>
      </c>
      <c r="B2" s="13">
        <f>基础信息!B9</f>
        <v>0</v>
      </c>
    </row>
    <row r="3" spans="1:7" s="128" customFormat="1" ht="24.95" customHeight="1">
      <c r="A3" s="74" t="s">
        <v>148</v>
      </c>
      <c r="B3" s="74" t="s">
        <v>1619</v>
      </c>
      <c r="C3" s="22"/>
      <c r="D3" s="22"/>
      <c r="E3" s="22"/>
      <c r="F3" s="22"/>
    </row>
    <row r="4" spans="1:7" s="188" customFormat="1" ht="24.95" customHeight="1">
      <c r="A4" s="190" t="s">
        <v>903</v>
      </c>
      <c r="B4" s="190" t="s">
        <v>1248</v>
      </c>
      <c r="C4" s="190" t="s">
        <v>1145</v>
      </c>
      <c r="D4" s="190" t="s">
        <v>1249</v>
      </c>
      <c r="E4" s="190" t="s">
        <v>798</v>
      </c>
      <c r="F4" s="190" t="s">
        <v>1611</v>
      </c>
      <c r="G4" s="191"/>
    </row>
    <row r="5" spans="1:7" s="189" customFormat="1" ht="20.100000000000001" customHeight="1">
      <c r="A5" s="192" t="s">
        <v>1620</v>
      </c>
      <c r="B5" s="193"/>
      <c r="C5" s="193"/>
      <c r="D5" s="193"/>
      <c r="E5" s="194">
        <f>B5+C5-D5</f>
        <v>0</v>
      </c>
      <c r="F5" s="193"/>
    </row>
    <row r="6" spans="1:7" s="189" customFormat="1" ht="20.100000000000001" customHeight="1">
      <c r="A6" s="192"/>
      <c r="B6" s="195"/>
      <c r="C6" s="193"/>
      <c r="D6" s="193"/>
      <c r="E6" s="194">
        <f>B6+C6-D6</f>
        <v>0</v>
      </c>
      <c r="F6" s="195"/>
    </row>
    <row r="7" spans="1:7" s="189" customFormat="1" ht="20.100000000000001" customHeight="1">
      <c r="A7" s="196" t="s">
        <v>658</v>
      </c>
      <c r="B7" s="197">
        <f>SUM(B5:B6)</f>
        <v>0</v>
      </c>
      <c r="C7" s="197">
        <f t="shared" ref="C7:F7" si="0">SUM(C5:C6)</f>
        <v>0</v>
      </c>
      <c r="D7" s="197">
        <f t="shared" si="0"/>
        <v>0</v>
      </c>
      <c r="E7" s="197">
        <f t="shared" si="0"/>
        <v>0</v>
      </c>
      <c r="F7" s="197">
        <f t="shared" si="0"/>
        <v>0</v>
      </c>
    </row>
    <row r="8" spans="1:7" s="189" customFormat="1" ht="20.100000000000001" customHeight="1">
      <c r="A8" s="118" t="s">
        <v>649</v>
      </c>
      <c r="B8" s="198"/>
      <c r="C8" s="193"/>
      <c r="D8" s="193"/>
      <c r="E8" s="195"/>
      <c r="F8" s="119">
        <f>'RP 006'!E111</f>
        <v>0</v>
      </c>
    </row>
    <row r="9" spans="1:7" s="189" customFormat="1" ht="20.100000000000001" customHeight="1">
      <c r="A9" s="115"/>
      <c r="B9" s="199"/>
      <c r="C9" s="200"/>
      <c r="D9" s="200"/>
      <c r="E9" s="201"/>
      <c r="F9" s="121">
        <f>E7-F8</f>
        <v>0</v>
      </c>
    </row>
    <row r="10" spans="1:7" s="189" customFormat="1" ht="20.100000000000001" customHeight="1">
      <c r="A10" s="29"/>
      <c r="C10" s="202"/>
      <c r="D10" s="202"/>
      <c r="E10" s="203"/>
      <c r="F10" s="29" t="str">
        <f>IF(F9=0,"OK","NO")</f>
        <v>OK</v>
      </c>
    </row>
    <row r="11" spans="1:7" s="189" customFormat="1" ht="20.100000000000001" customHeight="1">
      <c r="A11" s="203"/>
      <c r="B11" s="203"/>
      <c r="C11" s="202"/>
      <c r="D11" s="202"/>
      <c r="E11" s="203"/>
      <c r="F11" s="203"/>
    </row>
    <row r="12" spans="1:7" s="189" customFormat="1" ht="20.100000000000001" customHeight="1">
      <c r="A12" s="204" t="s">
        <v>1424</v>
      </c>
      <c r="B12" s="204"/>
      <c r="C12" s="204"/>
      <c r="D12" s="204"/>
      <c r="E12" s="204"/>
      <c r="F12" s="204"/>
    </row>
    <row r="13" spans="1:7" s="189" customFormat="1" ht="20.100000000000001" customHeight="1">
      <c r="A13" s="1368" t="s">
        <v>1621</v>
      </c>
      <c r="B13" s="1368"/>
      <c r="C13" s="1368"/>
      <c r="D13" s="1368"/>
      <c r="E13" s="1368"/>
      <c r="F13" s="1368"/>
    </row>
    <row r="14" spans="1:7" s="189" customFormat="1" ht="20.100000000000001" customHeight="1">
      <c r="A14" s="1368" t="s">
        <v>1622</v>
      </c>
      <c r="B14" s="1368"/>
      <c r="C14" s="1368"/>
      <c r="D14" s="1368"/>
      <c r="E14" s="1368"/>
      <c r="F14" s="1368"/>
    </row>
    <row r="15" spans="1:7" s="189" customFormat="1" ht="20.100000000000001" customHeight="1">
      <c r="A15" s="1369" t="s">
        <v>1623</v>
      </c>
      <c r="B15" s="1368"/>
      <c r="C15" s="1368"/>
      <c r="D15" s="1368"/>
      <c r="E15" s="1368"/>
      <c r="F15" s="1368"/>
    </row>
    <row r="16" spans="1:7" s="189" customFormat="1" ht="20.100000000000001" customHeight="1">
      <c r="A16" s="1370" t="s">
        <v>1624</v>
      </c>
      <c r="B16" s="1370"/>
      <c r="C16" s="1370"/>
      <c r="D16" s="1370"/>
      <c r="E16" s="1370"/>
      <c r="F16" s="1370"/>
    </row>
    <row r="17" spans="1:7" s="7" customFormat="1" ht="42.75" customHeight="1">
      <c r="A17" s="16" t="s">
        <v>1491</v>
      </c>
      <c r="B17" s="16" t="s">
        <v>965</v>
      </c>
      <c r="C17" s="16" t="s">
        <v>1492</v>
      </c>
      <c r="D17" s="16" t="s">
        <v>1493</v>
      </c>
      <c r="E17" s="16" t="s">
        <v>1625</v>
      </c>
      <c r="F17" s="16" t="s">
        <v>835</v>
      </c>
      <c r="G17" s="16" t="s">
        <v>1494</v>
      </c>
    </row>
    <row r="18" spans="1:7" s="189" customFormat="1" ht="20.100000000000001" customHeight="1">
      <c r="A18" s="94"/>
      <c r="B18" s="205"/>
      <c r="C18" s="205"/>
      <c r="D18" s="205"/>
      <c r="E18" s="205"/>
      <c r="F18" s="205"/>
      <c r="G18" s="205"/>
    </row>
    <row r="19" spans="1:7" s="189" customFormat="1" ht="20.100000000000001" customHeight="1">
      <c r="A19" s="94"/>
      <c r="B19" s="205"/>
      <c r="C19" s="205"/>
      <c r="D19" s="205"/>
      <c r="E19" s="205"/>
      <c r="F19" s="205"/>
      <c r="G19" s="205"/>
    </row>
    <row r="20" spans="1:7" s="9" customFormat="1" ht="20.100000000000001" customHeight="1">
      <c r="A20" s="94"/>
      <c r="B20" s="205"/>
      <c r="C20" s="205"/>
      <c r="D20" s="205"/>
      <c r="E20" s="205"/>
      <c r="F20" s="205"/>
      <c r="G20" s="205"/>
    </row>
    <row r="21" spans="1:7" s="9" customFormat="1" ht="20.100000000000001" customHeight="1">
      <c r="A21" s="94" t="s">
        <v>728</v>
      </c>
      <c r="B21" s="206">
        <f>SUM(B18:B20)</f>
        <v>0</v>
      </c>
      <c r="C21" s="206">
        <f t="shared" ref="C21:G21" si="1">SUM(C18:C20)</f>
        <v>0</v>
      </c>
      <c r="D21" s="206">
        <f t="shared" si="1"/>
        <v>0</v>
      </c>
      <c r="E21" s="206">
        <f t="shared" si="1"/>
        <v>0</v>
      </c>
      <c r="F21" s="206">
        <f t="shared" si="1"/>
        <v>0</v>
      </c>
      <c r="G21" s="206">
        <f t="shared" si="1"/>
        <v>0</v>
      </c>
    </row>
    <row r="22" spans="1:7" s="9" customFormat="1" ht="20.100000000000001" customHeight="1">
      <c r="A22" s="207" t="s">
        <v>677</v>
      </c>
    </row>
    <row r="23" spans="1:7" s="9" customFormat="1" ht="20.100000000000001" customHeight="1">
      <c r="A23" s="1367" t="s">
        <v>1626</v>
      </c>
      <c r="B23" s="1367"/>
      <c r="C23" s="1367"/>
      <c r="D23" s="1367"/>
      <c r="E23" s="1367"/>
      <c r="F23" s="1367"/>
      <c r="G23" s="1367"/>
    </row>
    <row r="24" spans="1:7" s="9" customFormat="1" ht="44.25" customHeight="1">
      <c r="A24" s="1367" t="s">
        <v>1627</v>
      </c>
      <c r="B24" s="1367"/>
      <c r="C24" s="1367"/>
      <c r="D24" s="1367"/>
      <c r="E24" s="1367"/>
      <c r="F24" s="1367"/>
      <c r="G24" s="1367"/>
    </row>
    <row r="25" spans="1:7" s="9" customFormat="1" ht="20.100000000000001" customHeight="1"/>
  </sheetData>
  <mergeCells count="6">
    <mergeCell ref="A24:G24"/>
    <mergeCell ref="A13:F13"/>
    <mergeCell ref="A14:F14"/>
    <mergeCell ref="A15:F15"/>
    <mergeCell ref="A16:F16"/>
    <mergeCell ref="A23:G23"/>
  </mergeCells>
  <phoneticPr fontId="76" type="noConversion"/>
  <pageMargins left="0.70763888888888904" right="0.70763888888888904" top="0.74791666666666701" bottom="0.74791666666666701" header="0.31388888888888899" footer="0.31388888888888899"/>
  <pageSetup paperSize="9" scale="74" orientation="portrait" blackAndWhite="1" horizontalDpi="1200" verticalDpi="1200"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view="pageBreakPreview" zoomScaleNormal="100" zoomScaleSheetLayoutView="100" workbookViewId="0">
      <selection activeCell="B9" sqref="B9"/>
    </sheetView>
  </sheetViews>
  <sheetFormatPr defaultColWidth="9" defaultRowHeight="20.100000000000001" customHeight="1"/>
  <cols>
    <col min="1" max="1" width="20" style="105" customWidth="1"/>
    <col min="2" max="2" width="24.625" style="105" customWidth="1"/>
    <col min="3" max="3" width="22.5" style="105" customWidth="1"/>
    <col min="4" max="6" width="14" style="105" customWidth="1"/>
    <col min="7" max="16384" width="9" style="105"/>
  </cols>
  <sheetData>
    <row r="1" spans="1:6" s="183" customFormat="1" ht="24.95" customHeight="1">
      <c r="A1" s="12" t="s">
        <v>145</v>
      </c>
      <c r="B1" s="13">
        <f>基础信息!B6</f>
        <v>0</v>
      </c>
      <c r="C1" s="184"/>
      <c r="E1" s="185"/>
    </row>
    <row r="2" spans="1:6" s="183" customFormat="1" ht="24.95" customHeight="1">
      <c r="A2" s="12" t="s">
        <v>147</v>
      </c>
      <c r="B2" s="13">
        <f>基础信息!B9</f>
        <v>0</v>
      </c>
      <c r="C2" s="184"/>
    </row>
    <row r="3" spans="1:6" s="107" customFormat="1" ht="24.95" customHeight="1">
      <c r="A3" s="74" t="s">
        <v>148</v>
      </c>
      <c r="B3" s="74" t="s">
        <v>1628</v>
      </c>
      <c r="C3" s="184"/>
      <c r="D3" s="183"/>
      <c r="E3" s="183"/>
      <c r="F3" s="183"/>
    </row>
    <row r="4" spans="1:6" s="97" customFormat="1" ht="24.95" customHeight="1">
      <c r="A4" s="64" t="s">
        <v>318</v>
      </c>
      <c r="B4" s="172" t="s">
        <v>862</v>
      </c>
    </row>
    <row r="5" spans="1:6" s="27" customFormat="1" ht="20.100000000000001" customHeight="1">
      <c r="A5" s="174" t="s">
        <v>2405</v>
      </c>
      <c r="B5" s="139"/>
    </row>
    <row r="6" spans="1:6" s="27" customFormat="1" ht="20.100000000000001" customHeight="1">
      <c r="A6" s="32"/>
      <c r="B6" s="139"/>
    </row>
    <row r="7" spans="1:6" s="27" customFormat="1" ht="20.100000000000001" customHeight="1">
      <c r="A7" s="32"/>
      <c r="B7" s="18"/>
    </row>
    <row r="8" spans="1:6" s="27" customFormat="1" ht="20.100000000000001" customHeight="1">
      <c r="A8" s="32" t="s">
        <v>658</v>
      </c>
      <c r="B8" s="20">
        <f>SUM(B5:B7)</f>
        <v>0</v>
      </c>
    </row>
    <row r="9" spans="1:6" s="27" customFormat="1" ht="20.100000000000001" customHeight="1">
      <c r="A9" s="118" t="s">
        <v>649</v>
      </c>
      <c r="B9" s="119">
        <f>'RP 006'!E113</f>
        <v>0</v>
      </c>
      <c r="D9" s="186"/>
      <c r="E9" s="187"/>
    </row>
    <row r="10" spans="1:6" s="27" customFormat="1" ht="20.100000000000001" customHeight="1">
      <c r="A10" s="118"/>
      <c r="B10" s="119">
        <f>B8-B9</f>
        <v>0</v>
      </c>
      <c r="D10" s="186"/>
      <c r="E10" s="187"/>
    </row>
    <row r="11" spans="1:6" s="27" customFormat="1" ht="20.100000000000001" customHeight="1">
      <c r="A11" s="100"/>
      <c r="B11" s="100" t="str">
        <f>IF(B10=0,"OK","NO")</f>
        <v>OK</v>
      </c>
      <c r="D11" s="186"/>
      <c r="E11" s="187"/>
    </row>
  </sheetData>
  <phoneticPr fontId="76" type="noConversion"/>
  <pageMargins left="0.70763888888888904" right="0.70763888888888904" top="0.74791666666666701" bottom="0.74791666666666701" header="0.31388888888888899" footer="0.31388888888888899"/>
  <pageSetup paperSize="9" orientation="portrait" blackAndWhite="1" horizontalDpi="1200" verticalDpi="1200"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view="pageBreakPreview" topLeftCell="A34" zoomScaleNormal="100" zoomScaleSheetLayoutView="100" workbookViewId="0">
      <selection activeCell="C10" sqref="C10"/>
    </sheetView>
  </sheetViews>
  <sheetFormatPr defaultColWidth="9" defaultRowHeight="20.100000000000001" customHeight="1"/>
  <cols>
    <col min="1" max="1" width="30.5" style="11" customWidth="1"/>
    <col min="2" max="2" width="26.375" style="11" customWidth="1"/>
    <col min="3" max="3" width="20.625" style="11" customWidth="1"/>
    <col min="4" max="4" width="21.125" style="11" customWidth="1"/>
    <col min="5" max="5" width="27.125" style="11" customWidth="1"/>
    <col min="6" max="6" width="23.375" style="11" customWidth="1"/>
    <col min="7" max="9" width="9" style="116"/>
    <col min="10" max="16384" width="9" style="11"/>
  </cols>
  <sheetData>
    <row r="1" spans="1:9" s="22" customFormat="1" ht="24.95" customHeight="1">
      <c r="A1" s="12" t="s">
        <v>145</v>
      </c>
      <c r="B1" s="13">
        <f>基础信息!B6</f>
        <v>0</v>
      </c>
      <c r="E1" s="25"/>
      <c r="G1" s="128"/>
      <c r="H1" s="128"/>
      <c r="I1" s="128"/>
    </row>
    <row r="2" spans="1:9" s="22" customFormat="1" ht="24.95" customHeight="1">
      <c r="A2" s="12" t="s">
        <v>147</v>
      </c>
      <c r="B2" s="13">
        <f>基础信息!B9</f>
        <v>0</v>
      </c>
      <c r="G2" s="128"/>
      <c r="H2" s="128"/>
      <c r="I2" s="128"/>
    </row>
    <row r="3" spans="1:9" s="22" customFormat="1" ht="24.95" customHeight="1">
      <c r="A3" s="74" t="s">
        <v>148</v>
      </c>
      <c r="B3" s="74" t="s">
        <v>1629</v>
      </c>
      <c r="G3" s="128"/>
      <c r="H3" s="128"/>
      <c r="I3" s="128"/>
    </row>
    <row r="4" spans="1:9" s="15" customFormat="1" ht="24.95" customHeight="1">
      <c r="A4" s="15" t="s">
        <v>1630</v>
      </c>
    </row>
    <row r="5" spans="1:9" s="127" customFormat="1" ht="24.95" customHeight="1">
      <c r="A5" s="1272" t="s">
        <v>754</v>
      </c>
      <c r="B5" s="1331" t="s">
        <v>1631</v>
      </c>
      <c r="C5" s="1331"/>
      <c r="D5" s="176"/>
      <c r="E5" s="15"/>
      <c r="F5" s="15"/>
      <c r="G5" s="15"/>
      <c r="H5" s="15"/>
      <c r="I5" s="15"/>
    </row>
    <row r="6" spans="1:9" s="127" customFormat="1" ht="24.95" customHeight="1">
      <c r="A6" s="1272"/>
      <c r="B6" s="175" t="s">
        <v>1632</v>
      </c>
      <c r="C6" s="175" t="s">
        <v>1633</v>
      </c>
      <c r="D6" s="176"/>
      <c r="E6" s="15"/>
      <c r="F6" s="15"/>
      <c r="G6" s="15"/>
      <c r="H6" s="15"/>
      <c r="I6" s="15"/>
    </row>
    <row r="7" spans="1:9" s="9" customFormat="1" ht="20.100000000000001" customHeight="1">
      <c r="A7" s="32" t="s">
        <v>1634</v>
      </c>
      <c r="B7" s="18"/>
      <c r="C7" s="18"/>
      <c r="D7" s="37"/>
      <c r="E7" s="7"/>
      <c r="F7" s="7"/>
      <c r="G7" s="7"/>
      <c r="H7" s="7"/>
      <c r="I7" s="7"/>
    </row>
    <row r="8" spans="1:9" s="9" customFormat="1" ht="20.100000000000001" customHeight="1">
      <c r="A8" s="32" t="s">
        <v>1635</v>
      </c>
      <c r="B8" s="18"/>
      <c r="C8" s="18"/>
      <c r="D8" s="37"/>
      <c r="E8" s="7"/>
      <c r="F8" s="7"/>
      <c r="G8" s="7"/>
      <c r="H8" s="7"/>
      <c r="I8" s="7"/>
    </row>
    <row r="9" spans="1:9" s="9" customFormat="1" ht="20.100000000000001" customHeight="1">
      <c r="A9" s="32" t="s">
        <v>658</v>
      </c>
      <c r="B9" s="18"/>
      <c r="C9" s="20">
        <f>SUM(C7:C8)</f>
        <v>0</v>
      </c>
      <c r="D9" s="37"/>
      <c r="E9" s="120"/>
      <c r="F9" s="7"/>
      <c r="G9" s="7"/>
      <c r="H9" s="7"/>
      <c r="I9" s="7"/>
    </row>
    <row r="10" spans="1:9" s="9" customFormat="1" ht="20.100000000000001" customHeight="1">
      <c r="A10" s="118" t="s">
        <v>649</v>
      </c>
      <c r="B10" s="130"/>
      <c r="C10" s="119">
        <f>'RP 006'!E135</f>
        <v>0</v>
      </c>
      <c r="D10" s="37"/>
      <c r="E10" s="7"/>
      <c r="F10" s="7"/>
      <c r="G10" s="7"/>
      <c r="H10" s="7"/>
      <c r="I10" s="7"/>
    </row>
    <row r="11" spans="1:9" s="9" customFormat="1" ht="20.100000000000001" customHeight="1">
      <c r="A11" s="115"/>
      <c r="B11" s="131"/>
      <c r="C11" s="121">
        <f>C9-C10</f>
        <v>0</v>
      </c>
      <c r="D11" s="37"/>
      <c r="E11" s="7"/>
      <c r="F11" s="7"/>
      <c r="G11" s="7"/>
      <c r="H11" s="7"/>
      <c r="I11" s="7"/>
    </row>
    <row r="12" spans="1:9" s="29" customFormat="1" ht="20.100000000000001" customHeight="1">
      <c r="C12" s="29" t="str">
        <f>IF(C11=0,"OK","NO")</f>
        <v>OK</v>
      </c>
    </row>
    <row r="13" spans="1:9" s="9" customFormat="1" ht="20.100000000000001" customHeight="1">
      <c r="A13" s="33"/>
      <c r="B13" s="33"/>
      <c r="C13" s="33"/>
      <c r="D13" s="33"/>
      <c r="E13" s="33"/>
      <c r="F13" s="7"/>
      <c r="G13" s="7"/>
      <c r="H13" s="7"/>
      <c r="I13" s="7"/>
    </row>
    <row r="14" spans="1:9" s="9" customFormat="1" ht="20.100000000000001" customHeight="1">
      <c r="A14" s="9" t="s">
        <v>1636</v>
      </c>
      <c r="F14" s="7"/>
      <c r="G14" s="7"/>
      <c r="H14" s="7"/>
      <c r="I14" s="7"/>
    </row>
    <row r="15" spans="1:9" s="9" customFormat="1" ht="20.100000000000001" customHeight="1">
      <c r="A15" s="1272" t="s">
        <v>754</v>
      </c>
      <c r="B15" s="1331" t="s">
        <v>1631</v>
      </c>
      <c r="C15" s="1331"/>
      <c r="D15" s="1371"/>
      <c r="E15" s="1371"/>
      <c r="F15" s="7"/>
      <c r="G15" s="7"/>
      <c r="H15" s="7"/>
      <c r="I15" s="7"/>
    </row>
    <row r="16" spans="1:9" s="7" customFormat="1" ht="20.100000000000001" customHeight="1">
      <c r="A16" s="1272"/>
      <c r="B16" s="175" t="s">
        <v>1632</v>
      </c>
      <c r="C16" s="175" t="s">
        <v>1633</v>
      </c>
      <c r="D16" s="115"/>
      <c r="E16" s="115"/>
    </row>
    <row r="17" spans="1:9" s="7" customFormat="1" ht="20.100000000000001" customHeight="1">
      <c r="A17" s="32" t="s">
        <v>1637</v>
      </c>
      <c r="B17" s="119">
        <f>B18+B19</f>
        <v>0</v>
      </c>
      <c r="C17" s="119">
        <f>C18+C19</f>
        <v>0</v>
      </c>
      <c r="D17" s="115"/>
      <c r="E17" s="115"/>
    </row>
    <row r="18" spans="1:9" s="7" customFormat="1" ht="20.100000000000001" customHeight="1">
      <c r="A18" s="32" t="s">
        <v>1638</v>
      </c>
      <c r="B18" s="177"/>
      <c r="C18" s="18"/>
      <c r="D18" s="115"/>
      <c r="E18" s="115"/>
    </row>
    <row r="19" spans="1:9" s="7" customFormat="1" ht="20.100000000000001" customHeight="1">
      <c r="A19" s="32" t="s">
        <v>1639</v>
      </c>
      <c r="B19" s="177"/>
      <c r="C19" s="18"/>
      <c r="D19" s="115"/>
      <c r="E19" s="115"/>
    </row>
    <row r="20" spans="1:9" s="7" customFormat="1" ht="20.100000000000001" customHeight="1">
      <c r="A20" s="32" t="s">
        <v>1640</v>
      </c>
      <c r="B20" s="177"/>
      <c r="C20" s="177"/>
      <c r="D20" s="115"/>
      <c r="E20" s="115"/>
    </row>
    <row r="21" spans="1:9" s="7" customFormat="1" ht="20.100000000000001" customHeight="1">
      <c r="A21" s="32" t="s">
        <v>658</v>
      </c>
      <c r="B21" s="119">
        <f>SUM(B17,B20)</f>
        <v>0</v>
      </c>
      <c r="C21" s="119">
        <f>SUM(C17,C20)</f>
        <v>0</v>
      </c>
      <c r="D21" s="115"/>
      <c r="E21" s="115"/>
    </row>
    <row r="22" spans="1:9" s="7" customFormat="1" ht="20.100000000000001" customHeight="1">
      <c r="A22" s="33"/>
      <c r="B22" s="121">
        <f>B21-C7</f>
        <v>0</v>
      </c>
      <c r="C22" s="178"/>
      <c r="D22" s="115"/>
      <c r="E22" s="115"/>
    </row>
    <row r="23" spans="1:9" s="29" customFormat="1" ht="20.100000000000001" customHeight="1">
      <c r="B23" s="29" t="str">
        <f>IF(B22=0,"OK","NO")</f>
        <v>OK</v>
      </c>
    </row>
    <row r="24" spans="1:9" s="7" customFormat="1" ht="20.100000000000001" customHeight="1">
      <c r="A24" s="179" t="s">
        <v>1641</v>
      </c>
      <c r="B24" s="180"/>
      <c r="C24" s="180"/>
      <c r="D24" s="180"/>
      <c r="E24" s="180"/>
    </row>
    <row r="25" spans="1:9" s="9" customFormat="1" ht="20.100000000000001" customHeight="1">
      <c r="A25" s="180" t="s">
        <v>1642</v>
      </c>
      <c r="B25" s="180"/>
      <c r="C25" s="180"/>
      <c r="D25" s="180"/>
      <c r="E25" s="180"/>
      <c r="G25" s="7"/>
      <c r="H25" s="7"/>
      <c r="I25" s="7"/>
    </row>
    <row r="26" spans="1:9" s="9" customFormat="1" ht="20.100000000000001" customHeight="1">
      <c r="A26" s="1312" t="s">
        <v>1643</v>
      </c>
      <c r="B26" s="1312" t="s">
        <v>1644</v>
      </c>
      <c r="C26" s="1312"/>
      <c r="D26" s="1312" t="s">
        <v>1645</v>
      </c>
      <c r="E26" s="1312"/>
      <c r="G26" s="7"/>
      <c r="H26" s="7"/>
      <c r="I26" s="7"/>
    </row>
    <row r="27" spans="1:9" s="9" customFormat="1" ht="20.100000000000001" customHeight="1">
      <c r="A27" s="1312"/>
      <c r="B27" s="181" t="s">
        <v>1646</v>
      </c>
      <c r="C27" s="181" t="s">
        <v>1647</v>
      </c>
      <c r="D27" s="181" t="s">
        <v>1646</v>
      </c>
      <c r="E27" s="181" t="s">
        <v>1647</v>
      </c>
      <c r="G27" s="7"/>
      <c r="H27" s="7"/>
      <c r="I27" s="7"/>
    </row>
    <row r="28" spans="1:9" s="9" customFormat="1" ht="20.100000000000001" customHeight="1">
      <c r="A28" s="182"/>
      <c r="B28" s="182"/>
      <c r="C28" s="182"/>
      <c r="D28" s="182"/>
      <c r="E28" s="182"/>
      <c r="G28" s="7"/>
      <c r="H28" s="7"/>
      <c r="I28" s="7"/>
    </row>
    <row r="29" spans="1:9" s="9" customFormat="1" ht="20.100000000000001" customHeight="1">
      <c r="A29" s="182"/>
      <c r="B29" s="182"/>
      <c r="C29" s="182"/>
      <c r="D29" s="182"/>
      <c r="E29" s="182"/>
      <c r="G29" s="7"/>
      <c r="H29" s="7"/>
      <c r="I29" s="7"/>
    </row>
    <row r="30" spans="1:9" s="9" customFormat="1" ht="20.100000000000001" customHeight="1">
      <c r="A30" s="182"/>
      <c r="B30" s="182"/>
      <c r="C30" s="182"/>
      <c r="D30" s="182"/>
      <c r="E30" s="182"/>
      <c r="G30" s="7"/>
      <c r="H30" s="7"/>
      <c r="I30" s="7"/>
    </row>
    <row r="31" spans="1:9" s="9" customFormat="1" ht="20.100000000000001" customHeight="1">
      <c r="A31" s="182" t="s">
        <v>937</v>
      </c>
      <c r="B31" s="182"/>
      <c r="C31" s="182"/>
      <c r="D31" s="182"/>
      <c r="E31" s="182"/>
      <c r="G31" s="7"/>
      <c r="H31" s="7"/>
      <c r="I31" s="7"/>
    </row>
    <row r="32" spans="1:9" s="9" customFormat="1" ht="20.100000000000001" customHeight="1">
      <c r="A32" s="180" t="s">
        <v>1648</v>
      </c>
      <c r="B32" s="180"/>
      <c r="C32" s="180"/>
      <c r="D32" s="180"/>
      <c r="E32" s="180"/>
      <c r="G32" s="7"/>
      <c r="H32" s="7"/>
      <c r="I32" s="7"/>
    </row>
    <row r="33" spans="1:9" s="9" customFormat="1" ht="20.100000000000001" customHeight="1">
      <c r="A33" s="1312" t="s">
        <v>1649</v>
      </c>
      <c r="B33" s="1312" t="s">
        <v>1644</v>
      </c>
      <c r="C33" s="1312"/>
      <c r="D33" s="1312" t="s">
        <v>1645</v>
      </c>
      <c r="E33" s="1312"/>
      <c r="G33" s="7"/>
      <c r="H33" s="7"/>
      <c r="I33" s="7"/>
    </row>
    <row r="34" spans="1:9" s="9" customFormat="1" ht="20.100000000000001" customHeight="1">
      <c r="A34" s="1312"/>
      <c r="B34" s="181" t="s">
        <v>1646</v>
      </c>
      <c r="C34" s="181" t="s">
        <v>1647</v>
      </c>
      <c r="D34" s="181" t="s">
        <v>1646</v>
      </c>
      <c r="E34" s="181" t="s">
        <v>1647</v>
      </c>
      <c r="G34" s="7"/>
      <c r="H34" s="7"/>
      <c r="I34" s="7"/>
    </row>
    <row r="35" spans="1:9" s="9" customFormat="1" ht="20.100000000000001" customHeight="1">
      <c r="A35" s="182"/>
      <c r="B35" s="182"/>
      <c r="C35" s="182"/>
      <c r="D35" s="182"/>
      <c r="E35" s="182"/>
      <c r="G35" s="7"/>
      <c r="H35" s="7"/>
      <c r="I35" s="7"/>
    </row>
    <row r="36" spans="1:9" s="9" customFormat="1" ht="20.100000000000001" customHeight="1">
      <c r="A36" s="182"/>
      <c r="B36" s="182"/>
      <c r="C36" s="182"/>
      <c r="D36" s="182"/>
      <c r="E36" s="182"/>
      <c r="G36" s="7"/>
      <c r="H36" s="7"/>
      <c r="I36" s="7"/>
    </row>
    <row r="37" spans="1:9" s="9" customFormat="1" ht="20.100000000000001" customHeight="1">
      <c r="A37" s="182"/>
      <c r="B37" s="182"/>
      <c r="C37" s="182"/>
      <c r="D37" s="182"/>
      <c r="E37" s="182"/>
      <c r="G37" s="7"/>
      <c r="H37" s="7"/>
      <c r="I37" s="7"/>
    </row>
    <row r="38" spans="1:9" s="9" customFormat="1" ht="20.100000000000001" customHeight="1">
      <c r="A38" s="182" t="s">
        <v>937</v>
      </c>
      <c r="B38" s="182"/>
      <c r="C38" s="182"/>
      <c r="D38" s="182"/>
      <c r="E38" s="182"/>
      <c r="G38" s="7"/>
      <c r="H38" s="7"/>
      <c r="I38" s="7"/>
    </row>
    <row r="39" spans="1:9" s="9" customFormat="1" ht="20.100000000000001" customHeight="1">
      <c r="A39" s="180" t="s">
        <v>1650</v>
      </c>
      <c r="B39" s="180"/>
      <c r="C39" s="180"/>
      <c r="D39" s="180"/>
      <c r="E39" s="180"/>
      <c r="G39" s="7"/>
      <c r="H39" s="7"/>
      <c r="I39" s="7"/>
    </row>
    <row r="40" spans="1:9" s="9" customFormat="1" ht="20.100000000000001" customHeight="1">
      <c r="A40" s="1312" t="s">
        <v>1651</v>
      </c>
      <c r="B40" s="1312" t="s">
        <v>1644</v>
      </c>
      <c r="C40" s="1312"/>
      <c r="D40" s="1312" t="s">
        <v>1645</v>
      </c>
      <c r="E40" s="1312"/>
      <c r="G40" s="7"/>
      <c r="H40" s="7"/>
      <c r="I40" s="7"/>
    </row>
    <row r="41" spans="1:9" s="9" customFormat="1" ht="20.100000000000001" customHeight="1">
      <c r="A41" s="1312"/>
      <c r="B41" s="181" t="s">
        <v>1646</v>
      </c>
      <c r="C41" s="181" t="s">
        <v>1647</v>
      </c>
      <c r="D41" s="181" t="s">
        <v>1646</v>
      </c>
      <c r="E41" s="181" t="s">
        <v>1647</v>
      </c>
      <c r="G41" s="7"/>
      <c r="H41" s="7"/>
      <c r="I41" s="7"/>
    </row>
    <row r="42" spans="1:9" s="9" customFormat="1" ht="20.100000000000001" customHeight="1">
      <c r="A42" s="182"/>
      <c r="B42" s="182"/>
      <c r="C42" s="182"/>
      <c r="D42" s="182"/>
      <c r="E42" s="182"/>
      <c r="G42" s="7"/>
      <c r="H42" s="7"/>
      <c r="I42" s="7"/>
    </row>
    <row r="43" spans="1:9" s="9" customFormat="1" ht="20.100000000000001" customHeight="1">
      <c r="A43" s="182"/>
      <c r="B43" s="182"/>
      <c r="C43" s="182"/>
      <c r="D43" s="182"/>
      <c r="E43" s="182"/>
      <c r="G43" s="7"/>
      <c r="H43" s="7"/>
      <c r="I43" s="7"/>
    </row>
    <row r="44" spans="1:9" s="9" customFormat="1" ht="20.100000000000001" customHeight="1">
      <c r="A44" s="182"/>
      <c r="B44" s="182"/>
      <c r="C44" s="182"/>
      <c r="D44" s="182"/>
      <c r="E44" s="182"/>
      <c r="G44" s="7"/>
      <c r="H44" s="7"/>
      <c r="I44" s="7"/>
    </row>
    <row r="45" spans="1:9" s="9" customFormat="1" ht="20.100000000000001" customHeight="1">
      <c r="A45" s="182" t="s">
        <v>937</v>
      </c>
      <c r="B45" s="182"/>
      <c r="C45" s="182"/>
      <c r="D45" s="182"/>
      <c r="E45" s="182"/>
      <c r="G45" s="7"/>
      <c r="H45" s="7"/>
      <c r="I45" s="7"/>
    </row>
  </sheetData>
  <mergeCells count="14">
    <mergeCell ref="B33:C33"/>
    <mergeCell ref="D33:E33"/>
    <mergeCell ref="B40:C40"/>
    <mergeCell ref="D40:E40"/>
    <mergeCell ref="A5:A6"/>
    <mergeCell ref="A15:A16"/>
    <mergeCell ref="A26:A27"/>
    <mergeCell ref="A33:A34"/>
    <mergeCell ref="A40:A41"/>
    <mergeCell ref="B5:C5"/>
    <mergeCell ref="B15:C15"/>
    <mergeCell ref="D15:E15"/>
    <mergeCell ref="B26:C26"/>
    <mergeCell ref="D26:E26"/>
  </mergeCells>
  <phoneticPr fontId="76" type="noConversion"/>
  <pageMargins left="0.27500000000000002" right="0.27500000000000002" top="0.51180555555555596" bottom="0.51180555555555596" header="0.27500000000000002" footer="0.27500000000000002"/>
  <pageSetup paperSize="9" scale="73" orientation="portrait" blackAndWhite="1" r:id="rId1"/>
  <headerFooter alignWithMargins="0"/>
  <rowBreaks count="1" manualBreakCount="1">
    <brk id="21" max="4" man="1"/>
  </rowBreak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view="pageBreakPreview" zoomScaleNormal="100" zoomScaleSheetLayoutView="100" workbookViewId="0">
      <selection activeCell="C15" sqref="C15"/>
    </sheetView>
  </sheetViews>
  <sheetFormatPr defaultColWidth="9" defaultRowHeight="20.100000000000001" customHeight="1"/>
  <cols>
    <col min="1" max="1" width="20.25" style="11" customWidth="1"/>
    <col min="2" max="2" width="21.75" style="11" customWidth="1"/>
    <col min="3" max="3" width="18.625" style="11" customWidth="1"/>
    <col min="4" max="4" width="24.375" style="11" customWidth="1"/>
    <col min="5" max="5" width="18.125" style="11" customWidth="1"/>
    <col min="6" max="9" width="9" style="116"/>
    <col min="10" max="16384" width="9" style="11"/>
  </cols>
  <sheetData>
    <row r="1" spans="1:9" s="22" customFormat="1" ht="24.95" customHeight="1">
      <c r="A1" s="12" t="s">
        <v>145</v>
      </c>
      <c r="B1" s="13">
        <f>基础信息!B6</f>
        <v>0</v>
      </c>
      <c r="E1" s="25"/>
      <c r="F1" s="128"/>
      <c r="G1" s="128"/>
      <c r="H1" s="128"/>
      <c r="I1" s="128"/>
    </row>
    <row r="2" spans="1:9" s="22" customFormat="1" ht="24.95" customHeight="1">
      <c r="A2" s="12" t="s">
        <v>147</v>
      </c>
      <c r="B2" s="13">
        <f>基础信息!B9</f>
        <v>0</v>
      </c>
      <c r="F2" s="128"/>
      <c r="G2" s="128"/>
      <c r="H2" s="128"/>
      <c r="I2" s="128"/>
    </row>
    <row r="3" spans="1:9" s="22" customFormat="1" ht="24.95" customHeight="1">
      <c r="A3" s="74" t="s">
        <v>148</v>
      </c>
      <c r="B3" s="133" t="s">
        <v>94</v>
      </c>
      <c r="F3" s="128"/>
      <c r="G3" s="128"/>
      <c r="H3" s="128"/>
      <c r="I3" s="128"/>
    </row>
    <row r="4" spans="1:9" s="23" customFormat="1" ht="24.95" customHeight="1">
      <c r="A4" s="16" t="s">
        <v>754</v>
      </c>
      <c r="B4" s="16" t="s">
        <v>1652</v>
      </c>
      <c r="C4" s="16" t="s">
        <v>1653</v>
      </c>
      <c r="D4" s="71"/>
    </row>
    <row r="5" spans="1:9" s="9" customFormat="1" ht="20.100000000000001" customHeight="1">
      <c r="A5" s="174" t="s">
        <v>1654</v>
      </c>
      <c r="B5" s="18"/>
      <c r="C5" s="18"/>
      <c r="D5" s="37"/>
      <c r="E5" s="7"/>
      <c r="F5" s="7"/>
      <c r="G5" s="7"/>
      <c r="H5" s="7"/>
    </row>
    <row r="6" spans="1:9" s="9" customFormat="1" ht="20.100000000000001" customHeight="1">
      <c r="A6" s="32" t="s">
        <v>1418</v>
      </c>
      <c r="B6" s="18"/>
      <c r="C6" s="18"/>
      <c r="D6" s="37"/>
      <c r="E6" s="7"/>
      <c r="F6" s="7"/>
      <c r="G6" s="7"/>
      <c r="H6" s="7"/>
    </row>
    <row r="7" spans="1:9" s="9" customFormat="1" ht="20.100000000000001" customHeight="1">
      <c r="A7" s="32" t="s">
        <v>1422</v>
      </c>
      <c r="B7" s="18"/>
      <c r="C7" s="18"/>
      <c r="D7" s="37"/>
      <c r="E7" s="7"/>
      <c r="F7" s="7"/>
      <c r="G7" s="7"/>
      <c r="H7" s="7"/>
    </row>
    <row r="8" spans="1:9" s="9" customFormat="1" ht="20.100000000000001" customHeight="1">
      <c r="A8" s="32" t="s">
        <v>1655</v>
      </c>
      <c r="B8" s="18"/>
      <c r="C8" s="18"/>
      <c r="D8" s="37"/>
      <c r="E8" s="7"/>
      <c r="F8" s="7"/>
      <c r="G8" s="7"/>
      <c r="H8" s="7"/>
    </row>
    <row r="9" spans="1:9" s="9" customFormat="1" ht="20.100000000000001" customHeight="1">
      <c r="A9" s="32" t="s">
        <v>1656</v>
      </c>
      <c r="B9" s="18"/>
      <c r="C9" s="18"/>
      <c r="D9" s="37"/>
      <c r="E9" s="7"/>
      <c r="F9" s="7"/>
      <c r="G9" s="7"/>
      <c r="H9" s="7"/>
    </row>
    <row r="10" spans="1:9" s="9" customFormat="1" ht="20.100000000000001" customHeight="1">
      <c r="A10" s="32" t="s">
        <v>1657</v>
      </c>
      <c r="B10" s="18"/>
      <c r="C10" s="18"/>
      <c r="D10" s="37"/>
      <c r="E10" s="7"/>
      <c r="F10" s="7"/>
      <c r="G10" s="7"/>
      <c r="H10" s="7"/>
    </row>
    <row r="11" spans="1:9" s="9" customFormat="1" ht="20.100000000000001" customHeight="1">
      <c r="A11" s="32" t="s">
        <v>1658</v>
      </c>
      <c r="B11" s="18"/>
      <c r="C11" s="18"/>
      <c r="D11" s="37"/>
      <c r="E11" s="7"/>
      <c r="F11" s="7"/>
      <c r="G11" s="7"/>
      <c r="H11" s="7"/>
    </row>
    <row r="12" spans="1:9" s="9" customFormat="1" ht="20.100000000000001" customHeight="1">
      <c r="A12" s="32" t="s">
        <v>1659</v>
      </c>
      <c r="B12" s="18"/>
      <c r="C12" s="18"/>
      <c r="D12" s="37"/>
      <c r="E12" s="7"/>
      <c r="F12" s="7"/>
      <c r="G12" s="7"/>
      <c r="H12" s="7"/>
    </row>
    <row r="13" spans="1:9" s="9" customFormat="1" ht="20.100000000000001" customHeight="1">
      <c r="A13" s="32"/>
      <c r="B13" s="18"/>
      <c r="C13" s="18"/>
      <c r="D13" s="37"/>
      <c r="E13" s="7"/>
      <c r="F13" s="7"/>
      <c r="G13" s="7"/>
      <c r="H13" s="7"/>
    </row>
    <row r="14" spans="1:9" s="9" customFormat="1" ht="20.100000000000001" customHeight="1">
      <c r="A14" s="32" t="s">
        <v>658</v>
      </c>
      <c r="B14" s="18"/>
      <c r="C14" s="20">
        <f>SUM(C5:C13)</f>
        <v>0</v>
      </c>
      <c r="D14" s="37"/>
      <c r="E14" s="120"/>
      <c r="F14" s="7"/>
      <c r="G14" s="7"/>
      <c r="H14" s="7"/>
    </row>
    <row r="15" spans="1:9" s="115" customFormat="1" ht="20.100000000000001" customHeight="1">
      <c r="A15" s="118" t="s">
        <v>649</v>
      </c>
      <c r="B15" s="130"/>
      <c r="C15" s="119">
        <f>'RP 006'!E137</f>
        <v>0</v>
      </c>
    </row>
    <row r="16" spans="1:9" s="115" customFormat="1" ht="20.100000000000001" customHeight="1">
      <c r="B16" s="131"/>
      <c r="C16" s="121">
        <f>C14-C15</f>
        <v>0</v>
      </c>
    </row>
    <row r="17" spans="1:9" s="29" customFormat="1" ht="20.100000000000001" customHeight="1">
      <c r="C17" s="29" t="str">
        <f>IF(C16=0,"OK","NO")</f>
        <v>OK</v>
      </c>
    </row>
    <row r="18" spans="1:9" ht="20.100000000000001" customHeight="1">
      <c r="A18" s="124"/>
      <c r="B18" s="124"/>
      <c r="C18" s="124"/>
      <c r="D18" s="125"/>
      <c r="E18" s="116"/>
      <c r="I18" s="11"/>
    </row>
    <row r="19" spans="1:9" ht="20.100000000000001" customHeight="1">
      <c r="A19" s="116"/>
      <c r="E19" s="116"/>
    </row>
    <row r="20" spans="1:9" ht="20.100000000000001" customHeight="1">
      <c r="A20" s="116"/>
      <c r="E20" s="116"/>
    </row>
    <row r="21" spans="1:9" ht="20.100000000000001" customHeight="1">
      <c r="A21" s="116"/>
    </row>
    <row r="22" spans="1:9" ht="20.100000000000001" customHeight="1">
      <c r="A22" s="116"/>
    </row>
  </sheetData>
  <phoneticPr fontId="76" type="noConversion"/>
  <pageMargins left="0.59027777777777801" right="0.47152777777777799" top="0.98402777777777795" bottom="0.98402777777777795" header="0.51180555555555596" footer="0.51180555555555596"/>
  <pageSetup paperSize="9" orientation="portrait" blackAndWhite="1"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view="pageBreakPreview" zoomScaleNormal="100" zoomScaleSheetLayoutView="100" workbookViewId="0">
      <selection activeCell="B10" sqref="B10"/>
    </sheetView>
  </sheetViews>
  <sheetFormatPr defaultColWidth="9" defaultRowHeight="20.100000000000001" customHeight="1"/>
  <cols>
    <col min="1" max="1" width="20.25" style="105" customWidth="1"/>
    <col min="2" max="2" width="21.75" style="105" customWidth="1"/>
    <col min="3" max="3" width="18.625" style="105" customWidth="1"/>
    <col min="4" max="4" width="24.375" style="105" customWidth="1"/>
    <col min="5" max="5" width="18.125" style="105" customWidth="1"/>
    <col min="6" max="9" width="9" style="104"/>
    <col min="10" max="16384" width="9" style="105"/>
  </cols>
  <sheetData>
    <row r="1" spans="1:9" ht="24.95" customHeight="1">
      <c r="A1" s="165" t="s">
        <v>145</v>
      </c>
      <c r="B1" s="166">
        <f>基础信息!B6</f>
        <v>0</v>
      </c>
      <c r="C1" s="167"/>
      <c r="E1" s="106"/>
    </row>
    <row r="2" spans="1:9" ht="24.95" customHeight="1">
      <c r="A2" s="168" t="s">
        <v>147</v>
      </c>
      <c r="B2" s="169">
        <f>基础信息!B9</f>
        <v>0</v>
      </c>
      <c r="C2" s="167"/>
    </row>
    <row r="3" spans="1:9" ht="24.95" customHeight="1">
      <c r="A3" s="170" t="s">
        <v>148</v>
      </c>
      <c r="B3" s="170" t="s">
        <v>1660</v>
      </c>
      <c r="C3" s="171"/>
      <c r="D3" s="163"/>
    </row>
    <row r="4" spans="1:9" s="164" customFormat="1" ht="24.95" customHeight="1">
      <c r="A4" s="64" t="s">
        <v>318</v>
      </c>
      <c r="B4" s="172" t="s">
        <v>1661</v>
      </c>
      <c r="C4" s="173"/>
      <c r="D4" s="173"/>
    </row>
    <row r="5" spans="1:9" s="27" customFormat="1" ht="20.100000000000001" customHeight="1">
      <c r="A5" s="32"/>
      <c r="B5" s="18"/>
      <c r="C5" s="65"/>
      <c r="D5" s="65"/>
      <c r="E5" s="102"/>
      <c r="F5" s="102"/>
      <c r="G5" s="102"/>
      <c r="H5" s="102"/>
    </row>
    <row r="6" spans="1:9" s="27" customFormat="1" ht="20.100000000000001" customHeight="1">
      <c r="A6" s="32"/>
      <c r="B6" s="18"/>
      <c r="C6" s="65"/>
      <c r="D6" s="65"/>
      <c r="E6" s="102"/>
      <c r="F6" s="102"/>
      <c r="G6" s="102"/>
      <c r="H6" s="102"/>
    </row>
    <row r="7" spans="1:9" s="27" customFormat="1" ht="20.100000000000001" customHeight="1">
      <c r="A7" s="32"/>
      <c r="B7" s="18"/>
      <c r="C7" s="65"/>
      <c r="D7" s="65"/>
      <c r="E7" s="102"/>
      <c r="F7" s="102"/>
      <c r="G7" s="102"/>
      <c r="H7" s="102"/>
    </row>
    <row r="8" spans="1:9" s="27" customFormat="1" ht="20.100000000000001" customHeight="1">
      <c r="A8" s="32"/>
      <c r="B8" s="18"/>
      <c r="C8" s="65"/>
      <c r="D8" s="65"/>
      <c r="E8" s="102"/>
      <c r="F8" s="102"/>
      <c r="G8" s="102"/>
      <c r="H8" s="102"/>
    </row>
    <row r="9" spans="1:9" s="27" customFormat="1" ht="20.100000000000001" customHeight="1">
      <c r="A9" s="32" t="s">
        <v>658</v>
      </c>
      <c r="B9" s="20">
        <f>SUM(B5:B8)</f>
        <v>0</v>
      </c>
      <c r="C9" s="65"/>
      <c r="D9" s="65"/>
      <c r="E9" s="161"/>
      <c r="F9" s="102"/>
      <c r="G9" s="102"/>
      <c r="H9" s="102"/>
    </row>
    <row r="10" spans="1:9" s="118" customFormat="1" ht="20.100000000000001" customHeight="1">
      <c r="A10" s="118" t="s">
        <v>649</v>
      </c>
      <c r="B10" s="119">
        <f>'RP 006'!E138</f>
        <v>0</v>
      </c>
      <c r="C10" s="65"/>
      <c r="D10" s="65"/>
    </row>
    <row r="11" spans="1:9" s="118" customFormat="1" ht="20.100000000000001" customHeight="1">
      <c r="B11" s="119">
        <f>B9-B10</f>
        <v>0</v>
      </c>
    </row>
    <row r="12" spans="1:9" s="100" customFormat="1" ht="20.100000000000001" customHeight="1">
      <c r="B12" s="100" t="str">
        <f>IF(B11=0,"OK","NO")</f>
        <v>OK</v>
      </c>
    </row>
    <row r="13" spans="1:9" ht="20.100000000000001" customHeight="1">
      <c r="A13" s="150"/>
      <c r="B13" s="150"/>
      <c r="C13" s="150"/>
      <c r="D13" s="163"/>
      <c r="E13" s="104"/>
      <c r="I13" s="105"/>
    </row>
    <row r="14" spans="1:9" ht="20.100000000000001" customHeight="1">
      <c r="A14" s="104"/>
      <c r="E14" s="104"/>
    </row>
    <row r="15" spans="1:9" ht="20.100000000000001" customHeight="1">
      <c r="A15" s="104"/>
      <c r="E15" s="104"/>
    </row>
    <row r="16" spans="1:9" ht="20.100000000000001" customHeight="1">
      <c r="A16" s="104"/>
    </row>
    <row r="17" spans="1:1" ht="20.100000000000001" customHeight="1">
      <c r="A17" s="104"/>
    </row>
  </sheetData>
  <phoneticPr fontId="76" type="noConversion"/>
  <pageMargins left="0.70763888888888904" right="0.70763888888888904" top="0.74791666666666701" bottom="0.74791666666666701" header="0.31388888888888899" footer="0.31388888888888899"/>
  <pageSetup paperSize="9" orientation="portrait" blackAndWhite="1" horizontalDpi="1200" verticalDpi="120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view="pageBreakPreview" zoomScaleNormal="100" zoomScaleSheetLayoutView="100" workbookViewId="0">
      <selection activeCell="B10" sqref="B10"/>
    </sheetView>
  </sheetViews>
  <sheetFormatPr defaultColWidth="9" defaultRowHeight="20.100000000000001" customHeight="1"/>
  <cols>
    <col min="1" max="1" width="20.25" style="105" customWidth="1"/>
    <col min="2" max="2" width="21.75" style="105" customWidth="1"/>
    <col min="3" max="3" width="18.625" style="105" customWidth="1"/>
    <col min="4" max="4" width="24.375" style="105" customWidth="1"/>
    <col min="5" max="5" width="18.125" style="105" customWidth="1"/>
    <col min="6" max="9" width="9" style="104"/>
    <col min="10" max="16384" width="9" style="105"/>
  </cols>
  <sheetData>
    <row r="1" spans="1:9" s="157" customFormat="1" ht="24.95" customHeight="1">
      <c r="A1" s="12" t="s">
        <v>145</v>
      </c>
      <c r="B1" s="13">
        <f>基础信息!B6</f>
        <v>0</v>
      </c>
      <c r="C1" s="158"/>
      <c r="E1" s="159"/>
    </row>
    <row r="2" spans="1:9" s="157" customFormat="1" ht="24.95" customHeight="1">
      <c r="A2" s="12" t="s">
        <v>147</v>
      </c>
      <c r="B2" s="13">
        <f>基础信息!B9</f>
        <v>0</v>
      </c>
      <c r="C2" s="158"/>
    </row>
    <row r="3" spans="1:9" s="157" customFormat="1" ht="24.95" customHeight="1">
      <c r="A3" s="155" t="s">
        <v>148</v>
      </c>
      <c r="B3" s="155" t="s">
        <v>1662</v>
      </c>
      <c r="C3" s="160"/>
    </row>
    <row r="4" spans="1:9" s="27" customFormat="1" ht="24.95" customHeight="1">
      <c r="A4" s="88" t="s">
        <v>754</v>
      </c>
      <c r="B4" s="87" t="s">
        <v>1663</v>
      </c>
      <c r="C4" s="118"/>
      <c r="D4" s="65"/>
      <c r="E4" s="102"/>
      <c r="F4" s="102"/>
      <c r="G4" s="102"/>
      <c r="H4" s="102"/>
    </row>
    <row r="5" spans="1:9" s="27" customFormat="1" ht="20.100000000000001" customHeight="1">
      <c r="A5" s="94"/>
      <c r="B5" s="91"/>
      <c r="C5" s="118"/>
      <c r="D5" s="65"/>
      <c r="E5" s="102"/>
      <c r="F5" s="102"/>
      <c r="G5" s="102"/>
      <c r="H5" s="102"/>
    </row>
    <row r="6" spans="1:9" s="27" customFormat="1" ht="20.100000000000001" customHeight="1">
      <c r="A6" s="94"/>
      <c r="B6" s="91"/>
      <c r="C6" s="118"/>
      <c r="D6" s="65"/>
      <c r="E6" s="102"/>
      <c r="F6" s="102"/>
      <c r="G6" s="102"/>
      <c r="H6" s="102"/>
    </row>
    <row r="7" spans="1:9" s="27" customFormat="1" ht="20.100000000000001" customHeight="1">
      <c r="A7" s="94"/>
      <c r="B7" s="91"/>
      <c r="C7" s="118"/>
      <c r="D7" s="65"/>
      <c r="E7" s="102"/>
      <c r="F7" s="102"/>
      <c r="G7" s="102"/>
      <c r="H7" s="102"/>
    </row>
    <row r="8" spans="1:9" s="27" customFormat="1" ht="20.100000000000001" customHeight="1">
      <c r="A8" s="94"/>
      <c r="B8" s="91"/>
      <c r="C8" s="118"/>
      <c r="D8" s="65"/>
      <c r="E8" s="102"/>
      <c r="F8" s="102"/>
      <c r="G8" s="102"/>
      <c r="H8" s="102"/>
    </row>
    <row r="9" spans="1:9" s="27" customFormat="1" ht="20.100000000000001" customHeight="1">
      <c r="A9" s="94" t="s">
        <v>658</v>
      </c>
      <c r="B9" s="90">
        <f>SUM(B5:B8)</f>
        <v>0</v>
      </c>
      <c r="C9" s="118"/>
      <c r="D9" s="65"/>
      <c r="E9" s="161"/>
      <c r="F9" s="102"/>
      <c r="G9" s="102"/>
      <c r="H9" s="102"/>
    </row>
    <row r="10" spans="1:9" s="118" customFormat="1" ht="20.100000000000001" customHeight="1">
      <c r="A10" s="118" t="s">
        <v>649</v>
      </c>
      <c r="B10" s="119">
        <f>'RP 006'!E139</f>
        <v>0</v>
      </c>
    </row>
    <row r="11" spans="1:9" s="118" customFormat="1" ht="20.100000000000001" customHeight="1">
      <c r="B11" s="119">
        <f>B9-B10</f>
        <v>0</v>
      </c>
    </row>
    <row r="12" spans="1:9" s="100" customFormat="1" ht="20.100000000000001" customHeight="1">
      <c r="B12" s="100" t="str">
        <f>IF(B11=0,"OK","NO")</f>
        <v>OK</v>
      </c>
      <c r="C12" s="118"/>
    </row>
    <row r="13" spans="1:9" ht="20.100000000000001" customHeight="1">
      <c r="A13" s="150"/>
      <c r="B13" s="150"/>
      <c r="C13" s="162"/>
      <c r="D13" s="163"/>
      <c r="E13" s="104"/>
      <c r="I13" s="105"/>
    </row>
    <row r="14" spans="1:9" ht="20.100000000000001" customHeight="1">
      <c r="A14" s="104"/>
      <c r="E14" s="104"/>
    </row>
    <row r="15" spans="1:9" ht="20.100000000000001" customHeight="1">
      <c r="A15" s="104"/>
      <c r="E15" s="104"/>
    </row>
    <row r="16" spans="1:9" ht="20.100000000000001" customHeight="1">
      <c r="A16" s="104"/>
    </row>
    <row r="17" spans="1:1" ht="20.100000000000001" customHeight="1">
      <c r="A17" s="104"/>
    </row>
  </sheetData>
  <phoneticPr fontId="76" type="noConversion"/>
  <pageMargins left="0.70763888888888904" right="0.70763888888888904" top="0.74791666666666701" bottom="0.74791666666666701" header="0.31388888888888899" footer="0.31388888888888899"/>
  <pageSetup paperSize="9" orientation="portrait" blackAndWhite="1" horizontalDpi="1200" verticalDpi="1200"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view="pageBreakPreview" zoomScaleNormal="100" zoomScaleSheetLayoutView="100" workbookViewId="0">
      <selection activeCell="B10" sqref="B10"/>
    </sheetView>
  </sheetViews>
  <sheetFormatPr defaultColWidth="9" defaultRowHeight="15.75"/>
  <cols>
    <col min="1" max="1" width="19.75" customWidth="1"/>
    <col min="2" max="2" width="26.25" customWidth="1"/>
  </cols>
  <sheetData>
    <row r="1" spans="1:2">
      <c r="A1" s="12" t="s">
        <v>145</v>
      </c>
      <c r="B1" s="13">
        <f>基础信息!B6</f>
        <v>0</v>
      </c>
    </row>
    <row r="2" spans="1:2">
      <c r="A2" s="12" t="s">
        <v>147</v>
      </c>
      <c r="B2" s="13">
        <f>基础信息!B9</f>
        <v>0</v>
      </c>
    </row>
    <row r="3" spans="1:2">
      <c r="A3" s="155" t="s">
        <v>148</v>
      </c>
      <c r="B3" s="156" t="s">
        <v>97</v>
      </c>
    </row>
    <row r="4" spans="1:2">
      <c r="A4" s="88" t="s">
        <v>754</v>
      </c>
      <c r="B4" s="87" t="s">
        <v>1663</v>
      </c>
    </row>
    <row r="5" spans="1:2">
      <c r="A5" s="94"/>
      <c r="B5" s="91"/>
    </row>
    <row r="6" spans="1:2">
      <c r="A6" s="94"/>
      <c r="B6" s="91"/>
    </row>
    <row r="7" spans="1:2">
      <c r="A7" s="94"/>
      <c r="B7" s="91"/>
    </row>
    <row r="8" spans="1:2">
      <c r="A8" s="94"/>
      <c r="B8" s="91"/>
    </row>
    <row r="9" spans="1:2">
      <c r="A9" s="94" t="s">
        <v>658</v>
      </c>
      <c r="B9" s="90">
        <f>SUM(B5:B8)</f>
        <v>0</v>
      </c>
    </row>
    <row r="10" spans="1:2">
      <c r="A10" s="118" t="s">
        <v>649</v>
      </c>
      <c r="B10" s="119">
        <f>'RP 006'!E140</f>
        <v>0</v>
      </c>
    </row>
    <row r="11" spans="1:2">
      <c r="A11" s="118"/>
      <c r="B11" s="119">
        <f>B9-B10</f>
        <v>0</v>
      </c>
    </row>
    <row r="12" spans="1:2">
      <c r="A12" s="100"/>
      <c r="B12" s="100" t="str">
        <f>IF(B11=0,"OK","NO")</f>
        <v>OK</v>
      </c>
    </row>
  </sheetData>
  <phoneticPr fontId="76" type="noConversion"/>
  <pageMargins left="0.75" right="0.75" top="1" bottom="1" header="0.51180555555555596" footer="0.51180555555555596"/>
  <pageSetup paperSize="9"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view="pageBreakPreview" zoomScaleNormal="100" zoomScaleSheetLayoutView="100" workbookViewId="0">
      <selection activeCell="B13" sqref="B13"/>
    </sheetView>
  </sheetViews>
  <sheetFormatPr defaultColWidth="9" defaultRowHeight="20.100000000000001" customHeight="1"/>
  <cols>
    <col min="1" max="2" width="30.625" style="105" customWidth="1"/>
    <col min="3" max="3" width="31.875" style="105" customWidth="1"/>
    <col min="4" max="5" width="24.625" style="105" customWidth="1"/>
    <col min="6" max="16384" width="9" style="105"/>
  </cols>
  <sheetData>
    <row r="1" spans="1:5" ht="20.100000000000001" customHeight="1">
      <c r="A1" s="54" t="s">
        <v>145</v>
      </c>
      <c r="B1" s="55">
        <f>基础信息!B6</f>
        <v>0</v>
      </c>
      <c r="E1" s="106"/>
    </row>
    <row r="2" spans="1:5" ht="24.95" customHeight="1">
      <c r="A2" s="54" t="s">
        <v>147</v>
      </c>
      <c r="B2" s="55">
        <f>基础信息!B9</f>
        <v>0</v>
      </c>
    </row>
    <row r="3" spans="1:5" s="104" customFormat="1" ht="20.100000000000001" customHeight="1">
      <c r="A3" s="97" t="s">
        <v>148</v>
      </c>
      <c r="B3" s="97" t="s">
        <v>1664</v>
      </c>
      <c r="C3" s="105"/>
      <c r="E3" s="105"/>
    </row>
    <row r="4" spans="1:5" s="102" customFormat="1" ht="20.100000000000001" customHeight="1">
      <c r="A4" s="88" t="s">
        <v>754</v>
      </c>
      <c r="B4" s="151" t="s">
        <v>1663</v>
      </c>
      <c r="C4" s="65"/>
      <c r="D4" s="27"/>
    </row>
    <row r="5" spans="1:5" s="102" customFormat="1" ht="20.100000000000001" customHeight="1">
      <c r="A5" s="929" t="s">
        <v>2019</v>
      </c>
      <c r="B5" s="91"/>
      <c r="C5" s="65"/>
      <c r="D5" s="27"/>
    </row>
    <row r="6" spans="1:5" s="102" customFormat="1" ht="20.100000000000001" customHeight="1">
      <c r="A6" s="93" t="s">
        <v>1665</v>
      </c>
      <c r="B6" s="91"/>
      <c r="C6" s="65"/>
      <c r="D6" s="27"/>
    </row>
    <row r="7" spans="1:5" s="102" customFormat="1" ht="20.100000000000001" customHeight="1">
      <c r="A7" s="93" t="s">
        <v>1666</v>
      </c>
      <c r="B7" s="91"/>
      <c r="C7" s="65"/>
      <c r="D7" s="27"/>
    </row>
    <row r="8" spans="1:5" s="102" customFormat="1" ht="20.100000000000001" customHeight="1">
      <c r="A8" s="93" t="s">
        <v>1667</v>
      </c>
      <c r="B8" s="91"/>
      <c r="C8" s="65"/>
    </row>
    <row r="9" spans="1:5" s="102" customFormat="1" ht="20.100000000000001" customHeight="1">
      <c r="A9" s="93" t="s">
        <v>1668</v>
      </c>
      <c r="B9" s="91"/>
      <c r="C9" s="65"/>
    </row>
    <row r="10" spans="1:5" s="102" customFormat="1" ht="20.100000000000001" customHeight="1">
      <c r="A10" s="93" t="s">
        <v>1669</v>
      </c>
      <c r="B10" s="91"/>
      <c r="C10" s="65"/>
    </row>
    <row r="11" spans="1:5" s="102" customFormat="1" ht="20.100000000000001" customHeight="1">
      <c r="A11" s="93" t="s">
        <v>1670</v>
      </c>
      <c r="B11" s="91"/>
      <c r="C11" s="65"/>
    </row>
    <row r="12" spans="1:5" s="102" customFormat="1" ht="20.100000000000001" customHeight="1">
      <c r="A12" s="93" t="s">
        <v>658</v>
      </c>
      <c r="B12" s="91"/>
      <c r="C12" s="65"/>
    </row>
    <row r="13" spans="1:5" s="118" customFormat="1" ht="20.100000000000001" customHeight="1">
      <c r="A13" s="152" t="s">
        <v>649</v>
      </c>
      <c r="B13" s="119">
        <f>'RP 006'!E141</f>
        <v>0</v>
      </c>
    </row>
    <row r="14" spans="1:5" s="118" customFormat="1" ht="20.100000000000001" customHeight="1">
      <c r="B14" s="119">
        <f>B12-B13</f>
        <v>0</v>
      </c>
    </row>
    <row r="15" spans="1:5" s="100" customFormat="1" ht="20.100000000000001" customHeight="1">
      <c r="B15" s="100" t="str">
        <f>IF(B14=0,"OK","NO")</f>
        <v>OK</v>
      </c>
    </row>
    <row r="16" spans="1:5" s="102" customFormat="1" ht="20.100000000000001" customHeight="1">
      <c r="A16" s="65" t="s">
        <v>677</v>
      </c>
      <c r="B16" s="65"/>
      <c r="C16" s="65"/>
    </row>
    <row r="17" spans="1:9" s="102" customFormat="1" ht="20.100000000000001" customHeight="1">
      <c r="A17" s="1243" t="s">
        <v>1671</v>
      </c>
      <c r="B17" s="1243"/>
      <c r="C17" s="153"/>
    </row>
    <row r="18" spans="1:9" s="104" customFormat="1" ht="20.100000000000001" customHeight="1">
      <c r="A18" s="154"/>
      <c r="B18" s="105"/>
      <c r="C18" s="105"/>
    </row>
    <row r="19" spans="1:9" ht="20.100000000000001" customHeight="1">
      <c r="A19" s="104"/>
      <c r="E19" s="104"/>
      <c r="F19" s="104"/>
      <c r="G19" s="104"/>
      <c r="H19" s="104"/>
      <c r="I19" s="104"/>
    </row>
    <row r="20" spans="1:9" ht="20.100000000000001" customHeight="1">
      <c r="E20" s="104"/>
      <c r="F20" s="104"/>
      <c r="G20" s="104"/>
      <c r="H20" s="104"/>
      <c r="I20" s="104"/>
    </row>
    <row r="21" spans="1:9" ht="20.100000000000001" customHeight="1">
      <c r="E21" s="104"/>
    </row>
  </sheetData>
  <mergeCells count="1">
    <mergeCell ref="A17:B17"/>
  </mergeCells>
  <phoneticPr fontId="76" type="noConversion"/>
  <pageMargins left="0.74791666666666701" right="0.74791666666666701" top="0.98402777777777795" bottom="0.98402777777777795" header="0.51180555555555596" footer="0.51180555555555596"/>
  <pageSetup paperSize="9" orientation="portrait" blackAndWhite="1"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
  <sheetViews>
    <sheetView view="pageBreakPreview" zoomScaleNormal="100" zoomScaleSheetLayoutView="100" workbookViewId="0">
      <selection activeCell="B16" sqref="B16"/>
    </sheetView>
  </sheetViews>
  <sheetFormatPr defaultColWidth="9" defaultRowHeight="20.100000000000001" customHeight="1"/>
  <cols>
    <col min="1" max="1" width="30.625" style="11" customWidth="1"/>
    <col min="2" max="2" width="22" style="11" customWidth="1"/>
    <col min="3" max="3" width="27.75" style="11" customWidth="1"/>
    <col min="4" max="4" width="23.25" style="11" customWidth="1"/>
    <col min="5" max="5" width="12.75" style="11" customWidth="1"/>
    <col min="6" max="6" width="12.625" style="11" customWidth="1"/>
    <col min="7" max="15" width="12.125" style="11" customWidth="1"/>
    <col min="16" max="17" width="9" style="116"/>
    <col min="18" max="16384" width="9" style="11"/>
  </cols>
  <sheetData>
    <row r="1" spans="1:17" s="22" customFormat="1" ht="24.95" customHeight="1">
      <c r="A1" s="12" t="s">
        <v>145</v>
      </c>
      <c r="B1" s="13">
        <f>基础信息!B6</f>
        <v>0</v>
      </c>
      <c r="E1" s="25"/>
      <c r="P1" s="128"/>
      <c r="Q1" s="128"/>
    </row>
    <row r="2" spans="1:17" s="22" customFormat="1" ht="24.95" customHeight="1">
      <c r="A2" s="12" t="s">
        <v>147</v>
      </c>
      <c r="B2" s="13">
        <f>基础信息!B9</f>
        <v>0</v>
      </c>
      <c r="P2" s="128"/>
      <c r="Q2" s="128"/>
    </row>
    <row r="3" spans="1:17" s="22" customFormat="1" ht="24.95" customHeight="1">
      <c r="A3" s="74" t="s">
        <v>148</v>
      </c>
      <c r="B3" s="133" t="s">
        <v>99</v>
      </c>
      <c r="D3" s="128"/>
      <c r="E3" s="128"/>
      <c r="F3" s="128"/>
      <c r="G3" s="128"/>
      <c r="H3" s="128"/>
      <c r="I3" s="128"/>
      <c r="J3" s="128"/>
      <c r="K3" s="128"/>
      <c r="L3" s="128"/>
      <c r="M3" s="128"/>
      <c r="N3" s="128"/>
      <c r="O3" s="128"/>
      <c r="P3" s="128"/>
      <c r="Q3" s="128"/>
    </row>
    <row r="4" spans="1:17" s="127" customFormat="1" ht="24.95" customHeight="1">
      <c r="A4" s="51" t="s">
        <v>1686</v>
      </c>
      <c r="B4" s="51" t="s">
        <v>1687</v>
      </c>
      <c r="C4" s="51" t="s">
        <v>1688</v>
      </c>
      <c r="D4" s="51" t="s">
        <v>1689</v>
      </c>
      <c r="E4" s="15"/>
      <c r="F4" s="15"/>
      <c r="G4" s="15"/>
      <c r="H4" s="15"/>
      <c r="I4" s="15"/>
      <c r="J4" s="15"/>
      <c r="K4" s="15"/>
      <c r="L4" s="15"/>
      <c r="M4" s="15"/>
      <c r="N4" s="15"/>
      <c r="O4" s="15"/>
      <c r="P4" s="15"/>
      <c r="Q4" s="15"/>
    </row>
    <row r="5" spans="1:17" s="9" customFormat="1" ht="20.100000000000001" customHeight="1">
      <c r="A5" s="17"/>
      <c r="B5" s="18"/>
      <c r="C5" s="18"/>
      <c r="D5" s="18"/>
      <c r="E5" s="7"/>
      <c r="F5" s="7"/>
      <c r="G5" s="7"/>
      <c r="H5" s="7"/>
      <c r="I5" s="7"/>
      <c r="J5" s="7"/>
      <c r="K5" s="7"/>
      <c r="L5" s="7"/>
      <c r="M5" s="7"/>
      <c r="N5" s="7"/>
      <c r="O5" s="7"/>
      <c r="P5" s="7" t="s">
        <v>1690</v>
      </c>
      <c r="Q5" s="7"/>
    </row>
    <row r="6" spans="1:17" s="9" customFormat="1" ht="20.100000000000001" customHeight="1">
      <c r="A6" s="17"/>
      <c r="B6" s="18"/>
      <c r="C6" s="18"/>
      <c r="D6" s="18"/>
      <c r="E6" s="7"/>
      <c r="F6" s="7"/>
      <c r="G6" s="7"/>
      <c r="H6" s="7"/>
      <c r="I6" s="7"/>
      <c r="J6" s="7"/>
      <c r="K6" s="7"/>
      <c r="L6" s="7"/>
      <c r="M6" s="7"/>
      <c r="N6" s="7"/>
      <c r="O6" s="7"/>
      <c r="P6" s="7" t="s">
        <v>1691</v>
      </c>
      <c r="Q6" s="7"/>
    </row>
    <row r="7" spans="1:17" s="9" customFormat="1" ht="20.100000000000001" customHeight="1">
      <c r="A7" s="17"/>
      <c r="B7" s="18"/>
      <c r="C7" s="18"/>
      <c r="D7" s="18"/>
      <c r="E7" s="7"/>
      <c r="F7" s="7"/>
      <c r="G7" s="7"/>
      <c r="H7" s="7"/>
      <c r="I7" s="7"/>
      <c r="J7" s="7"/>
      <c r="K7" s="7"/>
      <c r="L7" s="7"/>
      <c r="M7" s="7"/>
      <c r="N7" s="7"/>
      <c r="O7" s="7"/>
      <c r="P7" s="7" t="s">
        <v>1692</v>
      </c>
      <c r="Q7" s="7"/>
    </row>
    <row r="8" spans="1:17" s="9" customFormat="1" ht="20.100000000000001" customHeight="1">
      <c r="A8" s="17"/>
      <c r="B8" s="18"/>
      <c r="C8" s="18"/>
      <c r="D8" s="18"/>
      <c r="E8" s="7"/>
      <c r="F8" s="7"/>
      <c r="G8" s="7"/>
      <c r="H8" s="7"/>
      <c r="I8" s="7"/>
      <c r="J8" s="7"/>
      <c r="K8" s="7"/>
      <c r="L8" s="7"/>
      <c r="M8" s="7"/>
      <c r="N8" s="7"/>
      <c r="O8" s="7"/>
      <c r="P8" s="7" t="s">
        <v>1693</v>
      </c>
      <c r="Q8" s="7"/>
    </row>
    <row r="9" spans="1:17" s="9" customFormat="1" ht="20.100000000000001" customHeight="1">
      <c r="A9" s="17"/>
      <c r="B9" s="18"/>
      <c r="C9" s="18"/>
      <c r="D9" s="18"/>
      <c r="E9" s="7"/>
      <c r="F9" s="7"/>
      <c r="G9" s="7"/>
      <c r="H9" s="7"/>
      <c r="I9" s="7"/>
      <c r="J9" s="7"/>
      <c r="K9" s="7"/>
      <c r="L9" s="7"/>
      <c r="M9" s="7"/>
      <c r="N9" s="7"/>
      <c r="O9" s="7"/>
      <c r="P9" s="7" t="s">
        <v>172</v>
      </c>
      <c r="Q9" s="7"/>
    </row>
    <row r="10" spans="1:17" s="9" customFormat="1" ht="20.100000000000001" customHeight="1">
      <c r="A10" s="17"/>
      <c r="B10" s="18"/>
      <c r="C10" s="18"/>
      <c r="D10" s="18"/>
      <c r="E10" s="7"/>
      <c r="F10" s="7"/>
      <c r="G10" s="7"/>
      <c r="H10" s="7"/>
      <c r="I10" s="7"/>
      <c r="J10" s="7"/>
      <c r="K10" s="7"/>
      <c r="L10" s="7"/>
      <c r="M10" s="7"/>
      <c r="N10" s="7"/>
      <c r="O10" s="7"/>
      <c r="P10" s="7" t="s">
        <v>1694</v>
      </c>
      <c r="Q10" s="7"/>
    </row>
    <row r="11" spans="1:17" s="9" customFormat="1" ht="20.100000000000001" customHeight="1">
      <c r="A11" s="17"/>
      <c r="B11" s="18"/>
      <c r="C11" s="18"/>
      <c r="D11" s="18"/>
      <c r="E11" s="7"/>
      <c r="F11" s="7"/>
      <c r="G11" s="7"/>
      <c r="H11" s="7"/>
      <c r="I11" s="7"/>
      <c r="J11" s="7"/>
      <c r="K11" s="7"/>
      <c r="L11" s="7"/>
      <c r="M11" s="7"/>
      <c r="N11" s="7"/>
      <c r="O11" s="7"/>
      <c r="P11" s="7" t="s">
        <v>1695</v>
      </c>
      <c r="Q11" s="7"/>
    </row>
    <row r="12" spans="1:17" s="9" customFormat="1" ht="20.100000000000001" customHeight="1">
      <c r="A12" s="17"/>
      <c r="B12" s="18"/>
      <c r="C12" s="18"/>
      <c r="D12" s="18"/>
      <c r="E12" s="7"/>
      <c r="F12" s="7"/>
      <c r="G12" s="7"/>
      <c r="H12" s="7"/>
      <c r="I12" s="7"/>
      <c r="J12" s="7"/>
      <c r="K12" s="7"/>
      <c r="L12" s="7"/>
      <c r="M12" s="7"/>
      <c r="N12" s="7"/>
      <c r="O12" s="7"/>
      <c r="P12" s="7" t="s">
        <v>1696</v>
      </c>
      <c r="Q12" s="7"/>
    </row>
    <row r="13" spans="1:17" s="9" customFormat="1" ht="20.100000000000001" customHeight="1">
      <c r="A13" s="17" t="s">
        <v>2099</v>
      </c>
      <c r="B13" s="18"/>
      <c r="C13" s="18"/>
      <c r="D13" s="18"/>
      <c r="E13" s="7"/>
      <c r="F13" s="7"/>
      <c r="G13" s="7"/>
      <c r="H13" s="7"/>
      <c r="I13" s="7"/>
      <c r="J13" s="7"/>
      <c r="K13" s="7"/>
      <c r="L13" s="7"/>
      <c r="M13" s="7"/>
      <c r="N13" s="7"/>
      <c r="O13" s="7"/>
      <c r="P13" s="7" t="s">
        <v>1697</v>
      </c>
      <c r="Q13" s="7"/>
    </row>
    <row r="14" spans="1:17" s="9" customFormat="1" ht="20.100000000000001" customHeight="1">
      <c r="A14" s="17"/>
      <c r="B14" s="18"/>
      <c r="C14" s="18"/>
      <c r="D14" s="18"/>
      <c r="E14" s="7"/>
      <c r="F14" s="7"/>
      <c r="G14" s="7"/>
      <c r="H14" s="7"/>
      <c r="I14" s="7"/>
      <c r="J14" s="7"/>
      <c r="K14" s="7"/>
      <c r="L14" s="7"/>
      <c r="M14" s="7"/>
      <c r="N14" s="7"/>
      <c r="O14" s="7"/>
      <c r="P14" s="7"/>
      <c r="Q14" s="7"/>
    </row>
    <row r="15" spans="1:17" s="9" customFormat="1" ht="20.100000000000001" customHeight="1">
      <c r="A15" s="32" t="s">
        <v>658</v>
      </c>
      <c r="B15" s="20">
        <f>SUM(B5:B14)</f>
        <v>0</v>
      </c>
      <c r="C15" s="20">
        <f>SUM(C5:C14)</f>
        <v>0</v>
      </c>
      <c r="D15" s="20"/>
      <c r="E15" s="7"/>
      <c r="F15" s="7"/>
      <c r="G15" s="7"/>
      <c r="H15" s="7"/>
      <c r="I15" s="7"/>
      <c r="J15" s="7"/>
      <c r="K15" s="7"/>
      <c r="L15" s="7"/>
      <c r="M15" s="7"/>
      <c r="N15" s="7"/>
      <c r="O15" s="7"/>
      <c r="P15" s="7"/>
      <c r="Q15" s="7"/>
    </row>
    <row r="16" spans="1:17" s="115" customFormat="1" ht="20.100000000000001" customHeight="1">
      <c r="A16" s="118" t="s">
        <v>649</v>
      </c>
      <c r="B16" s="119">
        <f>'RP 006'!E146</f>
        <v>0</v>
      </c>
      <c r="C16" s="130"/>
      <c r="D16" s="130"/>
    </row>
    <row r="17" spans="1:17" s="115" customFormat="1" ht="20.100000000000001" customHeight="1">
      <c r="B17" s="121">
        <f>B15-B16</f>
        <v>0</v>
      </c>
      <c r="C17" s="131"/>
    </row>
    <row r="18" spans="1:17" s="29" customFormat="1" ht="20.100000000000001" customHeight="1">
      <c r="B18" s="29" t="str">
        <f>IF(B17=0,"OK","NO")</f>
        <v>OK</v>
      </c>
    </row>
    <row r="19" spans="1:17" s="9" customFormat="1" ht="12.75">
      <c r="A19" s="1372" t="s">
        <v>1698</v>
      </c>
      <c r="B19" s="1367"/>
      <c r="C19" s="1367"/>
      <c r="D19" s="1367"/>
      <c r="E19" s="135"/>
      <c r="P19" s="7"/>
      <c r="Q19" s="7"/>
    </row>
    <row r="20" spans="1:17" ht="20.100000000000001" customHeight="1">
      <c r="A20" s="132"/>
      <c r="B20" s="132"/>
      <c r="C20" s="132"/>
      <c r="D20" s="132"/>
      <c r="E20" s="132"/>
    </row>
  </sheetData>
  <mergeCells count="1">
    <mergeCell ref="A19:D19"/>
  </mergeCells>
  <phoneticPr fontId="76" type="noConversion"/>
  <pageMargins left="0.43263888888888902" right="0.47152777777777799" top="0.98402777777777795" bottom="0.98402777777777795" header="0.51180555555555596" footer="0.51180555555555596"/>
  <pageSetup paperSize="9" scale="84" orientation="portrait" blackAndWhite="1" r:id="rId1"/>
  <headerFooter alignWithMargins="0"/>
  <rowBreaks count="1" manualBreakCount="1">
    <brk id="33" max="16383" man="1"/>
  </rowBreak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
  <sheetViews>
    <sheetView view="pageBreakPreview" zoomScaleNormal="100" zoomScaleSheetLayoutView="100" workbookViewId="0">
      <selection activeCell="B17" sqref="B17"/>
    </sheetView>
  </sheetViews>
  <sheetFormatPr defaultColWidth="9" defaultRowHeight="20.100000000000001" customHeight="1"/>
  <cols>
    <col min="1" max="1" width="64" style="105" customWidth="1"/>
    <col min="2" max="2" width="30.625" style="105" customWidth="1"/>
    <col min="3" max="3" width="33.5" style="105" customWidth="1"/>
    <col min="4" max="4" width="21.125" style="105" customWidth="1"/>
    <col min="5" max="5" width="24.625" style="104" customWidth="1"/>
    <col min="6" max="24" width="9" style="104"/>
    <col min="25" max="16384" width="9" style="105"/>
  </cols>
  <sheetData>
    <row r="1" spans="1:23" ht="24.95" customHeight="1">
      <c r="A1" s="54" t="s">
        <v>145</v>
      </c>
      <c r="B1" s="55">
        <f>基础信息!B6</f>
        <v>0</v>
      </c>
      <c r="E1" s="106"/>
    </row>
    <row r="2" spans="1:23" ht="24.95" customHeight="1">
      <c r="A2" s="54" t="s">
        <v>147</v>
      </c>
      <c r="B2" s="55">
        <f>基础信息!B9</f>
        <v>0</v>
      </c>
    </row>
    <row r="3" spans="1:23" ht="24.95" customHeight="1">
      <c r="A3" s="97" t="s">
        <v>148</v>
      </c>
      <c r="B3" s="97" t="s">
        <v>1699</v>
      </c>
    </row>
    <row r="4" spans="1:23" s="102" customFormat="1" ht="24.95" customHeight="1">
      <c r="A4" s="142" t="s">
        <v>1700</v>
      </c>
      <c r="B4" s="142"/>
    </row>
    <row r="5" spans="1:23" s="27" customFormat="1" ht="24.95" customHeight="1">
      <c r="A5" s="88" t="s">
        <v>754</v>
      </c>
      <c r="B5" s="87" t="s">
        <v>1663</v>
      </c>
      <c r="C5" s="102"/>
      <c r="D5" s="102"/>
      <c r="E5" s="102"/>
      <c r="F5" s="102"/>
      <c r="G5" s="102"/>
      <c r="H5" s="102"/>
      <c r="I5" s="102"/>
      <c r="J5" s="102"/>
      <c r="K5" s="102"/>
      <c r="L5" s="102"/>
      <c r="M5" s="102"/>
      <c r="N5" s="102"/>
      <c r="O5" s="102"/>
      <c r="P5" s="102"/>
      <c r="Q5" s="102"/>
      <c r="R5" s="102"/>
      <c r="S5" s="102"/>
      <c r="T5" s="102"/>
      <c r="U5" s="102"/>
      <c r="V5" s="102"/>
      <c r="W5" s="102"/>
    </row>
    <row r="6" spans="1:23" s="27" customFormat="1" ht="20.100000000000001" customHeight="1">
      <c r="A6" s="17" t="s">
        <v>1701</v>
      </c>
      <c r="B6" s="18"/>
      <c r="C6" s="102"/>
      <c r="D6" s="102"/>
      <c r="E6" s="102"/>
      <c r="F6" s="102"/>
      <c r="G6" s="102"/>
      <c r="H6" s="102"/>
      <c r="I6" s="102"/>
      <c r="J6" s="102"/>
      <c r="K6" s="102"/>
      <c r="L6" s="102"/>
      <c r="M6" s="102"/>
      <c r="N6" s="102"/>
      <c r="O6" s="102"/>
      <c r="P6" s="102"/>
      <c r="Q6" s="102"/>
      <c r="R6" s="102"/>
      <c r="S6" s="102"/>
      <c r="T6" s="102"/>
      <c r="U6" s="102"/>
      <c r="V6" s="102"/>
      <c r="W6" s="102"/>
    </row>
    <row r="7" spans="1:23" s="27" customFormat="1" ht="20.100000000000001" customHeight="1">
      <c r="A7" s="17" t="s">
        <v>1702</v>
      </c>
      <c r="B7" s="18"/>
      <c r="C7" s="102"/>
      <c r="D7" s="102"/>
      <c r="E7" s="102"/>
      <c r="F7" s="102"/>
      <c r="G7" s="102"/>
      <c r="H7" s="102"/>
      <c r="I7" s="102"/>
      <c r="J7" s="102"/>
      <c r="K7" s="102"/>
      <c r="L7" s="102"/>
      <c r="M7" s="102"/>
      <c r="N7" s="102"/>
      <c r="O7" s="102"/>
      <c r="P7" s="102"/>
      <c r="Q7" s="102"/>
      <c r="R7" s="102"/>
      <c r="S7" s="102"/>
      <c r="T7" s="102"/>
      <c r="U7" s="102"/>
      <c r="V7" s="102"/>
      <c r="W7" s="102"/>
    </row>
    <row r="8" spans="1:23" s="27" customFormat="1" ht="20.100000000000001" customHeight="1">
      <c r="A8" s="17" t="s">
        <v>1703</v>
      </c>
      <c r="B8" s="18"/>
      <c r="C8" s="102"/>
      <c r="D8" s="102"/>
      <c r="E8" s="102"/>
      <c r="F8" s="102"/>
      <c r="G8" s="102"/>
      <c r="H8" s="102"/>
      <c r="I8" s="102"/>
      <c r="J8" s="102"/>
      <c r="K8" s="102"/>
      <c r="L8" s="102"/>
      <c r="M8" s="102"/>
      <c r="N8" s="102"/>
      <c r="O8" s="102"/>
      <c r="P8" s="102"/>
      <c r="Q8" s="102"/>
      <c r="R8" s="102"/>
      <c r="S8" s="102"/>
      <c r="T8" s="102"/>
      <c r="U8" s="102"/>
      <c r="V8" s="102"/>
      <c r="W8" s="102"/>
    </row>
    <row r="9" spans="1:23" s="27" customFormat="1" ht="20.100000000000001" customHeight="1">
      <c r="A9" s="17" t="s">
        <v>1704</v>
      </c>
      <c r="B9" s="18"/>
      <c r="C9" s="102"/>
      <c r="D9" s="102"/>
      <c r="E9" s="102"/>
      <c r="F9" s="102"/>
      <c r="G9" s="102"/>
      <c r="H9" s="102"/>
      <c r="I9" s="102"/>
      <c r="J9" s="102"/>
      <c r="K9" s="102"/>
      <c r="L9" s="102"/>
      <c r="M9" s="102"/>
      <c r="N9" s="102"/>
      <c r="O9" s="102"/>
      <c r="P9" s="102"/>
      <c r="Q9" s="102"/>
      <c r="R9" s="102"/>
      <c r="S9" s="102"/>
      <c r="T9" s="102"/>
      <c r="U9" s="102"/>
      <c r="V9" s="102"/>
      <c r="W9" s="102"/>
    </row>
    <row r="10" spans="1:23" s="27" customFormat="1" ht="20.100000000000001" customHeight="1">
      <c r="A10" s="17" t="s">
        <v>1705</v>
      </c>
      <c r="B10" s="18"/>
      <c r="C10" s="102"/>
      <c r="D10" s="102"/>
      <c r="E10" s="102"/>
      <c r="F10" s="102"/>
      <c r="G10" s="102"/>
      <c r="H10" s="102"/>
      <c r="I10" s="102"/>
      <c r="J10" s="102"/>
      <c r="K10" s="102"/>
      <c r="L10" s="102"/>
      <c r="M10" s="102"/>
      <c r="N10" s="102"/>
      <c r="O10" s="102"/>
      <c r="P10" s="102"/>
      <c r="Q10" s="102"/>
      <c r="R10" s="102"/>
      <c r="S10" s="102"/>
      <c r="T10" s="102"/>
      <c r="U10" s="102"/>
      <c r="V10" s="102"/>
      <c r="W10" s="102"/>
    </row>
    <row r="11" spans="1:23" s="27" customFormat="1" ht="20.100000000000001" customHeight="1">
      <c r="A11" s="17" t="s">
        <v>1706</v>
      </c>
      <c r="B11" s="18"/>
      <c r="C11" s="102"/>
      <c r="D11" s="102"/>
      <c r="E11" s="102"/>
      <c r="F11" s="102"/>
      <c r="G11" s="102"/>
      <c r="H11" s="102"/>
      <c r="I11" s="102"/>
      <c r="J11" s="102"/>
      <c r="K11" s="102"/>
      <c r="L11" s="102"/>
      <c r="M11" s="102"/>
      <c r="N11" s="102"/>
      <c r="O11" s="102"/>
      <c r="P11" s="102"/>
      <c r="Q11" s="102"/>
      <c r="R11" s="102"/>
      <c r="S11" s="102"/>
      <c r="T11" s="102"/>
      <c r="U11" s="102"/>
      <c r="V11" s="102"/>
      <c r="W11" s="102"/>
    </row>
    <row r="12" spans="1:23" s="27" customFormat="1" ht="20.100000000000001" customHeight="1">
      <c r="A12" s="17" t="s">
        <v>1707</v>
      </c>
      <c r="B12" s="18"/>
      <c r="C12" s="102"/>
      <c r="D12" s="102"/>
      <c r="E12" s="102"/>
      <c r="F12" s="102"/>
      <c r="G12" s="102"/>
      <c r="H12" s="102"/>
      <c r="I12" s="102"/>
      <c r="J12" s="102"/>
      <c r="K12" s="102"/>
      <c r="L12" s="102"/>
      <c r="M12" s="102"/>
      <c r="N12" s="102"/>
      <c r="O12" s="102"/>
      <c r="P12" s="102"/>
      <c r="Q12" s="102"/>
      <c r="R12" s="102"/>
      <c r="S12" s="102"/>
      <c r="T12" s="102"/>
      <c r="U12" s="102"/>
      <c r="V12" s="102"/>
      <c r="W12" s="102"/>
    </row>
    <row r="13" spans="1:23" s="27" customFormat="1" ht="20.100000000000001" customHeight="1">
      <c r="A13" s="17" t="s">
        <v>1708</v>
      </c>
      <c r="B13" s="18"/>
      <c r="C13" s="102"/>
      <c r="D13" s="102"/>
      <c r="E13" s="102"/>
      <c r="F13" s="102"/>
      <c r="G13" s="102"/>
      <c r="H13" s="102"/>
      <c r="I13" s="102"/>
      <c r="J13" s="102"/>
      <c r="K13" s="102"/>
      <c r="L13" s="102"/>
      <c r="M13" s="102"/>
      <c r="N13" s="102"/>
      <c r="O13" s="102"/>
      <c r="P13" s="102"/>
      <c r="Q13" s="102"/>
      <c r="R13" s="102"/>
      <c r="S13" s="102"/>
      <c r="T13" s="102"/>
      <c r="U13" s="102"/>
      <c r="V13" s="102"/>
      <c r="W13" s="102"/>
    </row>
    <row r="14" spans="1:23" s="27" customFormat="1" ht="20.100000000000001" customHeight="1">
      <c r="A14" s="17" t="s">
        <v>1709</v>
      </c>
      <c r="B14" s="18"/>
      <c r="C14" s="102"/>
      <c r="D14" s="102"/>
      <c r="E14" s="102"/>
      <c r="F14" s="102"/>
      <c r="G14" s="102"/>
      <c r="H14" s="102"/>
      <c r="I14" s="102"/>
      <c r="J14" s="102"/>
      <c r="K14" s="102"/>
      <c r="L14" s="102"/>
      <c r="M14" s="102"/>
      <c r="N14" s="102"/>
      <c r="O14" s="102"/>
      <c r="P14" s="102"/>
      <c r="Q14" s="102"/>
      <c r="R14" s="102"/>
      <c r="S14" s="102"/>
      <c r="T14" s="102"/>
      <c r="U14" s="102"/>
      <c r="V14" s="102"/>
      <c r="W14" s="102"/>
    </row>
    <row r="15" spans="1:23" s="27" customFormat="1" ht="20.100000000000001" customHeight="1">
      <c r="A15" s="93" t="s">
        <v>456</v>
      </c>
      <c r="B15" s="91"/>
      <c r="C15" s="102"/>
      <c r="D15" s="102"/>
      <c r="E15" s="102"/>
      <c r="F15" s="102"/>
      <c r="G15" s="102"/>
      <c r="H15" s="102"/>
      <c r="I15" s="102"/>
      <c r="J15" s="102"/>
      <c r="K15" s="102"/>
      <c r="L15" s="102"/>
      <c r="M15" s="102"/>
      <c r="N15" s="102"/>
      <c r="O15" s="102"/>
      <c r="P15" s="102"/>
      <c r="Q15" s="102"/>
      <c r="R15" s="102"/>
      <c r="S15" s="102"/>
      <c r="T15" s="102"/>
      <c r="U15" s="102"/>
      <c r="V15" s="102"/>
      <c r="W15" s="102"/>
    </row>
    <row r="16" spans="1:23" s="27" customFormat="1" ht="20.100000000000001" customHeight="1">
      <c r="A16" s="94" t="s">
        <v>658</v>
      </c>
      <c r="B16" s="90">
        <f>SUM(B6:B15)</f>
        <v>0</v>
      </c>
      <c r="C16" s="102"/>
      <c r="D16" s="102"/>
      <c r="E16" s="102"/>
      <c r="F16" s="102"/>
      <c r="G16" s="102"/>
      <c r="H16" s="102"/>
      <c r="I16" s="102"/>
      <c r="J16" s="102"/>
      <c r="K16" s="102"/>
      <c r="L16" s="102"/>
      <c r="M16" s="102"/>
      <c r="N16" s="102"/>
      <c r="O16" s="102"/>
      <c r="P16" s="102"/>
      <c r="Q16" s="102"/>
      <c r="R16" s="102"/>
      <c r="S16" s="102"/>
      <c r="T16" s="102"/>
      <c r="U16" s="102"/>
      <c r="V16" s="102"/>
      <c r="W16" s="102"/>
    </row>
    <row r="17" spans="1:24" s="118" customFormat="1" ht="20.100000000000001" customHeight="1">
      <c r="A17" s="118" t="s">
        <v>649</v>
      </c>
      <c r="B17" s="119">
        <f>'RP 006'!E147</f>
        <v>0</v>
      </c>
      <c r="C17" s="102"/>
    </row>
    <row r="18" spans="1:24" s="140" customFormat="1" ht="20.100000000000001" customHeight="1">
      <c r="A18" s="143"/>
      <c r="B18" s="144">
        <f>B16-B17</f>
        <v>0</v>
      </c>
      <c r="C18" s="145"/>
    </row>
    <row r="19" spans="1:24" s="29" customFormat="1" ht="20.100000000000001" customHeight="1">
      <c r="B19" s="29" t="str">
        <f>IF(B18=0,"OK","NO")</f>
        <v>OK</v>
      </c>
    </row>
    <row r="20" spans="1:24" s="141" customFormat="1" ht="20.100000000000001" customHeight="1">
      <c r="A20" s="146" t="s">
        <v>1710</v>
      </c>
      <c r="B20" s="147"/>
      <c r="C20" s="148"/>
      <c r="D20" s="149"/>
      <c r="E20" s="149"/>
      <c r="F20" s="149"/>
      <c r="G20" s="149"/>
      <c r="H20" s="149"/>
      <c r="I20" s="149"/>
      <c r="J20" s="149"/>
      <c r="K20" s="149"/>
      <c r="L20" s="149"/>
      <c r="M20" s="149"/>
      <c r="N20" s="149"/>
      <c r="O20" s="149"/>
      <c r="P20" s="149"/>
      <c r="Q20" s="149"/>
      <c r="R20" s="149"/>
      <c r="S20" s="149"/>
      <c r="T20" s="149"/>
      <c r="U20" s="149"/>
      <c r="V20" s="149"/>
      <c r="W20" s="149"/>
    </row>
    <row r="21" spans="1:24" s="27" customFormat="1" ht="20.100000000000001" customHeight="1">
      <c r="A21" s="16" t="s">
        <v>964</v>
      </c>
      <c r="B21" s="16" t="s">
        <v>1711</v>
      </c>
      <c r="C21" s="102"/>
      <c r="D21" s="102"/>
      <c r="E21" s="102"/>
      <c r="F21" s="102"/>
      <c r="G21" s="102"/>
      <c r="H21" s="102"/>
      <c r="I21" s="102"/>
      <c r="J21" s="102"/>
      <c r="K21" s="102"/>
      <c r="L21" s="102"/>
      <c r="M21" s="102"/>
      <c r="N21" s="102"/>
      <c r="O21" s="102"/>
      <c r="P21" s="102"/>
      <c r="Q21" s="102"/>
      <c r="R21" s="102"/>
      <c r="S21" s="102"/>
      <c r="T21" s="102"/>
      <c r="U21" s="102"/>
      <c r="V21" s="102"/>
      <c r="W21" s="102"/>
    </row>
    <row r="22" spans="1:24" s="27" customFormat="1" ht="20.100000000000001" customHeight="1">
      <c r="C22" s="102"/>
      <c r="D22" s="102"/>
      <c r="E22" s="102"/>
      <c r="F22" s="102"/>
      <c r="G22" s="102"/>
      <c r="H22" s="102"/>
      <c r="I22" s="102"/>
      <c r="J22" s="102"/>
      <c r="K22" s="102"/>
      <c r="L22" s="102"/>
      <c r="M22" s="102"/>
      <c r="N22" s="102"/>
      <c r="O22" s="102"/>
      <c r="P22" s="102"/>
      <c r="Q22" s="102"/>
      <c r="R22" s="102"/>
      <c r="S22" s="102"/>
      <c r="T22" s="102"/>
      <c r="U22" s="102"/>
      <c r="V22" s="102"/>
      <c r="W22" s="102"/>
    </row>
    <row r="23" spans="1:24" ht="20.100000000000001" customHeight="1">
      <c r="C23" s="104"/>
      <c r="D23" s="104"/>
      <c r="X23" s="105"/>
    </row>
    <row r="24" spans="1:24" ht="20.100000000000001" customHeight="1">
      <c r="C24" s="104"/>
      <c r="D24" s="104"/>
      <c r="X24" s="105"/>
    </row>
    <row r="25" spans="1:24" ht="20.100000000000001" customHeight="1">
      <c r="C25" s="104"/>
      <c r="D25" s="104"/>
      <c r="X25" s="105"/>
    </row>
    <row r="26" spans="1:24" ht="20.100000000000001" customHeight="1">
      <c r="C26" s="104"/>
      <c r="D26" s="104"/>
      <c r="X26" s="105"/>
    </row>
    <row r="27" spans="1:24" ht="20.100000000000001" customHeight="1">
      <c r="D27" s="104"/>
      <c r="X27" s="105"/>
    </row>
    <row r="28" spans="1:24" ht="20.100000000000001" customHeight="1">
      <c r="D28" s="104"/>
      <c r="X28" s="105"/>
    </row>
    <row r="29" spans="1:24" ht="20.100000000000001" customHeight="1">
      <c r="D29" s="104"/>
      <c r="X29" s="105"/>
    </row>
    <row r="30" spans="1:24" ht="20.100000000000001" customHeight="1">
      <c r="D30" s="104"/>
      <c r="X30" s="105"/>
    </row>
    <row r="31" spans="1:24" ht="20.100000000000001" customHeight="1">
      <c r="D31" s="104"/>
      <c r="X31" s="105"/>
    </row>
    <row r="32" spans="1:24" ht="20.100000000000001" customHeight="1">
      <c r="D32" s="104"/>
      <c r="X32" s="105"/>
    </row>
    <row r="33" spans="4:24" ht="20.100000000000001" customHeight="1">
      <c r="D33" s="104"/>
      <c r="X33" s="105"/>
    </row>
  </sheetData>
  <sheetProtection formatCells="0" formatColumns="0" formatRows="0" insertColumns="0" insertRows="0" insertHyperlinks="0" deleteColumns="0" deleteRows="0" sort="0" autoFilter="0" pivotTables="0"/>
  <phoneticPr fontId="76" type="noConversion"/>
  <pageMargins left="0.74791666666666701" right="0.74791666666666701" top="1.1013888888888901" bottom="0.98402777777777795" header="0.51180555555555596" footer="0.51180555555555596"/>
  <pageSetup paperSize="9" scale="84" orientation="portrait" blackAndWhite="1"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12"/>
  <sheetViews>
    <sheetView workbookViewId="0">
      <selection activeCell="B10" sqref="B10"/>
    </sheetView>
  </sheetViews>
  <sheetFormatPr defaultRowHeight="15.75"/>
  <cols>
    <col min="1" max="1" width="26.25" customWidth="1"/>
    <col min="2" max="2" width="36.125" customWidth="1"/>
  </cols>
  <sheetData>
    <row r="1" spans="1:2">
      <c r="A1" s="54" t="s">
        <v>145</v>
      </c>
      <c r="B1" s="55">
        <f>基础信息!B6</f>
        <v>0</v>
      </c>
    </row>
    <row r="2" spans="1:2">
      <c r="A2" s="54" t="s">
        <v>147</v>
      </c>
      <c r="B2" s="55">
        <f>基础信息!B9</f>
        <v>0</v>
      </c>
    </row>
    <row r="3" spans="1:2">
      <c r="A3" s="97" t="s">
        <v>148</v>
      </c>
      <c r="B3" s="313" t="s">
        <v>2028</v>
      </c>
    </row>
    <row r="4" spans="1:2">
      <c r="A4" s="937"/>
      <c r="B4" s="139" t="s">
        <v>1714</v>
      </c>
    </row>
    <row r="5" spans="1:2">
      <c r="A5" s="93"/>
      <c r="B5" s="91"/>
    </row>
    <row r="6" spans="1:2">
      <c r="A6" s="93"/>
      <c r="B6" s="91"/>
    </row>
    <row r="7" spans="1:2">
      <c r="A7" s="93"/>
      <c r="B7" s="91"/>
    </row>
    <row r="8" spans="1:2">
      <c r="A8" s="93"/>
      <c r="B8" s="91"/>
    </row>
    <row r="9" spans="1:2">
      <c r="A9" s="93" t="s">
        <v>658</v>
      </c>
      <c r="B9" s="90">
        <f>SUM(B5:B8)</f>
        <v>0</v>
      </c>
    </row>
    <row r="10" spans="1:2">
      <c r="A10" s="118" t="s">
        <v>649</v>
      </c>
      <c r="B10" s="119">
        <f>'RP 006'!E149</f>
        <v>0</v>
      </c>
    </row>
    <row r="11" spans="1:2">
      <c r="A11" s="118"/>
      <c r="B11" s="119">
        <f>B9-B10</f>
        <v>0</v>
      </c>
    </row>
    <row r="12" spans="1:2">
      <c r="A12" s="100"/>
      <c r="B12" s="100" t="str">
        <f>IF(B11=0,"OK","NO")</f>
        <v>OK</v>
      </c>
    </row>
  </sheetData>
  <phoneticPr fontId="76"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view="pageBreakPreview" zoomScaleNormal="100" zoomScaleSheetLayoutView="100" workbookViewId="0">
      <selection activeCell="B10" sqref="B10"/>
    </sheetView>
  </sheetViews>
  <sheetFormatPr defaultColWidth="9" defaultRowHeight="20.100000000000001" customHeight="1"/>
  <cols>
    <col min="1" max="1" width="25.5" style="105" customWidth="1"/>
    <col min="2" max="2" width="27.75" style="105" customWidth="1"/>
    <col min="3" max="5" width="24.625" style="105" customWidth="1"/>
    <col min="6" max="16384" width="9" style="105"/>
  </cols>
  <sheetData>
    <row r="1" spans="1:8" s="136" customFormat="1" ht="24.95" customHeight="1">
      <c r="A1" s="54" t="s">
        <v>145</v>
      </c>
      <c r="B1" s="55">
        <f>基础信息!B6</f>
        <v>0</v>
      </c>
      <c r="E1" s="138"/>
    </row>
    <row r="2" spans="1:8" s="136" customFormat="1" ht="24.95" customHeight="1">
      <c r="A2" s="54" t="s">
        <v>147</v>
      </c>
      <c r="B2" s="55">
        <f>基础信息!B9</f>
        <v>0</v>
      </c>
    </row>
    <row r="3" spans="1:8" s="137" customFormat="1" ht="24.95" customHeight="1">
      <c r="A3" s="97" t="s">
        <v>148</v>
      </c>
      <c r="B3" s="97" t="s">
        <v>1712</v>
      </c>
      <c r="C3" s="136"/>
    </row>
    <row r="4" spans="1:8" s="27" customFormat="1" ht="20.100000000000001" customHeight="1">
      <c r="A4" s="17" t="s">
        <v>1713</v>
      </c>
      <c r="B4" s="139" t="s">
        <v>1714</v>
      </c>
    </row>
    <row r="5" spans="1:8" s="27" customFormat="1" ht="34.5" customHeight="1">
      <c r="A5" s="93" t="s">
        <v>1715</v>
      </c>
      <c r="B5" s="91"/>
    </row>
    <row r="6" spans="1:8" s="27" customFormat="1" ht="28.5" customHeight="1">
      <c r="A6" s="93" t="s">
        <v>74</v>
      </c>
      <c r="B6" s="91"/>
    </row>
    <row r="7" spans="1:8" s="27" customFormat="1" ht="20.100000000000001" customHeight="1">
      <c r="A7" s="93" t="s">
        <v>1716</v>
      </c>
      <c r="B7" s="91"/>
    </row>
    <row r="8" spans="1:8" s="27" customFormat="1" ht="20.100000000000001" customHeight="1">
      <c r="A8" s="93" t="s">
        <v>1322</v>
      </c>
      <c r="B8" s="91"/>
    </row>
    <row r="9" spans="1:8" s="27" customFormat="1" ht="20.100000000000001" customHeight="1">
      <c r="A9" s="93" t="s">
        <v>658</v>
      </c>
      <c r="B9" s="90">
        <f>SUM(B5:B8)</f>
        <v>0</v>
      </c>
    </row>
    <row r="10" spans="1:8" s="118" customFormat="1" ht="20.100000000000001" customHeight="1">
      <c r="A10" s="118" t="s">
        <v>649</v>
      </c>
      <c r="B10" s="119">
        <f>'RP 006'!E150</f>
        <v>0</v>
      </c>
      <c r="C10" s="27"/>
    </row>
    <row r="11" spans="1:8" s="118" customFormat="1" ht="20.100000000000001" customHeight="1">
      <c r="B11" s="119">
        <f>B9-B10</f>
        <v>0</v>
      </c>
    </row>
    <row r="12" spans="1:8" s="100" customFormat="1" ht="20.100000000000001" customHeight="1">
      <c r="B12" s="100" t="str">
        <f>IF(B11=0,"OK","NO")</f>
        <v>OK</v>
      </c>
    </row>
    <row r="13" spans="1:8" s="102" customFormat="1" ht="20.100000000000001" customHeight="1">
      <c r="A13" s="32"/>
      <c r="B13" s="32"/>
      <c r="C13" s="65"/>
    </row>
    <row r="14" spans="1:8" ht="20.100000000000001" customHeight="1">
      <c r="C14" s="104"/>
      <c r="D14" s="104"/>
      <c r="E14" s="104"/>
      <c r="F14" s="104"/>
      <c r="G14" s="104"/>
      <c r="H14" s="104"/>
    </row>
  </sheetData>
  <phoneticPr fontId="76" type="noConversion"/>
  <pageMargins left="0.74791666666666701" right="0.74791666666666701" top="1.2979166666666699" bottom="0.98402777777777795" header="0.51180555555555596" footer="0.51180555555555596"/>
  <pageSetup paperSize="9" orientation="portrait" blackAndWhite="1" r:id="rId1"/>
  <headerFooter alignWithMargins="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21"/>
  <sheetViews>
    <sheetView workbookViewId="0">
      <selection activeCell="B19" sqref="B19"/>
    </sheetView>
  </sheetViews>
  <sheetFormatPr defaultRowHeight="15.75"/>
  <cols>
    <col min="1" max="1" width="27.75" customWidth="1"/>
    <col min="2" max="2" width="30.25" customWidth="1"/>
  </cols>
  <sheetData>
    <row r="1" spans="1:2">
      <c r="A1" s="54" t="s">
        <v>145</v>
      </c>
      <c r="B1" s="55">
        <f>基础信息!B6</f>
        <v>0</v>
      </c>
    </row>
    <row r="2" spans="1:2">
      <c r="A2" s="54" t="s">
        <v>147</v>
      </c>
      <c r="B2" s="55">
        <f>基础信息!B9</f>
        <v>0</v>
      </c>
    </row>
    <row r="3" spans="1:2">
      <c r="A3" s="97" t="s">
        <v>148</v>
      </c>
      <c r="B3" s="313" t="s">
        <v>2100</v>
      </c>
    </row>
    <row r="4" spans="1:2">
      <c r="A4" s="64" t="s">
        <v>1362</v>
      </c>
      <c r="B4" s="64" t="s">
        <v>1673</v>
      </c>
    </row>
    <row r="5" spans="1:2">
      <c r="A5" s="937"/>
      <c r="B5" s="18"/>
    </row>
    <row r="6" spans="1:2">
      <c r="A6" s="937"/>
      <c r="B6" s="18"/>
    </row>
    <row r="7" spans="1:2">
      <c r="A7" s="937"/>
      <c r="B7" s="18"/>
    </row>
    <row r="8" spans="1:2">
      <c r="A8" s="937"/>
      <c r="B8" s="18"/>
    </row>
    <row r="9" spans="1:2">
      <c r="A9" s="937"/>
      <c r="B9" s="18"/>
    </row>
    <row r="10" spans="1:2">
      <c r="A10" s="937"/>
      <c r="B10" s="18"/>
    </row>
    <row r="11" spans="1:2">
      <c r="A11" s="937"/>
      <c r="B11" s="18"/>
    </row>
    <row r="12" spans="1:2">
      <c r="A12" s="937"/>
      <c r="B12" s="18"/>
    </row>
    <row r="13" spans="1:2">
      <c r="A13" s="937"/>
      <c r="B13" s="18"/>
    </row>
    <row r="14" spans="1:2">
      <c r="A14" s="937"/>
      <c r="B14" s="18"/>
    </row>
    <row r="15" spans="1:2">
      <c r="A15" s="937"/>
      <c r="B15" s="18"/>
    </row>
    <row r="16" spans="1:2">
      <c r="A16" s="937"/>
      <c r="B16" s="18"/>
    </row>
    <row r="17" spans="1:2">
      <c r="A17" s="937"/>
      <c r="B17" s="18"/>
    </row>
    <row r="18" spans="1:2">
      <c r="A18" s="938" t="s">
        <v>658</v>
      </c>
      <c r="B18" s="20">
        <f>SUM(B5:B17)</f>
        <v>0</v>
      </c>
    </row>
    <row r="19" spans="1:2">
      <c r="A19" s="118" t="s">
        <v>649</v>
      </c>
      <c r="B19" s="119">
        <f>'RP 006'!E151</f>
        <v>0</v>
      </c>
    </row>
    <row r="20" spans="1:2">
      <c r="A20" s="118"/>
      <c r="B20" s="119">
        <f>B18-B19</f>
        <v>0</v>
      </c>
    </row>
    <row r="21" spans="1:2">
      <c r="A21" s="100"/>
      <c r="B21" s="100" t="str">
        <f>IF(B20=0,"OK","NO")</f>
        <v>OK</v>
      </c>
    </row>
  </sheetData>
  <phoneticPr fontId="76"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view="pageBreakPreview" topLeftCell="A10" zoomScaleNormal="100" zoomScaleSheetLayoutView="100" workbookViewId="0">
      <selection activeCell="C19" sqref="C19"/>
    </sheetView>
  </sheetViews>
  <sheetFormatPr defaultColWidth="9" defaultRowHeight="20.100000000000001" customHeight="1"/>
  <cols>
    <col min="1" max="2" width="30.625" style="105" customWidth="1"/>
    <col min="3" max="3" width="29.5" style="105" customWidth="1"/>
    <col min="4" max="4" width="20.5" style="105" customWidth="1"/>
    <col min="5" max="5" width="24.625" style="104" customWidth="1"/>
    <col min="6" max="9" width="9" style="104"/>
    <col min="10" max="16384" width="9" style="105"/>
  </cols>
  <sheetData>
    <row r="1" spans="1:9" ht="24.95" customHeight="1">
      <c r="A1" s="54" t="s">
        <v>145</v>
      </c>
      <c r="B1" s="55">
        <f>基础信息!B6</f>
        <v>0</v>
      </c>
      <c r="E1" s="106"/>
    </row>
    <row r="2" spans="1:9" ht="24.95" customHeight="1">
      <c r="A2" s="54" t="s">
        <v>147</v>
      </c>
      <c r="B2" s="55">
        <f>基础信息!B9</f>
        <v>0</v>
      </c>
    </row>
    <row r="3" spans="1:9" ht="24.95" customHeight="1">
      <c r="A3" s="97" t="s">
        <v>148</v>
      </c>
      <c r="B3" s="97" t="s">
        <v>1672</v>
      </c>
    </row>
    <row r="4" spans="1:9" ht="24.95" customHeight="1">
      <c r="A4" s="64" t="s">
        <v>1362</v>
      </c>
      <c r="B4" s="64" t="s">
        <v>1673</v>
      </c>
      <c r="C4" s="150"/>
      <c r="D4" s="104"/>
    </row>
    <row r="5" spans="1:9" s="27" customFormat="1" ht="20.100000000000001" customHeight="1">
      <c r="A5" s="17" t="s">
        <v>1674</v>
      </c>
      <c r="B5" s="18"/>
      <c r="C5" s="32"/>
      <c r="D5" s="102"/>
      <c r="E5" s="102"/>
      <c r="F5" s="102"/>
      <c r="G5" s="102"/>
      <c r="H5" s="102"/>
      <c r="I5" s="102"/>
    </row>
    <row r="6" spans="1:9" s="27" customFormat="1" ht="20.100000000000001" customHeight="1">
      <c r="A6" s="17" t="s">
        <v>1675</v>
      </c>
      <c r="B6" s="18"/>
      <c r="C6" s="32"/>
      <c r="D6" s="102"/>
      <c r="E6" s="102"/>
      <c r="F6" s="102"/>
      <c r="G6" s="102"/>
      <c r="H6" s="102"/>
      <c r="I6" s="102"/>
    </row>
    <row r="7" spans="1:9" s="27" customFormat="1" ht="20.100000000000001" customHeight="1">
      <c r="A7" s="17" t="s">
        <v>1676</v>
      </c>
      <c r="B7" s="18"/>
      <c r="C7" s="32"/>
      <c r="D7" s="102"/>
      <c r="E7" s="102"/>
      <c r="F7" s="102"/>
      <c r="G7" s="102"/>
      <c r="H7" s="102"/>
      <c r="I7" s="102"/>
    </row>
    <row r="8" spans="1:9" s="27" customFormat="1" ht="20.100000000000001" customHeight="1">
      <c r="A8" s="17" t="s">
        <v>1677</v>
      </c>
      <c r="B8" s="18"/>
      <c r="C8" s="32"/>
      <c r="D8" s="102"/>
      <c r="E8" s="102"/>
      <c r="F8" s="102"/>
      <c r="G8" s="102"/>
      <c r="H8" s="102"/>
      <c r="I8" s="102"/>
    </row>
    <row r="9" spans="1:9" s="27" customFormat="1" ht="20.100000000000001" customHeight="1">
      <c r="A9" s="17" t="s">
        <v>1678</v>
      </c>
      <c r="B9" s="18"/>
      <c r="C9" s="32"/>
      <c r="D9" s="102"/>
      <c r="E9" s="102"/>
      <c r="F9" s="102"/>
      <c r="G9" s="102"/>
      <c r="H9" s="102"/>
      <c r="I9" s="102"/>
    </row>
    <row r="10" spans="1:9" s="27" customFormat="1" ht="20.100000000000001" customHeight="1">
      <c r="A10" s="17" t="s">
        <v>1679</v>
      </c>
      <c r="B10" s="18"/>
      <c r="C10" s="32"/>
      <c r="D10" s="102"/>
      <c r="E10" s="102"/>
      <c r="F10" s="102"/>
      <c r="G10" s="102"/>
      <c r="H10" s="102"/>
      <c r="I10" s="102"/>
    </row>
    <row r="11" spans="1:9" s="27" customFormat="1" ht="20.100000000000001" customHeight="1">
      <c r="A11" s="17" t="s">
        <v>1680</v>
      </c>
      <c r="B11" s="18"/>
      <c r="C11" s="65"/>
      <c r="D11" s="102"/>
      <c r="E11" s="102"/>
      <c r="F11" s="102"/>
      <c r="G11" s="102"/>
      <c r="H11" s="102"/>
      <c r="I11" s="102"/>
    </row>
    <row r="12" spans="1:9" s="27" customFormat="1" ht="20.100000000000001" customHeight="1">
      <c r="A12" s="17" t="s">
        <v>1681</v>
      </c>
      <c r="B12" s="18"/>
      <c r="C12" s="65"/>
      <c r="D12" s="102"/>
      <c r="E12" s="102"/>
      <c r="F12" s="102"/>
      <c r="G12" s="102"/>
      <c r="H12" s="102"/>
      <c r="I12" s="102"/>
    </row>
    <row r="13" spans="1:9" s="27" customFormat="1" ht="20.100000000000001" customHeight="1">
      <c r="A13" s="17" t="s">
        <v>1682</v>
      </c>
      <c r="B13" s="18"/>
      <c r="C13" s="65"/>
      <c r="D13" s="102"/>
      <c r="E13" s="102"/>
      <c r="F13" s="102"/>
      <c r="G13" s="102"/>
      <c r="H13" s="102"/>
      <c r="I13" s="102"/>
    </row>
    <row r="14" spans="1:9" s="27" customFormat="1" ht="20.100000000000001" customHeight="1">
      <c r="A14" s="17" t="s">
        <v>1683</v>
      </c>
      <c r="B14" s="18"/>
      <c r="C14" s="65"/>
      <c r="D14" s="102"/>
      <c r="E14" s="102"/>
      <c r="F14" s="102"/>
      <c r="G14" s="102"/>
      <c r="H14" s="102"/>
      <c r="I14" s="102"/>
    </row>
    <row r="15" spans="1:9" s="27" customFormat="1" ht="20.100000000000001" customHeight="1">
      <c r="A15" s="17" t="s">
        <v>1684</v>
      </c>
      <c r="B15" s="18"/>
      <c r="C15" s="65"/>
      <c r="D15" s="102"/>
      <c r="E15" s="102"/>
      <c r="F15" s="102"/>
      <c r="G15" s="102"/>
      <c r="H15" s="102"/>
      <c r="I15" s="102"/>
    </row>
    <row r="16" spans="1:9" s="102" customFormat="1" ht="20.100000000000001" customHeight="1">
      <c r="A16" s="17" t="s">
        <v>1685</v>
      </c>
      <c r="B16" s="18"/>
      <c r="C16" s="65"/>
    </row>
    <row r="17" spans="1:9" s="102" customFormat="1" ht="20.100000000000001" customHeight="1">
      <c r="A17" s="17" t="s">
        <v>1322</v>
      </c>
      <c r="B17" s="18"/>
      <c r="C17" s="65"/>
    </row>
    <row r="18" spans="1:9" s="102" customFormat="1" ht="20.100000000000001" customHeight="1">
      <c r="A18" s="32" t="s">
        <v>658</v>
      </c>
      <c r="B18" s="20">
        <f>SUM(B5:B17)</f>
        <v>0</v>
      </c>
      <c r="C18" s="65"/>
    </row>
    <row r="19" spans="1:9" s="118" customFormat="1" ht="20.100000000000001" customHeight="1">
      <c r="A19" s="118" t="s">
        <v>649</v>
      </c>
      <c r="B19" s="119">
        <f>'RP 006'!E152</f>
        <v>0</v>
      </c>
      <c r="C19" s="65"/>
      <c r="D19" s="65"/>
    </row>
    <row r="20" spans="1:9" s="118" customFormat="1" ht="20.100000000000001" customHeight="1">
      <c r="B20" s="119">
        <f>B18-B19</f>
        <v>0</v>
      </c>
      <c r="C20" s="65"/>
      <c r="D20" s="65"/>
    </row>
    <row r="21" spans="1:9" s="100" customFormat="1" ht="20.100000000000001" customHeight="1">
      <c r="B21" s="100" t="str">
        <f>IF(B20=0,"OK","NO")</f>
        <v>OK</v>
      </c>
      <c r="C21" s="65"/>
      <c r="D21" s="65"/>
    </row>
    <row r="22" spans="1:9" s="102" customFormat="1" ht="20.100000000000001" customHeight="1">
      <c r="A22" s="32"/>
      <c r="B22" s="32"/>
      <c r="C22" s="65"/>
    </row>
    <row r="23" spans="1:9" ht="20.100000000000001" customHeight="1">
      <c r="C23" s="104"/>
      <c r="D23" s="104"/>
      <c r="I23" s="105"/>
    </row>
    <row r="24" spans="1:9" ht="20.100000000000001" customHeight="1">
      <c r="C24" s="104"/>
      <c r="D24" s="104"/>
      <c r="I24" s="105"/>
    </row>
    <row r="25" spans="1:9" ht="20.100000000000001" customHeight="1">
      <c r="C25" s="104"/>
      <c r="D25" s="104"/>
      <c r="I25" s="105"/>
    </row>
    <row r="26" spans="1:9" ht="20.100000000000001" customHeight="1">
      <c r="C26" s="104"/>
      <c r="D26" s="104"/>
      <c r="I26" s="105"/>
    </row>
    <row r="27" spans="1:9" ht="20.100000000000001" customHeight="1">
      <c r="C27" s="104"/>
      <c r="D27" s="104"/>
      <c r="I27" s="105"/>
    </row>
    <row r="28" spans="1:9" ht="20.100000000000001" customHeight="1">
      <c r="C28" s="104"/>
      <c r="D28" s="104"/>
      <c r="I28" s="105"/>
    </row>
    <row r="29" spans="1:9" ht="20.100000000000001" customHeight="1">
      <c r="D29" s="104"/>
      <c r="I29" s="105"/>
    </row>
    <row r="30" spans="1:9" ht="20.100000000000001" customHeight="1">
      <c r="D30" s="104"/>
      <c r="I30" s="105"/>
    </row>
    <row r="31" spans="1:9" ht="20.100000000000001" customHeight="1">
      <c r="D31" s="104"/>
      <c r="I31" s="105"/>
    </row>
    <row r="32" spans="1:9" ht="20.100000000000001" customHeight="1">
      <c r="D32" s="104"/>
      <c r="I32" s="105"/>
    </row>
    <row r="33" spans="4:9" ht="20.100000000000001" customHeight="1">
      <c r="D33" s="104"/>
      <c r="I33" s="105"/>
    </row>
    <row r="34" spans="4:9" ht="20.100000000000001" customHeight="1">
      <c r="D34" s="104"/>
      <c r="I34" s="105"/>
    </row>
    <row r="35" spans="4:9" ht="20.100000000000001" customHeight="1">
      <c r="D35" s="104"/>
      <c r="I35" s="105"/>
    </row>
    <row r="36" spans="4:9" ht="20.100000000000001" customHeight="1">
      <c r="D36" s="104"/>
      <c r="I36" s="105"/>
    </row>
    <row r="37" spans="4:9" ht="20.100000000000001" customHeight="1">
      <c r="D37" s="104"/>
      <c r="I37" s="105"/>
    </row>
    <row r="38" spans="4:9" ht="20.100000000000001" customHeight="1">
      <c r="D38" s="104"/>
      <c r="I38" s="105"/>
    </row>
    <row r="39" spans="4:9" ht="20.100000000000001" customHeight="1">
      <c r="D39" s="104"/>
      <c r="I39" s="105"/>
    </row>
    <row r="40" spans="4:9" ht="20.100000000000001" customHeight="1">
      <c r="D40" s="104"/>
      <c r="I40" s="105"/>
    </row>
    <row r="41" spans="4:9" ht="20.100000000000001" customHeight="1">
      <c r="D41" s="104"/>
      <c r="I41" s="105"/>
    </row>
    <row r="42" spans="4:9" ht="20.100000000000001" customHeight="1">
      <c r="D42" s="104"/>
      <c r="I42" s="105"/>
    </row>
    <row r="43" spans="4:9" ht="20.100000000000001" customHeight="1">
      <c r="D43" s="104"/>
      <c r="I43" s="105"/>
    </row>
  </sheetData>
  <phoneticPr fontId="76" type="noConversion"/>
  <pageMargins left="0.74791666666666701" right="0.74791666666666701" top="0.98402777777777795" bottom="0.98402777777777795" header="0.51180555555555596" footer="0.51180555555555596"/>
  <pageSetup paperSize="9" orientation="portrait" blackAndWhite="1" r:id="rId1"/>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view="pageBreakPreview" zoomScaleNormal="100" zoomScaleSheetLayoutView="100" workbookViewId="0">
      <selection activeCell="B16" sqref="B16"/>
    </sheetView>
  </sheetViews>
  <sheetFormatPr defaultColWidth="9" defaultRowHeight="20.100000000000001" customHeight="1"/>
  <cols>
    <col min="1" max="1" width="53" style="11" customWidth="1"/>
    <col min="2" max="2" width="22" style="11" customWidth="1"/>
    <col min="3" max="3" width="27.75" style="11" customWidth="1"/>
    <col min="4" max="4" width="12.75" style="11" customWidth="1"/>
    <col min="5" max="5" width="12.625" style="11" customWidth="1"/>
    <col min="6" max="14" width="12.125" style="11" customWidth="1"/>
    <col min="15" max="16" width="9" style="116"/>
    <col min="17" max="16384" width="9" style="11"/>
  </cols>
  <sheetData>
    <row r="1" spans="1:16" s="22" customFormat="1" ht="24.95" customHeight="1">
      <c r="A1" s="12" t="s">
        <v>145</v>
      </c>
      <c r="B1" s="13">
        <f>基础信息!B6</f>
        <v>0</v>
      </c>
      <c r="D1" s="25"/>
      <c r="O1" s="128"/>
      <c r="P1" s="128"/>
    </row>
    <row r="2" spans="1:16" s="22" customFormat="1" ht="24.95" customHeight="1">
      <c r="A2" s="12" t="s">
        <v>147</v>
      </c>
      <c r="B2" s="13">
        <f>基础信息!B9</f>
        <v>0</v>
      </c>
      <c r="O2" s="128"/>
      <c r="P2" s="128"/>
    </row>
    <row r="3" spans="1:16" s="22" customFormat="1" ht="24.95" customHeight="1">
      <c r="A3" s="74" t="s">
        <v>148</v>
      </c>
      <c r="B3" s="133" t="s">
        <v>102</v>
      </c>
      <c r="D3" s="128"/>
      <c r="E3" s="128"/>
      <c r="F3" s="128"/>
      <c r="G3" s="128"/>
      <c r="H3" s="128"/>
      <c r="I3" s="128"/>
      <c r="J3" s="128"/>
      <c r="K3" s="128"/>
      <c r="L3" s="128"/>
      <c r="M3" s="128"/>
      <c r="N3" s="128"/>
      <c r="O3" s="128"/>
      <c r="P3" s="128"/>
    </row>
    <row r="4" spans="1:16" s="127" customFormat="1" ht="24.95" customHeight="1">
      <c r="A4" s="51" t="s">
        <v>1717</v>
      </c>
      <c r="B4" s="51" t="s">
        <v>1687</v>
      </c>
      <c r="C4" s="51" t="s">
        <v>1688</v>
      </c>
      <c r="D4" s="15"/>
      <c r="E4" s="15"/>
      <c r="F4" s="15"/>
      <c r="G4" s="15"/>
      <c r="H4" s="15"/>
      <c r="I4" s="15"/>
      <c r="J4" s="15"/>
      <c r="K4" s="15"/>
      <c r="L4" s="15"/>
      <c r="M4" s="15"/>
      <c r="N4" s="15"/>
      <c r="O4" s="15"/>
      <c r="P4" s="15"/>
    </row>
    <row r="5" spans="1:16" s="9" customFormat="1" ht="20.100000000000001" customHeight="1">
      <c r="A5" s="134" t="s">
        <v>1718</v>
      </c>
      <c r="B5" s="18"/>
      <c r="C5" s="18"/>
      <c r="D5" s="7"/>
      <c r="E5" s="7"/>
      <c r="F5" s="7"/>
      <c r="G5" s="7"/>
      <c r="H5" s="7"/>
      <c r="I5" s="7"/>
      <c r="J5" s="7"/>
      <c r="K5" s="7"/>
      <c r="L5" s="7"/>
      <c r="M5" s="7"/>
      <c r="N5" s="7"/>
      <c r="O5" s="7" t="s">
        <v>1690</v>
      </c>
      <c r="P5" s="7"/>
    </row>
    <row r="6" spans="1:16" s="9" customFormat="1" ht="20.100000000000001" customHeight="1">
      <c r="A6" s="134" t="s">
        <v>1719</v>
      </c>
      <c r="B6" s="18"/>
      <c r="C6" s="18"/>
      <c r="D6" s="7"/>
      <c r="E6" s="7"/>
      <c r="F6" s="7"/>
      <c r="G6" s="7"/>
      <c r="H6" s="7"/>
      <c r="I6" s="7"/>
      <c r="J6" s="7"/>
      <c r="K6" s="7"/>
      <c r="L6" s="7"/>
      <c r="M6" s="7"/>
      <c r="N6" s="7"/>
      <c r="O6" s="7" t="s">
        <v>1691</v>
      </c>
      <c r="P6" s="7"/>
    </row>
    <row r="7" spans="1:16" s="9" customFormat="1" ht="20.100000000000001" customHeight="1">
      <c r="A7" s="134" t="s">
        <v>1720</v>
      </c>
      <c r="B7" s="18"/>
      <c r="C7" s="18"/>
      <c r="D7" s="7"/>
      <c r="E7" s="7"/>
      <c r="F7" s="7"/>
      <c r="G7" s="7"/>
      <c r="H7" s="7"/>
      <c r="I7" s="7"/>
      <c r="J7" s="7"/>
      <c r="K7" s="7"/>
      <c r="L7" s="7"/>
      <c r="M7" s="7"/>
      <c r="N7" s="7"/>
      <c r="O7" s="7" t="s">
        <v>1692</v>
      </c>
      <c r="P7" s="7"/>
    </row>
    <row r="8" spans="1:16" s="9" customFormat="1" ht="20.100000000000001" customHeight="1">
      <c r="A8" s="134" t="s">
        <v>1721</v>
      </c>
      <c r="B8" s="18"/>
      <c r="C8" s="18"/>
      <c r="D8" s="7"/>
      <c r="E8" s="7"/>
      <c r="F8" s="7"/>
      <c r="G8" s="7"/>
      <c r="H8" s="7"/>
      <c r="I8" s="7"/>
      <c r="J8" s="7"/>
      <c r="K8" s="7"/>
      <c r="L8" s="7"/>
      <c r="M8" s="7"/>
      <c r="N8" s="7"/>
      <c r="O8" s="7" t="s">
        <v>1693</v>
      </c>
      <c r="P8" s="7"/>
    </row>
    <row r="9" spans="1:16" s="9" customFormat="1" ht="20.100000000000001" customHeight="1">
      <c r="A9" s="134" t="s">
        <v>1722</v>
      </c>
      <c r="B9" s="18"/>
      <c r="C9" s="18"/>
      <c r="D9" s="7"/>
      <c r="E9" s="7"/>
      <c r="F9" s="7"/>
      <c r="G9" s="7"/>
      <c r="H9" s="7"/>
      <c r="I9" s="7"/>
      <c r="J9" s="7"/>
      <c r="K9" s="7"/>
      <c r="L9" s="7"/>
      <c r="M9" s="7"/>
      <c r="N9" s="7"/>
      <c r="O9" s="7" t="s">
        <v>172</v>
      </c>
      <c r="P9" s="7"/>
    </row>
    <row r="10" spans="1:16" s="9" customFormat="1" ht="20.100000000000001" customHeight="1">
      <c r="A10" s="134" t="s">
        <v>1723</v>
      </c>
      <c r="B10" s="18"/>
      <c r="C10" s="18"/>
      <c r="D10" s="7"/>
      <c r="E10" s="7"/>
      <c r="F10" s="7"/>
      <c r="G10" s="7"/>
      <c r="H10" s="7"/>
      <c r="I10" s="7"/>
      <c r="J10" s="7"/>
      <c r="K10" s="7"/>
      <c r="L10" s="7"/>
      <c r="M10" s="7"/>
      <c r="N10" s="7"/>
      <c r="O10" s="7" t="s">
        <v>1694</v>
      </c>
      <c r="P10" s="7"/>
    </row>
    <row r="11" spans="1:16" s="9" customFormat="1" ht="20.100000000000001" customHeight="1">
      <c r="A11" s="134" t="s">
        <v>1724</v>
      </c>
      <c r="B11" s="18"/>
      <c r="C11" s="18"/>
      <c r="D11" s="7"/>
      <c r="E11" s="7"/>
      <c r="F11" s="7"/>
      <c r="G11" s="7"/>
      <c r="H11" s="7"/>
      <c r="I11" s="7"/>
      <c r="J11" s="7"/>
      <c r="K11" s="7"/>
      <c r="L11" s="7"/>
      <c r="M11" s="7"/>
      <c r="N11" s="7"/>
      <c r="O11" s="7" t="s">
        <v>1695</v>
      </c>
      <c r="P11" s="7"/>
    </row>
    <row r="12" spans="1:16" s="9" customFormat="1" ht="20.100000000000001" customHeight="1">
      <c r="A12" s="134"/>
      <c r="B12" s="18"/>
      <c r="C12" s="18"/>
      <c r="D12" s="7"/>
      <c r="E12" s="7"/>
      <c r="F12" s="7"/>
      <c r="G12" s="7"/>
      <c r="H12" s="7"/>
      <c r="I12" s="7"/>
      <c r="J12" s="7"/>
      <c r="K12" s="7"/>
      <c r="L12" s="7"/>
      <c r="M12" s="7"/>
      <c r="N12" s="7"/>
      <c r="O12" s="7" t="s">
        <v>1696</v>
      </c>
      <c r="P12" s="7"/>
    </row>
    <row r="13" spans="1:16" s="9" customFormat="1" ht="20.100000000000001" customHeight="1">
      <c r="A13" s="17"/>
      <c r="B13" s="18"/>
      <c r="C13" s="18"/>
      <c r="D13" s="7"/>
      <c r="E13" s="7"/>
      <c r="F13" s="7"/>
      <c r="G13" s="7"/>
      <c r="H13" s="7"/>
      <c r="I13" s="7"/>
      <c r="J13" s="7"/>
      <c r="K13" s="7"/>
      <c r="L13" s="7"/>
      <c r="M13" s="7"/>
      <c r="N13" s="7"/>
      <c r="O13" s="7" t="s">
        <v>1697</v>
      </c>
      <c r="P13" s="7"/>
    </row>
    <row r="14" spans="1:16" s="9" customFormat="1" ht="20.100000000000001" customHeight="1">
      <c r="A14" s="17"/>
      <c r="B14" s="18"/>
      <c r="C14" s="18"/>
      <c r="D14" s="7"/>
      <c r="E14" s="7"/>
      <c r="F14" s="7"/>
      <c r="G14" s="7"/>
      <c r="H14" s="7"/>
      <c r="I14" s="7"/>
      <c r="J14" s="7"/>
      <c r="K14" s="7"/>
      <c r="L14" s="7"/>
      <c r="M14" s="7"/>
      <c r="N14" s="7"/>
      <c r="O14" s="7"/>
      <c r="P14" s="7"/>
    </row>
    <row r="15" spans="1:16" s="9" customFormat="1" ht="20.100000000000001" customHeight="1">
      <c r="A15" s="32" t="s">
        <v>658</v>
      </c>
      <c r="B15" s="20">
        <f>SUM(B5:B14)</f>
        <v>0</v>
      </c>
      <c r="C15" s="20">
        <f>SUM(C5:C14)</f>
        <v>0</v>
      </c>
      <c r="D15" s="7"/>
      <c r="E15" s="7"/>
      <c r="F15" s="7"/>
      <c r="G15" s="7"/>
      <c r="H15" s="7"/>
      <c r="I15" s="7"/>
      <c r="J15" s="7"/>
      <c r="K15" s="7"/>
      <c r="L15" s="7"/>
      <c r="M15" s="7"/>
      <c r="N15" s="7"/>
      <c r="O15" s="7"/>
      <c r="P15" s="7"/>
    </row>
    <row r="16" spans="1:16" s="115" customFormat="1" ht="20.100000000000001" customHeight="1">
      <c r="A16" s="118" t="s">
        <v>649</v>
      </c>
      <c r="B16" s="119">
        <f>'RP 006'!E153</f>
        <v>0</v>
      </c>
      <c r="C16" s="130"/>
    </row>
    <row r="17" spans="1:16" s="115" customFormat="1" ht="20.100000000000001" customHeight="1">
      <c r="B17" s="121">
        <f>B15-B16</f>
        <v>0</v>
      </c>
      <c r="C17" s="131"/>
    </row>
    <row r="18" spans="1:16" s="29" customFormat="1" ht="20.100000000000001" customHeight="1">
      <c r="B18" s="29" t="str">
        <f>IF(B17=0,"OK","NO")</f>
        <v>OK</v>
      </c>
    </row>
    <row r="19" spans="1:16" s="9" customFormat="1" ht="12.75">
      <c r="A19" s="1372"/>
      <c r="B19" s="1367"/>
      <c r="C19" s="1367"/>
      <c r="D19" s="135"/>
      <c r="O19" s="7"/>
      <c r="P19" s="7"/>
    </row>
    <row r="20" spans="1:16" ht="20.100000000000001" customHeight="1">
      <c r="A20" s="132"/>
      <c r="B20" s="132"/>
      <c r="C20" s="132"/>
      <c r="D20" s="132"/>
    </row>
  </sheetData>
  <mergeCells count="1">
    <mergeCell ref="A19:C19"/>
  </mergeCells>
  <phoneticPr fontId="76" type="noConversion"/>
  <pageMargins left="0.43263888888888902" right="0.47152777777777799" top="0.98402777777777795" bottom="0.98402777777777795" header="0.51180555555555596" footer="0.51180555555555596"/>
  <pageSetup paperSize="9" scale="84" orientation="portrait" blackAndWhite="1" r:id="rId1"/>
  <headerFooter alignWithMargins="0"/>
  <rowBreaks count="1" manualBreakCount="1">
    <brk id="33" max="16383" man="1"/>
  </rowBreak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view="pageBreakPreview" topLeftCell="A4" zoomScaleNormal="100" zoomScaleSheetLayoutView="100" workbookViewId="0">
      <selection activeCell="A17" sqref="A17"/>
    </sheetView>
  </sheetViews>
  <sheetFormatPr defaultColWidth="9" defaultRowHeight="20.100000000000001" customHeight="1"/>
  <cols>
    <col min="1" max="1" width="30.625" style="11" customWidth="1"/>
    <col min="2" max="2" width="22" style="11" customWidth="1"/>
    <col min="3" max="3" width="27.75" style="11" customWidth="1"/>
    <col min="4" max="4" width="23.25" style="11" customWidth="1"/>
    <col min="5" max="5" width="12.625" style="11" customWidth="1"/>
    <col min="6" max="14" width="12.125" style="11" customWidth="1"/>
    <col min="15" max="16" width="9" style="116"/>
    <col min="17" max="16384" width="9" style="11"/>
  </cols>
  <sheetData>
    <row r="1" spans="1:16" s="22" customFormat="1" ht="24.95" customHeight="1">
      <c r="A1" s="12" t="s">
        <v>145</v>
      </c>
      <c r="B1" s="13">
        <f>基础信息!B6</f>
        <v>0</v>
      </c>
      <c r="O1" s="128"/>
      <c r="P1" s="128"/>
    </row>
    <row r="2" spans="1:16" s="22" customFormat="1" ht="24.95" customHeight="1">
      <c r="A2" s="12" t="s">
        <v>147</v>
      </c>
      <c r="B2" s="13">
        <f>基础信息!B9</f>
        <v>0</v>
      </c>
      <c r="O2" s="128"/>
      <c r="P2" s="128"/>
    </row>
    <row r="3" spans="1:16" s="22" customFormat="1" ht="24.95" customHeight="1">
      <c r="A3" s="74" t="s">
        <v>148</v>
      </c>
      <c r="B3" s="74" t="s">
        <v>1725</v>
      </c>
      <c r="D3" s="128"/>
      <c r="E3" s="128"/>
      <c r="F3" s="128"/>
      <c r="G3" s="128"/>
      <c r="H3" s="128"/>
      <c r="I3" s="128"/>
      <c r="J3" s="128"/>
      <c r="K3" s="128"/>
      <c r="L3" s="128"/>
      <c r="M3" s="128"/>
      <c r="N3" s="128"/>
      <c r="O3" s="128"/>
      <c r="P3" s="128"/>
    </row>
    <row r="4" spans="1:16" s="127" customFormat="1" ht="24.95" customHeight="1">
      <c r="A4" s="16" t="s">
        <v>997</v>
      </c>
      <c r="B4" s="16" t="s">
        <v>1653</v>
      </c>
      <c r="C4" s="16" t="s">
        <v>1726</v>
      </c>
      <c r="D4" s="15"/>
      <c r="E4" s="15"/>
      <c r="F4" s="15"/>
      <c r="G4" s="15"/>
      <c r="H4" s="15"/>
      <c r="I4" s="15"/>
      <c r="J4" s="15"/>
      <c r="K4" s="15"/>
      <c r="L4" s="15"/>
      <c r="M4" s="15"/>
      <c r="N4" s="15"/>
      <c r="O4" s="15"/>
      <c r="P4" s="15"/>
    </row>
    <row r="5" spans="1:16" s="9" customFormat="1" ht="20.100000000000001" customHeight="1">
      <c r="A5" s="129" t="s">
        <v>1727</v>
      </c>
      <c r="B5" s="18"/>
      <c r="C5" s="18"/>
      <c r="D5" s="7"/>
      <c r="E5" s="7"/>
      <c r="F5" s="7"/>
      <c r="G5" s="7"/>
      <c r="H5" s="7"/>
      <c r="I5" s="7"/>
      <c r="J5" s="7"/>
      <c r="K5" s="7"/>
      <c r="L5" s="7"/>
      <c r="M5" s="7"/>
      <c r="N5" s="7"/>
      <c r="O5" s="7" t="s">
        <v>1690</v>
      </c>
      <c r="P5" s="7"/>
    </row>
    <row r="6" spans="1:16" s="9" customFormat="1" ht="20.100000000000001" customHeight="1">
      <c r="A6" s="129" t="s">
        <v>1728</v>
      </c>
      <c r="B6" s="18"/>
      <c r="C6" s="18"/>
      <c r="D6" s="7"/>
      <c r="E6" s="7"/>
      <c r="F6" s="7"/>
      <c r="G6" s="7"/>
      <c r="H6" s="7"/>
      <c r="I6" s="7"/>
      <c r="J6" s="7"/>
      <c r="K6" s="7"/>
      <c r="L6" s="7"/>
      <c r="M6" s="7"/>
      <c r="N6" s="7"/>
      <c r="O6" s="7" t="s">
        <v>1691</v>
      </c>
      <c r="P6" s="7"/>
    </row>
    <row r="7" spans="1:16" s="9" customFormat="1" ht="20.100000000000001" customHeight="1">
      <c r="A7" s="129" t="s">
        <v>1729</v>
      </c>
      <c r="B7" s="18"/>
      <c r="C7" s="18"/>
      <c r="D7" s="7"/>
      <c r="E7" s="7"/>
      <c r="F7" s="7"/>
      <c r="G7" s="7"/>
      <c r="H7" s="7"/>
      <c r="I7" s="7"/>
      <c r="J7" s="7"/>
      <c r="K7" s="7"/>
      <c r="L7" s="7"/>
      <c r="M7" s="7"/>
      <c r="N7" s="7"/>
      <c r="O7" s="7" t="s">
        <v>1692</v>
      </c>
      <c r="P7" s="7"/>
    </row>
    <row r="8" spans="1:16" s="9" customFormat="1" ht="20.100000000000001" customHeight="1">
      <c r="A8" s="129" t="s">
        <v>1730</v>
      </c>
      <c r="B8" s="18"/>
      <c r="C8" s="18"/>
      <c r="D8" s="7"/>
      <c r="E8" s="7"/>
      <c r="F8" s="7"/>
      <c r="G8" s="7"/>
      <c r="H8" s="7"/>
      <c r="I8" s="7"/>
      <c r="J8" s="7"/>
      <c r="K8" s="7"/>
      <c r="L8" s="7"/>
      <c r="M8" s="7"/>
      <c r="N8" s="7"/>
      <c r="O8" s="7" t="s">
        <v>1693</v>
      </c>
      <c r="P8" s="7"/>
    </row>
    <row r="9" spans="1:16" s="9" customFormat="1" ht="20.100000000000001" customHeight="1">
      <c r="A9" s="17" t="s">
        <v>977</v>
      </c>
      <c r="B9" s="18"/>
      <c r="C9" s="18"/>
      <c r="D9" s="7"/>
      <c r="E9" s="7"/>
      <c r="F9" s="7"/>
      <c r="G9" s="7"/>
      <c r="H9" s="7"/>
      <c r="I9" s="7"/>
      <c r="J9" s="7"/>
      <c r="K9" s="7"/>
      <c r="L9" s="7"/>
      <c r="M9" s="7"/>
      <c r="N9" s="7"/>
      <c r="O9" s="7" t="s">
        <v>172</v>
      </c>
      <c r="P9" s="7"/>
    </row>
    <row r="10" spans="1:16" s="9" customFormat="1" ht="20.100000000000001" customHeight="1">
      <c r="A10" s="17"/>
      <c r="B10" s="18"/>
      <c r="C10" s="18"/>
      <c r="D10" s="7"/>
      <c r="E10" s="7"/>
      <c r="F10" s="7"/>
      <c r="G10" s="7"/>
      <c r="H10" s="7"/>
      <c r="I10" s="7"/>
      <c r="J10" s="7"/>
      <c r="K10" s="7"/>
      <c r="L10" s="7"/>
      <c r="M10" s="7"/>
      <c r="N10" s="7"/>
      <c r="O10" s="7" t="s">
        <v>1694</v>
      </c>
      <c r="P10" s="7"/>
    </row>
    <row r="11" spans="1:16" s="9" customFormat="1" ht="20.100000000000001" customHeight="1">
      <c r="A11" s="17"/>
      <c r="B11" s="18"/>
      <c r="C11" s="18"/>
      <c r="D11" s="7"/>
      <c r="E11" s="7"/>
      <c r="F11" s="7"/>
      <c r="G11" s="7"/>
      <c r="H11" s="7"/>
      <c r="I11" s="7"/>
      <c r="J11" s="7"/>
      <c r="K11" s="7"/>
      <c r="L11" s="7"/>
      <c r="M11" s="7"/>
      <c r="N11" s="7"/>
      <c r="O11" s="7" t="s">
        <v>1695</v>
      </c>
      <c r="P11" s="7"/>
    </row>
    <row r="12" spans="1:16" s="9" customFormat="1" ht="20.100000000000001" customHeight="1">
      <c r="A12" s="17"/>
      <c r="B12" s="18"/>
      <c r="C12" s="18"/>
      <c r="D12" s="7"/>
      <c r="E12" s="7"/>
      <c r="F12" s="7"/>
      <c r="G12" s="7"/>
      <c r="H12" s="7"/>
      <c r="I12" s="7"/>
      <c r="J12" s="7"/>
      <c r="K12" s="7"/>
      <c r="L12" s="7"/>
      <c r="M12" s="7"/>
      <c r="N12" s="7"/>
      <c r="O12" s="7" t="s">
        <v>1696</v>
      </c>
      <c r="P12" s="7"/>
    </row>
    <row r="13" spans="1:16" s="9" customFormat="1" ht="20.100000000000001" customHeight="1">
      <c r="A13" s="17"/>
      <c r="B13" s="18"/>
      <c r="C13" s="18"/>
      <c r="D13" s="7"/>
      <c r="E13" s="7"/>
      <c r="F13" s="7"/>
      <c r="G13" s="7"/>
      <c r="H13" s="7"/>
      <c r="I13" s="7"/>
      <c r="J13" s="7"/>
      <c r="K13" s="7"/>
      <c r="L13" s="7"/>
      <c r="M13" s="7"/>
      <c r="N13" s="7"/>
      <c r="O13" s="7" t="s">
        <v>1697</v>
      </c>
      <c r="P13" s="7"/>
    </row>
    <row r="14" spans="1:16" s="9" customFormat="1" ht="20.100000000000001" customHeight="1">
      <c r="B14" s="18"/>
      <c r="C14" s="18"/>
      <c r="D14" s="7"/>
      <c r="E14" s="7"/>
      <c r="F14" s="7"/>
      <c r="G14" s="7"/>
      <c r="H14" s="7"/>
      <c r="I14" s="7"/>
      <c r="J14" s="7"/>
      <c r="K14" s="7"/>
      <c r="L14" s="7"/>
      <c r="M14" s="7"/>
      <c r="N14" s="7"/>
      <c r="O14" s="7"/>
      <c r="P14" s="7"/>
    </row>
    <row r="15" spans="1:16" s="9" customFormat="1" ht="20.100000000000001" customHeight="1">
      <c r="A15" s="32" t="s">
        <v>658</v>
      </c>
      <c r="B15" s="20">
        <f>SUM(B5:B14)</f>
        <v>0</v>
      </c>
      <c r="C15" s="20">
        <f>SUM(C5:C14)</f>
        <v>0</v>
      </c>
      <c r="D15" s="120"/>
      <c r="E15" s="7"/>
      <c r="F15" s="7"/>
      <c r="G15" s="7"/>
      <c r="H15" s="7"/>
      <c r="I15" s="7"/>
      <c r="J15" s="7"/>
      <c r="K15" s="7"/>
      <c r="L15" s="7"/>
      <c r="M15" s="7"/>
      <c r="N15" s="7"/>
      <c r="O15" s="7"/>
      <c r="P15" s="7"/>
    </row>
    <row r="16" spans="1:16" s="115" customFormat="1" ht="20.100000000000001" customHeight="1">
      <c r="A16" s="118" t="s">
        <v>649</v>
      </c>
      <c r="B16" s="119">
        <f>'RP 006'!E155</f>
        <v>0</v>
      </c>
      <c r="C16" s="130"/>
    </row>
    <row r="17" spans="1:16" s="115" customFormat="1" ht="20.100000000000001" customHeight="1">
      <c r="B17" s="121">
        <f>B15-B16</f>
        <v>0</v>
      </c>
      <c r="C17" s="131"/>
    </row>
    <row r="18" spans="1:16" s="29" customFormat="1" ht="20.100000000000001" customHeight="1">
      <c r="B18" s="29" t="str">
        <f>IF(B17=0,"OK","NO")</f>
        <v>OK</v>
      </c>
    </row>
    <row r="19" spans="1:16" s="9" customFormat="1" ht="20.100000000000001" customHeight="1">
      <c r="A19" s="1367"/>
      <c r="B19" s="1367"/>
      <c r="C19" s="1367"/>
      <c r="D19" s="1367"/>
      <c r="O19" s="7"/>
      <c r="P19" s="7"/>
    </row>
    <row r="20" spans="1:16" ht="20.100000000000001" customHeight="1">
      <c r="A20" s="132"/>
      <c r="B20" s="132"/>
      <c r="C20" s="132"/>
      <c r="D20" s="132"/>
    </row>
  </sheetData>
  <mergeCells count="1">
    <mergeCell ref="A19:D19"/>
  </mergeCells>
  <phoneticPr fontId="76" type="noConversion"/>
  <pageMargins left="0.43263888888888902" right="0.47152777777777799" top="0.98402777777777795" bottom="0.98402777777777795" header="0.51180555555555596" footer="0.51180555555555596"/>
  <pageSetup paperSize="9" scale="84" orientation="portrait" blackAndWhite="1" r:id="rId1"/>
  <headerFooter alignWithMargins="0"/>
  <rowBreaks count="1" manualBreakCount="1">
    <brk id="33" max="16383" man="1"/>
  </rowBreak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
  <sheetViews>
    <sheetView view="pageBreakPreview" zoomScaleNormal="100" zoomScaleSheetLayoutView="100" workbookViewId="0">
      <selection activeCell="A17" sqref="A17"/>
    </sheetView>
  </sheetViews>
  <sheetFormatPr defaultColWidth="9" defaultRowHeight="20.100000000000001" customHeight="1"/>
  <cols>
    <col min="1" max="2" width="30.625" style="11" customWidth="1"/>
    <col min="3" max="3" width="20.625" style="11" customWidth="1"/>
    <col min="4" max="4" width="22.5" style="11" customWidth="1"/>
    <col min="5" max="5" width="24.625" style="116" customWidth="1"/>
    <col min="6" max="14" width="7.625" style="116" customWidth="1"/>
    <col min="15" max="17" width="9" style="116"/>
    <col min="18" max="16384" width="9" style="11"/>
  </cols>
  <sheetData>
    <row r="1" spans="1:17" ht="24.95" customHeight="1">
      <c r="A1" s="12" t="s">
        <v>145</v>
      </c>
      <c r="B1" s="13">
        <f>基础信息!B6</f>
        <v>0</v>
      </c>
      <c r="E1" s="14"/>
    </row>
    <row r="2" spans="1:17" ht="24.95" customHeight="1">
      <c r="A2" s="12" t="s">
        <v>147</v>
      </c>
      <c r="B2" s="13">
        <f>基础信息!B9</f>
        <v>0</v>
      </c>
    </row>
    <row r="3" spans="1:17" ht="24.95" customHeight="1">
      <c r="A3" s="74" t="s">
        <v>148</v>
      </c>
      <c r="B3" s="74" t="s">
        <v>1731</v>
      </c>
    </row>
    <row r="4" spans="1:17" s="9" customFormat="1" ht="24.95" customHeight="1">
      <c r="A4" s="16" t="s">
        <v>754</v>
      </c>
      <c r="B4" s="16" t="s">
        <v>1653</v>
      </c>
      <c r="C4" s="16" t="s">
        <v>1726</v>
      </c>
      <c r="D4" s="7"/>
      <c r="E4" s="7"/>
      <c r="F4" s="7"/>
      <c r="G4" s="7"/>
      <c r="H4" s="7"/>
      <c r="I4" s="7"/>
      <c r="J4" s="7"/>
      <c r="K4" s="7"/>
      <c r="L4" s="7"/>
      <c r="M4" s="7"/>
      <c r="N4" s="126" t="s">
        <v>1732</v>
      </c>
      <c r="O4" s="126"/>
      <c r="P4" s="7"/>
      <c r="Q4" s="7"/>
    </row>
    <row r="5" spans="1:17" s="9" customFormat="1" ht="20.100000000000001" customHeight="1">
      <c r="A5" s="122" t="s">
        <v>1733</v>
      </c>
      <c r="B5" s="18"/>
      <c r="C5" s="18"/>
      <c r="D5" s="7"/>
      <c r="E5" s="7"/>
      <c r="F5" s="7"/>
      <c r="G5" s="7"/>
      <c r="H5" s="7"/>
      <c r="I5" s="7"/>
      <c r="J5" s="7"/>
      <c r="K5" s="7"/>
      <c r="L5" s="7"/>
      <c r="M5" s="7"/>
      <c r="N5" s="126" t="s">
        <v>1734</v>
      </c>
      <c r="O5" s="126"/>
      <c r="P5" s="7"/>
      <c r="Q5" s="7"/>
    </row>
    <row r="6" spans="1:17" s="9" customFormat="1" ht="20.100000000000001" customHeight="1">
      <c r="A6" s="122" t="s">
        <v>1735</v>
      </c>
      <c r="B6" s="18"/>
      <c r="C6" s="18"/>
      <c r="D6" s="7"/>
      <c r="E6" s="7"/>
      <c r="F6" s="7"/>
      <c r="G6" s="7"/>
      <c r="H6" s="7"/>
      <c r="I6" s="7"/>
      <c r="J6" s="7"/>
      <c r="K6" s="7"/>
      <c r="L6" s="7"/>
      <c r="M6" s="7"/>
      <c r="N6" s="126" t="s">
        <v>1736</v>
      </c>
      <c r="O6" s="126"/>
      <c r="P6" s="7"/>
      <c r="Q6" s="7"/>
    </row>
    <row r="7" spans="1:17" s="9" customFormat="1" ht="20.100000000000001" customHeight="1">
      <c r="A7" s="122" t="s">
        <v>1737</v>
      </c>
      <c r="B7" s="18"/>
      <c r="C7" s="18"/>
      <c r="D7" s="7"/>
      <c r="E7" s="7"/>
      <c r="F7" s="7"/>
      <c r="G7" s="7"/>
      <c r="H7" s="7"/>
      <c r="I7" s="7"/>
      <c r="J7" s="7"/>
      <c r="K7" s="7"/>
      <c r="L7" s="7"/>
      <c r="M7" s="7"/>
      <c r="N7" s="126" t="s">
        <v>1738</v>
      </c>
      <c r="O7" s="126"/>
      <c r="P7" s="7"/>
      <c r="Q7" s="7"/>
    </row>
    <row r="8" spans="1:17" s="9" customFormat="1" ht="20.100000000000001" customHeight="1">
      <c r="A8" s="122" t="s">
        <v>1739</v>
      </c>
      <c r="B8" s="18"/>
      <c r="C8" s="18"/>
      <c r="D8" s="7"/>
      <c r="E8" s="7"/>
      <c r="F8" s="7"/>
      <c r="G8" s="7"/>
      <c r="H8" s="7"/>
      <c r="I8" s="7"/>
      <c r="J8" s="7"/>
      <c r="K8" s="7"/>
      <c r="L8" s="7"/>
      <c r="M8" s="7"/>
      <c r="N8" s="126" t="s">
        <v>1740</v>
      </c>
      <c r="O8" s="126"/>
      <c r="P8" s="7"/>
      <c r="Q8" s="7"/>
    </row>
    <row r="9" spans="1:17" s="9" customFormat="1" ht="20.100000000000001" customHeight="1">
      <c r="A9" s="122" t="s">
        <v>1741</v>
      </c>
      <c r="B9" s="18"/>
      <c r="C9" s="18"/>
      <c r="D9" s="7"/>
      <c r="E9" s="7"/>
      <c r="F9" s="7"/>
      <c r="G9" s="7"/>
      <c r="H9" s="7"/>
      <c r="I9" s="7"/>
      <c r="J9" s="7"/>
      <c r="K9" s="7"/>
      <c r="L9" s="7"/>
      <c r="M9" s="7"/>
      <c r="N9" s="126" t="s">
        <v>1742</v>
      </c>
      <c r="O9" s="126"/>
      <c r="P9" s="7"/>
      <c r="Q9" s="7"/>
    </row>
    <row r="10" spans="1:17" s="9" customFormat="1" ht="20.100000000000001" customHeight="1">
      <c r="A10" s="123" t="s">
        <v>977</v>
      </c>
      <c r="B10" s="18"/>
      <c r="C10" s="18"/>
      <c r="D10" s="7"/>
      <c r="E10" s="7"/>
      <c r="F10" s="7"/>
      <c r="G10" s="7"/>
      <c r="H10" s="7"/>
      <c r="I10" s="7"/>
      <c r="J10" s="7"/>
      <c r="K10" s="7"/>
      <c r="L10" s="7"/>
      <c r="M10" s="7"/>
      <c r="N10" s="126" t="s">
        <v>90</v>
      </c>
      <c r="O10" s="126"/>
      <c r="P10" s="7"/>
      <c r="Q10" s="7"/>
    </row>
    <row r="11" spans="1:17" s="9" customFormat="1" ht="20.100000000000001" customHeight="1">
      <c r="A11" s="32"/>
      <c r="B11" s="18"/>
      <c r="C11" s="18"/>
      <c r="D11" s="7"/>
      <c r="E11" s="7"/>
      <c r="F11" s="7"/>
      <c r="G11" s="7"/>
      <c r="H11" s="7"/>
      <c r="I11" s="7"/>
      <c r="J11" s="7"/>
      <c r="K11" s="7"/>
      <c r="L11" s="7"/>
      <c r="M11" s="7"/>
      <c r="N11" s="126" t="s">
        <v>1743</v>
      </c>
      <c r="O11" s="126"/>
      <c r="P11" s="7"/>
      <c r="Q11" s="7"/>
    </row>
    <row r="12" spans="1:17" s="9" customFormat="1" ht="20.100000000000001" customHeight="1">
      <c r="A12" s="32"/>
      <c r="B12" s="18"/>
      <c r="C12" s="18"/>
      <c r="D12" s="7"/>
      <c r="E12" s="7"/>
      <c r="F12" s="7"/>
      <c r="G12" s="7"/>
      <c r="H12" s="7"/>
      <c r="I12" s="7"/>
      <c r="J12" s="7"/>
      <c r="K12" s="7"/>
      <c r="L12" s="7"/>
      <c r="M12" s="7"/>
      <c r="N12" s="126" t="s">
        <v>1744</v>
      </c>
      <c r="O12" s="126"/>
      <c r="P12" s="7"/>
      <c r="Q12" s="7"/>
    </row>
    <row r="13" spans="1:17" s="9" customFormat="1" ht="20.100000000000001" customHeight="1">
      <c r="A13" s="32"/>
      <c r="B13" s="18"/>
      <c r="C13" s="18"/>
      <c r="D13" s="7"/>
      <c r="E13" s="7"/>
      <c r="F13" s="7"/>
      <c r="G13" s="7"/>
      <c r="H13" s="7"/>
      <c r="I13" s="7"/>
      <c r="J13" s="7"/>
      <c r="K13" s="7"/>
      <c r="L13" s="7"/>
      <c r="M13" s="7"/>
      <c r="N13" s="126" t="s">
        <v>1697</v>
      </c>
      <c r="O13" s="126"/>
      <c r="P13" s="7"/>
      <c r="Q13" s="7"/>
    </row>
    <row r="14" spans="1:17" s="9" customFormat="1" ht="20.100000000000001" customHeight="1">
      <c r="A14" s="32"/>
      <c r="B14" s="18"/>
      <c r="C14" s="18"/>
      <c r="D14" s="7"/>
      <c r="E14" s="7"/>
      <c r="F14" s="7"/>
      <c r="G14" s="7"/>
      <c r="H14" s="7"/>
      <c r="I14" s="7"/>
      <c r="J14" s="7"/>
      <c r="K14" s="7"/>
      <c r="L14" s="7"/>
      <c r="M14" s="7"/>
      <c r="N14" s="126" t="s">
        <v>896</v>
      </c>
      <c r="O14" s="126"/>
      <c r="P14" s="7"/>
      <c r="Q14" s="7"/>
    </row>
    <row r="15" spans="1:17" s="9" customFormat="1" ht="20.100000000000001" customHeight="1">
      <c r="A15" s="32" t="s">
        <v>658</v>
      </c>
      <c r="B15" s="20">
        <f>SUM(B5:B14)</f>
        <v>0</v>
      </c>
      <c r="C15" s="20">
        <f>SUM(C5:C14)</f>
        <v>0</v>
      </c>
      <c r="D15" s="120"/>
      <c r="E15" s="120"/>
      <c r="F15" s="120"/>
      <c r="G15" s="120"/>
      <c r="H15" s="120"/>
      <c r="I15" s="120"/>
      <c r="J15" s="120"/>
      <c r="K15" s="120"/>
      <c r="L15" s="120"/>
      <c r="M15" s="7"/>
      <c r="N15" s="7"/>
      <c r="O15" s="7"/>
      <c r="P15" s="7"/>
      <c r="Q15" s="7"/>
    </row>
    <row r="16" spans="1:17" s="115" customFormat="1" ht="20.100000000000001" customHeight="1">
      <c r="A16" s="118" t="s">
        <v>649</v>
      </c>
      <c r="B16" s="119">
        <f>'RP 006'!E156</f>
        <v>0</v>
      </c>
    </row>
    <row r="17" spans="1:17" s="115" customFormat="1" ht="20.100000000000001" customHeight="1">
      <c r="B17" s="121">
        <f>B15-B16</f>
        <v>0</v>
      </c>
    </row>
    <row r="18" spans="1:17" s="29" customFormat="1" ht="20.100000000000001" customHeight="1">
      <c r="B18" s="29" t="str">
        <f>IF(B17=0,"OK","NO")</f>
        <v>OK</v>
      </c>
    </row>
    <row r="19" spans="1:17" s="29" customFormat="1" ht="20.100000000000001" customHeight="1"/>
    <row r="20" spans="1:17" s="116" customFormat="1" ht="20.100000000000001" customHeight="1">
      <c r="A20" s="124"/>
      <c r="B20" s="124"/>
      <c r="C20" s="125"/>
    </row>
    <row r="21" spans="1:17" ht="20.100000000000001" customHeight="1">
      <c r="D21" s="116"/>
      <c r="Q21" s="11"/>
    </row>
    <row r="22" spans="1:17" ht="20.100000000000001" customHeight="1">
      <c r="A22" s="116"/>
    </row>
  </sheetData>
  <phoneticPr fontId="76" type="noConversion"/>
  <pageMargins left="0.74791666666666701" right="0.74791666666666701" top="0.98402777777777795" bottom="0.98402777777777795" header="0.51180555555555596" footer="0.51180555555555596"/>
  <pageSetup paperSize="9" scale="99" orientation="portrait" blackAndWhite="1" r:id="rId1"/>
  <headerFooter alignWithMargins="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view="pageBreakPreview" topLeftCell="A21" zoomScaleNormal="100" zoomScaleSheetLayoutView="100" workbookViewId="0">
      <selection activeCell="B31" sqref="B31"/>
    </sheetView>
  </sheetViews>
  <sheetFormatPr defaultColWidth="9" defaultRowHeight="20.100000000000001" customHeight="1"/>
  <cols>
    <col min="1" max="2" width="30.625" style="11" customWidth="1"/>
    <col min="3" max="3" width="24.125" style="11" customWidth="1"/>
    <col min="4" max="4" width="22.75" style="11" customWidth="1"/>
    <col min="5" max="5" width="11.75" style="116" customWidth="1"/>
    <col min="6" max="10" width="9" style="116"/>
    <col min="11" max="16384" width="9" style="11"/>
  </cols>
  <sheetData>
    <row r="1" spans="1:10" ht="24.95" customHeight="1">
      <c r="A1" s="12" t="s">
        <v>145</v>
      </c>
      <c r="B1" s="13">
        <f>基础信息!B6</f>
        <v>0</v>
      </c>
      <c r="E1" s="14"/>
    </row>
    <row r="2" spans="1:10" ht="24.95" customHeight="1">
      <c r="A2" s="12" t="s">
        <v>147</v>
      </c>
      <c r="B2" s="13">
        <f>基础信息!B9</f>
        <v>0</v>
      </c>
    </row>
    <row r="3" spans="1:10" ht="24.95" customHeight="1">
      <c r="A3" s="67" t="s">
        <v>148</v>
      </c>
      <c r="B3" s="67" t="s">
        <v>1745</v>
      </c>
    </row>
    <row r="4" spans="1:10" s="7" customFormat="1" ht="24.95" customHeight="1">
      <c r="A4" s="15" t="s">
        <v>1746</v>
      </c>
      <c r="B4" s="15"/>
    </row>
    <row r="5" spans="1:10" s="66" customFormat="1" ht="24.95" customHeight="1">
      <c r="A5" s="16" t="s">
        <v>754</v>
      </c>
      <c r="B5" s="16" t="s">
        <v>1653</v>
      </c>
      <c r="C5" s="117"/>
    </row>
    <row r="6" spans="1:10" s="9" customFormat="1" ht="20.100000000000001" customHeight="1">
      <c r="A6" s="32" t="s">
        <v>1747</v>
      </c>
      <c r="B6" s="18"/>
      <c r="C6" s="37"/>
      <c r="D6" s="7"/>
      <c r="E6" s="7"/>
      <c r="F6" s="7"/>
      <c r="G6" s="7"/>
      <c r="H6" s="7"/>
      <c r="I6" s="7"/>
      <c r="J6" s="7"/>
    </row>
    <row r="7" spans="1:10" s="9" customFormat="1" ht="20.100000000000001" customHeight="1">
      <c r="A7" s="32" t="s">
        <v>1748</v>
      </c>
      <c r="B7" s="18"/>
      <c r="C7" s="37"/>
      <c r="D7" s="7"/>
      <c r="E7" s="7"/>
      <c r="F7" s="7"/>
      <c r="G7" s="7"/>
      <c r="H7" s="7"/>
      <c r="I7" s="7"/>
      <c r="J7" s="7"/>
    </row>
    <row r="8" spans="1:10" s="9" customFormat="1" ht="20.100000000000001" customHeight="1">
      <c r="A8" s="32" t="s">
        <v>658</v>
      </c>
      <c r="B8" s="20">
        <f>SUM(B6:B7)</f>
        <v>0</v>
      </c>
      <c r="C8" s="37"/>
      <c r="D8" s="7"/>
      <c r="E8" s="7"/>
      <c r="F8" s="7"/>
      <c r="G8" s="7"/>
      <c r="H8" s="7"/>
      <c r="I8" s="7"/>
      <c r="J8" s="7"/>
    </row>
    <row r="9" spans="1:10" s="115" customFormat="1" ht="20.100000000000001" customHeight="1">
      <c r="A9" s="118" t="s">
        <v>649</v>
      </c>
      <c r="B9" s="119">
        <f>'RP 006'!E158</f>
        <v>0</v>
      </c>
    </row>
    <row r="10" spans="1:10" s="115" customFormat="1" ht="20.100000000000001" customHeight="1">
      <c r="A10" s="118"/>
      <c r="B10" s="119">
        <f>B8-B9</f>
        <v>0</v>
      </c>
    </row>
    <row r="11" spans="1:10" s="29" customFormat="1" ht="20.100000000000001" customHeight="1">
      <c r="B11" s="29" t="str">
        <f>IF(B10=0,"OK","NO")</f>
        <v>OK</v>
      </c>
    </row>
    <row r="12" spans="1:10" s="9" customFormat="1" ht="20.100000000000001" customHeight="1">
      <c r="A12" s="33"/>
      <c r="B12" s="33"/>
      <c r="C12" s="37"/>
      <c r="D12" s="7"/>
      <c r="E12" s="7"/>
      <c r="F12" s="7"/>
      <c r="G12" s="7"/>
      <c r="H12" s="7"/>
      <c r="I12" s="7"/>
      <c r="J12" s="7"/>
    </row>
    <row r="13" spans="1:10" s="9" customFormat="1" ht="20.100000000000001" customHeight="1">
      <c r="A13" s="1373" t="s">
        <v>1749</v>
      </c>
      <c r="B13" s="1373"/>
      <c r="C13" s="7"/>
      <c r="D13" s="7"/>
      <c r="E13" s="7"/>
      <c r="F13" s="7"/>
      <c r="G13" s="7"/>
      <c r="H13" s="7"/>
      <c r="I13" s="7"/>
      <c r="J13" s="7"/>
    </row>
    <row r="14" spans="1:10" s="9" customFormat="1" ht="20.100000000000001" customHeight="1">
      <c r="A14" s="32" t="s">
        <v>669</v>
      </c>
      <c r="B14" s="32" t="s">
        <v>1750</v>
      </c>
      <c r="C14" s="37"/>
      <c r="D14" s="7"/>
      <c r="E14" s="7"/>
      <c r="F14" s="7"/>
      <c r="G14" s="7"/>
      <c r="H14" s="7"/>
      <c r="I14" s="7"/>
      <c r="J14" s="7"/>
    </row>
    <row r="15" spans="1:10" s="9" customFormat="1" ht="20.100000000000001" customHeight="1">
      <c r="A15" s="32" t="s">
        <v>1751</v>
      </c>
      <c r="B15" s="18"/>
      <c r="C15" s="37"/>
      <c r="D15" s="7"/>
      <c r="E15" s="7"/>
      <c r="F15" s="7"/>
      <c r="G15" s="7"/>
      <c r="H15" s="7"/>
      <c r="I15" s="7"/>
      <c r="J15" s="7"/>
    </row>
    <row r="16" spans="1:10" s="9" customFormat="1" ht="27" customHeight="1">
      <c r="A16" s="32" t="s">
        <v>1752</v>
      </c>
      <c r="B16" s="18"/>
      <c r="C16" s="37"/>
      <c r="D16" s="7"/>
      <c r="E16" s="7"/>
      <c r="F16" s="7"/>
      <c r="G16" s="7"/>
      <c r="H16" s="7"/>
      <c r="I16" s="7"/>
      <c r="J16" s="7"/>
    </row>
    <row r="17" spans="1:10" s="9" customFormat="1" ht="20.100000000000001" customHeight="1">
      <c r="A17" s="32" t="s">
        <v>1753</v>
      </c>
      <c r="B17" s="18"/>
      <c r="C17" s="37"/>
      <c r="D17" s="7"/>
      <c r="E17" s="7"/>
      <c r="F17" s="7"/>
      <c r="G17" s="7"/>
      <c r="H17" s="7"/>
      <c r="I17" s="7"/>
      <c r="J17" s="7"/>
    </row>
    <row r="18" spans="1:10" s="9" customFormat="1" ht="20.100000000000001" customHeight="1">
      <c r="A18" s="32" t="s">
        <v>1754</v>
      </c>
      <c r="B18" s="18"/>
      <c r="C18" s="37"/>
      <c r="D18" s="7"/>
      <c r="E18" s="7"/>
      <c r="F18" s="7"/>
      <c r="G18" s="7"/>
      <c r="H18" s="7"/>
      <c r="I18" s="7"/>
      <c r="J18" s="7"/>
    </row>
    <row r="19" spans="1:10" s="9" customFormat="1" ht="20.100000000000001" customHeight="1">
      <c r="A19" s="32" t="s">
        <v>1755</v>
      </c>
      <c r="B19" s="18"/>
      <c r="C19" s="37"/>
      <c r="D19" s="7"/>
      <c r="E19" s="7"/>
      <c r="F19" s="7"/>
      <c r="G19" s="7"/>
      <c r="H19" s="7"/>
      <c r="I19" s="7"/>
      <c r="J19" s="7"/>
    </row>
    <row r="20" spans="1:10" s="9" customFormat="1" ht="20.100000000000001" customHeight="1">
      <c r="A20" s="32" t="s">
        <v>1756</v>
      </c>
      <c r="B20" s="18"/>
      <c r="C20" s="37"/>
      <c r="D20" s="7"/>
      <c r="E20" s="7"/>
      <c r="F20" s="7"/>
      <c r="G20" s="7"/>
      <c r="H20" s="7"/>
      <c r="I20" s="7"/>
      <c r="J20" s="7"/>
    </row>
    <row r="21" spans="1:10" s="9" customFormat="1" ht="20.100000000000001" customHeight="1">
      <c r="A21" s="32" t="s">
        <v>1757</v>
      </c>
      <c r="B21" s="18"/>
      <c r="C21" s="37"/>
      <c r="D21" s="7"/>
      <c r="E21" s="7"/>
      <c r="F21" s="7"/>
      <c r="G21" s="7"/>
      <c r="H21" s="7"/>
      <c r="I21" s="7"/>
      <c r="J21" s="7"/>
    </row>
    <row r="22" spans="1:10" s="9" customFormat="1" ht="28.5" customHeight="1">
      <c r="A22" s="32" t="s">
        <v>1758</v>
      </c>
      <c r="B22" s="18"/>
      <c r="C22" s="37"/>
      <c r="D22" s="7"/>
      <c r="E22" s="7"/>
      <c r="F22" s="7"/>
      <c r="G22" s="7"/>
      <c r="H22" s="7"/>
      <c r="I22" s="7"/>
      <c r="J22" s="7"/>
    </row>
    <row r="23" spans="1:10" s="9" customFormat="1" ht="20.100000000000001" customHeight="1">
      <c r="A23" s="32" t="s">
        <v>1759</v>
      </c>
      <c r="B23" s="18"/>
      <c r="C23" s="37"/>
      <c r="D23" s="7"/>
      <c r="E23" s="7"/>
      <c r="F23" s="7"/>
      <c r="G23" s="7"/>
      <c r="H23" s="7"/>
      <c r="I23" s="7"/>
      <c r="J23" s="7"/>
    </row>
    <row r="24" spans="1:10" s="9" customFormat="1" ht="20.100000000000001" customHeight="1">
      <c r="A24" s="32" t="s">
        <v>1760</v>
      </c>
      <c r="B24" s="18"/>
      <c r="C24" s="37"/>
      <c r="D24" s="7"/>
      <c r="E24" s="7"/>
      <c r="F24" s="7"/>
      <c r="G24" s="7"/>
      <c r="H24" s="7"/>
      <c r="I24" s="7"/>
      <c r="J24" s="7"/>
    </row>
    <row r="25" spans="1:10" s="9" customFormat="1" ht="20.100000000000001" customHeight="1">
      <c r="A25" s="32" t="s">
        <v>977</v>
      </c>
      <c r="B25" s="18"/>
      <c r="C25" s="37"/>
      <c r="D25" s="7"/>
      <c r="E25" s="7"/>
      <c r="F25" s="7"/>
      <c r="G25" s="7"/>
      <c r="H25" s="7"/>
      <c r="I25" s="7"/>
      <c r="J25" s="7"/>
    </row>
    <row r="26" spans="1:10" s="9" customFormat="1" ht="20.100000000000001" customHeight="1">
      <c r="A26" s="32" t="s">
        <v>977</v>
      </c>
      <c r="B26" s="18"/>
      <c r="C26" s="37"/>
      <c r="D26" s="7"/>
      <c r="E26" s="7"/>
      <c r="F26" s="7"/>
      <c r="G26" s="7"/>
      <c r="H26" s="7"/>
      <c r="I26" s="7"/>
      <c r="J26" s="7"/>
    </row>
    <row r="27" spans="1:10" s="9" customFormat="1" ht="20.100000000000001" customHeight="1">
      <c r="A27" s="32" t="s">
        <v>977</v>
      </c>
      <c r="B27" s="18"/>
      <c r="C27" s="37"/>
      <c r="D27" s="7"/>
      <c r="E27" s="7"/>
      <c r="F27" s="7"/>
      <c r="G27" s="7"/>
      <c r="H27" s="7"/>
      <c r="I27" s="7"/>
      <c r="J27" s="7"/>
    </row>
    <row r="28" spans="1:10" s="9" customFormat="1" ht="20.100000000000001" customHeight="1">
      <c r="A28" s="32" t="s">
        <v>105</v>
      </c>
      <c r="B28" s="20">
        <f>B16+B17+B18+B19+B20+B21+B22+B23+B24+B27</f>
        <v>0</v>
      </c>
      <c r="C28" s="37"/>
      <c r="D28" s="120"/>
      <c r="E28" s="7"/>
      <c r="F28" s="7"/>
      <c r="G28" s="7"/>
      <c r="H28" s="7"/>
      <c r="I28" s="7"/>
      <c r="J28" s="7"/>
    </row>
    <row r="29" spans="1:10" s="115" customFormat="1" ht="20.100000000000001" customHeight="1">
      <c r="A29" s="118" t="s">
        <v>1761</v>
      </c>
      <c r="B29" s="119">
        <f>'RP 006'!E158</f>
        <v>0</v>
      </c>
    </row>
    <row r="30" spans="1:10" s="115" customFormat="1" ht="20.100000000000001" customHeight="1">
      <c r="A30" s="118" t="s">
        <v>1762</v>
      </c>
      <c r="B30" s="119">
        <f>'RP 006'!E157</f>
        <v>0</v>
      </c>
    </row>
    <row r="31" spans="1:10" s="115" customFormat="1" ht="20.100000000000001" customHeight="1">
      <c r="B31" s="121">
        <f>B28-B29</f>
        <v>0</v>
      </c>
    </row>
    <row r="32" spans="1:10" s="115" customFormat="1" ht="20.100000000000001" customHeight="1">
      <c r="B32" s="121">
        <f>B30-B15</f>
        <v>0</v>
      </c>
    </row>
    <row r="33" spans="1:10" s="29" customFormat="1" ht="20.100000000000001" customHeight="1">
      <c r="A33" s="29" t="s">
        <v>568</v>
      </c>
      <c r="B33" s="29" t="str">
        <f>IF(B31=0,"OK","NO")</f>
        <v>OK</v>
      </c>
    </row>
    <row r="34" spans="1:10" s="7" customFormat="1" ht="20.100000000000001" customHeight="1">
      <c r="A34" s="29" t="s">
        <v>568</v>
      </c>
      <c r="B34" s="29" t="str">
        <f>IF(B32=0,"OK","NO")</f>
        <v>OK</v>
      </c>
    </row>
    <row r="35" spans="1:10" ht="20.100000000000001" customHeight="1">
      <c r="D35" s="116"/>
      <c r="J35" s="11"/>
    </row>
    <row r="36" spans="1:10" ht="20.100000000000001" customHeight="1">
      <c r="D36" s="116"/>
      <c r="J36" s="11"/>
    </row>
    <row r="37" spans="1:10" ht="20.100000000000001" customHeight="1">
      <c r="D37" s="116"/>
      <c r="J37" s="11"/>
    </row>
    <row r="38" spans="1:10" ht="20.100000000000001" customHeight="1">
      <c r="D38" s="116"/>
      <c r="J38" s="11"/>
    </row>
    <row r="39" spans="1:10" ht="20.100000000000001" customHeight="1">
      <c r="D39" s="116"/>
      <c r="J39" s="11"/>
    </row>
    <row r="40" spans="1:10" ht="20.100000000000001" customHeight="1">
      <c r="D40" s="116"/>
      <c r="J40" s="11"/>
    </row>
    <row r="41" spans="1:10" ht="20.100000000000001" customHeight="1">
      <c r="D41" s="116"/>
      <c r="J41" s="11"/>
    </row>
    <row r="42" spans="1:10" ht="20.100000000000001" customHeight="1">
      <c r="D42" s="116"/>
      <c r="J42" s="11"/>
    </row>
    <row r="43" spans="1:10" ht="20.100000000000001" customHeight="1">
      <c r="D43" s="116"/>
      <c r="J43" s="11"/>
    </row>
    <row r="44" spans="1:10" ht="20.100000000000001" customHeight="1">
      <c r="D44" s="116"/>
      <c r="J44" s="11"/>
    </row>
    <row r="45" spans="1:10" ht="20.100000000000001" customHeight="1">
      <c r="D45" s="116"/>
      <c r="J45" s="11"/>
    </row>
    <row r="46" spans="1:10" ht="20.100000000000001" customHeight="1">
      <c r="D46" s="116"/>
      <c r="J46" s="11"/>
    </row>
    <row r="47" spans="1:10" ht="20.100000000000001" customHeight="1">
      <c r="D47" s="116"/>
      <c r="J47" s="11"/>
    </row>
    <row r="48" spans="1:10" ht="20.100000000000001" customHeight="1">
      <c r="D48" s="116"/>
      <c r="J48" s="11"/>
    </row>
    <row r="49" spans="4:10" ht="20.100000000000001" customHeight="1">
      <c r="D49" s="116"/>
      <c r="J49" s="11"/>
    </row>
    <row r="50" spans="4:10" ht="20.100000000000001" customHeight="1">
      <c r="D50" s="116"/>
      <c r="J50" s="11"/>
    </row>
    <row r="51" spans="4:10" ht="20.100000000000001" customHeight="1">
      <c r="D51" s="116"/>
      <c r="J51" s="11"/>
    </row>
    <row r="52" spans="4:10" ht="20.100000000000001" customHeight="1">
      <c r="D52" s="116"/>
      <c r="J52" s="11"/>
    </row>
    <row r="53" spans="4:10" ht="20.100000000000001" customHeight="1">
      <c r="D53" s="116"/>
      <c r="J53" s="11"/>
    </row>
    <row r="54" spans="4:10" ht="20.100000000000001" customHeight="1">
      <c r="D54" s="116"/>
      <c r="J54" s="11"/>
    </row>
    <row r="55" spans="4:10" ht="20.100000000000001" customHeight="1">
      <c r="D55" s="116"/>
      <c r="J55" s="11"/>
    </row>
  </sheetData>
  <mergeCells count="1">
    <mergeCell ref="A13:B13"/>
  </mergeCells>
  <phoneticPr fontId="76" type="noConversion"/>
  <pageMargins left="1.02291666666667" right="0.51180555555555596" top="0.98402777777777795" bottom="0.98402777777777795" header="0.51180555555555596" footer="0.51180555555555596"/>
  <pageSetup paperSize="9" orientation="portrait" blackAndWhite="1" r:id="rId1"/>
  <headerFooter alignWithMargins="0"/>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3"/>
  <sheetViews>
    <sheetView view="pageBreakPreview" topLeftCell="A2" zoomScaleNormal="100" zoomScaleSheetLayoutView="100" workbookViewId="0">
      <selection activeCell="B4" sqref="B4"/>
    </sheetView>
  </sheetViews>
  <sheetFormatPr defaultColWidth="9" defaultRowHeight="20.100000000000001" customHeight="1"/>
  <cols>
    <col min="1" max="1" width="36.375" style="105" customWidth="1"/>
    <col min="2" max="2" width="38.25" style="105" customWidth="1"/>
    <col min="3" max="3" width="10" style="105" customWidth="1"/>
    <col min="4" max="4" width="19.625" style="105" customWidth="1"/>
    <col min="5" max="5" width="9.625" style="109" customWidth="1"/>
    <col min="6" max="16384" width="9" style="105"/>
  </cols>
  <sheetData>
    <row r="1" spans="1:5" ht="24.95" customHeight="1">
      <c r="A1" s="54" t="s">
        <v>145</v>
      </c>
      <c r="B1" s="55">
        <f>基础信息!B6</f>
        <v>0</v>
      </c>
      <c r="E1" s="113"/>
    </row>
    <row r="2" spans="1:5" ht="24.95" customHeight="1">
      <c r="A2" s="54" t="s">
        <v>147</v>
      </c>
      <c r="B2" s="55">
        <f>基础信息!B9</f>
        <v>0</v>
      </c>
    </row>
    <row r="3" spans="1:5" ht="24.95" customHeight="1">
      <c r="A3" s="64" t="s">
        <v>148</v>
      </c>
      <c r="B3" s="64" t="s">
        <v>1763</v>
      </c>
      <c r="D3" s="104"/>
    </row>
    <row r="4" spans="1:5" s="104" customFormat="1" ht="24.95" customHeight="1">
      <c r="A4" s="107" t="s">
        <v>1763</v>
      </c>
      <c r="B4" s="108">
        <f>'RP 004 '!C8</f>
        <v>0</v>
      </c>
      <c r="D4" s="109"/>
    </row>
    <row r="5" spans="1:5" ht="24.95" customHeight="1">
      <c r="A5" s="97" t="s">
        <v>318</v>
      </c>
      <c r="B5" s="97" t="s">
        <v>1673</v>
      </c>
      <c r="C5" s="109"/>
      <c r="D5" s="104"/>
      <c r="E5" s="104"/>
    </row>
    <row r="6" spans="1:5" ht="19.5" hidden="1" customHeight="1">
      <c r="C6" s="109"/>
      <c r="D6" s="104"/>
      <c r="E6" s="104"/>
    </row>
    <row r="7" spans="1:5" s="27" customFormat="1" ht="20.100000000000001" customHeight="1">
      <c r="B7" s="114"/>
      <c r="C7" s="100"/>
      <c r="D7" s="102"/>
      <c r="E7" s="102"/>
    </row>
    <row r="8" spans="1:5" s="27" customFormat="1" ht="20.100000000000001" customHeight="1">
      <c r="B8" s="114"/>
      <c r="C8" s="100"/>
      <c r="D8" s="102"/>
      <c r="E8" s="102"/>
    </row>
    <row r="9" spans="1:5" s="27" customFormat="1" ht="20.100000000000001" customHeight="1">
      <c r="B9" s="114"/>
      <c r="C9" s="100"/>
      <c r="D9" s="102"/>
      <c r="E9" s="102"/>
    </row>
    <row r="10" spans="1:5" s="27" customFormat="1" ht="20.100000000000001" customHeight="1">
      <c r="B10" s="114"/>
      <c r="C10" s="100"/>
      <c r="D10" s="102"/>
      <c r="E10" s="102"/>
    </row>
    <row r="11" spans="1:5" s="27" customFormat="1" ht="20.100000000000001" customHeight="1">
      <c r="B11" s="114"/>
      <c r="C11" s="100"/>
      <c r="D11" s="102"/>
      <c r="E11" s="102"/>
    </row>
    <row r="12" spans="1:5" s="27" customFormat="1" ht="20.100000000000001" customHeight="1">
      <c r="B12" s="114"/>
      <c r="C12" s="100"/>
      <c r="D12" s="102"/>
      <c r="E12" s="102"/>
    </row>
    <row r="13" spans="1:5" s="27" customFormat="1" ht="20.100000000000001" customHeight="1">
      <c r="B13" s="114"/>
      <c r="C13" s="100"/>
      <c r="D13" s="102"/>
      <c r="E13" s="102"/>
    </row>
    <row r="14" spans="1:5" s="27" customFormat="1" ht="20.100000000000001" customHeight="1">
      <c r="B14" s="114"/>
      <c r="C14" s="100"/>
      <c r="D14" s="102"/>
      <c r="E14" s="102"/>
    </row>
    <row r="15" spans="1:5" s="27" customFormat="1" ht="20.100000000000001" customHeight="1">
      <c r="B15" s="114"/>
      <c r="C15" s="100"/>
      <c r="D15" s="102"/>
      <c r="E15" s="102"/>
    </row>
    <row r="16" spans="1:5" s="27" customFormat="1" ht="20.100000000000001" customHeight="1">
      <c r="B16" s="114"/>
      <c r="C16" s="100"/>
      <c r="D16" s="102"/>
      <c r="E16" s="102"/>
    </row>
    <row r="17" spans="1:5" s="27" customFormat="1" ht="20.100000000000001" customHeight="1">
      <c r="B17" s="114"/>
      <c r="C17" s="100"/>
      <c r="D17" s="102"/>
      <c r="E17" s="102"/>
    </row>
    <row r="18" spans="1:5" s="27" customFormat="1" ht="20.100000000000001" customHeight="1">
      <c r="B18" s="114"/>
      <c r="C18" s="100"/>
      <c r="D18" s="102"/>
      <c r="E18" s="102"/>
    </row>
    <row r="19" spans="1:5" s="27" customFormat="1" ht="20.100000000000001" customHeight="1">
      <c r="B19" s="114"/>
      <c r="C19" s="100"/>
      <c r="D19" s="102"/>
      <c r="E19" s="102"/>
    </row>
    <row r="20" spans="1:5" s="27" customFormat="1" ht="20.100000000000001" customHeight="1">
      <c r="A20" s="27" t="s">
        <v>142</v>
      </c>
      <c r="B20" s="101">
        <f>SUM(B6:B19)</f>
        <v>0</v>
      </c>
      <c r="C20" s="100"/>
      <c r="D20" s="102"/>
      <c r="E20" s="102"/>
    </row>
    <row r="21" spans="1:5" s="27" customFormat="1" ht="20.100000000000001" customHeight="1">
      <c r="B21" s="100" t="str">
        <f>IF(B20=B4,"OK","NO")</f>
        <v>OK</v>
      </c>
      <c r="C21" s="100"/>
      <c r="D21" s="102"/>
      <c r="E21" s="102"/>
    </row>
    <row r="22" spans="1:5" ht="20.100000000000001" customHeight="1">
      <c r="D22" s="109"/>
      <c r="E22" s="104"/>
    </row>
    <row r="23" spans="1:5" ht="20.100000000000001" customHeight="1">
      <c r="D23" s="109"/>
      <c r="E23" s="104"/>
    </row>
  </sheetData>
  <phoneticPr fontId="76" type="noConversion"/>
  <pageMargins left="0.90416666666666701" right="0.51180555555555596" top="0.98402777777777795" bottom="0.98402777777777795" header="0.51180555555555596" footer="0.51180555555555596"/>
  <pageSetup paperSize="9" orientation="portrait" blackAndWhite="1" r:id="rId1"/>
  <headerFooter alignWithMargins="0"/>
  <legacyDrawing r:id="rId2"/>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2"/>
  <sheetViews>
    <sheetView view="pageBreakPreview" zoomScaleNormal="100" zoomScaleSheetLayoutView="100" workbookViewId="0"/>
  </sheetViews>
  <sheetFormatPr defaultColWidth="9" defaultRowHeight="20.100000000000001" customHeight="1"/>
  <cols>
    <col min="1" max="1" width="36.625" style="105" customWidth="1"/>
    <col min="2" max="2" width="38.625" style="105" customWidth="1"/>
    <col min="3" max="3" width="15.125" style="104" customWidth="1"/>
    <col min="4" max="4" width="17.875" style="104" customWidth="1"/>
    <col min="5" max="5" width="9" style="104"/>
    <col min="6" max="16384" width="9" style="105"/>
  </cols>
  <sheetData>
    <row r="1" spans="1:5" ht="24.95" customHeight="1">
      <c r="A1" s="54" t="s">
        <v>145</v>
      </c>
      <c r="B1" s="55">
        <f>基础信息!B6</f>
        <v>0</v>
      </c>
      <c r="E1" s="113"/>
    </row>
    <row r="2" spans="1:5" ht="24.95" customHeight="1">
      <c r="A2" s="54" t="s">
        <v>147</v>
      </c>
      <c r="B2" s="55">
        <f>基础信息!B9</f>
        <v>0</v>
      </c>
    </row>
    <row r="3" spans="1:5" ht="24.95" customHeight="1">
      <c r="A3" s="64" t="s">
        <v>148</v>
      </c>
      <c r="B3" s="64" t="s">
        <v>1764</v>
      </c>
    </row>
    <row r="4" spans="1:5" s="104" customFormat="1" ht="24.95" customHeight="1">
      <c r="A4" s="107" t="s">
        <v>1764</v>
      </c>
      <c r="B4" s="108">
        <f>'RP 004 '!C13</f>
        <v>0</v>
      </c>
      <c r="D4" s="109"/>
    </row>
    <row r="5" spans="1:5" s="104" customFormat="1" ht="24.95" customHeight="1">
      <c r="A5" s="107" t="s">
        <v>1765</v>
      </c>
      <c r="B5" s="107"/>
      <c r="D5" s="109"/>
    </row>
    <row r="6" spans="1:5" ht="24.95" customHeight="1">
      <c r="A6" s="97" t="s">
        <v>318</v>
      </c>
      <c r="B6" s="97" t="s">
        <v>1673</v>
      </c>
      <c r="C6" s="109"/>
    </row>
    <row r="7" spans="1:5" ht="20.100000000000001" customHeight="1">
      <c r="C7" s="109"/>
    </row>
    <row r="8" spans="1:5" ht="20.100000000000001" customHeight="1">
      <c r="C8" s="109"/>
    </row>
    <row r="9" spans="1:5" ht="20.100000000000001" customHeight="1">
      <c r="C9" s="109"/>
    </row>
    <row r="10" spans="1:5" ht="20.100000000000001" customHeight="1">
      <c r="C10" s="109"/>
    </row>
    <row r="11" spans="1:5" ht="20.100000000000001" customHeight="1">
      <c r="C11" s="109"/>
    </row>
    <row r="12" spans="1:5" ht="20.100000000000001" customHeight="1">
      <c r="C12" s="109"/>
    </row>
    <row r="13" spans="1:5" ht="20.100000000000001" customHeight="1">
      <c r="C13" s="109"/>
    </row>
    <row r="14" spans="1:5" ht="20.100000000000001" customHeight="1">
      <c r="C14" s="109"/>
    </row>
    <row r="15" spans="1:5" ht="20.100000000000001" customHeight="1">
      <c r="C15" s="109"/>
    </row>
    <row r="16" spans="1:5" ht="20.100000000000001" customHeight="1">
      <c r="C16" s="109"/>
    </row>
    <row r="17" spans="1:3" ht="20.100000000000001" customHeight="1">
      <c r="C17" s="109"/>
    </row>
    <row r="18" spans="1:3" ht="20.100000000000001" customHeight="1">
      <c r="C18" s="109"/>
    </row>
    <row r="19" spans="1:3" ht="20.100000000000001" customHeight="1">
      <c r="C19" s="109"/>
    </row>
    <row r="20" spans="1:3" ht="20.100000000000001" customHeight="1">
      <c r="C20" s="109"/>
    </row>
    <row r="21" spans="1:3" ht="20.100000000000001" customHeight="1">
      <c r="A21" s="27" t="s">
        <v>142</v>
      </c>
      <c r="B21" s="101">
        <f>SUM(B7:B20)</f>
        <v>0</v>
      </c>
      <c r="C21" s="109"/>
    </row>
    <row r="22" spans="1:3" ht="20.100000000000001" customHeight="1">
      <c r="A22" s="27"/>
      <c r="B22" s="100" t="str">
        <f>IF(B21=B4,"OK","NO")</f>
        <v>OK</v>
      </c>
      <c r="C22" s="109"/>
    </row>
  </sheetData>
  <phoneticPr fontId="76" type="noConversion"/>
  <pageMargins left="0.59027777777777801" right="0.59027777777777801" top="0.98402777777777795" bottom="0.98402777777777795" header="0.51180555555555596" footer="0.51180555555555596"/>
  <pageSetup paperSize="9" orientation="portrait" blackAndWhite="1" r:id="rId1"/>
  <headerFooter alignWithMargins="0"/>
  <legacy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view="pageBreakPreview" zoomScaleNormal="100" zoomScaleSheetLayoutView="100" workbookViewId="0">
      <selection activeCell="A16" sqref="A16"/>
    </sheetView>
  </sheetViews>
  <sheetFormatPr defaultColWidth="9" defaultRowHeight="20.100000000000001" customHeight="1"/>
  <cols>
    <col min="1" max="1" width="36.5" style="53" customWidth="1"/>
    <col min="2" max="2" width="39.375" style="53" customWidth="1"/>
    <col min="3" max="3" width="14.375" style="53" customWidth="1"/>
    <col min="4" max="4" width="18" style="53" customWidth="1"/>
    <col min="5" max="5" width="9" style="53"/>
    <col min="6" max="6" width="9" style="95"/>
    <col min="7" max="16384" width="9" style="53"/>
  </cols>
  <sheetData>
    <row r="1" spans="1:6" ht="24.95" customHeight="1">
      <c r="A1" s="54" t="s">
        <v>145</v>
      </c>
      <c r="B1" s="55">
        <f>基础信息!B6</f>
        <v>0</v>
      </c>
      <c r="E1" s="96"/>
    </row>
    <row r="2" spans="1:6" ht="24.95" customHeight="1">
      <c r="A2" s="54" t="s">
        <v>147</v>
      </c>
      <c r="B2" s="55">
        <f>基础信息!B9</f>
        <v>0</v>
      </c>
    </row>
    <row r="3" spans="1:6" ht="24.95" customHeight="1">
      <c r="A3" s="64" t="s">
        <v>148</v>
      </c>
      <c r="B3" s="64" t="s">
        <v>1766</v>
      </c>
    </row>
    <row r="4" spans="1:6" s="95" customFormat="1" ht="24.95" customHeight="1">
      <c r="A4" s="107" t="s">
        <v>1766</v>
      </c>
      <c r="B4" s="108">
        <f>'RP 004 '!C21</f>
        <v>0</v>
      </c>
      <c r="D4" s="99"/>
    </row>
    <row r="5" spans="1:6" ht="24.95" customHeight="1">
      <c r="A5" s="97" t="s">
        <v>318</v>
      </c>
      <c r="B5" s="97" t="s">
        <v>1673</v>
      </c>
      <c r="C5" s="99"/>
      <c r="D5" s="95"/>
      <c r="F5" s="53"/>
    </row>
    <row r="6" spans="1:6" s="27" customFormat="1" ht="20.100000000000001" customHeight="1">
      <c r="C6" s="100"/>
      <c r="D6" s="102"/>
    </row>
    <row r="7" spans="1:6" s="27" customFormat="1" ht="20.100000000000001" customHeight="1">
      <c r="C7" s="100"/>
      <c r="D7" s="102"/>
    </row>
    <row r="8" spans="1:6" s="27" customFormat="1" ht="20.100000000000001" customHeight="1">
      <c r="C8" s="100"/>
      <c r="D8" s="102"/>
    </row>
    <row r="9" spans="1:6" s="27" customFormat="1" ht="20.100000000000001" customHeight="1">
      <c r="C9" s="100"/>
      <c r="D9" s="102"/>
    </row>
    <row r="10" spans="1:6" s="27" customFormat="1" ht="20.100000000000001" customHeight="1">
      <c r="C10" s="100"/>
      <c r="D10" s="102"/>
    </row>
    <row r="11" spans="1:6" s="27" customFormat="1" ht="20.100000000000001" customHeight="1">
      <c r="C11" s="100"/>
      <c r="D11" s="102"/>
    </row>
    <row r="12" spans="1:6" s="27" customFormat="1" ht="20.100000000000001" customHeight="1">
      <c r="C12" s="100"/>
      <c r="D12" s="102"/>
    </row>
    <row r="13" spans="1:6" s="27" customFormat="1" ht="20.100000000000001" customHeight="1">
      <c r="C13" s="100"/>
      <c r="D13" s="102"/>
    </row>
    <row r="14" spans="1:6" s="27" customFormat="1" ht="20.100000000000001" customHeight="1">
      <c r="C14" s="100"/>
      <c r="D14" s="102"/>
    </row>
    <row r="15" spans="1:6" s="27" customFormat="1" ht="20.100000000000001" customHeight="1">
      <c r="C15" s="100"/>
      <c r="D15" s="102"/>
    </row>
    <row r="16" spans="1:6" s="27" customFormat="1" ht="20.100000000000001" customHeight="1">
      <c r="C16" s="100"/>
      <c r="D16" s="102"/>
    </row>
    <row r="17" spans="1:6" s="27" customFormat="1" ht="20.100000000000001" customHeight="1">
      <c r="C17" s="100"/>
      <c r="D17" s="102"/>
    </row>
    <row r="18" spans="1:6" s="27" customFormat="1" ht="20.100000000000001" customHeight="1">
      <c r="C18" s="100"/>
      <c r="D18" s="102"/>
    </row>
    <row r="19" spans="1:6" s="27" customFormat="1" ht="20.100000000000001" customHeight="1">
      <c r="C19" s="100"/>
      <c r="D19" s="102"/>
    </row>
    <row r="20" spans="1:6" s="27" customFormat="1" ht="20.100000000000001" customHeight="1">
      <c r="A20" s="27" t="s">
        <v>142</v>
      </c>
      <c r="B20" s="101">
        <f>SUM(B6:B19)</f>
        <v>0</v>
      </c>
      <c r="C20" s="100"/>
      <c r="D20" s="102"/>
    </row>
    <row r="21" spans="1:6" s="27" customFormat="1" ht="20.100000000000001" customHeight="1">
      <c r="B21" s="100" t="str">
        <f>IF(B20=B4,"OK","NO")</f>
        <v>OK</v>
      </c>
      <c r="C21" s="111"/>
      <c r="D21" s="100"/>
      <c r="E21" s="102"/>
    </row>
    <row r="22" spans="1:6" ht="20.100000000000001" customHeight="1">
      <c r="D22" s="95"/>
      <c r="E22" s="95"/>
      <c r="F22" s="53"/>
    </row>
    <row r="23" spans="1:6" ht="20.100000000000001" customHeight="1">
      <c r="D23" s="95"/>
    </row>
    <row r="32" spans="1:6" ht="20.100000000000001" customHeight="1">
      <c r="F32" s="112"/>
    </row>
  </sheetData>
  <phoneticPr fontId="76" type="noConversion"/>
  <pageMargins left="0.55000000000000004" right="0.47152777777777799" top="0.98402777777777795" bottom="0.98402777777777795" header="0.51180555555555596" footer="0.51180555555555596"/>
  <pageSetup paperSize="9" orientation="portrait" blackAndWhite="1" r:id="rId1"/>
  <headerFooter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view="pageBreakPreview" zoomScaleNormal="100" zoomScaleSheetLayoutView="100" workbookViewId="0">
      <selection activeCell="A16" sqref="A16"/>
    </sheetView>
  </sheetViews>
  <sheetFormatPr defaultColWidth="9" defaultRowHeight="20.100000000000001" customHeight="1"/>
  <cols>
    <col min="1" max="1" width="36.25" style="53" customWidth="1"/>
    <col min="2" max="2" width="38.125" style="53" customWidth="1"/>
    <col min="3" max="3" width="17.5" style="53" customWidth="1"/>
    <col min="4" max="4" width="16.75" style="53" customWidth="1"/>
    <col min="5" max="5" width="9" style="95"/>
    <col min="6" max="16384" width="9" style="53"/>
  </cols>
  <sheetData>
    <row r="1" spans="1:5" ht="24.95" customHeight="1">
      <c r="A1" s="54" t="s">
        <v>145</v>
      </c>
      <c r="B1" s="55">
        <f>基础信息!B6</f>
        <v>0</v>
      </c>
      <c r="E1" s="110"/>
    </row>
    <row r="2" spans="1:5" ht="24.95" customHeight="1">
      <c r="A2" s="54" t="s">
        <v>147</v>
      </c>
      <c r="B2" s="55">
        <f>基础信息!B9</f>
        <v>0</v>
      </c>
    </row>
    <row r="3" spans="1:5" ht="24.95" customHeight="1">
      <c r="A3" s="64" t="s">
        <v>148</v>
      </c>
      <c r="B3" s="64" t="s">
        <v>1767</v>
      </c>
    </row>
    <row r="4" spans="1:5" s="95" customFormat="1" ht="24.95" customHeight="1">
      <c r="A4" s="107" t="s">
        <v>1767</v>
      </c>
      <c r="B4" s="108">
        <f>'RP 004 '!C26</f>
        <v>0</v>
      </c>
      <c r="D4" s="99"/>
    </row>
    <row r="5" spans="1:5" ht="24.95" customHeight="1">
      <c r="A5" s="97" t="s">
        <v>318</v>
      </c>
      <c r="B5" s="97" t="s">
        <v>1673</v>
      </c>
      <c r="C5" s="99"/>
      <c r="E5" s="53"/>
    </row>
    <row r="6" spans="1:5" s="27" customFormat="1" ht="20.100000000000001" customHeight="1">
      <c r="C6" s="100"/>
    </row>
    <row r="7" spans="1:5" s="27" customFormat="1" ht="20.100000000000001" customHeight="1">
      <c r="C7" s="100"/>
    </row>
    <row r="8" spans="1:5" s="27" customFormat="1" ht="20.100000000000001" customHeight="1">
      <c r="C8" s="100"/>
    </row>
    <row r="9" spans="1:5" s="27" customFormat="1" ht="20.100000000000001" customHeight="1">
      <c r="C9" s="100"/>
    </row>
    <row r="10" spans="1:5" s="27" customFormat="1" ht="20.100000000000001" customHeight="1">
      <c r="C10" s="100"/>
    </row>
    <row r="11" spans="1:5" s="27" customFormat="1" ht="20.100000000000001" customHeight="1">
      <c r="C11" s="100"/>
    </row>
    <row r="12" spans="1:5" s="27" customFormat="1" ht="20.100000000000001" customHeight="1">
      <c r="C12" s="100"/>
    </row>
    <row r="13" spans="1:5" s="27" customFormat="1" ht="20.100000000000001" customHeight="1">
      <c r="C13" s="100"/>
    </row>
    <row r="14" spans="1:5" s="27" customFormat="1" ht="20.100000000000001" customHeight="1">
      <c r="C14" s="100"/>
    </row>
    <row r="15" spans="1:5" s="27" customFormat="1" ht="20.100000000000001" customHeight="1">
      <c r="C15" s="100"/>
    </row>
    <row r="16" spans="1:5" s="27" customFormat="1" ht="20.100000000000001" customHeight="1">
      <c r="C16" s="100"/>
    </row>
    <row r="17" spans="1:5" s="27" customFormat="1" ht="20.100000000000001" customHeight="1">
      <c r="C17" s="100"/>
    </row>
    <row r="18" spans="1:5" s="27" customFormat="1" ht="20.100000000000001" customHeight="1">
      <c r="C18" s="100"/>
    </row>
    <row r="19" spans="1:5" s="27" customFormat="1" ht="20.100000000000001" customHeight="1">
      <c r="C19" s="100"/>
    </row>
    <row r="20" spans="1:5" s="27" customFormat="1" ht="20.100000000000001" customHeight="1">
      <c r="A20" s="27" t="s">
        <v>142</v>
      </c>
      <c r="B20" s="101">
        <f>SUM(B6:B19)</f>
        <v>0</v>
      </c>
    </row>
    <row r="21" spans="1:5" s="27" customFormat="1" ht="20.100000000000001" customHeight="1">
      <c r="B21" s="100" t="str">
        <f>IF(B20=B4,"OK","NO")</f>
        <v>OK</v>
      </c>
      <c r="C21" s="100"/>
    </row>
    <row r="22" spans="1:5" ht="20.100000000000001" customHeight="1">
      <c r="D22" s="95"/>
      <c r="E22" s="53"/>
    </row>
    <row r="23" spans="1:5" ht="20.100000000000001" customHeight="1">
      <c r="D23" s="95"/>
      <c r="E23" s="53"/>
    </row>
  </sheetData>
  <phoneticPr fontId="76" type="noConversion"/>
  <pageMargins left="0.51180555555555596" right="0.47152777777777799" top="0.98402777777777795" bottom="0.98402777777777795" header="0.51180555555555596" footer="0.51180555555555596"/>
  <pageSetup paperSize="9" orientation="portrait" blackAndWhite="1" r:id="rId1"/>
  <headerFooter alignWithMargins="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view="pageBreakPreview" zoomScaleNormal="100" zoomScaleSheetLayoutView="100" workbookViewId="0">
      <selection activeCell="A17" sqref="A17"/>
    </sheetView>
  </sheetViews>
  <sheetFormatPr defaultColWidth="9" defaultRowHeight="20.100000000000001" customHeight="1"/>
  <cols>
    <col min="1" max="1" width="35.375" style="105" customWidth="1"/>
    <col min="2" max="2" width="37.625" style="105" customWidth="1"/>
    <col min="3" max="3" width="10.875" style="105" customWidth="1"/>
    <col min="4" max="4" width="16.125" style="104" customWidth="1"/>
    <col min="5" max="5" width="11.875" style="105" customWidth="1"/>
    <col min="6" max="16384" width="9" style="105"/>
  </cols>
  <sheetData>
    <row r="1" spans="1:5" ht="24.95" customHeight="1">
      <c r="A1" s="54" t="s">
        <v>145</v>
      </c>
      <c r="B1" s="55">
        <f>基础信息!B6</f>
        <v>0</v>
      </c>
      <c r="E1" s="106"/>
    </row>
    <row r="2" spans="1:5" ht="24.95" customHeight="1">
      <c r="A2" s="54" t="s">
        <v>147</v>
      </c>
      <c r="B2" s="55">
        <f>基础信息!B9</f>
        <v>0</v>
      </c>
    </row>
    <row r="3" spans="1:5" ht="24.95" customHeight="1">
      <c r="A3" s="64" t="s">
        <v>148</v>
      </c>
      <c r="B3" s="64" t="s">
        <v>1768</v>
      </c>
    </row>
    <row r="4" spans="1:5" s="104" customFormat="1" ht="24.95" customHeight="1">
      <c r="A4" s="107" t="s">
        <v>1768</v>
      </c>
      <c r="B4" s="108">
        <f>'RP 004 '!C33</f>
        <v>0</v>
      </c>
    </row>
    <row r="5" spans="1:5" ht="24.95" customHeight="1">
      <c r="A5" s="97" t="s">
        <v>318</v>
      </c>
      <c r="B5" s="97" t="s">
        <v>1673</v>
      </c>
      <c r="C5" s="109"/>
      <c r="D5" s="105"/>
    </row>
    <row r="6" spans="1:5" s="27" customFormat="1" ht="20.100000000000001" customHeight="1">
      <c r="C6" s="100"/>
    </row>
    <row r="7" spans="1:5" s="27" customFormat="1" ht="20.100000000000001" customHeight="1">
      <c r="C7" s="100"/>
    </row>
    <row r="8" spans="1:5" s="27" customFormat="1" ht="20.100000000000001" customHeight="1">
      <c r="C8" s="100"/>
    </row>
    <row r="9" spans="1:5" s="27" customFormat="1" ht="20.100000000000001" customHeight="1">
      <c r="C9" s="100"/>
    </row>
    <row r="10" spans="1:5" s="27" customFormat="1" ht="20.100000000000001" customHeight="1">
      <c r="C10" s="100"/>
    </row>
    <row r="11" spans="1:5" s="27" customFormat="1" ht="20.100000000000001" customHeight="1">
      <c r="C11" s="100"/>
    </row>
    <row r="12" spans="1:5" s="27" customFormat="1" ht="20.100000000000001" customHeight="1">
      <c r="C12" s="100"/>
    </row>
    <row r="13" spans="1:5" s="27" customFormat="1" ht="20.100000000000001" customHeight="1">
      <c r="C13" s="100"/>
    </row>
    <row r="14" spans="1:5" s="27" customFormat="1" ht="20.100000000000001" customHeight="1">
      <c r="C14" s="100"/>
    </row>
    <row r="15" spans="1:5" s="27" customFormat="1" ht="20.100000000000001" customHeight="1">
      <c r="C15" s="100"/>
    </row>
    <row r="16" spans="1:5" s="27" customFormat="1" ht="20.100000000000001" customHeight="1">
      <c r="C16" s="100"/>
    </row>
    <row r="17" spans="1:3" s="27" customFormat="1" ht="20.100000000000001" customHeight="1">
      <c r="C17" s="100"/>
    </row>
    <row r="18" spans="1:3" s="27" customFormat="1" ht="20.100000000000001" customHeight="1">
      <c r="C18" s="100"/>
    </row>
    <row r="19" spans="1:3" s="27" customFormat="1" ht="20.100000000000001" customHeight="1">
      <c r="C19" s="100"/>
    </row>
    <row r="20" spans="1:3" s="27" customFormat="1" ht="20.100000000000001" customHeight="1">
      <c r="A20" s="27" t="s">
        <v>142</v>
      </c>
      <c r="B20" s="101">
        <f>SUM(B6:B19)</f>
        <v>0</v>
      </c>
    </row>
    <row r="21" spans="1:3" s="27" customFormat="1" ht="20.100000000000001" customHeight="1">
      <c r="A21" s="100"/>
      <c r="B21" s="100" t="str">
        <f>IF(B20=B4,"OK","NO")</f>
        <v>OK</v>
      </c>
      <c r="C21" s="100"/>
    </row>
  </sheetData>
  <phoneticPr fontId="76" type="noConversion"/>
  <pageMargins left="0.59027777777777801" right="0.47152777777777799" top="0.98402777777777795" bottom="0.98402777777777795" header="0.51180555555555596" footer="0.51180555555555596"/>
  <pageSetup paperSize="9" orientation="portrait" blackAndWhite="1" r:id="rId1"/>
  <headerFooter alignWithMargins="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view="pageBreakPreview" zoomScale="90" zoomScaleNormal="100" zoomScaleSheetLayoutView="90" workbookViewId="0">
      <selection activeCell="E21" sqref="E21"/>
    </sheetView>
  </sheetViews>
  <sheetFormatPr defaultColWidth="9" defaultRowHeight="20.100000000000001" customHeight="1"/>
  <cols>
    <col min="1" max="1" width="34.5" style="53" customWidth="1"/>
    <col min="2" max="2" width="35.625" style="53" customWidth="1"/>
    <col min="3" max="3" width="13.125" style="53" customWidth="1"/>
    <col min="4" max="4" width="15.75" style="95" customWidth="1"/>
    <col min="5" max="16384" width="9" style="53"/>
  </cols>
  <sheetData>
    <row r="1" spans="1:5" ht="20.100000000000001" customHeight="1">
      <c r="A1" s="54" t="s">
        <v>145</v>
      </c>
      <c r="B1" s="55">
        <f>基础信息!B6</f>
        <v>0</v>
      </c>
      <c r="E1" s="96"/>
    </row>
    <row r="2" spans="1:5" ht="20.100000000000001" customHeight="1">
      <c r="A2" s="54" t="s">
        <v>147</v>
      </c>
      <c r="B2" s="55">
        <f>基础信息!B9</f>
        <v>0</v>
      </c>
    </row>
    <row r="3" spans="1:5" ht="20.100000000000001" customHeight="1">
      <c r="A3" s="64" t="s">
        <v>148</v>
      </c>
      <c r="B3" s="64" t="s">
        <v>1769</v>
      </c>
    </row>
    <row r="4" spans="1:5" ht="19.5" customHeight="1">
      <c r="A4" s="97" t="s">
        <v>1769</v>
      </c>
      <c r="B4" s="98">
        <f>'RP 004 '!C38</f>
        <v>0</v>
      </c>
      <c r="D4" s="99"/>
    </row>
    <row r="5" spans="1:5" ht="0.75" customHeight="1">
      <c r="A5" s="97" t="s">
        <v>318</v>
      </c>
      <c r="B5" s="97" t="s">
        <v>1673</v>
      </c>
      <c r="D5" s="99"/>
    </row>
    <row r="6" spans="1:5" s="27" customFormat="1" ht="20.100000000000001" customHeight="1">
      <c r="D6" s="100"/>
    </row>
    <row r="7" spans="1:5" s="27" customFormat="1" ht="20.100000000000001" customHeight="1">
      <c r="D7" s="100"/>
    </row>
    <row r="8" spans="1:5" s="27" customFormat="1" ht="20.100000000000001" customHeight="1">
      <c r="D8" s="100"/>
    </row>
    <row r="9" spans="1:5" s="27" customFormat="1" ht="20.100000000000001" customHeight="1">
      <c r="D9" s="100"/>
    </row>
    <row r="10" spans="1:5" s="27" customFormat="1" ht="20.100000000000001" customHeight="1">
      <c r="D10" s="100"/>
    </row>
    <row r="11" spans="1:5" s="27" customFormat="1" ht="20.100000000000001" customHeight="1">
      <c r="D11" s="100"/>
    </row>
    <row r="12" spans="1:5" s="27" customFormat="1" ht="20.100000000000001" customHeight="1">
      <c r="D12" s="100"/>
    </row>
    <row r="13" spans="1:5" s="27" customFormat="1" ht="20.100000000000001" customHeight="1">
      <c r="D13" s="100"/>
    </row>
    <row r="14" spans="1:5" s="27" customFormat="1" ht="20.100000000000001" customHeight="1">
      <c r="D14" s="100"/>
    </row>
    <row r="15" spans="1:5" s="27" customFormat="1" ht="20.100000000000001" customHeight="1">
      <c r="D15" s="100"/>
    </row>
    <row r="16" spans="1:5" s="27" customFormat="1" ht="20.100000000000001" customHeight="1">
      <c r="D16" s="100"/>
    </row>
    <row r="17" spans="1:4" s="27" customFormat="1" ht="20.100000000000001" customHeight="1">
      <c r="D17" s="100"/>
    </row>
    <row r="18" spans="1:4" s="27" customFormat="1" ht="20.100000000000001" customHeight="1">
      <c r="D18" s="100"/>
    </row>
    <row r="19" spans="1:4" s="27" customFormat="1" ht="20.100000000000001" customHeight="1">
      <c r="D19" s="100"/>
    </row>
    <row r="20" spans="1:4" s="27" customFormat="1" ht="20.100000000000001" customHeight="1">
      <c r="A20" s="27" t="s">
        <v>142</v>
      </c>
      <c r="B20" s="101">
        <f>SUM(B6:B19)</f>
        <v>0</v>
      </c>
      <c r="D20" s="102"/>
    </row>
    <row r="21" spans="1:4" s="27" customFormat="1" ht="20.100000000000001" customHeight="1">
      <c r="A21" s="103"/>
      <c r="B21" s="100" t="str">
        <f>IF(B20=B4,"OK","NO")</f>
        <v>OK</v>
      </c>
      <c r="D21" s="100"/>
    </row>
    <row r="22" spans="1:4" ht="20.100000000000001" customHeight="1">
      <c r="D22" s="99"/>
    </row>
  </sheetData>
  <phoneticPr fontId="76" type="noConversion"/>
  <pageMargins left="0.51180555555555596" right="0.59027777777777801" top="0.98402777777777795" bottom="0.98402777777777795" header="0.51180555555555596" footer="0.51180555555555596"/>
  <pageSetup paperSize="9" orientation="portrait" blackAndWhite="1" r:id="rId1"/>
  <headerFooter alignWithMargins="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3"/>
  <sheetViews>
    <sheetView view="pageBreakPreview" zoomScaleNormal="110" zoomScaleSheetLayoutView="100" workbookViewId="0">
      <selection activeCell="C13" sqref="C13"/>
    </sheetView>
  </sheetViews>
  <sheetFormatPr defaultColWidth="16.375" defaultRowHeight="20.100000000000001" customHeight="1"/>
  <cols>
    <col min="1" max="1" width="46.375" style="73" customWidth="1"/>
    <col min="2" max="2" width="24" style="73" customWidth="1"/>
    <col min="3" max="3" width="21" style="73" customWidth="1"/>
    <col min="4" max="16384" width="16.375" style="73"/>
  </cols>
  <sheetData>
    <row r="1" spans="1:3" ht="24.95" customHeight="1">
      <c r="A1" s="12" t="s">
        <v>145</v>
      </c>
      <c r="B1" s="13">
        <f>基础信息!B6</f>
        <v>0</v>
      </c>
    </row>
    <row r="2" spans="1:3" ht="24.95" customHeight="1">
      <c r="A2" s="12" t="s">
        <v>147</v>
      </c>
      <c r="B2" s="13">
        <f>基础信息!B9</f>
        <v>0</v>
      </c>
    </row>
    <row r="3" spans="1:3" ht="24.95" customHeight="1">
      <c r="A3" s="74" t="s">
        <v>148</v>
      </c>
      <c r="B3" s="67" t="s">
        <v>1770</v>
      </c>
    </row>
    <row r="4" spans="1:3" s="72" customFormat="1" ht="24.95" customHeight="1">
      <c r="A4" s="75" t="s">
        <v>137</v>
      </c>
      <c r="B4" s="76" t="s">
        <v>412</v>
      </c>
    </row>
    <row r="5" spans="1:3" s="72" customFormat="1" ht="20.100000000000001" customHeight="1">
      <c r="A5" s="77" t="s">
        <v>1771</v>
      </c>
      <c r="B5" s="78"/>
    </row>
    <row r="6" spans="1:3" s="72" customFormat="1" ht="20.100000000000001" customHeight="1">
      <c r="A6" s="77" t="s">
        <v>1019</v>
      </c>
      <c r="B6" s="78"/>
    </row>
    <row r="7" spans="1:3" s="72" customFormat="1" ht="20.100000000000001" customHeight="1">
      <c r="A7" s="77" t="s">
        <v>1772</v>
      </c>
      <c r="B7" s="78"/>
    </row>
    <row r="8" spans="1:3" s="72" customFormat="1" ht="20.100000000000001" customHeight="1">
      <c r="A8" s="77" t="s">
        <v>1773</v>
      </c>
      <c r="B8" s="78"/>
    </row>
    <row r="9" spans="1:3" s="72" customFormat="1" ht="20.100000000000001" customHeight="1">
      <c r="A9" s="77" t="s">
        <v>1774</v>
      </c>
      <c r="B9" s="78"/>
    </row>
    <row r="10" spans="1:3" s="72" customFormat="1" ht="20.100000000000001" customHeight="1">
      <c r="A10" s="77" t="s">
        <v>1775</v>
      </c>
      <c r="B10" s="78"/>
      <c r="C10" s="72" t="s">
        <v>873</v>
      </c>
    </row>
    <row r="11" spans="1:3" s="72" customFormat="1" ht="27" customHeight="1">
      <c r="A11" s="77" t="s">
        <v>1776</v>
      </c>
      <c r="B11" s="78"/>
    </row>
    <row r="12" spans="1:3" s="72" customFormat="1" ht="20.100000000000001" customHeight="1">
      <c r="A12" s="77" t="s">
        <v>1777</v>
      </c>
      <c r="B12" s="78"/>
    </row>
    <row r="13" spans="1:3" s="72" customFormat="1" ht="20.100000000000001" customHeight="1">
      <c r="A13" s="77" t="s">
        <v>1778</v>
      </c>
      <c r="B13" s="78"/>
    </row>
    <row r="14" spans="1:3" s="72" customFormat="1" ht="20.100000000000001" customHeight="1">
      <c r="A14" s="77" t="s">
        <v>1779</v>
      </c>
      <c r="B14" s="78"/>
    </row>
    <row r="15" spans="1:3" s="72" customFormat="1" ht="20.100000000000001" customHeight="1">
      <c r="A15" s="77" t="s">
        <v>1780</v>
      </c>
      <c r="B15" s="78"/>
    </row>
    <row r="16" spans="1:3" s="72" customFormat="1" ht="20.100000000000001" customHeight="1">
      <c r="A16" s="77" t="s">
        <v>1781</v>
      </c>
      <c r="B16" s="78"/>
    </row>
    <row r="17" spans="1:2" s="72" customFormat="1" ht="20.100000000000001" customHeight="1">
      <c r="A17" s="77" t="s">
        <v>1782</v>
      </c>
      <c r="B17" s="78"/>
    </row>
    <row r="18" spans="1:2" s="72" customFormat="1" ht="20.100000000000001" customHeight="1">
      <c r="A18" s="77" t="s">
        <v>1783</v>
      </c>
      <c r="B18" s="78"/>
    </row>
    <row r="19" spans="1:2" s="72" customFormat="1" ht="20.100000000000001" customHeight="1">
      <c r="A19" s="77" t="s">
        <v>1784</v>
      </c>
      <c r="B19" s="78"/>
    </row>
    <row r="20" spans="1:2" s="72" customFormat="1" ht="20.100000000000001" customHeight="1">
      <c r="A20" s="77" t="s">
        <v>1785</v>
      </c>
      <c r="B20" s="78"/>
    </row>
    <row r="21" spans="1:2" s="72" customFormat="1" ht="20.100000000000001" customHeight="1">
      <c r="A21" s="77" t="s">
        <v>456</v>
      </c>
      <c r="B21" s="78"/>
    </row>
    <row r="22" spans="1:2" s="72" customFormat="1" ht="20.100000000000001" customHeight="1">
      <c r="A22" s="77" t="s">
        <v>1786</v>
      </c>
      <c r="B22" s="79">
        <f>SUM(B6:B21)</f>
        <v>0</v>
      </c>
    </row>
    <row r="23" spans="1:2" s="72" customFormat="1" ht="20.100000000000001" customHeight="1">
      <c r="A23" s="77" t="s">
        <v>1787</v>
      </c>
      <c r="B23" s="78"/>
    </row>
    <row r="24" spans="1:2" s="72" customFormat="1" ht="20.100000000000001" customHeight="1">
      <c r="A24" s="80" t="s">
        <v>1788</v>
      </c>
      <c r="B24" s="78"/>
    </row>
    <row r="25" spans="1:2" s="72" customFormat="1" ht="20.100000000000001" customHeight="1">
      <c r="A25" s="80" t="s">
        <v>1789</v>
      </c>
      <c r="B25" s="78"/>
    </row>
    <row r="26" spans="1:2" s="72" customFormat="1" ht="20.100000000000001" customHeight="1">
      <c r="A26" s="80" t="s">
        <v>1790</v>
      </c>
      <c r="B26" s="78"/>
    </row>
    <row r="27" spans="1:2" s="72" customFormat="1" ht="20.100000000000001" customHeight="1">
      <c r="A27" s="80" t="s">
        <v>1791</v>
      </c>
      <c r="B27" s="78"/>
    </row>
    <row r="28" spans="1:2" s="72" customFormat="1" ht="20.100000000000001" customHeight="1">
      <c r="A28" s="80" t="s">
        <v>1792</v>
      </c>
      <c r="B28" s="78"/>
    </row>
    <row r="29" spans="1:2" s="72" customFormat="1" ht="20.100000000000001" customHeight="1">
      <c r="A29" s="80" t="s">
        <v>1793</v>
      </c>
      <c r="B29" s="78"/>
    </row>
    <row r="30" spans="1:2" s="72" customFormat="1" ht="20.100000000000001" customHeight="1">
      <c r="A30" s="77" t="s">
        <v>1794</v>
      </c>
      <c r="B30" s="78"/>
    </row>
    <row r="31" spans="1:2" s="72" customFormat="1" ht="20.100000000000001" customHeight="1">
      <c r="A31" s="77" t="s">
        <v>1795</v>
      </c>
      <c r="B31" s="78"/>
    </row>
    <row r="32" spans="1:2" s="72" customFormat="1" ht="20.100000000000001" customHeight="1">
      <c r="A32" s="80" t="s">
        <v>1796</v>
      </c>
      <c r="B32" s="79">
        <f>B28-B29+B30-B31</f>
        <v>0</v>
      </c>
    </row>
    <row r="33" spans="1:2" s="72" customFormat="1" ht="20.100000000000001" customHeight="1">
      <c r="A33" s="81"/>
    </row>
    <row r="34" spans="1:2" s="72" customFormat="1" ht="20.100000000000001" customHeight="1">
      <c r="A34" s="82" t="s">
        <v>1797</v>
      </c>
    </row>
    <row r="35" spans="1:2" s="72" customFormat="1" ht="20.100000000000001" customHeight="1">
      <c r="A35" s="83" t="s">
        <v>1798</v>
      </c>
      <c r="B35" s="83" t="s">
        <v>1799</v>
      </c>
    </row>
    <row r="36" spans="1:2" s="72" customFormat="1" ht="20.100000000000001" customHeight="1">
      <c r="A36" s="77" t="s">
        <v>1800</v>
      </c>
      <c r="B36" s="84">
        <f>SUM(B37:B39)</f>
        <v>0</v>
      </c>
    </row>
    <row r="37" spans="1:2" s="72" customFormat="1" ht="20.100000000000001" customHeight="1">
      <c r="A37" s="77" t="s">
        <v>1801</v>
      </c>
      <c r="B37" s="85"/>
    </row>
    <row r="38" spans="1:2" s="72" customFormat="1" ht="20.100000000000001" customHeight="1">
      <c r="A38" s="77" t="s">
        <v>1802</v>
      </c>
      <c r="B38" s="85"/>
    </row>
    <row r="39" spans="1:2" s="72" customFormat="1" ht="20.100000000000001" customHeight="1">
      <c r="A39" s="77"/>
      <c r="B39" s="85"/>
    </row>
    <row r="40" spans="1:2" s="72" customFormat="1" ht="20.100000000000001" customHeight="1">
      <c r="A40" s="77" t="s">
        <v>1803</v>
      </c>
      <c r="B40" s="84">
        <f>SUM(B41:B43)</f>
        <v>0</v>
      </c>
    </row>
    <row r="41" spans="1:2" s="72" customFormat="1" ht="20.100000000000001" customHeight="1">
      <c r="A41" s="77" t="s">
        <v>1801</v>
      </c>
      <c r="B41" s="85"/>
    </row>
    <row r="42" spans="1:2" s="72" customFormat="1" ht="20.100000000000001" customHeight="1">
      <c r="A42" s="77" t="s">
        <v>1802</v>
      </c>
      <c r="B42" s="85"/>
    </row>
    <row r="43" spans="1:2" s="72" customFormat="1" ht="20.100000000000001" customHeight="1">
      <c r="A43" s="77"/>
      <c r="B43" s="85"/>
    </row>
    <row r="44" spans="1:2" s="72" customFormat="1" ht="20.100000000000001" customHeight="1">
      <c r="A44" s="77" t="s">
        <v>1804</v>
      </c>
      <c r="B44" s="84">
        <f>SUM(B45:B47)</f>
        <v>0</v>
      </c>
    </row>
    <row r="45" spans="1:2" s="72" customFormat="1" ht="20.100000000000001" customHeight="1">
      <c r="A45" s="77" t="s">
        <v>1801</v>
      </c>
      <c r="B45" s="85"/>
    </row>
    <row r="46" spans="1:2" s="72" customFormat="1" ht="20.100000000000001" customHeight="1">
      <c r="A46" s="77" t="s">
        <v>1802</v>
      </c>
      <c r="B46" s="85"/>
    </row>
    <row r="47" spans="1:2" s="72" customFormat="1" ht="20.100000000000001" customHeight="1">
      <c r="A47" s="77"/>
      <c r="B47" s="85"/>
    </row>
    <row r="48" spans="1:2" s="72" customFormat="1" ht="20.100000000000001" customHeight="1">
      <c r="A48" s="77" t="s">
        <v>1805</v>
      </c>
      <c r="B48" s="84">
        <f>B36-B40+B44</f>
        <v>0</v>
      </c>
    </row>
    <row r="49" spans="1:2" s="72" customFormat="1" ht="20.100000000000001" customHeight="1">
      <c r="A49" s="82"/>
    </row>
    <row r="50" spans="1:2" s="72" customFormat="1" ht="20.100000000000001" customHeight="1">
      <c r="A50" s="86" t="s">
        <v>677</v>
      </c>
    </row>
    <row r="51" spans="1:2" s="72" customFormat="1" ht="20.100000000000001" customHeight="1">
      <c r="A51" s="86" t="s">
        <v>1806</v>
      </c>
    </row>
    <row r="52" spans="1:2" s="72" customFormat="1" ht="20.100000000000001" customHeight="1">
      <c r="A52" s="87" t="s">
        <v>903</v>
      </c>
      <c r="B52" s="88" t="s">
        <v>1799</v>
      </c>
    </row>
    <row r="53" spans="1:2" s="72" customFormat="1" ht="20.100000000000001" customHeight="1">
      <c r="A53" s="89" t="s">
        <v>1807</v>
      </c>
      <c r="B53" s="90">
        <f>SUM(B54:B57)</f>
        <v>0</v>
      </c>
    </row>
    <row r="54" spans="1:2" s="72" customFormat="1" ht="20.100000000000001" customHeight="1">
      <c r="A54" s="89" t="s">
        <v>1808</v>
      </c>
      <c r="B54" s="91"/>
    </row>
    <row r="55" spans="1:2" s="72" customFormat="1" ht="20.100000000000001" customHeight="1">
      <c r="A55" s="89" t="s">
        <v>1809</v>
      </c>
      <c r="B55" s="91"/>
    </row>
    <row r="56" spans="1:2" s="72" customFormat="1" ht="20.100000000000001" customHeight="1">
      <c r="A56" s="89"/>
      <c r="B56" s="91"/>
    </row>
    <row r="57" spans="1:2" s="72" customFormat="1" ht="20.100000000000001" customHeight="1">
      <c r="A57" s="89"/>
      <c r="B57" s="91"/>
    </row>
    <row r="58" spans="1:2" s="72" customFormat="1" ht="20.100000000000001" customHeight="1">
      <c r="A58" s="89" t="s">
        <v>1810</v>
      </c>
      <c r="B58" s="90">
        <f>SUM(B59:B61)</f>
        <v>0</v>
      </c>
    </row>
    <row r="59" spans="1:2" s="72" customFormat="1" ht="20.100000000000001" customHeight="1">
      <c r="A59" s="89" t="s">
        <v>1808</v>
      </c>
      <c r="B59" s="91"/>
    </row>
    <row r="60" spans="1:2" s="72" customFormat="1" ht="20.100000000000001" customHeight="1">
      <c r="A60" s="89" t="s">
        <v>1809</v>
      </c>
      <c r="B60" s="91"/>
    </row>
    <row r="61" spans="1:2" s="72" customFormat="1" ht="20.100000000000001" customHeight="1">
      <c r="A61" s="89"/>
      <c r="B61" s="91"/>
    </row>
    <row r="62" spans="1:2" s="72" customFormat="1" ht="20.100000000000001" customHeight="1">
      <c r="A62" s="89" t="s">
        <v>1811</v>
      </c>
      <c r="B62" s="90">
        <f>SUM(B63:B66)</f>
        <v>0</v>
      </c>
    </row>
    <row r="63" spans="1:2" s="72" customFormat="1" ht="20.100000000000001" customHeight="1">
      <c r="A63" s="89" t="s">
        <v>1808</v>
      </c>
      <c r="B63" s="91"/>
    </row>
    <row r="64" spans="1:2" s="72" customFormat="1" ht="20.100000000000001" customHeight="1">
      <c r="A64" s="89" t="s">
        <v>1809</v>
      </c>
      <c r="B64" s="91"/>
    </row>
    <row r="65" spans="1:2" s="72" customFormat="1" ht="20.100000000000001" customHeight="1">
      <c r="A65" s="89"/>
      <c r="B65" s="92"/>
    </row>
    <row r="66" spans="1:2" s="72" customFormat="1" ht="20.100000000000001" customHeight="1">
      <c r="A66" s="89"/>
      <c r="B66" s="92"/>
    </row>
    <row r="67" spans="1:2" s="72" customFormat="1" ht="20.100000000000001" customHeight="1">
      <c r="A67" s="89" t="s">
        <v>1812</v>
      </c>
      <c r="B67" s="90">
        <f>B53-B58+B62</f>
        <v>0</v>
      </c>
    </row>
    <row r="68" spans="1:2" s="72" customFormat="1" ht="20.100000000000001" customHeight="1">
      <c r="A68" s="82"/>
    </row>
    <row r="69" spans="1:2" s="72" customFormat="1" ht="20.100000000000001" customHeight="1">
      <c r="A69" s="86" t="s">
        <v>677</v>
      </c>
    </row>
    <row r="70" spans="1:2" s="72" customFormat="1" ht="20.100000000000001" customHeight="1">
      <c r="A70" s="86" t="s">
        <v>1813</v>
      </c>
    </row>
    <row r="71" spans="1:2" s="72" customFormat="1" ht="20.100000000000001" customHeight="1">
      <c r="A71" s="87" t="s">
        <v>903</v>
      </c>
      <c r="B71" s="88" t="s">
        <v>1814</v>
      </c>
    </row>
    <row r="72" spans="1:2" s="72" customFormat="1" ht="20.100000000000001" customHeight="1">
      <c r="A72" s="93" t="s">
        <v>1815</v>
      </c>
      <c r="B72" s="94"/>
    </row>
    <row r="73" spans="1:2" s="72" customFormat="1" ht="20.100000000000001" customHeight="1">
      <c r="A73" s="93" t="s">
        <v>1816</v>
      </c>
      <c r="B73" s="94"/>
    </row>
    <row r="74" spans="1:2" s="72" customFormat="1" ht="20.100000000000001" customHeight="1">
      <c r="A74" s="93" t="s">
        <v>1817</v>
      </c>
      <c r="B74" s="94"/>
    </row>
    <row r="75" spans="1:2" s="72" customFormat="1" ht="20.100000000000001" customHeight="1">
      <c r="A75" s="93" t="s">
        <v>1818</v>
      </c>
      <c r="B75" s="94"/>
    </row>
    <row r="76" spans="1:2" s="72" customFormat="1" ht="20.100000000000001" customHeight="1">
      <c r="A76" s="93" t="s">
        <v>1819</v>
      </c>
      <c r="B76" s="94"/>
    </row>
    <row r="77" spans="1:2" s="72" customFormat="1" ht="20.100000000000001" customHeight="1">
      <c r="A77" s="93" t="s">
        <v>1820</v>
      </c>
      <c r="B77" s="94"/>
    </row>
    <row r="78" spans="1:2" s="72" customFormat="1" ht="20.100000000000001" customHeight="1">
      <c r="A78" s="93" t="s">
        <v>1821</v>
      </c>
      <c r="B78" s="94"/>
    </row>
    <row r="79" spans="1:2" s="72" customFormat="1" ht="20.100000000000001" customHeight="1">
      <c r="A79" s="93" t="s">
        <v>1822</v>
      </c>
      <c r="B79" s="94"/>
    </row>
    <row r="80" spans="1:2" s="72" customFormat="1" ht="20.100000000000001" customHeight="1">
      <c r="A80" s="93" t="s">
        <v>1823</v>
      </c>
      <c r="B80" s="94"/>
    </row>
    <row r="81" spans="1:2" s="72" customFormat="1" ht="20.100000000000001" customHeight="1">
      <c r="A81" s="93" t="s">
        <v>1824</v>
      </c>
      <c r="B81" s="94"/>
    </row>
    <row r="82" spans="1:2" s="72" customFormat="1" ht="20.100000000000001" customHeight="1">
      <c r="A82" s="1374" t="s">
        <v>1825</v>
      </c>
      <c r="B82" s="1374"/>
    </row>
    <row r="83" spans="1:2" s="72" customFormat="1" ht="20.100000000000001" customHeight="1">
      <c r="A83" s="1374" t="s">
        <v>1826</v>
      </c>
      <c r="B83" s="1374"/>
    </row>
  </sheetData>
  <mergeCells count="2">
    <mergeCell ref="A82:B82"/>
    <mergeCell ref="A83:B83"/>
  </mergeCells>
  <phoneticPr fontId="76" type="noConversion"/>
  <printOptions horizontalCentered="1"/>
  <pageMargins left="0.47152777777777799" right="0.196527777777778" top="0.78680555555555598" bottom="0.59027777777777801" header="0.51180555555555596" footer="0.31388888888888899"/>
  <pageSetup paperSize="9" scale="99" orientation="portrait" blackAndWhite="1" horizontalDpi="360" r:id="rId1"/>
  <headerFooter alignWithMargins="0"/>
  <rowBreaks count="2" manualBreakCount="2">
    <brk id="32" max="5" man="1"/>
    <brk id="67" max="1" man="1"/>
  </rowBreak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view="pageBreakPreview" zoomScaleNormal="100" zoomScaleSheetLayoutView="100" workbookViewId="0">
      <selection sqref="A1:XFD3"/>
    </sheetView>
  </sheetViews>
  <sheetFormatPr defaultColWidth="9" defaultRowHeight="20.100000000000001" customHeight="1"/>
  <cols>
    <col min="1" max="9" width="10.625" style="24" customWidth="1"/>
    <col min="10" max="10" width="13.75" style="24" customWidth="1"/>
    <col min="11" max="11" width="16.25" style="24" customWidth="1"/>
    <col min="12" max="16384" width="9" style="24"/>
  </cols>
  <sheetData>
    <row r="1" spans="1:10" ht="24.95" customHeight="1">
      <c r="A1" s="12" t="s">
        <v>145</v>
      </c>
      <c r="B1" s="13">
        <f>基础信息!B6</f>
        <v>0</v>
      </c>
      <c r="C1" s="22"/>
      <c r="D1" s="22"/>
      <c r="E1" s="25"/>
      <c r="F1" s="22"/>
      <c r="G1" s="22"/>
      <c r="H1" s="22"/>
      <c r="I1" s="22"/>
      <c r="J1" s="22"/>
    </row>
    <row r="2" spans="1:10" ht="24.95" customHeight="1">
      <c r="A2" s="12" t="s">
        <v>147</v>
      </c>
      <c r="B2" s="13">
        <f>基础信息!B9</f>
        <v>0</v>
      </c>
      <c r="C2" s="22"/>
      <c r="D2" s="22"/>
      <c r="E2" s="22"/>
      <c r="F2" s="22"/>
      <c r="G2" s="22"/>
      <c r="H2" s="22"/>
      <c r="I2" s="22"/>
      <c r="J2" s="22"/>
    </row>
    <row r="3" spans="1:10" ht="24.95" customHeight="1">
      <c r="A3" s="67" t="s">
        <v>148</v>
      </c>
      <c r="B3" s="67" t="s">
        <v>1827</v>
      </c>
      <c r="C3" s="22"/>
      <c r="D3" s="22"/>
      <c r="E3" s="22"/>
      <c r="F3" s="22"/>
      <c r="G3" s="22"/>
      <c r="H3" s="22"/>
      <c r="I3" s="22"/>
      <c r="J3" s="22"/>
    </row>
    <row r="4" spans="1:10" s="7" customFormat="1" ht="24.95" customHeight="1">
      <c r="A4" s="68" t="s">
        <v>1828</v>
      </c>
      <c r="B4" s="15"/>
      <c r="C4" s="15"/>
      <c r="D4" s="15"/>
      <c r="E4" s="15"/>
      <c r="F4" s="15"/>
      <c r="G4" s="15"/>
      <c r="H4" s="15"/>
      <c r="I4" s="15"/>
      <c r="J4" s="15"/>
    </row>
    <row r="5" spans="1:10" s="7" customFormat="1" ht="24.95" customHeight="1">
      <c r="A5" s="15" t="s">
        <v>1829</v>
      </c>
      <c r="B5" s="15"/>
      <c r="C5" s="15"/>
      <c r="D5" s="15"/>
      <c r="E5" s="15"/>
      <c r="F5" s="15"/>
      <c r="G5" s="15"/>
      <c r="H5" s="15"/>
      <c r="I5" s="15"/>
      <c r="J5" s="15"/>
    </row>
    <row r="6" spans="1:10" s="66" customFormat="1" ht="34.5" customHeight="1">
      <c r="A6" s="23" t="s">
        <v>1830</v>
      </c>
      <c r="B6" s="23" t="s">
        <v>965</v>
      </c>
      <c r="C6" s="23" t="s">
        <v>1831</v>
      </c>
      <c r="D6" s="23" t="s">
        <v>1832</v>
      </c>
      <c r="E6" s="23" t="s">
        <v>1833</v>
      </c>
      <c r="F6" s="23" t="s">
        <v>1834</v>
      </c>
      <c r="G6" s="23" t="s">
        <v>1835</v>
      </c>
      <c r="H6" s="23" t="s">
        <v>1836</v>
      </c>
      <c r="I6" s="23" t="s">
        <v>1837</v>
      </c>
      <c r="J6" s="71" t="s">
        <v>1838</v>
      </c>
    </row>
    <row r="7" spans="1:10" s="9" customFormat="1" ht="20.100000000000001" customHeight="1"/>
    <row r="8" spans="1:10" s="9" customFormat="1" ht="20.100000000000001" customHeight="1"/>
    <row r="9" spans="1:10" s="9" customFormat="1" ht="20.100000000000001" customHeight="1"/>
    <row r="10" spans="1:10" s="9" customFormat="1" ht="20.100000000000001" customHeight="1"/>
    <row r="11" spans="1:10" s="9" customFormat="1" ht="20.100000000000001" customHeight="1"/>
    <row r="12" spans="1:10" s="9" customFormat="1" ht="20.100000000000001" customHeight="1"/>
    <row r="13" spans="1:10" s="9" customFormat="1" ht="20.100000000000001" customHeight="1">
      <c r="B13" s="69">
        <f t="shared" ref="B13:G13" si="0">SUM(B7:B12)</f>
        <v>0</v>
      </c>
      <c r="C13" s="69">
        <f t="shared" si="0"/>
        <v>0</v>
      </c>
      <c r="D13" s="69">
        <f t="shared" si="0"/>
        <v>0</v>
      </c>
      <c r="E13" s="69">
        <f t="shared" si="0"/>
        <v>0</v>
      </c>
      <c r="F13" s="69">
        <f t="shared" si="0"/>
        <v>0</v>
      </c>
      <c r="G13" s="69">
        <f t="shared" si="0"/>
        <v>0</v>
      </c>
      <c r="J13" s="69">
        <f>SUM(J7:J12)</f>
        <v>0</v>
      </c>
    </row>
    <row r="14" spans="1:10" s="9" customFormat="1" ht="20.100000000000001" customHeight="1"/>
    <row r="15" spans="1:10" s="9" customFormat="1" ht="20.100000000000001" customHeight="1">
      <c r="A15" s="70" t="s">
        <v>1839</v>
      </c>
    </row>
    <row r="16" spans="1:10" s="9" customFormat="1" ht="20.100000000000001" customHeight="1"/>
    <row r="17" spans="1:10" s="9" customFormat="1" ht="20.100000000000001" customHeight="1"/>
    <row r="18" spans="1:10" s="9" customFormat="1" ht="42" customHeight="1">
      <c r="A18" s="1375" t="s">
        <v>1840</v>
      </c>
      <c r="B18" s="1375"/>
      <c r="C18" s="1375"/>
      <c r="D18" s="1375"/>
      <c r="E18" s="1375"/>
      <c r="F18" s="1375"/>
      <c r="G18" s="1375"/>
      <c r="H18" s="1375"/>
      <c r="I18" s="1375"/>
      <c r="J18" s="1375"/>
    </row>
    <row r="19" spans="1:10" s="9" customFormat="1" ht="20.100000000000001" customHeight="1">
      <c r="A19" s="28"/>
      <c r="B19" s="28"/>
      <c r="C19" s="28"/>
      <c r="D19" s="28"/>
      <c r="E19" s="28"/>
      <c r="F19" s="28"/>
      <c r="G19" s="28"/>
      <c r="H19" s="28"/>
      <c r="I19" s="28"/>
      <c r="J19" s="28"/>
    </row>
    <row r="20" spans="1:10" s="9" customFormat="1" ht="20.100000000000001" customHeight="1">
      <c r="A20" s="28"/>
      <c r="B20" s="28"/>
      <c r="C20" s="28"/>
      <c r="D20" s="28"/>
      <c r="E20" s="28"/>
      <c r="F20" s="28"/>
      <c r="G20" s="28"/>
      <c r="H20" s="28"/>
      <c r="I20" s="28"/>
      <c r="J20" s="28"/>
    </row>
    <row r="21" spans="1:10" s="9" customFormat="1" ht="20.100000000000001" customHeight="1">
      <c r="A21" s="28"/>
      <c r="B21" s="28"/>
      <c r="C21" s="28"/>
      <c r="D21" s="28"/>
      <c r="E21" s="28"/>
      <c r="F21" s="28"/>
      <c r="G21" s="28"/>
      <c r="H21" s="28"/>
      <c r="I21" s="28"/>
      <c r="J21" s="28"/>
    </row>
    <row r="22" spans="1:10" s="9" customFormat="1" ht="20.100000000000001" customHeight="1">
      <c r="A22" s="28"/>
      <c r="B22" s="28"/>
      <c r="C22" s="28"/>
      <c r="D22" s="28"/>
      <c r="E22" s="28"/>
      <c r="F22" s="28"/>
      <c r="G22" s="28"/>
      <c r="H22" s="28"/>
      <c r="I22" s="28"/>
      <c r="J22" s="28"/>
    </row>
    <row r="23" spans="1:10" s="9" customFormat="1" ht="20.100000000000001" customHeight="1">
      <c r="A23" s="1375" t="s">
        <v>1841</v>
      </c>
      <c r="B23" s="1375"/>
      <c r="C23" s="1375"/>
      <c r="D23" s="1375"/>
      <c r="E23" s="1375"/>
      <c r="F23" s="1375"/>
      <c r="G23" s="1375"/>
      <c r="H23" s="1375"/>
      <c r="I23" s="1375"/>
      <c r="J23" s="1375"/>
    </row>
    <row r="24" spans="1:10" s="9" customFormat="1" ht="20.100000000000001" customHeight="1"/>
  </sheetData>
  <mergeCells count="2">
    <mergeCell ref="A18:J18"/>
    <mergeCell ref="A23:J23"/>
  </mergeCells>
  <phoneticPr fontId="76" type="noConversion"/>
  <pageMargins left="0.74791666666666701" right="0.47152777777777799" top="0.98402777777777795" bottom="0.98402777777777795" header="0.51180555555555596" footer="0.51180555555555596"/>
  <pageSetup paperSize="9" scale="77" orientation="portrait" blackAndWhite="1" r:id="rId1"/>
  <headerFooter alignWithMargins="0"/>
  <rowBreaks count="1" manualBreakCount="1">
    <brk id="15" max="16383" man="1"/>
  </rowBreaks>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view="pageBreakPreview" zoomScaleNormal="100" zoomScaleSheetLayoutView="100" workbookViewId="0">
      <selection sqref="A1:XFD3"/>
    </sheetView>
  </sheetViews>
  <sheetFormatPr defaultColWidth="9" defaultRowHeight="20.100000000000001" customHeight="1"/>
  <cols>
    <col min="1" max="1" width="9.375" style="53" customWidth="1"/>
    <col min="2" max="3" width="30.625" style="53" customWidth="1"/>
    <col min="4" max="4" width="30.375" style="53" customWidth="1"/>
    <col min="5" max="5" width="24.625" style="53" customWidth="1"/>
    <col min="6" max="16384" width="9" style="53"/>
  </cols>
  <sheetData>
    <row r="1" spans="1:5" ht="24.95" customHeight="1">
      <c r="A1" s="54" t="s">
        <v>145</v>
      </c>
      <c r="B1" s="55">
        <f>基础信息!B6</f>
        <v>0</v>
      </c>
      <c r="C1" s="56"/>
      <c r="D1" s="22"/>
      <c r="E1" s="57"/>
    </row>
    <row r="2" spans="1:5" ht="24.95" customHeight="1">
      <c r="A2" s="54" t="s">
        <v>147</v>
      </c>
      <c r="B2" s="55">
        <f>基础信息!B9</f>
        <v>0</v>
      </c>
      <c r="C2" s="56"/>
      <c r="D2" s="22"/>
      <c r="E2" s="58"/>
    </row>
    <row r="3" spans="1:5" ht="24.95" customHeight="1">
      <c r="A3" s="64" t="s">
        <v>148</v>
      </c>
      <c r="B3" s="64" t="s">
        <v>1842</v>
      </c>
      <c r="C3" s="59"/>
      <c r="D3" s="60"/>
      <c r="E3" s="58"/>
    </row>
    <row r="4" spans="1:5" s="52" customFormat="1" ht="24.95" customHeight="1">
      <c r="A4" s="26" t="s">
        <v>1</v>
      </c>
      <c r="B4" s="26" t="s">
        <v>1843</v>
      </c>
      <c r="C4" s="1379" t="s">
        <v>1844</v>
      </c>
      <c r="D4" s="1379"/>
    </row>
    <row r="5" spans="1:5" s="27" customFormat="1" ht="20.100000000000001" customHeight="1">
      <c r="A5" s="27" t="s">
        <v>1845</v>
      </c>
      <c r="C5" s="1380"/>
      <c r="D5" s="1380"/>
    </row>
    <row r="6" spans="1:5" s="27" customFormat="1" ht="20.100000000000001" customHeight="1">
      <c r="A6" s="27" t="s">
        <v>1846</v>
      </c>
      <c r="C6" s="1380"/>
      <c r="D6" s="1380"/>
    </row>
    <row r="7" spans="1:5" s="27" customFormat="1" ht="20.100000000000001" customHeight="1">
      <c r="A7" s="27" t="s">
        <v>1847</v>
      </c>
      <c r="C7" s="1380"/>
      <c r="D7" s="1380"/>
    </row>
    <row r="8" spans="1:5" s="27" customFormat="1" ht="20.100000000000001" customHeight="1">
      <c r="C8" s="1380"/>
      <c r="D8" s="1380"/>
    </row>
    <row r="9" spans="1:5" s="27" customFormat="1" ht="20.100000000000001" customHeight="1"/>
    <row r="10" spans="1:5" s="27" customFormat="1" ht="20.100000000000001" customHeight="1"/>
    <row r="11" spans="1:5" s="27" customFormat="1" ht="43.5" customHeight="1">
      <c r="A11" s="1376" t="s">
        <v>1848</v>
      </c>
      <c r="B11" s="1377"/>
      <c r="C11" s="1377"/>
      <c r="D11" s="1378"/>
    </row>
  </sheetData>
  <mergeCells count="6">
    <mergeCell ref="A11:D11"/>
    <mergeCell ref="C4:D4"/>
    <mergeCell ref="C5:D5"/>
    <mergeCell ref="C6:D6"/>
    <mergeCell ref="C7:D7"/>
    <mergeCell ref="C8:D8"/>
  </mergeCells>
  <phoneticPr fontId="76" type="noConversion"/>
  <pageMargins left="0.90416666666666701" right="0.51180555555555596" top="0.98402777777777795" bottom="0.98402777777777795" header="0.51180555555555596" footer="0.51180555555555596"/>
  <pageSetup paperSize="9" orientation="landscape" blackAndWhite="1" r:id="rId1"/>
  <headerFooter alignWithMargins="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view="pageBreakPreview" zoomScaleNormal="100" zoomScaleSheetLayoutView="100" workbookViewId="0">
      <selection activeCell="C16" sqref="C16"/>
    </sheetView>
  </sheetViews>
  <sheetFormatPr defaultColWidth="9" defaultRowHeight="20.100000000000001" customHeight="1"/>
  <cols>
    <col min="1" max="1" width="8.5" style="53" customWidth="1"/>
    <col min="2" max="4" width="30.625" style="53" customWidth="1"/>
    <col min="5" max="5" width="26.625" style="53" customWidth="1"/>
    <col min="6" max="6" width="6.875" style="53" customWidth="1"/>
    <col min="7" max="7" width="6.625" style="53" customWidth="1"/>
    <col min="8" max="8" width="6.125" style="53" customWidth="1"/>
    <col min="9" max="9" width="8.125" style="53" customWidth="1"/>
    <col min="10" max="16384" width="9" style="53"/>
  </cols>
  <sheetData>
    <row r="1" spans="1:8" ht="24.95" customHeight="1">
      <c r="A1" s="54" t="s">
        <v>145</v>
      </c>
      <c r="B1" s="55">
        <f>基础信息!B5</f>
        <v>0</v>
      </c>
      <c r="C1" s="56"/>
      <c r="D1" s="22"/>
      <c r="E1" s="57"/>
    </row>
    <row r="2" spans="1:8" ht="24.95" customHeight="1">
      <c r="A2" s="54" t="s">
        <v>147</v>
      </c>
      <c r="B2" s="63">
        <f>基础信息!B9</f>
        <v>0</v>
      </c>
      <c r="C2" s="56"/>
      <c r="D2" s="22"/>
      <c r="E2" s="58"/>
    </row>
    <row r="3" spans="1:8" ht="24.95" customHeight="1">
      <c r="A3" s="64" t="s">
        <v>148</v>
      </c>
      <c r="B3" s="64" t="s">
        <v>1849</v>
      </c>
      <c r="C3" s="59"/>
      <c r="D3" s="60"/>
      <c r="E3" s="58"/>
    </row>
    <row r="4" spans="1:8" s="52" customFormat="1" ht="24.95" customHeight="1">
      <c r="A4" s="26" t="s">
        <v>1</v>
      </c>
      <c r="B4" s="26" t="s">
        <v>1843</v>
      </c>
      <c r="C4" s="1379" t="s">
        <v>1844</v>
      </c>
      <c r="D4" s="1379"/>
    </row>
    <row r="5" spans="1:8" s="27" customFormat="1" ht="20.100000000000001" customHeight="1">
      <c r="A5" s="27" t="s">
        <v>1845</v>
      </c>
      <c r="C5" s="1380"/>
      <c r="D5" s="1380"/>
    </row>
    <row r="6" spans="1:8" s="27" customFormat="1" ht="20.100000000000001" customHeight="1">
      <c r="A6" s="27" t="s">
        <v>1846</v>
      </c>
      <c r="C6" s="1380"/>
      <c r="D6" s="1380"/>
    </row>
    <row r="7" spans="1:8" s="27" customFormat="1" ht="20.100000000000001" customHeight="1">
      <c r="A7" s="27" t="s">
        <v>1847</v>
      </c>
      <c r="C7" s="1380"/>
      <c r="D7" s="1380"/>
    </row>
    <row r="8" spans="1:8" s="27" customFormat="1" ht="20.100000000000001" customHeight="1">
      <c r="C8" s="1380"/>
      <c r="D8" s="1380"/>
    </row>
    <row r="9" spans="1:8" s="27" customFormat="1" ht="37.5" customHeight="1">
      <c r="A9" s="1376" t="s">
        <v>1850</v>
      </c>
      <c r="B9" s="1377"/>
      <c r="C9" s="1377"/>
      <c r="D9" s="1378"/>
      <c r="E9" s="65"/>
      <c r="F9" s="65"/>
      <c r="G9" s="65"/>
      <c r="H9" s="65"/>
    </row>
  </sheetData>
  <mergeCells count="6">
    <mergeCell ref="A9:D9"/>
    <mergeCell ref="C4:D4"/>
    <mergeCell ref="C5:D5"/>
    <mergeCell ref="C6:D6"/>
    <mergeCell ref="C7:D7"/>
    <mergeCell ref="C8:D8"/>
  </mergeCells>
  <phoneticPr fontId="76" type="noConversion"/>
  <pageMargins left="0.31388888888888899" right="0.31388888888888899" top="0.98402777777777795" bottom="0.98402777777777795" header="0.51180555555555596" footer="0.51180555555555596"/>
  <pageSetup paperSize="9" scale="93" orientation="landscape" blackAndWhite="1" r:id="rId1"/>
  <headerFooter alignWithMargins="0"/>
  <colBreaks count="1" manualBreakCount="1">
    <brk id="9" max="1048575" man="1"/>
  </colBreak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view="pageBreakPreview" zoomScaleNormal="100" zoomScaleSheetLayoutView="100" workbookViewId="0"/>
  </sheetViews>
  <sheetFormatPr defaultColWidth="9" defaultRowHeight="20.100000000000001" customHeight="1"/>
  <cols>
    <col min="1" max="1" width="21.625" style="53" customWidth="1"/>
    <col min="2" max="4" width="30.625" style="53" customWidth="1"/>
    <col min="5" max="5" width="24.625" style="53" customWidth="1"/>
    <col min="6" max="16384" width="9" style="53"/>
  </cols>
  <sheetData>
    <row r="1" spans="1:5" ht="24.95" customHeight="1">
      <c r="A1" s="54" t="s">
        <v>145</v>
      </c>
      <c r="B1" s="55">
        <f>基础信息!B6</f>
        <v>0</v>
      </c>
      <c r="C1" s="56"/>
      <c r="D1" s="22"/>
      <c r="E1" s="57"/>
    </row>
    <row r="2" spans="1:5" ht="24.95" customHeight="1">
      <c r="A2" s="54" t="s">
        <v>147</v>
      </c>
      <c r="B2" s="55">
        <f>基础信息!B9</f>
        <v>0</v>
      </c>
      <c r="C2" s="56"/>
      <c r="D2" s="22"/>
      <c r="E2" s="58"/>
    </row>
    <row r="3" spans="1:5" ht="24.95" customHeight="1">
      <c r="A3" s="54" t="s">
        <v>148</v>
      </c>
      <c r="B3" s="54" t="s">
        <v>1851</v>
      </c>
      <c r="C3" s="59"/>
      <c r="D3" s="60"/>
      <c r="E3" s="58"/>
    </row>
    <row r="4" spans="1:5" s="52" customFormat="1" ht="24.95" customHeight="1">
      <c r="A4" s="61" t="s">
        <v>1717</v>
      </c>
      <c r="B4" s="26" t="s">
        <v>1852</v>
      </c>
      <c r="C4" s="26" t="s">
        <v>1844</v>
      </c>
      <c r="D4" s="26" t="s">
        <v>1853</v>
      </c>
    </row>
    <row r="5" spans="1:5" s="27" customFormat="1" ht="20.100000000000001" customHeight="1">
      <c r="A5" s="62" t="s">
        <v>1854</v>
      </c>
      <c r="C5" s="39"/>
      <c r="D5" s="39"/>
    </row>
    <row r="6" spans="1:5" s="27" customFormat="1" ht="20.100000000000001" customHeight="1">
      <c r="A6" s="62" t="s">
        <v>1855</v>
      </c>
      <c r="C6" s="39"/>
      <c r="D6" s="39"/>
    </row>
    <row r="7" spans="1:5" s="27" customFormat="1" ht="20.100000000000001" customHeight="1">
      <c r="A7" s="62" t="s">
        <v>1856</v>
      </c>
      <c r="C7" s="39"/>
      <c r="D7" s="39"/>
    </row>
    <row r="8" spans="1:5" s="27" customFormat="1" ht="20.100000000000001" customHeight="1">
      <c r="A8" s="62" t="s">
        <v>1857</v>
      </c>
      <c r="C8" s="39"/>
      <c r="D8" s="39"/>
    </row>
    <row r="9" spans="1:5" s="27" customFormat="1" ht="20.100000000000001" customHeight="1">
      <c r="A9" s="62" t="s">
        <v>1858</v>
      </c>
      <c r="C9" s="39"/>
      <c r="D9" s="39"/>
    </row>
    <row r="10" spans="1:5" s="27" customFormat="1" ht="20.100000000000001" customHeight="1">
      <c r="C10" s="39"/>
      <c r="D10" s="39"/>
    </row>
    <row r="11" spans="1:5" s="27" customFormat="1" ht="37.5" customHeight="1">
      <c r="A11" s="1381" t="s">
        <v>1859</v>
      </c>
      <c r="B11" s="1377"/>
      <c r="C11" s="1377"/>
      <c r="D11" s="1378"/>
    </row>
  </sheetData>
  <mergeCells count="1">
    <mergeCell ref="A11:D11"/>
  </mergeCells>
  <phoneticPr fontId="76" type="noConversion"/>
  <pageMargins left="0.74791666666666701" right="0.74791666666666701" top="0.98402777777777795" bottom="0.98402777777777795" header="0.51180555555555596" footer="0.51180555555555596"/>
  <pageSetup paperSize="9" orientation="landscape" blackAndWhite="1" r:id="rId1"/>
  <headerFooter alignWithMargins="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8"/>
  <sheetViews>
    <sheetView view="pageBreakPreview" zoomScaleNormal="100" zoomScaleSheetLayoutView="100" workbookViewId="0">
      <selection sqref="A1:XFD3"/>
    </sheetView>
  </sheetViews>
  <sheetFormatPr defaultColWidth="16.625" defaultRowHeight="20.100000000000001" customHeight="1"/>
  <cols>
    <col min="1" max="16384" width="16.625" style="24"/>
  </cols>
  <sheetData>
    <row r="1" spans="1:7" s="22" customFormat="1" ht="24.95" customHeight="1">
      <c r="A1" s="12" t="s">
        <v>145</v>
      </c>
      <c r="B1" s="13">
        <f>基础信息!B6</f>
        <v>0</v>
      </c>
      <c r="E1" s="25"/>
    </row>
    <row r="2" spans="1:7" s="22" customFormat="1" ht="24.95" customHeight="1">
      <c r="A2" s="12" t="s">
        <v>147</v>
      </c>
      <c r="B2" s="13">
        <f>基础信息!B9</f>
        <v>0</v>
      </c>
    </row>
    <row r="3" spans="1:7" s="22" customFormat="1" ht="24.95" customHeight="1">
      <c r="A3" s="12" t="s">
        <v>148</v>
      </c>
      <c r="B3" s="12" t="s">
        <v>1860</v>
      </c>
    </row>
    <row r="4" spans="1:7" s="23" customFormat="1" ht="24.95" customHeight="1">
      <c r="A4" s="26" t="s">
        <v>1</v>
      </c>
      <c r="B4" s="26" t="s">
        <v>1861</v>
      </c>
      <c r="C4" s="1379" t="s">
        <v>1844</v>
      </c>
      <c r="D4" s="1379"/>
      <c r="E4" s="26"/>
      <c r="F4" s="26"/>
      <c r="G4" s="26"/>
    </row>
    <row r="5" spans="1:7" s="9" customFormat="1" ht="20.100000000000001" customHeight="1">
      <c r="A5" s="27" t="s">
        <v>1845</v>
      </c>
      <c r="B5" s="27"/>
      <c r="C5" s="1380"/>
      <c r="D5" s="1380"/>
      <c r="E5" s="27"/>
      <c r="F5" s="27"/>
      <c r="G5" s="27"/>
    </row>
    <row r="6" spans="1:7" s="9" customFormat="1" ht="20.100000000000001" customHeight="1">
      <c r="A6" s="27" t="s">
        <v>1846</v>
      </c>
      <c r="B6" s="27"/>
      <c r="C6" s="1380"/>
      <c r="D6" s="1380"/>
      <c r="E6" s="27"/>
      <c r="F6" s="27"/>
      <c r="G6" s="27"/>
    </row>
    <row r="7" spans="1:7" s="9" customFormat="1" ht="20.100000000000001" customHeight="1">
      <c r="A7" s="27" t="s">
        <v>1847</v>
      </c>
      <c r="B7" s="27"/>
      <c r="C7" s="1380"/>
      <c r="D7" s="1380"/>
      <c r="E7" s="27"/>
      <c r="F7" s="27"/>
      <c r="G7" s="27"/>
    </row>
    <row r="8" spans="1:7" s="9" customFormat="1" ht="20.100000000000001" customHeight="1"/>
    <row r="9" spans="1:7" s="9" customFormat="1" ht="55.5" customHeight="1">
      <c r="A9" s="1375" t="s">
        <v>1862</v>
      </c>
      <c r="B9" s="1375"/>
      <c r="C9" s="1375"/>
      <c r="D9" s="1375"/>
      <c r="E9" s="1375"/>
      <c r="F9" s="1375"/>
      <c r="G9" s="1374"/>
    </row>
    <row r="10" spans="1:7" s="9" customFormat="1" ht="20.100000000000001" customHeight="1"/>
    <row r="11" spans="1:7" s="9" customFormat="1" ht="20.100000000000001" customHeight="1">
      <c r="A11" s="1382" t="s">
        <v>1863</v>
      </c>
      <c r="B11" s="1382"/>
      <c r="C11" s="1382"/>
      <c r="D11" s="1382"/>
      <c r="E11" s="28"/>
      <c r="F11" s="28"/>
      <c r="G11" s="28"/>
    </row>
    <row r="12" spans="1:7" s="9" customFormat="1" ht="20.100000000000001" customHeight="1">
      <c r="A12" s="1382" t="s">
        <v>1864</v>
      </c>
      <c r="B12" s="1382"/>
      <c r="C12" s="1382"/>
      <c r="D12" s="1382"/>
      <c r="E12" s="28"/>
      <c r="F12" s="28"/>
      <c r="G12" s="28"/>
    </row>
    <row r="13" spans="1:7" s="9" customFormat="1" ht="60" customHeight="1">
      <c r="A13" s="1383" t="s">
        <v>1865</v>
      </c>
      <c r="B13" s="1383"/>
      <c r="C13" s="1383"/>
      <c r="D13" s="1383"/>
      <c r="E13" s="1383"/>
      <c r="F13" s="1383"/>
      <c r="G13" s="1383"/>
    </row>
    <row r="14" spans="1:7" s="9" customFormat="1" ht="20.100000000000001" customHeight="1">
      <c r="A14" s="29"/>
      <c r="B14" s="29"/>
      <c r="C14" s="29"/>
      <c r="D14" s="29"/>
    </row>
    <row r="15" spans="1:7" s="9" customFormat="1" ht="20.100000000000001" customHeight="1">
      <c r="A15" s="1375" t="s">
        <v>1866</v>
      </c>
      <c r="B15" s="1375"/>
      <c r="C15" s="1375"/>
      <c r="D15" s="1375"/>
      <c r="E15" s="1375"/>
      <c r="F15" s="1375"/>
      <c r="G15" s="1375"/>
    </row>
    <row r="16" spans="1:7" s="9" customFormat="1" ht="20.100000000000001" customHeight="1">
      <c r="A16" s="1272" t="s">
        <v>754</v>
      </c>
      <c r="B16" s="1272"/>
      <c r="C16" s="30" t="s">
        <v>1867</v>
      </c>
      <c r="D16" s="31" t="s">
        <v>1868</v>
      </c>
    </row>
    <row r="17" spans="1:4" s="9" customFormat="1" ht="20.100000000000001" customHeight="1">
      <c r="A17" s="1384" t="s">
        <v>1001</v>
      </c>
      <c r="B17" s="1384"/>
      <c r="C17" s="32"/>
      <c r="D17" s="32"/>
    </row>
    <row r="18" spans="1:4" s="9" customFormat="1" ht="20.100000000000001" customHeight="1">
      <c r="A18" s="1384" t="s">
        <v>1869</v>
      </c>
      <c r="B18" s="1384"/>
      <c r="C18" s="32"/>
      <c r="D18" s="32"/>
    </row>
    <row r="19" spans="1:4" s="9" customFormat="1" ht="20.100000000000001" customHeight="1">
      <c r="A19" s="1384" t="s">
        <v>190</v>
      </c>
      <c r="B19" s="1384"/>
      <c r="C19" s="32"/>
      <c r="D19" s="32"/>
    </row>
    <row r="20" spans="1:4" s="9" customFormat="1" ht="20.100000000000001" customHeight="1">
      <c r="A20" s="1384" t="s">
        <v>1870</v>
      </c>
      <c r="B20" s="1384"/>
      <c r="C20" s="32"/>
      <c r="D20" s="32"/>
    </row>
    <row r="21" spans="1:4" s="9" customFormat="1" ht="20.100000000000001" customHeight="1">
      <c r="A21" s="1384" t="s">
        <v>1871</v>
      </c>
      <c r="B21" s="1384"/>
      <c r="C21" s="32"/>
      <c r="D21" s="32"/>
    </row>
    <row r="22" spans="1:4" s="9" customFormat="1" ht="20.100000000000001" customHeight="1">
      <c r="A22" s="1384" t="s">
        <v>1872</v>
      </c>
      <c r="B22" s="1384"/>
      <c r="C22" s="32"/>
      <c r="D22" s="32"/>
    </row>
    <row r="23" spans="1:4" s="9" customFormat="1" ht="20.100000000000001" customHeight="1">
      <c r="A23" s="1384" t="s">
        <v>896</v>
      </c>
      <c r="B23" s="1384"/>
      <c r="C23" s="32"/>
      <c r="D23" s="32"/>
    </row>
    <row r="24" spans="1:4" s="9" customFormat="1" ht="20.100000000000001" customHeight="1">
      <c r="A24" s="1384" t="s">
        <v>1873</v>
      </c>
      <c r="B24" s="1384"/>
      <c r="C24" s="32"/>
      <c r="D24" s="32"/>
    </row>
    <row r="25" spans="1:4" s="9" customFormat="1" ht="20.100000000000001" customHeight="1">
      <c r="A25" s="1384" t="s">
        <v>1874</v>
      </c>
      <c r="B25" s="1384"/>
      <c r="C25" s="32"/>
      <c r="D25" s="32"/>
    </row>
    <row r="26" spans="1:4" s="9" customFormat="1" ht="20.100000000000001" customHeight="1">
      <c r="A26" s="1384" t="s">
        <v>1875</v>
      </c>
      <c r="B26" s="1384"/>
      <c r="C26" s="32"/>
      <c r="D26" s="27"/>
    </row>
    <row r="27" spans="1:4" s="9" customFormat="1" ht="20.100000000000001" customHeight="1">
      <c r="A27" s="33"/>
      <c r="B27" s="33"/>
      <c r="C27" s="33"/>
    </row>
    <row r="28" spans="1:4" s="7" customFormat="1" ht="20.100000000000001" customHeight="1">
      <c r="A28" s="34" t="s">
        <v>1876</v>
      </c>
      <c r="B28" s="35"/>
      <c r="C28" s="35"/>
      <c r="D28" s="35" t="s">
        <v>1877</v>
      </c>
    </row>
    <row r="29" spans="1:4" s="9" customFormat="1" ht="37.5" customHeight="1">
      <c r="A29" s="16" t="s">
        <v>754</v>
      </c>
      <c r="B29" s="1385" t="s">
        <v>1878</v>
      </c>
      <c r="C29" s="1385"/>
    </row>
    <row r="30" spans="1:4" s="9" customFormat="1" ht="20.100000000000001" customHeight="1">
      <c r="A30" s="32" t="s">
        <v>433</v>
      </c>
      <c r="B30" s="1386"/>
      <c r="C30" s="1386"/>
    </row>
    <row r="31" spans="1:4" s="9" customFormat="1" ht="20.100000000000001" customHeight="1">
      <c r="A31" s="32" t="s">
        <v>1019</v>
      </c>
      <c r="B31" s="1386"/>
      <c r="C31" s="1386"/>
    </row>
    <row r="32" spans="1:4" s="9" customFormat="1" ht="20.100000000000001" customHeight="1">
      <c r="A32" s="32" t="s">
        <v>1879</v>
      </c>
      <c r="B32" s="1386"/>
      <c r="C32" s="1386"/>
    </row>
    <row r="33" spans="1:7" s="9" customFormat="1" ht="20.100000000000001" customHeight="1">
      <c r="A33" s="33"/>
      <c r="B33" s="33"/>
    </row>
    <row r="34" spans="1:7" s="7" customFormat="1" ht="20.100000000000001" customHeight="1">
      <c r="A34" s="1374" t="s">
        <v>1880</v>
      </c>
      <c r="B34" s="1374"/>
      <c r="C34" s="1374"/>
      <c r="D34" s="1374"/>
    </row>
    <row r="35" spans="1:7" s="9" customFormat="1" ht="20.100000000000001" customHeight="1">
      <c r="A35" s="1272" t="s">
        <v>754</v>
      </c>
      <c r="B35" s="1272"/>
      <c r="C35" s="16" t="s">
        <v>772</v>
      </c>
    </row>
    <row r="36" spans="1:7" s="9" customFormat="1" ht="20.100000000000001" customHeight="1">
      <c r="A36" s="1384" t="s">
        <v>1881</v>
      </c>
      <c r="B36" s="1384"/>
      <c r="C36" s="32"/>
    </row>
    <row r="37" spans="1:7" s="9" customFormat="1" ht="20.100000000000001" customHeight="1">
      <c r="A37" s="1384" t="s">
        <v>1882</v>
      </c>
      <c r="B37" s="1384"/>
      <c r="C37" s="32"/>
    </row>
    <row r="38" spans="1:7" s="9" customFormat="1" ht="20.100000000000001" customHeight="1">
      <c r="A38" s="1384" t="s">
        <v>1883</v>
      </c>
      <c r="B38" s="1384"/>
      <c r="C38" s="32"/>
    </row>
    <row r="39" spans="1:7" s="9" customFormat="1" ht="20.100000000000001" customHeight="1">
      <c r="A39" s="1384" t="s">
        <v>1884</v>
      </c>
      <c r="B39" s="1384"/>
      <c r="C39" s="32"/>
    </row>
    <row r="40" spans="1:7" s="7" customFormat="1" ht="62.25" customHeight="1">
      <c r="A40" s="1374" t="s">
        <v>1885</v>
      </c>
      <c r="B40" s="1374"/>
      <c r="C40" s="1374"/>
      <c r="D40" s="1374"/>
      <c r="E40" s="1374"/>
      <c r="F40" s="1374"/>
      <c r="G40" s="1374"/>
    </row>
    <row r="41" spans="1:7" s="7" customFormat="1" ht="20.100000000000001" customHeight="1">
      <c r="A41" s="1374" t="s">
        <v>1886</v>
      </c>
      <c r="B41" s="1374"/>
      <c r="C41" s="1374"/>
      <c r="D41" s="1374"/>
      <c r="E41" s="1374"/>
      <c r="F41" s="1374"/>
      <c r="G41" s="1374"/>
    </row>
    <row r="42" spans="1:7" s="7" customFormat="1" ht="20.100000000000001" customHeight="1">
      <c r="A42" s="37"/>
      <c r="B42" s="37"/>
      <c r="C42" s="37"/>
      <c r="D42" s="37"/>
    </row>
    <row r="43" spans="1:7" s="9" customFormat="1" ht="20.100000000000001" customHeight="1">
      <c r="A43" s="1374" t="s">
        <v>1887</v>
      </c>
      <c r="B43" s="1374"/>
      <c r="C43" s="1374"/>
      <c r="D43" s="1374"/>
    </row>
    <row r="44" spans="1:7" s="7" customFormat="1" ht="45.75" customHeight="1">
      <c r="A44" s="1387" t="s">
        <v>1888</v>
      </c>
      <c r="B44" s="1387"/>
      <c r="C44" s="1387"/>
      <c r="D44" s="1387"/>
      <c r="E44" s="1387"/>
      <c r="F44" s="1387"/>
      <c r="G44" s="1387"/>
    </row>
    <row r="45" spans="1:7" s="7" customFormat="1" ht="20.100000000000001" customHeight="1">
      <c r="A45" s="1280"/>
      <c r="B45" s="1280"/>
      <c r="C45" s="1280"/>
      <c r="D45" s="1280"/>
    </row>
    <row r="46" spans="1:7" s="7" customFormat="1" ht="20.100000000000001" customHeight="1">
      <c r="A46" s="1374" t="s">
        <v>1889</v>
      </c>
      <c r="B46" s="1374"/>
      <c r="C46" s="1374"/>
      <c r="D46" s="1374"/>
      <c r="E46" s="1374"/>
    </row>
    <row r="47" spans="1:7" s="9" customFormat="1" ht="20.100000000000001" customHeight="1">
      <c r="A47" s="1272" t="s">
        <v>754</v>
      </c>
      <c r="B47" s="1272"/>
      <c r="C47" s="16" t="s">
        <v>1890</v>
      </c>
      <c r="D47" s="16" t="s">
        <v>1891</v>
      </c>
    </row>
    <row r="48" spans="1:7" s="9" customFormat="1" ht="20.100000000000001" customHeight="1">
      <c r="A48" s="1384" t="s">
        <v>1001</v>
      </c>
      <c r="B48" s="1384"/>
      <c r="C48" s="32"/>
      <c r="D48" s="32"/>
    </row>
    <row r="49" spans="1:7" s="9" customFormat="1" ht="20.100000000000001" customHeight="1">
      <c r="A49" s="1384" t="s">
        <v>1869</v>
      </c>
      <c r="B49" s="1384"/>
      <c r="C49" s="32"/>
      <c r="D49" s="32"/>
    </row>
    <row r="50" spans="1:7" s="9" customFormat="1" ht="20.100000000000001" customHeight="1">
      <c r="A50" s="1384" t="s">
        <v>190</v>
      </c>
      <c r="B50" s="1384"/>
      <c r="C50" s="32"/>
      <c r="D50" s="32"/>
    </row>
    <row r="51" spans="1:7" s="9" customFormat="1" ht="28.5" customHeight="1">
      <c r="A51" s="1384" t="s">
        <v>1870</v>
      </c>
      <c r="B51" s="1384"/>
      <c r="C51" s="32"/>
      <c r="D51" s="32"/>
    </row>
    <row r="52" spans="1:7" s="9" customFormat="1" ht="20.100000000000001" customHeight="1">
      <c r="A52" s="1384" t="s">
        <v>1871</v>
      </c>
      <c r="B52" s="1384"/>
      <c r="C52" s="32"/>
      <c r="D52" s="32"/>
    </row>
    <row r="53" spans="1:7" s="9" customFormat="1" ht="20.100000000000001" customHeight="1">
      <c r="A53" s="1384" t="s">
        <v>1872</v>
      </c>
      <c r="B53" s="1384"/>
      <c r="C53" s="32"/>
      <c r="D53" s="32"/>
    </row>
    <row r="54" spans="1:7" s="9" customFormat="1" ht="20.100000000000001" customHeight="1">
      <c r="A54" s="1384" t="s">
        <v>896</v>
      </c>
      <c r="B54" s="1384"/>
      <c r="C54" s="32"/>
      <c r="D54" s="32"/>
    </row>
    <row r="55" spans="1:7" s="9" customFormat="1" ht="20.100000000000001" customHeight="1">
      <c r="A55" s="1384" t="s">
        <v>1892</v>
      </c>
      <c r="B55" s="1384"/>
      <c r="C55" s="32"/>
      <c r="D55" s="32"/>
    </row>
    <row r="56" spans="1:7" s="9" customFormat="1" ht="51.75" customHeight="1">
      <c r="A56" s="1384" t="s">
        <v>1893</v>
      </c>
      <c r="B56" s="1384"/>
      <c r="C56" s="32"/>
      <c r="D56" s="32"/>
    </row>
    <row r="57" spans="1:7" s="9" customFormat="1" ht="20.100000000000001" customHeight="1">
      <c r="A57" s="1384" t="s">
        <v>1875</v>
      </c>
      <c r="B57" s="1384"/>
      <c r="C57" s="32"/>
      <c r="D57" s="27"/>
    </row>
    <row r="58" spans="1:7" s="9" customFormat="1" ht="20.100000000000001" customHeight="1">
      <c r="A58" s="33"/>
      <c r="B58" s="33"/>
      <c r="C58" s="33"/>
    </row>
    <row r="59" spans="1:7" s="7" customFormat="1" ht="20.100000000000001" customHeight="1">
      <c r="A59" s="1374" t="s">
        <v>1894</v>
      </c>
      <c r="B59" s="1374"/>
      <c r="C59" s="1374"/>
      <c r="D59" s="1374"/>
    </row>
    <row r="60" spans="1:7" s="9" customFormat="1" ht="20.100000000000001" customHeight="1">
      <c r="A60" s="16" t="s">
        <v>754</v>
      </c>
      <c r="B60" s="1385" t="s">
        <v>1895</v>
      </c>
      <c r="C60" s="1385"/>
    </row>
    <row r="61" spans="1:7" s="9" customFormat="1" ht="20.100000000000001" customHeight="1">
      <c r="A61" s="32" t="s">
        <v>433</v>
      </c>
      <c r="B61" s="1386"/>
      <c r="C61" s="1386"/>
    </row>
    <row r="62" spans="1:7" s="9" customFormat="1" ht="20.100000000000001" customHeight="1">
      <c r="A62" s="32" t="s">
        <v>1019</v>
      </c>
      <c r="B62" s="1386"/>
      <c r="C62" s="1386"/>
    </row>
    <row r="63" spans="1:7" s="9" customFormat="1" ht="20.100000000000001" customHeight="1">
      <c r="A63" s="32" t="s">
        <v>1879</v>
      </c>
      <c r="B63" s="1386"/>
      <c r="C63" s="1386"/>
    </row>
    <row r="64" spans="1:7" s="7" customFormat="1" ht="63" customHeight="1">
      <c r="A64" s="1374" t="s">
        <v>1896</v>
      </c>
      <c r="B64" s="1374"/>
      <c r="C64" s="1374"/>
      <c r="D64" s="1374"/>
      <c r="E64" s="1374"/>
      <c r="F64" s="1374"/>
      <c r="G64" s="1374"/>
    </row>
    <row r="65" spans="1:7" s="7" customFormat="1" ht="20.100000000000001" customHeight="1">
      <c r="A65" s="1374" t="s">
        <v>1886</v>
      </c>
      <c r="B65" s="1374"/>
      <c r="C65" s="1374"/>
      <c r="D65" s="1374"/>
      <c r="E65" s="1374"/>
      <c r="F65" s="1374"/>
      <c r="G65" s="1374"/>
    </row>
    <row r="66" spans="1:7" s="7" customFormat="1" ht="20.100000000000001" customHeight="1">
      <c r="A66" s="37"/>
      <c r="B66" s="37"/>
      <c r="C66" s="37"/>
      <c r="D66" s="37"/>
    </row>
    <row r="67" spans="1:7" s="7" customFormat="1" ht="20.100000000000001" customHeight="1">
      <c r="A67" s="1374" t="s">
        <v>1897</v>
      </c>
      <c r="B67" s="1374"/>
      <c r="C67" s="1374"/>
      <c r="D67" s="1374"/>
    </row>
    <row r="68" spans="1:7" s="9" customFormat="1" ht="20.100000000000001" customHeight="1">
      <c r="A68" s="1272" t="s">
        <v>754</v>
      </c>
      <c r="B68" s="1272"/>
      <c r="C68" s="16" t="s">
        <v>772</v>
      </c>
    </row>
    <row r="69" spans="1:7" s="9" customFormat="1" ht="20.100000000000001" customHeight="1">
      <c r="A69" s="1384" t="s">
        <v>1881</v>
      </c>
      <c r="B69" s="1384"/>
      <c r="C69" s="27"/>
    </row>
    <row r="70" spans="1:7" s="9" customFormat="1" ht="20.100000000000001" customHeight="1">
      <c r="A70" s="1384" t="s">
        <v>1882</v>
      </c>
      <c r="B70" s="1384"/>
      <c r="C70" s="27"/>
    </row>
    <row r="71" spans="1:7" s="9" customFormat="1" ht="20.100000000000001" customHeight="1">
      <c r="A71" s="1384" t="s">
        <v>1883</v>
      </c>
      <c r="B71" s="1384"/>
      <c r="C71" s="27"/>
    </row>
    <row r="72" spans="1:7" s="9" customFormat="1" ht="20.100000000000001" customHeight="1">
      <c r="A72" s="1384" t="s">
        <v>1884</v>
      </c>
      <c r="B72" s="1384"/>
      <c r="C72" s="27"/>
    </row>
    <row r="73" spans="1:7" s="9" customFormat="1" ht="20.100000000000001" customHeight="1">
      <c r="A73" s="33"/>
      <c r="B73" s="33"/>
    </row>
    <row r="74" spans="1:7" s="9" customFormat="1" ht="20.100000000000001" customHeight="1">
      <c r="A74" s="9" t="s">
        <v>1898</v>
      </c>
    </row>
    <row r="75" spans="1:7" s="9" customFormat="1" ht="20.100000000000001" customHeight="1">
      <c r="A75" s="1382" t="s">
        <v>1899</v>
      </c>
      <c r="B75" s="1382"/>
      <c r="C75" s="1382"/>
      <c r="D75" s="1382"/>
    </row>
    <row r="76" spans="1:7" s="9" customFormat="1" ht="33.75" customHeight="1">
      <c r="A76" s="16" t="s">
        <v>776</v>
      </c>
      <c r="B76" s="16" t="s">
        <v>983</v>
      </c>
      <c r="C76" s="16" t="s">
        <v>984</v>
      </c>
      <c r="D76" s="16" t="s">
        <v>1900</v>
      </c>
      <c r="E76" s="16" t="s">
        <v>1901</v>
      </c>
      <c r="F76" s="16" t="s">
        <v>1902</v>
      </c>
      <c r="G76" s="16" t="s">
        <v>1903</v>
      </c>
    </row>
    <row r="77" spans="1:7" s="9" customFormat="1" ht="20.100000000000001" customHeight="1">
      <c r="A77" s="32"/>
      <c r="B77" s="32"/>
      <c r="C77" s="32"/>
      <c r="D77" s="32"/>
      <c r="E77" s="32"/>
      <c r="F77" s="32"/>
      <c r="G77" s="36" t="s">
        <v>1904</v>
      </c>
    </row>
    <row r="78" spans="1:7" s="9" customFormat="1" ht="20.100000000000001" customHeight="1">
      <c r="A78" s="32"/>
      <c r="B78" s="32"/>
      <c r="C78" s="32"/>
      <c r="D78" s="32"/>
      <c r="E78" s="32"/>
      <c r="F78" s="32"/>
      <c r="G78" s="32"/>
    </row>
    <row r="79" spans="1:7" s="9" customFormat="1" ht="20.100000000000001" customHeight="1">
      <c r="A79" s="32"/>
      <c r="B79" s="32"/>
      <c r="C79" s="32"/>
      <c r="D79" s="32"/>
      <c r="E79" s="32"/>
      <c r="F79" s="32"/>
      <c r="G79" s="32"/>
    </row>
    <row r="80" spans="1:7" s="9" customFormat="1" ht="20.100000000000001" customHeight="1">
      <c r="A80" s="32"/>
      <c r="B80" s="32"/>
      <c r="C80" s="32"/>
      <c r="D80" s="32"/>
      <c r="E80" s="32"/>
      <c r="F80" s="32"/>
      <c r="G80" s="32"/>
    </row>
    <row r="81" spans="1:7" s="9" customFormat="1" ht="49.5" customHeight="1">
      <c r="A81" s="1374" t="s">
        <v>1905</v>
      </c>
      <c r="B81" s="1374"/>
      <c r="C81" s="1374"/>
      <c r="D81" s="1374"/>
      <c r="E81" s="1374"/>
      <c r="F81" s="1374"/>
      <c r="G81" s="1374"/>
    </row>
    <row r="82" spans="1:7" s="9" customFormat="1" ht="20.100000000000001" customHeight="1">
      <c r="A82" s="1382" t="s">
        <v>1906</v>
      </c>
      <c r="B82" s="1382"/>
      <c r="C82" s="1382"/>
      <c r="D82" s="1382"/>
      <c r="E82" s="28"/>
      <c r="F82" s="28"/>
      <c r="G82" s="28"/>
    </row>
    <row r="83" spans="1:7" s="9" customFormat="1" ht="20.100000000000001" customHeight="1">
      <c r="A83" s="1272" t="s">
        <v>997</v>
      </c>
      <c r="B83" s="1388" t="s">
        <v>1907</v>
      </c>
      <c r="C83" s="1388"/>
      <c r="D83" s="1388" t="s">
        <v>1908</v>
      </c>
      <c r="E83" s="1388"/>
      <c r="F83" s="1388" t="s">
        <v>1909</v>
      </c>
      <c r="G83" s="1388"/>
    </row>
    <row r="84" spans="1:7" s="9" customFormat="1" ht="20.100000000000001" customHeight="1">
      <c r="A84" s="1272"/>
      <c r="B84" s="16" t="s">
        <v>1910</v>
      </c>
      <c r="C84" s="16" t="s">
        <v>1911</v>
      </c>
      <c r="D84" s="16" t="s">
        <v>1910</v>
      </c>
      <c r="E84" s="16" t="s">
        <v>1911</v>
      </c>
      <c r="F84" s="16" t="s">
        <v>1910</v>
      </c>
      <c r="G84" s="16" t="s">
        <v>1911</v>
      </c>
    </row>
    <row r="85" spans="1:7" s="9" customFormat="1" ht="20.100000000000001" customHeight="1">
      <c r="A85" s="32" t="s">
        <v>1001</v>
      </c>
      <c r="B85" s="32"/>
      <c r="C85" s="32"/>
      <c r="D85" s="32"/>
      <c r="E85" s="32"/>
      <c r="F85" s="32"/>
      <c r="G85" s="32"/>
    </row>
    <row r="86" spans="1:7" s="9" customFormat="1" ht="20.100000000000001" customHeight="1">
      <c r="A86" s="32" t="s">
        <v>1869</v>
      </c>
      <c r="B86" s="32"/>
      <c r="C86" s="32"/>
      <c r="D86" s="32"/>
      <c r="E86" s="32"/>
      <c r="F86" s="32"/>
      <c r="G86" s="32"/>
    </row>
    <row r="87" spans="1:7" s="9" customFormat="1" ht="20.100000000000001" customHeight="1">
      <c r="A87" s="32" t="s">
        <v>190</v>
      </c>
      <c r="B87" s="32"/>
      <c r="C87" s="32"/>
      <c r="D87" s="32"/>
      <c r="E87" s="32"/>
      <c r="F87" s="32"/>
      <c r="G87" s="32"/>
    </row>
    <row r="88" spans="1:7" s="9" customFormat="1" ht="20.100000000000001" customHeight="1">
      <c r="A88" s="32" t="s">
        <v>1870</v>
      </c>
      <c r="B88" s="32"/>
      <c r="C88" s="32"/>
      <c r="D88" s="32"/>
      <c r="E88" s="32"/>
      <c r="F88" s="32"/>
      <c r="G88" s="32"/>
    </row>
    <row r="89" spans="1:7" s="9" customFormat="1" ht="20.100000000000001" customHeight="1">
      <c r="A89" s="32" t="s">
        <v>1004</v>
      </c>
      <c r="B89" s="32"/>
      <c r="C89" s="32"/>
      <c r="D89" s="32"/>
      <c r="E89" s="32"/>
      <c r="F89" s="32"/>
      <c r="G89" s="32"/>
    </row>
    <row r="90" spans="1:7" s="9" customFormat="1" ht="20.100000000000001" customHeight="1">
      <c r="A90" s="32" t="s">
        <v>1872</v>
      </c>
      <c r="B90" s="32"/>
      <c r="C90" s="32"/>
      <c r="D90" s="32"/>
      <c r="E90" s="32"/>
      <c r="F90" s="32"/>
      <c r="G90" s="32"/>
    </row>
    <row r="91" spans="1:7" s="9" customFormat="1" ht="20.100000000000001" customHeight="1">
      <c r="A91" s="32"/>
      <c r="B91" s="32" t="s">
        <v>765</v>
      </c>
      <c r="C91" s="32"/>
      <c r="D91" s="32" t="s">
        <v>765</v>
      </c>
      <c r="E91" s="32"/>
      <c r="F91" s="32" t="s">
        <v>765</v>
      </c>
      <c r="G91" s="32"/>
    </row>
    <row r="92" spans="1:7" s="9" customFormat="1" ht="20.100000000000001" customHeight="1">
      <c r="A92" s="32" t="s">
        <v>1912</v>
      </c>
      <c r="B92" s="32" t="s">
        <v>924</v>
      </c>
      <c r="C92" s="32"/>
      <c r="D92" s="32" t="s">
        <v>924</v>
      </c>
      <c r="E92" s="32"/>
      <c r="F92" s="32" t="s">
        <v>924</v>
      </c>
      <c r="G92" s="32"/>
    </row>
    <row r="93" spans="1:7" s="9" customFormat="1" ht="20.100000000000001" customHeight="1">
      <c r="A93" s="32" t="s">
        <v>1913</v>
      </c>
      <c r="B93" s="32" t="s">
        <v>765</v>
      </c>
      <c r="C93" s="32"/>
      <c r="D93" s="32" t="s">
        <v>765</v>
      </c>
      <c r="E93" s="32"/>
      <c r="F93" s="32" t="s">
        <v>765</v>
      </c>
      <c r="G93" s="32"/>
    </row>
    <row r="94" spans="1:7" s="9" customFormat="1" ht="20.100000000000001" customHeight="1">
      <c r="A94" s="33"/>
      <c r="B94" s="33"/>
      <c r="C94" s="33"/>
      <c r="D94" s="33"/>
      <c r="E94" s="33"/>
      <c r="F94" s="33"/>
      <c r="G94" s="33"/>
    </row>
    <row r="95" spans="1:7" s="9" customFormat="1" ht="20.100000000000001" customHeight="1">
      <c r="A95" s="1382" t="s">
        <v>1914</v>
      </c>
      <c r="B95" s="1382"/>
      <c r="C95" s="1382"/>
      <c r="D95" s="1382"/>
      <c r="E95" s="1382"/>
      <c r="F95" s="1382"/>
      <c r="G95" s="1382"/>
    </row>
    <row r="96" spans="1:7" s="9" customFormat="1" ht="20.100000000000001" customHeight="1">
      <c r="A96" s="1272" t="s">
        <v>997</v>
      </c>
      <c r="B96" s="1388" t="s">
        <v>1907</v>
      </c>
      <c r="C96" s="1388"/>
      <c r="D96" s="1388" t="s">
        <v>1908</v>
      </c>
      <c r="E96" s="1388"/>
      <c r="F96" s="1388" t="s">
        <v>1909</v>
      </c>
      <c r="G96" s="1388"/>
    </row>
    <row r="97" spans="1:7" s="9" customFormat="1" ht="20.100000000000001" customHeight="1">
      <c r="A97" s="1272"/>
      <c r="B97" s="16" t="s">
        <v>1915</v>
      </c>
      <c r="C97" s="16" t="s">
        <v>1916</v>
      </c>
      <c r="D97" s="16" t="s">
        <v>1915</v>
      </c>
      <c r="E97" s="16" t="s">
        <v>1916</v>
      </c>
      <c r="F97" s="16" t="s">
        <v>1915</v>
      </c>
      <c r="G97" s="16" t="s">
        <v>1916</v>
      </c>
    </row>
    <row r="98" spans="1:7" s="9" customFormat="1" ht="20.100000000000001" customHeight="1">
      <c r="A98" s="32" t="s">
        <v>433</v>
      </c>
      <c r="B98" s="32"/>
      <c r="C98" s="32"/>
      <c r="D98" s="32"/>
      <c r="E98" s="32"/>
      <c r="F98" s="32"/>
      <c r="G98" s="32"/>
    </row>
    <row r="99" spans="1:7" s="9" customFormat="1" ht="20.100000000000001" customHeight="1">
      <c r="A99" s="32" t="s">
        <v>1917</v>
      </c>
      <c r="B99" s="32"/>
      <c r="C99" s="32"/>
      <c r="D99" s="32"/>
      <c r="E99" s="32"/>
      <c r="F99" s="32"/>
      <c r="G99" s="32"/>
    </row>
    <row r="100" spans="1:7" s="9" customFormat="1" ht="20.100000000000001" customHeight="1">
      <c r="A100" s="32" t="s">
        <v>1751</v>
      </c>
      <c r="B100" s="32"/>
      <c r="C100" s="32"/>
      <c r="D100" s="32"/>
      <c r="E100" s="32"/>
      <c r="F100" s="32"/>
      <c r="G100" s="32"/>
    </row>
    <row r="101" spans="1:7" s="9" customFormat="1" ht="20.100000000000001" customHeight="1">
      <c r="A101" s="32" t="s">
        <v>105</v>
      </c>
      <c r="B101" s="32"/>
      <c r="C101" s="32"/>
      <c r="D101" s="32"/>
      <c r="E101" s="32"/>
      <c r="F101" s="32"/>
      <c r="G101" s="32"/>
    </row>
    <row r="102" spans="1:7" s="9" customFormat="1" ht="20.100000000000001" customHeight="1">
      <c r="A102" s="32" t="s">
        <v>1019</v>
      </c>
      <c r="B102" s="32"/>
      <c r="C102" s="32"/>
      <c r="D102" s="32"/>
      <c r="E102" s="32"/>
      <c r="F102" s="32"/>
      <c r="G102" s="32"/>
    </row>
    <row r="103" spans="1:7" s="9" customFormat="1" ht="20.100000000000001" customHeight="1">
      <c r="A103" s="32"/>
      <c r="B103" s="32"/>
      <c r="C103" s="32"/>
      <c r="D103" s="32"/>
      <c r="E103" s="32"/>
      <c r="F103" s="32"/>
      <c r="G103" s="32"/>
    </row>
    <row r="104" spans="1:7" s="9" customFormat="1" ht="20.100000000000001" customHeight="1">
      <c r="A104" s="1319" t="s">
        <v>1918</v>
      </c>
      <c r="B104" s="1319"/>
      <c r="C104" s="1319"/>
      <c r="D104" s="1319"/>
      <c r="E104" s="1319"/>
      <c r="F104" s="1319"/>
      <c r="G104" s="1319"/>
    </row>
    <row r="105" spans="1:7" s="9" customFormat="1" ht="20.100000000000001" customHeight="1">
      <c r="A105" s="1272" t="s">
        <v>997</v>
      </c>
      <c r="B105" s="38" t="s">
        <v>1907</v>
      </c>
      <c r="C105" s="38" t="s">
        <v>1908</v>
      </c>
      <c r="D105" s="38" t="s">
        <v>1909</v>
      </c>
    </row>
    <row r="106" spans="1:7" s="9" customFormat="1" ht="20.100000000000001" customHeight="1">
      <c r="A106" s="1272"/>
      <c r="B106" s="16" t="s">
        <v>1915</v>
      </c>
      <c r="C106" s="16" t="s">
        <v>1915</v>
      </c>
      <c r="D106" s="16" t="s">
        <v>1915</v>
      </c>
    </row>
    <row r="107" spans="1:7" s="9" customFormat="1" ht="20.100000000000001" customHeight="1">
      <c r="A107" s="32" t="s">
        <v>1919</v>
      </c>
      <c r="B107" s="32"/>
      <c r="C107" s="32"/>
      <c r="D107" s="32"/>
    </row>
    <row r="108" spans="1:7" s="9" customFormat="1" ht="28.5" customHeight="1">
      <c r="A108" s="32" t="s">
        <v>1920</v>
      </c>
      <c r="B108" s="32"/>
      <c r="C108" s="32"/>
      <c r="D108" s="32"/>
    </row>
    <row r="109" spans="1:7" s="9" customFormat="1" ht="26.25" customHeight="1">
      <c r="A109" s="32" t="s">
        <v>1883</v>
      </c>
      <c r="B109" s="32"/>
      <c r="C109" s="32"/>
      <c r="D109" s="32"/>
    </row>
    <row r="110" spans="1:7" s="9" customFormat="1" ht="35.25" customHeight="1">
      <c r="A110" s="32" t="s">
        <v>1921</v>
      </c>
      <c r="B110" s="32"/>
      <c r="C110" s="32"/>
      <c r="D110" s="32"/>
    </row>
    <row r="111" spans="1:7" s="9" customFormat="1" ht="20.100000000000001" customHeight="1"/>
    <row r="112" spans="1:7" ht="20.100000000000001" customHeight="1">
      <c r="A112" s="9" t="s">
        <v>1922</v>
      </c>
    </row>
    <row r="113" spans="1:4" ht="20.100000000000001" customHeight="1">
      <c r="A113" s="1272" t="s">
        <v>1923</v>
      </c>
      <c r="B113" s="1272" t="s">
        <v>1924</v>
      </c>
      <c r="C113" s="16" t="s">
        <v>1925</v>
      </c>
      <c r="D113" s="16" t="s">
        <v>1926</v>
      </c>
    </row>
    <row r="114" spans="1:4" ht="20.100000000000001" customHeight="1">
      <c r="A114" s="1389" t="s">
        <v>1927</v>
      </c>
      <c r="B114" s="1389"/>
      <c r="C114" s="40"/>
      <c r="D114" s="40"/>
    </row>
    <row r="115" spans="1:4" ht="20.100000000000001" customHeight="1">
      <c r="A115" s="1390" t="s">
        <v>1928</v>
      </c>
      <c r="B115" s="1390"/>
      <c r="C115" s="40"/>
      <c r="D115" s="40"/>
    </row>
    <row r="116" spans="1:4" ht="20.100000000000001" customHeight="1">
      <c r="A116" s="1389" t="s">
        <v>1929</v>
      </c>
      <c r="B116" s="1389"/>
      <c r="C116" s="40">
        <f>C114-C115</f>
        <v>0</v>
      </c>
      <c r="D116" s="40"/>
    </row>
    <row r="117" spans="1:4" ht="20.100000000000001" customHeight="1">
      <c r="A117" s="1390" t="s">
        <v>1930</v>
      </c>
      <c r="B117" s="1390"/>
      <c r="C117" s="40"/>
      <c r="D117" s="40"/>
    </row>
    <row r="118" spans="1:4" ht="20.100000000000001" customHeight="1">
      <c r="A118" s="1389" t="s">
        <v>1931</v>
      </c>
      <c r="B118" s="1389"/>
      <c r="C118" s="40"/>
      <c r="D118" s="40"/>
    </row>
    <row r="119" spans="1:4" ht="20.100000000000001" customHeight="1">
      <c r="A119" s="1389" t="s">
        <v>1932</v>
      </c>
      <c r="B119" s="1389"/>
      <c r="C119" s="40"/>
      <c r="D119" s="40"/>
    </row>
    <row r="120" spans="1:4" ht="20.100000000000001" customHeight="1">
      <c r="A120" s="1389" t="s">
        <v>1933</v>
      </c>
      <c r="B120" s="1389"/>
      <c r="C120" s="40"/>
      <c r="D120" s="40"/>
    </row>
    <row r="121" spans="1:4" ht="20.100000000000001" customHeight="1">
      <c r="A121" s="1389" t="s">
        <v>1934</v>
      </c>
      <c r="B121" s="1389"/>
      <c r="C121" s="40"/>
      <c r="D121" s="40"/>
    </row>
    <row r="122" spans="1:4" ht="20.100000000000001" customHeight="1">
      <c r="A122" s="1389" t="s">
        <v>1935</v>
      </c>
      <c r="B122" s="1389"/>
      <c r="C122" s="40"/>
      <c r="D122" s="40"/>
    </row>
    <row r="123" spans="1:4" ht="20.100000000000001" customHeight="1">
      <c r="A123" s="1389" t="s">
        <v>1936</v>
      </c>
      <c r="B123" s="1389"/>
      <c r="C123" s="40"/>
      <c r="D123" s="40"/>
    </row>
    <row r="124" spans="1:4" ht="20.100000000000001" customHeight="1">
      <c r="A124" s="1389" t="s">
        <v>1937</v>
      </c>
      <c r="B124" s="1389"/>
      <c r="C124" s="40"/>
      <c r="D124" s="40"/>
    </row>
    <row r="125" spans="1:4" ht="20.100000000000001" customHeight="1">
      <c r="A125" s="1390" t="s">
        <v>1938</v>
      </c>
      <c r="B125" s="1390"/>
      <c r="C125" s="40"/>
      <c r="D125" s="40"/>
    </row>
    <row r="126" spans="1:4" ht="20.100000000000001" customHeight="1">
      <c r="A126" s="1389" t="s">
        <v>1939</v>
      </c>
      <c r="B126" s="1389"/>
      <c r="C126" s="40"/>
      <c r="D126" s="40"/>
    </row>
    <row r="127" spans="1:4" ht="20.100000000000001" customHeight="1">
      <c r="A127" s="1389" t="s">
        <v>1940</v>
      </c>
      <c r="B127" s="1389"/>
      <c r="C127" s="40"/>
      <c r="D127" s="40"/>
    </row>
    <row r="128" spans="1:4" ht="20.100000000000001" customHeight="1">
      <c r="A128" s="1389" t="s">
        <v>1941</v>
      </c>
      <c r="B128" s="1389"/>
      <c r="C128" s="40"/>
      <c r="D128" s="40"/>
    </row>
    <row r="130" spans="1:9" ht="20.100000000000001" customHeight="1">
      <c r="A130" s="1391" t="s">
        <v>1942</v>
      </c>
      <c r="B130" s="1391"/>
      <c r="C130" s="1391"/>
      <c r="D130" s="1391"/>
      <c r="E130" s="1391"/>
      <c r="F130" s="1391"/>
      <c r="G130" s="1391"/>
    </row>
    <row r="131" spans="1:9" ht="20.100000000000001" customHeight="1">
      <c r="A131" s="1391" t="s">
        <v>1943</v>
      </c>
      <c r="B131" s="1391"/>
      <c r="C131" s="1391"/>
      <c r="D131" s="1391"/>
      <c r="E131" s="1391"/>
      <c r="F131" s="1391"/>
      <c r="G131" s="1391"/>
    </row>
    <row r="132" spans="1:9" ht="40.5" customHeight="1">
      <c r="A132" s="1391" t="s">
        <v>1944</v>
      </c>
      <c r="B132" s="1391"/>
      <c r="C132" s="1391"/>
      <c r="D132" s="1391"/>
      <c r="E132" s="1391"/>
      <c r="F132" s="1391"/>
      <c r="G132" s="1391"/>
    </row>
    <row r="134" spans="1:9" ht="20.100000000000001" customHeight="1">
      <c r="A134" s="9" t="s">
        <v>1945</v>
      </c>
    </row>
    <row r="135" spans="1:9" ht="29.25" customHeight="1">
      <c r="A135" s="1391" t="s">
        <v>1946</v>
      </c>
      <c r="B135" s="1391"/>
      <c r="C135" s="1391"/>
      <c r="D135" s="1391"/>
      <c r="E135" s="1391"/>
      <c r="F135" s="1391"/>
      <c r="G135" s="1391"/>
    </row>
    <row r="136" spans="1:9" ht="20.100000000000001" customHeight="1">
      <c r="A136" s="1392" t="s">
        <v>1947</v>
      </c>
      <c r="B136" s="1392"/>
      <c r="C136" s="1392"/>
      <c r="D136" s="1392"/>
      <c r="E136" s="1392"/>
      <c r="F136" s="1392"/>
      <c r="G136" s="1392"/>
    </row>
    <row r="137" spans="1:9" ht="20.100000000000001" customHeight="1">
      <c r="A137" s="1272" t="s">
        <v>1948</v>
      </c>
      <c r="B137" s="1272" t="s">
        <v>1949</v>
      </c>
      <c r="C137" s="1272" t="s">
        <v>1950</v>
      </c>
      <c r="D137" s="1272" t="s">
        <v>1951</v>
      </c>
      <c r="E137" s="1272" t="s">
        <v>1952</v>
      </c>
      <c r="F137" s="1272" t="s">
        <v>1953</v>
      </c>
      <c r="G137" s="1272" t="s">
        <v>690</v>
      </c>
      <c r="H137" s="1272" t="s">
        <v>1954</v>
      </c>
      <c r="I137" s="1272" t="s">
        <v>1955</v>
      </c>
    </row>
    <row r="138" spans="1:9" ht="20.100000000000001" customHeight="1">
      <c r="A138" s="1272"/>
      <c r="B138" s="1272"/>
      <c r="C138" s="1272"/>
      <c r="D138" s="1272"/>
      <c r="E138" s="1272"/>
      <c r="F138" s="1272"/>
      <c r="G138" s="1272"/>
      <c r="H138" s="1272"/>
      <c r="I138" s="1272"/>
    </row>
    <row r="139" spans="1:9" ht="20.100000000000001" customHeight="1">
      <c r="A139" s="41" t="s">
        <v>1956</v>
      </c>
      <c r="B139" s="42" t="s">
        <v>1957</v>
      </c>
      <c r="C139" s="43"/>
      <c r="D139" s="43"/>
      <c r="E139" s="43"/>
      <c r="F139" s="43"/>
      <c r="G139" s="43">
        <f>C139+D139-E139-F139</f>
        <v>0</v>
      </c>
      <c r="H139" s="42" t="s">
        <v>99</v>
      </c>
      <c r="I139" s="42"/>
    </row>
    <row r="140" spans="1:9" ht="20.100000000000001" customHeight="1">
      <c r="A140" s="44"/>
      <c r="B140" s="45"/>
      <c r="C140" s="43"/>
      <c r="D140" s="43"/>
      <c r="E140" s="43"/>
      <c r="F140" s="43"/>
      <c r="G140" s="43">
        <f t="shared" ref="G140:G141" si="0">C140+D140-E140-F140</f>
        <v>0</v>
      </c>
      <c r="H140" s="42" t="s">
        <v>1958</v>
      </c>
      <c r="I140" s="45"/>
    </row>
    <row r="141" spans="1:9" ht="20.100000000000001" customHeight="1">
      <c r="A141" s="46"/>
      <c r="B141" s="47"/>
      <c r="C141" s="48"/>
      <c r="D141" s="48"/>
      <c r="E141" s="48"/>
      <c r="F141" s="48"/>
      <c r="G141" s="48">
        <f t="shared" si="0"/>
        <v>0</v>
      </c>
      <c r="H141" s="47"/>
      <c r="I141" s="47"/>
    </row>
    <row r="142" spans="1:9" ht="20.100000000000001" customHeight="1">
      <c r="A142" s="49" t="s">
        <v>528</v>
      </c>
      <c r="B142" s="49"/>
      <c r="C142" s="50">
        <f>SUM(C139:C141)</f>
        <v>0</v>
      </c>
      <c r="D142" s="50">
        <f t="shared" ref="D142:G142" si="1">SUM(D139:D141)</f>
        <v>0</v>
      </c>
      <c r="E142" s="50">
        <f t="shared" si="1"/>
        <v>0</v>
      </c>
      <c r="F142" s="50">
        <f t="shared" si="1"/>
        <v>0</v>
      </c>
      <c r="G142" s="50">
        <f t="shared" si="1"/>
        <v>0</v>
      </c>
      <c r="H142" s="49"/>
      <c r="I142" s="49"/>
    </row>
    <row r="144" spans="1:9" ht="37.5" customHeight="1">
      <c r="A144" s="1393" t="s">
        <v>1959</v>
      </c>
      <c r="B144" s="1393"/>
      <c r="C144" s="1393"/>
      <c r="D144" s="1393"/>
      <c r="E144" s="1393"/>
      <c r="F144" s="1393"/>
      <c r="G144" s="1393"/>
    </row>
    <row r="146" spans="1:9" ht="20.100000000000001" customHeight="1">
      <c r="A146" s="1392" t="s">
        <v>1960</v>
      </c>
      <c r="B146" s="1392"/>
      <c r="C146" s="1392"/>
      <c r="D146" s="1392"/>
      <c r="E146" s="1392"/>
      <c r="F146" s="1392"/>
      <c r="G146" s="1392"/>
    </row>
    <row r="147" spans="1:9" ht="20.100000000000001" customHeight="1">
      <c r="A147" s="1272" t="s">
        <v>1948</v>
      </c>
      <c r="B147" s="1272" t="s">
        <v>1949</v>
      </c>
      <c r="C147" s="1272" t="s">
        <v>1950</v>
      </c>
      <c r="D147" s="1272" t="s">
        <v>1951</v>
      </c>
      <c r="E147" s="1272" t="s">
        <v>1952</v>
      </c>
      <c r="F147" s="1272" t="s">
        <v>1953</v>
      </c>
      <c r="G147" s="1272" t="s">
        <v>690</v>
      </c>
      <c r="H147" s="1272" t="s">
        <v>1954</v>
      </c>
      <c r="I147" s="1272" t="s">
        <v>1955</v>
      </c>
    </row>
    <row r="148" spans="1:9" ht="20.100000000000001" customHeight="1">
      <c r="A148" s="1272"/>
      <c r="B148" s="1272"/>
      <c r="C148" s="1272"/>
      <c r="D148" s="1272"/>
      <c r="E148" s="1272"/>
      <c r="F148" s="1272"/>
      <c r="G148" s="1272"/>
      <c r="H148" s="1272"/>
      <c r="I148" s="1272"/>
    </row>
    <row r="149" spans="1:9" ht="20.100000000000001" customHeight="1">
      <c r="A149" s="41" t="s">
        <v>1956</v>
      </c>
      <c r="B149" s="42" t="s">
        <v>1957</v>
      </c>
      <c r="C149" s="43"/>
      <c r="D149" s="43"/>
      <c r="E149" s="43"/>
      <c r="F149" s="43"/>
      <c r="G149" s="43">
        <f>C149+D149-E149-F149</f>
        <v>0</v>
      </c>
      <c r="H149" s="42" t="s">
        <v>1961</v>
      </c>
      <c r="I149" s="42"/>
    </row>
    <row r="150" spans="1:9" ht="20.100000000000001" customHeight="1">
      <c r="A150" s="44"/>
      <c r="B150" s="45"/>
      <c r="C150" s="43"/>
      <c r="D150" s="43"/>
      <c r="E150" s="43"/>
      <c r="F150" s="43"/>
      <c r="G150" s="43">
        <f t="shared" ref="G150:G151" si="2">C150+D150-E150-F150</f>
        <v>0</v>
      </c>
      <c r="H150" s="42"/>
      <c r="I150" s="45"/>
    </row>
    <row r="151" spans="1:9" ht="20.100000000000001" customHeight="1">
      <c r="A151" s="46"/>
      <c r="B151" s="47"/>
      <c r="C151" s="48"/>
      <c r="D151" s="48"/>
      <c r="E151" s="48"/>
      <c r="F151" s="48"/>
      <c r="G151" s="48">
        <f t="shared" si="2"/>
        <v>0</v>
      </c>
      <c r="H151" s="47"/>
      <c r="I151" s="47"/>
    </row>
    <row r="152" spans="1:9" ht="20.100000000000001" customHeight="1">
      <c r="A152" s="49" t="s">
        <v>528</v>
      </c>
      <c r="B152" s="49"/>
      <c r="C152" s="50">
        <f>SUM(C149:C151)</f>
        <v>0</v>
      </c>
      <c r="D152" s="50">
        <f t="shared" ref="D152" si="3">SUM(D149:D151)</f>
        <v>0</v>
      </c>
      <c r="E152" s="50">
        <f t="shared" ref="E152" si="4">SUM(E149:E151)</f>
        <v>0</v>
      </c>
      <c r="F152" s="50">
        <f t="shared" ref="F152" si="5">SUM(F149:F151)</f>
        <v>0</v>
      </c>
      <c r="G152" s="50">
        <f t="shared" ref="G152" si="6">SUM(G149:G151)</f>
        <v>0</v>
      </c>
      <c r="H152" s="49"/>
      <c r="I152" s="49"/>
    </row>
    <row r="154" spans="1:9" ht="20.100000000000001" customHeight="1">
      <c r="A154" s="1392" t="s">
        <v>1962</v>
      </c>
      <c r="B154" s="1392"/>
      <c r="C154" s="1392"/>
      <c r="D154" s="1392"/>
      <c r="E154" s="1392"/>
      <c r="F154" s="1392"/>
      <c r="G154" s="1392"/>
    </row>
    <row r="155" spans="1:9" ht="20.100000000000001" customHeight="1">
      <c r="A155" s="1272" t="s">
        <v>1948</v>
      </c>
      <c r="B155" s="1272" t="s">
        <v>1949</v>
      </c>
      <c r="C155" s="1394" t="s">
        <v>1963</v>
      </c>
      <c r="D155" s="1272" t="s">
        <v>1954</v>
      </c>
      <c r="E155" s="1272" t="s">
        <v>1955</v>
      </c>
    </row>
    <row r="156" spans="1:9" ht="20.100000000000001" customHeight="1">
      <c r="A156" s="1272"/>
      <c r="B156" s="1272"/>
      <c r="C156" s="1272"/>
      <c r="D156" s="1272"/>
      <c r="E156" s="1272"/>
    </row>
    <row r="157" spans="1:9" ht="20.100000000000001" customHeight="1">
      <c r="A157" s="41" t="s">
        <v>1956</v>
      </c>
      <c r="B157" s="42" t="s">
        <v>1957</v>
      </c>
      <c r="C157" s="43"/>
      <c r="D157" s="42" t="s">
        <v>99</v>
      </c>
      <c r="E157" s="42"/>
    </row>
    <row r="158" spans="1:9" ht="20.100000000000001" customHeight="1">
      <c r="A158" s="44"/>
      <c r="B158" s="45"/>
      <c r="C158" s="43"/>
      <c r="D158" s="42" t="s">
        <v>1958</v>
      </c>
      <c r="E158" s="45"/>
    </row>
    <row r="159" spans="1:9" ht="20.100000000000001" customHeight="1">
      <c r="A159" s="46"/>
      <c r="B159" s="47"/>
      <c r="C159" s="48"/>
      <c r="D159" s="47"/>
      <c r="E159" s="47"/>
    </row>
    <row r="160" spans="1:9" ht="20.100000000000001" customHeight="1">
      <c r="A160" s="49" t="s">
        <v>528</v>
      </c>
      <c r="B160" s="49"/>
      <c r="C160" s="50">
        <f>SUM(C157:C159)</f>
        <v>0</v>
      </c>
      <c r="D160" s="49"/>
      <c r="E160" s="49"/>
    </row>
    <row r="162" spans="1:7" ht="20.100000000000001" customHeight="1">
      <c r="A162" s="1392" t="s">
        <v>1964</v>
      </c>
      <c r="B162" s="1392"/>
      <c r="C162" s="1392"/>
      <c r="D162" s="1392"/>
      <c r="E162" s="1392"/>
      <c r="F162" s="1392"/>
      <c r="G162" s="1392"/>
    </row>
    <row r="163" spans="1:7" ht="20.100000000000001" customHeight="1">
      <c r="A163" s="1272" t="s">
        <v>1948</v>
      </c>
      <c r="B163" s="1272" t="s">
        <v>1949</v>
      </c>
      <c r="C163" s="1394" t="s">
        <v>1965</v>
      </c>
      <c r="D163" s="1394" t="s">
        <v>1966</v>
      </c>
      <c r="E163" s="1272" t="s">
        <v>1955</v>
      </c>
    </row>
    <row r="164" spans="1:7" ht="20.100000000000001" customHeight="1">
      <c r="A164" s="1272"/>
      <c r="B164" s="1272"/>
      <c r="C164" s="1272"/>
      <c r="D164" s="1272"/>
      <c r="E164" s="1272"/>
    </row>
    <row r="165" spans="1:7" ht="20.100000000000001" customHeight="1">
      <c r="A165" s="41" t="s">
        <v>1956</v>
      </c>
      <c r="B165" s="42" t="s">
        <v>1957</v>
      </c>
      <c r="C165" s="43"/>
      <c r="D165" s="42" t="s">
        <v>1961</v>
      </c>
      <c r="E165" s="42"/>
    </row>
    <row r="166" spans="1:7" ht="20.100000000000001" customHeight="1">
      <c r="A166" s="44"/>
      <c r="B166" s="45"/>
      <c r="C166" s="43"/>
      <c r="D166" s="42" t="s">
        <v>58</v>
      </c>
      <c r="E166" s="45"/>
    </row>
    <row r="167" spans="1:7" ht="20.100000000000001" customHeight="1">
      <c r="A167" s="46"/>
      <c r="B167" s="47"/>
      <c r="C167" s="48"/>
      <c r="D167" s="47"/>
      <c r="E167" s="47"/>
    </row>
    <row r="168" spans="1:7" ht="20.100000000000001" customHeight="1">
      <c r="A168" s="49" t="s">
        <v>528</v>
      </c>
      <c r="B168" s="49"/>
      <c r="C168" s="50">
        <f>SUM(C165:C167)</f>
        <v>0</v>
      </c>
      <c r="D168" s="49"/>
      <c r="E168" s="49"/>
    </row>
  </sheetData>
  <mergeCells count="127">
    <mergeCell ref="H137:H138"/>
    <mergeCell ref="H147:H148"/>
    <mergeCell ref="I137:I138"/>
    <mergeCell ref="I147:I148"/>
    <mergeCell ref="D163:D164"/>
    <mergeCell ref="E137:E138"/>
    <mergeCell ref="E147:E148"/>
    <mergeCell ref="E155:E156"/>
    <mergeCell ref="E163:E164"/>
    <mergeCell ref="F137:F138"/>
    <mergeCell ref="F147:F148"/>
    <mergeCell ref="G137:G138"/>
    <mergeCell ref="G147:G148"/>
    <mergeCell ref="A163:A164"/>
    <mergeCell ref="B137:B138"/>
    <mergeCell ref="B147:B148"/>
    <mergeCell ref="B155:B156"/>
    <mergeCell ref="B163:B164"/>
    <mergeCell ref="C137:C138"/>
    <mergeCell ref="C147:C148"/>
    <mergeCell ref="C155:C156"/>
    <mergeCell ref="C163:C164"/>
    <mergeCell ref="A135:G135"/>
    <mergeCell ref="A136:G136"/>
    <mergeCell ref="A144:G144"/>
    <mergeCell ref="A146:G146"/>
    <mergeCell ref="A154:G154"/>
    <mergeCell ref="A162:G162"/>
    <mergeCell ref="A83:A84"/>
    <mergeCell ref="A96:A97"/>
    <mergeCell ref="A105:A106"/>
    <mergeCell ref="A137:A138"/>
    <mergeCell ref="A147:A148"/>
    <mergeCell ref="A155:A156"/>
    <mergeCell ref="D137:D138"/>
    <mergeCell ref="D147:D148"/>
    <mergeCell ref="D155:D156"/>
    <mergeCell ref="A123:B123"/>
    <mergeCell ref="A124:B124"/>
    <mergeCell ref="A125:B125"/>
    <mergeCell ref="A126:B126"/>
    <mergeCell ref="A127:B127"/>
    <mergeCell ref="A128:B128"/>
    <mergeCell ref="A130:G130"/>
    <mergeCell ref="A131:G131"/>
    <mergeCell ref="A132:G132"/>
    <mergeCell ref="A114:B114"/>
    <mergeCell ref="A115:B115"/>
    <mergeCell ref="A116:B116"/>
    <mergeCell ref="A117:B117"/>
    <mergeCell ref="A118:B118"/>
    <mergeCell ref="A119:B119"/>
    <mergeCell ref="A120:B120"/>
    <mergeCell ref="A121:B121"/>
    <mergeCell ref="A122:B122"/>
    <mergeCell ref="B83:C83"/>
    <mergeCell ref="D83:E83"/>
    <mergeCell ref="F83:G83"/>
    <mergeCell ref="A95:G95"/>
    <mergeCell ref="B96:C96"/>
    <mergeCell ref="D96:E96"/>
    <mergeCell ref="F96:G96"/>
    <mergeCell ref="A104:G104"/>
    <mergeCell ref="A113:B113"/>
    <mergeCell ref="A67:D67"/>
    <mergeCell ref="A68:B68"/>
    <mergeCell ref="A69:B69"/>
    <mergeCell ref="A70:B70"/>
    <mergeCell ref="A71:B71"/>
    <mergeCell ref="A72:B72"/>
    <mergeCell ref="A75:D75"/>
    <mergeCell ref="A81:G81"/>
    <mergeCell ref="A82:D82"/>
    <mergeCell ref="A56:B56"/>
    <mergeCell ref="A57:B57"/>
    <mergeCell ref="A59:D59"/>
    <mergeCell ref="B60:C60"/>
    <mergeCell ref="B61:C61"/>
    <mergeCell ref="B62:C62"/>
    <mergeCell ref="B63:C63"/>
    <mergeCell ref="A64:G64"/>
    <mergeCell ref="A65:G65"/>
    <mergeCell ref="A47:B47"/>
    <mergeCell ref="A48:B48"/>
    <mergeCell ref="A49:B49"/>
    <mergeCell ref="A50:B50"/>
    <mergeCell ref="A51:B51"/>
    <mergeCell ref="A52:B52"/>
    <mergeCell ref="A53:B53"/>
    <mergeCell ref="A54:B54"/>
    <mergeCell ref="A55:B55"/>
    <mergeCell ref="A37:B37"/>
    <mergeCell ref="A38:B38"/>
    <mergeCell ref="A39:B39"/>
    <mergeCell ref="A40:G40"/>
    <mergeCell ref="A41:G41"/>
    <mergeCell ref="A43:D43"/>
    <mergeCell ref="A44:G44"/>
    <mergeCell ref="A45:D45"/>
    <mergeCell ref="A46:E46"/>
    <mergeCell ref="A25:B25"/>
    <mergeCell ref="A26:B26"/>
    <mergeCell ref="B29:C29"/>
    <mergeCell ref="B30:C30"/>
    <mergeCell ref="B31:C31"/>
    <mergeCell ref="B32:C32"/>
    <mergeCell ref="A34:D34"/>
    <mergeCell ref="A35:B35"/>
    <mergeCell ref="A36:B36"/>
    <mergeCell ref="A16:B16"/>
    <mergeCell ref="A17:B17"/>
    <mergeCell ref="A18:B18"/>
    <mergeCell ref="A19:B19"/>
    <mergeCell ref="A20:B20"/>
    <mergeCell ref="A21:B21"/>
    <mergeCell ref="A22:B22"/>
    <mergeCell ref="A23:B23"/>
    <mergeCell ref="A24:B24"/>
    <mergeCell ref="C4:D4"/>
    <mergeCell ref="C5:D5"/>
    <mergeCell ref="C6:D6"/>
    <mergeCell ref="C7:D7"/>
    <mergeCell ref="A9:G9"/>
    <mergeCell ref="A11:D11"/>
    <mergeCell ref="A12:D12"/>
    <mergeCell ref="A13:G13"/>
    <mergeCell ref="A15:G15"/>
  </mergeCells>
  <phoneticPr fontId="76" type="noConversion"/>
  <pageMargins left="0.74791666666666701" right="0.74791666666666701" top="0.98402777777777795" bottom="0.98402777777777795" header="0.51180555555555596" footer="0.51180555555555596"/>
  <pageSetup paperSize="9" scale="81" orientation="landscape" blackAndWhite="1" r:id="rId1"/>
  <headerFooter alignWithMargins="0"/>
  <rowBreaks count="4" manualBreakCount="4">
    <brk id="14" max="16383" man="1"/>
    <brk id="44" max="8" man="1"/>
    <brk id="63" max="16383" man="1"/>
    <brk id="94" max="16383" man="1"/>
  </rowBreak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view="pageBreakPreview" zoomScaleNormal="100" zoomScaleSheetLayoutView="100" workbookViewId="0"/>
  </sheetViews>
  <sheetFormatPr defaultColWidth="9" defaultRowHeight="20.100000000000001" customHeight="1"/>
  <cols>
    <col min="1" max="1" width="56.25" style="11" customWidth="1"/>
    <col min="2" max="2" width="24.875" style="11" customWidth="1"/>
    <col min="3" max="3" width="17.625" style="11" customWidth="1"/>
    <col min="4" max="4" width="24.625" style="11" customWidth="1"/>
    <col min="5" max="16384" width="9" style="11"/>
  </cols>
  <sheetData>
    <row r="1" spans="1:5" ht="24.95" customHeight="1">
      <c r="A1" s="12" t="s">
        <v>145</v>
      </c>
      <c r="B1" s="13">
        <f>基础信息!B6</f>
        <v>0</v>
      </c>
      <c r="E1" s="14"/>
    </row>
    <row r="2" spans="1:5" ht="24.95" customHeight="1">
      <c r="A2" s="12" t="s">
        <v>147</v>
      </c>
      <c r="B2" s="13">
        <f>基础信息!B9</f>
        <v>0</v>
      </c>
    </row>
    <row r="3" spans="1:5" ht="24.95" customHeight="1">
      <c r="A3" s="12" t="s">
        <v>148</v>
      </c>
      <c r="B3" s="12" t="s">
        <v>1967</v>
      </c>
    </row>
    <row r="4" spans="1:5" s="7" customFormat="1" ht="24.95" customHeight="1">
      <c r="A4" s="15" t="s">
        <v>1968</v>
      </c>
      <c r="B4" s="15"/>
    </row>
    <row r="5" spans="1:5" s="8" customFormat="1" ht="24.95" customHeight="1">
      <c r="A5" s="16" t="s">
        <v>754</v>
      </c>
      <c r="B5" s="16" t="s">
        <v>1653</v>
      </c>
    </row>
    <row r="6" spans="1:5" s="9" customFormat="1" ht="20.100000000000001" customHeight="1">
      <c r="A6" s="17" t="s">
        <v>1969</v>
      </c>
      <c r="B6" s="18"/>
    </row>
    <row r="7" spans="1:5" s="9" customFormat="1" ht="20.100000000000001" customHeight="1">
      <c r="A7" s="19" t="s">
        <v>1970</v>
      </c>
      <c r="B7" s="18"/>
    </row>
    <row r="8" spans="1:5" s="9" customFormat="1" ht="20.100000000000001" customHeight="1">
      <c r="A8" s="19" t="s">
        <v>1971</v>
      </c>
      <c r="B8" s="18"/>
    </row>
    <row r="9" spans="1:5" s="9" customFormat="1" ht="20.100000000000001" customHeight="1">
      <c r="A9" s="19" t="s">
        <v>1972</v>
      </c>
      <c r="B9" s="18"/>
    </row>
    <row r="10" spans="1:5" s="9" customFormat="1" ht="28.5" customHeight="1">
      <c r="A10" s="19" t="s">
        <v>1973</v>
      </c>
      <c r="B10" s="18"/>
    </row>
    <row r="11" spans="1:5" s="9" customFormat="1" ht="20.100000000000001" customHeight="1">
      <c r="A11" s="19" t="s">
        <v>1974</v>
      </c>
      <c r="B11" s="18"/>
    </row>
    <row r="12" spans="1:5" s="9" customFormat="1" ht="20.100000000000001" customHeight="1">
      <c r="A12" s="19" t="s">
        <v>1975</v>
      </c>
      <c r="B12" s="18"/>
    </row>
    <row r="13" spans="1:5" s="9" customFormat="1" ht="20.100000000000001" customHeight="1">
      <c r="A13" s="19" t="s">
        <v>1976</v>
      </c>
      <c r="B13" s="18"/>
    </row>
    <row r="14" spans="1:5" s="9" customFormat="1" ht="20.100000000000001" customHeight="1">
      <c r="A14" s="17" t="s">
        <v>1977</v>
      </c>
      <c r="B14" s="18"/>
    </row>
    <row r="15" spans="1:5" s="9" customFormat="1" ht="20.100000000000001" customHeight="1">
      <c r="A15" s="19" t="s">
        <v>1978</v>
      </c>
      <c r="B15" s="18"/>
    </row>
    <row r="16" spans="1:5" s="9" customFormat="1" ht="20.100000000000001" customHeight="1">
      <c r="A16" s="17" t="s">
        <v>1979</v>
      </c>
      <c r="B16" s="18"/>
    </row>
    <row r="17" spans="1:2" s="9" customFormat="1" ht="20.100000000000001" customHeight="1">
      <c r="A17" s="17" t="s">
        <v>1980</v>
      </c>
      <c r="B17" s="18"/>
    </row>
    <row r="18" spans="1:2" s="9" customFormat="1" ht="20.100000000000001" customHeight="1">
      <c r="A18" s="17" t="s">
        <v>1981</v>
      </c>
      <c r="B18" s="18"/>
    </row>
    <row r="19" spans="1:2" s="9" customFormat="1" ht="27.75" customHeight="1">
      <c r="A19" s="17" t="s">
        <v>1982</v>
      </c>
      <c r="B19" s="18"/>
    </row>
    <row r="20" spans="1:2" s="9" customFormat="1" ht="20.100000000000001" customHeight="1">
      <c r="A20" s="17" t="s">
        <v>1983</v>
      </c>
      <c r="B20" s="18"/>
    </row>
    <row r="21" spans="1:2" s="9" customFormat="1" ht="20.100000000000001" customHeight="1">
      <c r="A21" s="17" t="s">
        <v>1984</v>
      </c>
      <c r="B21" s="18"/>
    </row>
    <row r="22" spans="1:2" s="9" customFormat="1" ht="20.100000000000001" customHeight="1">
      <c r="A22" s="17" t="s">
        <v>1985</v>
      </c>
      <c r="B22" s="18"/>
    </row>
    <row r="23" spans="1:2" s="9" customFormat="1" ht="20.100000000000001" customHeight="1">
      <c r="A23" s="17" t="s">
        <v>1986</v>
      </c>
      <c r="B23" s="18"/>
    </row>
    <row r="24" spans="1:2" s="9" customFormat="1" ht="28.5" customHeight="1">
      <c r="A24" s="17" t="s">
        <v>1987</v>
      </c>
      <c r="B24" s="18"/>
    </row>
    <row r="25" spans="1:2" s="9" customFormat="1" ht="20.100000000000001" customHeight="1">
      <c r="A25" s="17" t="s">
        <v>1988</v>
      </c>
      <c r="B25" s="18"/>
    </row>
    <row r="26" spans="1:2" s="9" customFormat="1" ht="20.100000000000001" customHeight="1">
      <c r="A26" s="17" t="s">
        <v>1989</v>
      </c>
      <c r="B26" s="18"/>
    </row>
    <row r="27" spans="1:2" s="9" customFormat="1" ht="20.100000000000001" customHeight="1">
      <c r="A27" s="17" t="s">
        <v>1990</v>
      </c>
      <c r="B27" s="18"/>
    </row>
    <row r="28" spans="1:2" s="9" customFormat="1" ht="20.100000000000001" customHeight="1">
      <c r="A28" s="17" t="s">
        <v>1991</v>
      </c>
      <c r="B28" s="20">
        <f>SUM(B6:B27)</f>
        <v>0</v>
      </c>
    </row>
    <row r="29" spans="1:2" s="9" customFormat="1" ht="20.100000000000001" customHeight="1">
      <c r="A29" s="17" t="s">
        <v>1992</v>
      </c>
      <c r="B29" s="18"/>
    </row>
    <row r="30" spans="1:2" s="9" customFormat="1" ht="20.100000000000001" customHeight="1">
      <c r="A30" s="17" t="s">
        <v>1993</v>
      </c>
      <c r="B30" s="20">
        <f>B28-B29</f>
        <v>0</v>
      </c>
    </row>
    <row r="31" spans="1:2" s="9" customFormat="1" ht="20.100000000000001" customHeight="1">
      <c r="A31" s="17" t="s">
        <v>1994</v>
      </c>
      <c r="B31" s="18"/>
    </row>
    <row r="32" spans="1:2" s="9" customFormat="1" ht="20.100000000000001" customHeight="1">
      <c r="A32" s="17" t="s">
        <v>1995</v>
      </c>
      <c r="B32" s="20">
        <f>B30-B31</f>
        <v>0</v>
      </c>
    </row>
    <row r="33" spans="1:2" s="9" customFormat="1" ht="20.100000000000001" customHeight="1">
      <c r="A33" s="21" t="s">
        <v>1236</v>
      </c>
    </row>
    <row r="34" spans="1:2" s="10" customFormat="1" ht="20.100000000000001" customHeight="1">
      <c r="A34" s="1375" t="s">
        <v>1996</v>
      </c>
      <c r="B34" s="1375"/>
    </row>
    <row r="35" spans="1:2" s="10" customFormat="1" ht="31.5" customHeight="1">
      <c r="A35" s="1375" t="s">
        <v>1997</v>
      </c>
      <c r="B35" s="1375"/>
    </row>
    <row r="36" spans="1:2" s="10" customFormat="1" ht="20.100000000000001" customHeight="1">
      <c r="A36" s="1375" t="s">
        <v>1998</v>
      </c>
      <c r="B36" s="1375"/>
    </row>
  </sheetData>
  <mergeCells count="3">
    <mergeCell ref="A34:B34"/>
    <mergeCell ref="A35:B35"/>
    <mergeCell ref="A36:B36"/>
  </mergeCells>
  <phoneticPr fontId="76" type="noConversion"/>
  <pageMargins left="0.51180555555555596" right="0.51180555555555596" top="0.98402777777777795" bottom="0.98402777777777795" header="0.51180555555555596" footer="0.51180555555555596"/>
  <pageSetup paperSize="9" orientation="portrait" blackAndWhite="1" r:id="rId1"/>
  <headerFooter alignWithMargins="0"/>
  <rowBreaks count="1" manualBreakCount="1">
    <brk id="18" max="1" man="1"/>
  </rowBreak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heetViews>
  <sheetFormatPr defaultColWidth="9" defaultRowHeight="15.75"/>
  <cols>
    <col min="1" max="1" width="16.5" style="1" customWidth="1"/>
    <col min="2" max="5" width="24.625" style="1" customWidth="1"/>
    <col min="6" max="16384" width="9" style="1"/>
  </cols>
  <sheetData>
    <row r="1" spans="1:7" ht="16.5">
      <c r="A1" s="2" t="s">
        <v>1999</v>
      </c>
      <c r="B1" s="2">
        <f>基础信息!B6</f>
        <v>0</v>
      </c>
    </row>
    <row r="2" spans="1:7" ht="16.5">
      <c r="A2" s="2" t="s">
        <v>2000</v>
      </c>
      <c r="B2" s="3">
        <f>基础信息!B9</f>
        <v>0</v>
      </c>
    </row>
    <row r="3" spans="1:7" ht="16.5">
      <c r="A3" s="2" t="s">
        <v>2001</v>
      </c>
    </row>
    <row r="10" spans="1:7" ht="16.5">
      <c r="G10" s="6"/>
    </row>
  </sheetData>
  <phoneticPr fontId="76" type="noConversion"/>
  <pageMargins left="0.75" right="0.75" top="1" bottom="1" header="0.5" footer="0.5"/>
  <pageSetup paperSize="9" orientation="portrait"/>
  <headerFooter alignWithMargins="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heetViews>
  <sheetFormatPr defaultColWidth="9" defaultRowHeight="15.75"/>
  <cols>
    <col min="1" max="1" width="13.875" style="1" customWidth="1"/>
    <col min="2" max="5" width="24.625" style="1" customWidth="1"/>
    <col min="6" max="16384" width="9" style="1"/>
  </cols>
  <sheetData>
    <row r="1" spans="1:7" ht="16.5">
      <c r="A1" s="2" t="s">
        <v>1999</v>
      </c>
      <c r="B1" s="2">
        <f>基础信息!B6</f>
        <v>0</v>
      </c>
    </row>
    <row r="2" spans="1:7" ht="16.5">
      <c r="A2" s="2" t="s">
        <v>2000</v>
      </c>
      <c r="B2" s="3">
        <f>基础信息!B9</f>
        <v>0</v>
      </c>
    </row>
    <row r="3" spans="1:7" ht="16.5">
      <c r="A3" s="2" t="s">
        <v>2001</v>
      </c>
      <c r="B3" s="4"/>
    </row>
    <row r="4" spans="1:7">
      <c r="A4" s="5"/>
      <c r="B4" s="5"/>
    </row>
    <row r="10" spans="1:7" ht="16.5">
      <c r="G10" s="6"/>
    </row>
  </sheetData>
  <phoneticPr fontId="76" type="noConversion"/>
  <pageMargins left="0.75" right="0.75" top="1" bottom="1" header="0.5" footer="0.5"/>
  <pageSetup paperSize="9" orientation="portrait"/>
  <headerFooter alignWithMargins="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N21" sqref="N21"/>
    </sheetView>
  </sheetViews>
  <sheetFormatPr defaultColWidth="9" defaultRowHeight="15.75"/>
  <sheetData>
    <row r="1" spans="1:2">
      <c r="A1" t="s">
        <v>2002</v>
      </c>
      <c r="B1" t="s">
        <v>2003</v>
      </c>
    </row>
    <row r="2" spans="1:2">
      <c r="A2" t="s">
        <v>2004</v>
      </c>
      <c r="B2" t="s">
        <v>2005</v>
      </c>
    </row>
    <row r="3" spans="1:2">
      <c r="A3" t="s">
        <v>2006</v>
      </c>
      <c r="B3" t="s">
        <v>2007</v>
      </c>
    </row>
    <row r="4" spans="1:2">
      <c r="A4" t="s">
        <v>2008</v>
      </c>
      <c r="B4" t="s">
        <v>2009</v>
      </c>
    </row>
    <row r="5" spans="1:2">
      <c r="A5" t="s">
        <v>2010</v>
      </c>
      <c r="B5" t="s">
        <v>2011</v>
      </c>
    </row>
    <row r="6" spans="1:2">
      <c r="A6" t="s">
        <v>2012</v>
      </c>
      <c r="B6" t="s">
        <v>2013</v>
      </c>
    </row>
    <row r="7" spans="1:2">
      <c r="A7" t="s">
        <v>2014</v>
      </c>
      <c r="B7" t="s">
        <v>2015</v>
      </c>
    </row>
    <row r="8" spans="1:2">
      <c r="A8" t="s">
        <v>2016</v>
      </c>
      <c r="B8" t="s">
        <v>2017</v>
      </c>
    </row>
  </sheetData>
  <phoneticPr fontId="76"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113</vt:i4>
      </vt:variant>
      <vt:variant>
        <vt:lpstr>命名范围</vt:lpstr>
      </vt:variant>
      <vt:variant>
        <vt:i4>169</vt:i4>
      </vt:variant>
    </vt:vector>
  </HeadingPairs>
  <TitlesOfParts>
    <vt:vector size="282" baseType="lpstr">
      <vt:lpstr>目录</vt:lpstr>
      <vt:lpstr>基础信息</vt:lpstr>
      <vt:lpstr>RP 001</vt:lpstr>
      <vt:lpstr>RP 002-1</vt:lpstr>
      <vt:lpstr>RP 002-2</vt:lpstr>
      <vt:lpstr>RP 003 </vt:lpstr>
      <vt:lpstr>RP 004 </vt:lpstr>
      <vt:lpstr>RP 005</vt:lpstr>
      <vt:lpstr>RP 006</vt:lpstr>
      <vt:lpstr>RP 007</vt:lpstr>
      <vt:lpstr>RP 008</vt:lpstr>
      <vt:lpstr>RP 009</vt:lpstr>
      <vt:lpstr>RP 010</vt:lpstr>
      <vt:lpstr>RP 011</vt:lpstr>
      <vt:lpstr>RP 012</vt:lpstr>
      <vt:lpstr>RP 013</vt:lpstr>
      <vt:lpstr>RP 014</vt:lpstr>
      <vt:lpstr>RP 015</vt:lpstr>
      <vt:lpstr>RP 016</vt:lpstr>
      <vt:lpstr>RP 017</vt:lpstr>
      <vt:lpstr>RP 018</vt:lpstr>
      <vt:lpstr>RP 019</vt:lpstr>
      <vt:lpstr>RP 020</vt:lpstr>
      <vt:lpstr>RP 020-1</vt:lpstr>
      <vt:lpstr>RP 020-2</vt:lpstr>
      <vt:lpstr>RP 020-3</vt:lpstr>
      <vt:lpstr>RP 021</vt:lpstr>
      <vt:lpstr>RP 022</vt:lpstr>
      <vt:lpstr>RP 023</vt:lpstr>
      <vt:lpstr>RP 024</vt:lpstr>
      <vt:lpstr>RP 025</vt:lpstr>
      <vt:lpstr>RP 026</vt:lpstr>
      <vt:lpstr>RP 027</vt:lpstr>
      <vt:lpstr>RP 028</vt:lpstr>
      <vt:lpstr>RP 029</vt:lpstr>
      <vt:lpstr>RP 030</vt:lpstr>
      <vt:lpstr>RP 031</vt:lpstr>
      <vt:lpstr>RP 032</vt:lpstr>
      <vt:lpstr>RP 033</vt:lpstr>
      <vt:lpstr>RP 034</vt:lpstr>
      <vt:lpstr>RP 035</vt:lpstr>
      <vt:lpstr>RP 036</vt:lpstr>
      <vt:lpstr>RP 036-1</vt:lpstr>
      <vt:lpstr>RP 036-2</vt:lpstr>
      <vt:lpstr>RP 037</vt:lpstr>
      <vt:lpstr>RP 037-1</vt:lpstr>
      <vt:lpstr>RP 037-2</vt:lpstr>
      <vt:lpstr>RP 038</vt:lpstr>
      <vt:lpstr>RP 039</vt:lpstr>
      <vt:lpstr>RP 040</vt:lpstr>
      <vt:lpstr>RP 041</vt:lpstr>
      <vt:lpstr>RP 042</vt:lpstr>
      <vt:lpstr>RP 043</vt:lpstr>
      <vt:lpstr>RP 044</vt:lpstr>
      <vt:lpstr>RP 045</vt:lpstr>
      <vt:lpstr>RP 046</vt:lpstr>
      <vt:lpstr>RP 047</vt:lpstr>
      <vt:lpstr>RP 048</vt:lpstr>
      <vt:lpstr>RP 049</vt:lpstr>
      <vt:lpstr>RP 050</vt:lpstr>
      <vt:lpstr>RP 051</vt:lpstr>
      <vt:lpstr>RP 052</vt:lpstr>
      <vt:lpstr>RP 053</vt:lpstr>
      <vt:lpstr>RP 054</vt:lpstr>
      <vt:lpstr>RP 055</vt:lpstr>
      <vt:lpstr>RP 056</vt:lpstr>
      <vt:lpstr>RP 057</vt:lpstr>
      <vt:lpstr>RP 057-1</vt:lpstr>
      <vt:lpstr>RP 057-2</vt:lpstr>
      <vt:lpstr>RP 057-3</vt:lpstr>
      <vt:lpstr>RP 058</vt:lpstr>
      <vt:lpstr>RP 059</vt:lpstr>
      <vt:lpstr>RP 060</vt:lpstr>
      <vt:lpstr>RP 061</vt:lpstr>
      <vt:lpstr>RP 062</vt:lpstr>
      <vt:lpstr>RP 062-1</vt:lpstr>
      <vt:lpstr>RP 062-2</vt:lpstr>
      <vt:lpstr>RP 063</vt:lpstr>
      <vt:lpstr>RP 064</vt:lpstr>
      <vt:lpstr>RP 065</vt:lpstr>
      <vt:lpstr>RP 066</vt:lpstr>
      <vt:lpstr>RP 067</vt:lpstr>
      <vt:lpstr>RP 068</vt:lpstr>
      <vt:lpstr>RP 069</vt:lpstr>
      <vt:lpstr>RP 070</vt:lpstr>
      <vt:lpstr>RP 071</vt:lpstr>
      <vt:lpstr>RP 072</vt:lpstr>
      <vt:lpstr>RP 073</vt:lpstr>
      <vt:lpstr>RP 074</vt:lpstr>
      <vt:lpstr>RP 075</vt:lpstr>
      <vt:lpstr>RP 076</vt:lpstr>
      <vt:lpstr>RP 077</vt:lpstr>
      <vt:lpstr>RP 078</vt:lpstr>
      <vt:lpstr>RP 079</vt:lpstr>
      <vt:lpstr>RP 080</vt:lpstr>
      <vt:lpstr>RP 081</vt:lpstr>
      <vt:lpstr>RP 082</vt:lpstr>
      <vt:lpstr>RP 083</vt:lpstr>
      <vt:lpstr>RP 084</vt:lpstr>
      <vt:lpstr>RP 085</vt:lpstr>
      <vt:lpstr>RP 086</vt:lpstr>
      <vt:lpstr>RP 087</vt:lpstr>
      <vt:lpstr>RP 088</vt:lpstr>
      <vt:lpstr>RP 089</vt:lpstr>
      <vt:lpstr>RP 090</vt:lpstr>
      <vt:lpstr>RP 091</vt:lpstr>
      <vt:lpstr>RP 092</vt:lpstr>
      <vt:lpstr>RP 093</vt:lpstr>
      <vt:lpstr>RP 094</vt:lpstr>
      <vt:lpstr>RP 095</vt:lpstr>
      <vt:lpstr>0001</vt:lpstr>
      <vt:lpstr>0000</vt:lpstr>
      <vt:lpstr>GT_Custom</vt:lpstr>
      <vt:lpstr>'RP 016'!_Hlk533511527</vt:lpstr>
      <vt:lpstr>'RP 016'!_Hlk533597423</vt:lpstr>
      <vt:lpstr>'RP 095'!OLE_LINK1</vt:lpstr>
      <vt:lpstr>'RP 095'!OLE_LINK2</vt:lpstr>
      <vt:lpstr>'RP 095'!OLE_LINK4</vt:lpstr>
      <vt:lpstr>'RP 095'!OLE_LINK9</vt:lpstr>
      <vt:lpstr>'RP 001'!Print_Area</vt:lpstr>
      <vt:lpstr>'RP 002-1'!Print_Area</vt:lpstr>
      <vt:lpstr>'RP 002-2'!Print_Area</vt:lpstr>
      <vt:lpstr>'RP 003 '!Print_Area</vt:lpstr>
      <vt:lpstr>'RP 004 '!Print_Area</vt:lpstr>
      <vt:lpstr>'RP 005'!Print_Area</vt:lpstr>
      <vt:lpstr>'RP 006'!Print_Area</vt:lpstr>
      <vt:lpstr>'RP 007'!Print_Area</vt:lpstr>
      <vt:lpstr>'RP 008'!Print_Area</vt:lpstr>
      <vt:lpstr>'RP 009'!Print_Area</vt:lpstr>
      <vt:lpstr>'RP 010'!Print_Area</vt:lpstr>
      <vt:lpstr>'RP 011'!Print_Area</vt:lpstr>
      <vt:lpstr>'RP 012'!Print_Area</vt:lpstr>
      <vt:lpstr>'RP 014'!Print_Area</vt:lpstr>
      <vt:lpstr>'RP 015'!Print_Area</vt:lpstr>
      <vt:lpstr>'RP 016'!Print_Area</vt:lpstr>
      <vt:lpstr>'RP 017'!Print_Area</vt:lpstr>
      <vt:lpstr>'RP 019'!Print_Area</vt:lpstr>
      <vt:lpstr>'RP 020-1'!Print_Area</vt:lpstr>
      <vt:lpstr>'RP 020-2'!Print_Area</vt:lpstr>
      <vt:lpstr>'RP 020-3'!Print_Area</vt:lpstr>
      <vt:lpstr>'RP 021'!Print_Area</vt:lpstr>
      <vt:lpstr>'RP 024'!Print_Area</vt:lpstr>
      <vt:lpstr>'RP 025'!Print_Area</vt:lpstr>
      <vt:lpstr>'RP 027'!Print_Area</vt:lpstr>
      <vt:lpstr>'RP 028'!Print_Area</vt:lpstr>
      <vt:lpstr>'RP 029'!Print_Area</vt:lpstr>
      <vt:lpstr>'RP 030'!Print_Area</vt:lpstr>
      <vt:lpstr>'RP 031'!Print_Area</vt:lpstr>
      <vt:lpstr>'RP 032'!Print_Area</vt:lpstr>
      <vt:lpstr>'RP 035'!Print_Area</vt:lpstr>
      <vt:lpstr>'RP 036-1'!Print_Area</vt:lpstr>
      <vt:lpstr>'RP 036-2'!Print_Area</vt:lpstr>
      <vt:lpstr>'RP 037-1'!Print_Area</vt:lpstr>
      <vt:lpstr>'RP 037-2'!Print_Area</vt:lpstr>
      <vt:lpstr>'RP 038'!Print_Area</vt:lpstr>
      <vt:lpstr>'RP 039'!Print_Area</vt:lpstr>
      <vt:lpstr>'RP 040'!Print_Area</vt:lpstr>
      <vt:lpstr>'RP 041'!Print_Area</vt:lpstr>
      <vt:lpstr>'RP 042'!Print_Area</vt:lpstr>
      <vt:lpstr>'RP 043'!Print_Area</vt:lpstr>
      <vt:lpstr>'RP 044'!Print_Area</vt:lpstr>
      <vt:lpstr>'RP 045'!Print_Area</vt:lpstr>
      <vt:lpstr>'RP 046'!Print_Area</vt:lpstr>
      <vt:lpstr>'RP 047'!Print_Area</vt:lpstr>
      <vt:lpstr>'RP 049'!Print_Area</vt:lpstr>
      <vt:lpstr>'RP 050'!Print_Area</vt:lpstr>
      <vt:lpstr>'RP 051'!Print_Area</vt:lpstr>
      <vt:lpstr>'RP 052'!Print_Area</vt:lpstr>
      <vt:lpstr>'RP 053'!Print_Area</vt:lpstr>
      <vt:lpstr>'RP 055'!Print_Area</vt:lpstr>
      <vt:lpstr>'RP 056'!Print_Area</vt:lpstr>
      <vt:lpstr>'RP 057-1'!Print_Area</vt:lpstr>
      <vt:lpstr>'RP 057-2'!Print_Area</vt:lpstr>
      <vt:lpstr>'RP 057-3'!Print_Area</vt:lpstr>
      <vt:lpstr>'RP 058'!Print_Area</vt:lpstr>
      <vt:lpstr>'RP 059'!Print_Area</vt:lpstr>
      <vt:lpstr>'RP 060'!Print_Area</vt:lpstr>
      <vt:lpstr>'RP 061'!Print_Area</vt:lpstr>
      <vt:lpstr>'RP 062-1'!Print_Area</vt:lpstr>
      <vt:lpstr>'RP 062-2'!Print_Area</vt:lpstr>
      <vt:lpstr>'RP 063'!Print_Area</vt:lpstr>
      <vt:lpstr>'RP 064'!Print_Area</vt:lpstr>
      <vt:lpstr>'RP 065'!Print_Area</vt:lpstr>
      <vt:lpstr>'RP 066'!Print_Area</vt:lpstr>
      <vt:lpstr>'RP 067'!Print_Area</vt:lpstr>
      <vt:lpstr>'RP 068'!Print_Area</vt:lpstr>
      <vt:lpstr>'RP 069'!Print_Area</vt:lpstr>
      <vt:lpstr>'RP 070'!Print_Area</vt:lpstr>
      <vt:lpstr>'RP 072'!Print_Area</vt:lpstr>
      <vt:lpstr>'RP 073'!Print_Area</vt:lpstr>
      <vt:lpstr>'RP 074'!Print_Area</vt:lpstr>
      <vt:lpstr>'RP 076'!Print_Area</vt:lpstr>
      <vt:lpstr>'RP 078'!Print_Area</vt:lpstr>
      <vt:lpstr>'RP 079'!Print_Area</vt:lpstr>
      <vt:lpstr>'RP 080'!Print_Area</vt:lpstr>
      <vt:lpstr>'RP 081'!Print_Area</vt:lpstr>
      <vt:lpstr>'RP 082'!Print_Area</vt:lpstr>
      <vt:lpstr>'RP 083'!Print_Area</vt:lpstr>
      <vt:lpstr>'RP 084'!Print_Area</vt:lpstr>
      <vt:lpstr>'RP 085'!Print_Area</vt:lpstr>
      <vt:lpstr>'RP 086'!Print_Area</vt:lpstr>
      <vt:lpstr>'RP 087'!Print_Area</vt:lpstr>
      <vt:lpstr>'RP 088'!Print_Area</vt:lpstr>
      <vt:lpstr>'RP 089'!Print_Area</vt:lpstr>
      <vt:lpstr>'RP 091'!Print_Area</vt:lpstr>
      <vt:lpstr>'RP 092'!Print_Area</vt:lpstr>
      <vt:lpstr>'RP 093'!Print_Area</vt:lpstr>
      <vt:lpstr>'RP 094'!Print_Area</vt:lpstr>
      <vt:lpstr>'RP 095'!Print_Area</vt:lpstr>
      <vt:lpstr>基础信息!Print_Area</vt:lpstr>
      <vt:lpstr>目录!Print_Area</vt:lpstr>
      <vt:lpstr>'0000'!Print_Titles</vt:lpstr>
      <vt:lpstr>'0001'!Print_Titles</vt:lpstr>
      <vt:lpstr>'RP 001'!Print_Titles</vt:lpstr>
      <vt:lpstr>'RP 005'!Print_Titles</vt:lpstr>
      <vt:lpstr>'RP 006'!Print_Titles</vt:lpstr>
      <vt:lpstr>'RP 008'!Print_Titles</vt:lpstr>
      <vt:lpstr>'RP 009'!Print_Titles</vt:lpstr>
      <vt:lpstr>'RP 010'!Print_Titles</vt:lpstr>
      <vt:lpstr>'RP 011'!Print_Titles</vt:lpstr>
      <vt:lpstr>'RP 012'!Print_Titles</vt:lpstr>
      <vt:lpstr>'RP 017'!Print_Titles</vt:lpstr>
      <vt:lpstr>'RP 020-3'!Print_Titles</vt:lpstr>
      <vt:lpstr>'RP 021'!Print_Titles</vt:lpstr>
      <vt:lpstr>'RP 027'!Print_Titles</vt:lpstr>
      <vt:lpstr>'RP 029'!Print_Titles</vt:lpstr>
      <vt:lpstr>'RP 032'!Print_Titles</vt:lpstr>
      <vt:lpstr>'RP 035'!Print_Titles</vt:lpstr>
      <vt:lpstr>'RP 036-1'!Print_Titles</vt:lpstr>
      <vt:lpstr>'RP 039'!Print_Titles</vt:lpstr>
      <vt:lpstr>'RP 040'!Print_Titles</vt:lpstr>
      <vt:lpstr>'RP 041'!Print_Titles</vt:lpstr>
      <vt:lpstr>'RP 042'!Print_Titles</vt:lpstr>
      <vt:lpstr>'RP 043'!Print_Titles</vt:lpstr>
      <vt:lpstr>'RP 044'!Print_Titles</vt:lpstr>
      <vt:lpstr>'RP 045'!Print_Titles</vt:lpstr>
      <vt:lpstr>'RP 046'!Print_Titles</vt:lpstr>
      <vt:lpstr>'RP 047'!Print_Titles</vt:lpstr>
      <vt:lpstr>'RP 049'!Print_Titles</vt:lpstr>
      <vt:lpstr>'RP 051'!Print_Titles</vt:lpstr>
      <vt:lpstr>'RP 052'!Print_Titles</vt:lpstr>
      <vt:lpstr>'RP 053'!Print_Titles</vt:lpstr>
      <vt:lpstr>'RP 055'!Print_Titles</vt:lpstr>
      <vt:lpstr>'RP 056'!Print_Titles</vt:lpstr>
      <vt:lpstr>'RP 057-2'!Print_Titles</vt:lpstr>
      <vt:lpstr>'RP 058'!Print_Titles</vt:lpstr>
      <vt:lpstr>'RP 060'!Print_Titles</vt:lpstr>
      <vt:lpstr>'RP 062-1'!Print_Titles</vt:lpstr>
      <vt:lpstr>'RP 062-2'!Print_Titles</vt:lpstr>
      <vt:lpstr>'RP 064'!Print_Titles</vt:lpstr>
      <vt:lpstr>'RP 067'!Print_Titles</vt:lpstr>
      <vt:lpstr>'RP 068'!Print_Titles</vt:lpstr>
      <vt:lpstr>'RP 072'!Print_Titles</vt:lpstr>
      <vt:lpstr>'RP 073'!Print_Titles</vt:lpstr>
      <vt:lpstr>'RP 074'!Print_Titles</vt:lpstr>
      <vt:lpstr>'RP 076'!Print_Titles</vt:lpstr>
      <vt:lpstr>'RP 078'!Print_Titles</vt:lpstr>
      <vt:lpstr>'RP 079'!Print_Titles</vt:lpstr>
      <vt:lpstr>'RP 080'!Print_Titles</vt:lpstr>
      <vt:lpstr>'RP 081'!Print_Titles</vt:lpstr>
      <vt:lpstr>'RP 082'!Print_Titles</vt:lpstr>
      <vt:lpstr>'RP 083'!Print_Titles</vt:lpstr>
      <vt:lpstr>'RP 084'!Print_Titles</vt:lpstr>
      <vt:lpstr>'RP 085'!Print_Titles</vt:lpstr>
      <vt:lpstr>'RP 086'!Print_Titles</vt:lpstr>
      <vt:lpstr>'RP 087'!Print_Titles</vt:lpstr>
      <vt:lpstr>'RP 088'!Print_Titles</vt:lpstr>
      <vt:lpstr>'RP 089'!Print_Titles</vt:lpstr>
      <vt:lpstr>'RP 090'!Print_Titles</vt:lpstr>
      <vt:lpstr>'RP 091'!Print_Titles</vt:lpstr>
      <vt:lpstr>'RP 092'!Print_Titles</vt:lpstr>
      <vt:lpstr>'RP 093'!Print_Titles</vt:lpstr>
      <vt:lpstr>'RP 094'!Print_Titles</vt:lpstr>
      <vt:lpstr>'RP 095'!Print_Titles</vt:lpstr>
      <vt:lpstr>表头</vt:lpstr>
      <vt:lpstr>复核</vt:lpstr>
      <vt:lpstr>截止</vt:lpstr>
      <vt:lpstr>客户</vt:lpstr>
      <vt:lpstr>日期1</vt:lpstr>
      <vt:lpstr>'RP 003 '!日期2</vt:lpstr>
      <vt:lpstr>'RP 004 '!日期2</vt:lpstr>
      <vt:lpstr>日期2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Birdie Bai 白璐</cp:lastModifiedBy>
  <cp:lastPrinted>2009-12-10T05:21:00Z</cp:lastPrinted>
  <dcterms:created xsi:type="dcterms:W3CDTF">2001-06-27T02:04:00Z</dcterms:created>
  <dcterms:modified xsi:type="dcterms:W3CDTF">2020-08-31T09:45:27Z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2052-10.1.0.7400</vt:lpwstr>
  </property>
</Properties>
</file>