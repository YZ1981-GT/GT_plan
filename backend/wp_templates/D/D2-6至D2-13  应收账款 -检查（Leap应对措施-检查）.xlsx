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D 收入循环 修订10.28\D2应收账款\"/>
    </mc:Choice>
  </mc:AlternateContent>
  <bookViews>
    <workbookView xWindow="0" yWindow="0" windowWidth="22188" windowHeight="9180" tabRatio="770"/>
  </bookViews>
  <sheets>
    <sheet name="底稿目录" sheetId="1" r:id="rId1"/>
    <sheet name="附注披露信息(上市公司）D2-1" sheetId="41" state="hidden" r:id="rId2"/>
    <sheet name="附注披露信息（国企）D2-1" sheetId="40" state="hidden" r:id="rId3"/>
    <sheet name="关联方及交易检查表D2-6" sheetId="85" r:id="rId4"/>
    <sheet name="应收账款检查表D2-7" sheetId="84" r:id="rId5"/>
    <sheet name="坏账准备计提会计政策检查D2-8" sheetId="82" r:id="rId6"/>
    <sheet name="应收坏账准备测算D2-9" sheetId="53" r:id="rId7"/>
    <sheet name="预期信用损失的计量测试D2-10" sheetId="70" r:id="rId8"/>
    <sheet name="坏账准备转回（收回）、核销检查表D2-11" sheetId="57" r:id="rId9"/>
    <sheet name="应收账款质押出售情况检查表D2-12" sheetId="80" r:id="rId10"/>
    <sheet name="应收账款业务模式分析D2-13" sheetId="86" r:id="rId11"/>
    <sheet name="GT_Custom" sheetId="43" state="hidden" r:id="rId12"/>
  </sheet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_xlnm._FilterDatabase" hidden="1">#REF!</definedName>
    <definedName name="AFV" localSheetId="5" hidden="1">#REF!</definedName>
    <definedName name="AFV" localSheetId="4" hidden="1">#REF!</definedName>
    <definedName name="AFV" localSheetId="7" hidden="1">#REF!</definedName>
    <definedName name="AFV" hidden="1">#REF!</definedName>
    <definedName name="AS2DocOpenMode" hidden="1">"AS2DocumentEdit"</definedName>
    <definedName name="a暗暗">[1]企业表一!$F$20</definedName>
    <definedName name="bs" localSheetId="4" hidden="1">{#N/A,#N/A,FALSE,"BBPREP"}</definedName>
    <definedName name="bs" hidden="1">{#N/A,#N/A,FALSE,"BBPREP"}</definedName>
    <definedName name="bs_1" localSheetId="4"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localSheetId="5" hidden="1">#REF!</definedName>
    <definedName name="CCD" localSheetId="4" hidden="1">#REF!</definedName>
    <definedName name="CCD" localSheetId="7" hidden="1">#REF!</definedName>
    <definedName name="CCD" hidden="1">#REF!</definedName>
    <definedName name="CDE" localSheetId="5" hidden="1">#REF!</definedName>
    <definedName name="CDE" localSheetId="4" hidden="1">#REF!</definedName>
    <definedName name="CDE" localSheetId="7"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localSheetId="5" hidden="1">#REF!</definedName>
    <definedName name="DEX" localSheetId="4" hidden="1">#REF!</definedName>
    <definedName name="DEX" localSheetId="7" hidden="1">#REF!</definedName>
    <definedName name="DEX" hidden="1">#REF!</definedName>
    <definedName name="EDC" localSheetId="5" hidden="1">#REF!</definedName>
    <definedName name="EDC" localSheetId="4" hidden="1">#REF!</definedName>
    <definedName name="EDC" localSheetId="7" hidden="1">#REF!</definedName>
    <definedName name="EDC" hidden="1">#REF!</definedName>
    <definedName name="Effective_Tax_Rate">#REF!</definedName>
    <definedName name="FAD" localSheetId="5" hidden="1">[3]Breakdown!#REF!</definedName>
    <definedName name="FAD" localSheetId="4" hidden="1">[3]Breakdown!#REF!</definedName>
    <definedName name="FAD" localSheetId="7" hidden="1">[3]Breakdown!#REF!</definedName>
    <definedName name="FAD" hidden="1">[3]Breakdown!#REF!</definedName>
    <definedName name="FASD" localSheetId="5" hidden="1">#REF!</definedName>
    <definedName name="FASD" localSheetId="4" hidden="1">#REF!</definedName>
    <definedName name="FASD" localSheetId="7" hidden="1">#REF!</definedName>
    <definedName name="FASD" hidden="1">#REF!</definedName>
    <definedName name="FEDC" localSheetId="5" hidden="1">'[4]2004'!#REF!</definedName>
    <definedName name="FEDC" localSheetId="4" hidden="1">'[4]2004'!#REF!</definedName>
    <definedName name="FEDC" localSheetId="7" hidden="1">'[4]2004'!#REF!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2">'附注披露信息（国企）D2-1'!$A$1:$G$102</definedName>
    <definedName name="_xlnm.Print_Area" localSheetId="1">'附注披露信息(上市公司）D2-1'!$A$1:$F$134</definedName>
    <definedName name="_xlnm.Print_Area" localSheetId="3">'关联方及交易检查表D2-6'!$A$1:$L$22</definedName>
    <definedName name="_xlnm.Print_Area" localSheetId="5">'坏账准备计提会计政策检查D2-8'!$A$1:$I$36</definedName>
    <definedName name="_xlnm.Print_Area" localSheetId="8">'坏账准备转回（收回）、核销检查表D2-11'!$A$1:$H$28</definedName>
    <definedName name="_xlnm.Print_Area" localSheetId="6">'应收坏账准备测算D2-9'!$A$1:$H$45</definedName>
    <definedName name="_xlnm.Print_Area" localSheetId="4">'应收账款检查表D2-7'!$A$1:$Q$51</definedName>
    <definedName name="_xlnm.Print_Area" localSheetId="10">'应收账款业务模式分析D2-13'!$A$1:$E$29</definedName>
    <definedName name="_xlnm.Print_Area" localSheetId="9">'应收账款质押出售情况检查表D2-12'!$A$1:$K$37</definedName>
    <definedName name="_xlnm.Print_Area" localSheetId="7">'预期信用损失的计量测试D2-10'!$A$1:$H$106</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localSheetId="5" hidden="1">#REF!</definedName>
    <definedName name="RDES" localSheetId="4" hidden="1">#REF!</definedName>
    <definedName name="RDES" localSheetId="7" hidden="1">#REF!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localSheetId="5" hidden="1">#REF!</definedName>
    <definedName name="VFE" localSheetId="4" hidden="1">#REF!</definedName>
    <definedName name="VFE" localSheetId="7" hidden="1">#REF!</definedName>
    <definedName name="VFE" hidden="1">#REF!</definedName>
    <definedName name="XAP" localSheetId="5" hidden="1">#REF!</definedName>
    <definedName name="XAP" localSheetId="4" hidden="1">#REF!</definedName>
    <definedName name="XAP" localSheetId="7" hidden="1">#REF!</definedName>
    <definedName name="XAP" hidden="1">#REF!</definedName>
    <definedName name="XAQ" localSheetId="5" hidden="1">#REF!</definedName>
    <definedName name="XAQ" localSheetId="4" hidden="1">#REF!</definedName>
    <definedName name="XAQ" localSheetId="7" hidden="1">#REF!</definedName>
    <definedName name="XAQ" hidden="1">#REF!</definedName>
    <definedName name="XCD" localSheetId="5" hidden="1">#REF!</definedName>
    <definedName name="XCD" localSheetId="4" hidden="1">#REF!</definedName>
    <definedName name="XCD" localSheetId="7" hidden="1">#REF!</definedName>
    <definedName name="XCD" hidden="1">#REF!</definedName>
    <definedName name="XREF_COLUMN_1" localSheetId="5" hidden="1">#REF!</definedName>
    <definedName name="XREF_COLUMN_1" localSheetId="4" hidden="1">#REF!</definedName>
    <definedName name="XREF_COLUMN_1" localSheetId="7" hidden="1">#REF!</definedName>
    <definedName name="XREF_COLUMN_1" hidden="1">#REF!</definedName>
    <definedName name="XREF_COLUMN_2" localSheetId="5" hidden="1">[3]Breakdown!#REF!</definedName>
    <definedName name="XREF_COLUMN_2" localSheetId="4" hidden="1">[3]Breakdown!#REF!</definedName>
    <definedName name="XREF_COLUMN_2" localSheetId="7" hidden="1">[3]Breakdown!#REF!</definedName>
    <definedName name="XREF_COLUMN_2" hidden="1">[3]Breakdown!#REF!</definedName>
    <definedName name="XREF_COLUMN_3" localSheetId="5" hidden="1">#REF!</definedName>
    <definedName name="XREF_COLUMN_3" localSheetId="4" hidden="1">#REF!</definedName>
    <definedName name="XREF_COLUMN_3" localSheetId="7" hidden="1">#REF!</definedName>
    <definedName name="XREF_COLUMN_3" hidden="1">#REF!</definedName>
    <definedName name="XREF_COLUMN_5" localSheetId="5" hidden="1">'[4]2004'!#REF!</definedName>
    <definedName name="XREF_COLUMN_5" localSheetId="4" hidden="1">'[4]2004'!#REF!</definedName>
    <definedName name="XREF_COLUMN_5" localSheetId="7" hidden="1">'[4]2004'!#REF!</definedName>
    <definedName name="XREF_COLUMN_5" hidden="1">'[4]2004'!#REF!</definedName>
    <definedName name="XRefActiveRow" localSheetId="5" hidden="1">#REF!</definedName>
    <definedName name="XRefActiveRow" localSheetId="4" hidden="1">#REF!</definedName>
    <definedName name="XRefActiveRow" localSheetId="7" hidden="1">#REF!</definedName>
    <definedName name="XRefActiveRow" hidden="1">#REF!</definedName>
    <definedName name="XRefColumnsCount" hidden="1">2</definedName>
    <definedName name="XRefCopy1" localSheetId="5" hidden="1">#REF!</definedName>
    <definedName name="XRefCopy1" localSheetId="4" hidden="1">#REF!</definedName>
    <definedName name="XRefCopy1" localSheetId="7" hidden="1">#REF!</definedName>
    <definedName name="XRefCopy1" hidden="1">#REF!</definedName>
    <definedName name="XRefCopy1Row" localSheetId="5" hidden="1">#REF!</definedName>
    <definedName name="XRefCopy1Row" localSheetId="4" hidden="1">#REF!</definedName>
    <definedName name="XRefCopy1Row" localSheetId="7" hidden="1">#REF!</definedName>
    <definedName name="XRefCopy1Row" hidden="1">#REF!</definedName>
    <definedName name="XRefCopy2Row" localSheetId="5" hidden="1">#REF!</definedName>
    <definedName name="XRefCopy2Row" localSheetId="4" hidden="1">#REF!</definedName>
    <definedName name="XRefCopy2Row" localSheetId="7" hidden="1">#REF!</definedName>
    <definedName name="XRefCopy2Row" hidden="1">#REF!</definedName>
    <definedName name="XRefCopyRangeCount" hidden="1">2</definedName>
    <definedName name="XRefPaste1" localSheetId="5" hidden="1">#REF!</definedName>
    <definedName name="XRefPaste1" localSheetId="4" hidden="1">#REF!</definedName>
    <definedName name="XRefPaste1" localSheetId="7" hidden="1">#REF!</definedName>
    <definedName name="XRefPaste1" hidden="1">#REF!</definedName>
    <definedName name="XRefPaste1Row" localSheetId="5" hidden="1">#REF!</definedName>
    <definedName name="XRefPaste1Row" localSheetId="4" hidden="1">#REF!</definedName>
    <definedName name="XRefPaste1Row" localSheetId="7" hidden="1">#REF!</definedName>
    <definedName name="XRefPaste1Row" hidden="1">#REF!</definedName>
    <definedName name="XRefPaste2" localSheetId="5" hidden="1">#REF!</definedName>
    <definedName name="XRefPaste2" localSheetId="4" hidden="1">#REF!</definedName>
    <definedName name="XRefPaste2" localSheetId="7" hidden="1">#REF!</definedName>
    <definedName name="XRefPaste2" hidden="1">#REF!</definedName>
    <definedName name="XRefPaste2Row" localSheetId="5" hidden="1">#REF!</definedName>
    <definedName name="XRefPaste2Row" localSheetId="4" hidden="1">#REF!</definedName>
    <definedName name="XRefPaste2Row" localSheetId="7" hidden="1">#REF!</definedName>
    <definedName name="XRefPaste2Row" hidden="1">#REF!</definedName>
    <definedName name="XRefPaste3" localSheetId="5" hidden="1">#REF!</definedName>
    <definedName name="XRefPaste3" localSheetId="4" hidden="1">#REF!</definedName>
    <definedName name="XRefPaste3" localSheetId="7" hidden="1">#REF!</definedName>
    <definedName name="XRefPaste3" hidden="1">#REF!</definedName>
    <definedName name="XRefPaste3Row" localSheetId="5" hidden="1">#REF!</definedName>
    <definedName name="XRefPaste3Row" localSheetId="4" hidden="1">#REF!</definedName>
    <definedName name="XRefPaste3Row" localSheetId="7" hidden="1">#REF!</definedName>
    <definedName name="XRefPaste3Row" hidden="1">#REF!</definedName>
    <definedName name="XRefPasteRangeCount" hidden="1">2</definedName>
    <definedName name="暗暗审">'[1]M-5A'!$B$10</definedName>
    <definedName name="本循环科目" localSheetId="4" hidden="1">[5]索引!$D$15:$D$76</definedName>
    <definedName name="本循环科目" hidden="1">[5]索引!$D$15:$D$76</definedName>
    <definedName name="编制">[6]表头!$B$3</definedName>
    <definedName name="财务费用">#REF!</definedName>
    <definedName name="持有待售资产和负债">#REF!</definedName>
    <definedName name="持有至到期投资">#REF!</definedName>
    <definedName name="存货">#REF!</definedName>
    <definedName name="存货93期初">[7]企业表一!$C$7</definedName>
    <definedName name="存货93期末">[7]企业表一!$D$7</definedName>
    <definedName name="存货94期初">[7]企业表一!$E$7</definedName>
    <definedName name="存货94期末">[7]企业表一!$F$7</definedName>
    <definedName name="存货95期初">[7]企业表一!$G$7</definedName>
    <definedName name="存货95期末">[7]企业表一!$H$7</definedName>
    <definedName name="底稿目录" localSheetId="4" hidden="1">#REF!</definedName>
    <definedName name="底稿目录" hidden="1">#REF!</definedName>
    <definedName name="递延收益">#REF!</definedName>
    <definedName name="递延所得税资产与递延所得税负债">#REF!</definedName>
    <definedName name="短期借款">#REF!</definedName>
    <definedName name="非经常性损益">#REF!</definedName>
    <definedName name="负债合计93期末">[7]企业表一!$D$17</definedName>
    <definedName name="负债合计94期末">[7]企业表一!$F$17</definedName>
    <definedName name="负债合计95期末">[7]企业表一!$H$17</definedName>
    <definedName name="复核">[6]表头!$B$4</definedName>
    <definedName name="工程物资">#REF!</definedName>
    <definedName name="公允价值变动收益">#REF!</definedName>
    <definedName name="固定资产">#REF!</definedName>
    <definedName name="固定资产明细">#REF!</definedName>
    <definedName name="固定资产清理">#REF!</definedName>
    <definedName name="管理费用">#REF!</definedName>
    <definedName name="合同负债">#REF!</definedName>
    <definedName name="合同资产">#REF!</definedName>
    <definedName name="货币资金">#REF!</definedName>
    <definedName name="交易性金融负债">#REF!</definedName>
    <definedName name="交易性金融资产">#REF!</definedName>
    <definedName name="截止">[6]表头!$B$2</definedName>
    <definedName name="净_利_润93">'[7]M-5C'!$B$24</definedName>
    <definedName name="净_利_润94">'[7]M-5C'!$D$24</definedName>
    <definedName name="净_利_润95">'[7]M-5C'!$F$24</definedName>
    <definedName name="净敞口套期收益">#REF!</definedName>
    <definedName name="净资产合计93期初">[7]企业表一!$C$20</definedName>
    <definedName name="净资产合计93期末">[7]企业表一!$D$20</definedName>
    <definedName name="净资产合计94期初">[7]企业表一!$E$20</definedName>
    <definedName name="净资产合计94期末">[7]企业表一!$F$20</definedName>
    <definedName name="净资产合计95期初">[7]企业表一!$G$20</definedName>
    <definedName name="净资产合计95期末">[7]企业表一!$H$20</definedName>
    <definedName name="开发支出">#REF!</definedName>
    <definedName name="可供出售金融资产">#REF!</definedName>
    <definedName name="客户">[6]表头!$B$1</definedName>
    <definedName name="利_润_总_额93">'[7]M-5A'!$B$10</definedName>
    <definedName name="利_润_总_额94">'[7]M-5A'!$C$10</definedName>
    <definedName name="利_润_总_额95">'[7]M-5A'!$D$10</definedName>
    <definedName name="流_动_资_产93">'[7]M-5A'!$B$15</definedName>
    <definedName name="流_动_资_产94">'[7]M-5A'!$C$15</definedName>
    <definedName name="流_动_资_产95">'[7]M-5A'!$D$15</definedName>
    <definedName name="流动负债93期末">[7]企业表一!$D$15</definedName>
    <definedName name="流动负债94期末">[7]企业表一!$F$15</definedName>
    <definedName name="流动负债95期末">[7]企业表一!$H$15</definedName>
    <definedName name="其他非流动负债">#REF!</definedName>
    <definedName name="其他非流动金融资产">#REF!</definedName>
    <definedName name="其他非流动资产">#REF!</definedName>
    <definedName name="其他流动负债">#REF!</definedName>
    <definedName name="其他流动资产">#REF!</definedName>
    <definedName name="其他权益工具投资">#REF!</definedName>
    <definedName name="其他收益">#REF!</definedName>
    <definedName name="其他应付款">#REF!</definedName>
    <definedName name="其他应付款明细">#REF!</definedName>
    <definedName name="其他应收款">#REF!</definedName>
    <definedName name="其他应收款_以下不适用的_请删除">#REF!</definedName>
    <definedName name="其他债权投资">#REF!</definedName>
    <definedName name="日期1">[6]表头!$B$5</definedName>
    <definedName name="日期2">[6]表头!$B$6</definedName>
    <definedName name="商誉">#REF!</definedName>
    <definedName name="设定受益计划净资产">#REF!</definedName>
    <definedName name="生产性生物资产">#REF!</definedName>
    <definedName name="使用权资产">#REF!</definedName>
    <definedName name="事实上">[8]B!#REF!</definedName>
    <definedName name="税金及附加">#REF!</definedName>
    <definedName name="速_动_资_产93">'[7]M-5A'!$B$14</definedName>
    <definedName name="速_动_资_产94">'[7]M-5A'!$C$14</definedName>
    <definedName name="速_动_资_产95">'[7]M-5A'!$D$14</definedName>
    <definedName name="所得税费用">#REF!</definedName>
    <definedName name="所有权或使用权受到限制的资产">#REF!</definedName>
    <definedName name="投资收益">#REF!</definedName>
    <definedName name="投资性房地产">#REF!</definedName>
    <definedName name="无形资产">#REF!</definedName>
    <definedName name="现金流量表项目注释">#REF!</definedName>
    <definedName name="销售费用">#REF!</definedName>
    <definedName name="新目录" localSheetId="4" hidden="1">#REF!</definedName>
    <definedName name="新目录" hidden="1">#REF!</definedName>
    <definedName name="信用减值损失">#REF!</definedName>
    <definedName name="研发费用">#REF!</definedName>
    <definedName name="衍生金融负债">#REF!</definedName>
    <definedName name="衍生金融资产">#REF!</definedName>
    <definedName name="一年内到期的非流动负债">#REF!</definedName>
    <definedName name="一年内到期的非流动资产">#REF!</definedName>
    <definedName name="以公允价值计量且其变动计入当期损益的金融负债">#REF!</definedName>
    <definedName name="以公允价值计量且其变动计入当期损益的金融资产">#REF!</definedName>
    <definedName name="应付股利">#REF!</definedName>
    <definedName name="应付利息">#REF!</definedName>
    <definedName name="应付票据">#REF!</definedName>
    <definedName name="应付债券">#REF!</definedName>
    <definedName name="应付账款">#REF!</definedName>
    <definedName name="应付职工薪酬">#REF!</definedName>
    <definedName name="应交税费">#REF!</definedName>
    <definedName name="应收2" hidden="1">#REF!</definedName>
    <definedName name="应收股利">#REF!</definedName>
    <definedName name="应收利息">#REF!</definedName>
    <definedName name="应收票据">#REF!</definedName>
    <definedName name="应收帐款93期初">[7]企业表一!$C$6</definedName>
    <definedName name="应收帐款93期末">[7]企业表一!$D$6</definedName>
    <definedName name="应收帐款94期初">[7]企业表一!$E$6</definedName>
    <definedName name="应收帐款94期末">[7]企业表一!$F$6</definedName>
    <definedName name="应收帐款95期初">[7]企业表一!$G$6</definedName>
    <definedName name="应收帐款95期末">[7]企业表一!$H$6</definedName>
    <definedName name="应收账款">#REF!</definedName>
    <definedName name="应收账款bg" hidden="1">#REF!</definedName>
    <definedName name="应收账款mx" hidden="1">#REF!</definedName>
    <definedName name="营业收入_营业支出">#REF!</definedName>
    <definedName name="营业外收入">#REF!</definedName>
    <definedName name="营业外支出">#REF!</definedName>
    <definedName name="油气资产">#REF!</definedName>
    <definedName name="预付款项">#REF!</definedName>
    <definedName name="预计负债">#REF!</definedName>
    <definedName name="预收款项">#REF!</definedName>
    <definedName name="在建工程">#REF!</definedName>
    <definedName name="在建工程明细">#REF!</definedName>
    <definedName name="债权投资">#REF!</definedName>
    <definedName name="长期待摊费用">#REF!</definedName>
    <definedName name="长期股权投资">#REF!</definedName>
    <definedName name="长期借款">#REF!</definedName>
    <definedName name="长期应付款">#REF!</definedName>
    <definedName name="长期应付款明细">#REF!</definedName>
    <definedName name="长期应付职工薪酬">#REF!</definedName>
    <definedName name="长期应收款">#REF!</definedName>
    <definedName name="政府补助">#REF!</definedName>
    <definedName name="终止经营">#REF!</definedName>
    <definedName name="专项应付款">#REF!</definedName>
    <definedName name="资产处置收益">#REF!</definedName>
    <definedName name="资产负债表日后事项">#REF!</definedName>
    <definedName name="资产合计93期初">[7]企业表一!$C$14</definedName>
    <definedName name="资产合计93期末">[7]企业表一!$D$14</definedName>
    <definedName name="资产合计94期初">[7]企业表一!$E$14</definedName>
    <definedName name="资产合计94期末">[7]企业表一!$F$14</definedName>
    <definedName name="资产合计95期初">[7]企业表一!$G$14</definedName>
    <definedName name="资产合计95期末">[7]企业表一!$H$14</definedName>
    <definedName name="资产减值损失">#REF!</definedName>
    <definedName name="租赁负债">#REF!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8" i="84" l="1"/>
  <c r="F47" i="84"/>
  <c r="F46" i="84"/>
  <c r="E48" i="84"/>
  <c r="G48" i="84" s="1"/>
  <c r="E46" i="84"/>
  <c r="E47" i="84"/>
  <c r="G47" i="84" l="1"/>
  <c r="G46" i="84"/>
  <c r="H3" i="70"/>
  <c r="D23" i="86" l="1"/>
  <c r="C23" i="86"/>
  <c r="B23" i="86"/>
  <c r="D22" i="86"/>
  <c r="C22" i="86"/>
  <c r="B22" i="86"/>
  <c r="C4" i="86"/>
  <c r="B4" i="86"/>
  <c r="A4" i="86"/>
  <c r="C3" i="86"/>
  <c r="B3" i="86"/>
  <c r="A3" i="86"/>
  <c r="E32" i="80"/>
  <c r="E31" i="80"/>
  <c r="E30" i="80"/>
  <c r="E29" i="80"/>
  <c r="E28" i="80"/>
  <c r="C19" i="80"/>
  <c r="B19" i="80"/>
  <c r="G4" i="80"/>
  <c r="D4" i="80"/>
  <c r="A4" i="80"/>
  <c r="G3" i="80"/>
  <c r="D3" i="80"/>
  <c r="A3" i="80"/>
  <c r="G97" i="70"/>
  <c r="D97" i="70"/>
  <c r="C97" i="70"/>
  <c r="B97" i="70"/>
  <c r="A97" i="70"/>
  <c r="G96" i="70"/>
  <c r="D96" i="70"/>
  <c r="C96" i="70"/>
  <c r="B96" i="70"/>
  <c r="A96" i="70"/>
  <c r="G95" i="70"/>
  <c r="D95" i="70"/>
  <c r="C95" i="70"/>
  <c r="B95" i="70"/>
  <c r="A95" i="70"/>
  <c r="G94" i="70"/>
  <c r="D94" i="70"/>
  <c r="C94" i="70"/>
  <c r="B94" i="70"/>
  <c r="A94" i="70"/>
  <c r="G90" i="70"/>
  <c r="F90" i="70"/>
  <c r="D90" i="70"/>
  <c r="C90" i="70"/>
  <c r="B90" i="70"/>
  <c r="A90" i="70"/>
  <c r="G89" i="70"/>
  <c r="F89" i="70"/>
  <c r="D89" i="70"/>
  <c r="C89" i="70"/>
  <c r="B89" i="70"/>
  <c r="A89" i="70"/>
  <c r="G88" i="70"/>
  <c r="F88" i="70"/>
  <c r="D88" i="70"/>
  <c r="C88" i="70"/>
  <c r="B88" i="70"/>
  <c r="A88" i="70"/>
  <c r="G87" i="70"/>
  <c r="F87" i="70"/>
  <c r="D87" i="70"/>
  <c r="C87" i="70"/>
  <c r="B87" i="70"/>
  <c r="A87" i="70"/>
  <c r="G86" i="70"/>
  <c r="F86" i="70"/>
  <c r="D86" i="70"/>
  <c r="C86" i="70"/>
  <c r="B86" i="70"/>
  <c r="A86" i="70"/>
  <c r="G85" i="70"/>
  <c r="F85" i="70"/>
  <c r="D85" i="70"/>
  <c r="C85" i="70"/>
  <c r="B85" i="70"/>
  <c r="A85" i="70"/>
  <c r="G80" i="70"/>
  <c r="D80" i="70"/>
  <c r="C80" i="70"/>
  <c r="B80" i="70"/>
  <c r="A80" i="70"/>
  <c r="G79" i="70"/>
  <c r="D79" i="70"/>
  <c r="C79" i="70"/>
  <c r="B79" i="70"/>
  <c r="A79" i="70"/>
  <c r="G78" i="70"/>
  <c r="D78" i="70"/>
  <c r="C78" i="70"/>
  <c r="B78" i="70"/>
  <c r="A78" i="70"/>
  <c r="G77" i="70"/>
  <c r="D77" i="70"/>
  <c r="C77" i="70"/>
  <c r="B77" i="70"/>
  <c r="A77" i="70"/>
  <c r="G76" i="70"/>
  <c r="D76" i="70"/>
  <c r="C76" i="70"/>
  <c r="B76" i="70"/>
  <c r="A76" i="70"/>
  <c r="G75" i="70"/>
  <c r="C75" i="70"/>
  <c r="B75" i="70"/>
  <c r="A75" i="70"/>
  <c r="A69" i="70"/>
  <c r="A68" i="70"/>
  <c r="A67" i="70"/>
  <c r="A66" i="70"/>
  <c r="A65" i="70"/>
  <c r="A64" i="70"/>
  <c r="G57" i="70"/>
  <c r="F57" i="70"/>
  <c r="E57" i="70"/>
  <c r="D57" i="70"/>
  <c r="C57" i="70"/>
  <c r="A57" i="70"/>
  <c r="G56" i="70"/>
  <c r="F56" i="70"/>
  <c r="E56" i="70"/>
  <c r="D56" i="70"/>
  <c r="C56" i="70"/>
  <c r="A56" i="70"/>
  <c r="G55" i="70"/>
  <c r="F55" i="70"/>
  <c r="E55" i="70"/>
  <c r="D55" i="70"/>
  <c r="C55" i="70"/>
  <c r="A55" i="70"/>
  <c r="G54" i="70"/>
  <c r="F54" i="70"/>
  <c r="E54" i="70"/>
  <c r="D54" i="70"/>
  <c r="C54" i="70"/>
  <c r="A54" i="70"/>
  <c r="H52" i="70"/>
  <c r="G52" i="70"/>
  <c r="F52" i="70"/>
  <c r="E52" i="70"/>
  <c r="D52" i="70"/>
  <c r="C52" i="70"/>
  <c r="B52" i="70"/>
  <c r="F42" i="70"/>
  <c r="D42" i="70"/>
  <c r="C42" i="70"/>
  <c r="B42" i="70"/>
  <c r="G41" i="70"/>
  <c r="F41" i="70"/>
  <c r="E41" i="70"/>
  <c r="A41" i="70"/>
  <c r="G40" i="70"/>
  <c r="F40" i="70"/>
  <c r="E40" i="70"/>
  <c r="A40" i="70"/>
  <c r="G39" i="70"/>
  <c r="F39" i="70"/>
  <c r="E39" i="70"/>
  <c r="A39" i="70"/>
  <c r="G38" i="70"/>
  <c r="F38" i="70"/>
  <c r="E38" i="70"/>
  <c r="A38" i="70"/>
  <c r="G37" i="70"/>
  <c r="F37" i="70"/>
  <c r="E37" i="70"/>
  <c r="A37" i="70"/>
  <c r="G36" i="70"/>
  <c r="F36" i="70"/>
  <c r="A36" i="70"/>
  <c r="B32" i="70"/>
  <c r="G31" i="70"/>
  <c r="E31" i="70"/>
  <c r="D31" i="70"/>
  <c r="C31" i="70"/>
  <c r="A31" i="70"/>
  <c r="G30" i="70"/>
  <c r="E30" i="70"/>
  <c r="D30" i="70"/>
  <c r="C30" i="70"/>
  <c r="A30" i="70"/>
  <c r="G29" i="70"/>
  <c r="E29" i="70"/>
  <c r="D29" i="70"/>
  <c r="C29" i="70"/>
  <c r="A29" i="70"/>
  <c r="G28" i="70"/>
  <c r="E28" i="70"/>
  <c r="D28" i="70"/>
  <c r="C28" i="70"/>
  <c r="A28" i="70"/>
  <c r="G27" i="70"/>
  <c r="E27" i="70"/>
  <c r="D27" i="70"/>
  <c r="C27" i="70"/>
  <c r="A27" i="70"/>
  <c r="G26" i="70"/>
  <c r="E26" i="70"/>
  <c r="D26" i="70"/>
  <c r="A26" i="70"/>
  <c r="H20" i="70"/>
  <c r="G20" i="70"/>
  <c r="F20" i="70"/>
  <c r="G19" i="70"/>
  <c r="G18" i="70"/>
  <c r="G17" i="70"/>
  <c r="H16" i="70"/>
  <c r="G16" i="70"/>
  <c r="F16" i="70"/>
  <c r="G15" i="70"/>
  <c r="G14" i="70"/>
  <c r="G13" i="70"/>
  <c r="E4" i="70"/>
  <c r="C4" i="70"/>
  <c r="A4" i="70"/>
  <c r="E3" i="70"/>
  <c r="C3" i="70"/>
  <c r="A3" i="70"/>
  <c r="F39" i="53"/>
  <c r="E39" i="53"/>
  <c r="D39" i="53"/>
  <c r="B39" i="53"/>
  <c r="F38" i="53"/>
  <c r="E38" i="53"/>
  <c r="D38" i="53"/>
  <c r="B38" i="53"/>
  <c r="F37" i="53"/>
  <c r="D37" i="53"/>
  <c r="F36" i="53"/>
  <c r="D36" i="53"/>
  <c r="F35" i="53"/>
  <c r="D35" i="53"/>
  <c r="F34" i="53"/>
  <c r="D34" i="53"/>
  <c r="F33" i="53"/>
  <c r="D33" i="53"/>
  <c r="F32" i="53"/>
  <c r="D32" i="53"/>
  <c r="F30" i="53"/>
  <c r="E30" i="53"/>
  <c r="D30" i="53"/>
  <c r="B30" i="53"/>
  <c r="F29" i="53"/>
  <c r="D29" i="53"/>
  <c r="F28" i="53"/>
  <c r="D28" i="53"/>
  <c r="F27" i="53"/>
  <c r="D27" i="53"/>
  <c r="F26" i="53"/>
  <c r="D26" i="53"/>
  <c r="F25" i="53"/>
  <c r="D25" i="53"/>
  <c r="F24" i="53"/>
  <c r="D24" i="53"/>
  <c r="F19" i="53"/>
  <c r="E19" i="53"/>
  <c r="D19" i="53"/>
  <c r="C19" i="53"/>
  <c r="B19" i="53"/>
  <c r="F18" i="53"/>
  <c r="D18" i="53"/>
  <c r="F17" i="53"/>
  <c r="D17" i="53"/>
  <c r="F16" i="53"/>
  <c r="D16" i="53"/>
  <c r="F15" i="53"/>
  <c r="D15" i="53"/>
  <c r="F14" i="53"/>
  <c r="D14" i="53"/>
  <c r="E4" i="53"/>
  <c r="C4" i="53"/>
  <c r="A4" i="53"/>
  <c r="E3" i="53"/>
  <c r="C3" i="53"/>
  <c r="A3" i="53"/>
  <c r="F4" i="82"/>
  <c r="C4" i="82"/>
  <c r="A4" i="82"/>
  <c r="F3" i="82"/>
  <c r="C3" i="82"/>
  <c r="A3" i="82"/>
  <c r="C22" i="57"/>
  <c r="F16" i="57"/>
  <c r="E16" i="57"/>
  <c r="E4" i="57"/>
  <c r="C4" i="57"/>
  <c r="A4" i="57"/>
  <c r="H3" i="57"/>
  <c r="E3" i="57"/>
  <c r="C3" i="57"/>
  <c r="A3" i="57"/>
  <c r="H43" i="84"/>
  <c r="G43" i="84"/>
  <c r="H31" i="84"/>
  <c r="G31" i="84"/>
  <c r="J4" i="84"/>
  <c r="F4" i="84"/>
  <c r="A4" i="84"/>
  <c r="Q3" i="84"/>
  <c r="J3" i="84"/>
  <c r="F3" i="84"/>
  <c r="A3" i="84"/>
  <c r="H16" i="85"/>
  <c r="G16" i="85"/>
  <c r="F16" i="85"/>
  <c r="E16" i="85"/>
  <c r="D16" i="85"/>
  <c r="C16" i="85"/>
  <c r="H15" i="85"/>
  <c r="F15" i="85"/>
  <c r="H14" i="85"/>
  <c r="F14" i="85"/>
  <c r="H13" i="85"/>
  <c r="F13" i="85"/>
  <c r="H4" i="85"/>
  <c r="E4" i="85"/>
  <c r="L3" i="85"/>
  <c r="H3" i="85"/>
  <c r="E3" i="85"/>
  <c r="B101" i="40"/>
  <c r="B98" i="40"/>
  <c r="C93" i="40"/>
  <c r="B93" i="40"/>
  <c r="C91" i="40"/>
  <c r="B91" i="40"/>
  <c r="A91" i="40"/>
  <c r="C90" i="40"/>
  <c r="B90" i="40"/>
  <c r="A90" i="40"/>
  <c r="C87" i="40"/>
  <c r="E86" i="40"/>
  <c r="D86" i="40"/>
  <c r="C86" i="40"/>
  <c r="B86" i="40"/>
  <c r="A86" i="40"/>
  <c r="E85" i="40"/>
  <c r="D85" i="40"/>
  <c r="C85" i="40"/>
  <c r="B85" i="40"/>
  <c r="A85" i="40"/>
  <c r="E84" i="40"/>
  <c r="D84" i="40"/>
  <c r="C84" i="40"/>
  <c r="B84" i="40"/>
  <c r="A84" i="40"/>
  <c r="E80" i="40"/>
  <c r="D80" i="40"/>
  <c r="E79" i="40"/>
  <c r="D79" i="40"/>
  <c r="C79" i="40"/>
  <c r="B79" i="40"/>
  <c r="A79" i="40"/>
  <c r="E78" i="40"/>
  <c r="D78" i="40"/>
  <c r="C78" i="40"/>
  <c r="B78" i="40"/>
  <c r="A78" i="40"/>
  <c r="E77" i="40"/>
  <c r="D77" i="40"/>
  <c r="C77" i="40"/>
  <c r="B77" i="40"/>
  <c r="A77" i="40"/>
  <c r="C74" i="40"/>
  <c r="B74" i="40"/>
  <c r="E73" i="40"/>
  <c r="E72" i="40"/>
  <c r="E71" i="40"/>
  <c r="E70" i="40"/>
  <c r="E69" i="40"/>
  <c r="G65" i="40"/>
  <c r="F65" i="40"/>
  <c r="E65" i="40"/>
  <c r="D65" i="40"/>
  <c r="C65" i="40"/>
  <c r="B65" i="40"/>
  <c r="F64" i="40"/>
  <c r="C64" i="40"/>
  <c r="F63" i="40"/>
  <c r="C63" i="40"/>
  <c r="F62" i="40"/>
  <c r="C62" i="40"/>
  <c r="G57" i="40"/>
  <c r="F57" i="40"/>
  <c r="E57" i="40"/>
  <c r="D57" i="40"/>
  <c r="C57" i="40"/>
  <c r="B57" i="40"/>
  <c r="F56" i="40"/>
  <c r="C56" i="40"/>
  <c r="F55" i="40"/>
  <c r="C55" i="40"/>
  <c r="F54" i="40"/>
  <c r="C54" i="40"/>
  <c r="G49" i="40"/>
  <c r="F49" i="40"/>
  <c r="E49" i="40"/>
  <c r="D49" i="40"/>
  <c r="C49" i="40"/>
  <c r="B49" i="40"/>
  <c r="F48" i="40"/>
  <c r="C48" i="40"/>
  <c r="F47" i="40"/>
  <c r="C47" i="40"/>
  <c r="F46" i="40"/>
  <c r="C46" i="40"/>
  <c r="G41" i="40"/>
  <c r="F41" i="40"/>
  <c r="E41" i="40"/>
  <c r="D41" i="40"/>
  <c r="C41" i="40"/>
  <c r="B41" i="40"/>
  <c r="F40" i="40"/>
  <c r="D40" i="40"/>
  <c r="C40" i="40"/>
  <c r="B40" i="40"/>
  <c r="A40" i="40"/>
  <c r="F39" i="40"/>
  <c r="D39" i="40"/>
  <c r="C39" i="40"/>
  <c r="B39" i="40"/>
  <c r="A39" i="40"/>
  <c r="F38" i="40"/>
  <c r="D38" i="40"/>
  <c r="C38" i="40"/>
  <c r="B38" i="40"/>
  <c r="A38" i="40"/>
  <c r="F37" i="40"/>
  <c r="D37" i="40"/>
  <c r="C37" i="40"/>
  <c r="B37" i="40"/>
  <c r="A37" i="40"/>
  <c r="F36" i="40"/>
  <c r="D36" i="40"/>
  <c r="C36" i="40"/>
  <c r="B36" i="40"/>
  <c r="A36" i="40"/>
  <c r="F35" i="40"/>
  <c r="D35" i="40"/>
  <c r="C35" i="40"/>
  <c r="B35" i="40"/>
  <c r="A35" i="40"/>
  <c r="E28" i="40"/>
  <c r="D28" i="40"/>
  <c r="C28" i="40"/>
  <c r="B28" i="40"/>
  <c r="E27" i="40"/>
  <c r="D27" i="40"/>
  <c r="C27" i="40"/>
  <c r="B27" i="40"/>
  <c r="E26" i="40"/>
  <c r="C26" i="40"/>
  <c r="E25" i="40"/>
  <c r="C25" i="40"/>
  <c r="E24" i="40"/>
  <c r="C24" i="40"/>
  <c r="E23" i="40"/>
  <c r="C23" i="40"/>
  <c r="E21" i="40"/>
  <c r="C21" i="40"/>
  <c r="E17" i="40"/>
  <c r="D17" i="40"/>
  <c r="C17" i="40"/>
  <c r="B17" i="40"/>
  <c r="E16" i="40"/>
  <c r="D16" i="40"/>
  <c r="C16" i="40"/>
  <c r="B16" i="40"/>
  <c r="E15" i="40"/>
  <c r="C15" i="40"/>
  <c r="E14" i="40"/>
  <c r="C14" i="40"/>
  <c r="E13" i="40"/>
  <c r="D13" i="40"/>
  <c r="C13" i="40"/>
  <c r="B13" i="40"/>
  <c r="E12" i="40"/>
  <c r="D12" i="40"/>
  <c r="C12" i="40"/>
  <c r="B12" i="40"/>
  <c r="E10" i="40"/>
  <c r="D10" i="40"/>
  <c r="C10" i="40"/>
  <c r="B10" i="40"/>
  <c r="E4" i="40"/>
  <c r="C4" i="40"/>
  <c r="A4" i="40"/>
  <c r="E3" i="40"/>
  <c r="C3" i="40"/>
  <c r="A3" i="40"/>
  <c r="B133" i="41"/>
  <c r="B129" i="41"/>
  <c r="D122" i="41"/>
  <c r="C122" i="41"/>
  <c r="F114" i="41"/>
  <c r="E114" i="41"/>
  <c r="C114" i="41"/>
  <c r="F113" i="41"/>
  <c r="E113" i="41"/>
  <c r="D113" i="41"/>
  <c r="C113" i="41"/>
  <c r="B113" i="41"/>
  <c r="A113" i="41"/>
  <c r="F112" i="41"/>
  <c r="E112" i="41"/>
  <c r="D112" i="41"/>
  <c r="C112" i="41"/>
  <c r="B112" i="41"/>
  <c r="A112" i="41"/>
  <c r="F111" i="41"/>
  <c r="E111" i="41"/>
  <c r="D111" i="41"/>
  <c r="C111" i="41"/>
  <c r="B111" i="41"/>
  <c r="A111" i="41"/>
  <c r="F110" i="41"/>
  <c r="E110" i="41"/>
  <c r="D110" i="41"/>
  <c r="C110" i="41"/>
  <c r="B110" i="41"/>
  <c r="A110" i="41"/>
  <c r="F109" i="41"/>
  <c r="E109" i="41"/>
  <c r="D109" i="41"/>
  <c r="C109" i="41"/>
  <c r="B109" i="41"/>
  <c r="A109" i="41"/>
  <c r="C104" i="41"/>
  <c r="B98" i="41"/>
  <c r="E94" i="41"/>
  <c r="B86" i="41"/>
  <c r="D76" i="41"/>
  <c r="C76" i="41"/>
  <c r="B76" i="41"/>
  <c r="D75" i="41"/>
  <c r="D74" i="41"/>
  <c r="D73" i="41"/>
  <c r="D70" i="41"/>
  <c r="C70" i="41"/>
  <c r="B70" i="41"/>
  <c r="D69" i="41"/>
  <c r="D68" i="41"/>
  <c r="D67" i="41"/>
  <c r="D64" i="41"/>
  <c r="C64" i="41"/>
  <c r="B64" i="41"/>
  <c r="D63" i="41"/>
  <c r="D62" i="41"/>
  <c r="D61" i="41"/>
  <c r="F58" i="41"/>
  <c r="E58" i="41"/>
  <c r="D58" i="41"/>
  <c r="C58" i="41"/>
  <c r="B58" i="41"/>
  <c r="F57" i="41"/>
  <c r="E57" i="41"/>
  <c r="C57" i="41"/>
  <c r="E56" i="41"/>
  <c r="C56" i="41"/>
  <c r="F55" i="41"/>
  <c r="E55" i="41"/>
  <c r="C55" i="41"/>
  <c r="F54" i="41"/>
  <c r="E54" i="41"/>
  <c r="C54" i="41"/>
  <c r="F53" i="41"/>
  <c r="E53" i="41"/>
  <c r="C53" i="41"/>
  <c r="F52" i="41"/>
  <c r="E52" i="41"/>
  <c r="C52" i="41"/>
  <c r="F48" i="41"/>
  <c r="E48" i="41"/>
  <c r="D48" i="41"/>
  <c r="C48" i="41"/>
  <c r="B48" i="41"/>
  <c r="F47" i="41"/>
  <c r="E47" i="41"/>
  <c r="D47" i="41"/>
  <c r="C47" i="41"/>
  <c r="B47" i="41"/>
  <c r="A47" i="41"/>
  <c r="E46" i="41"/>
  <c r="D46" i="41"/>
  <c r="C46" i="41"/>
  <c r="B46" i="41"/>
  <c r="A46" i="41"/>
  <c r="F45" i="41"/>
  <c r="E45" i="41"/>
  <c r="D45" i="41"/>
  <c r="C45" i="41"/>
  <c r="B45" i="41"/>
  <c r="A45" i="41"/>
  <c r="F44" i="41"/>
  <c r="E44" i="41"/>
  <c r="D44" i="41"/>
  <c r="C44" i="41"/>
  <c r="B44" i="41"/>
  <c r="A44" i="41"/>
  <c r="F43" i="41"/>
  <c r="E43" i="41"/>
  <c r="D43" i="41"/>
  <c r="C43" i="41"/>
  <c r="B43" i="41"/>
  <c r="A43" i="41"/>
  <c r="F42" i="41"/>
  <c r="E42" i="41"/>
  <c r="D42" i="41"/>
  <c r="C42" i="41"/>
  <c r="B42" i="41"/>
  <c r="A42" i="41"/>
  <c r="D38" i="41"/>
  <c r="C38" i="41"/>
  <c r="B38" i="41"/>
  <c r="D37" i="41"/>
  <c r="D36" i="41"/>
  <c r="D35" i="41"/>
  <c r="D34" i="41"/>
  <c r="D33" i="41"/>
  <c r="F28" i="41"/>
  <c r="E28" i="41"/>
  <c r="D28" i="41"/>
  <c r="C28" i="41"/>
  <c r="B28" i="41"/>
  <c r="F27" i="41"/>
  <c r="E27" i="41"/>
  <c r="D27" i="41"/>
  <c r="C27" i="41"/>
  <c r="B27" i="41"/>
  <c r="F26" i="41"/>
  <c r="E26" i="41"/>
  <c r="C26" i="41"/>
  <c r="F25" i="41"/>
  <c r="E25" i="41"/>
  <c r="C25" i="41"/>
  <c r="F24" i="41"/>
  <c r="E24" i="41"/>
  <c r="C24" i="41"/>
  <c r="F23" i="41"/>
  <c r="E23" i="41"/>
  <c r="C23" i="41"/>
  <c r="F21" i="41"/>
  <c r="E21" i="41"/>
  <c r="C21" i="41"/>
  <c r="F17" i="41"/>
  <c r="E17" i="41"/>
  <c r="D17" i="41"/>
  <c r="C17" i="41"/>
  <c r="B17" i="41"/>
  <c r="F16" i="41"/>
  <c r="E16" i="41"/>
  <c r="D16" i="41"/>
  <c r="C16" i="41"/>
  <c r="B16" i="41"/>
  <c r="F15" i="41"/>
  <c r="E15" i="41"/>
  <c r="C15" i="41"/>
  <c r="F14" i="41"/>
  <c r="E14" i="41"/>
  <c r="C14" i="41"/>
  <c r="F13" i="41"/>
  <c r="E13" i="41"/>
  <c r="D13" i="41"/>
  <c r="C13" i="41"/>
  <c r="B13" i="41"/>
  <c r="F12" i="41"/>
  <c r="E12" i="41"/>
  <c r="D12" i="41"/>
  <c r="C12" i="41"/>
  <c r="B12" i="41"/>
  <c r="F10" i="41"/>
  <c r="E10" i="41"/>
  <c r="D10" i="41"/>
  <c r="C10" i="41"/>
  <c r="B10" i="41"/>
  <c r="E4" i="41"/>
  <c r="C4" i="41"/>
  <c r="A4" i="41"/>
  <c r="E3" i="41"/>
  <c r="C3" i="41"/>
  <c r="A3" i="41"/>
</calcChain>
</file>

<file path=xl/comments1.xml><?xml version="1.0" encoding="utf-8"?>
<comments xmlns="http://schemas.openxmlformats.org/spreadsheetml/2006/main">
  <authors>
    <author>Windows 用户</author>
  </authors>
  <commentList>
    <comment ref="D11" authorId="0" shapeId="0">
      <text>
        <r>
          <rPr>
            <b/>
            <sz val="9"/>
            <rFont val="宋体"/>
            <family val="3"/>
            <charset val="134"/>
          </rPr>
          <t>技术部:</t>
        </r>
        <r>
          <rPr>
            <sz val="9"/>
            <rFont val="宋体"/>
            <family val="3"/>
            <charset val="134"/>
          </rPr>
          <t xml:space="preserve">
原实际利率（若不存在重大融资成分，通常可能是零），或经信用调整的实际利率（仅当初始确认时就认为已经发生减值时才适用）</t>
        </r>
      </text>
    </comment>
  </commentList>
</comments>
</file>

<file path=xl/sharedStrings.xml><?xml version="1.0" encoding="utf-8"?>
<sst xmlns="http://schemas.openxmlformats.org/spreadsheetml/2006/main" count="835" uniqueCount="490">
  <si>
    <t>底稿开列时，可先在以下单元格填写有关内容，以便其他底稿引用有关数据：</t>
  </si>
  <si>
    <t>被审计单位名称：</t>
  </si>
  <si>
    <t>序号</t>
  </si>
  <si>
    <t>内容</t>
  </si>
  <si>
    <t>索引号</t>
  </si>
  <si>
    <t>截止日：202X年12月31日</t>
  </si>
  <si>
    <t>D2-6</t>
  </si>
  <si>
    <t>编制人：</t>
  </si>
  <si>
    <t>D2-7</t>
  </si>
  <si>
    <t>编制日期：</t>
  </si>
  <si>
    <t>坏账准备转回、核销检查表</t>
  </si>
  <si>
    <t>D2-8</t>
  </si>
  <si>
    <t>复核人：</t>
  </si>
  <si>
    <t>坏账准备计提会计政策检查</t>
  </si>
  <si>
    <t>D2-9</t>
  </si>
  <si>
    <t>复核日期：</t>
  </si>
  <si>
    <t>坏账准备测算表</t>
  </si>
  <si>
    <t>D2-10</t>
  </si>
  <si>
    <t>预期信用损失的计量测试</t>
  </si>
  <si>
    <t>D2-11</t>
  </si>
  <si>
    <t>D2-12</t>
  </si>
  <si>
    <t>应收账款业务模式分析</t>
  </si>
  <si>
    <t>D2-13</t>
  </si>
  <si>
    <r>
      <rPr>
        <b/>
        <sz val="10"/>
        <rFont val="宋体"/>
        <family val="3"/>
        <charset val="134"/>
      </rPr>
      <t>致同会计师事务所</t>
    </r>
  </si>
  <si>
    <r>
      <rPr>
        <b/>
        <sz val="12"/>
        <rFont val="宋体"/>
        <family val="3"/>
        <charset val="134"/>
      </rPr>
      <t>附注披露信息（上市公司）</t>
    </r>
  </si>
  <si>
    <r>
      <rPr>
        <sz val="10"/>
        <rFont val="宋体"/>
        <family val="3"/>
        <charset val="134"/>
      </rPr>
      <t>索引：D2</t>
    </r>
    <r>
      <rPr>
        <sz val="10"/>
        <rFont val="Arial Narrow"/>
        <family val="2"/>
      </rPr>
      <t>-1</t>
    </r>
  </si>
  <si>
    <r>
      <rPr>
        <sz val="10"/>
        <rFont val="宋体"/>
        <family val="3"/>
        <charset val="134"/>
      </rPr>
      <t>页次：</t>
    </r>
  </si>
  <si>
    <r>
      <rPr>
        <sz val="12"/>
        <rFont val="仿宋_GB2312"/>
        <family val="3"/>
        <charset val="134"/>
      </rPr>
      <t>附注披露信息：</t>
    </r>
  </si>
  <si>
    <r>
      <rPr>
        <b/>
        <sz val="12"/>
        <rFont val="仿宋_GB2312"/>
        <family val="3"/>
        <charset val="134"/>
      </rPr>
      <t>应收账款</t>
    </r>
    <r>
      <rPr>
        <b/>
        <sz val="12"/>
        <color rgb="FF0000FF"/>
        <rFont val="仿宋_GB2312"/>
        <family val="3"/>
        <charset val="134"/>
      </rPr>
      <t>（以下不适用的，请删除）</t>
    </r>
  </si>
  <si>
    <r>
      <rPr>
        <b/>
        <sz val="12"/>
        <rFont val="仿宋_GB2312"/>
        <family val="3"/>
        <charset val="134"/>
      </rPr>
      <t>（</t>
    </r>
    <r>
      <rPr>
        <b/>
        <sz val="12"/>
        <rFont val="Arial Narrow"/>
        <family val="2"/>
      </rPr>
      <t>1</t>
    </r>
    <r>
      <rPr>
        <b/>
        <sz val="12"/>
        <rFont val="仿宋_GB2312"/>
        <family val="3"/>
        <charset val="134"/>
      </rPr>
      <t>）应收账款按种类披露</t>
    </r>
  </si>
  <si>
    <r>
      <rPr>
        <b/>
        <sz val="12"/>
        <rFont val="仿宋_GB2312"/>
        <family val="3"/>
        <charset val="134"/>
      </rPr>
      <t>种</t>
    </r>
    <r>
      <rPr>
        <b/>
        <sz val="12"/>
        <rFont val="仿宋_GB2312"/>
        <family val="3"/>
        <charset val="134"/>
      </rPr>
      <t>类</t>
    </r>
  </si>
  <si>
    <r>
      <rPr>
        <b/>
        <sz val="12"/>
        <rFont val="仿宋_GB2312"/>
        <family val="3"/>
        <charset val="134"/>
      </rPr>
      <t>期末数</t>
    </r>
  </si>
  <si>
    <r>
      <rPr>
        <b/>
        <sz val="12"/>
        <rFont val="仿宋_GB2312"/>
        <family val="3"/>
        <charset val="134"/>
      </rPr>
      <t>金</t>
    </r>
    <r>
      <rPr>
        <b/>
        <sz val="12"/>
        <rFont val="Arial Narrow"/>
        <family val="2"/>
      </rPr>
      <t xml:space="preserve"> </t>
    </r>
    <r>
      <rPr>
        <b/>
        <sz val="12"/>
        <rFont val="仿宋_GB2312"/>
        <family val="3"/>
        <charset val="134"/>
      </rPr>
      <t>额</t>
    </r>
  </si>
  <si>
    <r>
      <rPr>
        <b/>
        <sz val="12"/>
        <rFont val="仿宋_GB2312"/>
        <family val="3"/>
        <charset val="134"/>
      </rPr>
      <t>比例</t>
    </r>
    <r>
      <rPr>
        <b/>
        <sz val="12"/>
        <rFont val="Arial Narrow"/>
        <family val="2"/>
      </rPr>
      <t>%</t>
    </r>
  </si>
  <si>
    <r>
      <rPr>
        <b/>
        <sz val="12"/>
        <rFont val="仿宋_GB2312"/>
        <family val="3"/>
        <charset val="134"/>
      </rPr>
      <t>坏账准备</t>
    </r>
  </si>
  <si>
    <r>
      <rPr>
        <b/>
        <sz val="12"/>
        <rFont val="仿宋_GB2312"/>
        <family val="3"/>
        <charset val="134"/>
      </rPr>
      <t>计提比例</t>
    </r>
    <r>
      <rPr>
        <b/>
        <sz val="12"/>
        <rFont val="Arial Narrow"/>
        <family val="2"/>
      </rPr>
      <t>%</t>
    </r>
  </si>
  <si>
    <r>
      <rPr>
        <b/>
        <sz val="12"/>
        <rFont val="仿宋_GB2312"/>
        <family val="3"/>
        <charset val="134"/>
      </rPr>
      <t>净额</t>
    </r>
  </si>
  <si>
    <t>单项计提坏账准备的应收账款</t>
  </si>
  <si>
    <r>
      <rPr>
        <sz val="12"/>
        <rFont val="仿宋_GB2312"/>
        <family val="3"/>
        <charset val="134"/>
      </rPr>
      <t>按组合计提坏账准备的应收账款</t>
    </r>
  </si>
  <si>
    <t>其中：账龄组合</t>
  </si>
  <si>
    <t xml:space="preserve">      客户类型组合</t>
  </si>
  <si>
    <t xml:space="preserve">      产品类型组合</t>
  </si>
  <si>
    <t xml:space="preserve">      ……组合</t>
  </si>
  <si>
    <r>
      <rPr>
        <sz val="12"/>
        <rFont val="仿宋_GB2312"/>
        <family val="3"/>
        <charset val="134"/>
      </rPr>
      <t>组合小计</t>
    </r>
  </si>
  <si>
    <r>
      <rPr>
        <b/>
        <sz val="12"/>
        <rFont val="仿宋_GB2312"/>
        <family val="3"/>
        <charset val="134"/>
      </rPr>
      <t>合</t>
    </r>
    <r>
      <rPr>
        <b/>
        <sz val="12"/>
        <rFont val="Arial Narrow"/>
        <family val="2"/>
      </rPr>
      <t xml:space="preserve">  </t>
    </r>
    <r>
      <rPr>
        <b/>
        <sz val="12"/>
        <rFont val="仿宋_GB2312"/>
        <family val="3"/>
        <charset val="134"/>
      </rPr>
      <t>计</t>
    </r>
  </si>
  <si>
    <r>
      <rPr>
        <sz val="12"/>
        <rFont val="仿宋_GB2312"/>
        <family val="3"/>
        <charset val="134"/>
      </rPr>
      <t>应收账款按种类披露（续）</t>
    </r>
  </si>
  <si>
    <r>
      <rPr>
        <b/>
        <sz val="12"/>
        <rFont val="仿宋_GB2312"/>
        <family val="3"/>
        <charset val="134"/>
      </rPr>
      <t>期初数</t>
    </r>
  </si>
  <si>
    <r>
      <rPr>
        <sz val="12"/>
        <color rgb="FF0000FF"/>
        <rFont val="仿宋_GB2312"/>
        <family val="3"/>
        <charset val="134"/>
      </rPr>
      <t>注：填写组合名称。账面余额中的比例按期末该类应收账款除以应收账款合计数计算，坏账准备比例按该类应收账款期末已计提坏账准备除以期末该类应收账款余额计算。</t>
    </r>
  </si>
  <si>
    <r>
      <rPr>
        <sz val="12"/>
        <rFont val="仿宋_GB2312"/>
        <family val="3"/>
        <charset val="134"/>
      </rPr>
      <t>说明：</t>
    </r>
  </si>
  <si>
    <t>①期末单项计提坏账准备的应收账款</t>
  </si>
  <si>
    <r>
      <rPr>
        <b/>
        <sz val="12"/>
        <rFont val="仿宋_GB2312"/>
        <family val="3"/>
        <charset val="134"/>
      </rPr>
      <t>应收账款（按单位）</t>
    </r>
  </si>
  <si>
    <r>
      <rPr>
        <b/>
        <sz val="12"/>
        <rFont val="仿宋_GB2312"/>
        <family val="3"/>
        <charset val="134"/>
      </rPr>
      <t>账面余额</t>
    </r>
  </si>
  <si>
    <r>
      <rPr>
        <b/>
        <sz val="12"/>
        <rFont val="仿宋_GB2312"/>
        <family val="3"/>
        <charset val="134"/>
      </rPr>
      <t>计提理由</t>
    </r>
  </si>
  <si>
    <t>②按账龄组合计提坏账准备的应收账款：（不适用的删除）</t>
  </si>
  <si>
    <r>
      <rPr>
        <b/>
        <sz val="12"/>
        <rFont val="仿宋_GB2312"/>
        <family val="3"/>
        <charset val="134"/>
      </rPr>
      <t>账</t>
    </r>
    <r>
      <rPr>
        <b/>
        <sz val="12"/>
        <rFont val="Arial Narrow"/>
        <family val="2"/>
      </rPr>
      <t xml:space="preserve">  </t>
    </r>
    <r>
      <rPr>
        <b/>
        <sz val="12"/>
        <rFont val="仿宋_GB2312"/>
        <family val="3"/>
        <charset val="134"/>
      </rPr>
      <t>龄</t>
    </r>
  </si>
  <si>
    <r>
      <rPr>
        <sz val="12"/>
        <color rgb="FF0000FF"/>
        <rFont val="仿宋_GB2312"/>
        <family val="3"/>
        <charset val="134"/>
      </rPr>
      <t>（</t>
    </r>
    <r>
      <rPr>
        <sz val="12"/>
        <color indexed="12"/>
        <rFont val="仿宋_GB2312"/>
        <family val="3"/>
        <charset val="134"/>
      </rPr>
      <t>可根据企业具体会计政策，相应修改账龄组合的划分）</t>
    </r>
  </si>
  <si>
    <t>③组合中，采用客户类型组合计提坏账准备的应收账款：（不适用的删除）</t>
  </si>
  <si>
    <r>
      <rPr>
        <b/>
        <sz val="12"/>
        <rFont val="仿宋_GB2312"/>
        <family val="3"/>
        <charset val="134"/>
      </rPr>
      <t>组合名称</t>
    </r>
  </si>
  <si>
    <t>计提比例</t>
  </si>
  <si>
    <r>
      <rPr>
        <sz val="12"/>
        <color rgb="FF0000FF"/>
        <rFont val="仿宋_GB2312"/>
        <family val="3"/>
        <charset val="134"/>
      </rPr>
      <t>组合</t>
    </r>
    <r>
      <rPr>
        <sz val="12"/>
        <color indexed="12"/>
        <rFont val="Arial Narrow"/>
        <family val="2"/>
      </rPr>
      <t>1</t>
    </r>
    <r>
      <rPr>
        <sz val="12"/>
        <color indexed="12"/>
        <rFont val="仿宋_GB2312"/>
        <family val="3"/>
        <charset val="134"/>
      </rPr>
      <t>（注明具体组合名称）</t>
    </r>
  </si>
  <si>
    <r>
      <rPr>
        <sz val="12"/>
        <color rgb="FF0000FF"/>
        <rFont val="仿宋_GB2312"/>
        <family val="3"/>
        <charset val="134"/>
      </rPr>
      <t>组合</t>
    </r>
    <r>
      <rPr>
        <sz val="12"/>
        <color indexed="12"/>
        <rFont val="Arial Narrow"/>
        <family val="2"/>
      </rPr>
      <t>2</t>
    </r>
    <r>
      <rPr>
        <sz val="12"/>
        <color indexed="12"/>
        <rFont val="仿宋_GB2312"/>
        <family val="3"/>
        <charset val="134"/>
      </rPr>
      <t>（注明具体组合名称）</t>
    </r>
  </si>
  <si>
    <t>……</t>
  </si>
  <si>
    <t>④组合中，采用产品类型组合计提坏账准备的应收账款：（不适用的删除）</t>
  </si>
  <si>
    <t>⑤组合中，采用……组合计提坏账准备的应收账款：（不适用的删除）</t>
  </si>
  <si>
    <r>
      <rPr>
        <sz val="12"/>
        <color rgb="FF0000FF"/>
        <rFont val="仿宋_GB2312"/>
        <family val="3"/>
        <charset val="134"/>
      </rPr>
      <t>注：填写具体组合名称。</t>
    </r>
  </si>
  <si>
    <r>
      <rPr>
        <b/>
        <sz val="12"/>
        <rFont val="仿宋_GB2312"/>
        <family val="3"/>
        <charset val="134"/>
      </rPr>
      <t>（</t>
    </r>
    <r>
      <rPr>
        <b/>
        <sz val="12"/>
        <rFont val="Arial Narrow"/>
        <family val="2"/>
      </rPr>
      <t>2</t>
    </r>
    <r>
      <rPr>
        <b/>
        <sz val="12"/>
        <rFont val="仿宋_GB2312"/>
        <family val="3"/>
        <charset val="134"/>
      </rPr>
      <t>）本期计提、收回或转回的坏账准备情况</t>
    </r>
  </si>
  <si>
    <t>坏账准备金额</t>
  </si>
  <si>
    <t>期初数</t>
  </si>
  <si>
    <t>本期计提</t>
  </si>
  <si>
    <t>本期收回或转回</t>
  </si>
  <si>
    <t>本期核销</t>
  </si>
  <si>
    <r>
      <rPr>
        <sz val="12"/>
        <color rgb="FFFF0000"/>
        <rFont val="Arial Narrow"/>
        <family val="2"/>
      </rPr>
      <t>[</t>
    </r>
    <r>
      <rPr>
        <sz val="12"/>
        <color rgb="FFFF0000"/>
        <rFont val="仿宋_GB2312"/>
        <family val="3"/>
        <charset val="134"/>
      </rPr>
      <t>本期转销</t>
    </r>
    <r>
      <rPr>
        <sz val="12"/>
        <color rgb="FFFF0000"/>
        <rFont val="Arial Narrow"/>
        <family val="2"/>
      </rPr>
      <t>]</t>
    </r>
  </si>
  <si>
    <r>
      <rPr>
        <sz val="12"/>
        <color rgb="FFFF0000"/>
        <rFont val="Arial Narrow"/>
        <family val="2"/>
      </rPr>
      <t>[</t>
    </r>
    <r>
      <rPr>
        <sz val="12"/>
        <color rgb="FFFF0000"/>
        <rFont val="仿宋_GB2312"/>
        <family val="3"/>
        <charset val="134"/>
      </rPr>
      <t>其他</t>
    </r>
    <r>
      <rPr>
        <sz val="12"/>
        <color rgb="FFFF0000"/>
        <rFont val="Arial Narrow"/>
        <family val="2"/>
      </rPr>
      <t>]</t>
    </r>
  </si>
  <si>
    <t>期末数</t>
  </si>
  <si>
    <r>
      <rPr>
        <sz val="12"/>
        <rFont val="仿宋_GB2312"/>
        <family val="3"/>
        <charset val="134"/>
      </rPr>
      <t>其中，本期坏账准备转回或收回金额重要的：</t>
    </r>
  </si>
  <si>
    <r>
      <rPr>
        <b/>
        <sz val="12"/>
        <rFont val="仿宋_GB2312"/>
        <family val="3"/>
        <charset val="134"/>
      </rPr>
      <t>单位名称</t>
    </r>
  </si>
  <si>
    <r>
      <rPr>
        <b/>
        <sz val="12"/>
        <rFont val="仿宋_GB2312"/>
        <family val="3"/>
        <charset val="134"/>
      </rPr>
      <t>转回原因</t>
    </r>
  </si>
  <si>
    <r>
      <rPr>
        <b/>
        <sz val="12"/>
        <rFont val="仿宋_GB2312"/>
        <family val="3"/>
        <charset val="134"/>
      </rPr>
      <t>收回方式</t>
    </r>
  </si>
  <si>
    <r>
      <rPr>
        <b/>
        <sz val="12"/>
        <rFont val="仿宋_GB2312"/>
        <family val="3"/>
        <charset val="134"/>
      </rPr>
      <t>原确定坏账准备的依据</t>
    </r>
  </si>
  <si>
    <r>
      <rPr>
        <b/>
        <sz val="12"/>
        <rFont val="仿宋_GB2312"/>
        <family val="3"/>
        <charset val="134"/>
      </rPr>
      <t>转回或收回金额</t>
    </r>
  </si>
  <si>
    <r>
      <rPr>
        <sz val="12"/>
        <color rgb="FF0000FF"/>
        <rFont val="仿宋_GB2312"/>
        <family val="3"/>
        <charset val="134"/>
      </rPr>
      <t>注：本期坏账准备收回或转回金额重要的，应披露转回原因、收回方式、确定原坏账准备计提比例的依据及其合理性；</t>
    </r>
  </si>
  <si>
    <r>
      <rPr>
        <b/>
        <sz val="12"/>
        <rFont val="仿宋_GB2312"/>
        <family val="3"/>
        <charset val="134"/>
      </rPr>
      <t>（</t>
    </r>
    <r>
      <rPr>
        <b/>
        <sz val="12"/>
        <rFont val="Arial Narrow"/>
        <family val="2"/>
      </rPr>
      <t>3</t>
    </r>
    <r>
      <rPr>
        <b/>
        <sz val="12"/>
        <rFont val="仿宋_GB2312"/>
        <family val="3"/>
        <charset val="134"/>
      </rPr>
      <t>）本期实际核销的应收账款情况</t>
    </r>
  </si>
  <si>
    <r>
      <rPr>
        <b/>
        <sz val="12"/>
        <rFont val="仿宋_GB2312"/>
        <family val="3"/>
        <charset val="134"/>
      </rPr>
      <t>项目</t>
    </r>
  </si>
  <si>
    <r>
      <rPr>
        <b/>
        <sz val="12"/>
        <rFont val="仿宋_GB2312"/>
        <family val="3"/>
        <charset val="134"/>
      </rPr>
      <t>核销金额</t>
    </r>
  </si>
  <si>
    <r>
      <rPr>
        <sz val="12"/>
        <rFont val="仿宋_GB2312"/>
        <family val="3"/>
        <charset val="134"/>
      </rPr>
      <t>实际核销的应收账款</t>
    </r>
  </si>
  <si>
    <r>
      <rPr>
        <sz val="12"/>
        <rFont val="仿宋_GB2312"/>
        <family val="3"/>
        <charset val="134"/>
      </rPr>
      <t>其中，重要的应收账款核销情况（逐项披露）：</t>
    </r>
  </si>
  <si>
    <r>
      <rPr>
        <b/>
        <sz val="12"/>
        <rFont val="仿宋_GB2312"/>
        <family val="3"/>
        <charset val="134"/>
      </rPr>
      <t>应收账款的性质</t>
    </r>
  </si>
  <si>
    <r>
      <rPr>
        <b/>
        <sz val="12"/>
        <rFont val="仿宋_GB2312"/>
        <family val="3"/>
        <charset val="134"/>
      </rPr>
      <t>核销原因</t>
    </r>
  </si>
  <si>
    <r>
      <rPr>
        <b/>
        <sz val="12"/>
        <rFont val="仿宋_GB2312"/>
        <family val="3"/>
        <charset val="134"/>
      </rPr>
      <t>履行的核销程序</t>
    </r>
  </si>
  <si>
    <r>
      <rPr>
        <b/>
        <sz val="12"/>
        <rFont val="仿宋_GB2312"/>
        <family val="3"/>
        <charset val="134"/>
      </rPr>
      <t>是否由关联交易产生</t>
    </r>
  </si>
  <si>
    <r>
      <rPr>
        <sz val="12"/>
        <color rgb="FF0000FF"/>
        <rFont val="仿宋_GB2312"/>
        <family val="3"/>
        <charset val="134"/>
      </rPr>
      <t>（对于其中重要的应收账款，应逐项披露款项性质、核销原因、履行的核销程序及核销金额。实际核销的款项由关联交易产生的，应单独披露；）</t>
    </r>
  </si>
  <si>
    <r>
      <rPr>
        <sz val="12"/>
        <color rgb="FF000000"/>
        <rFont val="仿宋_GB2312"/>
        <family val="3"/>
        <charset val="134"/>
      </rPr>
      <t>说明：</t>
    </r>
  </si>
  <si>
    <r>
      <rPr>
        <b/>
        <sz val="12"/>
        <rFont val="仿宋_GB2312"/>
        <family val="3"/>
        <charset val="134"/>
      </rPr>
      <t>（</t>
    </r>
    <r>
      <rPr>
        <b/>
        <sz val="12"/>
        <rFont val="Arial Narrow"/>
        <family val="2"/>
      </rPr>
      <t>4</t>
    </r>
    <r>
      <rPr>
        <b/>
        <sz val="12"/>
        <rFont val="仿宋_GB2312"/>
        <family val="3"/>
        <charset val="134"/>
      </rPr>
      <t>）按欠款方归集的应收账款期末余额前五名单位情况</t>
    </r>
  </si>
  <si>
    <r>
      <rPr>
        <b/>
        <sz val="12"/>
        <rFont val="仿宋_GB2312"/>
        <family val="3"/>
        <charset val="134"/>
      </rPr>
      <t>款项性质</t>
    </r>
  </si>
  <si>
    <r>
      <rPr>
        <b/>
        <sz val="12"/>
        <rFont val="仿宋_GB2312"/>
        <family val="3"/>
        <charset val="134"/>
      </rPr>
      <t>应收账款期末余额</t>
    </r>
  </si>
  <si>
    <r>
      <rPr>
        <b/>
        <sz val="12"/>
        <rFont val="仿宋_GB2312"/>
        <family val="3"/>
        <charset val="134"/>
      </rPr>
      <t>账龄</t>
    </r>
  </si>
  <si>
    <r>
      <rPr>
        <b/>
        <sz val="12"/>
        <rFont val="仿宋_GB2312"/>
        <family val="3"/>
        <charset val="134"/>
      </rPr>
      <t>占应收账款期末余额合计数的比例</t>
    </r>
    <r>
      <rPr>
        <b/>
        <sz val="12"/>
        <rFont val="Arial Narrow"/>
        <family val="2"/>
      </rPr>
      <t>(%)</t>
    </r>
  </si>
  <si>
    <r>
      <rPr>
        <b/>
        <sz val="12"/>
        <rFont val="仿宋_GB2312"/>
        <family val="3"/>
        <charset val="134"/>
      </rPr>
      <t>坏账准备期末余额</t>
    </r>
  </si>
  <si>
    <r>
      <rPr>
        <sz val="12"/>
        <color rgb="FF0000FF"/>
        <rFont val="仿宋_GB2312"/>
        <family val="3"/>
        <charset val="134"/>
      </rPr>
      <t>【按欠款方归集的期末余额前五名的其他应收款，应分别披露欠款方名称、期末余额及占其他应收款期末余额合计数的比例、款项的性质、对应的账龄、坏账准备期末余额；】</t>
    </r>
  </si>
  <si>
    <r>
      <rPr>
        <b/>
        <sz val="12"/>
        <rFont val="仿宋_GB2312"/>
        <family val="3"/>
        <charset val="134"/>
      </rPr>
      <t>（</t>
    </r>
    <r>
      <rPr>
        <b/>
        <sz val="12"/>
        <rFont val="Arial Narrow"/>
        <family val="2"/>
      </rPr>
      <t>5</t>
    </r>
    <r>
      <rPr>
        <b/>
        <sz val="12"/>
        <rFont val="仿宋_GB2312"/>
        <family val="3"/>
        <charset val="134"/>
      </rPr>
      <t>）因金融资产转移而终止确认的其他应收款情况</t>
    </r>
  </si>
  <si>
    <r>
      <rPr>
        <sz val="12"/>
        <color rgb="FF0000FF"/>
        <rFont val="仿宋_GB2312"/>
        <family val="3"/>
        <charset val="134"/>
      </rPr>
      <t>【因金融资产转移而终止确认的应收款项，应列示金融资产转移的方式、终止确认的应收款项金额，及与终止确认相关的利得或损失；】</t>
    </r>
  </si>
  <si>
    <r>
      <rPr>
        <b/>
        <sz val="12"/>
        <rFont val="仿宋_GB2312"/>
        <family val="3"/>
        <charset val="134"/>
      </rPr>
      <t>项</t>
    </r>
    <r>
      <rPr>
        <b/>
        <sz val="12"/>
        <rFont val="Arial Narrow"/>
        <family val="2"/>
      </rPr>
      <t xml:space="preserve">  </t>
    </r>
    <r>
      <rPr>
        <b/>
        <sz val="12"/>
        <rFont val="仿宋_GB2312"/>
        <family val="3"/>
        <charset val="134"/>
      </rPr>
      <t>目</t>
    </r>
  </si>
  <si>
    <r>
      <rPr>
        <b/>
        <sz val="12"/>
        <rFont val="仿宋_GB2312"/>
        <family val="3"/>
        <charset val="134"/>
      </rPr>
      <t>转移方式</t>
    </r>
  </si>
  <si>
    <r>
      <rPr>
        <b/>
        <sz val="12"/>
        <rFont val="仿宋_GB2312"/>
        <family val="3"/>
        <charset val="134"/>
      </rPr>
      <t>终止确认金额</t>
    </r>
  </si>
  <si>
    <r>
      <rPr>
        <b/>
        <sz val="12"/>
        <rFont val="仿宋_GB2312"/>
        <family val="3"/>
        <charset val="134"/>
      </rPr>
      <t>与终止确认相关的利得或损失</t>
    </r>
  </si>
  <si>
    <r>
      <rPr>
        <b/>
        <sz val="12"/>
        <rFont val="仿宋_GB2312"/>
        <family val="3"/>
        <charset val="134"/>
      </rPr>
      <t>（</t>
    </r>
    <r>
      <rPr>
        <b/>
        <sz val="12"/>
        <rFont val="Arial Narrow"/>
        <family val="2"/>
      </rPr>
      <t>6</t>
    </r>
    <r>
      <rPr>
        <b/>
        <sz val="12"/>
        <rFont val="仿宋_GB2312"/>
        <family val="3"/>
        <charset val="134"/>
      </rPr>
      <t>）转移其他应收款且继续涉入形成的资产、负债的金额</t>
    </r>
  </si>
  <si>
    <r>
      <rPr>
        <sz val="12"/>
        <color rgb="FF0000FF"/>
        <rFont val="仿宋_GB2312"/>
        <family val="3"/>
        <charset val="134"/>
      </rPr>
      <t>【转移应收款项且继续涉入的，应披露资产转移方式、分项列示继续涉入形成的资产、负债的金额。】</t>
    </r>
  </si>
  <si>
    <r>
      <rPr>
        <sz val="12"/>
        <rFont val="仿宋_GB2312"/>
        <family val="3"/>
        <charset val="134"/>
      </rPr>
      <t>资产：</t>
    </r>
  </si>
  <si>
    <r>
      <rPr>
        <b/>
        <sz val="12"/>
        <rFont val="仿宋_GB2312"/>
        <family val="3"/>
        <charset val="134"/>
      </rPr>
      <t>资产小计</t>
    </r>
  </si>
  <si>
    <r>
      <rPr>
        <sz val="12"/>
        <rFont val="仿宋_GB2312"/>
        <family val="3"/>
        <charset val="134"/>
      </rPr>
      <t>负债：</t>
    </r>
  </si>
  <si>
    <r>
      <rPr>
        <b/>
        <sz val="12"/>
        <rFont val="仿宋_GB2312"/>
        <family val="3"/>
        <charset val="134"/>
      </rPr>
      <t>负债小计</t>
    </r>
  </si>
  <si>
    <r>
      <rPr>
        <sz val="12"/>
        <rFont val="仿宋_GB2312"/>
        <family val="3"/>
        <charset val="134"/>
      </rPr>
      <t>说明：</t>
    </r>
    <r>
      <rPr>
        <sz val="12"/>
        <color indexed="12"/>
        <rFont val="仿宋_GB2312"/>
        <family val="3"/>
        <charset val="134"/>
      </rPr>
      <t>（资产转移方式；未全部终止确认的被转移金融资产与相关负债之间的关系，已终止确认的金融资产继续涉入的性质及相关风险的信息。）</t>
    </r>
  </si>
  <si>
    <t>附注披露信息（国企）</t>
  </si>
  <si>
    <r>
      <rPr>
        <sz val="10"/>
        <rFont val="宋体"/>
        <family val="3"/>
        <charset val="134"/>
      </rPr>
      <t>索引：</t>
    </r>
    <r>
      <rPr>
        <sz val="10"/>
        <rFont val="Arial Narrow"/>
        <family val="2"/>
      </rPr>
      <t>D2-1</t>
    </r>
  </si>
  <si>
    <r>
      <rPr>
        <sz val="10"/>
        <rFont val="宋体"/>
        <family val="3"/>
        <charset val="134"/>
      </rPr>
      <t>页次：</t>
    </r>
    <r>
      <rPr>
        <sz val="10"/>
        <rFont val="Arial Narrow"/>
        <family val="2"/>
      </rPr>
      <t>1</t>
    </r>
  </si>
  <si>
    <r>
      <rPr>
        <sz val="12"/>
        <rFont val="仿宋_GB2312"/>
        <family val="3"/>
        <charset val="134"/>
      </rPr>
      <t>应收账款</t>
    </r>
  </si>
  <si>
    <r>
      <rPr>
        <sz val="12"/>
        <rFont val="仿宋_GB2312"/>
        <family val="3"/>
        <charset val="134"/>
      </rPr>
      <t>应收账款按种类披露</t>
    </r>
  </si>
  <si>
    <r>
      <rPr>
        <b/>
        <sz val="12"/>
        <rFont val="仿宋_GB2312"/>
        <family val="3"/>
        <charset val="134"/>
      </rPr>
      <t>种</t>
    </r>
    <r>
      <rPr>
        <b/>
        <sz val="12"/>
        <rFont val="Arial Narrow"/>
        <family val="2"/>
      </rPr>
      <t xml:space="preserve">  </t>
    </r>
    <r>
      <rPr>
        <b/>
        <sz val="12"/>
        <rFont val="仿宋_GB2312"/>
        <family val="3"/>
        <charset val="134"/>
      </rPr>
      <t>类</t>
    </r>
  </si>
  <si>
    <r>
      <rPr>
        <b/>
        <sz val="12"/>
        <rFont val="仿宋_GB2312"/>
        <family val="3"/>
        <charset val="134"/>
      </rPr>
      <t>年初数</t>
    </r>
  </si>
  <si>
    <r>
      <rPr>
        <sz val="12"/>
        <color rgb="FF0000FF"/>
        <rFont val="仿宋_GB2312"/>
        <family val="3"/>
        <charset val="134"/>
      </rPr>
      <t>（注：①填写组合名称。②账面余额中的比例按年末该类应收账款除以应收账款余额合计数计算，坏账准备比例按该类应收账款年末已计提坏账准备除以年末该类应收账款余额计算。）</t>
    </r>
  </si>
  <si>
    <r>
      <rPr>
        <sz val="12"/>
        <rFont val="仿宋_GB2312"/>
        <family val="3"/>
        <charset val="134"/>
      </rPr>
      <t>（</t>
    </r>
    <r>
      <rPr>
        <sz val="12"/>
        <rFont val="Arial Narrow"/>
        <family val="2"/>
      </rPr>
      <t>1</t>
    </r>
    <r>
      <rPr>
        <sz val="12"/>
        <rFont val="仿宋_GB2312"/>
        <family val="3"/>
        <charset val="134"/>
      </rPr>
      <t>）按组合计提坏账准备的应收账款</t>
    </r>
  </si>
  <si>
    <r>
      <rPr>
        <sz val="12"/>
        <rFont val="Arial Narrow"/>
        <family val="2"/>
      </rPr>
      <t>A</t>
    </r>
    <r>
      <rPr>
        <sz val="12"/>
        <rFont val="仿宋_GB2312"/>
        <family val="3"/>
        <charset val="134"/>
      </rPr>
      <t>、采用账龄分析法计提坏账准备的应收账款</t>
    </r>
  </si>
  <si>
    <r>
      <rPr>
        <b/>
        <sz val="12"/>
        <rFont val="仿宋_GB2312"/>
        <family val="3"/>
        <charset val="134"/>
      </rPr>
      <t>金额</t>
    </r>
  </si>
  <si>
    <r>
      <rPr>
        <b/>
        <sz val="12"/>
        <rFont val="仿宋_GB2312"/>
        <family val="3"/>
        <charset val="134"/>
      </rPr>
      <t>比例</t>
    </r>
    <r>
      <rPr>
        <b/>
        <sz val="12"/>
        <rFont val="Arial Narrow"/>
        <family val="2"/>
      </rPr>
      <t>(%)</t>
    </r>
  </si>
  <si>
    <r>
      <rPr>
        <sz val="12"/>
        <rFont val="Arial Narrow"/>
        <family val="2"/>
      </rPr>
      <t>B</t>
    </r>
    <r>
      <rPr>
        <sz val="12"/>
        <rFont val="仿宋_GB2312"/>
        <family val="3"/>
        <charset val="134"/>
      </rPr>
      <t>、采用客户类型组合计提坏账准备的应收账款</t>
    </r>
  </si>
  <si>
    <r>
      <rPr>
        <b/>
        <sz val="12"/>
        <rFont val="仿宋_GB2312"/>
        <family val="3"/>
        <charset val="134"/>
      </rPr>
      <t>计提比例</t>
    </r>
    <r>
      <rPr>
        <b/>
        <sz val="12"/>
        <rFont val="Arial Narrow"/>
        <family val="2"/>
      </rPr>
      <t>(%)</t>
    </r>
  </si>
  <si>
    <r>
      <rPr>
        <sz val="12"/>
        <color rgb="FFFF0000"/>
        <rFont val="仿宋_GB2312"/>
        <family val="3"/>
        <charset val="134"/>
      </rPr>
      <t>组合</t>
    </r>
    <r>
      <rPr>
        <sz val="12"/>
        <color rgb="FFFF0000"/>
        <rFont val="Arial Narrow"/>
        <family val="2"/>
      </rPr>
      <t>1</t>
    </r>
  </si>
  <si>
    <r>
      <rPr>
        <sz val="12"/>
        <color rgb="FFFF0000"/>
        <rFont val="仿宋_GB2312"/>
        <family val="3"/>
        <charset val="134"/>
      </rPr>
      <t>组合</t>
    </r>
    <r>
      <rPr>
        <sz val="12"/>
        <color rgb="FFFF0000"/>
        <rFont val="Arial Narrow"/>
        <family val="2"/>
      </rPr>
      <t>2</t>
    </r>
  </si>
  <si>
    <r>
      <rPr>
        <sz val="12"/>
        <rFont val="Arial Narrow"/>
        <family val="2"/>
      </rPr>
      <t>C</t>
    </r>
    <r>
      <rPr>
        <sz val="12"/>
        <rFont val="仿宋_GB2312"/>
        <family val="3"/>
        <charset val="134"/>
      </rPr>
      <t>、采用产品类型组合计提坏账准备的应收账款</t>
    </r>
  </si>
  <si>
    <r>
      <rPr>
        <sz val="12"/>
        <rFont val="Arial Narrow"/>
        <family val="2"/>
      </rPr>
      <t>D</t>
    </r>
    <r>
      <rPr>
        <sz val="12"/>
        <rFont val="仿宋_GB2312"/>
        <family val="3"/>
        <charset val="134"/>
      </rPr>
      <t>、采用</t>
    </r>
    <r>
      <rPr>
        <sz val="12"/>
        <color rgb="FFFF0000"/>
        <rFont val="仿宋_GB2312"/>
        <family val="3"/>
        <charset val="134"/>
      </rPr>
      <t>……组合</t>
    </r>
    <r>
      <rPr>
        <sz val="12"/>
        <rFont val="仿宋_GB2312"/>
        <family val="3"/>
        <charset val="134"/>
      </rPr>
      <t>计提坏账准备的应收账款</t>
    </r>
  </si>
  <si>
    <r>
      <rPr>
        <sz val="12"/>
        <rFont val="仿宋_GB2312"/>
        <family val="3"/>
        <charset val="134"/>
      </rPr>
      <t>（</t>
    </r>
    <r>
      <rPr>
        <sz val="12"/>
        <rFont val="Arial Narrow"/>
        <family val="2"/>
      </rPr>
      <t>2</t>
    </r>
    <r>
      <rPr>
        <sz val="12"/>
        <rFont val="仿宋_GB2312"/>
        <family val="3"/>
        <charset val="134"/>
      </rPr>
      <t>）单项计提坏账准备的应收账款</t>
    </r>
  </si>
  <si>
    <r>
      <rPr>
        <b/>
        <sz val="12"/>
        <rFont val="仿宋_GB2312"/>
        <family val="3"/>
        <charset val="134"/>
      </rPr>
      <t>债务人名称</t>
    </r>
  </si>
  <si>
    <r>
      <rPr>
        <b/>
        <sz val="12"/>
        <rFont val="仿宋_GB2312"/>
        <family val="3"/>
        <charset val="134"/>
      </rPr>
      <t>计提比例</t>
    </r>
  </si>
  <si>
    <r>
      <rPr>
        <sz val="12"/>
        <rFont val="仿宋_GB2312"/>
        <family val="3"/>
        <charset val="134"/>
      </rPr>
      <t>（</t>
    </r>
    <r>
      <rPr>
        <sz val="12"/>
        <rFont val="Arial Narrow"/>
        <family val="2"/>
      </rPr>
      <t>3</t>
    </r>
    <r>
      <rPr>
        <sz val="12"/>
        <rFont val="仿宋_GB2312"/>
        <family val="3"/>
        <charset val="134"/>
      </rPr>
      <t>）本期转回或收回情况</t>
    </r>
    <r>
      <rPr>
        <sz val="12"/>
        <color indexed="12"/>
        <rFont val="仿宋_GB2312"/>
        <family val="3"/>
        <charset val="134"/>
      </rPr>
      <t>（非上市公司可参照选择披露）</t>
    </r>
  </si>
  <si>
    <r>
      <rPr>
        <b/>
        <sz val="12"/>
        <rFont val="仿宋_GB2312"/>
        <family val="3"/>
        <charset val="134"/>
      </rPr>
      <t>转回或收回原因</t>
    </r>
  </si>
  <si>
    <r>
      <rPr>
        <b/>
        <sz val="12"/>
        <rFont val="仿宋_GB2312"/>
        <family val="3"/>
        <charset val="134"/>
      </rPr>
      <t>确定原坏账准备的依据</t>
    </r>
  </si>
  <si>
    <r>
      <rPr>
        <b/>
        <sz val="12"/>
        <rFont val="仿宋_GB2312"/>
        <family val="3"/>
        <charset val="134"/>
      </rPr>
      <t>转回或收回前累计已计提坏账准备金额</t>
    </r>
  </si>
  <si>
    <r>
      <rPr>
        <b/>
        <sz val="12"/>
        <rFont val="仿宋_GB2312"/>
        <family val="3"/>
        <charset val="134"/>
      </rPr>
      <t>合计</t>
    </r>
  </si>
  <si>
    <r>
      <rPr>
        <sz val="12"/>
        <color rgb="FF0000FF"/>
        <rFont val="仿宋_GB2312"/>
        <family val="3"/>
        <charset val="134"/>
      </rPr>
      <t>（注：本表列报本报告期前已全额计提坏账准备，或计提减值准备的比例较大，但在本期又全额收回或转回，或在本期收回或转回比例较大的应收账款。对本期通过重组等方式收回的金额重大的应收账款，则应逐笔列报，金额不重大的，可汇总列报。）</t>
    </r>
  </si>
  <si>
    <r>
      <rPr>
        <sz val="12"/>
        <rFont val="仿宋_GB2312"/>
        <family val="3"/>
        <charset val="134"/>
      </rPr>
      <t>（</t>
    </r>
    <r>
      <rPr>
        <sz val="12"/>
        <rFont val="Arial Narrow"/>
        <family val="2"/>
      </rPr>
      <t>4</t>
    </r>
    <r>
      <rPr>
        <sz val="12"/>
        <rFont val="仿宋_GB2312"/>
        <family val="3"/>
        <charset val="134"/>
      </rPr>
      <t>）本报告期实际核销的应收账款（非上市公司可参照选择披露）</t>
    </r>
  </si>
  <si>
    <r>
      <rPr>
        <b/>
        <sz val="12"/>
        <rFont val="仿宋_GB2312"/>
        <family val="3"/>
        <charset val="134"/>
      </rPr>
      <t>应收账款性质</t>
    </r>
  </si>
  <si>
    <r>
      <rPr>
        <b/>
        <sz val="12"/>
        <rFont val="仿宋_GB2312"/>
        <family val="3"/>
        <charset val="134"/>
      </rPr>
      <t>是否因关联交易产生</t>
    </r>
  </si>
  <si>
    <t>--</t>
  </si>
  <si>
    <r>
      <rPr>
        <sz val="12"/>
        <rFont val="仿宋_GB2312"/>
        <family val="3"/>
        <charset val="134"/>
      </rPr>
      <t>（</t>
    </r>
    <r>
      <rPr>
        <sz val="12"/>
        <rFont val="Arial Narrow"/>
        <family val="2"/>
      </rPr>
      <t>5</t>
    </r>
    <r>
      <rPr>
        <sz val="12"/>
        <rFont val="仿宋_GB2312"/>
        <family val="3"/>
        <charset val="134"/>
      </rPr>
      <t>）由金融资产转移而终止确认的应收账款情况</t>
    </r>
  </si>
  <si>
    <r>
      <rPr>
        <b/>
        <sz val="12"/>
        <rFont val="仿宋_GB2312"/>
        <family val="3"/>
        <charset val="134"/>
      </rPr>
      <t>与终止确认相关的利得或损失（损失以</t>
    </r>
    <r>
      <rPr>
        <b/>
        <sz val="12"/>
        <rFont val="Arial Narrow"/>
        <family val="2"/>
      </rPr>
      <t>“-”</t>
    </r>
    <r>
      <rPr>
        <b/>
        <sz val="12"/>
        <rFont val="仿宋_GB2312"/>
        <family val="3"/>
        <charset val="134"/>
      </rPr>
      <t>填列）</t>
    </r>
  </si>
  <si>
    <r>
      <rPr>
        <sz val="12"/>
        <rFont val="仿宋_GB2312"/>
        <family val="3"/>
        <charset val="134"/>
      </rPr>
      <t>（</t>
    </r>
    <r>
      <rPr>
        <sz val="12"/>
        <rFont val="Arial Narrow"/>
        <family val="2"/>
      </rPr>
      <t>6</t>
    </r>
    <r>
      <rPr>
        <sz val="12"/>
        <rFont val="仿宋_GB2312"/>
        <family val="3"/>
        <charset val="134"/>
      </rPr>
      <t>）应收账款转移，如证券化、保理等，继续涉入形成的资产、负债的金额</t>
    </r>
  </si>
  <si>
    <r>
      <rPr>
        <b/>
        <sz val="12"/>
        <rFont val="仿宋_GB2312"/>
        <family val="3"/>
        <charset val="134"/>
      </rPr>
      <t>期末金额</t>
    </r>
  </si>
  <si>
    <t>致同会计师事务所</t>
  </si>
  <si>
    <t>被审计单位：</t>
  </si>
  <si>
    <t>索引号：</t>
  </si>
  <si>
    <t>页次：</t>
  </si>
  <si>
    <t>一、审计目标</t>
  </si>
  <si>
    <t>1.资产负债表中记录的应收账款是存在的，且已经记录在恰当的账户中。 2.所有应记录的应收账款均已记录，所有应当包括在财务报表中的相关披露均已包括。</t>
  </si>
  <si>
    <t>4.应收账款以恰当的金额包括在财务报表中，与之相关的计价或分摊调整已恰当记录，相关披露已得到恰当计量和描述。</t>
  </si>
  <si>
    <t>二、审计过程</t>
  </si>
  <si>
    <t>1.……</t>
  </si>
  <si>
    <t>关联方名称</t>
  </si>
  <si>
    <t>关联关系</t>
  </si>
  <si>
    <t>期初余额</t>
  </si>
  <si>
    <t>借方发生</t>
  </si>
  <si>
    <t>贷方发生</t>
  </si>
  <si>
    <t>期末余额</t>
  </si>
  <si>
    <r>
      <rPr>
        <b/>
        <sz val="10"/>
        <rFont val="宋体"/>
        <family val="3"/>
        <charset val="134"/>
      </rPr>
      <t>减：坏账准备</t>
    </r>
  </si>
  <si>
    <r>
      <rPr>
        <b/>
        <sz val="10"/>
        <rFont val="宋体"/>
        <family val="3"/>
        <charset val="134"/>
      </rPr>
      <t>账面价值</t>
    </r>
  </si>
  <si>
    <t>发生时间及账龄</t>
  </si>
  <si>
    <t>发生原因（款项性质）</t>
  </si>
  <si>
    <t>期后回款</t>
  </si>
  <si>
    <t>合计</t>
  </si>
  <si>
    <r>
      <rPr>
        <b/>
        <sz val="10"/>
        <rFont val="宋体"/>
        <family val="3"/>
        <charset val="134"/>
      </rPr>
      <t>三、审计说明：</t>
    </r>
  </si>
  <si>
    <t>四、审计结论：</t>
  </si>
  <si>
    <t>勿删、勿改</t>
  </si>
  <si>
    <t>实际控制人</t>
  </si>
  <si>
    <t>控股股东</t>
  </si>
  <si>
    <t>控股股东、实际控制人的附属企业</t>
  </si>
  <si>
    <t>持有5%以上股份的法人或其他组织</t>
  </si>
  <si>
    <t>联营企业</t>
  </si>
  <si>
    <t>合营企业</t>
  </si>
  <si>
    <t>董高监等关键管理人员</t>
  </si>
  <si>
    <t>其他关联方</t>
  </si>
  <si>
    <t>应收账款检查表</t>
  </si>
  <si>
    <t>一、审计目标：</t>
  </si>
  <si>
    <t xml:space="preserve">1.资产负债表中记录的应收账款是存在的，且已经记录在恰当的账户中；2.应收账款以恰当的金额包括在财务报表中，与之相关的计价或分摊调整已恰当记录，相关披露已得到恰当计量和描述 </t>
  </si>
  <si>
    <t>二、样本选取标准与规模：</t>
  </si>
  <si>
    <t>测试总体：</t>
  </si>
  <si>
    <t>如应收账款借方发生额所有凭证共XX笔金额XX、贷方发生额所有凭证共XX笔金额XX</t>
  </si>
  <si>
    <t>特定样本：</t>
  </si>
  <si>
    <t>XX金额以上（大额）、关联方/关联交易形成的款项、XX异常款项全部测试，共XX笔；</t>
  </si>
  <si>
    <t>抽样总体：</t>
  </si>
  <si>
    <t>测试总体扣除特定样本以外的样本，共XX笔、金额XX</t>
  </si>
  <si>
    <t>确定的抽样样本量：</t>
  </si>
  <si>
    <t>抽取XX笔</t>
  </si>
  <si>
    <t>（如果使用了样本计算器计算样本量，样本量计算过程见&lt;XX&gt;底稿）</t>
  </si>
  <si>
    <t>抽样方法：</t>
  </si>
  <si>
    <t>抽样过程：</t>
  </si>
  <si>
    <t>使用IDEA（XX抽样工具）选择XX数量、金额XX的样本进行测试，抽样工具中的样本选择过程和结果见&lt;XX&gt;底稿</t>
  </si>
  <si>
    <t>三、测试：</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</si>
  <si>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</si>
  <si>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t>（1）本期增减变动检查</t>
  </si>
  <si>
    <t>客户名称</t>
  </si>
  <si>
    <t>记账凭证</t>
  </si>
  <si>
    <t>支持性文件</t>
  </si>
  <si>
    <r>
      <rPr>
        <b/>
        <sz val="10"/>
        <rFont val="宋体"/>
        <family val="3"/>
        <charset val="134"/>
      </rPr>
      <t>核对内容</t>
    </r>
  </si>
  <si>
    <t>是否异常</t>
  </si>
  <si>
    <t>备注说明</t>
  </si>
  <si>
    <t>日期</t>
  </si>
  <si>
    <t>凭证编号</t>
  </si>
  <si>
    <t>业务内容</t>
  </si>
  <si>
    <t>对方科目</t>
  </si>
  <si>
    <t>对方明细科目</t>
  </si>
  <si>
    <t>借方金额</t>
  </si>
  <si>
    <t>贷方金额</t>
  </si>
  <si>
    <r>
      <rPr>
        <b/>
        <sz val="10"/>
        <rFont val="宋体"/>
        <family val="3"/>
        <charset val="134"/>
      </rPr>
      <t>（</t>
    </r>
    <r>
      <rPr>
        <b/>
        <sz val="10"/>
        <rFont val="Arial Narrow"/>
        <family val="2"/>
      </rPr>
      <t>2</t>
    </r>
    <r>
      <rPr>
        <b/>
        <sz val="10"/>
        <rFont val="宋体"/>
        <family val="3"/>
        <charset val="134"/>
      </rPr>
      <t>）期后收款、调整检查</t>
    </r>
  </si>
  <si>
    <t>四、审计说明：</t>
  </si>
  <si>
    <t>五、审计结论：</t>
  </si>
  <si>
    <t>大额坏账准备转回、核销检查表</t>
  </si>
  <si>
    <t xml:space="preserve">应收账款以恰当的金额包括在财务报表中，与之相关的计价或分摊调整已恰当记录，相关披露已得到恰当计量和描述 </t>
  </si>
  <si>
    <t>（一）本期重要的坏账准备转回或转销检查</t>
  </si>
  <si>
    <t>单位名称</t>
  </si>
  <si>
    <t>转回原因</t>
  </si>
  <si>
    <t>收回方式</t>
  </si>
  <si>
    <t>原确定坏账准备的依据</t>
  </si>
  <si>
    <t>收回或转回金额</t>
  </si>
  <si>
    <t>收回或转回前累计已计提坏账准备金额</t>
  </si>
  <si>
    <t>合理性分析</t>
  </si>
  <si>
    <t>（二）本期重要的核销应收账款检查</t>
  </si>
  <si>
    <t>应收账款性质</t>
  </si>
  <si>
    <t>核销金额</t>
  </si>
  <si>
    <t>核销原因</t>
  </si>
  <si>
    <t>履行的核销程序</t>
  </si>
  <si>
    <t>是否由关联交易产生</t>
  </si>
  <si>
    <t>三、审计说明</t>
  </si>
  <si>
    <t>四、审计结论</t>
  </si>
  <si>
    <t>应收账款坏账准备计提会计政策检查</t>
  </si>
  <si>
    <t>二、审计过程：</t>
  </si>
  <si>
    <t>（一）应收账款坏账准备计提会计政策</t>
  </si>
  <si>
    <t>【应说明被审计单位应收账款坏账准备信用风险组合划分依据、预期信用损失计量方法等】</t>
  </si>
  <si>
    <t>（二）被审计单位历史坏账损失情况</t>
  </si>
  <si>
    <t>【应说明被审计单位应收账款历史损失率的数据来源，以及项目组核实该等数据所执行的程序。需考虑货币的时间价值】</t>
  </si>
  <si>
    <t>（三）前瞻性信息的来源及其影响</t>
  </si>
  <si>
    <t>【应说明被审计单位确定预期损失率的前瞻性信息来源（包括内部模型、第三方服务机构或利用外部专家工作等，以及项目组对前瞻性信息可靠性所执行的程序】</t>
  </si>
  <si>
    <t>（四）同行业公司的会计政策</t>
  </si>
  <si>
    <t>XX</t>
  </si>
  <si>
    <t>xx</t>
  </si>
  <si>
    <t>三、审计说明：</t>
  </si>
  <si>
    <t>被审计单位坏账准备的计提相关的会计政策和会计估计与企业会计准则的规定一致，反映了被审计单位经济业务的实际情况</t>
  </si>
  <si>
    <t>，与同行业公司相比不存在显著差异，且坏账准备政策得到一贯性地执行。</t>
  </si>
  <si>
    <t>提示1：共同信用风险特征包括：金融工具类型、信用风险评级、担保物类型、初始确认日期、剩余合同期限、债务人所处行业、债务人所处地理位置、担保品相对于金融资产的价值等。:</t>
  </si>
  <si>
    <t>提示2：以管理层应根据业务实际情况确定符合被审计单位经济业务特点的组合划分方式，或者均采用单项计提的方法；预期信用损失率的确定，可通过历史损失率和预期损失率确定，也可通过计算各年迁徙率并结合前瞻性信息等方式确定。</t>
  </si>
  <si>
    <t>提示3：如果被审计单位应收账款账龄主要集中在一年以下，采用迁徙率计算可能不适当。</t>
  </si>
  <si>
    <t>提示4：会计政策披露示例参考</t>
  </si>
  <si>
    <t>中国中铁</t>
  </si>
  <si>
    <t>对于应收票据及应收账款和合同资产，无论是否存在重大融资成分，本集团均按照整个存续期的预期信用损失计量损失准备。
本集团依据信用风险特征将应收票据及应收账款和合同资产划分为若干组合，在组合基础上计算预期信用损失，确定组合的依据如下：
应收账款组合1 应收中央企业客户
应收账款组合2 应收地方政府/地方国有企业客户
应收账款组合3 应收中国铁路总公司
应收账款组合4 应收海外企业客户
应收账款组合5 应收其他客户
对于划分为组合的应收票据和合同资产，本集团参考历史信用损失经验，结合当前状况以及对未来经济状况的预测，通过违约风险敞口和整个存续期预期信用损失率，计算预期信用损失。</t>
  </si>
  <si>
    <t>福耀玻璃</t>
  </si>
  <si>
    <t>当单项金融资产无法以合理成本评估预期信用损失的信息时，本集团依据信用风险特征将应收款项划分为若干组合，在组合基础上计算预期信用损失，确定组合的依据如下：应收票据组合；应收账款组合；其他应收款组合。
对于划分为组合的应收票据，本集团参考历史信用损失经验，结合当前状况以及对未来经济状况的预测，通过违约风险敞口和整个存续期预期信用损失率，计算预期信用损失。
对于划分为组合的应收账款，本集团参考历史信用损失经验，结合当前状况以及对未来经济状况的预测，编制应收账款逾期天数与整个存续期预期信用损失率对照表，计算预期信用损失。
对于划分为组合的其他应收款，本集团参考历史信用损失经验，结合当前状况以及对未来经济状况的预测，通过违约风险敞口和未来12个月内或整个存续期预期信用损失率，计算预期信用损失。
在确定预期信用损失率时，本集团使用内部历史信用损失经验等数据，并结合当前状况和前瞻性信息对历史数据进行调整。在考虑前瞻性信息时，本集团使用的指标包括经济下滑的风险、预期失业率的增长、外部市场环境、技术环境和客户情况的变化等。本集团定期监控并复核与预期信用损失计算相关的假设。</t>
  </si>
  <si>
    <t>中煤能源</t>
  </si>
  <si>
    <t>本集团对租赁应收款在单项资产的基础上确定其信用损失，对应收账款、合同资产、债权投资除对发生重大财务困难的债务人在单项资产的基础上确定其信用损失外，对其余款项在组合基础上采用减值矩阵确定相关金融工具的信用损失。
10.2.4 本集团依据信用风险特征将应收票据及应收账款和合同资产划分为若干组合 ，在组合基础上计算预期信用损失，确定组合的依据如下：
• 应收账款\合同资产组合A 信用优良。在未来的信用风险很低，自身抗风险能力很强，不确定性因素对其经营与发展的影响很小。
• 应收账款\合同资产组合B ，信用较好。在未来的信用风险较低，自身有一定抗风险能力，但是可能存在一些影响其未来经营与发展的不确定性因素。
• 应收账款\合同资产组合C ，信用一般。在未来存在一定的信用风险，经营状况、盈利水平及未来发展易受不确定因素的影响。
• 应收账款\合同资产组合D ，信用较差。在未来的信用风险较高，未来前景不明朗或不安全，可能出现逾期非常严重的应收账款、合同资产。
对于划分为组合的应收账款，本集团参考历史信用损失经验，结合当前状况以及对未来经济状况的预测，编制应收账款账龄与整个存续期预期信用损失率对照表，计算预期信用损失。
对于划分为组合的合同资产，本集团参考历史信用损失经验，结合当前状况以及对未来经济状况的预测，通过违约风险敞口和整个存续期预期信用损失率，计算预期信用损失。</t>
  </si>
  <si>
    <t>长飞光纤</t>
  </si>
  <si>
    <t>对于应收账款，本集团始终按照相当于整个存续期内预期信用损失的金额计量其损失准备。本集团基于历史信用损失经验、使用准备矩阵计算上述金融资产的预期信用损失，相关历史经验根据资产负债表日借款人的特定因素、以及对当前状况和未来经济状况预测的评估进行调整。
本公司根据历史经验，不同细分客户群体发生损失的情况存在差异，将本公司客户细分为以下群体：
群体1：集团外关联方；群体2：中国电信网络运营商及其他信用记录良好的企业；群体3：除群体1、2以外的其他客户。
本集团始终按照相当于整个存续期内预期信用损失的金额计量应收账款的减值准备，并以逾期天数与违约损失率对照表为基础计算其预期信用损失。根据本集团的历史经验，不同细分客户群体发生损失的情况存在差异，因此本集团根据历史经验区分不同的客户群体根据逾期信息计算减值准备。
违约损失率基于过去5年的实际信用损失经验计算，并根据历史数据收集期间的经济状况、当前的经济状况与本集团所认为的预计存续期内的经济状况三者之间的差异进行调整。</t>
  </si>
  <si>
    <t>长城汽车</t>
  </si>
  <si>
    <t>本集团对由新收入准则规范的交易形成的未包含重大融资成分或不考虑不超过一年的合同中的融资成分的合同资产与应收账款按照相当于整个存续期内预期信用损失的金额计量损失准备。
本集团对应收账款、其他分类为按摊余成本计量的金融资产和分类为以公允价值计量且其变动计入其他综合收益的债务工具在组合基础上采用减值矩阵确定相关金融工具的信用损失。本集团以共同风险特征为依据，将金融工具分为不同组别。本集团采用的共同信用风险特征包括：金融工具类型、信用风险评级、担保物类型、初始确认日期、剩余合同期限、债务人所处行业、债务人所处地理位置、担保品相对于金融资产的价值等。</t>
  </si>
  <si>
    <t>金隅集团</t>
  </si>
  <si>
    <t>对于不含重大融资成分的应收款项以及合同资产，本集团运用简化计量方法，按照相当于整个存续期内的预期信用损失金额计量损失准备。
对于租赁应收款、包含重大融资成分的应收款项以及合同资产，本集团选择运用简化计量方法，按照相当于整个存续期内的预期信用损失金额计量损失准备。
除某些金融资产基于单项为基础评估逾期信用损失之外，本集团还以账龄组合为基础评估以摊余成本计量金融资产的预期信用损失。
本集团在评估预期信用损失时，考虑所有合理且有依据的信息，包括前瞻性信息。</t>
  </si>
  <si>
    <t>应收账款坏账准备测算表</t>
  </si>
  <si>
    <t>（一）单项计提坏账准备</t>
  </si>
  <si>
    <t>债务人名称</t>
  </si>
  <si>
    <t>审定账面余额</t>
  </si>
  <si>
    <t>预期信用损失率</t>
  </si>
  <si>
    <t>期末应计提坏账准备</t>
  </si>
  <si>
    <t>期末坏账准备账面余额</t>
  </si>
  <si>
    <t>差异</t>
  </si>
  <si>
    <t>计提依据及文件</t>
  </si>
  <si>
    <t>①</t>
  </si>
  <si>
    <t>②</t>
  </si>
  <si>
    <t>③=①×②</t>
  </si>
  <si>
    <t>④</t>
  </si>
  <si>
    <t>⑤=③-④</t>
  </si>
  <si>
    <t>小计</t>
  </si>
  <si>
    <t>（二）账龄组合计提坏账准备</t>
  </si>
  <si>
    <r>
      <rPr>
        <b/>
        <sz val="10"/>
        <rFont val="宋体"/>
        <family val="3"/>
        <charset val="134"/>
        <scheme val="minor"/>
      </rPr>
      <t>账龄</t>
    </r>
    <r>
      <rPr>
        <b/>
        <sz val="10"/>
        <color rgb="FF0000FF"/>
        <rFont val="宋体"/>
        <family val="3"/>
        <charset val="134"/>
        <scheme val="minor"/>
      </rPr>
      <t>【账龄以记账凭证日期起计算，逾期则考虑信用期】</t>
    </r>
  </si>
  <si>
    <t>组合1：</t>
  </si>
  <si>
    <r>
      <rPr>
        <sz val="10"/>
        <rFont val="宋体"/>
        <family val="3"/>
        <charset val="134"/>
        <scheme val="minor"/>
      </rPr>
      <t>1年以内</t>
    </r>
    <r>
      <rPr>
        <sz val="10"/>
        <color rgb="FFFF0000"/>
        <rFont val="宋体"/>
        <family val="3"/>
        <charset val="134"/>
        <scheme val="minor"/>
      </rPr>
      <t>/未逾期</t>
    </r>
  </si>
  <si>
    <r>
      <rPr>
        <sz val="10"/>
        <rFont val="宋体"/>
        <family val="3"/>
        <charset val="134"/>
        <scheme val="minor"/>
      </rPr>
      <t>1年-2年</t>
    </r>
    <r>
      <rPr>
        <sz val="10"/>
        <color rgb="FFFF0000"/>
        <rFont val="宋体"/>
        <family val="3"/>
        <charset val="134"/>
        <scheme val="minor"/>
      </rPr>
      <t>/逾期30天以内</t>
    </r>
  </si>
  <si>
    <r>
      <rPr>
        <sz val="10"/>
        <rFont val="宋体"/>
        <family val="3"/>
        <charset val="134"/>
        <scheme val="minor"/>
      </rPr>
      <t>2年-3年</t>
    </r>
    <r>
      <rPr>
        <sz val="10"/>
        <color rgb="FFFF0000"/>
        <rFont val="宋体"/>
        <family val="3"/>
        <charset val="134"/>
        <scheme val="minor"/>
      </rPr>
      <t>/逾期30-90天</t>
    </r>
  </si>
  <si>
    <t>3年-4年/逾期90天-1年</t>
  </si>
  <si>
    <t>4年-5年/逾期1年-2年</t>
  </si>
  <si>
    <t>5年以上/逾期2年以上</t>
  </si>
  <si>
    <t>组合2：</t>
  </si>
  <si>
    <t>提示1：对于资产负债表日已发生信用减值但并非购买或源生已发生信用减值的金融资产，信用损失为该金融资产账面余额与按原实际利率折现的估计未来现金流量的现值之间的差额。</t>
  </si>
  <si>
    <t>提示2：计量金融工具预期信用损失的方法反映的因素包括：</t>
  </si>
  <si>
    <t>通过评价一系列可能的结果而确定的无偏概率加权平均金额；</t>
  </si>
  <si>
    <t>货币时间价值；</t>
  </si>
  <si>
    <t>在资产负债表日无须付出不必要的额外成本或努力即可获得的有关过去事项、当前状况以及未来经济状况预测的合理且有依据的信息。</t>
  </si>
  <si>
    <t>预期信用损失的计量测试表</t>
  </si>
  <si>
    <t>（一）单项计提的预期信用损失率的确定</t>
  </si>
  <si>
    <t>单项计提</t>
  </si>
  <si>
    <t>账面余额</t>
  </si>
  <si>
    <t>不同情形下的未来现金流量①</t>
  </si>
  <si>
    <t>折现值②</t>
  </si>
  <si>
    <t>发生概率③</t>
  </si>
  <si>
    <t>概率加权④=②×③</t>
  </si>
  <si>
    <t>预期信用损失率⑤</t>
  </si>
  <si>
    <r>
      <rPr>
        <sz val="10"/>
        <color rgb="FF0000FF"/>
        <rFont val="宋体"/>
        <family val="3"/>
        <charset val="134"/>
        <scheme val="minor"/>
      </rPr>
      <t>对于资产负债表日已发生信用减值但并非购买或源生已发生信用减值的金融资产，信用损失为该金融资产账面余额与</t>
    </r>
    <r>
      <rPr>
        <b/>
        <sz val="10"/>
        <color rgb="FF0000FF"/>
        <rFont val="宋体"/>
        <family val="3"/>
        <charset val="134"/>
        <scheme val="minor"/>
      </rPr>
      <t>按原实际利率折现</t>
    </r>
    <r>
      <rPr>
        <sz val="10"/>
        <color rgb="FF0000FF"/>
        <rFont val="宋体"/>
        <family val="3"/>
        <charset val="134"/>
        <scheme val="minor"/>
      </rPr>
      <t>的估计未来现金流量的现值之间的差额。</t>
    </r>
  </si>
  <si>
    <t>1年</t>
  </si>
  <si>
    <t>2年</t>
  </si>
  <si>
    <t>估计预期信用损失的目的并非对最坏的情形或最好的情形作出估计，取而代之的是，预期信用损失的估计应当始终反映发生信用损失的可能性以及不发生信用损失的可能性。</t>
  </si>
  <si>
    <t>由于预期信用损失考虑付款的金额和时间分布，因此即使企业预计可以全额收款但收款时间晚于合同规定的到期期限，也会产生信用损失。</t>
  </si>
  <si>
    <t>实际利率</t>
  </si>
  <si>
    <t>企业应当采用相关金融工具初始确认时确定的实际利率或其近似值，将现金流缺口折现为资产负债表日的现值。</t>
  </si>
  <si>
    <r>
      <rPr>
        <b/>
        <sz val="10"/>
        <rFont val="宋体"/>
        <family val="3"/>
        <charset val="134"/>
        <scheme val="minor"/>
      </rPr>
      <t>（二）计算历史损失率</t>
    </r>
    <r>
      <rPr>
        <b/>
        <sz val="10"/>
        <color rgb="FF0000FF"/>
        <rFont val="宋体"/>
        <family val="3"/>
        <charset val="134"/>
        <scheme val="minor"/>
      </rPr>
      <t>（示例方法仅供参考）</t>
    </r>
  </si>
  <si>
    <t>方法1：基于观察期赊销额后续回收的减值矩阵</t>
  </si>
  <si>
    <t>【方法可选】</t>
  </si>
  <si>
    <t>观察期内应收账款总额</t>
  </si>
  <si>
    <t>累计核销坏账总额</t>
  </si>
  <si>
    <t>账龄</t>
  </si>
  <si>
    <t>历史收回金额</t>
  </si>
  <si>
    <t>累计收款额</t>
  </si>
  <si>
    <t>应收账款余额</t>
  </si>
  <si>
    <t>实际信用损失</t>
  </si>
  <si>
    <t>说明</t>
  </si>
  <si>
    <t>历史损失率</t>
  </si>
  <si>
    <t>上期历史损失率</t>
  </si>
  <si>
    <t>由于预期信用损失考虑付款的金额和时间分布，因此即使企业预计可以全额收款但收款时间晚于合同规定的到期期限，也会产生信用损失。
自应收票据结转而来的应收账款损失率通常高于原始应收账款的损失率。</t>
  </si>
  <si>
    <t>实际损失金额</t>
  </si>
  <si>
    <r>
      <rPr>
        <b/>
        <sz val="10"/>
        <rFont val="宋体"/>
        <family val="3"/>
        <charset val="134"/>
        <scheme val="minor"/>
      </rPr>
      <t>方法2：基于滚动率（迁徙率）的减值矩阵</t>
    </r>
    <r>
      <rPr>
        <b/>
        <sz val="10"/>
        <color rgb="FF0000FF"/>
        <rFont val="宋体"/>
        <family val="3"/>
        <charset val="134"/>
        <scheme val="minor"/>
      </rPr>
      <t>-本示例仅计算了1年的回收率，实务中可以计算多期后考虑平均。</t>
    </r>
  </si>
  <si>
    <t>20X8年末余额</t>
  </si>
  <si>
    <t>20X9收回金额</t>
  </si>
  <si>
    <t>20X9年末余额</t>
  </si>
  <si>
    <t>校验</t>
  </si>
  <si>
    <t>实际回收率</t>
  </si>
  <si>
    <t>方法3：基于平均迁徙率的减值矩阵</t>
  </si>
  <si>
    <t>迁徙率是指在一个时间段内没有收回而迁徙至下一个时间段的应收账款的比例。</t>
  </si>
  <si>
    <t>20X5年末余额</t>
  </si>
  <si>
    <t>20X6年末余额</t>
  </si>
  <si>
    <t>20X7年末余额</t>
  </si>
  <si>
    <t>可以多列几年账龄，在数据异常时参考取值。但过远的属于预测价值降低。</t>
  </si>
  <si>
    <t>1年以内</t>
  </si>
  <si>
    <t>1年-2年</t>
  </si>
  <si>
    <t>2年-3年</t>
  </si>
  <si>
    <t>3年以上</t>
  </si>
  <si>
    <t>其中：上年末为3年以上账龄，本年继续迁徙部分</t>
  </si>
  <si>
    <t>20X5年至20X6年迁徙率</t>
  </si>
  <si>
    <t>20X6年至20X7年迁徙率</t>
  </si>
  <si>
    <t>20X7年至20X8年迁徙率</t>
  </si>
  <si>
    <t>20X8年至20X9年迁徙率</t>
  </si>
  <si>
    <t>平均迁徙率</t>
  </si>
  <si>
    <t>（三）前瞻性调整（可通过回归分析确定经济指标历史上与损失率变动之间的关系，并通过预测未来经济指标确定调整）</t>
  </si>
  <si>
    <t>前瞻性调整计算可以参考&lt;应收账款预期信用损失计量示例&gt;</t>
  </si>
  <si>
    <t>GDP增长率</t>
  </si>
  <si>
    <t>广义货币（M2）增长率</t>
  </si>
  <si>
    <t>CPI</t>
  </si>
  <si>
    <t>社会消费品零售总额</t>
  </si>
  <si>
    <t>信息来源</t>
  </si>
  <si>
    <t>前瞻性调整</t>
  </si>
  <si>
    <t>上期前瞻性调整</t>
  </si>
  <si>
    <t>历史信息是企业计量预期信用损失的重要基准。某些情形下，未经调整的历史信息可能是最佳的合理且有依据的信息。而其他情形下，企业可能需要使用当期数据对历史数据进行调整，以反映当前状况和未来预测的影响，并剔除与未来现金流量不相关的历史因素的影响。
企业对预期信用损失的估计，应当反映相关可观察数据的变化并与其保持方向一致（例如，就业率、房价、商品价格的变化可能导致一项或一组金融工具信用损失的变化）。</t>
  </si>
  <si>
    <t>D2-</t>
  </si>
  <si>
    <t>预期损失在历史核销金额的基础上增加</t>
  </si>
  <si>
    <t>（四）组合的预期信用损失率的确定</t>
  </si>
  <si>
    <t>基于方法1计算账龄组合预期信用损失率</t>
  </si>
  <si>
    <t>历史信用损失</t>
  </si>
  <si>
    <t>预期信用损失</t>
  </si>
  <si>
    <t>上期预期信用损失率</t>
  </si>
  <si>
    <r>
      <rPr>
        <sz val="10"/>
        <rFont val="宋体"/>
        <family val="3"/>
        <charset val="134"/>
      </rPr>
      <t>预期损失在历史核销金额的基础上调整</t>
    </r>
  </si>
  <si>
    <t>基于方法2计算账龄组合预期信用损失率</t>
  </si>
  <si>
    <t>本年以后预期回收率</t>
  </si>
  <si>
    <t>调整后的迁徙率</t>
  </si>
  <si>
    <t>历史回收率</t>
  </si>
  <si>
    <t>预期回收率</t>
  </si>
  <si>
    <t>回收率下降%</t>
  </si>
  <si>
    <t>本例假设不变</t>
  </si>
  <si>
    <t>核销率增加</t>
  </si>
  <si>
    <t>基于方法3计算账龄组合预期信用损失率</t>
  </si>
  <si>
    <t>预期损失率将比历史损失率提高%</t>
  </si>
  <si>
    <t>应收账款质押、出售情况检查表</t>
  </si>
  <si>
    <t>记录的应收账款由被审计单位拥有或控制。</t>
  </si>
  <si>
    <t>1.检查应收账款询证函回函、会议纪要、借款协议和其他文件，确定应收账款是否已被质押或出售。</t>
  </si>
  <si>
    <t>2.了解出售、质押应收账款的原因</t>
  </si>
  <si>
    <t>3.取得相关合同，检查凭证记录，分析应收账款转让会计处理是否恰当。</t>
  </si>
  <si>
    <t>4.关注业务是否有真实交易背景；</t>
  </si>
  <si>
    <t>5.检查买方是否将款项直接付至被审计单位在融资银行开设的保理专户或监管账户中；</t>
  </si>
  <si>
    <t>6.……</t>
  </si>
  <si>
    <t>（一）质押的应收账款</t>
  </si>
  <si>
    <t>质押金额</t>
  </si>
  <si>
    <t>质权人</t>
  </si>
  <si>
    <t>质押原因</t>
  </si>
  <si>
    <t>质押条件</t>
  </si>
  <si>
    <t>质押期限</t>
  </si>
  <si>
    <t>质押协议</t>
  </si>
  <si>
    <t>（二）出售的应收账款</t>
  </si>
  <si>
    <t>出售前应收账款账面余额</t>
  </si>
  <si>
    <t>出售前应收账款坏账准备余额</t>
  </si>
  <si>
    <t>出售时间</t>
  </si>
  <si>
    <t>出售金额</t>
  </si>
  <si>
    <t>受让人</t>
  </si>
  <si>
    <t>出售原因</t>
  </si>
  <si>
    <t>合同主要条款</t>
  </si>
  <si>
    <t>终止确认、转移分析</t>
  </si>
  <si>
    <t>转移方式</t>
  </si>
  <si>
    <t>1.核对企业出售应收账款会计处理结果如下表：</t>
  </si>
  <si>
    <t>项目</t>
  </si>
  <si>
    <t>报表项目</t>
  </si>
  <si>
    <t>未审数</t>
  </si>
  <si>
    <t>审定数</t>
  </si>
  <si>
    <t>终止确认金额</t>
  </si>
  <si>
    <t>转移金额</t>
  </si>
  <si>
    <t>确认相关的利得或损失</t>
  </si>
  <si>
    <t>继续确认资产</t>
  </si>
  <si>
    <t>继续确认负债</t>
  </si>
  <si>
    <t>提示1：根据证监会《2017年上市公司年报会计监管报告》，应收账款保理后能否终止确认，应综合考虑转移的应收账款结构（如单笔转让、批量转让、部分转让或循环额度转让等）、转让形式</t>
  </si>
  <si>
    <t>（如转让收取合同现金流量的权利或现金流量过手安排）、保理应收账款的基础特征（如信用风险、延迟支付风险及提前偿还风险特征）等因素，以判断应收账款的所有重大风险是否已经转移。</t>
  </si>
  <si>
    <t>不能凭与金融机构签订的形式上无追索权的保理协议而终止确认应收账款。</t>
  </si>
  <si>
    <t>提示2：保理合同具体分析可参考应收账款保理合同分析示例。</t>
  </si>
  <si>
    <t>资产负债表中记录的应收账款是存在的，且已经记录在恰当的账户中</t>
  </si>
  <si>
    <t>（一）应收账款业务模式及依据</t>
  </si>
  <si>
    <t>组合名称</t>
  </si>
  <si>
    <t>被审计单位管理应收票据业务模式</t>
  </si>
  <si>
    <t>具体依据</t>
  </si>
  <si>
    <t>备注</t>
  </si>
  <si>
    <t>XX组合（信用等级高）</t>
  </si>
  <si>
    <t>以收取合同现金流量和出售金融资产为目标</t>
  </si>
  <si>
    <t>频繁出售</t>
  </si>
  <si>
    <t>XX组合（信用等级中）</t>
  </si>
  <si>
    <t>以收取合同现金流量为目标</t>
  </si>
  <si>
    <t>XX组合（信用等级低）</t>
  </si>
  <si>
    <t>（二）应收账款分类判断</t>
  </si>
  <si>
    <t>了解并观察被审计单位保理或证券化的实际情况及未来预期</t>
  </si>
  <si>
    <t>1.被审计单位是否涉及大额且频繁的应收账款保理或证券化且终止确认？</t>
  </si>
  <si>
    <t>是</t>
  </si>
  <si>
    <t>2.被审计单位持有应收账款的目的是交易性的或基于应收账款的公允价值作出决策并对其进行管理？</t>
  </si>
  <si>
    <t>否</t>
  </si>
  <si>
    <t>3.未来是否预期会进行大额且频繁的应收账款保理或证券化且可终止确认？</t>
  </si>
  <si>
    <t>4.未来是否预期持有应收账款的目的是交易性的或基于应收账款的公允价值作出决策并对其进行管理？</t>
  </si>
  <si>
    <t>确定业务模式</t>
  </si>
  <si>
    <t>确定报表项目</t>
  </si>
  <si>
    <t>提示：《关于修订印发2019年度一般企业财务报表格式的通知》（财会〔2019〕6号）：“应收款项融资”项目，反映资产负债表日以公允价值计量且其变动计入其他综合收益的应收票据和应收账款等。</t>
  </si>
  <si>
    <t>C1</t>
  </si>
  <si>
    <t>Custom 1</t>
  </si>
  <si>
    <t>C2</t>
  </si>
  <si>
    <t>Custom 2</t>
  </si>
  <si>
    <t>C3</t>
  </si>
  <si>
    <t>Custom 3</t>
  </si>
  <si>
    <t>C4</t>
  </si>
  <si>
    <t>Custom 4</t>
  </si>
  <si>
    <t>C5</t>
  </si>
  <si>
    <t>Custom 5</t>
  </si>
  <si>
    <t>C6</t>
  </si>
  <si>
    <t>Custom 6</t>
  </si>
  <si>
    <t>C7</t>
  </si>
  <si>
    <t>Custom 7</t>
  </si>
  <si>
    <t>C8</t>
  </si>
  <si>
    <t>Custom 8</t>
  </si>
  <si>
    <t>应收账款关联方及交易检查表</t>
    <phoneticPr fontId="145" type="noConversion"/>
  </si>
  <si>
    <t>关联方及交易检查表</t>
    <phoneticPr fontId="145" type="noConversion"/>
  </si>
  <si>
    <t>应收账款检查表</t>
    <phoneticPr fontId="145" type="noConversion"/>
  </si>
  <si>
    <t>若各年计算结果异常，需剔除干扰项，但需注意不应美化数据，可参考同行业数据判断平均数的合理性</t>
    <phoneticPr fontId="145" type="noConversion"/>
  </si>
  <si>
    <t>D2-9</t>
    <phoneticPr fontId="145"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</si>
  <si>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45" type="noConversion"/>
  </si>
  <si>
    <t>关于工作底稿与审计程序索引号对应的说明</t>
    <phoneticPr fontId="145"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</si>
  <si>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45"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</si>
  <si>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45"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</si>
  <si>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45" type="noConversion"/>
  </si>
  <si>
    <t>函证结果汇总表</t>
  </si>
  <si>
    <t>D0-1</t>
  </si>
  <si>
    <t>核实被函证单位信息</t>
  </si>
  <si>
    <t>D0-2</t>
  </si>
  <si>
    <t>跟函函证过程控制</t>
  </si>
  <si>
    <t>D0-3</t>
  </si>
  <si>
    <t>函证差异调节表</t>
  </si>
  <si>
    <t>D0-4</t>
  </si>
  <si>
    <t>应收及销售替代程序检查表</t>
  </si>
  <si>
    <t>D0-6</t>
  </si>
  <si>
    <t>邮件传真回函可靠性验证</t>
  </si>
  <si>
    <t>D0-7</t>
  </si>
  <si>
    <t>函证程序舞弊风险评价表</t>
  </si>
  <si>
    <t>D0-8</t>
  </si>
  <si>
    <t>随机选样/系统选样/货币单元抽样/随意选样（非统计抽样适用）</t>
    <phoneticPr fontId="145" type="noConversion"/>
  </si>
  <si>
    <r>
      <t>1.</t>
    </r>
    <r>
      <rPr>
        <sz val="10"/>
        <rFont val="宋体"/>
        <family val="3"/>
        <charset val="134"/>
      </rPr>
      <t>本期发生额、期末余额检查比例：</t>
    </r>
    <phoneticPr fontId="145" type="noConversion"/>
  </si>
  <si>
    <t>方向</t>
    <phoneticPr fontId="145" type="noConversion"/>
  </si>
  <si>
    <t>账面金额</t>
    <phoneticPr fontId="145" type="noConversion"/>
  </si>
  <si>
    <t>检查金额</t>
    <phoneticPr fontId="145" type="noConversion"/>
  </si>
  <si>
    <t>检查比例</t>
    <phoneticPr fontId="145" type="noConversion"/>
  </si>
  <si>
    <t>如果检查比例较低应扩大检查样本量或说明原因</t>
    <phoneticPr fontId="145" type="noConversion"/>
  </si>
  <si>
    <t>本期借方</t>
    <phoneticPr fontId="145" type="noConversion"/>
  </si>
  <si>
    <t>本期贷方</t>
    <phoneticPr fontId="145" type="noConversion"/>
  </si>
  <si>
    <t>期末余额</t>
    <phoneticPr fontId="145" type="noConversion"/>
  </si>
  <si>
    <t>2.……</t>
    <phoneticPr fontId="145" type="noConversion"/>
  </si>
  <si>
    <t>D2-8</t>
    <phoneticPr fontId="145" type="noConversion"/>
  </si>
  <si>
    <t>提示3：根据《中国注册会计师审计准则问题解答第18号——识别和应对第三方配合实施财务舞弊》，关注是否存在第三方配合下，虚构交易实现资产终止确认，避免计提大额资产减值准备段。</t>
    <phoneticPr fontId="145" type="noConversion"/>
  </si>
  <si>
    <t xml:space="preserve">例如，被审计单位在第三方配合下进行虚假货款回笼，或构建虚假且满足出表条件的应收账款保理业务，降低应收账款余额，以减少信用减值损失的计提 </t>
    <phoneticPr fontId="145" type="noConversion"/>
  </si>
  <si>
    <t>应收账款质押出售情况检查表</t>
    <phoneticPr fontId="14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</si>
</sst>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2">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0;\-\¥#,##0"/>
    <numFmt numFmtId="189" formatCode="#.\ \ "/>
    <numFmt numFmtId="190" formatCode="##.\ \ "/>
    <numFmt numFmtId="191" formatCode="&quot;$&quot;#,##0_);\(&quot;$&quot;#,##0\)"/>
    <numFmt numFmtId="192" formatCode="#,##0;\-#,##0;&quot;-&quot;"/>
    <numFmt numFmtId="193" formatCode="\(#,##0\)\ "/>
    <numFmt numFmtId="194" formatCode="[Blue]0.0%;[Blue]\(0.0%\)"/>
    <numFmt numFmtId="195" formatCode="0.0%;\(0.0%\)"/>
    <numFmt numFmtId="196" formatCode="[Red]0.0%;[Red]\(0.0%\)"/>
    <numFmt numFmtId="197" formatCode="[Blue]#,##0_);[Blue]\(#,##0\)"/>
    <numFmt numFmtId="198" formatCode="#,##0_);[Blue]\(#,##0\)"/>
    <numFmt numFmtId="199" formatCode="&quot;$&quot;#,##0;[Red]&quot;$&quot;&quot;$&quot;&quot;$&quot;&quot;$&quot;&quot;$&quot;&quot;$&quot;&quot;$&quot;\-#,##0"/>
    <numFmt numFmtId="200" formatCode="_(&quot;$&quot;* #,##0_);_(&quot;$&quot;* \(#,##0\);_(&quot;$&quot;* &quot;-&quot;_);_(@_)"/>
    <numFmt numFmtId="201" formatCode="#,##0;\(#,##0\)"/>
    <numFmt numFmtId="202" formatCode="#,##0.0_);\(#,##0.0\)"/>
    <numFmt numFmtId="203" formatCode="&quot;$&quot;#,##0.00_);\(&quot;$&quot;#,##0.00\)"/>
    <numFmt numFmtId="204" formatCode=";;;"/>
    <numFmt numFmtId="205" formatCode="\$#,##0.00;\(\$#,##0.00\)"/>
    <numFmt numFmtId="206" formatCode="#,##0.000000"/>
    <numFmt numFmtId="207" formatCode="\$#,##0;\(\$#,##0\)"/>
    <numFmt numFmtId="208" formatCode="#,##0.00\¥;\-#,##0.00\¥"/>
    <numFmt numFmtId="209" formatCode="_(&quot;$&quot;* #,##0.00_);_(&quot;$&quot;* \(#,##0.00\);_(&quot;$&quot;* &quot;-&quot;??_);_(@_)"/>
    <numFmt numFmtId="210" formatCode="_-* #,##0_-;\-* #,##0_-;_-* &quot;-&quot;??_-;_-@_-"/>
    <numFmt numFmtId="211" formatCode="0.00000000000_);[Red]\(0.00000000000\)"/>
    <numFmt numFmtId="212" formatCode="&quot;\&quot;#,##0;&quot;\&quot;&quot;\&quot;\-#,##0"/>
    <numFmt numFmtId="213" formatCode="&quot;?#,##0;\-&quot;?#,##0"/>
    <numFmt numFmtId="214" formatCode="_-* #,##0\¥_-;\-* #,##0\¥_-;_-* &quot;-&quot;\¥_-;_-@_-"/>
    <numFmt numFmtId="215" formatCode="0%_);\(0%\)"/>
    <numFmt numFmtId="216" formatCode="&quot;$&quot;#,##0;\-&quot;$&quot;#,##0"/>
    <numFmt numFmtId="217" formatCode="#,##0&quot; $&quot;;[Red]\-#,##0&quot; $&quot;"/>
    <numFmt numFmtId="218" formatCode="#,##0.00\¥;[Red]\-#,##0.00\¥"/>
    <numFmt numFmtId="219" formatCode="\ \ @"/>
    <numFmt numFmtId="220" formatCode="#,##0_);\(#,##0_)"/>
    <numFmt numFmtId="221" formatCode="_-* #,##0\ _k_r_-;\-* #,##0\ _k_r_-;_-* &quot;-&quot;\ _k_r_-;_-@_-"/>
    <numFmt numFmtId="222" formatCode="_-* #,##0.00\ _k_r_-;\-* #,##0.00\ _k_r_-;_-* &quot;-&quot;??\ _k_r_-;_-@_-"/>
    <numFmt numFmtId="223" formatCode="#,##0.00_);#,##0.00\)"/>
    <numFmt numFmtId="224" formatCode="0.00000&quot;  &quot;"/>
    <numFmt numFmtId="225" formatCode="_-* #,##0_-;\-* #,##0_-;_-* &quot;-&quot;_-;_-@_-"/>
    <numFmt numFmtId="226" formatCode="_-* #,##0.00_-;\-* #,##0.00_-;_-* &quot;-&quot;??_-;_-@_-"/>
    <numFmt numFmtId="227" formatCode="_-&quot;$&quot;* #,##0_-;\-&quot;$&quot;* #,##0_-;_-&quot;$&quot;* &quot;-&quot;_-;_-@_-"/>
    <numFmt numFmtId="228" formatCode="_-&quot;$&quot;* #,##0.00_-;\-&quot;$&quot;* #,##0.00_-;_-&quot;$&quot;* &quot;-&quot;??_-;_-@_-"/>
    <numFmt numFmtId="229" formatCode="&quot;\&quot;#,##0;[Red]&quot;\&quot;&quot;\&quot;\-#,##0"/>
    <numFmt numFmtId="230" formatCode="&quot;\&quot;#,##0.00;[Red]&quot;\&quot;&quot;\&quot;&quot;\&quot;&quot;\&quot;&quot;\&quot;&quot;\&quot;\-#,##0.00"/>
    <numFmt numFmtId="231" formatCode="&quot;\&quot;#,##0.00;[Red]&quot;\&quot;\-#,##0.00"/>
    <numFmt numFmtId="232" formatCode="&quot;\&quot;#,##0;[Red]&quot;\&quot;\-#,##0"/>
    <numFmt numFmtId="233" formatCode="_(* #,##0.00_);_(* \(#,##0.00\);_(* &quot;-&quot;??_);_(@_)"/>
    <numFmt numFmtId="234"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35" formatCode="#,##0_ "/>
  </numFmts>
  <fonts count="149">
    <font>
      <sz val="12"/>
      <name val="宋体"/>
      <charset val="134"/>
    </font>
    <font>
      <sz val="10"/>
      <name val="宋体"/>
      <family val="3"/>
      <charset val="134"/>
      <scheme val="minor"/>
    </font>
    <font>
      <b/>
      <sz val="12"/>
      <name val="宋体"/>
      <family val="3"/>
      <charset val="134"/>
      <scheme val="minor"/>
    </font>
    <font>
      <b/>
      <sz val="14"/>
      <name val="宋体"/>
      <family val="3"/>
      <charset val="134"/>
      <scheme val="minor"/>
    </font>
    <font>
      <b/>
      <sz val="10"/>
      <name val="宋体"/>
      <family val="3"/>
      <charset val="134"/>
      <scheme val="minor"/>
    </font>
    <font>
      <sz val="10"/>
      <color rgb="FFFF0000"/>
      <name val="宋体"/>
      <family val="3"/>
      <charset val="134"/>
      <scheme val="minor"/>
    </font>
    <font>
      <b/>
      <sz val="10"/>
      <color theme="1"/>
      <name val="宋体"/>
      <family val="3"/>
      <charset val="134"/>
      <scheme val="minor"/>
    </font>
    <font>
      <sz val="10"/>
      <color rgb="FF0000FF"/>
      <name val="宋体"/>
      <family val="3"/>
      <charset val="134"/>
      <scheme val="minor"/>
    </font>
    <font>
      <b/>
      <sz val="10"/>
      <color rgb="FFFF0000"/>
      <name val="宋体"/>
      <family val="3"/>
      <charset val="134"/>
      <scheme val="minor"/>
    </font>
    <font>
      <sz val="10"/>
      <name val="宋体"/>
      <family val="3"/>
      <charset val="134"/>
    </font>
    <font>
      <sz val="10"/>
      <color theme="1"/>
      <name val="宋体"/>
      <family val="3"/>
      <charset val="134"/>
    </font>
    <font>
      <b/>
      <sz val="12"/>
      <name val="宋体"/>
      <family val="3"/>
      <charset val="134"/>
    </font>
    <font>
      <b/>
      <sz val="14"/>
      <name val="宋体"/>
      <family val="3"/>
      <charset val="134"/>
    </font>
    <font>
      <b/>
      <sz val="10"/>
      <name val="宋体"/>
      <family val="3"/>
      <charset val="134"/>
    </font>
    <font>
      <sz val="10"/>
      <color rgb="FFFF0000"/>
      <name val="宋体"/>
      <family val="3"/>
      <charset val="134"/>
    </font>
    <font>
      <b/>
      <sz val="10"/>
      <color theme="1"/>
      <name val="宋体"/>
      <family val="3"/>
      <charset val="134"/>
    </font>
    <font>
      <sz val="10"/>
      <name val="Arial Narrow"/>
      <family val="2"/>
    </font>
    <font>
      <sz val="10"/>
      <color indexed="8"/>
      <name val="宋体"/>
      <family val="3"/>
      <charset val="134"/>
    </font>
    <font>
      <b/>
      <sz val="10"/>
      <name val="Arial Narrow"/>
      <family val="2"/>
    </font>
    <font>
      <b/>
      <sz val="10"/>
      <color rgb="FFFF0000"/>
      <name val="宋体"/>
      <family val="3"/>
      <charset val="134"/>
    </font>
    <font>
      <sz val="10"/>
      <color rgb="FFFF0000"/>
      <name val="Arial Narrow"/>
      <family val="2"/>
    </font>
    <font>
      <sz val="10"/>
      <color rgb="FF0000FF"/>
      <name val="宋体"/>
      <family val="3"/>
      <charset val="134"/>
    </font>
    <font>
      <b/>
      <sz val="10"/>
      <color rgb="FF0000FF"/>
      <name val="宋体"/>
      <family val="3"/>
      <charset val="134"/>
    </font>
    <font>
      <sz val="10"/>
      <color indexed="8"/>
      <name val="Arial Narrow"/>
      <family val="2"/>
    </font>
    <font>
      <u/>
      <sz val="10"/>
      <color indexed="12"/>
      <name val="宋体"/>
      <family val="3"/>
      <charset val="134"/>
    </font>
    <font>
      <sz val="10"/>
      <color indexed="8"/>
      <name val="宋体"/>
      <family val="3"/>
      <charset val="134"/>
      <scheme val="minor"/>
    </font>
    <font>
      <b/>
      <sz val="10"/>
      <color indexed="8"/>
      <name val="Arial Narrow"/>
      <family val="2"/>
    </font>
    <font>
      <b/>
      <sz val="10"/>
      <color indexed="8"/>
      <name val="宋体"/>
      <family val="3"/>
      <charset val="134"/>
      <scheme val="minor"/>
    </font>
    <font>
      <b/>
      <sz val="10"/>
      <color rgb="FF0000FF"/>
      <name val="宋体"/>
      <family val="3"/>
      <charset val="134"/>
      <scheme val="minor"/>
    </font>
    <font>
      <sz val="10"/>
      <color indexed="12"/>
      <name val="宋体"/>
      <family val="3"/>
      <charset val="134"/>
    </font>
    <font>
      <sz val="12"/>
      <name val="Arial Narrow"/>
      <family val="2"/>
    </font>
    <font>
      <b/>
      <sz val="12"/>
      <name val="Arial Narrow"/>
      <family val="2"/>
    </font>
    <font>
      <sz val="12"/>
      <name val="仿宋_GB2312"/>
      <family val="3"/>
      <charset val="134"/>
    </font>
    <font>
      <sz val="12"/>
      <color rgb="FFFF0000"/>
      <name val="仿宋_GB2312"/>
      <family val="3"/>
      <charset val="134"/>
    </font>
    <font>
      <b/>
      <sz val="12"/>
      <color rgb="FF000000"/>
      <name val="Arial Narrow"/>
      <family val="2"/>
    </font>
    <font>
      <sz val="12"/>
      <color rgb="FF0000FF"/>
      <name val="Arial Narrow"/>
      <family val="2"/>
    </font>
    <font>
      <sz val="12"/>
      <color rgb="FF0000FF"/>
      <name val="仿宋_GB2312"/>
      <family val="3"/>
      <charset val="134"/>
    </font>
    <font>
      <sz val="12"/>
      <color rgb="FFFF0000"/>
      <name val="Arial Narrow"/>
      <family val="2"/>
    </font>
    <font>
      <b/>
      <sz val="12"/>
      <name val="仿宋_GB2312"/>
      <family val="3"/>
      <charset val="134"/>
    </font>
    <font>
      <sz val="12"/>
      <color rgb="FF000000"/>
      <name val="Arial Narrow"/>
      <family val="2"/>
    </font>
    <font>
      <b/>
      <sz val="12"/>
      <color rgb="FF000000"/>
      <name val="仿宋_GB2312"/>
      <family val="3"/>
      <charset val="134"/>
    </font>
    <font>
      <sz val="11"/>
      <color theme="1"/>
      <name val="宋体"/>
      <family val="3"/>
      <charset val="134"/>
      <scheme val="minor"/>
    </font>
    <font>
      <u/>
      <sz val="12"/>
      <color indexed="12"/>
      <name val="宋体"/>
      <family val="3"/>
      <charset val="134"/>
    </font>
    <font>
      <sz val="10"/>
      <name val="Arial"/>
      <family val="2"/>
    </font>
    <font>
      <sz val="11"/>
      <name val="ＭＳ Ｐゴシック"/>
      <family val="2"/>
    </font>
    <font>
      <sz val="12"/>
      <name val="???"/>
      <family val="1"/>
    </font>
    <font>
      <sz val="10"/>
      <name val="Times New Roman"/>
      <family val="1"/>
    </font>
    <font>
      <sz val="10"/>
      <color indexed="8"/>
      <name val="Arial"/>
      <family val="2"/>
    </font>
    <font>
      <sz val="10"/>
      <name val="Helv"/>
      <family val="2"/>
    </font>
    <font>
      <sz val="12"/>
      <name val="Times New Roman"/>
      <family val="1"/>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sz val="11"/>
      <color indexed="20"/>
      <name val="Calibri"/>
      <family val="2"/>
    </font>
    <font>
      <sz val="7"/>
      <name val="Helv"/>
      <family val="2"/>
    </font>
    <font>
      <b/>
      <sz val="10"/>
      <name val="MS Sans Serif"/>
      <family val="2"/>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name val="MS Sans Serif"/>
      <family val="2"/>
    </font>
    <font>
      <sz val="10"/>
      <name val="MS Serif"/>
      <family val="1"/>
    </font>
    <font>
      <sz val="10"/>
      <name val="Courier"/>
      <family val="3"/>
    </font>
    <font>
      <sz val="12"/>
      <name val="Arial"/>
      <family val="2"/>
    </font>
    <font>
      <sz val="12"/>
      <name val="Tms Rmn"/>
      <family val="1"/>
    </font>
    <font>
      <sz val="10"/>
      <color indexed="16"/>
      <name val="MS Serif"/>
      <family val="1"/>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Helv"/>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2"/>
      <name val="Helv"/>
      <family val="2"/>
    </font>
    <font>
      <sz val="11"/>
      <color indexed="52"/>
      <name val="Calibri"/>
      <family val="2"/>
    </font>
    <font>
      <sz val="12"/>
      <color indexed="9"/>
      <name val="Helv"/>
      <family val="2"/>
    </font>
    <font>
      <b/>
      <sz val="11"/>
      <name val="Helv"/>
      <family val="2"/>
    </font>
    <font>
      <sz val="11"/>
      <color indexed="60"/>
      <name val="Calibri"/>
      <family val="2"/>
    </font>
    <font>
      <sz val="7"/>
      <name val="Small Fonts"/>
      <family val="2"/>
    </font>
    <font>
      <sz val="10"/>
      <color indexed="8"/>
      <name val="MS Sans Serif"/>
      <family val="2"/>
    </font>
    <font>
      <b/>
      <sz val="11"/>
      <color indexed="63"/>
      <name val="Calibri"/>
      <family val="2"/>
    </font>
    <font>
      <sz val="10"/>
      <name val="Tms Rmn"/>
      <family val="1"/>
    </font>
    <font>
      <sz val="7"/>
      <color indexed="10"/>
      <name val="Helv"/>
      <family val="2"/>
    </font>
    <font>
      <sz val="8"/>
      <color indexed="16"/>
      <name val="Century Schoolbook"/>
      <family val="1"/>
    </font>
    <font>
      <sz val="9"/>
      <color indexed="8"/>
      <name val="宋体"/>
      <family val="3"/>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1"/>
    </font>
    <font>
      <sz val="11"/>
      <name val="明朝"/>
      <family val="2"/>
    </font>
    <font>
      <sz val="14"/>
      <name val="柧挬"/>
      <charset val="134"/>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sz val="11"/>
      <color indexed="8"/>
      <name val="宋体"/>
      <family val="3"/>
      <charset val="134"/>
    </font>
    <font>
      <u/>
      <sz val="9"/>
      <color indexed="12"/>
      <name val="Times New Roman"/>
      <family val="1"/>
    </font>
    <font>
      <u/>
      <sz val="11"/>
      <color theme="10"/>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charset val="134"/>
    </font>
    <font>
      <sz val="12"/>
      <name val="官帕眉"/>
      <charset val="134"/>
    </font>
    <font>
      <sz val="10"/>
      <name val="奔覆眉"/>
      <charset val="134"/>
    </font>
    <font>
      <b/>
      <sz val="12"/>
      <color indexed="8"/>
      <name val="宋体"/>
      <family val="3"/>
      <charset val="134"/>
    </font>
    <font>
      <sz val="12"/>
      <name val="柧挬"/>
      <charset val="134"/>
    </font>
    <font>
      <sz val="12"/>
      <name val="바탕체"/>
      <family val="3"/>
    </font>
    <font>
      <sz val="12"/>
      <color indexed="12"/>
      <name val="Arial Narrow"/>
      <family val="2"/>
    </font>
    <font>
      <sz val="12"/>
      <color indexed="12"/>
      <name val="仿宋_GB2312"/>
      <family val="3"/>
      <charset val="134"/>
    </font>
    <font>
      <sz val="12"/>
      <color rgb="FF000000"/>
      <name val="仿宋_GB2312"/>
      <family val="3"/>
      <charset val="134"/>
    </font>
    <font>
      <b/>
      <sz val="12"/>
      <color rgb="FF0000FF"/>
      <name val="仿宋_GB2312"/>
      <family val="3"/>
      <charset val="134"/>
    </font>
    <font>
      <b/>
      <sz val="9"/>
      <name val="宋体"/>
      <family val="3"/>
      <charset val="134"/>
    </font>
    <font>
      <sz val="9"/>
      <name val="宋体"/>
      <family val="3"/>
      <charset val="134"/>
    </font>
    <font>
      <sz val="12"/>
      <name val="宋体"/>
      <family val="3"/>
      <charset val="134"/>
    </font>
    <font>
      <u/>
      <sz val="10"/>
      <color rgb="FF0000FF"/>
      <name val="宋体"/>
      <family val="3"/>
      <charset val="134"/>
    </font>
    <font>
      <sz val="10"/>
      <color rgb="FF0000FF"/>
      <name val="Arial Narrow"/>
      <family val="2"/>
    </font>
  </fonts>
  <fills count="58">
    <fill>
      <patternFill patternType="none"/>
    </fill>
    <fill>
      <patternFill patternType="gray125"/>
    </fill>
    <fill>
      <patternFill patternType="solid">
        <fgColor rgb="FFDCD5E5"/>
        <bgColor indexed="64"/>
      </patternFill>
    </fill>
    <fill>
      <patternFill patternType="solid">
        <fgColor rgb="FFE4DFEC"/>
        <bgColor indexed="64"/>
      </patternFill>
    </fill>
    <fill>
      <patternFill patternType="solid">
        <fgColor theme="7" tint="0.79995117038483843"/>
        <bgColor indexed="64"/>
      </patternFill>
    </fill>
    <fill>
      <patternFill patternType="solid">
        <fgColor theme="0"/>
        <bgColor indexed="64"/>
      </patternFill>
    </fill>
    <fill>
      <patternFill patternType="solid">
        <fgColor rgb="FFE4DFEC"/>
        <bgColor rgb="FFB7DEE8"/>
      </patternFill>
    </fill>
    <fill>
      <patternFill patternType="solid">
        <fgColor indexed="14"/>
        <bgColor indexed="64"/>
      </patternFill>
    </fill>
    <fill>
      <patternFill patternType="solid">
        <fgColor rgb="FFC6EFCE"/>
        <bgColor indexed="64"/>
      </patternFill>
    </fill>
    <fill>
      <patternFill patternType="solid">
        <fgColor rgb="FFFFC7CE"/>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5"/>
        <bgColor indexed="64"/>
      </patternFill>
    </fill>
    <fill>
      <patternFill patternType="gray0625">
        <fgColor indexed="10"/>
      </patternFill>
    </fill>
    <fill>
      <patternFill patternType="solid">
        <fgColor indexed="62"/>
        <bgColor indexed="64"/>
      </patternFill>
    </fill>
    <fill>
      <patternFill patternType="solid">
        <fgColor indexed="31"/>
        <bgColor indexed="31"/>
      </patternFill>
    </fill>
    <fill>
      <patternFill patternType="solid">
        <fgColor indexed="44"/>
        <bgColor indexed="44"/>
      </patternFill>
    </fill>
    <fill>
      <patternFill patternType="solid">
        <fgColor indexed="10"/>
        <bgColor indexed="6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bgColor indexed="64"/>
      </patternFill>
    </fill>
    <fill>
      <patternFill patternType="solid">
        <fgColor indexed="42"/>
        <bgColor indexed="42"/>
      </patternFill>
    </fill>
    <fill>
      <patternFill patternType="solid">
        <fgColor indexed="27"/>
        <bgColor indexed="27"/>
      </patternFill>
    </fill>
    <fill>
      <patternFill patternType="solid">
        <fgColor indexed="53"/>
        <bgColor indexed="64"/>
      </patternFill>
    </fill>
    <fill>
      <patternFill patternType="solid">
        <fgColor indexed="47"/>
        <bgColor indexed="47"/>
      </patternFill>
    </fill>
    <fill>
      <patternFill patternType="solid">
        <fgColor indexed="22"/>
        <bgColor indexed="64"/>
      </patternFill>
    </fill>
    <fill>
      <patternFill patternType="solid">
        <fgColor indexed="55"/>
        <bgColor indexed="64"/>
      </patternFill>
    </fill>
    <fill>
      <patternFill patternType="solid">
        <fgColor indexed="13"/>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9"/>
        <bgColor indexed="64"/>
      </patternFill>
    </fill>
    <fill>
      <patternFill patternType="solid">
        <fgColor indexed="40"/>
        <bgColor indexed="64"/>
      </patternFill>
    </fill>
    <fill>
      <patternFill patternType="solid">
        <fgColor indexed="50"/>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indexed="45"/>
        <bgColor indexed="45"/>
      </patternFill>
    </fill>
    <fill>
      <patternFill patternType="solid">
        <fgColor indexed="56"/>
        <bgColor indexed="64"/>
      </patternFill>
    </fill>
    <fill>
      <patternFill patternType="solid">
        <fgColor indexed="18"/>
        <bgColor indexed="64"/>
      </patternFill>
    </fill>
    <fill>
      <patternFill patternType="solid">
        <fgColor indexed="5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s>
  <borders count="32">
    <border>
      <left/>
      <right/>
      <top/>
      <bottom/>
      <diagonal/>
    </border>
    <border>
      <left style="hair">
        <color auto="1"/>
      </left>
      <right style="hair">
        <color auto="1"/>
      </right>
      <top style="hair">
        <color auto="1"/>
      </top>
      <bottom style="hair">
        <color auto="1"/>
      </bottom>
      <diagonal/>
    </border>
    <border>
      <left style="thin">
        <color auto="1"/>
      </left>
      <right/>
      <top/>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bottom style="hair">
        <color auto="1"/>
      </bottom>
      <diagonal/>
    </border>
    <border diagonalUp="1">
      <left style="hair">
        <color auto="1"/>
      </left>
      <right style="hair">
        <color auto="1"/>
      </right>
      <top style="hair">
        <color auto="1"/>
      </top>
      <bottom style="hair">
        <color auto="1"/>
      </bottom>
      <diagonal style="hair">
        <color auto="1"/>
      </diagonal>
    </border>
    <border>
      <left style="hair">
        <color auto="1"/>
      </left>
      <right style="hair">
        <color auto="1"/>
      </right>
      <top/>
      <bottom/>
      <diagonal/>
    </border>
    <border>
      <left/>
      <right/>
      <top style="hair">
        <color auto="1"/>
      </top>
      <bottom/>
      <diagonal/>
    </border>
    <border>
      <left style="hair">
        <color auto="1"/>
      </left>
      <right/>
      <top/>
      <bottom/>
      <diagonal/>
    </border>
    <border>
      <left/>
      <right/>
      <top style="hair">
        <color auto="1"/>
      </top>
      <bottom style="hair">
        <color auto="1"/>
      </bottom>
      <diagonal/>
    </border>
    <border>
      <left/>
      <right/>
      <top/>
      <bottom style="hair">
        <color auto="1"/>
      </bottom>
      <diagonal/>
    </border>
    <border>
      <left/>
      <right/>
      <top style="medium">
        <color auto="1"/>
      </top>
      <bottom/>
      <diagonal/>
    </border>
    <border>
      <left/>
      <right/>
      <top/>
      <bottom style="medium">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s>
  <cellStyleXfs count="1059">
    <xf numFmtId="176" fontId="0" fillId="0" borderId="0">
      <protection locked="0"/>
    </xf>
    <xf numFmtId="43" fontId="146" fillId="0" borderId="0" applyFont="0" applyFill="0" applyBorder="0" applyAlignment="0" applyProtection="0"/>
    <xf numFmtId="9" fontId="146" fillId="0" borderId="0" applyFont="0" applyFill="0" applyBorder="0" applyAlignment="0" applyProtection="0"/>
    <xf numFmtId="176" fontId="42" fillId="0" borderId="0" applyNumberFormat="0" applyFill="0" applyBorder="0" applyAlignment="0" applyProtection="0">
      <alignment vertical="top"/>
      <protection locked="0"/>
    </xf>
    <xf numFmtId="176" fontId="43" fillId="0" borderId="0"/>
    <xf numFmtId="0" fontId="43" fillId="0" borderId="0"/>
    <xf numFmtId="176" fontId="43" fillId="0" borderId="0"/>
    <xf numFmtId="176" fontId="146" fillId="0" borderId="0" applyNumberFormat="0" applyFill="0" applyBorder="0" applyAlignment="0" applyProtection="0"/>
    <xf numFmtId="0" fontId="146" fillId="0" borderId="0" applyNumberFormat="0" applyFill="0" applyBorder="0" applyAlignment="0" applyProtection="0"/>
    <xf numFmtId="0" fontId="43" fillId="0" borderId="0"/>
    <xf numFmtId="176" fontId="43" fillId="0" borderId="0"/>
    <xf numFmtId="176" fontId="43" fillId="0" borderId="0"/>
    <xf numFmtId="0" fontId="43" fillId="0" borderId="0"/>
    <xf numFmtId="176" fontId="44" fillId="0" borderId="0" applyFont="0" applyFill="0" applyBorder="0" applyAlignment="0" applyProtection="0"/>
    <xf numFmtId="176"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76" fontId="45" fillId="0" borderId="0"/>
    <xf numFmtId="176" fontId="43" fillId="0" borderId="0"/>
    <xf numFmtId="176" fontId="43" fillId="0" borderId="0"/>
    <xf numFmtId="0" fontId="43" fillId="0" borderId="0"/>
    <xf numFmtId="176" fontId="43" fillId="0" borderId="0"/>
    <xf numFmtId="176" fontId="43" fillId="0" borderId="0"/>
    <xf numFmtId="0" fontId="43" fillId="0" borderId="0"/>
    <xf numFmtId="176" fontId="43" fillId="0" borderId="0"/>
    <xf numFmtId="176" fontId="43" fillId="0" borderId="0"/>
    <xf numFmtId="0" fontId="43" fillId="0" borderId="0"/>
    <xf numFmtId="49" fontId="46" fillId="0" borderId="0" applyProtection="0">
      <alignment horizontal="left"/>
    </xf>
    <xf numFmtId="49" fontId="46" fillId="0" borderId="0" applyProtection="0">
      <alignment horizontal="left"/>
    </xf>
    <xf numFmtId="176" fontId="47" fillId="0" borderId="0">
      <alignment vertical="top"/>
      <protection locked="0"/>
    </xf>
    <xf numFmtId="0" fontId="47" fillId="0" borderId="0">
      <alignment vertical="top"/>
      <protection locked="0"/>
    </xf>
    <xf numFmtId="176" fontId="47" fillId="0" borderId="0">
      <alignment vertical="top"/>
    </xf>
    <xf numFmtId="0" fontId="47" fillId="0" borderId="0">
      <alignment vertical="top"/>
    </xf>
    <xf numFmtId="176" fontId="43" fillId="0" borderId="0" applyNumberFormat="0" applyFill="0" applyBorder="0" applyAlignment="0">
      <protection locked="0"/>
    </xf>
    <xf numFmtId="0" fontId="43" fillId="0" borderId="0" applyNumberFormat="0" applyFill="0" applyBorder="0" applyAlignment="0">
      <protection locked="0"/>
    </xf>
    <xf numFmtId="176" fontId="47" fillId="0" borderId="0">
      <alignment vertical="top"/>
      <protection locked="0"/>
    </xf>
    <xf numFmtId="0" fontId="47" fillId="0" borderId="0">
      <alignment vertical="top"/>
      <protection locked="0"/>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3" fillId="0" borderId="0" applyNumberFormat="0" applyFill="0" applyBorder="0" applyAlignment="0">
      <protection locked="0"/>
    </xf>
    <xf numFmtId="0" fontId="43" fillId="0" borderId="0" applyNumberFormat="0" applyFill="0" applyBorder="0" applyAlignment="0">
      <protection locked="0"/>
    </xf>
    <xf numFmtId="176" fontId="48" fillId="0" borderId="0"/>
    <xf numFmtId="0" fontId="48" fillId="0" borderId="0"/>
    <xf numFmtId="176" fontId="48" fillId="0" borderId="0"/>
    <xf numFmtId="0" fontId="48" fillId="0" borderId="0"/>
    <xf numFmtId="176" fontId="48" fillId="0" borderId="0"/>
    <xf numFmtId="0" fontId="48" fillId="0" borderId="0"/>
    <xf numFmtId="176" fontId="48" fillId="0" borderId="0"/>
    <xf numFmtId="0" fontId="48" fillId="0" borderId="0"/>
    <xf numFmtId="176" fontId="48" fillId="0" borderId="0"/>
    <xf numFmtId="0" fontId="48" fillId="0" borderId="0"/>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8" fillId="0" borderId="0"/>
    <xf numFmtId="0" fontId="48" fillId="0" borderId="0"/>
    <xf numFmtId="176" fontId="48" fillId="0" borderId="0"/>
    <xf numFmtId="0" fontId="48" fillId="0" borderId="0"/>
    <xf numFmtId="176" fontId="48" fillId="0" borderId="0"/>
    <xf numFmtId="0" fontId="48" fillId="0" borderId="0"/>
    <xf numFmtId="176" fontId="48" fillId="0" borderId="0"/>
    <xf numFmtId="0" fontId="48" fillId="0" borderId="0"/>
    <xf numFmtId="176" fontId="48" fillId="0" borderId="0"/>
    <xf numFmtId="0" fontId="48" fillId="0" borderId="0"/>
    <xf numFmtId="176"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8" fillId="0" borderId="0"/>
    <xf numFmtId="0" fontId="48" fillId="0" borderId="0"/>
    <xf numFmtId="176" fontId="48" fillId="0" borderId="0"/>
    <xf numFmtId="0" fontId="48" fillId="0" borderId="0"/>
    <xf numFmtId="176" fontId="48" fillId="0" borderId="0"/>
    <xf numFmtId="0" fontId="48" fillId="0" borderId="0"/>
    <xf numFmtId="176" fontId="48" fillId="0" borderId="0"/>
    <xf numFmtId="0" fontId="48" fillId="0" borderId="0"/>
    <xf numFmtId="176" fontId="48" fillId="0" borderId="0"/>
    <xf numFmtId="0" fontId="48" fillId="0" borderId="0"/>
    <xf numFmtId="176" fontId="47" fillId="0" borderId="0">
      <alignment vertical="top"/>
    </xf>
    <xf numFmtId="0" fontId="47" fillId="0" borderId="0">
      <alignment vertical="top"/>
    </xf>
    <xf numFmtId="176" fontId="43" fillId="0" borderId="0" applyNumberFormat="0" applyFill="0" applyBorder="0" applyAlignment="0" applyProtection="0"/>
    <xf numFmtId="0" fontId="43" fillId="0" borderId="0" applyNumberFormat="0" applyFill="0" applyBorder="0" applyAlignment="0" applyProtection="0"/>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9" fillId="0" borderId="0"/>
    <xf numFmtId="0" fontId="49" fillId="0" borderId="0"/>
    <xf numFmtId="176"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xf>
    <xf numFmtId="176" fontId="47" fillId="0" borderId="0">
      <alignment vertical="top"/>
    </xf>
    <xf numFmtId="0" fontId="47" fillId="0" borderId="0">
      <alignment vertical="top"/>
    </xf>
    <xf numFmtId="176"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xf>
    <xf numFmtId="176" fontId="47" fillId="0" borderId="0">
      <alignment vertical="top"/>
    </xf>
    <xf numFmtId="0" fontId="47" fillId="0" borderId="0">
      <alignment vertical="top"/>
    </xf>
    <xf numFmtId="176"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xf>
    <xf numFmtId="176" fontId="47" fillId="0" borderId="0">
      <alignment vertical="top"/>
    </xf>
    <xf numFmtId="0" fontId="47" fillId="0" borderId="0">
      <alignment vertical="top"/>
    </xf>
    <xf numFmtId="176" fontId="47" fillId="0" borderId="0">
      <alignment vertical="top"/>
    </xf>
    <xf numFmtId="176" fontId="47" fillId="0" borderId="0">
      <alignment vertical="top"/>
    </xf>
    <xf numFmtId="0" fontId="47" fillId="0" borderId="0">
      <alignment vertical="top"/>
    </xf>
    <xf numFmtId="176"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8" fillId="0" borderId="0"/>
    <xf numFmtId="0" fontId="48" fillId="0" borderId="0"/>
    <xf numFmtId="176" fontId="47" fillId="0" borderId="0">
      <alignment vertical="top"/>
    </xf>
    <xf numFmtId="176" fontId="47" fillId="0" borderId="0">
      <alignment vertical="top"/>
    </xf>
    <xf numFmtId="0" fontId="47" fillId="0" borderId="0">
      <alignment vertical="top"/>
    </xf>
    <xf numFmtId="176" fontId="48" fillId="0" borderId="0"/>
    <xf numFmtId="0" fontId="48" fillId="0" borderId="0"/>
    <xf numFmtId="176" fontId="48" fillId="0" borderId="0"/>
    <xf numFmtId="0" fontId="48" fillId="0" borderId="0"/>
    <xf numFmtId="176" fontId="48" fillId="0" borderId="0"/>
    <xf numFmtId="0" fontId="48" fillId="0" borderId="0"/>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8" fillId="0" borderId="0"/>
    <xf numFmtId="0" fontId="48" fillId="0" borderId="0"/>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xf>
    <xf numFmtId="176" fontId="47" fillId="0" borderId="0">
      <alignment vertical="top"/>
    </xf>
    <xf numFmtId="0"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0" fontId="47" fillId="0" borderId="0">
      <alignment vertical="top"/>
      <protection locked="0"/>
    </xf>
    <xf numFmtId="176" fontId="48" fillId="0" borderId="0"/>
    <xf numFmtId="0" fontId="48" fillId="0" borderId="0"/>
    <xf numFmtId="176"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0" fontId="47" fillId="0" borderId="0">
      <alignment vertical="top"/>
      <protection locked="0"/>
    </xf>
    <xf numFmtId="176"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xf>
    <xf numFmtId="0" fontId="47" fillId="0" borderId="0">
      <alignment vertical="top"/>
    </xf>
    <xf numFmtId="176" fontId="47" fillId="0" borderId="0">
      <alignment vertical="top"/>
      <protection locked="0"/>
    </xf>
    <xf numFmtId="0" fontId="47" fillId="0" borderId="0">
      <alignment vertical="top"/>
      <protection locked="0"/>
    </xf>
    <xf numFmtId="176" fontId="47" fillId="0" borderId="0">
      <alignment vertical="top"/>
    </xf>
    <xf numFmtId="0" fontId="47" fillId="0" borderId="0">
      <alignment vertical="top"/>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7" fillId="0" borderId="0">
      <alignment vertical="top"/>
      <protection locked="0"/>
    </xf>
    <xf numFmtId="0" fontId="47" fillId="0" borderId="0">
      <alignment vertical="top"/>
      <protection locked="0"/>
    </xf>
    <xf numFmtId="176" fontId="48" fillId="0" borderId="0"/>
    <xf numFmtId="0" fontId="48" fillId="0" borderId="0"/>
    <xf numFmtId="176" fontId="47" fillId="0" borderId="0">
      <alignment vertical="top"/>
    </xf>
    <xf numFmtId="176" fontId="47" fillId="0" borderId="0">
      <alignment vertical="top"/>
    </xf>
    <xf numFmtId="0" fontId="47" fillId="0" borderId="0">
      <alignment vertical="top"/>
    </xf>
    <xf numFmtId="176" fontId="47" fillId="0" borderId="0">
      <alignment vertical="top"/>
      <protection locked="0"/>
    </xf>
    <xf numFmtId="0" fontId="47" fillId="0" borderId="0">
      <alignment vertical="top"/>
      <protection locked="0"/>
    </xf>
    <xf numFmtId="176" fontId="47" fillId="0" borderId="0">
      <alignment vertical="top"/>
      <protection locked="0"/>
    </xf>
    <xf numFmtId="176" fontId="47" fillId="0" borderId="0">
      <alignment vertical="top"/>
      <protection locked="0"/>
    </xf>
    <xf numFmtId="0" fontId="47" fillId="0" borderId="0">
      <alignment vertical="top"/>
      <protection locked="0"/>
    </xf>
    <xf numFmtId="176" fontId="48" fillId="0" borderId="0"/>
    <xf numFmtId="0" fontId="48" fillId="0" borderId="0"/>
    <xf numFmtId="177" fontId="46" fillId="0" borderId="0" applyFill="0" applyBorder="0" applyProtection="0">
      <alignment horizontal="right"/>
    </xf>
    <xf numFmtId="178" fontId="46" fillId="0" borderId="0" applyFill="0" applyBorder="0" applyProtection="0">
      <alignment horizontal="right"/>
    </xf>
    <xf numFmtId="179" fontId="50" fillId="0" borderId="0" applyFill="0" applyBorder="0" applyProtection="0">
      <alignment horizontal="center"/>
    </xf>
    <xf numFmtId="180" fontId="50" fillId="0" borderId="0" applyFill="0" applyBorder="0" applyProtection="0">
      <alignment horizontal="center"/>
    </xf>
    <xf numFmtId="181" fontId="51" fillId="0" borderId="0" applyFill="0" applyBorder="0" applyProtection="0">
      <alignment horizontal="right"/>
    </xf>
    <xf numFmtId="182" fontId="46" fillId="0" borderId="0" applyFill="0" applyBorder="0" applyProtection="0">
      <alignment horizontal="right"/>
    </xf>
    <xf numFmtId="183" fontId="46" fillId="0" borderId="0" applyFill="0" applyBorder="0" applyProtection="0">
      <alignment horizontal="right"/>
    </xf>
    <xf numFmtId="184" fontId="46" fillId="0" borderId="0" applyFill="0" applyBorder="0" applyProtection="0">
      <alignment horizontal="right"/>
    </xf>
    <xf numFmtId="185" fontId="46" fillId="0" borderId="0" applyFill="0" applyBorder="0" applyProtection="0">
      <alignment horizontal="right"/>
    </xf>
    <xf numFmtId="186" fontId="52" fillId="0" borderId="0" applyFont="0" applyFill="0" applyBorder="0" applyAlignment="0" applyProtection="0"/>
    <xf numFmtId="176" fontId="49" fillId="0" borderId="0"/>
    <xf numFmtId="0" fontId="49" fillId="0" borderId="0"/>
    <xf numFmtId="187" fontId="52" fillId="0" borderId="0" applyFont="0" applyFill="0" applyBorder="0" applyAlignment="0" applyProtection="0"/>
    <xf numFmtId="10" fontId="52" fillId="0" borderId="0" applyFont="0" applyFill="0" applyBorder="0" applyAlignment="0" applyProtection="0"/>
    <xf numFmtId="188" fontId="146" fillId="0" borderId="0" applyFont="0" applyFill="0" applyBorder="0" applyAlignment="0" applyProtection="0"/>
    <xf numFmtId="176" fontId="53" fillId="10" borderId="0" applyNumberFormat="0" applyBorder="0" applyAlignment="0" applyProtection="0"/>
    <xf numFmtId="176" fontId="53" fillId="11" borderId="0" applyNumberFormat="0" applyBorder="0" applyAlignment="0" applyProtection="0"/>
    <xf numFmtId="176" fontId="53" fillId="12" borderId="0" applyNumberFormat="0" applyBorder="0" applyAlignment="0" applyProtection="0"/>
    <xf numFmtId="176" fontId="53" fillId="13" borderId="0" applyNumberFormat="0" applyBorder="0" applyAlignment="0" applyProtection="0"/>
    <xf numFmtId="176" fontId="53" fillId="14" borderId="0" applyNumberFormat="0" applyBorder="0" applyAlignment="0" applyProtection="0"/>
    <xf numFmtId="176" fontId="53" fillId="15" borderId="0" applyNumberFormat="0" applyBorder="0" applyAlignment="0" applyProtection="0"/>
    <xf numFmtId="176" fontId="53" fillId="16" borderId="0" applyNumberFormat="0" applyBorder="0" applyAlignment="0" applyProtection="0"/>
    <xf numFmtId="176" fontId="53" fillId="17" borderId="0" applyNumberFormat="0" applyBorder="0" applyAlignment="0" applyProtection="0"/>
    <xf numFmtId="176" fontId="53" fillId="18" borderId="0" applyNumberFormat="0" applyBorder="0" applyAlignment="0" applyProtection="0"/>
    <xf numFmtId="176" fontId="53" fillId="13" borderId="0" applyNumberFormat="0" applyBorder="0" applyAlignment="0" applyProtection="0"/>
    <xf numFmtId="176" fontId="53" fillId="16" borderId="0" applyNumberFormat="0" applyBorder="0" applyAlignment="0" applyProtection="0"/>
    <xf numFmtId="176" fontId="53" fillId="19" borderId="0" applyNumberFormat="0" applyBorder="0" applyAlignment="0" applyProtection="0"/>
    <xf numFmtId="176" fontId="54" fillId="20" borderId="0" applyNumberFormat="0" applyBorder="0" applyAlignment="0" applyProtection="0"/>
    <xf numFmtId="176" fontId="54" fillId="17" borderId="0" applyNumberFormat="0" applyBorder="0" applyAlignment="0" applyProtection="0"/>
    <xf numFmtId="176" fontId="54" fillId="18" borderId="0" applyNumberFormat="0" applyBorder="0" applyAlignment="0" applyProtection="0"/>
    <xf numFmtId="176" fontId="54" fillId="21" borderId="0" applyNumberFormat="0" applyBorder="0" applyAlignment="0" applyProtection="0"/>
    <xf numFmtId="176" fontId="54" fillId="22" borderId="0" applyNumberFormat="0" applyBorder="0" applyAlignment="0" applyProtection="0"/>
    <xf numFmtId="176" fontId="54" fillId="23" borderId="0" applyNumberFormat="0" applyBorder="0" applyAlignment="0" applyProtection="0"/>
    <xf numFmtId="176" fontId="55" fillId="0" borderId="16">
      <alignment horizontal="center"/>
    </xf>
    <xf numFmtId="0" fontId="55" fillId="0" borderId="16">
      <alignment horizontal="center"/>
    </xf>
    <xf numFmtId="176" fontId="56" fillId="0" borderId="0"/>
    <xf numFmtId="0" fontId="56" fillId="0" borderId="0"/>
    <xf numFmtId="176" fontId="56" fillId="0" borderId="14" applyFill="0">
      <alignment horizontal="center"/>
      <protection locked="0"/>
    </xf>
    <xf numFmtId="0" fontId="56" fillId="0" borderId="14" applyFill="0">
      <alignment horizontal="center"/>
      <protection locked="0"/>
    </xf>
    <xf numFmtId="176" fontId="55" fillId="0" borderId="0" applyFill="0">
      <alignment horizontal="center"/>
      <protection locked="0"/>
    </xf>
    <xf numFmtId="0" fontId="55" fillId="0" borderId="0" applyFill="0">
      <alignment horizontal="center"/>
      <protection locked="0"/>
    </xf>
    <xf numFmtId="176" fontId="55" fillId="24" borderId="0"/>
    <xf numFmtId="0" fontId="55" fillId="24" borderId="0"/>
    <xf numFmtId="176" fontId="55" fillId="0" borderId="0">
      <protection locked="0"/>
    </xf>
    <xf numFmtId="0" fontId="55" fillId="0" borderId="0">
      <protection locked="0"/>
    </xf>
    <xf numFmtId="176" fontId="55" fillId="0" borderId="0"/>
    <xf numFmtId="0" fontId="55" fillId="0" borderId="0"/>
    <xf numFmtId="189" fontId="55" fillId="0" borderId="0"/>
    <xf numFmtId="190" fontId="55" fillId="0" borderId="0"/>
    <xf numFmtId="176" fontId="56" fillId="25" borderId="0">
      <alignment horizontal="right"/>
    </xf>
    <xf numFmtId="0" fontId="56" fillId="25" borderId="0">
      <alignment horizontal="right"/>
    </xf>
    <xf numFmtId="176" fontId="55" fillId="0" borderId="0"/>
    <xf numFmtId="0" fontId="55" fillId="0" borderId="0"/>
    <xf numFmtId="176" fontId="54" fillId="26" borderId="0" applyNumberFormat="0" applyBorder="0" applyAlignment="0" applyProtection="0"/>
    <xf numFmtId="176" fontId="57" fillId="27" borderId="0" applyNumberFormat="0" applyBorder="0" applyAlignment="0" applyProtection="0"/>
    <xf numFmtId="0" fontId="57" fillId="27" borderId="0" applyNumberFormat="0" applyBorder="0" applyAlignment="0" applyProtection="0"/>
    <xf numFmtId="176" fontId="57" fillId="27" borderId="0" applyNumberFormat="0" applyBorder="0" applyAlignment="0" applyProtection="0"/>
    <xf numFmtId="0" fontId="57" fillId="27" borderId="0" applyNumberFormat="0" applyBorder="0" applyAlignment="0" applyProtection="0"/>
    <xf numFmtId="176" fontId="58" fillId="28" borderId="0" applyNumberFormat="0" applyBorder="0" applyAlignment="0" applyProtection="0"/>
    <xf numFmtId="0" fontId="58" fillId="28" borderId="0" applyNumberFormat="0" applyBorder="0" applyAlignment="0" applyProtection="0"/>
    <xf numFmtId="176" fontId="54" fillId="29" borderId="0" applyNumberFormat="0" applyBorder="0" applyAlignment="0" applyProtection="0"/>
    <xf numFmtId="176" fontId="57" fillId="30" borderId="0" applyNumberFormat="0" applyBorder="0" applyAlignment="0" applyProtection="0"/>
    <xf numFmtId="0" fontId="57" fillId="30" borderId="0" applyNumberFormat="0" applyBorder="0" applyAlignment="0" applyProtection="0"/>
    <xf numFmtId="176" fontId="57" fillId="31" borderId="0" applyNumberFormat="0" applyBorder="0" applyAlignment="0" applyProtection="0"/>
    <xf numFmtId="0" fontId="57" fillId="31" borderId="0" applyNumberFormat="0" applyBorder="0" applyAlignment="0" applyProtection="0"/>
    <xf numFmtId="176" fontId="58" fillId="32" borderId="0" applyNumberFormat="0" applyBorder="0" applyAlignment="0" applyProtection="0"/>
    <xf numFmtId="0" fontId="58" fillId="32" borderId="0" applyNumberFormat="0" applyBorder="0" applyAlignment="0" applyProtection="0"/>
    <xf numFmtId="176" fontId="54" fillId="33" borderId="0" applyNumberFormat="0" applyBorder="0" applyAlignment="0" applyProtection="0"/>
    <xf numFmtId="176" fontId="57" fillId="30" borderId="0" applyNumberFormat="0" applyBorder="0" applyAlignment="0" applyProtection="0"/>
    <xf numFmtId="0" fontId="57" fillId="30" borderId="0" applyNumberFormat="0" applyBorder="0" applyAlignment="0" applyProtection="0"/>
    <xf numFmtId="176" fontId="57" fillId="34" borderId="0" applyNumberFormat="0" applyBorder="0" applyAlignment="0" applyProtection="0"/>
    <xf numFmtId="0" fontId="57" fillId="34" borderId="0" applyNumberFormat="0" applyBorder="0" applyAlignment="0" applyProtection="0"/>
    <xf numFmtId="176" fontId="58" fillId="31" borderId="0" applyNumberFormat="0" applyBorder="0" applyAlignment="0" applyProtection="0"/>
    <xf numFmtId="0" fontId="58" fillId="31" borderId="0" applyNumberFormat="0" applyBorder="0" applyAlignment="0" applyProtection="0"/>
    <xf numFmtId="176" fontId="54" fillId="21" borderId="0" applyNumberFormat="0" applyBorder="0" applyAlignment="0" applyProtection="0"/>
    <xf numFmtId="176" fontId="57" fillId="27" borderId="0" applyNumberFormat="0" applyBorder="0" applyAlignment="0" applyProtection="0"/>
    <xf numFmtId="0" fontId="57" fillId="27" borderId="0" applyNumberFormat="0" applyBorder="0" applyAlignment="0" applyProtection="0"/>
    <xf numFmtId="176" fontId="57" fillId="31" borderId="0" applyNumberFormat="0" applyBorder="0" applyAlignment="0" applyProtection="0"/>
    <xf numFmtId="0" fontId="57" fillId="31" borderId="0" applyNumberFormat="0" applyBorder="0" applyAlignment="0" applyProtection="0"/>
    <xf numFmtId="176" fontId="58" fillId="31" borderId="0" applyNumberFormat="0" applyBorder="0" applyAlignment="0" applyProtection="0"/>
    <xf numFmtId="0" fontId="58" fillId="31" borderId="0" applyNumberFormat="0" applyBorder="0" applyAlignment="0" applyProtection="0"/>
    <xf numFmtId="176" fontId="54" fillId="22" borderId="0" applyNumberFormat="0" applyBorder="0" applyAlignment="0" applyProtection="0"/>
    <xf numFmtId="176" fontId="57" fillId="35" borderId="0" applyNumberFormat="0" applyBorder="0" applyAlignment="0" applyProtection="0"/>
    <xf numFmtId="0" fontId="57" fillId="35" borderId="0" applyNumberFormat="0" applyBorder="0" applyAlignment="0" applyProtection="0"/>
    <xf numFmtId="176" fontId="57" fillId="27" borderId="0" applyNumberFormat="0" applyBorder="0" applyAlignment="0" applyProtection="0"/>
    <xf numFmtId="0" fontId="57" fillId="27" borderId="0" applyNumberFormat="0" applyBorder="0" applyAlignment="0" applyProtection="0"/>
    <xf numFmtId="176" fontId="58" fillId="28" borderId="0" applyNumberFormat="0" applyBorder="0" applyAlignment="0" applyProtection="0"/>
    <xf numFmtId="0" fontId="58" fillId="28" borderId="0" applyNumberFormat="0" applyBorder="0" applyAlignment="0" applyProtection="0"/>
    <xf numFmtId="176" fontId="54" fillId="36" borderId="0" applyNumberFormat="0" applyBorder="0" applyAlignment="0" applyProtection="0"/>
    <xf numFmtId="176" fontId="57" fillId="30" borderId="0" applyNumberFormat="0" applyBorder="0" applyAlignment="0" applyProtection="0"/>
    <xf numFmtId="0" fontId="57" fillId="30" borderId="0" applyNumberFormat="0" applyBorder="0" applyAlignment="0" applyProtection="0"/>
    <xf numFmtId="176" fontId="57" fillId="37" borderId="0" applyNumberFormat="0" applyBorder="0" applyAlignment="0" applyProtection="0"/>
    <xf numFmtId="0" fontId="57" fillId="37" borderId="0" applyNumberFormat="0" applyBorder="0" applyAlignment="0" applyProtection="0"/>
    <xf numFmtId="176" fontId="58" fillId="37" borderId="0" applyNumberFormat="0" applyBorder="0" applyAlignment="0" applyProtection="0"/>
    <xf numFmtId="0" fontId="58" fillId="37" borderId="0" applyNumberFormat="0" applyBorder="0" applyAlignment="0" applyProtection="0"/>
    <xf numFmtId="176" fontId="59" fillId="0" borderId="0">
      <alignment horizontal="center" wrapText="1"/>
      <protection locked="0"/>
    </xf>
    <xf numFmtId="0" fontId="59" fillId="0" borderId="0">
      <alignment horizontal="center" wrapText="1"/>
      <protection locked="0"/>
    </xf>
    <xf numFmtId="176" fontId="60" fillId="11" borderId="0" applyNumberFormat="0" applyBorder="0" applyAlignment="0" applyProtection="0"/>
    <xf numFmtId="3" fontId="61" fillId="0" borderId="0"/>
    <xf numFmtId="191" fontId="62" fillId="0" borderId="17" applyAlignment="0" applyProtection="0"/>
    <xf numFmtId="192" fontId="47" fillId="0" borderId="0" applyFill="0" applyBorder="0" applyAlignment="0"/>
    <xf numFmtId="193" fontId="43" fillId="0" borderId="0" applyFill="0" applyBorder="0" applyAlignment="0"/>
    <xf numFmtId="194" fontId="43" fillId="0" borderId="0" applyFill="0" applyBorder="0" applyAlignment="0"/>
    <xf numFmtId="195" fontId="43" fillId="0" borderId="0" applyFill="0" applyBorder="0" applyAlignment="0"/>
    <xf numFmtId="196" fontId="43" fillId="0" borderId="0" applyFill="0" applyBorder="0" applyAlignment="0"/>
    <xf numFmtId="197" fontId="43" fillId="0" borderId="0" applyFill="0" applyBorder="0" applyAlignment="0"/>
    <xf numFmtId="198" fontId="43" fillId="0" borderId="0" applyFill="0" applyBorder="0" applyAlignment="0"/>
    <xf numFmtId="193" fontId="43" fillId="0" borderId="0" applyFill="0" applyBorder="0" applyAlignment="0"/>
    <xf numFmtId="176" fontId="63" fillId="38" borderId="18" applyNumberFormat="0" applyAlignment="0" applyProtection="0"/>
    <xf numFmtId="176" fontId="64" fillId="0" borderId="0"/>
    <xf numFmtId="0" fontId="64" fillId="0" borderId="0"/>
    <xf numFmtId="176" fontId="65" fillId="39" borderId="19" applyNumberFormat="0" applyAlignment="0" applyProtection="0"/>
    <xf numFmtId="176" fontId="66" fillId="0" borderId="20" applyNumberFormat="0" applyFill="0" applyProtection="0">
      <alignment horizontal="center"/>
    </xf>
    <xf numFmtId="0" fontId="66" fillId="0" borderId="20" applyNumberFormat="0" applyFill="0" applyProtection="0">
      <alignment horizontal="center"/>
    </xf>
    <xf numFmtId="176" fontId="67" fillId="0" borderId="21">
      <alignment horizontal="center"/>
    </xf>
    <xf numFmtId="199" fontId="43" fillId="0" borderId="0"/>
    <xf numFmtId="199" fontId="43" fillId="0" borderId="0"/>
    <xf numFmtId="199" fontId="43" fillId="0" borderId="0"/>
    <xf numFmtId="199" fontId="43" fillId="0" borderId="0"/>
    <xf numFmtId="199" fontId="43" fillId="0" borderId="0"/>
    <xf numFmtId="199" fontId="43" fillId="0" borderId="0"/>
    <xf numFmtId="199" fontId="43" fillId="0" borderId="0"/>
    <xf numFmtId="199" fontId="43" fillId="0" borderId="0"/>
    <xf numFmtId="200" fontId="146" fillId="0" borderId="0" applyFont="0" applyFill="0" applyBorder="0" applyAlignment="0" applyProtection="0"/>
    <xf numFmtId="197" fontId="43" fillId="0" borderId="0" applyFont="0" applyFill="0" applyBorder="0" applyAlignment="0" applyProtection="0"/>
    <xf numFmtId="43" fontId="146" fillId="0" borderId="0" applyFont="0" applyFill="0" applyBorder="0" applyAlignment="0" applyProtection="0"/>
    <xf numFmtId="43" fontId="146" fillId="0" borderId="0" applyFont="0" applyFill="0" applyBorder="0" applyAlignment="0" applyProtection="0"/>
    <xf numFmtId="43" fontId="146" fillId="0" borderId="0" applyFont="0" applyFill="0" applyBorder="0" applyAlignment="0" applyProtection="0"/>
    <xf numFmtId="201" fontId="46" fillId="0" borderId="0"/>
    <xf numFmtId="37" fontId="52" fillId="0" borderId="0" applyFont="0" applyFill="0" applyBorder="0" applyAlignment="0" applyProtection="0"/>
    <xf numFmtId="202" fontId="52" fillId="0" borderId="0" applyFont="0" applyFill="0" applyBorder="0" applyAlignment="0" applyProtection="0"/>
    <xf numFmtId="39" fontId="52" fillId="0" borderId="0" applyFont="0" applyFill="0" applyBorder="0" applyAlignment="0" applyProtection="0"/>
    <xf numFmtId="40" fontId="68" fillId="0" borderId="0" applyFont="0" applyFill="0" applyBorder="0" applyAlignment="0" applyProtection="0"/>
    <xf numFmtId="176" fontId="69" fillId="0" borderId="0" applyNumberFormat="0" applyAlignment="0">
      <alignment horizontal="left"/>
    </xf>
    <xf numFmtId="0" fontId="69" fillId="0" borderId="0" applyNumberFormat="0" applyAlignment="0">
      <alignment horizontal="left"/>
    </xf>
    <xf numFmtId="176" fontId="70" fillId="0" borderId="0" applyNumberFormat="0" applyAlignment="0"/>
    <xf numFmtId="0" fontId="70" fillId="0" borderId="0" applyNumberFormat="0" applyAlignment="0"/>
    <xf numFmtId="200" fontId="71" fillId="0" borderId="0" applyFont="0" applyFill="0" applyBorder="0" applyAlignment="0" applyProtection="0"/>
    <xf numFmtId="193" fontId="43" fillId="0" borderId="0" applyFont="0" applyFill="0" applyBorder="0" applyAlignment="0" applyProtection="0"/>
    <xf numFmtId="191" fontId="52" fillId="0" borderId="0" applyFont="0" applyFill="0" applyBorder="0" applyAlignment="0" applyProtection="0"/>
    <xf numFmtId="203" fontId="52" fillId="0" borderId="0" applyFont="0" applyFill="0" applyBorder="0" applyAlignment="0" applyProtection="0"/>
    <xf numFmtId="204" fontId="146" fillId="0" borderId="0" applyFont="0" applyFill="0" applyBorder="0" applyAlignment="0" applyProtection="0"/>
    <xf numFmtId="205" fontId="46" fillId="0" borderId="0"/>
    <xf numFmtId="206" fontId="43" fillId="0" borderId="0">
      <protection locked="0"/>
    </xf>
    <xf numFmtId="15" fontId="68" fillId="0" borderId="0"/>
    <xf numFmtId="14" fontId="47" fillId="0" borderId="0" applyFill="0" applyBorder="0" applyAlignment="0"/>
    <xf numFmtId="206" fontId="43" fillId="0" borderId="0">
      <protection locked="0"/>
    </xf>
    <xf numFmtId="41" fontId="43" fillId="0" borderId="0" applyFont="0" applyFill="0" applyBorder="0" applyAlignment="0" applyProtection="0"/>
    <xf numFmtId="43" fontId="43" fillId="0" borderId="0" applyFont="0" applyFill="0" applyBorder="0" applyAlignment="0" applyProtection="0"/>
    <xf numFmtId="207" fontId="46" fillId="0" borderId="0"/>
    <xf numFmtId="176" fontId="72" fillId="0" borderId="0" applyNumberFormat="0" applyFill="0" applyBorder="0" applyAlignment="0" applyProtection="0"/>
    <xf numFmtId="0" fontId="72" fillId="0" borderId="0" applyNumberFormat="0" applyFill="0" applyBorder="0" applyAlignment="0" applyProtection="0"/>
    <xf numFmtId="197" fontId="43" fillId="0" borderId="0" applyFill="0" applyBorder="0" applyAlignment="0"/>
    <xf numFmtId="193" fontId="43" fillId="0" borderId="0" applyFill="0" applyBorder="0" applyAlignment="0"/>
    <xf numFmtId="197" fontId="43" fillId="0" borderId="0" applyFill="0" applyBorder="0" applyAlignment="0"/>
    <xf numFmtId="198" fontId="43" fillId="0" borderId="0" applyFill="0" applyBorder="0" applyAlignment="0"/>
    <xf numFmtId="193" fontId="43" fillId="0" borderId="0" applyFill="0" applyBorder="0" applyAlignment="0"/>
    <xf numFmtId="176" fontId="73" fillId="0" borderId="0" applyNumberFormat="0" applyAlignment="0">
      <alignment horizontal="left"/>
    </xf>
    <xf numFmtId="0" fontId="73" fillId="0" borderId="0" applyNumberFormat="0" applyAlignment="0">
      <alignment horizontal="left"/>
    </xf>
    <xf numFmtId="176" fontId="74" fillId="0" borderId="0">
      <alignment horizontal="left"/>
    </xf>
    <xf numFmtId="176" fontId="74" fillId="0" borderId="0">
      <alignment horizontal="left"/>
    </xf>
    <xf numFmtId="0" fontId="74" fillId="0" borderId="0">
      <alignment horizontal="left"/>
    </xf>
    <xf numFmtId="176" fontId="75" fillId="40" borderId="16"/>
    <xf numFmtId="176" fontId="75" fillId="40" borderId="16"/>
    <xf numFmtId="0" fontId="75" fillId="40" borderId="16"/>
    <xf numFmtId="176" fontId="46" fillId="0" borderId="0" applyFont="0" applyFill="0" applyBorder="0" applyAlignment="0" applyProtection="0"/>
    <xf numFmtId="176" fontId="76" fillId="0" borderId="0" applyNumberFormat="0" applyFill="0" applyBorder="0" applyAlignment="0" applyProtection="0"/>
    <xf numFmtId="206" fontId="43" fillId="0" borderId="0">
      <protection locked="0"/>
    </xf>
    <xf numFmtId="206" fontId="43" fillId="0" borderId="0">
      <protection locked="0"/>
    </xf>
    <xf numFmtId="206" fontId="43" fillId="0" borderId="0">
      <protection locked="0"/>
    </xf>
    <xf numFmtId="206" fontId="43" fillId="0" borderId="0">
      <protection locked="0"/>
    </xf>
    <xf numFmtId="206" fontId="43" fillId="0" borderId="0">
      <protection locked="0"/>
    </xf>
    <xf numFmtId="206" fontId="43" fillId="0" borderId="0">
      <protection locked="0"/>
    </xf>
    <xf numFmtId="206" fontId="43" fillId="0" borderId="0">
      <protection locked="0"/>
    </xf>
    <xf numFmtId="206" fontId="43" fillId="0" borderId="0">
      <protection locked="0"/>
    </xf>
    <xf numFmtId="176" fontId="77" fillId="0" borderId="0" applyNumberFormat="0" applyFill="0" applyBorder="0" applyAlignment="0" applyProtection="0">
      <alignment vertical="top"/>
      <protection locked="0"/>
    </xf>
    <xf numFmtId="176" fontId="78" fillId="12" borderId="0" applyNumberFormat="0" applyBorder="0" applyAlignment="0" applyProtection="0"/>
    <xf numFmtId="38" fontId="75" fillId="38" borderId="0" applyNumberFormat="0" applyBorder="0" applyAlignment="0" applyProtection="0"/>
    <xf numFmtId="176" fontId="79" fillId="0" borderId="0">
      <alignment horizontal="left"/>
    </xf>
    <xf numFmtId="0" fontId="79" fillId="0" borderId="0">
      <alignment horizontal="left"/>
    </xf>
    <xf numFmtId="176" fontId="80" fillId="0" borderId="15" applyNumberFormat="0" applyAlignment="0" applyProtection="0">
      <alignment horizontal="left" vertical="center"/>
    </xf>
    <xf numFmtId="176" fontId="80" fillId="0" borderId="15" applyNumberFormat="0" applyAlignment="0" applyProtection="0">
      <alignment horizontal="left" vertical="center"/>
    </xf>
    <xf numFmtId="0" fontId="80" fillId="0" borderId="15" applyNumberFormat="0" applyAlignment="0" applyProtection="0">
      <alignment horizontal="left" vertical="center"/>
    </xf>
    <xf numFmtId="0" fontId="80" fillId="0" borderId="15" applyNumberFormat="0" applyAlignment="0" applyProtection="0">
      <alignment horizontal="left" vertical="center"/>
    </xf>
    <xf numFmtId="176" fontId="80" fillId="0" borderId="15" applyNumberFormat="0" applyAlignment="0" applyProtection="0">
      <alignment horizontal="left" vertical="center"/>
    </xf>
    <xf numFmtId="176" fontId="80" fillId="0" borderId="22">
      <alignment horizontal="left" vertical="center"/>
    </xf>
    <xf numFmtId="176" fontId="80" fillId="0" borderId="22">
      <alignment horizontal="left" vertical="center"/>
    </xf>
    <xf numFmtId="0" fontId="80" fillId="0" borderId="22">
      <alignment horizontal="left" vertical="center"/>
    </xf>
    <xf numFmtId="14" fontId="81" fillId="14" borderId="14">
      <alignment horizontal="center" vertical="center" wrapText="1"/>
    </xf>
    <xf numFmtId="176" fontId="82" fillId="0" borderId="23" applyNumberFormat="0" applyFill="0" applyAlignment="0" applyProtection="0"/>
    <xf numFmtId="176" fontId="83" fillId="0" borderId="24" applyNumberFormat="0" applyFill="0" applyAlignment="0" applyProtection="0"/>
    <xf numFmtId="176" fontId="84" fillId="0" borderId="25" applyNumberFormat="0" applyFill="0" applyAlignment="0" applyProtection="0"/>
    <xf numFmtId="176" fontId="84" fillId="0" borderId="0" applyNumberFormat="0" applyFill="0" applyBorder="0" applyAlignment="0" applyProtection="0"/>
    <xf numFmtId="206" fontId="43" fillId="0" borderId="0">
      <protection locked="0"/>
    </xf>
    <xf numFmtId="206" fontId="43" fillId="0" borderId="0">
      <protection locked="0"/>
    </xf>
    <xf numFmtId="176" fontId="85" fillId="0" borderId="0" applyNumberFormat="0" applyFill="0" applyBorder="0" applyAlignment="0" applyProtection="0">
      <alignment vertical="top"/>
      <protection locked="0"/>
    </xf>
    <xf numFmtId="176" fontId="86" fillId="15" borderId="18" applyNumberFormat="0" applyAlignment="0" applyProtection="0"/>
    <xf numFmtId="10" fontId="75" fillId="41" borderId="16" applyNumberFormat="0" applyBorder="0" applyAlignment="0" applyProtection="0"/>
    <xf numFmtId="202" fontId="87" fillId="42" borderId="0"/>
    <xf numFmtId="208" fontId="146" fillId="42" borderId="0"/>
    <xf numFmtId="176" fontId="46" fillId="0" borderId="0" applyNumberFormat="0" applyFont="0" applyFill="0" applyBorder="0" applyProtection="0">
      <alignment horizontal="left" vertical="center"/>
    </xf>
    <xf numFmtId="176" fontId="46" fillId="0" borderId="0" applyNumberFormat="0" applyFont="0" applyFill="0" applyBorder="0" applyProtection="0">
      <alignment horizontal="left" vertical="center"/>
    </xf>
    <xf numFmtId="0" fontId="46" fillId="0" borderId="0" applyNumberFormat="0" applyFont="0" applyFill="0" applyBorder="0" applyProtection="0">
      <alignment horizontal="left" vertical="center"/>
    </xf>
    <xf numFmtId="197" fontId="43" fillId="0" borderId="0" applyFill="0" applyBorder="0" applyAlignment="0"/>
    <xf numFmtId="193" fontId="43" fillId="0" borderId="0" applyFill="0" applyBorder="0" applyAlignment="0"/>
    <xf numFmtId="197" fontId="43" fillId="0" borderId="0" applyFill="0" applyBorder="0" applyAlignment="0"/>
    <xf numFmtId="198" fontId="43" fillId="0" borderId="0" applyFill="0" applyBorder="0" applyAlignment="0"/>
    <xf numFmtId="193" fontId="43" fillId="0" borderId="0" applyFill="0" applyBorder="0" applyAlignment="0"/>
    <xf numFmtId="176" fontId="88" fillId="0" borderId="26" applyNumberFormat="0" applyFill="0" applyAlignment="0" applyProtection="0"/>
    <xf numFmtId="202" fontId="89" fillId="43" borderId="0"/>
    <xf numFmtId="208" fontId="146" fillId="43" borderId="0"/>
    <xf numFmtId="41" fontId="43" fillId="0" borderId="0" applyFont="0" applyFill="0" applyBorder="0" applyAlignment="0" applyProtection="0"/>
    <xf numFmtId="43"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176" fontId="90" fillId="0" borderId="14"/>
    <xf numFmtId="0" fontId="90" fillId="0" borderId="14"/>
    <xf numFmtId="200" fontId="43" fillId="0" borderId="0" applyFont="0" applyFill="0" applyBorder="0" applyAlignment="0" applyProtection="0"/>
    <xf numFmtId="209" fontId="43" fillId="0" borderId="0" applyFont="0" applyFill="0" applyBorder="0" applyAlignment="0" applyProtection="0"/>
    <xf numFmtId="176" fontId="43" fillId="0" borderId="0" applyFont="0" applyFill="0" applyBorder="0" applyAlignment="0" applyProtection="0"/>
    <xf numFmtId="176" fontId="43" fillId="0" borderId="0" applyFont="0" applyFill="0" applyBorder="0" applyAlignment="0" applyProtection="0"/>
    <xf numFmtId="210" fontId="43" fillId="0" borderId="0" applyFont="0" applyFill="0" applyBorder="0" applyAlignment="0" applyProtection="0"/>
    <xf numFmtId="211" fontId="146" fillId="0" borderId="0" applyFont="0" applyFill="0" applyBorder="0" applyAlignment="0" applyProtection="0"/>
    <xf numFmtId="176" fontId="91" fillId="44" borderId="0" applyNumberFormat="0" applyBorder="0" applyAlignment="0" applyProtection="0"/>
    <xf numFmtId="176" fontId="46" fillId="0" borderId="0"/>
    <xf numFmtId="0" fontId="46" fillId="0" borderId="0"/>
    <xf numFmtId="37" fontId="92" fillId="0" borderId="0"/>
    <xf numFmtId="176" fontId="70" fillId="0" borderId="0"/>
    <xf numFmtId="0" fontId="70" fillId="0" borderId="0"/>
    <xf numFmtId="212" fontId="146" fillId="0" borderId="0"/>
    <xf numFmtId="176" fontId="43" fillId="0" borderId="0"/>
    <xf numFmtId="176" fontId="43" fillId="0" borderId="0"/>
    <xf numFmtId="0" fontId="43" fillId="0" borderId="0"/>
    <xf numFmtId="0" fontId="43" fillId="0" borderId="0"/>
    <xf numFmtId="176" fontId="146" fillId="0" borderId="0"/>
    <xf numFmtId="0" fontId="146" fillId="0" borderId="0"/>
    <xf numFmtId="176" fontId="146" fillId="0" borderId="0">
      <alignment vertical="center"/>
    </xf>
    <xf numFmtId="0" fontId="146" fillId="0" borderId="0">
      <alignment vertical="center"/>
    </xf>
    <xf numFmtId="176" fontId="68" fillId="0" borderId="0"/>
    <xf numFmtId="176" fontId="93" fillId="0" borderId="0"/>
    <xf numFmtId="176" fontId="43" fillId="41" borderId="27" applyNumberFormat="0" applyFont="0" applyAlignment="0" applyProtection="0"/>
    <xf numFmtId="213" fontId="146" fillId="0" borderId="0" applyFont="0" applyFill="0" applyBorder="0" applyAlignment="0" applyProtection="0"/>
    <xf numFmtId="214" fontId="146" fillId="0" borderId="0" applyFont="0" applyFill="0" applyBorder="0" applyAlignment="0" applyProtection="0"/>
    <xf numFmtId="176" fontId="94" fillId="38" borderId="28" applyNumberFormat="0" applyAlignment="0" applyProtection="0"/>
    <xf numFmtId="14" fontId="59" fillId="0" borderId="0">
      <alignment horizontal="center" wrapText="1"/>
      <protection locked="0"/>
    </xf>
    <xf numFmtId="215" fontId="43" fillId="0" borderId="0" applyFont="0" applyFill="0" applyBorder="0" applyAlignment="0" applyProtection="0"/>
    <xf numFmtId="196" fontId="43" fillId="0" borderId="0" applyFont="0" applyFill="0" applyBorder="0" applyAlignment="0" applyProtection="0"/>
    <xf numFmtId="186" fontId="43" fillId="0" borderId="0" applyFont="0" applyFill="0" applyBorder="0" applyAlignment="0" applyProtection="0"/>
    <xf numFmtId="10" fontId="43" fillId="0" borderId="0" applyFont="0" applyFill="0" applyBorder="0" applyAlignment="0" applyProtection="0"/>
    <xf numFmtId="9" fontId="48" fillId="0" borderId="0" applyFont="0" applyFill="0" applyBorder="0" applyAlignment="0" applyProtection="0"/>
    <xf numFmtId="13" fontId="43" fillId="0" borderId="0" applyFont="0" applyFill="0" applyProtection="0"/>
    <xf numFmtId="176" fontId="75" fillId="38" borderId="16"/>
    <xf numFmtId="176" fontId="75" fillId="38" borderId="16"/>
    <xf numFmtId="0" fontId="75" fillId="38" borderId="16"/>
    <xf numFmtId="197" fontId="43" fillId="0" borderId="0" applyFill="0" applyBorder="0" applyAlignment="0"/>
    <xf numFmtId="193" fontId="43" fillId="0" borderId="0" applyFill="0" applyBorder="0" applyAlignment="0"/>
    <xf numFmtId="197" fontId="43" fillId="0" borderId="0" applyFill="0" applyBorder="0" applyAlignment="0"/>
    <xf numFmtId="198" fontId="43" fillId="0" borderId="0" applyFill="0" applyBorder="0" applyAlignment="0"/>
    <xf numFmtId="193" fontId="43" fillId="0" borderId="0" applyFill="0" applyBorder="0" applyAlignment="0"/>
    <xf numFmtId="4" fontId="74" fillId="0" borderId="0">
      <alignment horizontal="right"/>
    </xf>
    <xf numFmtId="216" fontId="95" fillId="0" borderId="0"/>
    <xf numFmtId="188" fontId="95" fillId="0" borderId="0"/>
    <xf numFmtId="176" fontId="68" fillId="0" borderId="0" applyNumberFormat="0" applyFont="0" applyFill="0" applyBorder="0" applyAlignment="0" applyProtection="0">
      <alignment horizontal="left"/>
    </xf>
    <xf numFmtId="0" fontId="68" fillId="0" borderId="0" applyNumberFormat="0" applyFont="0" applyFill="0" applyBorder="0" applyAlignment="0" applyProtection="0">
      <alignment horizontal="left"/>
    </xf>
    <xf numFmtId="176" fontId="62" fillId="0" borderId="14">
      <alignment horizontal="center"/>
    </xf>
    <xf numFmtId="0" fontId="62" fillId="0" borderId="14">
      <alignment horizontal="center"/>
    </xf>
    <xf numFmtId="3" fontId="96" fillId="0" borderId="0"/>
    <xf numFmtId="4" fontId="97" fillId="0" borderId="0">
      <alignment horizontal="right"/>
    </xf>
    <xf numFmtId="217" fontId="49" fillId="0" borderId="0" applyNumberFormat="0" applyFill="0" applyBorder="0" applyAlignment="0" applyProtection="0">
      <alignment horizontal="left"/>
    </xf>
    <xf numFmtId="218" fontId="146" fillId="0" borderId="0" applyNumberFormat="0" applyFill="0" applyBorder="0" applyAlignment="0" applyProtection="0">
      <alignment horizontal="left"/>
    </xf>
    <xf numFmtId="41" fontId="46" fillId="0" borderId="0" applyFont="0" applyFill="0" applyBorder="0" applyAlignment="0" applyProtection="0"/>
    <xf numFmtId="176" fontId="98" fillId="45" borderId="0">
      <alignment horizontal="left" vertical="center"/>
    </xf>
    <xf numFmtId="0" fontId="98" fillId="45" borderId="0">
      <alignment horizontal="left" vertical="center"/>
    </xf>
    <xf numFmtId="176" fontId="98" fillId="45" borderId="0">
      <alignment horizontal="right" vertical="center"/>
    </xf>
    <xf numFmtId="0" fontId="98" fillId="45" borderId="0">
      <alignment horizontal="right" vertical="center"/>
    </xf>
    <xf numFmtId="4" fontId="99" fillId="44" borderId="29" applyNumberFormat="0" applyProtection="0">
      <alignment vertical="center"/>
    </xf>
    <xf numFmtId="4" fontId="100" fillId="44" borderId="29" applyNumberFormat="0" applyProtection="0">
      <alignment vertical="center"/>
    </xf>
    <xf numFmtId="4" fontId="99" fillId="44" borderId="29" applyNumberFormat="0" applyProtection="0">
      <alignment horizontal="left" vertical="center" indent="1"/>
    </xf>
    <xf numFmtId="176" fontId="99" fillId="44" borderId="29" applyNumberFormat="0" applyProtection="0">
      <alignment horizontal="left" vertical="top" indent="1"/>
    </xf>
    <xf numFmtId="0" fontId="99" fillId="44" borderId="29" applyNumberFormat="0" applyProtection="0">
      <alignment horizontal="left" vertical="top" indent="1"/>
    </xf>
    <xf numFmtId="4" fontId="99" fillId="46" borderId="0" applyNumberFormat="0" applyProtection="0">
      <alignment horizontal="left" vertical="center" indent="1"/>
    </xf>
    <xf numFmtId="4" fontId="47" fillId="11" borderId="29" applyNumberFormat="0" applyProtection="0">
      <alignment horizontal="right" vertical="center"/>
    </xf>
    <xf numFmtId="4" fontId="47" fillId="17" borderId="29" applyNumberFormat="0" applyProtection="0">
      <alignment horizontal="right" vertical="center"/>
    </xf>
    <xf numFmtId="4" fontId="47" fillId="29" borderId="29" applyNumberFormat="0" applyProtection="0">
      <alignment horizontal="right" vertical="center"/>
    </xf>
    <xf numFmtId="4" fontId="47" fillId="19" borderId="29" applyNumberFormat="0" applyProtection="0">
      <alignment horizontal="right" vertical="center"/>
    </xf>
    <xf numFmtId="4" fontId="47" fillId="23" borderId="29" applyNumberFormat="0" applyProtection="0">
      <alignment horizontal="right" vertical="center"/>
    </xf>
    <xf numFmtId="4" fontId="47" fillId="36" borderId="29" applyNumberFormat="0" applyProtection="0">
      <alignment horizontal="right" vertical="center"/>
    </xf>
    <xf numFmtId="4" fontId="47" fillId="33" borderId="29" applyNumberFormat="0" applyProtection="0">
      <alignment horizontal="right" vertical="center"/>
    </xf>
    <xf numFmtId="4" fontId="47" fillId="47" borderId="29" applyNumberFormat="0" applyProtection="0">
      <alignment horizontal="right" vertical="center"/>
    </xf>
    <xf numFmtId="4" fontId="47" fillId="18" borderId="29" applyNumberFormat="0" applyProtection="0">
      <alignment horizontal="right" vertical="center"/>
    </xf>
    <xf numFmtId="4" fontId="99" fillId="48" borderId="30" applyNumberFormat="0" applyProtection="0">
      <alignment horizontal="left" vertical="center" indent="1"/>
    </xf>
    <xf numFmtId="4" fontId="47" fillId="49" borderId="0" applyNumberFormat="0" applyProtection="0">
      <alignment horizontal="left" vertical="center" indent="1"/>
    </xf>
    <xf numFmtId="4" fontId="101" fillId="50" borderId="0" applyNumberFormat="0" applyProtection="0">
      <alignment horizontal="left" vertical="center" indent="1"/>
    </xf>
    <xf numFmtId="4" fontId="47" fillId="46" borderId="29" applyNumberFormat="0" applyProtection="0">
      <alignment horizontal="right" vertical="center"/>
    </xf>
    <xf numFmtId="4" fontId="47" fillId="49" borderId="0" applyNumberFormat="0" applyProtection="0">
      <alignment horizontal="left" vertical="center" indent="1"/>
    </xf>
    <xf numFmtId="4" fontId="47" fillId="46" borderId="0" applyNumberFormat="0" applyProtection="0">
      <alignment horizontal="left" vertical="center" indent="1"/>
    </xf>
    <xf numFmtId="176" fontId="43" fillId="50" borderId="29" applyNumberFormat="0" applyProtection="0">
      <alignment horizontal="left" vertical="center" indent="1"/>
    </xf>
    <xf numFmtId="0" fontId="43" fillId="50" borderId="29" applyNumberFormat="0" applyProtection="0">
      <alignment horizontal="left" vertical="center" indent="1"/>
    </xf>
    <xf numFmtId="176" fontId="43" fillId="50" borderId="29" applyNumberFormat="0" applyProtection="0">
      <alignment horizontal="left" vertical="top" indent="1"/>
    </xf>
    <xf numFmtId="0" fontId="43" fillId="50" borderId="29" applyNumberFormat="0" applyProtection="0">
      <alignment horizontal="left" vertical="top" indent="1"/>
    </xf>
    <xf numFmtId="176" fontId="43" fillId="46" borderId="29" applyNumberFormat="0" applyProtection="0">
      <alignment horizontal="left" vertical="center" indent="1"/>
    </xf>
    <xf numFmtId="0" fontId="43" fillId="46" borderId="29" applyNumberFormat="0" applyProtection="0">
      <alignment horizontal="left" vertical="center" indent="1"/>
    </xf>
    <xf numFmtId="176" fontId="43" fillId="46" borderId="29" applyNumberFormat="0" applyProtection="0">
      <alignment horizontal="left" vertical="top" indent="1"/>
    </xf>
    <xf numFmtId="0" fontId="43" fillId="46" borderId="29" applyNumberFormat="0" applyProtection="0">
      <alignment horizontal="left" vertical="top" indent="1"/>
    </xf>
    <xf numFmtId="176" fontId="43" fillId="16" borderId="29" applyNumberFormat="0" applyProtection="0">
      <alignment horizontal="left" vertical="center" indent="1"/>
    </xf>
    <xf numFmtId="0" fontId="43" fillId="16" borderId="29" applyNumberFormat="0" applyProtection="0">
      <alignment horizontal="left" vertical="center" indent="1"/>
    </xf>
    <xf numFmtId="176" fontId="43" fillId="16" borderId="29" applyNumberFormat="0" applyProtection="0">
      <alignment horizontal="left" vertical="top" indent="1"/>
    </xf>
    <xf numFmtId="0" fontId="43" fillId="16" borderId="29" applyNumberFormat="0" applyProtection="0">
      <alignment horizontal="left" vertical="top" indent="1"/>
    </xf>
    <xf numFmtId="176" fontId="43" fillId="49" borderId="29" applyNumberFormat="0" applyProtection="0">
      <alignment horizontal="left" vertical="center" indent="1"/>
    </xf>
    <xf numFmtId="0" fontId="43" fillId="49" borderId="29" applyNumberFormat="0" applyProtection="0">
      <alignment horizontal="left" vertical="center" indent="1"/>
    </xf>
    <xf numFmtId="176" fontId="43" fillId="49" borderId="29" applyNumberFormat="0" applyProtection="0">
      <alignment horizontal="left" vertical="top" indent="1"/>
    </xf>
    <xf numFmtId="0" fontId="43" fillId="49" borderId="29" applyNumberFormat="0" applyProtection="0">
      <alignment horizontal="left" vertical="top" indent="1"/>
    </xf>
    <xf numFmtId="4" fontId="47" fillId="41" borderId="29" applyNumberFormat="0" applyProtection="0">
      <alignment vertical="center"/>
    </xf>
    <xf numFmtId="4" fontId="102" fillId="41" borderId="29" applyNumberFormat="0" applyProtection="0">
      <alignment vertical="center"/>
    </xf>
    <xf numFmtId="4" fontId="47" fillId="41" borderId="29" applyNumberFormat="0" applyProtection="0">
      <alignment horizontal="left" vertical="center" indent="1"/>
    </xf>
    <xf numFmtId="176" fontId="47" fillId="41" borderId="29" applyNumberFormat="0" applyProtection="0">
      <alignment horizontal="left" vertical="top" indent="1"/>
    </xf>
    <xf numFmtId="0" fontId="47" fillId="41" borderId="29" applyNumberFormat="0" applyProtection="0">
      <alignment horizontal="left" vertical="top" indent="1"/>
    </xf>
    <xf numFmtId="4" fontId="47" fillId="49" borderId="29" applyNumberFormat="0" applyProtection="0">
      <alignment horizontal="right" vertical="center"/>
    </xf>
    <xf numFmtId="4" fontId="102" fillId="49" borderId="29" applyNumberFormat="0" applyProtection="0">
      <alignment horizontal="right" vertical="center"/>
    </xf>
    <xf numFmtId="4" fontId="47" fillId="46" borderId="29" applyNumberFormat="0" applyProtection="0">
      <alignment horizontal="left" vertical="center" indent="1"/>
    </xf>
    <xf numFmtId="176" fontId="47" fillId="46" borderId="29" applyNumberFormat="0" applyProtection="0">
      <alignment horizontal="left" vertical="top" indent="1"/>
    </xf>
    <xf numFmtId="0" fontId="47" fillId="46" borderId="29" applyNumberFormat="0" applyProtection="0">
      <alignment horizontal="left" vertical="top" indent="1"/>
    </xf>
    <xf numFmtId="4" fontId="103" fillId="42" borderId="0" applyNumberFormat="0" applyProtection="0">
      <alignment horizontal="left" vertical="center" indent="1"/>
    </xf>
    <xf numFmtId="4" fontId="104" fillId="49" borderId="29" applyNumberFormat="0" applyProtection="0">
      <alignment horizontal="right" vertical="center"/>
    </xf>
    <xf numFmtId="176" fontId="105" fillId="0" borderId="0">
      <alignment horizontal="left"/>
    </xf>
    <xf numFmtId="176" fontId="105" fillId="0" borderId="0">
      <alignment horizontal="left"/>
    </xf>
    <xf numFmtId="0" fontId="105" fillId="0" borderId="0">
      <alignment horizontal="left"/>
    </xf>
    <xf numFmtId="43" fontId="75" fillId="0" borderId="1"/>
    <xf numFmtId="43" fontId="75" fillId="0" borderId="1"/>
    <xf numFmtId="43" fontId="75" fillId="0" borderId="1"/>
    <xf numFmtId="176" fontId="93" fillId="0" borderId="0"/>
    <xf numFmtId="176" fontId="106" fillId="0" borderId="16">
      <alignment horizontal="center"/>
    </xf>
    <xf numFmtId="176" fontId="106" fillId="0" borderId="16">
      <alignment horizontal="center"/>
    </xf>
    <xf numFmtId="0" fontId="106" fillId="0" borderId="16">
      <alignment horizontal="center"/>
    </xf>
    <xf numFmtId="176" fontId="106" fillId="0" borderId="0">
      <alignment horizontal="center" vertical="center"/>
    </xf>
    <xf numFmtId="176" fontId="106" fillId="0" borderId="0">
      <alignment horizontal="center" vertical="center"/>
    </xf>
    <xf numFmtId="0" fontId="106" fillId="0" borderId="0">
      <alignment horizontal="center" vertical="center"/>
    </xf>
    <xf numFmtId="176" fontId="107" fillId="0" borderId="0" applyNumberFormat="0" applyFill="0">
      <alignment horizontal="left" vertical="center"/>
    </xf>
    <xf numFmtId="176" fontId="107" fillId="0" borderId="0" applyNumberFormat="0" applyFill="0">
      <alignment horizontal="left" vertical="center"/>
    </xf>
    <xf numFmtId="0" fontId="107" fillId="0" borderId="0" applyNumberFormat="0" applyFill="0">
      <alignment horizontal="left" vertical="center"/>
    </xf>
    <xf numFmtId="176" fontId="90" fillId="0" borderId="0"/>
    <xf numFmtId="0" fontId="90" fillId="0" borderId="0"/>
    <xf numFmtId="40" fontId="108" fillId="0" borderId="0" applyBorder="0">
      <alignment horizontal="right"/>
    </xf>
    <xf numFmtId="49" fontId="47" fillId="0" borderId="0" applyFill="0" applyBorder="0" applyAlignment="0"/>
    <xf numFmtId="219" fontId="47" fillId="0" borderId="0" applyFill="0" applyBorder="0" applyAlignment="0"/>
    <xf numFmtId="220" fontId="43" fillId="0" borderId="0" applyFill="0" applyBorder="0" applyAlignment="0"/>
    <xf numFmtId="176" fontId="109" fillId="0" borderId="0" applyFill="0" applyBorder="0" applyProtection="0">
      <alignment horizontal="left" vertical="top"/>
    </xf>
    <xf numFmtId="176" fontId="109" fillId="0" borderId="0" applyFill="0" applyBorder="0" applyProtection="0">
      <alignment horizontal="left" vertical="top"/>
    </xf>
    <xf numFmtId="0" fontId="109" fillId="0" borderId="0" applyFill="0" applyBorder="0" applyProtection="0">
      <alignment horizontal="left" vertical="top"/>
    </xf>
    <xf numFmtId="176" fontId="110" fillId="0" borderId="0">
      <alignment horizontal="center"/>
    </xf>
    <xf numFmtId="176" fontId="110" fillId="0" borderId="0">
      <alignment horizontal="center"/>
    </xf>
    <xf numFmtId="0" fontId="110" fillId="0" borderId="0">
      <alignment horizontal="center"/>
    </xf>
    <xf numFmtId="176" fontId="111" fillId="0" borderId="31" applyNumberFormat="0" applyFill="0" applyAlignment="0" applyProtection="0"/>
    <xf numFmtId="221" fontId="43" fillId="0" borderId="0" applyFont="0" applyFill="0" applyBorder="0" applyAlignment="0" applyProtection="0"/>
    <xf numFmtId="222" fontId="43" fillId="0" borderId="0" applyFont="0" applyFill="0" applyBorder="0" applyAlignment="0" applyProtection="0"/>
    <xf numFmtId="223" fontId="146" fillId="0" borderId="0" applyFont="0" applyFill="0" applyBorder="0" applyAlignment="0" applyProtection="0"/>
    <xf numFmtId="224" fontId="146" fillId="0" borderId="0" applyFont="0" applyFill="0" applyBorder="0" applyAlignment="0" applyProtection="0"/>
    <xf numFmtId="176" fontId="112" fillId="0" borderId="0" applyNumberFormat="0" applyFill="0" applyBorder="0" applyAlignment="0" applyProtection="0"/>
    <xf numFmtId="176" fontId="113" fillId="0" borderId="0" applyNumberFormat="0" applyFont="0" applyFill="0" applyBorder="0" applyProtection="0">
      <alignment horizontal="center" vertical="center" wrapText="1"/>
    </xf>
    <xf numFmtId="176" fontId="113" fillId="0" borderId="0" applyNumberFormat="0" applyFont="0" applyFill="0" applyBorder="0" applyProtection="0">
      <alignment horizontal="center" vertical="center" wrapText="1"/>
    </xf>
    <xf numFmtId="0" fontId="113" fillId="0" borderId="0" applyNumberFormat="0" applyFont="0" applyFill="0" applyBorder="0" applyProtection="0">
      <alignment horizontal="center" vertical="center" wrapText="1"/>
    </xf>
    <xf numFmtId="9" fontId="114" fillId="0" borderId="0" applyFont="0" applyFill="0" applyBorder="0" applyAlignment="0" applyProtection="0"/>
    <xf numFmtId="176" fontId="49" fillId="0" borderId="0"/>
    <xf numFmtId="176" fontId="16" fillId="0" borderId="0"/>
    <xf numFmtId="225" fontId="49" fillId="0" borderId="0" applyFont="0" applyFill="0" applyBorder="0" applyAlignment="0" applyProtection="0"/>
    <xf numFmtId="226" fontId="49" fillId="0" borderId="0" applyFont="0" applyFill="0" applyBorder="0" applyAlignment="0" applyProtection="0"/>
    <xf numFmtId="41" fontId="43" fillId="0" borderId="0" applyFont="0" applyFill="0" applyBorder="0" applyAlignment="0" applyProtection="0"/>
    <xf numFmtId="9" fontId="49" fillId="0" borderId="0" applyFont="0" applyFill="0" applyBorder="0" applyAlignment="0" applyProtection="0"/>
    <xf numFmtId="9" fontId="43" fillId="0" borderId="0" applyFont="0" applyFill="0" applyBorder="0" applyAlignment="0" applyProtection="0"/>
    <xf numFmtId="9" fontId="146" fillId="0" borderId="0" applyFont="0" applyFill="0" applyBorder="0" applyAlignment="0" applyProtection="0">
      <alignment vertical="center"/>
    </xf>
    <xf numFmtId="9" fontId="146" fillId="0" borderId="0" applyFont="0" applyFill="0" applyBorder="0" applyAlignment="0" applyProtection="0"/>
    <xf numFmtId="9" fontId="9" fillId="0" borderId="0">
      <alignment vertical="center"/>
    </xf>
    <xf numFmtId="176" fontId="115" fillId="0" borderId="0" applyFont="0" applyFill="0" applyBorder="0" applyAlignment="0" applyProtection="0"/>
    <xf numFmtId="176" fontId="115" fillId="0" borderId="0" applyFont="0" applyFill="0" applyBorder="0" applyAlignment="0" applyProtection="0"/>
    <xf numFmtId="4" fontId="116" fillId="0" borderId="0">
      <alignment horizontal="right"/>
    </xf>
    <xf numFmtId="176" fontId="117" fillId="0" borderId="0" applyNumberFormat="0" applyFill="0" applyBorder="0" applyAlignment="0" applyProtection="0"/>
    <xf numFmtId="0" fontId="117" fillId="0" borderId="0" applyNumberFormat="0" applyFill="0" applyBorder="0" applyAlignment="0" applyProtection="0"/>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20" fillId="51" borderId="0" applyNumberFormat="0" applyBorder="0" applyAlignment="0" applyProtection="0"/>
    <xf numFmtId="0" fontId="120" fillId="51" borderId="0" applyNumberFormat="0" applyBorder="0" applyAlignment="0" applyProtection="0"/>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21" fillId="40" borderId="0" applyNumberFormat="0" applyBorder="0" applyAlignment="0" applyProtection="0">
      <alignment vertical="center"/>
    </xf>
    <xf numFmtId="0" fontId="121" fillId="40"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22" fillId="9" borderId="0" applyNumberFormat="0" applyBorder="0" applyAlignment="0" applyProtection="0">
      <alignment vertical="center"/>
    </xf>
    <xf numFmtId="0" fontId="122" fillId="9" borderId="0" applyNumberFormat="0" applyBorder="0" applyAlignment="0" applyProtection="0">
      <alignment vertical="center"/>
    </xf>
    <xf numFmtId="176" fontId="123" fillId="11" borderId="0" applyNumberFormat="0" applyBorder="0" applyAlignment="0" applyProtection="0">
      <alignment vertical="center"/>
    </xf>
    <xf numFmtId="0" fontId="123" fillId="11" borderId="0" applyNumberFormat="0" applyBorder="0" applyAlignment="0" applyProtection="0">
      <alignment vertical="center"/>
    </xf>
    <xf numFmtId="176" fontId="123" fillId="11" borderId="0" applyNumberFormat="0" applyBorder="0" applyAlignment="0" applyProtection="0">
      <alignment vertical="center"/>
    </xf>
    <xf numFmtId="0" fontId="123" fillId="11"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21" fillId="40" borderId="0" applyNumberFormat="0" applyBorder="0" applyAlignment="0" applyProtection="0">
      <alignment vertical="center"/>
    </xf>
    <xf numFmtId="0" fontId="121" fillId="40"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9" fillId="11" borderId="0" applyNumberFormat="0" applyBorder="0" applyAlignment="0" applyProtection="0">
      <alignment vertical="center"/>
    </xf>
    <xf numFmtId="0" fontId="119" fillId="11"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36" borderId="0" applyNumberFormat="0" applyBorder="0" applyAlignment="0" applyProtection="0">
      <alignment vertical="center"/>
    </xf>
    <xf numFmtId="0" fontId="118" fillId="36"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18" fillId="19" borderId="0" applyNumberFormat="0" applyBorder="0" applyAlignment="0" applyProtection="0">
      <alignment vertical="center"/>
    </xf>
    <xf numFmtId="0" fontId="118" fillId="19" borderId="0" applyNumberFormat="0" applyBorder="0" applyAlignment="0" applyProtection="0">
      <alignment vertical="center"/>
    </xf>
    <xf numFmtId="176" fontId="124" fillId="13" borderId="0" applyNumberFormat="0" applyBorder="0" applyAlignment="0" applyProtection="0">
      <alignment vertical="center"/>
    </xf>
    <xf numFmtId="0" fontId="124" fillId="13" borderId="0" applyNumberFormat="0" applyBorder="0" applyAlignment="0" applyProtection="0">
      <alignment vertical="center"/>
    </xf>
    <xf numFmtId="176" fontId="41" fillId="0" borderId="0">
      <alignment vertical="center"/>
    </xf>
    <xf numFmtId="0" fontId="41" fillId="0" borderId="0">
      <alignment vertical="center"/>
    </xf>
    <xf numFmtId="0" fontId="41" fillId="0" borderId="0">
      <alignment vertical="center"/>
    </xf>
    <xf numFmtId="176" fontId="9" fillId="0" borderId="0">
      <alignment vertical="center"/>
    </xf>
    <xf numFmtId="0" fontId="9" fillId="0" borderId="0">
      <alignment vertical="center"/>
    </xf>
    <xf numFmtId="0" fontId="146" fillId="0" borderId="0">
      <protection locked="0"/>
    </xf>
    <xf numFmtId="176" fontId="41" fillId="0" borderId="0"/>
    <xf numFmtId="176" fontId="9" fillId="0" borderId="0"/>
    <xf numFmtId="176" fontId="146" fillId="0" borderId="0">
      <alignment vertical="center"/>
      <protection locked="0"/>
    </xf>
    <xf numFmtId="176" fontId="43" fillId="0" borderId="0"/>
    <xf numFmtId="0" fontId="43" fillId="0" borderId="0"/>
    <xf numFmtId="176" fontId="146" fillId="0" borderId="0">
      <alignment vertical="center"/>
      <protection locked="0"/>
    </xf>
    <xf numFmtId="0" fontId="146" fillId="0" borderId="0">
      <alignment vertical="center"/>
      <protection locked="0"/>
    </xf>
    <xf numFmtId="176" fontId="41" fillId="0" borderId="0">
      <alignment vertical="center"/>
    </xf>
    <xf numFmtId="0" fontId="41" fillId="0" borderId="0">
      <alignment vertical="center"/>
    </xf>
    <xf numFmtId="0" fontId="146" fillId="0" borderId="0">
      <alignment vertical="center"/>
      <protection locked="0"/>
    </xf>
    <xf numFmtId="176" fontId="41" fillId="0" borderId="0"/>
    <xf numFmtId="176" fontId="41" fillId="0" borderId="0">
      <alignment vertical="center"/>
    </xf>
    <xf numFmtId="0" fontId="41" fillId="0" borderId="0">
      <alignment vertical="center"/>
    </xf>
    <xf numFmtId="0" fontId="41" fillId="0" borderId="0"/>
    <xf numFmtId="176" fontId="41" fillId="0" borderId="0"/>
    <xf numFmtId="0" fontId="41" fillId="0" borderId="0"/>
    <xf numFmtId="176" fontId="146" fillId="0" borderId="0">
      <alignment vertical="center"/>
      <protection locked="0"/>
    </xf>
    <xf numFmtId="176" fontId="146" fillId="0" borderId="0">
      <alignment vertical="center"/>
    </xf>
    <xf numFmtId="0" fontId="146" fillId="0" borderId="0">
      <alignment vertical="center"/>
    </xf>
    <xf numFmtId="0" fontId="41" fillId="0" borderId="0"/>
    <xf numFmtId="176" fontId="146" fillId="0" borderId="0">
      <protection locked="0"/>
    </xf>
    <xf numFmtId="0" fontId="146" fillId="0" borderId="0">
      <protection locked="0"/>
    </xf>
    <xf numFmtId="176" fontId="146" fillId="0" borderId="0"/>
    <xf numFmtId="176" fontId="146" fillId="0" borderId="0">
      <protection locked="0"/>
    </xf>
    <xf numFmtId="176" fontId="9" fillId="0" borderId="0"/>
    <xf numFmtId="176" fontId="146" fillId="0" borderId="0">
      <protection locked="0"/>
    </xf>
    <xf numFmtId="0" fontId="146" fillId="0" borderId="0">
      <protection locked="0"/>
    </xf>
    <xf numFmtId="176" fontId="146" fillId="0" borderId="0">
      <protection locked="0"/>
    </xf>
    <xf numFmtId="0" fontId="9" fillId="0" borderId="0"/>
    <xf numFmtId="176" fontId="146" fillId="0" borderId="0">
      <protection locked="0"/>
    </xf>
    <xf numFmtId="0" fontId="146" fillId="0" borderId="0">
      <protection locked="0"/>
    </xf>
    <xf numFmtId="176" fontId="146" fillId="0" borderId="0">
      <alignment vertical="center"/>
      <protection locked="0"/>
    </xf>
    <xf numFmtId="0" fontId="146" fillId="0" borderId="0">
      <alignment vertical="center"/>
      <protection locked="0"/>
    </xf>
    <xf numFmtId="0" fontId="146" fillId="0" borderId="0">
      <protection locked="0"/>
    </xf>
    <xf numFmtId="176" fontId="9" fillId="0" borderId="0"/>
    <xf numFmtId="176" fontId="146" fillId="0" borderId="0"/>
    <xf numFmtId="176" fontId="146" fillId="0" borderId="0"/>
    <xf numFmtId="176" fontId="146" fillId="0" borderId="0">
      <protection locked="0"/>
    </xf>
    <xf numFmtId="0" fontId="146" fillId="0" borderId="0">
      <protection locked="0"/>
    </xf>
    <xf numFmtId="176" fontId="146" fillId="0" borderId="0">
      <alignment vertical="center"/>
      <protection locked="0"/>
    </xf>
    <xf numFmtId="176" fontId="41" fillId="0" borderId="0">
      <alignment vertical="center"/>
    </xf>
    <xf numFmtId="0" fontId="41" fillId="0" borderId="0">
      <alignment vertical="center"/>
    </xf>
    <xf numFmtId="176" fontId="125" fillId="0" borderId="0">
      <alignment vertical="center"/>
    </xf>
    <xf numFmtId="0" fontId="125" fillId="0" borderId="0">
      <alignment vertical="center"/>
    </xf>
    <xf numFmtId="0" fontId="146" fillId="0" borderId="0">
      <alignment vertical="center"/>
      <protection locked="0"/>
    </xf>
    <xf numFmtId="176" fontId="41" fillId="0" borderId="0">
      <alignment vertical="center"/>
    </xf>
    <xf numFmtId="176" fontId="41" fillId="0" borderId="0">
      <alignment vertical="center"/>
    </xf>
    <xf numFmtId="176" fontId="146" fillId="0" borderId="0" applyNumberFormat="0" applyFill="0" applyBorder="0" applyAlignment="0" applyProtection="0"/>
    <xf numFmtId="0" fontId="146" fillId="0" borderId="0" applyNumberFormat="0" applyFill="0" applyBorder="0" applyAlignment="0" applyProtection="0"/>
    <xf numFmtId="176"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176" fontId="41" fillId="0" borderId="0">
      <alignment vertical="center"/>
    </xf>
    <xf numFmtId="176" fontId="41" fillId="0" borderId="0">
      <alignment vertical="center"/>
    </xf>
    <xf numFmtId="176"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176"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176" fontId="41" fillId="0" borderId="0">
      <alignment vertical="center"/>
    </xf>
    <xf numFmtId="176"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176" fontId="43" fillId="0" borderId="0"/>
    <xf numFmtId="0" fontId="43" fillId="0" borderId="0"/>
    <xf numFmtId="176"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176" fontId="41" fillId="0" borderId="0">
      <alignment vertical="center"/>
    </xf>
    <xf numFmtId="176" fontId="41" fillId="0" borderId="0">
      <alignment vertical="center"/>
    </xf>
    <xf numFmtId="176"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176" fontId="41" fillId="0" borderId="0">
      <alignment vertical="center"/>
    </xf>
    <xf numFmtId="0" fontId="41" fillId="0" borderId="0">
      <alignment vertical="center"/>
    </xf>
    <xf numFmtId="0" fontId="41" fillId="0" borderId="0">
      <alignment vertical="center"/>
    </xf>
    <xf numFmtId="0" fontId="41" fillId="0" borderId="0">
      <alignment vertical="center"/>
    </xf>
    <xf numFmtId="0" fontId="41" fillId="0" borderId="0">
      <alignment vertical="center"/>
    </xf>
    <xf numFmtId="176" fontId="41" fillId="0" borderId="0">
      <alignment vertical="center"/>
    </xf>
    <xf numFmtId="0" fontId="41" fillId="0" borderId="0">
      <alignment vertical="center"/>
    </xf>
    <xf numFmtId="176" fontId="41" fillId="0" borderId="0">
      <alignment vertical="center"/>
    </xf>
    <xf numFmtId="0" fontId="41" fillId="0" borderId="0">
      <alignment vertical="center"/>
    </xf>
    <xf numFmtId="0" fontId="41" fillId="0" borderId="0">
      <alignment vertical="center"/>
    </xf>
    <xf numFmtId="176" fontId="146" fillId="0" borderId="0">
      <alignment vertical="center"/>
    </xf>
    <xf numFmtId="0" fontId="146" fillId="0" borderId="0">
      <alignment vertical="center"/>
    </xf>
    <xf numFmtId="176" fontId="146" fillId="0" borderId="0">
      <alignment vertical="center"/>
    </xf>
    <xf numFmtId="176" fontId="49" fillId="0" borderId="0"/>
    <xf numFmtId="176" fontId="146" fillId="0" borderId="0"/>
    <xf numFmtId="176" fontId="146" fillId="0" borderId="0"/>
    <xf numFmtId="0" fontId="146" fillId="0" borderId="0"/>
    <xf numFmtId="176" fontId="146" fillId="0" borderId="0"/>
    <xf numFmtId="176" fontId="146" fillId="0" borderId="0"/>
    <xf numFmtId="176" fontId="146" fillId="0" borderId="0" applyFill="0" applyBorder="0"/>
    <xf numFmtId="176" fontId="146" fillId="0" borderId="0" applyFill="0" applyBorder="0"/>
    <xf numFmtId="176" fontId="126" fillId="0" borderId="0" applyNumberFormat="0" applyFill="0" applyBorder="0" applyAlignment="0" applyProtection="0">
      <alignment vertical="top"/>
      <protection locked="0"/>
    </xf>
    <xf numFmtId="176" fontId="42" fillId="0" borderId="0" applyNumberFormat="0" applyFill="0" applyBorder="0" applyAlignment="0" applyProtection="0">
      <alignment vertical="top"/>
      <protection locked="0"/>
    </xf>
    <xf numFmtId="176" fontId="42" fillId="0" borderId="0" applyNumberFormat="0" applyFill="0" applyBorder="0" applyAlignment="0" applyProtection="0">
      <alignment vertical="top"/>
      <protection locked="0"/>
    </xf>
    <xf numFmtId="176"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176" fontId="127" fillId="0" borderId="0" applyNumberFormat="0" applyFill="0" applyBorder="0" applyAlignment="0" applyProtection="0">
      <alignment vertical="top"/>
      <protection locked="0"/>
    </xf>
    <xf numFmtId="0" fontId="127" fillId="0" borderId="0" applyNumberFormat="0" applyFill="0" applyBorder="0" applyAlignment="0" applyProtection="0">
      <alignment vertical="top"/>
      <protection locked="0"/>
    </xf>
    <xf numFmtId="176" fontId="24" fillId="0" borderId="0">
      <alignment vertical="top"/>
      <protection locked="0"/>
    </xf>
    <xf numFmtId="0" fontId="24" fillId="0" borderId="0">
      <alignment vertical="top"/>
      <protection locked="0"/>
    </xf>
    <xf numFmtId="0" fontId="42" fillId="0" borderId="0" applyNumberFormat="0" applyFill="0" applyBorder="0" applyAlignment="0" applyProtection="0">
      <alignment vertical="top"/>
      <protection locked="0"/>
    </xf>
    <xf numFmtId="176" fontId="62" fillId="0" borderId="0" applyNumberFormat="0" applyFill="0" applyBorder="0" applyAlignment="0" applyProtection="0"/>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30" fillId="34" borderId="0" applyNumberFormat="0" applyBorder="0" applyAlignment="0" applyProtection="0"/>
    <xf numFmtId="0" fontId="130" fillId="34" borderId="0" applyNumberFormat="0" applyBorder="0" applyAlignment="0" applyProtection="0"/>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31" fillId="8" borderId="0" applyNumberFormat="0" applyBorder="0" applyAlignment="0" applyProtection="0">
      <alignment vertical="center"/>
    </xf>
    <xf numFmtId="0" fontId="131" fillId="8" borderId="0" applyNumberFormat="0" applyBorder="0" applyAlignment="0" applyProtection="0">
      <alignment vertical="center"/>
    </xf>
    <xf numFmtId="176" fontId="132" fillId="12" borderId="0" applyNumberFormat="0" applyBorder="0" applyAlignment="0" applyProtection="0">
      <alignment vertical="center"/>
    </xf>
    <xf numFmtId="0" fontId="132" fillId="12" borderId="0" applyNumberFormat="0" applyBorder="0" applyAlignment="0" applyProtection="0">
      <alignment vertical="center"/>
    </xf>
    <xf numFmtId="176" fontId="130" fillId="12" borderId="0" applyNumberFormat="0" applyBorder="0" applyAlignment="0" applyProtection="0">
      <alignment vertical="center"/>
    </xf>
    <xf numFmtId="0" fontId="130" fillId="1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8"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0" fontId="128" fillId="52" borderId="0" applyNumberFormat="0" applyBorder="0" applyAlignment="0" applyProtection="0">
      <alignment vertical="center"/>
    </xf>
    <xf numFmtId="0"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33" fillId="53" borderId="0" applyNumberFormat="0" applyBorder="0" applyAlignment="0" applyProtection="0">
      <alignment vertical="center"/>
    </xf>
    <xf numFmtId="0" fontId="133" fillId="53"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33" fillId="53" borderId="0" applyNumberFormat="0" applyBorder="0" applyAlignment="0" applyProtection="0">
      <alignment vertical="center"/>
    </xf>
    <xf numFmtId="0" fontId="133" fillId="53"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12" borderId="0" applyNumberFormat="0" applyBorder="0" applyAlignment="0" applyProtection="0">
      <alignment vertical="center"/>
    </xf>
    <xf numFmtId="0" fontId="129" fillId="1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29" fillId="54" borderId="0" applyNumberFormat="0" applyBorder="0" applyAlignment="0" applyProtection="0">
      <alignment vertical="center"/>
    </xf>
    <xf numFmtId="0" fontId="129" fillId="54"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33" fillId="53" borderId="0" applyNumberFormat="0" applyBorder="0" applyAlignment="0" applyProtection="0">
      <alignment vertical="center"/>
    </xf>
    <xf numFmtId="0" fontId="133" fillId="53" borderId="0" applyNumberFormat="0" applyBorder="0" applyAlignment="0" applyProtection="0">
      <alignment vertical="center"/>
    </xf>
    <xf numFmtId="176" fontId="128" fillId="52" borderId="0" applyNumberFormat="0" applyBorder="0" applyAlignment="0" applyProtection="0">
      <alignment vertical="center"/>
    </xf>
    <xf numFmtId="0" fontId="128" fillId="52" borderId="0" applyNumberFormat="0" applyBorder="0" applyAlignment="0" applyProtection="0">
      <alignment vertical="center"/>
    </xf>
    <xf numFmtId="176" fontId="133" fillId="53" borderId="0" applyNumberFormat="0" applyBorder="0" applyAlignment="0" applyProtection="0">
      <alignment vertical="center"/>
    </xf>
    <xf numFmtId="0" fontId="133" fillId="53" borderId="0" applyNumberFormat="0" applyBorder="0" applyAlignment="0" applyProtection="0">
      <alignment vertical="center"/>
    </xf>
    <xf numFmtId="176" fontId="129" fillId="52" borderId="0" applyNumberFormat="0" applyBorder="0" applyAlignment="0" applyProtection="0">
      <alignment vertical="center"/>
    </xf>
    <xf numFmtId="0" fontId="129" fillId="52" borderId="0" applyNumberFormat="0" applyBorder="0" applyAlignment="0" applyProtection="0">
      <alignment vertical="center"/>
    </xf>
    <xf numFmtId="176" fontId="132" fillId="14" borderId="0" applyNumberFormat="0" applyBorder="0" applyAlignment="0" applyProtection="0">
      <alignment vertical="center"/>
    </xf>
    <xf numFmtId="0" fontId="132" fillId="14" borderId="0" applyNumberFormat="0" applyBorder="0" applyAlignment="0" applyProtection="0">
      <alignment vertical="center"/>
    </xf>
    <xf numFmtId="4" fontId="113" fillId="0" borderId="0" applyFont="0" applyFill="0" applyBorder="0" applyAlignment="0" applyProtection="0"/>
    <xf numFmtId="41" fontId="43" fillId="0" borderId="0" applyFont="0" applyFill="0" applyBorder="0" applyAlignment="0" applyProtection="0"/>
    <xf numFmtId="227" fontId="134" fillId="0" borderId="0" applyFont="0" applyFill="0" applyBorder="0" applyAlignment="0" applyProtection="0"/>
    <xf numFmtId="228" fontId="134" fillId="0" borderId="0" applyFont="0" applyFill="0" applyBorder="0" applyAlignment="0" applyProtection="0"/>
    <xf numFmtId="229" fontId="43" fillId="0" borderId="0" applyFont="0" applyFill="0" applyBorder="0" applyAlignment="0" applyProtection="0"/>
    <xf numFmtId="230" fontId="43" fillId="0" borderId="0" applyFont="0" applyFill="0" applyBorder="0" applyAlignment="0" applyProtection="0"/>
    <xf numFmtId="176" fontId="49" fillId="0" borderId="0"/>
    <xf numFmtId="0" fontId="49" fillId="0" borderId="0"/>
    <xf numFmtId="1" fontId="49" fillId="0" borderId="0"/>
    <xf numFmtId="231" fontId="135" fillId="0" borderId="0" applyFont="0" applyFill="0" applyBorder="0" applyAlignment="0" applyProtection="0"/>
    <xf numFmtId="232" fontId="135" fillId="0" borderId="0" applyFont="0" applyFill="0" applyBorder="0" applyAlignment="0" applyProtection="0"/>
    <xf numFmtId="227" fontId="49" fillId="0" borderId="0" applyFont="0" applyFill="0" applyBorder="0" applyAlignment="0" applyProtection="0"/>
    <xf numFmtId="228" fontId="49" fillId="0" borderId="0" applyFont="0" applyFill="0" applyBorder="0" applyAlignment="0" applyProtection="0"/>
    <xf numFmtId="176" fontId="46" fillId="0" borderId="0"/>
    <xf numFmtId="41" fontId="46" fillId="0" borderId="0" applyFont="0" applyFill="0" applyBorder="0" applyAlignment="0" applyProtection="0"/>
    <xf numFmtId="43" fontId="46" fillId="0" borderId="0" applyFont="0" applyFill="0" applyBorder="0" applyAlignment="0" applyProtection="0"/>
    <xf numFmtId="41" fontId="49" fillId="0" borderId="0" applyFont="0" applyFill="0" applyBorder="0" applyAlignment="0" applyProtection="0"/>
    <xf numFmtId="43" fontId="49" fillId="0" borderId="0" applyFont="0" applyFill="0" applyBorder="0" applyAlignment="0" applyProtection="0"/>
    <xf numFmtId="43" fontId="146" fillId="0" borderId="0" applyFont="0" applyFill="0" applyBorder="0" applyAlignment="0" applyProtection="0">
      <alignment vertical="center"/>
    </xf>
    <xf numFmtId="43" fontId="146" fillId="0" borderId="0" applyFont="0" applyFill="0" applyBorder="0" applyAlignment="0" applyProtection="0"/>
    <xf numFmtId="43" fontId="146" fillId="0" borderId="0" applyFont="0" applyFill="0" applyBorder="0" applyAlignment="0" applyProtection="0"/>
    <xf numFmtId="43" fontId="146" fillId="0" borderId="0" applyFont="0" applyFill="0" applyBorder="0" applyAlignment="0" applyProtection="0"/>
    <xf numFmtId="43" fontId="146" fillId="0" borderId="0" applyFont="0" applyFill="0" applyBorder="0" applyAlignment="0" applyProtection="0">
      <alignment vertical="center"/>
    </xf>
    <xf numFmtId="43" fontId="146" fillId="0" borderId="0" applyFont="0" applyFill="0" applyBorder="0" applyAlignment="0" applyProtection="0">
      <alignment vertical="center"/>
    </xf>
    <xf numFmtId="43" fontId="146" fillId="0" borderId="0" applyFont="0" applyFill="0" applyBorder="0" applyAlignment="0" applyProtection="0">
      <alignment vertical="center"/>
    </xf>
    <xf numFmtId="43" fontId="146" fillId="0" borderId="0" applyFont="0" applyFill="0" applyBorder="0" applyAlignment="0" applyProtection="0">
      <alignment vertical="center"/>
    </xf>
    <xf numFmtId="43" fontId="146" fillId="0" borderId="0" applyFont="0" applyFill="0" applyBorder="0" applyAlignment="0" applyProtection="0">
      <alignment vertical="center"/>
    </xf>
    <xf numFmtId="176" fontId="4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46" fillId="0" borderId="0" applyFont="0" applyFill="0" applyBorder="0" applyAlignment="0" applyProtection="0"/>
    <xf numFmtId="43" fontId="146" fillId="0" borderId="0" applyFont="0" applyFill="0" applyBorder="0" applyAlignment="0" applyProtection="0"/>
    <xf numFmtId="43" fontId="146" fillId="0" borderId="0" applyFont="0" applyFill="0" applyBorder="0" applyAlignment="0" applyProtection="0"/>
    <xf numFmtId="0" fontId="43" fillId="0" borderId="0" applyFont="0" applyFill="0" applyBorder="0" applyAlignment="0" applyProtection="0"/>
    <xf numFmtId="43" fontId="146" fillId="0" borderId="0" applyFont="0" applyFill="0" applyBorder="0" applyAlignment="0" applyProtection="0"/>
    <xf numFmtId="43" fontId="146" fillId="0" borderId="0" applyFont="0" applyFill="0" applyBorder="0" applyAlignment="0" applyProtection="0"/>
    <xf numFmtId="43" fontId="146" fillId="0" borderId="0" applyFont="0" applyFill="0" applyBorder="0" applyAlignment="0" applyProtection="0"/>
    <xf numFmtId="43" fontId="41" fillId="0" borderId="0" applyFont="0" applyFill="0" applyBorder="0" applyAlignment="0" applyProtection="0">
      <alignment vertical="center"/>
    </xf>
    <xf numFmtId="43" fontId="41" fillId="0" borderId="0" applyFont="0" applyFill="0" applyBorder="0" applyAlignment="0" applyProtection="0">
      <alignment vertical="center"/>
    </xf>
    <xf numFmtId="43" fontId="41" fillId="0" borderId="0" applyFont="0" applyFill="0" applyBorder="0" applyAlignment="0" applyProtection="0">
      <alignment vertical="center"/>
    </xf>
    <xf numFmtId="233" fontId="9" fillId="0" borderId="0">
      <alignment vertical="center"/>
    </xf>
    <xf numFmtId="43" fontId="9" fillId="0" borderId="0">
      <alignment vertical="center"/>
    </xf>
    <xf numFmtId="43" fontId="9" fillId="0" borderId="0">
      <alignment vertical="center"/>
    </xf>
    <xf numFmtId="43" fontId="9" fillId="0" borderId="0">
      <alignment vertical="center"/>
    </xf>
    <xf numFmtId="43" fontId="9" fillId="0" borderId="0">
      <alignment vertical="center"/>
    </xf>
    <xf numFmtId="43" fontId="146" fillId="0" borderId="0" applyFont="0" applyFill="0" applyBorder="0" applyAlignment="0" applyProtection="0"/>
    <xf numFmtId="43" fontId="146" fillId="0" borderId="0" applyFont="0" applyFill="0" applyBorder="0" applyAlignment="0" applyProtection="0"/>
    <xf numFmtId="41" fontId="146" fillId="0" borderId="0" applyFont="0" applyFill="0" applyBorder="0" applyAlignment="0" applyProtection="0"/>
    <xf numFmtId="41" fontId="146" fillId="0" borderId="0" applyFont="0" applyFill="0" applyBorder="0" applyAlignment="0" applyProtection="0"/>
    <xf numFmtId="41" fontId="146" fillId="0" borderId="0" applyFont="0" applyFill="0" applyBorder="0" applyAlignment="0" applyProtection="0"/>
    <xf numFmtId="176" fontId="136" fillId="0" borderId="0"/>
    <xf numFmtId="176" fontId="137" fillId="55" borderId="0" applyNumberFormat="0" applyBorder="0" applyAlignment="0" applyProtection="0"/>
    <xf numFmtId="0" fontId="137" fillId="55" borderId="0" applyNumberFormat="0" applyBorder="0" applyAlignment="0" applyProtection="0"/>
    <xf numFmtId="176" fontId="137" fillId="56" borderId="0" applyNumberFormat="0" applyBorder="0" applyAlignment="0" applyProtection="0"/>
    <xf numFmtId="0" fontId="137" fillId="56" borderId="0" applyNumberFormat="0" applyBorder="0" applyAlignment="0" applyProtection="0"/>
    <xf numFmtId="176" fontId="137" fillId="57" borderId="0" applyNumberFormat="0" applyBorder="0" applyAlignment="0" applyProtection="0"/>
    <xf numFmtId="0" fontId="137" fillId="57" borderId="0" applyNumberFormat="0" applyBorder="0" applyAlignment="0" applyProtection="0"/>
    <xf numFmtId="209" fontId="43" fillId="0" borderId="0" applyFont="0" applyFill="0" applyBorder="0" applyAlignment="0" applyProtection="0"/>
    <xf numFmtId="234" fontId="113" fillId="0" borderId="0" applyFont="0" applyFill="0" applyBorder="0" applyAlignment="0" applyProtection="0"/>
    <xf numFmtId="176" fontId="47" fillId="0" borderId="0">
      <alignment vertical="top"/>
    </xf>
    <xf numFmtId="176" fontId="47" fillId="0" borderId="0">
      <alignment vertical="top"/>
    </xf>
    <xf numFmtId="0" fontId="47" fillId="0" borderId="0">
      <alignment vertical="top"/>
    </xf>
    <xf numFmtId="176" fontId="134" fillId="0" borderId="0"/>
    <xf numFmtId="176" fontId="138" fillId="0" borderId="0"/>
    <xf numFmtId="40" fontId="115" fillId="0" borderId="0" applyFont="0" applyFill="0" applyBorder="0" applyAlignment="0" applyProtection="0"/>
    <xf numFmtId="38" fontId="115" fillId="0" borderId="0" applyFont="0" applyFill="0" applyBorder="0" applyAlignment="0" applyProtection="0"/>
    <xf numFmtId="226" fontId="43" fillId="0" borderId="16" applyNumberFormat="0"/>
    <xf numFmtId="38" fontId="44" fillId="0" borderId="0" applyFont="0" applyFill="0" applyBorder="0" applyAlignment="0" applyProtection="0"/>
    <xf numFmtId="40" fontId="44" fillId="0" borderId="0" applyFont="0" applyFill="0" applyBorder="0" applyAlignment="0" applyProtection="0"/>
    <xf numFmtId="176" fontId="44" fillId="0" borderId="0" applyFont="0" applyFill="0" applyBorder="0" applyAlignment="0" applyProtection="0"/>
    <xf numFmtId="176" fontId="44" fillId="0" borderId="0" applyFont="0" applyFill="0" applyBorder="0" applyAlignment="0" applyProtection="0"/>
    <xf numFmtId="176" fontId="139" fillId="0" borderId="0"/>
  </cellStyleXfs>
  <cellXfs count="529">
    <xf numFmtId="176" fontId="0" fillId="0" borderId="0" xfId="0">
      <protection locked="0"/>
    </xf>
    <xf numFmtId="0" fontId="1" fillId="0" borderId="0" xfId="0" applyNumberFormat="1" applyFont="1" applyAlignment="1">
      <alignment vertical="center"/>
      <protection locked="0"/>
    </xf>
    <xf numFmtId="0" fontId="1" fillId="0" borderId="0" xfId="774" applyFont="1" applyAlignment="1">
      <alignment vertical="center"/>
      <protection locked="0"/>
    </xf>
    <xf numFmtId="0" fontId="1" fillId="0" borderId="0" xfId="774" applyFont="1" applyAlignment="1">
      <alignment horizontal="right" vertical="center"/>
      <protection locked="0"/>
    </xf>
    <xf numFmtId="0" fontId="4" fillId="0" borderId="0" xfId="850" applyFont="1" applyAlignment="1">
      <alignment vertical="center"/>
    </xf>
    <xf numFmtId="0" fontId="1" fillId="0" borderId="0" xfId="774" applyFont="1" applyAlignment="1">
      <alignment vertical="center" wrapText="1"/>
      <protection locked="0"/>
    </xf>
    <xf numFmtId="0" fontId="5" fillId="0" borderId="0" xfId="774" applyFont="1" applyAlignment="1">
      <alignment vertical="center" wrapText="1"/>
      <protection locked="0"/>
    </xf>
    <xf numFmtId="176" fontId="4" fillId="0" borderId="0" xfId="773" applyFont="1" applyAlignment="1">
      <alignment vertical="center"/>
      <protection locked="0"/>
    </xf>
    <xf numFmtId="176" fontId="1" fillId="0" borderId="0" xfId="773" applyFont="1" applyAlignment="1">
      <alignment vertical="center" wrapText="1"/>
      <protection locked="0"/>
    </xf>
    <xf numFmtId="176" fontId="4" fillId="2" borderId="1" xfId="773" applyFont="1" applyFill="1" applyBorder="1" applyAlignment="1">
      <alignment horizontal="center" vertical="center" wrapText="1"/>
      <protection locked="0"/>
    </xf>
    <xf numFmtId="176" fontId="6" fillId="2" borderId="1" xfId="773" applyFont="1" applyFill="1" applyBorder="1" applyAlignment="1">
      <alignment horizontal="center" vertical="center" wrapText="1"/>
      <protection locked="0"/>
    </xf>
    <xf numFmtId="176" fontId="5" fillId="0" borderId="1" xfId="773" applyFont="1" applyBorder="1" applyAlignment="1">
      <alignment vertical="center" wrapText="1"/>
      <protection locked="0"/>
    </xf>
    <xf numFmtId="176" fontId="5" fillId="0" borderId="1" xfId="773" applyFont="1" applyBorder="1" applyAlignment="1">
      <alignment horizontal="left" vertical="center" wrapText="1"/>
      <protection locked="0"/>
    </xf>
    <xf numFmtId="176" fontId="7" fillId="0" borderId="1" xfId="773" applyFont="1" applyBorder="1" applyAlignment="1">
      <alignment horizontal="left" vertical="center" wrapText="1"/>
      <protection locked="0"/>
    </xf>
    <xf numFmtId="176" fontId="1" fillId="0" borderId="1" xfId="773" applyFont="1" applyBorder="1" applyAlignment="1">
      <alignment vertical="center" wrapText="1"/>
      <protection locked="0"/>
    </xf>
    <xf numFmtId="176" fontId="7" fillId="0" borderId="0" xfId="773" applyFont="1" applyAlignment="1">
      <alignment horizontal="center" vertical="center" wrapText="1"/>
      <protection locked="0"/>
    </xf>
    <xf numFmtId="176" fontId="4" fillId="3" borderId="1" xfId="773" applyFont="1" applyFill="1" applyBorder="1" applyAlignment="1">
      <alignment vertical="center" wrapText="1"/>
      <protection locked="0"/>
    </xf>
    <xf numFmtId="176" fontId="8" fillId="2" borderId="1" xfId="773" applyFont="1" applyFill="1" applyBorder="1" applyAlignment="1">
      <alignment horizontal="center" vertical="center" wrapText="1"/>
      <protection locked="0"/>
    </xf>
    <xf numFmtId="176" fontId="1" fillId="0" borderId="1" xfId="773" applyFont="1" applyBorder="1" applyAlignment="1">
      <alignment horizontal="center" vertical="center" wrapText="1"/>
      <protection locked="0"/>
    </xf>
    <xf numFmtId="176" fontId="1" fillId="3" borderId="1" xfId="773" applyFont="1" applyFill="1" applyBorder="1" applyAlignment="1">
      <alignment vertical="center" wrapText="1"/>
      <protection locked="0"/>
    </xf>
    <xf numFmtId="176" fontId="1" fillId="3" borderId="1" xfId="773" applyFont="1" applyFill="1" applyBorder="1" applyAlignment="1">
      <alignment horizontal="left" vertical="center" wrapText="1"/>
      <protection locked="0"/>
    </xf>
    <xf numFmtId="0" fontId="7" fillId="0" borderId="0" xfId="774" applyFont="1" applyAlignment="1">
      <alignment horizontal="left" vertical="center"/>
      <protection locked="0"/>
    </xf>
    <xf numFmtId="0" fontId="9" fillId="0" borderId="0" xfId="768" applyNumberFormat="1" applyFont="1">
      <protection locked="0"/>
    </xf>
    <xf numFmtId="0" fontId="10" fillId="0" borderId="0" xfId="788" applyNumberFormat="1" applyFont="1">
      <alignment vertical="center"/>
    </xf>
    <xf numFmtId="0" fontId="9" fillId="0" borderId="0" xfId="0" applyNumberFormat="1" applyFont="1" applyAlignment="1">
      <alignment vertical="center"/>
      <protection locked="0"/>
    </xf>
    <xf numFmtId="0" fontId="9" fillId="0" borderId="0" xfId="0" applyNumberFormat="1" applyFont="1">
      <protection locked="0"/>
    </xf>
    <xf numFmtId="0" fontId="9" fillId="0" borderId="0" xfId="852" applyNumberFormat="1" applyFont="1" applyAlignment="1">
      <alignment vertical="center"/>
    </xf>
    <xf numFmtId="0" fontId="9" fillId="0" borderId="0" xfId="852" applyNumberFormat="1" applyFont="1" applyAlignment="1">
      <alignment horizontal="right" vertical="center"/>
    </xf>
    <xf numFmtId="0" fontId="9" fillId="0" borderId="0" xfId="848" applyNumberFormat="1" applyFont="1" applyAlignment="1">
      <alignment horizontal="left" vertical="center" shrinkToFit="1"/>
    </xf>
    <xf numFmtId="0" fontId="13" fillId="0" borderId="0" xfId="853" applyNumberFormat="1" applyFont="1" applyBorder="1" applyAlignment="1">
      <alignment vertical="center"/>
    </xf>
    <xf numFmtId="0" fontId="9" fillId="0" borderId="0" xfId="853" applyNumberFormat="1" applyFont="1" applyBorder="1" applyAlignment="1">
      <alignment vertical="center"/>
    </xf>
    <xf numFmtId="0" fontId="9" fillId="0" borderId="0" xfId="768" applyNumberFormat="1" applyFont="1" applyAlignment="1">
      <alignment vertical="center"/>
      <protection locked="0"/>
    </xf>
    <xf numFmtId="0" fontId="14" fillId="0" borderId="0" xfId="0" applyNumberFormat="1" applyFont="1" applyAlignment="1">
      <alignment vertical="center"/>
      <protection locked="0"/>
    </xf>
    <xf numFmtId="0" fontId="9" fillId="0" borderId="0" xfId="788" applyNumberFormat="1" applyFont="1" applyAlignment="1" applyProtection="1">
      <alignment horizontal="left" vertical="center"/>
      <protection locked="0"/>
    </xf>
    <xf numFmtId="0" fontId="9" fillId="0" borderId="0" xfId="788" applyNumberFormat="1" applyFont="1" applyAlignment="1" applyProtection="1">
      <alignment horizontal="centerContinuous" vertical="center"/>
      <protection locked="0"/>
    </xf>
    <xf numFmtId="0" fontId="13" fillId="0" borderId="0" xfId="0" applyNumberFormat="1" applyFont="1" applyAlignment="1" applyProtection="1">
      <alignment vertical="center"/>
    </xf>
    <xf numFmtId="0" fontId="15" fillId="3" borderId="1" xfId="0" applyNumberFormat="1" applyFont="1" applyFill="1" applyBorder="1" applyAlignment="1" applyProtection="1">
      <alignment horizontal="center" vertical="center" wrapText="1"/>
    </xf>
    <xf numFmtId="0" fontId="9" fillId="0" borderId="1" xfId="0" applyNumberFormat="1" applyFont="1" applyBorder="1" applyAlignment="1" applyProtection="1">
      <alignment vertical="center" wrapText="1"/>
    </xf>
    <xf numFmtId="43" fontId="16" fillId="0" borderId="1" xfId="1" applyFont="1" applyBorder="1" applyAlignment="1" applyProtection="1">
      <alignment vertical="center"/>
      <protection locked="0"/>
    </xf>
    <xf numFmtId="0" fontId="9" fillId="0" borderId="1" xfId="1" applyNumberFormat="1" applyFont="1" applyFill="1" applyBorder="1" applyAlignment="1">
      <alignment vertical="center" wrapText="1"/>
    </xf>
    <xf numFmtId="0" fontId="17" fillId="0" borderId="1" xfId="1" applyNumberFormat="1" applyFont="1" applyFill="1" applyBorder="1" applyAlignment="1">
      <alignment horizontal="justify" vertical="center" wrapText="1"/>
    </xf>
    <xf numFmtId="0" fontId="13" fillId="3" borderId="1" xfId="0" applyNumberFormat="1" applyFont="1" applyFill="1" applyBorder="1" applyAlignment="1" applyProtection="1">
      <alignment horizontal="center" vertical="center"/>
    </xf>
    <xf numFmtId="43" fontId="18" fillId="3" borderId="1" xfId="1004" applyFont="1" applyFill="1" applyBorder="1" applyAlignment="1">
      <alignment horizontal="center" vertical="center"/>
    </xf>
    <xf numFmtId="0" fontId="13" fillId="3" borderId="1" xfId="0" applyNumberFormat="1" applyFont="1" applyFill="1" applyBorder="1" applyAlignment="1" applyProtection="1">
      <alignment vertical="center"/>
    </xf>
    <xf numFmtId="0" fontId="13" fillId="3" borderId="3" xfId="0" applyNumberFormat="1" applyFont="1" applyFill="1" applyBorder="1" applyAlignment="1" applyProtection="1">
      <alignment horizontal="center" vertical="center" wrapText="1"/>
    </xf>
    <xf numFmtId="0" fontId="15" fillId="3" borderId="3" xfId="788" applyNumberFormat="1" applyFont="1" applyFill="1" applyBorder="1" applyAlignment="1" applyProtection="1">
      <alignment horizontal="center" vertical="center" wrapText="1"/>
      <protection locked="0"/>
    </xf>
    <xf numFmtId="0" fontId="13" fillId="3" borderId="3" xfId="0" applyNumberFormat="1" applyFont="1" applyFill="1" applyBorder="1" applyAlignment="1" applyProtection="1">
      <alignment horizontal="center" vertical="center"/>
    </xf>
    <xf numFmtId="0" fontId="16" fillId="0" borderId="1" xfId="0" applyNumberFormat="1" applyFont="1" applyBorder="1" applyAlignment="1" applyProtection="1">
      <alignment vertical="center" wrapText="1"/>
    </xf>
    <xf numFmtId="43" fontId="16" fillId="0" borderId="1" xfId="0" applyNumberFormat="1" applyFont="1" applyBorder="1" applyAlignment="1">
      <alignment vertical="center"/>
      <protection locked="0"/>
    </xf>
    <xf numFmtId="0" fontId="9" fillId="0" borderId="1" xfId="0" applyNumberFormat="1" applyFont="1" applyBorder="1" applyAlignment="1" applyProtection="1">
      <alignment horizontal="center" vertical="center"/>
    </xf>
    <xf numFmtId="0" fontId="9" fillId="0" borderId="1" xfId="0" applyNumberFormat="1" applyFont="1" applyBorder="1" applyAlignment="1">
      <alignment vertical="center"/>
      <protection locked="0"/>
    </xf>
    <xf numFmtId="0" fontId="13" fillId="0" borderId="0" xfId="771" applyNumberFormat="1" applyFont="1" applyAlignment="1">
      <alignment vertical="center"/>
      <protection locked="0"/>
    </xf>
    <xf numFmtId="0" fontId="9" fillId="0" borderId="0" xfId="0" applyNumberFormat="1" applyFont="1" applyProtection="1"/>
    <xf numFmtId="0" fontId="9" fillId="0" borderId="0" xfId="0" applyNumberFormat="1" applyFont="1" applyAlignment="1" applyProtection="1">
      <alignment horizontal="center"/>
    </xf>
    <xf numFmtId="0" fontId="19" fillId="0" borderId="0" xfId="0" applyNumberFormat="1" applyFont="1" applyAlignment="1" applyProtection="1">
      <alignment vertical="center"/>
    </xf>
    <xf numFmtId="0" fontId="14" fillId="0" borderId="0" xfId="0" applyNumberFormat="1" applyFont="1">
      <protection locked="0"/>
    </xf>
    <xf numFmtId="0" fontId="14" fillId="0" borderId="0" xfId="0" applyNumberFormat="1" applyFont="1" applyAlignment="1" applyProtection="1">
      <alignment vertical="center" wrapText="1"/>
    </xf>
    <xf numFmtId="0" fontId="13" fillId="0" borderId="0" xfId="0" applyNumberFormat="1" applyFont="1" applyAlignment="1" applyProtection="1">
      <alignment horizontal="center" vertical="center"/>
    </xf>
    <xf numFmtId="0" fontId="9" fillId="0" borderId="0" xfId="0" applyNumberFormat="1" applyFont="1" applyAlignment="1" applyProtection="1">
      <alignment vertical="center" wrapText="1"/>
    </xf>
    <xf numFmtId="0" fontId="19" fillId="4" borderId="1" xfId="788" applyNumberFormat="1" applyFont="1" applyFill="1" applyBorder="1" applyAlignment="1" applyProtection="1">
      <alignment horizontal="center" vertical="center" wrapText="1"/>
      <protection locked="0"/>
    </xf>
    <xf numFmtId="0" fontId="14" fillId="4" borderId="1" xfId="788" applyNumberFormat="1" applyFont="1" applyFill="1" applyBorder="1" applyAlignment="1" applyProtection="1">
      <alignment horizontal="left" vertical="center" wrapText="1"/>
      <protection locked="0"/>
    </xf>
    <xf numFmtId="0" fontId="14" fillId="0" borderId="1" xfId="0" applyNumberFormat="1" applyFont="1" applyBorder="1" applyAlignment="1" applyProtection="1">
      <alignment vertical="center" wrapText="1"/>
    </xf>
    <xf numFmtId="43" fontId="20" fillId="0" borderId="1" xfId="0" applyNumberFormat="1" applyFont="1" applyBorder="1" applyAlignment="1">
      <alignment vertical="center"/>
      <protection locked="0"/>
    </xf>
    <xf numFmtId="43" fontId="20" fillId="3" borderId="1" xfId="0" applyNumberFormat="1" applyFont="1" applyFill="1" applyBorder="1" applyAlignment="1">
      <alignment vertical="center"/>
      <protection locked="0"/>
    </xf>
    <xf numFmtId="0" fontId="9" fillId="0" borderId="0" xfId="0" applyNumberFormat="1" applyFont="1" applyBorder="1" applyProtection="1"/>
    <xf numFmtId="0" fontId="21" fillId="0" borderId="0" xfId="0" applyNumberFormat="1" applyFont="1" applyAlignment="1" applyProtection="1">
      <alignment horizontal="left" vertical="center"/>
    </xf>
    <xf numFmtId="0" fontId="21" fillId="0" borderId="0" xfId="788" applyNumberFormat="1" applyFont="1">
      <alignment vertical="center"/>
    </xf>
    <xf numFmtId="0" fontId="22" fillId="0" borderId="0" xfId="788" applyNumberFormat="1" applyFont="1" applyAlignment="1" applyProtection="1">
      <alignment horizontal="left" vertical="center"/>
      <protection locked="0"/>
    </xf>
    <xf numFmtId="0" fontId="21" fillId="0" borderId="0" xfId="788" applyNumberFormat="1" applyFont="1" applyAlignment="1" applyProtection="1">
      <alignment horizontal="left" vertical="center"/>
      <protection locked="0"/>
    </xf>
    <xf numFmtId="0" fontId="21" fillId="0" borderId="0" xfId="788" applyNumberFormat="1" applyFont="1" applyAlignment="1" applyProtection="1">
      <alignment horizontal="right" vertical="center"/>
      <protection locked="0"/>
    </xf>
    <xf numFmtId="0" fontId="21" fillId="0" borderId="0" xfId="788" applyNumberFormat="1" applyFont="1" applyAlignment="1" applyProtection="1">
      <alignment horizontal="center" vertical="center"/>
      <protection locked="0"/>
    </xf>
    <xf numFmtId="0" fontId="21" fillId="0" borderId="0" xfId="0" applyNumberFormat="1" applyFont="1">
      <protection locked="0"/>
    </xf>
    <xf numFmtId="0" fontId="9" fillId="0" borderId="0" xfId="848" applyNumberFormat="1" applyFont="1" applyAlignment="1">
      <alignment horizontal="center" vertical="center"/>
    </xf>
    <xf numFmtId="0" fontId="9" fillId="0" borderId="0" xfId="768" applyNumberFormat="1" applyFont="1" applyAlignment="1">
      <alignment vertical="center" wrapText="1"/>
      <protection locked="0"/>
    </xf>
    <xf numFmtId="0" fontId="15" fillId="3" borderId="1" xfId="0" applyNumberFormat="1" applyFont="1" applyFill="1" applyBorder="1" applyAlignment="1" applyProtection="1">
      <alignment horizontal="center" vertical="center"/>
    </xf>
    <xf numFmtId="0" fontId="13" fillId="0" borderId="0" xfId="0" applyNumberFormat="1" applyFont="1" applyAlignment="1" applyProtection="1">
      <alignment horizontal="center" vertical="center" wrapText="1"/>
    </xf>
    <xf numFmtId="0" fontId="17" fillId="0" borderId="0" xfId="1" applyNumberFormat="1" applyFont="1" applyFill="1" applyBorder="1" applyAlignment="1">
      <alignment horizontal="justify" vertical="center" wrapText="1"/>
    </xf>
    <xf numFmtId="0" fontId="23" fillId="0" borderId="1" xfId="1" applyNumberFormat="1" applyFont="1" applyFill="1" applyBorder="1" applyAlignment="1">
      <alignment horizontal="justify" vertical="center" wrapText="1"/>
    </xf>
    <xf numFmtId="0" fontId="9" fillId="0" borderId="0" xfId="1" applyNumberFormat="1" applyFont="1" applyFill="1" applyBorder="1" applyAlignment="1">
      <alignment vertical="center" wrapText="1"/>
    </xf>
    <xf numFmtId="0" fontId="1" fillId="0" borderId="0" xfId="846" applyNumberFormat="1" applyFont="1" applyAlignment="1">
      <alignment vertical="center" wrapText="1"/>
    </xf>
    <xf numFmtId="0" fontId="1" fillId="0" borderId="0" xfId="773" applyNumberFormat="1" applyFont="1" applyAlignment="1">
      <alignment vertical="center"/>
      <protection locked="0"/>
    </xf>
    <xf numFmtId="0" fontId="1" fillId="0" borderId="0" xfId="773" applyNumberFormat="1" applyFont="1" applyAlignment="1">
      <alignment vertical="center" wrapText="1"/>
      <protection locked="0"/>
    </xf>
    <xf numFmtId="0" fontId="8" fillId="0" borderId="0" xfId="773" applyNumberFormat="1" applyFont="1" applyAlignment="1">
      <alignment vertical="center" wrapText="1"/>
      <protection locked="0"/>
    </xf>
    <xf numFmtId="0" fontId="1" fillId="0" borderId="0" xfId="773" applyNumberFormat="1" applyFont="1" applyAlignment="1">
      <alignment horizontal="right" vertical="center"/>
      <protection locked="0"/>
    </xf>
    <xf numFmtId="0" fontId="4" fillId="0" borderId="0" xfId="849" applyNumberFormat="1" applyFont="1" applyAlignment="1">
      <alignment vertical="center"/>
    </xf>
    <xf numFmtId="0" fontId="4" fillId="0" borderId="0" xfId="773" applyNumberFormat="1" applyFont="1" applyAlignment="1">
      <alignment vertical="center"/>
      <protection locked="0"/>
    </xf>
    <xf numFmtId="0" fontId="1" fillId="0" borderId="0" xfId="773" applyNumberFormat="1" applyFont="1" applyAlignment="1">
      <alignment horizontal="center" vertical="center" wrapText="1"/>
      <protection locked="0"/>
    </xf>
    <xf numFmtId="0" fontId="4" fillId="3" borderId="3" xfId="773" applyNumberFormat="1" applyFont="1" applyFill="1" applyBorder="1" applyAlignment="1">
      <alignment horizontal="center" vertical="center" wrapText="1"/>
      <protection locked="0"/>
    </xf>
    <xf numFmtId="0" fontId="8" fillId="3" borderId="1" xfId="2" applyNumberFormat="1" applyFont="1" applyFill="1" applyBorder="1" applyAlignment="1" applyProtection="1">
      <alignment horizontal="center" vertical="center" wrapText="1"/>
      <protection locked="0"/>
    </xf>
    <xf numFmtId="0" fontId="5" fillId="0" borderId="1" xfId="1" applyNumberFormat="1" applyFont="1" applyBorder="1" applyAlignment="1" applyProtection="1">
      <alignment horizontal="center" vertical="center" wrapText="1"/>
      <protection locked="0"/>
    </xf>
    <xf numFmtId="43" fontId="5" fillId="0" borderId="1" xfId="1" applyFont="1" applyBorder="1" applyAlignment="1" applyProtection="1">
      <alignment horizontal="center" vertical="center" wrapText="1"/>
      <protection locked="0"/>
    </xf>
    <xf numFmtId="43" fontId="5" fillId="0" borderId="1" xfId="2" applyNumberFormat="1" applyFont="1" applyBorder="1" applyAlignment="1" applyProtection="1">
      <alignment horizontal="center" vertical="center" wrapText="1"/>
      <protection locked="0"/>
    </xf>
    <xf numFmtId="43" fontId="1" fillId="3" borderId="1" xfId="773" applyNumberFormat="1" applyFont="1" applyFill="1" applyBorder="1" applyAlignment="1">
      <alignment horizontal="center" vertical="center" wrapText="1"/>
      <protection locked="0"/>
    </xf>
    <xf numFmtId="0" fontId="1" fillId="3" borderId="7" xfId="773" applyNumberFormat="1" applyFont="1" applyFill="1" applyBorder="1" applyAlignment="1">
      <alignment horizontal="center" vertical="center" wrapText="1"/>
      <protection locked="0"/>
    </xf>
    <xf numFmtId="0" fontId="4" fillId="3" borderId="1" xfId="773" applyNumberFormat="1" applyFont="1" applyFill="1" applyBorder="1" applyAlignment="1">
      <alignment horizontal="center" vertical="center" wrapText="1"/>
      <protection locked="0"/>
    </xf>
    <xf numFmtId="43" fontId="5" fillId="0" borderId="1" xfId="1" applyFont="1" applyFill="1" applyBorder="1" applyAlignment="1" applyProtection="1">
      <alignment horizontal="center" vertical="center" wrapText="1"/>
      <protection locked="0"/>
    </xf>
    <xf numFmtId="43" fontId="4" fillId="3" borderId="1" xfId="773" applyNumberFormat="1" applyFont="1" applyFill="1" applyBorder="1" applyAlignment="1">
      <alignment horizontal="center" vertical="center" wrapText="1"/>
      <protection locked="0"/>
    </xf>
    <xf numFmtId="0" fontId="1" fillId="0" borderId="1" xfId="1" applyNumberFormat="1" applyFont="1" applyBorder="1" applyAlignment="1" applyProtection="1">
      <alignment horizontal="center" vertical="center" wrapText="1"/>
      <protection locked="0"/>
    </xf>
    <xf numFmtId="43" fontId="1" fillId="0" borderId="1" xfId="1" applyFont="1" applyBorder="1" applyAlignment="1" applyProtection="1">
      <alignment horizontal="center" vertical="center" wrapText="1"/>
      <protection locked="0"/>
    </xf>
    <xf numFmtId="0" fontId="1" fillId="0" borderId="0" xfId="2" applyNumberFormat="1" applyFont="1" applyBorder="1" applyAlignment="1" applyProtection="1">
      <alignment horizontal="center" vertical="center" wrapText="1"/>
      <protection locked="0"/>
    </xf>
    <xf numFmtId="0" fontId="7" fillId="0" borderId="0" xfId="773" applyNumberFormat="1" applyFont="1" applyAlignment="1">
      <alignment horizontal="right" vertical="center"/>
      <protection locked="0"/>
    </xf>
    <xf numFmtId="0" fontId="1" fillId="0" borderId="0" xfId="1" applyNumberFormat="1" applyFont="1" applyBorder="1" applyAlignment="1" applyProtection="1">
      <alignment horizontal="center" vertical="center" wrapText="1"/>
      <protection locked="0"/>
    </xf>
    <xf numFmtId="0" fontId="1" fillId="0" borderId="0" xfId="773" applyNumberFormat="1" applyFont="1" applyAlignment="1">
      <alignment horizontal="left" vertical="center"/>
      <protection locked="0"/>
    </xf>
    <xf numFmtId="0" fontId="4" fillId="2" borderId="1" xfId="773" applyNumberFormat="1" applyFont="1" applyFill="1" applyBorder="1" applyAlignment="1">
      <alignment horizontal="center" vertical="center" wrapText="1"/>
      <protection locked="0"/>
    </xf>
    <xf numFmtId="43" fontId="16" fillId="0" borderId="1" xfId="773" applyNumberFormat="1" applyFont="1" applyBorder="1" applyAlignment="1">
      <alignment vertical="center"/>
      <protection locked="0"/>
    </xf>
    <xf numFmtId="43" fontId="16" fillId="0" borderId="1" xfId="1" applyFont="1" applyBorder="1" applyAlignment="1" applyProtection="1">
      <alignment horizontal="center" vertical="center" wrapText="1"/>
      <protection locked="0"/>
    </xf>
    <xf numFmtId="43" fontId="16" fillId="0" borderId="1" xfId="1" applyFont="1" applyFill="1" applyBorder="1" applyAlignment="1" applyProtection="1">
      <alignment horizontal="center" vertical="center" wrapText="1"/>
      <protection locked="0"/>
    </xf>
    <xf numFmtId="43" fontId="16" fillId="3" borderId="1" xfId="1" applyFont="1" applyFill="1" applyBorder="1" applyAlignment="1" applyProtection="1">
      <alignment horizontal="center" vertical="center" wrapText="1"/>
      <protection locked="0"/>
    </xf>
    <xf numFmtId="0" fontId="1" fillId="0" borderId="1" xfId="773" applyNumberFormat="1" applyFont="1" applyBorder="1" applyAlignment="1">
      <alignment horizontal="center" vertical="center" wrapText="1"/>
      <protection locked="0"/>
    </xf>
    <xf numFmtId="10" fontId="16" fillId="3" borderId="1" xfId="773" applyNumberFormat="1" applyFont="1" applyFill="1" applyBorder="1" applyAlignment="1">
      <alignment horizontal="center" vertical="center" wrapText="1"/>
      <protection locked="0"/>
    </xf>
    <xf numFmtId="0" fontId="1" fillId="0" borderId="1" xfId="2" applyNumberFormat="1" applyFont="1" applyBorder="1" applyAlignment="1" applyProtection="1">
      <alignment horizontal="center" vertical="center" wrapText="1"/>
      <protection locked="0"/>
    </xf>
    <xf numFmtId="0" fontId="4" fillId="3" borderId="1" xfId="773" applyNumberFormat="1" applyFont="1" applyFill="1" applyBorder="1" applyAlignment="1">
      <alignment horizontal="center" vertical="center"/>
      <protection locked="0"/>
    </xf>
    <xf numFmtId="43" fontId="4" fillId="3" borderId="1" xfId="1" applyFont="1" applyFill="1" applyBorder="1" applyAlignment="1" applyProtection="1">
      <alignment horizontal="center" vertical="center" wrapText="1"/>
      <protection locked="0"/>
    </xf>
    <xf numFmtId="43" fontId="20" fillId="0" borderId="1" xfId="773" applyNumberFormat="1" applyFont="1" applyBorder="1" applyAlignment="1">
      <alignment vertical="center"/>
      <protection locked="0"/>
    </xf>
    <xf numFmtId="0" fontId="16" fillId="0" borderId="1" xfId="1" applyNumberFormat="1" applyFont="1" applyBorder="1" applyAlignment="1" applyProtection="1">
      <alignment horizontal="center" vertical="center" wrapText="1"/>
      <protection locked="0"/>
    </xf>
    <xf numFmtId="10" fontId="16" fillId="0" borderId="1" xfId="2" applyNumberFormat="1" applyFont="1" applyBorder="1" applyAlignment="1" applyProtection="1">
      <alignment horizontal="center" vertical="center" wrapText="1"/>
      <protection locked="0"/>
    </xf>
    <xf numFmtId="0" fontId="16" fillId="3" borderId="1" xfId="1" applyNumberFormat="1" applyFont="1" applyFill="1" applyBorder="1" applyAlignment="1" applyProtection="1">
      <alignment horizontal="center" vertical="center" wrapText="1"/>
      <protection locked="0"/>
    </xf>
    <xf numFmtId="43" fontId="18" fillId="3" borderId="1" xfId="1" applyFont="1" applyFill="1" applyBorder="1" applyAlignment="1" applyProtection="1">
      <alignment horizontal="center" vertical="center" wrapText="1"/>
      <protection locked="0"/>
    </xf>
    <xf numFmtId="0" fontId="18" fillId="3" borderId="1" xfId="1" applyNumberFormat="1" applyFont="1" applyFill="1" applyBorder="1" applyAlignment="1" applyProtection="1">
      <alignment horizontal="center" vertical="center" wrapText="1"/>
      <protection locked="0"/>
    </xf>
    <xf numFmtId="0" fontId="18" fillId="3" borderId="1" xfId="773" applyNumberFormat="1" applyFont="1" applyFill="1" applyBorder="1" applyAlignment="1">
      <alignment horizontal="center" vertical="center" wrapText="1"/>
      <protection locked="0"/>
    </xf>
    <xf numFmtId="0" fontId="5" fillId="0" borderId="1" xfId="773" applyNumberFormat="1" applyFont="1" applyBorder="1" applyAlignment="1">
      <alignment vertical="center"/>
      <protection locked="0"/>
    </xf>
    <xf numFmtId="0" fontId="5" fillId="0" borderId="1" xfId="773" applyNumberFormat="1" applyFont="1" applyBorder="1" applyAlignment="1">
      <alignment vertical="center" wrapText="1"/>
      <protection locked="0"/>
    </xf>
    <xf numFmtId="0" fontId="4" fillId="3" borderId="1" xfId="1" applyNumberFormat="1" applyFont="1" applyFill="1" applyBorder="1" applyAlignment="1" applyProtection="1">
      <alignment horizontal="center" vertical="center" wrapText="1"/>
      <protection locked="0"/>
    </xf>
    <xf numFmtId="0" fontId="16" fillId="0" borderId="1" xfId="773" applyNumberFormat="1" applyFont="1" applyBorder="1" applyAlignment="1">
      <alignment horizontal="center" vertical="center" wrapText="1"/>
      <protection locked="0"/>
    </xf>
    <xf numFmtId="0" fontId="16" fillId="3" borderId="1" xfId="773" applyNumberFormat="1" applyFont="1" applyFill="1" applyBorder="1" applyAlignment="1">
      <alignment horizontal="center" vertical="center" wrapText="1"/>
      <protection locked="0"/>
    </xf>
    <xf numFmtId="0" fontId="1" fillId="0" borderId="1" xfId="2" applyNumberFormat="1" applyFont="1" applyFill="1" applyBorder="1" applyAlignment="1" applyProtection="1">
      <alignment horizontal="center" vertical="center" wrapText="1"/>
      <protection locked="0"/>
    </xf>
    <xf numFmtId="0" fontId="8" fillId="2" borderId="1" xfId="773" applyNumberFormat="1" applyFont="1" applyFill="1" applyBorder="1" applyAlignment="1">
      <alignment horizontal="center" vertical="center" wrapText="1"/>
      <protection locked="0"/>
    </xf>
    <xf numFmtId="0" fontId="16" fillId="0" borderId="1" xfId="2" applyNumberFormat="1" applyFont="1" applyBorder="1" applyAlignment="1" applyProtection="1">
      <alignment horizontal="center" vertical="center" wrapText="1"/>
      <protection locked="0"/>
    </xf>
    <xf numFmtId="0" fontId="20" fillId="0" borderId="1" xfId="773" applyNumberFormat="1" applyFont="1" applyBorder="1" applyAlignment="1">
      <alignment horizontal="center" vertical="center" wrapText="1"/>
      <protection locked="0"/>
    </xf>
    <xf numFmtId="0" fontId="8" fillId="0" borderId="0" xfId="846" applyNumberFormat="1" applyFont="1" applyAlignment="1">
      <alignment vertical="center" wrapText="1"/>
    </xf>
    <xf numFmtId="0" fontId="8" fillId="0" borderId="0" xfId="773" applyNumberFormat="1" applyFont="1" applyAlignment="1">
      <alignment vertical="center"/>
      <protection locked="0"/>
    </xf>
    <xf numFmtId="0" fontId="7" fillId="0" borderId="10" xfId="773" applyNumberFormat="1" applyFont="1" applyBorder="1" applyAlignment="1">
      <alignment vertical="center" wrapText="1"/>
      <protection locked="0"/>
    </xf>
    <xf numFmtId="0" fontId="7" fillId="0" borderId="0" xfId="773" applyNumberFormat="1" applyFont="1" applyAlignment="1">
      <alignment vertical="center" wrapText="1"/>
      <protection locked="0"/>
    </xf>
    <xf numFmtId="0" fontId="7" fillId="0" borderId="10" xfId="0" applyNumberFormat="1" applyFont="1" applyBorder="1" applyAlignment="1">
      <alignment vertical="center" wrapText="1"/>
      <protection locked="0"/>
    </xf>
    <xf numFmtId="0" fontId="7" fillId="0" borderId="0" xfId="1" applyNumberFormat="1" applyFont="1" applyAlignment="1" applyProtection="1">
      <alignment vertical="center" wrapText="1"/>
      <protection locked="0"/>
    </xf>
    <xf numFmtId="0" fontId="7" fillId="0" borderId="10" xfId="773" applyNumberFormat="1" applyFont="1" applyBorder="1" applyAlignment="1">
      <alignment vertical="center"/>
      <protection locked="0"/>
    </xf>
    <xf numFmtId="0" fontId="7" fillId="0" borderId="10" xfId="768" applyNumberFormat="1" applyFont="1" applyBorder="1" applyAlignment="1">
      <alignment vertical="center"/>
      <protection locked="0"/>
    </xf>
    <xf numFmtId="0" fontId="7" fillId="0" borderId="10" xfId="773" applyNumberFormat="1" applyFont="1" applyBorder="1" applyAlignment="1">
      <alignment horizontal="left" vertical="center" wrapText="1"/>
      <protection locked="0"/>
    </xf>
    <xf numFmtId="0" fontId="7" fillId="0" borderId="10" xfId="768" applyNumberFormat="1" applyFont="1" applyBorder="1" applyAlignment="1">
      <alignment horizontal="left" vertical="center" wrapText="1"/>
      <protection locked="0"/>
    </xf>
    <xf numFmtId="0" fontId="20" fillId="0" borderId="3" xfId="773" applyNumberFormat="1" applyFont="1" applyBorder="1" applyAlignment="1">
      <alignment horizontal="center" vertical="center" wrapText="1"/>
      <protection locked="0"/>
    </xf>
    <xf numFmtId="0" fontId="8" fillId="0" borderId="9" xfId="2" applyNumberFormat="1" applyFont="1" applyFill="1" applyBorder="1" applyAlignment="1" applyProtection="1">
      <alignment horizontal="center" vertical="center" wrapText="1"/>
      <protection locked="0"/>
    </xf>
    <xf numFmtId="0" fontId="1" fillId="0" borderId="9" xfId="2" applyNumberFormat="1" applyFont="1" applyBorder="1" applyAlignment="1" applyProtection="1">
      <alignment horizontal="center" vertical="center" wrapText="1"/>
      <protection locked="0"/>
    </xf>
    <xf numFmtId="43" fontId="16" fillId="3" borderId="1" xfId="2" applyNumberFormat="1" applyFont="1" applyFill="1" applyBorder="1" applyAlignment="1" applyProtection="1">
      <alignment horizontal="center" vertical="center" wrapText="1"/>
      <protection locked="0"/>
    </xf>
    <xf numFmtId="0" fontId="1" fillId="0" borderId="0" xfId="2" applyNumberFormat="1" applyFont="1" applyFill="1" applyBorder="1" applyAlignment="1" applyProtection="1">
      <alignment horizontal="center" vertical="center" wrapText="1"/>
      <protection locked="0"/>
    </xf>
    <xf numFmtId="0" fontId="1" fillId="0" borderId="0" xfId="1" applyNumberFormat="1" applyFont="1" applyFill="1" applyBorder="1" applyAlignment="1" applyProtection="1">
      <alignment horizontal="center" vertical="center" wrapText="1"/>
      <protection locked="0"/>
    </xf>
    <xf numFmtId="0" fontId="5" fillId="0" borderId="0" xfId="773" applyNumberFormat="1" applyFont="1" applyAlignment="1">
      <alignment horizontal="center" vertical="center" wrapText="1"/>
      <protection locked="0"/>
    </xf>
    <xf numFmtId="0" fontId="4" fillId="0" borderId="0" xfId="773" applyNumberFormat="1" applyFont="1" applyAlignment="1">
      <alignment horizontal="center" vertical="center" wrapText="1"/>
      <protection locked="0"/>
    </xf>
    <xf numFmtId="43" fontId="16" fillId="3" borderId="1" xfId="773" applyNumberFormat="1" applyFont="1" applyFill="1" applyBorder="1" applyAlignment="1">
      <alignment horizontal="center" vertical="center" wrapText="1"/>
      <protection locked="0"/>
    </xf>
    <xf numFmtId="0" fontId="5" fillId="3" borderId="1" xfId="773" applyNumberFormat="1" applyFont="1" applyFill="1" applyBorder="1" applyAlignment="1">
      <alignment horizontal="center" vertical="center" wrapText="1"/>
      <protection locked="0"/>
    </xf>
    <xf numFmtId="0" fontId="1" fillId="0" borderId="1" xfId="773" applyNumberFormat="1" applyFont="1" applyBorder="1" applyAlignment="1">
      <alignment vertical="center"/>
      <protection locked="0"/>
    </xf>
    <xf numFmtId="0" fontId="16" fillId="3" borderId="1" xfId="2" applyNumberFormat="1" applyFont="1" applyFill="1" applyBorder="1" applyAlignment="1" applyProtection="1">
      <alignment horizontal="center" vertical="center" wrapText="1"/>
      <protection locked="0"/>
    </xf>
    <xf numFmtId="0" fontId="4" fillId="0" borderId="0" xfId="849" applyNumberFormat="1" applyFont="1" applyAlignment="1">
      <alignment horizontal="left" vertical="center"/>
    </xf>
    <xf numFmtId="0" fontId="7" fillId="0" borderId="0" xfId="773" applyNumberFormat="1" applyFont="1" applyAlignment="1">
      <alignment horizontal="left" vertical="center" wrapText="1"/>
      <protection locked="0"/>
    </xf>
    <xf numFmtId="0" fontId="7" fillId="0" borderId="0" xfId="768" applyNumberFormat="1" applyFont="1" applyAlignment="1">
      <alignment horizontal="left" vertical="center" wrapText="1"/>
      <protection locked="0"/>
    </xf>
    <xf numFmtId="0" fontId="4" fillId="0" borderId="0" xfId="846" applyNumberFormat="1" applyFont="1">
      <alignment vertical="center"/>
    </xf>
    <xf numFmtId="0" fontId="4" fillId="0" borderId="0" xfId="771" applyNumberFormat="1" applyFont="1" applyAlignment="1">
      <alignment vertical="center"/>
      <protection locked="0"/>
    </xf>
    <xf numFmtId="0" fontId="1" fillId="0" borderId="0" xfId="0" applyNumberFormat="1" applyFont="1" applyAlignment="1">
      <alignment vertical="center" wrapText="1"/>
      <protection locked="0"/>
    </xf>
    <xf numFmtId="0" fontId="1" fillId="0" borderId="0" xfId="771" applyNumberFormat="1" applyFont="1" applyAlignment="1">
      <alignment vertical="center" wrapText="1"/>
      <protection locked="0"/>
    </xf>
    <xf numFmtId="0" fontId="1" fillId="0" borderId="0" xfId="0" applyNumberFormat="1" applyFont="1">
      <protection locked="0"/>
    </xf>
    <xf numFmtId="0" fontId="1" fillId="0" borderId="0" xfId="771" applyNumberFormat="1" applyFont="1" applyAlignment="1">
      <alignment vertical="center"/>
      <protection locked="0"/>
    </xf>
    <xf numFmtId="0" fontId="1" fillId="0" borderId="0" xfId="853" applyNumberFormat="1" applyFont="1" applyBorder="1" applyAlignment="1">
      <alignment vertical="center"/>
    </xf>
    <xf numFmtId="0" fontId="1" fillId="0" borderId="0" xfId="771" applyNumberFormat="1" applyFont="1" applyAlignment="1">
      <alignment horizontal="right" vertical="center"/>
      <protection locked="0"/>
    </xf>
    <xf numFmtId="0" fontId="1" fillId="0" borderId="0" xfId="771" applyNumberFormat="1" applyFont="1" applyAlignment="1">
      <alignment horizontal="center" vertical="center"/>
      <protection locked="0"/>
    </xf>
    <xf numFmtId="0" fontId="5" fillId="0" borderId="0" xfId="0" applyNumberFormat="1" applyFont="1" applyAlignment="1">
      <alignment vertical="center" wrapText="1"/>
      <protection locked="0"/>
    </xf>
    <xf numFmtId="0" fontId="1" fillId="0" borderId="0" xfId="0" applyNumberFormat="1" applyFont="1" applyAlignment="1">
      <alignment horizontal="left" vertical="center"/>
      <protection locked="0"/>
    </xf>
    <xf numFmtId="0" fontId="1" fillId="0" borderId="0" xfId="853" applyNumberFormat="1" applyFont="1" applyBorder="1" applyAlignment="1">
      <alignment horizontal="left" vertical="center"/>
    </xf>
    <xf numFmtId="0" fontId="4" fillId="3" borderId="1" xfId="775" applyNumberFormat="1" applyFont="1" applyFill="1" applyBorder="1" applyAlignment="1">
      <alignment horizontal="center" vertical="center" wrapText="1"/>
      <protection locked="0"/>
    </xf>
    <xf numFmtId="0" fontId="5" fillId="0" borderId="1" xfId="773" applyNumberFormat="1" applyFont="1" applyBorder="1" applyAlignment="1">
      <alignment horizontal="left" vertical="center" wrapText="1"/>
      <protection locked="0"/>
    </xf>
    <xf numFmtId="43" fontId="23" fillId="0" borderId="1" xfId="1" applyFont="1" applyFill="1" applyBorder="1" applyAlignment="1">
      <alignment horizontal="right" vertical="center"/>
    </xf>
    <xf numFmtId="43" fontId="16" fillId="3" borderId="1" xfId="773" applyNumberFormat="1" applyFont="1" applyFill="1" applyBorder="1" applyAlignment="1">
      <alignment horizontal="left" vertical="center" wrapText="1"/>
      <protection locked="0"/>
    </xf>
    <xf numFmtId="43" fontId="16" fillId="0" borderId="1" xfId="773" applyNumberFormat="1" applyFont="1" applyBorder="1" applyAlignment="1">
      <alignment horizontal="left" vertical="center" wrapText="1"/>
      <protection locked="0"/>
    </xf>
    <xf numFmtId="43" fontId="23" fillId="3" borderId="1" xfId="1" applyFont="1" applyFill="1" applyBorder="1" applyAlignment="1">
      <alignment horizontal="right" vertical="center"/>
    </xf>
    <xf numFmtId="0" fontId="25" fillId="0" borderId="1" xfId="1" applyNumberFormat="1" applyFont="1" applyFill="1" applyBorder="1" applyAlignment="1">
      <alignment horizontal="right" vertical="center"/>
    </xf>
    <xf numFmtId="0" fontId="16" fillId="0" borderId="1" xfId="0" applyNumberFormat="1" applyFont="1" applyBorder="1">
      <protection locked="0"/>
    </xf>
    <xf numFmtId="0" fontId="6" fillId="3" borderId="1" xfId="773" applyNumberFormat="1" applyFont="1" applyFill="1" applyBorder="1" applyAlignment="1">
      <alignment horizontal="center" vertical="center" wrapText="1"/>
      <protection locked="0"/>
    </xf>
    <xf numFmtId="43" fontId="26" fillId="3" borderId="1" xfId="1" applyFont="1" applyFill="1" applyBorder="1" applyAlignment="1">
      <alignment horizontal="right" vertical="center"/>
    </xf>
    <xf numFmtId="43" fontId="26" fillId="3" borderId="1" xfId="2" applyNumberFormat="1" applyFont="1" applyFill="1" applyBorder="1" applyAlignment="1">
      <alignment horizontal="right" vertical="center"/>
    </xf>
    <xf numFmtId="0" fontId="27" fillId="3" borderId="1" xfId="1" applyNumberFormat="1" applyFont="1" applyFill="1" applyBorder="1" applyAlignment="1">
      <alignment horizontal="right" vertical="center"/>
    </xf>
    <xf numFmtId="0" fontId="16" fillId="3" borderId="1" xfId="0" applyNumberFormat="1" applyFont="1" applyFill="1" applyBorder="1">
      <protection locked="0"/>
    </xf>
    <xf numFmtId="0" fontId="8" fillId="0" borderId="0" xfId="771" applyNumberFormat="1" applyFont="1" applyAlignment="1">
      <alignment vertical="center"/>
      <protection locked="0"/>
    </xf>
    <xf numFmtId="0" fontId="8" fillId="0" borderId="0" xfId="771" applyNumberFormat="1" applyFont="1" applyAlignment="1">
      <alignment horizontal="center" vertical="center"/>
      <protection locked="0"/>
    </xf>
    <xf numFmtId="0" fontId="4" fillId="3" borderId="3" xfId="773" applyNumberFormat="1" applyFont="1" applyFill="1" applyBorder="1" applyAlignment="1">
      <alignment vertical="center" wrapText="1"/>
      <protection locked="0"/>
    </xf>
    <xf numFmtId="0" fontId="4" fillId="3" borderId="6" xfId="775" applyNumberFormat="1" applyFont="1" applyFill="1" applyBorder="1" applyAlignment="1">
      <alignment horizontal="center" vertical="center" wrapText="1"/>
      <protection locked="0"/>
    </xf>
    <xf numFmtId="0" fontId="4" fillId="3" borderId="8" xfId="773" applyNumberFormat="1" applyFont="1" applyFill="1" applyBorder="1" applyAlignment="1">
      <alignment vertical="center" wrapText="1"/>
      <protection locked="0"/>
    </xf>
    <xf numFmtId="0" fontId="6" fillId="0" borderId="4" xfId="773" applyNumberFormat="1" applyFont="1" applyBorder="1" applyAlignment="1">
      <alignment horizontal="left" vertical="center"/>
      <protection locked="0"/>
    </xf>
    <xf numFmtId="0" fontId="25" fillId="0" borderId="11" xfId="1" applyNumberFormat="1" applyFont="1" applyFill="1" applyBorder="1" applyAlignment="1">
      <alignment horizontal="right" vertical="center"/>
    </xf>
    <xf numFmtId="0" fontId="1" fillId="0" borderId="11" xfId="773" applyNumberFormat="1" applyFont="1" applyBorder="1" applyAlignment="1">
      <alignment vertical="center" wrapText="1"/>
      <protection locked="0"/>
    </xf>
    <xf numFmtId="0" fontId="1" fillId="0" borderId="6" xfId="773" applyNumberFormat="1" applyFont="1" applyBorder="1" applyAlignment="1">
      <alignment horizontal="left" vertical="center" wrapText="1"/>
      <protection locked="0"/>
    </xf>
    <xf numFmtId="43" fontId="23" fillId="0" borderId="6" xfId="2" applyNumberFormat="1" applyFont="1" applyFill="1" applyBorder="1" applyAlignment="1">
      <alignment horizontal="center" vertical="center"/>
    </xf>
    <xf numFmtId="43" fontId="16" fillId="3" borderId="6" xfId="773" applyNumberFormat="1" applyFont="1" applyFill="1" applyBorder="1" applyAlignment="1">
      <alignment horizontal="left" vertical="center" wrapText="1"/>
      <protection locked="0"/>
    </xf>
    <xf numFmtId="43" fontId="23" fillId="0" borderId="6" xfId="1" applyFont="1" applyFill="1" applyBorder="1" applyAlignment="1">
      <alignment horizontal="right" vertical="center"/>
    </xf>
    <xf numFmtId="43" fontId="23" fillId="3" borderId="6" xfId="1" applyFont="1" applyFill="1" applyBorder="1" applyAlignment="1">
      <alignment horizontal="right" vertical="center"/>
    </xf>
    <xf numFmtId="0" fontId="1" fillId="0" borderId="1" xfId="773" applyNumberFormat="1" applyFont="1" applyBorder="1" applyAlignment="1">
      <alignment horizontal="left" vertical="center" wrapText="1"/>
      <protection locked="0"/>
    </xf>
    <xf numFmtId="43" fontId="23" fillId="0" borderId="1" xfId="2" applyNumberFormat="1" applyFont="1" applyFill="1" applyBorder="1" applyAlignment="1">
      <alignment horizontal="center" vertical="center"/>
    </xf>
    <xf numFmtId="0" fontId="25" fillId="0" borderId="5" xfId="1" applyNumberFormat="1" applyFont="1" applyFill="1" applyBorder="1" applyAlignment="1">
      <alignment horizontal="right" vertical="center"/>
    </xf>
    <xf numFmtId="0" fontId="5" fillId="0" borderId="0" xfId="771" applyNumberFormat="1" applyFont="1" applyAlignment="1">
      <alignment horizontal="center" vertical="center"/>
      <protection locked="0"/>
    </xf>
    <xf numFmtId="0" fontId="5" fillId="0" borderId="0" xfId="771" applyNumberFormat="1" applyFont="1" applyAlignment="1">
      <alignment vertical="center"/>
      <protection locked="0"/>
    </xf>
    <xf numFmtId="0" fontId="7" fillId="0" borderId="0" xfId="771" applyNumberFormat="1" applyFont="1" applyAlignment="1">
      <alignment vertical="center"/>
      <protection locked="0"/>
    </xf>
    <xf numFmtId="0" fontId="1" fillId="0" borderId="0" xfId="771" applyNumberFormat="1" applyFont="1" applyAlignment="1">
      <alignment horizontal="justify" vertical="center" wrapText="1"/>
      <protection locked="0"/>
    </xf>
    <xf numFmtId="176" fontId="1" fillId="5" borderId="0" xfId="846" applyFont="1" applyFill="1" applyAlignment="1">
      <alignment vertical="center" wrapText="1"/>
    </xf>
    <xf numFmtId="176" fontId="1" fillId="5" borderId="0" xfId="773" applyFont="1" applyFill="1" applyAlignment="1">
      <alignment vertical="center"/>
      <protection locked="0"/>
    </xf>
    <xf numFmtId="176" fontId="1" fillId="5" borderId="0" xfId="773" applyFont="1" applyFill="1" applyAlignment="1">
      <alignment vertical="center" wrapText="1"/>
      <protection locked="0"/>
    </xf>
    <xf numFmtId="176" fontId="1" fillId="5" borderId="0" xfId="852" applyFont="1" applyFill="1" applyAlignment="1">
      <alignment vertical="center"/>
    </xf>
    <xf numFmtId="176" fontId="1" fillId="5" borderId="0" xfId="852" applyFont="1" applyFill="1" applyAlignment="1">
      <alignment horizontal="right" vertical="center"/>
    </xf>
    <xf numFmtId="176" fontId="1" fillId="5" borderId="0" xfId="0" applyFont="1" applyFill="1">
      <protection locked="0"/>
    </xf>
    <xf numFmtId="176" fontId="1" fillId="5" borderId="0" xfId="773" applyFont="1" applyFill="1" applyAlignment="1">
      <alignment horizontal="right" vertical="center"/>
      <protection locked="0"/>
    </xf>
    <xf numFmtId="176" fontId="4" fillId="5" borderId="0" xfId="849" applyFont="1" applyFill="1" applyAlignment="1">
      <alignment horizontal="left" vertical="center"/>
    </xf>
    <xf numFmtId="176" fontId="1" fillId="5" borderId="0" xfId="773" applyFont="1" applyFill="1" applyAlignment="1">
      <alignment horizontal="left" vertical="center" wrapText="1"/>
      <protection locked="0"/>
    </xf>
    <xf numFmtId="176" fontId="5" fillId="5" borderId="0" xfId="773" applyFont="1" applyFill="1" applyAlignment="1">
      <alignment horizontal="left" vertical="center"/>
      <protection locked="0"/>
    </xf>
    <xf numFmtId="176" fontId="1" fillId="5" borderId="0" xfId="773" applyFont="1" applyFill="1" applyAlignment="1">
      <alignment horizontal="left" vertical="center"/>
      <protection locked="0"/>
    </xf>
    <xf numFmtId="176" fontId="4" fillId="5" borderId="0" xfId="773" applyFont="1" applyFill="1" applyAlignment="1">
      <alignment vertical="center"/>
      <protection locked="0"/>
    </xf>
    <xf numFmtId="176" fontId="5" fillId="5" borderId="0" xfId="773" applyFont="1" applyFill="1" applyAlignment="1">
      <alignment horizontal="left" vertical="center" wrapText="1"/>
      <protection locked="0"/>
    </xf>
    <xf numFmtId="176" fontId="1" fillId="5" borderId="0" xfId="773" applyFont="1" applyFill="1" applyAlignment="1">
      <alignment horizontal="center" vertical="center" wrapText="1"/>
      <protection locked="0"/>
    </xf>
    <xf numFmtId="176" fontId="7" fillId="5" borderId="0" xfId="773" applyFont="1" applyFill="1" applyAlignment="1">
      <alignment vertical="center"/>
      <protection locked="0"/>
    </xf>
    <xf numFmtId="176" fontId="7" fillId="5" borderId="0" xfId="773" applyFont="1" applyFill="1" applyAlignment="1">
      <alignment horizontal="left" vertical="center" wrapText="1"/>
      <protection locked="0"/>
    </xf>
    <xf numFmtId="176" fontId="5" fillId="5" borderId="0" xfId="849" applyFont="1" applyFill="1" applyAlignment="1">
      <alignment horizontal="left" vertical="center"/>
    </xf>
    <xf numFmtId="176" fontId="7" fillId="5" borderId="0" xfId="773" applyFont="1" applyFill="1" applyAlignment="1">
      <alignment horizontal="left" vertical="center"/>
      <protection locked="0"/>
    </xf>
    <xf numFmtId="0" fontId="28" fillId="0" borderId="0" xfId="774" applyFont="1" applyAlignment="1">
      <alignment vertical="center"/>
      <protection locked="0"/>
    </xf>
    <xf numFmtId="176" fontId="5" fillId="0" borderId="0" xfId="773" applyFont="1" applyAlignment="1">
      <alignment horizontal="left" vertical="center" wrapText="1"/>
      <protection locked="0"/>
    </xf>
    <xf numFmtId="176" fontId="5" fillId="0" borderId="0" xfId="773" applyFont="1" applyAlignment="1">
      <alignment horizontal="left" vertical="center"/>
      <protection locked="0"/>
    </xf>
    <xf numFmtId="0" fontId="9" fillId="0" borderId="0" xfId="0" applyNumberFormat="1" applyFont="1" applyAlignment="1">
      <alignment horizontal="center" vertical="center"/>
      <protection locked="0"/>
    </xf>
    <xf numFmtId="0" fontId="9" fillId="0" borderId="0" xfId="771" applyNumberFormat="1" applyFont="1" applyAlignment="1">
      <alignment vertical="center"/>
      <protection locked="0"/>
    </xf>
    <xf numFmtId="0" fontId="9" fillId="0" borderId="0" xfId="0" applyNumberFormat="1" applyFont="1" applyAlignment="1">
      <alignment horizontal="right" vertical="center"/>
      <protection locked="0"/>
    </xf>
    <xf numFmtId="0" fontId="9" fillId="0" borderId="0" xfId="771" applyNumberFormat="1" applyFont="1" applyAlignment="1">
      <alignment horizontal="left" vertical="center"/>
      <protection locked="0"/>
    </xf>
    <xf numFmtId="0" fontId="14" fillId="0" borderId="0" xfId="0" applyNumberFormat="1" applyFont="1" applyAlignment="1">
      <alignment horizontal="left" vertical="center"/>
      <protection locked="0"/>
    </xf>
    <xf numFmtId="0" fontId="13" fillId="0" borderId="0" xfId="0" applyNumberFormat="1" applyFont="1" applyAlignment="1">
      <alignment vertical="center"/>
      <protection locked="0"/>
    </xf>
    <xf numFmtId="0" fontId="13" fillId="4" borderId="1" xfId="0" applyNumberFormat="1" applyFont="1" applyFill="1" applyBorder="1" applyAlignment="1">
      <alignment horizontal="center" vertical="center"/>
      <protection locked="0"/>
    </xf>
    <xf numFmtId="0" fontId="13" fillId="4" borderId="1" xfId="0" applyNumberFormat="1" applyFont="1" applyFill="1" applyBorder="1" applyAlignment="1">
      <alignment horizontal="center" vertical="center" wrapText="1"/>
      <protection locked="0"/>
    </xf>
    <xf numFmtId="0" fontId="16" fillId="0" borderId="1" xfId="0" applyNumberFormat="1" applyFont="1" applyBorder="1" applyAlignment="1">
      <alignment vertical="center"/>
      <protection locked="0"/>
    </xf>
    <xf numFmtId="0" fontId="13" fillId="3" borderId="1" xfId="0" applyNumberFormat="1" applyFont="1" applyFill="1" applyBorder="1" applyAlignment="1">
      <alignment horizontal="center" vertical="center"/>
      <protection locked="0"/>
    </xf>
    <xf numFmtId="0" fontId="9" fillId="3" borderId="1" xfId="0" applyNumberFormat="1" applyFont="1" applyFill="1" applyBorder="1" applyAlignment="1">
      <alignment vertical="center"/>
      <protection locked="0"/>
    </xf>
    <xf numFmtId="43" fontId="16" fillId="3" borderId="1" xfId="1" applyFont="1" applyFill="1" applyBorder="1" applyAlignment="1" applyProtection="1">
      <alignment vertical="center"/>
      <protection locked="0"/>
    </xf>
    <xf numFmtId="0" fontId="16" fillId="3" borderId="1" xfId="0" applyNumberFormat="1" applyFont="1" applyFill="1" applyBorder="1" applyAlignment="1">
      <alignment vertical="center"/>
      <protection locked="0"/>
    </xf>
    <xf numFmtId="0" fontId="9" fillId="0" borderId="0" xfId="775" applyNumberFormat="1" applyFont="1" applyAlignment="1">
      <alignment vertical="center"/>
      <protection locked="0"/>
    </xf>
    <xf numFmtId="0" fontId="146" fillId="0" borderId="0" xfId="769">
      <protection locked="0"/>
    </xf>
    <xf numFmtId="0" fontId="1" fillId="0" borderId="0" xfId="768" applyNumberFormat="1" applyFont="1">
      <protection locked="0"/>
    </xf>
    <xf numFmtId="0" fontId="1" fillId="0" borderId="0" xfId="768" applyNumberFormat="1" applyFont="1" applyAlignment="1">
      <alignment vertical="center"/>
      <protection locked="0"/>
    </xf>
    <xf numFmtId="0" fontId="4" fillId="0" borderId="0" xfId="849" applyNumberFormat="1" applyFont="1" applyAlignment="1">
      <alignment vertical="center" wrapText="1"/>
    </xf>
    <xf numFmtId="0" fontId="1" fillId="0" borderId="0" xfId="849" applyNumberFormat="1" applyFont="1" applyAlignment="1">
      <alignment vertical="center"/>
    </xf>
    <xf numFmtId="0" fontId="1" fillId="0" borderId="0" xfId="849" applyNumberFormat="1" applyFont="1" applyAlignment="1">
      <alignment horizontal="left" vertical="center"/>
    </xf>
    <xf numFmtId="0" fontId="7" fillId="0" borderId="0" xfId="849" applyNumberFormat="1" applyFont="1" applyAlignment="1">
      <alignment horizontal="left" vertical="center"/>
    </xf>
    <xf numFmtId="176" fontId="20" fillId="0" borderId="0" xfId="0" applyFont="1" applyFill="1" applyBorder="1" applyAlignment="1" applyProtection="1">
      <alignment horizontal="left" vertical="center"/>
      <protection locked="0"/>
    </xf>
    <xf numFmtId="0" fontId="13" fillId="3" borderId="1" xfId="769" applyFont="1" applyFill="1" applyBorder="1" applyAlignment="1">
      <alignment horizontal="center" vertical="center"/>
      <protection locked="0"/>
    </xf>
    <xf numFmtId="0" fontId="13" fillId="3" borderId="1" xfId="769" applyFont="1" applyFill="1" applyBorder="1" applyAlignment="1">
      <alignment horizontal="center" vertical="center" wrapText="1"/>
      <protection locked="0"/>
    </xf>
    <xf numFmtId="0" fontId="16" fillId="0" borderId="1" xfId="769" applyFont="1" applyBorder="1" applyAlignment="1">
      <alignment vertical="center"/>
      <protection locked="0"/>
    </xf>
    <xf numFmtId="14" fontId="16" fillId="0" borderId="1" xfId="769" applyNumberFormat="1" applyFont="1" applyBorder="1" applyAlignment="1">
      <alignment horizontal="center" vertical="center"/>
      <protection locked="0"/>
    </xf>
    <xf numFmtId="49" fontId="16" fillId="0" borderId="1" xfId="769" applyNumberFormat="1" applyFont="1" applyBorder="1" applyAlignment="1">
      <alignment horizontal="center" vertical="center"/>
      <protection locked="0"/>
    </xf>
    <xf numFmtId="0" fontId="9" fillId="0" borderId="1" xfId="769" applyFont="1" applyBorder="1" applyAlignment="1">
      <alignment vertical="center"/>
      <protection locked="0"/>
    </xf>
    <xf numFmtId="233" fontId="16" fillId="0" borderId="1" xfId="1027" applyFont="1" applyBorder="1" applyAlignment="1" applyProtection="1">
      <alignment vertical="center"/>
      <protection locked="0"/>
    </xf>
    <xf numFmtId="0" fontId="13" fillId="4" borderId="1" xfId="769" applyFont="1" applyFill="1" applyBorder="1" applyAlignment="1">
      <alignment horizontal="center" vertical="center"/>
      <protection locked="0"/>
    </xf>
    <xf numFmtId="0" fontId="9" fillId="4" borderId="1" xfId="769" applyFont="1" applyFill="1" applyBorder="1" applyAlignment="1">
      <alignment vertical="center"/>
      <protection locked="0"/>
    </xf>
    <xf numFmtId="233" fontId="18" fillId="4" borderId="1" xfId="1027" applyFont="1" applyFill="1" applyBorder="1" applyAlignment="1" applyProtection="1">
      <alignment vertical="center"/>
      <protection locked="0"/>
    </xf>
    <xf numFmtId="0" fontId="13" fillId="0" borderId="12" xfId="851" applyNumberFormat="1" applyFont="1" applyBorder="1" applyAlignment="1">
      <alignment vertical="center"/>
    </xf>
    <xf numFmtId="0" fontId="4" fillId="0" borderId="0" xfId="768" applyNumberFormat="1" applyFont="1" applyAlignment="1">
      <alignment vertical="center"/>
      <protection locked="0"/>
    </xf>
    <xf numFmtId="0" fontId="1" fillId="0" borderId="0" xfId="768" applyNumberFormat="1" applyFont="1" applyAlignment="1">
      <alignment horizontal="right" vertical="center"/>
      <protection locked="0"/>
    </xf>
    <xf numFmtId="0" fontId="18" fillId="3" borderId="1" xfId="0" applyNumberFormat="1" applyFont="1" applyFill="1" applyBorder="1" applyAlignment="1" applyProtection="1">
      <alignment horizontal="center" vertical="center"/>
      <protection locked="0"/>
    </xf>
    <xf numFmtId="49" fontId="9" fillId="0" borderId="1" xfId="769" applyNumberFormat="1" applyFont="1" applyBorder="1" applyAlignment="1">
      <alignment horizontal="center" vertical="center"/>
      <protection locked="0"/>
    </xf>
    <xf numFmtId="176" fontId="16" fillId="0" borderId="1" xfId="0" applyFont="1" applyBorder="1" applyAlignment="1" applyProtection="1">
      <alignment horizontal="center" vertical="center"/>
      <protection locked="0"/>
    </xf>
    <xf numFmtId="0" fontId="16" fillId="0" borderId="1" xfId="1027" applyNumberFormat="1" applyFont="1" applyBorder="1" applyAlignment="1" applyProtection="1">
      <alignment horizontal="center" vertical="center"/>
      <protection locked="0"/>
    </xf>
    <xf numFmtId="49" fontId="16" fillId="0" borderId="1" xfId="769" applyNumberFormat="1" applyFont="1" applyBorder="1" applyAlignment="1">
      <alignment vertical="center"/>
      <protection locked="0"/>
    </xf>
    <xf numFmtId="0" fontId="13" fillId="4" borderId="1" xfId="769" applyFont="1" applyFill="1" applyBorder="1" applyAlignment="1">
      <alignment vertical="center"/>
      <protection locked="0"/>
    </xf>
    <xf numFmtId="0" fontId="1" fillId="0" borderId="0" xfId="769" applyFont="1">
      <protection locked="0"/>
    </xf>
    <xf numFmtId="0" fontId="9" fillId="0" borderId="0" xfId="854" applyNumberFormat="1" applyFont="1" applyBorder="1" applyAlignment="1">
      <alignment vertical="center"/>
    </xf>
    <xf numFmtId="0" fontId="14" fillId="0" borderId="0" xfId="768" applyNumberFormat="1" applyFont="1" applyAlignment="1">
      <alignment vertical="center"/>
      <protection locked="0"/>
    </xf>
    <xf numFmtId="0" fontId="13" fillId="3" borderId="1" xfId="768" applyNumberFormat="1" applyFont="1" applyFill="1" applyBorder="1" applyAlignment="1">
      <alignment horizontal="center" vertical="center" wrapText="1"/>
      <protection locked="0"/>
    </xf>
    <xf numFmtId="0" fontId="18" fillId="4" borderId="1" xfId="0" applyNumberFormat="1" applyFont="1" applyFill="1" applyBorder="1" applyAlignment="1">
      <alignment horizontal="center" vertical="center" wrapText="1"/>
      <protection locked="0"/>
    </xf>
    <xf numFmtId="0" fontId="9" fillId="0" borderId="1" xfId="768" applyNumberFormat="1" applyFont="1" applyBorder="1" applyAlignment="1">
      <alignment horizontal="left" vertical="center" wrapText="1"/>
      <protection locked="0"/>
    </xf>
    <xf numFmtId="43" fontId="16" fillId="0" borderId="1" xfId="768" applyNumberFormat="1" applyFont="1" applyBorder="1" applyAlignment="1">
      <alignment vertical="center"/>
      <protection locked="0"/>
    </xf>
    <xf numFmtId="43" fontId="16" fillId="3" borderId="1" xfId="768" applyNumberFormat="1" applyFont="1" applyFill="1" applyBorder="1" applyAlignment="1">
      <alignment vertical="center"/>
      <protection locked="0"/>
    </xf>
    <xf numFmtId="0" fontId="9" fillId="3" borderId="1" xfId="1005" applyNumberFormat="1" applyFont="1" applyFill="1" applyBorder="1" applyAlignment="1" applyProtection="1">
      <alignment vertical="center"/>
    </xf>
    <xf numFmtId="0" fontId="13" fillId="0" borderId="0" xfId="768" applyNumberFormat="1" applyFont="1" applyAlignment="1">
      <alignment vertical="center"/>
      <protection locked="0"/>
    </xf>
    <xf numFmtId="0" fontId="29" fillId="0" borderId="0" xfId="768" applyNumberFormat="1" applyFont="1" applyAlignment="1">
      <alignment vertical="center"/>
      <protection locked="0"/>
    </xf>
    <xf numFmtId="0" fontId="13" fillId="0" borderId="0" xfId="768" applyNumberFormat="1" applyFont="1" applyAlignment="1">
      <alignment vertical="center" wrapText="1"/>
      <protection locked="0"/>
    </xf>
    <xf numFmtId="176" fontId="29" fillId="0" borderId="0" xfId="0" applyFont="1" applyBorder="1" applyAlignment="1">
      <alignment vertical="center"/>
      <protection locked="0"/>
    </xf>
    <xf numFmtId="0" fontId="24" fillId="0" borderId="0" xfId="3" applyNumberFormat="1" applyFont="1" applyFill="1" applyAlignment="1" applyProtection="1">
      <alignment vertical="center"/>
    </xf>
    <xf numFmtId="0" fontId="9" fillId="0" borderId="0" xfId="853" applyNumberFormat="1" applyFont="1" applyBorder="1" applyAlignment="1">
      <alignment horizontal="right" vertical="center"/>
    </xf>
    <xf numFmtId="0" fontId="9" fillId="0" borderId="1" xfId="768" applyNumberFormat="1" applyFont="1" applyBorder="1" applyAlignment="1">
      <alignment horizontal="center" vertical="center" wrapText="1"/>
      <protection locked="0"/>
    </xf>
    <xf numFmtId="0" fontId="13" fillId="3" borderId="1" xfId="768" applyNumberFormat="1" applyFont="1" applyFill="1" applyBorder="1" applyAlignment="1">
      <alignment horizontal="left" vertical="center" wrapText="1"/>
      <protection locked="0"/>
    </xf>
    <xf numFmtId="43" fontId="13" fillId="3" borderId="1" xfId="768" applyNumberFormat="1" applyFont="1" applyFill="1" applyBorder="1" applyAlignment="1">
      <alignment horizontal="left" vertical="center" wrapText="1"/>
      <protection locked="0"/>
    </xf>
    <xf numFmtId="43" fontId="16" fillId="0" borderId="0" xfId="853" applyNumberFormat="1" applyFont="1" applyBorder="1" applyAlignment="1">
      <alignment vertical="center"/>
    </xf>
    <xf numFmtId="43" fontId="30" fillId="0" borderId="0" xfId="853" applyNumberFormat="1" applyFont="1" applyBorder="1" applyAlignment="1">
      <alignment vertical="center"/>
    </xf>
    <xf numFmtId="176" fontId="30" fillId="0" borderId="0" xfId="0" applyFont="1" applyAlignment="1">
      <alignment vertical="center"/>
      <protection locked="0"/>
    </xf>
    <xf numFmtId="176" fontId="16" fillId="0" borderId="0" xfId="0" applyFont="1" applyAlignment="1">
      <alignment vertical="center"/>
      <protection locked="0"/>
    </xf>
    <xf numFmtId="176" fontId="18" fillId="0" borderId="0" xfId="847" applyFont="1" applyAlignment="1">
      <alignment vertical="center"/>
    </xf>
    <xf numFmtId="43" fontId="31" fillId="0" borderId="0" xfId="853" applyNumberFormat="1" applyFont="1" applyBorder="1" applyAlignment="1">
      <alignment vertical="center"/>
    </xf>
    <xf numFmtId="49" fontId="16" fillId="0" borderId="0" xfId="853" applyNumberFormat="1" applyFont="1" applyBorder="1" applyAlignment="1">
      <alignment vertical="center"/>
    </xf>
    <xf numFmtId="176" fontId="30" fillId="0" borderId="0" xfId="0" applyFont="1" applyAlignment="1">
      <alignment horizontal="left" vertical="center"/>
      <protection locked="0"/>
    </xf>
    <xf numFmtId="176" fontId="30" fillId="0" borderId="0" xfId="0" applyFont="1" applyAlignment="1">
      <alignment horizontal="justify" vertical="center"/>
      <protection locked="0"/>
    </xf>
    <xf numFmtId="176" fontId="31" fillId="0" borderId="13" xfId="0" applyFont="1" applyBorder="1" applyAlignment="1">
      <alignment horizontal="center" vertical="center" wrapText="1"/>
      <protection locked="0"/>
    </xf>
    <xf numFmtId="176" fontId="31" fillId="0" borderId="14" xfId="0" applyFont="1" applyBorder="1" applyAlignment="1">
      <alignment horizontal="center" vertical="center" wrapText="1"/>
      <protection locked="0"/>
    </xf>
    <xf numFmtId="176" fontId="32" fillId="0" borderId="13" xfId="0" applyFont="1" applyBorder="1" applyAlignment="1">
      <alignment horizontal="left" vertical="center" wrapText="1"/>
      <protection locked="0"/>
    </xf>
    <xf numFmtId="43" fontId="30" fillId="0" borderId="13" xfId="0" applyNumberFormat="1" applyFont="1" applyBorder="1" applyAlignment="1">
      <alignment vertical="center"/>
      <protection locked="0"/>
    </xf>
    <xf numFmtId="10" fontId="30" fillId="0" borderId="13" xfId="2" applyNumberFormat="1" applyFont="1" applyFill="1" applyBorder="1" applyAlignment="1" applyProtection="1">
      <alignment horizontal="right" vertical="center" wrapText="1"/>
      <protection locked="0"/>
    </xf>
    <xf numFmtId="176" fontId="30" fillId="0" borderId="0" xfId="0" applyFont="1" applyAlignment="1">
      <alignment horizontal="left" vertical="center" wrapText="1"/>
      <protection locked="0"/>
    </xf>
    <xf numFmtId="10" fontId="30" fillId="0" borderId="0" xfId="2" applyNumberFormat="1" applyFont="1" applyFill="1" applyBorder="1" applyAlignment="1" applyProtection="1">
      <alignment horizontal="right" vertical="center" wrapText="1"/>
      <protection locked="0"/>
    </xf>
    <xf numFmtId="176" fontId="33" fillId="0" borderId="0" xfId="0" applyFont="1" applyAlignment="1">
      <alignment horizontal="justify" vertical="center" wrapText="1"/>
      <protection locked="0"/>
    </xf>
    <xf numFmtId="43" fontId="30" fillId="0" borderId="0" xfId="0" applyNumberFormat="1" applyFont="1" applyAlignment="1">
      <alignment vertical="center"/>
      <protection locked="0"/>
    </xf>
    <xf numFmtId="176" fontId="33" fillId="0" borderId="0" xfId="0" applyFont="1" applyAlignment="1">
      <alignment horizontal="left" vertical="center" wrapText="1"/>
      <protection locked="0"/>
    </xf>
    <xf numFmtId="43" fontId="30" fillId="0" borderId="0" xfId="2" applyNumberFormat="1" applyFont="1" applyFill="1" applyBorder="1" applyAlignment="1" applyProtection="1">
      <alignment horizontal="right" vertical="center" wrapText="1"/>
      <protection locked="0"/>
    </xf>
    <xf numFmtId="176" fontId="31" fillId="0" borderId="15" xfId="0" applyFont="1" applyBorder="1" applyAlignment="1">
      <alignment horizontal="left" vertical="center" wrapText="1"/>
      <protection locked="0"/>
    </xf>
    <xf numFmtId="43" fontId="34" fillId="0" borderId="15" xfId="1" applyFont="1" applyFill="1" applyBorder="1" applyAlignment="1" applyProtection="1">
      <alignment vertical="center" shrinkToFit="1"/>
      <protection locked="0"/>
    </xf>
    <xf numFmtId="10" fontId="34" fillId="0" borderId="15" xfId="2" applyNumberFormat="1" applyFont="1" applyFill="1" applyBorder="1" applyAlignment="1" applyProtection="1">
      <alignment horizontal="right" vertical="center" wrapText="1" shrinkToFit="1"/>
      <protection locked="0"/>
    </xf>
    <xf numFmtId="10" fontId="31" fillId="0" borderId="15" xfId="2" applyNumberFormat="1" applyFont="1" applyFill="1" applyBorder="1" applyAlignment="1" applyProtection="1">
      <alignment horizontal="right" vertical="center" wrapText="1"/>
      <protection locked="0"/>
    </xf>
    <xf numFmtId="10" fontId="30" fillId="0" borderId="14" xfId="2" applyNumberFormat="1" applyFont="1" applyFill="1" applyBorder="1" applyAlignment="1" applyProtection="1">
      <alignment horizontal="right" vertical="center" wrapText="1"/>
      <protection locked="0"/>
    </xf>
    <xf numFmtId="176" fontId="31" fillId="0" borderId="0" xfId="0" applyFont="1" applyAlignment="1">
      <alignment horizontal="center" vertical="center" wrapText="1"/>
      <protection locked="0"/>
    </xf>
    <xf numFmtId="176" fontId="0" fillId="0" borderId="13" xfId="0" applyFont="1" applyBorder="1" applyAlignment="1">
      <alignment horizontal="left" vertical="center" wrapText="1"/>
      <protection locked="0"/>
    </xf>
    <xf numFmtId="10" fontId="30" fillId="0" borderId="13" xfId="2" applyNumberFormat="1" applyFont="1" applyFill="1" applyBorder="1" applyAlignment="1" applyProtection="1">
      <alignment vertical="center"/>
      <protection locked="0"/>
    </xf>
    <xf numFmtId="10" fontId="30" fillId="0" borderId="0" xfId="2" applyNumberFormat="1" applyFont="1" applyFill="1" applyBorder="1" applyAlignment="1" applyProtection="1">
      <alignment vertical="center"/>
      <protection locked="0"/>
    </xf>
    <xf numFmtId="43" fontId="31" fillId="0" borderId="15" xfId="0" applyNumberFormat="1" applyFont="1" applyBorder="1" applyAlignment="1">
      <alignment vertical="center"/>
      <protection locked="0"/>
    </xf>
    <xf numFmtId="10" fontId="30" fillId="0" borderId="15" xfId="2" applyNumberFormat="1" applyFont="1" applyFill="1" applyBorder="1" applyAlignment="1" applyProtection="1">
      <alignment vertical="center"/>
      <protection locked="0"/>
    </xf>
    <xf numFmtId="176" fontId="36" fillId="0" borderId="0" xfId="0" applyFont="1" applyAlignment="1">
      <alignment horizontal="left" vertical="center"/>
      <protection locked="0"/>
    </xf>
    <xf numFmtId="176" fontId="37" fillId="0" borderId="13" xfId="0" applyFont="1" applyBorder="1" applyAlignment="1">
      <alignment horizontal="left" vertical="center" wrapText="1"/>
      <protection locked="0"/>
    </xf>
    <xf numFmtId="10" fontId="30" fillId="0" borderId="13" xfId="0" applyNumberFormat="1" applyFont="1" applyBorder="1" applyAlignment="1">
      <alignment vertical="center"/>
      <protection locked="0"/>
    </xf>
    <xf numFmtId="176" fontId="37" fillId="0" borderId="0" xfId="0" applyFont="1" applyAlignment="1">
      <alignment horizontal="left" vertical="center" wrapText="1"/>
      <protection locked="0"/>
    </xf>
    <xf numFmtId="10" fontId="30" fillId="0" borderId="0" xfId="0" applyNumberFormat="1" applyFont="1" applyAlignment="1">
      <alignment vertical="center"/>
      <protection locked="0"/>
    </xf>
    <xf numFmtId="176" fontId="37" fillId="0" borderId="14" xfId="0" applyFont="1" applyBorder="1" applyAlignment="1">
      <alignment horizontal="left" vertical="center" wrapText="1"/>
      <protection locked="0"/>
    </xf>
    <xf numFmtId="43" fontId="30" fillId="0" borderId="14" xfId="0" applyNumberFormat="1" applyFont="1" applyBorder="1" applyAlignment="1">
      <alignment vertical="center"/>
      <protection locked="0"/>
    </xf>
    <xf numFmtId="10" fontId="30" fillId="0" borderId="14" xfId="0" applyNumberFormat="1" applyFont="1" applyBorder="1" applyAlignment="1">
      <alignment vertical="center"/>
      <protection locked="0"/>
    </xf>
    <xf numFmtId="176" fontId="30" fillId="0" borderId="14" xfId="0" applyFont="1" applyBorder="1" applyAlignment="1">
      <alignment vertical="center"/>
      <protection locked="0"/>
    </xf>
    <xf numFmtId="10" fontId="31" fillId="0" borderId="15" xfId="2" applyNumberFormat="1" applyFont="1" applyFill="1" applyBorder="1" applyAlignment="1" applyProtection="1">
      <alignment vertical="center"/>
      <protection locked="0"/>
    </xf>
    <xf numFmtId="176" fontId="35" fillId="0" borderId="0" xfId="0" applyFont="1" applyAlignment="1">
      <alignment horizontal="justify" vertical="center"/>
      <protection locked="0"/>
    </xf>
    <xf numFmtId="176" fontId="31" fillId="0" borderId="0" xfId="0" applyFont="1" applyAlignment="1">
      <alignment horizontal="center" vertical="center"/>
      <protection locked="0"/>
    </xf>
    <xf numFmtId="176" fontId="37" fillId="0" borderId="13" xfId="0" applyFont="1" applyBorder="1" applyAlignment="1">
      <alignment vertical="center"/>
      <protection locked="0"/>
    </xf>
    <xf numFmtId="176" fontId="37" fillId="0" borderId="0" xfId="0" applyFont="1" applyAlignment="1">
      <alignment vertical="center"/>
      <protection locked="0"/>
    </xf>
    <xf numFmtId="176" fontId="37" fillId="0" borderId="14" xfId="0" applyFont="1" applyBorder="1" applyAlignment="1">
      <alignment vertical="center"/>
      <protection locked="0"/>
    </xf>
    <xf numFmtId="176" fontId="31" fillId="0" borderId="14" xfId="0" applyFont="1" applyBorder="1" applyAlignment="1">
      <alignment vertical="center"/>
      <protection locked="0"/>
    </xf>
    <xf numFmtId="43" fontId="31" fillId="0" borderId="14" xfId="0" applyNumberFormat="1" applyFont="1" applyBorder="1" applyAlignment="1">
      <alignment vertical="center"/>
      <protection locked="0"/>
    </xf>
    <xf numFmtId="176" fontId="31" fillId="0" borderId="14" xfId="0" applyFont="1" applyBorder="1" applyAlignment="1">
      <alignment horizontal="left" vertical="center" wrapText="1"/>
      <protection locked="0"/>
    </xf>
    <xf numFmtId="176" fontId="37" fillId="0" borderId="13" xfId="0" applyFont="1" applyBorder="1" applyAlignment="1">
      <alignment horizontal="left" vertical="center"/>
      <protection locked="0"/>
    </xf>
    <xf numFmtId="43" fontId="30" fillId="0" borderId="13" xfId="1" applyFont="1" applyFill="1" applyBorder="1" applyAlignment="1" applyProtection="1">
      <alignment vertical="center" shrinkToFit="1"/>
      <protection locked="0"/>
    </xf>
    <xf numFmtId="43" fontId="30" fillId="0" borderId="13" xfId="2" applyNumberFormat="1" applyFont="1" applyFill="1" applyBorder="1" applyAlignment="1" applyProtection="1">
      <alignment vertical="center"/>
      <protection locked="0"/>
    </xf>
    <xf numFmtId="176" fontId="30" fillId="0" borderId="13" xfId="0" applyFont="1" applyBorder="1" applyAlignment="1">
      <alignment vertical="center"/>
      <protection locked="0"/>
    </xf>
    <xf numFmtId="176" fontId="35" fillId="0" borderId="13" xfId="0" applyFont="1" applyBorder="1" applyAlignment="1">
      <alignment vertical="center"/>
      <protection locked="0"/>
    </xf>
    <xf numFmtId="176" fontId="37" fillId="0" borderId="0" xfId="0" applyFont="1" applyAlignment="1">
      <alignment horizontal="left" vertical="center"/>
      <protection locked="0"/>
    </xf>
    <xf numFmtId="43" fontId="30" fillId="0" borderId="0" xfId="1" applyFont="1" applyFill="1" applyBorder="1" applyAlignment="1" applyProtection="1">
      <alignment vertical="center" shrinkToFit="1"/>
      <protection locked="0"/>
    </xf>
    <xf numFmtId="43" fontId="30" fillId="0" borderId="0" xfId="2" applyNumberFormat="1" applyFont="1" applyFill="1" applyBorder="1" applyAlignment="1" applyProtection="1">
      <alignment vertical="center"/>
      <protection locked="0"/>
    </xf>
    <xf numFmtId="176" fontId="35" fillId="0" borderId="0" xfId="0" applyFont="1" applyAlignment="1">
      <alignment vertical="center"/>
      <protection locked="0"/>
    </xf>
    <xf numFmtId="176" fontId="37" fillId="0" borderId="14" xfId="0" applyFont="1" applyBorder="1" applyAlignment="1">
      <alignment horizontal="left" vertical="center"/>
      <protection locked="0"/>
    </xf>
    <xf numFmtId="43" fontId="30" fillId="0" borderId="14" xfId="1" applyFont="1" applyFill="1" applyBorder="1" applyAlignment="1" applyProtection="1">
      <alignment vertical="center" shrinkToFit="1"/>
      <protection locked="0"/>
    </xf>
    <xf numFmtId="43" fontId="30" fillId="0" borderId="14" xfId="2" applyNumberFormat="1" applyFont="1" applyFill="1" applyBorder="1" applyAlignment="1" applyProtection="1">
      <alignment vertical="center"/>
      <protection locked="0"/>
    </xf>
    <xf numFmtId="10" fontId="30" fillId="0" borderId="14" xfId="2" applyNumberFormat="1" applyFont="1" applyFill="1" applyBorder="1" applyAlignment="1" applyProtection="1">
      <alignment vertical="center"/>
      <protection locked="0"/>
    </xf>
    <xf numFmtId="176" fontId="35" fillId="0" borderId="14" xfId="0" applyFont="1" applyBorder="1" applyAlignment="1">
      <alignment vertical="center"/>
      <protection locked="0"/>
    </xf>
    <xf numFmtId="43" fontId="35" fillId="0" borderId="14" xfId="0" applyNumberFormat="1" applyFont="1" applyBorder="1" applyAlignment="1">
      <alignment vertical="center"/>
      <protection locked="0"/>
    </xf>
    <xf numFmtId="176" fontId="31" fillId="0" borderId="13" xfId="0" applyFont="1" applyBorder="1" applyAlignment="1">
      <alignment horizontal="left" vertical="center" wrapText="1"/>
      <protection locked="0"/>
    </xf>
    <xf numFmtId="176" fontId="31" fillId="0" borderId="13" xfId="0" applyFont="1" applyBorder="1" applyAlignment="1">
      <alignment horizontal="right" vertical="center" wrapText="1"/>
      <protection locked="0"/>
    </xf>
    <xf numFmtId="176" fontId="30" fillId="0" borderId="13" xfId="0" applyFont="1" applyBorder="1" applyAlignment="1">
      <alignment horizontal="left" vertical="center"/>
      <protection locked="0"/>
    </xf>
    <xf numFmtId="43" fontId="30" fillId="0" borderId="13" xfId="1" applyFont="1" applyFill="1" applyBorder="1" applyAlignment="1" applyProtection="1">
      <alignment vertical="center"/>
      <protection locked="0"/>
    </xf>
    <xf numFmtId="43" fontId="30" fillId="0" borderId="0" xfId="1" applyFont="1" applyFill="1" applyBorder="1" applyAlignment="1" applyProtection="1">
      <alignment vertical="center"/>
      <protection locked="0"/>
    </xf>
    <xf numFmtId="176" fontId="30" fillId="0" borderId="14" xfId="0" applyFont="1" applyBorder="1" applyAlignment="1">
      <alignment horizontal="left" vertical="center"/>
      <protection locked="0"/>
    </xf>
    <xf numFmtId="43" fontId="30" fillId="0" borderId="14" xfId="1" applyFont="1" applyFill="1" applyBorder="1" applyAlignment="1" applyProtection="1">
      <alignment vertical="center"/>
      <protection locked="0"/>
    </xf>
    <xf numFmtId="176" fontId="30" fillId="0" borderId="13" xfId="0" applyFont="1" applyBorder="1" applyAlignment="1">
      <alignment horizontal="justify" vertical="center"/>
      <protection locked="0"/>
    </xf>
    <xf numFmtId="43" fontId="30" fillId="0" borderId="13" xfId="1" applyFont="1" applyFill="1" applyBorder="1" applyAlignment="1" applyProtection="1">
      <alignment horizontal="right" vertical="center"/>
      <protection locked="0"/>
    </xf>
    <xf numFmtId="43" fontId="30" fillId="0" borderId="0" xfId="1" applyFont="1" applyFill="1" applyBorder="1" applyAlignment="1" applyProtection="1">
      <alignment horizontal="right" vertical="center"/>
      <protection locked="0"/>
    </xf>
    <xf numFmtId="176" fontId="30" fillId="0" borderId="14" xfId="0" applyFont="1" applyBorder="1" applyAlignment="1">
      <alignment horizontal="justify" vertical="center"/>
      <protection locked="0"/>
    </xf>
    <xf numFmtId="43" fontId="30" fillId="0" borderId="14" xfId="1" applyFont="1" applyFill="1" applyBorder="1" applyAlignment="1" applyProtection="1">
      <alignment horizontal="right" vertical="center"/>
      <protection locked="0"/>
    </xf>
    <xf numFmtId="176" fontId="31" fillId="0" borderId="14" xfId="0" applyFont="1" applyBorder="1" applyAlignment="1">
      <alignment horizontal="center" vertical="center"/>
      <protection locked="0"/>
    </xf>
    <xf numFmtId="43" fontId="31" fillId="0" borderId="14" xfId="1" applyFont="1" applyFill="1" applyBorder="1" applyAlignment="1" applyProtection="1">
      <alignment horizontal="center" vertical="center"/>
      <protection locked="0"/>
    </xf>
    <xf numFmtId="176" fontId="31" fillId="0" borderId="14" xfId="0" applyFont="1" applyBorder="1" applyAlignment="1">
      <alignment horizontal="left" vertical="center"/>
      <protection locked="0"/>
    </xf>
    <xf numFmtId="176" fontId="30" fillId="0" borderId="14" xfId="0" applyFont="1" applyBorder="1" applyAlignment="1">
      <alignment horizontal="justify" vertical="center" wrapText="1"/>
      <protection locked="0"/>
    </xf>
    <xf numFmtId="43" fontId="30" fillId="0" borderId="14" xfId="1" applyFont="1" applyFill="1" applyBorder="1" applyAlignment="1" applyProtection="1">
      <alignment horizontal="right" vertical="center" wrapText="1"/>
      <protection locked="0"/>
    </xf>
    <xf numFmtId="176" fontId="31" fillId="0" borderId="14" xfId="0" applyFont="1" applyBorder="1" applyAlignment="1">
      <alignment horizontal="justify" vertical="center" wrapText="1"/>
      <protection locked="0"/>
    </xf>
    <xf numFmtId="43" fontId="31" fillId="0" borderId="14" xfId="1" applyFont="1" applyFill="1" applyBorder="1" applyAlignment="1" applyProtection="1">
      <alignment horizontal="right" vertical="center" wrapText="1"/>
      <protection locked="0"/>
    </xf>
    <xf numFmtId="176" fontId="31" fillId="0" borderId="15" xfId="0" applyFont="1" applyBorder="1" applyAlignment="1">
      <alignment horizontal="center" vertical="center" wrapText="1"/>
      <protection locked="0"/>
    </xf>
    <xf numFmtId="176" fontId="30" fillId="0" borderId="0" xfId="0" applyFont="1" applyAlignment="1">
      <alignment horizontal="right" vertical="center" wrapText="1"/>
      <protection locked="0"/>
    </xf>
    <xf numFmtId="43" fontId="30" fillId="0" borderId="0" xfId="1" applyFont="1" applyFill="1" applyBorder="1" applyAlignment="1" applyProtection="1">
      <alignment horizontal="right" vertical="center" wrapText="1"/>
      <protection locked="0"/>
    </xf>
    <xf numFmtId="176" fontId="31" fillId="0" borderId="0" xfId="0" applyFont="1" applyAlignment="1">
      <alignment horizontal="left" vertical="center" wrapText="1"/>
      <protection locked="0"/>
    </xf>
    <xf numFmtId="43" fontId="31" fillId="0" borderId="0" xfId="0" applyNumberFormat="1" applyFont="1" applyAlignment="1">
      <alignment horizontal="right" vertical="center" wrapText="1"/>
      <protection locked="0"/>
    </xf>
    <xf numFmtId="176" fontId="35" fillId="0" borderId="0" xfId="0" applyFont="1" applyAlignment="1">
      <alignment horizontal="right" vertical="center" wrapText="1"/>
      <protection locked="0"/>
    </xf>
    <xf numFmtId="43" fontId="35" fillId="0" borderId="0" xfId="1" applyFont="1" applyFill="1" applyBorder="1" applyAlignment="1" applyProtection="1">
      <alignment horizontal="right" vertical="center" wrapText="1"/>
      <protection locked="0"/>
    </xf>
    <xf numFmtId="43" fontId="16" fillId="0" borderId="0" xfId="853" applyNumberFormat="1" applyFont="1" applyFill="1" applyBorder="1" applyAlignment="1">
      <alignment vertical="center"/>
    </xf>
    <xf numFmtId="43" fontId="30" fillId="0" borderId="0" xfId="853" applyNumberFormat="1" applyFont="1" applyFill="1" applyBorder="1" applyAlignment="1">
      <alignment vertical="center"/>
    </xf>
    <xf numFmtId="43" fontId="31" fillId="0" borderId="0" xfId="853" applyNumberFormat="1" applyFont="1" applyFill="1" applyBorder="1" applyAlignment="1">
      <alignment vertical="center"/>
    </xf>
    <xf numFmtId="49" fontId="16" fillId="0" borderId="0" xfId="853" applyNumberFormat="1" applyFont="1" applyFill="1" applyBorder="1" applyAlignment="1">
      <alignment vertical="center"/>
    </xf>
    <xf numFmtId="176" fontId="38" fillId="0" borderId="0" xfId="0" applyFont="1" applyAlignment="1">
      <alignment horizontal="left" vertical="center"/>
      <protection locked="0"/>
    </xf>
    <xf numFmtId="176" fontId="31" fillId="0" borderId="0" xfId="0" applyFont="1" applyAlignment="1">
      <alignment horizontal="left" vertical="center"/>
      <protection locked="0"/>
    </xf>
    <xf numFmtId="10" fontId="34" fillId="0" borderId="15" xfId="2" applyNumberFormat="1" applyFont="1" applyFill="1" applyBorder="1" applyAlignment="1" applyProtection="1">
      <alignment vertical="center" shrinkToFit="1"/>
      <protection locked="0"/>
    </xf>
    <xf numFmtId="43" fontId="39" fillId="0" borderId="0" xfId="0" applyNumberFormat="1" applyFont="1" applyAlignment="1">
      <alignment vertical="center"/>
      <protection locked="0"/>
    </xf>
    <xf numFmtId="176" fontId="32" fillId="0" borderId="0" xfId="0" applyFont="1" applyAlignment="1">
      <alignment horizontal="left" vertical="center"/>
      <protection locked="0"/>
    </xf>
    <xf numFmtId="176" fontId="37" fillId="0" borderId="0" xfId="0" applyFont="1" applyAlignment="1">
      <alignment horizontal="justify" vertical="center" wrapText="1"/>
      <protection locked="0"/>
    </xf>
    <xf numFmtId="43" fontId="30" fillId="0" borderId="0" xfId="1" applyFont="1" applyFill="1" applyBorder="1" applyAlignment="1" applyProtection="1">
      <alignment horizontal="right" vertical="center" wrapText="1" shrinkToFit="1"/>
      <protection locked="0"/>
    </xf>
    <xf numFmtId="43" fontId="30" fillId="0" borderId="0" xfId="0" applyNumberFormat="1" applyFont="1" applyAlignment="1">
      <alignment horizontal="right" vertical="center" wrapText="1"/>
      <protection locked="0"/>
    </xf>
    <xf numFmtId="43" fontId="31" fillId="0" borderId="15" xfId="1" applyFont="1" applyFill="1" applyBorder="1" applyAlignment="1" applyProtection="1">
      <alignment horizontal="right" vertical="center" wrapText="1" shrinkToFit="1"/>
      <protection locked="0"/>
    </xf>
    <xf numFmtId="10" fontId="30" fillId="0" borderId="15" xfId="2" applyNumberFormat="1" applyFont="1" applyFill="1" applyBorder="1" applyAlignment="1" applyProtection="1">
      <alignment horizontal="right" vertical="center" wrapText="1"/>
      <protection locked="0"/>
    </xf>
    <xf numFmtId="176" fontId="31" fillId="0" borderId="15" xfId="0" applyFont="1" applyBorder="1" applyAlignment="1">
      <alignment horizontal="right" vertical="center" wrapText="1"/>
      <protection locked="0"/>
    </xf>
    <xf numFmtId="176" fontId="30" fillId="0" borderId="0" xfId="0" applyFont="1" applyAlignment="1">
      <alignment horizontal="justify" vertical="center" wrapText="1"/>
      <protection locked="0"/>
    </xf>
    <xf numFmtId="10" fontId="30" fillId="0" borderId="13" xfId="2" applyNumberFormat="1" applyFont="1" applyFill="1" applyBorder="1" applyAlignment="1" applyProtection="1">
      <alignment horizontal="right" vertical="center"/>
      <protection locked="0"/>
    </xf>
    <xf numFmtId="43" fontId="30" fillId="0" borderId="13" xfId="0" applyNumberFormat="1" applyFont="1" applyBorder="1" applyAlignment="1">
      <alignment horizontal="right" vertical="center"/>
      <protection locked="0"/>
    </xf>
    <xf numFmtId="43" fontId="30" fillId="0" borderId="13" xfId="1" applyFont="1" applyFill="1" applyBorder="1" applyAlignment="1" applyProtection="1">
      <alignment horizontal="right" vertical="center" shrinkToFit="1"/>
      <protection locked="0"/>
    </xf>
    <xf numFmtId="10" fontId="30" fillId="0" borderId="0" xfId="2" applyNumberFormat="1" applyFont="1" applyFill="1" applyBorder="1" applyAlignment="1" applyProtection="1">
      <alignment horizontal="right" vertical="center"/>
      <protection locked="0"/>
    </xf>
    <xf numFmtId="43" fontId="30" fillId="0" borderId="0" xfId="0" applyNumberFormat="1" applyFont="1" applyAlignment="1">
      <alignment horizontal="right" vertical="center"/>
      <protection locked="0"/>
    </xf>
    <xf numFmtId="43" fontId="30" fillId="0" borderId="0" xfId="1" applyFont="1" applyFill="1" applyBorder="1" applyAlignment="1" applyProtection="1">
      <alignment horizontal="right" vertical="center" shrinkToFit="1"/>
      <protection locked="0"/>
    </xf>
    <xf numFmtId="43" fontId="30" fillId="0" borderId="14" xfId="0" applyNumberFormat="1" applyFont="1" applyBorder="1" applyAlignment="1">
      <alignment horizontal="right" vertical="center"/>
      <protection locked="0"/>
    </xf>
    <xf numFmtId="43" fontId="30" fillId="0" borderId="14" xfId="1" applyFont="1" applyFill="1" applyBorder="1" applyAlignment="1" applyProtection="1">
      <alignment horizontal="right" vertical="center" shrinkToFit="1"/>
      <protection locked="0"/>
    </xf>
    <xf numFmtId="43" fontId="31" fillId="0" borderId="15" xfId="1" applyFont="1" applyFill="1" applyBorder="1" applyAlignment="1" applyProtection="1">
      <alignment vertical="center" shrinkToFit="1"/>
      <protection locked="0"/>
    </xf>
    <xf numFmtId="10" fontId="31" fillId="0" borderId="15" xfId="2" applyNumberFormat="1" applyFont="1" applyFill="1" applyBorder="1" applyAlignment="1" applyProtection="1">
      <alignment horizontal="right" vertical="center"/>
      <protection locked="0"/>
    </xf>
    <xf numFmtId="43" fontId="31" fillId="0" borderId="15" xfId="1" applyFont="1" applyFill="1" applyBorder="1" applyAlignment="1" applyProtection="1">
      <alignment horizontal="right" vertical="center" shrinkToFit="1"/>
      <protection locked="0"/>
    </xf>
    <xf numFmtId="176" fontId="38" fillId="0" borderId="15" xfId="0" applyFont="1" applyBorder="1" applyAlignment="1">
      <alignment horizontal="center" vertical="center" wrapText="1"/>
      <protection locked="0"/>
    </xf>
    <xf numFmtId="176" fontId="35" fillId="0" borderId="0" xfId="0" applyFont="1" applyAlignment="1">
      <alignment horizontal="justify" vertical="center" wrapText="1"/>
      <protection locked="0"/>
    </xf>
    <xf numFmtId="10" fontId="31" fillId="0" borderId="15" xfId="2" applyNumberFormat="1" applyFont="1" applyFill="1" applyBorder="1" applyAlignment="1" applyProtection="1">
      <alignment vertical="center" shrinkToFit="1"/>
      <protection locked="0"/>
    </xf>
    <xf numFmtId="176" fontId="30" fillId="0" borderId="15" xfId="0" applyFont="1" applyBorder="1" applyAlignment="1">
      <alignment horizontal="center" vertical="center" wrapText="1"/>
      <protection locked="0"/>
    </xf>
    <xf numFmtId="176" fontId="31" fillId="0" borderId="15" xfId="0" applyFont="1" applyBorder="1" applyAlignment="1">
      <alignment horizontal="justify" vertical="center" wrapText="1"/>
      <protection locked="0"/>
    </xf>
    <xf numFmtId="176" fontId="40" fillId="0" borderId="15" xfId="0" applyFont="1" applyBorder="1" applyAlignment="1">
      <alignment horizontal="center" vertical="center" wrapText="1"/>
      <protection locked="0"/>
    </xf>
    <xf numFmtId="176" fontId="11" fillId="0" borderId="13" xfId="0" applyFont="1" applyBorder="1" applyAlignment="1">
      <alignment horizontal="justify" vertical="center" wrapText="1"/>
      <protection locked="0"/>
    </xf>
    <xf numFmtId="176" fontId="32" fillId="0" borderId="0" xfId="0" applyFont="1" applyAlignment="1">
      <alignment horizontal="justify" vertical="center" wrapText="1"/>
      <protection locked="0"/>
    </xf>
    <xf numFmtId="176" fontId="37" fillId="0" borderId="14" xfId="0" applyFont="1" applyBorder="1" applyAlignment="1">
      <alignment horizontal="justify" vertical="center" wrapText="1"/>
      <protection locked="0"/>
    </xf>
    <xf numFmtId="176" fontId="11" fillId="0" borderId="14" xfId="0" applyFont="1" applyBorder="1" applyAlignment="1">
      <alignment horizontal="justify" vertical="center" wrapText="1"/>
      <protection locked="0"/>
    </xf>
    <xf numFmtId="43" fontId="34" fillId="0" borderId="14" xfId="0" applyNumberFormat="1" applyFont="1" applyBorder="1" applyAlignment="1">
      <alignment vertical="center"/>
      <protection locked="0"/>
    </xf>
    <xf numFmtId="49" fontId="35" fillId="0" borderId="0" xfId="0" applyNumberFormat="1" applyFont="1" applyAlignment="1">
      <alignment horizontal="left" vertical="center"/>
      <protection locked="0"/>
    </xf>
    <xf numFmtId="49" fontId="31" fillId="0" borderId="0" xfId="0" applyNumberFormat="1" applyFont="1" applyAlignment="1">
      <alignment horizontal="left" vertical="center"/>
      <protection locked="0"/>
    </xf>
    <xf numFmtId="43" fontId="35" fillId="0" borderId="0" xfId="1" applyFont="1" applyFill="1" applyBorder="1" applyAlignment="1" applyProtection="1">
      <alignment horizontal="right" vertical="center"/>
      <protection locked="0"/>
    </xf>
    <xf numFmtId="176" fontId="35" fillId="0" borderId="0" xfId="0" applyFont="1" applyAlignment="1">
      <alignment horizontal="left" vertical="center"/>
      <protection locked="0"/>
    </xf>
    <xf numFmtId="43" fontId="31" fillId="0" borderId="15" xfId="0" applyNumberFormat="1" applyFont="1" applyBorder="1" applyAlignment="1">
      <alignment horizontal="right" vertical="center" wrapText="1"/>
      <protection locked="0"/>
    </xf>
    <xf numFmtId="176" fontId="35" fillId="0" borderId="0" xfId="0" applyFont="1" applyAlignment="1">
      <alignment vertical="center" wrapText="1"/>
      <protection locked="0"/>
    </xf>
    <xf numFmtId="176" fontId="30" fillId="0" borderId="15" xfId="0" applyFont="1" applyBorder="1" applyAlignment="1">
      <alignment horizontal="justify" vertical="center" wrapText="1"/>
      <protection locked="0"/>
    </xf>
    <xf numFmtId="43" fontId="30" fillId="0" borderId="15" xfId="0" applyNumberFormat="1" applyFont="1" applyBorder="1" applyAlignment="1">
      <alignment horizontal="center" vertical="center" wrapText="1"/>
      <protection locked="0"/>
    </xf>
    <xf numFmtId="176" fontId="30" fillId="0" borderId="0" xfId="0" applyFont="1" applyAlignment="1">
      <alignment horizontal="right" vertical="center"/>
      <protection locked="0"/>
    </xf>
    <xf numFmtId="176" fontId="35" fillId="0" borderId="0" xfId="0" applyFont="1" applyAlignment="1">
      <alignment horizontal="right" vertical="center"/>
      <protection locked="0"/>
    </xf>
    <xf numFmtId="176" fontId="31" fillId="0" borderId="15" xfId="0" applyFont="1" applyBorder="1" applyAlignment="1">
      <alignment horizontal="center" vertical="center"/>
      <protection locked="0"/>
    </xf>
    <xf numFmtId="176" fontId="35" fillId="0" borderId="15" xfId="0" applyFont="1" applyBorder="1" applyAlignment="1">
      <alignment horizontal="right" vertical="center"/>
      <protection locked="0"/>
    </xf>
    <xf numFmtId="176" fontId="39" fillId="0" borderId="0" xfId="0" applyFont="1" applyAlignment="1">
      <alignment horizontal="justify" vertical="center"/>
      <protection locked="0"/>
    </xf>
    <xf numFmtId="10" fontId="31" fillId="0" borderId="15" xfId="2" applyNumberFormat="1" applyFont="1" applyFill="1" applyBorder="1" applyAlignment="1" applyProtection="1">
      <alignment horizontal="right" vertical="center" shrinkToFit="1"/>
      <protection locked="0"/>
    </xf>
    <xf numFmtId="43" fontId="30" fillId="0" borderId="0" xfId="1" applyFont="1" applyFill="1" applyBorder="1" applyAlignment="1" applyProtection="1">
      <alignment horizontal="left" vertical="center" wrapText="1"/>
      <protection locked="0"/>
    </xf>
    <xf numFmtId="43" fontId="31" fillId="0" borderId="15" xfId="0" applyNumberFormat="1" applyFont="1" applyBorder="1" applyAlignment="1">
      <alignment horizontal="left" vertical="center" wrapText="1"/>
      <protection locked="0"/>
    </xf>
    <xf numFmtId="43" fontId="31" fillId="0" borderId="0" xfId="1" applyFont="1" applyFill="1" applyBorder="1" applyAlignment="1" applyProtection="1">
      <alignment horizontal="right" vertical="center" wrapText="1"/>
      <protection locked="0"/>
    </xf>
    <xf numFmtId="176" fontId="1" fillId="0" borderId="0" xfId="0" applyFont="1" applyAlignment="1">
      <alignment vertical="center"/>
      <protection locked="0"/>
    </xf>
    <xf numFmtId="176" fontId="4" fillId="0" borderId="0" xfId="0" applyFont="1" applyAlignment="1">
      <alignment vertical="center"/>
      <protection locked="0"/>
    </xf>
    <xf numFmtId="176" fontId="1" fillId="7" borderId="0" xfId="0" applyFont="1" applyFill="1" applyAlignment="1">
      <alignment horizontal="justify" vertical="center" wrapText="1"/>
      <protection locked="0"/>
    </xf>
    <xf numFmtId="176" fontId="1" fillId="0" borderId="0" xfId="0" applyFont="1" applyAlignment="1">
      <alignment horizontal="justify" vertical="center" wrapText="1"/>
      <protection locked="0"/>
    </xf>
    <xf numFmtId="176" fontId="4" fillId="0" borderId="16" xfId="0" applyFont="1" applyBorder="1" applyAlignment="1">
      <alignment horizontal="center" vertical="center"/>
      <protection locked="0"/>
    </xf>
    <xf numFmtId="235" fontId="16" fillId="0" borderId="16" xfId="0" applyNumberFormat="1" applyFont="1" applyBorder="1" applyAlignment="1">
      <alignment horizontal="center" vertical="center"/>
      <protection locked="0"/>
    </xf>
    <xf numFmtId="176" fontId="16" fillId="0" borderId="16" xfId="0" applyFont="1" applyBorder="1" applyAlignment="1">
      <alignment horizontal="center" vertical="center"/>
      <protection locked="0"/>
    </xf>
    <xf numFmtId="176" fontId="1" fillId="0" borderId="0" xfId="0" applyFont="1" applyAlignment="1">
      <alignment horizontal="left" vertical="center"/>
      <protection locked="0"/>
    </xf>
    <xf numFmtId="0" fontId="4" fillId="3" borderId="1" xfId="2" quotePrefix="1" applyNumberFormat="1" applyFont="1" applyFill="1" applyBorder="1" applyAlignment="1" applyProtection="1">
      <alignment horizontal="center" vertical="center" wrapText="1"/>
      <protection locked="0"/>
    </xf>
    <xf numFmtId="0" fontId="4" fillId="3" borderId="1" xfId="773" quotePrefix="1" applyNumberFormat="1" applyFont="1" applyFill="1" applyBorder="1" applyAlignment="1">
      <alignment horizontal="center" vertical="center" wrapText="1"/>
      <protection locked="0"/>
    </xf>
    <xf numFmtId="0" fontId="18" fillId="3" borderId="1" xfId="773" quotePrefix="1" applyNumberFormat="1" applyFont="1" applyFill="1" applyBorder="1" applyAlignment="1">
      <alignment horizontal="center" vertical="center" wrapText="1"/>
      <protection locked="0"/>
    </xf>
    <xf numFmtId="176" fontId="16" fillId="7" borderId="0" xfId="0" applyFont="1" applyFill="1" applyBorder="1" applyAlignment="1">
      <alignment horizontal="justify" vertical="center" wrapText="1"/>
      <protection locked="0"/>
    </xf>
    <xf numFmtId="176" fontId="12" fillId="0" borderId="0" xfId="0" applyFont="1" applyAlignment="1">
      <alignment horizontal="center" vertical="center"/>
      <protection locked="0"/>
    </xf>
    <xf numFmtId="176" fontId="9" fillId="0" borderId="16" xfId="0" applyFont="1" applyBorder="1" applyAlignment="1">
      <alignment vertical="center"/>
      <protection locked="0"/>
    </xf>
    <xf numFmtId="176" fontId="147" fillId="0" borderId="16" xfId="3" applyFont="1" applyBorder="1" applyAlignment="1">
      <alignment vertical="center"/>
      <protection locked="0"/>
    </xf>
    <xf numFmtId="176" fontId="21" fillId="0" borderId="0" xfId="849" applyFont="1" applyAlignment="1">
      <alignment horizontal="left" vertical="center"/>
    </xf>
    <xf numFmtId="176" fontId="16" fillId="0" borderId="0" xfId="768" applyFont="1" applyAlignment="1">
      <alignment vertical="center"/>
      <protection locked="0"/>
    </xf>
    <xf numFmtId="176" fontId="9" fillId="0" borderId="1" xfId="0" applyFont="1" applyBorder="1" applyAlignment="1">
      <alignment horizontal="center" vertical="center"/>
      <protection locked="0"/>
    </xf>
    <xf numFmtId="176" fontId="14" fillId="0" borderId="0" xfId="768" applyFont="1" applyAlignment="1">
      <alignment vertical="center"/>
      <protection locked="0"/>
    </xf>
    <xf numFmtId="176" fontId="18" fillId="0" borderId="0" xfId="768" applyFont="1" applyAlignment="1">
      <alignment vertical="center"/>
      <protection locked="0"/>
    </xf>
    <xf numFmtId="43" fontId="16" fillId="0" borderId="1" xfId="1004" applyFont="1" applyBorder="1" applyAlignment="1" applyProtection="1">
      <alignment horizontal="center" vertical="center"/>
      <protection locked="0"/>
    </xf>
    <xf numFmtId="10" fontId="16" fillId="0" borderId="1" xfId="646" applyNumberFormat="1" applyFont="1" applyBorder="1" applyAlignment="1" applyProtection="1">
      <alignment horizontal="center" vertical="center"/>
      <protection locked="0"/>
    </xf>
    <xf numFmtId="176" fontId="9" fillId="0" borderId="0" xfId="0" applyFont="1" applyAlignment="1">
      <alignment vertical="center"/>
      <protection locked="0"/>
    </xf>
    <xf numFmtId="176" fontId="20" fillId="0" borderId="0" xfId="768" applyFont="1" applyAlignment="1">
      <alignment vertical="center"/>
      <protection locked="0"/>
    </xf>
    <xf numFmtId="176" fontId="9" fillId="0" borderId="0" xfId="0" applyFont="1" applyBorder="1" applyAlignment="1">
      <alignment horizontal="center" vertical="center"/>
      <protection locked="0"/>
    </xf>
    <xf numFmtId="43" fontId="16" fillId="0" borderId="0" xfId="1004" applyFont="1" applyBorder="1" applyAlignment="1" applyProtection="1">
      <alignment horizontal="center" vertical="center"/>
      <protection locked="0"/>
    </xf>
    <xf numFmtId="10" fontId="16" fillId="0" borderId="0" xfId="646" applyNumberFormat="1" applyFont="1" applyBorder="1" applyAlignment="1" applyProtection="1">
      <alignment horizontal="center" vertical="center"/>
      <protection locked="0"/>
    </xf>
    <xf numFmtId="0" fontId="148" fillId="0" borderId="0" xfId="3" applyNumberFormat="1" applyFont="1" applyAlignment="1">
      <alignment horizontal="left" vertical="center"/>
      <protection locked="0"/>
    </xf>
    <xf numFmtId="176" fontId="31" fillId="0" borderId="0" xfId="0" applyFont="1" applyAlignment="1">
      <alignment horizontal="left" vertical="center" wrapText="1"/>
      <protection locked="0"/>
    </xf>
    <xf numFmtId="176" fontId="30" fillId="0" borderId="0" xfId="0" applyFont="1" applyAlignment="1">
      <alignment horizontal="left" vertical="center" wrapText="1"/>
      <protection locked="0"/>
    </xf>
    <xf numFmtId="176" fontId="18" fillId="0" borderId="0" xfId="847" applyFont="1" applyAlignment="1">
      <alignment horizontal="center" vertical="center"/>
    </xf>
    <xf numFmtId="43" fontId="31" fillId="0" borderId="0" xfId="853" applyNumberFormat="1" applyFont="1" applyFill="1" applyBorder="1" applyAlignment="1">
      <alignment horizontal="center" vertical="center"/>
    </xf>
    <xf numFmtId="176" fontId="31" fillId="0" borderId="13" xfId="0" applyFont="1" applyBorder="1" applyAlignment="1">
      <alignment horizontal="center" vertical="center" wrapText="1"/>
      <protection locked="0"/>
    </xf>
    <xf numFmtId="176" fontId="35" fillId="0" borderId="0" xfId="0" applyFont="1" applyAlignment="1">
      <alignment horizontal="left" vertical="center" wrapText="1"/>
      <protection locked="0"/>
    </xf>
    <xf numFmtId="176" fontId="38" fillId="0" borderId="13" xfId="0" applyFont="1" applyBorder="1" applyAlignment="1">
      <alignment horizontal="center" vertical="center" wrapText="1"/>
      <protection locked="0"/>
    </xf>
    <xf numFmtId="176" fontId="31" fillId="0" borderId="14" xfId="0" applyFont="1" applyBorder="1" applyAlignment="1">
      <alignment horizontal="center" vertical="center" wrapText="1"/>
      <protection locked="0"/>
    </xf>
    <xf numFmtId="176" fontId="31" fillId="0" borderId="0" xfId="0" applyFont="1" applyAlignment="1">
      <alignment horizontal="center" vertical="center" wrapText="1"/>
      <protection locked="0"/>
    </xf>
    <xf numFmtId="43" fontId="11" fillId="0" borderId="0" xfId="853" applyNumberFormat="1" applyFont="1" applyBorder="1" applyAlignment="1">
      <alignment horizontal="center" vertical="center"/>
    </xf>
    <xf numFmtId="43" fontId="31" fillId="0" borderId="0" xfId="853" applyNumberFormat="1" applyFont="1" applyBorder="1" applyAlignment="1">
      <alignment horizontal="center" vertical="center"/>
    </xf>
    <xf numFmtId="176" fontId="31" fillId="0" borderId="13" xfId="0" applyFont="1" applyBorder="1" applyAlignment="1">
      <alignment horizontal="center" vertical="center"/>
      <protection locked="0"/>
    </xf>
    <xf numFmtId="176" fontId="31" fillId="0" borderId="0" xfId="0" applyFont="1" applyAlignment="1">
      <alignment horizontal="center" vertical="center"/>
      <protection locked="0"/>
    </xf>
    <xf numFmtId="0" fontId="11" fillId="0" borderId="0" xfId="844" applyNumberFormat="1" applyFont="1" applyAlignment="1">
      <alignment horizontal="center" vertical="center" wrapText="1"/>
    </xf>
    <xf numFmtId="0" fontId="12" fillId="0" borderId="0" xfId="844" applyNumberFormat="1" applyFont="1" applyAlignment="1">
      <alignment horizontal="center" vertical="center" wrapText="1"/>
    </xf>
    <xf numFmtId="0" fontId="2" fillId="0" borderId="0" xfId="846" applyNumberFormat="1" applyFont="1" applyAlignment="1">
      <alignment horizontal="center" vertical="center" wrapText="1"/>
    </xf>
    <xf numFmtId="0" fontId="3" fillId="0" borderId="0" xfId="846" applyNumberFormat="1" applyFont="1" applyAlignment="1">
      <alignment horizontal="center" vertical="center" wrapText="1"/>
    </xf>
    <xf numFmtId="0" fontId="13" fillId="3" borderId="1" xfId="769" applyFont="1" applyFill="1" applyBorder="1" applyAlignment="1">
      <alignment horizontal="center" vertical="center"/>
      <protection locked="0"/>
    </xf>
    <xf numFmtId="176" fontId="18" fillId="3" borderId="4" xfId="0" applyFont="1" applyFill="1" applyBorder="1" applyAlignment="1" applyProtection="1">
      <alignment horizontal="center" vertical="center"/>
      <protection locked="0"/>
    </xf>
    <xf numFmtId="176" fontId="18" fillId="3" borderId="11" xfId="0" applyFont="1" applyFill="1" applyBorder="1" applyAlignment="1" applyProtection="1">
      <alignment horizontal="center" vertical="center"/>
      <protection locked="0"/>
    </xf>
    <xf numFmtId="0" fontId="13" fillId="3" borderId="3" xfId="769" applyFont="1" applyFill="1" applyBorder="1" applyAlignment="1">
      <alignment horizontal="center" vertical="center"/>
      <protection locked="0"/>
    </xf>
    <xf numFmtId="0" fontId="13" fillId="3" borderId="6" xfId="769" applyFont="1" applyFill="1" applyBorder="1" applyAlignment="1">
      <alignment horizontal="center" vertical="center"/>
      <protection locked="0"/>
    </xf>
    <xf numFmtId="0" fontId="13" fillId="3" borderId="1" xfId="754" applyFont="1" applyFill="1" applyBorder="1" applyAlignment="1">
      <alignment horizontal="center" vertical="center" wrapText="1"/>
      <protection locked="0"/>
    </xf>
    <xf numFmtId="0" fontId="18" fillId="3" borderId="1" xfId="754" applyFont="1" applyFill="1" applyBorder="1" applyAlignment="1">
      <alignment horizontal="center" vertical="center" wrapText="1"/>
      <protection locked="0"/>
    </xf>
    <xf numFmtId="0" fontId="13" fillId="6" borderId="1" xfId="769" applyFont="1" applyFill="1" applyBorder="1" applyAlignment="1" applyProtection="1">
      <alignment horizontal="center" vertical="center" wrapText="1"/>
    </xf>
    <xf numFmtId="0" fontId="13" fillId="6" borderId="3" xfId="769" applyFont="1" applyFill="1" applyBorder="1" applyAlignment="1" applyProtection="1">
      <alignment horizontal="center" vertical="center" wrapText="1"/>
    </xf>
    <xf numFmtId="0" fontId="13" fillId="6" borderId="6" xfId="769" applyFont="1" applyFill="1" applyBorder="1" applyAlignment="1" applyProtection="1">
      <alignment horizontal="center" vertical="center" wrapText="1"/>
    </xf>
    <xf numFmtId="0" fontId="13" fillId="3" borderId="1" xfId="754" applyFont="1" applyFill="1" applyBorder="1" applyAlignment="1">
      <alignment horizontal="center" vertical="center"/>
      <protection locked="0"/>
    </xf>
    <xf numFmtId="0" fontId="18" fillId="3" borderId="1" xfId="754" applyFont="1" applyFill="1" applyBorder="1" applyAlignment="1">
      <alignment horizontal="center" vertical="center"/>
      <protection locked="0"/>
    </xf>
    <xf numFmtId="176" fontId="2" fillId="5" borderId="0" xfId="844" applyFont="1" applyFill="1" applyAlignment="1">
      <alignment horizontal="center" vertical="center" wrapText="1"/>
    </xf>
    <xf numFmtId="176" fontId="3" fillId="5" borderId="0" xfId="844" applyFont="1" applyFill="1" applyAlignment="1">
      <alignment horizontal="center" vertical="center" wrapText="1"/>
    </xf>
    <xf numFmtId="176" fontId="4" fillId="5" borderId="0" xfId="849" applyFont="1" applyFill="1" applyAlignment="1">
      <alignment horizontal="left" vertical="center"/>
    </xf>
    <xf numFmtId="176" fontId="5" fillId="5" borderId="0" xfId="773" applyFont="1" applyFill="1" applyAlignment="1">
      <alignment horizontal="left" vertical="center" wrapText="1"/>
      <protection locked="0"/>
    </xf>
    <xf numFmtId="176" fontId="7" fillId="5" borderId="0" xfId="773" applyFont="1" applyFill="1" applyAlignment="1">
      <alignment vertical="center" wrapText="1"/>
      <protection locked="0"/>
    </xf>
    <xf numFmtId="176" fontId="5" fillId="0" borderId="0" xfId="773" applyFont="1" applyAlignment="1">
      <alignment horizontal="left" vertical="center" wrapText="1"/>
      <protection locked="0"/>
    </xf>
    <xf numFmtId="176" fontId="7" fillId="5" borderId="0" xfId="773" applyFont="1" applyFill="1" applyAlignment="1">
      <alignment horizontal="left" vertical="center" wrapText="1"/>
      <protection locked="0"/>
    </xf>
    <xf numFmtId="176" fontId="1" fillId="5" borderId="0" xfId="773" applyFont="1" applyFill="1" applyAlignment="1">
      <alignment horizontal="left" vertical="center" wrapText="1"/>
      <protection locked="0"/>
    </xf>
    <xf numFmtId="176" fontId="1" fillId="5" borderId="0" xfId="768" applyFont="1" applyFill="1" applyAlignment="1">
      <alignment horizontal="left" vertical="center" wrapText="1"/>
      <protection locked="0"/>
    </xf>
    <xf numFmtId="0" fontId="7" fillId="0" borderId="0" xfId="774" applyFont="1" applyAlignment="1">
      <alignment horizontal="left" vertical="center" wrapText="1"/>
      <protection locked="0"/>
    </xf>
    <xf numFmtId="0" fontId="7" fillId="0" borderId="0" xfId="769" applyFont="1" applyAlignment="1">
      <alignment horizontal="left" vertical="center" wrapText="1"/>
      <protection locked="0"/>
    </xf>
    <xf numFmtId="0" fontId="2" fillId="0" borderId="0" xfId="771" applyNumberFormat="1" applyFont="1" applyAlignment="1">
      <alignment horizontal="center" vertical="center"/>
      <protection locked="0"/>
    </xf>
    <xf numFmtId="0" fontId="3" fillId="0" borderId="0" xfId="771" applyNumberFormat="1" applyFont="1" applyAlignment="1">
      <alignment horizontal="center" vertical="center"/>
      <protection locked="0"/>
    </xf>
    <xf numFmtId="0" fontId="4" fillId="3" borderId="3" xfId="773" applyNumberFormat="1" applyFont="1" applyFill="1" applyBorder="1" applyAlignment="1">
      <alignment horizontal="center" vertical="center" wrapText="1"/>
      <protection locked="0"/>
    </xf>
    <xf numFmtId="0" fontId="4" fillId="3" borderId="6" xfId="773" applyNumberFormat="1" applyFont="1" applyFill="1" applyBorder="1" applyAlignment="1">
      <alignment horizontal="center" vertical="center" wrapText="1"/>
      <protection locked="0"/>
    </xf>
    <xf numFmtId="0" fontId="4" fillId="3" borderId="1" xfId="775" applyNumberFormat="1" applyFont="1" applyFill="1" applyBorder="1" applyAlignment="1">
      <alignment horizontal="center" vertical="center" wrapText="1"/>
      <protection locked="0"/>
    </xf>
    <xf numFmtId="0" fontId="2" fillId="0" borderId="0" xfId="844" applyNumberFormat="1" applyFont="1" applyAlignment="1">
      <alignment horizontal="center" vertical="center" wrapText="1"/>
    </xf>
    <xf numFmtId="0" fontId="3" fillId="0" borderId="0" xfId="844" applyNumberFormat="1" applyFont="1" applyAlignment="1">
      <alignment horizontal="center" vertical="center" wrapText="1"/>
    </xf>
    <xf numFmtId="0" fontId="1" fillId="0" borderId="0" xfId="773" applyNumberFormat="1" applyFont="1" applyAlignment="1">
      <alignment vertical="center" wrapText="1"/>
      <protection locked="0"/>
    </xf>
    <xf numFmtId="0" fontId="5" fillId="0" borderId="0" xfId="773" applyNumberFormat="1" applyFont="1" applyAlignment="1">
      <alignment horizontal="left" vertical="center" wrapText="1"/>
      <protection locked="0"/>
    </xf>
    <xf numFmtId="0" fontId="4" fillId="3" borderId="4" xfId="773" applyNumberFormat="1" applyFont="1" applyFill="1" applyBorder="1" applyAlignment="1">
      <alignment horizontal="center" vertical="center" wrapText="1"/>
      <protection locked="0"/>
    </xf>
    <xf numFmtId="0" fontId="1" fillId="3" borderId="5" xfId="0" applyNumberFormat="1" applyFont="1" applyFill="1" applyBorder="1" applyAlignment="1">
      <alignment horizontal="center" vertical="center" wrapText="1"/>
      <protection locked="0"/>
    </xf>
    <xf numFmtId="0" fontId="1" fillId="3" borderId="6" xfId="0" applyNumberFormat="1" applyFont="1" applyFill="1" applyBorder="1" applyAlignment="1">
      <alignment horizontal="center" vertical="center" wrapText="1"/>
      <protection locked="0"/>
    </xf>
    <xf numFmtId="0" fontId="7" fillId="0" borderId="10" xfId="773" applyNumberFormat="1" applyFont="1" applyBorder="1" applyAlignment="1">
      <alignment vertical="center" wrapText="1"/>
      <protection locked="0"/>
    </xf>
    <xf numFmtId="0" fontId="7" fillId="0" borderId="10" xfId="768" applyNumberFormat="1" applyFont="1" applyBorder="1" applyAlignment="1">
      <alignment vertical="center" wrapText="1"/>
      <protection locked="0"/>
    </xf>
    <xf numFmtId="0" fontId="7" fillId="0" borderId="10" xfId="773" applyNumberFormat="1" applyFont="1" applyBorder="1" applyAlignment="1">
      <alignment horizontal="left" vertical="center" wrapText="1"/>
      <protection locked="0"/>
    </xf>
    <xf numFmtId="0" fontId="7" fillId="0" borderId="10" xfId="768" applyNumberFormat="1" applyFont="1" applyBorder="1" applyAlignment="1">
      <alignment horizontal="left" vertical="center" wrapText="1"/>
      <protection locked="0"/>
    </xf>
    <xf numFmtId="0" fontId="1" fillId="0" borderId="3" xfId="773" applyNumberFormat="1" applyFont="1" applyBorder="1" applyAlignment="1">
      <alignment horizontal="center" vertical="center" wrapText="1"/>
      <protection locked="0"/>
    </xf>
    <xf numFmtId="0" fontId="1" fillId="0" borderId="8" xfId="0" applyNumberFormat="1" applyFont="1" applyBorder="1" applyAlignment="1">
      <alignment horizontal="center" vertical="center" wrapText="1"/>
      <protection locked="0"/>
    </xf>
    <xf numFmtId="0" fontId="1" fillId="0" borderId="6" xfId="0" applyNumberFormat="1" applyFont="1" applyBorder="1" applyAlignment="1">
      <alignment horizontal="center" vertical="center" wrapText="1"/>
      <protection locked="0"/>
    </xf>
    <xf numFmtId="0" fontId="16" fillId="0" borderId="1" xfId="773" applyNumberFormat="1" applyFont="1" applyBorder="1" applyAlignment="1">
      <alignment horizontal="center" vertical="center" wrapText="1"/>
      <protection locked="0"/>
    </xf>
    <xf numFmtId="0" fontId="1" fillId="0" borderId="9" xfId="773" applyNumberFormat="1" applyFont="1" applyBorder="1" applyAlignment="1">
      <alignment horizontal="left" vertical="center" wrapText="1"/>
      <protection locked="0"/>
    </xf>
    <xf numFmtId="0" fontId="1" fillId="0" borderId="9" xfId="768" applyNumberFormat="1" applyFont="1" applyBorder="1" applyAlignment="1">
      <alignment horizontal="left" vertical="center" wrapText="1"/>
      <protection locked="0"/>
    </xf>
    <xf numFmtId="0" fontId="4" fillId="3" borderId="11" xfId="773" applyNumberFormat="1" applyFont="1" applyFill="1" applyBorder="1" applyAlignment="1">
      <alignment horizontal="center" vertical="center" wrapText="1"/>
      <protection locked="0"/>
    </xf>
    <xf numFmtId="0" fontId="4" fillId="3" borderId="5" xfId="773" applyNumberFormat="1" applyFont="1" applyFill="1" applyBorder="1" applyAlignment="1">
      <alignment horizontal="center" vertical="center" wrapText="1"/>
      <protection locked="0"/>
    </xf>
    <xf numFmtId="0" fontId="1" fillId="0" borderId="3" xfId="773" applyNumberFormat="1" applyFont="1" applyBorder="1" applyAlignment="1">
      <alignment horizontal="center" vertical="center"/>
      <protection locked="0"/>
    </xf>
    <xf numFmtId="0" fontId="1" fillId="0" borderId="8" xfId="0" applyNumberFormat="1" applyFont="1" applyBorder="1" applyAlignment="1">
      <alignment horizontal="center" vertical="center"/>
      <protection locked="0"/>
    </xf>
    <xf numFmtId="0" fontId="1" fillId="0" borderId="6" xfId="0" applyNumberFormat="1" applyFont="1" applyBorder="1" applyAlignment="1">
      <alignment horizontal="center" vertical="center"/>
      <protection locked="0"/>
    </xf>
    <xf numFmtId="43" fontId="5" fillId="0" borderId="3" xfId="1" applyFont="1" applyBorder="1" applyAlignment="1" applyProtection="1">
      <alignment horizontal="center" vertical="center"/>
      <protection locked="0"/>
    </xf>
    <xf numFmtId="43" fontId="5" fillId="0" borderId="8" xfId="1" applyFont="1" applyBorder="1" applyAlignment="1" applyProtection="1">
      <alignment horizontal="center" vertical="center"/>
      <protection locked="0"/>
    </xf>
    <xf numFmtId="43" fontId="5" fillId="0" borderId="6" xfId="1" applyFont="1" applyBorder="1" applyAlignment="1" applyProtection="1">
      <alignment horizontal="center" vertical="center"/>
      <protection locked="0"/>
    </xf>
    <xf numFmtId="0" fontId="11" fillId="0" borderId="0" xfId="771" applyNumberFormat="1" applyFont="1" applyAlignment="1">
      <alignment horizontal="center" vertical="center"/>
      <protection locked="0"/>
    </xf>
    <xf numFmtId="0" fontId="12" fillId="0" borderId="0" xfId="771" applyNumberFormat="1" applyFont="1" applyAlignment="1">
      <alignment horizontal="center" vertical="center"/>
      <protection locked="0"/>
    </xf>
    <xf numFmtId="0" fontId="13" fillId="0" borderId="2" xfId="0" applyNumberFormat="1" applyFont="1" applyBorder="1" applyAlignment="1" applyProtection="1">
      <alignment horizontal="left" vertical="center"/>
    </xf>
    <xf numFmtId="0" fontId="13" fillId="0" borderId="0" xfId="0" applyNumberFormat="1" applyFont="1" applyAlignment="1" applyProtection="1">
      <alignment horizontal="left" vertical="center"/>
    </xf>
    <xf numFmtId="0" fontId="9" fillId="0" borderId="0" xfId="0" applyNumberFormat="1" applyFont="1">
      <protection locked="0"/>
    </xf>
    <xf numFmtId="0" fontId="2" fillId="0" borderId="0" xfId="845" applyFont="1" applyAlignment="1">
      <alignment horizontal="center" vertical="center" wrapText="1"/>
    </xf>
    <xf numFmtId="0" fontId="3" fillId="0" borderId="0" xfId="845" applyFont="1" applyAlignment="1">
      <alignment horizontal="center" vertical="center" wrapText="1"/>
    </xf>
  </cellXfs>
  <cellStyles count="1059">
    <cellStyle name="_x000a_mouse.drv=lm" xfId="4"/>
    <cellStyle name="_x000a_mouse.drv=lm 2" xfId="5"/>
    <cellStyle name="%" xfId="6"/>
    <cellStyle name="% 2" xfId="7"/>
    <cellStyle name="% 2 2" xfId="8"/>
    <cellStyle name="% 3" xfId="9"/>
    <cellStyle name="?" xfId="10"/>
    <cellStyle name="? 2" xfId="11"/>
    <cellStyle name="? 2 2" xfId="12"/>
    <cellStyle name="??" xfId="13"/>
    <cellStyle name="?? [0]" xfId="14"/>
    <cellStyle name="?? [0] 2" xfId="15"/>
    <cellStyle name="?? 2" xfId="16"/>
    <cellStyle name="?? 3" xfId="17"/>
    <cellStyle name="?? 4" xfId="18"/>
    <cellStyle name="??_0N-HANDLING " xfId="19"/>
    <cellStyle name="?餡_x000c_k" xfId="20"/>
    <cellStyle name="?餡_x000c_k 2" xfId="21"/>
    <cellStyle name="?餡_x000c_k 2 2" xfId="22"/>
    <cellStyle name="?餡_x000c_k?_x000d_^" xfId="23"/>
    <cellStyle name="?餡_x000c_k?_x000d_^ 2" xfId="24"/>
    <cellStyle name="?餡_x000c_k?_x000d_^ 2 2" xfId="25"/>
    <cellStyle name="?餡_x000c_k?_x000d_^黇_x0001_??_x0007__x0001__x0001_" xfId="26"/>
    <cellStyle name="?餡_x000c_k?_x000d_^黇_x0001_??_x0007__x0001__x0001_ 2" xfId="27"/>
    <cellStyle name="?餡_x000c_k?_x000d_^黇_x0001_??_x0007__x0001__x0001_ 2 2" xfId="28"/>
    <cellStyle name="@_text" xfId="29"/>
    <cellStyle name="@_text_子公司附注汇总(房开公司)" xfId="30"/>
    <cellStyle name="_(本部)2006年年报审计PBC表" xfId="31"/>
    <cellStyle name="_(本部)2006年年报审计PBC表 2" xfId="32"/>
    <cellStyle name="_07930建造合同" xfId="33"/>
    <cellStyle name="_07930建造合同 2" xfId="34"/>
    <cellStyle name="_12月项目部访问及审计-德勤" xfId="35"/>
    <cellStyle name="_12月项目部访问及审计-德勤 2" xfId="36"/>
    <cellStyle name="_2005-08-31审计底稿－李" xfId="37"/>
    <cellStyle name="_2005-08-31审计底稿－李 2" xfId="38"/>
    <cellStyle name="_2005年工作底稿" xfId="39"/>
    <cellStyle name="_2005年工作底稿 2" xfId="40"/>
    <cellStyle name="_2005年工作底稿_3-2-A1B-银行存款" xfId="41"/>
    <cellStyle name="_2005年工作底稿_3-2-A1B-银行存款 2" xfId="42"/>
    <cellStyle name="_2005年工作底稿_3-2-Z17A-固定资产" xfId="43"/>
    <cellStyle name="_2005年工作底稿_3-2-Z17A-固定资产 2" xfId="44"/>
    <cellStyle name="_2005年工作底稿_Sheet1" xfId="45"/>
    <cellStyle name="_2005年工作底稿_Sheet1 2" xfId="46"/>
    <cellStyle name="_2005审计报表及附注-中国建材股份模板（房屋）" xfId="47"/>
    <cellStyle name="_2005审计报表及附注-中国建材股份模板（房屋） 2" xfId="48"/>
    <cellStyle name="_2005审计报表及附注-中国建材股份模板（房屋） 2 2" xfId="49"/>
    <cellStyle name="_2006年年报审计PBC表（合并）" xfId="50"/>
    <cellStyle name="_2006年年报审计PBC表（合并） 2" xfId="51"/>
    <cellStyle name="_2006年年报审计PBC表-XX" xfId="52"/>
    <cellStyle name="_2006年年报审计PBC表-XX 2" xfId="53"/>
    <cellStyle name="_2006年年报审计PBC表-XXX" xfId="54"/>
    <cellStyle name="_2006年年报审计PBC表-XXX 2" xfId="55"/>
    <cellStyle name="_2006年年报审计PBC表-XXX 2 2" xfId="56"/>
    <cellStyle name="_2006年年报审计PBC表-福州分公司" xfId="57"/>
    <cellStyle name="_2006年年报审计PBC表-福州分公司 2" xfId="58"/>
    <cellStyle name="_2006年年报审计PBC表-云南分公司" xfId="59"/>
    <cellStyle name="_2006年年报审计PBC表-云南分公司 2" xfId="60"/>
    <cellStyle name="_2006年年报审计填报资料" xfId="61"/>
    <cellStyle name="_2006年年报审计填报资料 2" xfId="62"/>
    <cellStyle name="_2006年年报审计填报资料 2 2" xfId="63"/>
    <cellStyle name="_2007调整分录-鲁佳" xfId="64"/>
    <cellStyle name="_2007调整分录-鲁佳 2" xfId="65"/>
    <cellStyle name="_3-2-A22-无形资产" xfId="66"/>
    <cellStyle name="_3-2-A22-无形资产 2" xfId="67"/>
    <cellStyle name="_3-2-A4-应收账款" xfId="68"/>
    <cellStyle name="_3-2-A4-应收账款 2" xfId="69"/>
    <cellStyle name="_A17固定资产" xfId="70"/>
    <cellStyle name="_A17固定资产 2" xfId="71"/>
    <cellStyle name="_A23无形资产" xfId="72"/>
    <cellStyle name="_A23无形资产 2" xfId="73"/>
    <cellStyle name="_A3应收票据" xfId="74"/>
    <cellStyle name="_A3应收票据 2" xfId="75"/>
    <cellStyle name="_A6应收账款" xfId="76"/>
    <cellStyle name="_A6应收账款 2" xfId="77"/>
    <cellStyle name="_A6应收账款_3-2-A1B-银行存款" xfId="78"/>
    <cellStyle name="_A6应收账款_3-2-A1B-银行存款 2" xfId="79"/>
    <cellStyle name="_A6应收账款_3-2-Z17A-固定资产" xfId="80"/>
    <cellStyle name="_A6应收账款_3-2-Z17A-固定资产 2" xfId="81"/>
    <cellStyle name="_A6应收账款_Sheet1" xfId="82"/>
    <cellStyle name="_A6应收账款_Sheet1 2" xfId="83"/>
    <cellStyle name="_B10其他未交款" xfId="84"/>
    <cellStyle name="_B10其他未交款 2" xfId="85"/>
    <cellStyle name="_B13预收账款2005" xfId="86"/>
    <cellStyle name="_B13预收账款2005 2" xfId="87"/>
    <cellStyle name="_B6应付工资" xfId="88"/>
    <cellStyle name="_B6应付工资 2" xfId="89"/>
    <cellStyle name="_B7应付福利费" xfId="90"/>
    <cellStyle name="_B7应付福利费 2" xfId="91"/>
    <cellStyle name="_B9应交税金2005" xfId="92"/>
    <cellStyle name="_B9应交税金2005 2" xfId="93"/>
    <cellStyle name="_Book1" xfId="94"/>
    <cellStyle name="_Book1 2" xfId="95"/>
    <cellStyle name="_Book1 2 2" xfId="96"/>
    <cellStyle name="_CREC(Huo" xfId="97"/>
    <cellStyle name="_CREC(Huo 2" xfId="98"/>
    <cellStyle name="_D11营业外支出" xfId="99"/>
    <cellStyle name="_D11营业外支出 2" xfId="100"/>
    <cellStyle name="_D12所得税2005" xfId="101"/>
    <cellStyle name="_D12所得税2005 2" xfId="102"/>
    <cellStyle name="_D1主营业务收入" xfId="103"/>
    <cellStyle name="_D1主营业务收入 2" xfId="104"/>
    <cellStyle name="_D3主营业务税金及附加" xfId="105"/>
    <cellStyle name="_D3主营业务税金及附加 2" xfId="106"/>
    <cellStyle name="_D4其他业务利润" xfId="107"/>
    <cellStyle name="_D4其他业务利润 2" xfId="108"/>
    <cellStyle name="_ET_STYLE_NoName_00_" xfId="109"/>
    <cellStyle name="_ET_STYLE_NoName_00_ 2" xfId="110"/>
    <cellStyle name="_ET_STYLE_NoName_00__2007调整分录-鲁佳" xfId="111"/>
    <cellStyle name="_ET_STYLE_NoName_00__2007调整分录-鲁佳 2" xfId="112"/>
    <cellStyle name="_ET_STYLE_NoName_00__股份本部" xfId="113"/>
    <cellStyle name="_ET_STYLE_NoName_00__股份本部 2" xfId="114"/>
    <cellStyle name="_ET_STYLE_NoName_00__股份本部_1" xfId="115"/>
    <cellStyle name="_ET_STYLE_NoName_00__股份本部_1 2" xfId="116"/>
    <cellStyle name="_ET_STYLE_NoName_00__股份本部_3" xfId="117"/>
    <cellStyle name="_ET_STYLE_NoName_00__股份本部_3 2" xfId="118"/>
    <cellStyle name="_ET_STYLE_NoName_00__股份本部_6_股份本部_2" xfId="119"/>
    <cellStyle name="_ET_STYLE_NoName_00__股份本部_6_股份本部_2 2" xfId="120"/>
    <cellStyle name="_ET_STYLE_NoName_00__股份本部_7_股份本部_3" xfId="121"/>
    <cellStyle name="_ET_STYLE_NoName_00__股份本部_7_股份本部_3 2" xfId="122"/>
    <cellStyle name="_J1000-存货-ZHHG" xfId="123"/>
    <cellStyle name="_J1000-存货-ZHHG 2" xfId="124"/>
    <cellStyle name="_PBC审核提示" xfId="125"/>
    <cellStyle name="_PBC审核提示 2" xfId="126"/>
    <cellStyle name="_PBC审核提示 2 2" xfId="127"/>
    <cellStyle name="_Sheet1" xfId="128"/>
    <cellStyle name="_Sheet1 2" xfId="129"/>
    <cellStyle name="_宝丽华房地产20051231" xfId="130"/>
    <cellStyle name="_宝丽华房地产20051231 2" xfId="131"/>
    <cellStyle name="_宝丽华房地产20051231 2 2" xfId="132"/>
    <cellStyle name="_保证金-企业填写部分" xfId="133"/>
    <cellStyle name="_保证金-企业填写部分 2" xfId="134"/>
    <cellStyle name="_保证金-企业填写部分 2 2" xfId="135"/>
    <cellStyle name="_北新房屋2004年审-刘" xfId="136"/>
    <cellStyle name="_北新房屋2004年审-刘 2" xfId="137"/>
    <cellStyle name="_北新房屋2004年审-刘 2 2" xfId="138"/>
    <cellStyle name="_北新股份2005年审工作底稿" xfId="139"/>
    <cellStyle name="_北新股份2005年审工作底稿 2" xfId="140"/>
    <cellStyle name="_北新股份2005年审工作底稿 2 2" xfId="141"/>
    <cellStyle name="_北新建材关连交易基础表051230（10－12月版）更新稿" xfId="142"/>
    <cellStyle name="_北新建材关连交易基础表051230（10－12月版）更新稿 2" xfId="143"/>
    <cellStyle name="_北新建材关连交易基础表051230（10－12月版）更新稿 2 2" xfId="144"/>
    <cellStyle name="_北新建材-会计报表附注模版" xfId="145"/>
    <cellStyle name="_北新建材-会计报表附注模版 2" xfId="146"/>
    <cellStyle name="_北新建材-会计报表附注模版 2 2" xfId="147"/>
    <cellStyle name="_北新龙之星2004年审工作底稿" xfId="148"/>
    <cellStyle name="_北新龙之星2004年审工作底稿 2" xfId="149"/>
    <cellStyle name="_北新龙之星2004年审工作底稿 2 2" xfId="150"/>
    <cellStyle name="_北新物流2005底稿-刘" xfId="151"/>
    <cellStyle name="_北新物流2005底稿-刘 2" xfId="152"/>
    <cellStyle name="_北新物流2005底稿-刘 2 2" xfId="153"/>
    <cellStyle name="_北新置换memo" xfId="154"/>
    <cellStyle name="_北新置换memo 2" xfId="155"/>
    <cellStyle name="_北新置换memo 2 2" xfId="156"/>
    <cellStyle name="_本部其他应收应付年审底稿--鲁佳pb" xfId="157"/>
    <cellStyle name="_本部其他应收应付年审底稿--鲁佳pb 2" xfId="158"/>
    <cellStyle name="_存货结转测试" xfId="159"/>
    <cellStyle name="_存货结转测试 2" xfId="160"/>
    <cellStyle name="_存货结转测试 2 2" xfId="161"/>
    <cellStyle name="_存货数量与明细05.12" xfId="162"/>
    <cellStyle name="_存货数量与明细05.12 2" xfId="163"/>
    <cellStyle name="_存货数量与明细05.12 2 2" xfId="164"/>
    <cellStyle name="_动力厂2004年审工作底稿-刘" xfId="165"/>
    <cellStyle name="_动力厂2004年审工作底稿-刘 2" xfId="166"/>
    <cellStyle name="_动力厂2004年审工作底稿-刘 2 2" xfId="167"/>
    <cellStyle name="_分工" xfId="168"/>
    <cellStyle name="_分工 2" xfId="169"/>
    <cellStyle name="_分工 2 2" xfId="170"/>
    <cellStyle name="_封面" xfId="171"/>
    <cellStyle name="_封面 2" xfId="172"/>
    <cellStyle name="_工程施工项目现场审计提示" xfId="173"/>
    <cellStyle name="_工程施工项目现场审计提示 2" xfId="174"/>
    <cellStyle name="_工程施工项目现场审计提示 2 2" xfId="175"/>
    <cellStyle name="_公司填表" xfId="176"/>
    <cellStyle name="_公司填表 2" xfId="177"/>
    <cellStyle name="_公司填表-2005蔡" xfId="178"/>
    <cellStyle name="_公司填表-2005蔡 2" xfId="179"/>
    <cellStyle name="_公司填表-2005李志刚" xfId="180"/>
    <cellStyle name="_公司填表-2005李志刚 2" xfId="181"/>
    <cellStyle name="_公司填表2005-吴" xfId="182"/>
    <cellStyle name="_公司填表2005-吴 2" xfId="183"/>
    <cellStyle name="_公司填表2005-吴_3-2-A1B-银行存款" xfId="184"/>
    <cellStyle name="_公司填表2005-吴_3-2-A1B-银行存款 2" xfId="185"/>
    <cellStyle name="_公司填表2005-吴_3-2-Z17A-固定资产" xfId="186"/>
    <cellStyle name="_公司填表2005-吴_3-2-Z17A-固定资产 2" xfId="187"/>
    <cellStyle name="_公司填表2005-吴_Sheet1" xfId="188"/>
    <cellStyle name="_公司填表2005-吴_Sheet1 2" xfId="189"/>
    <cellStyle name="_公司填表2005-修改" xfId="190"/>
    <cellStyle name="_公司填表2005-修改 2" xfId="191"/>
    <cellStyle name="_公司填表2005-修改_3-2-A1B-银行存款" xfId="192"/>
    <cellStyle name="_公司填表2005-修改_3-2-A1B-银行存款 2" xfId="193"/>
    <cellStyle name="_公司填表2005-修改_3-2-Z17A-固定资产" xfId="194"/>
    <cellStyle name="_公司填表2005-修改_3-2-Z17A-固定资产 2" xfId="195"/>
    <cellStyle name="_公司填表2005-修改_Sheet1" xfId="196"/>
    <cellStyle name="_公司填表2005-修改_Sheet1 2" xfId="197"/>
    <cellStyle name="_公司填表2005-修改后" xfId="198"/>
    <cellStyle name="_公司填表2005-修改后 2" xfId="199"/>
    <cellStyle name="_公司填表2005-修改后_3-2-A1B-银行存款" xfId="200"/>
    <cellStyle name="_公司填表2005-修改后_3-2-A1B-银行存款 2" xfId="201"/>
    <cellStyle name="_公司填表2005-修改后_3-2-Z17A-固定资产" xfId="202"/>
    <cellStyle name="_公司填表2005-修改后_3-2-Z17A-固定资产 2" xfId="203"/>
    <cellStyle name="_公司填表2005-修改后_Sheet1" xfId="204"/>
    <cellStyle name="_公司填表2005-修改后_Sheet1 2" xfId="205"/>
    <cellStyle name="_公司填表-2005杨" xfId="206"/>
    <cellStyle name="_公司填表-2005杨 2" xfId="207"/>
    <cellStyle name="_关联交易" xfId="208"/>
    <cellStyle name="_关联交易 2" xfId="209"/>
    <cellStyle name="_关联交易 2 2" xfId="210"/>
    <cellStyle name="_关联交易、往来统计表" xfId="211"/>
    <cellStyle name="_关联交易、往来统计表 2" xfId="212"/>
    <cellStyle name="_关联交易、往来统计表 2 2" xfId="213"/>
    <cellStyle name="_合并报表审计调整模板(CREC)" xfId="214"/>
    <cellStyle name="_合并报表审计调整模板(CREC) 2" xfId="215"/>
    <cellStyle name="_合并公司2006年度科目明细表(定稿)" xfId="216"/>
    <cellStyle name="_合并公司2006年度科目明细表(定稿) 2" xfId="217"/>
    <cellStyle name="_建造合同-宜万指（正式版）" xfId="218"/>
    <cellStyle name="_建造合同-宜万指（正式版） 2" xfId="219"/>
    <cellStyle name="_建造合同-宜万指（正式版） 2 2" xfId="220"/>
    <cellStyle name="_科目核对表" xfId="221"/>
    <cellStyle name="_科目核对表 2" xfId="222"/>
    <cellStyle name="_科目核对表 2 2" xfId="223"/>
    <cellStyle name="_刘青分工填列信息统计" xfId="224"/>
    <cellStyle name="_刘青分工填列信息统计 2" xfId="225"/>
    <cellStyle name="_刘青分工－子公司审计模板-电务" xfId="226"/>
    <cellStyle name="_刘青分工－子公司审计模板-电务 2" xfId="227"/>
    <cellStyle name="_刘青分工－子公司审计模板－铁达本部" xfId="228"/>
    <cellStyle name="_刘青分工－子公司审计模板－铁达本部 2" xfId="229"/>
    <cellStyle name="_母PL" xfId="230"/>
    <cellStyle name="_母PL 2" xfId="231"/>
    <cellStyle name="_母PL 2 2" xfId="232"/>
    <cellStyle name="_母公司底稿-鲁佳" xfId="233"/>
    <cellStyle name="_母公司底稿-鲁佳 2" xfId="234"/>
    <cellStyle name="_年审筹资循环资料清单" xfId="235"/>
    <cellStyle name="_年审筹资循环资料清单 2" xfId="236"/>
    <cellStyle name="_凭证抽查-05年" xfId="237"/>
    <cellStyle name="_凭证抽查-05年 2" xfId="238"/>
    <cellStyle name="_人员分工备忘录" xfId="239"/>
    <cellStyle name="_人员分工备忘录 2" xfId="240"/>
    <cellStyle name="_人员分工备忘录 2 2" xfId="241"/>
    <cellStyle name="_审计底稿-轩" xfId="242"/>
    <cellStyle name="_审计底稿-轩 2" xfId="243"/>
    <cellStyle name="_审计所需资料清单－子公司" xfId="244"/>
    <cellStyle name="_审计所需资料清单－子公司 2" xfId="245"/>
    <cellStyle name="_审计所需资料清单－子公司 2 2" xfId="246"/>
    <cellStyle name="_审计提示模版" xfId="247"/>
    <cellStyle name="_审计提示模版 2" xfId="248"/>
    <cellStyle name="_审计提示模版-母公司部分" xfId="249"/>
    <cellStyle name="_审计提示模版-母公司部分 2" xfId="250"/>
    <cellStyle name="_铁鸿源－刘青分工－子公司审计模板" xfId="251"/>
    <cellStyle name="_铁鸿源－刘青分工－子公司审计模板 2" xfId="252"/>
    <cellStyle name="_兴华审计成本" xfId="253"/>
    <cellStyle name="_兴华审计成本 2" xfId="254"/>
    <cellStyle name="_岩土长投--急0121报王占学" xfId="255"/>
    <cellStyle name="_岩土长投--急0121报王占学 2" xfId="256"/>
    <cellStyle name="_一公司建造合同前5名" xfId="257"/>
    <cellStyle name="_一公司建造合同前5名 2" xfId="258"/>
    <cellStyle name="_一公司建造合同前5名 2 2" xfId="259"/>
    <cellStyle name="_一公司－刘丰收" xfId="260"/>
    <cellStyle name="_一公司－刘丰收 2" xfId="261"/>
    <cellStyle name="_一公司－刘丰收 2 2" xfId="262"/>
    <cellStyle name="_银行询证函统计－大表" xfId="263"/>
    <cellStyle name="_银行询证函统计－大表 2" xfId="264"/>
    <cellStyle name="_应收账款账龄--04、05" xfId="265"/>
    <cellStyle name="_应收账款账龄--04、05 2" xfId="266"/>
    <cellStyle name="_长期借款－江阴" xfId="267"/>
    <cellStyle name="_长期借款－江阴 2" xfId="268"/>
    <cellStyle name="_长期借款－江阴 2 2" xfId="269"/>
    <cellStyle name="_子公司筹资循环－刘青" xfId="270"/>
    <cellStyle name="_子公司筹资循环－刘青 2" xfId="271"/>
    <cellStyle name="_子公司审计提示模版-Liufs" xfId="272"/>
    <cellStyle name="_子公司审计提示模版-Liufs 2" xfId="273"/>
    <cellStyle name="_子公司审计提示模版-Liufs 2 2" xfId="274"/>
    <cellStyle name="_子公司填表" xfId="275"/>
    <cellStyle name="_子公司填表 2" xfId="276"/>
    <cellStyle name="{Comma [0]}" xfId="277"/>
    <cellStyle name="{Comma}" xfId="278"/>
    <cellStyle name="{Date}" xfId="279"/>
    <cellStyle name="{Month}" xfId="280"/>
    <cellStyle name="{Percent}" xfId="281"/>
    <cellStyle name="{Thousand [0]}" xfId="282"/>
    <cellStyle name="{Thousand}" xfId="283"/>
    <cellStyle name="{Z'0000(1 dec)}" xfId="284"/>
    <cellStyle name="{Z'0000(4 dec)}" xfId="285"/>
    <cellStyle name="0%" xfId="286"/>
    <cellStyle name="0,0_x000d__x000a_NA_x000d__x000a_" xfId="287"/>
    <cellStyle name="0,0_x000d__x000a_NA_x000d__x000a_ 2" xfId="288"/>
    <cellStyle name="0.0%" xfId="289"/>
    <cellStyle name="0.00%" xfId="290"/>
    <cellStyle name="00" xfId="291"/>
    <cellStyle name="20% - Accent1" xfId="292"/>
    <cellStyle name="20% - Accent2" xfId="293"/>
    <cellStyle name="20% - Accent3" xfId="294"/>
    <cellStyle name="20% - Accent4" xfId="295"/>
    <cellStyle name="20% - Accent5" xfId="296"/>
    <cellStyle name="20% - Accent6" xfId="297"/>
    <cellStyle name="40% - Accent1" xfId="298"/>
    <cellStyle name="40% - Accent2" xfId="299"/>
    <cellStyle name="40% - Accent3" xfId="300"/>
    <cellStyle name="40% - Accent4" xfId="301"/>
    <cellStyle name="40% - Accent5" xfId="302"/>
    <cellStyle name="40% - Accent6" xfId="303"/>
    <cellStyle name="60% - Accent1" xfId="304"/>
    <cellStyle name="60% - Accent2" xfId="305"/>
    <cellStyle name="60% - Accent3" xfId="306"/>
    <cellStyle name="60% - Accent4" xfId="307"/>
    <cellStyle name="60% - Accent5" xfId="308"/>
    <cellStyle name="60% - Accent6" xfId="309"/>
    <cellStyle name="AA FRAME" xfId="310"/>
    <cellStyle name="AA FRAME 2" xfId="311"/>
    <cellStyle name="AA HEADING" xfId="312"/>
    <cellStyle name="AA HEADING 2" xfId="313"/>
    <cellStyle name="AA INITIALS" xfId="314"/>
    <cellStyle name="AA INITIALS 2" xfId="315"/>
    <cellStyle name="AA INPUT" xfId="316"/>
    <cellStyle name="AA INPUT 2" xfId="317"/>
    <cellStyle name="AA LOCK" xfId="318"/>
    <cellStyle name="AA LOCK 2" xfId="319"/>
    <cellStyle name="AA MGR NAME" xfId="320"/>
    <cellStyle name="AA MGR NAME 2" xfId="321"/>
    <cellStyle name="AA NORMAL" xfId="322"/>
    <cellStyle name="AA NORMAL 2" xfId="323"/>
    <cellStyle name="AA NUMBER" xfId="324"/>
    <cellStyle name="AA NUMBER2" xfId="325"/>
    <cellStyle name="AA QUESTION" xfId="326"/>
    <cellStyle name="AA QUESTION 2" xfId="327"/>
    <cellStyle name="AA SHADE" xfId="328"/>
    <cellStyle name="AA SHADE 2" xfId="329"/>
    <cellStyle name="Accent1" xfId="330"/>
    <cellStyle name="Accent1 - 20%" xfId="331"/>
    <cellStyle name="Accent1 - 20% 2" xfId="332"/>
    <cellStyle name="Accent1 - 40%" xfId="333"/>
    <cellStyle name="Accent1 - 40% 2" xfId="334"/>
    <cellStyle name="Accent1 - 60%" xfId="335"/>
    <cellStyle name="Accent1 - 60% 2" xfId="336"/>
    <cellStyle name="Accent2" xfId="337"/>
    <cellStyle name="Accent2 - 20%" xfId="338"/>
    <cellStyle name="Accent2 - 20% 2" xfId="339"/>
    <cellStyle name="Accent2 - 40%" xfId="340"/>
    <cellStyle name="Accent2 - 40% 2" xfId="341"/>
    <cellStyle name="Accent2 - 60%" xfId="342"/>
    <cellStyle name="Accent2 - 60% 2" xfId="343"/>
    <cellStyle name="Accent3" xfId="344"/>
    <cellStyle name="Accent3 - 20%" xfId="345"/>
    <cellStyle name="Accent3 - 20% 2" xfId="346"/>
    <cellStyle name="Accent3 - 40%" xfId="347"/>
    <cellStyle name="Accent3 - 40% 2" xfId="348"/>
    <cellStyle name="Accent3 - 60%" xfId="349"/>
    <cellStyle name="Accent3 - 60% 2" xfId="350"/>
    <cellStyle name="Accent4" xfId="351"/>
    <cellStyle name="Accent4 - 20%" xfId="352"/>
    <cellStyle name="Accent4 - 20% 2" xfId="353"/>
    <cellStyle name="Accent4 - 40%" xfId="354"/>
    <cellStyle name="Accent4 - 40% 2" xfId="355"/>
    <cellStyle name="Accent4 - 60%" xfId="356"/>
    <cellStyle name="Accent4 - 60% 2" xfId="357"/>
    <cellStyle name="Accent5" xfId="358"/>
    <cellStyle name="Accent5 - 20%" xfId="359"/>
    <cellStyle name="Accent5 - 20% 2" xfId="360"/>
    <cellStyle name="Accent5 - 40%" xfId="361"/>
    <cellStyle name="Accent5 - 40% 2" xfId="362"/>
    <cellStyle name="Accent5 - 60%" xfId="363"/>
    <cellStyle name="Accent5 - 60% 2" xfId="364"/>
    <cellStyle name="Accent6" xfId="365"/>
    <cellStyle name="Accent6 - 20%" xfId="366"/>
    <cellStyle name="Accent6 - 20% 2" xfId="367"/>
    <cellStyle name="Accent6 - 40%" xfId="368"/>
    <cellStyle name="Accent6 - 40% 2" xfId="369"/>
    <cellStyle name="Accent6 - 60%" xfId="370"/>
    <cellStyle name="Accent6 - 60% 2" xfId="371"/>
    <cellStyle name="args.style" xfId="372"/>
    <cellStyle name="args.style 2" xfId="373"/>
    <cellStyle name="Bad" xfId="374"/>
    <cellStyle name="Black" xfId="375"/>
    <cellStyle name="Border" xfId="376"/>
    <cellStyle name="Calc Currency (0)" xfId="377"/>
    <cellStyle name="Calc Currency (2)" xfId="378"/>
    <cellStyle name="Calc Percent (0)" xfId="379"/>
    <cellStyle name="Calc Percent (1)" xfId="380"/>
    <cellStyle name="Calc Percent (2)" xfId="381"/>
    <cellStyle name="Calc Units (0)" xfId="382"/>
    <cellStyle name="Calc Units (1)" xfId="383"/>
    <cellStyle name="Calc Units (2)" xfId="384"/>
    <cellStyle name="Calculation" xfId="385"/>
    <cellStyle name="category" xfId="386"/>
    <cellStyle name="category 2" xfId="387"/>
    <cellStyle name="Check Cell" xfId="388"/>
    <cellStyle name="Col Heads" xfId="389"/>
    <cellStyle name="Col Heads 2" xfId="390"/>
    <cellStyle name="Column_Title" xfId="391"/>
    <cellStyle name="Comma  - Style1" xfId="392"/>
    <cellStyle name="Comma  - Style2" xfId="393"/>
    <cellStyle name="Comma  - Style3" xfId="394"/>
    <cellStyle name="Comma  - Style4" xfId="395"/>
    <cellStyle name="Comma  - Style5" xfId="396"/>
    <cellStyle name="Comma  - Style6" xfId="397"/>
    <cellStyle name="Comma  - Style7" xfId="398"/>
    <cellStyle name="Comma  - Style8" xfId="399"/>
    <cellStyle name="Comma [0]" xfId="400"/>
    <cellStyle name="Comma [00]" xfId="401"/>
    <cellStyle name="Comma 28" xfId="402"/>
    <cellStyle name="Comma 28 2" xfId="403"/>
    <cellStyle name="Comma 28 3" xfId="404"/>
    <cellStyle name="comma zerodec" xfId="405"/>
    <cellStyle name="Comma,0" xfId="406"/>
    <cellStyle name="Comma,1" xfId="407"/>
    <cellStyle name="Comma,2" xfId="408"/>
    <cellStyle name="Comma_ rislugp" xfId="409"/>
    <cellStyle name="Copied" xfId="410"/>
    <cellStyle name="Copied 2" xfId="411"/>
    <cellStyle name="COST1" xfId="412"/>
    <cellStyle name="COST1 2" xfId="413"/>
    <cellStyle name="Currency [0]" xfId="414"/>
    <cellStyle name="Currency [00]" xfId="415"/>
    <cellStyle name="Currency,0" xfId="416"/>
    <cellStyle name="Currency,2" xfId="417"/>
    <cellStyle name="Currency_ rislugp" xfId="418"/>
    <cellStyle name="Currency1" xfId="419"/>
    <cellStyle name="Date" xfId="420"/>
    <cellStyle name="Date 2" xfId="421"/>
    <cellStyle name="Date Short" xfId="422"/>
    <cellStyle name="Date_ A1-货币资金审定表" xfId="423"/>
    <cellStyle name="Dezimal [0]_laroux" xfId="424"/>
    <cellStyle name="Dezimal_laroux" xfId="425"/>
    <cellStyle name="Dollar (zero dec)" xfId="426"/>
    <cellStyle name="E&amp;Y House" xfId="427"/>
    <cellStyle name="E&amp;Y House 2" xfId="428"/>
    <cellStyle name="Enter Currency (0)" xfId="429"/>
    <cellStyle name="Enter Currency (2)" xfId="430"/>
    <cellStyle name="Enter Units (0)" xfId="431"/>
    <cellStyle name="Enter Units (1)" xfId="432"/>
    <cellStyle name="Enter Units (2)" xfId="433"/>
    <cellStyle name="Entered" xfId="434"/>
    <cellStyle name="Entered 2" xfId="435"/>
    <cellStyle name="entry" xfId="436"/>
    <cellStyle name="entry 2" xfId="437"/>
    <cellStyle name="entry 2 2" xfId="438"/>
    <cellStyle name="entry box" xfId="439"/>
    <cellStyle name="entry box 2" xfId="440"/>
    <cellStyle name="entry box 2 2" xfId="441"/>
    <cellStyle name="Euro" xfId="442"/>
    <cellStyle name="Explanatory Text" xfId="443"/>
    <cellStyle name="F2" xfId="444"/>
    <cellStyle name="F3" xfId="445"/>
    <cellStyle name="F4" xfId="446"/>
    <cellStyle name="F5" xfId="447"/>
    <cellStyle name="F6" xfId="448"/>
    <cellStyle name="F7" xfId="449"/>
    <cellStyle name="F8" xfId="450"/>
    <cellStyle name="Fixed" xfId="451"/>
    <cellStyle name="Followed Hyperlink_AheadBehind.xls Chart 23" xfId="452"/>
    <cellStyle name="Good" xfId="453"/>
    <cellStyle name="Grey" xfId="454"/>
    <cellStyle name="HEADER" xfId="455"/>
    <cellStyle name="HEADER 2" xfId="456"/>
    <cellStyle name="Header1" xfId="457"/>
    <cellStyle name="Header1 2" xfId="458"/>
    <cellStyle name="Header1 2 2" xfId="459"/>
    <cellStyle name="Header1 2 3" xfId="460"/>
    <cellStyle name="Header1 3" xfId="461"/>
    <cellStyle name="Header2" xfId="462"/>
    <cellStyle name="Header2 2" xfId="463"/>
    <cellStyle name="Header2 2 2" xfId="464"/>
    <cellStyle name="Heading" xfId="465"/>
    <cellStyle name="Heading 1" xfId="466"/>
    <cellStyle name="Heading 2" xfId="467"/>
    <cellStyle name="Heading 3" xfId="468"/>
    <cellStyle name="Heading 4" xfId="469"/>
    <cellStyle name="Heading1" xfId="470"/>
    <cellStyle name="Heading2" xfId="471"/>
    <cellStyle name="Hyperlink_AheadBehind.xls Chart 23" xfId="472"/>
    <cellStyle name="Input" xfId="473"/>
    <cellStyle name="Input [yellow]" xfId="474"/>
    <cellStyle name="Input Cells" xfId="475"/>
    <cellStyle name="Input Cells 2" xfId="476"/>
    <cellStyle name="left" xfId="477"/>
    <cellStyle name="left 2" xfId="478"/>
    <cellStyle name="left 2 2" xfId="479"/>
    <cellStyle name="Link Currency (0)" xfId="480"/>
    <cellStyle name="Link Currency (2)" xfId="481"/>
    <cellStyle name="Link Units (0)" xfId="482"/>
    <cellStyle name="Link Units (1)" xfId="483"/>
    <cellStyle name="Link Units (2)" xfId="484"/>
    <cellStyle name="Linked Cell" xfId="485"/>
    <cellStyle name="Linked Cells" xfId="486"/>
    <cellStyle name="Linked Cells 2" xfId="487"/>
    <cellStyle name="Millares [0]_laroux" xfId="488"/>
    <cellStyle name="Millares_laroux" xfId="489"/>
    <cellStyle name="Milliers [0]_!!!GO" xfId="490"/>
    <cellStyle name="Milliers_!!!GO" xfId="491"/>
    <cellStyle name="Model" xfId="492"/>
    <cellStyle name="Model 2" xfId="493"/>
    <cellStyle name="Moneda [0]_laroux" xfId="494"/>
    <cellStyle name="Moneda_laroux" xfId="495"/>
    <cellStyle name="Monétaire [0]_!!!GO" xfId="496"/>
    <cellStyle name="Monétaire_!!!GO" xfId="497"/>
    <cellStyle name="Mon閠aire [0]_laroux" xfId="498"/>
    <cellStyle name="Mon閠aire_laroux" xfId="499"/>
    <cellStyle name="Neutral" xfId="500"/>
    <cellStyle name="New Times Roman" xfId="501"/>
    <cellStyle name="New Times Roman 2" xfId="502"/>
    <cellStyle name="no dec" xfId="503"/>
    <cellStyle name="Non défini" xfId="504"/>
    <cellStyle name="Non défini 2" xfId="505"/>
    <cellStyle name="Normal - Style1" xfId="506"/>
    <cellStyle name="Normal 2" xfId="507"/>
    <cellStyle name="Normal 2 2" xfId="508"/>
    <cellStyle name="Normal 2 2 2" xfId="509"/>
    <cellStyle name="Normal 2 3" xfId="510"/>
    <cellStyle name="Normal 21" xfId="511"/>
    <cellStyle name="Normal 21 2" xfId="512"/>
    <cellStyle name="Normal 3 2" xfId="513"/>
    <cellStyle name="Normal 3 2 2" xfId="514"/>
    <cellStyle name="Normal_ rislugp" xfId="515"/>
    <cellStyle name="Normalny_Arkusz1" xfId="516"/>
    <cellStyle name="Note" xfId="517"/>
    <cellStyle name="Œ…‹æØ‚è [0.00]_Region Orders (2)" xfId="518"/>
    <cellStyle name="Œ…‹æØ‚è_Region Orders (2)" xfId="519"/>
    <cellStyle name="Output" xfId="520"/>
    <cellStyle name="per.style" xfId="521"/>
    <cellStyle name="Percent (0)" xfId="522"/>
    <cellStyle name="Percent [0]" xfId="523"/>
    <cellStyle name="Percent [00]" xfId="524"/>
    <cellStyle name="Percent [2]" xfId="525"/>
    <cellStyle name="Percent_!!!GO" xfId="526"/>
    <cellStyle name="Pourcentage_pldt" xfId="527"/>
    <cellStyle name="Prefilled" xfId="528"/>
    <cellStyle name="Prefilled 2" xfId="529"/>
    <cellStyle name="Prefilled 2 2" xfId="530"/>
    <cellStyle name="PrePop Currency (0)" xfId="531"/>
    <cellStyle name="PrePop Currency (2)" xfId="532"/>
    <cellStyle name="PrePop Units (0)" xfId="533"/>
    <cellStyle name="PrePop Units (1)" xfId="534"/>
    <cellStyle name="PrePop Units (2)" xfId="535"/>
    <cellStyle name="price" xfId="536"/>
    <cellStyle name="pricing" xfId="537"/>
    <cellStyle name="pricing 2" xfId="538"/>
    <cellStyle name="PSChar" xfId="539"/>
    <cellStyle name="PSChar 2" xfId="540"/>
    <cellStyle name="PSHeading" xfId="541"/>
    <cellStyle name="PSHeading 2" xfId="542"/>
    <cellStyle name="Red" xfId="543"/>
    <cellStyle name="revised" xfId="544"/>
    <cellStyle name="RevList" xfId="545"/>
    <cellStyle name="RevList 2" xfId="546"/>
    <cellStyle name="row_def_array" xfId="547"/>
    <cellStyle name="S4" xfId="548"/>
    <cellStyle name="S4 2" xfId="549"/>
    <cellStyle name="S5" xfId="550"/>
    <cellStyle name="S5 2" xfId="551"/>
    <cellStyle name="SAPBEXaggData" xfId="552"/>
    <cellStyle name="SAPBEXaggDataEmph" xfId="553"/>
    <cellStyle name="SAPBEXaggItem" xfId="554"/>
    <cellStyle name="SAPBEXaggItemX" xfId="555"/>
    <cellStyle name="SAPBEXaggItemX 2" xfId="556"/>
    <cellStyle name="SAPBEXchaText" xfId="557"/>
    <cellStyle name="SAPBEXexcBad7" xfId="558"/>
    <cellStyle name="SAPBEXexcBad8" xfId="559"/>
    <cellStyle name="SAPBEXexcBad9" xfId="560"/>
    <cellStyle name="SAPBEXexcCritical4" xfId="561"/>
    <cellStyle name="SAPBEXexcCritical5" xfId="562"/>
    <cellStyle name="SAPBEXexcCritical6" xfId="563"/>
    <cellStyle name="SAPBEXexcGood1" xfId="564"/>
    <cellStyle name="SAPBEXexcGood2" xfId="565"/>
    <cellStyle name="SAPBEXexcGood3" xfId="566"/>
    <cellStyle name="SAPBEXfilterDrill" xfId="567"/>
    <cellStyle name="SAPBEXfilterItem" xfId="568"/>
    <cellStyle name="SAPBEXfilterText" xfId="569"/>
    <cellStyle name="SAPBEXformats" xfId="570"/>
    <cellStyle name="SAPBEXheaderItem" xfId="571"/>
    <cellStyle name="SAPBEXheaderText" xfId="572"/>
    <cellStyle name="SAPBEXHLevel0" xfId="573"/>
    <cellStyle name="SAPBEXHLevel0 2" xfId="574"/>
    <cellStyle name="SAPBEXHLevel0X" xfId="575"/>
    <cellStyle name="SAPBEXHLevel0X 2" xfId="576"/>
    <cellStyle name="SAPBEXHLevel1" xfId="577"/>
    <cellStyle name="SAPBEXHLevel1 2" xfId="578"/>
    <cellStyle name="SAPBEXHLevel1X" xfId="579"/>
    <cellStyle name="SAPBEXHLevel1X 2" xfId="580"/>
    <cellStyle name="SAPBEXHLevel2" xfId="581"/>
    <cellStyle name="SAPBEXHLevel2 2" xfId="582"/>
    <cellStyle name="SAPBEXHLevel2X" xfId="583"/>
    <cellStyle name="SAPBEXHLevel2X 2" xfId="584"/>
    <cellStyle name="SAPBEXHLevel3" xfId="585"/>
    <cellStyle name="SAPBEXHLevel3 2" xfId="586"/>
    <cellStyle name="SAPBEXHLevel3X" xfId="587"/>
    <cellStyle name="SAPBEXHLevel3X 2" xfId="588"/>
    <cellStyle name="SAPBEXresData" xfId="589"/>
    <cellStyle name="SAPBEXresDataEmph" xfId="590"/>
    <cellStyle name="SAPBEXresItem" xfId="591"/>
    <cellStyle name="SAPBEXresItemX" xfId="592"/>
    <cellStyle name="SAPBEXresItemX 2" xfId="593"/>
    <cellStyle name="SAPBEXstdData" xfId="594"/>
    <cellStyle name="SAPBEXstdDataEmph" xfId="595"/>
    <cellStyle name="SAPBEXstdItem" xfId="596"/>
    <cellStyle name="SAPBEXstdItemX" xfId="597"/>
    <cellStyle name="SAPBEXstdItemX 2" xfId="598"/>
    <cellStyle name="SAPBEXtitle" xfId="599"/>
    <cellStyle name="SAPBEXundefined" xfId="600"/>
    <cellStyle name="section" xfId="601"/>
    <cellStyle name="section 2" xfId="602"/>
    <cellStyle name="section 2 2" xfId="603"/>
    <cellStyle name="SOR" xfId="604"/>
    <cellStyle name="SOR 2" xfId="605"/>
    <cellStyle name="SOR 3" xfId="606"/>
    <cellStyle name="Standard_AREAS" xfId="607"/>
    <cellStyle name="style" xfId="608"/>
    <cellStyle name="style 2" xfId="609"/>
    <cellStyle name="style 2 2" xfId="610"/>
    <cellStyle name="style1" xfId="611"/>
    <cellStyle name="style1 2" xfId="612"/>
    <cellStyle name="style1 2 2" xfId="613"/>
    <cellStyle name="style2" xfId="614"/>
    <cellStyle name="style2 2" xfId="615"/>
    <cellStyle name="style2 2 2" xfId="616"/>
    <cellStyle name="subhead" xfId="617"/>
    <cellStyle name="subhead 2" xfId="618"/>
    <cellStyle name="Subtotal" xfId="619"/>
    <cellStyle name="Text Indent A" xfId="620"/>
    <cellStyle name="Text Indent B" xfId="621"/>
    <cellStyle name="Text Indent C" xfId="622"/>
    <cellStyle name="Tickmark" xfId="623"/>
    <cellStyle name="Tickmark 2" xfId="624"/>
    <cellStyle name="Tickmark 2 2" xfId="625"/>
    <cellStyle name="title" xfId="626"/>
    <cellStyle name="title 2" xfId="627"/>
    <cellStyle name="title 2 2" xfId="628"/>
    <cellStyle name="Total" xfId="629"/>
    <cellStyle name="Tusental (0)_pldt" xfId="630"/>
    <cellStyle name="Tusental_pldt" xfId="631"/>
    <cellStyle name="Valuta (0)_pldt" xfId="632"/>
    <cellStyle name="Valuta_pldt" xfId="633"/>
    <cellStyle name="Warning Text" xfId="634"/>
    <cellStyle name="wrap" xfId="635"/>
    <cellStyle name="wrap 2" xfId="636"/>
    <cellStyle name="wrap 2 2" xfId="637"/>
    <cellStyle name="パーセント_laroux" xfId="638"/>
    <cellStyle name="_PLDT" xfId="639"/>
    <cellStyle name="_laroux" xfId="640"/>
    <cellStyle name="だ[0]_PLDT" xfId="641"/>
    <cellStyle name="だ_PLDT" xfId="642"/>
    <cellStyle name="だ[0]_Total (2)" xfId="643"/>
    <cellStyle name="だ_laroux" xfId="644"/>
    <cellStyle name="百分比" xfId="2" builtinId="5"/>
    <cellStyle name="百分比 2" xfId="645"/>
    <cellStyle name="百分比 2 2" xfId="646"/>
    <cellStyle name="百分比 3" xfId="647"/>
    <cellStyle name="百分比 4" xfId="648"/>
    <cellStyle name="捠壿 [0.00]_PRODUCT DETAIL Q1" xfId="649"/>
    <cellStyle name="捠壿_PRODUCT DETAIL Q1" xfId="650"/>
    <cellStyle name="標準_１１月価格表" xfId="651"/>
    <cellStyle name="表标题" xfId="652"/>
    <cellStyle name="表标题 2" xfId="653"/>
    <cellStyle name="差_10存货" xfId="654"/>
    <cellStyle name="差_10存货 2" xfId="655"/>
    <cellStyle name="差_19-无形资产（空白模板）" xfId="656"/>
    <cellStyle name="差_19-无形资产（空白模板） 2" xfId="657"/>
    <cellStyle name="差_2-交易性金融资产（空白模板）" xfId="658"/>
    <cellStyle name="差_2-交易性金融资产（空白模板） 2" xfId="659"/>
    <cellStyle name="差_2应收账款" xfId="660"/>
    <cellStyle name="差_2应收账款 2" xfId="661"/>
    <cellStyle name="差_3-2 进一步审计程序-采购与付款循环" xfId="662"/>
    <cellStyle name="差_3-2 进一步审计程序-采购与付款循环 2" xfId="663"/>
    <cellStyle name="差_3-3 进一步审计程序-存货与生产循环" xfId="664"/>
    <cellStyle name="差_3-3 进一步审计程序-存货与生产循环 2" xfId="665"/>
    <cellStyle name="差_37-长期借款（空白模板）" xfId="666"/>
    <cellStyle name="差_37-长期借款（空白模板） 2" xfId="667"/>
    <cellStyle name="差_49-营业收入（空白模板）" xfId="668"/>
    <cellStyle name="差_49-营业收入（空白模板） 2" xfId="669"/>
    <cellStyle name="差_4-应收账款（空白模板）" xfId="670"/>
    <cellStyle name="差_4-应收账款（空白模板） 2" xfId="671"/>
    <cellStyle name="差_50-营业成本（空白模板）" xfId="672"/>
    <cellStyle name="差_50-营业成本（空白模板） 2" xfId="673"/>
    <cellStyle name="差_51-营业税金及附加（空白模板）" xfId="674"/>
    <cellStyle name="差_51-营业税金及附加（空白模板） 2" xfId="675"/>
    <cellStyle name="差_54-财务费用（空白模板）" xfId="676"/>
    <cellStyle name="差_54-财务费用（空白模板） 2" xfId="677"/>
    <cellStyle name="差_55-资产减值损失（空白模板）" xfId="678"/>
    <cellStyle name="差_55-资产减值损失（空白模板） 2" xfId="679"/>
    <cellStyle name="差_9管理费用" xfId="680"/>
    <cellStyle name="差_9管理费用 2" xfId="681"/>
    <cellStyle name="差_Book2" xfId="682"/>
    <cellStyle name="差_Book2 2" xfId="683"/>
    <cellStyle name="差_dxn底稿目录" xfId="684"/>
    <cellStyle name="差_dxn底稿目录 2" xfId="685"/>
    <cellStyle name="差_Sheet1" xfId="686"/>
    <cellStyle name="差_Sheet1 2" xfId="687"/>
    <cellStyle name="差_StartUp" xfId="688"/>
    <cellStyle name="差_StartUp 2" xfId="689"/>
    <cellStyle name="差_T1000-主营业务收入-LJCH" xfId="690"/>
    <cellStyle name="差_T1000-主营业务收入-LJCH 2" xfId="691"/>
    <cellStyle name="差_Z14-长期应收款（函证汇总表样本）" xfId="692"/>
    <cellStyle name="差_Z14-长期应收款（函证汇总表样本） 2" xfId="693"/>
    <cellStyle name="差_ZA0货币资金审定表 " xfId="694"/>
    <cellStyle name="差_ZA0货币资金审定表  2" xfId="695"/>
    <cellStyle name="差_财务费用" xfId="696"/>
    <cellStyle name="差_财务费用 2" xfId="697"/>
    <cellStyle name="差_程序表模版" xfId="698"/>
    <cellStyle name="差_程序表模版 2" xfId="699"/>
    <cellStyle name="差_存货" xfId="700"/>
    <cellStyle name="差_存货 2" xfId="701"/>
    <cellStyle name="差_大信底稿目录" xfId="702"/>
    <cellStyle name="差_大信底稿目录 2" xfId="703"/>
    <cellStyle name="差_底稿设置宏" xfId="704"/>
    <cellStyle name="差_底稿设置宏 2" xfId="705"/>
    <cellStyle name="差_管理费用" xfId="706"/>
    <cellStyle name="差_管理费用 2" xfId="707"/>
    <cellStyle name="差_货币资金" xfId="708"/>
    <cellStyle name="差_货币资金 2" xfId="709"/>
    <cellStyle name="差_货币资金 天职" xfId="710"/>
    <cellStyle name="差_货币资金 天职 2" xfId="711"/>
    <cellStyle name="差_货币资金 岳华" xfId="712"/>
    <cellStyle name="差_货币资金 岳华 2" xfId="713"/>
    <cellStyle name="差_其他应付款" xfId="714"/>
    <cellStyle name="差_其他应付款 2" xfId="715"/>
    <cellStyle name="差_其他应付款—YH" xfId="716"/>
    <cellStyle name="差_其他应付款—YH 2" xfId="717"/>
    <cellStyle name="差_未分配利润" xfId="718"/>
    <cellStyle name="差_未分配利润 2" xfId="719"/>
    <cellStyle name="差_无形资产" xfId="720"/>
    <cellStyle name="差_无形资产 2" xfId="721"/>
    <cellStyle name="差_应付账款" xfId="722"/>
    <cellStyle name="差_应付账款 2" xfId="723"/>
    <cellStyle name="差_应付职工薪酬" xfId="724"/>
    <cellStyle name="差_应付职工薪酬 2" xfId="725"/>
    <cellStyle name="差_应收账款" xfId="726"/>
    <cellStyle name="差_应收账款 2" xfId="727"/>
    <cellStyle name="差_盈余公积" xfId="728"/>
    <cellStyle name="差_盈余公积 2" xfId="729"/>
    <cellStyle name="差_长期应付款" xfId="730"/>
    <cellStyle name="差_长期应付款 2" xfId="731"/>
    <cellStyle name="差_账项明细表" xfId="732"/>
    <cellStyle name="差_账项明细表 2" xfId="733"/>
    <cellStyle name="差_资本公积" xfId="734"/>
    <cellStyle name="差_资本公积 2" xfId="735"/>
    <cellStyle name="差_资产负债标准底稿" xfId="736"/>
    <cellStyle name="差_资产负债标准底稿 2" xfId="737"/>
    <cellStyle name="差_资产负债类底稿模版" xfId="738"/>
    <cellStyle name="差_资产负债类底稿模版 2" xfId="739"/>
    <cellStyle name="差_子公司附注汇总(房开公司)" xfId="740"/>
    <cellStyle name="差_子公司附注汇总(房开公司) 2" xfId="741"/>
    <cellStyle name="常规" xfId="0" builtinId="0"/>
    <cellStyle name="常规 10" xfId="742"/>
    <cellStyle name="常规 10 2" xfId="743"/>
    <cellStyle name="常规 10 3" xfId="744"/>
    <cellStyle name="常规 11" xfId="745"/>
    <cellStyle name="常规 11 2" xfId="746"/>
    <cellStyle name="常规 12" xfId="747"/>
    <cellStyle name="常规 2" xfId="748"/>
    <cellStyle name="常规 2 12 4" xfId="749"/>
    <cellStyle name="常规 2 2" xfId="750"/>
    <cellStyle name="常规 2 2 2" xfId="751"/>
    <cellStyle name="常规 2 2 2 2" xfId="752"/>
    <cellStyle name="常规 2 2 3" xfId="753"/>
    <cellStyle name="常规 2 2 3 2" xfId="754"/>
    <cellStyle name="常规 2 2 4" xfId="755"/>
    <cellStyle name="常规 2 2 4 2" xfId="756"/>
    <cellStyle name="常规 2 2 5" xfId="757"/>
    <cellStyle name="常规 2 3" xfId="758"/>
    <cellStyle name="常规 2 3 2" xfId="759"/>
    <cellStyle name="常规 2 3 2 2" xfId="760"/>
    <cellStyle name="常规 2 3 3" xfId="761"/>
    <cellStyle name="常规 2 4" xfId="762"/>
    <cellStyle name="常规 2 4 2" xfId="763"/>
    <cellStyle name="常规 2 4 3" xfId="764"/>
    <cellStyle name="常规 2 5" xfId="765"/>
    <cellStyle name="常规 2 5 2" xfId="766"/>
    <cellStyle name="常规 2 6" xfId="767"/>
    <cellStyle name="常规 2 8" xfId="768"/>
    <cellStyle name="常规 2 8 2" xfId="769"/>
    <cellStyle name="常规 2_10存货" xfId="770"/>
    <cellStyle name="常规 3" xfId="771"/>
    <cellStyle name="常规 3 2" xfId="772"/>
    <cellStyle name="常规 3 2 2" xfId="773"/>
    <cellStyle name="常规 3 2 2 2" xfId="774"/>
    <cellStyle name="常规 3 2 3" xfId="775"/>
    <cellStyle name="常规 3 2 4" xfId="776"/>
    <cellStyle name="常规 3 3" xfId="777"/>
    <cellStyle name="常规 3 3 2" xfId="778"/>
    <cellStyle name="常规 3 4" xfId="779"/>
    <cellStyle name="常规 3 4 2" xfId="780"/>
    <cellStyle name="常规 3 5" xfId="781"/>
    <cellStyle name="常规 3_10存货" xfId="782"/>
    <cellStyle name="常规 4" xfId="783"/>
    <cellStyle name="常规 4 2" xfId="784"/>
    <cellStyle name="常规 4 3" xfId="785"/>
    <cellStyle name="常规 4 3 2" xfId="786"/>
    <cellStyle name="常规 5" xfId="787"/>
    <cellStyle name="常规 5 2" xfId="788"/>
    <cellStyle name="常规 5 2 2" xfId="789"/>
    <cellStyle name="常规 5 3" xfId="790"/>
    <cellStyle name="常规 5 3 2" xfId="791"/>
    <cellStyle name="常规 5 4" xfId="792"/>
    <cellStyle name="常规 6" xfId="793"/>
    <cellStyle name="常规 6 2" xfId="794"/>
    <cellStyle name="常规 6 2 2" xfId="795"/>
    <cellStyle name="常规 6 2 2 2" xfId="796"/>
    <cellStyle name="常规 6 2 3" xfId="797"/>
    <cellStyle name="常规 6 2 3 2" xfId="798"/>
    <cellStyle name="常规 6 2 3 3" xfId="799"/>
    <cellStyle name="常规 6 2 4" xfId="800"/>
    <cellStyle name="常规 6 2 5" xfId="801"/>
    <cellStyle name="常规 6 3" xfId="802"/>
    <cellStyle name="常规 6 3 2" xfId="803"/>
    <cellStyle name="常规 6 3 2 2" xfId="804"/>
    <cellStyle name="常规 6 3 2 2 2" xfId="805"/>
    <cellStyle name="常规 6 3 2 2 3" xfId="806"/>
    <cellStyle name="常规 6 3 2 3" xfId="807"/>
    <cellStyle name="常规 6 3 2 4" xfId="808"/>
    <cellStyle name="常规 6 3 3" xfId="809"/>
    <cellStyle name="常规 6 3 3 2" xfId="810"/>
    <cellStyle name="常规 6 3 3 3" xfId="811"/>
    <cellStyle name="常规 6 3 4" xfId="812"/>
    <cellStyle name="常规 6 3 5" xfId="813"/>
    <cellStyle name="常规 6 4" xfId="814"/>
    <cellStyle name="常规 6 4 2" xfId="815"/>
    <cellStyle name="常规 6 4 2 2" xfId="816"/>
    <cellStyle name="常规 6 4 2 3" xfId="817"/>
    <cellStyle name="常规 6 4 3" xfId="818"/>
    <cellStyle name="常规 6 4 4" xfId="819"/>
    <cellStyle name="常规 6 5" xfId="820"/>
    <cellStyle name="常规 6 5 2" xfId="821"/>
    <cellStyle name="常规 6 6" xfId="822"/>
    <cellStyle name="常规 6 6 2" xfId="823"/>
    <cellStyle name="常规 6 6 3" xfId="824"/>
    <cellStyle name="常规 6 7" xfId="825"/>
    <cellStyle name="常规 6 8" xfId="826"/>
    <cellStyle name="常规 7" xfId="827"/>
    <cellStyle name="常规 7 2" xfId="828"/>
    <cellStyle name="常规 7 2 2" xfId="829"/>
    <cellStyle name="常规 7 2 2 2" xfId="830"/>
    <cellStyle name="常规 7 2 2 3" xfId="831"/>
    <cellStyle name="常规 7 2 3" xfId="832"/>
    <cellStyle name="常规 7 2 4" xfId="833"/>
    <cellStyle name="常规 7 3" xfId="834"/>
    <cellStyle name="常规 7 3 2" xfId="835"/>
    <cellStyle name="常规 7 3 3" xfId="836"/>
    <cellStyle name="常规 7 4" xfId="837"/>
    <cellStyle name="常规 7 5" xfId="838"/>
    <cellStyle name="常规 8" xfId="839"/>
    <cellStyle name="常规 8 2" xfId="840"/>
    <cellStyle name="常规 9" xfId="841"/>
    <cellStyle name="常规 9 2" xfId="842"/>
    <cellStyle name="常规 9 3" xfId="843"/>
    <cellStyle name="常规_2-1项目审定表－模板" xfId="844"/>
    <cellStyle name="常规_2-1项目审定表－模板 2" xfId="845"/>
    <cellStyle name="常规_Book1" xfId="846"/>
    <cellStyle name="常规_c-资产类" xfId="847"/>
    <cellStyle name="常规_货币资金C" xfId="848"/>
    <cellStyle name="常规_进一步审计程序--销售与收款循环" xfId="849"/>
    <cellStyle name="常规_进一步审计程序--销售与收款循环 2" xfId="850"/>
    <cellStyle name="常规_进一步审计程序--销售与收款循环 3" xfId="851"/>
    <cellStyle name="常规_控制测试底稿" xfId="852"/>
    <cellStyle name="常规_新审定表" xfId="853"/>
    <cellStyle name="常规_新审定表 2" xfId="854"/>
    <cellStyle name="超级链接_A4应收账款" xfId="855"/>
    <cellStyle name="超链接" xfId="3" builtinId="8"/>
    <cellStyle name="超链接 2" xfId="856"/>
    <cellStyle name="超链接 2 2" xfId="857"/>
    <cellStyle name="超链接 2 3" xfId="858"/>
    <cellStyle name="超链接 2 3 2" xfId="859"/>
    <cellStyle name="超链接 3" xfId="860"/>
    <cellStyle name="超链接 3 2" xfId="861"/>
    <cellStyle name="超链接 4" xfId="862"/>
    <cellStyle name="超链接 4 2" xfId="863"/>
    <cellStyle name="超链接 5" xfId="864"/>
    <cellStyle name="分级显示行_1_4附件二凯旋评估表" xfId="865"/>
    <cellStyle name="好_10存货" xfId="866"/>
    <cellStyle name="好_10存货 2" xfId="867"/>
    <cellStyle name="好_19-无形资产（空白模板）" xfId="868"/>
    <cellStyle name="好_19-无形资产（空白模板） 2" xfId="869"/>
    <cellStyle name="好_1财务费用" xfId="870"/>
    <cellStyle name="好_1财务费用 2" xfId="871"/>
    <cellStyle name="好_1营业收入" xfId="872"/>
    <cellStyle name="好_1营业收入 2" xfId="873"/>
    <cellStyle name="好_1资产减值损失" xfId="874"/>
    <cellStyle name="好_1资产减值损失 2" xfId="875"/>
    <cellStyle name="好_2-交易性金融资产（空白模板）" xfId="876"/>
    <cellStyle name="好_2-交易性金融资产（空白模板） 2" xfId="877"/>
    <cellStyle name="好_2应收账款" xfId="878"/>
    <cellStyle name="好_2应收账款 2" xfId="879"/>
    <cellStyle name="好_3-2 进一步审计程序-采购与付款循环" xfId="880"/>
    <cellStyle name="好_3-2 进一步审计程序-采购与付款循环 2" xfId="881"/>
    <cellStyle name="好_3-3 进一步审计程序-存货与生产循环" xfId="882"/>
    <cellStyle name="好_3-3 进一步审计程序-存货与生产循环 2" xfId="883"/>
    <cellStyle name="好_37-长期借款（空白模板）" xfId="884"/>
    <cellStyle name="好_37-长期借款（空白模板） 2" xfId="885"/>
    <cellStyle name="好_49-营业收入（空白模板）" xfId="886"/>
    <cellStyle name="好_49-营业收入（空白模板） 2" xfId="887"/>
    <cellStyle name="好_4-应收账款（空白模板）" xfId="888"/>
    <cellStyle name="好_4-应收账款（空白模板） 2" xfId="889"/>
    <cellStyle name="好_50-营业成本（空白模板）" xfId="890"/>
    <cellStyle name="好_50-营业成本（空白模板） 2" xfId="891"/>
    <cellStyle name="好_51-营业税金及附加（空白模板）" xfId="892"/>
    <cellStyle name="好_51-营业税金及附加（空白模板） 2" xfId="893"/>
    <cellStyle name="好_54-财务费用（空白模板）" xfId="894"/>
    <cellStyle name="好_54-财务费用（空白模板） 2" xfId="895"/>
    <cellStyle name="好_55-资产减值损失（空白模板）" xfId="896"/>
    <cellStyle name="好_55-资产减值损失（空白模板） 2" xfId="897"/>
    <cellStyle name="好_9管理费用" xfId="898"/>
    <cellStyle name="好_9管理费用 2" xfId="899"/>
    <cellStyle name="好_Book2" xfId="900"/>
    <cellStyle name="好_Book2 2" xfId="901"/>
    <cellStyle name="好_Sheet1" xfId="902"/>
    <cellStyle name="好_Sheet1 2" xfId="903"/>
    <cellStyle name="好_StartUp" xfId="904"/>
    <cellStyle name="好_StartUp 2" xfId="905"/>
    <cellStyle name="好_T1000-主营业务收入" xfId="906"/>
    <cellStyle name="好_T1000-主营业务收入 2" xfId="907"/>
    <cellStyle name="好_Z14-长期应收款（函证汇总表样本）" xfId="908"/>
    <cellStyle name="好_Z14-长期应收款（函证汇总表样本） 2" xfId="909"/>
    <cellStyle name="好_ZA0货币资金审定表 " xfId="910"/>
    <cellStyle name="好_ZA0货币资金审定表  2" xfId="911"/>
    <cellStyle name="好_财务费用" xfId="912"/>
    <cellStyle name="好_财务费用 2" xfId="913"/>
    <cellStyle name="好_程序表模版" xfId="914"/>
    <cellStyle name="好_程序表模版 2" xfId="915"/>
    <cellStyle name="好_存货" xfId="916"/>
    <cellStyle name="好_存货 - 复制" xfId="917"/>
    <cellStyle name="好_存货 - 复制 2" xfId="918"/>
    <cellStyle name="好_存货 2" xfId="919"/>
    <cellStyle name="好_存货 3" xfId="920"/>
    <cellStyle name="好_存货 4" xfId="921"/>
    <cellStyle name="好_大信底稿目录" xfId="922"/>
    <cellStyle name="好_大信底稿目录 2" xfId="923"/>
    <cellStyle name="好_底稿设置宏" xfId="924"/>
    <cellStyle name="好_底稿设置宏 2" xfId="925"/>
    <cellStyle name="好_底稿设置宏_大信底稿目录" xfId="926"/>
    <cellStyle name="好_底稿设置宏_大信底稿目录 2" xfId="927"/>
    <cellStyle name="好_管理费用" xfId="928"/>
    <cellStyle name="好_管理费用 2" xfId="929"/>
    <cellStyle name="好_货币资金" xfId="930"/>
    <cellStyle name="好_货币资金 2" xfId="931"/>
    <cellStyle name="好_货币资金 天职" xfId="932"/>
    <cellStyle name="好_货币资金 天职 2" xfId="933"/>
    <cellStyle name="好_货币资金 岳华" xfId="934"/>
    <cellStyle name="好_货币资金 岳华 2" xfId="935"/>
    <cellStyle name="好_其他应付款" xfId="936"/>
    <cellStyle name="好_其他应付款 2" xfId="937"/>
    <cellStyle name="好_其他应付款—YH" xfId="938"/>
    <cellStyle name="好_其他应付款—YH 2" xfId="939"/>
    <cellStyle name="好_其他应收款" xfId="940"/>
    <cellStyle name="好_其他应收款 2" xfId="941"/>
    <cellStyle name="好_实收资本(股本)" xfId="942"/>
    <cellStyle name="好_实收资本(股本) 2" xfId="943"/>
    <cellStyle name="好_未分配利润" xfId="944"/>
    <cellStyle name="好_未分配利润 2" xfId="945"/>
    <cellStyle name="好_无形资产" xfId="946"/>
    <cellStyle name="好_无形资产 2" xfId="947"/>
    <cellStyle name="好_银行函证结果汇总表" xfId="948"/>
    <cellStyle name="好_银行函证结果汇总表 2" xfId="949"/>
    <cellStyle name="好_应付债券" xfId="950"/>
    <cellStyle name="好_应付债券 2" xfId="951"/>
    <cellStyle name="好_应付账款" xfId="952"/>
    <cellStyle name="好_应付账款 2" xfId="953"/>
    <cellStyle name="好_应付职工薪酬" xfId="954"/>
    <cellStyle name="好_应付职工薪酬 2" xfId="955"/>
    <cellStyle name="好_应收利息" xfId="956"/>
    <cellStyle name="好_应收利息 2" xfId="957"/>
    <cellStyle name="好_应收账款" xfId="958"/>
    <cellStyle name="好_应收账款 2" xfId="959"/>
    <cellStyle name="好_盈余公积" xfId="960"/>
    <cellStyle name="好_盈余公积 2" xfId="961"/>
    <cellStyle name="好_营业收入" xfId="962"/>
    <cellStyle name="好_营业收入 2" xfId="963"/>
    <cellStyle name="好_预收款项" xfId="964"/>
    <cellStyle name="好_预收款项 2" xfId="965"/>
    <cellStyle name="好_长期借款—TZ" xfId="966"/>
    <cellStyle name="好_长期借款—TZ 2" xfId="967"/>
    <cellStyle name="好_长期应付款" xfId="968"/>
    <cellStyle name="好_长期应付款 2" xfId="969"/>
    <cellStyle name="好_账项明细表" xfId="970"/>
    <cellStyle name="好_账项明细表 2" xfId="971"/>
    <cellStyle name="好_资本公积" xfId="972"/>
    <cellStyle name="好_资本公积 2" xfId="973"/>
    <cellStyle name="好_资产负债标准底稿" xfId="974"/>
    <cellStyle name="好_资产负债标准底稿 2" xfId="975"/>
    <cellStyle name="好_资产负债标准底稿_大信底稿目录" xfId="976"/>
    <cellStyle name="好_资产负债标准底稿_大信底稿目录 2" xfId="977"/>
    <cellStyle name="好_资产负债类底稿模版" xfId="978"/>
    <cellStyle name="好_资产负债类底稿模版 2" xfId="979"/>
    <cellStyle name="好_资产负债类底稿模版_大信底稿目录" xfId="980"/>
    <cellStyle name="好_资产负债类底稿模版_大信底稿目录 2" xfId="981"/>
    <cellStyle name="好_资产减值损失" xfId="982"/>
    <cellStyle name="好_资产减值损失 2" xfId="983"/>
    <cellStyle name="好_子公司附注汇总(房开公司)" xfId="984"/>
    <cellStyle name="好_子公司附注汇总(房开公司) 2" xfId="985"/>
    <cellStyle name="桁区切り [0.00]_１１月価格表" xfId="986"/>
    <cellStyle name="桁区切り_１１月価格表" xfId="987"/>
    <cellStyle name="貨幣 [0]_SGV" xfId="988"/>
    <cellStyle name="貨幣_SGV" xfId="989"/>
    <cellStyle name="霓付 [0]_1202" xfId="990"/>
    <cellStyle name="霓付_1202" xfId="991"/>
    <cellStyle name="妞" xfId="992"/>
    <cellStyle name="妞 2" xfId="993"/>
    <cellStyle name="欧" xfId="994"/>
    <cellStyle name="烹拳 [0]_1202" xfId="995"/>
    <cellStyle name="烹拳_1202" xfId="996"/>
    <cellStyle name="砯刽 [0]_PLDT" xfId="997"/>
    <cellStyle name="砯刽_PLDT" xfId="998"/>
    <cellStyle name="普通_ 白土" xfId="999"/>
    <cellStyle name="千分位[0]_ 白土" xfId="1000"/>
    <cellStyle name="千分位_ 白土" xfId="1001"/>
    <cellStyle name="千位[0]_ 应交税金审定表" xfId="1002"/>
    <cellStyle name="千位_ 应交税金审定表" xfId="1003"/>
    <cellStyle name="千位分隔" xfId="1" builtinId="3"/>
    <cellStyle name="千位分隔 2" xfId="1004"/>
    <cellStyle name="千位分隔 2 2" xfId="1005"/>
    <cellStyle name="千位分隔 2 2 2" xfId="1006"/>
    <cellStyle name="千位分隔 2 2 3" xfId="1007"/>
    <cellStyle name="千位分隔 2 3" xfId="1008"/>
    <cellStyle name="千位分隔 2 3 2" xfId="1009"/>
    <cellStyle name="千位分隔 2 3 3" xfId="1010"/>
    <cellStyle name="千位分隔 2 4" xfId="1011"/>
    <cellStyle name="千位分隔 2 5" xfId="1012"/>
    <cellStyle name="千位分隔 3" xfId="1013"/>
    <cellStyle name="千位分隔 3 2" xfId="1014"/>
    <cellStyle name="千位分隔 3 2 2" xfId="1015"/>
    <cellStyle name="千位分隔 3 2 3" xfId="1016"/>
    <cellStyle name="千位分隔 3 3" xfId="1017"/>
    <cellStyle name="千位分隔 3 3 2" xfId="1018"/>
    <cellStyle name="千位分隔 3 3 3" xfId="1019"/>
    <cellStyle name="千位分隔 3 4" xfId="1020"/>
    <cellStyle name="千位分隔 4" xfId="1021"/>
    <cellStyle name="千位分隔 4 2" xfId="1022"/>
    <cellStyle name="千位分隔 4 3" xfId="1023"/>
    <cellStyle name="千位分隔 5" xfId="1024"/>
    <cellStyle name="千位分隔 5 2" xfId="1025"/>
    <cellStyle name="千位分隔 5 3" xfId="1026"/>
    <cellStyle name="千位分隔 6" xfId="1027"/>
    <cellStyle name="千位分隔 6 2" xfId="1028"/>
    <cellStyle name="千位分隔 7" xfId="1029"/>
    <cellStyle name="千位分隔 7 2" xfId="1030"/>
    <cellStyle name="千位分隔 7 3" xfId="1031"/>
    <cellStyle name="千位分隔 8" xfId="1032"/>
    <cellStyle name="千位分隔 9" xfId="1033"/>
    <cellStyle name="千位分隔[0] 2" xfId="1034"/>
    <cellStyle name="千位分隔[0] 2 2" xfId="1035"/>
    <cellStyle name="千位分隔[0] 2 3" xfId="1036"/>
    <cellStyle name="钎霖_(沥焊何巩)岿喊牢盔拌裙" xfId="1037"/>
    <cellStyle name="强调 1" xfId="1038"/>
    <cellStyle name="强调 1 2" xfId="1039"/>
    <cellStyle name="强调 2" xfId="1040"/>
    <cellStyle name="强调 2 2" xfId="1041"/>
    <cellStyle name="强调 3" xfId="1042"/>
    <cellStyle name="强调 3 2" xfId="1043"/>
    <cellStyle name="通貨 [0.00]_１１月価格表" xfId="1044"/>
    <cellStyle name="通貨_１１月価格表" xfId="1045"/>
    <cellStyle name="样式 1" xfId="1046"/>
    <cellStyle name="样式 1 2" xfId="1047"/>
    <cellStyle name="样式 1 2 2" xfId="1048"/>
    <cellStyle name="一般_SGV" xfId="1049"/>
    <cellStyle name="昗弨_BOOKSHIP" xfId="1050"/>
    <cellStyle name="寘嬫愗傝 [0.00]_PRODUCT DETAIL Q1" xfId="1051"/>
    <cellStyle name="寘嬫愗傝_PRODUCT DETAIL Q1" xfId="1052"/>
    <cellStyle name="资产" xfId="1053"/>
    <cellStyle name="콤마 [0]_BOILER-CO1" xfId="1054"/>
    <cellStyle name="콤마_BOILER-CO1" xfId="1055"/>
    <cellStyle name="통화 [0]_BOILER-CO1" xfId="1056"/>
    <cellStyle name="통화_BOILER-CO1" xfId="1057"/>
    <cellStyle name="표준_0N-HANDLING " xfId="1058"/>
  </cellStyles>
  <dxfs count="0"/>
  <tableStyles count="0" defaultTableStyle="TableStyleMedium9" defaultPivotStyle="PivotStyleLight16"/>
  <colors>
    <mruColors>
      <color rgb="FF0000FF"/>
      <color rgb="FFE4DFEC"/>
      <color rgb="FFDCD5E5"/>
      <color rgb="FFFFFF99"/>
      <color rgb="FFCCEDF0"/>
      <color rgb="FFEBF7D6"/>
      <color rgb="FFE92841"/>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5"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5"/>
  <sheetViews>
    <sheetView tabSelected="1" zoomScaleNormal="100" zoomScaleSheetLayoutView="100" workbookViewId="0"/>
  </sheetViews>
  <sheetFormatPr defaultColWidth="9" defaultRowHeight="20.100000000000001" customHeight="1"/>
  <cols>
    <col min="1" max="1" width="74.59765625" style="424" customWidth="1"/>
    <col min="2" max="2" width="2" style="424" customWidth="1"/>
    <col min="3" max="3" width="2.09765625" style="424" customWidth="1"/>
    <col min="4" max="4" width="5.59765625" style="424" customWidth="1"/>
    <col min="5" max="5" width="28.09765625" style="424" customWidth="1"/>
    <col min="6" max="6" width="12.19921875" style="424" customWidth="1"/>
    <col min="7" max="7" width="14.69921875" style="424" customWidth="1"/>
    <col min="8" max="16384" width="9" style="424"/>
  </cols>
  <sheetData>
    <row r="1" spans="1:8" ht="20.100000000000001" customHeight="1">
      <c r="A1" s="425" t="s">
        <v>0</v>
      </c>
    </row>
    <row r="2" spans="1:8" ht="20.100000000000001" customHeight="1">
      <c r="A2" s="426" t="s">
        <v>1</v>
      </c>
      <c r="B2" s="427"/>
      <c r="C2" s="427"/>
      <c r="D2" s="428" t="s">
        <v>2</v>
      </c>
      <c r="E2" s="428" t="s">
        <v>3</v>
      </c>
      <c r="F2" s="428" t="s">
        <v>4</v>
      </c>
      <c r="G2" s="427"/>
      <c r="H2" s="427"/>
    </row>
    <row r="3" spans="1:8" ht="20.100000000000001" customHeight="1">
      <c r="A3" s="435" t="s">
        <v>456</v>
      </c>
      <c r="B3" s="427"/>
      <c r="C3" s="427"/>
      <c r="D3" s="429">
        <v>1</v>
      </c>
      <c r="E3" s="437" t="s">
        <v>461</v>
      </c>
      <c r="F3" s="430" t="s">
        <v>462</v>
      </c>
      <c r="G3" s="427"/>
      <c r="H3" s="427"/>
    </row>
    <row r="4" spans="1:8" ht="20.100000000000001" customHeight="1">
      <c r="A4" s="426" t="s">
        <v>7</v>
      </c>
      <c r="D4" s="429">
        <v>2</v>
      </c>
      <c r="E4" s="437" t="s">
        <v>463</v>
      </c>
      <c r="F4" s="430" t="s">
        <v>464</v>
      </c>
    </row>
    <row r="5" spans="1:8" ht="20.100000000000001" customHeight="1">
      <c r="A5" s="426" t="s">
        <v>9</v>
      </c>
      <c r="D5" s="429">
        <v>3</v>
      </c>
      <c r="E5" s="437" t="s">
        <v>465</v>
      </c>
      <c r="F5" s="430" t="s">
        <v>466</v>
      </c>
    </row>
    <row r="6" spans="1:8" ht="20.100000000000001" customHeight="1">
      <c r="A6" s="426" t="s">
        <v>12</v>
      </c>
      <c r="D6" s="429">
        <v>4</v>
      </c>
      <c r="E6" s="437" t="s">
        <v>467</v>
      </c>
      <c r="F6" s="430" t="s">
        <v>468</v>
      </c>
    </row>
    <row r="7" spans="1:8" ht="20.100000000000001" customHeight="1">
      <c r="A7" s="426" t="s">
        <v>15</v>
      </c>
      <c r="D7" s="429">
        <v>5</v>
      </c>
      <c r="E7" s="437" t="s">
        <v>469</v>
      </c>
      <c r="F7" s="430" t="s">
        <v>470</v>
      </c>
    </row>
    <row r="8" spans="1:8" ht="19.95" customHeight="1">
      <c r="D8" s="429">
        <v>6</v>
      </c>
      <c r="E8" s="437" t="s">
        <v>471</v>
      </c>
      <c r="F8" s="430" t="s">
        <v>472</v>
      </c>
    </row>
    <row r="9" spans="1:8" ht="19.95" customHeight="1">
      <c r="A9" s="436" t="s">
        <v>457</v>
      </c>
      <c r="D9" s="429">
        <v>7</v>
      </c>
      <c r="E9" s="437" t="s">
        <v>473</v>
      </c>
      <c r="F9" s="430" t="s">
        <v>474</v>
      </c>
    </row>
    <row r="10" spans="1:8" ht="19.95" customHeight="1">
      <c r="A10" s="452" t="s">
        <v>458</v>
      </c>
      <c r="D10" s="429">
        <v>10</v>
      </c>
      <c r="E10" s="438" t="s">
        <v>452</v>
      </c>
      <c r="F10" s="430" t="s">
        <v>6</v>
      </c>
    </row>
    <row r="11" spans="1:8" ht="19.95" customHeight="1">
      <c r="A11" s="452"/>
      <c r="D11" s="429">
        <v>11</v>
      </c>
      <c r="E11" s="438" t="s">
        <v>453</v>
      </c>
      <c r="F11" s="430" t="s">
        <v>8</v>
      </c>
    </row>
    <row r="12" spans="1:8" ht="19.95" customHeight="1">
      <c r="A12" s="452"/>
      <c r="D12" s="429">
        <v>12</v>
      </c>
      <c r="E12" s="438" t="s">
        <v>13</v>
      </c>
      <c r="F12" s="430" t="s">
        <v>11</v>
      </c>
    </row>
    <row r="13" spans="1:8" ht="19.95" customHeight="1">
      <c r="A13" s="452"/>
      <c r="D13" s="429">
        <v>13</v>
      </c>
      <c r="E13" s="438" t="s">
        <v>16</v>
      </c>
      <c r="F13" s="430" t="s">
        <v>14</v>
      </c>
    </row>
    <row r="14" spans="1:8" ht="19.95" customHeight="1">
      <c r="A14" s="452" t="s">
        <v>459</v>
      </c>
      <c r="D14" s="429">
        <v>14</v>
      </c>
      <c r="E14" s="438" t="s">
        <v>18</v>
      </c>
      <c r="F14" s="430" t="s">
        <v>17</v>
      </c>
    </row>
    <row r="15" spans="1:8" ht="19.95" customHeight="1">
      <c r="A15" s="452"/>
      <c r="D15" s="429">
        <v>15</v>
      </c>
      <c r="E15" s="438" t="s">
        <v>10</v>
      </c>
      <c r="F15" s="430" t="s">
        <v>19</v>
      </c>
    </row>
    <row r="16" spans="1:8" ht="19.95" customHeight="1">
      <c r="A16" s="452"/>
      <c r="D16" s="429">
        <v>16</v>
      </c>
      <c r="E16" s="438" t="s">
        <v>489</v>
      </c>
      <c r="F16" s="430" t="s">
        <v>20</v>
      </c>
    </row>
    <row r="17" spans="1:6" ht="19.95" customHeight="1">
      <c r="A17" s="453" t="s">
        <v>460</v>
      </c>
      <c r="D17" s="429">
        <v>17</v>
      </c>
      <c r="E17" s="438" t="s">
        <v>21</v>
      </c>
      <c r="F17" s="430" t="s">
        <v>22</v>
      </c>
    </row>
    <row r="18" spans="1:6" ht="19.95" customHeight="1">
      <c r="A18" s="453"/>
    </row>
    <row r="19" spans="1:6" ht="19.95" customHeight="1">
      <c r="A19" s="453"/>
    </row>
    <row r="20" spans="1:6" ht="20.100000000000001" customHeight="1">
      <c r="A20" s="427"/>
    </row>
    <row r="25" spans="1:6" ht="20.100000000000001" customHeight="1">
      <c r="A25" s="431"/>
    </row>
  </sheetData>
  <mergeCells count="3">
    <mergeCell ref="A10:A13"/>
    <mergeCell ref="A14:A16"/>
    <mergeCell ref="A17:A19"/>
  </mergeCells>
  <phoneticPr fontId="145" type="noConversion"/>
  <hyperlinks>
    <hyperlink ref="E16" location="'应收账款质押出售情况检查表D2-12'!A1" display="应收账款质押出售情况检查表"/>
    <hyperlink ref="E10" location="'关联方及交易检查表D2-6'!A1" display="关联方及交易检查表"/>
    <hyperlink ref="E11" location="'应收账款检查表D2-7'!A1" display="应收账款检查表D2-7"/>
    <hyperlink ref="E15" location="'坏账准备转回（收回）、核销检查表D2-11'!A1" display="坏账准备转回、核销检查表"/>
    <hyperlink ref="E12" location="'坏账准备计提会计政策检查D2-8'!A1" display="坏账准备计提会计政策检查"/>
    <hyperlink ref="E14" location="'预期信用损失的计量测试D2-10'!A1" display="预期信用损失的计量测试"/>
    <hyperlink ref="E13" location="'应收坏账准备测算D2-9'!A1" display="坏账准备测算表"/>
    <hyperlink ref="E17" location="'应收账款业务模式分析D2-13'!A1" display="应收账款业务模式分析"/>
  </hyperlinks>
  <pageMargins left="0.70833333333333304" right="0.70833333333333304" top="0.74791666666666701" bottom="0.74791666666666701" header="0.31458333333333299" footer="0.31458333333333299"/>
  <pageSetup paperSize="9" scale="65" orientation="portrait" blackAndWhite="1" r:id="rId1"/>
  <headerFooter>
    <oddFooter>&amp;C&amp;P/&amp;N</oddFooter>
  </headerFooter>
  <colBreaks count="1" manualBreakCount="1">
    <brk id="6" max="16"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134"/>
  <sheetViews>
    <sheetView view="pageBreakPreview" topLeftCell="A67" zoomScale="60" zoomScaleNormal="100" workbookViewId="0">
      <selection activeCell="A15" sqref="A15"/>
    </sheetView>
  </sheetViews>
  <sheetFormatPr defaultColWidth="9" defaultRowHeight="13.8"/>
  <cols>
    <col min="1" max="1" width="26.09765625" style="282" customWidth="1"/>
    <col min="2" max="2" width="14" style="282" customWidth="1"/>
    <col min="3" max="3" width="15" style="282" customWidth="1"/>
    <col min="4" max="4" width="16.5" style="282" customWidth="1"/>
    <col min="5" max="5" width="18.5" style="282" customWidth="1"/>
    <col min="6" max="6" width="13.5" style="282" customWidth="1"/>
    <col min="7" max="16384" width="9" style="282"/>
  </cols>
  <sheetData>
    <row r="1" spans="1:9" s="369" customFormat="1" ht="20.100000000000001" customHeight="1">
      <c r="A1" s="454" t="s">
        <v>23</v>
      </c>
      <c r="B1" s="454"/>
      <c r="C1" s="454"/>
      <c r="D1" s="454"/>
      <c r="E1" s="454"/>
      <c r="F1" s="454"/>
      <c r="G1" s="283"/>
      <c r="H1" s="283"/>
      <c r="I1" s="283"/>
    </row>
    <row r="2" spans="1:9" s="370" customFormat="1" ht="25.2" customHeight="1">
      <c r="A2" s="455" t="s">
        <v>24</v>
      </c>
      <c r="B2" s="455"/>
      <c r="C2" s="455"/>
      <c r="D2" s="455"/>
      <c r="E2" s="455"/>
      <c r="F2" s="455"/>
      <c r="G2" s="371"/>
      <c r="H2" s="371"/>
      <c r="I2" s="371"/>
    </row>
    <row r="3" spans="1:9" s="369" customFormat="1" ht="20.100000000000001" customHeight="1">
      <c r="A3" s="369" t="str">
        <f>底稿目录!A2</f>
        <v>被审计单位名称：</v>
      </c>
      <c r="C3" s="369" t="str">
        <f>底稿目录!A4</f>
        <v>编制人：</v>
      </c>
      <c r="E3" s="369" t="str">
        <f>底稿目录!A5</f>
        <v>编制日期：</v>
      </c>
      <c r="F3" s="369" t="s">
        <v>25</v>
      </c>
    </row>
    <row r="4" spans="1:9" s="369" customFormat="1" ht="20.100000000000001" customHeight="1">
      <c r="A4" s="369" t="str">
        <f>底稿目录!A3</f>
        <v>截止日：202X年12月31日</v>
      </c>
      <c r="B4" s="372"/>
      <c r="C4" s="369" t="str">
        <f>底稿目录!A6</f>
        <v>复核人：</v>
      </c>
      <c r="E4" s="369" t="str">
        <f>底稿目录!A7</f>
        <v>复核日期：</v>
      </c>
      <c r="F4" s="369" t="s">
        <v>26</v>
      </c>
      <c r="I4" s="372"/>
    </row>
    <row r="5" spans="1:9" s="281" customFormat="1" ht="20.100000000000001" customHeight="1">
      <c r="A5" s="281" t="s">
        <v>27</v>
      </c>
    </row>
    <row r="6" spans="1:9" s="281" customFormat="1" ht="20.100000000000001" customHeight="1">
      <c r="A6" s="373" t="s">
        <v>28</v>
      </c>
    </row>
    <row r="7" spans="1:9" s="281" customFormat="1" ht="20.100000000000001" customHeight="1">
      <c r="A7" s="374" t="s">
        <v>29</v>
      </c>
    </row>
    <row r="8" spans="1:9" s="281" customFormat="1" ht="20.100000000000001" customHeight="1">
      <c r="A8" s="458" t="s">
        <v>30</v>
      </c>
      <c r="B8" s="456" t="s">
        <v>31</v>
      </c>
      <c r="C8" s="456"/>
      <c r="D8" s="456"/>
      <c r="E8" s="456"/>
      <c r="F8" s="456"/>
    </row>
    <row r="9" spans="1:9" s="281" customFormat="1" ht="20.100000000000001" customHeight="1">
      <c r="A9" s="459"/>
      <c r="B9" s="289" t="s">
        <v>32</v>
      </c>
      <c r="C9" s="289" t="s">
        <v>33</v>
      </c>
      <c r="D9" s="289" t="s">
        <v>34</v>
      </c>
      <c r="E9" s="289" t="s">
        <v>35</v>
      </c>
      <c r="F9" s="289" t="s">
        <v>36</v>
      </c>
    </row>
    <row r="10" spans="1:9" s="281" customFormat="1" ht="31.2">
      <c r="A10" s="290" t="s">
        <v>37</v>
      </c>
      <c r="B10" s="296" t="e">
        <f>'应收坏账准备测算D2-9'!#REF!</f>
        <v>#REF!</v>
      </c>
      <c r="C10" s="307" t="e">
        <f>B10/$B$17</f>
        <v>#REF!</v>
      </c>
      <c r="D10" s="296" t="e">
        <f>'应收坏账准备测算D2-9'!#REF!</f>
        <v>#REF!</v>
      </c>
      <c r="E10" s="307" t="e">
        <f>IF(B10=0,,D10/B10)</f>
        <v>#REF!</v>
      </c>
      <c r="F10" s="296" t="e">
        <f>B10-D10</f>
        <v>#REF!</v>
      </c>
    </row>
    <row r="11" spans="1:9" s="281" customFormat="1" ht="31.2">
      <c r="A11" s="293" t="s">
        <v>38</v>
      </c>
      <c r="B11" s="296"/>
      <c r="C11" s="307"/>
      <c r="D11" s="296"/>
      <c r="E11" s="307"/>
      <c r="F11" s="296"/>
    </row>
    <row r="12" spans="1:9" s="281" customFormat="1" ht="20.100000000000001" customHeight="1">
      <c r="A12" s="295" t="s">
        <v>39</v>
      </c>
      <c r="B12" s="296" t="e">
        <f>'应收坏账准备测算D2-9'!#REF!</f>
        <v>#REF!</v>
      </c>
      <c r="C12" s="307" t="e">
        <f t="shared" ref="C12:C16" si="0">B12/$B$17</f>
        <v>#REF!</v>
      </c>
      <c r="D12" s="296" t="e">
        <f>'应收坏账准备测算D2-9'!#REF!</f>
        <v>#REF!</v>
      </c>
      <c r="E12" s="307" t="e">
        <f t="shared" ref="E12:E17" si="1">IF(B12=0,,D12/B12)</f>
        <v>#REF!</v>
      </c>
      <c r="F12" s="296" t="e">
        <f t="shared" ref="F12:F15" si="2">B12-D12</f>
        <v>#REF!</v>
      </c>
    </row>
    <row r="13" spans="1:9" s="281" customFormat="1" ht="20.100000000000001" customHeight="1">
      <c r="A13" s="295" t="s">
        <v>40</v>
      </c>
      <c r="B13" s="296" t="e">
        <f>'应收坏账准备测算D2-9'!#REF!</f>
        <v>#REF!</v>
      </c>
      <c r="C13" s="307" t="e">
        <f t="shared" si="0"/>
        <v>#REF!</v>
      </c>
      <c r="D13" s="296" t="e">
        <f>'应收坏账准备测算D2-9'!#REF!</f>
        <v>#REF!</v>
      </c>
      <c r="E13" s="307" t="e">
        <f t="shared" si="1"/>
        <v>#REF!</v>
      </c>
      <c r="F13" s="296" t="e">
        <f t="shared" si="2"/>
        <v>#REF!</v>
      </c>
    </row>
    <row r="14" spans="1:9" s="281" customFormat="1" ht="20.100000000000001" customHeight="1">
      <c r="A14" s="297" t="s">
        <v>41</v>
      </c>
      <c r="B14" s="296"/>
      <c r="C14" s="307" t="e">
        <f t="shared" si="0"/>
        <v>#REF!</v>
      </c>
      <c r="D14" s="296"/>
      <c r="E14" s="307">
        <f t="shared" si="1"/>
        <v>0</v>
      </c>
      <c r="F14" s="296">
        <f t="shared" si="2"/>
        <v>0</v>
      </c>
    </row>
    <row r="15" spans="1:9" s="281" customFormat="1" ht="20.100000000000001" customHeight="1">
      <c r="A15" s="297" t="s">
        <v>42</v>
      </c>
      <c r="B15" s="296"/>
      <c r="C15" s="307" t="e">
        <f t="shared" si="0"/>
        <v>#REF!</v>
      </c>
      <c r="D15" s="296"/>
      <c r="E15" s="307">
        <f t="shared" si="1"/>
        <v>0</v>
      </c>
      <c r="F15" s="296">
        <f t="shared" si="2"/>
        <v>0</v>
      </c>
    </row>
    <row r="16" spans="1:9" s="281" customFormat="1" ht="19.5" customHeight="1">
      <c r="A16" s="293" t="s">
        <v>43</v>
      </c>
      <c r="B16" s="296" t="e">
        <f t="shared" ref="B16:D16" si="3">SUM(B12:B15)</f>
        <v>#REF!</v>
      </c>
      <c r="C16" s="307" t="e">
        <f t="shared" si="0"/>
        <v>#REF!</v>
      </c>
      <c r="D16" s="296" t="e">
        <f t="shared" si="3"/>
        <v>#REF!</v>
      </c>
      <c r="E16" s="296" t="e">
        <f t="shared" si="1"/>
        <v>#REF!</v>
      </c>
      <c r="F16" s="296" t="e">
        <f>SUM(F12:F15)</f>
        <v>#REF!</v>
      </c>
    </row>
    <row r="17" spans="1:6" s="281" customFormat="1" ht="20.100000000000001" customHeight="1">
      <c r="A17" s="362" t="s">
        <v>44</v>
      </c>
      <c r="B17" s="300" t="e">
        <f>SUM(B10+B16)</f>
        <v>#REF!</v>
      </c>
      <c r="C17" s="375" t="e">
        <f>B17/B17</f>
        <v>#REF!</v>
      </c>
      <c r="D17" s="300" t="e">
        <f>SUM(D10+D16)</f>
        <v>#REF!</v>
      </c>
      <c r="E17" s="375" t="e">
        <f t="shared" si="1"/>
        <v>#REF!</v>
      </c>
      <c r="F17" s="300" t="e">
        <f>SUM(F10+F16)</f>
        <v>#REF!</v>
      </c>
    </row>
    <row r="18" spans="1:6" s="281" customFormat="1" ht="20.100000000000001" customHeight="1">
      <c r="A18" s="286" t="s">
        <v>45</v>
      </c>
    </row>
    <row r="19" spans="1:6" s="281" customFormat="1" ht="20.100000000000001" customHeight="1">
      <c r="A19" s="458" t="s">
        <v>30</v>
      </c>
      <c r="B19" s="456" t="s">
        <v>46</v>
      </c>
      <c r="C19" s="456"/>
      <c r="D19" s="456"/>
      <c r="E19" s="456"/>
      <c r="F19" s="456"/>
    </row>
    <row r="20" spans="1:6" s="281" customFormat="1" ht="20.100000000000001" customHeight="1">
      <c r="A20" s="459"/>
      <c r="B20" s="289" t="s">
        <v>32</v>
      </c>
      <c r="C20" s="289" t="s">
        <v>33</v>
      </c>
      <c r="D20" s="289" t="s">
        <v>34</v>
      </c>
      <c r="E20" s="289" t="s">
        <v>35</v>
      </c>
      <c r="F20" s="289" t="s">
        <v>36</v>
      </c>
    </row>
    <row r="21" spans="1:6" s="281" customFormat="1" ht="31.2">
      <c r="A21" s="290" t="s">
        <v>37</v>
      </c>
      <c r="B21" s="296"/>
      <c r="C21" s="307">
        <f>IF($B$28=0,0,B21/$B$28)</f>
        <v>0</v>
      </c>
      <c r="D21" s="296"/>
      <c r="E21" s="307">
        <f>IF(B21=0,0,D21/B21)</f>
        <v>0</v>
      </c>
      <c r="F21" s="296">
        <f>B21-D21</f>
        <v>0</v>
      </c>
    </row>
    <row r="22" spans="1:6" s="281" customFormat="1" ht="31.2">
      <c r="A22" s="293" t="s">
        <v>38</v>
      </c>
      <c r="C22" s="307"/>
      <c r="E22" s="307"/>
      <c r="F22" s="296"/>
    </row>
    <row r="23" spans="1:6" s="281" customFormat="1" ht="20.100000000000001" customHeight="1">
      <c r="A23" s="295" t="s">
        <v>39</v>
      </c>
      <c r="B23" s="296"/>
      <c r="C23" s="307">
        <f t="shared" ref="C23:C26" si="4">IF($B$28=0,0,B23/$B$28)</f>
        <v>0</v>
      </c>
      <c r="D23" s="296"/>
      <c r="E23" s="307">
        <f>IF(B23=0,0,D23/B23)</f>
        <v>0</v>
      </c>
      <c r="F23" s="296">
        <f t="shared" ref="F23:F25" si="5">B23-D23</f>
        <v>0</v>
      </c>
    </row>
    <row r="24" spans="1:6" s="281" customFormat="1" ht="20.100000000000001" customHeight="1">
      <c r="A24" s="295" t="s">
        <v>40</v>
      </c>
      <c r="B24" s="296"/>
      <c r="C24" s="307">
        <f t="shared" si="4"/>
        <v>0</v>
      </c>
      <c r="D24" s="296"/>
      <c r="E24" s="307">
        <f t="shared" ref="E24:E26" si="6">IF(B24=0,0,D24/B24)</f>
        <v>0</v>
      </c>
      <c r="F24" s="296">
        <f t="shared" si="5"/>
        <v>0</v>
      </c>
    </row>
    <row r="25" spans="1:6" s="281" customFormat="1" ht="19.5" customHeight="1">
      <c r="A25" s="297" t="s">
        <v>41</v>
      </c>
      <c r="B25" s="296"/>
      <c r="C25" s="307">
        <f t="shared" si="4"/>
        <v>0</v>
      </c>
      <c r="D25" s="296"/>
      <c r="E25" s="307">
        <f t="shared" si="6"/>
        <v>0</v>
      </c>
      <c r="F25" s="296">
        <f t="shared" si="5"/>
        <v>0</v>
      </c>
    </row>
    <row r="26" spans="1:6" s="281" customFormat="1" ht="20.100000000000001" customHeight="1">
      <c r="A26" s="297" t="s">
        <v>42</v>
      </c>
      <c r="B26" s="296"/>
      <c r="C26" s="307">
        <f t="shared" si="4"/>
        <v>0</v>
      </c>
      <c r="D26" s="296"/>
      <c r="E26" s="307">
        <f t="shared" si="6"/>
        <v>0</v>
      </c>
      <c r="F26" s="296">
        <f>SUM(F23:F25)</f>
        <v>0</v>
      </c>
    </row>
    <row r="27" spans="1:6" s="281" customFormat="1" ht="15.6">
      <c r="A27" s="293" t="s">
        <v>43</v>
      </c>
      <c r="B27" s="376">
        <f>SUM(B23:B26)</f>
        <v>0</v>
      </c>
      <c r="C27" s="307">
        <f>SUM(C23:C26)</f>
        <v>0</v>
      </c>
      <c r="D27" s="376">
        <f>SUM(D23:D26)</f>
        <v>0</v>
      </c>
      <c r="E27" s="307">
        <f>SUM(E23:E26)</f>
        <v>0</v>
      </c>
      <c r="F27" s="296">
        <f>B27-D27</f>
        <v>0</v>
      </c>
    </row>
    <row r="28" spans="1:6" s="281" customFormat="1" ht="20.100000000000001" customHeight="1">
      <c r="A28" s="362" t="s">
        <v>44</v>
      </c>
      <c r="B28" s="300">
        <f>SUM(B21+B27)</f>
        <v>0</v>
      </c>
      <c r="C28" s="375">
        <f>SUM(C21+C27)</f>
        <v>0</v>
      </c>
      <c r="D28" s="300">
        <f>SUM(D21+D27)</f>
        <v>0</v>
      </c>
      <c r="E28" s="375">
        <f>SUM(E21+E27)</f>
        <v>0</v>
      </c>
      <c r="F28" s="300">
        <f>SUM(F21+F27)</f>
        <v>0</v>
      </c>
    </row>
    <row r="29" spans="1:6" s="281" customFormat="1" ht="33.75" customHeight="1">
      <c r="A29" s="457" t="s">
        <v>47</v>
      </c>
      <c r="B29" s="457"/>
      <c r="C29" s="457"/>
      <c r="D29" s="457"/>
      <c r="E29" s="457"/>
      <c r="F29" s="457"/>
    </row>
    <row r="30" spans="1:6" s="281" customFormat="1" ht="20.100000000000001" customHeight="1">
      <c r="A30" s="287" t="s">
        <v>48</v>
      </c>
    </row>
    <row r="31" spans="1:6" s="281" customFormat="1" ht="20.100000000000001" customHeight="1">
      <c r="A31" s="377" t="s">
        <v>49</v>
      </c>
    </row>
    <row r="32" spans="1:6" s="281" customFormat="1" ht="20.100000000000001" customHeight="1">
      <c r="A32" s="362" t="s">
        <v>50</v>
      </c>
      <c r="B32" s="362" t="s">
        <v>51</v>
      </c>
      <c r="C32" s="362" t="s">
        <v>34</v>
      </c>
      <c r="D32" s="362" t="s">
        <v>35</v>
      </c>
      <c r="E32" s="362" t="s">
        <v>52</v>
      </c>
    </row>
    <row r="33" spans="1:6" s="281" customFormat="1" ht="20.100000000000001" customHeight="1">
      <c r="A33" s="378"/>
      <c r="B33" s="379"/>
      <c r="C33" s="298"/>
      <c r="D33" s="294">
        <f>IF(B33=0,0,C33/B33)</f>
        <v>0</v>
      </c>
      <c r="E33" s="294"/>
      <c r="F33" s="380"/>
    </row>
    <row r="34" spans="1:6" s="281" customFormat="1" ht="20.100000000000001" customHeight="1">
      <c r="A34" s="378"/>
      <c r="B34" s="379"/>
      <c r="C34" s="298"/>
      <c r="D34" s="294">
        <f t="shared" ref="D34:D38" si="7">IF(B34=0,0,C34/B34)</f>
        <v>0</v>
      </c>
      <c r="E34" s="294"/>
      <c r="F34" s="380"/>
    </row>
    <row r="35" spans="1:6" s="281" customFormat="1" ht="20.100000000000001" customHeight="1">
      <c r="A35" s="378"/>
      <c r="B35" s="379"/>
      <c r="C35" s="298"/>
      <c r="D35" s="294">
        <f t="shared" si="7"/>
        <v>0</v>
      </c>
      <c r="E35" s="294"/>
      <c r="F35" s="380"/>
    </row>
    <row r="36" spans="1:6" s="281" customFormat="1" ht="20.100000000000001" customHeight="1">
      <c r="A36" s="378"/>
      <c r="B36" s="379"/>
      <c r="C36" s="298"/>
      <c r="D36" s="294">
        <f t="shared" si="7"/>
        <v>0</v>
      </c>
      <c r="E36" s="294"/>
      <c r="F36" s="380"/>
    </row>
    <row r="37" spans="1:6" s="281" customFormat="1" ht="20.100000000000001" customHeight="1">
      <c r="A37" s="378"/>
      <c r="B37" s="379"/>
      <c r="C37" s="298"/>
      <c r="D37" s="294">
        <f t="shared" si="7"/>
        <v>0</v>
      </c>
      <c r="E37" s="294"/>
      <c r="F37" s="380"/>
    </row>
    <row r="38" spans="1:6" s="281" customFormat="1" ht="20.100000000000001" customHeight="1">
      <c r="A38" s="362" t="s">
        <v>44</v>
      </c>
      <c r="B38" s="381">
        <f>SUM(B33:B37)</f>
        <v>0</v>
      </c>
      <c r="C38" s="381">
        <f t="shared" ref="C38" si="8">SUM(C33:C37)</f>
        <v>0</v>
      </c>
      <c r="D38" s="382">
        <f t="shared" si="7"/>
        <v>0</v>
      </c>
      <c r="E38" s="383"/>
    </row>
    <row r="39" spans="1:6" s="281" customFormat="1" ht="20.100000000000001" customHeight="1">
      <c r="A39" s="377" t="s">
        <v>53</v>
      </c>
    </row>
    <row r="40" spans="1:6" s="281" customFormat="1" ht="20.100000000000001" customHeight="1">
      <c r="A40" s="456" t="s">
        <v>54</v>
      </c>
      <c r="B40" s="456" t="s">
        <v>31</v>
      </c>
      <c r="C40" s="456"/>
      <c r="D40" s="456"/>
      <c r="E40" s="456"/>
      <c r="F40" s="456"/>
    </row>
    <row r="41" spans="1:6" s="281" customFormat="1" ht="20.100000000000001" customHeight="1">
      <c r="A41" s="459"/>
      <c r="B41" s="289" t="s">
        <v>32</v>
      </c>
      <c r="C41" s="289" t="s">
        <v>33</v>
      </c>
      <c r="D41" s="289" t="s">
        <v>34</v>
      </c>
      <c r="E41" s="289" t="s">
        <v>35</v>
      </c>
      <c r="F41" s="289" t="s">
        <v>36</v>
      </c>
    </row>
    <row r="42" spans="1:6" s="281" customFormat="1" ht="20.100000000000001" customHeight="1">
      <c r="A42" s="384" t="e">
        <f>'应收坏账准备测算D2-9'!#REF!</f>
        <v>#REF!</v>
      </c>
      <c r="B42" s="291" t="e">
        <f>'应收坏账准备测算D2-9'!#REF!</f>
        <v>#REF!</v>
      </c>
      <c r="C42" s="385" t="e">
        <f>IF(B42=0,0,B42/$B$48)</f>
        <v>#REF!</v>
      </c>
      <c r="D42" s="386" t="e">
        <f>'应收坏账准备测算D2-9'!#REF!</f>
        <v>#REF!</v>
      </c>
      <c r="E42" s="385" t="e">
        <f>IF(D42=0,0,D42/B42)</f>
        <v>#REF!</v>
      </c>
      <c r="F42" s="387" t="e">
        <f>B42-D42</f>
        <v>#REF!</v>
      </c>
    </row>
    <row r="43" spans="1:6" s="281" customFormat="1" ht="20.100000000000001" customHeight="1">
      <c r="A43" s="384" t="e">
        <f>'应收坏账准备测算D2-9'!#REF!</f>
        <v>#REF!</v>
      </c>
      <c r="B43" s="296" t="e">
        <f>'应收坏账准备测算D2-9'!#REF!</f>
        <v>#REF!</v>
      </c>
      <c r="C43" s="388" t="e">
        <f>IF(B43=0,0,B43/$B$48)</f>
        <v>#REF!</v>
      </c>
      <c r="D43" s="389" t="e">
        <f>'应收坏账准备测算D2-9'!#REF!</f>
        <v>#REF!</v>
      </c>
      <c r="E43" s="388" t="e">
        <f t="shared" ref="E43:E48" si="9">IF(D43=0,0,D43/B43)</f>
        <v>#REF!</v>
      </c>
      <c r="F43" s="390" t="e">
        <f t="shared" ref="F43:F47" si="10">B43-D43</f>
        <v>#REF!</v>
      </c>
    </row>
    <row r="44" spans="1:6" s="281" customFormat="1" ht="20.100000000000001" customHeight="1">
      <c r="A44" s="384" t="e">
        <f>'应收坏账准备测算D2-9'!#REF!</f>
        <v>#REF!</v>
      </c>
      <c r="B44" s="296" t="e">
        <f>'应收坏账准备测算D2-9'!#REF!</f>
        <v>#REF!</v>
      </c>
      <c r="C44" s="388" t="e">
        <f>IF(B44=0,0,B44/$B$48)</f>
        <v>#REF!</v>
      </c>
      <c r="D44" s="389" t="e">
        <f>'应收坏账准备测算D2-9'!#REF!</f>
        <v>#REF!</v>
      </c>
      <c r="E44" s="388" t="e">
        <f t="shared" si="9"/>
        <v>#REF!</v>
      </c>
      <c r="F44" s="390" t="e">
        <f t="shared" si="10"/>
        <v>#REF!</v>
      </c>
    </row>
    <row r="45" spans="1:6" s="281" customFormat="1" ht="20.100000000000001" customHeight="1">
      <c r="A45" s="384" t="e">
        <f>'应收坏账准备测算D2-9'!#REF!</f>
        <v>#REF!</v>
      </c>
      <c r="B45" s="296" t="e">
        <f>'应收坏账准备测算D2-9'!#REF!</f>
        <v>#REF!</v>
      </c>
      <c r="C45" s="388" t="e">
        <f>IF(B45=0,0,B45/$B$48)</f>
        <v>#REF!</v>
      </c>
      <c r="D45" s="389" t="e">
        <f>'应收坏账准备测算D2-9'!#REF!</f>
        <v>#REF!</v>
      </c>
      <c r="E45" s="388" t="e">
        <f t="shared" si="9"/>
        <v>#REF!</v>
      </c>
      <c r="F45" s="390" t="e">
        <f t="shared" si="10"/>
        <v>#REF!</v>
      </c>
    </row>
    <row r="46" spans="1:6" s="281" customFormat="1" ht="20.100000000000001" customHeight="1">
      <c r="A46" s="384" t="e">
        <f>'应收坏账准备测算D2-9'!#REF!</f>
        <v>#REF!</v>
      </c>
      <c r="B46" s="296" t="e">
        <f>'应收坏账准备测算D2-9'!#REF!</f>
        <v>#REF!</v>
      </c>
      <c r="C46" s="388" t="e">
        <f t="shared" ref="C46:C47" si="11">IF(B46=0,0,B46/$B$48)</f>
        <v>#REF!</v>
      </c>
      <c r="D46" s="389" t="e">
        <f>'应收坏账准备测算D2-9'!#REF!</f>
        <v>#REF!</v>
      </c>
      <c r="E46" s="388" t="e">
        <f t="shared" si="9"/>
        <v>#REF!</v>
      </c>
      <c r="F46" s="390"/>
    </row>
    <row r="47" spans="1:6" s="281" customFormat="1" ht="20.100000000000001" customHeight="1">
      <c r="A47" s="384" t="e">
        <f>'应收坏账准备测算D2-9'!#REF!</f>
        <v>#REF!</v>
      </c>
      <c r="B47" s="316" t="e">
        <f>'应收坏账准备测算D2-9'!#REF!</f>
        <v>#REF!</v>
      </c>
      <c r="C47" s="388" t="e">
        <f t="shared" si="11"/>
        <v>#REF!</v>
      </c>
      <c r="D47" s="391" t="e">
        <f>'应收坏账准备测算D2-9'!#REF!</f>
        <v>#REF!</v>
      </c>
      <c r="E47" s="388" t="e">
        <f t="shared" si="9"/>
        <v>#REF!</v>
      </c>
      <c r="F47" s="392" t="e">
        <f t="shared" si="10"/>
        <v>#REF!</v>
      </c>
    </row>
    <row r="48" spans="1:6" s="281" customFormat="1" ht="20.100000000000001" customHeight="1">
      <c r="A48" s="362" t="s">
        <v>44</v>
      </c>
      <c r="B48" s="393" t="e">
        <f>SUM(B42:B47)</f>
        <v>#REF!</v>
      </c>
      <c r="C48" s="394" t="e">
        <f>SUM(C42:C47)</f>
        <v>#REF!</v>
      </c>
      <c r="D48" s="395" t="e">
        <f>SUM(D42:D47)</f>
        <v>#REF!</v>
      </c>
      <c r="E48" s="394" t="e">
        <f t="shared" si="9"/>
        <v>#REF!</v>
      </c>
      <c r="F48" s="395" t="e">
        <f>SUM(F42:F47)</f>
        <v>#REF!</v>
      </c>
    </row>
    <row r="49" spans="1:6" s="281" customFormat="1" ht="20.100000000000001" customHeight="1">
      <c r="A49" s="310" t="s">
        <v>55</v>
      </c>
    </row>
    <row r="50" spans="1:6" s="281" customFormat="1" ht="20.100000000000001" customHeight="1">
      <c r="A50" s="456" t="s">
        <v>54</v>
      </c>
      <c r="B50" s="456" t="s">
        <v>46</v>
      </c>
      <c r="C50" s="456"/>
      <c r="D50" s="456"/>
      <c r="E50" s="456"/>
      <c r="F50" s="456"/>
    </row>
    <row r="51" spans="1:6" s="281" customFormat="1" ht="20.100000000000001" customHeight="1">
      <c r="A51" s="459"/>
      <c r="B51" s="289" t="s">
        <v>32</v>
      </c>
      <c r="C51" s="289" t="s">
        <v>33</v>
      </c>
      <c r="D51" s="289" t="s">
        <v>34</v>
      </c>
      <c r="E51" s="289" t="s">
        <v>35</v>
      </c>
      <c r="F51" s="289" t="s">
        <v>36</v>
      </c>
    </row>
    <row r="52" spans="1:6" s="281" customFormat="1" ht="20.100000000000001" customHeight="1">
      <c r="A52" s="384"/>
      <c r="B52" s="296"/>
      <c r="C52" s="307">
        <f>IF(B52=0,0,B52/$B$58)</f>
        <v>0</v>
      </c>
      <c r="D52" s="296"/>
      <c r="E52" s="307">
        <f>IF(D52=0,0,D52/B52)</f>
        <v>0</v>
      </c>
      <c r="F52" s="334">
        <f>B52-D52</f>
        <v>0</v>
      </c>
    </row>
    <row r="53" spans="1:6" s="281" customFormat="1" ht="20.100000000000001" customHeight="1">
      <c r="A53" s="384"/>
      <c r="B53" s="296"/>
      <c r="C53" s="307">
        <f>IF(B53=0,0,B53/$B$58)</f>
        <v>0</v>
      </c>
      <c r="D53" s="296"/>
      <c r="E53" s="307">
        <f t="shared" ref="E53:E58" si="12">IF(D53=0,0,D53/B53)</f>
        <v>0</v>
      </c>
      <c r="F53" s="334">
        <f t="shared" ref="F53:F57" si="13">B53-D53</f>
        <v>0</v>
      </c>
    </row>
    <row r="54" spans="1:6" s="281" customFormat="1" ht="20.100000000000001" customHeight="1">
      <c r="A54" s="384"/>
      <c r="B54" s="296"/>
      <c r="C54" s="307">
        <f>IF(B54=0,0,B54/$B$58)</f>
        <v>0</v>
      </c>
      <c r="D54" s="296"/>
      <c r="E54" s="307">
        <f t="shared" si="12"/>
        <v>0</v>
      </c>
      <c r="F54" s="334">
        <f t="shared" si="13"/>
        <v>0</v>
      </c>
    </row>
    <row r="55" spans="1:6" s="281" customFormat="1" ht="20.100000000000001" customHeight="1">
      <c r="A55" s="384"/>
      <c r="B55" s="296"/>
      <c r="C55" s="307">
        <f>IF(B55=0,0,B55/$B$58)</f>
        <v>0</v>
      </c>
      <c r="D55" s="296"/>
      <c r="E55" s="307">
        <f t="shared" si="12"/>
        <v>0</v>
      </c>
      <c r="F55" s="334">
        <f t="shared" si="13"/>
        <v>0</v>
      </c>
    </row>
    <row r="56" spans="1:6" s="281" customFormat="1" ht="20.100000000000001" customHeight="1">
      <c r="A56" s="384"/>
      <c r="B56" s="296"/>
      <c r="C56" s="307">
        <f t="shared" ref="C56:C58" si="14">IF(B56=0,0,B56/$B$58)</f>
        <v>0</v>
      </c>
      <c r="D56" s="296"/>
      <c r="E56" s="307">
        <f t="shared" si="12"/>
        <v>0</v>
      </c>
      <c r="F56" s="334"/>
    </row>
    <row r="57" spans="1:6" s="281" customFormat="1" ht="20.100000000000001" customHeight="1">
      <c r="A57" s="384"/>
      <c r="B57" s="296"/>
      <c r="C57" s="307">
        <f t="shared" si="14"/>
        <v>0</v>
      </c>
      <c r="D57" s="296"/>
      <c r="E57" s="307">
        <f t="shared" si="12"/>
        <v>0</v>
      </c>
      <c r="F57" s="334">
        <f t="shared" si="13"/>
        <v>0</v>
      </c>
    </row>
    <row r="58" spans="1:6" s="281" customFormat="1" ht="20.100000000000001" customHeight="1">
      <c r="A58" s="362" t="s">
        <v>44</v>
      </c>
      <c r="B58" s="393">
        <f>SUM(B52:B57)</f>
        <v>0</v>
      </c>
      <c r="C58" s="319">
        <f t="shared" si="14"/>
        <v>0</v>
      </c>
      <c r="D58" s="393">
        <f>SUM(D52:D57)</f>
        <v>0</v>
      </c>
      <c r="E58" s="319">
        <f t="shared" si="12"/>
        <v>0</v>
      </c>
      <c r="F58" s="393">
        <f>SUM(F52:F57)</f>
        <v>0</v>
      </c>
    </row>
    <row r="59" spans="1:6" s="281" customFormat="1" ht="20.100000000000001" customHeight="1">
      <c r="A59" s="377" t="s">
        <v>56</v>
      </c>
    </row>
    <row r="60" spans="1:6" s="281" customFormat="1" ht="20.100000000000001" customHeight="1">
      <c r="A60" s="362" t="s">
        <v>57</v>
      </c>
      <c r="B60" s="362" t="s">
        <v>51</v>
      </c>
      <c r="C60" s="362" t="s">
        <v>34</v>
      </c>
      <c r="D60" s="396" t="s">
        <v>58</v>
      </c>
    </row>
    <row r="61" spans="1:6" s="281" customFormat="1" ht="20.100000000000001" customHeight="1">
      <c r="A61" s="397" t="s">
        <v>59</v>
      </c>
      <c r="B61" s="296"/>
      <c r="C61" s="296"/>
      <c r="D61" s="307">
        <f>IF(B61=0,0,C61/B61)</f>
        <v>0</v>
      </c>
    </row>
    <row r="62" spans="1:6" s="281" customFormat="1" ht="20.100000000000001" customHeight="1">
      <c r="A62" s="397" t="s">
        <v>60</v>
      </c>
      <c r="B62" s="296"/>
      <c r="C62" s="296"/>
      <c r="D62" s="314">
        <f t="shared" ref="D62:D64" si="15">IF(B62=0,0,C62/B62)</f>
        <v>0</v>
      </c>
    </row>
    <row r="63" spans="1:6" s="281" customFormat="1" ht="20.100000000000001" customHeight="1">
      <c r="A63" s="384" t="s">
        <v>61</v>
      </c>
      <c r="B63" s="296"/>
      <c r="C63" s="296"/>
      <c r="D63" s="314">
        <f t="shared" si="15"/>
        <v>0</v>
      </c>
    </row>
    <row r="64" spans="1:6" s="281" customFormat="1" ht="20.100000000000001" customHeight="1">
      <c r="A64" s="362" t="s">
        <v>44</v>
      </c>
      <c r="B64" s="393">
        <f>SUM(B61:B63)</f>
        <v>0</v>
      </c>
      <c r="C64" s="393">
        <f t="shared" ref="C64" si="16">SUM(C61:C63)</f>
        <v>0</v>
      </c>
      <c r="D64" s="398">
        <f t="shared" si="15"/>
        <v>0</v>
      </c>
    </row>
    <row r="65" spans="1:6" s="281" customFormat="1" ht="20.100000000000001" customHeight="1">
      <c r="A65" s="377" t="s">
        <v>62</v>
      </c>
    </row>
    <row r="66" spans="1:6" ht="20.100000000000001" customHeight="1">
      <c r="A66" s="362" t="s">
        <v>57</v>
      </c>
      <c r="B66" s="362" t="s">
        <v>51</v>
      </c>
      <c r="C66" s="362" t="s">
        <v>34</v>
      </c>
      <c r="D66" s="396" t="s">
        <v>58</v>
      </c>
      <c r="E66" s="281"/>
      <c r="F66" s="281"/>
    </row>
    <row r="67" spans="1:6" ht="20.100000000000001" customHeight="1">
      <c r="A67" s="397" t="s">
        <v>59</v>
      </c>
      <c r="B67" s="296"/>
      <c r="C67" s="296"/>
      <c r="D67" s="307">
        <f>IF(B67=0,0,C67/B67)</f>
        <v>0</v>
      </c>
      <c r="E67" s="281"/>
      <c r="F67" s="281"/>
    </row>
    <row r="68" spans="1:6" ht="20.100000000000001" customHeight="1">
      <c r="A68" s="397" t="s">
        <v>60</v>
      </c>
      <c r="B68" s="296"/>
      <c r="C68" s="296"/>
      <c r="D68" s="314">
        <f t="shared" ref="D68:D70" si="17">IF(B68=0,0,C68/B68)</f>
        <v>0</v>
      </c>
      <c r="E68" s="281"/>
      <c r="F68" s="281"/>
    </row>
    <row r="69" spans="1:6" ht="20.100000000000001" customHeight="1">
      <c r="A69" s="384" t="s">
        <v>61</v>
      </c>
      <c r="B69" s="296"/>
      <c r="C69" s="296"/>
      <c r="D69" s="314">
        <f t="shared" si="17"/>
        <v>0</v>
      </c>
      <c r="E69" s="281"/>
      <c r="F69" s="281"/>
    </row>
    <row r="70" spans="1:6" ht="20.100000000000001" customHeight="1">
      <c r="A70" s="399" t="s">
        <v>44</v>
      </c>
      <c r="B70" s="393">
        <f>SUM(B67:B69)</f>
        <v>0</v>
      </c>
      <c r="C70" s="393">
        <f>SUM(C67:C69)</f>
        <v>0</v>
      </c>
      <c r="D70" s="398">
        <f t="shared" si="17"/>
        <v>0</v>
      </c>
      <c r="E70" s="281"/>
      <c r="F70" s="281"/>
    </row>
    <row r="71" spans="1:6" ht="20.100000000000001" customHeight="1">
      <c r="A71" s="377" t="s">
        <v>63</v>
      </c>
      <c r="B71" s="281"/>
      <c r="C71" s="281"/>
      <c r="D71" s="281"/>
      <c r="E71" s="281"/>
      <c r="F71" s="281"/>
    </row>
    <row r="72" spans="1:6" ht="20.100000000000001" customHeight="1">
      <c r="A72" s="362" t="s">
        <v>57</v>
      </c>
      <c r="B72" s="362" t="s">
        <v>51</v>
      </c>
      <c r="C72" s="362" t="s">
        <v>34</v>
      </c>
      <c r="D72" s="396" t="s">
        <v>58</v>
      </c>
      <c r="E72" s="281"/>
      <c r="F72" s="281"/>
    </row>
    <row r="73" spans="1:6" ht="20.100000000000001" customHeight="1">
      <c r="A73" s="397" t="s">
        <v>59</v>
      </c>
      <c r="B73" s="296"/>
      <c r="C73" s="296"/>
      <c r="D73" s="307">
        <f>IF(B73=0,0,C73/B73)</f>
        <v>0</v>
      </c>
      <c r="E73" s="281"/>
      <c r="F73" s="281"/>
    </row>
    <row r="74" spans="1:6" ht="20.100000000000001" customHeight="1">
      <c r="A74" s="397" t="s">
        <v>60</v>
      </c>
      <c r="B74" s="296"/>
      <c r="C74" s="296"/>
      <c r="D74" s="314">
        <f t="shared" ref="D74:D76" si="18">IF(B74=0,0,C74/B74)</f>
        <v>0</v>
      </c>
      <c r="E74" s="281"/>
      <c r="F74" s="281"/>
    </row>
    <row r="75" spans="1:6" ht="20.100000000000001" customHeight="1">
      <c r="A75" s="384" t="s">
        <v>61</v>
      </c>
      <c r="B75" s="296"/>
      <c r="C75" s="296"/>
      <c r="D75" s="314">
        <f t="shared" si="18"/>
        <v>0</v>
      </c>
      <c r="E75" s="281"/>
      <c r="F75" s="281"/>
    </row>
    <row r="76" spans="1:6" ht="20.100000000000001" customHeight="1">
      <c r="A76" s="399" t="s">
        <v>44</v>
      </c>
      <c r="B76" s="393">
        <f>SUM(B73:B75)</f>
        <v>0</v>
      </c>
      <c r="C76" s="393">
        <f>SUM(C73:C75)</f>
        <v>0</v>
      </c>
      <c r="D76" s="398">
        <f t="shared" si="18"/>
        <v>0</v>
      </c>
      <c r="E76" s="281"/>
      <c r="F76" s="281"/>
    </row>
    <row r="77" spans="1:6" s="281" customFormat="1" ht="20.100000000000001" customHeight="1">
      <c r="A77" s="320" t="s">
        <v>64</v>
      </c>
    </row>
    <row r="78" spans="1:6" s="281" customFormat="1" ht="20.100000000000001" customHeight="1">
      <c r="A78" s="374" t="s">
        <v>65</v>
      </c>
    </row>
    <row r="79" spans="1:6" s="281" customFormat="1" ht="20.100000000000001" customHeight="1">
      <c r="A79" s="400"/>
      <c r="B79" s="401" t="s">
        <v>66</v>
      </c>
    </row>
    <row r="80" spans="1:6" s="281" customFormat="1" ht="20.100000000000001" customHeight="1">
      <c r="A80" s="402" t="s">
        <v>67</v>
      </c>
      <c r="B80" s="291"/>
    </row>
    <row r="81" spans="1:5" s="281" customFormat="1" ht="20.100000000000001" customHeight="1">
      <c r="A81" s="403" t="s">
        <v>68</v>
      </c>
      <c r="B81" s="296"/>
    </row>
    <row r="82" spans="1:5" s="281" customFormat="1" ht="20.100000000000001" customHeight="1">
      <c r="A82" s="403" t="s">
        <v>69</v>
      </c>
      <c r="B82" s="296"/>
    </row>
    <row r="83" spans="1:5" s="281" customFormat="1" ht="20.100000000000001" customHeight="1">
      <c r="A83" s="403" t="s">
        <v>70</v>
      </c>
      <c r="B83" s="296"/>
    </row>
    <row r="84" spans="1:5" s="281" customFormat="1" ht="20.100000000000001" customHeight="1">
      <c r="A84" s="378" t="s">
        <v>71</v>
      </c>
      <c r="B84" s="296"/>
    </row>
    <row r="85" spans="1:5" s="281" customFormat="1" ht="20.100000000000001" customHeight="1">
      <c r="A85" s="404" t="s">
        <v>72</v>
      </c>
      <c r="B85" s="316"/>
    </row>
    <row r="86" spans="1:5" s="281" customFormat="1" ht="20.100000000000001" customHeight="1">
      <c r="A86" s="405" t="s">
        <v>73</v>
      </c>
      <c r="B86" s="406">
        <f>B80+B81-B82-B83-B84-B85</f>
        <v>0</v>
      </c>
    </row>
    <row r="87" spans="1:5" s="281" customFormat="1" ht="20.100000000000001" customHeight="1">
      <c r="A87" s="286" t="s">
        <v>74</v>
      </c>
    </row>
    <row r="88" spans="1:5" s="281" customFormat="1" ht="27.75" customHeight="1">
      <c r="A88" s="362" t="s">
        <v>75</v>
      </c>
      <c r="B88" s="362" t="s">
        <v>76</v>
      </c>
      <c r="C88" s="362" t="s">
        <v>77</v>
      </c>
      <c r="D88" s="362" t="s">
        <v>78</v>
      </c>
      <c r="E88" s="362" t="s">
        <v>79</v>
      </c>
    </row>
    <row r="89" spans="1:5" s="281" customFormat="1" ht="20.100000000000001" customHeight="1">
      <c r="A89" s="407"/>
      <c r="B89" s="408"/>
      <c r="C89" s="408"/>
      <c r="D89" s="374"/>
      <c r="E89" s="409"/>
    </row>
    <row r="90" spans="1:5" s="281" customFormat="1" ht="20.100000000000001" customHeight="1">
      <c r="A90" s="407"/>
      <c r="B90" s="408"/>
      <c r="C90" s="408"/>
      <c r="D90" s="374"/>
      <c r="E90" s="409"/>
    </row>
    <row r="91" spans="1:5" s="281" customFormat="1" ht="20.100000000000001" customHeight="1">
      <c r="A91" s="407"/>
      <c r="B91" s="408"/>
      <c r="C91" s="408"/>
      <c r="D91" s="374"/>
      <c r="E91" s="409"/>
    </row>
    <row r="92" spans="1:5" s="281" customFormat="1" ht="20.100000000000001" customHeight="1">
      <c r="A92" s="407"/>
      <c r="B92" s="408"/>
      <c r="C92" s="408"/>
      <c r="D92" s="374"/>
      <c r="E92" s="409"/>
    </row>
    <row r="93" spans="1:5" s="281" customFormat="1" ht="20.100000000000001" customHeight="1">
      <c r="A93" s="407"/>
      <c r="B93" s="407"/>
      <c r="C93" s="407"/>
      <c r="D93" s="410"/>
      <c r="E93" s="409"/>
    </row>
    <row r="94" spans="1:5" s="281" customFormat="1" ht="20.100000000000001" customHeight="1">
      <c r="A94" s="299" t="s">
        <v>44</v>
      </c>
      <c r="B94" s="383"/>
      <c r="C94" s="383"/>
      <c r="D94" s="383"/>
      <c r="E94" s="411">
        <f>SUM(E89:E93)</f>
        <v>0</v>
      </c>
    </row>
    <row r="95" spans="1:5" s="281" customFormat="1" ht="20.100000000000001" customHeight="1">
      <c r="A95" s="410" t="s">
        <v>80</v>
      </c>
      <c r="B95" s="412"/>
      <c r="C95" s="412"/>
      <c r="D95" s="412"/>
      <c r="E95" s="412"/>
    </row>
    <row r="96" spans="1:5" s="281" customFormat="1" ht="20.100000000000001" customHeight="1">
      <c r="A96" s="374" t="s">
        <v>81</v>
      </c>
    </row>
    <row r="97" spans="1:6" s="281" customFormat="1" ht="20.100000000000001" customHeight="1">
      <c r="A97" s="362" t="s">
        <v>82</v>
      </c>
      <c r="B97" s="362" t="s">
        <v>83</v>
      </c>
    </row>
    <row r="98" spans="1:6" s="281" customFormat="1" ht="20.100000000000001" customHeight="1">
      <c r="A98" s="413" t="s">
        <v>84</v>
      </c>
      <c r="B98" s="414">
        <f>'坏账准备转回（收回）、核销检查表D2-11'!D22</f>
        <v>0</v>
      </c>
    </row>
    <row r="99" spans="1:6" s="281" customFormat="1" ht="20.100000000000001" customHeight="1">
      <c r="A99" s="286" t="s">
        <v>85</v>
      </c>
    </row>
    <row r="100" spans="1:6" s="281" customFormat="1" ht="28.5" customHeight="1">
      <c r="A100" s="288" t="s">
        <v>75</v>
      </c>
      <c r="B100" s="288" t="s">
        <v>86</v>
      </c>
      <c r="C100" s="288" t="s">
        <v>83</v>
      </c>
      <c r="D100" s="288" t="s">
        <v>87</v>
      </c>
      <c r="E100" s="288" t="s">
        <v>88</v>
      </c>
      <c r="F100" s="288" t="s">
        <v>89</v>
      </c>
    </row>
    <row r="101" spans="1:6" s="281" customFormat="1" ht="20.100000000000001" customHeight="1">
      <c r="A101" s="287"/>
      <c r="B101" s="415"/>
      <c r="C101" s="352"/>
      <c r="D101" s="415"/>
      <c r="E101" s="415"/>
      <c r="F101" s="415"/>
    </row>
    <row r="102" spans="1:6" s="281" customFormat="1" ht="20.100000000000001" customHeight="1">
      <c r="A102" s="287"/>
      <c r="B102" s="415"/>
      <c r="C102" s="352"/>
      <c r="D102" s="415"/>
      <c r="E102" s="415"/>
      <c r="F102" s="415"/>
    </row>
    <row r="103" spans="1:6" s="281" customFormat="1" ht="20.100000000000001" customHeight="1">
      <c r="A103" s="320"/>
      <c r="B103" s="416"/>
      <c r="C103" s="409"/>
      <c r="D103" s="416"/>
      <c r="E103" s="416"/>
      <c r="F103" s="416"/>
    </row>
    <row r="104" spans="1:6" s="281" customFormat="1" ht="20.100000000000001" customHeight="1">
      <c r="A104" s="417" t="s">
        <v>44</v>
      </c>
      <c r="B104" s="418"/>
      <c r="C104" s="395">
        <f>SUM(C101:C103)</f>
        <v>0</v>
      </c>
      <c r="D104" s="418"/>
      <c r="E104" s="418"/>
      <c r="F104" s="418"/>
    </row>
    <row r="105" spans="1:6" s="281" customFormat="1" ht="30" customHeight="1">
      <c r="A105" s="457" t="s">
        <v>90</v>
      </c>
      <c r="B105" s="457"/>
      <c r="C105" s="457"/>
      <c r="D105" s="457"/>
      <c r="E105" s="457"/>
      <c r="F105" s="457"/>
    </row>
    <row r="106" spans="1:6" s="281" customFormat="1" ht="20.100000000000001" customHeight="1">
      <c r="A106" s="419" t="s">
        <v>91</v>
      </c>
    </row>
    <row r="107" spans="1:6" s="281" customFormat="1" ht="20.100000000000001" customHeight="1">
      <c r="A107" s="374" t="s">
        <v>92</v>
      </c>
    </row>
    <row r="108" spans="1:6" s="281" customFormat="1" ht="28.5" customHeight="1">
      <c r="A108" s="362" t="s">
        <v>75</v>
      </c>
      <c r="B108" s="362" t="s">
        <v>93</v>
      </c>
      <c r="C108" s="362" t="s">
        <v>94</v>
      </c>
      <c r="D108" s="362" t="s">
        <v>95</v>
      </c>
      <c r="E108" s="362" t="s">
        <v>96</v>
      </c>
      <c r="F108" s="362" t="s">
        <v>97</v>
      </c>
    </row>
    <row r="109" spans="1:6" s="281" customFormat="1" ht="20.100000000000001" customHeight="1">
      <c r="A109" s="286" t="e">
        <f>#REF!</f>
        <v>#REF!</v>
      </c>
      <c r="B109" s="286">
        <f>IF(ISERROR(VLOOKUP(A109,#REF!,2,0)),,VLOOKUP(A109,#REF!,2,0))</f>
        <v>0</v>
      </c>
      <c r="C109" s="389" t="e">
        <f>#REF!</f>
        <v>#REF!</v>
      </c>
      <c r="D109" s="415" t="e">
        <f>#REF!</f>
        <v>#REF!</v>
      </c>
      <c r="E109" s="388" t="e">
        <f>IF(#REF!=0,0,C109/#REF!)</f>
        <v>#REF!</v>
      </c>
      <c r="F109" s="389" t="e">
        <f>#REF!</f>
        <v>#REF!</v>
      </c>
    </row>
    <row r="110" spans="1:6" s="281" customFormat="1" ht="20.100000000000001" customHeight="1">
      <c r="A110" s="286" t="e">
        <f>#REF!</f>
        <v>#REF!</v>
      </c>
      <c r="B110" s="286">
        <f>IF(ISERROR(VLOOKUP(A110,#REF!,2,0)),,VLOOKUP(A110,#REF!,2,0))</f>
        <v>0</v>
      </c>
      <c r="C110" s="389" t="e">
        <f>#REF!</f>
        <v>#REF!</v>
      </c>
      <c r="D110" s="415" t="e">
        <f>#REF!</f>
        <v>#REF!</v>
      </c>
      <c r="E110" s="388" t="e">
        <f>IF(#REF!=0,0,C110/#REF!)</f>
        <v>#REF!</v>
      </c>
      <c r="F110" s="389" t="e">
        <f>#REF!</f>
        <v>#REF!</v>
      </c>
    </row>
    <row r="111" spans="1:6" s="281" customFormat="1" ht="20.100000000000001" customHeight="1">
      <c r="A111" s="286" t="e">
        <f>#REF!</f>
        <v>#REF!</v>
      </c>
      <c r="B111" s="286">
        <f>IF(ISERROR(VLOOKUP(A111,#REF!,2,0)),,VLOOKUP(A111,#REF!,2,0))</f>
        <v>0</v>
      </c>
      <c r="C111" s="389" t="e">
        <f>#REF!</f>
        <v>#REF!</v>
      </c>
      <c r="D111" s="415" t="e">
        <f>#REF!</f>
        <v>#REF!</v>
      </c>
      <c r="E111" s="388" t="e">
        <f>IF(#REF!=0,0,C111/#REF!)</f>
        <v>#REF!</v>
      </c>
      <c r="F111" s="389" t="e">
        <f>#REF!</f>
        <v>#REF!</v>
      </c>
    </row>
    <row r="112" spans="1:6" s="281" customFormat="1" ht="20.100000000000001" customHeight="1">
      <c r="A112" s="286" t="e">
        <f>#REF!</f>
        <v>#REF!</v>
      </c>
      <c r="B112" s="286">
        <f>IF(ISERROR(VLOOKUP(A112,#REF!,2,0)),,VLOOKUP(A112,#REF!,2,0))</f>
        <v>0</v>
      </c>
      <c r="C112" s="389" t="e">
        <f>#REF!</f>
        <v>#REF!</v>
      </c>
      <c r="D112" s="415" t="e">
        <f>#REF!</f>
        <v>#REF!</v>
      </c>
      <c r="E112" s="388" t="e">
        <f>IF(#REF!=0,0,C112/#REF!)</f>
        <v>#REF!</v>
      </c>
      <c r="F112" s="389" t="e">
        <f>#REF!</f>
        <v>#REF!</v>
      </c>
    </row>
    <row r="113" spans="1:6" s="281" customFormat="1" ht="20.100000000000001" customHeight="1">
      <c r="A113" s="286" t="e">
        <f>#REF!</f>
        <v>#REF!</v>
      </c>
      <c r="B113" s="286">
        <f>IF(ISERROR(VLOOKUP(A113,#REF!,2,0)),,VLOOKUP(A113,#REF!,2,0))</f>
        <v>0</v>
      </c>
      <c r="C113" s="409" t="e">
        <f>#REF!</f>
        <v>#REF!</v>
      </c>
      <c r="D113" s="415" t="e">
        <f>#REF!</f>
        <v>#REF!</v>
      </c>
      <c r="E113" s="388" t="e">
        <f>IF(#REF!=0,0,C113/#REF!)</f>
        <v>#REF!</v>
      </c>
      <c r="F113" s="389" t="e">
        <f>#REF!</f>
        <v>#REF!</v>
      </c>
    </row>
    <row r="114" spans="1:6" s="281" customFormat="1" ht="20.100000000000001" customHeight="1">
      <c r="A114" s="417" t="s">
        <v>44</v>
      </c>
      <c r="B114" s="418"/>
      <c r="C114" s="395" t="e">
        <f>SUM(C109:C113)</f>
        <v>#REF!</v>
      </c>
      <c r="D114" s="418"/>
      <c r="E114" s="420" t="e">
        <f t="shared" ref="E114:F114" si="19">SUM(E109:E113)</f>
        <v>#REF!</v>
      </c>
      <c r="F114" s="395" t="e">
        <f t="shared" si="19"/>
        <v>#REF!</v>
      </c>
    </row>
    <row r="115" spans="1:6" s="281" customFormat="1" ht="32.25" customHeight="1">
      <c r="A115" s="457" t="s">
        <v>98</v>
      </c>
      <c r="B115" s="457"/>
      <c r="C115" s="457"/>
      <c r="D115" s="457"/>
      <c r="E115" s="457"/>
      <c r="F115" s="457"/>
    </row>
    <row r="116" spans="1:6" s="281" customFormat="1" ht="20.100000000000001" customHeight="1">
      <c r="A116" s="452" t="s">
        <v>99</v>
      </c>
      <c r="B116" s="452"/>
      <c r="C116" s="452"/>
      <c r="D116" s="452"/>
      <c r="E116" s="452"/>
    </row>
    <row r="117" spans="1:6" s="281" customFormat="1" ht="33" customHeight="1">
      <c r="A117" s="457" t="s">
        <v>100</v>
      </c>
      <c r="B117" s="457"/>
      <c r="C117" s="457"/>
      <c r="D117" s="457"/>
      <c r="E117" s="457"/>
    </row>
    <row r="118" spans="1:6" s="281" customFormat="1" ht="31.2">
      <c r="A118" s="362" t="s">
        <v>101</v>
      </c>
      <c r="B118" s="362" t="s">
        <v>102</v>
      </c>
      <c r="C118" s="362" t="s">
        <v>103</v>
      </c>
      <c r="D118" s="362" t="s">
        <v>104</v>
      </c>
    </row>
    <row r="119" spans="1:6" s="281" customFormat="1" ht="20.100000000000001" customHeight="1">
      <c r="A119" s="293"/>
      <c r="B119" s="293"/>
      <c r="C119" s="421"/>
      <c r="D119" s="364"/>
    </row>
    <row r="120" spans="1:6" s="281" customFormat="1" ht="20.100000000000001" customHeight="1">
      <c r="A120" s="293"/>
      <c r="B120" s="293"/>
      <c r="C120" s="421"/>
      <c r="D120" s="364"/>
    </row>
    <row r="121" spans="1:6" s="281" customFormat="1" ht="20.100000000000001" customHeight="1">
      <c r="A121" s="293"/>
      <c r="B121" s="293"/>
      <c r="C121" s="421"/>
      <c r="D121" s="364"/>
    </row>
    <row r="122" spans="1:6" s="281" customFormat="1" ht="20.100000000000001" customHeight="1">
      <c r="A122" s="362" t="s">
        <v>44</v>
      </c>
      <c r="B122" s="299"/>
      <c r="C122" s="422">
        <f>SUM(C119:C121)</f>
        <v>0</v>
      </c>
      <c r="D122" s="411">
        <f>SUM(D119:D121)</f>
        <v>0</v>
      </c>
    </row>
    <row r="123" spans="1:6" s="281" customFormat="1" ht="20.100000000000001" customHeight="1">
      <c r="A123" s="452" t="s">
        <v>105</v>
      </c>
      <c r="B123" s="452"/>
      <c r="C123" s="452"/>
      <c r="D123" s="452"/>
    </row>
    <row r="124" spans="1:6" s="281" customFormat="1" ht="20.100000000000001" customHeight="1">
      <c r="A124" s="336" t="s">
        <v>106</v>
      </c>
      <c r="B124" s="336"/>
      <c r="C124" s="336"/>
      <c r="D124" s="336"/>
    </row>
    <row r="125" spans="1:6" s="281" customFormat="1" ht="20.100000000000001" customHeight="1">
      <c r="A125" s="362" t="s">
        <v>101</v>
      </c>
      <c r="B125" s="362" t="s">
        <v>31</v>
      </c>
    </row>
    <row r="126" spans="1:6" s="281" customFormat="1" ht="20.100000000000001" customHeight="1">
      <c r="A126" s="384" t="s">
        <v>107</v>
      </c>
      <c r="B126" s="363"/>
    </row>
    <row r="127" spans="1:6" s="281" customFormat="1" ht="20.100000000000001" customHeight="1">
      <c r="A127" s="384"/>
      <c r="B127" s="364"/>
    </row>
    <row r="128" spans="1:6" s="281" customFormat="1" ht="20.100000000000001" customHeight="1">
      <c r="A128" s="384"/>
      <c r="B128" s="364"/>
    </row>
    <row r="129" spans="1:6" s="281" customFormat="1" ht="20.100000000000001" customHeight="1">
      <c r="A129" s="304" t="s">
        <v>108</v>
      </c>
      <c r="B129" s="423">
        <f>SUM(B127:B127)</f>
        <v>0</v>
      </c>
    </row>
    <row r="130" spans="1:6" s="281" customFormat="1" ht="20.100000000000001" customHeight="1">
      <c r="A130" s="384" t="s">
        <v>109</v>
      </c>
      <c r="B130" s="367"/>
    </row>
    <row r="131" spans="1:6" s="281" customFormat="1" ht="20.100000000000001" customHeight="1">
      <c r="A131" s="384"/>
      <c r="B131" s="368"/>
    </row>
    <row r="132" spans="1:6" s="281" customFormat="1" ht="20.100000000000001" customHeight="1">
      <c r="A132" s="384"/>
      <c r="B132" s="368"/>
    </row>
    <row r="133" spans="1:6" s="281" customFormat="1" ht="20.100000000000001" customHeight="1">
      <c r="A133" s="289" t="s">
        <v>110</v>
      </c>
      <c r="B133" s="361">
        <f>SUM(B131:B131)</f>
        <v>0</v>
      </c>
    </row>
    <row r="134" spans="1:6" s="281" customFormat="1" ht="34.5" customHeight="1">
      <c r="A134" s="453" t="s">
        <v>111</v>
      </c>
      <c r="B134" s="453"/>
      <c r="C134" s="453"/>
      <c r="D134" s="453"/>
      <c r="E134" s="453"/>
      <c r="F134" s="453"/>
    </row>
  </sheetData>
  <mergeCells count="17">
    <mergeCell ref="A117:E117"/>
    <mergeCell ref="A123:D123"/>
    <mergeCell ref="A134:F134"/>
    <mergeCell ref="A8:A9"/>
    <mergeCell ref="A19:A20"/>
    <mergeCell ref="A40:A41"/>
    <mergeCell ref="A50:A51"/>
    <mergeCell ref="B40:F40"/>
    <mergeCell ref="B50:F50"/>
    <mergeCell ref="A105:F105"/>
    <mergeCell ref="A115:F115"/>
    <mergeCell ref="A116:E116"/>
    <mergeCell ref="A1:F1"/>
    <mergeCell ref="A2:F2"/>
    <mergeCell ref="B8:F8"/>
    <mergeCell ref="B19:F19"/>
    <mergeCell ref="A29:F29"/>
  </mergeCells>
  <phoneticPr fontId="145" type="noConversion"/>
  <printOptions horizontalCentered="1"/>
  <pageMargins left="0.98425196850393704" right="0.74803149606299202" top="0.98425196850393704" bottom="0.98425196850393704" header="0.511811023622047" footer="0.511811023622047"/>
  <pageSetup paperSize="9" scale="70" fitToHeight="100" orientation="portrait" blackAndWhite="1" cellComments="atEnd" r:id="rId1"/>
  <headerFooter alignWithMargins="0"/>
  <rowBreaks count="2" manualBreakCount="2">
    <brk id="38" max="5" man="1"/>
    <brk id="95"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J102"/>
  <sheetViews>
    <sheetView view="pageBreakPreview" topLeftCell="A87" zoomScale="70" zoomScaleNormal="100" workbookViewId="0">
      <selection activeCell="K84" sqref="K84"/>
    </sheetView>
  </sheetViews>
  <sheetFormatPr defaultColWidth="9" defaultRowHeight="13.8"/>
  <cols>
    <col min="1" max="1" width="30" style="282" customWidth="1"/>
    <col min="2" max="2" width="16.59765625" style="282" customWidth="1"/>
    <col min="3" max="3" width="19.19921875" style="282" customWidth="1"/>
    <col min="4" max="4" width="14.69921875" style="282" customWidth="1"/>
    <col min="5" max="5" width="16.19921875" style="282" customWidth="1"/>
    <col min="6" max="6" width="13.69921875" style="282" customWidth="1"/>
    <col min="7" max="7" width="12.69921875" style="282" customWidth="1"/>
    <col min="8" max="16384" width="9" style="282"/>
  </cols>
  <sheetData>
    <row r="1" spans="1:10" s="279" customFormat="1" ht="20.100000000000001" customHeight="1">
      <c r="A1" s="454" t="s">
        <v>23</v>
      </c>
      <c r="B1" s="454"/>
      <c r="C1" s="454"/>
      <c r="D1" s="454"/>
      <c r="E1" s="454"/>
      <c r="F1" s="454"/>
      <c r="G1" s="454"/>
      <c r="H1" s="283"/>
      <c r="I1" s="283"/>
      <c r="J1" s="283"/>
    </row>
    <row r="2" spans="1:10" s="280" customFormat="1" ht="25.2" customHeight="1">
      <c r="A2" s="461" t="s">
        <v>112</v>
      </c>
      <c r="B2" s="462"/>
      <c r="C2" s="462"/>
      <c r="D2" s="462"/>
      <c r="E2" s="462"/>
      <c r="F2" s="462"/>
      <c r="G2" s="462"/>
      <c r="H2" s="284"/>
      <c r="I2" s="284"/>
      <c r="J2" s="284"/>
    </row>
    <row r="3" spans="1:10" s="279" customFormat="1" ht="20.100000000000001" customHeight="1">
      <c r="A3" s="279" t="str">
        <f>底稿目录!A2</f>
        <v>被审计单位名称：</v>
      </c>
      <c r="C3" s="279" t="str">
        <f>底稿目录!A4</f>
        <v>编制人：</v>
      </c>
      <c r="E3" s="279" t="str">
        <f>底稿目录!A5</f>
        <v>编制日期：</v>
      </c>
      <c r="G3" s="279" t="s">
        <v>113</v>
      </c>
    </row>
    <row r="4" spans="1:10" s="279" customFormat="1" ht="20.100000000000001" customHeight="1">
      <c r="A4" s="279" t="str">
        <f>底稿目录!A3</f>
        <v>截止日：202X年12月31日</v>
      </c>
      <c r="B4" s="285"/>
      <c r="C4" s="279" t="str">
        <f>底稿目录!A6</f>
        <v>复核人：</v>
      </c>
      <c r="E4" s="279" t="str">
        <f>底稿目录!A7</f>
        <v>复核日期：</v>
      </c>
      <c r="G4" s="279" t="s">
        <v>114</v>
      </c>
      <c r="J4" s="285"/>
    </row>
    <row r="5" spans="1:10" s="281" customFormat="1" ht="20.100000000000001" customHeight="1">
      <c r="A5" s="281" t="s">
        <v>27</v>
      </c>
    </row>
    <row r="6" spans="1:10" s="281" customFormat="1" ht="20.100000000000001" customHeight="1">
      <c r="A6" s="286" t="s">
        <v>115</v>
      </c>
    </row>
    <row r="7" spans="1:10" s="281" customFormat="1" ht="20.100000000000001" customHeight="1">
      <c r="A7" s="287" t="s">
        <v>116</v>
      </c>
    </row>
    <row r="8" spans="1:10" s="281" customFormat="1" ht="20.100000000000001" customHeight="1">
      <c r="A8" s="456" t="s">
        <v>117</v>
      </c>
      <c r="B8" s="456" t="s">
        <v>31</v>
      </c>
      <c r="C8" s="456"/>
      <c r="D8" s="456"/>
      <c r="E8" s="456"/>
    </row>
    <row r="9" spans="1:10" s="281" customFormat="1" ht="20.100000000000001" customHeight="1">
      <c r="A9" s="459"/>
      <c r="B9" s="289" t="s">
        <v>51</v>
      </c>
      <c r="C9" s="289" t="s">
        <v>33</v>
      </c>
      <c r="D9" s="289" t="s">
        <v>34</v>
      </c>
      <c r="E9" s="289" t="s">
        <v>33</v>
      </c>
    </row>
    <row r="10" spans="1:10" s="281" customFormat="1" ht="15.6">
      <c r="A10" s="290" t="s">
        <v>37</v>
      </c>
      <c r="B10" s="291" t="e">
        <f>'应收坏账准备测算D2-9'!#REF!</f>
        <v>#REF!</v>
      </c>
      <c r="C10" s="292" t="e">
        <f>IF($B$17=0,0,B10/$B$17)</f>
        <v>#REF!</v>
      </c>
      <c r="D10" s="291" t="e">
        <f>'应收坏账准备测算D2-9'!#REF!</f>
        <v>#REF!</v>
      </c>
      <c r="E10" s="292" t="e">
        <f>IF(B10=0,0,D10/B10)</f>
        <v>#REF!</v>
      </c>
    </row>
    <row r="11" spans="1:10" s="281" customFormat="1" ht="15.6">
      <c r="A11" s="293" t="s">
        <v>38</v>
      </c>
      <c r="C11" s="294"/>
      <c r="E11" s="294"/>
    </row>
    <row r="12" spans="1:10" s="281" customFormat="1" ht="20.100000000000001" customHeight="1">
      <c r="A12" s="295" t="s">
        <v>39</v>
      </c>
      <c r="B12" s="296" t="e">
        <f>'应收坏账准备测算D2-9'!#REF!</f>
        <v>#REF!</v>
      </c>
      <c r="C12" s="294" t="e">
        <f>IF($B$17=0,0,B12/$B$17)</f>
        <v>#REF!</v>
      </c>
      <c r="D12" s="296" t="e">
        <f>'应收坏账准备测算D2-9'!#REF!</f>
        <v>#REF!</v>
      </c>
      <c r="E12" s="294" t="e">
        <f>IF(B12=0,0,D12/B12)</f>
        <v>#REF!</v>
      </c>
      <c r="F12" s="294"/>
    </row>
    <row r="13" spans="1:10" s="281" customFormat="1" ht="20.100000000000001" customHeight="1">
      <c r="A13" s="295" t="s">
        <v>40</v>
      </c>
      <c r="B13" s="296" t="e">
        <f>'应收坏账准备测算D2-9'!#REF!</f>
        <v>#REF!</v>
      </c>
      <c r="C13" s="294" t="e">
        <f>IF($B$17=0,0,B13/$B$17)</f>
        <v>#REF!</v>
      </c>
      <c r="D13" s="296" t="e">
        <f>'应收坏账准备测算D2-9'!#REF!</f>
        <v>#REF!</v>
      </c>
      <c r="E13" s="294" t="e">
        <f t="shared" ref="E13:E17" si="0">IF(B13=0,0,D13/B13)</f>
        <v>#REF!</v>
      </c>
      <c r="F13" s="294"/>
    </row>
    <row r="14" spans="1:10" s="281" customFormat="1" ht="20.100000000000001" customHeight="1">
      <c r="A14" s="297" t="s">
        <v>41</v>
      </c>
      <c r="B14" s="296"/>
      <c r="C14" s="294" t="e">
        <f>IF($B$17=0,0,B14/$B$17)</f>
        <v>#REF!</v>
      </c>
      <c r="D14" s="296"/>
      <c r="E14" s="294">
        <f t="shared" si="0"/>
        <v>0</v>
      </c>
      <c r="F14" s="298"/>
    </row>
    <row r="15" spans="1:10" s="281" customFormat="1" ht="20.100000000000001" customHeight="1">
      <c r="A15" s="297" t="s">
        <v>42</v>
      </c>
      <c r="B15" s="296"/>
      <c r="C15" s="294" t="e">
        <f>IF($B$17=0,0,B15/$B$17)</f>
        <v>#REF!</v>
      </c>
      <c r="D15" s="296"/>
      <c r="E15" s="294">
        <f t="shared" si="0"/>
        <v>0</v>
      </c>
      <c r="F15" s="298"/>
    </row>
    <row r="16" spans="1:10" s="281" customFormat="1" ht="20.100000000000001" customHeight="1">
      <c r="A16" s="293" t="s">
        <v>43</v>
      </c>
      <c r="B16" s="296" t="e">
        <f>SUM(B12:B15)</f>
        <v>#REF!</v>
      </c>
      <c r="C16" s="294" t="e">
        <f>IF($B$17=0,0,B16/$B$17)</f>
        <v>#REF!</v>
      </c>
      <c r="D16" s="296" t="e">
        <f>SUM(D12:D15)</f>
        <v>#REF!</v>
      </c>
      <c r="E16" s="294" t="e">
        <f t="shared" si="0"/>
        <v>#REF!</v>
      </c>
      <c r="F16" s="294"/>
    </row>
    <row r="17" spans="1:7" s="281" customFormat="1" ht="20.100000000000001" customHeight="1">
      <c r="A17" s="299" t="s">
        <v>44</v>
      </c>
      <c r="B17" s="300" t="e">
        <f>SUM(B10+B16)</f>
        <v>#REF!</v>
      </c>
      <c r="C17" s="301" t="e">
        <f>SUM(C10+C16)</f>
        <v>#REF!</v>
      </c>
      <c r="D17" s="300" t="e">
        <f>SUM(D10+D16)</f>
        <v>#REF!</v>
      </c>
      <c r="E17" s="302" t="e">
        <f t="shared" si="0"/>
        <v>#REF!</v>
      </c>
    </row>
    <row r="18" spans="1:7" s="281" customFormat="1" ht="20.100000000000001" customHeight="1">
      <c r="A18" s="287" t="s">
        <v>45</v>
      </c>
    </row>
    <row r="19" spans="1:7" s="281" customFormat="1" ht="20.100000000000001" customHeight="1">
      <c r="A19" s="456" t="s">
        <v>117</v>
      </c>
      <c r="B19" s="456" t="s">
        <v>118</v>
      </c>
      <c r="C19" s="456"/>
      <c r="D19" s="456"/>
      <c r="E19" s="456"/>
    </row>
    <row r="20" spans="1:7" s="281" customFormat="1" ht="20.100000000000001" customHeight="1">
      <c r="A20" s="459"/>
      <c r="B20" s="289" t="s">
        <v>51</v>
      </c>
      <c r="C20" s="289" t="s">
        <v>33</v>
      </c>
      <c r="D20" s="289" t="s">
        <v>34</v>
      </c>
      <c r="E20" s="289" t="s">
        <v>33</v>
      </c>
    </row>
    <row r="21" spans="1:7" s="281" customFormat="1" ht="15.6">
      <c r="A21" s="290" t="s">
        <v>37</v>
      </c>
      <c r="B21" s="291"/>
      <c r="C21" s="292">
        <f>IF($B$28=0,0,B21/$B$28)</f>
        <v>0</v>
      </c>
      <c r="D21" s="291"/>
      <c r="E21" s="292">
        <f>IF(B21=0,0,D21/B21)</f>
        <v>0</v>
      </c>
    </row>
    <row r="22" spans="1:7" s="281" customFormat="1" ht="15.6">
      <c r="A22" s="293" t="s">
        <v>38</v>
      </c>
      <c r="C22" s="294"/>
      <c r="E22" s="294"/>
    </row>
    <row r="23" spans="1:7" s="281" customFormat="1" ht="20.100000000000001" customHeight="1">
      <c r="A23" s="295" t="s">
        <v>39</v>
      </c>
      <c r="B23" s="296"/>
      <c r="C23" s="294">
        <f>IF($B$28=0,0,B23/$B$28)</f>
        <v>0</v>
      </c>
      <c r="D23" s="296"/>
      <c r="E23" s="294">
        <f>IF(B23=0,0,D23/B23)</f>
        <v>0</v>
      </c>
      <c r="F23" s="294"/>
    </row>
    <row r="24" spans="1:7" s="281" customFormat="1" ht="20.100000000000001" customHeight="1">
      <c r="A24" s="295" t="s">
        <v>40</v>
      </c>
      <c r="B24" s="296"/>
      <c r="C24" s="294">
        <f t="shared" ref="C24:C27" si="1">IF($B$28=0,0,B24/$B$28)</f>
        <v>0</v>
      </c>
      <c r="D24" s="296"/>
      <c r="E24" s="294">
        <f t="shared" ref="E24:E28" si="2">IF(B24=0,0,D24/B24)</f>
        <v>0</v>
      </c>
      <c r="F24" s="294"/>
    </row>
    <row r="25" spans="1:7" s="281" customFormat="1" ht="20.100000000000001" customHeight="1">
      <c r="A25" s="297" t="s">
        <v>41</v>
      </c>
      <c r="B25" s="296"/>
      <c r="C25" s="294">
        <f t="shared" si="1"/>
        <v>0</v>
      </c>
      <c r="D25" s="296"/>
      <c r="E25" s="294">
        <f t="shared" si="2"/>
        <v>0</v>
      </c>
      <c r="F25" s="298"/>
    </row>
    <row r="26" spans="1:7" s="281" customFormat="1" ht="20.100000000000001" customHeight="1">
      <c r="A26" s="297" t="s">
        <v>42</v>
      </c>
      <c r="B26" s="296"/>
      <c r="C26" s="294">
        <f t="shared" si="1"/>
        <v>0</v>
      </c>
      <c r="D26" s="296"/>
      <c r="E26" s="294">
        <f t="shared" si="2"/>
        <v>0</v>
      </c>
      <c r="F26" s="294"/>
    </row>
    <row r="27" spans="1:7" s="281" customFormat="1" ht="15.6">
      <c r="A27" s="293" t="s">
        <v>43</v>
      </c>
      <c r="B27" s="296">
        <f>SUM(B23:B26)</f>
        <v>0</v>
      </c>
      <c r="C27" s="303">
        <f t="shared" si="1"/>
        <v>0</v>
      </c>
      <c r="D27" s="296">
        <f>SUM(D23:D26)</f>
        <v>0</v>
      </c>
      <c r="E27" s="303">
        <f t="shared" si="2"/>
        <v>0</v>
      </c>
      <c r="F27" s="294"/>
    </row>
    <row r="28" spans="1:7" s="281" customFormat="1" ht="20.100000000000001" customHeight="1">
      <c r="A28" s="299" t="s">
        <v>44</v>
      </c>
      <c r="B28" s="300">
        <f>SUM(B21+B26+B27)</f>
        <v>0</v>
      </c>
      <c r="C28" s="301">
        <f>SUM(C21+C26+C27)</f>
        <v>0</v>
      </c>
      <c r="D28" s="300">
        <f>SUM(D21+D26+D27)</f>
        <v>0</v>
      </c>
      <c r="E28" s="302">
        <f t="shared" si="2"/>
        <v>0</v>
      </c>
    </row>
    <row r="29" spans="1:7" s="281" customFormat="1" ht="30" customHeight="1">
      <c r="A29" s="457" t="s">
        <v>119</v>
      </c>
      <c r="B29" s="457"/>
      <c r="C29" s="457"/>
      <c r="D29" s="457"/>
      <c r="E29" s="457"/>
    </row>
    <row r="30" spans="1:7" s="281" customFormat="1" ht="20.100000000000001" customHeight="1">
      <c r="A30" s="286" t="s">
        <v>120</v>
      </c>
    </row>
    <row r="31" spans="1:7" s="281" customFormat="1" ht="20.100000000000001" customHeight="1">
      <c r="A31" s="286" t="s">
        <v>121</v>
      </c>
    </row>
    <row r="32" spans="1:7" s="281" customFormat="1" ht="20.100000000000001" customHeight="1">
      <c r="A32" s="456" t="s">
        <v>54</v>
      </c>
      <c r="B32" s="456" t="s">
        <v>31</v>
      </c>
      <c r="C32" s="456"/>
      <c r="D32" s="456"/>
      <c r="E32" s="456" t="s">
        <v>118</v>
      </c>
      <c r="F32" s="456"/>
      <c r="G32" s="456"/>
    </row>
    <row r="33" spans="1:7" s="281" customFormat="1" ht="20.100000000000001" customHeight="1">
      <c r="A33" s="460"/>
      <c r="B33" s="460" t="s">
        <v>51</v>
      </c>
      <c r="C33" s="460"/>
      <c r="D33" s="460" t="s">
        <v>34</v>
      </c>
      <c r="E33" s="460" t="s">
        <v>51</v>
      </c>
      <c r="F33" s="460"/>
      <c r="G33" s="460" t="s">
        <v>34</v>
      </c>
    </row>
    <row r="34" spans="1:7" s="281" customFormat="1" ht="20.100000000000001" customHeight="1">
      <c r="A34" s="459"/>
      <c r="B34" s="289" t="s">
        <v>122</v>
      </c>
      <c r="C34" s="289" t="s">
        <v>123</v>
      </c>
      <c r="D34" s="459"/>
      <c r="E34" s="289" t="s">
        <v>122</v>
      </c>
      <c r="F34" s="289" t="s">
        <v>123</v>
      </c>
      <c r="G34" s="459"/>
    </row>
    <row r="35" spans="1:7" s="281" customFormat="1" ht="20.100000000000001" customHeight="1">
      <c r="A35" s="305" t="e">
        <f>'应收坏账准备测算D2-9'!#REF!</f>
        <v>#REF!</v>
      </c>
      <c r="B35" s="291" t="e">
        <f>'应收坏账准备测算D2-9'!#REF!</f>
        <v>#REF!</v>
      </c>
      <c r="C35" s="306" t="e">
        <f>IF(B35=0,0,B35/$B$41)</f>
        <v>#REF!</v>
      </c>
      <c r="D35" s="291" t="e">
        <f>'应收坏账准备测算D2-9'!#REF!</f>
        <v>#REF!</v>
      </c>
      <c r="E35" s="291"/>
      <c r="F35" s="306">
        <f>IF(E35=0,0,E35/$E$41)</f>
        <v>0</v>
      </c>
      <c r="G35" s="291"/>
    </row>
    <row r="36" spans="1:7" s="281" customFormat="1" ht="20.100000000000001" customHeight="1">
      <c r="A36" s="293" t="e">
        <f>'应收坏账准备测算D2-9'!#REF!</f>
        <v>#REF!</v>
      </c>
      <c r="B36" s="296" t="e">
        <f>'应收坏账准备测算D2-9'!#REF!</f>
        <v>#REF!</v>
      </c>
      <c r="C36" s="307" t="e">
        <f>IF(B36=0,0,B36/$B$41)</f>
        <v>#REF!</v>
      </c>
      <c r="D36" s="296" t="e">
        <f>'应收坏账准备测算D2-9'!#REF!</f>
        <v>#REF!</v>
      </c>
      <c r="E36" s="296"/>
      <c r="F36" s="307">
        <f>IF(E36=0,0,E36/$E$41)</f>
        <v>0</v>
      </c>
      <c r="G36" s="296"/>
    </row>
    <row r="37" spans="1:7" s="281" customFormat="1" ht="20.100000000000001" customHeight="1">
      <c r="A37" s="293" t="e">
        <f>'应收坏账准备测算D2-9'!#REF!</f>
        <v>#REF!</v>
      </c>
      <c r="B37" s="296" t="e">
        <f>'应收坏账准备测算D2-9'!#REF!</f>
        <v>#REF!</v>
      </c>
      <c r="C37" s="307" t="e">
        <f>IF(B37=0,0,B37/$B$41)</f>
        <v>#REF!</v>
      </c>
      <c r="D37" s="296" t="e">
        <f>'应收坏账准备测算D2-9'!#REF!</f>
        <v>#REF!</v>
      </c>
      <c r="E37" s="296"/>
      <c r="F37" s="307">
        <f>IF(E37=0,0,E37/$E$41)</f>
        <v>0</v>
      </c>
      <c r="G37" s="296"/>
    </row>
    <row r="38" spans="1:7" s="281" customFormat="1" ht="20.100000000000001" customHeight="1">
      <c r="A38" s="293" t="e">
        <f>'应收坏账准备测算D2-9'!#REF!</f>
        <v>#REF!</v>
      </c>
      <c r="B38" s="296" t="e">
        <f>'应收坏账准备测算D2-9'!#REF!</f>
        <v>#REF!</v>
      </c>
      <c r="C38" s="307" t="e">
        <f>IF(B38=0,0,B38/$B$41)</f>
        <v>#REF!</v>
      </c>
      <c r="D38" s="296" t="e">
        <f>'应收坏账准备测算D2-9'!#REF!</f>
        <v>#REF!</v>
      </c>
      <c r="E38" s="296"/>
      <c r="F38" s="307">
        <f>IF(E38=0,0,E38/$E$41)</f>
        <v>0</v>
      </c>
      <c r="G38" s="296"/>
    </row>
    <row r="39" spans="1:7" s="281" customFormat="1" ht="20.100000000000001" customHeight="1">
      <c r="A39" s="293" t="e">
        <f>'应收坏账准备测算D2-9'!#REF!</f>
        <v>#REF!</v>
      </c>
      <c r="B39" s="296" t="e">
        <f>'应收坏账准备测算D2-9'!#REF!</f>
        <v>#REF!</v>
      </c>
      <c r="C39" s="307" t="e">
        <f t="shared" ref="C39:C41" si="3">IF(B39=0,0,B39/$B$41)</f>
        <v>#REF!</v>
      </c>
      <c r="D39" s="296" t="e">
        <f>'应收坏账准备测算D2-9'!#REF!</f>
        <v>#REF!</v>
      </c>
      <c r="E39" s="296"/>
      <c r="F39" s="307">
        <f t="shared" ref="F39:F41" si="4">IF(E39=0,0,E39/$E$41)</f>
        <v>0</v>
      </c>
      <c r="G39" s="296"/>
    </row>
    <row r="40" spans="1:7" s="281" customFormat="1" ht="20.100000000000001" customHeight="1">
      <c r="A40" s="293" t="e">
        <f>'应收坏账准备测算D2-9'!#REF!</f>
        <v>#REF!</v>
      </c>
      <c r="B40" s="296" t="e">
        <f>'应收坏账准备测算D2-9'!#REF!</f>
        <v>#REF!</v>
      </c>
      <c r="C40" s="307" t="e">
        <f t="shared" si="3"/>
        <v>#REF!</v>
      </c>
      <c r="D40" s="296" t="e">
        <f>'应收坏账准备测算D2-9'!#REF!</f>
        <v>#REF!</v>
      </c>
      <c r="E40" s="296"/>
      <c r="F40" s="307">
        <f t="shared" si="4"/>
        <v>0</v>
      </c>
      <c r="G40" s="296"/>
    </row>
    <row r="41" spans="1:7" s="281" customFormat="1" ht="20.100000000000001" customHeight="1">
      <c r="A41" s="299" t="s">
        <v>44</v>
      </c>
      <c r="B41" s="308" t="e">
        <f>SUM(B35:B40)</f>
        <v>#REF!</v>
      </c>
      <c r="C41" s="309" t="e">
        <f t="shared" si="3"/>
        <v>#REF!</v>
      </c>
      <c r="D41" s="308" t="e">
        <f>SUM(D35:D40)</f>
        <v>#REF!</v>
      </c>
      <c r="E41" s="308">
        <f>SUM(E35:E40)</f>
        <v>0</v>
      </c>
      <c r="F41" s="309">
        <f t="shared" si="4"/>
        <v>0</v>
      </c>
      <c r="G41" s="308">
        <f>SUM(G35:G40)</f>
        <v>0</v>
      </c>
    </row>
    <row r="42" spans="1:7" s="281" customFormat="1" ht="20.100000000000001" customHeight="1">
      <c r="A42" s="310" t="s">
        <v>55</v>
      </c>
    </row>
    <row r="43" spans="1:7" s="281" customFormat="1" ht="20.100000000000001" customHeight="1">
      <c r="A43" s="286" t="s">
        <v>124</v>
      </c>
    </row>
    <row r="44" spans="1:7" s="281" customFormat="1" ht="20.100000000000001" customHeight="1">
      <c r="A44" s="456" t="s">
        <v>57</v>
      </c>
      <c r="B44" s="456" t="s">
        <v>31</v>
      </c>
      <c r="C44" s="456"/>
      <c r="D44" s="456"/>
      <c r="E44" s="456" t="s">
        <v>118</v>
      </c>
      <c r="F44" s="456"/>
      <c r="G44" s="456"/>
    </row>
    <row r="45" spans="1:7" s="281" customFormat="1" ht="20.100000000000001" customHeight="1">
      <c r="A45" s="460"/>
      <c r="B45" s="304" t="s">
        <v>51</v>
      </c>
      <c r="C45" s="304" t="s">
        <v>125</v>
      </c>
      <c r="D45" s="304" t="s">
        <v>34</v>
      </c>
      <c r="E45" s="304" t="s">
        <v>51</v>
      </c>
      <c r="F45" s="304" t="s">
        <v>125</v>
      </c>
      <c r="G45" s="304" t="s">
        <v>34</v>
      </c>
    </row>
    <row r="46" spans="1:7" s="281" customFormat="1" ht="20.100000000000001" customHeight="1">
      <c r="A46" s="311" t="s">
        <v>126</v>
      </c>
      <c r="B46" s="291"/>
      <c r="C46" s="312">
        <f>IF(B46=0,0,B46/$B$49)</f>
        <v>0</v>
      </c>
      <c r="D46" s="291"/>
      <c r="E46" s="291"/>
      <c r="F46" s="312">
        <f>IF(E46=0,0,E46/$E$49)</f>
        <v>0</v>
      </c>
      <c r="G46" s="291"/>
    </row>
    <row r="47" spans="1:7" s="281" customFormat="1" ht="20.100000000000001" customHeight="1">
      <c r="A47" s="313" t="s">
        <v>127</v>
      </c>
      <c r="B47" s="296"/>
      <c r="C47" s="314">
        <f t="shared" ref="C47:C48" si="5">IF(B47=0,0,B47/$B$49)</f>
        <v>0</v>
      </c>
      <c r="D47" s="296"/>
      <c r="F47" s="314">
        <f t="shared" ref="F47:F48" si="6">IF(E47=0,0,E47/$E$49)</f>
        <v>0</v>
      </c>
    </row>
    <row r="48" spans="1:7" s="281" customFormat="1" ht="20.100000000000001" customHeight="1">
      <c r="A48" s="315" t="s">
        <v>61</v>
      </c>
      <c r="B48" s="316"/>
      <c r="C48" s="317">
        <f t="shared" si="5"/>
        <v>0</v>
      </c>
      <c r="D48" s="316"/>
      <c r="E48" s="318"/>
      <c r="F48" s="317">
        <f t="shared" si="6"/>
        <v>0</v>
      </c>
      <c r="G48" s="318"/>
    </row>
    <row r="49" spans="1:7" s="281" customFormat="1" ht="20.100000000000001" customHeight="1">
      <c r="A49" s="299" t="s">
        <v>44</v>
      </c>
      <c r="B49" s="308">
        <f>SUM(B46:B48)</f>
        <v>0</v>
      </c>
      <c r="C49" s="319">
        <f>IF(B49=0,0,D49/B49)</f>
        <v>0</v>
      </c>
      <c r="D49" s="308">
        <f t="shared" ref="D49" si="7">SUM(D46:D48)</f>
        <v>0</v>
      </c>
      <c r="E49" s="308">
        <f t="shared" ref="E49" si="8">SUM(E46:E48)</f>
        <v>0</v>
      </c>
      <c r="F49" s="319">
        <f>IF(E49=0,0,G49/E49)</f>
        <v>0</v>
      </c>
      <c r="G49" s="308">
        <f t="shared" ref="G49" si="9">SUM(G46:G48)</f>
        <v>0</v>
      </c>
    </row>
    <row r="50" spans="1:7" s="281" customFormat="1" ht="20.100000000000001" customHeight="1">
      <c r="A50" s="320" t="s">
        <v>64</v>
      </c>
    </row>
    <row r="51" spans="1:7" s="281" customFormat="1" ht="20.100000000000001" customHeight="1">
      <c r="A51" s="286" t="s">
        <v>128</v>
      </c>
    </row>
    <row r="52" spans="1:7" s="281" customFormat="1" ht="20.100000000000001" customHeight="1">
      <c r="A52" s="463" t="s">
        <v>57</v>
      </c>
      <c r="B52" s="463" t="s">
        <v>31</v>
      </c>
      <c r="C52" s="463"/>
      <c r="D52" s="463"/>
      <c r="E52" s="463" t="s">
        <v>118</v>
      </c>
      <c r="F52" s="463"/>
      <c r="G52" s="463"/>
    </row>
    <row r="53" spans="1:7" s="281" customFormat="1" ht="20.100000000000001" customHeight="1">
      <c r="A53" s="464"/>
      <c r="B53" s="321" t="s">
        <v>51</v>
      </c>
      <c r="C53" s="321" t="s">
        <v>125</v>
      </c>
      <c r="D53" s="321" t="s">
        <v>34</v>
      </c>
      <c r="E53" s="321" t="s">
        <v>51</v>
      </c>
      <c r="F53" s="321" t="s">
        <v>125</v>
      </c>
      <c r="G53" s="321" t="s">
        <v>34</v>
      </c>
    </row>
    <row r="54" spans="1:7" s="281" customFormat="1" ht="20.100000000000001" customHeight="1">
      <c r="A54" s="322" t="s">
        <v>126</v>
      </c>
      <c r="B54" s="291"/>
      <c r="C54" s="312">
        <f>IF(B54=0,0,B54/$B$57)</f>
        <v>0</v>
      </c>
      <c r="D54" s="291"/>
      <c r="E54" s="291"/>
      <c r="F54" s="312">
        <f>IF(E54=0,0,E54/$E$57)</f>
        <v>0</v>
      </c>
      <c r="G54" s="291"/>
    </row>
    <row r="55" spans="1:7" s="281" customFormat="1" ht="20.100000000000001" customHeight="1">
      <c r="A55" s="323" t="s">
        <v>127</v>
      </c>
      <c r="B55" s="296"/>
      <c r="C55" s="314">
        <f>IF(B55=0,0,B55/$B$57)</f>
        <v>0</v>
      </c>
      <c r="D55" s="296"/>
      <c r="E55" s="296"/>
      <c r="F55" s="314">
        <f>IF(E55=0,0,E55/$E$57)</f>
        <v>0</v>
      </c>
      <c r="G55" s="296"/>
    </row>
    <row r="56" spans="1:7" s="281" customFormat="1" ht="20.100000000000001" customHeight="1">
      <c r="A56" s="324" t="s">
        <v>61</v>
      </c>
      <c r="B56" s="316"/>
      <c r="C56" s="317">
        <f>IF(B56=0,0,B56/$B$57)</f>
        <v>0</v>
      </c>
      <c r="D56" s="316"/>
      <c r="E56" s="318"/>
      <c r="F56" s="317">
        <f>IF(E56=0,0,E56/$E$57)</f>
        <v>0</v>
      </c>
      <c r="G56" s="318"/>
    </row>
    <row r="57" spans="1:7" s="281" customFormat="1" ht="20.100000000000001" customHeight="1">
      <c r="A57" s="325" t="s">
        <v>44</v>
      </c>
      <c r="B57" s="326">
        <f>SUM(B54:B56)</f>
        <v>0</v>
      </c>
      <c r="C57" s="319">
        <f>IF(B57=0,0,D57/B57)</f>
        <v>0</v>
      </c>
      <c r="D57" s="326">
        <f>SUM(D54:D56)</f>
        <v>0</v>
      </c>
      <c r="E57" s="326">
        <f>SUM(E54:E56)</f>
        <v>0</v>
      </c>
      <c r="F57" s="319">
        <f>IF(E57=0,0,G57/E57)</f>
        <v>0</v>
      </c>
      <c r="G57" s="326">
        <f>SUM(G54:G56)</f>
        <v>0</v>
      </c>
    </row>
    <row r="58" spans="1:7" s="281" customFormat="1" ht="20.100000000000001" customHeight="1">
      <c r="A58" s="320" t="s">
        <v>64</v>
      </c>
    </row>
    <row r="59" spans="1:7" s="281" customFormat="1" ht="20.100000000000001" customHeight="1">
      <c r="A59" s="286" t="s">
        <v>129</v>
      </c>
    </row>
    <row r="60" spans="1:7" s="281" customFormat="1" ht="20.100000000000001" customHeight="1">
      <c r="A60" s="456" t="s">
        <v>57</v>
      </c>
      <c r="B60" s="456" t="s">
        <v>31</v>
      </c>
      <c r="C60" s="456"/>
      <c r="D60" s="456"/>
      <c r="E60" s="456" t="s">
        <v>118</v>
      </c>
      <c r="F60" s="456"/>
      <c r="G60" s="456"/>
    </row>
    <row r="61" spans="1:7" s="281" customFormat="1" ht="20.100000000000001" customHeight="1">
      <c r="A61" s="460"/>
      <c r="B61" s="304" t="s">
        <v>51</v>
      </c>
      <c r="C61" s="304" t="s">
        <v>125</v>
      </c>
      <c r="D61" s="304" t="s">
        <v>34</v>
      </c>
      <c r="E61" s="304" t="s">
        <v>51</v>
      </c>
      <c r="F61" s="304" t="s">
        <v>125</v>
      </c>
      <c r="G61" s="304" t="s">
        <v>34</v>
      </c>
    </row>
    <row r="62" spans="1:7" s="281" customFormat="1" ht="20.100000000000001" customHeight="1">
      <c r="A62" s="311" t="s">
        <v>126</v>
      </c>
      <c r="B62" s="291"/>
      <c r="C62" s="312">
        <f>IF(B62=0,0,B62/$B$65)</f>
        <v>0</v>
      </c>
      <c r="D62" s="291"/>
      <c r="E62" s="291"/>
      <c r="F62" s="312">
        <f>IF(E62=0,0,E62/$E$65)</f>
        <v>0</v>
      </c>
      <c r="G62" s="291"/>
    </row>
    <row r="63" spans="1:7" s="281" customFormat="1" ht="20.100000000000001" customHeight="1">
      <c r="A63" s="313" t="s">
        <v>127</v>
      </c>
      <c r="B63" s="296"/>
      <c r="C63" s="314">
        <f>IF(B63=0,0,B63/$B$65)</f>
        <v>0</v>
      </c>
      <c r="D63" s="296"/>
      <c r="E63" s="296"/>
      <c r="F63" s="314">
        <f>IF(E63=0,0,E63/$E$65)</f>
        <v>0</v>
      </c>
      <c r="G63" s="296"/>
    </row>
    <row r="64" spans="1:7" s="281" customFormat="1" ht="20.100000000000001" customHeight="1">
      <c r="A64" s="315" t="s">
        <v>61</v>
      </c>
      <c r="B64" s="316"/>
      <c r="C64" s="317">
        <f>IF(B64=0,0,B64/$B$65)</f>
        <v>0</v>
      </c>
      <c r="D64" s="316"/>
      <c r="E64" s="318"/>
      <c r="F64" s="317">
        <f>IF(E64=0,0,E64/$E$65)</f>
        <v>0</v>
      </c>
      <c r="G64" s="318"/>
    </row>
    <row r="65" spans="1:7" s="281" customFormat="1" ht="20.100000000000001" customHeight="1">
      <c r="A65" s="327" t="s">
        <v>44</v>
      </c>
      <c r="B65" s="326">
        <f>SUM(B62:B64)</f>
        <v>0</v>
      </c>
      <c r="C65" s="319">
        <f>IF(B65=0,0,D65/B65)</f>
        <v>0</v>
      </c>
      <c r="D65" s="326">
        <f>SUM(D62:D64)</f>
        <v>0</v>
      </c>
      <c r="E65" s="326">
        <f>SUM(E62:E64)</f>
        <v>0</v>
      </c>
      <c r="F65" s="319">
        <f>IF(E65=0,0,G65/E65)</f>
        <v>0</v>
      </c>
      <c r="G65" s="326">
        <f>SUM(G62:G64)</f>
        <v>0</v>
      </c>
    </row>
    <row r="66" spans="1:7" s="281" customFormat="1" ht="20.100000000000001" customHeight="1">
      <c r="A66" s="320" t="s">
        <v>64</v>
      </c>
    </row>
    <row r="67" spans="1:7" s="281" customFormat="1" ht="20.100000000000001" customHeight="1">
      <c r="A67" s="286" t="s">
        <v>130</v>
      </c>
    </row>
    <row r="68" spans="1:7" s="281" customFormat="1" ht="20.100000000000001" customHeight="1">
      <c r="A68" s="288" t="s">
        <v>131</v>
      </c>
      <c r="B68" s="288" t="s">
        <v>51</v>
      </c>
      <c r="C68" s="288" t="s">
        <v>34</v>
      </c>
      <c r="D68" s="288" t="s">
        <v>95</v>
      </c>
      <c r="E68" s="288" t="s">
        <v>132</v>
      </c>
      <c r="F68" s="288" t="s">
        <v>52</v>
      </c>
    </row>
    <row r="69" spans="1:7" s="281" customFormat="1" ht="20.100000000000001" customHeight="1">
      <c r="A69" s="328"/>
      <c r="B69" s="329"/>
      <c r="C69" s="330"/>
      <c r="D69" s="331"/>
      <c r="E69" s="306">
        <f>IF(B69=0,0,C69/B69)</f>
        <v>0</v>
      </c>
      <c r="F69" s="332"/>
    </row>
    <row r="70" spans="1:7" s="281" customFormat="1" ht="20.100000000000001" customHeight="1">
      <c r="A70" s="333"/>
      <c r="B70" s="334"/>
      <c r="C70" s="335"/>
      <c r="E70" s="307">
        <f>IF(B70=0,0,C70/B70)</f>
        <v>0</v>
      </c>
      <c r="F70" s="336"/>
    </row>
    <row r="71" spans="1:7" s="281" customFormat="1" ht="20.100000000000001" customHeight="1">
      <c r="A71" s="333"/>
      <c r="B71" s="334"/>
      <c r="C71" s="335"/>
      <c r="E71" s="307">
        <f>IF(B71=0,0,C71/B71)</f>
        <v>0</v>
      </c>
      <c r="F71" s="336"/>
    </row>
    <row r="72" spans="1:7" s="281" customFormat="1" ht="20.100000000000001" customHeight="1">
      <c r="A72" s="333"/>
      <c r="B72" s="334"/>
      <c r="C72" s="335"/>
      <c r="E72" s="307">
        <f>IF(B72=0,0,C72/B72)</f>
        <v>0</v>
      </c>
      <c r="F72" s="336"/>
    </row>
    <row r="73" spans="1:7" s="281" customFormat="1" ht="20.100000000000001" customHeight="1">
      <c r="A73" s="337"/>
      <c r="B73" s="338"/>
      <c r="C73" s="339"/>
      <c r="D73" s="318"/>
      <c r="E73" s="340">
        <f>IF(B73=0,0,C73/B73)</f>
        <v>0</v>
      </c>
      <c r="F73" s="341"/>
    </row>
    <row r="74" spans="1:7" s="281" customFormat="1" ht="20.100000000000001" customHeight="1">
      <c r="A74" s="325" t="s">
        <v>44</v>
      </c>
      <c r="B74" s="342">
        <f>SUM(B69:B73)</f>
        <v>0</v>
      </c>
      <c r="C74" s="342">
        <f t="shared" ref="C74" si="10">SUM(C69:C73)</f>
        <v>0</v>
      </c>
      <c r="D74" s="342"/>
      <c r="E74" s="342"/>
      <c r="F74" s="341"/>
    </row>
    <row r="75" spans="1:7" s="281" customFormat="1" ht="20.100000000000001" customHeight="1">
      <c r="A75" s="286" t="s">
        <v>133</v>
      </c>
    </row>
    <row r="76" spans="1:7" s="281" customFormat="1" ht="46.8">
      <c r="A76" s="343" t="s">
        <v>131</v>
      </c>
      <c r="B76" s="344" t="s">
        <v>134</v>
      </c>
      <c r="C76" s="344" t="s">
        <v>135</v>
      </c>
      <c r="D76" s="344" t="s">
        <v>136</v>
      </c>
      <c r="E76" s="344" t="s">
        <v>79</v>
      </c>
    </row>
    <row r="77" spans="1:7" s="281" customFormat="1" ht="20.100000000000001" customHeight="1">
      <c r="A77" s="345">
        <f>'坏账准备转回（收回）、核销检查表D2-11'!A13</f>
        <v>0</v>
      </c>
      <c r="B77" s="345">
        <f>'坏账准备转回（收回）、核销检查表D2-11'!B13</f>
        <v>0</v>
      </c>
      <c r="C77" s="345">
        <f>'坏账准备转回（收回）、核销检查表D2-11'!D13</f>
        <v>0</v>
      </c>
      <c r="D77" s="346">
        <f>'坏账准备转回（收回）、核销检查表D2-11'!F13</f>
        <v>0</v>
      </c>
      <c r="E77" s="346">
        <f>'坏账准备转回（收回）、核销检查表D2-11'!E13</f>
        <v>0</v>
      </c>
    </row>
    <row r="78" spans="1:7" s="281" customFormat="1" ht="20.100000000000001" customHeight="1">
      <c r="A78" s="286">
        <f>'坏账准备转回（收回）、核销检查表D2-11'!A14</f>
        <v>0</v>
      </c>
      <c r="B78" s="286">
        <f>'坏账准备转回（收回）、核销检查表D2-11'!B14</f>
        <v>0</v>
      </c>
      <c r="C78" s="286">
        <f>'坏账准备转回（收回）、核销检查表D2-11'!D14</f>
        <v>0</v>
      </c>
      <c r="D78" s="347">
        <f>'坏账准备转回（收回）、核销检查表D2-11'!F14</f>
        <v>0</v>
      </c>
      <c r="E78" s="347">
        <f>'坏账准备转回（收回）、核销检查表D2-11'!E14</f>
        <v>0</v>
      </c>
    </row>
    <row r="79" spans="1:7" s="281" customFormat="1" ht="20.100000000000001" customHeight="1">
      <c r="A79" s="348">
        <f>'坏账准备转回（收回）、核销检查表D2-11'!A15</f>
        <v>0</v>
      </c>
      <c r="B79" s="348">
        <f>'坏账准备转回（收回）、核销检查表D2-11'!B15</f>
        <v>0</v>
      </c>
      <c r="C79" s="348">
        <f>'坏账准备转回（收回）、核销检查表D2-11'!D15</f>
        <v>0</v>
      </c>
      <c r="D79" s="349">
        <f>'坏账准备转回（收回）、核销检查表D2-11'!F15</f>
        <v>0</v>
      </c>
      <c r="E79" s="349">
        <f>'坏账准备转回（收回）、核销检查表D2-11'!E15</f>
        <v>0</v>
      </c>
    </row>
    <row r="80" spans="1:7" s="281" customFormat="1" ht="20.100000000000001" customHeight="1">
      <c r="A80" s="325" t="s">
        <v>137</v>
      </c>
      <c r="B80" s="325"/>
      <c r="C80" s="325"/>
      <c r="D80" s="326">
        <f>SUM(D77:D79)</f>
        <v>0</v>
      </c>
      <c r="E80" s="326">
        <f>SUM(E77:E79)</f>
        <v>0</v>
      </c>
    </row>
    <row r="81" spans="1:5" s="281" customFormat="1" ht="28.5" customHeight="1">
      <c r="A81" s="457" t="s">
        <v>138</v>
      </c>
      <c r="B81" s="457"/>
      <c r="C81" s="457"/>
      <c r="D81" s="457"/>
      <c r="E81" s="457"/>
    </row>
    <row r="82" spans="1:5" s="281" customFormat="1" ht="20.100000000000001" customHeight="1">
      <c r="A82" s="286" t="s">
        <v>139</v>
      </c>
    </row>
    <row r="83" spans="1:5" s="281" customFormat="1" ht="39.75" customHeight="1">
      <c r="A83" s="288" t="s">
        <v>131</v>
      </c>
      <c r="B83" s="288" t="s">
        <v>140</v>
      </c>
      <c r="C83" s="288" t="s">
        <v>83</v>
      </c>
      <c r="D83" s="288" t="s">
        <v>87</v>
      </c>
      <c r="E83" s="288" t="s">
        <v>141</v>
      </c>
    </row>
    <row r="84" spans="1:5" s="281" customFormat="1" ht="20.100000000000001" customHeight="1">
      <c r="A84" s="350">
        <f>'坏账准备转回（收回）、核销检查表D2-11'!A19</f>
        <v>0</v>
      </c>
      <c r="B84" s="345">
        <f>'坏账准备转回（收回）、核销检查表D2-11'!C19</f>
        <v>0</v>
      </c>
      <c r="C84" s="351">
        <f>'坏账准备转回（收回）、核销检查表D2-11'!D19</f>
        <v>0</v>
      </c>
      <c r="D84" s="345">
        <f>'坏账准备转回（收回）、核销检查表D2-11'!E19</f>
        <v>0</v>
      </c>
      <c r="E84" s="345">
        <f>'坏账准备转回（收回）、核销检查表D2-11'!G19</f>
        <v>0</v>
      </c>
    </row>
    <row r="85" spans="1:5" s="281" customFormat="1" ht="20.100000000000001" customHeight="1">
      <c r="A85" s="287">
        <f>'坏账准备转回（收回）、核销检查表D2-11'!A20</f>
        <v>0</v>
      </c>
      <c r="B85" s="286">
        <f>'坏账准备转回（收回）、核销检查表D2-11'!C20</f>
        <v>0</v>
      </c>
      <c r="C85" s="352">
        <f>'坏账准备转回（收回）、核销检查表D2-11'!D20</f>
        <v>0</v>
      </c>
      <c r="D85" s="286">
        <f>'坏账准备转回（收回）、核销检查表D2-11'!E20</f>
        <v>0</v>
      </c>
      <c r="E85" s="286">
        <f>'坏账准备转回（收回）、核销检查表D2-11'!G20</f>
        <v>0</v>
      </c>
    </row>
    <row r="86" spans="1:5" s="281" customFormat="1" ht="20.100000000000001" customHeight="1">
      <c r="A86" s="353">
        <f>'坏账准备转回（收回）、核销检查表D2-11'!A21</f>
        <v>0</v>
      </c>
      <c r="B86" s="348">
        <f>'坏账准备转回（收回）、核销检查表D2-11'!C21</f>
        <v>0</v>
      </c>
      <c r="C86" s="354">
        <f>'坏账准备转回（收回）、核销检查表D2-11'!D21</f>
        <v>0</v>
      </c>
      <c r="D86" s="348">
        <f>'坏账准备转回（收回）、核销检查表D2-11'!E21</f>
        <v>0</v>
      </c>
      <c r="E86" s="348">
        <f>'坏账准备转回（收回）、核销检查表D2-11'!G21</f>
        <v>0</v>
      </c>
    </row>
    <row r="87" spans="1:5" s="281" customFormat="1" ht="20.100000000000001" customHeight="1">
      <c r="A87" s="355" t="s">
        <v>137</v>
      </c>
      <c r="B87" s="355" t="s">
        <v>142</v>
      </c>
      <c r="C87" s="356">
        <f>SUM(C84:C86)</f>
        <v>0</v>
      </c>
      <c r="D87" s="357" t="s">
        <v>142</v>
      </c>
      <c r="E87" s="357" t="s">
        <v>142</v>
      </c>
    </row>
    <row r="88" spans="1:5" s="281" customFormat="1" ht="20.100000000000001" customHeight="1">
      <c r="A88" s="286" t="s">
        <v>143</v>
      </c>
    </row>
    <row r="89" spans="1:5" s="281" customFormat="1" ht="47.4">
      <c r="A89" s="288" t="s">
        <v>75</v>
      </c>
      <c r="B89" s="288" t="s">
        <v>103</v>
      </c>
      <c r="C89" s="288" t="s">
        <v>144</v>
      </c>
    </row>
    <row r="90" spans="1:5" s="281" customFormat="1" ht="20.100000000000001" customHeight="1">
      <c r="A90" s="350" t="e">
        <f>#REF!</f>
        <v>#REF!</v>
      </c>
      <c r="B90" s="351" t="e">
        <f>#REF!</f>
        <v>#REF!</v>
      </c>
      <c r="C90" s="351" t="e">
        <f>#REF!</f>
        <v>#REF!</v>
      </c>
    </row>
    <row r="91" spans="1:5" s="281" customFormat="1" ht="20.100000000000001" customHeight="1">
      <c r="A91" s="287" t="e">
        <f>#REF!</f>
        <v>#REF!</v>
      </c>
      <c r="B91" s="352" t="e">
        <f>#REF!</f>
        <v>#REF!</v>
      </c>
      <c r="C91" s="352" t="e">
        <f>#REF!</f>
        <v>#REF!</v>
      </c>
    </row>
    <row r="92" spans="1:5" s="281" customFormat="1" ht="20.100000000000001" customHeight="1">
      <c r="A92" s="358"/>
      <c r="B92" s="359"/>
      <c r="C92" s="359"/>
    </row>
    <row r="93" spans="1:5" s="281" customFormat="1" ht="20.100000000000001" customHeight="1">
      <c r="A93" s="360" t="s">
        <v>44</v>
      </c>
      <c r="B93" s="361" t="e">
        <f>SUM(B90:B92)</f>
        <v>#REF!</v>
      </c>
      <c r="C93" s="361" t="e">
        <f>SUM(C90:C92)</f>
        <v>#REF!</v>
      </c>
    </row>
    <row r="94" spans="1:5" s="281" customFormat="1" ht="20.100000000000001" customHeight="1">
      <c r="A94" s="286" t="s">
        <v>145</v>
      </c>
    </row>
    <row r="95" spans="1:5" s="281" customFormat="1" ht="20.100000000000001" customHeight="1">
      <c r="A95" s="362" t="s">
        <v>101</v>
      </c>
      <c r="B95" s="362" t="s">
        <v>146</v>
      </c>
    </row>
    <row r="96" spans="1:5" s="281" customFormat="1" ht="20.100000000000001" customHeight="1">
      <c r="A96" s="293" t="s">
        <v>107</v>
      </c>
      <c r="B96" s="363"/>
    </row>
    <row r="97" spans="1:7" s="281" customFormat="1" ht="20.100000000000001" customHeight="1">
      <c r="A97" s="293"/>
      <c r="B97" s="364"/>
    </row>
    <row r="98" spans="1:7" s="281" customFormat="1" ht="20.100000000000001" customHeight="1">
      <c r="A98" s="365" t="s">
        <v>108</v>
      </c>
      <c r="B98" s="366">
        <f>SUM(B97:B97)</f>
        <v>0</v>
      </c>
    </row>
    <row r="99" spans="1:7" s="281" customFormat="1" ht="20.100000000000001" customHeight="1">
      <c r="A99" s="293" t="s">
        <v>109</v>
      </c>
      <c r="B99" s="367"/>
    </row>
    <row r="100" spans="1:7" s="281" customFormat="1" ht="20.100000000000001" customHeight="1">
      <c r="A100" s="293"/>
      <c r="B100" s="368"/>
    </row>
    <row r="101" spans="1:7" s="281" customFormat="1" ht="20.100000000000001" customHeight="1">
      <c r="A101" s="327" t="s">
        <v>110</v>
      </c>
      <c r="B101" s="361">
        <f>SUM(B100:B100)</f>
        <v>0</v>
      </c>
    </row>
    <row r="102" spans="1:7" s="281" customFormat="1" ht="30" customHeight="1">
      <c r="A102" s="453" t="s">
        <v>111</v>
      </c>
      <c r="B102" s="453"/>
      <c r="C102" s="453"/>
      <c r="D102" s="453"/>
      <c r="E102" s="453"/>
      <c r="F102" s="453"/>
      <c r="G102" s="453"/>
    </row>
  </sheetData>
  <mergeCells count="25">
    <mergeCell ref="A102:G102"/>
    <mergeCell ref="A8:A9"/>
    <mergeCell ref="A19:A20"/>
    <mergeCell ref="A32:A34"/>
    <mergeCell ref="A44:A45"/>
    <mergeCell ref="A52:A53"/>
    <mergeCell ref="A60:A61"/>
    <mergeCell ref="D33:D34"/>
    <mergeCell ref="G33:G34"/>
    <mergeCell ref="B52:D52"/>
    <mergeCell ref="E52:G52"/>
    <mergeCell ref="B60:D60"/>
    <mergeCell ref="E60:G60"/>
    <mergeCell ref="A81:E81"/>
    <mergeCell ref="B32:D32"/>
    <mergeCell ref="E32:G32"/>
    <mergeCell ref="B33:C33"/>
    <mergeCell ref="E33:F33"/>
    <mergeCell ref="B44:D44"/>
    <mergeCell ref="E44:G44"/>
    <mergeCell ref="A1:G1"/>
    <mergeCell ref="A2:G2"/>
    <mergeCell ref="B8:E8"/>
    <mergeCell ref="B19:E19"/>
    <mergeCell ref="A29:E29"/>
  </mergeCells>
  <phoneticPr fontId="145" type="noConversion"/>
  <printOptions horizontalCentered="1"/>
  <pageMargins left="0.74803149606299202" right="0.55118110236220497" top="0.98425196850393704" bottom="0.23622047244094499" header="0.511811023622047" footer="0.196850393700787"/>
  <pageSetup paperSize="9" scale="67" fitToHeight="3" orientation="portrait" blackAndWhite="1" cellComments="atEnd" r:id="rId1"/>
  <headerFooter alignWithMargins="0"/>
  <rowBreaks count="3" manualBreakCount="3">
    <brk id="17" max="6" man="1"/>
    <brk id="42" max="6" man="1"/>
    <brk id="52" max="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N31"/>
  <sheetViews>
    <sheetView view="pageBreakPreview" zoomScaleNormal="100" workbookViewId="0">
      <selection sqref="A1:L1"/>
    </sheetView>
  </sheetViews>
  <sheetFormatPr defaultColWidth="9" defaultRowHeight="20.100000000000001" customHeight="1"/>
  <cols>
    <col min="1" max="1" width="18" style="31" customWidth="1"/>
    <col min="2" max="2" width="12" style="31" customWidth="1"/>
    <col min="3" max="3" width="11.3984375" style="31" customWidth="1"/>
    <col min="4" max="4" width="11.59765625" style="31" customWidth="1"/>
    <col min="5" max="5" width="11.8984375" style="31" customWidth="1"/>
    <col min="6" max="7" width="12.19921875" style="31" customWidth="1"/>
    <col min="8" max="8" width="11.5" style="31" customWidth="1"/>
    <col min="9" max="9" width="15.3984375" style="31" customWidth="1"/>
    <col min="10" max="10" width="11.59765625" style="31" customWidth="1"/>
    <col min="11" max="11" width="11.69921875" style="31" customWidth="1"/>
    <col min="12" max="16384" width="9" style="31"/>
  </cols>
  <sheetData>
    <row r="1" spans="1:14" ht="20.100000000000001" customHeight="1">
      <c r="A1" s="465" t="s">
        <v>147</v>
      </c>
      <c r="B1" s="465"/>
      <c r="C1" s="465"/>
      <c r="D1" s="465"/>
      <c r="E1" s="465"/>
      <c r="F1" s="465"/>
      <c r="G1" s="465"/>
      <c r="H1" s="465"/>
      <c r="I1" s="465"/>
      <c r="J1" s="465"/>
      <c r="K1" s="465"/>
      <c r="L1" s="465"/>
    </row>
    <row r="2" spans="1:14" ht="20.100000000000001" customHeight="1">
      <c r="A2" s="466" t="s">
        <v>451</v>
      </c>
      <c r="B2" s="466"/>
      <c r="C2" s="466"/>
      <c r="D2" s="466"/>
      <c r="E2" s="466"/>
      <c r="F2" s="466"/>
      <c r="G2" s="466"/>
      <c r="H2" s="466"/>
      <c r="I2" s="466"/>
      <c r="J2" s="466"/>
      <c r="K2" s="466"/>
      <c r="L2" s="466"/>
      <c r="M2" s="274"/>
    </row>
    <row r="3" spans="1:14" ht="20.100000000000001" customHeight="1">
      <c r="A3" s="30" t="s">
        <v>148</v>
      </c>
      <c r="B3" s="30"/>
      <c r="E3" s="262" t="str">
        <f>底稿目录!A4</f>
        <v>编制人：</v>
      </c>
      <c r="H3" s="30" t="str">
        <f>底稿目录!A5</f>
        <v>编制日期：</v>
      </c>
      <c r="I3" s="73"/>
      <c r="K3" s="275" t="s">
        <v>149</v>
      </c>
      <c r="L3" s="451" t="str">
        <f>底稿目录!F10</f>
        <v>D2-6</v>
      </c>
    </row>
    <row r="4" spans="1:14" ht="20.100000000000001" customHeight="1">
      <c r="A4" s="30" t="s">
        <v>5</v>
      </c>
      <c r="B4" s="30"/>
      <c r="E4" s="262" t="str">
        <f>底稿目录!A6</f>
        <v>复核人：</v>
      </c>
      <c r="H4" s="30" t="str">
        <f>底稿目录!A7</f>
        <v>复核日期：</v>
      </c>
      <c r="I4" s="73"/>
      <c r="K4" s="275" t="s">
        <v>150</v>
      </c>
    </row>
    <row r="5" spans="1:14" ht="20.100000000000001" customHeight="1">
      <c r="A5" s="29" t="s">
        <v>151</v>
      </c>
      <c r="B5" s="30"/>
      <c r="C5" s="30"/>
      <c r="D5" s="30"/>
      <c r="G5" s="30"/>
      <c r="H5" s="73"/>
      <c r="I5" s="73"/>
    </row>
    <row r="6" spans="1:14" ht="20.100000000000001" customHeight="1">
      <c r="A6" s="30" t="s">
        <v>152</v>
      </c>
      <c r="B6" s="30"/>
      <c r="C6" s="30"/>
      <c r="D6" s="30"/>
      <c r="G6" s="30"/>
      <c r="H6" s="73"/>
      <c r="I6" s="73"/>
    </row>
    <row r="7" spans="1:14" ht="20.100000000000001" customHeight="1">
      <c r="A7" s="30" t="s">
        <v>153</v>
      </c>
      <c r="B7" s="30"/>
      <c r="C7" s="30"/>
      <c r="D7" s="30"/>
      <c r="G7" s="30"/>
      <c r="H7" s="73"/>
      <c r="I7" s="73"/>
    </row>
    <row r="8" spans="1:14" ht="20.100000000000001" customHeight="1">
      <c r="A8" s="29" t="s">
        <v>154</v>
      </c>
      <c r="B8" s="30"/>
      <c r="C8" s="30"/>
      <c r="D8" s="30"/>
      <c r="G8" s="30"/>
      <c r="H8" s="73"/>
      <c r="I8" s="73"/>
    </row>
    <row r="9" spans="1:14" ht="20.100000000000001" customHeight="1">
      <c r="A9" s="263" t="s">
        <v>155</v>
      </c>
      <c r="B9" s="30"/>
      <c r="C9" s="30"/>
      <c r="D9" s="30"/>
      <c r="G9" s="30"/>
      <c r="H9" s="73"/>
      <c r="I9" s="73"/>
    </row>
    <row r="10" spans="1:14" ht="20.100000000000001" customHeight="1">
      <c r="B10" s="30"/>
      <c r="C10" s="30"/>
      <c r="D10" s="30"/>
      <c r="G10" s="30"/>
      <c r="H10" s="73"/>
      <c r="I10" s="73"/>
    </row>
    <row r="11" spans="1:14" ht="20.100000000000001" customHeight="1">
      <c r="B11" s="30"/>
      <c r="C11" s="30"/>
      <c r="D11" s="30"/>
      <c r="G11" s="30"/>
      <c r="H11" s="73"/>
      <c r="I11" s="73"/>
    </row>
    <row r="12" spans="1:14" ht="34.5" customHeight="1">
      <c r="A12" s="264" t="s">
        <v>156</v>
      </c>
      <c r="B12" s="264" t="s">
        <v>157</v>
      </c>
      <c r="C12" s="264" t="s">
        <v>158</v>
      </c>
      <c r="D12" s="264" t="s">
        <v>159</v>
      </c>
      <c r="E12" s="264" t="s">
        <v>160</v>
      </c>
      <c r="F12" s="264" t="s">
        <v>161</v>
      </c>
      <c r="G12" s="265" t="s">
        <v>162</v>
      </c>
      <c r="H12" s="265" t="s">
        <v>163</v>
      </c>
      <c r="I12" s="264" t="s">
        <v>164</v>
      </c>
      <c r="J12" s="264" t="s">
        <v>165</v>
      </c>
      <c r="K12" s="264" t="s">
        <v>166</v>
      </c>
      <c r="L12" s="264" t="s">
        <v>4</v>
      </c>
      <c r="M12" s="272"/>
      <c r="N12" s="73"/>
    </row>
    <row r="13" spans="1:14" ht="20.100000000000001" customHeight="1">
      <c r="A13" s="266"/>
      <c r="B13" s="266"/>
      <c r="C13" s="267"/>
      <c r="D13" s="267"/>
      <c r="E13" s="267"/>
      <c r="F13" s="268">
        <f>C13+D13-E13</f>
        <v>0</v>
      </c>
      <c r="G13" s="267"/>
      <c r="H13" s="268">
        <f>F13-G13</f>
        <v>0</v>
      </c>
      <c r="I13" s="266"/>
      <c r="J13" s="266"/>
      <c r="K13" s="267"/>
      <c r="L13" s="276"/>
      <c r="M13" s="73"/>
    </row>
    <row r="14" spans="1:14" ht="20.100000000000001" customHeight="1">
      <c r="A14" s="266"/>
      <c r="B14" s="266"/>
      <c r="C14" s="267"/>
      <c r="D14" s="267"/>
      <c r="E14" s="267"/>
      <c r="F14" s="268">
        <f t="shared" ref="F14:F15" si="0">C14+D14-E14</f>
        <v>0</v>
      </c>
      <c r="G14" s="267"/>
      <c r="H14" s="268">
        <f t="shared" ref="H14:H15" si="1">F14-G14</f>
        <v>0</v>
      </c>
      <c r="I14" s="266"/>
      <c r="J14" s="266"/>
      <c r="K14" s="267"/>
      <c r="L14" s="276"/>
      <c r="M14" s="73"/>
    </row>
    <row r="15" spans="1:14" ht="20.100000000000001" customHeight="1">
      <c r="A15" s="266"/>
      <c r="B15" s="266"/>
      <c r="C15" s="267"/>
      <c r="D15" s="267"/>
      <c r="E15" s="267"/>
      <c r="F15" s="268">
        <f t="shared" si="0"/>
        <v>0</v>
      </c>
      <c r="G15" s="267"/>
      <c r="H15" s="268">
        <f t="shared" si="1"/>
        <v>0</v>
      </c>
      <c r="I15" s="266"/>
      <c r="J15" s="266"/>
      <c r="K15" s="267"/>
      <c r="L15" s="276"/>
      <c r="M15" s="73"/>
    </row>
    <row r="16" spans="1:14" ht="20.100000000000001" customHeight="1">
      <c r="A16" s="264" t="s">
        <v>167</v>
      </c>
      <c r="B16" s="269"/>
      <c r="C16" s="268">
        <f>SUM(C13:C15)</f>
        <v>0</v>
      </c>
      <c r="D16" s="268">
        <f t="shared" ref="D16:H16" si="2">SUM(D13:D15)</f>
        <v>0</v>
      </c>
      <c r="E16" s="268">
        <f t="shared" si="2"/>
        <v>0</v>
      </c>
      <c r="F16" s="268">
        <f t="shared" si="2"/>
        <v>0</v>
      </c>
      <c r="G16" s="268">
        <f t="shared" si="2"/>
        <v>0</v>
      </c>
      <c r="H16" s="268">
        <f t="shared" si="2"/>
        <v>0</v>
      </c>
      <c r="I16" s="277"/>
      <c r="J16" s="277"/>
      <c r="K16" s="278"/>
      <c r="L16" s="264"/>
      <c r="M16" s="73"/>
    </row>
    <row r="17" spans="1:13" ht="20.100000000000001" customHeight="1">
      <c r="A17" s="270" t="s">
        <v>168</v>
      </c>
      <c r="B17" s="271"/>
      <c r="I17" s="271"/>
      <c r="J17" s="271"/>
      <c r="K17" s="271"/>
      <c r="L17" s="271"/>
      <c r="M17" s="271"/>
    </row>
    <row r="18" spans="1:13" ht="20.100000000000001" customHeight="1">
      <c r="A18" s="73"/>
      <c r="B18" s="73"/>
      <c r="I18" s="73"/>
      <c r="J18" s="73"/>
      <c r="K18" s="73"/>
      <c r="L18" s="73"/>
      <c r="M18" s="73"/>
    </row>
    <row r="19" spans="1:13" ht="20.100000000000001" customHeight="1">
      <c r="B19" s="73"/>
      <c r="I19" s="73"/>
      <c r="J19" s="73"/>
      <c r="K19" s="73"/>
      <c r="L19" s="73"/>
      <c r="M19" s="73"/>
    </row>
    <row r="20" spans="1:13" ht="20.100000000000001" customHeight="1">
      <c r="A20" s="73"/>
      <c r="B20" s="73"/>
      <c r="I20" s="73"/>
      <c r="J20" s="73"/>
      <c r="K20" s="73"/>
      <c r="L20" s="73"/>
      <c r="M20" s="73"/>
    </row>
    <row r="21" spans="1:13" ht="20.100000000000001" customHeight="1">
      <c r="A21" s="272" t="s">
        <v>169</v>
      </c>
    </row>
    <row r="23" spans="1:13" ht="20.100000000000001" customHeight="1">
      <c r="B23" s="273" t="s">
        <v>170</v>
      </c>
    </row>
    <row r="24" spans="1:13" ht="20.100000000000001" customHeight="1">
      <c r="B24" s="73" t="s">
        <v>171</v>
      </c>
    </row>
    <row r="25" spans="1:13" ht="20.100000000000001" customHeight="1">
      <c r="B25" s="73" t="s">
        <v>172</v>
      </c>
    </row>
    <row r="26" spans="1:13" ht="20.100000000000001" customHeight="1">
      <c r="B26" s="73" t="s">
        <v>173</v>
      </c>
    </row>
    <row r="27" spans="1:13" ht="20.100000000000001" customHeight="1">
      <c r="B27" s="73" t="s">
        <v>174</v>
      </c>
    </row>
    <row r="28" spans="1:13" ht="20.100000000000001" customHeight="1">
      <c r="B28" s="73" t="s">
        <v>175</v>
      </c>
    </row>
    <row r="29" spans="1:13" ht="20.100000000000001" customHeight="1">
      <c r="B29" s="31" t="s">
        <v>176</v>
      </c>
    </row>
    <row r="30" spans="1:13" ht="20.100000000000001" customHeight="1">
      <c r="B30" s="73" t="s">
        <v>177</v>
      </c>
    </row>
    <row r="31" spans="1:13" ht="20.100000000000001" customHeight="1">
      <c r="B31" s="73" t="s">
        <v>178</v>
      </c>
    </row>
  </sheetData>
  <mergeCells count="2">
    <mergeCell ref="A1:L1"/>
    <mergeCell ref="A2:L2"/>
  </mergeCells>
  <phoneticPr fontId="145" type="noConversion"/>
  <dataValidations count="1">
    <dataValidation type="list" allowBlank="1" showInputMessage="1" showErrorMessage="1" sqref="B13:B15">
      <formula1>$B$24:$B$31</formula1>
    </dataValidation>
  </dataValidations>
  <hyperlinks>
    <hyperlink ref="L3" location="底稿目录!A1" display="=底稿目录!F3"/>
  </hyperlinks>
  <pageMargins left="0.70833333333333304" right="0.70833333333333304" top="0.74791666666666701" bottom="0.74791666666666701" header="0.31458333333333299" footer="0.31458333333333299"/>
  <pageSetup paperSize="9" scale="82" orientation="landscape" blackAndWhite="1"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Q52"/>
  <sheetViews>
    <sheetView view="pageBreakPreview" zoomScale="98" zoomScaleNormal="100" workbookViewId="0">
      <selection sqref="A1:Q1"/>
    </sheetView>
  </sheetViews>
  <sheetFormatPr defaultColWidth="8.69921875" defaultRowHeight="20.100000000000001" customHeight="1"/>
  <cols>
    <col min="1" max="1" width="12" style="235" customWidth="1"/>
    <col min="2" max="2" width="11.09765625" style="235" customWidth="1"/>
    <col min="3" max="3" width="8.69921875" style="235"/>
    <col min="4" max="4" width="20" style="235" customWidth="1"/>
    <col min="5" max="5" width="13" style="235" customWidth="1"/>
    <col min="6" max="7" width="12.69921875" style="235" customWidth="1"/>
    <col min="8" max="8" width="12.296875" style="235" customWidth="1"/>
    <col min="9" max="9" width="21.8984375" style="235" customWidth="1"/>
    <col min="10" max="10" width="3.8984375" style="235" customWidth="1"/>
    <col min="11" max="11" width="3.3984375" style="235" customWidth="1"/>
    <col min="12" max="12" width="3.69921875" style="235" customWidth="1"/>
    <col min="13" max="13" width="3.8984375" style="235" customWidth="1"/>
    <col min="14" max="14" width="3.59765625" style="235" customWidth="1"/>
    <col min="15" max="17" width="9.8984375" style="235" customWidth="1"/>
    <col min="18" max="16384" width="8.69921875" style="235"/>
  </cols>
  <sheetData>
    <row r="1" spans="1:17" ht="20.100000000000001" customHeight="1">
      <c r="A1" s="467" t="s">
        <v>147</v>
      </c>
      <c r="B1" s="467"/>
      <c r="C1" s="467"/>
      <c r="D1" s="467"/>
      <c r="E1" s="467"/>
      <c r="F1" s="467"/>
      <c r="G1" s="467"/>
      <c r="H1" s="467"/>
      <c r="I1" s="467"/>
      <c r="J1" s="467"/>
      <c r="K1" s="467"/>
      <c r="L1" s="467"/>
      <c r="M1" s="467"/>
      <c r="N1" s="467"/>
      <c r="O1" s="467"/>
      <c r="P1" s="467"/>
      <c r="Q1" s="467"/>
    </row>
    <row r="2" spans="1:17" ht="20.100000000000001" customHeight="1">
      <c r="A2" s="468" t="s">
        <v>179</v>
      </c>
      <c r="B2" s="468"/>
      <c r="C2" s="468"/>
      <c r="D2" s="468"/>
      <c r="E2" s="468"/>
      <c r="F2" s="468"/>
      <c r="G2" s="468"/>
      <c r="H2" s="468"/>
      <c r="I2" s="468"/>
      <c r="J2" s="468"/>
      <c r="K2" s="468"/>
      <c r="L2" s="468"/>
      <c r="M2" s="468"/>
      <c r="N2" s="468"/>
      <c r="O2" s="468"/>
      <c r="P2" s="468"/>
      <c r="Q2" s="468"/>
    </row>
    <row r="3" spans="1:17" ht="20.100000000000001" customHeight="1">
      <c r="A3" s="236" t="str">
        <f>底稿目录!A2</f>
        <v>被审计单位名称：</v>
      </c>
      <c r="B3" s="236"/>
      <c r="C3" s="236"/>
      <c r="E3" s="236"/>
      <c r="F3" s="236" t="str">
        <f>底稿目录!A4</f>
        <v>编制人：</v>
      </c>
      <c r="G3" s="236"/>
      <c r="I3" s="236"/>
      <c r="J3" s="236" t="str">
        <f>底稿目录!A5</f>
        <v>编制日期：</v>
      </c>
      <c r="K3" s="236"/>
      <c r="L3" s="236"/>
      <c r="P3" s="254" t="s">
        <v>149</v>
      </c>
      <c r="Q3" s="451" t="str">
        <f>底稿目录!F11</f>
        <v>D2-7</v>
      </c>
    </row>
    <row r="4" spans="1:17" ht="20.100000000000001" customHeight="1">
      <c r="A4" s="236" t="str">
        <f>底稿目录!A3</f>
        <v>截止日：202X年12月31日</v>
      </c>
      <c r="B4" s="236"/>
      <c r="C4" s="236"/>
      <c r="E4" s="236"/>
      <c r="F4" s="236" t="str">
        <f>底稿目录!A6</f>
        <v>复核人：</v>
      </c>
      <c r="G4" s="236"/>
      <c r="I4" s="236"/>
      <c r="J4" s="236" t="str">
        <f>底稿目录!A7</f>
        <v>复核日期：</v>
      </c>
      <c r="K4" s="236"/>
      <c r="L4" s="236"/>
      <c r="P4" s="254" t="s">
        <v>150</v>
      </c>
    </row>
    <row r="5" spans="1:17" ht="20.100000000000001" customHeight="1">
      <c r="A5" s="84" t="s">
        <v>180</v>
      </c>
      <c r="B5" s="237"/>
      <c r="C5" s="238"/>
      <c r="D5" s="237"/>
      <c r="E5" s="237"/>
      <c r="F5" s="237"/>
      <c r="G5" s="237"/>
      <c r="H5" s="237"/>
      <c r="I5" s="237"/>
      <c r="J5" s="237"/>
      <c r="K5" s="237"/>
      <c r="L5" s="237"/>
      <c r="M5" s="237"/>
      <c r="N5" s="237"/>
      <c r="O5" s="237"/>
      <c r="P5" s="237"/>
      <c r="Q5" s="237"/>
    </row>
    <row r="6" spans="1:17" ht="20.100000000000001" customHeight="1">
      <c r="A6" s="238" t="s">
        <v>181</v>
      </c>
      <c r="B6" s="237"/>
      <c r="C6" s="238"/>
      <c r="D6" s="237"/>
      <c r="E6" s="237"/>
      <c r="F6" s="237"/>
      <c r="G6" s="237"/>
      <c r="H6" s="237"/>
      <c r="I6" s="237"/>
      <c r="J6" s="237"/>
      <c r="K6" s="237"/>
      <c r="L6" s="237"/>
      <c r="M6" s="237"/>
      <c r="N6" s="237"/>
      <c r="O6" s="237"/>
      <c r="P6" s="237"/>
      <c r="Q6" s="237"/>
    </row>
    <row r="7" spans="1:17" ht="20.100000000000001" customHeight="1">
      <c r="A7" s="151" t="s">
        <v>182</v>
      </c>
    </row>
    <row r="8" spans="1:17" ht="20.100000000000001" customHeight="1">
      <c r="A8" s="239" t="s">
        <v>183</v>
      </c>
      <c r="B8" s="240" t="s">
        <v>184</v>
      </c>
      <c r="C8" s="158"/>
      <c r="D8" s="158"/>
      <c r="E8" s="158"/>
      <c r="F8" s="239"/>
      <c r="G8" s="239" t="s">
        <v>185</v>
      </c>
      <c r="H8" s="240" t="s">
        <v>186</v>
      </c>
      <c r="K8" s="240"/>
      <c r="O8" s="158"/>
      <c r="P8" s="158"/>
      <c r="Q8" s="158"/>
    </row>
    <row r="9" spans="1:17" ht="20.100000000000001" customHeight="1">
      <c r="A9" s="239" t="s">
        <v>187</v>
      </c>
      <c r="B9" s="240" t="s">
        <v>188</v>
      </c>
      <c r="C9" s="158"/>
      <c r="D9" s="158"/>
      <c r="E9" s="158"/>
      <c r="F9" s="239"/>
      <c r="G9" s="239" t="s">
        <v>189</v>
      </c>
      <c r="H9" s="240" t="s">
        <v>190</v>
      </c>
      <c r="I9" s="240" t="s">
        <v>191</v>
      </c>
      <c r="K9" s="240"/>
      <c r="Q9" s="158"/>
    </row>
    <row r="10" spans="1:17" ht="20.100000000000001" customHeight="1">
      <c r="A10" s="239" t="s">
        <v>192</v>
      </c>
      <c r="B10" s="439" t="s">
        <v>475</v>
      </c>
      <c r="C10" s="158"/>
      <c r="D10" s="158"/>
      <c r="E10" s="158"/>
      <c r="F10" s="239"/>
      <c r="G10" s="239" t="s">
        <v>193</v>
      </c>
      <c r="H10" s="240" t="s">
        <v>194</v>
      </c>
      <c r="K10" s="240"/>
      <c r="O10" s="158"/>
      <c r="P10" s="158"/>
      <c r="Q10" s="158"/>
    </row>
    <row r="11" spans="1:17" ht="20.100000000000001" customHeight="1">
      <c r="A11" s="84" t="s">
        <v>195</v>
      </c>
    </row>
    <row r="12" spans="1:17" ht="20.100000000000001" customHeight="1">
      <c r="A12" s="241" t="s">
        <v>196</v>
      </c>
    </row>
    <row r="13" spans="1:17" ht="20.100000000000001" customHeight="1">
      <c r="A13" s="84" t="s">
        <v>197</v>
      </c>
    </row>
    <row r="14" spans="1:17" s="233" customFormat="1" ht="20.100000000000001" customHeight="1">
      <c r="A14" s="472" t="s">
        <v>198</v>
      </c>
      <c r="B14" s="469" t="s">
        <v>199</v>
      </c>
      <c r="C14" s="469"/>
      <c r="D14" s="469"/>
      <c r="E14" s="469"/>
      <c r="F14" s="469"/>
      <c r="G14" s="469"/>
      <c r="H14" s="469"/>
      <c r="I14" s="474" t="s">
        <v>200</v>
      </c>
      <c r="J14" s="470" t="s">
        <v>201</v>
      </c>
      <c r="K14" s="471"/>
      <c r="L14" s="471"/>
      <c r="M14" s="471"/>
      <c r="N14" s="471"/>
      <c r="O14" s="476" t="s">
        <v>4</v>
      </c>
      <c r="P14" s="477" t="s">
        <v>202</v>
      </c>
      <c r="Q14" s="479" t="s">
        <v>203</v>
      </c>
    </row>
    <row r="15" spans="1:17" s="233" customFormat="1" ht="20.100000000000001" customHeight="1">
      <c r="A15" s="473"/>
      <c r="B15" s="242" t="s">
        <v>204</v>
      </c>
      <c r="C15" s="242" t="s">
        <v>205</v>
      </c>
      <c r="D15" s="242" t="s">
        <v>206</v>
      </c>
      <c r="E15" s="242" t="s">
        <v>207</v>
      </c>
      <c r="F15" s="242" t="s">
        <v>208</v>
      </c>
      <c r="G15" s="243" t="s">
        <v>209</v>
      </c>
      <c r="H15" s="243" t="s">
        <v>210</v>
      </c>
      <c r="I15" s="475"/>
      <c r="J15" s="255">
        <v>1</v>
      </c>
      <c r="K15" s="255">
        <v>2</v>
      </c>
      <c r="L15" s="255">
        <v>3</v>
      </c>
      <c r="M15" s="255">
        <v>4</v>
      </c>
      <c r="N15" s="255">
        <v>5</v>
      </c>
      <c r="O15" s="476"/>
      <c r="P15" s="478"/>
      <c r="Q15" s="480"/>
    </row>
    <row r="16" spans="1:17" s="233" customFormat="1" ht="20.100000000000001" customHeight="1">
      <c r="A16" s="244"/>
      <c r="B16" s="245"/>
      <c r="C16" s="246"/>
      <c r="D16" s="247"/>
      <c r="E16" s="247"/>
      <c r="F16" s="247"/>
      <c r="G16" s="248"/>
      <c r="H16" s="248"/>
      <c r="I16" s="256"/>
      <c r="J16" s="257"/>
      <c r="K16" s="257"/>
      <c r="L16" s="257"/>
      <c r="M16" s="257"/>
      <c r="N16" s="257"/>
      <c r="O16" s="258"/>
      <c r="P16" s="259"/>
      <c r="Q16" s="259"/>
    </row>
    <row r="17" spans="1:17" s="233" customFormat="1" ht="20.100000000000001" customHeight="1">
      <c r="A17" s="244"/>
      <c r="B17" s="245"/>
      <c r="C17" s="246"/>
      <c r="D17" s="247"/>
      <c r="E17" s="247"/>
      <c r="F17" s="247"/>
      <c r="G17" s="248"/>
      <c r="H17" s="248"/>
      <c r="I17" s="256"/>
      <c r="J17" s="257"/>
      <c r="K17" s="257"/>
      <c r="L17" s="257"/>
      <c r="M17" s="257"/>
      <c r="N17" s="257"/>
      <c r="O17" s="258"/>
      <c r="P17" s="259"/>
      <c r="Q17" s="259"/>
    </row>
    <row r="18" spans="1:17" s="233" customFormat="1" ht="20.100000000000001" customHeight="1">
      <c r="A18" s="244"/>
      <c r="B18" s="245"/>
      <c r="C18" s="246"/>
      <c r="D18" s="247"/>
      <c r="E18" s="247"/>
      <c r="F18" s="247"/>
      <c r="G18" s="248"/>
      <c r="H18" s="248"/>
      <c r="I18" s="256"/>
      <c r="J18" s="257"/>
      <c r="K18" s="257"/>
      <c r="L18" s="257"/>
      <c r="M18" s="257"/>
      <c r="N18" s="257"/>
      <c r="O18" s="258"/>
      <c r="P18" s="259"/>
      <c r="Q18" s="259"/>
    </row>
    <row r="19" spans="1:17" s="233" customFormat="1" ht="20.100000000000001" customHeight="1">
      <c r="A19" s="244"/>
      <c r="B19" s="245"/>
      <c r="C19" s="246"/>
      <c r="D19" s="247"/>
      <c r="E19" s="247"/>
      <c r="F19" s="247"/>
      <c r="G19" s="248"/>
      <c r="H19" s="248"/>
      <c r="I19" s="256"/>
      <c r="J19" s="257"/>
      <c r="K19" s="257"/>
      <c r="L19" s="257"/>
      <c r="M19" s="257"/>
      <c r="N19" s="257"/>
      <c r="O19" s="258"/>
      <c r="P19" s="259"/>
      <c r="Q19" s="259"/>
    </row>
    <row r="20" spans="1:17" s="233" customFormat="1" ht="20.100000000000001" customHeight="1">
      <c r="A20" s="244"/>
      <c r="B20" s="245"/>
      <c r="C20" s="246"/>
      <c r="D20" s="247"/>
      <c r="E20" s="247"/>
      <c r="F20" s="247"/>
      <c r="G20" s="248"/>
      <c r="H20" s="248"/>
      <c r="I20" s="256"/>
      <c r="J20" s="257"/>
      <c r="K20" s="257"/>
      <c r="L20" s="257"/>
      <c r="M20" s="257"/>
      <c r="N20" s="257"/>
      <c r="O20" s="258"/>
      <c r="P20" s="259"/>
      <c r="Q20" s="259"/>
    </row>
    <row r="21" spans="1:17" s="233" customFormat="1" ht="20.100000000000001" customHeight="1">
      <c r="A21" s="244"/>
      <c r="B21" s="245"/>
      <c r="C21" s="246"/>
      <c r="D21" s="247"/>
      <c r="E21" s="247"/>
      <c r="F21" s="247"/>
      <c r="G21" s="248"/>
      <c r="H21" s="248"/>
      <c r="I21" s="256"/>
      <c r="J21" s="257"/>
      <c r="K21" s="257"/>
      <c r="L21" s="257"/>
      <c r="M21" s="257"/>
      <c r="N21" s="257"/>
      <c r="O21" s="258"/>
      <c r="P21" s="259"/>
      <c r="Q21" s="259"/>
    </row>
    <row r="22" spans="1:17" s="233" customFormat="1" ht="20.100000000000001" customHeight="1">
      <c r="A22" s="244"/>
      <c r="B22" s="245"/>
      <c r="C22" s="246"/>
      <c r="D22" s="247"/>
      <c r="E22" s="247"/>
      <c r="F22" s="247"/>
      <c r="G22" s="248"/>
      <c r="H22" s="248"/>
      <c r="I22" s="256"/>
      <c r="J22" s="257"/>
      <c r="K22" s="257"/>
      <c r="L22" s="257"/>
      <c r="M22" s="257"/>
      <c r="N22" s="257"/>
      <c r="O22" s="258"/>
      <c r="P22" s="259"/>
      <c r="Q22" s="259"/>
    </row>
    <row r="23" spans="1:17" s="233" customFormat="1" ht="20.100000000000001" customHeight="1">
      <c r="A23" s="244"/>
      <c r="B23" s="245"/>
      <c r="C23" s="246"/>
      <c r="D23" s="247"/>
      <c r="E23" s="247"/>
      <c r="F23" s="247"/>
      <c r="G23" s="248"/>
      <c r="H23" s="248"/>
      <c r="I23" s="256"/>
      <c r="J23" s="257"/>
      <c r="K23" s="257"/>
      <c r="L23" s="257"/>
      <c r="M23" s="257"/>
      <c r="N23" s="257"/>
      <c r="O23" s="258"/>
      <c r="P23" s="259"/>
      <c r="Q23" s="259"/>
    </row>
    <row r="24" spans="1:17" s="233" customFormat="1" ht="20.100000000000001" customHeight="1">
      <c r="A24" s="244"/>
      <c r="B24" s="245"/>
      <c r="C24" s="246"/>
      <c r="D24" s="247"/>
      <c r="E24" s="247"/>
      <c r="F24" s="247"/>
      <c r="G24" s="248"/>
      <c r="H24" s="248"/>
      <c r="I24" s="256"/>
      <c r="J24" s="257"/>
      <c r="K24" s="257"/>
      <c r="L24" s="257"/>
      <c r="M24" s="257"/>
      <c r="N24" s="257"/>
      <c r="O24" s="258"/>
      <c r="P24" s="259"/>
      <c r="Q24" s="259"/>
    </row>
    <row r="25" spans="1:17" s="233" customFormat="1" ht="20.100000000000001" customHeight="1">
      <c r="A25" s="244"/>
      <c r="B25" s="245"/>
      <c r="C25" s="246"/>
      <c r="D25" s="247"/>
      <c r="E25" s="247"/>
      <c r="F25" s="247"/>
      <c r="G25" s="248"/>
      <c r="H25" s="248"/>
      <c r="I25" s="256"/>
      <c r="J25" s="257"/>
      <c r="K25" s="257"/>
      <c r="L25" s="257"/>
      <c r="M25" s="257"/>
      <c r="N25" s="257"/>
      <c r="O25" s="258"/>
      <c r="P25" s="259"/>
      <c r="Q25" s="259"/>
    </row>
    <row r="26" spans="1:17" s="233" customFormat="1" ht="20.100000000000001" customHeight="1">
      <c r="A26" s="244"/>
      <c r="B26" s="245"/>
      <c r="C26" s="246"/>
      <c r="D26" s="247"/>
      <c r="E26" s="247"/>
      <c r="F26" s="247"/>
      <c r="G26" s="248"/>
      <c r="H26" s="248"/>
      <c r="I26" s="256"/>
      <c r="J26" s="257"/>
      <c r="K26" s="257"/>
      <c r="L26" s="257"/>
      <c r="M26" s="257"/>
      <c r="N26" s="257"/>
      <c r="O26" s="258"/>
      <c r="P26" s="259"/>
      <c r="Q26" s="259"/>
    </row>
    <row r="27" spans="1:17" s="233" customFormat="1" ht="20.100000000000001" customHeight="1">
      <c r="A27" s="244"/>
      <c r="B27" s="245"/>
      <c r="C27" s="246"/>
      <c r="D27" s="247"/>
      <c r="E27" s="247"/>
      <c r="F27" s="247"/>
      <c r="G27" s="248"/>
      <c r="H27" s="248"/>
      <c r="I27" s="256"/>
      <c r="J27" s="257"/>
      <c r="K27" s="257"/>
      <c r="L27" s="257"/>
      <c r="M27" s="257"/>
      <c r="N27" s="257"/>
      <c r="O27" s="258"/>
      <c r="P27" s="259"/>
      <c r="Q27" s="259"/>
    </row>
    <row r="28" spans="1:17" s="233" customFormat="1" ht="20.100000000000001" customHeight="1">
      <c r="A28" s="244"/>
      <c r="B28" s="245"/>
      <c r="C28" s="246"/>
      <c r="D28" s="247"/>
      <c r="E28" s="247"/>
      <c r="F28" s="247"/>
      <c r="G28" s="248"/>
      <c r="H28" s="248"/>
      <c r="I28" s="256"/>
      <c r="J28" s="257"/>
      <c r="K28" s="257"/>
      <c r="L28" s="257"/>
      <c r="M28" s="257"/>
      <c r="N28" s="257"/>
      <c r="O28" s="258"/>
      <c r="P28" s="259"/>
      <c r="Q28" s="259"/>
    </row>
    <row r="29" spans="1:17" s="233" customFormat="1" ht="20.100000000000001" customHeight="1">
      <c r="A29" s="244"/>
      <c r="B29" s="245"/>
      <c r="C29" s="246"/>
      <c r="D29" s="247"/>
      <c r="E29" s="247"/>
      <c r="F29" s="247"/>
      <c r="G29" s="248"/>
      <c r="H29" s="248"/>
      <c r="I29" s="256"/>
      <c r="J29" s="257"/>
      <c r="K29" s="257"/>
      <c r="L29" s="257"/>
      <c r="M29" s="257"/>
      <c r="N29" s="257"/>
      <c r="O29" s="258"/>
      <c r="P29" s="259"/>
      <c r="Q29" s="259"/>
    </row>
    <row r="30" spans="1:17" s="234" customFormat="1" ht="19.95" customHeight="1">
      <c r="A30" s="244"/>
      <c r="B30" s="245"/>
      <c r="C30" s="246"/>
      <c r="D30" s="247"/>
      <c r="E30" s="247"/>
      <c r="F30" s="247"/>
      <c r="G30" s="248"/>
      <c r="H30" s="248"/>
      <c r="I30" s="256"/>
      <c r="J30" s="257"/>
      <c r="K30" s="257"/>
      <c r="L30" s="257"/>
      <c r="M30" s="257"/>
      <c r="N30" s="257"/>
      <c r="O30" s="258"/>
      <c r="P30" s="259"/>
      <c r="Q30" s="259"/>
    </row>
    <row r="31" spans="1:17" s="234" customFormat="1" ht="19.95" customHeight="1">
      <c r="A31" s="249" t="s">
        <v>167</v>
      </c>
      <c r="B31" s="250"/>
      <c r="C31" s="250"/>
      <c r="D31" s="250"/>
      <c r="E31" s="250"/>
      <c r="F31" s="250"/>
      <c r="G31" s="251">
        <f>SUM(G16:G30)</f>
        <v>0</v>
      </c>
      <c r="H31" s="251">
        <f>SUM(H16:H30)</f>
        <v>0</v>
      </c>
      <c r="I31" s="260"/>
      <c r="J31" s="260"/>
      <c r="K31" s="260"/>
      <c r="L31" s="251"/>
      <c r="M31" s="260"/>
      <c r="N31" s="260"/>
      <c r="O31" s="251"/>
      <c r="P31" s="260"/>
      <c r="Q31" s="260"/>
    </row>
    <row r="32" spans="1:17" s="234" customFormat="1" ht="19.95" customHeight="1">
      <c r="A32" s="252" t="s">
        <v>211</v>
      </c>
      <c r="I32" s="261"/>
      <c r="M32" s="261"/>
    </row>
    <row r="33" spans="1:17" s="233" customFormat="1" ht="20.100000000000001" customHeight="1">
      <c r="A33" s="472" t="s">
        <v>198</v>
      </c>
      <c r="B33" s="469" t="s">
        <v>199</v>
      </c>
      <c r="C33" s="469"/>
      <c r="D33" s="469"/>
      <c r="E33" s="469"/>
      <c r="F33" s="469"/>
      <c r="G33" s="469"/>
      <c r="H33" s="469"/>
      <c r="I33" s="474" t="s">
        <v>200</v>
      </c>
      <c r="J33" s="470" t="s">
        <v>201</v>
      </c>
      <c r="K33" s="471"/>
      <c r="L33" s="471"/>
      <c r="M33" s="471"/>
      <c r="N33" s="471"/>
      <c r="O33" s="476" t="s">
        <v>4</v>
      </c>
      <c r="P33" s="477" t="s">
        <v>202</v>
      </c>
      <c r="Q33" s="479" t="s">
        <v>203</v>
      </c>
    </row>
    <row r="34" spans="1:17" s="233" customFormat="1" ht="20.100000000000001" customHeight="1">
      <c r="A34" s="473"/>
      <c r="B34" s="242" t="s">
        <v>204</v>
      </c>
      <c r="C34" s="242" t="s">
        <v>205</v>
      </c>
      <c r="D34" s="242" t="s">
        <v>206</v>
      </c>
      <c r="E34" s="242" t="s">
        <v>207</v>
      </c>
      <c r="F34" s="242" t="s">
        <v>208</v>
      </c>
      <c r="G34" s="243" t="s">
        <v>209</v>
      </c>
      <c r="H34" s="243" t="s">
        <v>210</v>
      </c>
      <c r="I34" s="475"/>
      <c r="J34" s="255">
        <v>1</v>
      </c>
      <c r="K34" s="255">
        <v>2</v>
      </c>
      <c r="L34" s="255">
        <v>3</v>
      </c>
      <c r="M34" s="255">
        <v>4</v>
      </c>
      <c r="N34" s="255">
        <v>5</v>
      </c>
      <c r="O34" s="476"/>
      <c r="P34" s="478"/>
      <c r="Q34" s="480"/>
    </row>
    <row r="35" spans="1:17" s="233" customFormat="1" ht="20.100000000000001" customHeight="1">
      <c r="A35" s="244"/>
      <c r="B35" s="245"/>
      <c r="C35" s="246"/>
      <c r="D35" s="247"/>
      <c r="E35" s="247"/>
      <c r="F35" s="247"/>
      <c r="G35" s="248"/>
      <c r="H35" s="248"/>
      <c r="I35" s="256"/>
      <c r="J35" s="257"/>
      <c r="K35" s="257"/>
      <c r="L35" s="257"/>
      <c r="M35" s="257"/>
      <c r="N35" s="257"/>
      <c r="O35" s="258"/>
      <c r="P35" s="259"/>
      <c r="Q35" s="259"/>
    </row>
    <row r="36" spans="1:17" s="233" customFormat="1" ht="20.100000000000001" customHeight="1">
      <c r="A36" s="244"/>
      <c r="B36" s="245"/>
      <c r="C36" s="246"/>
      <c r="D36" s="247"/>
      <c r="E36" s="247"/>
      <c r="F36" s="247"/>
      <c r="G36" s="248"/>
      <c r="H36" s="248"/>
      <c r="I36" s="256"/>
      <c r="J36" s="257"/>
      <c r="K36" s="257"/>
      <c r="L36" s="257"/>
      <c r="M36" s="257"/>
      <c r="N36" s="257"/>
      <c r="O36" s="258"/>
      <c r="P36" s="259"/>
      <c r="Q36" s="259"/>
    </row>
    <row r="37" spans="1:17" s="233" customFormat="1" ht="20.100000000000001" customHeight="1">
      <c r="A37" s="244"/>
      <c r="B37" s="245"/>
      <c r="C37" s="246"/>
      <c r="D37" s="247"/>
      <c r="E37" s="247"/>
      <c r="F37" s="247"/>
      <c r="G37" s="248"/>
      <c r="H37" s="248"/>
      <c r="I37" s="256"/>
      <c r="J37" s="257"/>
      <c r="K37" s="257"/>
      <c r="L37" s="257"/>
      <c r="M37" s="257"/>
      <c r="N37" s="257"/>
      <c r="O37" s="258"/>
      <c r="P37" s="259"/>
      <c r="Q37" s="259"/>
    </row>
    <row r="38" spans="1:17" s="233" customFormat="1" ht="20.100000000000001" customHeight="1">
      <c r="A38" s="244"/>
      <c r="B38" s="245"/>
      <c r="C38" s="246"/>
      <c r="D38" s="247"/>
      <c r="E38" s="247"/>
      <c r="F38" s="247"/>
      <c r="G38" s="248"/>
      <c r="H38" s="248"/>
      <c r="I38" s="256"/>
      <c r="J38" s="257"/>
      <c r="K38" s="257"/>
      <c r="L38" s="257"/>
      <c r="M38" s="257"/>
      <c r="N38" s="257"/>
      <c r="O38" s="258"/>
      <c r="P38" s="259"/>
      <c r="Q38" s="259"/>
    </row>
    <row r="39" spans="1:17" s="233" customFormat="1" ht="20.100000000000001" customHeight="1">
      <c r="A39" s="244"/>
      <c r="B39" s="245"/>
      <c r="C39" s="246"/>
      <c r="D39" s="247"/>
      <c r="E39" s="247"/>
      <c r="F39" s="247"/>
      <c r="G39" s="248"/>
      <c r="H39" s="248"/>
      <c r="I39" s="256"/>
      <c r="J39" s="257"/>
      <c r="K39" s="257"/>
      <c r="L39" s="257"/>
      <c r="M39" s="257"/>
      <c r="N39" s="257"/>
      <c r="O39" s="258"/>
      <c r="P39" s="259"/>
      <c r="Q39" s="259"/>
    </row>
    <row r="40" spans="1:17" s="233" customFormat="1" ht="20.100000000000001" customHeight="1">
      <c r="A40" s="244"/>
      <c r="B40" s="245"/>
      <c r="C40" s="246"/>
      <c r="D40" s="247"/>
      <c r="E40" s="247"/>
      <c r="F40" s="247"/>
      <c r="G40" s="248"/>
      <c r="H40" s="248"/>
      <c r="I40" s="256"/>
      <c r="J40" s="257"/>
      <c r="K40" s="257"/>
      <c r="L40" s="257"/>
      <c r="M40" s="257"/>
      <c r="N40" s="257"/>
      <c r="O40" s="258"/>
      <c r="P40" s="259"/>
      <c r="Q40" s="259"/>
    </row>
    <row r="41" spans="1:17" s="233" customFormat="1" ht="20.100000000000001" customHeight="1">
      <c r="A41" s="244"/>
      <c r="B41" s="245"/>
      <c r="C41" s="246"/>
      <c r="D41" s="247"/>
      <c r="E41" s="247"/>
      <c r="F41" s="247"/>
      <c r="G41" s="248"/>
      <c r="H41" s="248"/>
      <c r="I41" s="256"/>
      <c r="J41" s="257"/>
      <c r="K41" s="257"/>
      <c r="L41" s="257"/>
      <c r="M41" s="257"/>
      <c r="N41" s="257"/>
      <c r="O41" s="258"/>
      <c r="P41" s="259"/>
      <c r="Q41" s="259"/>
    </row>
    <row r="42" spans="1:17" s="234" customFormat="1" ht="19.95" customHeight="1">
      <c r="A42" s="244"/>
      <c r="B42" s="245"/>
      <c r="C42" s="246"/>
      <c r="D42" s="247"/>
      <c r="E42" s="247"/>
      <c r="F42" s="247"/>
      <c r="G42" s="248"/>
      <c r="H42" s="248"/>
      <c r="I42" s="256"/>
      <c r="J42" s="257"/>
      <c r="K42" s="257"/>
      <c r="L42" s="257"/>
      <c r="M42" s="257"/>
      <c r="N42" s="257"/>
      <c r="O42" s="258"/>
      <c r="P42" s="259"/>
      <c r="Q42" s="259"/>
    </row>
    <row r="43" spans="1:17" s="234" customFormat="1" ht="19.95" customHeight="1">
      <c r="A43" s="249" t="s">
        <v>167</v>
      </c>
      <c r="B43" s="250"/>
      <c r="C43" s="250"/>
      <c r="D43" s="250"/>
      <c r="E43" s="250"/>
      <c r="F43" s="250"/>
      <c r="G43" s="251">
        <f>SUM(G35:G42)</f>
        <v>0</v>
      </c>
      <c r="H43" s="251">
        <f>SUM(H35:H42)</f>
        <v>0</v>
      </c>
      <c r="I43" s="260"/>
      <c r="J43" s="260"/>
      <c r="K43" s="260"/>
      <c r="L43" s="251"/>
      <c r="M43" s="260"/>
      <c r="N43" s="260"/>
      <c r="O43" s="251"/>
      <c r="P43" s="260"/>
      <c r="Q43" s="260"/>
    </row>
    <row r="44" spans="1:17" ht="20.100000000000001" customHeight="1">
      <c r="A44" s="84" t="s">
        <v>212</v>
      </c>
    </row>
    <row r="45" spans="1:17" ht="20.100000000000001" customHeight="1">
      <c r="A45" s="440" t="s">
        <v>476</v>
      </c>
      <c r="B45" s="440"/>
      <c r="C45"/>
      <c r="D45" s="441" t="s">
        <v>477</v>
      </c>
      <c r="E45" s="441" t="s">
        <v>478</v>
      </c>
      <c r="F45" s="441" t="s">
        <v>479</v>
      </c>
      <c r="G45" s="441" t="s">
        <v>480</v>
      </c>
      <c r="H45" s="442" t="s">
        <v>481</v>
      </c>
    </row>
    <row r="46" spans="1:17" ht="20.100000000000001" customHeight="1">
      <c r="A46" s="443"/>
      <c r="B46" s="443"/>
      <c r="C46"/>
      <c r="D46" s="441" t="s">
        <v>482</v>
      </c>
      <c r="E46" s="444">
        <f/>
        <v>0</v>
      </c>
      <c r="F46" s="444">
        <f>G31</f>
        <v>0</v>
      </c>
      <c r="G46" s="445" t="e">
        <f>ROUND(F46/E46,4)</f>
        <v>#DIV/0!</v>
      </c>
      <c r="H46" s="446"/>
    </row>
    <row r="47" spans="1:17" ht="20.100000000000001" customHeight="1">
      <c r="A47" s="443"/>
      <c r="B47" s="443"/>
      <c r="C47"/>
      <c r="D47" s="441" t="s">
        <v>483</v>
      </c>
      <c r="E47" s="444">
        <f/>
        <v>0</v>
      </c>
      <c r="F47" s="444">
        <f>H31</f>
        <v>0</v>
      </c>
      <c r="G47" s="445" t="e">
        <f>ROUND(F47/E47,2)</f>
        <v>#DIV/0!</v>
      </c>
      <c r="H47" s="446"/>
    </row>
    <row r="48" spans="1:17" ht="20.100000000000001" customHeight="1">
      <c r="A48" s="443"/>
      <c r="B48" s="443"/>
      <c r="C48"/>
      <c r="D48" s="441" t="s">
        <v>484</v>
      </c>
      <c r="E48" s="444">
        <f/>
        <v>0</v>
      </c>
      <c r="F48" s="444">
        <f>H43</f>
        <v>0</v>
      </c>
      <c r="G48" s="445" t="e">
        <f>ROUND(F48/E48,2)</f>
        <v>#DIV/0!</v>
      </c>
      <c r="H48" s="446"/>
    </row>
    <row r="49" spans="1:8" ht="20.100000000000001" customHeight="1">
      <c r="A49" s="447" t="s">
        <v>485</v>
      </c>
      <c r="B49" s="443"/>
      <c r="C49"/>
      <c r="D49" s="448"/>
      <c r="E49" s="449"/>
      <c r="F49" s="449"/>
      <c r="G49" s="450"/>
      <c r="H49" s="446"/>
    </row>
    <row r="50" spans="1:8" ht="20.100000000000001" customHeight="1">
      <c r="A50" s="253" t="s">
        <v>213</v>
      </c>
    </row>
    <row r="51" spans="1:8" ht="20.100000000000001" customHeight="1">
      <c r="A51" s="253"/>
    </row>
    <row r="52" spans="1:8" ht="20.100000000000001" customHeight="1">
      <c r="A52" s="253"/>
    </row>
  </sheetData>
  <mergeCells count="16">
    <mergeCell ref="A1:Q1"/>
    <mergeCell ref="A2:Q2"/>
    <mergeCell ref="B14:H14"/>
    <mergeCell ref="J14:N14"/>
    <mergeCell ref="B33:H33"/>
    <mergeCell ref="J33:N33"/>
    <mergeCell ref="A14:A15"/>
    <mergeCell ref="A33:A34"/>
    <mergeCell ref="I14:I15"/>
    <mergeCell ref="I33:I34"/>
    <mergeCell ref="O14:O15"/>
    <mergeCell ref="O33:O34"/>
    <mergeCell ref="P14:P15"/>
    <mergeCell ref="P33:P34"/>
    <mergeCell ref="Q14:Q15"/>
    <mergeCell ref="Q33:Q34"/>
  </mergeCells>
  <phoneticPr fontId="145" type="noConversion"/>
  <dataValidations count="1">
    <dataValidation type="list" allowBlank="1" showInputMessage="1" showErrorMessage="1" sqref="J16:N30 J35:N42">
      <formula1>"√,X"</formula1>
    </dataValidation>
  </dataValidations>
  <hyperlinks>
    <hyperlink ref="Q3" location="底稿目录!A1" display="=底稿目录!F4"/>
  </hyperlinks>
  <pageMargins left="0.70833333333333304" right="0.70833333333333304" top="0.74791666666666701" bottom="0.74791666666666701" header="0.31458333333333299" footer="0.31458333333333299"/>
  <pageSetup paperSize="9" scale="71" orientation="landscape" blackAndWhite="1" r:id="rId1"/>
  <headerFooter>
    <oddFooter>&amp;C&amp;P/&amp;N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V46"/>
  <sheetViews>
    <sheetView view="pageBreakPreview" zoomScaleNormal="130" workbookViewId="0">
      <selection sqref="A1:I1"/>
    </sheetView>
  </sheetViews>
  <sheetFormatPr defaultColWidth="9" defaultRowHeight="20.100000000000001" customHeight="1"/>
  <cols>
    <col min="1" max="1" width="15.59765625" style="201" customWidth="1"/>
    <col min="2" max="2" width="11" style="201" customWidth="1"/>
    <col min="3" max="3" width="12.09765625" style="201" customWidth="1"/>
    <col min="4" max="4" width="15.09765625" style="201" customWidth="1"/>
    <col min="5" max="5" width="10.09765625" style="201" customWidth="1"/>
    <col min="6" max="6" width="6.19921875" style="201" customWidth="1"/>
    <col min="7" max="8" width="9" style="201"/>
    <col min="9" max="9" width="6.69921875" style="201" customWidth="1"/>
    <col min="10" max="16384" width="9" style="201"/>
  </cols>
  <sheetData>
    <row r="1" spans="1:12" s="199" customFormat="1" ht="20.100000000000001" customHeight="1">
      <c r="A1" s="481" t="s">
        <v>147</v>
      </c>
      <c r="B1" s="481"/>
      <c r="C1" s="481"/>
      <c r="D1" s="481"/>
      <c r="E1" s="481"/>
      <c r="F1" s="481"/>
      <c r="G1" s="481"/>
      <c r="H1" s="481"/>
      <c r="I1" s="481"/>
    </row>
    <row r="2" spans="1:12" s="199" customFormat="1" ht="20.100000000000001" customHeight="1">
      <c r="A2" s="482" t="s">
        <v>232</v>
      </c>
      <c r="B2" s="482"/>
      <c r="C2" s="482"/>
      <c r="D2" s="482"/>
      <c r="E2" s="482"/>
      <c r="F2" s="482"/>
      <c r="G2" s="482"/>
      <c r="H2" s="482"/>
      <c r="I2" s="482"/>
    </row>
    <row r="3" spans="1:12" ht="20.100000000000001" customHeight="1">
      <c r="A3" s="202" t="str">
        <f>底稿目录!A2</f>
        <v>被审计单位名称：</v>
      </c>
      <c r="B3" s="202"/>
      <c r="C3" s="203" t="str">
        <f>底稿目录!A4</f>
        <v>编制人：</v>
      </c>
      <c r="D3" s="202"/>
      <c r="E3" s="204"/>
      <c r="F3" s="203" t="str">
        <f>底稿目录!A5</f>
        <v>编制日期：</v>
      </c>
      <c r="G3" s="200"/>
      <c r="H3" s="205" t="s">
        <v>149</v>
      </c>
      <c r="I3" s="451" t="s">
        <v>486</v>
      </c>
    </row>
    <row r="4" spans="1:12" ht="20.100000000000001" customHeight="1">
      <c r="A4" s="202" t="str">
        <f>底稿目录!A3</f>
        <v>截止日：202X年12月31日</v>
      </c>
      <c r="B4" s="202"/>
      <c r="C4" s="203" t="str">
        <f>底稿目录!A6</f>
        <v>复核人：</v>
      </c>
      <c r="D4" s="202"/>
      <c r="E4" s="204"/>
      <c r="F4" s="203" t="str">
        <f>底稿目录!A7</f>
        <v>复核日期：</v>
      </c>
      <c r="G4" s="200"/>
      <c r="H4" s="205" t="s">
        <v>150</v>
      </c>
      <c r="I4" s="200"/>
    </row>
    <row r="5" spans="1:12" s="200" customFormat="1" ht="20.100000000000001" customHeight="1">
      <c r="A5" s="483" t="s">
        <v>180</v>
      </c>
      <c r="B5" s="483"/>
      <c r="C5" s="483"/>
      <c r="D5" s="483"/>
      <c r="E5" s="483"/>
      <c r="F5" s="483"/>
      <c r="G5" s="483"/>
      <c r="H5" s="483"/>
      <c r="I5" s="483"/>
    </row>
    <row r="6" spans="1:12" s="200" customFormat="1" ht="20.100000000000001" customHeight="1">
      <c r="A6" s="159" t="s">
        <v>215</v>
      </c>
      <c r="B6" s="207"/>
      <c r="C6" s="207"/>
      <c r="D6" s="207"/>
      <c r="E6" s="207"/>
      <c r="F6" s="207"/>
      <c r="G6" s="207"/>
      <c r="H6" s="207"/>
      <c r="I6" s="207"/>
    </row>
    <row r="7" spans="1:12" s="200" customFormat="1" ht="20.100000000000001" customHeight="1">
      <c r="A7" s="483" t="s">
        <v>233</v>
      </c>
      <c r="B7" s="483"/>
      <c r="C7" s="483"/>
      <c r="D7" s="483"/>
      <c r="E7" s="483"/>
      <c r="F7" s="483"/>
      <c r="G7" s="483"/>
      <c r="H7" s="483"/>
      <c r="I7" s="483"/>
    </row>
    <row r="8" spans="1:12" ht="20.100000000000001" customHeight="1">
      <c r="A8" s="208" t="s">
        <v>155</v>
      </c>
    </row>
    <row r="9" spans="1:12" ht="20.100000000000001" customHeight="1">
      <c r="A9" s="208"/>
    </row>
    <row r="10" spans="1:12" ht="20.100000000000001" customHeight="1">
      <c r="A10" s="209"/>
    </row>
    <row r="11" spans="1:12" ht="20.100000000000001" customHeight="1">
      <c r="A11" s="210" t="s">
        <v>234</v>
      </c>
      <c r="K11" s="212"/>
      <c r="L11" s="212"/>
    </row>
    <row r="12" spans="1:12" ht="20.100000000000001" customHeight="1">
      <c r="A12" s="210"/>
      <c r="K12" s="212"/>
      <c r="L12" s="212"/>
    </row>
    <row r="13" spans="1:12" ht="20.100000000000001" customHeight="1">
      <c r="A13" s="210"/>
      <c r="K13" s="212"/>
      <c r="L13" s="212"/>
    </row>
    <row r="14" spans="1:12" ht="20.100000000000001" customHeight="1">
      <c r="A14" s="484"/>
      <c r="B14" s="484"/>
      <c r="C14" s="484"/>
      <c r="D14" s="484"/>
      <c r="E14" s="484"/>
      <c r="F14" s="484"/>
      <c r="G14" s="484"/>
      <c r="H14" s="484"/>
      <c r="I14" s="484"/>
      <c r="K14" s="212"/>
      <c r="L14" s="212"/>
    </row>
    <row r="15" spans="1:12" ht="20.100000000000001" customHeight="1">
      <c r="A15" s="485" t="s">
        <v>235</v>
      </c>
      <c r="B15" s="485"/>
      <c r="C15" s="485"/>
      <c r="D15" s="485"/>
      <c r="E15" s="485"/>
      <c r="F15" s="485"/>
      <c r="G15" s="485"/>
      <c r="H15" s="485"/>
      <c r="I15" s="485"/>
      <c r="K15" s="212"/>
      <c r="L15" s="212"/>
    </row>
    <row r="16" spans="1:12" ht="20.100000000000001" customHeight="1">
      <c r="A16" s="210" t="s">
        <v>236</v>
      </c>
      <c r="B16" s="212"/>
      <c r="C16" s="212"/>
      <c r="D16" s="212"/>
      <c r="E16" s="212"/>
      <c r="F16" s="212"/>
      <c r="G16" s="212"/>
      <c r="H16" s="212"/>
      <c r="K16" s="212"/>
      <c r="L16" s="212"/>
    </row>
    <row r="17" spans="1:18" ht="20.100000000000001" customHeight="1">
      <c r="A17" s="210"/>
      <c r="B17" s="212"/>
      <c r="C17" s="212"/>
      <c r="D17" s="212"/>
      <c r="E17" s="212"/>
      <c r="F17" s="212"/>
      <c r="G17" s="212"/>
      <c r="H17" s="212"/>
      <c r="J17" s="213"/>
      <c r="K17" s="212"/>
      <c r="L17" s="212"/>
    </row>
    <row r="18" spans="1:18" ht="20.100000000000001" customHeight="1">
      <c r="A18" s="210"/>
      <c r="B18" s="212"/>
      <c r="C18" s="212"/>
      <c r="D18" s="212"/>
      <c r="E18" s="212"/>
      <c r="F18" s="212"/>
      <c r="G18" s="212"/>
      <c r="H18" s="212"/>
      <c r="J18" s="213"/>
      <c r="K18" s="212"/>
      <c r="L18" s="212"/>
    </row>
    <row r="19" spans="1:18" ht="20.100000000000001" customHeight="1">
      <c r="A19" s="484"/>
      <c r="B19" s="484"/>
      <c r="C19" s="484"/>
      <c r="D19" s="484"/>
      <c r="E19" s="484"/>
      <c r="F19" s="484"/>
      <c r="G19" s="484"/>
      <c r="H19" s="484"/>
      <c r="I19" s="484"/>
    </row>
    <row r="20" spans="1:18" ht="20.100000000000001" customHeight="1">
      <c r="A20" s="213" t="s">
        <v>237</v>
      </c>
      <c r="B20" s="211"/>
      <c r="C20" s="211"/>
      <c r="D20" s="211"/>
      <c r="E20" s="211"/>
      <c r="F20" s="211"/>
      <c r="G20" s="211"/>
      <c r="H20" s="211"/>
      <c r="I20" s="211"/>
    </row>
    <row r="21" spans="1:18" ht="20.100000000000001" customHeight="1">
      <c r="A21" s="210" t="s">
        <v>238</v>
      </c>
      <c r="B21" s="212"/>
      <c r="C21" s="212"/>
      <c r="D21" s="212"/>
      <c r="E21" s="212"/>
      <c r="F21" s="212"/>
      <c r="G21" s="212"/>
      <c r="H21" s="212"/>
    </row>
    <row r="22" spans="1:18" ht="20.100000000000001" customHeight="1">
      <c r="A22" s="210"/>
      <c r="B22" s="212"/>
      <c r="C22" s="212"/>
      <c r="D22" s="212"/>
      <c r="E22" s="212"/>
      <c r="F22" s="212"/>
      <c r="G22" s="212"/>
      <c r="H22" s="212"/>
    </row>
    <row r="23" spans="1:18" ht="20.100000000000001" customHeight="1">
      <c r="A23" s="210"/>
      <c r="B23" s="212"/>
      <c r="C23" s="212"/>
      <c r="D23" s="212"/>
      <c r="E23" s="212"/>
      <c r="F23" s="212"/>
      <c r="G23" s="212"/>
      <c r="H23" s="212"/>
    </row>
    <row r="24" spans="1:18" ht="20.100000000000001" customHeight="1">
      <c r="A24" s="484"/>
      <c r="B24" s="484"/>
      <c r="C24" s="484"/>
      <c r="D24" s="484"/>
      <c r="E24" s="484"/>
      <c r="F24" s="484"/>
      <c r="G24" s="484"/>
      <c r="H24" s="484"/>
      <c r="I24" s="484"/>
      <c r="K24" s="486"/>
      <c r="L24" s="486"/>
      <c r="M24" s="486"/>
      <c r="N24" s="486"/>
      <c r="O24" s="486"/>
      <c r="P24" s="486"/>
      <c r="Q24" s="486"/>
      <c r="R24" s="486"/>
    </row>
    <row r="25" spans="1:18" ht="20.100000000000001" customHeight="1">
      <c r="A25" s="487" t="s">
        <v>239</v>
      </c>
      <c r="B25" s="487"/>
      <c r="C25" s="487"/>
      <c r="D25" s="487"/>
      <c r="E25" s="487"/>
      <c r="F25" s="487"/>
      <c r="G25" s="487"/>
      <c r="H25" s="487"/>
      <c r="I25" s="487"/>
      <c r="K25" s="486"/>
      <c r="L25" s="486"/>
      <c r="M25" s="486"/>
      <c r="N25" s="486"/>
      <c r="O25" s="486"/>
      <c r="P25" s="486"/>
      <c r="Q25" s="486"/>
      <c r="R25" s="486"/>
    </row>
    <row r="26" spans="1:18" ht="20.100000000000001" customHeight="1">
      <c r="A26" s="210" t="s">
        <v>240</v>
      </c>
      <c r="B26" s="212"/>
      <c r="C26" s="212"/>
      <c r="D26" s="212"/>
      <c r="E26" s="212"/>
      <c r="F26" s="212"/>
      <c r="G26" s="212"/>
      <c r="H26" s="212"/>
      <c r="K26" s="219"/>
      <c r="L26" s="219"/>
      <c r="M26" s="218"/>
      <c r="N26" s="219"/>
      <c r="O26" s="218"/>
      <c r="P26" s="218"/>
      <c r="Q26" s="218"/>
      <c r="R26" s="218"/>
    </row>
    <row r="27" spans="1:18" ht="58.5" customHeight="1">
      <c r="A27" s="210" t="s">
        <v>241</v>
      </c>
      <c r="B27" s="488"/>
      <c r="C27" s="489"/>
      <c r="D27" s="489"/>
      <c r="E27" s="489"/>
      <c r="F27" s="489"/>
      <c r="G27" s="489"/>
      <c r="H27" s="489"/>
      <c r="I27" s="489"/>
      <c r="K27" s="219"/>
      <c r="L27" s="219"/>
      <c r="M27" s="218"/>
      <c r="N27" s="219"/>
      <c r="O27" s="218"/>
      <c r="P27" s="218"/>
      <c r="Q27" s="218"/>
      <c r="R27" s="218"/>
    </row>
    <row r="28" spans="1:18" ht="54.75" customHeight="1">
      <c r="A28" s="210" t="s">
        <v>242</v>
      </c>
      <c r="B28" s="488"/>
      <c r="C28" s="489"/>
      <c r="D28" s="489"/>
      <c r="E28" s="489"/>
      <c r="F28" s="489"/>
      <c r="G28" s="489"/>
      <c r="H28" s="489"/>
      <c r="I28" s="489"/>
      <c r="K28" s="219"/>
      <c r="L28" s="219"/>
      <c r="M28" s="218"/>
      <c r="N28" s="219"/>
      <c r="O28" s="218"/>
      <c r="P28" s="218"/>
      <c r="Q28" s="218"/>
      <c r="R28" s="218"/>
    </row>
    <row r="29" spans="1:18" ht="48" customHeight="1">
      <c r="A29" s="210" t="s">
        <v>61</v>
      </c>
      <c r="B29" s="212"/>
      <c r="C29" s="212"/>
      <c r="D29" s="212"/>
      <c r="E29" s="212"/>
      <c r="F29" s="212"/>
      <c r="G29" s="212"/>
      <c r="H29" s="212"/>
      <c r="K29" s="219"/>
      <c r="L29" s="219"/>
      <c r="M29" s="218"/>
      <c r="N29" s="219"/>
      <c r="O29" s="218"/>
      <c r="P29" s="218"/>
      <c r="Q29" s="218"/>
      <c r="R29" s="218"/>
    </row>
    <row r="30" spans="1:18" ht="20.100000000000001" customHeight="1">
      <c r="A30" s="483" t="s">
        <v>243</v>
      </c>
      <c r="B30" s="483"/>
      <c r="C30" s="483"/>
      <c r="D30" s="483"/>
      <c r="E30" s="483"/>
      <c r="F30" s="483"/>
      <c r="G30" s="483"/>
      <c r="H30" s="483"/>
      <c r="I30" s="483"/>
      <c r="K30" s="219"/>
      <c r="L30" s="219"/>
      <c r="M30" s="218"/>
      <c r="N30" s="219"/>
      <c r="O30" s="218"/>
      <c r="P30" s="218"/>
      <c r="Q30" s="218"/>
      <c r="R30" s="218"/>
    </row>
    <row r="31" spans="1:18" ht="20.100000000000001" customHeight="1">
      <c r="K31" s="219"/>
      <c r="L31" s="219"/>
      <c r="M31" s="218"/>
      <c r="N31" s="219"/>
      <c r="O31" s="218"/>
      <c r="P31" s="218"/>
      <c r="Q31" s="218"/>
      <c r="R31" s="218"/>
    </row>
    <row r="32" spans="1:18" ht="20.100000000000001" customHeight="1">
      <c r="K32" s="486"/>
      <c r="L32" s="486"/>
      <c r="M32" s="486"/>
      <c r="N32" s="486"/>
      <c r="O32" s="486"/>
      <c r="P32" s="486"/>
      <c r="Q32" s="486"/>
      <c r="R32" s="486"/>
    </row>
    <row r="34" spans="1:22" ht="20.100000000000001" customHeight="1">
      <c r="A34" s="483" t="s">
        <v>169</v>
      </c>
      <c r="B34" s="483"/>
      <c r="C34" s="483"/>
      <c r="D34" s="483"/>
      <c r="E34" s="483"/>
      <c r="F34" s="483"/>
      <c r="G34" s="483"/>
      <c r="H34" s="483"/>
      <c r="I34" s="483"/>
      <c r="L34" s="214"/>
      <c r="M34" s="214"/>
      <c r="N34" s="214"/>
    </row>
    <row r="35" spans="1:22" ht="20.100000000000001" customHeight="1">
      <c r="A35" s="215" t="s">
        <v>244</v>
      </c>
      <c r="B35" s="206"/>
      <c r="C35" s="206"/>
      <c r="D35" s="206"/>
      <c r="E35" s="206"/>
      <c r="F35" s="206"/>
      <c r="G35" s="206"/>
      <c r="H35" s="206"/>
      <c r="I35" s="206"/>
      <c r="L35" s="214"/>
      <c r="M35" s="214"/>
      <c r="N35" s="214"/>
    </row>
    <row r="36" spans="1:22" ht="20.100000000000001" customHeight="1">
      <c r="A36" s="215" t="s">
        <v>245</v>
      </c>
      <c r="B36" s="206"/>
      <c r="C36" s="206"/>
      <c r="D36" s="206"/>
      <c r="E36" s="206"/>
      <c r="F36" s="206"/>
      <c r="G36" s="206"/>
      <c r="H36" s="206"/>
      <c r="I36" s="206"/>
      <c r="L36" s="214"/>
      <c r="M36" s="214"/>
      <c r="N36" s="214"/>
    </row>
    <row r="37" spans="1:22" ht="20.100000000000001" customHeight="1">
      <c r="A37" s="213" t="s">
        <v>246</v>
      </c>
    </row>
    <row r="38" spans="1:22" ht="20.100000000000001" customHeight="1">
      <c r="A38" s="213" t="s">
        <v>247</v>
      </c>
    </row>
    <row r="39" spans="1:22" ht="20.100000000000001" customHeight="1">
      <c r="A39" s="213" t="s">
        <v>248</v>
      </c>
    </row>
    <row r="40" spans="1:22" ht="20.100000000000001" customHeight="1">
      <c r="A40" s="216" t="s">
        <v>249</v>
      </c>
      <c r="B40" s="212"/>
      <c r="C40" s="212"/>
      <c r="D40" s="212"/>
      <c r="E40" s="212"/>
      <c r="F40" s="212"/>
      <c r="G40" s="212"/>
      <c r="H40" s="212"/>
      <c r="L40" s="214"/>
      <c r="M40" s="214"/>
      <c r="N40" s="214"/>
    </row>
    <row r="41" spans="1:22" ht="138" customHeight="1">
      <c r="A41" s="217" t="s">
        <v>250</v>
      </c>
      <c r="B41" s="490" t="s">
        <v>251</v>
      </c>
      <c r="C41" s="491"/>
      <c r="D41" s="491"/>
      <c r="E41" s="491"/>
      <c r="F41" s="491"/>
      <c r="G41" s="491"/>
      <c r="H41" s="491"/>
      <c r="I41" s="491"/>
      <c r="L41" s="214"/>
      <c r="M41" s="214"/>
      <c r="N41" s="485"/>
      <c r="O41" s="485"/>
      <c r="P41" s="485"/>
      <c r="Q41" s="485"/>
      <c r="R41" s="485"/>
      <c r="S41" s="485"/>
      <c r="T41" s="485"/>
      <c r="U41" s="485"/>
      <c r="V41" s="485"/>
    </row>
    <row r="42" spans="1:22" ht="168.75" customHeight="1">
      <c r="A42" s="217" t="s">
        <v>252</v>
      </c>
      <c r="B42" s="490" t="s">
        <v>253</v>
      </c>
      <c r="C42" s="491"/>
      <c r="D42" s="491"/>
      <c r="E42" s="491"/>
      <c r="F42" s="491"/>
      <c r="G42" s="491"/>
      <c r="H42" s="491"/>
      <c r="I42" s="491"/>
      <c r="L42" s="216"/>
      <c r="M42" s="214"/>
      <c r="N42" s="214"/>
    </row>
    <row r="43" spans="1:22" ht="152.25" customHeight="1">
      <c r="A43" s="217" t="s">
        <v>254</v>
      </c>
      <c r="B43" s="490" t="s">
        <v>255</v>
      </c>
      <c r="C43" s="491"/>
      <c r="D43" s="491"/>
      <c r="E43" s="491"/>
      <c r="F43" s="491"/>
      <c r="G43" s="491"/>
      <c r="H43" s="491"/>
      <c r="I43" s="491"/>
      <c r="L43" s="216"/>
      <c r="M43" s="214"/>
      <c r="N43" s="214"/>
    </row>
    <row r="44" spans="1:22" ht="146.25" customHeight="1">
      <c r="A44" s="217" t="s">
        <v>256</v>
      </c>
      <c r="B44" s="490" t="s">
        <v>257</v>
      </c>
      <c r="C44" s="491"/>
      <c r="D44" s="491"/>
      <c r="E44" s="491"/>
      <c r="F44" s="491"/>
      <c r="G44" s="491"/>
      <c r="H44" s="491"/>
      <c r="I44" s="491"/>
    </row>
    <row r="45" spans="1:22" ht="77.25" customHeight="1">
      <c r="A45" s="217" t="s">
        <v>258</v>
      </c>
      <c r="B45" s="490" t="s">
        <v>259</v>
      </c>
      <c r="C45" s="491"/>
      <c r="D45" s="491"/>
      <c r="E45" s="491"/>
      <c r="F45" s="491"/>
      <c r="G45" s="491"/>
      <c r="H45" s="491"/>
      <c r="I45" s="491"/>
    </row>
    <row r="46" spans="1:22" ht="89.25" customHeight="1">
      <c r="A46" s="217" t="s">
        <v>260</v>
      </c>
      <c r="B46" s="490" t="s">
        <v>261</v>
      </c>
      <c r="C46" s="491"/>
      <c r="D46" s="491"/>
      <c r="E46" s="491"/>
      <c r="F46" s="491"/>
      <c r="G46" s="491"/>
      <c r="H46" s="491"/>
      <c r="I46" s="491"/>
    </row>
  </sheetData>
  <mergeCells count="23">
    <mergeCell ref="B45:I45"/>
    <mergeCell ref="B46:I46"/>
    <mergeCell ref="B41:I41"/>
    <mergeCell ref="N41:V41"/>
    <mergeCell ref="B42:I42"/>
    <mergeCell ref="B43:I43"/>
    <mergeCell ref="B44:I44"/>
    <mergeCell ref="B27:I27"/>
    <mergeCell ref="B28:I28"/>
    <mergeCell ref="A30:I30"/>
    <mergeCell ref="K32:R32"/>
    <mergeCell ref="A34:I34"/>
    <mergeCell ref="A15:I15"/>
    <mergeCell ref="A19:I19"/>
    <mergeCell ref="A24:I24"/>
    <mergeCell ref="K24:R24"/>
    <mergeCell ref="A25:I25"/>
    <mergeCell ref="K25:R25"/>
    <mergeCell ref="A1:I1"/>
    <mergeCell ref="A2:I2"/>
    <mergeCell ref="A5:I5"/>
    <mergeCell ref="A7:I7"/>
    <mergeCell ref="A14:I14"/>
  </mergeCells>
  <phoneticPr fontId="145" type="noConversion"/>
  <hyperlinks>
    <hyperlink ref="I3" location="底稿目录!A1" display="D2-9"/>
  </hyperlinks>
  <pageMargins left="0.70833333333333304" right="0.70833333333333304" top="0.74791666666666701" bottom="0.74791666666666701" header="0.31458333333333299" footer="0.31458333333333299"/>
  <pageSetup paperSize="9" scale="85" orientation="portrait" blackAndWhite="1" r:id="rId1"/>
  <headerFooter>
    <oddFooter>&amp;C&amp;P/&amp;N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N50"/>
  <sheetViews>
    <sheetView view="pageBreakPreview" zoomScaleNormal="100" workbookViewId="0">
      <selection sqref="A1:H1"/>
    </sheetView>
  </sheetViews>
  <sheetFormatPr defaultColWidth="9" defaultRowHeight="20.100000000000001" customHeight="1"/>
  <cols>
    <col min="1" max="1" width="22" style="159" customWidth="1"/>
    <col min="2" max="3" width="13.19921875" style="159" customWidth="1"/>
    <col min="4" max="4" width="12.59765625" style="159" customWidth="1"/>
    <col min="5" max="5" width="13" style="159" customWidth="1"/>
    <col min="6" max="6" width="12.5" style="159" customWidth="1"/>
    <col min="7" max="7" width="10.09765625" style="159" customWidth="1"/>
    <col min="8" max="251" width="9" style="159"/>
    <col min="252" max="252" width="32.5" style="159" customWidth="1"/>
    <col min="253" max="253" width="14" style="159" customWidth="1"/>
    <col min="254" max="254" width="16.59765625" style="159" customWidth="1"/>
    <col min="255" max="256" width="16.5" style="159" customWidth="1"/>
    <col min="257" max="257" width="12" style="159" customWidth="1"/>
    <col min="258" max="258" width="13.19921875" style="159" customWidth="1"/>
    <col min="259" max="259" width="11.59765625" style="159" customWidth="1"/>
    <col min="260" max="260" width="11.69921875" style="159" customWidth="1"/>
    <col min="261" max="507" width="9" style="159"/>
    <col min="508" max="508" width="32.5" style="159" customWidth="1"/>
    <col min="509" max="509" width="14" style="159" customWidth="1"/>
    <col min="510" max="510" width="16.59765625" style="159" customWidth="1"/>
    <col min="511" max="512" width="16.5" style="159" customWidth="1"/>
    <col min="513" max="513" width="12" style="159" customWidth="1"/>
    <col min="514" max="514" width="13.19921875" style="159" customWidth="1"/>
    <col min="515" max="515" width="11.59765625" style="159" customWidth="1"/>
    <col min="516" max="516" width="11.69921875" style="159" customWidth="1"/>
    <col min="517" max="763" width="9" style="159"/>
    <col min="764" max="764" width="32.5" style="159" customWidth="1"/>
    <col min="765" max="765" width="14" style="159" customWidth="1"/>
    <col min="766" max="766" width="16.59765625" style="159" customWidth="1"/>
    <col min="767" max="768" width="16.5" style="159" customWidth="1"/>
    <col min="769" max="769" width="12" style="159" customWidth="1"/>
    <col min="770" max="770" width="13.19921875" style="159" customWidth="1"/>
    <col min="771" max="771" width="11.59765625" style="159" customWidth="1"/>
    <col min="772" max="772" width="11.69921875" style="159" customWidth="1"/>
    <col min="773" max="1019" width="9" style="159"/>
    <col min="1020" max="1020" width="32.5" style="159" customWidth="1"/>
    <col min="1021" max="1021" width="14" style="159" customWidth="1"/>
    <col min="1022" max="1022" width="16.59765625" style="159" customWidth="1"/>
    <col min="1023" max="1024" width="16.5" style="159" customWidth="1"/>
    <col min="1025" max="1025" width="12" style="159" customWidth="1"/>
    <col min="1026" max="1026" width="13.19921875" style="159" customWidth="1"/>
    <col min="1027" max="1027" width="11.59765625" style="159" customWidth="1"/>
    <col min="1028" max="1028" width="11.69921875" style="159" customWidth="1"/>
    <col min="1029" max="1275" width="9" style="159"/>
    <col min="1276" max="1276" width="32.5" style="159" customWidth="1"/>
    <col min="1277" max="1277" width="14" style="159" customWidth="1"/>
    <col min="1278" max="1278" width="16.59765625" style="159" customWidth="1"/>
    <col min="1279" max="1280" width="16.5" style="159" customWidth="1"/>
    <col min="1281" max="1281" width="12" style="159" customWidth="1"/>
    <col min="1282" max="1282" width="13.19921875" style="159" customWidth="1"/>
    <col min="1283" max="1283" width="11.59765625" style="159" customWidth="1"/>
    <col min="1284" max="1284" width="11.69921875" style="159" customWidth="1"/>
    <col min="1285" max="1531" width="9" style="159"/>
    <col min="1532" max="1532" width="32.5" style="159" customWidth="1"/>
    <col min="1533" max="1533" width="14" style="159" customWidth="1"/>
    <col min="1534" max="1534" width="16.59765625" style="159" customWidth="1"/>
    <col min="1535" max="1536" width="16.5" style="159" customWidth="1"/>
    <col min="1537" max="1537" width="12" style="159" customWidth="1"/>
    <col min="1538" max="1538" width="13.19921875" style="159" customWidth="1"/>
    <col min="1539" max="1539" width="11.59765625" style="159" customWidth="1"/>
    <col min="1540" max="1540" width="11.69921875" style="159" customWidth="1"/>
    <col min="1541" max="1787" width="9" style="159"/>
    <col min="1788" max="1788" width="32.5" style="159" customWidth="1"/>
    <col min="1789" max="1789" width="14" style="159" customWidth="1"/>
    <col min="1790" max="1790" width="16.59765625" style="159" customWidth="1"/>
    <col min="1791" max="1792" width="16.5" style="159" customWidth="1"/>
    <col min="1793" max="1793" width="12" style="159" customWidth="1"/>
    <col min="1794" max="1794" width="13.19921875" style="159" customWidth="1"/>
    <col min="1795" max="1795" width="11.59765625" style="159" customWidth="1"/>
    <col min="1796" max="1796" width="11.69921875" style="159" customWidth="1"/>
    <col min="1797" max="2043" width="9" style="159"/>
    <col min="2044" max="2044" width="32.5" style="159" customWidth="1"/>
    <col min="2045" max="2045" width="14" style="159" customWidth="1"/>
    <col min="2046" max="2046" width="16.59765625" style="159" customWidth="1"/>
    <col min="2047" max="2048" width="16.5" style="159" customWidth="1"/>
    <col min="2049" max="2049" width="12" style="159" customWidth="1"/>
    <col min="2050" max="2050" width="13.19921875" style="159" customWidth="1"/>
    <col min="2051" max="2051" width="11.59765625" style="159" customWidth="1"/>
    <col min="2052" max="2052" width="11.69921875" style="159" customWidth="1"/>
    <col min="2053" max="2299" width="9" style="159"/>
    <col min="2300" max="2300" width="32.5" style="159" customWidth="1"/>
    <col min="2301" max="2301" width="14" style="159" customWidth="1"/>
    <col min="2302" max="2302" width="16.59765625" style="159" customWidth="1"/>
    <col min="2303" max="2304" width="16.5" style="159" customWidth="1"/>
    <col min="2305" max="2305" width="12" style="159" customWidth="1"/>
    <col min="2306" max="2306" width="13.19921875" style="159" customWidth="1"/>
    <col min="2307" max="2307" width="11.59765625" style="159" customWidth="1"/>
    <col min="2308" max="2308" width="11.69921875" style="159" customWidth="1"/>
    <col min="2309" max="2555" width="9" style="159"/>
    <col min="2556" max="2556" width="32.5" style="159" customWidth="1"/>
    <col min="2557" max="2557" width="14" style="159" customWidth="1"/>
    <col min="2558" max="2558" width="16.59765625" style="159" customWidth="1"/>
    <col min="2559" max="2560" width="16.5" style="159" customWidth="1"/>
    <col min="2561" max="2561" width="12" style="159" customWidth="1"/>
    <col min="2562" max="2562" width="13.19921875" style="159" customWidth="1"/>
    <col min="2563" max="2563" width="11.59765625" style="159" customWidth="1"/>
    <col min="2564" max="2564" width="11.69921875" style="159" customWidth="1"/>
    <col min="2565" max="2811" width="9" style="159"/>
    <col min="2812" max="2812" width="32.5" style="159" customWidth="1"/>
    <col min="2813" max="2813" width="14" style="159" customWidth="1"/>
    <col min="2814" max="2814" width="16.59765625" style="159" customWidth="1"/>
    <col min="2815" max="2816" width="16.5" style="159" customWidth="1"/>
    <col min="2817" max="2817" width="12" style="159" customWidth="1"/>
    <col min="2818" max="2818" width="13.19921875" style="159" customWidth="1"/>
    <col min="2819" max="2819" width="11.59765625" style="159" customWidth="1"/>
    <col min="2820" max="2820" width="11.69921875" style="159" customWidth="1"/>
    <col min="2821" max="3067" width="9" style="159"/>
    <col min="3068" max="3068" width="32.5" style="159" customWidth="1"/>
    <col min="3069" max="3069" width="14" style="159" customWidth="1"/>
    <col min="3070" max="3070" width="16.59765625" style="159" customWidth="1"/>
    <col min="3071" max="3072" width="16.5" style="159" customWidth="1"/>
    <col min="3073" max="3073" width="12" style="159" customWidth="1"/>
    <col min="3074" max="3074" width="13.19921875" style="159" customWidth="1"/>
    <col min="3075" max="3075" width="11.59765625" style="159" customWidth="1"/>
    <col min="3076" max="3076" width="11.69921875" style="159" customWidth="1"/>
    <col min="3077" max="3323" width="9" style="159"/>
    <col min="3324" max="3324" width="32.5" style="159" customWidth="1"/>
    <col min="3325" max="3325" width="14" style="159" customWidth="1"/>
    <col min="3326" max="3326" width="16.59765625" style="159" customWidth="1"/>
    <col min="3327" max="3328" width="16.5" style="159" customWidth="1"/>
    <col min="3329" max="3329" width="12" style="159" customWidth="1"/>
    <col min="3330" max="3330" width="13.19921875" style="159" customWidth="1"/>
    <col min="3331" max="3331" width="11.59765625" style="159" customWidth="1"/>
    <col min="3332" max="3332" width="11.69921875" style="159" customWidth="1"/>
    <col min="3333" max="3579" width="9" style="159"/>
    <col min="3580" max="3580" width="32.5" style="159" customWidth="1"/>
    <col min="3581" max="3581" width="14" style="159" customWidth="1"/>
    <col min="3582" max="3582" width="16.59765625" style="159" customWidth="1"/>
    <col min="3583" max="3584" width="16.5" style="159" customWidth="1"/>
    <col min="3585" max="3585" width="12" style="159" customWidth="1"/>
    <col min="3586" max="3586" width="13.19921875" style="159" customWidth="1"/>
    <col min="3587" max="3587" width="11.59765625" style="159" customWidth="1"/>
    <col min="3588" max="3588" width="11.69921875" style="159" customWidth="1"/>
    <col min="3589" max="3835" width="9" style="159"/>
    <col min="3836" max="3836" width="32.5" style="159" customWidth="1"/>
    <col min="3837" max="3837" width="14" style="159" customWidth="1"/>
    <col min="3838" max="3838" width="16.59765625" style="159" customWidth="1"/>
    <col min="3839" max="3840" width="16.5" style="159" customWidth="1"/>
    <col min="3841" max="3841" width="12" style="159" customWidth="1"/>
    <col min="3842" max="3842" width="13.19921875" style="159" customWidth="1"/>
    <col min="3843" max="3843" width="11.59765625" style="159" customWidth="1"/>
    <col min="3844" max="3844" width="11.69921875" style="159" customWidth="1"/>
    <col min="3845" max="4091" width="9" style="159"/>
    <col min="4092" max="4092" width="32.5" style="159" customWidth="1"/>
    <col min="4093" max="4093" width="14" style="159" customWidth="1"/>
    <col min="4094" max="4094" width="16.59765625" style="159" customWidth="1"/>
    <col min="4095" max="4096" width="16.5" style="159" customWidth="1"/>
    <col min="4097" max="4097" width="12" style="159" customWidth="1"/>
    <col min="4098" max="4098" width="13.19921875" style="159" customWidth="1"/>
    <col min="4099" max="4099" width="11.59765625" style="159" customWidth="1"/>
    <col min="4100" max="4100" width="11.69921875" style="159" customWidth="1"/>
    <col min="4101" max="4347" width="9" style="159"/>
    <col min="4348" max="4348" width="32.5" style="159" customWidth="1"/>
    <col min="4349" max="4349" width="14" style="159" customWidth="1"/>
    <col min="4350" max="4350" width="16.59765625" style="159" customWidth="1"/>
    <col min="4351" max="4352" width="16.5" style="159" customWidth="1"/>
    <col min="4353" max="4353" width="12" style="159" customWidth="1"/>
    <col min="4354" max="4354" width="13.19921875" style="159" customWidth="1"/>
    <col min="4355" max="4355" width="11.59765625" style="159" customWidth="1"/>
    <col min="4356" max="4356" width="11.69921875" style="159" customWidth="1"/>
    <col min="4357" max="4603" width="9" style="159"/>
    <col min="4604" max="4604" width="32.5" style="159" customWidth="1"/>
    <col min="4605" max="4605" width="14" style="159" customWidth="1"/>
    <col min="4606" max="4606" width="16.59765625" style="159" customWidth="1"/>
    <col min="4607" max="4608" width="16.5" style="159" customWidth="1"/>
    <col min="4609" max="4609" width="12" style="159" customWidth="1"/>
    <col min="4610" max="4610" width="13.19921875" style="159" customWidth="1"/>
    <col min="4611" max="4611" width="11.59765625" style="159" customWidth="1"/>
    <col min="4612" max="4612" width="11.69921875" style="159" customWidth="1"/>
    <col min="4613" max="4859" width="9" style="159"/>
    <col min="4860" max="4860" width="32.5" style="159" customWidth="1"/>
    <col min="4861" max="4861" width="14" style="159" customWidth="1"/>
    <col min="4862" max="4862" width="16.59765625" style="159" customWidth="1"/>
    <col min="4863" max="4864" width="16.5" style="159" customWidth="1"/>
    <col min="4865" max="4865" width="12" style="159" customWidth="1"/>
    <col min="4866" max="4866" width="13.19921875" style="159" customWidth="1"/>
    <col min="4867" max="4867" width="11.59765625" style="159" customWidth="1"/>
    <col min="4868" max="4868" width="11.69921875" style="159" customWidth="1"/>
    <col min="4869" max="5115" width="9" style="159"/>
    <col min="5116" max="5116" width="32.5" style="159" customWidth="1"/>
    <col min="5117" max="5117" width="14" style="159" customWidth="1"/>
    <col min="5118" max="5118" width="16.59765625" style="159" customWidth="1"/>
    <col min="5119" max="5120" width="16.5" style="159" customWidth="1"/>
    <col min="5121" max="5121" width="12" style="159" customWidth="1"/>
    <col min="5122" max="5122" width="13.19921875" style="159" customWidth="1"/>
    <col min="5123" max="5123" width="11.59765625" style="159" customWidth="1"/>
    <col min="5124" max="5124" width="11.69921875" style="159" customWidth="1"/>
    <col min="5125" max="5371" width="9" style="159"/>
    <col min="5372" max="5372" width="32.5" style="159" customWidth="1"/>
    <col min="5373" max="5373" width="14" style="159" customWidth="1"/>
    <col min="5374" max="5374" width="16.59765625" style="159" customWidth="1"/>
    <col min="5375" max="5376" width="16.5" style="159" customWidth="1"/>
    <col min="5377" max="5377" width="12" style="159" customWidth="1"/>
    <col min="5378" max="5378" width="13.19921875" style="159" customWidth="1"/>
    <col min="5379" max="5379" width="11.59765625" style="159" customWidth="1"/>
    <col min="5380" max="5380" width="11.69921875" style="159" customWidth="1"/>
    <col min="5381" max="5627" width="9" style="159"/>
    <col min="5628" max="5628" width="32.5" style="159" customWidth="1"/>
    <col min="5629" max="5629" width="14" style="159" customWidth="1"/>
    <col min="5630" max="5630" width="16.59765625" style="159" customWidth="1"/>
    <col min="5631" max="5632" width="16.5" style="159" customWidth="1"/>
    <col min="5633" max="5633" width="12" style="159" customWidth="1"/>
    <col min="5634" max="5634" width="13.19921875" style="159" customWidth="1"/>
    <col min="5635" max="5635" width="11.59765625" style="159" customWidth="1"/>
    <col min="5636" max="5636" width="11.69921875" style="159" customWidth="1"/>
    <col min="5637" max="5883" width="9" style="159"/>
    <col min="5884" max="5884" width="32.5" style="159" customWidth="1"/>
    <col min="5885" max="5885" width="14" style="159" customWidth="1"/>
    <col min="5886" max="5886" width="16.59765625" style="159" customWidth="1"/>
    <col min="5887" max="5888" width="16.5" style="159" customWidth="1"/>
    <col min="5889" max="5889" width="12" style="159" customWidth="1"/>
    <col min="5890" max="5890" width="13.19921875" style="159" customWidth="1"/>
    <col min="5891" max="5891" width="11.59765625" style="159" customWidth="1"/>
    <col min="5892" max="5892" width="11.69921875" style="159" customWidth="1"/>
    <col min="5893" max="6139" width="9" style="159"/>
    <col min="6140" max="6140" width="32.5" style="159" customWidth="1"/>
    <col min="6141" max="6141" width="14" style="159" customWidth="1"/>
    <col min="6142" max="6142" width="16.59765625" style="159" customWidth="1"/>
    <col min="6143" max="6144" width="16.5" style="159" customWidth="1"/>
    <col min="6145" max="6145" width="12" style="159" customWidth="1"/>
    <col min="6146" max="6146" width="13.19921875" style="159" customWidth="1"/>
    <col min="6147" max="6147" width="11.59765625" style="159" customWidth="1"/>
    <col min="6148" max="6148" width="11.69921875" style="159" customWidth="1"/>
    <col min="6149" max="6395" width="9" style="159"/>
    <col min="6396" max="6396" width="32.5" style="159" customWidth="1"/>
    <col min="6397" max="6397" width="14" style="159" customWidth="1"/>
    <col min="6398" max="6398" width="16.59765625" style="159" customWidth="1"/>
    <col min="6399" max="6400" width="16.5" style="159" customWidth="1"/>
    <col min="6401" max="6401" width="12" style="159" customWidth="1"/>
    <col min="6402" max="6402" width="13.19921875" style="159" customWidth="1"/>
    <col min="6403" max="6403" width="11.59765625" style="159" customWidth="1"/>
    <col min="6404" max="6404" width="11.69921875" style="159" customWidth="1"/>
    <col min="6405" max="6651" width="9" style="159"/>
    <col min="6652" max="6652" width="32.5" style="159" customWidth="1"/>
    <col min="6653" max="6653" width="14" style="159" customWidth="1"/>
    <col min="6654" max="6654" width="16.59765625" style="159" customWidth="1"/>
    <col min="6655" max="6656" width="16.5" style="159" customWidth="1"/>
    <col min="6657" max="6657" width="12" style="159" customWidth="1"/>
    <col min="6658" max="6658" width="13.19921875" style="159" customWidth="1"/>
    <col min="6659" max="6659" width="11.59765625" style="159" customWidth="1"/>
    <col min="6660" max="6660" width="11.69921875" style="159" customWidth="1"/>
    <col min="6661" max="6907" width="9" style="159"/>
    <col min="6908" max="6908" width="32.5" style="159" customWidth="1"/>
    <col min="6909" max="6909" width="14" style="159" customWidth="1"/>
    <col min="6910" max="6910" width="16.59765625" style="159" customWidth="1"/>
    <col min="6911" max="6912" width="16.5" style="159" customWidth="1"/>
    <col min="6913" max="6913" width="12" style="159" customWidth="1"/>
    <col min="6914" max="6914" width="13.19921875" style="159" customWidth="1"/>
    <col min="6915" max="6915" width="11.59765625" style="159" customWidth="1"/>
    <col min="6916" max="6916" width="11.69921875" style="159" customWidth="1"/>
    <col min="6917" max="7163" width="9" style="159"/>
    <col min="7164" max="7164" width="32.5" style="159" customWidth="1"/>
    <col min="7165" max="7165" width="14" style="159" customWidth="1"/>
    <col min="7166" max="7166" width="16.59765625" style="159" customWidth="1"/>
    <col min="7167" max="7168" width="16.5" style="159" customWidth="1"/>
    <col min="7169" max="7169" width="12" style="159" customWidth="1"/>
    <col min="7170" max="7170" width="13.19921875" style="159" customWidth="1"/>
    <col min="7171" max="7171" width="11.59765625" style="159" customWidth="1"/>
    <col min="7172" max="7172" width="11.69921875" style="159" customWidth="1"/>
    <col min="7173" max="7419" width="9" style="159"/>
    <col min="7420" max="7420" width="32.5" style="159" customWidth="1"/>
    <col min="7421" max="7421" width="14" style="159" customWidth="1"/>
    <col min="7422" max="7422" width="16.59765625" style="159" customWidth="1"/>
    <col min="7423" max="7424" width="16.5" style="159" customWidth="1"/>
    <col min="7425" max="7425" width="12" style="159" customWidth="1"/>
    <col min="7426" max="7426" width="13.19921875" style="159" customWidth="1"/>
    <col min="7427" max="7427" width="11.59765625" style="159" customWidth="1"/>
    <col min="7428" max="7428" width="11.69921875" style="159" customWidth="1"/>
    <col min="7429" max="7675" width="9" style="159"/>
    <col min="7676" max="7676" width="32.5" style="159" customWidth="1"/>
    <col min="7677" max="7677" width="14" style="159" customWidth="1"/>
    <col min="7678" max="7678" width="16.59765625" style="159" customWidth="1"/>
    <col min="7679" max="7680" width="16.5" style="159" customWidth="1"/>
    <col min="7681" max="7681" width="12" style="159" customWidth="1"/>
    <col min="7682" max="7682" width="13.19921875" style="159" customWidth="1"/>
    <col min="7683" max="7683" width="11.59765625" style="159" customWidth="1"/>
    <col min="7684" max="7684" width="11.69921875" style="159" customWidth="1"/>
    <col min="7685" max="7931" width="9" style="159"/>
    <col min="7932" max="7932" width="32.5" style="159" customWidth="1"/>
    <col min="7933" max="7933" width="14" style="159" customWidth="1"/>
    <col min="7934" max="7934" width="16.59765625" style="159" customWidth="1"/>
    <col min="7935" max="7936" width="16.5" style="159" customWidth="1"/>
    <col min="7937" max="7937" width="12" style="159" customWidth="1"/>
    <col min="7938" max="7938" width="13.19921875" style="159" customWidth="1"/>
    <col min="7939" max="7939" width="11.59765625" style="159" customWidth="1"/>
    <col min="7940" max="7940" width="11.69921875" style="159" customWidth="1"/>
    <col min="7941" max="8187" width="9" style="159"/>
    <col min="8188" max="8188" width="32.5" style="159" customWidth="1"/>
    <col min="8189" max="8189" width="14" style="159" customWidth="1"/>
    <col min="8190" max="8190" width="16.59765625" style="159" customWidth="1"/>
    <col min="8191" max="8192" width="16.5" style="159" customWidth="1"/>
    <col min="8193" max="8193" width="12" style="159" customWidth="1"/>
    <col min="8194" max="8194" width="13.19921875" style="159" customWidth="1"/>
    <col min="8195" max="8195" width="11.59765625" style="159" customWidth="1"/>
    <col min="8196" max="8196" width="11.69921875" style="159" customWidth="1"/>
    <col min="8197" max="8443" width="9" style="159"/>
    <col min="8444" max="8444" width="32.5" style="159" customWidth="1"/>
    <col min="8445" max="8445" width="14" style="159" customWidth="1"/>
    <col min="8446" max="8446" width="16.59765625" style="159" customWidth="1"/>
    <col min="8447" max="8448" width="16.5" style="159" customWidth="1"/>
    <col min="8449" max="8449" width="12" style="159" customWidth="1"/>
    <col min="8450" max="8450" width="13.19921875" style="159" customWidth="1"/>
    <col min="8451" max="8451" width="11.59765625" style="159" customWidth="1"/>
    <col min="8452" max="8452" width="11.69921875" style="159" customWidth="1"/>
    <col min="8453" max="8699" width="9" style="159"/>
    <col min="8700" max="8700" width="32.5" style="159" customWidth="1"/>
    <col min="8701" max="8701" width="14" style="159" customWidth="1"/>
    <col min="8702" max="8702" width="16.59765625" style="159" customWidth="1"/>
    <col min="8703" max="8704" width="16.5" style="159" customWidth="1"/>
    <col min="8705" max="8705" width="12" style="159" customWidth="1"/>
    <col min="8706" max="8706" width="13.19921875" style="159" customWidth="1"/>
    <col min="8707" max="8707" width="11.59765625" style="159" customWidth="1"/>
    <col min="8708" max="8708" width="11.69921875" style="159" customWidth="1"/>
    <col min="8709" max="8955" width="9" style="159"/>
    <col min="8956" max="8956" width="32.5" style="159" customWidth="1"/>
    <col min="8957" max="8957" width="14" style="159" customWidth="1"/>
    <col min="8958" max="8958" width="16.59765625" style="159" customWidth="1"/>
    <col min="8959" max="8960" width="16.5" style="159" customWidth="1"/>
    <col min="8961" max="8961" width="12" style="159" customWidth="1"/>
    <col min="8962" max="8962" width="13.19921875" style="159" customWidth="1"/>
    <col min="8963" max="8963" width="11.59765625" style="159" customWidth="1"/>
    <col min="8964" max="8964" width="11.69921875" style="159" customWidth="1"/>
    <col min="8965" max="9211" width="9" style="159"/>
    <col min="9212" max="9212" width="32.5" style="159" customWidth="1"/>
    <col min="9213" max="9213" width="14" style="159" customWidth="1"/>
    <col min="9214" max="9214" width="16.59765625" style="159" customWidth="1"/>
    <col min="9215" max="9216" width="16.5" style="159" customWidth="1"/>
    <col min="9217" max="9217" width="12" style="159" customWidth="1"/>
    <col min="9218" max="9218" width="13.19921875" style="159" customWidth="1"/>
    <col min="9219" max="9219" width="11.59765625" style="159" customWidth="1"/>
    <col min="9220" max="9220" width="11.69921875" style="159" customWidth="1"/>
    <col min="9221" max="9467" width="9" style="159"/>
    <col min="9468" max="9468" width="32.5" style="159" customWidth="1"/>
    <col min="9469" max="9469" width="14" style="159" customWidth="1"/>
    <col min="9470" max="9470" width="16.59765625" style="159" customWidth="1"/>
    <col min="9471" max="9472" width="16.5" style="159" customWidth="1"/>
    <col min="9473" max="9473" width="12" style="159" customWidth="1"/>
    <col min="9474" max="9474" width="13.19921875" style="159" customWidth="1"/>
    <col min="9475" max="9475" width="11.59765625" style="159" customWidth="1"/>
    <col min="9476" max="9476" width="11.69921875" style="159" customWidth="1"/>
    <col min="9477" max="9723" width="9" style="159"/>
    <col min="9724" max="9724" width="32.5" style="159" customWidth="1"/>
    <col min="9725" max="9725" width="14" style="159" customWidth="1"/>
    <col min="9726" max="9726" width="16.59765625" style="159" customWidth="1"/>
    <col min="9727" max="9728" width="16.5" style="159" customWidth="1"/>
    <col min="9729" max="9729" width="12" style="159" customWidth="1"/>
    <col min="9730" max="9730" width="13.19921875" style="159" customWidth="1"/>
    <col min="9731" max="9731" width="11.59765625" style="159" customWidth="1"/>
    <col min="9732" max="9732" width="11.69921875" style="159" customWidth="1"/>
    <col min="9733" max="9979" width="9" style="159"/>
    <col min="9980" max="9980" width="32.5" style="159" customWidth="1"/>
    <col min="9981" max="9981" width="14" style="159" customWidth="1"/>
    <col min="9982" max="9982" width="16.59765625" style="159" customWidth="1"/>
    <col min="9983" max="9984" width="16.5" style="159" customWidth="1"/>
    <col min="9985" max="9985" width="12" style="159" customWidth="1"/>
    <col min="9986" max="9986" width="13.19921875" style="159" customWidth="1"/>
    <col min="9987" max="9987" width="11.59765625" style="159" customWidth="1"/>
    <col min="9988" max="9988" width="11.69921875" style="159" customWidth="1"/>
    <col min="9989" max="10235" width="9" style="159"/>
    <col min="10236" max="10236" width="32.5" style="159" customWidth="1"/>
    <col min="10237" max="10237" width="14" style="159" customWidth="1"/>
    <col min="10238" max="10238" width="16.59765625" style="159" customWidth="1"/>
    <col min="10239" max="10240" width="16.5" style="159" customWidth="1"/>
    <col min="10241" max="10241" width="12" style="159" customWidth="1"/>
    <col min="10242" max="10242" width="13.19921875" style="159" customWidth="1"/>
    <col min="10243" max="10243" width="11.59765625" style="159" customWidth="1"/>
    <col min="10244" max="10244" width="11.69921875" style="159" customWidth="1"/>
    <col min="10245" max="10491" width="9" style="159"/>
    <col min="10492" max="10492" width="32.5" style="159" customWidth="1"/>
    <col min="10493" max="10493" width="14" style="159" customWidth="1"/>
    <col min="10494" max="10494" width="16.59765625" style="159" customWidth="1"/>
    <col min="10495" max="10496" width="16.5" style="159" customWidth="1"/>
    <col min="10497" max="10497" width="12" style="159" customWidth="1"/>
    <col min="10498" max="10498" width="13.19921875" style="159" customWidth="1"/>
    <col min="10499" max="10499" width="11.59765625" style="159" customWidth="1"/>
    <col min="10500" max="10500" width="11.69921875" style="159" customWidth="1"/>
    <col min="10501" max="10747" width="9" style="159"/>
    <col min="10748" max="10748" width="32.5" style="159" customWidth="1"/>
    <col min="10749" max="10749" width="14" style="159" customWidth="1"/>
    <col min="10750" max="10750" width="16.59765625" style="159" customWidth="1"/>
    <col min="10751" max="10752" width="16.5" style="159" customWidth="1"/>
    <col min="10753" max="10753" width="12" style="159" customWidth="1"/>
    <col min="10754" max="10754" width="13.19921875" style="159" customWidth="1"/>
    <col min="10755" max="10755" width="11.59765625" style="159" customWidth="1"/>
    <col min="10756" max="10756" width="11.69921875" style="159" customWidth="1"/>
    <col min="10757" max="11003" width="9" style="159"/>
    <col min="11004" max="11004" width="32.5" style="159" customWidth="1"/>
    <col min="11005" max="11005" width="14" style="159" customWidth="1"/>
    <col min="11006" max="11006" width="16.59765625" style="159" customWidth="1"/>
    <col min="11007" max="11008" width="16.5" style="159" customWidth="1"/>
    <col min="11009" max="11009" width="12" style="159" customWidth="1"/>
    <col min="11010" max="11010" width="13.19921875" style="159" customWidth="1"/>
    <col min="11011" max="11011" width="11.59765625" style="159" customWidth="1"/>
    <col min="11012" max="11012" width="11.69921875" style="159" customWidth="1"/>
    <col min="11013" max="11259" width="9" style="159"/>
    <col min="11260" max="11260" width="32.5" style="159" customWidth="1"/>
    <col min="11261" max="11261" width="14" style="159" customWidth="1"/>
    <col min="11262" max="11262" width="16.59765625" style="159" customWidth="1"/>
    <col min="11263" max="11264" width="16.5" style="159" customWidth="1"/>
    <col min="11265" max="11265" width="12" style="159" customWidth="1"/>
    <col min="11266" max="11266" width="13.19921875" style="159" customWidth="1"/>
    <col min="11267" max="11267" width="11.59765625" style="159" customWidth="1"/>
    <col min="11268" max="11268" width="11.69921875" style="159" customWidth="1"/>
    <col min="11269" max="11515" width="9" style="159"/>
    <col min="11516" max="11516" width="32.5" style="159" customWidth="1"/>
    <col min="11517" max="11517" width="14" style="159" customWidth="1"/>
    <col min="11518" max="11518" width="16.59765625" style="159" customWidth="1"/>
    <col min="11519" max="11520" width="16.5" style="159" customWidth="1"/>
    <col min="11521" max="11521" width="12" style="159" customWidth="1"/>
    <col min="11522" max="11522" width="13.19921875" style="159" customWidth="1"/>
    <col min="11523" max="11523" width="11.59765625" style="159" customWidth="1"/>
    <col min="11524" max="11524" width="11.69921875" style="159" customWidth="1"/>
    <col min="11525" max="11771" width="9" style="159"/>
    <col min="11772" max="11772" width="32.5" style="159" customWidth="1"/>
    <col min="11773" max="11773" width="14" style="159" customWidth="1"/>
    <col min="11774" max="11774" width="16.59765625" style="159" customWidth="1"/>
    <col min="11775" max="11776" width="16.5" style="159" customWidth="1"/>
    <col min="11777" max="11777" width="12" style="159" customWidth="1"/>
    <col min="11778" max="11778" width="13.19921875" style="159" customWidth="1"/>
    <col min="11779" max="11779" width="11.59765625" style="159" customWidth="1"/>
    <col min="11780" max="11780" width="11.69921875" style="159" customWidth="1"/>
    <col min="11781" max="12027" width="9" style="159"/>
    <col min="12028" max="12028" width="32.5" style="159" customWidth="1"/>
    <col min="12029" max="12029" width="14" style="159" customWidth="1"/>
    <col min="12030" max="12030" width="16.59765625" style="159" customWidth="1"/>
    <col min="12031" max="12032" width="16.5" style="159" customWidth="1"/>
    <col min="12033" max="12033" width="12" style="159" customWidth="1"/>
    <col min="12034" max="12034" width="13.19921875" style="159" customWidth="1"/>
    <col min="12035" max="12035" width="11.59765625" style="159" customWidth="1"/>
    <col min="12036" max="12036" width="11.69921875" style="159" customWidth="1"/>
    <col min="12037" max="12283" width="9" style="159"/>
    <col min="12284" max="12284" width="32.5" style="159" customWidth="1"/>
    <col min="12285" max="12285" width="14" style="159" customWidth="1"/>
    <col min="12286" max="12286" width="16.59765625" style="159" customWidth="1"/>
    <col min="12287" max="12288" width="16.5" style="159" customWidth="1"/>
    <col min="12289" max="12289" width="12" style="159" customWidth="1"/>
    <col min="12290" max="12290" width="13.19921875" style="159" customWidth="1"/>
    <col min="12291" max="12291" width="11.59765625" style="159" customWidth="1"/>
    <col min="12292" max="12292" width="11.69921875" style="159" customWidth="1"/>
    <col min="12293" max="12539" width="9" style="159"/>
    <col min="12540" max="12540" width="32.5" style="159" customWidth="1"/>
    <col min="12541" max="12541" width="14" style="159" customWidth="1"/>
    <col min="12542" max="12542" width="16.59765625" style="159" customWidth="1"/>
    <col min="12543" max="12544" width="16.5" style="159" customWidth="1"/>
    <col min="12545" max="12545" width="12" style="159" customWidth="1"/>
    <col min="12546" max="12546" width="13.19921875" style="159" customWidth="1"/>
    <col min="12547" max="12547" width="11.59765625" style="159" customWidth="1"/>
    <col min="12548" max="12548" width="11.69921875" style="159" customWidth="1"/>
    <col min="12549" max="12795" width="9" style="159"/>
    <col min="12796" max="12796" width="32.5" style="159" customWidth="1"/>
    <col min="12797" max="12797" width="14" style="159" customWidth="1"/>
    <col min="12798" max="12798" width="16.59765625" style="159" customWidth="1"/>
    <col min="12799" max="12800" width="16.5" style="159" customWidth="1"/>
    <col min="12801" max="12801" width="12" style="159" customWidth="1"/>
    <col min="12802" max="12802" width="13.19921875" style="159" customWidth="1"/>
    <col min="12803" max="12803" width="11.59765625" style="159" customWidth="1"/>
    <col min="12804" max="12804" width="11.69921875" style="159" customWidth="1"/>
    <col min="12805" max="13051" width="9" style="159"/>
    <col min="13052" max="13052" width="32.5" style="159" customWidth="1"/>
    <col min="13053" max="13053" width="14" style="159" customWidth="1"/>
    <col min="13054" max="13054" width="16.59765625" style="159" customWidth="1"/>
    <col min="13055" max="13056" width="16.5" style="159" customWidth="1"/>
    <col min="13057" max="13057" width="12" style="159" customWidth="1"/>
    <col min="13058" max="13058" width="13.19921875" style="159" customWidth="1"/>
    <col min="13059" max="13059" width="11.59765625" style="159" customWidth="1"/>
    <col min="13060" max="13060" width="11.69921875" style="159" customWidth="1"/>
    <col min="13061" max="13307" width="9" style="159"/>
    <col min="13308" max="13308" width="32.5" style="159" customWidth="1"/>
    <col min="13309" max="13309" width="14" style="159" customWidth="1"/>
    <col min="13310" max="13310" width="16.59765625" style="159" customWidth="1"/>
    <col min="13311" max="13312" width="16.5" style="159" customWidth="1"/>
    <col min="13313" max="13313" width="12" style="159" customWidth="1"/>
    <col min="13314" max="13314" width="13.19921875" style="159" customWidth="1"/>
    <col min="13315" max="13315" width="11.59765625" style="159" customWidth="1"/>
    <col min="13316" max="13316" width="11.69921875" style="159" customWidth="1"/>
    <col min="13317" max="13563" width="9" style="159"/>
    <col min="13564" max="13564" width="32.5" style="159" customWidth="1"/>
    <col min="13565" max="13565" width="14" style="159" customWidth="1"/>
    <col min="13566" max="13566" width="16.59765625" style="159" customWidth="1"/>
    <col min="13567" max="13568" width="16.5" style="159" customWidth="1"/>
    <col min="13569" max="13569" width="12" style="159" customWidth="1"/>
    <col min="13570" max="13570" width="13.19921875" style="159" customWidth="1"/>
    <col min="13571" max="13571" width="11.59765625" style="159" customWidth="1"/>
    <col min="13572" max="13572" width="11.69921875" style="159" customWidth="1"/>
    <col min="13573" max="13819" width="9" style="159"/>
    <col min="13820" max="13820" width="32.5" style="159" customWidth="1"/>
    <col min="13821" max="13821" width="14" style="159" customWidth="1"/>
    <col min="13822" max="13822" width="16.59765625" style="159" customWidth="1"/>
    <col min="13823" max="13824" width="16.5" style="159" customWidth="1"/>
    <col min="13825" max="13825" width="12" style="159" customWidth="1"/>
    <col min="13826" max="13826" width="13.19921875" style="159" customWidth="1"/>
    <col min="13827" max="13827" width="11.59765625" style="159" customWidth="1"/>
    <col min="13828" max="13828" width="11.69921875" style="159" customWidth="1"/>
    <col min="13829" max="14075" width="9" style="159"/>
    <col min="14076" max="14076" width="32.5" style="159" customWidth="1"/>
    <col min="14077" max="14077" width="14" style="159" customWidth="1"/>
    <col min="14078" max="14078" width="16.59765625" style="159" customWidth="1"/>
    <col min="14079" max="14080" width="16.5" style="159" customWidth="1"/>
    <col min="14081" max="14081" width="12" style="159" customWidth="1"/>
    <col min="14082" max="14082" width="13.19921875" style="159" customWidth="1"/>
    <col min="14083" max="14083" width="11.59765625" style="159" customWidth="1"/>
    <col min="14084" max="14084" width="11.69921875" style="159" customWidth="1"/>
    <col min="14085" max="14331" width="9" style="159"/>
    <col min="14332" max="14332" width="32.5" style="159" customWidth="1"/>
    <col min="14333" max="14333" width="14" style="159" customWidth="1"/>
    <col min="14334" max="14334" width="16.59765625" style="159" customWidth="1"/>
    <col min="14335" max="14336" width="16.5" style="159" customWidth="1"/>
    <col min="14337" max="14337" width="12" style="159" customWidth="1"/>
    <col min="14338" max="14338" width="13.19921875" style="159" customWidth="1"/>
    <col min="14339" max="14339" width="11.59765625" style="159" customWidth="1"/>
    <col min="14340" max="14340" width="11.69921875" style="159" customWidth="1"/>
    <col min="14341" max="14587" width="9" style="159"/>
    <col min="14588" max="14588" width="32.5" style="159" customWidth="1"/>
    <col min="14589" max="14589" width="14" style="159" customWidth="1"/>
    <col min="14590" max="14590" width="16.59765625" style="159" customWidth="1"/>
    <col min="14591" max="14592" width="16.5" style="159" customWidth="1"/>
    <col min="14593" max="14593" width="12" style="159" customWidth="1"/>
    <col min="14594" max="14594" width="13.19921875" style="159" customWidth="1"/>
    <col min="14595" max="14595" width="11.59765625" style="159" customWidth="1"/>
    <col min="14596" max="14596" width="11.69921875" style="159" customWidth="1"/>
    <col min="14597" max="14843" width="9" style="159"/>
    <col min="14844" max="14844" width="32.5" style="159" customWidth="1"/>
    <col min="14845" max="14845" width="14" style="159" customWidth="1"/>
    <col min="14846" max="14846" width="16.59765625" style="159" customWidth="1"/>
    <col min="14847" max="14848" width="16.5" style="159" customWidth="1"/>
    <col min="14849" max="14849" width="12" style="159" customWidth="1"/>
    <col min="14850" max="14850" width="13.19921875" style="159" customWidth="1"/>
    <col min="14851" max="14851" width="11.59765625" style="159" customWidth="1"/>
    <col min="14852" max="14852" width="11.69921875" style="159" customWidth="1"/>
    <col min="14853" max="15099" width="9" style="159"/>
    <col min="15100" max="15100" width="32.5" style="159" customWidth="1"/>
    <col min="15101" max="15101" width="14" style="159" customWidth="1"/>
    <col min="15102" max="15102" width="16.59765625" style="159" customWidth="1"/>
    <col min="15103" max="15104" width="16.5" style="159" customWidth="1"/>
    <col min="15105" max="15105" width="12" style="159" customWidth="1"/>
    <col min="15106" max="15106" width="13.19921875" style="159" customWidth="1"/>
    <col min="15107" max="15107" width="11.59765625" style="159" customWidth="1"/>
    <col min="15108" max="15108" width="11.69921875" style="159" customWidth="1"/>
    <col min="15109" max="15355" width="9" style="159"/>
    <col min="15356" max="15356" width="32.5" style="159" customWidth="1"/>
    <col min="15357" max="15357" width="14" style="159" customWidth="1"/>
    <col min="15358" max="15358" width="16.59765625" style="159" customWidth="1"/>
    <col min="15359" max="15360" width="16.5" style="159" customWidth="1"/>
    <col min="15361" max="15361" width="12" style="159" customWidth="1"/>
    <col min="15362" max="15362" width="13.19921875" style="159" customWidth="1"/>
    <col min="15363" max="15363" width="11.59765625" style="159" customWidth="1"/>
    <col min="15364" max="15364" width="11.69921875" style="159" customWidth="1"/>
    <col min="15365" max="15611" width="9" style="159"/>
    <col min="15612" max="15612" width="32.5" style="159" customWidth="1"/>
    <col min="15613" max="15613" width="14" style="159" customWidth="1"/>
    <col min="15614" max="15614" width="16.59765625" style="159" customWidth="1"/>
    <col min="15615" max="15616" width="16.5" style="159" customWidth="1"/>
    <col min="15617" max="15617" width="12" style="159" customWidth="1"/>
    <col min="15618" max="15618" width="13.19921875" style="159" customWidth="1"/>
    <col min="15619" max="15619" width="11.59765625" style="159" customWidth="1"/>
    <col min="15620" max="15620" width="11.69921875" style="159" customWidth="1"/>
    <col min="15621" max="15867" width="9" style="159"/>
    <col min="15868" max="15868" width="32.5" style="159" customWidth="1"/>
    <col min="15869" max="15869" width="14" style="159" customWidth="1"/>
    <col min="15870" max="15870" width="16.59765625" style="159" customWidth="1"/>
    <col min="15871" max="15872" width="16.5" style="159" customWidth="1"/>
    <col min="15873" max="15873" width="12" style="159" customWidth="1"/>
    <col min="15874" max="15874" width="13.19921875" style="159" customWidth="1"/>
    <col min="15875" max="15875" width="11.59765625" style="159" customWidth="1"/>
    <col min="15876" max="15876" width="11.69921875" style="159" customWidth="1"/>
    <col min="15877" max="16123" width="9" style="159"/>
    <col min="16124" max="16124" width="32.5" style="159" customWidth="1"/>
    <col min="16125" max="16125" width="14" style="159" customWidth="1"/>
    <col min="16126" max="16126" width="16.59765625" style="159" customWidth="1"/>
    <col min="16127" max="16128" width="16.5" style="159" customWidth="1"/>
    <col min="16129" max="16129" width="12" style="159" customWidth="1"/>
    <col min="16130" max="16130" width="13.19921875" style="159" customWidth="1"/>
    <col min="16131" max="16131" width="11.59765625" style="159" customWidth="1"/>
    <col min="16132" max="16132" width="11.69921875" style="159" customWidth="1"/>
    <col min="16133" max="16384" width="9" style="159"/>
  </cols>
  <sheetData>
    <row r="1" spans="1:14" s="154" customFormat="1" ht="20.100000000000001" customHeight="1">
      <c r="A1" s="492" t="s">
        <v>147</v>
      </c>
      <c r="B1" s="492"/>
      <c r="C1" s="492"/>
      <c r="D1" s="492"/>
      <c r="E1" s="492"/>
      <c r="F1" s="492"/>
      <c r="G1" s="492"/>
      <c r="H1" s="492"/>
      <c r="I1" s="155"/>
      <c r="J1" s="155"/>
      <c r="K1" s="155"/>
      <c r="L1" s="155"/>
      <c r="M1" s="155"/>
      <c r="N1" s="155"/>
    </row>
    <row r="2" spans="1:14" s="155" customFormat="1" ht="20.100000000000001" customHeight="1">
      <c r="A2" s="493" t="s">
        <v>262</v>
      </c>
      <c r="B2" s="493"/>
      <c r="C2" s="493"/>
      <c r="D2" s="493"/>
      <c r="E2" s="493"/>
      <c r="F2" s="493"/>
      <c r="G2" s="493"/>
      <c r="H2" s="493"/>
    </row>
    <row r="3" spans="1:14" ht="20.100000000000001" customHeight="1">
      <c r="A3" s="160" t="str">
        <f>底稿目录!A2</f>
        <v>被审计单位名称：</v>
      </c>
      <c r="C3" s="160" t="str">
        <f>底稿目录!A4</f>
        <v>编制人：</v>
      </c>
      <c r="E3" s="160" t="str">
        <f>底稿目录!A5</f>
        <v>编制日期：</v>
      </c>
      <c r="G3" s="161" t="s">
        <v>149</v>
      </c>
      <c r="H3" s="451" t="s">
        <v>455</v>
      </c>
      <c r="I3" s="198"/>
      <c r="J3" s="198"/>
      <c r="K3" s="198"/>
    </row>
    <row r="4" spans="1:14" ht="20.100000000000001" customHeight="1">
      <c r="A4" s="160" t="str">
        <f>底稿目录!A3</f>
        <v>截止日：202X年12月31日</v>
      </c>
      <c r="C4" s="160" t="str">
        <f>底稿目录!A6</f>
        <v>复核人：</v>
      </c>
      <c r="E4" s="160" t="str">
        <f>底稿目录!A7</f>
        <v>复核日期：</v>
      </c>
      <c r="G4" s="161" t="s">
        <v>150</v>
      </c>
      <c r="H4" s="162"/>
      <c r="I4" s="198"/>
      <c r="J4" s="198"/>
      <c r="K4" s="198"/>
    </row>
    <row r="5" spans="1:14" ht="20.100000000000001" customHeight="1">
      <c r="A5" s="155" t="s">
        <v>151</v>
      </c>
    </row>
    <row r="6" spans="1:14" ht="20.100000000000001" customHeight="1">
      <c r="A6" s="159" t="s">
        <v>215</v>
      </c>
    </row>
    <row r="7" spans="1:14" ht="20.100000000000001" customHeight="1">
      <c r="A7" s="155" t="s">
        <v>154</v>
      </c>
    </row>
    <row r="8" spans="1:14" s="156" customFormat="1" ht="20.100000000000001" customHeight="1">
      <c r="A8" s="163" t="s">
        <v>155</v>
      </c>
      <c r="C8" s="164"/>
      <c r="D8" s="165"/>
      <c r="G8" s="165"/>
    </row>
    <row r="9" spans="1:14" s="156" customFormat="1" ht="20.100000000000001" customHeight="1">
      <c r="C9" s="164"/>
      <c r="D9" s="164"/>
      <c r="E9" s="165"/>
      <c r="F9" s="165"/>
      <c r="G9" s="165"/>
    </row>
    <row r="10" spans="1:14" s="156" customFormat="1" ht="20.100000000000001" customHeight="1">
      <c r="A10" s="165"/>
      <c r="C10" s="164"/>
      <c r="D10" s="164"/>
      <c r="E10" s="165"/>
      <c r="F10" s="165"/>
      <c r="G10" s="165"/>
    </row>
    <row r="11" spans="1:14" s="157" customFormat="1" ht="20.100000000000001" customHeight="1">
      <c r="A11" s="155" t="s">
        <v>263</v>
      </c>
      <c r="B11" s="155"/>
      <c r="C11" s="155"/>
      <c r="D11" s="155"/>
    </row>
    <row r="12" spans="1:14" s="158" customFormat="1" ht="38.25" customHeight="1">
      <c r="A12" s="494" t="s">
        <v>264</v>
      </c>
      <c r="B12" s="166" t="s">
        <v>265</v>
      </c>
      <c r="C12" s="166" t="s">
        <v>266</v>
      </c>
      <c r="D12" s="166" t="s">
        <v>267</v>
      </c>
      <c r="E12" s="166" t="s">
        <v>268</v>
      </c>
      <c r="F12" s="166" t="s">
        <v>269</v>
      </c>
      <c r="G12" s="496" t="s">
        <v>270</v>
      </c>
      <c r="H12" s="496" t="s">
        <v>4</v>
      </c>
    </row>
    <row r="13" spans="1:14" s="158" customFormat="1" ht="20.100000000000001" customHeight="1">
      <c r="A13" s="495"/>
      <c r="B13" s="166" t="s">
        <v>271</v>
      </c>
      <c r="C13" s="166" t="s">
        <v>272</v>
      </c>
      <c r="D13" s="166" t="s">
        <v>273</v>
      </c>
      <c r="E13" s="166" t="s">
        <v>274</v>
      </c>
      <c r="F13" s="166" t="s">
        <v>275</v>
      </c>
      <c r="G13" s="496"/>
      <c r="H13" s="496"/>
    </row>
    <row r="14" spans="1:14" s="158" customFormat="1" ht="20.100000000000001" customHeight="1">
      <c r="A14" s="167"/>
      <c r="B14" s="168"/>
      <c r="C14" s="168"/>
      <c r="D14" s="169">
        <f t="shared" ref="D14:D18" si="0">B14*C14</f>
        <v>0</v>
      </c>
      <c r="E14" s="170"/>
      <c r="F14" s="171">
        <f t="shared" ref="F14:F18" si="1">D14-E14</f>
        <v>0</v>
      </c>
      <c r="G14" s="172"/>
      <c r="H14" s="173"/>
    </row>
    <row r="15" spans="1:14" s="158" customFormat="1" ht="20.100000000000001" customHeight="1">
      <c r="A15" s="167"/>
      <c r="B15" s="168"/>
      <c r="C15" s="168"/>
      <c r="D15" s="169">
        <f t="shared" si="0"/>
        <v>0</v>
      </c>
      <c r="E15" s="170"/>
      <c r="F15" s="171">
        <f t="shared" si="1"/>
        <v>0</v>
      </c>
      <c r="G15" s="172"/>
      <c r="H15" s="173"/>
    </row>
    <row r="16" spans="1:14" s="158" customFormat="1" ht="20.100000000000001" customHeight="1">
      <c r="A16" s="167"/>
      <c r="B16" s="168"/>
      <c r="C16" s="168"/>
      <c r="D16" s="169">
        <f t="shared" si="0"/>
        <v>0</v>
      </c>
      <c r="E16" s="170"/>
      <c r="F16" s="171">
        <f t="shared" si="1"/>
        <v>0</v>
      </c>
      <c r="G16" s="172"/>
      <c r="H16" s="173"/>
    </row>
    <row r="17" spans="1:8" s="158" customFormat="1" ht="20.100000000000001" customHeight="1">
      <c r="A17" s="167"/>
      <c r="B17" s="168"/>
      <c r="C17" s="168"/>
      <c r="D17" s="169">
        <f t="shared" si="0"/>
        <v>0</v>
      </c>
      <c r="E17" s="170"/>
      <c r="F17" s="171">
        <f t="shared" si="1"/>
        <v>0</v>
      </c>
      <c r="G17" s="172"/>
      <c r="H17" s="173"/>
    </row>
    <row r="18" spans="1:8" s="158" customFormat="1" ht="20.100000000000001" customHeight="1">
      <c r="A18" s="167"/>
      <c r="B18" s="168"/>
      <c r="C18" s="168"/>
      <c r="D18" s="169">
        <f t="shared" si="0"/>
        <v>0</v>
      </c>
      <c r="E18" s="170"/>
      <c r="F18" s="171">
        <f t="shared" si="1"/>
        <v>0</v>
      </c>
      <c r="G18" s="172"/>
      <c r="H18" s="173"/>
    </row>
    <row r="19" spans="1:8" s="158" customFormat="1" ht="20.100000000000001" customHeight="1">
      <c r="A19" s="174" t="s">
        <v>276</v>
      </c>
      <c r="B19" s="175">
        <f>SUM(B14:B18)</f>
        <v>0</v>
      </c>
      <c r="C19" s="175">
        <f>IF(B19=0,"",D19/B19)</f>
        <v>0</v>
      </c>
      <c r="D19" s="176" t="str">
        <f>SUM(D14:D18)</f>
        <v/>
      </c>
      <c r="E19" s="175">
        <f>SUM(E14:E18)</f>
        <v>0</v>
      </c>
      <c r="F19" s="175">
        <f>SUM(F14:F18)</f>
        <v>0</v>
      </c>
      <c r="G19" s="177"/>
      <c r="H19" s="178"/>
    </row>
    <row r="20" spans="1:8" s="157" customFormat="1" ht="20.100000000000001" customHeight="1">
      <c r="A20" s="179" t="s">
        <v>277</v>
      </c>
      <c r="B20" s="180"/>
      <c r="C20" s="146"/>
      <c r="D20" s="180"/>
      <c r="E20" s="180"/>
      <c r="F20" s="180"/>
      <c r="G20" s="180"/>
    </row>
    <row r="21" spans="1:8" s="158" customFormat="1" ht="41.25" customHeight="1">
      <c r="A21" s="181" t="s">
        <v>278</v>
      </c>
      <c r="B21" s="166" t="s">
        <v>265</v>
      </c>
      <c r="C21" s="94" t="s">
        <v>266</v>
      </c>
      <c r="D21" s="182" t="s">
        <v>267</v>
      </c>
      <c r="E21" s="182" t="s">
        <v>268</v>
      </c>
      <c r="F21" s="182" t="s">
        <v>269</v>
      </c>
      <c r="G21" s="159"/>
    </row>
    <row r="22" spans="1:8" s="158" customFormat="1" ht="20.100000000000001" customHeight="1">
      <c r="A22" s="183"/>
      <c r="B22" s="87" t="s">
        <v>271</v>
      </c>
      <c r="C22" s="87" t="s">
        <v>272</v>
      </c>
      <c r="D22" s="87" t="s">
        <v>273</v>
      </c>
      <c r="E22" s="87" t="s">
        <v>274</v>
      </c>
      <c r="F22" s="87" t="s">
        <v>275</v>
      </c>
      <c r="G22" s="159"/>
    </row>
    <row r="23" spans="1:8" s="158" customFormat="1" ht="20.100000000000001" customHeight="1">
      <c r="A23" s="184" t="s">
        <v>279</v>
      </c>
      <c r="B23" s="185"/>
      <c r="C23" s="185"/>
      <c r="D23" s="186"/>
      <c r="E23" s="185"/>
      <c r="F23" s="185"/>
      <c r="G23" s="159"/>
    </row>
    <row r="24" spans="1:8" s="158" customFormat="1" ht="20.100000000000001" customHeight="1">
      <c r="A24" s="187" t="s">
        <v>280</v>
      </c>
      <c r="B24" s="168"/>
      <c r="C24" s="188"/>
      <c r="D24" s="189">
        <f t="shared" ref="D24:D29" si="2">B24*C24</f>
        <v>0</v>
      </c>
      <c r="E24" s="190"/>
      <c r="F24" s="191">
        <f>D24-E24</f>
        <v>0</v>
      </c>
      <c r="G24" s="159"/>
    </row>
    <row r="25" spans="1:8" s="158" customFormat="1" ht="20.100000000000001" customHeight="1">
      <c r="A25" s="192" t="s">
        <v>281</v>
      </c>
      <c r="B25" s="168"/>
      <c r="C25" s="193"/>
      <c r="D25" s="169">
        <f t="shared" si="2"/>
        <v>0</v>
      </c>
      <c r="E25" s="168"/>
      <c r="F25" s="171">
        <f t="shared" ref="F25:F29" si="3">D25-E25</f>
        <v>0</v>
      </c>
      <c r="G25" s="159"/>
    </row>
    <row r="26" spans="1:8" s="158" customFormat="1" ht="20.100000000000001" customHeight="1">
      <c r="A26" s="192" t="s">
        <v>282</v>
      </c>
      <c r="B26" s="168"/>
      <c r="C26" s="193"/>
      <c r="D26" s="169">
        <f t="shared" si="2"/>
        <v>0</v>
      </c>
      <c r="E26" s="168"/>
      <c r="F26" s="171">
        <f t="shared" si="3"/>
        <v>0</v>
      </c>
      <c r="G26" s="159"/>
    </row>
    <row r="27" spans="1:8" s="158" customFormat="1" ht="20.100000000000001" customHeight="1">
      <c r="A27" s="167" t="s">
        <v>283</v>
      </c>
      <c r="B27" s="168"/>
      <c r="C27" s="193"/>
      <c r="D27" s="169">
        <f t="shared" si="2"/>
        <v>0</v>
      </c>
      <c r="E27" s="168"/>
      <c r="F27" s="171">
        <f t="shared" si="3"/>
        <v>0</v>
      </c>
      <c r="G27" s="159"/>
    </row>
    <row r="28" spans="1:8" s="158" customFormat="1" ht="20.100000000000001" customHeight="1">
      <c r="A28" s="167" t="s">
        <v>284</v>
      </c>
      <c r="B28" s="168"/>
      <c r="C28" s="193"/>
      <c r="D28" s="169">
        <f t="shared" si="2"/>
        <v>0</v>
      </c>
      <c r="E28" s="168"/>
      <c r="F28" s="171">
        <f t="shared" si="3"/>
        <v>0</v>
      </c>
      <c r="G28" s="159"/>
    </row>
    <row r="29" spans="1:8" s="158" customFormat="1" ht="20.100000000000001" customHeight="1">
      <c r="A29" s="167" t="s">
        <v>285</v>
      </c>
      <c r="B29" s="168"/>
      <c r="C29" s="193"/>
      <c r="D29" s="169">
        <f t="shared" si="2"/>
        <v>0</v>
      </c>
      <c r="E29" s="168"/>
      <c r="F29" s="171">
        <f t="shared" si="3"/>
        <v>0</v>
      </c>
      <c r="G29" s="159"/>
    </row>
    <row r="30" spans="1:8" s="158" customFormat="1" ht="20.100000000000001" customHeight="1">
      <c r="A30" s="174" t="s">
        <v>276</v>
      </c>
      <c r="B30" s="175">
        <f>SUM(B24:B29)</f>
        <v>0</v>
      </c>
      <c r="C30" s="175"/>
      <c r="D30" s="175">
        <f>SUM(D24:D29)</f>
        <v>0</v>
      </c>
      <c r="E30" s="175">
        <f t="shared" ref="E30:F30" si="4">SUM(E24:E29)</f>
        <v>0</v>
      </c>
      <c r="F30" s="175">
        <f t="shared" si="4"/>
        <v>0</v>
      </c>
      <c r="G30" s="159"/>
    </row>
    <row r="31" spans="1:8" s="158" customFormat="1" ht="20.100000000000001" customHeight="1">
      <c r="A31" s="184" t="s">
        <v>286</v>
      </c>
      <c r="B31" s="185"/>
      <c r="C31" s="185"/>
      <c r="D31" s="186"/>
      <c r="E31" s="185"/>
      <c r="F31" s="194"/>
      <c r="G31" s="159"/>
    </row>
    <row r="32" spans="1:8" s="158" customFormat="1" ht="20.100000000000001" customHeight="1">
      <c r="A32" s="192" t="s">
        <v>280</v>
      </c>
      <c r="B32" s="168"/>
      <c r="C32" s="193"/>
      <c r="D32" s="169">
        <f t="shared" ref="D32:D37" si="5">B32*C32</f>
        <v>0</v>
      </c>
      <c r="E32" s="168"/>
      <c r="F32" s="171">
        <f t="shared" ref="F32:F37" si="6">D32-E32</f>
        <v>0</v>
      </c>
      <c r="G32" s="159"/>
    </row>
    <row r="33" spans="1:7" s="158" customFormat="1" ht="20.100000000000001" customHeight="1">
      <c r="A33" s="192" t="s">
        <v>281</v>
      </c>
      <c r="B33" s="168"/>
      <c r="C33" s="193"/>
      <c r="D33" s="169">
        <f t="shared" si="5"/>
        <v>0</v>
      </c>
      <c r="E33" s="168"/>
      <c r="F33" s="171">
        <f t="shared" si="6"/>
        <v>0</v>
      </c>
      <c r="G33" s="159"/>
    </row>
    <row r="34" spans="1:7" s="158" customFormat="1" ht="20.100000000000001" customHeight="1">
      <c r="A34" s="192" t="s">
        <v>282</v>
      </c>
      <c r="B34" s="168"/>
      <c r="C34" s="193"/>
      <c r="D34" s="169">
        <f t="shared" si="5"/>
        <v>0</v>
      </c>
      <c r="E34" s="168"/>
      <c r="F34" s="171">
        <f t="shared" si="6"/>
        <v>0</v>
      </c>
      <c r="G34" s="159"/>
    </row>
    <row r="35" spans="1:7" s="158" customFormat="1" ht="20.100000000000001" customHeight="1">
      <c r="A35" s="167" t="s">
        <v>283</v>
      </c>
      <c r="B35" s="168"/>
      <c r="C35" s="193"/>
      <c r="D35" s="169">
        <f t="shared" si="5"/>
        <v>0</v>
      </c>
      <c r="E35" s="168"/>
      <c r="F35" s="171">
        <f t="shared" si="6"/>
        <v>0</v>
      </c>
      <c r="G35" s="159"/>
    </row>
    <row r="36" spans="1:7" s="158" customFormat="1" ht="20.100000000000001" customHeight="1">
      <c r="A36" s="167" t="s">
        <v>284</v>
      </c>
      <c r="B36" s="168"/>
      <c r="C36" s="193"/>
      <c r="D36" s="169">
        <f t="shared" si="5"/>
        <v>0</v>
      </c>
      <c r="E36" s="168"/>
      <c r="F36" s="171">
        <f t="shared" si="6"/>
        <v>0</v>
      </c>
      <c r="G36" s="159"/>
    </row>
    <row r="37" spans="1:7" s="158" customFormat="1" ht="20.100000000000001" customHeight="1">
      <c r="A37" s="167" t="s">
        <v>285</v>
      </c>
      <c r="B37" s="168"/>
      <c r="C37" s="193"/>
      <c r="D37" s="169">
        <f t="shared" si="5"/>
        <v>0</v>
      </c>
      <c r="E37" s="168"/>
      <c r="F37" s="171">
        <f t="shared" si="6"/>
        <v>0</v>
      </c>
      <c r="G37" s="159"/>
    </row>
    <row r="38" spans="1:7" s="158" customFormat="1" ht="20.100000000000001" customHeight="1">
      <c r="A38" s="174" t="s">
        <v>276</v>
      </c>
      <c r="B38" s="175">
        <f>SUM(B32:B37)</f>
        <v>0</v>
      </c>
      <c r="C38" s="175"/>
      <c r="D38" s="175">
        <f>SUM(D32:D37)</f>
        <v>0</v>
      </c>
      <c r="E38" s="175">
        <f>SUM(E32:E37)</f>
        <v>0</v>
      </c>
      <c r="F38" s="175">
        <f>SUM(F32:F37)</f>
        <v>0</v>
      </c>
      <c r="G38" s="159"/>
    </row>
    <row r="39" spans="1:7" s="158" customFormat="1" ht="20.100000000000001" customHeight="1">
      <c r="A39" s="174" t="s">
        <v>167</v>
      </c>
      <c r="B39" s="175">
        <f>B38+B30</f>
        <v>0</v>
      </c>
      <c r="C39" s="175"/>
      <c r="D39" s="175">
        <f>D38+D30</f>
        <v>0</v>
      </c>
      <c r="E39" s="175">
        <f t="shared" ref="E39:F39" si="7">E38+E30</f>
        <v>0</v>
      </c>
      <c r="F39" s="175">
        <f t="shared" si="7"/>
        <v>0</v>
      </c>
      <c r="G39" s="159"/>
    </row>
    <row r="40" spans="1:7" ht="20.100000000000001" customHeight="1">
      <c r="A40" s="155" t="s">
        <v>230</v>
      </c>
    </row>
    <row r="41" spans="1:7" ht="20.100000000000001" customHeight="1">
      <c r="A41" s="155"/>
    </row>
    <row r="42" spans="1:7" ht="20.100000000000001" customHeight="1">
      <c r="A42" s="195"/>
      <c r="B42" s="196"/>
    </row>
    <row r="43" spans="1:7" ht="20.100000000000001" customHeight="1">
      <c r="B43" s="196"/>
    </row>
    <row r="44" spans="1:7" ht="20.100000000000001" customHeight="1">
      <c r="A44" s="155" t="s">
        <v>231</v>
      </c>
      <c r="B44" s="196"/>
    </row>
    <row r="45" spans="1:7" ht="20.100000000000001" customHeight="1">
      <c r="B45" s="196"/>
    </row>
    <row r="46" spans="1:7" ht="20.100000000000001" customHeight="1">
      <c r="A46" s="197" t="s">
        <v>287</v>
      </c>
    </row>
    <row r="47" spans="1:7" ht="20.100000000000001" customHeight="1">
      <c r="A47" s="197" t="s">
        <v>288</v>
      </c>
    </row>
    <row r="48" spans="1:7" ht="20.100000000000001" customHeight="1">
      <c r="A48" s="197" t="s">
        <v>289</v>
      </c>
    </row>
    <row r="49" spans="1:1" ht="20.100000000000001" customHeight="1">
      <c r="A49" s="197" t="s">
        <v>290</v>
      </c>
    </row>
    <row r="50" spans="1:1" ht="20.100000000000001" customHeight="1">
      <c r="A50" s="197" t="s">
        <v>291</v>
      </c>
    </row>
  </sheetData>
  <mergeCells count="5">
    <mergeCell ref="A1:H1"/>
    <mergeCell ref="A2:H2"/>
    <mergeCell ref="A12:A13"/>
    <mergeCell ref="G12:G13"/>
    <mergeCell ref="H12:H13"/>
  </mergeCells>
  <phoneticPr fontId="145" type="noConversion"/>
  <dataValidations count="1">
    <dataValidation allowBlank="1" showInputMessage="1" showErrorMessage="1" prompt="根据D2-2 审计调整前的账龄数据填写" sqref="B32"/>
  </dataValidations>
  <hyperlinks>
    <hyperlink ref="H3" location="底稿目录!A1" display="D2-10"/>
  </hyperlinks>
  <pageMargins left="0.70833333333333304" right="0.70833333333333304" top="0.74791666666666701" bottom="0.74791666666666701" header="0.31458333333333299" footer="0.31458333333333299"/>
  <pageSetup paperSize="9" scale="75" orientation="portrait"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J110"/>
  <sheetViews>
    <sheetView view="pageBreakPreview" zoomScaleNormal="130" workbookViewId="0">
      <selection activeCell="H3" sqref="H3"/>
    </sheetView>
  </sheetViews>
  <sheetFormatPr defaultColWidth="9" defaultRowHeight="20.100000000000001" customHeight="1"/>
  <cols>
    <col min="1" max="1" width="17.69921875" style="81" customWidth="1"/>
    <col min="2" max="2" width="12.69921875" style="81" customWidth="1"/>
    <col min="3" max="3" width="12.09765625" style="81" customWidth="1"/>
    <col min="4" max="4" width="12.19921875" style="81" customWidth="1"/>
    <col min="5" max="5" width="11" style="81" customWidth="1"/>
    <col min="6" max="6" width="11.09765625" style="81" customWidth="1"/>
    <col min="7" max="7" width="12.19921875" style="81" customWidth="1"/>
    <col min="8" max="8" width="11.19921875" style="81" customWidth="1"/>
    <col min="9" max="9" width="64.19921875" style="81" customWidth="1"/>
    <col min="10" max="10" width="35.59765625" style="82" customWidth="1"/>
    <col min="11" max="16384" width="9" style="81"/>
  </cols>
  <sheetData>
    <row r="1" spans="1:10" s="79" customFormat="1" ht="20.100000000000001" customHeight="1">
      <c r="A1" s="497" t="s">
        <v>147</v>
      </c>
      <c r="B1" s="497"/>
      <c r="C1" s="497"/>
      <c r="D1" s="497"/>
      <c r="E1" s="497"/>
      <c r="F1" s="497"/>
      <c r="G1" s="497"/>
      <c r="H1" s="497"/>
      <c r="J1" s="129"/>
    </row>
    <row r="2" spans="1:10" s="79" customFormat="1" ht="20.100000000000001" customHeight="1">
      <c r="A2" s="498" t="s">
        <v>292</v>
      </c>
      <c r="B2" s="498"/>
      <c r="C2" s="498"/>
      <c r="D2" s="498"/>
      <c r="E2" s="498"/>
      <c r="F2" s="498"/>
      <c r="G2" s="498"/>
      <c r="H2" s="498"/>
      <c r="J2" s="129"/>
    </row>
    <row r="3" spans="1:10" ht="20.100000000000001" customHeight="1">
      <c r="A3" s="80" t="str">
        <f>底稿目录!A2</f>
        <v>被审计单位名称：</v>
      </c>
      <c r="B3" s="80"/>
      <c r="C3" s="80" t="str">
        <f>底稿目录!A4</f>
        <v>编制人：</v>
      </c>
      <c r="E3" s="80" t="str">
        <f>底稿目录!A5</f>
        <v>编制日期：</v>
      </c>
      <c r="G3" s="83" t="s">
        <v>149</v>
      </c>
      <c r="H3" s="451" t="str">
        <f>底稿目录!F14</f>
        <v>D2-10</v>
      </c>
    </row>
    <row r="4" spans="1:10" ht="20.100000000000001" customHeight="1">
      <c r="A4" s="80" t="str">
        <f>底稿目录!A3</f>
        <v>截止日：202X年12月31日</v>
      </c>
      <c r="B4" s="80"/>
      <c r="C4" s="80" t="str">
        <f>底稿目录!A6</f>
        <v>复核人：</v>
      </c>
      <c r="E4" s="80" t="str">
        <f>底稿目录!A7</f>
        <v>复核日期：</v>
      </c>
      <c r="G4" s="83" t="s">
        <v>150</v>
      </c>
    </row>
    <row r="5" spans="1:10" s="80" customFormat="1" ht="20.100000000000001" customHeight="1">
      <c r="A5" s="84" t="s">
        <v>180</v>
      </c>
      <c r="B5" s="84"/>
      <c r="C5" s="84"/>
      <c r="D5" s="84"/>
      <c r="E5" s="84"/>
      <c r="F5" s="84"/>
      <c r="G5" s="84"/>
      <c r="H5" s="84"/>
      <c r="J5" s="130"/>
    </row>
    <row r="6" spans="1:10" s="80" customFormat="1" ht="20.100000000000001" customHeight="1">
      <c r="A6" s="499" t="s">
        <v>215</v>
      </c>
      <c r="B6" s="499"/>
      <c r="C6" s="499"/>
      <c r="D6" s="499"/>
      <c r="E6" s="499"/>
      <c r="F6" s="499"/>
      <c r="G6" s="499"/>
      <c r="H6" s="499"/>
      <c r="I6" s="82"/>
    </row>
    <row r="7" spans="1:10" s="80" customFormat="1" ht="20.100000000000001" customHeight="1">
      <c r="A7" s="84" t="s">
        <v>233</v>
      </c>
      <c r="B7" s="84"/>
      <c r="C7" s="84"/>
      <c r="D7" s="84"/>
      <c r="E7" s="84"/>
      <c r="F7" s="84"/>
      <c r="G7" s="84"/>
      <c r="H7" s="84"/>
    </row>
    <row r="8" spans="1:10" ht="20.100000000000001" customHeight="1">
      <c r="A8" s="500" t="s">
        <v>155</v>
      </c>
      <c r="B8" s="500"/>
      <c r="C8" s="500"/>
      <c r="D8" s="500"/>
      <c r="E8" s="500"/>
      <c r="F8" s="500"/>
      <c r="G8" s="500"/>
      <c r="H8" s="500"/>
      <c r="I8" s="130"/>
    </row>
    <row r="10" spans="1:10" ht="20.100000000000001" customHeight="1">
      <c r="A10" s="85" t="s">
        <v>293</v>
      </c>
      <c r="B10" s="86"/>
      <c r="C10" s="86"/>
      <c r="D10" s="86"/>
      <c r="E10" s="86"/>
      <c r="F10" s="86"/>
      <c r="G10" s="86"/>
    </row>
    <row r="11" spans="1:10" ht="20.100000000000001" customHeight="1">
      <c r="A11" s="494" t="s">
        <v>294</v>
      </c>
      <c r="B11" s="494" t="s">
        <v>295</v>
      </c>
      <c r="C11" s="494" t="s">
        <v>296</v>
      </c>
      <c r="D11" s="501" t="s">
        <v>297</v>
      </c>
      <c r="E11" s="502"/>
      <c r="F11" s="494" t="s">
        <v>298</v>
      </c>
      <c r="G11" s="494" t="s">
        <v>299</v>
      </c>
      <c r="H11" s="494" t="s">
        <v>300</v>
      </c>
      <c r="I11" s="131" t="s">
        <v>301</v>
      </c>
      <c r="J11" s="132"/>
    </row>
    <row r="12" spans="1:10" ht="20.100000000000001" customHeight="1">
      <c r="A12" s="503"/>
      <c r="B12" s="503"/>
      <c r="C12" s="495"/>
      <c r="D12" s="88" t="s">
        <v>302</v>
      </c>
      <c r="E12" s="88" t="s">
        <v>303</v>
      </c>
      <c r="F12" s="495"/>
      <c r="G12" s="495"/>
      <c r="H12" s="503"/>
      <c r="J12" s="132"/>
    </row>
    <row r="13" spans="1:10" ht="20.100000000000001" customHeight="1">
      <c r="A13" s="516"/>
      <c r="B13" s="519"/>
      <c r="C13" s="89"/>
      <c r="D13" s="90"/>
      <c r="E13" s="90"/>
      <c r="F13" s="91"/>
      <c r="G13" s="92">
        <f>(D13+E13)*F13</f>
        <v>0</v>
      </c>
      <c r="H13" s="93"/>
      <c r="I13" s="131" t="s">
        <v>304</v>
      </c>
      <c r="J13" s="132"/>
    </row>
    <row r="14" spans="1:10" ht="20.100000000000001" customHeight="1">
      <c r="A14" s="517"/>
      <c r="B14" s="520"/>
      <c r="C14" s="89"/>
      <c r="D14" s="90"/>
      <c r="E14" s="90"/>
      <c r="F14" s="91"/>
      <c r="G14" s="92">
        <f t="shared" ref="G14:G15" si="0">(D14+E14)*F14</f>
        <v>0</v>
      </c>
      <c r="H14" s="93"/>
      <c r="I14" s="133"/>
      <c r="J14" s="132"/>
    </row>
    <row r="15" spans="1:10" ht="20.100000000000001" customHeight="1">
      <c r="A15" s="518"/>
      <c r="B15" s="521"/>
      <c r="C15" s="89"/>
      <c r="D15" s="90"/>
      <c r="E15" s="90"/>
      <c r="F15" s="91"/>
      <c r="G15" s="92">
        <f t="shared" si="0"/>
        <v>0</v>
      </c>
      <c r="H15" s="93"/>
      <c r="I15" s="131" t="s">
        <v>305</v>
      </c>
    </row>
    <row r="16" spans="1:10" ht="20.100000000000001" customHeight="1">
      <c r="A16" s="94" t="s">
        <v>306</v>
      </c>
      <c r="B16" s="95"/>
      <c r="C16" s="94" t="s">
        <v>167</v>
      </c>
      <c r="D16" s="432" t="s">
        <v>142</v>
      </c>
      <c r="E16" s="432" t="s">
        <v>142</v>
      </c>
      <c r="F16" s="94" t="str">
        <f>IF(B13=0,"",SUM(F13:F15))</f>
        <v/>
      </c>
      <c r="G16" s="96">
        <f>SUM(G13:G15)</f>
        <v>0</v>
      </c>
      <c r="H16" s="94" t="str">
        <f>IF(B13=0,"",(B13-G16)/B13)</f>
        <v/>
      </c>
      <c r="I16" s="133"/>
    </row>
    <row r="17" spans="1:10" ht="20.100000000000001" customHeight="1">
      <c r="A17" s="516"/>
      <c r="B17" s="519"/>
      <c r="C17" s="97"/>
      <c r="D17" s="98"/>
      <c r="E17" s="98"/>
      <c r="F17" s="91"/>
      <c r="G17" s="92">
        <f>(D17+E17)*F17</f>
        <v>0</v>
      </c>
      <c r="H17" s="93"/>
      <c r="I17" s="131" t="s">
        <v>307</v>
      </c>
      <c r="J17" s="81"/>
    </row>
    <row r="18" spans="1:10" ht="20.100000000000001" customHeight="1">
      <c r="A18" s="517"/>
      <c r="B18" s="520"/>
      <c r="C18" s="97"/>
      <c r="D18" s="98"/>
      <c r="E18" s="98"/>
      <c r="F18" s="91"/>
      <c r="G18" s="92">
        <f t="shared" ref="G18:G19" si="1">(D18+E18)*F18</f>
        <v>0</v>
      </c>
      <c r="H18" s="93"/>
      <c r="J18" s="81"/>
    </row>
    <row r="19" spans="1:10" ht="20.100000000000001" customHeight="1">
      <c r="A19" s="518"/>
      <c r="B19" s="521"/>
      <c r="C19" s="97"/>
      <c r="D19" s="98"/>
      <c r="E19" s="98"/>
      <c r="F19" s="91"/>
      <c r="G19" s="92">
        <f t="shared" si="1"/>
        <v>0</v>
      </c>
      <c r="H19" s="93"/>
      <c r="I19" s="131"/>
    </row>
    <row r="20" spans="1:10" ht="20.100000000000001" customHeight="1">
      <c r="A20" s="94" t="s">
        <v>306</v>
      </c>
      <c r="B20" s="95"/>
      <c r="C20" s="94" t="s">
        <v>167</v>
      </c>
      <c r="D20" s="432" t="s">
        <v>142</v>
      </c>
      <c r="E20" s="432" t="s">
        <v>142</v>
      </c>
      <c r="F20" s="96" t="str">
        <f>IF(B17=0,"",SUM(F17:F19))</f>
        <v/>
      </c>
      <c r="G20" s="96">
        <f>SUM(G17:G19)</f>
        <v>0</v>
      </c>
      <c r="H20" s="94" t="str">
        <f>IF(B17=0,"",(B17-G20)/B17)</f>
        <v/>
      </c>
      <c r="I20" s="131"/>
    </row>
    <row r="21" spans="1:10" ht="20.100000000000001" customHeight="1">
      <c r="A21" s="80"/>
      <c r="B21" s="1"/>
      <c r="C21" s="86"/>
      <c r="D21" s="99"/>
      <c r="E21" s="86"/>
      <c r="F21" s="86"/>
      <c r="G21" s="86"/>
      <c r="H21" s="99"/>
      <c r="I21" s="132"/>
    </row>
    <row r="22" spans="1:10" ht="20.100000000000001" customHeight="1">
      <c r="A22" s="85" t="s">
        <v>308</v>
      </c>
      <c r="B22" s="86"/>
      <c r="C22" s="86"/>
      <c r="D22" s="86"/>
      <c r="E22" s="86"/>
      <c r="F22" s="86"/>
      <c r="G22" s="86"/>
      <c r="I22" s="132"/>
    </row>
    <row r="23" spans="1:10" ht="20.100000000000001" customHeight="1">
      <c r="A23" s="85" t="s">
        <v>309</v>
      </c>
      <c r="B23" s="86"/>
      <c r="C23" s="86"/>
      <c r="D23" s="86"/>
      <c r="E23" s="86"/>
      <c r="F23" s="86"/>
      <c r="G23" s="86"/>
      <c r="H23" s="100" t="s">
        <v>310</v>
      </c>
      <c r="I23" s="132"/>
    </row>
    <row r="24" spans="1:10" ht="20.100000000000001" customHeight="1">
      <c r="A24" s="85" t="s">
        <v>311</v>
      </c>
      <c r="B24" s="86"/>
      <c r="C24" s="101"/>
      <c r="D24" s="86"/>
      <c r="E24" s="102" t="s">
        <v>312</v>
      </c>
      <c r="F24" s="86"/>
      <c r="G24" s="101"/>
      <c r="I24" s="132"/>
    </row>
    <row r="25" spans="1:10" ht="20.100000000000001" customHeight="1">
      <c r="A25" s="103" t="s">
        <v>313</v>
      </c>
      <c r="B25" s="103" t="s">
        <v>314</v>
      </c>
      <c r="C25" s="103" t="s">
        <v>315</v>
      </c>
      <c r="D25" s="103" t="s">
        <v>316</v>
      </c>
      <c r="E25" s="103" t="s">
        <v>317</v>
      </c>
      <c r="F25" s="103" t="s">
        <v>318</v>
      </c>
      <c r="G25" s="103" t="s">
        <v>319</v>
      </c>
      <c r="H25" s="103" t="s">
        <v>320</v>
      </c>
      <c r="I25" s="132"/>
    </row>
    <row r="26" spans="1:10" ht="20.100000000000001" customHeight="1">
      <c r="A26" s="104">
        <f>'坏账准备计提会计政策检查D2-8'!K26</f>
        <v>0</v>
      </c>
      <c r="B26" s="105"/>
      <c r="C26" s="106"/>
      <c r="D26" s="107">
        <f>C24</f>
        <v>0</v>
      </c>
      <c r="E26" s="107">
        <f>$G$24</f>
        <v>0</v>
      </c>
      <c r="F26" s="108"/>
      <c r="G26" s="109" t="e">
        <f t="shared" ref="G26:G31" si="2">E26/D26</f>
        <v>#DIV/0!</v>
      </c>
      <c r="H26" s="110"/>
      <c r="I26" s="504" t="s">
        <v>321</v>
      </c>
    </row>
    <row r="27" spans="1:10" ht="20.100000000000001" customHeight="1">
      <c r="A27" s="104">
        <f>'坏账准备计提会计政策检查D2-8'!K27</f>
        <v>0</v>
      </c>
      <c r="B27" s="105"/>
      <c r="C27" s="107">
        <f>C26+B27</f>
        <v>0</v>
      </c>
      <c r="D27" s="107">
        <f>D26-B26</f>
        <v>0</v>
      </c>
      <c r="E27" s="107">
        <f t="shared" ref="E27:E31" si="3">$G$24</f>
        <v>0</v>
      </c>
      <c r="F27" s="108"/>
      <c r="G27" s="109" t="e">
        <f t="shared" si="2"/>
        <v>#DIV/0!</v>
      </c>
      <c r="H27" s="110"/>
      <c r="I27" s="505"/>
    </row>
    <row r="28" spans="1:10" ht="20.100000000000001" customHeight="1">
      <c r="A28" s="104">
        <f>'坏账准备计提会计政策检查D2-8'!K28</f>
        <v>0</v>
      </c>
      <c r="B28" s="105"/>
      <c r="C28" s="107">
        <f>C27+B28</f>
        <v>0</v>
      </c>
      <c r="D28" s="107">
        <f>D27-B27</f>
        <v>0</v>
      </c>
      <c r="E28" s="107">
        <f t="shared" si="3"/>
        <v>0</v>
      </c>
      <c r="F28" s="108"/>
      <c r="G28" s="109" t="e">
        <f t="shared" si="2"/>
        <v>#DIV/0!</v>
      </c>
      <c r="H28" s="110"/>
      <c r="I28" s="132"/>
    </row>
    <row r="29" spans="1:10" ht="20.100000000000001" customHeight="1">
      <c r="A29" s="104">
        <f>'坏账准备计提会计政策检查D2-8'!K29</f>
        <v>0</v>
      </c>
      <c r="B29" s="105"/>
      <c r="C29" s="107">
        <f>C28+B29</f>
        <v>0</v>
      </c>
      <c r="D29" s="107">
        <f t="shared" ref="D29:D31" si="4">D28-B28</f>
        <v>0</v>
      </c>
      <c r="E29" s="107">
        <f t="shared" si="3"/>
        <v>0</v>
      </c>
      <c r="F29" s="108"/>
      <c r="G29" s="109" t="e">
        <f t="shared" si="2"/>
        <v>#DIV/0!</v>
      </c>
      <c r="H29" s="110"/>
      <c r="I29" s="132"/>
    </row>
    <row r="30" spans="1:10" ht="20.100000000000001" customHeight="1">
      <c r="A30" s="104">
        <f>'坏账准备计提会计政策检查D2-8'!K30</f>
        <v>0</v>
      </c>
      <c r="B30" s="105"/>
      <c r="C30" s="107">
        <f>C29+B30</f>
        <v>0</v>
      </c>
      <c r="D30" s="107">
        <f t="shared" si="4"/>
        <v>0</v>
      </c>
      <c r="E30" s="107">
        <f t="shared" si="3"/>
        <v>0</v>
      </c>
      <c r="F30" s="108"/>
      <c r="G30" s="109" t="e">
        <f t="shared" si="2"/>
        <v>#DIV/0!</v>
      </c>
      <c r="H30" s="110"/>
      <c r="I30" s="132"/>
    </row>
    <row r="31" spans="1:10" ht="20.100000000000001" customHeight="1">
      <c r="A31" s="104">
        <f>'坏账准备计提会计政策检查D2-8'!K31</f>
        <v>0</v>
      </c>
      <c r="B31" s="105"/>
      <c r="C31" s="107">
        <f>C30+B31</f>
        <v>0</v>
      </c>
      <c r="D31" s="107">
        <f t="shared" si="4"/>
        <v>0</v>
      </c>
      <c r="E31" s="107">
        <f t="shared" si="3"/>
        <v>0</v>
      </c>
      <c r="F31" s="108" t="s">
        <v>322</v>
      </c>
      <c r="G31" s="109" t="e">
        <f t="shared" si="2"/>
        <v>#DIV/0!</v>
      </c>
      <c r="H31" s="110"/>
      <c r="I31" s="134"/>
    </row>
    <row r="32" spans="1:10" ht="20.100000000000001" customHeight="1">
      <c r="A32" s="111" t="s">
        <v>167</v>
      </c>
      <c r="B32" s="112">
        <f>SUM(B26:B31)</f>
        <v>0</v>
      </c>
      <c r="C32" s="433" t="s">
        <v>142</v>
      </c>
      <c r="D32" s="433" t="s">
        <v>142</v>
      </c>
      <c r="E32" s="433" t="s">
        <v>142</v>
      </c>
      <c r="F32" s="94"/>
      <c r="G32" s="433" t="s">
        <v>142</v>
      </c>
      <c r="H32" s="432" t="s">
        <v>142</v>
      </c>
      <c r="I32" s="132"/>
    </row>
    <row r="33" spans="1:9" ht="20.100000000000001" customHeight="1">
      <c r="A33" s="512"/>
      <c r="B33" s="513"/>
      <c r="C33" s="513"/>
      <c r="D33" s="513"/>
      <c r="E33" s="513"/>
      <c r="F33" s="513"/>
      <c r="G33" s="513"/>
      <c r="H33" s="513"/>
      <c r="I33" s="132"/>
    </row>
    <row r="34" spans="1:9" ht="20.100000000000001" customHeight="1">
      <c r="A34" s="85" t="s">
        <v>323</v>
      </c>
      <c r="B34" s="86"/>
      <c r="C34" s="86"/>
      <c r="D34" s="86"/>
      <c r="E34" s="86"/>
      <c r="F34" s="86"/>
      <c r="G34" s="86"/>
      <c r="H34" s="100" t="s">
        <v>310</v>
      </c>
      <c r="I34" s="132"/>
    </row>
    <row r="35" spans="1:9" ht="20.100000000000001" customHeight="1">
      <c r="A35" s="94" t="s">
        <v>313</v>
      </c>
      <c r="B35" s="94" t="s">
        <v>324</v>
      </c>
      <c r="C35" s="94" t="s">
        <v>325</v>
      </c>
      <c r="D35" s="94" t="s">
        <v>326</v>
      </c>
      <c r="E35" s="94" t="s">
        <v>327</v>
      </c>
      <c r="F35" s="94" t="s">
        <v>328</v>
      </c>
      <c r="G35" s="94" t="s">
        <v>319</v>
      </c>
      <c r="H35" s="94" t="s">
        <v>320</v>
      </c>
      <c r="I35" s="132"/>
    </row>
    <row r="36" spans="1:9" ht="20.100000000000001" customHeight="1">
      <c r="A36" s="113">
        <f>'坏账准备计提会计政策检查D2-8'!K26</f>
        <v>0</v>
      </c>
      <c r="B36" s="105"/>
      <c r="C36" s="105"/>
      <c r="D36" s="105"/>
      <c r="E36" s="114"/>
      <c r="F36" s="109" t="e">
        <f>C36/B36</f>
        <v>#DIV/0!</v>
      </c>
      <c r="G36" s="109" t="e">
        <f>(1-F36)*G37</f>
        <v>#DIV/0!</v>
      </c>
      <c r="H36" s="115"/>
      <c r="I36" s="504" t="s">
        <v>321</v>
      </c>
    </row>
    <row r="37" spans="1:9" ht="20.100000000000001" customHeight="1">
      <c r="A37" s="113">
        <f>'坏账准备计提会计政策检查D2-8'!K27</f>
        <v>0</v>
      </c>
      <c r="B37" s="105"/>
      <c r="C37" s="105"/>
      <c r="D37" s="105"/>
      <c r="E37" s="116" t="b">
        <f t="shared" ref="E37:E40" si="5">D37=(B36-C36)</f>
        <v>1</v>
      </c>
      <c r="F37" s="109" t="e">
        <f t="shared" ref="F37:F42" si="6">C37/B37</f>
        <v>#DIV/0!</v>
      </c>
      <c r="G37" s="109" t="e">
        <f>(1-F37)*G38</f>
        <v>#DIV/0!</v>
      </c>
      <c r="H37" s="115"/>
      <c r="I37" s="505"/>
    </row>
    <row r="38" spans="1:9" ht="20.100000000000001" customHeight="1">
      <c r="A38" s="113">
        <f>'坏账准备计提会计政策检查D2-8'!K28</f>
        <v>0</v>
      </c>
      <c r="B38" s="105"/>
      <c r="C38" s="105"/>
      <c r="D38" s="105"/>
      <c r="E38" s="116" t="b">
        <f t="shared" si="5"/>
        <v>1</v>
      </c>
      <c r="F38" s="109" t="e">
        <f t="shared" si="6"/>
        <v>#DIV/0!</v>
      </c>
      <c r="G38" s="109" t="e">
        <f>(1-F38)*G39</f>
        <v>#DIV/0!</v>
      </c>
      <c r="H38" s="115"/>
      <c r="I38" s="132"/>
    </row>
    <row r="39" spans="1:9" ht="20.100000000000001" customHeight="1">
      <c r="A39" s="113">
        <f>'坏账准备计提会计政策检查D2-8'!K29</f>
        <v>0</v>
      </c>
      <c r="B39" s="105"/>
      <c r="C39" s="105"/>
      <c r="D39" s="105"/>
      <c r="E39" s="116" t="b">
        <f t="shared" si="5"/>
        <v>1</v>
      </c>
      <c r="F39" s="109" t="e">
        <f t="shared" si="6"/>
        <v>#DIV/0!</v>
      </c>
      <c r="G39" s="109" t="e">
        <f>(1-F39)*G40</f>
        <v>#DIV/0!</v>
      </c>
      <c r="H39" s="115"/>
      <c r="I39" s="132"/>
    </row>
    <row r="40" spans="1:9" ht="20.100000000000001" customHeight="1">
      <c r="A40" s="113">
        <f>'坏账准备计提会计政策检查D2-8'!K30</f>
        <v>0</v>
      </c>
      <c r="B40" s="105"/>
      <c r="C40" s="105"/>
      <c r="D40" s="105"/>
      <c r="E40" s="116" t="b">
        <f t="shared" si="5"/>
        <v>1</v>
      </c>
      <c r="F40" s="109" t="e">
        <f t="shared" si="6"/>
        <v>#DIV/0!</v>
      </c>
      <c r="G40" s="109" t="e">
        <f>(1-F40)*G41</f>
        <v>#DIV/0!</v>
      </c>
      <c r="H40" s="115"/>
      <c r="I40" s="132"/>
    </row>
    <row r="41" spans="1:9" ht="20.100000000000001" customHeight="1">
      <c r="A41" s="113">
        <f>'坏账准备计提会计政策检查D2-8'!K31</f>
        <v>0</v>
      </c>
      <c r="B41" s="105"/>
      <c r="C41" s="105"/>
      <c r="D41" s="105"/>
      <c r="E41" s="116" t="b">
        <f>D41&gt;=(B40-C40)</f>
        <v>1</v>
      </c>
      <c r="F41" s="109" t="e">
        <f t="shared" si="6"/>
        <v>#DIV/0!</v>
      </c>
      <c r="G41" s="109" t="e">
        <f>1-F41</f>
        <v>#DIV/0!</v>
      </c>
      <c r="H41" s="115"/>
      <c r="I41" s="132"/>
    </row>
    <row r="42" spans="1:9" ht="20.100000000000001" customHeight="1">
      <c r="A42" s="111" t="s">
        <v>167</v>
      </c>
      <c r="B42" s="117">
        <f>SUM(B36:B41)</f>
        <v>0</v>
      </c>
      <c r="C42" s="117">
        <f t="shared" ref="C42:D42" si="7">SUM(C36:C41)</f>
        <v>0</v>
      </c>
      <c r="D42" s="117">
        <f t="shared" si="7"/>
        <v>0</v>
      </c>
      <c r="E42" s="118"/>
      <c r="F42" s="119" t="e">
        <f t="shared" si="6"/>
        <v>#DIV/0!</v>
      </c>
      <c r="G42" s="434" t="s">
        <v>142</v>
      </c>
      <c r="H42" s="432" t="s">
        <v>142</v>
      </c>
      <c r="I42" s="132"/>
    </row>
    <row r="43" spans="1:9" ht="20.100000000000001" customHeight="1">
      <c r="A43" s="512"/>
      <c r="B43" s="513"/>
      <c r="C43" s="513"/>
      <c r="D43" s="513"/>
      <c r="E43" s="513"/>
      <c r="F43" s="513"/>
      <c r="G43" s="513"/>
      <c r="H43" s="513"/>
      <c r="I43" s="132"/>
    </row>
    <row r="44" spans="1:9" ht="20.100000000000001" customHeight="1">
      <c r="A44" s="85" t="s">
        <v>329</v>
      </c>
      <c r="B44" s="86"/>
      <c r="C44" s="86"/>
      <c r="D44" s="86"/>
      <c r="E44" s="86"/>
      <c r="F44" s="86"/>
      <c r="G44" s="86"/>
      <c r="H44" s="100" t="s">
        <v>310</v>
      </c>
      <c r="I44" s="132" t="s">
        <v>330</v>
      </c>
    </row>
    <row r="45" spans="1:9" ht="20.100000000000001" customHeight="1">
      <c r="A45" s="94" t="s">
        <v>313</v>
      </c>
      <c r="B45" s="94" t="s">
        <v>331</v>
      </c>
      <c r="C45" s="94" t="s">
        <v>332</v>
      </c>
      <c r="D45" s="94" t="s">
        <v>333</v>
      </c>
      <c r="E45" s="94" t="s">
        <v>324</v>
      </c>
      <c r="F45" s="94" t="s">
        <v>326</v>
      </c>
      <c r="G45" s="94"/>
      <c r="H45" s="94"/>
      <c r="I45" s="132" t="s">
        <v>334</v>
      </c>
    </row>
    <row r="46" spans="1:9" ht="20.100000000000001" customHeight="1">
      <c r="A46" s="120" t="s">
        <v>335</v>
      </c>
      <c r="B46" s="97"/>
      <c r="C46" s="97"/>
      <c r="D46" s="97"/>
      <c r="E46" s="97"/>
      <c r="F46" s="97"/>
      <c r="G46" s="97"/>
      <c r="H46" s="97"/>
      <c r="I46" s="135"/>
    </row>
    <row r="47" spans="1:9" ht="20.100000000000001" customHeight="1">
      <c r="A47" s="120" t="s">
        <v>336</v>
      </c>
      <c r="B47" s="97"/>
      <c r="C47" s="97"/>
      <c r="D47" s="97"/>
      <c r="E47" s="97"/>
      <c r="F47" s="97"/>
      <c r="G47" s="97"/>
      <c r="H47" s="97"/>
      <c r="I47" s="136"/>
    </row>
    <row r="48" spans="1:9" ht="20.100000000000001" customHeight="1">
      <c r="A48" s="120" t="s">
        <v>337</v>
      </c>
      <c r="B48" s="97"/>
      <c r="C48" s="97"/>
      <c r="D48" s="97"/>
      <c r="E48" s="97"/>
      <c r="F48" s="97"/>
      <c r="G48" s="97"/>
      <c r="H48" s="97"/>
      <c r="I48" s="132"/>
    </row>
    <row r="49" spans="1:9" ht="20.100000000000001" customHeight="1">
      <c r="A49" s="120" t="s">
        <v>338</v>
      </c>
      <c r="B49" s="97"/>
      <c r="C49" s="97"/>
      <c r="D49" s="97"/>
      <c r="E49" s="97"/>
      <c r="F49" s="97"/>
      <c r="G49" s="97"/>
      <c r="H49" s="97"/>
      <c r="I49" s="132"/>
    </row>
    <row r="50" spans="1:9" ht="20.100000000000001" customHeight="1">
      <c r="A50" s="121" t="s">
        <v>339</v>
      </c>
      <c r="B50" s="97"/>
      <c r="C50" s="97"/>
      <c r="D50" s="97"/>
      <c r="E50" s="97"/>
      <c r="F50" s="97"/>
      <c r="G50" s="97"/>
      <c r="H50" s="97"/>
      <c r="I50" s="132"/>
    </row>
    <row r="51" spans="1:9" ht="20.100000000000001" customHeight="1">
      <c r="A51" s="120"/>
      <c r="B51" s="97"/>
      <c r="C51" s="97"/>
      <c r="D51" s="97"/>
      <c r="E51" s="97"/>
      <c r="F51" s="97"/>
      <c r="G51" s="97"/>
      <c r="H51" s="97"/>
      <c r="I51" s="132"/>
    </row>
    <row r="52" spans="1:9" ht="20.100000000000001" customHeight="1">
      <c r="A52" s="111" t="s">
        <v>167</v>
      </c>
      <c r="B52" s="122">
        <f>SUM(B46:B49)</f>
        <v>0</v>
      </c>
      <c r="C52" s="122">
        <f>SUM(C46:C49)</f>
        <v>0</v>
      </c>
      <c r="D52" s="122">
        <f t="shared" ref="D52:H52" si="8">SUM(D46:D49)</f>
        <v>0</v>
      </c>
      <c r="E52" s="122">
        <f t="shared" si="8"/>
        <v>0</v>
      </c>
      <c r="F52" s="122">
        <f t="shared" si="8"/>
        <v>0</v>
      </c>
      <c r="G52" s="122">
        <f t="shared" si="8"/>
        <v>0</v>
      </c>
      <c r="H52" s="122">
        <f t="shared" si="8"/>
        <v>0</v>
      </c>
      <c r="I52" s="132"/>
    </row>
    <row r="53" spans="1:9" ht="41.25" customHeight="1">
      <c r="A53" s="94" t="s">
        <v>313</v>
      </c>
      <c r="B53" s="94" t="s">
        <v>340</v>
      </c>
      <c r="C53" s="94" t="s">
        <v>341</v>
      </c>
      <c r="D53" s="94" t="s">
        <v>342</v>
      </c>
      <c r="E53" s="94" t="s">
        <v>343</v>
      </c>
      <c r="F53" s="94" t="s">
        <v>344</v>
      </c>
      <c r="G53" s="94" t="s">
        <v>319</v>
      </c>
      <c r="H53" s="94" t="s">
        <v>320</v>
      </c>
      <c r="I53" s="132" t="s">
        <v>454</v>
      </c>
    </row>
    <row r="54" spans="1:9" ht="20.100000000000001" customHeight="1">
      <c r="A54" s="120" t="str">
        <f>A46</f>
        <v>1年以内</v>
      </c>
      <c r="B54" s="123"/>
      <c r="C54" s="124" t="e">
        <f t="shared" ref="C54:E55" si="9">D47/C46</f>
        <v>#DIV/0!</v>
      </c>
      <c r="D54" s="124" t="e">
        <f t="shared" si="9"/>
        <v>#DIV/0!</v>
      </c>
      <c r="E54" s="124" t="e">
        <f t="shared" si="9"/>
        <v>#DIV/0!</v>
      </c>
      <c r="F54" s="116" t="e">
        <f>AVERAGE(C54:E54)</f>
        <v>#DIV/0!</v>
      </c>
      <c r="G54" s="116" t="e">
        <f>F54*G55</f>
        <v>#DIV/0!</v>
      </c>
      <c r="H54" s="108"/>
      <c r="I54" s="504"/>
    </row>
    <row r="55" spans="1:9" ht="20.100000000000001" customHeight="1">
      <c r="A55" s="120" t="str">
        <f>A47</f>
        <v>1年-2年</v>
      </c>
      <c r="B55" s="123"/>
      <c r="C55" s="124" t="e">
        <f t="shared" si="9"/>
        <v>#DIV/0!</v>
      </c>
      <c r="D55" s="124" t="e">
        <f t="shared" si="9"/>
        <v>#DIV/0!</v>
      </c>
      <c r="E55" s="124" t="e">
        <f t="shared" si="9"/>
        <v>#DIV/0!</v>
      </c>
      <c r="F55" s="116" t="e">
        <f>AVERAGE(C55:E55)</f>
        <v>#DIV/0!</v>
      </c>
      <c r="G55" s="116" t="e">
        <f>F55*G56</f>
        <v>#DIV/0!</v>
      </c>
      <c r="H55" s="108"/>
      <c r="I55" s="505"/>
    </row>
    <row r="56" spans="1:9" ht="20.100000000000001" customHeight="1">
      <c r="A56" s="120" t="str">
        <f t="shared" ref="A56:A57" si="10">A48</f>
        <v>2年-3年</v>
      </c>
      <c r="B56" s="123"/>
      <c r="C56" s="124" t="e">
        <f>(D49-D50)/C48</f>
        <v>#DIV/0!</v>
      </c>
      <c r="D56" s="124" t="e">
        <f>(E49-E50)/D48</f>
        <v>#DIV/0!</v>
      </c>
      <c r="E56" s="124" t="e">
        <f>(F49-F50)/E48</f>
        <v>#DIV/0!</v>
      </c>
      <c r="F56" s="116" t="e">
        <f>AVERAGE(C56:E56)</f>
        <v>#DIV/0!</v>
      </c>
      <c r="G56" s="116" t="e">
        <f>F56*G57</f>
        <v>#DIV/0!</v>
      </c>
      <c r="H56" s="108"/>
      <c r="I56" s="132"/>
    </row>
    <row r="57" spans="1:9" ht="20.100000000000001" customHeight="1">
      <c r="A57" s="120" t="str">
        <f t="shared" si="10"/>
        <v>3年以上</v>
      </c>
      <c r="B57" s="123"/>
      <c r="C57" s="124" t="e">
        <f>D50/C49</f>
        <v>#DIV/0!</v>
      </c>
      <c r="D57" s="124" t="e">
        <f>E50/D49</f>
        <v>#DIV/0!</v>
      </c>
      <c r="E57" s="124" t="e">
        <f>F50/E49</f>
        <v>#DIV/0!</v>
      </c>
      <c r="F57" s="116" t="e">
        <f>AVERAGE(C57:E57)</f>
        <v>#DIV/0!</v>
      </c>
      <c r="G57" s="116" t="e">
        <f>F57</f>
        <v>#DIV/0!</v>
      </c>
      <c r="H57" s="108"/>
      <c r="I57" s="132"/>
    </row>
    <row r="58" spans="1:9" ht="20.100000000000001" customHeight="1">
      <c r="A58" s="121"/>
      <c r="B58" s="123"/>
      <c r="C58" s="116"/>
      <c r="D58" s="116"/>
      <c r="E58" s="124"/>
      <c r="F58" s="116"/>
      <c r="G58" s="116"/>
      <c r="H58" s="125"/>
      <c r="I58" s="132"/>
    </row>
    <row r="59" spans="1:9" ht="20.100000000000001" customHeight="1">
      <c r="A59" s="120"/>
      <c r="B59" s="123"/>
      <c r="C59" s="116"/>
      <c r="D59" s="116"/>
      <c r="E59" s="124"/>
      <c r="F59" s="116"/>
      <c r="G59" s="116"/>
      <c r="H59" s="125"/>
      <c r="I59" s="132"/>
    </row>
    <row r="60" spans="1:9" ht="20.100000000000001" customHeight="1">
      <c r="A60" s="111" t="s">
        <v>167</v>
      </c>
      <c r="B60" s="433" t="s">
        <v>142</v>
      </c>
      <c r="C60" s="433" t="s">
        <v>142</v>
      </c>
      <c r="D60" s="433" t="s">
        <v>142</v>
      </c>
      <c r="E60" s="433" t="s">
        <v>142</v>
      </c>
      <c r="F60" s="433" t="s">
        <v>142</v>
      </c>
      <c r="G60" s="433" t="s">
        <v>142</v>
      </c>
      <c r="H60" s="433" t="s">
        <v>142</v>
      </c>
      <c r="I60" s="132"/>
    </row>
    <row r="61" spans="1:9" ht="20.100000000000001" customHeight="1">
      <c r="A61" s="512"/>
      <c r="B61" s="513"/>
      <c r="C61" s="513"/>
      <c r="D61" s="513"/>
      <c r="E61" s="513"/>
      <c r="F61" s="513"/>
      <c r="G61" s="513"/>
      <c r="H61" s="513"/>
      <c r="I61" s="132"/>
    </row>
    <row r="62" spans="1:9" ht="20.100000000000001" customHeight="1">
      <c r="A62" s="85" t="s">
        <v>345</v>
      </c>
      <c r="B62" s="86"/>
      <c r="C62" s="86"/>
      <c r="D62" s="86"/>
      <c r="E62" s="86"/>
      <c r="F62" s="86"/>
      <c r="G62" s="86"/>
      <c r="I62" s="132" t="s">
        <v>346</v>
      </c>
    </row>
    <row r="63" spans="1:9" ht="25.5" customHeight="1">
      <c r="A63" s="103" t="s">
        <v>313</v>
      </c>
      <c r="B63" s="126" t="s">
        <v>347</v>
      </c>
      <c r="C63" s="126" t="s">
        <v>348</v>
      </c>
      <c r="D63" s="126" t="s">
        <v>349</v>
      </c>
      <c r="E63" s="126" t="s">
        <v>350</v>
      </c>
      <c r="F63" s="103" t="s">
        <v>351</v>
      </c>
      <c r="G63" s="103" t="s">
        <v>352</v>
      </c>
      <c r="H63" s="103" t="s">
        <v>353</v>
      </c>
      <c r="I63" s="506" t="s">
        <v>354</v>
      </c>
    </row>
    <row r="64" spans="1:9" ht="20.100000000000001" customHeight="1">
      <c r="A64" s="104">
        <f t="shared" ref="A64:A69" si="11">A36</f>
        <v>0</v>
      </c>
      <c r="B64" s="127"/>
      <c r="C64" s="127"/>
      <c r="D64" s="127"/>
      <c r="E64" s="127"/>
      <c r="F64" s="128" t="s">
        <v>355</v>
      </c>
      <c r="G64" s="128"/>
      <c r="H64" s="127"/>
      <c r="I64" s="507"/>
    </row>
    <row r="65" spans="1:9" ht="20.100000000000001" customHeight="1">
      <c r="A65" s="104">
        <f t="shared" si="11"/>
        <v>0</v>
      </c>
      <c r="B65" s="127"/>
      <c r="C65" s="127"/>
      <c r="D65" s="127"/>
      <c r="E65" s="127"/>
      <c r="F65" s="128" t="s">
        <v>355</v>
      </c>
      <c r="G65" s="128"/>
      <c r="H65" s="127"/>
      <c r="I65" s="507"/>
    </row>
    <row r="66" spans="1:9" ht="20.100000000000001" customHeight="1">
      <c r="A66" s="104">
        <f t="shared" si="11"/>
        <v>0</v>
      </c>
      <c r="B66" s="127"/>
      <c r="C66" s="127"/>
      <c r="D66" s="127"/>
      <c r="E66" s="127"/>
      <c r="F66" s="128" t="s">
        <v>355</v>
      </c>
      <c r="G66" s="128"/>
      <c r="H66" s="127"/>
      <c r="I66" s="132"/>
    </row>
    <row r="67" spans="1:9" ht="20.100000000000001" customHeight="1">
      <c r="A67" s="104">
        <f t="shared" si="11"/>
        <v>0</v>
      </c>
      <c r="B67" s="127"/>
      <c r="C67" s="127"/>
      <c r="D67" s="127"/>
      <c r="E67" s="127"/>
      <c r="F67" s="128" t="s">
        <v>355</v>
      </c>
      <c r="G67" s="128"/>
      <c r="H67" s="127"/>
      <c r="I67" s="132"/>
    </row>
    <row r="68" spans="1:9" ht="20.100000000000001" customHeight="1">
      <c r="A68" s="104">
        <f t="shared" si="11"/>
        <v>0</v>
      </c>
      <c r="B68" s="127"/>
      <c r="C68" s="127"/>
      <c r="D68" s="127"/>
      <c r="E68" s="127"/>
      <c r="F68" s="128" t="s">
        <v>355</v>
      </c>
      <c r="G68" s="128"/>
      <c r="H68" s="127"/>
      <c r="I68" s="132"/>
    </row>
    <row r="69" spans="1:9" ht="20.100000000000001" customHeight="1">
      <c r="A69" s="104">
        <f t="shared" si="11"/>
        <v>0</v>
      </c>
      <c r="B69" s="127"/>
      <c r="C69" s="127"/>
      <c r="D69" s="127"/>
      <c r="E69" s="127"/>
      <c r="F69" s="128" t="s">
        <v>355</v>
      </c>
      <c r="G69" s="139"/>
      <c r="H69" s="127"/>
      <c r="I69" s="132"/>
    </row>
    <row r="70" spans="1:9" ht="20.100000000000001" customHeight="1">
      <c r="A70" s="85" t="s">
        <v>356</v>
      </c>
      <c r="B70" s="86"/>
      <c r="C70" s="86"/>
      <c r="D70" s="86"/>
      <c r="E70" s="86"/>
      <c r="F70" s="86"/>
      <c r="G70" s="140"/>
      <c r="H70" s="141"/>
      <c r="I70" s="132"/>
    </row>
    <row r="71" spans="1:9" ht="20.100000000000001" customHeight="1">
      <c r="A71" s="86"/>
      <c r="B71" s="86"/>
      <c r="C71" s="86"/>
      <c r="D71" s="86"/>
      <c r="E71" s="86"/>
      <c r="F71" s="86"/>
      <c r="G71" s="86"/>
      <c r="I71" s="152"/>
    </row>
    <row r="72" spans="1:9" ht="20.100000000000001" customHeight="1">
      <c r="A72" s="85" t="s">
        <v>357</v>
      </c>
      <c r="B72" s="86"/>
      <c r="C72" s="86"/>
      <c r="D72" s="86"/>
      <c r="E72" s="86"/>
      <c r="F72" s="86"/>
      <c r="G72" s="86"/>
      <c r="I72" s="132"/>
    </row>
    <row r="73" spans="1:9" ht="20.100000000000001" customHeight="1">
      <c r="A73" s="85" t="s">
        <v>358</v>
      </c>
      <c r="B73" s="86"/>
      <c r="C73" s="86"/>
      <c r="D73" s="86"/>
      <c r="E73" s="86"/>
      <c r="F73" s="86"/>
      <c r="G73" s="86"/>
      <c r="I73" s="152"/>
    </row>
    <row r="74" spans="1:9" ht="20.100000000000001" customHeight="1">
      <c r="A74" s="103" t="s">
        <v>313</v>
      </c>
      <c r="B74" s="103" t="s">
        <v>316</v>
      </c>
      <c r="C74" s="103" t="s">
        <v>359</v>
      </c>
      <c r="D74" s="103" t="s">
        <v>360</v>
      </c>
      <c r="E74" s="103" t="s">
        <v>318</v>
      </c>
      <c r="F74" s="103" t="s">
        <v>351</v>
      </c>
      <c r="G74" s="103" t="s">
        <v>266</v>
      </c>
      <c r="H74" s="103" t="s">
        <v>361</v>
      </c>
      <c r="I74" s="137"/>
    </row>
    <row r="75" spans="1:9" ht="20.100000000000001" customHeight="1">
      <c r="A75" s="104">
        <f t="shared" ref="A75:A80" si="12">A26</f>
        <v>0</v>
      </c>
      <c r="B75" s="142">
        <f t="shared" ref="B75:C80" si="13">D26</f>
        <v>0</v>
      </c>
      <c r="C75" s="107">
        <f t="shared" si="13"/>
        <v>0</v>
      </c>
      <c r="D75" s="106"/>
      <c r="E75" s="511" t="s">
        <v>362</v>
      </c>
      <c r="F75" s="511"/>
      <c r="G75" s="119" t="e">
        <f t="shared" ref="G75:G80" si="14">D75/B75</f>
        <v>#DIV/0!</v>
      </c>
      <c r="H75" s="127"/>
      <c r="I75" s="138"/>
    </row>
    <row r="76" spans="1:9" ht="20.100000000000001" customHeight="1">
      <c r="A76" s="104">
        <f t="shared" si="12"/>
        <v>0</v>
      </c>
      <c r="B76" s="142">
        <f t="shared" si="13"/>
        <v>0</v>
      </c>
      <c r="C76" s="107">
        <f t="shared" si="13"/>
        <v>0</v>
      </c>
      <c r="D76" s="106">
        <f>D75</f>
        <v>0</v>
      </c>
      <c r="E76" s="511"/>
      <c r="F76" s="511"/>
      <c r="G76" s="119" t="e">
        <f t="shared" si="14"/>
        <v>#DIV/0!</v>
      </c>
      <c r="H76" s="127"/>
      <c r="I76" s="138"/>
    </row>
    <row r="77" spans="1:9" ht="20.100000000000001" customHeight="1">
      <c r="A77" s="104">
        <f t="shared" si="12"/>
        <v>0</v>
      </c>
      <c r="B77" s="142">
        <f t="shared" si="13"/>
        <v>0</v>
      </c>
      <c r="C77" s="107">
        <f t="shared" si="13"/>
        <v>0</v>
      </c>
      <c r="D77" s="106">
        <f t="shared" ref="D77:D80" si="15">D76</f>
        <v>0</v>
      </c>
      <c r="E77" s="511"/>
      <c r="F77" s="511"/>
      <c r="G77" s="119" t="e">
        <f t="shared" si="14"/>
        <v>#DIV/0!</v>
      </c>
      <c r="H77" s="127"/>
      <c r="I77" s="138"/>
    </row>
    <row r="78" spans="1:9" ht="20.100000000000001" customHeight="1">
      <c r="A78" s="104">
        <f t="shared" si="12"/>
        <v>0</v>
      </c>
      <c r="B78" s="142">
        <f t="shared" si="13"/>
        <v>0</v>
      </c>
      <c r="C78" s="107">
        <f t="shared" si="13"/>
        <v>0</v>
      </c>
      <c r="D78" s="106">
        <f t="shared" si="15"/>
        <v>0</v>
      </c>
      <c r="E78" s="511"/>
      <c r="F78" s="511"/>
      <c r="G78" s="119" t="e">
        <f t="shared" si="14"/>
        <v>#DIV/0!</v>
      </c>
      <c r="H78" s="127"/>
      <c r="I78" s="138"/>
    </row>
    <row r="79" spans="1:9" ht="20.100000000000001" customHeight="1">
      <c r="A79" s="104">
        <f t="shared" si="12"/>
        <v>0</v>
      </c>
      <c r="B79" s="142">
        <f t="shared" si="13"/>
        <v>0</v>
      </c>
      <c r="C79" s="107">
        <f t="shared" si="13"/>
        <v>0</v>
      </c>
      <c r="D79" s="106">
        <f t="shared" si="15"/>
        <v>0</v>
      </c>
      <c r="E79" s="511"/>
      <c r="F79" s="511"/>
      <c r="G79" s="119" t="e">
        <f t="shared" si="14"/>
        <v>#DIV/0!</v>
      </c>
      <c r="H79" s="127"/>
      <c r="I79" s="138"/>
    </row>
    <row r="80" spans="1:9" ht="20.100000000000001" customHeight="1">
      <c r="A80" s="104">
        <f t="shared" si="12"/>
        <v>0</v>
      </c>
      <c r="B80" s="142">
        <f t="shared" si="13"/>
        <v>0</v>
      </c>
      <c r="C80" s="107">
        <f t="shared" si="13"/>
        <v>0</v>
      </c>
      <c r="D80" s="106">
        <f t="shared" si="15"/>
        <v>0</v>
      </c>
      <c r="E80" s="511"/>
      <c r="F80" s="511"/>
      <c r="G80" s="119" t="e">
        <f t="shared" si="14"/>
        <v>#DIV/0!</v>
      </c>
      <c r="H80" s="127"/>
      <c r="I80" s="138"/>
    </row>
    <row r="81" spans="1:9" ht="20.100000000000001" customHeight="1">
      <c r="A81" s="80"/>
      <c r="B81" s="143"/>
      <c r="C81" s="144"/>
      <c r="D81" s="86"/>
      <c r="E81" s="145"/>
      <c r="F81" s="86"/>
      <c r="G81" s="146"/>
      <c r="H81" s="99"/>
      <c r="I81" s="153"/>
    </row>
    <row r="82" spans="1:9" ht="20.100000000000001" customHeight="1">
      <c r="A82" s="85" t="s">
        <v>363</v>
      </c>
      <c r="B82" s="86"/>
      <c r="C82" s="86"/>
      <c r="D82" s="86"/>
      <c r="E82" s="86"/>
      <c r="F82" s="86"/>
      <c r="G82" s="86"/>
      <c r="I82" s="152"/>
    </row>
    <row r="83" spans="1:9" ht="20.100000000000001" customHeight="1">
      <c r="A83" s="494" t="s">
        <v>313</v>
      </c>
      <c r="B83" s="501" t="s">
        <v>364</v>
      </c>
      <c r="C83" s="514"/>
      <c r="D83" s="515"/>
      <c r="E83" s="494" t="s">
        <v>318</v>
      </c>
      <c r="F83" s="494" t="s">
        <v>365</v>
      </c>
      <c r="G83" s="494" t="s">
        <v>266</v>
      </c>
      <c r="H83" s="494" t="s">
        <v>361</v>
      </c>
      <c r="I83" s="137"/>
    </row>
    <row r="84" spans="1:9" ht="20.100000000000001" customHeight="1">
      <c r="A84" s="495"/>
      <c r="B84" s="94" t="s">
        <v>366</v>
      </c>
      <c r="C84" s="94" t="s">
        <v>352</v>
      </c>
      <c r="D84" s="94" t="s">
        <v>367</v>
      </c>
      <c r="E84" s="495"/>
      <c r="F84" s="495"/>
      <c r="G84" s="495"/>
      <c r="H84" s="495"/>
      <c r="I84" s="137"/>
    </row>
    <row r="85" spans="1:9" ht="20.100000000000001" customHeight="1">
      <c r="A85" s="104">
        <f t="shared" ref="A85:A90" si="16">A64</f>
        <v>0</v>
      </c>
      <c r="B85" s="142" t="e">
        <f t="shared" ref="B85:B90" si="17">F36</f>
        <v>#DIV/0!</v>
      </c>
      <c r="C85" s="142">
        <f>G64</f>
        <v>0</v>
      </c>
      <c r="D85" s="147" t="e">
        <f>B85*(1-C85)</f>
        <v>#DIV/0!</v>
      </c>
      <c r="E85" s="148" t="s">
        <v>368</v>
      </c>
      <c r="F85" s="124" t="e">
        <f t="shared" ref="F85:F90" si="18">1-D85</f>
        <v>#DIV/0!</v>
      </c>
      <c r="G85" s="119" t="e">
        <f>F85*G86</f>
        <v>#DIV/0!</v>
      </c>
      <c r="H85" s="127"/>
      <c r="I85" s="138"/>
    </row>
    <row r="86" spans="1:9" ht="20.100000000000001" customHeight="1">
      <c r="A86" s="104">
        <f t="shared" si="16"/>
        <v>0</v>
      </c>
      <c r="B86" s="142" t="e">
        <f t="shared" si="17"/>
        <v>#DIV/0!</v>
      </c>
      <c r="C86" s="142">
        <f>G65</f>
        <v>0</v>
      </c>
      <c r="D86" s="147" t="e">
        <f t="shared" ref="D86:D90" si="19">B86*(1-C86)</f>
        <v>#DIV/0!</v>
      </c>
      <c r="E86" s="148" t="s">
        <v>369</v>
      </c>
      <c r="F86" s="124" t="e">
        <f t="shared" si="18"/>
        <v>#DIV/0!</v>
      </c>
      <c r="G86" s="119" t="e">
        <f>F86*G87</f>
        <v>#DIV/0!</v>
      </c>
      <c r="H86" s="127"/>
      <c r="I86" s="138"/>
    </row>
    <row r="87" spans="1:9" ht="20.100000000000001" customHeight="1">
      <c r="A87" s="104">
        <f t="shared" si="16"/>
        <v>0</v>
      </c>
      <c r="B87" s="142" t="e">
        <f t="shared" si="17"/>
        <v>#DIV/0!</v>
      </c>
      <c r="C87" s="142">
        <f>G66</f>
        <v>0</v>
      </c>
      <c r="D87" s="147" t="e">
        <f t="shared" si="19"/>
        <v>#DIV/0!</v>
      </c>
      <c r="E87" s="148" t="s">
        <v>369</v>
      </c>
      <c r="F87" s="124" t="e">
        <f t="shared" si="18"/>
        <v>#DIV/0!</v>
      </c>
      <c r="G87" s="119" t="e">
        <f>F87*G88</f>
        <v>#DIV/0!</v>
      </c>
      <c r="H87" s="127"/>
      <c r="I87" s="138"/>
    </row>
    <row r="88" spans="1:9" ht="20.100000000000001" customHeight="1">
      <c r="A88" s="104">
        <f t="shared" si="16"/>
        <v>0</v>
      </c>
      <c r="B88" s="142" t="e">
        <f t="shared" si="17"/>
        <v>#DIV/0!</v>
      </c>
      <c r="C88" s="142">
        <f>G67</f>
        <v>0</v>
      </c>
      <c r="D88" s="147" t="e">
        <f t="shared" si="19"/>
        <v>#DIV/0!</v>
      </c>
      <c r="E88" s="148" t="s">
        <v>369</v>
      </c>
      <c r="F88" s="124" t="e">
        <f t="shared" si="18"/>
        <v>#DIV/0!</v>
      </c>
      <c r="G88" s="119" t="e">
        <f>F88*G89</f>
        <v>#DIV/0!</v>
      </c>
      <c r="H88" s="127"/>
      <c r="I88" s="138"/>
    </row>
    <row r="89" spans="1:9" ht="20.100000000000001" customHeight="1">
      <c r="A89" s="104">
        <f t="shared" si="16"/>
        <v>0</v>
      </c>
      <c r="B89" s="142" t="e">
        <f t="shared" si="17"/>
        <v>#DIV/0!</v>
      </c>
      <c r="C89" s="142">
        <f>G68</f>
        <v>0</v>
      </c>
      <c r="D89" s="147" t="e">
        <f t="shared" si="19"/>
        <v>#DIV/0!</v>
      </c>
      <c r="E89" s="148" t="s">
        <v>369</v>
      </c>
      <c r="F89" s="124" t="e">
        <f t="shared" si="18"/>
        <v>#DIV/0!</v>
      </c>
      <c r="G89" s="119" t="e">
        <f>F89*G90</f>
        <v>#DIV/0!</v>
      </c>
      <c r="H89" s="127"/>
      <c r="I89" s="138"/>
    </row>
    <row r="90" spans="1:9" ht="20.100000000000001" customHeight="1">
      <c r="A90" s="104">
        <f t="shared" si="16"/>
        <v>0</v>
      </c>
      <c r="B90" s="142" t="e">
        <f t="shared" si="17"/>
        <v>#DIV/0!</v>
      </c>
      <c r="C90" s="142">
        <f>G69</f>
        <v>0</v>
      </c>
      <c r="D90" s="147" t="e">
        <f t="shared" si="19"/>
        <v>#DIV/0!</v>
      </c>
      <c r="E90" s="148" t="s">
        <v>370</v>
      </c>
      <c r="F90" s="124" t="e">
        <f t="shared" si="18"/>
        <v>#DIV/0!</v>
      </c>
      <c r="G90" s="119" t="e">
        <f>F90</f>
        <v>#DIV/0!</v>
      </c>
      <c r="H90" s="127"/>
      <c r="I90" s="138"/>
    </row>
    <row r="91" spans="1:9" ht="20.100000000000001" customHeight="1">
      <c r="A91" s="86"/>
      <c r="B91" s="86"/>
      <c r="C91" s="86"/>
      <c r="D91" s="86"/>
      <c r="E91" s="86"/>
      <c r="F91" s="86"/>
      <c r="G91" s="86"/>
      <c r="I91" s="132"/>
    </row>
    <row r="92" spans="1:9" ht="20.100000000000001" customHeight="1">
      <c r="A92" s="85" t="s">
        <v>371</v>
      </c>
      <c r="B92" s="86"/>
      <c r="C92" s="86"/>
      <c r="D92" s="86"/>
      <c r="E92" s="86"/>
      <c r="F92" s="86"/>
      <c r="G92" s="86"/>
      <c r="I92" s="152"/>
    </row>
    <row r="93" spans="1:9" ht="20.100000000000001" customHeight="1">
      <c r="A93" s="94" t="s">
        <v>313</v>
      </c>
      <c r="B93" s="94" t="s">
        <v>344</v>
      </c>
      <c r="C93" s="94" t="s">
        <v>319</v>
      </c>
      <c r="D93" s="94" t="s">
        <v>352</v>
      </c>
      <c r="E93" s="94" t="s">
        <v>318</v>
      </c>
      <c r="F93" s="94" t="s">
        <v>351</v>
      </c>
      <c r="G93" s="94" t="s">
        <v>266</v>
      </c>
      <c r="H93" s="94" t="s">
        <v>361</v>
      </c>
      <c r="I93" s="137"/>
    </row>
    <row r="94" spans="1:9" ht="20.100000000000001" customHeight="1">
      <c r="A94" s="149" t="str">
        <f>A54</f>
        <v>1年以内</v>
      </c>
      <c r="B94" s="150" t="e">
        <f>F54</f>
        <v>#DIV/0!</v>
      </c>
      <c r="C94" s="150" t="e">
        <f>G54</f>
        <v>#DIV/0!</v>
      </c>
      <c r="D94" s="147">
        <f>G64</f>
        <v>0</v>
      </c>
      <c r="E94" s="508" t="s">
        <v>372</v>
      </c>
      <c r="F94" s="508"/>
      <c r="G94" s="119" t="e">
        <f>C94*(1+D94)</f>
        <v>#DIV/0!</v>
      </c>
      <c r="H94" s="110"/>
      <c r="I94" s="138"/>
    </row>
    <row r="95" spans="1:9" ht="20.100000000000001" customHeight="1">
      <c r="A95" s="149" t="str">
        <f>A55</f>
        <v>1年-2年</v>
      </c>
      <c r="B95" s="150" t="e">
        <f>F55</f>
        <v>#DIV/0!</v>
      </c>
      <c r="C95" s="150" t="e">
        <f>G55</f>
        <v>#DIV/0!</v>
      </c>
      <c r="D95" s="147">
        <f t="shared" ref="D95:D97" si="20">G65</f>
        <v>0</v>
      </c>
      <c r="E95" s="509"/>
      <c r="F95" s="509"/>
      <c r="G95" s="119" t="e">
        <f t="shared" ref="G95:G96" si="21">C95*(1+D95)</f>
        <v>#DIV/0!</v>
      </c>
      <c r="H95" s="110"/>
      <c r="I95" s="138"/>
    </row>
    <row r="96" spans="1:9" ht="20.100000000000001" customHeight="1">
      <c r="A96" s="149" t="str">
        <f>A56</f>
        <v>2年-3年</v>
      </c>
      <c r="B96" s="150" t="e">
        <f t="shared" ref="B96:C96" si="22">F56</f>
        <v>#DIV/0!</v>
      </c>
      <c r="C96" s="150" t="e">
        <f t="shared" si="22"/>
        <v>#DIV/0!</v>
      </c>
      <c r="D96" s="147">
        <f t="shared" si="20"/>
        <v>0</v>
      </c>
      <c r="E96" s="509"/>
      <c r="F96" s="509"/>
      <c r="G96" s="119" t="e">
        <f t="shared" si="21"/>
        <v>#DIV/0!</v>
      </c>
      <c r="H96" s="110"/>
      <c r="I96" s="138"/>
    </row>
    <row r="97" spans="1:9" ht="20.100000000000001" customHeight="1">
      <c r="A97" s="149" t="str">
        <f>A57</f>
        <v>3年以上</v>
      </c>
      <c r="B97" s="150" t="e">
        <f t="shared" ref="B97:C97" si="23">F57</f>
        <v>#DIV/0!</v>
      </c>
      <c r="C97" s="150" t="e">
        <f t="shared" si="23"/>
        <v>#DIV/0!</v>
      </c>
      <c r="D97" s="147">
        <f t="shared" si="20"/>
        <v>0</v>
      </c>
      <c r="E97" s="509"/>
      <c r="F97" s="509"/>
      <c r="G97" s="119" t="e">
        <f>MIN(C97*(1+D97),100%)</f>
        <v>#DIV/0!</v>
      </c>
      <c r="H97" s="110"/>
      <c r="I97" s="138"/>
    </row>
    <row r="98" spans="1:9" ht="20.100000000000001" customHeight="1">
      <c r="A98" s="149"/>
      <c r="B98" s="150"/>
      <c r="C98" s="150"/>
      <c r="D98" s="147"/>
      <c r="E98" s="509"/>
      <c r="F98" s="509"/>
      <c r="G98" s="94"/>
      <c r="H98" s="110"/>
      <c r="I98" s="138"/>
    </row>
    <row r="99" spans="1:9" ht="20.100000000000001" customHeight="1">
      <c r="A99" s="149"/>
      <c r="B99" s="150"/>
      <c r="C99" s="150"/>
      <c r="D99" s="124"/>
      <c r="E99" s="510"/>
      <c r="F99" s="510"/>
      <c r="G99" s="94"/>
      <c r="H99" s="110"/>
      <c r="I99" s="138"/>
    </row>
    <row r="100" spans="1:9" ht="20.100000000000001" customHeight="1">
      <c r="A100" s="86"/>
      <c r="B100" s="86"/>
      <c r="C100" s="86"/>
      <c r="D100" s="86"/>
      <c r="E100" s="86"/>
      <c r="F100" s="86"/>
      <c r="G100" s="86"/>
      <c r="I100" s="132"/>
    </row>
    <row r="101" spans="1:9" ht="20.100000000000001" customHeight="1">
      <c r="A101" s="84" t="s">
        <v>243</v>
      </c>
      <c r="B101" s="84"/>
      <c r="C101" s="84"/>
      <c r="D101" s="84"/>
      <c r="E101" s="84"/>
      <c r="F101" s="84"/>
      <c r="G101" s="84"/>
      <c r="H101" s="84"/>
      <c r="I101" s="132"/>
    </row>
    <row r="102" spans="1:9" ht="20.100000000000001" customHeight="1">
      <c r="A102" s="151"/>
      <c r="B102" s="151"/>
      <c r="C102" s="151"/>
      <c r="D102" s="151"/>
      <c r="E102" s="151"/>
      <c r="F102" s="151"/>
      <c r="G102" s="151"/>
      <c r="H102" s="151"/>
      <c r="I102" s="132"/>
    </row>
    <row r="103" spans="1:9" ht="20.100000000000001" customHeight="1">
      <c r="A103" s="151"/>
      <c r="B103" s="151"/>
      <c r="C103" s="151"/>
      <c r="D103" s="151"/>
      <c r="E103" s="151"/>
      <c r="F103" s="151"/>
      <c r="G103" s="151"/>
      <c r="H103" s="151"/>
      <c r="I103" s="132"/>
    </row>
    <row r="104" spans="1:9" ht="20.100000000000001" customHeight="1">
      <c r="A104" s="151"/>
      <c r="B104" s="151"/>
      <c r="C104" s="151"/>
      <c r="D104" s="151"/>
      <c r="E104" s="151"/>
      <c r="F104" s="151"/>
      <c r="G104" s="151"/>
      <c r="H104" s="151"/>
      <c r="I104" s="132"/>
    </row>
    <row r="105" spans="1:9" ht="20.100000000000001" customHeight="1">
      <c r="A105" s="84" t="s">
        <v>169</v>
      </c>
      <c r="B105" s="84"/>
      <c r="C105" s="84"/>
      <c r="D105" s="84"/>
      <c r="E105" s="84"/>
      <c r="F105" s="84"/>
      <c r="G105" s="84"/>
      <c r="H105" s="84"/>
      <c r="I105" s="132"/>
    </row>
    <row r="106" spans="1:9" ht="20.100000000000001" customHeight="1">
      <c r="A106" s="84"/>
      <c r="B106" s="84"/>
      <c r="C106" s="84"/>
      <c r="D106" s="84"/>
      <c r="E106" s="84"/>
      <c r="F106" s="84"/>
      <c r="G106" s="84"/>
      <c r="H106" s="84"/>
      <c r="I106" s="132"/>
    </row>
    <row r="107" spans="1:9" ht="20.100000000000001" customHeight="1">
      <c r="A107" s="151"/>
      <c r="B107" s="151"/>
      <c r="C107" s="151"/>
      <c r="D107" s="151"/>
      <c r="E107" s="151"/>
      <c r="F107" s="151"/>
      <c r="G107" s="151"/>
      <c r="H107" s="151"/>
      <c r="I107" s="132"/>
    </row>
    <row r="108" spans="1:9" ht="20.100000000000001" customHeight="1">
      <c r="A108" s="151"/>
      <c r="B108" s="151"/>
      <c r="C108" s="151"/>
      <c r="D108" s="151"/>
      <c r="E108" s="151"/>
      <c r="F108" s="151"/>
      <c r="G108" s="151"/>
      <c r="H108" s="151"/>
      <c r="I108" s="132"/>
    </row>
    <row r="109" spans="1:9" ht="20.100000000000001" customHeight="1">
      <c r="I109" s="132"/>
    </row>
    <row r="110" spans="1:9" ht="20.100000000000001" customHeight="1">
      <c r="I110" s="132"/>
    </row>
  </sheetData>
  <mergeCells count="32">
    <mergeCell ref="G83:G84"/>
    <mergeCell ref="F11:F12"/>
    <mergeCell ref="A11:A12"/>
    <mergeCell ref="A13:A15"/>
    <mergeCell ref="A17:A19"/>
    <mergeCell ref="B11:B12"/>
    <mergeCell ref="B13:B15"/>
    <mergeCell ref="B17:B19"/>
    <mergeCell ref="I26:I27"/>
    <mergeCell ref="I36:I37"/>
    <mergeCell ref="I54:I55"/>
    <mergeCell ref="I63:I65"/>
    <mergeCell ref="E94:E99"/>
    <mergeCell ref="F75:F80"/>
    <mergeCell ref="F83:F84"/>
    <mergeCell ref="F94:F99"/>
    <mergeCell ref="A33:H33"/>
    <mergeCell ref="A43:H43"/>
    <mergeCell ref="A61:H61"/>
    <mergeCell ref="B83:D83"/>
    <mergeCell ref="H83:H84"/>
    <mergeCell ref="A83:A84"/>
    <mergeCell ref="E75:E80"/>
    <mergeCell ref="E83:E84"/>
    <mergeCell ref="A1:H1"/>
    <mergeCell ref="A2:H2"/>
    <mergeCell ref="A6:H6"/>
    <mergeCell ref="A8:H8"/>
    <mergeCell ref="D11:E11"/>
    <mergeCell ref="H11:H12"/>
    <mergeCell ref="C11:C12"/>
    <mergeCell ref="G11:G12"/>
  </mergeCells>
  <phoneticPr fontId="145" type="noConversion"/>
  <hyperlinks>
    <hyperlink ref="H3" location="底稿目录!A1" display="D2-11"/>
  </hyperlinks>
  <pageMargins left="0.70833333333333304" right="0.70833333333333304" top="0.74791666666666701" bottom="0.74791666666666701" header="0.31458333333333299" footer="0.31458333333333299"/>
  <pageSetup paperSize="9" scale="81" orientation="portrait" blackAndWhite="1" r:id="rId1"/>
  <headerFooter>
    <oddFooter>&amp;C&amp;P/&amp;N</oddFooter>
  </headerFooter>
  <rowBreaks count="1" manualBreakCount="1">
    <brk id="33" max="7"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H29"/>
  <sheetViews>
    <sheetView view="pageBreakPreview" zoomScaleNormal="100" workbookViewId="0">
      <selection sqref="A1:H1"/>
    </sheetView>
  </sheetViews>
  <sheetFormatPr defaultColWidth="9" defaultRowHeight="20.100000000000001" customHeight="1"/>
  <cols>
    <col min="1" max="1" width="16.19921875" style="24" customWidth="1"/>
    <col min="2" max="2" width="13.19921875" style="24" customWidth="1"/>
    <col min="3" max="3" width="11.09765625" style="24" customWidth="1"/>
    <col min="4" max="4" width="10.59765625" style="24" customWidth="1"/>
    <col min="5" max="5" width="10.09765625" style="24" customWidth="1"/>
    <col min="6" max="6" width="11.69921875" style="24" customWidth="1"/>
    <col min="7" max="7" width="10.59765625" style="24" customWidth="1"/>
    <col min="8" max="8" width="8.8984375" style="24" customWidth="1"/>
    <col min="9" max="16384" width="9" style="24"/>
  </cols>
  <sheetData>
    <row r="1" spans="1:8" ht="20.100000000000001" customHeight="1">
      <c r="A1" s="522" t="s">
        <v>147</v>
      </c>
      <c r="B1" s="522"/>
      <c r="C1" s="522"/>
      <c r="D1" s="522"/>
      <c r="E1" s="522"/>
      <c r="F1" s="522"/>
      <c r="G1" s="522"/>
      <c r="H1" s="522"/>
    </row>
    <row r="2" spans="1:8" ht="20.100000000000001" customHeight="1">
      <c r="A2" s="523" t="s">
        <v>214</v>
      </c>
      <c r="B2" s="523"/>
      <c r="C2" s="523"/>
      <c r="D2" s="523"/>
      <c r="E2" s="523"/>
      <c r="F2" s="523"/>
      <c r="G2" s="523"/>
      <c r="H2" s="523"/>
    </row>
    <row r="3" spans="1:8" ht="20.100000000000001" customHeight="1">
      <c r="A3" s="30" t="str">
        <f>底稿目录!A2</f>
        <v>被审计单位名称：</v>
      </c>
      <c r="B3" s="221"/>
      <c r="C3" s="30" t="str">
        <f>底稿目录!A4</f>
        <v>编制人：</v>
      </c>
      <c r="E3" s="30" t="str">
        <f>底稿目录!A5</f>
        <v>编制日期：</v>
      </c>
      <c r="G3" s="222" t="s">
        <v>149</v>
      </c>
      <c r="H3" s="451" t="str">
        <f>底稿目录!F15</f>
        <v>D2-11</v>
      </c>
    </row>
    <row r="4" spans="1:8" ht="20.100000000000001" customHeight="1">
      <c r="A4" s="30" t="str">
        <f>底稿目录!A3</f>
        <v>截止日：202X年12月31日</v>
      </c>
      <c r="B4" s="221"/>
      <c r="C4" s="30" t="str">
        <f>底稿目录!A6</f>
        <v>复核人：</v>
      </c>
      <c r="E4" s="30" t="str">
        <f>底稿目录!A7</f>
        <v>复核日期：</v>
      </c>
      <c r="G4" s="222" t="s">
        <v>150</v>
      </c>
      <c r="H4" s="223"/>
    </row>
    <row r="5" spans="1:8" ht="20.100000000000001" customHeight="1">
      <c r="A5" s="51" t="s">
        <v>151</v>
      </c>
      <c r="B5" s="221"/>
    </row>
    <row r="6" spans="1:8" ht="20.100000000000001" customHeight="1">
      <c r="A6" s="159" t="s">
        <v>215</v>
      </c>
      <c r="B6" s="221"/>
    </row>
    <row r="7" spans="1:8" ht="20.100000000000001" customHeight="1">
      <c r="A7" s="51" t="s">
        <v>154</v>
      </c>
      <c r="B7" s="221"/>
    </row>
    <row r="8" spans="1:8" ht="20.100000000000001" customHeight="1">
      <c r="A8" s="224" t="s">
        <v>155</v>
      </c>
    </row>
    <row r="9" spans="1:8" ht="20.100000000000001" customHeight="1">
      <c r="A9" s="220"/>
    </row>
    <row r="10" spans="1:8" ht="20.100000000000001" customHeight="1">
      <c r="A10" s="220"/>
    </row>
    <row r="11" spans="1:8" ht="20.100000000000001" customHeight="1">
      <c r="A11" s="225" t="s">
        <v>216</v>
      </c>
      <c r="B11" s="225"/>
    </row>
    <row r="12" spans="1:8" s="220" customFormat="1" ht="47.25" customHeight="1">
      <c r="A12" s="226" t="s">
        <v>217</v>
      </c>
      <c r="B12" s="226" t="s">
        <v>218</v>
      </c>
      <c r="C12" s="226" t="s">
        <v>219</v>
      </c>
      <c r="D12" s="227" t="s">
        <v>220</v>
      </c>
      <c r="E12" s="227" t="s">
        <v>221</v>
      </c>
      <c r="F12" s="227" t="s">
        <v>222</v>
      </c>
      <c r="G12" s="227" t="s">
        <v>223</v>
      </c>
      <c r="H12" s="227" t="s">
        <v>4</v>
      </c>
    </row>
    <row r="13" spans="1:8" ht="20.100000000000001" customHeight="1">
      <c r="A13" s="50"/>
      <c r="B13" s="50"/>
      <c r="C13" s="50"/>
      <c r="D13" s="50"/>
      <c r="E13" s="48"/>
      <c r="F13" s="48"/>
      <c r="G13" s="50"/>
      <c r="H13" s="228"/>
    </row>
    <row r="14" spans="1:8" ht="20.100000000000001" customHeight="1">
      <c r="A14" s="50"/>
      <c r="B14" s="50"/>
      <c r="C14" s="50"/>
      <c r="D14" s="50"/>
      <c r="E14" s="48"/>
      <c r="F14" s="48"/>
      <c r="G14" s="50"/>
      <c r="H14" s="228"/>
    </row>
    <row r="15" spans="1:8" ht="20.100000000000001" customHeight="1">
      <c r="A15" s="50"/>
      <c r="B15" s="50"/>
      <c r="C15" s="50"/>
      <c r="D15" s="50"/>
      <c r="E15" s="48"/>
      <c r="F15" s="48"/>
      <c r="G15" s="50"/>
      <c r="H15" s="228"/>
    </row>
    <row r="16" spans="1:8" ht="20.100000000000001" customHeight="1">
      <c r="A16" s="229" t="s">
        <v>167</v>
      </c>
      <c r="B16" s="230"/>
      <c r="C16" s="230"/>
      <c r="D16" s="230"/>
      <c r="E16" s="231">
        <f>SUM(E13:E15)</f>
        <v>0</v>
      </c>
      <c r="F16" s="231">
        <f>SUM(F13:F15)</f>
        <v>0</v>
      </c>
      <c r="G16" s="230"/>
      <c r="H16" s="232"/>
    </row>
    <row r="17" spans="1:8" ht="20.100000000000001" customHeight="1">
      <c r="A17" s="225" t="s">
        <v>224</v>
      </c>
      <c r="B17" s="225"/>
    </row>
    <row r="18" spans="1:8" ht="36.75" customHeight="1">
      <c r="A18" s="227" t="s">
        <v>217</v>
      </c>
      <c r="B18" s="227" t="s">
        <v>225</v>
      </c>
      <c r="C18" s="227" t="s">
        <v>226</v>
      </c>
      <c r="D18" s="227" t="s">
        <v>227</v>
      </c>
      <c r="E18" s="227" t="s">
        <v>228</v>
      </c>
      <c r="F18" s="227" t="s">
        <v>229</v>
      </c>
      <c r="G18" s="227" t="s">
        <v>223</v>
      </c>
      <c r="H18" s="227" t="s">
        <v>4</v>
      </c>
    </row>
    <row r="19" spans="1:8" ht="20.100000000000001" customHeight="1">
      <c r="A19" s="50"/>
      <c r="B19" s="50"/>
      <c r="C19" s="48"/>
      <c r="D19" s="50"/>
      <c r="E19" s="50"/>
      <c r="F19" s="50"/>
      <c r="G19" s="50"/>
      <c r="H19" s="228"/>
    </row>
    <row r="20" spans="1:8" ht="20.100000000000001" customHeight="1">
      <c r="A20" s="50"/>
      <c r="B20" s="50"/>
      <c r="C20" s="48"/>
      <c r="D20" s="50"/>
      <c r="E20" s="50"/>
      <c r="F20" s="50"/>
      <c r="G20" s="50"/>
      <c r="H20" s="228"/>
    </row>
    <row r="21" spans="1:8" ht="20.100000000000001" customHeight="1">
      <c r="A21" s="50"/>
      <c r="B21" s="50"/>
      <c r="C21" s="48"/>
      <c r="D21" s="50"/>
      <c r="E21" s="50"/>
      <c r="F21" s="50"/>
      <c r="G21" s="50"/>
      <c r="H21" s="228"/>
    </row>
    <row r="22" spans="1:8" ht="20.100000000000001" customHeight="1">
      <c r="A22" s="229" t="s">
        <v>167</v>
      </c>
      <c r="B22" s="230"/>
      <c r="C22" s="231">
        <f>SUM(C19:C21)</f>
        <v>0</v>
      </c>
      <c r="D22" s="230"/>
      <c r="E22" s="230"/>
      <c r="F22" s="230"/>
      <c r="G22" s="230"/>
      <c r="H22" s="232"/>
    </row>
    <row r="23" spans="1:8" ht="20.100000000000001" customHeight="1">
      <c r="A23" s="225" t="s">
        <v>230</v>
      </c>
    </row>
    <row r="24" spans="1:8" ht="20.100000000000001" customHeight="1">
      <c r="A24" s="225"/>
    </row>
    <row r="27" spans="1:8" ht="20.100000000000001" customHeight="1">
      <c r="A27" s="225" t="s">
        <v>231</v>
      </c>
    </row>
    <row r="28" spans="1:8" ht="20.100000000000001" customHeight="1">
      <c r="A28" s="225"/>
    </row>
    <row r="29" spans="1:8" ht="20.100000000000001" customHeight="1">
      <c r="A29" s="225"/>
    </row>
  </sheetData>
  <mergeCells count="2">
    <mergeCell ref="A1:H1"/>
    <mergeCell ref="A2:H2"/>
  </mergeCells>
  <phoneticPr fontId="145" type="noConversion"/>
  <hyperlinks>
    <hyperlink ref="H3" location="底稿目录!A1" display="=底稿目录!F5"/>
  </hyperlinks>
  <pageMargins left="0.70833333333333304" right="0.70833333333333304" top="0.74791666666666701" bottom="0.74791666666666701" header="0.31458333333333299" footer="0.31458333333333299"/>
  <pageSetup paperSize="9" scale="88" orientation="portrait"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L43"/>
  <sheetViews>
    <sheetView view="pageBreakPreview" zoomScaleNormal="100" workbookViewId="0">
      <selection sqref="A1:K1"/>
    </sheetView>
  </sheetViews>
  <sheetFormatPr defaultColWidth="9" defaultRowHeight="20.100000000000001" customHeight="1"/>
  <cols>
    <col min="1" max="1" width="24.59765625" style="25" customWidth="1"/>
    <col min="2" max="2" width="12.19921875" style="25" customWidth="1"/>
    <col min="3" max="3" width="13" style="25" customWidth="1"/>
    <col min="4" max="4" width="12.19921875" style="25" customWidth="1"/>
    <col min="5" max="5" width="11.5" style="25" customWidth="1"/>
    <col min="6" max="6" width="15" style="25" customWidth="1"/>
    <col min="7" max="7" width="11.19921875" style="25" customWidth="1"/>
    <col min="8" max="8" width="13" style="25" customWidth="1"/>
    <col min="9" max="9" width="12.19921875" style="25" customWidth="1"/>
    <col min="10" max="10" width="12.8984375" style="25" customWidth="1"/>
    <col min="11" max="11" width="8" style="25" customWidth="1"/>
    <col min="12" max="16384" width="9" style="25"/>
  </cols>
  <sheetData>
    <row r="1" spans="1:11" ht="20.100000000000001" customHeight="1">
      <c r="A1" s="522" t="s">
        <v>147</v>
      </c>
      <c r="B1" s="522"/>
      <c r="C1" s="522"/>
      <c r="D1" s="522"/>
      <c r="E1" s="522"/>
      <c r="F1" s="522"/>
      <c r="G1" s="522"/>
      <c r="H1" s="522"/>
      <c r="I1" s="522"/>
      <c r="J1" s="522"/>
      <c r="K1" s="522"/>
    </row>
    <row r="2" spans="1:11" ht="20.100000000000001" customHeight="1">
      <c r="A2" s="523" t="s">
        <v>373</v>
      </c>
      <c r="B2" s="523"/>
      <c r="C2" s="523"/>
      <c r="D2" s="523"/>
      <c r="E2" s="523"/>
      <c r="F2" s="523"/>
      <c r="G2" s="523"/>
      <c r="H2" s="523"/>
      <c r="I2" s="523"/>
      <c r="J2" s="523"/>
      <c r="K2" s="523"/>
    </row>
    <row r="3" spans="1:11" ht="20.100000000000001" customHeight="1">
      <c r="A3" s="26" t="str">
        <f>底稿目录!A2</f>
        <v>被审计单位名称：</v>
      </c>
      <c r="B3" s="26"/>
      <c r="D3" s="27" t="str">
        <f>底稿目录!A4</f>
        <v>编制人：</v>
      </c>
      <c r="G3" s="27" t="str">
        <f>底稿目录!A5</f>
        <v>编制日期：</v>
      </c>
      <c r="H3" s="28"/>
      <c r="I3" s="28"/>
      <c r="J3" s="27" t="s">
        <v>149</v>
      </c>
      <c r="K3" s="451" t="s">
        <v>20</v>
      </c>
    </row>
    <row r="4" spans="1:11" ht="20.100000000000001" customHeight="1">
      <c r="A4" s="26" t="str">
        <f>底稿目录!A3</f>
        <v>截止日：202X年12月31日</v>
      </c>
      <c r="B4" s="26"/>
      <c r="D4" s="27" t="str">
        <f>底稿目录!A6</f>
        <v>复核人：</v>
      </c>
      <c r="G4" s="27" t="str">
        <f>底稿目录!A7</f>
        <v>复核日期：</v>
      </c>
      <c r="H4" s="28"/>
      <c r="I4" s="28"/>
      <c r="J4" s="27" t="s">
        <v>150</v>
      </c>
      <c r="K4" s="72"/>
    </row>
    <row r="5" spans="1:11" s="22" customFormat="1" ht="20.100000000000001" customHeight="1">
      <c r="A5" s="29" t="s">
        <v>151</v>
      </c>
      <c r="B5" s="30"/>
      <c r="C5" s="30"/>
      <c r="D5" s="30"/>
      <c r="E5" s="30"/>
      <c r="F5" s="30"/>
      <c r="G5" s="31"/>
      <c r="H5" s="30"/>
      <c r="I5" s="30"/>
      <c r="J5" s="31"/>
      <c r="K5" s="73"/>
    </row>
    <row r="6" spans="1:11" s="22" customFormat="1" ht="20.100000000000001" customHeight="1">
      <c r="A6" s="30" t="s">
        <v>374</v>
      </c>
      <c r="B6" s="30"/>
      <c r="C6" s="30"/>
      <c r="D6" s="30"/>
      <c r="E6" s="30"/>
      <c r="F6" s="30"/>
      <c r="G6" s="31"/>
      <c r="H6" s="30"/>
      <c r="I6" s="30"/>
      <c r="J6" s="31"/>
      <c r="K6" s="73"/>
    </row>
    <row r="7" spans="1:11" s="22" customFormat="1" ht="20.100000000000001" customHeight="1">
      <c r="A7" s="29" t="s">
        <v>154</v>
      </c>
      <c r="B7" s="30"/>
      <c r="C7" s="30"/>
      <c r="D7" s="30"/>
      <c r="E7" s="30"/>
      <c r="F7" s="30"/>
      <c r="G7" s="31"/>
      <c r="H7" s="30"/>
      <c r="I7" s="30"/>
      <c r="J7" s="31"/>
      <c r="K7" s="73"/>
    </row>
    <row r="8" spans="1:11" s="22" customFormat="1" ht="20.100000000000001" customHeight="1">
      <c r="A8" s="32" t="s">
        <v>375</v>
      </c>
      <c r="B8" s="30"/>
      <c r="C8" s="30"/>
      <c r="D8" s="30"/>
      <c r="E8" s="30"/>
      <c r="F8" s="30"/>
      <c r="G8" s="31"/>
      <c r="H8" s="30"/>
      <c r="I8" s="30"/>
      <c r="J8" s="31"/>
      <c r="K8" s="73"/>
    </row>
    <row r="9" spans="1:11" s="23" customFormat="1" ht="20.100000000000001" customHeight="1">
      <c r="A9" s="32" t="s">
        <v>376</v>
      </c>
      <c r="C9" s="33"/>
      <c r="F9" s="34"/>
    </row>
    <row r="10" spans="1:11" s="24" customFormat="1" ht="20.100000000000001" customHeight="1">
      <c r="A10" s="32" t="s">
        <v>377</v>
      </c>
    </row>
    <row r="11" spans="1:11" s="24" customFormat="1" ht="20.100000000000001" customHeight="1">
      <c r="A11" s="32" t="s">
        <v>378</v>
      </c>
    </row>
    <row r="12" spans="1:11" s="24" customFormat="1" ht="20.100000000000001" customHeight="1">
      <c r="A12" s="32" t="s">
        <v>379</v>
      </c>
    </row>
    <row r="13" spans="1:11" s="22" customFormat="1" ht="20.100000000000001" customHeight="1">
      <c r="A13" s="32" t="s">
        <v>380</v>
      </c>
      <c r="B13" s="30"/>
      <c r="C13" s="30"/>
      <c r="D13" s="30"/>
      <c r="E13" s="30"/>
      <c r="F13" s="30"/>
      <c r="G13" s="31"/>
      <c r="H13" s="30"/>
      <c r="I13" s="30"/>
      <c r="J13" s="31"/>
      <c r="K13" s="73"/>
    </row>
    <row r="14" spans="1:11" ht="20.100000000000001" customHeight="1">
      <c r="A14" s="35" t="s">
        <v>381</v>
      </c>
      <c r="B14" s="35"/>
      <c r="C14" s="35"/>
      <c r="D14" s="35"/>
      <c r="E14" s="35"/>
      <c r="F14" s="35"/>
      <c r="G14" s="35"/>
      <c r="H14" s="35"/>
      <c r="I14" s="35"/>
      <c r="J14" s="35"/>
      <c r="K14" s="35"/>
    </row>
    <row r="15" spans="1:11" ht="20.100000000000001" customHeight="1">
      <c r="A15" s="36" t="s">
        <v>198</v>
      </c>
      <c r="B15" s="36" t="s">
        <v>161</v>
      </c>
      <c r="C15" s="36" t="s">
        <v>382</v>
      </c>
      <c r="D15" s="36" t="s">
        <v>383</v>
      </c>
      <c r="E15" s="36" t="s">
        <v>384</v>
      </c>
      <c r="F15" s="36" t="s">
        <v>385</v>
      </c>
      <c r="G15" s="36" t="s">
        <v>386</v>
      </c>
      <c r="H15" s="36" t="s">
        <v>387</v>
      </c>
      <c r="I15" s="74" t="s">
        <v>4</v>
      </c>
      <c r="J15" s="75"/>
    </row>
    <row r="16" spans="1:11" ht="20.100000000000001" customHeight="1">
      <c r="A16" s="37"/>
      <c r="B16" s="38"/>
      <c r="C16" s="38"/>
      <c r="D16" s="37"/>
      <c r="E16" s="39"/>
      <c r="F16" s="40"/>
      <c r="G16" s="40"/>
      <c r="H16" s="40"/>
      <c r="I16" s="49"/>
      <c r="J16" s="76"/>
    </row>
    <row r="17" spans="1:12" ht="20.100000000000001" customHeight="1">
      <c r="A17" s="37"/>
      <c r="B17" s="38"/>
      <c r="C17" s="38"/>
      <c r="D17" s="37"/>
      <c r="E17" s="39"/>
      <c r="F17" s="40"/>
      <c r="G17" s="40"/>
      <c r="H17" s="40"/>
      <c r="I17" s="49"/>
      <c r="J17" s="76"/>
    </row>
    <row r="18" spans="1:12" ht="20.100000000000001" customHeight="1">
      <c r="A18" s="37"/>
      <c r="B18" s="38"/>
      <c r="C18" s="38"/>
      <c r="D18" s="37"/>
      <c r="E18" s="39"/>
      <c r="F18" s="40"/>
      <c r="G18" s="40"/>
      <c r="H18" s="40"/>
      <c r="I18" s="49"/>
      <c r="J18" s="76"/>
    </row>
    <row r="19" spans="1:12" ht="20.100000000000001" customHeight="1">
      <c r="A19" s="41" t="s">
        <v>167</v>
      </c>
      <c r="B19" s="42">
        <f>SUM(B16:B18)</f>
        <v>0</v>
      </c>
      <c r="C19" s="42">
        <f>SUM(C16:C18)</f>
        <v>0</v>
      </c>
      <c r="D19" s="43"/>
      <c r="E19" s="43"/>
      <c r="F19" s="43"/>
      <c r="G19" s="43"/>
      <c r="H19" s="43"/>
      <c r="I19" s="43"/>
      <c r="J19" s="35"/>
    </row>
    <row r="20" spans="1:12" ht="20.100000000000001" customHeight="1">
      <c r="A20" s="524" t="s">
        <v>388</v>
      </c>
      <c r="B20" s="525"/>
      <c r="C20" s="525"/>
      <c r="D20" s="525"/>
      <c r="E20" s="525"/>
      <c r="F20" s="525"/>
      <c r="G20" s="525"/>
      <c r="H20" s="525"/>
      <c r="I20" s="525"/>
      <c r="J20" s="525"/>
      <c r="K20" s="525"/>
      <c r="L20" s="526"/>
    </row>
    <row r="21" spans="1:12" ht="36" customHeight="1">
      <c r="A21" s="44" t="s">
        <v>198</v>
      </c>
      <c r="B21" s="45" t="s">
        <v>389</v>
      </c>
      <c r="C21" s="45" t="s">
        <v>390</v>
      </c>
      <c r="D21" s="46" t="s">
        <v>391</v>
      </c>
      <c r="E21" s="46" t="s">
        <v>392</v>
      </c>
      <c r="F21" s="46" t="s">
        <v>393</v>
      </c>
      <c r="G21" s="46" t="s">
        <v>394</v>
      </c>
      <c r="H21" s="44" t="s">
        <v>395</v>
      </c>
      <c r="I21" s="44" t="s">
        <v>396</v>
      </c>
      <c r="J21" s="44" t="s">
        <v>397</v>
      </c>
      <c r="K21" s="44" t="s">
        <v>4</v>
      </c>
    </row>
    <row r="22" spans="1:12" ht="20.100000000000001" customHeight="1">
      <c r="A22" s="37"/>
      <c r="B22" s="38"/>
      <c r="C22" s="38"/>
      <c r="D22" s="47"/>
      <c r="E22" s="48"/>
      <c r="F22" s="49"/>
      <c r="G22" s="37"/>
      <c r="H22" s="50"/>
      <c r="I22" s="39"/>
      <c r="J22" s="50"/>
      <c r="K22" s="77"/>
    </row>
    <row r="23" spans="1:12" ht="20.100000000000001" customHeight="1">
      <c r="A23" s="37"/>
      <c r="B23" s="38"/>
      <c r="C23" s="38"/>
      <c r="D23" s="47"/>
      <c r="E23" s="48"/>
      <c r="F23" s="49"/>
      <c r="G23" s="37"/>
      <c r="H23" s="50"/>
      <c r="I23" s="39"/>
      <c r="J23" s="50"/>
      <c r="K23" s="40"/>
    </row>
    <row r="24" spans="1:12" ht="20.100000000000001" customHeight="1">
      <c r="A24" s="37"/>
      <c r="B24" s="38"/>
      <c r="C24" s="38"/>
      <c r="D24" s="47"/>
      <c r="E24" s="48"/>
      <c r="F24" s="49"/>
      <c r="G24" s="37"/>
      <c r="H24" s="50"/>
      <c r="I24" s="39"/>
      <c r="J24" s="50"/>
      <c r="K24" s="40"/>
    </row>
    <row r="25" spans="1:12" ht="20.100000000000001" customHeight="1">
      <c r="A25" s="51" t="s">
        <v>230</v>
      </c>
      <c r="B25" s="35"/>
      <c r="C25" s="52"/>
      <c r="D25" s="52"/>
      <c r="E25" s="52"/>
      <c r="F25" s="53"/>
      <c r="H25" s="53"/>
      <c r="I25" s="53"/>
      <c r="J25" s="52"/>
      <c r="K25" s="52"/>
    </row>
    <row r="26" spans="1:12" ht="20.100000000000001" customHeight="1">
      <c r="A26" s="54" t="s">
        <v>398</v>
      </c>
      <c r="B26" s="55"/>
      <c r="C26" s="55"/>
      <c r="D26" s="56"/>
      <c r="E26" s="55"/>
      <c r="F26" s="57"/>
      <c r="G26" s="58"/>
      <c r="J26" s="78"/>
    </row>
    <row r="27" spans="1:12" ht="20.100000000000001" customHeight="1">
      <c r="A27" s="59" t="s">
        <v>399</v>
      </c>
      <c r="B27" s="59" t="s">
        <v>400</v>
      </c>
      <c r="C27" s="59" t="s">
        <v>401</v>
      </c>
      <c r="D27" s="59" t="s">
        <v>402</v>
      </c>
      <c r="E27" s="59" t="s">
        <v>269</v>
      </c>
    </row>
    <row r="28" spans="1:12" ht="20.100000000000001" customHeight="1">
      <c r="A28" s="60" t="s">
        <v>403</v>
      </c>
      <c r="B28" s="61"/>
      <c r="C28" s="62"/>
      <c r="D28" s="62"/>
      <c r="E28" s="63">
        <f>D28-C28</f>
        <v>0</v>
      </c>
    </row>
    <row r="29" spans="1:12" ht="20.100000000000001" customHeight="1">
      <c r="A29" s="60" t="s">
        <v>404</v>
      </c>
      <c r="B29" s="61"/>
      <c r="C29" s="62"/>
      <c r="D29" s="62"/>
      <c r="E29" s="63">
        <f t="shared" ref="E29:E32" si="0">D29-C29</f>
        <v>0</v>
      </c>
    </row>
    <row r="30" spans="1:12" ht="20.100000000000001" customHeight="1">
      <c r="A30" s="60" t="s">
        <v>405</v>
      </c>
      <c r="B30" s="61"/>
      <c r="C30" s="62"/>
      <c r="D30" s="62"/>
      <c r="E30" s="63">
        <f t="shared" si="0"/>
        <v>0</v>
      </c>
    </row>
    <row r="31" spans="1:12" ht="20.100000000000001" customHeight="1">
      <c r="A31" s="60" t="s">
        <v>406</v>
      </c>
      <c r="B31" s="61"/>
      <c r="C31" s="62"/>
      <c r="D31" s="62"/>
      <c r="E31" s="63">
        <f t="shared" si="0"/>
        <v>0</v>
      </c>
    </row>
    <row r="32" spans="1:12" ht="20.100000000000001" customHeight="1">
      <c r="A32" s="60" t="s">
        <v>407</v>
      </c>
      <c r="B32" s="61"/>
      <c r="C32" s="62"/>
      <c r="D32" s="62"/>
      <c r="E32" s="63">
        <f t="shared" si="0"/>
        <v>0</v>
      </c>
    </row>
    <row r="33" spans="1:11" ht="20.100000000000001" customHeight="1">
      <c r="A33" s="64"/>
      <c r="B33" s="52"/>
      <c r="C33" s="52"/>
      <c r="D33" s="52"/>
      <c r="E33" s="52"/>
      <c r="F33" s="52"/>
      <c r="H33" s="52"/>
      <c r="I33" s="52"/>
      <c r="J33" s="53"/>
      <c r="K33" s="52"/>
    </row>
    <row r="34" spans="1:11" ht="20.100000000000001" customHeight="1">
      <c r="A34" s="64"/>
      <c r="B34" s="52"/>
      <c r="C34" s="52"/>
      <c r="D34" s="52"/>
      <c r="E34" s="52"/>
      <c r="F34" s="52"/>
      <c r="H34" s="52"/>
      <c r="I34" s="52"/>
      <c r="J34" s="53"/>
      <c r="K34" s="52"/>
    </row>
    <row r="35" spans="1:11" ht="20.100000000000001" customHeight="1">
      <c r="A35" s="64"/>
      <c r="B35" s="52"/>
      <c r="C35" s="52"/>
      <c r="D35" s="52"/>
      <c r="E35" s="52"/>
      <c r="F35" s="52"/>
      <c r="H35" s="52"/>
      <c r="I35" s="52"/>
      <c r="J35" s="53"/>
      <c r="K35" s="52"/>
    </row>
    <row r="36" spans="1:11" ht="20.100000000000001" customHeight="1">
      <c r="A36" s="51" t="s">
        <v>231</v>
      </c>
      <c r="B36" s="52"/>
      <c r="C36" s="52"/>
      <c r="D36" s="52"/>
      <c r="E36" s="52"/>
      <c r="F36" s="52"/>
      <c r="H36" s="52"/>
      <c r="I36" s="52"/>
      <c r="J36" s="53"/>
      <c r="K36" s="52"/>
    </row>
    <row r="37" spans="1:11" ht="20.100000000000001" customHeight="1">
      <c r="A37" s="51"/>
      <c r="B37" s="52"/>
      <c r="C37" s="52"/>
      <c r="D37" s="52"/>
      <c r="E37" s="52"/>
      <c r="F37" s="52"/>
      <c r="H37" s="52"/>
      <c r="I37" s="52"/>
      <c r="J37" s="53"/>
      <c r="K37" s="52"/>
    </row>
    <row r="38" spans="1:11" ht="20.100000000000001" customHeight="1">
      <c r="A38" s="65" t="s">
        <v>408</v>
      </c>
    </row>
    <row r="39" spans="1:11" ht="20.100000000000001" customHeight="1">
      <c r="A39" s="66" t="s">
        <v>409</v>
      </c>
      <c r="B39" s="67"/>
      <c r="C39" s="68"/>
      <c r="D39" s="69"/>
      <c r="E39" s="68"/>
      <c r="F39" s="70"/>
      <c r="G39" s="66"/>
      <c r="H39" s="71"/>
      <c r="I39" s="71"/>
      <c r="J39" s="71"/>
    </row>
    <row r="40" spans="1:11" ht="20.100000000000001" customHeight="1">
      <c r="A40" s="66" t="s">
        <v>410</v>
      </c>
      <c r="B40" s="67"/>
      <c r="C40" s="68"/>
      <c r="D40" s="69"/>
      <c r="E40" s="68"/>
      <c r="F40" s="70"/>
      <c r="G40" s="66"/>
      <c r="H40" s="71"/>
      <c r="I40" s="71"/>
      <c r="J40" s="71"/>
    </row>
    <row r="41" spans="1:11" ht="20.100000000000001" customHeight="1">
      <c r="A41" s="65" t="s">
        <v>411</v>
      </c>
      <c r="B41" s="67"/>
      <c r="C41" s="68"/>
      <c r="D41" s="69"/>
      <c r="E41" s="68"/>
      <c r="F41" s="70"/>
      <c r="G41" s="66"/>
      <c r="H41" s="71"/>
      <c r="I41" s="71"/>
      <c r="J41" s="71"/>
    </row>
    <row r="42" spans="1:11" ht="20.100000000000001" customHeight="1">
      <c r="A42" s="65" t="s">
        <v>487</v>
      </c>
    </row>
    <row r="43" spans="1:11" ht="20.100000000000001" customHeight="1">
      <c r="A43" s="65" t="s">
        <v>488</v>
      </c>
    </row>
  </sheetData>
  <mergeCells count="3">
    <mergeCell ref="A1:K1"/>
    <mergeCell ref="A2:K2"/>
    <mergeCell ref="A20:L20"/>
  </mergeCells>
  <phoneticPr fontId="145" type="noConversion"/>
  <hyperlinks>
    <hyperlink ref="K3" location="底稿目录!A1" display="D2-12"/>
  </hyperlinks>
  <pageMargins left="0.70833333333333304" right="0.70833333333333304" top="0.74791666666666701" bottom="0.74791666666666701" header="0.31458333333333299" footer="0.31458333333333299"/>
  <pageSetup paperSize="9" scale="84"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E30"/>
  <sheetViews>
    <sheetView view="pageBreakPreview" zoomScaleNormal="100" workbookViewId="0">
      <selection activeCell="E3" sqref="E3"/>
    </sheetView>
  </sheetViews>
  <sheetFormatPr defaultColWidth="9" defaultRowHeight="20.100000000000001" customHeight="1"/>
  <cols>
    <col min="1" max="1" width="37.3984375" style="1" customWidth="1"/>
    <col min="2" max="2" width="21.5" style="1" customWidth="1"/>
    <col min="3" max="3" width="24.59765625" style="1" customWidth="1"/>
    <col min="4" max="4" width="18.69921875" style="1" customWidth="1"/>
    <col min="5" max="5" width="10.3984375" style="1" customWidth="1"/>
    <col min="6" max="16384" width="9" style="1"/>
  </cols>
  <sheetData>
    <row r="1" spans="1:5" ht="20.100000000000001" customHeight="1">
      <c r="A1" s="527" t="s">
        <v>147</v>
      </c>
      <c r="B1" s="527"/>
      <c r="C1" s="527"/>
      <c r="D1" s="527"/>
      <c r="E1" s="527"/>
    </row>
    <row r="2" spans="1:5" ht="20.100000000000001" customHeight="1">
      <c r="A2" s="528" t="s">
        <v>21</v>
      </c>
      <c r="B2" s="528"/>
      <c r="C2" s="528"/>
      <c r="D2" s="528"/>
      <c r="E2" s="528"/>
    </row>
    <row r="3" spans="1:5" ht="20.100000000000001" customHeight="1">
      <c r="A3" s="2" t="str">
        <f>底稿目录!A2</f>
        <v>被审计单位名称：</v>
      </c>
      <c r="B3" s="2" t="str">
        <f>底稿目录!A4</f>
        <v>编制人：</v>
      </c>
      <c r="C3" s="2" t="str">
        <f>底稿目录!A5</f>
        <v>编制日期：</v>
      </c>
      <c r="D3" s="3" t="s">
        <v>149</v>
      </c>
      <c r="E3" s="451" t="s">
        <v>22</v>
      </c>
    </row>
    <row r="4" spans="1:5" ht="20.100000000000001" customHeight="1">
      <c r="A4" s="2" t="str">
        <f>底稿目录!A3</f>
        <v>截止日：202X年12月31日</v>
      </c>
      <c r="B4" s="2" t="str">
        <f>底稿目录!A6</f>
        <v>复核人：</v>
      </c>
      <c r="C4" s="2" t="str">
        <f>底稿目录!A7</f>
        <v>复核日期：</v>
      </c>
      <c r="D4" s="3" t="s">
        <v>150</v>
      </c>
    </row>
    <row r="5" spans="1:5" ht="20.100000000000001" customHeight="1">
      <c r="A5" s="4" t="s">
        <v>180</v>
      </c>
      <c r="B5" s="4"/>
      <c r="C5" s="4"/>
      <c r="D5" s="4"/>
      <c r="E5" s="4"/>
    </row>
    <row r="6" spans="1:5" ht="20.100000000000001" customHeight="1">
      <c r="A6" s="2" t="s">
        <v>412</v>
      </c>
      <c r="B6" s="5"/>
      <c r="C6" s="5"/>
      <c r="D6" s="5"/>
      <c r="E6" s="5"/>
    </row>
    <row r="7" spans="1:5" ht="20.100000000000001" customHeight="1">
      <c r="A7" s="4" t="s">
        <v>233</v>
      </c>
      <c r="B7" s="4"/>
      <c r="C7" s="4"/>
      <c r="D7" s="4"/>
      <c r="E7" s="4"/>
    </row>
    <row r="8" spans="1:5" ht="20.100000000000001" customHeight="1">
      <c r="A8" s="6" t="s">
        <v>155</v>
      </c>
      <c r="B8" s="5"/>
      <c r="C8" s="5"/>
      <c r="D8" s="5"/>
      <c r="E8" s="5"/>
    </row>
    <row r="9" spans="1:5" ht="20.100000000000001" customHeight="1">
      <c r="A9" s="5"/>
      <c r="B9" s="5"/>
      <c r="C9" s="5"/>
      <c r="D9" s="5"/>
      <c r="E9" s="5"/>
    </row>
    <row r="10" spans="1:5" ht="20.100000000000001" customHeight="1">
      <c r="A10" s="5"/>
      <c r="B10" s="5"/>
      <c r="C10" s="5"/>
      <c r="D10" s="5"/>
      <c r="E10" s="5"/>
    </row>
    <row r="11" spans="1:5" ht="20.100000000000001" customHeight="1">
      <c r="A11" s="7" t="s">
        <v>413</v>
      </c>
      <c r="B11" s="8"/>
      <c r="C11" s="8"/>
      <c r="D11" s="8"/>
      <c r="E11" s="8"/>
    </row>
    <row r="12" spans="1:5" ht="38.25" customHeight="1">
      <c r="A12" s="9" t="s">
        <v>414</v>
      </c>
      <c r="B12" s="10" t="s">
        <v>415</v>
      </c>
      <c r="C12" s="10" t="s">
        <v>416</v>
      </c>
      <c r="D12" s="10" t="s">
        <v>4</v>
      </c>
      <c r="E12" s="10" t="s">
        <v>417</v>
      </c>
    </row>
    <row r="13" spans="1:5" ht="35.25" customHeight="1">
      <c r="A13" s="11" t="s">
        <v>418</v>
      </c>
      <c r="B13" s="12" t="s">
        <v>419</v>
      </c>
      <c r="C13" s="11" t="s">
        <v>420</v>
      </c>
      <c r="D13" s="13"/>
      <c r="E13" s="13"/>
    </row>
    <row r="14" spans="1:5" ht="20.100000000000001" customHeight="1">
      <c r="A14" s="11" t="s">
        <v>421</v>
      </c>
      <c r="B14" s="12" t="s">
        <v>422</v>
      </c>
      <c r="C14" s="14"/>
      <c r="D14" s="13"/>
      <c r="E14" s="13"/>
    </row>
    <row r="15" spans="1:5" ht="20.100000000000001" customHeight="1">
      <c r="A15" s="11" t="s">
        <v>423</v>
      </c>
      <c r="B15" s="12" t="s">
        <v>422</v>
      </c>
      <c r="C15" s="14"/>
      <c r="D15" s="13"/>
      <c r="E15" s="13"/>
    </row>
    <row r="16" spans="1:5" ht="20.100000000000001" customHeight="1">
      <c r="A16" s="7" t="s">
        <v>424</v>
      </c>
      <c r="B16" s="15"/>
      <c r="C16" s="15"/>
      <c r="D16" s="15"/>
      <c r="E16" s="15"/>
    </row>
    <row r="17" spans="1:5" ht="32.25" customHeight="1">
      <c r="A17" s="16" t="s">
        <v>425</v>
      </c>
      <c r="B17" s="17" t="s">
        <v>418</v>
      </c>
      <c r="C17" s="17" t="s">
        <v>421</v>
      </c>
      <c r="D17" s="17" t="s">
        <v>423</v>
      </c>
      <c r="E17" s="9" t="s">
        <v>417</v>
      </c>
    </row>
    <row r="18" spans="1:5" ht="40.5" customHeight="1">
      <c r="A18" s="14" t="s">
        <v>426</v>
      </c>
      <c r="B18" s="18" t="s">
        <v>427</v>
      </c>
      <c r="C18" s="18" t="s">
        <v>427</v>
      </c>
      <c r="D18" s="18" t="s">
        <v>427</v>
      </c>
      <c r="E18" s="18"/>
    </row>
    <row r="19" spans="1:5" ht="39.75" customHeight="1">
      <c r="A19" s="14" t="s">
        <v>428</v>
      </c>
      <c r="B19" s="18" t="s">
        <v>429</v>
      </c>
      <c r="C19" s="18" t="s">
        <v>427</v>
      </c>
      <c r="D19" s="18" t="s">
        <v>427</v>
      </c>
      <c r="E19" s="18"/>
    </row>
    <row r="20" spans="1:5" ht="33.75" customHeight="1">
      <c r="A20" s="14" t="s">
        <v>430</v>
      </c>
      <c r="B20" s="18" t="s">
        <v>429</v>
      </c>
      <c r="C20" s="18" t="s">
        <v>429</v>
      </c>
      <c r="D20" s="18" t="s">
        <v>429</v>
      </c>
      <c r="E20" s="18"/>
    </row>
    <row r="21" spans="1:5" ht="46.5" customHeight="1">
      <c r="A21" s="14" t="s">
        <v>431</v>
      </c>
      <c r="B21" s="18" t="s">
        <v>429</v>
      </c>
      <c r="C21" s="18" t="s">
        <v>429</v>
      </c>
      <c r="D21" s="18" t="s">
        <v>429</v>
      </c>
      <c r="E21" s="18"/>
    </row>
    <row r="22" spans="1:5" ht="34.5" customHeight="1">
      <c r="A22" s="19" t="s">
        <v>432</v>
      </c>
      <c r="B22" s="19" t="str">
        <f>IF(AND(B18="是",B19="否"),"属于以收取合同现金流量和出售金融资产为目标的业务模式",IF(AND(B18="是",B19="是"),"属于其他业务模式",IF(AND(B20="是",B21&lt;&gt;"是"),"属于以收取合同现金流量和出售金融资产为目标的业务模式",IF(B21="是","属于其他业务模式","属于以收取合同现金流量为目标的业务模式"))))</f>
        <v>属于以收取合同现金流量和出售金融资产为目标的业务模式</v>
      </c>
      <c r="C22" s="19" t="str">
        <f>IF(AND(C18="是",C19="否"),"属于以收取合同现金流量和出售金融资产为目标的业务模式",IF(AND(C18="是",C19="是"),"属于其他业务模式",IF(AND(C20="是",C21&lt;&gt;"是"),"属于以收取合同现金流量和出售金融资产为目标的业务模式",IF(C21="是","属于其他业务模式","属于以收取合同现金流量为目标的业务模式"))))</f>
        <v>属于其他业务模式</v>
      </c>
      <c r="D22" s="19" t="str">
        <f t="shared" ref="D22" si="0">IF(AND(D18="是",D19="否"),"属于以收取合同现金流量和出售金融资产为目标的业务模式",IF(AND(D18="是",D19="是"),"属于其他业务模式",IF(AND(D20="是",D21&lt;&gt;"是"),"属于以收取合同现金流量和出售金融资产为目标的业务模式",IF(D21="是","属于其他业务模式","属于以收取合同现金流量为目标的业务模式"))))</f>
        <v>属于其他业务模式</v>
      </c>
      <c r="E22" s="19"/>
    </row>
    <row r="23" spans="1:5" ht="20.100000000000001" customHeight="1">
      <c r="A23" s="20" t="s">
        <v>433</v>
      </c>
      <c r="B23" s="19" t="str">
        <f>IF(B22="属于以收取合同现金流量和出售金融资产为目标的业务模式","应列报为应收款项融资","")</f>
        <v>应列报为应收款项融资</v>
      </c>
      <c r="C23" s="19" t="str">
        <f t="shared" ref="C23:D23" si="1">IF(C22="属于以收取合同现金流量和出售金融资产为目标的业务模式","应列报为应收款项融资","")</f>
        <v/>
      </c>
      <c r="D23" s="19" t="str">
        <f t="shared" si="1"/>
        <v/>
      </c>
      <c r="E23" s="19"/>
    </row>
    <row r="24" spans="1:5" ht="20.100000000000001" customHeight="1">
      <c r="A24" s="4" t="s">
        <v>243</v>
      </c>
      <c r="B24" s="4"/>
      <c r="C24" s="4"/>
      <c r="D24" s="4"/>
      <c r="E24" s="4"/>
    </row>
    <row r="25" spans="1:5" ht="20.100000000000001" customHeight="1">
      <c r="A25" s="4"/>
      <c r="B25" s="4"/>
      <c r="C25" s="4"/>
      <c r="D25" s="4"/>
      <c r="E25" s="4"/>
    </row>
    <row r="26" spans="1:5" ht="20.100000000000001" customHeight="1">
      <c r="A26" s="4"/>
      <c r="B26" s="4"/>
      <c r="C26" s="4"/>
      <c r="D26" s="4"/>
      <c r="E26" s="4"/>
    </row>
    <row r="27" spans="1:5" ht="20.100000000000001" customHeight="1">
      <c r="A27" s="5"/>
      <c r="B27" s="5"/>
      <c r="C27" s="5"/>
      <c r="D27" s="5"/>
      <c r="E27" s="5"/>
    </row>
    <row r="28" spans="1:5" ht="20.100000000000001" customHeight="1">
      <c r="A28" s="4" t="s">
        <v>169</v>
      </c>
      <c r="B28" s="4"/>
      <c r="C28" s="4"/>
      <c r="D28" s="4"/>
      <c r="E28" s="4"/>
    </row>
    <row r="29" spans="1:5" ht="20.100000000000001" customHeight="1">
      <c r="A29" s="5"/>
      <c r="B29" s="5"/>
      <c r="C29" s="5"/>
      <c r="D29" s="5"/>
      <c r="E29" s="5"/>
    </row>
    <row r="30" spans="1:5" ht="20.100000000000001" customHeight="1">
      <c r="A30" s="21" t="s">
        <v>434</v>
      </c>
    </row>
  </sheetData>
  <mergeCells count="2">
    <mergeCell ref="A1:E1"/>
    <mergeCell ref="A2:E2"/>
  </mergeCells>
  <phoneticPr fontId="145" type="noConversion"/>
  <dataValidations count="1">
    <dataValidation type="list" allowBlank="1" showInputMessage="1" showErrorMessage="1" sqref="B18:E21">
      <formula1>"是,否"</formula1>
    </dataValidation>
  </dataValidations>
  <hyperlinks>
    <hyperlink ref="E3" location="底稿目录!A1" display="D2-13"/>
  </hyperlinks>
  <pageMargins left="0.70833333333333304" right="0.70833333333333304" top="0.74791666666666701" bottom="0.74791666666666701" header="0.31458333333333299" footer="0.31458333333333299"/>
  <pageSetup paperSize="9" scale="72" orientation="portrait" blackAndWhite="1" r:id="rId1"/>
  <headerFooter>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B8"/>
  <sheetViews>
    <sheetView workbookViewId="0"/>
  </sheetViews>
  <sheetFormatPr defaultColWidth="9" defaultRowHeight="15.6"/>
  <sheetData>
    <row r="1" spans="1:2">
      <c r="A1" t="s">
        <v>435</v>
      </c>
      <c r="B1" t="s">
        <v>436</v>
      </c>
    </row>
    <row r="2" spans="1:2">
      <c r="A2" t="s">
        <v>437</v>
      </c>
      <c r="B2" t="s">
        <v>438</v>
      </c>
    </row>
    <row r="3" spans="1:2">
      <c r="A3" t="s">
        <v>439</v>
      </c>
      <c r="B3" t="s">
        <v>440</v>
      </c>
    </row>
    <row r="4" spans="1:2">
      <c r="A4" t="s">
        <v>441</v>
      </c>
      <c r="B4" t="s">
        <v>442</v>
      </c>
    </row>
    <row r="5" spans="1:2">
      <c r="A5" t="s">
        <v>443</v>
      </c>
      <c r="B5" t="s">
        <v>444</v>
      </c>
    </row>
    <row r="6" spans="1:2">
      <c r="A6" t="s">
        <v>445</v>
      </c>
      <c r="B6" t="s">
        <v>446</v>
      </c>
    </row>
    <row r="7" spans="1:2">
      <c r="A7" t="s">
        <v>447</v>
      </c>
      <c r="B7" t="s">
        <v>448</v>
      </c>
    </row>
    <row r="8" spans="1:2">
      <c r="A8" t="s">
        <v>449</v>
      </c>
      <c r="B8" t="s">
        <v>450</v>
      </c>
    </row>
  </sheetData>
  <phoneticPr fontId="145"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10</vt:i4>
      </vt:variant>
    </vt:vector>
  </HeadingPairs>
  <TitlesOfParts>
    <vt:vector size="22" baseType="lpstr">
      <vt:lpstr>底稿目录</vt:lpstr>
      <vt:lpstr>附注披露信息(上市公司）D2-1</vt:lpstr>
      <vt:lpstr>附注披露信息（国企）D2-1</vt:lpstr>
      <vt:lpstr>关联方及交易检查表D2-6</vt:lpstr>
      <vt:lpstr>应收账款检查表D2-7</vt:lpstr>
      <vt:lpstr>坏账准备计提会计政策检查D2-8</vt:lpstr>
      <vt:lpstr>应收坏账准备测算D2-9</vt:lpstr>
      <vt:lpstr>预期信用损失的计量测试D2-10</vt:lpstr>
      <vt:lpstr>坏账准备转回（收回）、核销检查表D2-11</vt:lpstr>
      <vt:lpstr>应收账款质押出售情况检查表D2-12</vt:lpstr>
      <vt:lpstr>应收账款业务模式分析D2-13</vt:lpstr>
      <vt:lpstr>GT_Custom</vt:lpstr>
      <vt:lpstr>'附注披露信息（国企）D2-1'!Print_Area</vt:lpstr>
      <vt:lpstr>'附注披露信息(上市公司）D2-1'!Print_Area</vt:lpstr>
      <vt:lpstr>'关联方及交易检查表D2-6'!Print_Area</vt:lpstr>
      <vt:lpstr>'坏账准备计提会计政策检查D2-8'!Print_Area</vt:lpstr>
      <vt:lpstr>'坏账准备转回（收回）、核销检查表D2-11'!Print_Area</vt:lpstr>
      <vt:lpstr>'应收坏账准备测算D2-9'!Print_Area</vt:lpstr>
      <vt:lpstr>'应收账款检查表D2-7'!Print_Area</vt:lpstr>
      <vt:lpstr>'应收账款业务模式分析D2-13'!Print_Area</vt:lpstr>
      <vt:lpstr>'应收账款质押出售情况检查表D2-12'!Print_Area</vt:lpstr>
      <vt:lpstr>'预期信用损失的计量测试D2-10'!Print_Area</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2025-10-30T03:26:23Z</cp:lastPrinted>
  <dcterms:created xsi:type="dcterms:W3CDTF">2007-05-20T08:51:00Z</dcterms:created>
  <dcterms:modified xsi:type="dcterms:W3CDTF">2025-10-30T09:41:02Z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7057CDF052B44E94AD79D087802BFF56_12</vt:lpwstr>
  </property>
  <property fmtid="{D5CDD505-2E9C-101B-9397-08002B2CF9AE}" pid="3" name="KSOProductBuildVer">
    <vt:lpwstr>2052-12.1.0.22529</vt:lpwstr>
  </property>
</Properties>
</file>