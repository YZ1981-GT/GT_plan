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D 收入循环 修订10.28\"/>
    </mc:Choice>
  </mc:AlternateContent>
  <bookViews>
    <workbookView xWindow="0" yWindow="0" windowWidth="21600" windowHeight="9696" tabRatio="770"/>
  </bookViews>
  <sheets>
    <sheet name="底稿目录" sheetId="1" r:id="rId1"/>
    <sheet name="合同资产实质性程序表 D6A" sheetId="79" r:id="rId2"/>
    <sheet name="合同资产实质性程序表 D7A（原）" sheetId="84" state="hidden" r:id="rId3"/>
    <sheet name="审定表D6-1" sheetId="29" r:id="rId4"/>
    <sheet name="附注披露信息(上市公司）" sheetId="41" r:id="rId5"/>
    <sheet name="附注披露信息（国企）" sheetId="40" r:id="rId6"/>
    <sheet name="明细表D6-2" sheetId="30" r:id="rId7"/>
    <sheet name="合同资产减值准备明细表D6-3" sheetId="81" r:id="rId8"/>
    <sheet name="调整分录汇总表D6-4" sheetId="80" r:id="rId9"/>
    <sheet name="关联关系及交易检查D6-5" sheetId="82" r:id="rId10"/>
    <sheet name="合同资产检查表D6-6" sheetId="83" r:id="rId11"/>
    <sheet name="合同资产减值准备会计政策检查D6-7" sheetId="69" r:id="rId12"/>
    <sheet name="减值准备测算D6-8" sheetId="53" r:id="rId13"/>
    <sheet name="减值准备转回、核销检查表D6-9" sheetId="57" r:id="rId14"/>
    <sheet name="GT_Custom" sheetId="43" state="hidden" r:id="rId15"/>
  </sheets>
  <definedNames>
    <definedName name="_.dbf">#REF!</definedName>
    <definedName name="_00510">#REF!</definedName>
    <definedName name="_1、">#REF!</definedName>
    <definedName name="_1、受本循环影响的相关交易和账户余额">#REF!</definedName>
    <definedName name="_13">#REF!</definedName>
    <definedName name="_1w6_">#REF!</definedName>
    <definedName name="_1固定资产数据库_筛选打印">#REF!</definedName>
    <definedName name="_2、主要业务活动">#REF!</definedName>
    <definedName name="_2、注册会计师通常应在本循环中了解与上述业务活动相关的内部控制_如果计划在其他业务循环中对上述">#REF!</definedName>
    <definedName name="_2其他资产_开办费除外_明细表">#REF!</definedName>
    <definedName name="_3余额表_一级_.dbf">#REF!</definedName>
    <definedName name="_xlnm._FilterDatabase" localSheetId="9" hidden="1">#REF!</definedName>
    <definedName name="_xlnm._FilterDatabase" localSheetId="10" hidden="1">#REF!</definedName>
    <definedName name="_xlnm._FilterDatabase" localSheetId="2" hidden="1">'合同资产实质性程序表 D7A（原）'!$A$16:$L$74</definedName>
    <definedName name="_xlnm._FilterDatabase" localSheetId="6" hidden="1">'明细表D6-2'!$A$13:$AD$30</definedName>
    <definedName name="_xlnm._FilterDatabase" hidden="1">#REF!</definedName>
    <definedName name="_YE1">#REF!</definedName>
    <definedName name="_YS1">#REF!</definedName>
    <definedName name="a">#REF!</definedName>
    <definedName name="a1c1">#REF!,#REF!</definedName>
    <definedName name="aa">#REF!</definedName>
    <definedName name="aaa">#REF!</definedName>
    <definedName name="AFV" localSheetId="9" hidden="1">#REF!</definedName>
    <definedName name="AFV" localSheetId="10" hidden="1">#REF!</definedName>
    <definedName name="AFV" localSheetId="11" hidden="1">#REF!</definedName>
    <definedName name="AFV" localSheetId="2" hidden="1">#REF!</definedName>
    <definedName name="AFV" hidden="1">#REF!</definedName>
    <definedName name="agmmt">#REF!</definedName>
    <definedName name="agmt">#REF!</definedName>
    <definedName name="agmt1">#REF!</definedName>
    <definedName name="al">#REF!</definedName>
    <definedName name="AS2DocOpenMode" hidden="1">"AS2DocumentEdit"</definedName>
    <definedName name="b">#REF!</definedName>
    <definedName name="BD">#REF!</definedName>
    <definedName name="beg_day">#REF!</definedName>
    <definedName name="beg_day1">#REF!</definedName>
    <definedName name="bs" localSheetId="9" hidden="1">{#N/A,#N/A,FALSE,"BBPREP"}</definedName>
    <definedName name="bs" localSheetId="10" hidden="1">{#N/A,#N/A,FALSE,"BBPREP"}</definedName>
    <definedName name="bs" localSheetId="1" hidden="1">{#N/A,#N/A,FALSE,"BBPREP"}</definedName>
    <definedName name="bs" localSheetId="2" hidden="1">{#N/A,#N/A,FALSE,"BBPREP"}</definedName>
    <definedName name="bs" hidden="1">{#N/A,#N/A,FALSE,"BBPREP"}</definedName>
    <definedName name="bs_1" localSheetId="9" hidden="1">{#N/A,#N/A,FALSE,"BBPREP"}</definedName>
    <definedName name="bs_1" localSheetId="10" hidden="1">{#N/A,#N/A,FALSE,"BBPREP"}</definedName>
    <definedName name="bs_1" localSheetId="1" hidden="1">{#N/A,#N/A,FALSE,"BBPREP"}</definedName>
    <definedName name="bs_1" localSheetId="2"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localSheetId="9" hidden="1">#REF!</definedName>
    <definedName name="CCD" localSheetId="10" hidden="1">#REF!</definedName>
    <definedName name="CCD" localSheetId="2" hidden="1">#REF!</definedName>
    <definedName name="CCD" hidden="1">#REF!</definedName>
    <definedName name="CDE" localSheetId="9" hidden="1">#REF!</definedName>
    <definedName name="CDE" localSheetId="10" hidden="1">#REF!</definedName>
    <definedName name="CDE" localSheetId="2"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ount">#REF!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atarange">#REF!</definedName>
    <definedName name="DEX" localSheetId="9" hidden="1">#REF!</definedName>
    <definedName name="DEX" localSheetId="10" hidden="1">#REF!</definedName>
    <definedName name="DEX" localSheetId="11" hidden="1">#REF!</definedName>
    <definedName name="DEX" localSheetId="2" hidden="1">#REF!</definedName>
    <definedName name="DEX" hidden="1">#REF!</definedName>
    <definedName name="EDC" localSheetId="9" hidden="1">#REF!</definedName>
    <definedName name="EDC" localSheetId="10" hidden="1">#REF!</definedName>
    <definedName name="EDC" localSheetId="2" hidden="1">#REF!</definedName>
    <definedName name="EDC" hidden="1">#REF!</definedName>
    <definedName name="Effective_Tax_Rate">#REF!</definedName>
    <definedName name="end_day">#REF!</definedName>
    <definedName name="ewefw">#REF!</definedName>
    <definedName name="ExRate">#REF!</definedName>
    <definedName name="FASD" localSheetId="9" hidden="1">#REF!</definedName>
    <definedName name="FASD" localSheetId="10" hidden="1">#REF!</definedName>
    <definedName name="FASD" localSheetId="11" hidden="1">#REF!</definedName>
    <definedName name="FASD" localSheetId="2" hidden="1">#REF!</definedName>
    <definedName name="FASD" hidden="1">#REF!</definedName>
    <definedName name="fffdfdfd">#REF!</definedName>
    <definedName name="fix2000.dbf">#REF!</definedName>
    <definedName name="fixlj2000.dbf">#REF!</definedName>
    <definedName name="fl">#REF!</definedName>
    <definedName name="fp">#REF!</definedName>
    <definedName name="frst">#REF!,#REF!</definedName>
    <definedName name="fu">#REF!</definedName>
    <definedName name="instalment">#REF!</definedName>
    <definedName name="interest">#REF!</definedName>
    <definedName name="interest_income">#REF!</definedName>
    <definedName name="kk">#REF!</definedName>
    <definedName name="Known">#REF!</definedName>
    <definedName name="KnownTable">#REF!</definedName>
    <definedName name="KnownTitle">#REF!</definedName>
    <definedName name="last">#REF!</definedName>
    <definedName name="Likely1">#REF!</definedName>
    <definedName name="Likely2">#REF!</definedName>
    <definedName name="LikelyTable1">#REF!</definedName>
    <definedName name="LikelyTable2">#REF!</definedName>
    <definedName name="LikelyTitle">#REF!</definedName>
    <definedName name="m">#REF!</definedName>
    <definedName name="Materiality">#REF!</definedName>
    <definedName name="method">#REF!</definedName>
    <definedName name="Monetary_Precision">#REF!</definedName>
    <definedName name="n">#REF!</definedName>
    <definedName name="neeeeee">#REF!</definedName>
    <definedName name="newwww">#REF!</definedName>
    <definedName name="newwwwwww">#REF!</definedName>
    <definedName name="no_inst">#REF!</definedName>
    <definedName name="no_pay">#REF!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C_Instruction">#REF!</definedName>
    <definedName name="oo">#REF!</definedName>
    <definedName name="OtherConditions">#REF!</definedName>
    <definedName name="pp">#REF!</definedName>
    <definedName name="Pre_tax_materiality">#REF!</definedName>
    <definedName name="Precision">#REF!</definedName>
    <definedName name="_xlnm.Print_Area" localSheetId="8">'调整分录汇总表D6-4'!$A$1:$J$20</definedName>
    <definedName name="_xlnm.Print_Area" localSheetId="5">'附注披露信息（国企）'!$A$1:$K$36</definedName>
    <definedName name="_xlnm.Print_Area" localSheetId="9">'关联关系及交易检查D6-5'!$A$1:$L$19</definedName>
    <definedName name="_xlnm.Print_Area" localSheetId="10">'合同资产检查表D6-6'!$A$1:$Q$49</definedName>
    <definedName name="_xlnm.Print_Area" localSheetId="11">'合同资产减值准备会计政策检查D6-7'!$A$1:$I$49</definedName>
    <definedName name="_xlnm.Print_Area" localSheetId="7">'合同资产减值准备明细表D6-3'!$A$1:$N$28</definedName>
    <definedName name="_xlnm.Print_Area" localSheetId="1">'合同资产实质性程序表 D6A'!$A$1:$I$29</definedName>
    <definedName name="_xlnm.Print_Area" localSheetId="2">'合同资产实质性程序表 D7A（原）'!$A$1:$I$96</definedName>
    <definedName name="_xlnm.Print_Area" localSheetId="12">'减值准备测算D6-8'!$A$1:$H$44</definedName>
    <definedName name="_xlnm.Print_Area" localSheetId="13">'减值准备转回、核销检查表D6-9'!$A$1:$H$29</definedName>
    <definedName name="_xlnm.Print_Area" localSheetId="6">'明细表D6-2'!$A$1:$AD$33</definedName>
    <definedName name="_xlnm.Print_Area" localSheetId="3">'审定表D6-1'!$A$1:$L$43</definedName>
    <definedName name="_xlnm.Print_Area">#N/A</definedName>
    <definedName name="_xlnm.Print_Titles" localSheetId="2">'合同资产实质性程序表 D7A（原）'!$16:$16</definedName>
    <definedName name="_xlnm.Print_Titles" localSheetId="6">'明细表D6-2'!$2:$6</definedName>
    <definedName name="_xlnm.Print_Titles" localSheetId="3">'审定表D6-1'!$2:$6</definedName>
    <definedName name="_xlnm.Print_Titles">#REF!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q">#REF!</definedName>
    <definedName name="qqq">#REF!</definedName>
    <definedName name="qqqqqq">#REF!</definedName>
    <definedName name="Qualitative1">#REF!</definedName>
    <definedName name="Qualitative2">#REF!</definedName>
    <definedName name="Qualitative3">#REF!</definedName>
    <definedName name="QualitativeTextBox">#REF!</definedName>
    <definedName name="rate">#REF!</definedName>
    <definedName name="RDES" localSheetId="9" hidden="1">#REF!</definedName>
    <definedName name="RDES" localSheetId="10" hidden="1">#REF!</definedName>
    <definedName name="RDES" localSheetId="2" hidden="1">#REF!</definedName>
    <definedName name="RDES" hidden="1">#REF!</definedName>
    <definedName name="Recorder">#REF!</definedName>
    <definedName name="sa">#REF!</definedName>
    <definedName name="schedule">#REF!</definedName>
    <definedName name="SM_CurrentYearHyplnk">#REF!</definedName>
    <definedName name="SM_PriorYearHyplnk">#REF!</definedName>
    <definedName name="SM_WholeSheet">#REF!</definedName>
    <definedName name="SOD">#REF!</definedName>
    <definedName name="src">#REF!</definedName>
    <definedName name="sssc">#REF!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blFund">#REF!</definedName>
    <definedName name="terms">#REF!</definedName>
    <definedName name="test\">#REF!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UFPrn20001231102643">#REF!</definedName>
    <definedName name="UFPrn20040112204621">#REF!</definedName>
    <definedName name="UFPrn20040112204659">#REF!</definedName>
    <definedName name="UFPrn20040112204721">#REF!</definedName>
    <definedName name="UFPrn20040112204802">#REF!</definedName>
    <definedName name="UFPrn20040112204848">#REF!</definedName>
    <definedName name="UFPrn20040112204938">#REF!</definedName>
    <definedName name="UFPrn20040112205009">#REF!</definedName>
    <definedName name="UFPrn20040112205036">#REF!</definedName>
    <definedName name="UFPrn20040112205154">#REF!</definedName>
    <definedName name="UFPrn20040112205239">#REF!</definedName>
    <definedName name="UFPrn20040112214910">#REF!</definedName>
    <definedName name="VFE" localSheetId="9" hidden="1">#REF!</definedName>
    <definedName name="VFE" localSheetId="10" hidden="1">#REF!</definedName>
    <definedName name="VFE" localSheetId="2" hidden="1">#REF!</definedName>
    <definedName name="VFE" hidden="1">#REF!</definedName>
    <definedName name="w">#REF!</definedName>
    <definedName name="werf">#REF!</definedName>
    <definedName name="werfwe">#REF!</definedName>
    <definedName name="wqqq">#REF!</definedName>
    <definedName name="ww">#REF!</definedName>
    <definedName name="wws">#REF!</definedName>
    <definedName name="www">#REF!</definedName>
    <definedName name="x">#REF!</definedName>
    <definedName name="XAP" localSheetId="9" hidden="1">#REF!</definedName>
    <definedName name="XAP" localSheetId="10" hidden="1">#REF!</definedName>
    <definedName name="XAP" localSheetId="2" hidden="1">#REF!</definedName>
    <definedName name="XAP" hidden="1">#REF!</definedName>
    <definedName name="XAQ" localSheetId="9" hidden="1">#REF!</definedName>
    <definedName name="XAQ" localSheetId="10" hidden="1">#REF!</definedName>
    <definedName name="XAQ" localSheetId="2" hidden="1">#REF!</definedName>
    <definedName name="XAQ" hidden="1">#REF!</definedName>
    <definedName name="XCD" localSheetId="9" hidden="1">#REF!</definedName>
    <definedName name="XCD" localSheetId="10" hidden="1">#REF!</definedName>
    <definedName name="XCD" localSheetId="2" hidden="1">#REF!</definedName>
    <definedName name="XCD" hidden="1">#REF!</definedName>
    <definedName name="XREF_COLUMN_1" localSheetId="9" hidden="1">#REF!</definedName>
    <definedName name="XREF_COLUMN_1" localSheetId="10" hidden="1">#REF!</definedName>
    <definedName name="XREF_COLUMN_1" localSheetId="1" hidden="1">#REF!</definedName>
    <definedName name="XREF_COLUMN_1" localSheetId="2" hidden="1">#REF!</definedName>
    <definedName name="XREF_COLUMN_1" hidden="1">#REF!</definedName>
    <definedName name="XREF_COLUMN_3" localSheetId="9" hidden="1">#REF!</definedName>
    <definedName name="XREF_COLUMN_3" localSheetId="10" hidden="1">#REF!</definedName>
    <definedName name="XREF_COLUMN_3" localSheetId="11" hidden="1">#REF!</definedName>
    <definedName name="XREF_COLUMN_3" localSheetId="1" hidden="1">#REF!</definedName>
    <definedName name="XREF_COLUMN_3" localSheetId="2" hidden="1">#REF!</definedName>
    <definedName name="XREF_COLUMN_3" hidden="1">#REF!</definedName>
    <definedName name="XRefActiveRow" localSheetId="9" hidden="1">#REF!</definedName>
    <definedName name="XRefActiveRow" localSheetId="10" hidden="1">#REF!</definedName>
    <definedName name="XRefActiveRow" localSheetId="11" hidden="1">#REF!</definedName>
    <definedName name="XRefActiveRow" localSheetId="1" hidden="1">#REF!</definedName>
    <definedName name="XRefActiveRow" localSheetId="2" hidden="1">#REF!</definedName>
    <definedName name="XRefActiveRow" hidden="1">#REF!</definedName>
    <definedName name="XRefColumnsCount" hidden="1">2</definedName>
    <definedName name="XRefCopy1" localSheetId="9" hidden="1">#REF!</definedName>
    <definedName name="XRefCopy1" localSheetId="10" hidden="1">#REF!</definedName>
    <definedName name="XRefCopy1" localSheetId="11" hidden="1">#REF!</definedName>
    <definedName name="XRefCopy1" localSheetId="1" hidden="1">#REF!</definedName>
    <definedName name="XRefCopy1" localSheetId="2" hidden="1">#REF!</definedName>
    <definedName name="XRefCopy1" hidden="1">#REF!</definedName>
    <definedName name="XRefCopy1Row" localSheetId="9" hidden="1">#REF!</definedName>
    <definedName name="XRefCopy1Row" localSheetId="10" hidden="1">#REF!</definedName>
    <definedName name="XRefCopy1Row" localSheetId="1" hidden="1">#REF!</definedName>
    <definedName name="XRefCopy1Row" localSheetId="2" hidden="1">#REF!</definedName>
    <definedName name="XRefCopy1Row" hidden="1">#REF!</definedName>
    <definedName name="XRefCopy2Row" localSheetId="9" hidden="1">#REF!</definedName>
    <definedName name="XRefCopy2Row" localSheetId="10" hidden="1">#REF!</definedName>
    <definedName name="XRefCopy2Row" localSheetId="1" hidden="1">#REF!</definedName>
    <definedName name="XRefCopy2Row" localSheetId="2" hidden="1">#REF!</definedName>
    <definedName name="XRefCopy2Row" hidden="1">#REF!</definedName>
    <definedName name="XRefCopyRangeCount" hidden="1">2</definedName>
    <definedName name="XRefPaste1" localSheetId="9" hidden="1">#REF!</definedName>
    <definedName name="XRefPaste1" localSheetId="10" hidden="1">#REF!</definedName>
    <definedName name="XRefPaste1" localSheetId="11" hidden="1">#REF!</definedName>
    <definedName name="XRefPaste1" localSheetId="1" hidden="1">#REF!</definedName>
    <definedName name="XRefPaste1" localSheetId="2" hidden="1">#REF!</definedName>
    <definedName name="XRefPaste1" hidden="1">#REF!</definedName>
    <definedName name="XRefPaste1Row" localSheetId="9" hidden="1">#REF!</definedName>
    <definedName name="XRefPaste1Row" localSheetId="10" hidden="1">#REF!</definedName>
    <definedName name="XRefPaste1Row" localSheetId="1" hidden="1">#REF!</definedName>
    <definedName name="XRefPaste1Row" localSheetId="2" hidden="1">#REF!</definedName>
    <definedName name="XRefPaste1Row" hidden="1">#REF!</definedName>
    <definedName name="XRefPaste2" localSheetId="9" hidden="1">#REF!</definedName>
    <definedName name="XRefPaste2" localSheetId="10" hidden="1">#REF!</definedName>
    <definedName name="XRefPaste2" localSheetId="1" hidden="1">#REF!</definedName>
    <definedName name="XRefPaste2" localSheetId="2" hidden="1">#REF!</definedName>
    <definedName name="XRefPaste2" hidden="1">#REF!</definedName>
    <definedName name="XRefPaste2Row" localSheetId="9" hidden="1">#REF!</definedName>
    <definedName name="XRefPaste2Row" localSheetId="10" hidden="1">#REF!</definedName>
    <definedName name="XRefPaste2Row" localSheetId="1" hidden="1">#REF!</definedName>
    <definedName name="XRefPaste2Row" localSheetId="2" hidden="1">#REF!</definedName>
    <definedName name="XRefPaste2Row" hidden="1">#REF!</definedName>
    <definedName name="XRefPaste3" localSheetId="9" hidden="1">#REF!</definedName>
    <definedName name="XRefPaste3" localSheetId="10" hidden="1">#REF!</definedName>
    <definedName name="XRefPaste3" localSheetId="1" hidden="1">#REF!</definedName>
    <definedName name="XRefPaste3" localSheetId="2" hidden="1">#REF!</definedName>
    <definedName name="XRefPaste3" hidden="1">#REF!</definedName>
    <definedName name="XRefPaste3Row" localSheetId="9" hidden="1">#REF!</definedName>
    <definedName name="XRefPaste3Row" localSheetId="10" hidden="1">#REF!</definedName>
    <definedName name="XRefPaste3Row" localSheetId="1" hidden="1">#REF!</definedName>
    <definedName name="XRefPaste3Row" localSheetId="2" hidden="1">#REF!</definedName>
    <definedName name="XRefPaste3Row" hidden="1">#REF!</definedName>
    <definedName name="XRefPasteRangeCount" hidden="1">2</definedName>
    <definedName name="xw9949xw">#REF!</definedName>
    <definedName name="xxs">#REF!</definedName>
    <definedName name="YE">#REF!</definedName>
    <definedName name="z">#REF!</definedName>
    <definedName name="zjgch2000.dbf">#REF!</definedName>
    <definedName name="zsw">#REF!</definedName>
    <definedName name="zz">#REF!</definedName>
    <definedName name="zzz">#REF!</definedName>
    <definedName name="八">#REF!</definedName>
    <definedName name="保管费清单">#REF!</definedName>
    <definedName name="编号">#REF!</definedName>
    <definedName name="不使用">#REF!</definedName>
    <definedName name="财务费用.dbf">#REF!</definedName>
    <definedName name="查询3">#REF!</definedName>
    <definedName name="陈勇">#REF!</definedName>
    <definedName name="待处理固定资产净损失明细表">#REF!</definedName>
    <definedName name="待摊费用.dbf">#REF!</definedName>
    <definedName name="当前明细帐">#REF!</definedName>
    <definedName name="底稿目录" localSheetId="9" hidden="1">#REF!</definedName>
    <definedName name="底稿目录" localSheetId="10" hidden="1">#REF!</definedName>
    <definedName name="底稿目录" localSheetId="2" hidden="1">#REF!</definedName>
    <definedName name="底稿目录" hidden="1">#REF!</definedName>
    <definedName name="短期">#REF!</definedName>
    <definedName name="短期借款.dbf">#REF!</definedName>
    <definedName name="短期投资_债券_明细表">#REF!</definedName>
    <definedName name="二">#REF!</definedName>
    <definedName name="发生额及余额表">#REF!</definedName>
    <definedName name="固定资产.dbf">#REF!</definedName>
    <definedName name="固定资产及累计折旧明细帐">#REF!</definedName>
    <definedName name="管理费用明细表">#REF!</definedName>
    <definedName name="合并价差明细表">#REF!</definedName>
    <definedName name="和">#REF!</definedName>
    <definedName name="核算项目明细账_1133">#REF!</definedName>
    <definedName name="核算项目明细账_122">#REF!</definedName>
    <definedName name="核算项目明细账_1603">#REF!</definedName>
    <definedName name="汇率">#REF!</definedName>
    <definedName name="会计分录序时簿">#REF!</definedName>
    <definedName name="计划">#REF!</definedName>
    <definedName name="开办费明细表">#REF!</definedName>
    <definedName name="累计折旧明细表">#REF!</definedName>
    <definedName name="累计折旧余额表.dbf">#REF!</definedName>
    <definedName name="六">#REF!</definedName>
    <definedName name="孟傻">#REF!</definedName>
    <definedName name="明细分类账">#REF!</definedName>
    <definedName name="明细账">#REF!</definedName>
    <definedName name="盘点">#REF!</definedName>
    <definedName name="七">#REF!</definedName>
    <definedName name="其他货币资金明细表">#REF!</definedName>
    <definedName name="其他未交款明细表">#REF!</definedName>
    <definedName name="其他业务收入.dbf">#REF!</definedName>
    <definedName name="其他业务支出.dbf">#REF!</definedName>
    <definedName name="其他应付款明细表">#REF!</definedName>
    <definedName name="其他应收款明细表">#REF!</definedName>
    <definedName name="全球">#REF!</definedName>
    <definedName name="日期">#REF!</definedName>
    <definedName name="三">#REF!</definedName>
    <definedName name="上海中星_集团_公司开发产品明细表">#REF!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6">#REF!</definedName>
    <definedName name="生产期7">#REF!</definedName>
    <definedName name="生产期8">#REF!</definedName>
    <definedName name="生产期9">#REF!</definedName>
    <definedName name="四">#REF!</definedName>
    <definedName name="损益余额表.dbf">#REF!</definedName>
    <definedName name="委托贷款.dbf">#REF!</definedName>
    <definedName name="未交税金明细表">#REF!</definedName>
    <definedName name="未完流水帐">#REF!</definedName>
    <definedName name="无对应明细表的报表项目">#REF!</definedName>
    <definedName name="五">#REF!</definedName>
    <definedName name="新目录" localSheetId="9" hidden="1">#REF!</definedName>
    <definedName name="新目录" localSheetId="10" hidden="1">#REF!</definedName>
    <definedName name="新目录" localSheetId="2" hidden="1">#REF!</definedName>
    <definedName name="新目录" hidden="1">#REF!</definedName>
    <definedName name="徐雯990720">#REF!</definedName>
    <definedName name="一">#REF!</definedName>
    <definedName name="应付福利费.dbf">#REF!</definedName>
    <definedName name="应付工资.dbf">#REF!</definedName>
    <definedName name="应付票据明细表">#REF!</definedName>
    <definedName name="应收2" localSheetId="10" hidden="1">#REF!</definedName>
    <definedName name="应收2" hidden="1">#REF!</definedName>
    <definedName name="应收账款bg" localSheetId="10" hidden="1">#REF!</definedName>
    <definedName name="应收账款bg" hidden="1">#REF!</definedName>
    <definedName name="应收账款mx" localSheetId="10" hidden="1">#REF!</definedName>
    <definedName name="应收账款mx" hidden="1">#REF!</definedName>
    <definedName name="营业外支出明细表">#REF!</definedName>
    <definedName name="余额表.dbf">#REF!</definedName>
    <definedName name="预付帐款明细表">#REF!</definedName>
    <definedName name="预收货款明细表">#REF!</definedName>
    <definedName name="预提费用明细表">#REF!</definedName>
    <definedName name="在建工程.dbf">#REF!</definedName>
    <definedName name="制造费用1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83" l="1"/>
  <c r="E44" i="83"/>
  <c r="E43" i="83"/>
  <c r="X27" i="30"/>
  <c r="W27" i="30"/>
  <c r="V27" i="30"/>
  <c r="B23" i="57" l="1"/>
  <c r="F17" i="57"/>
  <c r="E17" i="57"/>
  <c r="E4" i="57"/>
  <c r="C4" i="57"/>
  <c r="A4" i="57"/>
  <c r="H3" i="57"/>
  <c r="E3" i="57"/>
  <c r="C3" i="57"/>
  <c r="A3" i="57"/>
  <c r="F38" i="53"/>
  <c r="E38" i="53"/>
  <c r="D38" i="53"/>
  <c r="B38" i="53"/>
  <c r="F37" i="53"/>
  <c r="E37" i="53"/>
  <c r="D37" i="53"/>
  <c r="B37" i="53"/>
  <c r="F36" i="53"/>
  <c r="D36" i="53"/>
  <c r="F35" i="53"/>
  <c r="D35" i="53"/>
  <c r="F34" i="53"/>
  <c r="D34" i="53"/>
  <c r="F33" i="53"/>
  <c r="D33" i="53"/>
  <c r="F32" i="53"/>
  <c r="D32" i="53"/>
  <c r="F31" i="53"/>
  <c r="D31" i="53"/>
  <c r="F29" i="53"/>
  <c r="E29" i="53"/>
  <c r="D29" i="53"/>
  <c r="B29" i="53"/>
  <c r="F28" i="53"/>
  <c r="D28" i="53"/>
  <c r="F27" i="53"/>
  <c r="D27" i="53"/>
  <c r="F26" i="53"/>
  <c r="D26" i="53"/>
  <c r="F25" i="53"/>
  <c r="D25" i="53"/>
  <c r="F24" i="53"/>
  <c r="D24" i="53"/>
  <c r="F23" i="53"/>
  <c r="D23" i="53"/>
  <c r="F18" i="53"/>
  <c r="E18" i="53"/>
  <c r="D18" i="53"/>
  <c r="C18" i="53"/>
  <c r="B18" i="53"/>
  <c r="F17" i="53"/>
  <c r="D17" i="53"/>
  <c r="F16" i="53"/>
  <c r="D16" i="53"/>
  <c r="F15" i="53"/>
  <c r="D15" i="53"/>
  <c r="F14" i="53"/>
  <c r="D14" i="53"/>
  <c r="F13" i="53"/>
  <c r="D13" i="53"/>
  <c r="E4" i="53"/>
  <c r="C4" i="53"/>
  <c r="A4" i="53"/>
  <c r="H3" i="53"/>
  <c r="E3" i="53"/>
  <c r="C3" i="53"/>
  <c r="A3" i="53"/>
  <c r="E4" i="69"/>
  <c r="C4" i="69"/>
  <c r="A4" i="69"/>
  <c r="I3" i="69"/>
  <c r="E3" i="69"/>
  <c r="C3" i="69"/>
  <c r="A3" i="69"/>
  <c r="G40" i="83"/>
  <c r="F45" i="83" s="1"/>
  <c r="G45" i="83" s="1"/>
  <c r="H31" i="83"/>
  <c r="F44" i="83" s="1"/>
  <c r="G44" i="83" s="1"/>
  <c r="G31" i="83"/>
  <c r="F43" i="83" s="1"/>
  <c r="G43" i="83" s="1"/>
  <c r="H4" i="83"/>
  <c r="E4" i="83"/>
  <c r="A4" i="83"/>
  <c r="Q3" i="83"/>
  <c r="H3" i="83"/>
  <c r="E3" i="83"/>
  <c r="A3" i="83"/>
  <c r="H13" i="82"/>
  <c r="G13" i="82"/>
  <c r="F13" i="82"/>
  <c r="E13" i="82"/>
  <c r="D13" i="82"/>
  <c r="C13" i="82"/>
  <c r="H12" i="82"/>
  <c r="F12" i="82"/>
  <c r="H11" i="82"/>
  <c r="F11" i="82"/>
  <c r="H10" i="82"/>
  <c r="F10" i="82"/>
  <c r="H4" i="82"/>
  <c r="E4" i="82"/>
  <c r="A4" i="82"/>
  <c r="L3" i="82"/>
  <c r="H3" i="82"/>
  <c r="E3" i="82"/>
  <c r="A3" i="82"/>
  <c r="G4" i="80"/>
  <c r="D4" i="80"/>
  <c r="A4" i="80"/>
  <c r="J3" i="80"/>
  <c r="G3" i="80"/>
  <c r="D3" i="80"/>
  <c r="A3" i="80"/>
  <c r="N21" i="81"/>
  <c r="K21" i="81"/>
  <c r="E21" i="81"/>
  <c r="N20" i="81"/>
  <c r="K20" i="81"/>
  <c r="E20" i="81"/>
  <c r="N19" i="81"/>
  <c r="K19" i="81"/>
  <c r="E19" i="81"/>
  <c r="K18" i="81"/>
  <c r="N18" i="81" s="1"/>
  <c r="E18" i="81"/>
  <c r="E17" i="81" s="1"/>
  <c r="M17" i="81"/>
  <c r="L17" i="81"/>
  <c r="J17" i="81"/>
  <c r="I17" i="81"/>
  <c r="H17" i="81"/>
  <c r="G17" i="81"/>
  <c r="F17" i="81"/>
  <c r="D17" i="81"/>
  <c r="C17" i="81"/>
  <c r="B17" i="81"/>
  <c r="N16" i="81"/>
  <c r="K16" i="81"/>
  <c r="E16" i="81"/>
  <c r="N15" i="81"/>
  <c r="K15" i="81"/>
  <c r="E15" i="81"/>
  <c r="N14" i="81"/>
  <c r="K14" i="81"/>
  <c r="E14" i="81"/>
  <c r="K13" i="81"/>
  <c r="N13" i="81" s="1"/>
  <c r="E13" i="81"/>
  <c r="E12" i="81" s="1"/>
  <c r="M12" i="81"/>
  <c r="M22" i="81" s="1"/>
  <c r="L12" i="81"/>
  <c r="J12" i="81"/>
  <c r="I12" i="81"/>
  <c r="H12" i="81"/>
  <c r="G12" i="81"/>
  <c r="F12" i="81"/>
  <c r="F22" i="81" s="1"/>
  <c r="D12" i="81"/>
  <c r="C12" i="81"/>
  <c r="B12" i="81"/>
  <c r="N3" i="81"/>
  <c r="AD26" i="30"/>
  <c r="Z26" i="30"/>
  <c r="Y26" i="30"/>
  <c r="X26" i="30"/>
  <c r="W26" i="30"/>
  <c r="V26" i="30"/>
  <c r="U26" i="30"/>
  <c r="S26" i="30"/>
  <c r="R26" i="30"/>
  <c r="P26" i="30"/>
  <c r="O26" i="30"/>
  <c r="N26" i="30"/>
  <c r="M26" i="30"/>
  <c r="L26" i="30"/>
  <c r="K26" i="30"/>
  <c r="J26" i="30"/>
  <c r="J27" i="30" s="1"/>
  <c r="I26" i="30"/>
  <c r="H26" i="30"/>
  <c r="G26" i="30"/>
  <c r="T25" i="30"/>
  <c r="Q25" i="30"/>
  <c r="J25" i="30"/>
  <c r="T24" i="30"/>
  <c r="Q24" i="30"/>
  <c r="J24" i="30"/>
  <c r="T23" i="30"/>
  <c r="Q23" i="30"/>
  <c r="J23" i="30"/>
  <c r="T22" i="30"/>
  <c r="Q22" i="30"/>
  <c r="J22" i="30"/>
  <c r="T21" i="30"/>
  <c r="Q21" i="30"/>
  <c r="J21" i="30"/>
  <c r="T20" i="30"/>
  <c r="Q20" i="30"/>
  <c r="J20" i="30"/>
  <c r="T19" i="30"/>
  <c r="Q19" i="30"/>
  <c r="J19" i="30"/>
  <c r="T18" i="30"/>
  <c r="Q18" i="30"/>
  <c r="J18" i="30"/>
  <c r="T17" i="30"/>
  <c r="Q17" i="30"/>
  <c r="J17" i="30"/>
  <c r="T16" i="30"/>
  <c r="Q16" i="30"/>
  <c r="J16" i="30"/>
  <c r="T15" i="30"/>
  <c r="Q15" i="30"/>
  <c r="J15" i="30"/>
  <c r="Q14" i="30"/>
  <c r="Q26" i="30" s="1"/>
  <c r="J14" i="30"/>
  <c r="T4" i="30"/>
  <c r="J4" i="30"/>
  <c r="A4" i="30"/>
  <c r="AD3" i="30"/>
  <c r="T3" i="30"/>
  <c r="J3" i="30"/>
  <c r="A3" i="30"/>
  <c r="B31" i="40"/>
  <c r="F24" i="40"/>
  <c r="E24" i="40"/>
  <c r="D24" i="40"/>
  <c r="C24" i="40"/>
  <c r="B24" i="40"/>
  <c r="F23" i="40"/>
  <c r="F22" i="40"/>
  <c r="F21" i="40"/>
  <c r="G16" i="40"/>
  <c r="F16" i="40"/>
  <c r="E16" i="40"/>
  <c r="D16" i="40"/>
  <c r="C16" i="40"/>
  <c r="B16" i="40"/>
  <c r="G14" i="40"/>
  <c r="F14" i="40"/>
  <c r="E14" i="40"/>
  <c r="D14" i="40"/>
  <c r="C14" i="40"/>
  <c r="B14" i="40"/>
  <c r="G13" i="40"/>
  <c r="F13" i="40"/>
  <c r="E13" i="40"/>
  <c r="D13" i="40"/>
  <c r="C13" i="40"/>
  <c r="B13" i="40"/>
  <c r="G12" i="40"/>
  <c r="F12" i="40"/>
  <c r="E12" i="40"/>
  <c r="D12" i="40"/>
  <c r="C12" i="40"/>
  <c r="B12" i="40"/>
  <c r="F11" i="40"/>
  <c r="E11" i="40"/>
  <c r="D11" i="40"/>
  <c r="C11" i="40"/>
  <c r="B11" i="40"/>
  <c r="G10" i="40"/>
  <c r="F10" i="40"/>
  <c r="E10" i="40"/>
  <c r="D10" i="40"/>
  <c r="C10" i="40"/>
  <c r="B10" i="40"/>
  <c r="E4" i="40"/>
  <c r="C4" i="40"/>
  <c r="A4" i="40"/>
  <c r="E3" i="40"/>
  <c r="C3" i="40"/>
  <c r="A3" i="40"/>
  <c r="D89" i="41"/>
  <c r="C89" i="41"/>
  <c r="B89" i="41"/>
  <c r="G83" i="41"/>
  <c r="F83" i="41"/>
  <c r="E83" i="41"/>
  <c r="D83" i="41"/>
  <c r="C83" i="41"/>
  <c r="B83" i="41"/>
  <c r="G82" i="41"/>
  <c r="D82" i="41"/>
  <c r="G81" i="41"/>
  <c r="D81" i="41"/>
  <c r="G80" i="41"/>
  <c r="D80" i="41"/>
  <c r="G79" i="41"/>
  <c r="D79" i="41"/>
  <c r="G75" i="41"/>
  <c r="F75" i="41"/>
  <c r="E75" i="41"/>
  <c r="D75" i="41"/>
  <c r="C75" i="41"/>
  <c r="B75" i="41"/>
  <c r="G74" i="41"/>
  <c r="D74" i="41"/>
  <c r="G73" i="41"/>
  <c r="D73" i="41"/>
  <c r="G72" i="41"/>
  <c r="D72" i="41"/>
  <c r="G71" i="41"/>
  <c r="D71" i="41"/>
  <c r="D66" i="41"/>
  <c r="C66" i="41"/>
  <c r="B66" i="41"/>
  <c r="D65" i="41"/>
  <c r="D64" i="41"/>
  <c r="D60" i="41"/>
  <c r="C60" i="41"/>
  <c r="B60" i="41"/>
  <c r="D59" i="41"/>
  <c r="D58" i="41"/>
  <c r="K54" i="41"/>
  <c r="J54" i="41"/>
  <c r="I54" i="41"/>
  <c r="H54" i="41"/>
  <c r="G54" i="41"/>
  <c r="F54" i="41"/>
  <c r="E54" i="41"/>
  <c r="D54" i="41"/>
  <c r="C54" i="41"/>
  <c r="B54" i="41"/>
  <c r="K53" i="41"/>
  <c r="J53" i="41"/>
  <c r="H53" i="41"/>
  <c r="F53" i="41"/>
  <c r="E53" i="41"/>
  <c r="C53" i="41"/>
  <c r="K52" i="41"/>
  <c r="J52" i="41"/>
  <c r="H52" i="41"/>
  <c r="F52" i="41"/>
  <c r="E52" i="41"/>
  <c r="C52" i="41"/>
  <c r="K51" i="41"/>
  <c r="J51" i="41"/>
  <c r="H51" i="41"/>
  <c r="F51" i="41"/>
  <c r="E51" i="41"/>
  <c r="C51" i="41"/>
  <c r="K50" i="41"/>
  <c r="J50" i="41"/>
  <c r="I50" i="41"/>
  <c r="H50" i="41"/>
  <c r="G50" i="41"/>
  <c r="F50" i="41"/>
  <c r="E50" i="41"/>
  <c r="D50" i="41"/>
  <c r="C50" i="41"/>
  <c r="B50" i="41"/>
  <c r="K49" i="41"/>
  <c r="J49" i="41"/>
  <c r="H49" i="41"/>
  <c r="F49" i="41"/>
  <c r="E49" i="41"/>
  <c r="C49" i="41"/>
  <c r="K48" i="41"/>
  <c r="J48" i="41"/>
  <c r="H48" i="41"/>
  <c r="F48" i="41"/>
  <c r="E48" i="41"/>
  <c r="C48" i="41"/>
  <c r="K47" i="41"/>
  <c r="J47" i="41"/>
  <c r="H47" i="41"/>
  <c r="F47" i="41"/>
  <c r="E47" i="41"/>
  <c r="C47" i="41"/>
  <c r="K46" i="41"/>
  <c r="J46" i="41"/>
  <c r="I46" i="41"/>
  <c r="H46" i="41"/>
  <c r="G46" i="41"/>
  <c r="F46" i="41"/>
  <c r="E46" i="41"/>
  <c r="D46" i="41"/>
  <c r="C46" i="41"/>
  <c r="B46" i="41"/>
  <c r="C26" i="41"/>
  <c r="B26" i="41"/>
  <c r="C24" i="41"/>
  <c r="B24" i="41"/>
  <c r="C23" i="41"/>
  <c r="B23" i="41"/>
  <c r="C22" i="41"/>
  <c r="B22" i="41"/>
  <c r="G18" i="41"/>
  <c r="F18" i="41"/>
  <c r="E18" i="41"/>
  <c r="D18" i="41"/>
  <c r="C18" i="41"/>
  <c r="B18" i="41"/>
  <c r="G16" i="41"/>
  <c r="F16" i="41"/>
  <c r="E16" i="41"/>
  <c r="D16" i="41"/>
  <c r="C16" i="41"/>
  <c r="B16" i="41"/>
  <c r="G14" i="41"/>
  <c r="F14" i="41"/>
  <c r="E14" i="41"/>
  <c r="D14" i="41"/>
  <c r="C14" i="41"/>
  <c r="B14" i="41"/>
  <c r="G13" i="41"/>
  <c r="F13" i="41"/>
  <c r="E13" i="41"/>
  <c r="D13" i="41"/>
  <c r="C13" i="41"/>
  <c r="B13" i="41"/>
  <c r="G12" i="41"/>
  <c r="F12" i="41"/>
  <c r="E12" i="41"/>
  <c r="D12" i="41"/>
  <c r="C12" i="41"/>
  <c r="B12" i="41"/>
  <c r="G11" i="41"/>
  <c r="F11" i="41"/>
  <c r="E11" i="41"/>
  <c r="D11" i="41"/>
  <c r="C11" i="41"/>
  <c r="B11" i="41"/>
  <c r="G10" i="41"/>
  <c r="F10" i="41"/>
  <c r="E10" i="41"/>
  <c r="D10" i="41"/>
  <c r="C10" i="41"/>
  <c r="B10" i="41"/>
  <c r="E4" i="41"/>
  <c r="C4" i="41"/>
  <c r="A4" i="41"/>
  <c r="E3" i="41"/>
  <c r="C3" i="41"/>
  <c r="A3" i="41"/>
  <c r="E37" i="29"/>
  <c r="I35" i="29"/>
  <c r="E35" i="29"/>
  <c r="J33" i="29"/>
  <c r="I33" i="29"/>
  <c r="H33" i="29"/>
  <c r="G33" i="29"/>
  <c r="F33" i="29"/>
  <c r="E33" i="29"/>
  <c r="D33" i="29"/>
  <c r="C33" i="29"/>
  <c r="B33" i="29"/>
  <c r="K32" i="29"/>
  <c r="J32" i="29"/>
  <c r="I32" i="29"/>
  <c r="H32" i="29"/>
  <c r="G32" i="29"/>
  <c r="F32" i="29"/>
  <c r="E32" i="29"/>
  <c r="D32" i="29"/>
  <c r="C32" i="29"/>
  <c r="B32" i="29"/>
  <c r="K31" i="29"/>
  <c r="J31" i="29"/>
  <c r="I31" i="29"/>
  <c r="H31" i="29"/>
  <c r="G31" i="29"/>
  <c r="F31" i="29"/>
  <c r="E31" i="29"/>
  <c r="D31" i="29"/>
  <c r="C31" i="29"/>
  <c r="B31" i="29"/>
  <c r="K30" i="29"/>
  <c r="J30" i="29"/>
  <c r="I30" i="29"/>
  <c r="H30" i="29"/>
  <c r="G30" i="29"/>
  <c r="F30" i="29"/>
  <c r="E30" i="29"/>
  <c r="D30" i="29"/>
  <c r="C30" i="29"/>
  <c r="B30" i="29"/>
  <c r="A30" i="29"/>
  <c r="K29" i="29"/>
  <c r="J29" i="29"/>
  <c r="I29" i="29"/>
  <c r="H29" i="29"/>
  <c r="G29" i="29"/>
  <c r="F29" i="29"/>
  <c r="E29" i="29"/>
  <c r="D29" i="29"/>
  <c r="C29" i="29"/>
  <c r="B29" i="29"/>
  <c r="A29" i="29"/>
  <c r="K28" i="29"/>
  <c r="J28" i="29"/>
  <c r="I28" i="29"/>
  <c r="H28" i="29"/>
  <c r="G28" i="29"/>
  <c r="F28" i="29"/>
  <c r="E28" i="29"/>
  <c r="D28" i="29"/>
  <c r="C28" i="29"/>
  <c r="B28" i="29"/>
  <c r="A28" i="29"/>
  <c r="K27" i="29"/>
  <c r="J27" i="29"/>
  <c r="I27" i="29"/>
  <c r="H27" i="29"/>
  <c r="G27" i="29"/>
  <c r="F27" i="29"/>
  <c r="E27" i="29"/>
  <c r="D27" i="29"/>
  <c r="C27" i="29"/>
  <c r="B27" i="29"/>
  <c r="A27" i="29"/>
  <c r="K26" i="29"/>
  <c r="J26" i="29"/>
  <c r="I26" i="29"/>
  <c r="H26" i="29"/>
  <c r="G26" i="29"/>
  <c r="F26" i="29"/>
  <c r="E26" i="29"/>
  <c r="D26" i="29"/>
  <c r="C26" i="29"/>
  <c r="B26" i="29"/>
  <c r="A26" i="29"/>
  <c r="J24" i="29"/>
  <c r="I24" i="29"/>
  <c r="H24" i="29"/>
  <c r="G24" i="29"/>
  <c r="F24" i="29"/>
  <c r="E24" i="29"/>
  <c r="D24" i="29"/>
  <c r="C24" i="29"/>
  <c r="B24" i="29"/>
  <c r="K22" i="29"/>
  <c r="J22" i="29"/>
  <c r="I22" i="29"/>
  <c r="H22" i="29"/>
  <c r="G22" i="29"/>
  <c r="F22" i="29"/>
  <c r="E22" i="29"/>
  <c r="D22" i="29"/>
  <c r="C22" i="29"/>
  <c r="B22" i="29"/>
  <c r="K21" i="29"/>
  <c r="J21" i="29"/>
  <c r="I21" i="29"/>
  <c r="E21" i="29"/>
  <c r="A21" i="29"/>
  <c r="K20" i="29"/>
  <c r="J20" i="29"/>
  <c r="I20" i="29"/>
  <c r="E20" i="29"/>
  <c r="A20" i="29"/>
  <c r="K19" i="29"/>
  <c r="J19" i="29"/>
  <c r="I19" i="29"/>
  <c r="E19" i="29"/>
  <c r="A19" i="29"/>
  <c r="K18" i="29"/>
  <c r="J18" i="29"/>
  <c r="I18" i="29"/>
  <c r="E18" i="29"/>
  <c r="A18" i="29"/>
  <c r="K17" i="29"/>
  <c r="J17" i="29"/>
  <c r="I17" i="29"/>
  <c r="E17" i="29"/>
  <c r="A17" i="29"/>
  <c r="J15" i="29"/>
  <c r="I15" i="29"/>
  <c r="H15" i="29"/>
  <c r="G15" i="29"/>
  <c r="F15" i="29"/>
  <c r="E15" i="29"/>
  <c r="D15" i="29"/>
  <c r="C15" i="29"/>
  <c r="B15" i="29"/>
  <c r="K13" i="29"/>
  <c r="J13" i="29"/>
  <c r="I13" i="29"/>
  <c r="H13" i="29"/>
  <c r="G13" i="29"/>
  <c r="F13" i="29"/>
  <c r="E13" i="29"/>
  <c r="D13" i="29"/>
  <c r="C13" i="29"/>
  <c r="B13" i="29"/>
  <c r="K12" i="29"/>
  <c r="J12" i="29"/>
  <c r="I12" i="29"/>
  <c r="E12" i="29"/>
  <c r="K11" i="29"/>
  <c r="J11" i="29"/>
  <c r="I11" i="29"/>
  <c r="E11" i="29"/>
  <c r="K10" i="29"/>
  <c r="J10" i="29"/>
  <c r="I10" i="29"/>
  <c r="E10" i="29"/>
  <c r="K9" i="29"/>
  <c r="J9" i="29"/>
  <c r="I9" i="29"/>
  <c r="E9" i="29"/>
  <c r="K8" i="29"/>
  <c r="J8" i="29"/>
  <c r="I8" i="29"/>
  <c r="E8" i="29"/>
  <c r="H4" i="29"/>
  <c r="E4" i="29"/>
  <c r="A4" i="29"/>
  <c r="L3" i="29"/>
  <c r="H3" i="29"/>
  <c r="E3" i="29"/>
  <c r="A3" i="29"/>
  <c r="E4" i="79"/>
  <c r="C4" i="79"/>
  <c r="A4" i="79"/>
  <c r="I3" i="79"/>
  <c r="E3" i="79"/>
  <c r="C3" i="79"/>
  <c r="A3" i="79"/>
  <c r="L22" i="81" l="1"/>
  <c r="G22" i="81"/>
  <c r="H22" i="81"/>
  <c r="K17" i="81"/>
  <c r="I22" i="81"/>
  <c r="J22" i="81"/>
  <c r="N17" i="81"/>
  <c r="B22" i="81"/>
  <c r="C22" i="81"/>
  <c r="E22" i="81"/>
  <c r="K12" i="81"/>
  <c r="T14" i="30"/>
  <c r="T26" i="30" s="1"/>
  <c r="T27" i="30" s="1"/>
  <c r="K22" i="81" l="1"/>
  <c r="N12" i="81"/>
  <c r="N22" i="81"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A14" authorId="0" shapeId="0">
      <text>
        <r>
          <rPr>
            <b/>
            <sz val="9"/>
            <rFont val="宋体"/>
            <family val="3"/>
            <charset val="134"/>
          </rPr>
          <t xml:space="preserve">技术部：
</t>
        </r>
        <r>
          <rPr>
            <sz val="9"/>
            <rFont val="宋体"/>
            <family val="3"/>
            <charset val="134"/>
          </rPr>
          <t>自资产负债表日起超过一年到期的“合同结算”科目的期末借方余额，在“其他非流动资产”项目反映。</t>
        </r>
      </text>
    </comment>
    <comment ref="A23" authorId="0" shapeId="0">
      <text>
        <r>
          <rPr>
            <b/>
            <sz val="9"/>
            <rFont val="宋体"/>
            <family val="3"/>
            <charset val="134"/>
          </rPr>
          <t xml:space="preserve">技术部：
</t>
        </r>
        <r>
          <rPr>
            <sz val="9"/>
            <rFont val="宋体"/>
            <family val="3"/>
            <charset val="134"/>
          </rPr>
          <t>自资产负债表日起超过一年到期的“合同结算”科目的期末借方余额，在“其他非流动资产”项目反映。</t>
        </r>
      </text>
    </comment>
    <comment ref="A32" authorId="0" shapeId="0">
      <text>
        <r>
          <rPr>
            <b/>
            <sz val="9"/>
            <rFont val="宋体"/>
            <family val="3"/>
            <charset val="134"/>
          </rPr>
          <t xml:space="preserve">技术部：
</t>
        </r>
        <r>
          <rPr>
            <sz val="9"/>
            <rFont val="宋体"/>
            <family val="3"/>
            <charset val="134"/>
          </rPr>
          <t>自资产负债表日起超过一年到期的“合同结算”科目的期末借方余额，在“其他非流动资产”项目反映。</t>
        </r>
      </text>
    </comment>
  </commentList>
</comments>
</file>

<file path=xl/comments3.xml><?xml version="1.0" encoding="utf-8"?>
<comments xmlns="http://schemas.openxmlformats.org/spreadsheetml/2006/main">
  <authors>
    <author>Windows 用户</author>
  </authors>
  <commentList>
    <comment ref="E12" authorId="0" shapeId="0">
      <text>
        <r>
          <rPr>
            <b/>
            <sz val="9"/>
            <color indexed="81"/>
            <rFont val="宋体"/>
            <family val="3"/>
            <charset val="134"/>
          </rPr>
          <t>Windows 用户:</t>
        </r>
        <r>
          <rPr>
            <sz val="9"/>
            <color indexed="81"/>
            <rFont val="宋体"/>
            <family val="3"/>
            <charset val="134"/>
          </rPr>
          <t xml:space="preserve">
可填写客户的唯一识别编码，如被审计单位财务或业务系统中的公司编码</t>
        </r>
      </text>
    </comment>
  </commentList>
</comments>
</file>

<file path=xl/sharedStrings.xml><?xml version="1.0" encoding="utf-8"?>
<sst xmlns="http://schemas.openxmlformats.org/spreadsheetml/2006/main" count="1137" uniqueCount="619">
  <si>
    <t>底稿开列时，可先在以下单元格填写有关内容，以便其他底稿引用有关数据：</t>
  </si>
  <si>
    <t>被审计单位：</t>
  </si>
  <si>
    <t>序号</t>
  </si>
  <si>
    <t>内容</t>
  </si>
  <si>
    <t>索引</t>
  </si>
  <si>
    <t>编制人：</t>
  </si>
  <si>
    <t xml:space="preserve">合同资产实质性程序表 </t>
  </si>
  <si>
    <t>D6A</t>
  </si>
  <si>
    <t>编制日期：</t>
  </si>
  <si>
    <t>审定表</t>
  </si>
  <si>
    <t>D6-1</t>
  </si>
  <si>
    <t>复核人：</t>
  </si>
  <si>
    <t>附注披露信息(上市公司）</t>
  </si>
  <si>
    <t>无需打印</t>
  </si>
  <si>
    <t>复核日期：</t>
  </si>
  <si>
    <t>附注披露信息（国企）</t>
  </si>
  <si>
    <t>明细表</t>
  </si>
  <si>
    <t>D6-2</t>
  </si>
  <si>
    <t>合同资产减值准备明细表</t>
  </si>
  <si>
    <t>D6-3</t>
  </si>
  <si>
    <t>调整分录汇总表</t>
  </si>
  <si>
    <t>D6-4</t>
  </si>
  <si>
    <t>关联关系及交易检查</t>
  </si>
  <si>
    <t>D6-5</t>
  </si>
  <si>
    <t>合同资产检查表</t>
  </si>
  <si>
    <t>D6-6</t>
  </si>
  <si>
    <t>合同资产减值准备会计政策检查</t>
  </si>
  <si>
    <t>D6-7</t>
  </si>
  <si>
    <t>减值准备测算</t>
  </si>
  <si>
    <t>D6-8</t>
  </si>
  <si>
    <t>减值准备转回、核销检查表</t>
  </si>
  <si>
    <t>D6-9</t>
  </si>
  <si>
    <t>致同会计师事务所</t>
  </si>
  <si>
    <t>合同资产的实质性程序</t>
  </si>
  <si>
    <t>索引号：</t>
  </si>
  <si>
    <t>页次：</t>
  </si>
  <si>
    <t>一、本循环涉及的财务报表项目</t>
  </si>
  <si>
    <t>合同资产</t>
  </si>
  <si>
    <t>二、审计目标与认定的对应关系</t>
  </si>
  <si>
    <t>审计目标</t>
  </si>
  <si>
    <t>财务报表的认定　</t>
  </si>
  <si>
    <t>A.资产负债表中记录的合同资产是存在的，且已经记录在恰当的账户中</t>
  </si>
  <si>
    <t>存在</t>
  </si>
  <si>
    <t>B.所有应记录的合同资产均已记录，所有应当包括在财务报表中的相关披露均已包括</t>
  </si>
  <si>
    <t>完整性</t>
  </si>
  <si>
    <t>C.记录的合同资产由被审计单位拥有或控制</t>
  </si>
  <si>
    <t>权利和义务</t>
  </si>
  <si>
    <t xml:space="preserve">D.合同资产以恰当的金额包括在财务报表中，与之相关的计价或分摊调整已恰当记录，相关披露已得到恰当计量和描述 </t>
  </si>
  <si>
    <t>准确性、计价和分摊</t>
  </si>
  <si>
    <t>E.合同资产已被恰当地汇总或分解且表述清楚，相关披露在按照企业会计准则的编制基础下是相关的、可理解的</t>
  </si>
  <si>
    <t>列报</t>
  </si>
  <si>
    <t>三、计划实施的实质性程序</t>
  </si>
  <si>
    <t>审计程序</t>
  </si>
  <si>
    <t>程序分类</t>
  </si>
  <si>
    <t>财务报表的认定</t>
  </si>
  <si>
    <t>底稿索引号</t>
  </si>
  <si>
    <t>权利
和义务</t>
  </si>
  <si>
    <t>准确性、计价
和分摊</t>
  </si>
  <si>
    <t>1</t>
  </si>
  <si>
    <t>获取或编制合同资产明细表，完成以下工作，并编制审定表
（1）复核加计是否正确，与总账、明细账合计数核对是否相符，期初余额与上期审定期末余额是否相符；
（2）获取管理层编制的合同资产账龄分析表，检查账龄划分是否正确；
（3）检查非记账本位币合同资产折算是否正确。</t>
  </si>
  <si>
    <t>常规★</t>
  </si>
  <si>
    <t>√</t>
  </si>
  <si>
    <t>D6-1
/D6-2
/D6-3</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</si>
  <si>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</si>
  <si>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</si>
  <si>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T1</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</si>
  <si>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</si>
  <si>
    <t>3</t>
  </si>
  <si>
    <r>
      <rPr>
        <sz val="10"/>
        <rFont val="宋体"/>
        <family val="3"/>
        <charset val="134"/>
        <scheme val="minor"/>
      </rPr>
      <t>取得合同资产期初余额明细表复核加计是否正确，与总账、明细账合计数是否相符；检查期初合同资产在本期结算情况，函证期初余额以及其他必要追加的审计程序。</t>
    </r>
    <r>
      <rPr>
        <sz val="10"/>
        <color rgb="FFFF0000"/>
        <rFont val="宋体"/>
        <family val="3"/>
        <charset val="134"/>
        <scheme val="minor"/>
      </rPr>
      <t>（适用于首次承接）</t>
    </r>
  </si>
  <si>
    <t>期初余额</t>
  </si>
  <si>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</si>
  <si>
    <t>4</t>
  </si>
  <si>
    <t>实施分析性程序：
（1）分析借贷方发生额，与对应科目比较是否存在异常；
（2）比较主要客户合同资产余额变动情况，分析合理性；
（3）与期初余额账龄比较，分析变动合理性。</t>
  </si>
  <si>
    <r>
      <rPr>
        <b/>
        <sz val="10"/>
        <color theme="1"/>
        <rFont val="宋体"/>
        <family val="3"/>
        <charset val="134"/>
      </rPr>
      <t>√</t>
    </r>
  </si>
  <si>
    <r>
      <rPr>
        <sz val="10"/>
        <color theme="1"/>
        <rFont val="宋体"/>
        <family val="3"/>
        <charset val="134"/>
      </rPr>
      <t>√</t>
    </r>
  </si>
  <si>
    <t>D6-1
/D6-2</t>
  </si>
  <si>
    <t>合同资产由被审计单位生成的信息例如：合同资产项目台账等被审计单位提供信息</t>
  </si>
  <si>
    <t>5</t>
  </si>
  <si>
    <t>获取合同资产账龄表：
(1）确定计算准确性并与总账核对一致；
(2）对重要合同资产账龄进行重新计算，与被审计单位提供的账龄表进行比较；
(3）对于发现的重大不一致，询问客户内部适当人员，并检查原始凭证，测试账龄划分的准确性。</t>
  </si>
  <si>
    <t>6</t>
  </si>
  <si>
    <t>对于长期未结转大额合同资产，应了解原因，并分析合理性。</t>
  </si>
  <si>
    <r>
      <rPr>
        <b/>
        <sz val="10"/>
        <rFont val="宋体"/>
        <family val="3"/>
        <charset val="134"/>
      </rPr>
      <t>√</t>
    </r>
  </si>
  <si>
    <t>7</t>
  </si>
  <si>
    <t>结合营业收入及应收账款函证，实施函证程序。</t>
  </si>
  <si>
    <t>D0</t>
  </si>
  <si>
    <t>8</t>
  </si>
  <si>
    <t>检查对关联方的合同资产：
（1）了解交易的商业理由、交易事项的目的、价格和条件，考虑对关联方合同资产的合理性、合法性；
（2）检查证实交易的支持性文件（例如，发票、合同、协议和运输单据等相关文件）
（3）考虑向关联方或其他注册会计师函证重大的关联销售交易（包括担保和其他重要信息）；
（4）必要时，向与交易相关的人员和机构（如银行、律师）函证或与其讨论有关信息。
（5）考虑是否存在未识别的关联方，关联余额披露是否正确。</t>
  </si>
  <si>
    <t>9</t>
  </si>
  <si>
    <t>10</t>
  </si>
  <si>
    <t>检查合同资产坏账准备计提是否正确：
（1）了解合同资产坏账准备计提会计政策，确定合同资产坏账准备是否以预期信用损失为基础计提，计提政策是否恰当，是否一贯执行。
（2）重新计算坏账准备，与被审计单位已记录的坏账准备进行比较。
（3）关注大额坏账准备转回是否合理。实际发生坏账损失的，检查转销依据是否符合有关规定，会计处理是否正确。已经确认并转销的坏账重新收回的，检查其会计处理是否正确。</t>
  </si>
  <si>
    <t>D6-7
/D6-8
/D7-9</t>
  </si>
  <si>
    <t>11</t>
  </si>
  <si>
    <t>结合营业收入审计，对重要的客户进行背景调查、电话访谈、实地走访等，核实合同资产真实性。</t>
  </si>
  <si>
    <t>IPO/上市公司/新三板/舞弊应对</t>
  </si>
  <si>
    <t>D4-24
/D4-25
/D4-26
/D4-27
/D4-28</t>
  </si>
  <si>
    <t>12</t>
  </si>
  <si>
    <t>针对评估的舞弊风险等因素增加的审计程序。</t>
  </si>
  <si>
    <t>13</t>
  </si>
  <si>
    <t>检查合同资产是否已按企业会计准则或其他适用的规定在财务报表中做出恰当列报和披露。</t>
  </si>
  <si>
    <r>
      <rPr>
        <sz val="10"/>
        <rFont val="宋体"/>
        <family val="3"/>
        <charset val="134"/>
      </rPr>
      <t>√</t>
    </r>
  </si>
  <si>
    <r>
      <rPr>
        <sz val="10"/>
        <rFont val="Arial Narrow"/>
        <family val="2"/>
      </rPr>
      <t>A1-1/</t>
    </r>
    <r>
      <rPr>
        <sz val="10"/>
        <color rgb="FFFF0000"/>
        <rFont val="Arial Narrow"/>
        <family val="2"/>
      </rPr>
      <t>A1-15 /A1-16</t>
    </r>
  </si>
  <si>
    <r>
      <rPr>
        <b/>
        <sz val="10"/>
        <rFont val="宋体"/>
        <family val="3"/>
        <charset val="134"/>
      </rPr>
      <t>致同会计师事务所</t>
    </r>
  </si>
  <si>
    <t>客户名称：</t>
  </si>
  <si>
    <r>
      <rPr>
        <sz val="10"/>
        <rFont val="宋体"/>
        <family val="3"/>
        <charset val="134"/>
      </rPr>
      <t>索引号：</t>
    </r>
    <r>
      <rPr>
        <sz val="10"/>
        <rFont val="Arial Narrow"/>
        <family val="2"/>
      </rPr>
      <t>D7A</t>
    </r>
  </si>
  <si>
    <t>截止日：2024年12月31日</t>
  </si>
  <si>
    <r>
      <rPr>
        <sz val="10"/>
        <rFont val="宋体"/>
        <family val="3"/>
        <charset val="134"/>
      </rPr>
      <t>页次：</t>
    </r>
  </si>
  <si>
    <r>
      <rPr>
        <b/>
        <sz val="10"/>
        <rFont val="宋体"/>
        <family val="3"/>
        <charset val="134"/>
      </rPr>
      <t>二、重大错报风险需从实质性程序获取的保证程度</t>
    </r>
  </si>
  <si>
    <r>
      <rPr>
        <b/>
        <sz val="10"/>
        <rFont val="宋体"/>
        <family val="3"/>
        <charset val="134"/>
      </rPr>
      <t>根据风险评估和内控测试的结果按下列顺序作出判断：</t>
    </r>
  </si>
  <si>
    <r>
      <rPr>
        <b/>
        <sz val="10"/>
        <rFont val="宋体"/>
        <family val="3"/>
        <charset val="134"/>
      </rPr>
      <t>财务报表的认定　</t>
    </r>
  </si>
  <si>
    <r>
      <rPr>
        <sz val="10"/>
        <rFont val="宋体"/>
        <family val="3"/>
        <charset val="134"/>
      </rPr>
      <t>信赖</t>
    </r>
    <r>
      <rPr>
        <sz val="10"/>
        <rFont val="Arial Narrow"/>
        <family val="2"/>
      </rPr>
      <t>/</t>
    </r>
    <r>
      <rPr>
        <sz val="10"/>
        <rFont val="宋体"/>
        <family val="3"/>
        <charset val="134"/>
      </rPr>
      <t>不信赖</t>
    </r>
    <r>
      <rPr>
        <sz val="10"/>
        <rFont val="Arial Narrow"/>
        <family val="2"/>
      </rPr>
      <t>/</t>
    </r>
    <r>
      <rPr>
        <sz val="10"/>
        <rFont val="宋体"/>
        <family val="3"/>
        <charset val="134"/>
      </rPr>
      <t>不适用</t>
    </r>
  </si>
  <si>
    <r>
      <rPr>
        <sz val="10"/>
        <rFont val="宋体"/>
        <family val="3"/>
        <charset val="134"/>
      </rPr>
      <t>索引号</t>
    </r>
  </si>
  <si>
    <r>
      <rPr>
        <sz val="10"/>
        <rFont val="宋体"/>
        <family val="3"/>
        <charset val="134"/>
      </rPr>
      <t>完整性</t>
    </r>
  </si>
  <si>
    <t>计价
和分摊</t>
  </si>
  <si>
    <t>列报和披露</t>
  </si>
  <si>
    <t>A资产负债表中记录的合同资产是存在的。</t>
  </si>
  <si>
    <t>B22-2,B22-3</t>
  </si>
  <si>
    <t>B所有应当记录的合同资产均已记录。</t>
  </si>
  <si>
    <t>C2</t>
  </si>
  <si>
    <r>
      <rPr>
        <sz val="10"/>
        <rFont val="Arial Narrow"/>
        <family val="2"/>
      </rPr>
      <t>C</t>
    </r>
    <r>
      <rPr>
        <sz val="10"/>
        <rFont val="宋体"/>
        <family val="3"/>
        <charset val="134"/>
      </rPr>
      <t>记录的合同资产由被审计单位拥有或控制。</t>
    </r>
  </si>
  <si>
    <t>——</t>
  </si>
  <si>
    <t>D合同资产以恰当的金额包括在财务报表中，与之相关的计价调整已恰当记录。</t>
  </si>
  <si>
    <t>E合同资产已按照企业会计准则的规定在财务报表中作出恰当列报和披露。</t>
  </si>
  <si>
    <r>
      <rPr>
        <b/>
        <sz val="10"/>
        <rFont val="宋体"/>
        <family val="3"/>
        <charset val="134"/>
      </rPr>
      <t>三、计划实施的实质性程序</t>
    </r>
  </si>
  <si>
    <t>软件专用</t>
  </si>
  <si>
    <r>
      <rPr>
        <b/>
        <sz val="10"/>
        <rFont val="宋体"/>
        <family val="3"/>
        <charset val="134"/>
      </rPr>
      <t>序号</t>
    </r>
  </si>
  <si>
    <r>
      <rPr>
        <b/>
        <sz val="10"/>
        <rFont val="宋体"/>
        <family val="3"/>
        <charset val="134"/>
      </rPr>
      <t>审计程序</t>
    </r>
  </si>
  <si>
    <r>
      <rPr>
        <b/>
        <sz val="10"/>
        <rFont val="宋体"/>
        <family val="3"/>
        <charset val="134"/>
      </rPr>
      <t>执行情况说明
（含底稿索引）</t>
    </r>
  </si>
  <si>
    <r>
      <rPr>
        <b/>
        <sz val="10"/>
        <color theme="0" tint="-0.499984740745262"/>
        <rFont val="宋体"/>
        <family val="3"/>
        <charset val="134"/>
      </rPr>
      <t>风险</t>
    </r>
  </si>
  <si>
    <r>
      <rPr>
        <b/>
        <sz val="10"/>
        <color theme="0" tint="-0.499984740745262"/>
        <rFont val="宋体"/>
        <family val="3"/>
        <charset val="134"/>
      </rPr>
      <t>开机启动项</t>
    </r>
  </si>
  <si>
    <t>问题</t>
  </si>
  <si>
    <t>一</t>
  </si>
  <si>
    <t>编制审定表</t>
  </si>
  <si>
    <t>B</t>
  </si>
  <si>
    <t>D7</t>
  </si>
  <si>
    <t>收入 Revenues-1</t>
  </si>
  <si>
    <t>二</t>
  </si>
  <si>
    <t>获取或编制合同资产（包括其他非流动资产中列示的合同资产）明细表。</t>
  </si>
  <si>
    <t>C</t>
  </si>
  <si>
    <t>D7-2</t>
  </si>
  <si>
    <t>复核加计正确</t>
  </si>
  <si>
    <t>将总金额与总账、明细账合计数核对相符</t>
  </si>
  <si>
    <r>
      <rPr>
        <b/>
        <sz val="10"/>
        <rFont val="宋体"/>
        <family val="3"/>
        <charset val="134"/>
      </rPr>
      <t>三</t>
    </r>
  </si>
  <si>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</si>
  <si>
    <t>获取有关信息准确性和完整性的审计证据。</t>
  </si>
  <si>
    <r>
      <rPr>
        <sz val="10"/>
        <rFont val="宋体"/>
        <family val="3"/>
        <charset val="134"/>
      </rPr>
      <t>评价信息对实现审计目的是否足够准确和详细。</t>
    </r>
  </si>
  <si>
    <t>四</t>
  </si>
  <si>
    <t>测试上期合同资产（包括其他非流动资产中列示的合同资产）期末余额。（适用于实施新收入准则后的首次承接）</t>
  </si>
  <si>
    <r>
      <rPr>
        <sz val="10"/>
        <color indexed="8"/>
        <rFont val="宋体"/>
        <family val="3"/>
        <charset val="134"/>
      </rPr>
      <t>备选</t>
    </r>
  </si>
  <si>
    <t>D</t>
  </si>
  <si>
    <r>
      <rPr>
        <sz val="10"/>
        <rFont val="宋体"/>
        <family val="3"/>
        <charset val="134"/>
      </rPr>
      <t>收入</t>
    </r>
    <r>
      <rPr>
        <sz val="10"/>
        <rFont val="Arial Narrow"/>
        <family val="2"/>
      </rPr>
      <t xml:space="preserve"> Revenues-10</t>
    </r>
  </si>
  <si>
    <r>
      <rPr>
        <sz val="10"/>
        <rFont val="宋体"/>
        <family val="3"/>
        <charset val="134"/>
      </rPr>
      <t>首次承接</t>
    </r>
  </si>
  <si>
    <t>向被审计单位人员询问前期期末关于收入截止的相关处理。</t>
  </si>
  <si>
    <r>
      <rPr>
        <sz val="10"/>
        <rFont val="宋体"/>
        <family val="3"/>
        <charset val="134"/>
      </rPr>
      <t>复核资产负债表日前后一段合理期间里的销售分录，调查任何异常分录。</t>
    </r>
    <r>
      <rPr>
        <sz val="10"/>
        <rFont val="Arial Narrow"/>
        <family val="2"/>
      </rPr>
      <t xml:space="preserve"> </t>
    </r>
  </si>
  <si>
    <t>复核资产负债表日前后一段合理期间里销售退回或销售折扣的记录。</t>
  </si>
  <si>
    <t>调查接近前期期末发生的大额或异常的销售交易。</t>
  </si>
  <si>
    <t>五</t>
  </si>
  <si>
    <t>重大会计政策、会计估计合理性检查</t>
  </si>
  <si>
    <t>ABCD</t>
  </si>
  <si>
    <t>D7-13</t>
  </si>
  <si>
    <r>
      <rPr>
        <sz val="10"/>
        <rFont val="宋体"/>
        <family val="3"/>
        <charset val="134"/>
      </rPr>
      <t>收入</t>
    </r>
    <r>
      <rPr>
        <sz val="10"/>
        <rFont val="Arial Narrow"/>
        <family val="2"/>
      </rPr>
      <t xml:space="preserve"> Revenues-12,</t>
    </r>
    <r>
      <rPr>
        <sz val="10"/>
        <rFont val="宋体"/>
        <family val="3"/>
        <charset val="134"/>
      </rPr>
      <t>收入</t>
    </r>
    <r>
      <rPr>
        <sz val="10"/>
        <rFont val="Arial Narrow"/>
        <family val="2"/>
      </rPr>
      <t xml:space="preserve"> Revenues-20</t>
    </r>
  </si>
  <si>
    <r>
      <rPr>
        <sz val="10"/>
        <rFont val="宋体"/>
        <family val="3"/>
        <charset val="134"/>
      </rPr>
      <t>检查合同资产减值准备计提的会计政策的合理性，并与前期进行对比，分析其是否前后一致。与同行业其他公司的会计政策进行对比，关注其是否利用会计政策和会计估计变更操纵利润。</t>
    </r>
    <r>
      <rPr>
        <sz val="10"/>
        <rFont val="Arial Narrow"/>
        <family val="2"/>
      </rPr>
      <t>&lt;CSRC14-9&gt;</t>
    </r>
  </si>
  <si>
    <t>常规</t>
  </si>
  <si>
    <r>
      <rPr>
        <sz val="10"/>
        <rFont val="宋体"/>
        <family val="3"/>
        <charset val="134"/>
      </rPr>
      <t>收入</t>
    </r>
    <r>
      <rPr>
        <sz val="10"/>
        <rFont val="Arial Narrow"/>
        <family val="2"/>
      </rPr>
      <t xml:space="preserve"> Revenues-20</t>
    </r>
  </si>
  <si>
    <r>
      <rPr>
        <sz val="10"/>
        <rFont val="宋体"/>
        <family val="3"/>
        <charset val="134"/>
      </rPr>
      <t>根据执行程序的结果，包括回顾上期估计值与当期结果，考虑管理层在作出会计估计时的判断和决策时，是否表明存在管理层偏向的迹象。</t>
    </r>
    <r>
      <rPr>
        <sz val="10"/>
        <rFont val="Arial Narrow"/>
        <family val="2"/>
      </rPr>
      <t xml:space="preserve"> </t>
    </r>
  </si>
  <si>
    <t>六</t>
  </si>
  <si>
    <t>重要合同（包括涉及特定交易的合同）及其履行情况检查：</t>
  </si>
  <si>
    <t>ABC</t>
  </si>
  <si>
    <t>D7-18</t>
  </si>
  <si>
    <r>
      <rPr>
        <sz val="10"/>
        <rFont val="宋体"/>
        <family val="3"/>
        <charset val="134"/>
      </rPr>
      <t>收入</t>
    </r>
    <r>
      <rPr>
        <sz val="10"/>
        <rFont val="Arial Narrow"/>
        <family val="2"/>
      </rPr>
      <t xml:space="preserve"> Revenues-15</t>
    </r>
  </si>
  <si>
    <t>删除</t>
  </si>
  <si>
    <t>分业务类型选取重要合同样本，分析合同是否成立（同时满足合同成立的五项条件）。</t>
  </si>
  <si>
    <t>判断被审计单位对合同所包含的各单项履约义务（客户能够从该商品本身或从该商品与其他易于获得资源一起使用中受益；企业向客户转让该商品的承诺与合同中其他承诺可单独区分）的评估是否恰当。</t>
  </si>
  <si>
    <t>检查重要销售或服务合同的定价和条款，确定是否符合销售及信用管理政策，并测试交易价格的确定是否正确。
考虑代第三方收取的款项、预期将退还给客户的款项，以及可变对价（如现金折扣、数量折扣、价格折让等）、合同中存在的重大融资成分、非现金对价、应付客户对价等因素的影响。</t>
  </si>
  <si>
    <t>合同中包含两项或多项履约义务的，测试交易价格的分摊是否正确。考虑单独售价的估计方法、合同折扣的分摊、可变对价后续变动额的分摊是否合理。</t>
  </si>
  <si>
    <t>判断收入的确认（在某一时点履行履约义务、在某一时段内履行履约义务）及控制权转移时点或期间的判断是否恰当。</t>
  </si>
  <si>
    <r>
      <rPr>
        <sz val="10"/>
        <rFont val="宋体"/>
        <family val="3"/>
        <charset val="134"/>
      </rPr>
      <t>确定交易是否按合同条款履行（考虑直接与合同方函证合同条款）。</t>
    </r>
    <r>
      <rPr>
        <sz val="10"/>
        <rFont val="Arial Narrow"/>
        <family val="2"/>
      </rPr>
      <t xml:space="preserve"> </t>
    </r>
  </si>
  <si>
    <t>对于被审计单位与同一客户（或该客户的关联方）同时订立或在相近时间内先后订立的两份或多份合同，分析会计处理是否正确。</t>
  </si>
  <si>
    <t>备选</t>
  </si>
  <si>
    <r>
      <rPr>
        <sz val="10"/>
        <rFont val="宋体"/>
        <family val="3"/>
        <charset val="134"/>
      </rPr>
      <t>收入</t>
    </r>
    <r>
      <rPr>
        <sz val="10"/>
        <rFont val="Arial Narrow"/>
        <family val="2"/>
      </rPr>
      <t xml:space="preserve"> Revenues-12</t>
    </r>
  </si>
  <si>
    <r>
      <rPr>
        <sz val="10"/>
        <rFont val="宋体"/>
        <family val="3"/>
        <charset val="134"/>
      </rPr>
      <t>收入</t>
    </r>
    <r>
      <rPr>
        <sz val="10"/>
        <rFont val="Arial Narrow"/>
        <family val="2"/>
      </rPr>
      <t>4-1</t>
    </r>
  </si>
  <si>
    <r>
      <rPr>
        <sz val="10"/>
        <rFont val="宋体"/>
        <family val="3"/>
        <charset val="134"/>
      </rPr>
      <t>确定对原始合同的修改以及增加均有签字确认，分析合同变更的会计处理是否正确。</t>
    </r>
    <r>
      <rPr>
        <sz val="10"/>
        <rFont val="Arial Narrow"/>
        <family val="2"/>
      </rPr>
      <t xml:space="preserve"> </t>
    </r>
  </si>
  <si>
    <t>判断特定交易的会计处理是否正确。</t>
  </si>
  <si>
    <t>七</t>
  </si>
  <si>
    <t>确定坏账准备计提的是否充分。</t>
  </si>
  <si>
    <t>D7-14</t>
  </si>
  <si>
    <t>取得包括账龄或逾期信息的应收票据、应收账款、合同资产明细表，测试账龄或逾期信息的划分是否正确。</t>
  </si>
  <si>
    <t>重新计算应计提的坏账准备，与被审计单位已记录的坏账准备进行比较，调整差异。特别关注大额坏账准备转回是否合理。</t>
  </si>
  <si>
    <t>分析已计提的准备是否以预期信用损失为基础，反映通过评价一系列可能的结果而确定的无偏概率加权平均金额、货币时间价值，及在资产负债表日无须付出不必要的额外成本或努力即可获得的有关过去事项、当前状况以及未来经济状况预测的合理且有依据的信息。</t>
  </si>
  <si>
    <t>实际发生坏账损失的，检查转销依据是否符合有关规定，会计处理是否正确。</t>
  </si>
  <si>
    <t>已经确认并转销的坏账重新收回的，检查其会计处理是否正确。</t>
  </si>
  <si>
    <t>八</t>
  </si>
  <si>
    <t>使用积极式函证方式对合同资产进行函证</t>
  </si>
  <si>
    <t>应收账款,主营业务收入,合同负债</t>
  </si>
  <si>
    <t>AC</t>
  </si>
  <si>
    <t>D7-6、D7-7、D7-8</t>
  </si>
  <si>
    <r>
      <rPr>
        <sz val="10"/>
        <rFont val="宋体"/>
        <family val="3"/>
        <charset val="134"/>
      </rPr>
      <t>收入</t>
    </r>
    <r>
      <rPr>
        <sz val="10"/>
        <rFont val="Arial Narrow"/>
        <family val="2"/>
      </rPr>
      <t xml:space="preserve"> Revenues-10,</t>
    </r>
    <r>
      <rPr>
        <sz val="10"/>
        <rFont val="宋体"/>
        <family val="3"/>
        <charset val="134"/>
      </rPr>
      <t>收入</t>
    </r>
    <r>
      <rPr>
        <sz val="10"/>
        <rFont val="Arial Narrow"/>
        <family val="2"/>
      </rPr>
      <t xml:space="preserve"> Revenues-11,</t>
    </r>
    <r>
      <rPr>
        <sz val="10"/>
        <rFont val="宋体"/>
        <family val="3"/>
        <charset val="134"/>
      </rPr>
      <t>收入</t>
    </r>
    <r>
      <rPr>
        <sz val="10"/>
        <rFont val="Arial Narrow"/>
        <family val="2"/>
      </rPr>
      <t xml:space="preserve"> Revenues-12,</t>
    </r>
    <r>
      <rPr>
        <sz val="10"/>
        <rFont val="宋体"/>
        <family val="3"/>
        <charset val="134"/>
      </rPr>
      <t>收入</t>
    </r>
    <r>
      <rPr>
        <sz val="10"/>
        <rFont val="Arial Narrow"/>
        <family val="2"/>
      </rPr>
      <t xml:space="preserve"> Revenues-13</t>
    </r>
  </si>
  <si>
    <r>
      <rPr>
        <sz val="10"/>
        <rFont val="宋体"/>
        <family val="3"/>
        <charset val="134"/>
      </rPr>
      <t>样本的选择：
对总体中特定项目（金额重大、性质特殊）全部进行函证，对于剩余项目，如果总体重要，则选用抽样方法，如果总体不重要的，仅执行分析程序。</t>
    </r>
    <r>
      <rPr>
        <sz val="10"/>
        <rFont val="Arial Narrow"/>
        <family val="2"/>
      </rPr>
      <t xml:space="preserve"> Select %S items using an appropriate selection method.</t>
    </r>
  </si>
  <si>
    <t>(1)</t>
  </si>
  <si>
    <r>
      <rPr>
        <sz val="10"/>
        <rFont val="宋体"/>
        <family val="3"/>
        <charset val="134"/>
      </rPr>
      <t>抽样方法：使用</t>
    </r>
    <r>
      <rPr>
        <sz val="10"/>
        <rFont val="Arial Narrow"/>
        <family val="2"/>
      </rPr>
      <t>IDEA</t>
    </r>
    <r>
      <rPr>
        <sz val="10"/>
        <rFont val="宋体"/>
        <family val="3"/>
        <charset val="134"/>
      </rPr>
      <t>选择</t>
    </r>
    <r>
      <rPr>
        <sz val="10"/>
        <rFont val="Arial Narrow"/>
        <family val="2"/>
      </rPr>
      <t>%</t>
    </r>
    <r>
      <rPr>
        <sz val="10"/>
        <rFont val="宋体"/>
        <family val="3"/>
        <charset val="134"/>
      </rPr>
      <t>样本，并记录选样标准</t>
    </r>
    <r>
      <rPr>
        <sz val="10"/>
        <rFont val="Arial Narrow"/>
        <family val="2"/>
      </rPr>
      <t>Use IDEA to select %S items.</t>
    </r>
  </si>
  <si>
    <t>(2)</t>
  </si>
  <si>
    <t>记录函证抽样的依据及比例。</t>
  </si>
  <si>
    <t>设计询证函（可以采用事务所的模板，或根据需要在模板基础上修改），考虑制作询证函防伪标识，并在发函前核实被函证单位信息（函证科目、客户名称、通讯地址、联系人、联系电话、邮政编码、函证人等），对于函证地址与注册地址、办公地址等不一致，不同客户或供应商的函证地址相近、电话号段相邻，函证联系人并非被询证单位员工等情况，需核查并记录原因。</t>
  </si>
  <si>
    <t>对函证过程实施控制：验证被函证对象信息；询证函须由注册会计师直接收发；在底稿中记录控制过程，跟函时观察实地场所以及函证核对过程，确认处理函证的人员身份和权限，防范询证函被拦截、篡改或发生串通舞弊；保存发函回执及收函的相关证据。</t>
  </si>
  <si>
    <t>D7-6</t>
  </si>
  <si>
    <t>（1）</t>
  </si>
  <si>
    <t>核实快递物流信息、比对回函印章和签字，确认回函联系人及回函地址的真实性。</t>
  </si>
  <si>
    <t>（2）</t>
  </si>
  <si>
    <t>分析核实未回函、回函不符及回函率较低的原因，必要时实施再次发函、现场走访等程序，获取账面记录与外部证据矛盾的审计证据。</t>
  </si>
  <si>
    <t>（3）</t>
  </si>
  <si>
    <t>回函情况较好时，应结合风险评估情况及各类风险迹象，考虑串通舞弊、伪造交易的可能性等。</t>
  </si>
  <si>
    <t>如果被询证者以传真、电子邮件等方式回函，审计项目组应当直接接收，并要求被询证者在审计报告日之前寄回询证函原件。如果审计项目组在审计报告日之前未收到询证函原件，应当实施以下程序：</t>
  </si>
  <si>
    <r>
      <rPr>
        <sz val="10"/>
        <rFont val="宋体"/>
        <family val="3"/>
        <charset val="134"/>
      </rPr>
      <t>对于以传真方式收到的回函，需致电被询证者并与其确认回函的真实性。并将执行上述确认过程的审计人员姓名及日期、获得被询证者电话的方式、被询证者联络人员姓名及所属部门、沟通的过程及其结果等内容清晰地记录在审计工作底稿中。</t>
    </r>
  </si>
  <si>
    <t>对于以电子邮件方式收到的回函，审计项目组应当采用与上条中所述相同的方式与被询者确认回函的真实性，并在审计工作底稿中予以记录。采用电子邮件方式收到函证的控制要点详见函证技术提示4号，链接为：https://www.gt-china.com.cn/article_view.php?id=9691。</t>
  </si>
  <si>
    <t>利用第三方电子函证平台收发函证的，项目组应当评估第三方电子函证平台服务的可靠性，了解资质认证或有关控制设计及运行的有效性。第三方电子询证函平台的安全性评估内容相关要点详见函证技术提示3号，链接为：https://www.gt-china.com.cn/article_view.php?id=9682</t>
  </si>
  <si>
    <t>调查那些退回、无法寄到的函证，确定相关账户是否真实。</t>
  </si>
  <si>
    <t>对未回应客户执行二次发函。</t>
  </si>
  <si>
    <t>针对最终未回函的全部账户实施替代审计程序</t>
  </si>
  <si>
    <t>D7-10</t>
  </si>
  <si>
    <t>编制“合同资产函证结果汇总表”，对函证结果进行评价。</t>
  </si>
  <si>
    <t>D7-4</t>
  </si>
  <si>
    <t>分析不符事项原因，编制“合同资产函证结果调节表”进行调节，并检查支持凭证；如果不符事项构成错报，重新考虑所实施审计程序的性质、时间和范围。</t>
  </si>
  <si>
    <r>
      <rPr>
        <sz val="10"/>
        <rFont val="宋体"/>
        <family val="3"/>
        <charset val="134"/>
      </rPr>
      <t>用样本评估工具推算总体误差。</t>
    </r>
    <r>
      <rPr>
        <sz val="10"/>
        <rFont val="Arial Narrow"/>
        <family val="2"/>
      </rPr>
      <t xml:space="preserve"> </t>
    </r>
    <r>
      <rPr>
        <sz val="10"/>
        <rFont val="宋体"/>
        <family val="3"/>
        <charset val="134"/>
      </rPr>
      <t>在</t>
    </r>
    <r>
      <rPr>
        <sz val="10"/>
        <rFont val="宋体"/>
        <family val="3"/>
        <charset val="134"/>
      </rPr>
      <t>“</t>
    </r>
    <r>
      <rPr>
        <sz val="10"/>
        <rFont val="宋体"/>
        <family val="3"/>
        <charset val="134"/>
      </rPr>
      <t>未更正错报汇总表</t>
    </r>
    <r>
      <rPr>
        <sz val="10"/>
        <rFont val="宋体"/>
        <family val="3"/>
        <charset val="134"/>
      </rPr>
      <t>”</t>
    </r>
    <r>
      <rPr>
        <sz val="10"/>
        <rFont val="宋体"/>
        <family val="3"/>
        <charset val="134"/>
      </rPr>
      <t>中记录推断的误差。</t>
    </r>
  </si>
  <si>
    <r>
      <rPr>
        <sz val="10"/>
        <rFont val="宋体"/>
        <family val="3"/>
        <charset val="134"/>
      </rPr>
      <t>对于管理层不允许寄发询证函的，列出客户清单，询问管理层不允许寄发的原因，并就其原因的正当、合理性收集证据。</t>
    </r>
    <r>
      <rPr>
        <sz val="10"/>
        <rFont val="Arial Narrow"/>
        <family val="2"/>
      </rPr>
      <t xml:space="preserve"> </t>
    </r>
  </si>
  <si>
    <t>评价管理层不允许寄发询证函对评估的重大错报风险（包括舞弊风险）的影响，考虑对其他审计程序的性质、时间安排和范围的影响。</t>
  </si>
  <si>
    <t>实施替代审计程序，以获取相关、可靠的审计证据。</t>
  </si>
  <si>
    <t>(3)</t>
  </si>
  <si>
    <t>如果认为管理层不允许寄发询证函的原因不合理，或实施替代程序无法获取相关、可靠的审计证据，考虑是否表明存在舞弊或错报，与治理层进行沟通，并确定其对审计工作和审计意见的影响。</t>
  </si>
  <si>
    <t>九</t>
  </si>
  <si>
    <r>
      <rPr>
        <sz val="10"/>
        <rFont val="宋体"/>
        <family val="3"/>
        <charset val="134"/>
      </rPr>
      <t>针对评估的舞弊风险等因素增加的审计程序。</t>
    </r>
  </si>
  <si>
    <t>AB</t>
  </si>
  <si>
    <t>十</t>
  </si>
  <si>
    <t>确定需在财务报表中单独披露的信息已被记录。</t>
  </si>
  <si>
    <t>E</t>
  </si>
  <si>
    <t>D7-1</t>
  </si>
  <si>
    <t>分析合同资产是否正确列示。</t>
  </si>
  <si>
    <t>检查与收入有关的信息是否恰当披露。</t>
  </si>
  <si>
    <r>
      <rPr>
        <b/>
        <sz val="16"/>
        <color rgb="FF0000FF"/>
        <rFont val="宋体"/>
        <family val="3"/>
        <charset val="134"/>
      </rPr>
      <t>补充</t>
    </r>
    <r>
      <rPr>
        <b/>
        <sz val="16"/>
        <color rgb="FF0000FF"/>
        <rFont val="Arial Narrow"/>
        <family val="2"/>
      </rPr>
      <t>-</t>
    </r>
    <r>
      <rPr>
        <b/>
        <sz val="16"/>
        <color rgb="FF0000FF"/>
        <rFont val="宋体"/>
        <family val="3"/>
        <charset val="134"/>
      </rPr>
      <t>特定行业或业务审计程序</t>
    </r>
    <r>
      <rPr>
        <b/>
        <sz val="16"/>
        <color rgb="FF0000FF"/>
        <rFont val="Arial Narrow"/>
        <family val="2"/>
      </rPr>
      <t>N</t>
    </r>
  </si>
  <si>
    <r>
      <rPr>
        <sz val="10"/>
        <color rgb="FF0000FF"/>
        <rFont val="Arial Narrow"/>
        <family val="2"/>
      </rPr>
      <t>*</t>
    </r>
    <r>
      <rPr>
        <sz val="10"/>
        <color rgb="FF0000FF"/>
        <rFont val="宋体"/>
        <family val="3"/>
        <charset val="134"/>
      </rPr>
      <t>不适用请删除</t>
    </r>
  </si>
  <si>
    <r>
      <rPr>
        <b/>
        <sz val="10"/>
        <color rgb="FF0000FF"/>
        <rFont val="宋体"/>
        <family val="3"/>
        <charset val="134"/>
      </rPr>
      <t>序号</t>
    </r>
  </si>
  <si>
    <r>
      <rPr>
        <b/>
        <sz val="10"/>
        <color rgb="FF0000FF"/>
        <rFont val="宋体"/>
        <family val="3"/>
        <charset val="134"/>
      </rPr>
      <t>程序分类</t>
    </r>
  </si>
  <si>
    <r>
      <rPr>
        <b/>
        <sz val="10"/>
        <color rgb="FF0000FF"/>
        <rFont val="宋体"/>
        <family val="3"/>
        <charset val="134"/>
      </rPr>
      <t>执行情况说明
（含底稿索引）</t>
    </r>
  </si>
  <si>
    <t>对于向客户授予知识产权许可的合同</t>
  </si>
  <si>
    <r>
      <rPr>
        <sz val="10"/>
        <color rgb="FF0000FF"/>
        <rFont val="宋体"/>
        <family val="3"/>
        <charset val="134"/>
      </rPr>
      <t>备选</t>
    </r>
  </si>
  <si>
    <r>
      <rPr>
        <sz val="10"/>
        <rFont val="宋体"/>
        <family val="3"/>
        <charset val="134"/>
      </rPr>
      <t>收入</t>
    </r>
    <r>
      <rPr>
        <sz val="10"/>
        <rFont val="Arial Narrow"/>
        <family val="2"/>
      </rPr>
      <t xml:space="preserve"> Revenues-19</t>
    </r>
  </si>
  <si>
    <t>属于客户仅在同时使用相关服务（例如，由被审计单位提供的在线服务，通过授予使用许可使客户能够访问相关内容）时才能获益的使用许可。</t>
  </si>
  <si>
    <t>判断被审计单位与知识产权许可相关的收入确认时点是否正确（与提供企业知识产权的使用权的许可相关的收入不得在客户能够使用许可并从中获益的期间开始之前确认）。</t>
  </si>
  <si>
    <t>主营业务收入,合同资产、应收账款</t>
  </si>
  <si>
    <t>对于约定按客户实际销售或使用情况收取特许权使用费的合同，收入确认时点是否正确（直至不确定性消除（即，在客户发生后续销售或使用）之前，企业不应就不确定的金额确认任何收入）。</t>
  </si>
  <si>
    <t>十一</t>
  </si>
  <si>
    <t>针对网游企业。</t>
  </si>
  <si>
    <r>
      <rPr>
        <sz val="10"/>
        <color rgb="FF0000FF"/>
        <rFont val="宋体"/>
        <family val="3"/>
        <charset val="134"/>
      </rPr>
      <t>检查线上线下充值活动。</t>
    </r>
  </si>
  <si>
    <r>
      <rPr>
        <sz val="10"/>
        <color rgb="FF0000FF"/>
        <rFont val="宋体"/>
        <family val="3"/>
        <charset val="134"/>
      </rPr>
      <t>了解实物卡销售和充值流程，关注收入确认的时点是否适当。</t>
    </r>
  </si>
  <si>
    <r>
      <rPr>
        <sz val="10"/>
        <color rgb="FF0000FF"/>
        <rFont val="宋体"/>
        <family val="3"/>
        <charset val="134"/>
      </rPr>
      <t>对线上及线下渠道充值情况、实物卡销售情况进行分析性复核。</t>
    </r>
  </si>
  <si>
    <r>
      <rPr>
        <sz val="10"/>
        <color rgb="FF0000FF"/>
        <rFont val="宋体"/>
        <family val="3"/>
        <charset val="134"/>
      </rPr>
      <t>对金额较大的线下和线上渠道商进行背景调查并实地访谈。</t>
    </r>
  </si>
  <si>
    <t>4.2</t>
  </si>
  <si>
    <r>
      <rPr>
        <sz val="10"/>
        <color rgb="FF0000FF"/>
        <rFont val="宋体"/>
        <family val="3"/>
        <charset val="134"/>
      </rPr>
      <t>对于玩家的真实进行调查。</t>
    </r>
  </si>
  <si>
    <r>
      <rPr>
        <sz val="10"/>
        <color rgb="FF0000FF"/>
        <rFont val="宋体"/>
        <family val="3"/>
        <charset val="134"/>
      </rPr>
      <t>电话或面对面访谈玩家验证身份真实性、登录情况、充值及消费情况，对充值超过一定金额的玩家进行面对面访谈。</t>
    </r>
  </si>
  <si>
    <r>
      <rPr>
        <sz val="10"/>
        <color rgb="FF0000FF"/>
        <rFont val="宋体"/>
        <family val="3"/>
        <charset val="134"/>
      </rPr>
      <t>具备条件的实施玩家</t>
    </r>
    <r>
      <rPr>
        <sz val="10"/>
        <color rgb="FF0000FF"/>
        <rFont val="Arial Narrow"/>
        <family val="2"/>
      </rPr>
      <t>MAC</t>
    </r>
    <r>
      <rPr>
        <sz val="10"/>
        <color rgb="FF0000FF"/>
        <rFont val="宋体"/>
        <family val="3"/>
        <charset val="134"/>
      </rPr>
      <t>分析。</t>
    </r>
  </si>
  <si>
    <r>
      <rPr>
        <sz val="10"/>
        <color rgb="FF0000FF"/>
        <rFont val="宋体"/>
        <family val="3"/>
        <charset val="134"/>
      </rPr>
      <t>实施网络流量或费用分析，关注流量费用和收入、玩家数量的匹配关系，与行业指标背离的异常情况。</t>
    </r>
  </si>
  <si>
    <t>（4）</t>
  </si>
  <si>
    <r>
      <rPr>
        <sz val="10"/>
        <color rgb="FF0000FF"/>
        <rFont val="宋体"/>
        <family val="3"/>
        <charset val="134"/>
      </rPr>
      <t>分析玩家地域分布的合理性，是否存在玩家分布与收入分布不匹配情况。</t>
    </r>
  </si>
  <si>
    <t>（5）</t>
  </si>
  <si>
    <r>
      <rPr>
        <sz val="10"/>
        <color rgb="FF0000FF"/>
        <rFont val="宋体"/>
        <family val="3"/>
        <charset val="134"/>
      </rPr>
      <t>登录游戏社区了解用户评价。</t>
    </r>
  </si>
  <si>
    <t>4.3</t>
  </si>
  <si>
    <r>
      <rPr>
        <sz val="10"/>
        <color rgb="FF0000FF"/>
        <rFont val="宋体"/>
        <family val="3"/>
        <charset val="134"/>
      </rPr>
      <t>其他财务与非财务信息的印证。</t>
    </r>
  </si>
  <si>
    <r>
      <rPr>
        <sz val="10"/>
        <color rgb="FF0000FF"/>
        <rFont val="宋体"/>
        <family val="3"/>
        <charset val="134"/>
      </rPr>
      <t>对平均在线人数、峰值在线人数、付费人数、人均消费金额等指标与收入的匹配关系进行分析性复核，关注异常情况。</t>
    </r>
  </si>
  <si>
    <r>
      <rPr>
        <sz val="10"/>
        <color rgb="FF0000FF"/>
        <rFont val="Arial Narrow"/>
        <family val="2"/>
      </rPr>
      <t xml:space="preserve"> </t>
    </r>
    <r>
      <rPr>
        <sz val="10"/>
        <color rgb="FF0000FF"/>
        <rFont val="宋体"/>
        <family val="3"/>
        <charset val="134"/>
      </rPr>
      <t>将交易量（业务量）与访问量、互动量进行对比，关注是否存在不匹配情况。</t>
    </r>
    <r>
      <rPr>
        <sz val="10"/>
        <color rgb="FF0000FF"/>
        <rFont val="Arial Narrow"/>
        <family val="2"/>
      </rPr>
      <t xml:space="preserve"> </t>
    </r>
  </si>
  <si>
    <r>
      <rPr>
        <sz val="10"/>
        <color rgb="FF0000FF"/>
        <rFont val="宋体"/>
        <family val="3"/>
        <charset val="134"/>
      </rPr>
      <t>分析是否存在异常交易的客户（如交易时间集中、同时进行若干笔交易、交易地点集中、交易时间过长、频繁交易等）。必要时，利用</t>
    </r>
    <r>
      <rPr>
        <sz val="10"/>
        <color rgb="FF0000FF"/>
        <rFont val="Arial Narrow"/>
        <family val="2"/>
      </rPr>
      <t>IT</t>
    </r>
    <r>
      <rPr>
        <sz val="10"/>
        <color rgb="FF0000FF"/>
        <rFont val="宋体"/>
        <family val="3"/>
        <charset val="134"/>
      </rPr>
      <t>专家工作。</t>
    </r>
  </si>
  <si>
    <t>提示：</t>
  </si>
  <si>
    <t>根据具体情况，按下述5条所述流程，执行分析程序：</t>
  </si>
  <si>
    <t>证实分析性程序中使用的基础性数据是正确的，对已记录的金额作出预期，评价预期值是否足够精确以识别重大错报。 Verify that the underlying data used in the analytics is valid.</t>
  </si>
  <si>
    <r>
      <rPr>
        <sz val="10"/>
        <rFont val="宋体"/>
        <family val="3"/>
        <charset val="134"/>
      </rPr>
      <t>与可比前期（及预期）结果相比较。</t>
    </r>
    <r>
      <rPr>
        <sz val="10"/>
        <rFont val="Arial Narrow"/>
        <family val="2"/>
      </rPr>
      <t xml:space="preserve"> Compare results to comparable prior periods (expectations).</t>
    </r>
  </si>
  <si>
    <t>与适当客户人员讨论重大的非预期的差异。 Discuss significant unexpected differences with appropriate client personnel.</t>
  </si>
  <si>
    <r>
      <rPr>
        <sz val="10"/>
        <rFont val="宋体"/>
        <family val="3"/>
        <charset val="134"/>
      </rPr>
      <t>考虑管理层解释的可信度，并在适当情况下进行证实。</t>
    </r>
    <r>
      <rPr>
        <sz val="10"/>
        <rFont val="Arial Narrow"/>
        <family val="2"/>
      </rPr>
      <t xml:space="preserve"> Consider plausibility of responses and corroborate as appropriate.</t>
    </r>
  </si>
  <si>
    <t>确定执行上述程序的结果是否表明需要补充必要的审计程序，如果是，执行适当的应对程序。 Determine whether results identify areas where additional procedures are required and if so, tailor an appropriate response.</t>
  </si>
  <si>
    <t>合同资产审定表</t>
  </si>
  <si>
    <t>项目</t>
  </si>
  <si>
    <t>期初数</t>
  </si>
  <si>
    <t>期末数</t>
  </si>
  <si>
    <t>本期与上期比较</t>
  </si>
  <si>
    <t>原因分析</t>
  </si>
  <si>
    <t>未审数</t>
  </si>
  <si>
    <t>账项调整</t>
  </si>
  <si>
    <t>重分类调整</t>
  </si>
  <si>
    <t>审定数</t>
  </si>
  <si>
    <t>变动额</t>
  </si>
  <si>
    <t>变动率</t>
  </si>
  <si>
    <t>一、合同资产原值</t>
  </si>
  <si>
    <t>小计</t>
  </si>
  <si>
    <t>减：列示于其他非流动资产的合同资产</t>
  </si>
  <si>
    <t>合同资产原值小计</t>
  </si>
  <si>
    <t>二、合同资产坏账准备</t>
  </si>
  <si>
    <t>合同资产坏账准备小计</t>
  </si>
  <si>
    <t>三、合同资产净值</t>
  </si>
  <si>
    <t>合同资产净值合计</t>
  </si>
  <si>
    <t>试算平衡表数</t>
  </si>
  <si>
    <t>差异数</t>
  </si>
  <si>
    <r>
      <rPr>
        <b/>
        <sz val="10"/>
        <rFont val="宋体"/>
        <family val="3"/>
        <charset val="134"/>
      </rPr>
      <t>1.审计说明</t>
    </r>
  </si>
  <si>
    <t>（1）合同资产本期较上期增加（负数为减少）：</t>
  </si>
  <si>
    <r>
      <rPr>
        <sz val="10"/>
        <rFont val="宋体"/>
        <family val="3"/>
        <charset val="134"/>
      </rPr>
      <t>主要原因</t>
    </r>
    <r>
      <rPr>
        <sz val="10"/>
        <color indexed="10"/>
        <rFont val="宋体"/>
        <family val="3"/>
        <charset val="134"/>
      </rPr>
      <t>（比例超过30%的）</t>
    </r>
    <r>
      <rPr>
        <sz val="10"/>
        <rFont val="宋体"/>
        <family val="3"/>
        <charset val="134"/>
      </rPr>
      <t>：</t>
    </r>
  </si>
  <si>
    <t>（2）情况说明</t>
  </si>
  <si>
    <t>2.审计结论</t>
  </si>
  <si>
    <r>
      <rPr>
        <b/>
        <sz val="12"/>
        <rFont val="宋体"/>
        <family val="3"/>
        <charset val="134"/>
      </rPr>
      <t>附注披露信息（上市公司）</t>
    </r>
  </si>
  <si>
    <r>
      <rPr>
        <sz val="10"/>
        <rFont val="宋体"/>
        <family val="3"/>
        <charset val="134"/>
      </rPr>
      <t>索引：D7</t>
    </r>
    <r>
      <rPr>
        <sz val="10"/>
        <rFont val="Arial Narrow"/>
        <family val="2"/>
      </rPr>
      <t>-1</t>
    </r>
  </si>
  <si>
    <r>
      <rPr>
        <sz val="12"/>
        <rFont val="仿宋_GB2312"/>
        <family val="3"/>
        <charset val="134"/>
      </rPr>
      <t>附注披露信息：</t>
    </r>
  </si>
  <si>
    <t>合同资产（以下不适用的，请删除）</t>
  </si>
  <si>
    <t>1、合同资产</t>
  </si>
  <si>
    <t>项  目</t>
  </si>
  <si>
    <t>期末余额</t>
  </si>
  <si>
    <t>上年年末余额</t>
  </si>
  <si>
    <t>账面余额</t>
  </si>
  <si>
    <t>减值准备</t>
  </si>
  <si>
    <t>账面价值</t>
  </si>
  <si>
    <t>单项计提坏账准备</t>
  </si>
  <si>
    <t>按组合计提坏账准备</t>
  </si>
  <si>
    <t>其中：业务类型组合</t>
  </si>
  <si>
    <r>
      <rPr>
        <sz val="10"/>
        <rFont val="Arial Narrow"/>
        <family val="2"/>
      </rPr>
      <t xml:space="preserve">        </t>
    </r>
    <r>
      <rPr>
        <sz val="10"/>
        <rFont val="宋体"/>
        <family val="3"/>
        <charset val="134"/>
      </rPr>
      <t>客户类型组合</t>
    </r>
  </si>
  <si>
    <r>
      <rPr>
        <sz val="10"/>
        <rFont val="Arial Narrow"/>
        <family val="2"/>
      </rPr>
      <t xml:space="preserve">        ……</t>
    </r>
    <r>
      <rPr>
        <sz val="10"/>
        <rFont val="宋体"/>
        <family val="3"/>
        <charset val="134"/>
      </rPr>
      <t>组合</t>
    </r>
  </si>
  <si>
    <t>小  计</t>
  </si>
  <si>
    <t>合  计</t>
  </si>
  <si>
    <t>【提示：同一合同下的合同资产和合同负债应当以净额在资产负债表列示。净额为借方余额的，应当根据其流动性在“合同资产”或“其他非流动资产”项目中列示，其中预计自资产负债表日起一年内变现的，应当在“合同资产”项目列示，不应在“一年内到期的非流动资产”项目列示；净额为贷方余额的，应当根据其流动性在“合同负债”或“其他非流动负债”项目中列示，其中预计自资产负债表日起一年内到期的，应当在“合同负债”项目列示，不应在“一年内到期的非流动负债”项目列示。】</t>
  </si>
  <si>
    <t>【或：披露格式如下】</t>
  </si>
  <si>
    <t>减：合同资产减值准备</t>
  </si>
  <si>
    <t>（1）本期合同资产账面价值的重大变动</t>
  </si>
  <si>
    <t>变动金额</t>
  </si>
  <si>
    <t>变动原因</t>
  </si>
  <si>
    <t>说明：</t>
  </si>
  <si>
    <t>1、履行履约义务的时间与通常的付款时间之间的关系，以及此类因素对合同资产（如果对合同负债产生影响在合同负债科目下说明）账面价值的影响的定量或定性信息。</t>
  </si>
  <si>
    <t>2、合同资产的账面价值在本期内发生的重大变动的情形包括：</t>
  </si>
  <si>
    <t>①企业合并导致的变动；</t>
  </si>
  <si>
    <t>②对收入进行累积追加调整导致的相关合同资产和合同负债的变动，此类调整可能源于估计履约进度的变化、估计交易价格的变化（包括对于可变对价是否受到限制的评估发生变化）或者合同变更；</t>
  </si>
  <si>
    <t>③对合同对价的权利成为无条件权利（即，合同资产重分类为应收款项）的时间安排发生变化。</t>
  </si>
  <si>
    <t>（2）合同资产减值准备计提情况</t>
  </si>
  <si>
    <t>类别</t>
  </si>
  <si>
    <t>金额</t>
  </si>
  <si>
    <t>比例(%)</t>
  </si>
  <si>
    <t>预期信用损失率(%)</t>
  </si>
  <si>
    <t>按单项计提坏账准备</t>
  </si>
  <si>
    <t>其中：</t>
  </si>
  <si>
    <t>合 计</t>
  </si>
  <si>
    <t>按单项计提坏账准备：</t>
  </si>
  <si>
    <t>名 称</t>
  </si>
  <si>
    <t>坏账准备</t>
  </si>
  <si>
    <t>计提理由</t>
  </si>
  <si>
    <t>/</t>
  </si>
  <si>
    <t>续：</t>
  </si>
  <si>
    <t>按组合计提坏账准备：</t>
  </si>
  <si>
    <t>组合计提项目：工程施工</t>
  </si>
  <si>
    <t>1年以内</t>
  </si>
  <si>
    <t>1至2年</t>
  </si>
  <si>
    <t>2至3年</t>
  </si>
  <si>
    <t>……</t>
  </si>
  <si>
    <t>组合计提项目：质量保证金</t>
  </si>
  <si>
    <t>（3）本期计提、收回或转回的合同资产减值准备情况</t>
  </si>
  <si>
    <t>本期计提</t>
  </si>
  <si>
    <t>本期转回</t>
  </si>
  <si>
    <t>本期转销/核销</t>
  </si>
  <si>
    <t>原因</t>
  </si>
  <si>
    <r>
      <rPr>
        <sz val="10"/>
        <rFont val="宋体"/>
        <family val="3"/>
        <charset val="134"/>
      </rPr>
      <t>索引：</t>
    </r>
    <r>
      <rPr>
        <sz val="10"/>
        <rFont val="Arial Narrow"/>
        <family val="2"/>
      </rPr>
      <t>D7-1</t>
    </r>
  </si>
  <si>
    <r>
      <rPr>
        <sz val="10"/>
        <rFont val="宋体"/>
        <family val="3"/>
        <charset val="134"/>
      </rPr>
      <t>页次：</t>
    </r>
    <r>
      <rPr>
        <sz val="10"/>
        <rFont val="Arial Narrow"/>
        <family val="2"/>
      </rPr>
      <t>1</t>
    </r>
  </si>
  <si>
    <t>（1）合同资产情况</t>
  </si>
  <si>
    <t xml:space="preserve">     客户类型组合</t>
  </si>
  <si>
    <t xml:space="preserve">      ……组合</t>
  </si>
  <si>
    <t>（2）合同资产减值准备</t>
  </si>
  <si>
    <t>本期变动金额</t>
  </si>
  <si>
    <t>计提</t>
  </si>
  <si>
    <t>转回</t>
  </si>
  <si>
    <t>转销/核销</t>
  </si>
  <si>
    <t>（3）本期合同资产账面价值的重大变动【国资委格式未要求披露】</t>
  </si>
  <si>
    <t>1、说明履行履约义务的时间与通常的付款时间之间的关系，以及此类因素对合同资产（如果对合同负债产生影响在合同负债科目下说明）账面价值的影响的定量或定性信息。</t>
  </si>
  <si>
    <t>2、说明合同资产的账面价值在本期内发生的重大变动的情形包括：</t>
  </si>
  <si>
    <t>合同资产明细表</t>
  </si>
  <si>
    <t>一、审计目标:</t>
  </si>
  <si>
    <t xml:space="preserve">合同资产以恰当的金额包括在财务报表中，与之相关的计价或分摊调整已恰当记录，相关披露已得到恰当计量和描述 </t>
  </si>
  <si>
    <t>二、审计过程：</t>
  </si>
  <si>
    <t>1.核对企业提供的明细表，关注合同资产贷方非收款减少和借方其他调整的情况。</t>
  </si>
  <si>
    <t>2.与客户讨论并记录各主要明细项目的性质，并对波动较大的内容进行分析。根据相关审计情况，确定调整事项。</t>
  </si>
  <si>
    <t>3.对合同资产进行账龄分析，结合账龄的分析关注长期不结转应收账款的原因。</t>
  </si>
  <si>
    <t>4.结合工程施工收入底稿&lt;D4- &gt;核对合同资产是否按照会计准则规定正确列报。</t>
  </si>
  <si>
    <t>合同名称/项目名称</t>
  </si>
  <si>
    <t>类型</t>
  </si>
  <si>
    <t>客户名称</t>
  </si>
  <si>
    <t>关联关系</t>
  </si>
  <si>
    <t>期初未审数</t>
  </si>
  <si>
    <t>期初账项调整</t>
  </si>
  <si>
    <t>期初重分类调整</t>
  </si>
  <si>
    <t>期初审定余额</t>
  </si>
  <si>
    <t>期初审定账龄</t>
  </si>
  <si>
    <t>借方发生</t>
  </si>
  <si>
    <t>贷方发生</t>
  </si>
  <si>
    <t>期末未审余额</t>
  </si>
  <si>
    <t>期末审定余额</t>
  </si>
  <si>
    <t>期末审定账龄</t>
  </si>
  <si>
    <t>1年以内收款权</t>
  </si>
  <si>
    <t>1年以上收款权</t>
  </si>
  <si>
    <t>是否在建设期或质保期内</t>
  </si>
  <si>
    <t>信用风险组合方式</t>
  </si>
  <si>
    <t>是否函证</t>
  </si>
  <si>
    <t>期后结转金额</t>
  </si>
  <si>
    <t>1年以下</t>
  </si>
  <si>
    <t>1～2年</t>
  </si>
  <si>
    <t>２～3年</t>
  </si>
  <si>
    <t>3年以上</t>
  </si>
  <si>
    <t>合并范围内关联方</t>
  </si>
  <si>
    <t>合并范围外关联方</t>
  </si>
  <si>
    <t>非关联方</t>
  </si>
  <si>
    <t>业务类型组合</t>
  </si>
  <si>
    <t>客户类型组合</t>
  </si>
  <si>
    <t>合   计</t>
  </si>
  <si>
    <t>账龄占比</t>
  </si>
  <si>
    <r>
      <rPr>
        <b/>
        <sz val="10"/>
        <rFont val="宋体"/>
        <family val="3"/>
        <charset val="134"/>
        <scheme val="minor"/>
      </rPr>
      <t>三、审计说明：</t>
    </r>
  </si>
  <si>
    <t>四、审计结论：</t>
  </si>
  <si>
    <t>本科目核算企业已向客户转让商品而有权收取对价的权利。仅取决于时间流逝因素的权利不在本科目核算。</t>
  </si>
  <si>
    <t>企业在客户实际支付合同对价或在该对价到期应付之前，已经向客户转让了商品的，应当按因已转让商品而有权收取的对价金额，借记本科目或“应收账款”科目，贷记“主营业务收入”“其他业务收入”等科目；</t>
  </si>
  <si>
    <t>企业取得无条件收款权时，借记“应收账款”等科目，贷记本科目。</t>
  </si>
  <si>
    <t>合同资产和合同负债应当在资产负债表中单独列示。同一合同下的合同资产和合同负债应当以净额列示，不同合同下的合同资产和合同负债不能互相抵销。</t>
  </si>
  <si>
    <t>被审计单位名称：</t>
  </si>
  <si>
    <t>一、审计目标：</t>
  </si>
  <si>
    <t>二、审计过程</t>
  </si>
  <si>
    <t>1.……</t>
  </si>
  <si>
    <t>本期增加</t>
  </si>
  <si>
    <t>本期减少</t>
  </si>
  <si>
    <t>未审余额</t>
  </si>
  <si>
    <t>审定余额</t>
  </si>
  <si>
    <t>其他增加</t>
  </si>
  <si>
    <t>核销</t>
  </si>
  <si>
    <t>其他减少</t>
  </si>
  <si>
    <t>按单项评估计提</t>
  </si>
  <si>
    <t>信用风险组合计提</t>
  </si>
  <si>
    <t xml:space="preserve">合计 </t>
  </si>
  <si>
    <t>三、审计说明</t>
  </si>
  <si>
    <t>四、审计结论</t>
  </si>
  <si>
    <t>合同资产调整分录汇总表</t>
  </si>
  <si>
    <t>索引：</t>
  </si>
  <si>
    <t>调整事项说明</t>
  </si>
  <si>
    <t>类别（报表调整/账项调整/其他）</t>
  </si>
  <si>
    <t>报表项目</t>
  </si>
  <si>
    <t>科目名称</t>
  </si>
  <si>
    <t>附注项目</t>
  </si>
  <si>
    <t>借方调整金额</t>
  </si>
  <si>
    <t>贷方调整金额</t>
  </si>
  <si>
    <t>备注</t>
  </si>
  <si>
    <t>提示：本底稿适用于调整分录较多、较复杂的项目，且仅列示与本报表项目相关的审计调整。项目组可根据项目实际情况选择是否使用该底稿。</t>
  </si>
  <si>
    <t>合同资产关联关系及交易检查表</t>
  </si>
  <si>
    <t>一、审计目标</t>
  </si>
  <si>
    <t>1.资产负债表中记录的合同资产是存在的； 2.所有应当记录的合同资产均已记录；3.记录的合同资产由被审计单位拥有或控制。</t>
  </si>
  <si>
    <t>4.合同资产以恰当的金额包括在财务报表中，与之相关的计价调整已恰当记录。</t>
  </si>
  <si>
    <t>关联方名称</t>
  </si>
  <si>
    <t>减：坏账准备</t>
  </si>
  <si>
    <t>发生时间及账龄</t>
  </si>
  <si>
    <t>发生原因（款项性质）</t>
  </si>
  <si>
    <t>索引号</t>
  </si>
  <si>
    <t>合计</t>
  </si>
  <si>
    <r>
      <rPr>
        <b/>
        <sz val="10"/>
        <rFont val="宋体"/>
        <family val="3"/>
        <charset val="134"/>
      </rPr>
      <t>三、审计说明：</t>
    </r>
  </si>
  <si>
    <t>勿改、勿删</t>
  </si>
  <si>
    <t>实际控制人</t>
  </si>
  <si>
    <t>控股股东</t>
  </si>
  <si>
    <t>控股股东、实际控制人的附属企业</t>
  </si>
  <si>
    <t>持有5%以上股份的法人或其他组织</t>
  </si>
  <si>
    <t>联营企业</t>
  </si>
  <si>
    <t>合营企业</t>
  </si>
  <si>
    <t>董高监等关键管理人员</t>
  </si>
  <si>
    <t>其他关联方</t>
  </si>
  <si>
    <r>
      <rPr>
        <sz val="10"/>
        <rFont val="Arial Narrow"/>
        <family val="2"/>
      </rPr>
      <t>1.</t>
    </r>
    <r>
      <rPr>
        <sz val="10"/>
        <rFont val="宋体"/>
        <family val="3"/>
        <charset val="134"/>
      </rPr>
      <t>资产负债表中记录的合同资产是存在的，且已经记录在恰当的账户中；</t>
    </r>
    <r>
      <rPr>
        <sz val="10"/>
        <rFont val="Arial Narrow"/>
        <family val="2"/>
      </rPr>
      <t>2.</t>
    </r>
    <r>
      <rPr>
        <sz val="10"/>
        <rFont val="宋体"/>
        <family val="3"/>
        <charset val="134"/>
      </rPr>
      <t>记录的合同资产由被审计单位拥有或控制；</t>
    </r>
  </si>
  <si>
    <r>
      <rPr>
        <sz val="10"/>
        <rFont val="Arial Narrow"/>
        <family val="2"/>
      </rPr>
      <t>3.</t>
    </r>
    <r>
      <rPr>
        <sz val="10"/>
        <rFont val="宋体"/>
        <family val="3"/>
        <charset val="134"/>
      </rPr>
      <t>合同资产以恰当的金额包括在财务报表中，与之相关的计价或分摊调整已恰当记录，相关披露已得到恰当计量和描述</t>
    </r>
    <r>
      <rPr>
        <sz val="10"/>
        <rFont val="Arial Narrow"/>
        <family val="2"/>
      </rPr>
      <t xml:space="preserve"> </t>
    </r>
  </si>
  <si>
    <t>1.样本选取标准与规模：</t>
  </si>
  <si>
    <t>测试总体：</t>
  </si>
  <si>
    <t>如应收账款借方发生额所有凭证共XX笔金额XX、贷方发生额所有凭证共XX笔金额XX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</si>
  <si>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</si>
  <si>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</si>
  <si>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</si>
  <si>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</si>
  <si>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</si>
  <si>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抽取XX笔（如果使用了样本计算器计算样本量，样本量计算过程见&lt;XX&gt;底稿）</t>
  </si>
  <si>
    <t>抽样方法：</t>
  </si>
  <si>
    <t>抽样过程：</t>
  </si>
  <si>
    <t>使用IDEA（XX抽样工具）选择XX数量、金额XX的样本进行测试，抽样工具中的样本选择过程和结果见&lt;XX&gt;底稿</t>
  </si>
  <si>
    <t>2.测试：</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</si>
  <si>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</si>
  <si>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记账凭证</t>
  </si>
  <si>
    <t>支持性文件</t>
  </si>
  <si>
    <r>
      <rPr>
        <b/>
        <sz val="10"/>
        <rFont val="宋体"/>
        <family val="3"/>
        <charset val="134"/>
      </rPr>
      <t>核对内容</t>
    </r>
  </si>
  <si>
    <t>是否异常</t>
  </si>
  <si>
    <t>备注说明</t>
  </si>
  <si>
    <t>日期</t>
  </si>
  <si>
    <t>凭证编号</t>
  </si>
  <si>
    <t>业务内容</t>
  </si>
  <si>
    <t>对方科目</t>
  </si>
  <si>
    <t>对方明细科目</t>
  </si>
  <si>
    <t>借方金额</t>
  </si>
  <si>
    <t>贷方金额</t>
  </si>
  <si>
    <r>
      <rPr>
        <b/>
        <sz val="10"/>
        <rFont val="宋体"/>
        <family val="3"/>
        <charset val="134"/>
      </rPr>
      <t>（</t>
    </r>
    <r>
      <rPr>
        <b/>
        <sz val="10"/>
        <rFont val="Arial Narrow"/>
        <family val="2"/>
      </rPr>
      <t>2</t>
    </r>
    <r>
      <rPr>
        <b/>
        <sz val="10"/>
        <rFont val="宋体"/>
        <family val="3"/>
        <charset val="134"/>
      </rPr>
      <t>）期后贴现</t>
    </r>
    <r>
      <rPr>
        <b/>
        <sz val="10"/>
        <rFont val="Arial Narrow"/>
        <family val="2"/>
      </rPr>
      <t>\</t>
    </r>
    <r>
      <rPr>
        <b/>
        <sz val="10"/>
        <rFont val="宋体"/>
        <family val="3"/>
        <charset val="134"/>
      </rPr>
      <t>背书</t>
    </r>
    <r>
      <rPr>
        <b/>
        <sz val="10"/>
        <rFont val="Arial Narrow"/>
        <family val="2"/>
      </rPr>
      <t>\</t>
    </r>
    <r>
      <rPr>
        <b/>
        <sz val="10"/>
        <rFont val="宋体"/>
        <family val="3"/>
        <charset val="134"/>
      </rPr>
      <t>调整等检查</t>
    </r>
  </si>
  <si>
    <t>1.资产负债表中记录的合同资产是存在的；</t>
  </si>
  <si>
    <t>2.合同资产以恰当的金额包括在财务报表中，与之相关的计价调整已恰当记录。</t>
  </si>
  <si>
    <t>（一）合同资产减值准备计提会计政策</t>
  </si>
  <si>
    <t>【应说明被审计单位应收账款坏账准备信用风险组合划分依据、预期信用损失计量方法等】</t>
  </si>
  <si>
    <t>（二）被审计单位历史坏账损失情况</t>
  </si>
  <si>
    <t>【应说明被审计单位应收账款历史损失率的数据来源，以及项目组核实该等数据所执行的程序。需考虑货币的时间价值】</t>
  </si>
  <si>
    <t>（三）前瞻性信息的来源及其影响</t>
  </si>
  <si>
    <t>【应说明被审计单位确定预期损失率的前瞻性信息来源（包括内部模型、第三方服务机构或利用外部专家工作等，以及项目组对前瞻性信息可靠性所执行的程序】</t>
  </si>
  <si>
    <t>（四）同行业公司的会计政策</t>
  </si>
  <si>
    <t>XX</t>
  </si>
  <si>
    <t>xx</t>
  </si>
  <si>
    <t>【以上组合划分方法仅为举例，实务中管理层应根据业务实际情况确定符合被审计单位经济业务特点的组合划分方式，或者均采用单项计提的方法；预期信用损失率的确定，可通过历史损失率和预期损失率确定，也可通过计算各年迁徙率并结合前瞻性信息等方式确定。】</t>
  </si>
  <si>
    <r>
      <rPr>
        <b/>
        <sz val="10"/>
        <rFont val="宋体"/>
        <family val="3"/>
        <charset val="134"/>
        <scheme val="minor"/>
      </rPr>
      <t>（二）公司历史减值损失情况</t>
    </r>
    <r>
      <rPr>
        <b/>
        <sz val="10"/>
        <color indexed="12"/>
        <rFont val="宋体"/>
        <family val="3"/>
        <charset val="134"/>
        <scheme val="minor"/>
      </rPr>
      <t>（根据具体情况修改）</t>
    </r>
  </si>
  <si>
    <r>
      <rPr>
        <b/>
        <sz val="10"/>
        <rFont val="宋体"/>
        <family val="3"/>
        <charset val="134"/>
        <scheme val="minor"/>
      </rPr>
      <t>（三）前瞻性信息的来源及其影响</t>
    </r>
    <r>
      <rPr>
        <b/>
        <sz val="10"/>
        <color indexed="12"/>
        <rFont val="宋体"/>
        <family val="3"/>
        <charset val="134"/>
        <scheme val="minor"/>
      </rPr>
      <t>（根据具体情况修改）</t>
    </r>
  </si>
  <si>
    <r>
      <rPr>
        <b/>
        <sz val="10"/>
        <rFont val="宋体"/>
        <family val="3"/>
        <charset val="134"/>
        <scheme val="minor"/>
      </rPr>
      <t>（四）同行业公司的会计政策</t>
    </r>
    <r>
      <rPr>
        <b/>
        <sz val="10"/>
        <color indexed="12"/>
        <rFont val="宋体"/>
        <family val="3"/>
        <charset val="134"/>
        <scheme val="minor"/>
      </rPr>
      <t>（根据具体情况描述）</t>
    </r>
  </si>
  <si>
    <t>XX公司</t>
  </si>
  <si>
    <t>三、审计说明：</t>
  </si>
  <si>
    <t>被审计单位坏账准备的计提相关的会计政策和会计估计与企业会计准则的规定一致，反映了被审计单位经济业务的实际情况，与同行业公司相比不存在显著差异，且坏账准备政策得到一贯性地执行。</t>
  </si>
  <si>
    <t>上市公司合同资产减值准备会计政策披露示例：</t>
  </si>
  <si>
    <t>中国中铁</t>
  </si>
  <si>
    <t>对于应收票据及应收账款和合同资产，无论是否存在重大融资成分，本集团均按照整个存续期的预期信用损失计量损失准备。
当单项应收票据及应收账款和合同资产无法以合理成本评估预期信用损失的信息时，本集团依据信用风险特征将应收票据及应收账款和合同资产划分为若干组合，在组合基础上计算预期信用损失，确定组合的依据如下：
合同资产组合1  基础设施建设项目
合同资产组合2  土地一级开发项目
合同资产组合3  处于建设期的金融资产模式的PPP 项目
合同资产组合4  未到期的质保金
对于划分为组合的应收票据和合同资产，本集团参考历史信用损失经验，结合当前状况以及对未来经济状况的预测，通过违约风险敞口和整个存续期预期信用损失率，计算预期信用损失。</t>
  </si>
  <si>
    <t>中国中冶</t>
  </si>
  <si>
    <t>在预期信用损失法下，本集团对由新收入准则规范的交易而形成的未包含重大融资成分或不考虑不超过一年的合同中的融资成分的合同资产与应收账款按照相当于整个存续期内预期信用损失的金额计量信用损失准备。信用损失准备的确认需要运用判断和估计。如重新估计结果与现有估计存在差异，该差异将会影响估计改变期间的利润、合同资产和应收账款账面价值。
确定组合的依据如下：
工程承包服务相关的合同资产
工程质保金相关的合同资产</t>
  </si>
  <si>
    <t>中煤能源</t>
  </si>
  <si>
    <t>本集团对租赁应收款在单项资产的基础上确定其信用损失，对应收账款、合同资产、债权投资除对发生重大财务困难的债务人在单项资产的基础上确定其信用损失外，对其余款项在组合基础上采用减值矩阵确定相关金融工具的信用损失。
10.2.4 本集团依据信用风险特征将应收票据及应收账款和合同资产划分为若干组合 ，在组合基础上计算预期信用损失，确定组合的依据如下：
• 应收账款\合同资产组合A 信用优良。在未来的信用风险很低，自身抗风险能力很强，不确定性因素对其经营与发展的影响很小。
• 应收账款\合同资产组合B ，信用较好。在未来的信用风险较低，自身有一定抗风险能力，但是可能存在一些影响其未来经营与发展的不确定性因素。
• 应收账款\合同资产组合C ，信用一般。在未来存在一定的信用风险，经营状况、盈利水平及未来发展易受不确定因素的影响。
• 应收账款\合同资产组合D ，信用较差。在未来的信用风险较高，未来前景不明朗或不安全，可能出现逾期非常严重的应收账款、合同资产。
对于划分为组合的应收账款，本集团参考历史信用损失经验，结合当前状况以及对未来经济状况的预测，编制应收账款账龄与整个存续期预期信用损失率对照表，计算预期信用损失。
对于划分为组合的合同资产，本集团参考历史信用损失经验，结合当前状况以及对未来经济状况的预测，通过违约风险敞口和整个存续期预期信用损失率，计算预期信用损失。</t>
  </si>
  <si>
    <t>长飞光纤</t>
  </si>
  <si>
    <t>对于应收账款，本集团始终按照相当于整个存续期内预期信用损失的金额计量其损失准备。本集团基于历史信用损失经验、使用准备矩阵计算上述金融资产的预期信用损失，相关历史经验根据资产负债表日借款人的特定因素、以及对当前状况和未来经济状况预测的评估进行调整。
本公司根据历史经验，不同细分客户群体发生损失的情况存在差异，将本公司客户细分为以下群体：
群体1：集团外关联方；群体2：中国电信网络运营商及其他信用记录良好的企业；群体3：除群体1、2以外的其他客户。
本集团始终按照相当于整个存续期内预期信用损失的金额计量应收账款的减值准备，并以逾期天数与违约损失率对照表为基础计算其预期信用损失。根据本集团的历史经验，不同细分客户群体发生损失的情况存在差异，因此本集团根据历史经验区分不同的客户群体根据逾期信息计算减值准备。
违约损失率基于过去5年的实际信用损失经验计算，并根据历史数据收集期间的经济状况、当前的经济状况与本集团所认为的预计存续期内的经济状况三者之间的差异进行调整。</t>
  </si>
  <si>
    <t>中国中车</t>
  </si>
  <si>
    <t>本集团对由收入准则规范的交易形成的合同资产与应收账款、租赁应收款按照相当于整个存续期内预期信用损失的金额计量损失准备。
本集团除对单项金额重大或已发生信用减值的金融资产、合同资产、租赁应收款、贷款承诺和财务担保合同在单项资产/合同基础上确定其信用损失外，在组合基础上采用减值矩阵确定相关金融工具的信用损失。本集团以共同信用风险特征为依据，将金融工具分为不同组别。本集团采用的共同信用风险特征包括：金融工具类型、信用风险评级、担保物类型、剩余合同期限、债务人所处行业、债务人所处地理位置、担保品相对于金融资产的价值等。
确定组合的依据如下：
销售商品
工程承包</t>
  </si>
  <si>
    <t>美凯龙</t>
  </si>
  <si>
    <t>对于不含重大融资成分的应收款项以及合同资产，本集团运用简化计量方法，按照相当于整个存续期内的预期信用损失金额计量损失准备。
本集团基于单项和组合评估金融工具的预期信用损失。本集团考虑了不同客户的信用风险特征，以账龄组合为基础评估应收账款、其他应收款、合同资产和长期应收款等金融工具的预期信用损失。
确定组合的依据如下：
建筑施工及设计
项目前期品牌咨询委托管理费服务</t>
  </si>
  <si>
    <t>合同资产减值准备测算表</t>
  </si>
  <si>
    <t>合同资产以恰当的金额包括在财务报表中，与之相关的计价调整已恰当记录。</t>
  </si>
  <si>
    <t>（一）单项计提坏账准备</t>
  </si>
  <si>
    <t>债务人名称</t>
  </si>
  <si>
    <t>审定账面余额</t>
  </si>
  <si>
    <t>预期信用损失率</t>
  </si>
  <si>
    <t>期末应计提坏账准备</t>
  </si>
  <si>
    <t>期末坏账准备账面余额</t>
  </si>
  <si>
    <t>差异</t>
  </si>
  <si>
    <t>计提依据及文件</t>
  </si>
  <si>
    <t>①</t>
  </si>
  <si>
    <t>②</t>
  </si>
  <si>
    <t>③=①×②</t>
  </si>
  <si>
    <t>④</t>
  </si>
  <si>
    <t>⑤=③-④</t>
  </si>
  <si>
    <t>（二）账龄组合计提坏账准备</t>
  </si>
  <si>
    <t>账龄</t>
  </si>
  <si>
    <t>组合1：</t>
  </si>
  <si>
    <t>1年-2年</t>
  </si>
  <si>
    <t>2年-3年</t>
  </si>
  <si>
    <t>3年-4年</t>
  </si>
  <si>
    <t>4年-5年</t>
  </si>
  <si>
    <t>5年以上</t>
  </si>
  <si>
    <t>组合2：</t>
  </si>
  <si>
    <t>提示：预期信用损失以客户的违约风险为基础，同一客户的违约风险相同，上市公司对于同一客户的合同资产与应收账款，采用不同计提比例计量</t>
  </si>
  <si>
    <t>预期信用损失时，应充分析两者存在不同违约风险损失的原因及合理性。由于现金流缺口要基于预期能收到的现金流量进行计算，因此在计量合同</t>
  </si>
  <si>
    <t>资产的预期信用损失时考虑的期限应截止于预期收取现金流量之日，即需要考虑合同资产转为应收款项后可能发生的信用违约事件造成的损失。</t>
  </si>
  <si>
    <t>提示2：预期信用损失计量测试可参考应收账款预期信用损失计量示例。</t>
  </si>
  <si>
    <t>合同资产大额减值准备转回、核销检查表</t>
  </si>
  <si>
    <t>1.取得被审计单位大额合同资产减值准备及合同资产核销清单；</t>
  </si>
  <si>
    <t>2.了解大额减值准备转回（收回）、核销的原因、方式，判断其合理性。</t>
  </si>
  <si>
    <t>3.对于实际发生减值损失的，检查转销依据是否符合有关规定，会计处理是否正确。</t>
  </si>
  <si>
    <t>4.已经确认并核销的减值重新收回的，检查其会计处理是否正确。</t>
  </si>
  <si>
    <t>（一）本期重要的减值准备转回检查</t>
  </si>
  <si>
    <t>转回原因</t>
  </si>
  <si>
    <t>收回方式</t>
  </si>
  <si>
    <t>原确定减值准备的依据</t>
  </si>
  <si>
    <t>转回金额</t>
  </si>
  <si>
    <t>转销前累计已计提坏账准备金额</t>
  </si>
  <si>
    <t>合理性分析</t>
  </si>
  <si>
    <t>（二）核销的合同资产检查</t>
  </si>
  <si>
    <t>核销金额</t>
  </si>
  <si>
    <t>核销原因</t>
  </si>
  <si>
    <t>履行的核销程序</t>
  </si>
  <si>
    <t>是否由关联交易产生</t>
  </si>
  <si>
    <t>C1</t>
  </si>
  <si>
    <t>Custom 1</t>
  </si>
  <si>
    <t>Custom 2</t>
  </si>
  <si>
    <t>C3</t>
  </si>
  <si>
    <t>Custom 3</t>
  </si>
  <si>
    <t>C4</t>
  </si>
  <si>
    <t>Custom 4</t>
  </si>
  <si>
    <t>C5</t>
  </si>
  <si>
    <t>Custom 5</t>
  </si>
  <si>
    <t>C6</t>
  </si>
  <si>
    <t>Custom 6</t>
  </si>
  <si>
    <t>C7</t>
  </si>
  <si>
    <t>Custom 7</t>
  </si>
  <si>
    <t>C8</t>
  </si>
  <si>
    <t>Custom 8</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</si>
  <si>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76" type="noConversion"/>
  </si>
  <si>
    <t>关于工作底稿与审计程序索引号对应的说明</t>
    <phoneticPr fontId="176" type="noConversion"/>
  </si>
  <si>
    <r>
      <t>1.</t>
    </r>
    <r>
      <rPr>
        <b/>
        <sz val="12"/>
        <rFont val="宋体"/>
        <family val="3"/>
        <charset val="134"/>
      </rPr>
      <t>编制的审计工作底稿应与审计程序对应。</t>
    </r>
    <r>
      <rPr>
        <sz val="12"/>
        <rFont val="宋体"/>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76" type="noConversion"/>
  </si>
  <si>
    <r>
      <t>2.</t>
    </r>
    <r>
      <rPr>
        <b/>
        <sz val="12"/>
        <rFont val="宋体"/>
        <family val="3"/>
        <charset val="134"/>
      </rPr>
      <t>获取的支持性证据应与审计底稿或程序对应。</t>
    </r>
    <r>
      <rPr>
        <sz val="12"/>
        <rFont val="宋体"/>
        <charset val="134"/>
      </rPr>
      <t>审计项目组在完成底稿时获取的支持性证据应根据底稿索引号编制下一级按自然顺序排序的索引号（如</t>
    </r>
    <r>
      <rPr>
        <sz val="12"/>
        <rFont val="Arial Narrow"/>
        <family val="2"/>
      </rPr>
      <t>D1-2-1</t>
    </r>
    <r>
      <rPr>
        <sz val="12"/>
        <rFont val="宋体"/>
        <charset val="134"/>
      </rPr>
      <t>、</t>
    </r>
    <r>
      <rPr>
        <sz val="12"/>
        <rFont val="Arial Narrow"/>
        <family val="2"/>
      </rPr>
      <t>D1-2-2</t>
    </r>
    <r>
      <rPr>
        <sz val="12"/>
        <rFont val="宋体"/>
        <charset val="134"/>
      </rPr>
      <t>、</t>
    </r>
    <r>
      <rPr>
        <sz val="12"/>
        <rFont val="Arial Narrow"/>
        <family val="2"/>
      </rPr>
      <t>……</t>
    </r>
    <r>
      <rPr>
        <sz val="12"/>
        <rFont val="宋体"/>
        <charset val="134"/>
      </rPr>
      <t>），并在底稿中说明引用的支持性证据、关联索引号。</t>
    </r>
    <phoneticPr fontId="176" type="noConversion"/>
  </si>
  <si>
    <r>
      <rPr>
        <b/>
        <sz val="12"/>
        <rFont val="Arial Narrow"/>
        <family val="2"/>
      </rPr>
      <t>3.</t>
    </r>
    <r>
      <rPr>
        <b/>
        <sz val="12"/>
        <rFont val="宋体"/>
        <family val="3"/>
        <charset val="134"/>
      </rPr>
      <t>工作底稿索引号的编码规则：</t>
    </r>
    <r>
      <rPr>
        <sz val="12"/>
        <rFont val="宋体"/>
        <charset val="134"/>
      </rPr>
      <t>实质性程序索引号按循环从</t>
    </r>
    <r>
      <rPr>
        <sz val="12"/>
        <rFont val="Arial Narrow"/>
        <family val="2"/>
      </rPr>
      <t>“D”</t>
    </r>
    <r>
      <rPr>
        <sz val="12"/>
        <rFont val="宋体"/>
        <charset val="134"/>
      </rPr>
      <t>到</t>
    </r>
    <r>
      <rPr>
        <sz val="12"/>
        <rFont val="Arial Narrow"/>
        <family val="2"/>
      </rPr>
      <t>“N”,</t>
    </r>
    <r>
      <rPr>
        <sz val="12"/>
        <rFont val="宋体"/>
        <charset val="134"/>
      </rPr>
      <t>循环内账户以顺序号排列，模板中底稿索引号按账户顺序</t>
    </r>
    <r>
      <rPr>
        <sz val="12"/>
        <rFont val="Arial Narrow"/>
        <family val="2"/>
      </rPr>
      <t>+</t>
    </r>
    <r>
      <rPr>
        <sz val="12"/>
        <rFont val="宋体"/>
        <charset val="134"/>
      </rPr>
      <t>自然数顺序（即模板中索引号按二级自然顺序排列，如</t>
    </r>
    <r>
      <rPr>
        <sz val="12"/>
        <rFont val="Arial Narrow"/>
        <family val="2"/>
      </rPr>
      <t>D1-1</t>
    </r>
    <r>
      <rPr>
        <sz val="12"/>
        <rFont val="宋体"/>
        <charset val="134"/>
      </rPr>
      <t>、</t>
    </r>
    <r>
      <rPr>
        <sz val="12"/>
        <rFont val="Arial Narrow"/>
        <family val="2"/>
      </rPr>
      <t>D1-2</t>
    </r>
    <r>
      <rPr>
        <sz val="12"/>
        <rFont val="宋体"/>
        <charset val="134"/>
      </rPr>
      <t>、</t>
    </r>
    <r>
      <rPr>
        <sz val="12"/>
        <rFont val="Arial Narrow"/>
        <family val="2"/>
      </rPr>
      <t>D1-3</t>
    </r>
    <r>
      <rPr>
        <sz val="12"/>
        <rFont val="宋体"/>
        <charset val="134"/>
      </rPr>
      <t>、</t>
    </r>
    <r>
      <rPr>
        <sz val="12"/>
        <rFont val="Arial Narrow"/>
        <family val="2"/>
      </rPr>
      <t>……D1-N</t>
    </r>
    <r>
      <rPr>
        <sz val="12"/>
        <rFont val="宋体"/>
        <charset val="134"/>
      </rPr>
      <t>）。</t>
    </r>
    <phoneticPr fontId="176" type="noConversion"/>
  </si>
  <si>
    <t>T1
/</t>
    <phoneticPr fontId="176" type="noConversion"/>
  </si>
  <si>
    <t>检查与营业收入有关的的记账凭证和检查相关支持性文件（如销售合同、销售订单、发运凭证等），验证合同资产的确认是否恰当。</t>
    <phoneticPr fontId="176" type="noConversion"/>
  </si>
  <si>
    <t>函证结果汇总表</t>
  </si>
  <si>
    <t>D0-1</t>
  </si>
  <si>
    <t>核实被函证单位信息</t>
  </si>
  <si>
    <t>D0-2</t>
  </si>
  <si>
    <t>跟函函证过程控制</t>
  </si>
  <si>
    <t>D0-3</t>
  </si>
  <si>
    <t>函证差异调节表</t>
  </si>
  <si>
    <t>D0-4</t>
  </si>
  <si>
    <t>应收及销售替代程序检查表</t>
  </si>
  <si>
    <t>D0-6</t>
  </si>
  <si>
    <t>邮件传真回函可靠性验证</t>
  </si>
  <si>
    <t>D0-7</t>
  </si>
  <si>
    <t>函证程序舞弊风险评价表</t>
  </si>
  <si>
    <t>D0-8</t>
  </si>
  <si>
    <t>根据被审计单位实际情况和风险评估情况裁剪、修改或增加审计程序</t>
    <phoneticPr fontId="176" type="noConversion"/>
  </si>
  <si>
    <t>审计程序</t>
    <phoneticPr fontId="178" type="noConversion"/>
  </si>
  <si>
    <t>随机选样/系统选样/货币单元抽样/随意选样（非统计抽样适用）</t>
    <phoneticPr fontId="176" type="noConversion"/>
  </si>
  <si>
    <r>
      <t>1.</t>
    </r>
    <r>
      <rPr>
        <sz val="10"/>
        <rFont val="宋体"/>
        <family val="3"/>
        <charset val="134"/>
      </rPr>
      <t>本期发生额、期末余额检查比例：</t>
    </r>
    <phoneticPr fontId="176" type="noConversion"/>
  </si>
  <si>
    <t>方向</t>
    <phoneticPr fontId="176" type="noConversion"/>
  </si>
  <si>
    <t>账面金额</t>
    <phoneticPr fontId="176" type="noConversion"/>
  </si>
  <si>
    <t>检查金额</t>
    <phoneticPr fontId="176" type="noConversion"/>
  </si>
  <si>
    <t>检查比例</t>
    <phoneticPr fontId="176" type="noConversion"/>
  </si>
  <si>
    <t>如果检查比例较低应扩大检查样本量或说明原因</t>
    <phoneticPr fontId="176" type="noConversion"/>
  </si>
  <si>
    <t>本期借方</t>
    <phoneticPr fontId="176" type="noConversion"/>
  </si>
  <si>
    <t>本期贷方</t>
    <phoneticPr fontId="176" type="noConversion"/>
  </si>
  <si>
    <t>期末余额</t>
    <phoneticPr fontId="176" type="noConversion"/>
  </si>
  <si>
    <t>2.……</t>
    <phoneticPr fontId="176" type="noConversion"/>
  </si>
  <si>
    <r>
      <t>（1）本期增减变动检查</t>
    </r>
    <r>
      <rPr>
        <b/>
        <sz val="10"/>
        <color rgb="FF0000FF"/>
        <rFont val="宋体"/>
        <family val="3"/>
        <charset val="134"/>
        <scheme val="minor"/>
      </rPr>
      <t>（本期借方发生额可结合主营业务收入检查底稿完成）</t>
    </r>
    <phoneticPr fontId="176" type="noConversion"/>
  </si>
  <si>
    <t>公司代码</t>
    <phoneticPr fontId="17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</si>
</sst>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0;\-\¥#,##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0.00\¥"/>
    <numFmt numFmtId="209" formatCode="_-* #,##0.00\¥_-;\-* #,##0.00\¥_-;_-* &quot;-&quot;??\¥_-;_-@_-"/>
    <numFmt numFmtId="210" formatCode="0.000%"/>
    <numFmt numFmtId="211" formatCode="_(&quot;$&quot;* #,##0.00_);_(&quot;$&quot;* \(#,##0.00\);_(&quot;$&quot;* &quot;-&quot;??_);_(@_)"/>
    <numFmt numFmtId="212" formatCode="_-* #,##0\¥_-;\-* #,##0\¥_-;_-* &quot;-&quot;\¥_-;_-@_-"/>
    <numFmt numFmtId="213" formatCode="_-* #,##0_-;\-* #,##0_-;_-* &quot;-&quot;??_-;_-@_-"/>
    <numFmt numFmtId="214" formatCode="0.00000000000_);[Red]\(0.00000000000\)"/>
    <numFmt numFmtId="215" formatCode="&quot;\&quot;#,##0;&quot;\&quot;&quot;\&quot;\-#,##0"/>
    <numFmt numFmtId="216" formatCode="_-* #,##0.00_-;\-* #,##0.00_-;_-* &quot;-&quot;??_-;_-@_-"/>
    <numFmt numFmtId="217" formatCode="_-* #,##0_-;\-* #,##0_-;_-* &quot;-&quot;_-;_-@_-"/>
    <numFmt numFmtId="218" formatCode="0%_);\(0%\)"/>
    <numFmt numFmtId="219" formatCode="#,##0.00\¥;[Red]\-#,##0.00\¥"/>
    <numFmt numFmtId="220" formatCode="\ \ @"/>
    <numFmt numFmtId="221" formatCode="#,##0_);\(#,##0_)"/>
    <numFmt numFmtId="222" formatCode="_-* #,##0\ _k_r_-;\-* #,##0\ _k_r_-;_-* &quot;-&quot;\ _k_r_-;_-@_-"/>
    <numFmt numFmtId="223" formatCode="_-* #,##0.00\ _k_r_-;\-* #,##0.00\ _k_r_-;_-* &quot;-&quot;??\ _k_r_-;_-@_-"/>
    <numFmt numFmtId="224" formatCode="#,##0.00_);#,##0.00\)"/>
    <numFmt numFmtId="225" formatCode="0.00000&quot;  &quot;"/>
    <numFmt numFmtId="226" formatCode="_-&quot;$&quot;* #,##0_-;\-&quot;$&quot;* #,##0_-;_-&quot;$&quot;* &quot;-&quot;_-;_-@_-"/>
    <numFmt numFmtId="227" formatCode="_-&quot;$&quot;* #,##0.00_-;\-&quot;$&quot;* #,##0.00_-;_-&quot;$&quot;* &quot;-&quot;??_-;_-@_-"/>
    <numFmt numFmtId="228" formatCode="&quot;\&quot;#,##0;[Red]&quot;\&quot;&quot;\&quot;\-#,##0"/>
    <numFmt numFmtId="229" formatCode="&quot;\&quot;#,##0.00;[Red]&quot;\&quot;&quot;\&quot;&quot;\&quot;&quot;\&quot;&quot;\&quot;&quot;\&quot;\-#,##0.00"/>
    <numFmt numFmtId="230" formatCode="&quot;\&quot;#,##0.00;[Red]&quot;\&quot;\-#,##0.00"/>
    <numFmt numFmtId="231" formatCode="&quot;\&quot;#,##0;[Red]&quot;\&quot;\-#,##0"/>
    <numFmt numFmtId="232" formatCode="_(* #,##0.00_);_(* \(#,##0.00\);_(* &quot;-&quot;??_);_(@_)"/>
    <numFmt numFmtId="23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81">
    <font>
      <sz val="12"/>
      <name val="宋体"/>
      <charset val="134"/>
    </font>
    <font>
      <sz val="11"/>
      <color theme="1"/>
      <name val="宋体"/>
      <family val="2"/>
      <charset val="134"/>
      <scheme val="minor"/>
    </font>
    <font>
      <sz val="10"/>
      <name val="宋体"/>
      <family val="3"/>
      <charset val="134"/>
    </font>
    <font>
      <b/>
      <sz val="12"/>
      <name val="宋体"/>
      <family val="3"/>
      <charset val="134"/>
    </font>
    <font>
      <b/>
      <sz val="14"/>
      <name val="宋体"/>
      <family val="3"/>
      <charset val="134"/>
    </font>
    <font>
      <b/>
      <sz val="10"/>
      <name val="宋体"/>
      <family val="3"/>
      <charset val="134"/>
    </font>
    <font>
      <sz val="10"/>
      <color rgb="FFFF0000"/>
      <name val="宋体"/>
      <family val="3"/>
      <charset val="134"/>
    </font>
    <font>
      <sz val="10"/>
      <name val="Arial Narrow"/>
      <family val="2"/>
    </font>
    <font>
      <b/>
      <sz val="10"/>
      <name val="宋体"/>
      <family val="3"/>
      <charset val="134"/>
      <scheme val="minor"/>
    </font>
    <font>
      <sz val="10"/>
      <name val="宋体"/>
      <family val="3"/>
      <charset val="134"/>
      <scheme val="minor"/>
    </font>
    <font>
      <b/>
      <sz val="12"/>
      <name val="宋体"/>
      <family val="3"/>
      <charset val="134"/>
      <scheme val="minor"/>
    </font>
    <font>
      <b/>
      <sz val="14"/>
      <name val="宋体"/>
      <family val="3"/>
      <charset val="134"/>
      <scheme val="minor"/>
    </font>
    <font>
      <sz val="10"/>
      <color rgb="FFFF0000"/>
      <name val="宋体"/>
      <family val="3"/>
      <charset val="134"/>
      <scheme val="minor"/>
    </font>
    <font>
      <sz val="10"/>
      <color indexed="8"/>
      <name val="Arial Narrow"/>
      <family val="2"/>
    </font>
    <font>
      <sz val="10"/>
      <color indexed="8"/>
      <name val="宋体"/>
      <family val="3"/>
      <charset val="134"/>
      <scheme val="minor"/>
    </font>
    <font>
      <b/>
      <sz val="10"/>
      <color theme="1"/>
      <name val="宋体"/>
      <family val="3"/>
      <charset val="134"/>
      <scheme val="minor"/>
    </font>
    <font>
      <b/>
      <sz val="10"/>
      <color indexed="8"/>
      <name val="Arial Narrow"/>
      <family val="2"/>
    </font>
    <font>
      <b/>
      <sz val="10"/>
      <color indexed="8"/>
      <name val="宋体"/>
      <family val="3"/>
      <charset val="134"/>
      <scheme val="minor"/>
    </font>
    <font>
      <b/>
      <sz val="10"/>
      <color rgb="FFFF0000"/>
      <name val="宋体"/>
      <family val="3"/>
      <charset val="134"/>
      <scheme val="minor"/>
    </font>
    <font>
      <sz val="10"/>
      <color rgb="FF0000FF"/>
      <name val="宋体"/>
      <family val="3"/>
      <charset val="134"/>
      <scheme val="minor"/>
    </font>
    <font>
      <b/>
      <sz val="10"/>
      <color rgb="FF0000FF"/>
      <name val="宋体"/>
      <family val="3"/>
      <charset val="134"/>
      <scheme val="minor"/>
    </font>
    <font>
      <sz val="12"/>
      <name val="宋体"/>
      <family val="3"/>
      <charset val="134"/>
    </font>
    <font>
      <sz val="10"/>
      <color rgb="FFFF0000"/>
      <name val="Arial Narrow"/>
      <family val="2"/>
    </font>
    <font>
      <sz val="10"/>
      <color indexed="12"/>
      <name val="Arial Narrow"/>
      <family val="2"/>
    </font>
    <font>
      <b/>
      <sz val="10"/>
      <name val="Arial Narrow"/>
      <family val="2"/>
    </font>
    <font>
      <sz val="10"/>
      <color rgb="FF0000FF"/>
      <name val="宋体"/>
      <family val="3"/>
      <charset val="134"/>
    </font>
    <font>
      <sz val="10"/>
      <color indexed="12"/>
      <name val="宋体"/>
      <family val="3"/>
      <charset val="134"/>
    </font>
    <font>
      <u/>
      <sz val="10"/>
      <color indexed="12"/>
      <name val="宋体"/>
      <family val="3"/>
      <charset val="134"/>
    </font>
    <font>
      <b/>
      <sz val="10"/>
      <color rgb="FFE92841"/>
      <name val="宋体"/>
      <family val="3"/>
      <charset val="134"/>
      <scheme val="minor"/>
    </font>
    <font>
      <sz val="10"/>
      <color indexed="12"/>
      <name val="宋体"/>
      <family val="3"/>
      <charset val="134"/>
      <scheme val="minor"/>
    </font>
    <font>
      <b/>
      <u/>
      <sz val="10"/>
      <color indexed="10"/>
      <name val="宋体"/>
      <family val="3"/>
      <charset val="134"/>
      <scheme val="minor"/>
    </font>
    <font>
      <sz val="10"/>
      <color indexed="10"/>
      <name val="宋体"/>
      <family val="3"/>
      <charset val="134"/>
      <scheme val="minor"/>
    </font>
    <font>
      <sz val="12"/>
      <name val="Arial Narrow"/>
      <family val="2"/>
    </font>
    <font>
      <b/>
      <sz val="12"/>
      <name val="Arial Narrow"/>
      <family val="2"/>
    </font>
    <font>
      <sz val="12"/>
      <name val="仿宋_GB2312"/>
      <family val="3"/>
      <charset val="134"/>
    </font>
    <font>
      <sz val="10.5"/>
      <name val="仿宋_GB2312"/>
      <family val="3"/>
      <charset val="134"/>
    </font>
    <font>
      <b/>
      <sz val="10.5"/>
      <name val="仿宋_GB2312"/>
      <family val="3"/>
      <charset val="134"/>
    </font>
    <font>
      <sz val="10.5"/>
      <color rgb="FF0000FF"/>
      <name val="仿宋_GB2312"/>
      <family val="3"/>
      <charset val="134"/>
    </font>
    <font>
      <sz val="10"/>
      <name val="仿宋_GB2312"/>
      <family val="3"/>
      <charset val="134"/>
    </font>
    <font>
      <sz val="10"/>
      <name val="微软雅黑"/>
      <family val="2"/>
      <charset val="134"/>
    </font>
    <font>
      <b/>
      <sz val="12"/>
      <name val="仿宋_GB2312"/>
      <family val="3"/>
      <charset val="134"/>
    </font>
    <font>
      <b/>
      <sz val="12"/>
      <color rgb="FF000000"/>
      <name val="微软雅黑"/>
      <family val="2"/>
      <charset val="134"/>
    </font>
    <font>
      <b/>
      <sz val="12"/>
      <color rgb="FF000000"/>
      <name val="Arial Narrow"/>
      <family val="2"/>
    </font>
    <font>
      <sz val="12"/>
      <color rgb="FF0000FF"/>
      <name val="仿宋_GB2312"/>
      <family val="3"/>
      <charset val="134"/>
    </font>
    <font>
      <b/>
      <sz val="12"/>
      <color rgb="FFFF0000"/>
      <name val="Arial Narrow"/>
      <family val="2"/>
    </font>
    <font>
      <sz val="12"/>
      <color rgb="FFFF0000"/>
      <name val="仿宋_GB2312"/>
      <family val="3"/>
      <charset val="134"/>
    </font>
    <font>
      <sz val="12"/>
      <color rgb="FF0000FF"/>
      <name val="Arial Narrow"/>
      <family val="2"/>
    </font>
    <font>
      <sz val="12"/>
      <color rgb="FF0000FF"/>
      <name val="微软雅黑"/>
      <family val="2"/>
      <charset val="134"/>
    </font>
    <font>
      <b/>
      <sz val="12"/>
      <color rgb="FF000000"/>
      <name val="仿宋_GB2312"/>
      <family val="3"/>
      <charset val="134"/>
    </font>
    <font>
      <sz val="12"/>
      <color rgb="FFFF0000"/>
      <name val="Arial Narrow"/>
      <family val="2"/>
    </font>
    <font>
      <b/>
      <sz val="10"/>
      <color indexed="8"/>
      <name val="宋体"/>
      <family val="3"/>
      <charset val="134"/>
    </font>
    <font>
      <sz val="10"/>
      <color indexed="8"/>
      <name val="宋体"/>
      <family val="3"/>
      <charset val="134"/>
    </font>
    <font>
      <i/>
      <u/>
      <sz val="10"/>
      <color indexed="12"/>
      <name val="宋体"/>
      <family val="3"/>
      <charset val="134"/>
    </font>
    <font>
      <u/>
      <sz val="10"/>
      <name val="宋体"/>
      <family val="3"/>
      <charset val="134"/>
    </font>
    <font>
      <u/>
      <sz val="10"/>
      <name val="Arial Narrow"/>
      <family val="2"/>
    </font>
    <font>
      <b/>
      <sz val="10"/>
      <name val="Arial"/>
      <family val="2"/>
    </font>
    <font>
      <sz val="10"/>
      <name val="Arial"/>
      <family val="2"/>
    </font>
    <font>
      <b/>
      <sz val="10"/>
      <color rgb="FF0070C0"/>
      <name val="Arial Narrow"/>
      <family val="2"/>
    </font>
    <font>
      <b/>
      <sz val="14"/>
      <name val="Arial Narrow"/>
      <family val="2"/>
    </font>
    <font>
      <b/>
      <sz val="10"/>
      <name val="微软雅黑"/>
      <family val="2"/>
      <charset val="134"/>
    </font>
    <font>
      <b/>
      <sz val="10"/>
      <color theme="1"/>
      <name val="宋体"/>
      <family val="3"/>
      <charset val="134"/>
    </font>
    <font>
      <b/>
      <sz val="10"/>
      <color theme="1"/>
      <name val="Arial"/>
      <family val="2"/>
    </font>
    <font>
      <sz val="10"/>
      <color indexed="10"/>
      <name val="Arial Narrow"/>
      <family val="2"/>
    </font>
    <font>
      <b/>
      <sz val="10"/>
      <color theme="0" tint="-0.499984740745262"/>
      <name val="Arial Narrow"/>
      <family val="2"/>
    </font>
    <font>
      <sz val="11"/>
      <color theme="1"/>
      <name val="Arial Narrow"/>
      <family val="2"/>
    </font>
    <font>
      <b/>
      <sz val="16"/>
      <color rgb="FF0000FF"/>
      <name val="Arial Narrow"/>
      <family val="2"/>
    </font>
    <font>
      <b/>
      <sz val="10"/>
      <color rgb="FF0000FF"/>
      <name val="Arial Narrow"/>
      <family val="2"/>
    </font>
    <font>
      <b/>
      <sz val="10"/>
      <color rgb="FF0000FF"/>
      <name val="宋体"/>
      <family val="3"/>
      <charset val="134"/>
    </font>
    <font>
      <sz val="10"/>
      <color rgb="FF0000FF"/>
      <name val="Arial Narrow"/>
      <family val="2"/>
    </font>
    <font>
      <b/>
      <sz val="12"/>
      <color rgb="FF0000FF"/>
      <name val="Arial Narrow"/>
      <family val="2"/>
    </font>
    <font>
      <b/>
      <sz val="12"/>
      <color rgb="FF0000FF"/>
      <name val="宋体"/>
      <family val="3"/>
      <charset val="134"/>
    </font>
    <font>
      <sz val="10"/>
      <color theme="1"/>
      <name val="宋体"/>
      <family val="3"/>
      <charset val="134"/>
    </font>
    <font>
      <sz val="10"/>
      <color theme="1"/>
      <name val="Arial Narrow"/>
      <family val="2"/>
    </font>
    <font>
      <b/>
      <sz val="10"/>
      <color theme="1"/>
      <name val="Arial Narrow"/>
      <family val="2"/>
    </font>
    <font>
      <sz val="10"/>
      <color rgb="FFE92841"/>
      <name val="Arial Narrow"/>
      <family val="2"/>
    </font>
    <font>
      <u/>
      <sz val="12"/>
      <color indexed="12"/>
      <name val="宋体"/>
      <family val="3"/>
      <charset val="134"/>
    </font>
    <font>
      <sz val="11"/>
      <name val="ＭＳ Ｐゴシック"/>
      <family val="2"/>
    </font>
    <font>
      <sz val="12"/>
      <name val="???"/>
      <family val="1"/>
    </font>
    <font>
      <sz val="10"/>
      <name val="Times New Roman"/>
      <family val="1"/>
    </font>
    <font>
      <sz val="10"/>
      <color indexed="8"/>
      <name val="Arial"/>
      <family val="2"/>
    </font>
    <font>
      <sz val="10"/>
      <name val="Helv"/>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1"/>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Arial"/>
      <family val="2"/>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11"/>
      <color theme="1"/>
      <name val="宋体"/>
      <family val="3"/>
      <charset val="134"/>
      <scheme val="minor"/>
    </font>
    <font>
      <sz val="14"/>
      <name val="柧挬"/>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indexed="8"/>
      <name val="宋体"/>
      <family val="3"/>
      <charset val="134"/>
    </font>
    <font>
      <u/>
      <sz val="9"/>
      <color indexed="12"/>
      <name val="Times New Roman"/>
      <family val="1"/>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charset val="134"/>
    </font>
    <font>
      <sz val="12"/>
      <name val="官帕眉"/>
      <charset val="134"/>
    </font>
    <font>
      <sz val="10"/>
      <name val="奔覆眉"/>
      <charset val="134"/>
    </font>
    <font>
      <b/>
      <sz val="12"/>
      <color indexed="8"/>
      <name val="宋体"/>
      <family val="3"/>
      <charset val="134"/>
    </font>
    <font>
      <sz val="12"/>
      <name val="柧挬"/>
      <charset val="134"/>
    </font>
    <font>
      <sz val="12"/>
      <name val="바탕체"/>
      <family val="3"/>
    </font>
    <font>
      <b/>
      <sz val="10"/>
      <color theme="0" tint="-0.499984740745262"/>
      <name val="宋体"/>
      <family val="3"/>
      <charset val="134"/>
    </font>
    <font>
      <b/>
      <sz val="16"/>
      <color rgb="FF0000FF"/>
      <name val="宋体"/>
      <family val="3"/>
      <charset val="134"/>
    </font>
    <font>
      <b/>
      <sz val="10"/>
      <color indexed="12"/>
      <name val="宋体"/>
      <family val="3"/>
      <charset val="134"/>
      <scheme val="minor"/>
    </font>
    <font>
      <b/>
      <sz val="10"/>
      <color rgb="FFFF0000"/>
      <name val="宋体"/>
      <family val="3"/>
      <charset val="134"/>
    </font>
    <font>
      <sz val="10"/>
      <color indexed="10"/>
      <name val="宋体"/>
      <family val="3"/>
      <charset val="134"/>
    </font>
    <font>
      <b/>
      <sz val="9"/>
      <name val="宋体"/>
      <family val="3"/>
      <charset val="134"/>
    </font>
    <font>
      <sz val="9"/>
      <name val="宋体"/>
      <family val="3"/>
      <charset val="134"/>
    </font>
    <font>
      <u/>
      <sz val="10"/>
      <color rgb="FF0000FF"/>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s>
  <fills count="63">
    <fill>
      <patternFill patternType="none"/>
    </fill>
    <fill>
      <patternFill patternType="gray125"/>
    </fill>
    <fill>
      <patternFill patternType="solid">
        <fgColor theme="7" tint="0.79992065187536243"/>
        <bgColor indexed="64"/>
      </patternFill>
    </fill>
    <fill>
      <patternFill patternType="solid">
        <fgColor rgb="FFE4DFEC"/>
        <bgColor indexed="64"/>
      </patternFill>
    </fill>
    <fill>
      <patternFill patternType="solid">
        <fgColor theme="0"/>
        <bgColor indexed="64"/>
      </patternFill>
    </fill>
    <fill>
      <patternFill patternType="solid">
        <fgColor rgb="FFE4DFEC"/>
        <bgColor rgb="FFB7DEE8"/>
      </patternFill>
    </fill>
    <fill>
      <patternFill patternType="solid">
        <fgColor rgb="FFFFFFFF"/>
        <bgColor indexed="64"/>
      </patternFill>
    </fill>
    <fill>
      <patternFill patternType="solid">
        <fgColor indexed="9"/>
        <bgColor indexed="64"/>
      </patternFill>
    </fill>
    <fill>
      <patternFill patternType="solid">
        <fgColor rgb="FFFBD4D9"/>
        <bgColor indexed="64"/>
      </patternFill>
    </fill>
    <fill>
      <patternFill patternType="solid">
        <fgColor theme="0" tint="-0.14993743705557422"/>
        <bgColor indexed="64"/>
      </patternFill>
    </fill>
    <fill>
      <patternFill patternType="solid">
        <fgColor rgb="FFFFFF00"/>
        <bgColor indexed="64"/>
      </patternFill>
    </fill>
    <fill>
      <patternFill patternType="solid">
        <fgColor rgb="FFDCD5E5"/>
        <bgColor indexed="64"/>
      </patternFill>
    </fill>
    <fill>
      <patternFill patternType="solid">
        <fgColor indexed="14"/>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5"/>
        <bgColor indexed="45"/>
      </patternFill>
    </fill>
    <fill>
      <patternFill patternType="solid">
        <fgColor rgb="FFFFC7CE"/>
        <bgColor indexed="64"/>
      </patternFill>
    </fill>
    <fill>
      <patternFill patternType="solid">
        <fgColor indexed="56"/>
        <bgColor indexed="64"/>
      </patternFill>
    </fill>
    <fill>
      <patternFill patternType="solid">
        <fgColor rgb="FFC6EFCE"/>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79998168889431442"/>
        <bgColor indexed="64"/>
      </patternFill>
    </fill>
  </fills>
  <borders count="31">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indexed="55"/>
      </left>
      <right style="thin">
        <color indexed="55"/>
      </right>
      <top style="hair">
        <color auto="1"/>
      </top>
      <bottom style="thin">
        <color indexed="55"/>
      </bottom>
      <diagonal/>
    </border>
    <border>
      <left style="hair">
        <color auto="1"/>
      </left>
      <right/>
      <top style="hair">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s>
  <cellStyleXfs count="673">
    <xf numFmtId="0" fontId="0" fillId="0" borderId="0">
      <protection locked="0"/>
    </xf>
    <xf numFmtId="43" fontId="21" fillId="0" borderId="0" applyFont="0" applyFill="0" applyBorder="0" applyAlignment="0" applyProtection="0"/>
    <xf numFmtId="9" fontId="21" fillId="0" borderId="0" applyFont="0" applyFill="0" applyBorder="0" applyAlignment="0" applyProtection="0"/>
    <xf numFmtId="0" fontId="75" fillId="0" borderId="0" applyNumberFormat="0" applyFill="0" applyBorder="0" applyAlignment="0" applyProtection="0">
      <alignment vertical="top"/>
      <protection locked="0"/>
    </xf>
    <xf numFmtId="0" fontId="56" fillId="0" borderId="0"/>
    <xf numFmtId="0" fontId="56" fillId="0" borderId="0"/>
    <xf numFmtId="0" fontId="21" fillId="0" borderId="0" applyNumberFormat="0" applyFill="0" applyBorder="0" applyAlignment="0" applyProtection="0"/>
    <xf numFmtId="176" fontId="56" fillId="0" borderId="0"/>
    <xf numFmtId="0" fontId="56" fillId="0" borderId="0"/>
    <xf numFmtId="0" fontId="76" fillId="0" borderId="0" applyFont="0" applyFill="0" applyBorder="0" applyAlignment="0" applyProtection="0"/>
    <xf numFmtId="0" fontId="76" fillId="0" borderId="0" applyFont="0" applyFill="0" applyBorder="0" applyAlignment="0" applyProtection="0"/>
    <xf numFmtId="0" fontId="77" fillId="0" borderId="0"/>
    <xf numFmtId="176" fontId="56" fillId="0" borderId="0"/>
    <xf numFmtId="0" fontId="56" fillId="0" borderId="0"/>
    <xf numFmtId="176" fontId="56" fillId="0" borderId="0"/>
    <xf numFmtId="0" fontId="56" fillId="0" borderId="0"/>
    <xf numFmtId="176" fontId="56" fillId="0" borderId="0"/>
    <xf numFmtId="0" fontId="56" fillId="0" borderId="0"/>
    <xf numFmtId="49" fontId="78" fillId="0" borderId="0" applyProtection="0">
      <alignment horizontal="left"/>
    </xf>
    <xf numFmtId="49" fontId="78" fillId="0" borderId="0" applyProtection="0">
      <alignment horizontal="left"/>
    </xf>
    <xf numFmtId="0" fontId="79" fillId="0" borderId="0">
      <alignment vertical="top"/>
      <protection locked="0"/>
    </xf>
    <xf numFmtId="0" fontId="79" fillId="0" borderId="0">
      <alignment vertical="top"/>
    </xf>
    <xf numFmtId="0" fontId="56" fillId="0" borderId="0" applyNumberFormat="0" applyFill="0" applyBorder="0" applyAlignment="0">
      <protection locked="0"/>
    </xf>
    <xf numFmtId="0" fontId="79" fillId="0" borderId="0">
      <alignment vertical="top"/>
      <protection locked="0"/>
    </xf>
    <xf numFmtId="0" fontId="79" fillId="0" borderId="0">
      <alignment vertical="top"/>
    </xf>
    <xf numFmtId="0" fontId="79" fillId="0" borderId="0">
      <alignment vertical="top"/>
    </xf>
    <xf numFmtId="0" fontId="79" fillId="0" borderId="0">
      <alignment vertical="top"/>
    </xf>
    <xf numFmtId="0" fontId="79" fillId="0" borderId="0">
      <alignment vertical="top"/>
    </xf>
    <xf numFmtId="176" fontId="79" fillId="0" borderId="0">
      <alignment vertical="top"/>
      <protection locked="0"/>
    </xf>
    <xf numFmtId="0" fontId="79" fillId="0" borderId="0">
      <alignment vertical="top"/>
      <protection locked="0"/>
    </xf>
    <xf numFmtId="0"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0"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0" fontId="56" fillId="0" borderId="0" applyNumberFormat="0" applyFill="0" applyBorder="0" applyAlignment="0">
      <protection locked="0"/>
    </xf>
    <xf numFmtId="0" fontId="80" fillId="0" borderId="0"/>
    <xf numFmtId="0" fontId="80" fillId="0" borderId="0"/>
    <xf numFmtId="0" fontId="80" fillId="0" borderId="0"/>
    <xf numFmtId="0" fontId="80" fillId="0" borderId="0"/>
    <xf numFmtId="0" fontId="80" fillId="0" borderId="0"/>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80" fillId="0" borderId="0"/>
    <xf numFmtId="0" fontId="80" fillId="0" borderId="0"/>
    <xf numFmtId="0" fontId="80" fillId="0" borderId="0"/>
    <xf numFmtId="0" fontId="80" fillId="0" borderId="0"/>
    <xf numFmtId="0" fontId="80" fillId="0" borderId="0"/>
    <xf numFmtId="176" fontId="79" fillId="0" borderId="0">
      <alignment vertical="top"/>
    </xf>
    <xf numFmtId="0" fontId="79" fillId="0" borderId="0">
      <alignment vertical="top"/>
    </xf>
    <xf numFmtId="0" fontId="79" fillId="0" borderId="0">
      <alignment vertical="top"/>
    </xf>
    <xf numFmtId="0" fontId="80" fillId="0" borderId="0"/>
    <xf numFmtId="0" fontId="80" fillId="0" borderId="0"/>
    <xf numFmtId="0" fontId="80" fillId="0" borderId="0"/>
    <xf numFmtId="0" fontId="80" fillId="0" borderId="0"/>
    <xf numFmtId="0" fontId="80" fillId="0" borderId="0"/>
    <xf numFmtId="0" fontId="79" fillId="0" borderId="0">
      <alignment vertical="top"/>
    </xf>
    <xf numFmtId="0" fontId="56" fillId="0" borderId="0" applyNumberFormat="0" applyFill="0" applyBorder="0" applyAlignment="0" applyProtection="0"/>
    <xf numFmtId="0" fontId="79" fillId="0" borderId="0">
      <alignment vertical="top"/>
      <protection locked="0"/>
    </xf>
    <xf numFmtId="0" fontId="79" fillId="0" borderId="0">
      <alignment vertical="top"/>
      <protection locked="0"/>
    </xf>
    <xf numFmtId="0" fontId="79" fillId="0" borderId="0">
      <alignment vertical="top"/>
      <protection locked="0"/>
    </xf>
    <xf numFmtId="0" fontId="79" fillId="0" borderId="0">
      <alignment vertical="top"/>
    </xf>
    <xf numFmtId="0" fontId="79" fillId="0" borderId="0">
      <alignment vertical="top"/>
    </xf>
    <xf numFmtId="0" fontId="81" fillId="0" borderId="0"/>
    <xf numFmtId="176" fontId="79" fillId="0" borderId="0">
      <alignment vertical="top"/>
    </xf>
    <xf numFmtId="0" fontId="79" fillId="0" borderId="0">
      <alignment vertical="top"/>
    </xf>
    <xf numFmtId="0" fontId="79" fillId="0" borderId="0">
      <alignment vertical="top"/>
    </xf>
    <xf numFmtId="176" fontId="79" fillId="0" borderId="0">
      <alignment vertical="top"/>
      <protection locked="0"/>
    </xf>
    <xf numFmtId="0" fontId="79" fillId="0" borderId="0">
      <alignment vertical="top"/>
      <protection locked="0"/>
    </xf>
    <xf numFmtId="176" fontId="79" fillId="0" borderId="0">
      <alignment vertical="top"/>
    </xf>
    <xf numFmtId="0" fontId="79" fillId="0" borderId="0">
      <alignment vertical="top"/>
    </xf>
    <xf numFmtId="176" fontId="79" fillId="0" borderId="0">
      <alignment vertical="top"/>
    </xf>
    <xf numFmtId="0" fontId="79" fillId="0" borderId="0">
      <alignment vertical="top"/>
    </xf>
    <xf numFmtId="176"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176" fontId="79" fillId="0" borderId="0">
      <alignment vertical="top"/>
    </xf>
    <xf numFmtId="0" fontId="79" fillId="0" borderId="0">
      <alignment vertical="top"/>
    </xf>
    <xf numFmtId="176" fontId="79" fillId="0" borderId="0">
      <alignment vertical="top"/>
    </xf>
    <xf numFmtId="0" fontId="79" fillId="0" borderId="0">
      <alignment vertical="top"/>
    </xf>
    <xf numFmtId="176" fontId="79" fillId="0" borderId="0">
      <alignment vertical="top"/>
      <protection locked="0"/>
    </xf>
    <xf numFmtId="0" fontId="79" fillId="0" borderId="0">
      <alignment vertical="top"/>
      <protection locked="0"/>
    </xf>
    <xf numFmtId="0" fontId="79" fillId="0" borderId="0">
      <alignment vertical="top"/>
      <protection locked="0"/>
    </xf>
    <xf numFmtId="176" fontId="79" fillId="0" borderId="0">
      <alignment vertical="top"/>
    </xf>
    <xf numFmtId="0" fontId="79" fillId="0" borderId="0">
      <alignment vertical="top"/>
    </xf>
    <xf numFmtId="176" fontId="79" fillId="0" borderId="0">
      <alignment vertical="top"/>
    </xf>
    <xf numFmtId="0" fontId="79" fillId="0" borderId="0">
      <alignment vertical="top"/>
    </xf>
    <xf numFmtId="176" fontId="79" fillId="0" borderId="0">
      <alignment vertical="top"/>
    </xf>
    <xf numFmtId="0" fontId="79" fillId="0" borderId="0">
      <alignment vertical="top"/>
    </xf>
    <xf numFmtId="176" fontId="79" fillId="0" borderId="0">
      <alignment vertical="top"/>
      <protection locked="0"/>
    </xf>
    <xf numFmtId="0" fontId="79" fillId="0" borderId="0">
      <alignment vertical="top"/>
      <protection locked="0"/>
    </xf>
    <xf numFmtId="0" fontId="80" fillId="0" borderId="0"/>
    <xf numFmtId="176" fontId="79" fillId="0" borderId="0">
      <alignment vertical="top"/>
    </xf>
    <xf numFmtId="0" fontId="79" fillId="0" borderId="0">
      <alignment vertical="top"/>
    </xf>
    <xf numFmtId="0" fontId="80" fillId="0" borderId="0"/>
    <xf numFmtId="0" fontId="80" fillId="0" borderId="0"/>
    <xf numFmtId="0" fontId="80" fillId="0" borderId="0"/>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80" fillId="0" borderId="0"/>
    <xf numFmtId="176"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0"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176"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176" fontId="79" fillId="0" borderId="0">
      <alignment vertical="top"/>
    </xf>
    <xf numFmtId="0" fontId="79" fillId="0" borderId="0">
      <alignment vertical="top"/>
    </xf>
    <xf numFmtId="0" fontId="79" fillId="0" borderId="0">
      <alignment vertical="top"/>
    </xf>
    <xf numFmtId="0" fontId="79" fillId="0" borderId="0">
      <alignment vertical="top"/>
      <protection locked="0"/>
    </xf>
    <xf numFmtId="0" fontId="80" fillId="0" borderId="0"/>
    <xf numFmtId="176" fontId="79" fillId="0" borderId="0">
      <alignment vertical="top"/>
    </xf>
    <xf numFmtId="0" fontId="79" fillId="0" borderId="0">
      <alignment vertical="top"/>
    </xf>
    <xf numFmtId="0" fontId="79" fillId="0" borderId="0">
      <alignment vertical="top"/>
      <protection locked="0"/>
    </xf>
    <xf numFmtId="176" fontId="79" fillId="0" borderId="0">
      <alignment vertical="top"/>
    </xf>
    <xf numFmtId="0" fontId="79" fillId="0" borderId="0">
      <alignment vertical="top"/>
    </xf>
    <xf numFmtId="0" fontId="79" fillId="0" borderId="0">
      <alignment vertical="top"/>
      <protection locked="0"/>
    </xf>
    <xf numFmtId="0" fontId="79" fillId="0" borderId="0">
      <alignment vertical="top"/>
      <protection locked="0"/>
    </xf>
    <xf numFmtId="0" fontId="79" fillId="0" borderId="0">
      <alignment vertical="top"/>
    </xf>
    <xf numFmtId="0" fontId="79" fillId="0" borderId="0">
      <alignment vertical="top"/>
      <protection locked="0"/>
    </xf>
    <xf numFmtId="0" fontId="79" fillId="0" borderId="0">
      <alignment vertical="top"/>
    </xf>
    <xf numFmtId="176"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0" fontId="79" fillId="0" borderId="0">
      <alignment vertical="top"/>
      <protection locked="0"/>
    </xf>
    <xf numFmtId="0" fontId="80" fillId="0" borderId="0"/>
    <xf numFmtId="176" fontId="79" fillId="0" borderId="0">
      <alignment vertical="top"/>
    </xf>
    <xf numFmtId="0" fontId="79" fillId="0" borderId="0">
      <alignment vertical="top"/>
    </xf>
    <xf numFmtId="0" fontId="79" fillId="0" borderId="0">
      <alignment vertical="top"/>
      <protection locked="0"/>
    </xf>
    <xf numFmtId="176" fontId="79" fillId="0" borderId="0">
      <alignment vertical="top"/>
      <protection locked="0"/>
    </xf>
    <xf numFmtId="0" fontId="79" fillId="0" borderId="0">
      <alignment vertical="top"/>
      <protection locked="0"/>
    </xf>
    <xf numFmtId="0" fontId="80" fillId="0" borderId="0"/>
    <xf numFmtId="177" fontId="78" fillId="0" borderId="0" applyFill="0" applyBorder="0" applyProtection="0">
      <alignment horizontal="right"/>
    </xf>
    <xf numFmtId="178" fontId="78" fillId="0" borderId="0" applyFill="0" applyBorder="0" applyProtection="0">
      <alignment horizontal="right"/>
    </xf>
    <xf numFmtId="179" fontId="82" fillId="0" borderId="0" applyFill="0" applyBorder="0" applyProtection="0">
      <alignment horizontal="center"/>
    </xf>
    <xf numFmtId="180" fontId="82" fillId="0" borderId="0" applyFill="0" applyBorder="0" applyProtection="0">
      <alignment horizontal="center"/>
    </xf>
    <xf numFmtId="181" fontId="83" fillId="0" borderId="0" applyFill="0" applyBorder="0" applyProtection="0">
      <alignment horizontal="right"/>
    </xf>
    <xf numFmtId="182" fontId="78" fillId="0" borderId="0" applyFill="0" applyBorder="0" applyProtection="0">
      <alignment horizontal="right"/>
    </xf>
    <xf numFmtId="183" fontId="78" fillId="0" borderId="0" applyFill="0" applyBorder="0" applyProtection="0">
      <alignment horizontal="right"/>
    </xf>
    <xf numFmtId="184" fontId="78" fillId="0" borderId="0" applyFill="0" applyBorder="0" applyProtection="0">
      <alignment horizontal="right"/>
    </xf>
    <xf numFmtId="185" fontId="78" fillId="0" borderId="0" applyFill="0" applyBorder="0" applyProtection="0">
      <alignment horizontal="right"/>
    </xf>
    <xf numFmtId="186" fontId="84" fillId="0" borderId="0" applyFont="0" applyFill="0" applyBorder="0" applyAlignment="0" applyProtection="0"/>
    <xf numFmtId="0" fontId="81" fillId="0" borderId="0"/>
    <xf numFmtId="187" fontId="84" fillId="0" borderId="0" applyFont="0" applyFill="0" applyBorder="0" applyAlignment="0" applyProtection="0"/>
    <xf numFmtId="10" fontId="84" fillId="0" borderId="0" applyFont="0" applyFill="0" applyBorder="0" applyAlignment="0" applyProtection="0"/>
    <xf numFmtId="188" fontId="21" fillId="0" borderId="0" applyFont="0" applyFill="0" applyBorder="0" applyAlignment="0" applyProtection="0"/>
    <xf numFmtId="176" fontId="85" fillId="13" borderId="0" applyNumberFormat="0" applyBorder="0" applyAlignment="0" applyProtection="0"/>
    <xf numFmtId="176" fontId="85" fillId="14" borderId="0" applyNumberFormat="0" applyBorder="0" applyAlignment="0" applyProtection="0"/>
    <xf numFmtId="176" fontId="85" fillId="15" borderId="0" applyNumberFormat="0" applyBorder="0" applyAlignment="0" applyProtection="0"/>
    <xf numFmtId="176" fontId="85" fillId="16" borderId="0" applyNumberFormat="0" applyBorder="0" applyAlignment="0" applyProtection="0"/>
    <xf numFmtId="176" fontId="85" fillId="17" borderId="0" applyNumberFormat="0" applyBorder="0" applyAlignment="0" applyProtection="0"/>
    <xf numFmtId="176" fontId="85" fillId="18" borderId="0" applyNumberFormat="0" applyBorder="0" applyAlignment="0" applyProtection="0"/>
    <xf numFmtId="176" fontId="85" fillId="19" borderId="0" applyNumberFormat="0" applyBorder="0" applyAlignment="0" applyProtection="0"/>
    <xf numFmtId="176" fontId="85" fillId="20" borderId="0" applyNumberFormat="0" applyBorder="0" applyAlignment="0" applyProtection="0"/>
    <xf numFmtId="176" fontId="85" fillId="21" borderId="0" applyNumberFormat="0" applyBorder="0" applyAlignment="0" applyProtection="0"/>
    <xf numFmtId="176" fontId="85" fillId="16" borderId="0" applyNumberFormat="0" applyBorder="0" applyAlignment="0" applyProtection="0"/>
    <xf numFmtId="176" fontId="85" fillId="19" borderId="0" applyNumberFormat="0" applyBorder="0" applyAlignment="0" applyProtection="0"/>
    <xf numFmtId="176" fontId="85" fillId="22" borderId="0" applyNumberFormat="0" applyBorder="0" applyAlignment="0" applyProtection="0"/>
    <xf numFmtId="176" fontId="86" fillId="23" borderId="0" applyNumberFormat="0" applyBorder="0" applyAlignment="0" applyProtection="0"/>
    <xf numFmtId="176" fontId="86" fillId="20" borderId="0" applyNumberFormat="0" applyBorder="0" applyAlignment="0" applyProtection="0"/>
    <xf numFmtId="176" fontId="86" fillId="21" borderId="0" applyNumberFormat="0" applyBorder="0" applyAlignment="0" applyProtection="0"/>
    <xf numFmtId="176" fontId="86" fillId="24" borderId="0" applyNumberFormat="0" applyBorder="0" applyAlignment="0" applyProtection="0"/>
    <xf numFmtId="176" fontId="86" fillId="25" borderId="0" applyNumberFormat="0" applyBorder="0" applyAlignment="0" applyProtection="0"/>
    <xf numFmtId="176" fontId="86" fillId="26" borderId="0" applyNumberFormat="0" applyBorder="0" applyAlignment="0" applyProtection="0"/>
    <xf numFmtId="0" fontId="87" fillId="0" borderId="16">
      <alignment horizontal="center"/>
    </xf>
    <xf numFmtId="0" fontId="88" fillId="0" borderId="0"/>
    <xf numFmtId="0" fontId="88" fillId="0" borderId="10" applyFill="0">
      <alignment horizontal="center"/>
      <protection locked="0"/>
    </xf>
    <xf numFmtId="0" fontId="87" fillId="0" borderId="0" applyFill="0">
      <alignment horizontal="center"/>
      <protection locked="0"/>
    </xf>
    <xf numFmtId="0" fontId="87" fillId="27" borderId="0"/>
    <xf numFmtId="0" fontId="87" fillId="0" borderId="0">
      <protection locked="0"/>
    </xf>
    <xf numFmtId="0" fontId="87" fillId="0" borderId="0"/>
    <xf numFmtId="189" fontId="87" fillId="0" borderId="0"/>
    <xf numFmtId="190" fontId="87" fillId="0" borderId="0"/>
    <xf numFmtId="0" fontId="88" fillId="28" borderId="0">
      <alignment horizontal="right"/>
    </xf>
    <xf numFmtId="0" fontId="87" fillId="0" borderId="0"/>
    <xf numFmtId="176" fontId="86" fillId="29" borderId="0" applyNumberFormat="0" applyBorder="0" applyAlignment="0" applyProtection="0"/>
    <xf numFmtId="0" fontId="89" fillId="30" borderId="0" applyNumberFormat="0" applyBorder="0" applyAlignment="0" applyProtection="0"/>
    <xf numFmtId="0" fontId="89" fillId="30" borderId="0" applyNumberFormat="0" applyBorder="0" applyAlignment="0" applyProtection="0"/>
    <xf numFmtId="0" fontId="90" fillId="31" borderId="0" applyNumberFormat="0" applyBorder="0" applyAlignment="0" applyProtection="0"/>
    <xf numFmtId="176" fontId="86" fillId="32" borderId="0" applyNumberFormat="0" applyBorder="0" applyAlignment="0" applyProtection="0"/>
    <xf numFmtId="0" fontId="89" fillId="33" borderId="0" applyNumberFormat="0" applyBorder="0" applyAlignment="0" applyProtection="0"/>
    <xf numFmtId="0" fontId="89" fillId="34" borderId="0" applyNumberFormat="0" applyBorder="0" applyAlignment="0" applyProtection="0"/>
    <xf numFmtId="0" fontId="90" fillId="35" borderId="0" applyNumberFormat="0" applyBorder="0" applyAlignment="0" applyProtection="0"/>
    <xf numFmtId="176" fontId="86" fillId="36" borderId="0" applyNumberFormat="0" applyBorder="0" applyAlignment="0" applyProtection="0"/>
    <xf numFmtId="0" fontId="89" fillId="33" borderId="0" applyNumberFormat="0" applyBorder="0" applyAlignment="0" applyProtection="0"/>
    <xf numFmtId="0" fontId="89" fillId="37" borderId="0" applyNumberFormat="0" applyBorder="0" applyAlignment="0" applyProtection="0"/>
    <xf numFmtId="0" fontId="90" fillId="34" borderId="0" applyNumberFormat="0" applyBorder="0" applyAlignment="0" applyProtection="0"/>
    <xf numFmtId="176" fontId="86" fillId="24" borderId="0" applyNumberFormat="0" applyBorder="0" applyAlignment="0" applyProtection="0"/>
    <xf numFmtId="0" fontId="89" fillId="30" borderId="0" applyNumberFormat="0" applyBorder="0" applyAlignment="0" applyProtection="0"/>
    <xf numFmtId="0" fontId="89" fillId="34" borderId="0" applyNumberFormat="0" applyBorder="0" applyAlignment="0" applyProtection="0"/>
    <xf numFmtId="0" fontId="90" fillId="34" borderId="0" applyNumberFormat="0" applyBorder="0" applyAlignment="0" applyProtection="0"/>
    <xf numFmtId="176" fontId="86" fillId="25" borderId="0" applyNumberFormat="0" applyBorder="0" applyAlignment="0" applyProtection="0"/>
    <xf numFmtId="0" fontId="89" fillId="38" borderId="0" applyNumberFormat="0" applyBorder="0" applyAlignment="0" applyProtection="0"/>
    <xf numFmtId="0" fontId="89" fillId="30" borderId="0" applyNumberFormat="0" applyBorder="0" applyAlignment="0" applyProtection="0"/>
    <xf numFmtId="0" fontId="90" fillId="31" borderId="0" applyNumberFormat="0" applyBorder="0" applyAlignment="0" applyProtection="0"/>
    <xf numFmtId="176" fontId="86" fillId="39" borderId="0" applyNumberFormat="0" applyBorder="0" applyAlignment="0" applyProtection="0"/>
    <xf numFmtId="0" fontId="89" fillId="33" borderId="0" applyNumberFormat="0" applyBorder="0" applyAlignment="0" applyProtection="0"/>
    <xf numFmtId="0" fontId="89" fillId="40" borderId="0" applyNumberFormat="0" applyBorder="0" applyAlignment="0" applyProtection="0"/>
    <xf numFmtId="0" fontId="90" fillId="40" borderId="0" applyNumberFormat="0" applyBorder="0" applyAlignment="0" applyProtection="0"/>
    <xf numFmtId="0" fontId="91" fillId="0" borderId="0">
      <alignment horizontal="center" wrapText="1"/>
      <protection locked="0"/>
    </xf>
    <xf numFmtId="176" fontId="92" fillId="14" borderId="0" applyNumberFormat="0" applyBorder="0" applyAlignment="0" applyProtection="0"/>
    <xf numFmtId="3" fontId="93" fillId="0" borderId="0"/>
    <xf numFmtId="191" fontId="94" fillId="0" borderId="17" applyAlignment="0" applyProtection="0"/>
    <xf numFmtId="192" fontId="79" fillId="0" borderId="0" applyFill="0" applyBorder="0" applyAlignment="0"/>
    <xf numFmtId="193" fontId="56" fillId="0" borderId="0" applyFill="0" applyBorder="0" applyAlignment="0"/>
    <xf numFmtId="194" fontId="56" fillId="0" borderId="0" applyFill="0" applyBorder="0" applyAlignment="0"/>
    <xf numFmtId="195" fontId="56" fillId="0" borderId="0" applyFill="0" applyBorder="0" applyAlignment="0"/>
    <xf numFmtId="196" fontId="56" fillId="0" borderId="0" applyFill="0" applyBorder="0" applyAlignment="0"/>
    <xf numFmtId="197" fontId="56" fillId="0" borderId="0" applyFill="0" applyBorder="0" applyAlignment="0"/>
    <xf numFmtId="198" fontId="56" fillId="0" borderId="0" applyFill="0" applyBorder="0" applyAlignment="0"/>
    <xf numFmtId="193" fontId="56" fillId="0" borderId="0" applyFill="0" applyBorder="0" applyAlignment="0"/>
    <xf numFmtId="176" fontId="95" fillId="41" borderId="18" applyNumberFormat="0" applyAlignment="0" applyProtection="0"/>
    <xf numFmtId="0" fontId="96" fillId="0" borderId="0"/>
    <xf numFmtId="176" fontId="97" fillId="42" borderId="19" applyNumberFormat="0" applyAlignment="0" applyProtection="0"/>
    <xf numFmtId="0" fontId="98" fillId="0" borderId="15" applyNumberFormat="0" applyFill="0" applyProtection="0">
      <alignment horizontal="center"/>
    </xf>
    <xf numFmtId="176" fontId="99" fillId="0" borderId="20">
      <alignment horizontal="center"/>
    </xf>
    <xf numFmtId="199" fontId="56" fillId="0" borderId="0"/>
    <xf numFmtId="199" fontId="56" fillId="0" borderId="0"/>
    <xf numFmtId="199" fontId="56" fillId="0" borderId="0"/>
    <xf numFmtId="199" fontId="56" fillId="0" borderId="0"/>
    <xf numFmtId="199" fontId="56" fillId="0" borderId="0"/>
    <xf numFmtId="199" fontId="56" fillId="0" borderId="0"/>
    <xf numFmtId="199" fontId="56" fillId="0" borderId="0"/>
    <xf numFmtId="199" fontId="56" fillId="0" borderId="0"/>
    <xf numFmtId="200" fontId="21" fillId="0" borderId="0" applyFont="0" applyFill="0" applyBorder="0" applyAlignment="0" applyProtection="0"/>
    <xf numFmtId="197" fontId="56" fillId="0" borderId="0" applyFont="0" applyFill="0" applyBorder="0" applyAlignment="0" applyProtection="0"/>
    <xf numFmtId="43" fontId="21" fillId="0" borderId="0" applyFont="0" applyFill="0" applyBorder="0" applyAlignment="0" applyProtection="0"/>
    <xf numFmtId="201" fontId="78" fillId="0" borderId="0"/>
    <xf numFmtId="37" fontId="84" fillId="0" borderId="0" applyFont="0" applyFill="0" applyBorder="0" applyAlignment="0" applyProtection="0"/>
    <xf numFmtId="202" fontId="84" fillId="0" borderId="0" applyFont="0" applyFill="0" applyBorder="0" applyAlignment="0" applyProtection="0"/>
    <xf numFmtId="39" fontId="84" fillId="0" borderId="0" applyFont="0" applyFill="0" applyBorder="0" applyAlignment="0" applyProtection="0"/>
    <xf numFmtId="40" fontId="100" fillId="0" borderId="0" applyFont="0" applyFill="0" applyBorder="0" applyAlignment="0" applyProtection="0"/>
    <xf numFmtId="0" fontId="101" fillId="0" borderId="0" applyNumberFormat="0" applyAlignment="0">
      <alignment horizontal="left"/>
    </xf>
    <xf numFmtId="0" fontId="102" fillId="0" borderId="0" applyNumberFormat="0" applyAlignment="0"/>
    <xf numFmtId="200" fontId="103" fillId="0" borderId="0" applyFont="0" applyFill="0" applyBorder="0" applyAlignment="0" applyProtection="0"/>
    <xf numFmtId="193" fontId="56" fillId="0" borderId="0" applyFont="0" applyFill="0" applyBorder="0" applyAlignment="0" applyProtection="0"/>
    <xf numFmtId="191" fontId="84" fillId="0" borderId="0" applyFont="0" applyFill="0" applyBorder="0" applyAlignment="0" applyProtection="0"/>
    <xf numFmtId="203" fontId="84" fillId="0" borderId="0" applyFont="0" applyFill="0" applyBorder="0" applyAlignment="0" applyProtection="0"/>
    <xf numFmtId="204" fontId="21" fillId="0" borderId="0" applyFont="0" applyFill="0" applyBorder="0" applyAlignment="0" applyProtection="0"/>
    <xf numFmtId="205" fontId="78" fillId="0" borderId="0"/>
    <xf numFmtId="15" fontId="100" fillId="0" borderId="0"/>
    <xf numFmtId="15" fontId="100" fillId="0" borderId="0"/>
    <xf numFmtId="14" fontId="79" fillId="0" borderId="0" applyFill="0" applyBorder="0" applyAlignment="0"/>
    <xf numFmtId="206" fontId="56" fillId="0" borderId="0">
      <protection locked="0"/>
    </xf>
    <xf numFmtId="41" fontId="56" fillId="0" borderId="0" applyFont="0" applyFill="0" applyBorder="0" applyAlignment="0" applyProtection="0"/>
    <xf numFmtId="43" fontId="56" fillId="0" borderId="0" applyFont="0" applyFill="0" applyBorder="0" applyAlignment="0" applyProtection="0"/>
    <xf numFmtId="207" fontId="78" fillId="0" borderId="0"/>
    <xf numFmtId="0" fontId="104" fillId="0" borderId="0" applyNumberFormat="0" applyFill="0" applyBorder="0" applyAlignment="0" applyProtection="0"/>
    <xf numFmtId="197" fontId="56" fillId="0" borderId="0" applyFill="0" applyBorder="0" applyAlignment="0"/>
    <xf numFmtId="193" fontId="56" fillId="0" borderId="0" applyFill="0" applyBorder="0" applyAlignment="0"/>
    <xf numFmtId="197" fontId="56" fillId="0" borderId="0" applyFill="0" applyBorder="0" applyAlignment="0"/>
    <xf numFmtId="198" fontId="56" fillId="0" borderId="0" applyFill="0" applyBorder="0" applyAlignment="0"/>
    <xf numFmtId="193" fontId="56" fillId="0" borderId="0" applyFill="0" applyBorder="0" applyAlignment="0"/>
    <xf numFmtId="0" fontId="105" fillId="0" borderId="0" applyNumberFormat="0" applyAlignment="0">
      <alignment horizontal="left"/>
    </xf>
    <xf numFmtId="176" fontId="106" fillId="0" borderId="0">
      <alignment horizontal="left"/>
    </xf>
    <xf numFmtId="0" fontId="106" fillId="0" borderId="0">
      <alignment horizontal="left"/>
    </xf>
    <xf numFmtId="176" fontId="107" fillId="43" borderId="16"/>
    <xf numFmtId="0" fontId="107" fillId="43" borderId="16"/>
    <xf numFmtId="176" fontId="78" fillId="0" borderId="0" applyFont="0" applyFill="0" applyBorder="0" applyAlignment="0" applyProtection="0"/>
    <xf numFmtId="176" fontId="108" fillId="0" borderId="0" applyNumberFormat="0" applyFill="0" applyBorder="0" applyAlignment="0" applyProtection="0"/>
    <xf numFmtId="206" fontId="56" fillId="0" borderId="0">
      <protection locked="0"/>
    </xf>
    <xf numFmtId="206" fontId="56" fillId="0" borderId="0">
      <protection locked="0"/>
    </xf>
    <xf numFmtId="206" fontId="56" fillId="0" borderId="0">
      <protection locked="0"/>
    </xf>
    <xf numFmtId="206" fontId="56" fillId="0" borderId="0">
      <protection locked="0"/>
    </xf>
    <xf numFmtId="206" fontId="56" fillId="0" borderId="0">
      <protection locked="0"/>
    </xf>
    <xf numFmtId="206" fontId="56" fillId="0" borderId="0">
      <protection locked="0"/>
    </xf>
    <xf numFmtId="206" fontId="56" fillId="0" borderId="0">
      <protection locked="0"/>
    </xf>
    <xf numFmtId="206" fontId="56" fillId="0" borderId="0">
      <protection locked="0"/>
    </xf>
    <xf numFmtId="0" fontId="109" fillId="0" borderId="0" applyNumberFormat="0" applyFill="0" applyBorder="0" applyAlignment="0" applyProtection="0">
      <alignment vertical="top"/>
      <protection locked="0"/>
    </xf>
    <xf numFmtId="176" fontId="110" fillId="15" borderId="0" applyNumberFormat="0" applyBorder="0" applyAlignment="0" applyProtection="0"/>
    <xf numFmtId="38" fontId="107" fillId="41" borderId="0" applyNumberFormat="0" applyBorder="0" applyAlignment="0" applyProtection="0"/>
    <xf numFmtId="0" fontId="111" fillId="0" borderId="0">
      <alignment horizontal="left"/>
    </xf>
    <xf numFmtId="176" fontId="112" fillId="0" borderId="8" applyNumberFormat="0" applyAlignment="0" applyProtection="0">
      <alignment horizontal="left" vertical="center"/>
    </xf>
    <xf numFmtId="0" fontId="112" fillId="0" borderId="8" applyNumberFormat="0" applyAlignment="0" applyProtection="0">
      <alignment horizontal="left" vertical="center"/>
    </xf>
    <xf numFmtId="176" fontId="112" fillId="0" borderId="21">
      <alignment horizontal="left" vertical="center"/>
    </xf>
    <xf numFmtId="0" fontId="112" fillId="0" borderId="21">
      <alignment horizontal="left" vertical="center"/>
    </xf>
    <xf numFmtId="14" fontId="55" fillId="17" borderId="10">
      <alignment horizontal="center" vertical="center" wrapText="1"/>
    </xf>
    <xf numFmtId="176" fontId="113" fillId="0" borderId="22" applyNumberFormat="0" applyFill="0" applyAlignment="0" applyProtection="0"/>
    <xf numFmtId="176" fontId="114" fillId="0" borderId="23" applyNumberFormat="0" applyFill="0" applyAlignment="0" applyProtection="0"/>
    <xf numFmtId="176" fontId="115" fillId="0" borderId="24" applyNumberFormat="0" applyFill="0" applyAlignment="0" applyProtection="0"/>
    <xf numFmtId="176" fontId="115" fillId="0" borderId="0" applyNumberFormat="0" applyFill="0" applyBorder="0" applyAlignment="0" applyProtection="0"/>
    <xf numFmtId="206" fontId="56" fillId="0" borderId="0">
      <protection locked="0"/>
    </xf>
    <xf numFmtId="206" fontId="56" fillId="0" borderId="0">
      <protection locked="0"/>
    </xf>
    <xf numFmtId="0" fontId="116" fillId="0" borderId="0" applyNumberFormat="0" applyFill="0" applyBorder="0" applyAlignment="0" applyProtection="0">
      <alignment vertical="top"/>
      <protection locked="0"/>
    </xf>
    <xf numFmtId="176" fontId="117" fillId="18" borderId="18" applyNumberFormat="0" applyAlignment="0" applyProtection="0"/>
    <xf numFmtId="10" fontId="107" fillId="44" borderId="16" applyNumberFormat="0" applyBorder="0" applyAlignment="0" applyProtection="0"/>
    <xf numFmtId="208" fontId="21" fillId="45" borderId="0"/>
    <xf numFmtId="208" fontId="21" fillId="45" borderId="0"/>
    <xf numFmtId="176" fontId="78" fillId="0" borderId="0" applyNumberFormat="0" applyFont="0" applyFill="0" applyBorder="0" applyProtection="0">
      <alignment horizontal="left" vertical="center"/>
    </xf>
    <xf numFmtId="0" fontId="78" fillId="0" borderId="0" applyNumberFormat="0" applyFont="0" applyFill="0" applyBorder="0" applyProtection="0">
      <alignment horizontal="left" vertical="center"/>
    </xf>
    <xf numFmtId="197" fontId="56" fillId="0" borderId="0" applyFill="0" applyBorder="0" applyAlignment="0"/>
    <xf numFmtId="193" fontId="56" fillId="0" borderId="0" applyFill="0" applyBorder="0" applyAlignment="0"/>
    <xf numFmtId="197" fontId="56" fillId="0" borderId="0" applyFill="0" applyBorder="0" applyAlignment="0"/>
    <xf numFmtId="198" fontId="56" fillId="0" borderId="0" applyFill="0" applyBorder="0" applyAlignment="0"/>
    <xf numFmtId="193" fontId="56" fillId="0" borderId="0" applyFill="0" applyBorder="0" applyAlignment="0"/>
    <xf numFmtId="176" fontId="118" fillId="0" borderId="25" applyNumberFormat="0" applyFill="0" applyAlignment="0" applyProtection="0"/>
    <xf numFmtId="208" fontId="21" fillId="46" borderId="0"/>
    <xf numFmtId="208" fontId="21" fillId="46" borderId="0"/>
    <xf numFmtId="41" fontId="56" fillId="0" borderId="0" applyFont="0" applyFill="0" applyBorder="0" applyAlignment="0" applyProtection="0"/>
    <xf numFmtId="43" fontId="56" fillId="0" borderId="0" applyFont="0" applyFill="0" applyBorder="0" applyAlignment="0" applyProtection="0"/>
    <xf numFmtId="209" fontId="21" fillId="0" borderId="0" applyFont="0" applyFill="0" applyBorder="0" applyAlignment="0" applyProtection="0"/>
    <xf numFmtId="210" fontId="21" fillId="0" borderId="0" applyFont="0" applyFill="0" applyBorder="0" applyAlignment="0" applyProtection="0"/>
    <xf numFmtId="0" fontId="119" fillId="0" borderId="10"/>
    <xf numFmtId="200" fontId="56" fillId="0" borderId="0" applyFont="0" applyFill="0" applyBorder="0" applyAlignment="0" applyProtection="0"/>
    <xf numFmtId="211" fontId="56" fillId="0" borderId="0" applyFont="0" applyFill="0" applyBorder="0" applyAlignment="0" applyProtection="0"/>
    <xf numFmtId="212" fontId="21" fillId="0" borderId="0" applyFont="0" applyFill="0" applyBorder="0" applyAlignment="0" applyProtection="0"/>
    <xf numFmtId="187" fontId="21" fillId="0" borderId="0" applyFont="0" applyFill="0" applyBorder="0" applyAlignment="0" applyProtection="0"/>
    <xf numFmtId="213" fontId="56" fillId="0" borderId="0" applyFont="0" applyFill="0" applyBorder="0" applyAlignment="0" applyProtection="0"/>
    <xf numFmtId="214" fontId="21" fillId="0" borderId="0" applyFont="0" applyFill="0" applyBorder="0" applyAlignment="0" applyProtection="0"/>
    <xf numFmtId="176" fontId="120" fillId="47" borderId="0" applyNumberFormat="0" applyBorder="0" applyAlignment="0" applyProtection="0"/>
    <xf numFmtId="0" fontId="78" fillId="0" borderId="0"/>
    <xf numFmtId="37" fontId="121" fillId="0" borderId="0"/>
    <xf numFmtId="0" fontId="102" fillId="0" borderId="0"/>
    <xf numFmtId="215" fontId="21" fillId="0" borderId="0"/>
    <xf numFmtId="0" fontId="56" fillId="0" borderId="0"/>
    <xf numFmtId="0" fontId="56" fillId="0" borderId="0"/>
    <xf numFmtId="0" fontId="21" fillId="0" borderId="0"/>
    <xf numFmtId="0" fontId="21" fillId="0" borderId="0">
      <alignment vertical="center"/>
    </xf>
    <xf numFmtId="176" fontId="100" fillId="0" borderId="0"/>
    <xf numFmtId="176" fontId="122" fillId="0" borderId="0"/>
    <xf numFmtId="176" fontId="56" fillId="44" borderId="26" applyNumberFormat="0" applyFont="0" applyAlignment="0" applyProtection="0"/>
    <xf numFmtId="216" fontId="56" fillId="0" borderId="0" applyFont="0" applyFill="0" applyBorder="0" applyAlignment="0" applyProtection="0"/>
    <xf numFmtId="217" fontId="56" fillId="0" borderId="0" applyFont="0" applyFill="0" applyBorder="0" applyAlignment="0" applyProtection="0"/>
    <xf numFmtId="176" fontId="123" fillId="41" borderId="27" applyNumberFormat="0" applyAlignment="0" applyProtection="0"/>
    <xf numFmtId="14" fontId="91" fillId="0" borderId="0">
      <alignment horizontal="center" wrapText="1"/>
      <protection locked="0"/>
    </xf>
    <xf numFmtId="218" fontId="56" fillId="0" borderId="0" applyFont="0" applyFill="0" applyBorder="0" applyAlignment="0" applyProtection="0"/>
    <xf numFmtId="196" fontId="56" fillId="0" borderId="0" applyFont="0" applyFill="0" applyBorder="0" applyAlignment="0" applyProtection="0"/>
    <xf numFmtId="186" fontId="56" fillId="0" borderId="0" applyFont="0" applyFill="0" applyBorder="0" applyAlignment="0" applyProtection="0"/>
    <xf numFmtId="10" fontId="56" fillId="0" borderId="0" applyFont="0" applyFill="0" applyBorder="0" applyAlignment="0" applyProtection="0"/>
    <xf numFmtId="9" fontId="2" fillId="0" borderId="0" applyFont="0" applyFill="0" applyBorder="0" applyAlignment="0" applyProtection="0">
      <alignment vertical="center"/>
    </xf>
    <xf numFmtId="9" fontId="80" fillId="0" borderId="0" applyFont="0" applyFill="0" applyBorder="0" applyAlignment="0" applyProtection="0"/>
    <xf numFmtId="13" fontId="56" fillId="0" borderId="0" applyFont="0" applyFill="0" applyProtection="0"/>
    <xf numFmtId="176" fontId="107" fillId="41" borderId="16"/>
    <xf numFmtId="0" fontId="107" fillId="41" borderId="16"/>
    <xf numFmtId="197" fontId="56" fillId="0" borderId="0" applyFill="0" applyBorder="0" applyAlignment="0"/>
    <xf numFmtId="193" fontId="56" fillId="0" borderId="0" applyFill="0" applyBorder="0" applyAlignment="0"/>
    <xf numFmtId="197" fontId="56" fillId="0" borderId="0" applyFill="0" applyBorder="0" applyAlignment="0"/>
    <xf numFmtId="198" fontId="56" fillId="0" borderId="0" applyFill="0" applyBorder="0" applyAlignment="0"/>
    <xf numFmtId="193" fontId="56" fillId="0" borderId="0" applyFill="0" applyBorder="0" applyAlignment="0"/>
    <xf numFmtId="4" fontId="106" fillId="0" borderId="0">
      <alignment horizontal="right"/>
    </xf>
    <xf numFmtId="188" fontId="124" fillId="0" borderId="0"/>
    <xf numFmtId="188" fontId="124" fillId="0" borderId="0"/>
    <xf numFmtId="0" fontId="100" fillId="0" borderId="0" applyNumberFormat="0" applyFont="0" applyFill="0" applyBorder="0" applyAlignment="0" applyProtection="0">
      <alignment horizontal="left"/>
    </xf>
    <xf numFmtId="0" fontId="94" fillId="0" borderId="10">
      <alignment horizontal="center"/>
    </xf>
    <xf numFmtId="3" fontId="125" fillId="0" borderId="0"/>
    <xf numFmtId="4" fontId="126" fillId="0" borderId="0">
      <alignment horizontal="right"/>
    </xf>
    <xf numFmtId="219" fontId="21" fillId="0" borderId="0" applyNumberFormat="0" applyFill="0" applyBorder="0" applyAlignment="0" applyProtection="0">
      <alignment horizontal="left"/>
    </xf>
    <xf numFmtId="219" fontId="21" fillId="0" borderId="0" applyNumberFormat="0" applyFill="0" applyBorder="0" applyAlignment="0" applyProtection="0">
      <alignment horizontal="left"/>
    </xf>
    <xf numFmtId="41" fontId="78" fillId="0" borderId="0" applyFont="0" applyFill="0" applyBorder="0" applyAlignment="0" applyProtection="0"/>
    <xf numFmtId="0" fontId="127" fillId="7" borderId="0">
      <alignment horizontal="left" vertical="center"/>
    </xf>
    <xf numFmtId="0" fontId="127" fillId="7" borderId="0">
      <alignment horizontal="right" vertical="center"/>
    </xf>
    <xf numFmtId="4" fontId="128" fillId="47" borderId="28" applyNumberFormat="0" applyProtection="0">
      <alignment vertical="center"/>
    </xf>
    <xf numFmtId="4" fontId="129" fillId="47" borderId="28" applyNumberFormat="0" applyProtection="0">
      <alignment vertical="center"/>
    </xf>
    <xf numFmtId="4" fontId="128" fillId="47" borderId="28" applyNumberFormat="0" applyProtection="0">
      <alignment horizontal="left" vertical="center" indent="1"/>
    </xf>
    <xf numFmtId="0" fontId="128" fillId="47" borderId="28" applyNumberFormat="0" applyProtection="0">
      <alignment horizontal="left" vertical="top" indent="1"/>
    </xf>
    <xf numFmtId="4" fontId="128" fillId="48" borderId="0" applyNumberFormat="0" applyProtection="0">
      <alignment horizontal="left" vertical="center" indent="1"/>
    </xf>
    <xf numFmtId="4" fontId="79" fillId="14" borderId="28" applyNumberFormat="0" applyProtection="0">
      <alignment horizontal="right" vertical="center"/>
    </xf>
    <xf numFmtId="4" fontId="79" fillId="20" borderId="28" applyNumberFormat="0" applyProtection="0">
      <alignment horizontal="right" vertical="center"/>
    </xf>
    <xf numFmtId="4" fontId="79" fillId="32" borderId="28" applyNumberFormat="0" applyProtection="0">
      <alignment horizontal="right" vertical="center"/>
    </xf>
    <xf numFmtId="4" fontId="79" fillId="22" borderId="28" applyNumberFormat="0" applyProtection="0">
      <alignment horizontal="right" vertical="center"/>
    </xf>
    <xf numFmtId="4" fontId="79" fillId="26" borderId="28" applyNumberFormat="0" applyProtection="0">
      <alignment horizontal="right" vertical="center"/>
    </xf>
    <xf numFmtId="4" fontId="79" fillId="39" borderId="28" applyNumberFormat="0" applyProtection="0">
      <alignment horizontal="right" vertical="center"/>
    </xf>
    <xf numFmtId="4" fontId="79" fillId="36" borderId="28" applyNumberFormat="0" applyProtection="0">
      <alignment horizontal="right" vertical="center"/>
    </xf>
    <xf numFmtId="4" fontId="79" fillId="49" borderId="28" applyNumberFormat="0" applyProtection="0">
      <alignment horizontal="right" vertical="center"/>
    </xf>
    <xf numFmtId="4" fontId="79" fillId="21" borderId="28" applyNumberFormat="0" applyProtection="0">
      <alignment horizontal="right" vertical="center"/>
    </xf>
    <xf numFmtId="4" fontId="128" fillId="50" borderId="29" applyNumberFormat="0" applyProtection="0">
      <alignment horizontal="left" vertical="center" indent="1"/>
    </xf>
    <xf numFmtId="4" fontId="79" fillId="51" borderId="0" applyNumberFormat="0" applyProtection="0">
      <alignment horizontal="left" vertical="center" indent="1"/>
    </xf>
    <xf numFmtId="4" fontId="130" fillId="52" borderId="0" applyNumberFormat="0" applyProtection="0">
      <alignment horizontal="left" vertical="center" indent="1"/>
    </xf>
    <xf numFmtId="4" fontId="79" fillId="48" borderId="28" applyNumberFormat="0" applyProtection="0">
      <alignment horizontal="right" vertical="center"/>
    </xf>
    <xf numFmtId="4" fontId="79" fillId="51" borderId="0" applyNumberFormat="0" applyProtection="0">
      <alignment horizontal="left" vertical="center" indent="1"/>
    </xf>
    <xf numFmtId="4" fontId="79" fillId="48" borderId="0" applyNumberFormat="0" applyProtection="0">
      <alignment horizontal="left" vertical="center" indent="1"/>
    </xf>
    <xf numFmtId="0" fontId="56" fillId="52" borderId="28" applyNumberFormat="0" applyProtection="0">
      <alignment horizontal="left" vertical="center" indent="1"/>
    </xf>
    <xf numFmtId="0" fontId="56" fillId="52" borderId="28" applyNumberFormat="0" applyProtection="0">
      <alignment horizontal="left" vertical="top" indent="1"/>
    </xf>
    <xf numFmtId="0" fontId="56" fillId="48" borderId="28" applyNumberFormat="0" applyProtection="0">
      <alignment horizontal="left" vertical="center" indent="1"/>
    </xf>
    <xf numFmtId="0" fontId="56" fillId="48" borderId="28" applyNumberFormat="0" applyProtection="0">
      <alignment horizontal="left" vertical="top" indent="1"/>
    </xf>
    <xf numFmtId="0" fontId="56" fillId="19" borderId="28" applyNumberFormat="0" applyProtection="0">
      <alignment horizontal="left" vertical="center" indent="1"/>
    </xf>
    <xf numFmtId="0" fontId="56" fillId="19" borderId="28" applyNumberFormat="0" applyProtection="0">
      <alignment horizontal="left" vertical="top" indent="1"/>
    </xf>
    <xf numFmtId="0" fontId="56" fillId="51" borderId="28" applyNumberFormat="0" applyProtection="0">
      <alignment horizontal="left" vertical="center" indent="1"/>
    </xf>
    <xf numFmtId="0" fontId="56" fillId="51" borderId="28" applyNumberFormat="0" applyProtection="0">
      <alignment horizontal="left" vertical="top" indent="1"/>
    </xf>
    <xf numFmtId="4" fontId="79" fillId="44" borderId="28" applyNumberFormat="0" applyProtection="0">
      <alignment vertical="center"/>
    </xf>
    <xf numFmtId="4" fontId="131" fillId="44" borderId="28" applyNumberFormat="0" applyProtection="0">
      <alignment vertical="center"/>
    </xf>
    <xf numFmtId="4" fontId="79" fillId="44" borderId="28" applyNumberFormat="0" applyProtection="0">
      <alignment horizontal="left" vertical="center" indent="1"/>
    </xf>
    <xf numFmtId="0" fontId="79" fillId="44" borderId="28" applyNumberFormat="0" applyProtection="0">
      <alignment horizontal="left" vertical="top" indent="1"/>
    </xf>
    <xf numFmtId="4" fontId="79" fillId="51" borderId="28" applyNumberFormat="0" applyProtection="0">
      <alignment horizontal="right" vertical="center"/>
    </xf>
    <xf numFmtId="4" fontId="131" fillId="51" borderId="28" applyNumberFormat="0" applyProtection="0">
      <alignment horizontal="right" vertical="center"/>
    </xf>
    <xf numFmtId="4" fontId="79" fillId="48" borderId="28" applyNumberFormat="0" applyProtection="0">
      <alignment horizontal="left" vertical="center" indent="1"/>
    </xf>
    <xf numFmtId="0" fontId="79" fillId="48" borderId="28" applyNumberFormat="0" applyProtection="0">
      <alignment horizontal="left" vertical="top" indent="1"/>
    </xf>
    <xf numFmtId="4" fontId="132" fillId="45" borderId="0" applyNumberFormat="0" applyProtection="0">
      <alignment horizontal="left" vertical="center" indent="1"/>
    </xf>
    <xf numFmtId="4" fontId="133" fillId="51" borderId="28" applyNumberFormat="0" applyProtection="0">
      <alignment horizontal="right" vertical="center"/>
    </xf>
    <xf numFmtId="176" fontId="134" fillId="0" borderId="0">
      <alignment horizontal="left"/>
    </xf>
    <xf numFmtId="0" fontId="134" fillId="0" borderId="0">
      <alignment horizontal="left"/>
    </xf>
    <xf numFmtId="43" fontId="107" fillId="0" borderId="1"/>
    <xf numFmtId="0" fontId="122" fillId="0" borderId="0"/>
    <xf numFmtId="176" fontId="135" fillId="0" borderId="16">
      <alignment horizontal="center"/>
    </xf>
    <xf numFmtId="0" fontId="135" fillId="0" borderId="16">
      <alignment horizontal="center"/>
    </xf>
    <xf numFmtId="176" fontId="135" fillId="0" borderId="0">
      <alignment horizontal="center" vertical="center"/>
    </xf>
    <xf numFmtId="0" fontId="135" fillId="0" borderId="0">
      <alignment horizontal="center" vertical="center"/>
    </xf>
    <xf numFmtId="176" fontId="136" fillId="0" borderId="0" applyNumberFormat="0" applyFill="0">
      <alignment horizontal="left" vertical="center"/>
    </xf>
    <xf numFmtId="0" fontId="136" fillId="0" borderId="0" applyNumberFormat="0" applyFill="0">
      <alignment horizontal="left" vertical="center"/>
    </xf>
    <xf numFmtId="0" fontId="119" fillId="0" borderId="0"/>
    <xf numFmtId="40" fontId="137" fillId="0" borderId="0" applyBorder="0">
      <alignment horizontal="right"/>
    </xf>
    <xf numFmtId="49" fontId="79" fillId="0" borderId="0" applyFill="0" applyBorder="0" applyAlignment="0"/>
    <xf numFmtId="220" fontId="79" fillId="0" borderId="0" applyFill="0" applyBorder="0" applyAlignment="0"/>
    <xf numFmtId="221" fontId="56" fillId="0" borderId="0" applyFill="0" applyBorder="0" applyAlignment="0"/>
    <xf numFmtId="176" fontId="138" fillId="0" borderId="0" applyFill="0" applyBorder="0" applyProtection="0">
      <alignment horizontal="left" vertical="top"/>
    </xf>
    <xf numFmtId="0" fontId="138" fillId="0" borderId="0" applyFill="0" applyBorder="0" applyProtection="0">
      <alignment horizontal="left" vertical="top"/>
    </xf>
    <xf numFmtId="176" fontId="139" fillId="0" borderId="0">
      <alignment horizontal="center"/>
    </xf>
    <xf numFmtId="0" fontId="139" fillId="0" borderId="0">
      <alignment horizontal="center"/>
    </xf>
    <xf numFmtId="176" fontId="140" fillId="0" borderId="30" applyNumberFormat="0" applyFill="0" applyAlignment="0" applyProtection="0"/>
    <xf numFmtId="222" fontId="56" fillId="0" borderId="0" applyFont="0" applyFill="0" applyBorder="0" applyAlignment="0" applyProtection="0"/>
    <xf numFmtId="223" fontId="56" fillId="0" borderId="0" applyFont="0" applyFill="0" applyBorder="0" applyAlignment="0" applyProtection="0"/>
    <xf numFmtId="224" fontId="21" fillId="0" borderId="0" applyFont="0" applyFill="0" applyBorder="0" applyAlignment="0" applyProtection="0"/>
    <xf numFmtId="225" fontId="21" fillId="0" borderId="0" applyFont="0" applyFill="0" applyBorder="0" applyAlignment="0" applyProtection="0"/>
    <xf numFmtId="176" fontId="141" fillId="0" borderId="0" applyNumberFormat="0" applyFill="0" applyBorder="0" applyAlignment="0" applyProtection="0"/>
    <xf numFmtId="176" fontId="142" fillId="0" borderId="0" applyNumberFormat="0" applyFont="0" applyFill="0" applyBorder="0" applyProtection="0">
      <alignment horizontal="center" vertical="center" wrapText="1"/>
    </xf>
    <xf numFmtId="0" fontId="142" fillId="0" borderId="0" applyNumberFormat="0" applyFont="0" applyFill="0" applyBorder="0" applyProtection="0">
      <alignment horizontal="center" vertical="center" wrapText="1"/>
    </xf>
    <xf numFmtId="9" fontId="143" fillId="0" borderId="0" applyFont="0" applyFill="0" applyBorder="0" applyAlignment="0" applyProtection="0"/>
    <xf numFmtId="0" fontId="81" fillId="0" borderId="0"/>
    <xf numFmtId="0" fontId="7" fillId="0" borderId="0"/>
    <xf numFmtId="217" fontId="81" fillId="0" borderId="0" applyFont="0" applyFill="0" applyBorder="0" applyAlignment="0" applyProtection="0"/>
    <xf numFmtId="216" fontId="81" fillId="0" borderId="0" applyFont="0" applyFill="0" applyBorder="0" applyAlignment="0" applyProtection="0"/>
    <xf numFmtId="41" fontId="56" fillId="0" borderId="0" applyFont="0" applyFill="0" applyBorder="0" applyAlignment="0" applyProtection="0"/>
    <xf numFmtId="9" fontId="81" fillId="0" borderId="0" applyFont="0" applyFill="0" applyBorder="0" applyAlignment="0" applyProtection="0"/>
    <xf numFmtId="9" fontId="56" fillId="0" borderId="0" applyFont="0" applyFill="0" applyBorder="0" applyAlignment="0" applyProtection="0"/>
    <xf numFmtId="9" fontId="21" fillId="0" borderId="0" applyFont="0" applyFill="0" applyBorder="0" applyAlignment="0" applyProtection="0">
      <alignment vertical="center"/>
    </xf>
    <xf numFmtId="9" fontId="21" fillId="0" borderId="0" applyFont="0" applyFill="0" applyBorder="0" applyAlignment="0" applyProtection="0"/>
    <xf numFmtId="9" fontId="144" fillId="0" borderId="0" applyFont="0" applyFill="0" applyBorder="0" applyAlignment="0" applyProtection="0">
      <alignment vertical="center"/>
    </xf>
    <xf numFmtId="9" fontId="2" fillId="0" borderId="0">
      <alignment vertical="center"/>
    </xf>
    <xf numFmtId="0" fontId="145" fillId="0" borderId="0" applyFont="0" applyFill="0" applyBorder="0" applyAlignment="0" applyProtection="0"/>
    <xf numFmtId="0" fontId="145" fillId="0" borderId="0" applyFont="0" applyFill="0" applyBorder="0" applyAlignment="0" applyProtection="0"/>
    <xf numFmtId="4" fontId="146" fillId="0" borderId="0">
      <alignment horizontal="right"/>
    </xf>
    <xf numFmtId="0" fontId="147" fillId="0" borderId="0" applyNumberFormat="0" applyFill="0" applyBorder="0" applyAlignment="0" applyProtection="0"/>
    <xf numFmtId="0" fontId="148" fillId="22"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8" fillId="22" borderId="0" applyNumberFormat="0" applyBorder="0" applyAlignment="0" applyProtection="0">
      <alignment vertical="center"/>
    </xf>
    <xf numFmtId="0" fontId="150" fillId="53" borderId="0" applyNumberFormat="0" applyBorder="0" applyAlignment="0" applyProtection="0"/>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51" fillId="43" borderId="0" applyNumberFormat="0" applyBorder="0" applyAlignment="0" applyProtection="0">
      <alignment vertical="center"/>
    </xf>
    <xf numFmtId="0" fontId="149" fillId="14" borderId="0" applyNumberFormat="0" applyBorder="0" applyAlignment="0" applyProtection="0">
      <alignment vertical="center"/>
    </xf>
    <xf numFmtId="0" fontId="152" fillId="54" borderId="0" applyNumberFormat="0" applyBorder="0" applyAlignment="0" applyProtection="0">
      <alignment vertical="center"/>
    </xf>
    <xf numFmtId="0" fontId="153" fillId="14" borderId="0" applyNumberFormat="0" applyBorder="0" applyAlignment="0" applyProtection="0">
      <alignment vertical="center"/>
    </xf>
    <xf numFmtId="0" fontId="153" fillId="14"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51" fillId="43"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9" fillId="14" borderId="0" applyNumberFormat="0" applyBorder="0" applyAlignment="0" applyProtection="0">
      <alignment vertical="center"/>
    </xf>
    <xf numFmtId="0" fontId="148" fillId="22" borderId="0" applyNumberFormat="0" applyBorder="0" applyAlignment="0" applyProtection="0">
      <alignment vertical="center"/>
    </xf>
    <xf numFmtId="0" fontId="149" fillId="14"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39"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54" fillId="16" borderId="0" applyNumberFormat="0" applyBorder="0" applyAlignment="0" applyProtection="0">
      <alignment vertical="center"/>
    </xf>
    <xf numFmtId="0" fontId="144" fillId="0" borderId="0">
      <alignment vertical="center"/>
    </xf>
    <xf numFmtId="0" fontId="2" fillId="0" borderId="0">
      <alignment vertical="center"/>
    </xf>
    <xf numFmtId="176" fontId="144" fillId="0" borderId="0">
      <alignment vertical="center"/>
    </xf>
    <xf numFmtId="0" fontId="144" fillId="0" borderId="0"/>
    <xf numFmtId="0" fontId="21" fillId="0" borderId="0">
      <alignment vertical="center"/>
      <protection locked="0"/>
    </xf>
    <xf numFmtId="0" fontId="56" fillId="0" borderId="0"/>
    <xf numFmtId="0" fontId="21" fillId="0" borderId="0">
      <alignment vertical="center"/>
      <protection locked="0"/>
    </xf>
    <xf numFmtId="0" fontId="21" fillId="0" borderId="0">
      <alignment vertical="center"/>
      <protection locked="0"/>
    </xf>
    <xf numFmtId="0" fontId="144" fillId="0" borderId="0">
      <alignment vertical="center"/>
    </xf>
    <xf numFmtId="0" fontId="144" fillId="0" borderId="0"/>
    <xf numFmtId="0" fontId="144" fillId="0" borderId="0">
      <alignment vertical="center"/>
    </xf>
    <xf numFmtId="0" fontId="144" fillId="0" borderId="0"/>
    <xf numFmtId="0" fontId="144" fillId="0" borderId="0"/>
    <xf numFmtId="176" fontId="21" fillId="0" borderId="0">
      <alignment vertical="center"/>
      <protection locked="0"/>
    </xf>
    <xf numFmtId="0" fontId="21" fillId="0" borderId="0">
      <alignment vertical="center"/>
    </xf>
    <xf numFmtId="0" fontId="21" fillId="0" borderId="0">
      <protection locked="0"/>
    </xf>
    <xf numFmtId="176" fontId="21" fillId="0" borderId="0">
      <protection locked="0"/>
    </xf>
    <xf numFmtId="0" fontId="21" fillId="0" borderId="0"/>
    <xf numFmtId="0" fontId="21" fillId="0" borderId="0">
      <protection locked="0"/>
    </xf>
    <xf numFmtId="0" fontId="2" fillId="0" borderId="0"/>
    <xf numFmtId="0" fontId="21" fillId="0" borderId="0">
      <protection locked="0"/>
    </xf>
    <xf numFmtId="176" fontId="21" fillId="0" borderId="0">
      <protection locked="0"/>
    </xf>
    <xf numFmtId="0" fontId="21" fillId="0" borderId="0">
      <protection locked="0"/>
    </xf>
    <xf numFmtId="0" fontId="21" fillId="0" borderId="0">
      <alignment vertical="center"/>
      <protection locked="0"/>
    </xf>
    <xf numFmtId="0" fontId="2" fillId="0" borderId="0"/>
    <xf numFmtId="176" fontId="21" fillId="0" borderId="0"/>
    <xf numFmtId="176" fontId="21" fillId="0" borderId="0"/>
    <xf numFmtId="0" fontId="21" fillId="0" borderId="0">
      <protection locked="0"/>
    </xf>
    <xf numFmtId="0" fontId="21" fillId="0" borderId="0">
      <alignment vertical="center"/>
      <protection locked="0"/>
    </xf>
    <xf numFmtId="0" fontId="144" fillId="0" borderId="0">
      <alignment vertical="center"/>
    </xf>
    <xf numFmtId="0" fontId="155" fillId="0" borderId="0">
      <alignment vertical="center"/>
    </xf>
    <xf numFmtId="0" fontId="144" fillId="0" borderId="0">
      <alignment vertical="center"/>
    </xf>
    <xf numFmtId="0" fontId="21" fillId="0" borderId="0" applyNumberFormat="0" applyFill="0" applyBorder="0" applyAlignment="0" applyProtection="0"/>
    <xf numFmtId="0" fontId="21" fillId="0" borderId="0" applyNumberFormat="0" applyFill="0" applyBorder="0" applyAlignment="0" applyProtection="0"/>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56" fillId="0" borderId="0"/>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21" fillId="0" borderId="0">
      <alignment vertical="center"/>
    </xf>
    <xf numFmtId="0" fontId="21" fillId="0" borderId="0">
      <alignment vertical="center"/>
    </xf>
    <xf numFmtId="176" fontId="21" fillId="0" borderId="0">
      <alignment vertical="center"/>
    </xf>
    <xf numFmtId="0" fontId="81" fillId="0" borderId="0"/>
    <xf numFmtId="0" fontId="78" fillId="0" borderId="0">
      <protection locked="0"/>
    </xf>
    <xf numFmtId="0" fontId="21" fillId="0" borderId="0"/>
    <xf numFmtId="176" fontId="21" fillId="0" borderId="0"/>
    <xf numFmtId="0" fontId="21" fillId="0" borderId="0" applyFill="0" applyBorder="0"/>
    <xf numFmtId="0" fontId="21" fillId="0" borderId="0"/>
    <xf numFmtId="176" fontId="21" fillId="0" borderId="0" applyFill="0" applyBorder="0"/>
    <xf numFmtId="0" fontId="21" fillId="0" borderId="0">
      <alignment vertical="center"/>
    </xf>
    <xf numFmtId="0" fontId="156" fillId="0" borderId="0" applyNumberFormat="0" applyFill="0" applyBorder="0" applyAlignment="0" applyProtection="0">
      <alignment vertical="top"/>
      <protection locked="0"/>
    </xf>
    <xf numFmtId="176" fontId="75" fillId="0" borderId="0" applyNumberFormat="0" applyFill="0" applyBorder="0" applyAlignment="0" applyProtection="0">
      <alignment vertical="top"/>
      <protection locked="0"/>
    </xf>
    <xf numFmtId="176" fontId="75" fillId="0" borderId="0" applyNumberFormat="0" applyFill="0" applyBorder="0" applyAlignment="0" applyProtection="0">
      <alignment vertical="top"/>
      <protection locked="0"/>
    </xf>
    <xf numFmtId="0" fontId="75" fillId="0" borderId="0" applyNumberFormat="0" applyFill="0" applyBorder="0" applyAlignment="0" applyProtection="0">
      <alignment vertical="top"/>
      <protection locked="0"/>
    </xf>
    <xf numFmtId="0" fontId="157" fillId="0" borderId="0" applyNumberFormat="0" applyFill="0" applyBorder="0" applyAlignment="0" applyProtection="0">
      <alignment vertical="top"/>
      <protection locked="0"/>
    </xf>
    <xf numFmtId="176" fontId="94" fillId="0" borderId="0" applyNumberFormat="0" applyFill="0" applyBorder="0" applyAlignment="0" applyProtection="0"/>
    <xf numFmtId="0" fontId="158" fillId="55" borderId="0" applyNumberFormat="0" applyBorder="0" applyAlignment="0" applyProtection="0">
      <alignment vertical="center"/>
    </xf>
    <xf numFmtId="0" fontId="159" fillId="15" borderId="0" applyNumberFormat="0" applyBorder="0" applyAlignment="0" applyProtection="0">
      <alignment vertical="center"/>
    </xf>
    <xf numFmtId="0" fontId="159" fillId="55" borderId="0" applyNumberFormat="0" applyBorder="0" applyAlignment="0" applyProtection="0">
      <alignment vertical="center"/>
    </xf>
    <xf numFmtId="0" fontId="159" fillId="55" borderId="0" applyNumberFormat="0" applyBorder="0" applyAlignment="0" applyProtection="0">
      <alignment vertical="center"/>
    </xf>
    <xf numFmtId="0" fontId="159" fillId="55" borderId="0" applyNumberFormat="0" applyBorder="0" applyAlignment="0" applyProtection="0">
      <alignment vertical="center"/>
    </xf>
    <xf numFmtId="0" fontId="159" fillId="15" borderId="0" applyNumberFormat="0" applyBorder="0" applyAlignment="0" applyProtection="0">
      <alignment vertical="center"/>
    </xf>
    <xf numFmtId="0" fontId="158" fillId="55" borderId="0" applyNumberFormat="0" applyBorder="0" applyAlignment="0" applyProtection="0">
      <alignment vertical="center"/>
    </xf>
    <xf numFmtId="0" fontId="160" fillId="37" borderId="0" applyNumberFormat="0" applyBorder="0" applyAlignment="0" applyProtection="0"/>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9" fillId="15" borderId="0" applyNumberFormat="0" applyBorder="0" applyAlignment="0" applyProtection="0">
      <alignment vertical="center"/>
    </xf>
    <xf numFmtId="0" fontId="161" fillId="56" borderId="0" applyNumberFormat="0" applyBorder="0" applyAlignment="0" applyProtection="0">
      <alignment vertical="center"/>
    </xf>
    <xf numFmtId="0" fontId="162" fillId="15" borderId="0" applyNumberFormat="0" applyBorder="0" applyAlignment="0" applyProtection="0">
      <alignment vertical="center"/>
    </xf>
    <xf numFmtId="0" fontId="160" fillId="15" borderId="0" applyNumberFormat="0" applyBorder="0" applyAlignment="0" applyProtection="0">
      <alignment vertical="center"/>
    </xf>
    <xf numFmtId="0" fontId="158" fillId="5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63" fillId="57" borderId="0" applyNumberFormat="0" applyBorder="0" applyAlignment="0" applyProtection="0">
      <alignment vertical="center"/>
    </xf>
    <xf numFmtId="0" fontId="158" fillId="55" borderId="0" applyNumberFormat="0" applyBorder="0" applyAlignment="0" applyProtection="0">
      <alignment vertical="center"/>
    </xf>
    <xf numFmtId="0" fontId="163" fillId="57"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9" fillId="15" borderId="0" applyNumberFormat="0" applyBorder="0" applyAlignment="0" applyProtection="0">
      <alignment vertical="center"/>
    </xf>
    <xf numFmtId="0" fontId="158" fillId="55" borderId="0" applyNumberFormat="0" applyBorder="0" applyAlignment="0" applyProtection="0">
      <alignment vertical="center"/>
    </xf>
    <xf numFmtId="0" fontId="159" fillId="15" borderId="0" applyNumberFormat="0" applyBorder="0" applyAlignment="0" applyProtection="0">
      <alignment vertical="center"/>
    </xf>
    <xf numFmtId="0" fontId="158" fillId="5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9" fillId="58" borderId="0" applyNumberFormat="0" applyBorder="0" applyAlignment="0" applyProtection="0">
      <alignment vertical="center"/>
    </xf>
    <xf numFmtId="0" fontId="158" fillId="55" borderId="0" applyNumberFormat="0" applyBorder="0" applyAlignment="0" applyProtection="0">
      <alignment vertical="center"/>
    </xf>
    <xf numFmtId="0" fontId="163" fillId="57" borderId="0" applyNumberFormat="0" applyBorder="0" applyAlignment="0" applyProtection="0">
      <alignment vertical="center"/>
    </xf>
    <xf numFmtId="0" fontId="158" fillId="55" borderId="0" applyNumberFormat="0" applyBorder="0" applyAlignment="0" applyProtection="0">
      <alignment vertical="center"/>
    </xf>
    <xf numFmtId="0" fontId="163" fillId="57" borderId="0" applyNumberFormat="0" applyBorder="0" applyAlignment="0" applyProtection="0">
      <alignment vertical="center"/>
    </xf>
    <xf numFmtId="0" fontId="159" fillId="55" borderId="0" applyNumberFormat="0" applyBorder="0" applyAlignment="0" applyProtection="0">
      <alignment vertical="center"/>
    </xf>
    <xf numFmtId="0" fontId="162" fillId="17" borderId="0" applyNumberFormat="0" applyBorder="0" applyAlignment="0" applyProtection="0">
      <alignment vertical="center"/>
    </xf>
    <xf numFmtId="4" fontId="142" fillId="0" borderId="0" applyFont="0" applyFill="0" applyBorder="0" applyAlignment="0" applyProtection="0"/>
    <xf numFmtId="41" fontId="56" fillId="0" borderId="0" applyFont="0" applyFill="0" applyBorder="0" applyAlignment="0" applyProtection="0"/>
    <xf numFmtId="226" fontId="164" fillId="0" borderId="0" applyFont="0" applyFill="0" applyBorder="0" applyAlignment="0" applyProtection="0"/>
    <xf numFmtId="227" fontId="164" fillId="0" borderId="0" applyFont="0" applyFill="0" applyBorder="0" applyAlignment="0" applyProtection="0"/>
    <xf numFmtId="228" fontId="56" fillId="0" borderId="0" applyFont="0" applyFill="0" applyBorder="0" applyAlignment="0" applyProtection="0"/>
    <xf numFmtId="229" fontId="56" fillId="0" borderId="0" applyFont="0" applyFill="0" applyBorder="0" applyAlignment="0" applyProtection="0"/>
    <xf numFmtId="0" fontId="81" fillId="0" borderId="0"/>
    <xf numFmtId="1" fontId="81" fillId="0" borderId="0"/>
    <xf numFmtId="230" fontId="165" fillId="0" borderId="0" applyFont="0" applyFill="0" applyBorder="0" applyAlignment="0" applyProtection="0"/>
    <xf numFmtId="231" fontId="165" fillId="0" borderId="0" applyFont="0" applyFill="0" applyBorder="0" applyAlignment="0" applyProtection="0"/>
    <xf numFmtId="226" fontId="81" fillId="0" borderId="0" applyFont="0" applyFill="0" applyBorder="0" applyAlignment="0" applyProtection="0"/>
    <xf numFmtId="227" fontId="81" fillId="0" borderId="0" applyFont="0" applyFill="0" applyBorder="0" applyAlignment="0" applyProtection="0"/>
    <xf numFmtId="176" fontId="78" fillId="0" borderId="0"/>
    <xf numFmtId="41" fontId="78" fillId="0" borderId="0" applyFont="0" applyFill="0" applyBorder="0" applyAlignment="0" applyProtection="0"/>
    <xf numFmtId="43" fontId="78" fillId="0" borderId="0" applyFont="0" applyFill="0" applyBorder="0" applyAlignment="0" applyProtection="0"/>
    <xf numFmtId="41" fontId="81" fillId="0" borderId="0" applyFont="0" applyFill="0" applyBorder="0" applyAlignment="0" applyProtection="0"/>
    <xf numFmtId="43" fontId="81" fillId="0" borderId="0" applyFont="0" applyFill="0" applyBorder="0" applyAlignment="0" applyProtection="0"/>
    <xf numFmtId="43" fontId="21" fillId="0" borderId="0" applyFont="0" applyFill="0" applyBorder="0" applyAlignment="0" applyProtection="0">
      <alignment vertical="center"/>
    </xf>
    <xf numFmtId="43" fontId="21" fillId="0" borderId="0" applyFont="0" applyFill="0" applyBorder="0" applyAlignment="0" applyProtection="0"/>
    <xf numFmtId="43" fontId="21" fillId="0" borderId="0" applyFont="0" applyFill="0" applyBorder="0" applyAlignment="0" applyProtection="0">
      <alignment vertical="center"/>
    </xf>
    <xf numFmtId="0" fontId="5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44" fillId="0" borderId="0" applyFont="0" applyFill="0" applyBorder="0" applyAlignment="0" applyProtection="0">
      <alignment vertical="center"/>
    </xf>
    <xf numFmtId="43" fontId="144" fillId="0" borderId="0" applyFont="0" applyFill="0" applyBorder="0" applyAlignment="0" applyProtection="0">
      <alignment vertical="center"/>
    </xf>
    <xf numFmtId="232" fontId="2" fillId="0" borderId="0">
      <alignment vertical="center"/>
    </xf>
    <xf numFmtId="41" fontId="21" fillId="0" borderId="0" applyFont="0" applyFill="0" applyBorder="0" applyAlignment="0" applyProtection="0"/>
    <xf numFmtId="0" fontId="166" fillId="0" borderId="0"/>
    <xf numFmtId="0" fontId="167" fillId="59" borderId="0" applyNumberFormat="0" applyBorder="0" applyAlignment="0" applyProtection="0"/>
    <xf numFmtId="0" fontId="167" fillId="60" borderId="0" applyNumberFormat="0" applyBorder="0" applyAlignment="0" applyProtection="0"/>
    <xf numFmtId="0" fontId="167" fillId="61" borderId="0" applyNumberFormat="0" applyBorder="0" applyAlignment="0" applyProtection="0"/>
    <xf numFmtId="211" fontId="56" fillId="0" borderId="0" applyFont="0" applyFill="0" applyBorder="0" applyAlignment="0" applyProtection="0"/>
    <xf numFmtId="233" fontId="142" fillId="0" borderId="0" applyFont="0" applyFill="0" applyBorder="0" applyAlignment="0" applyProtection="0"/>
    <xf numFmtId="176" fontId="79" fillId="0" borderId="0">
      <alignment vertical="top"/>
    </xf>
    <xf numFmtId="0" fontId="79" fillId="0" borderId="0">
      <alignment vertical="top"/>
    </xf>
    <xf numFmtId="0" fontId="164" fillId="0" borderId="0"/>
    <xf numFmtId="0" fontId="168" fillId="0" borderId="0"/>
    <xf numFmtId="40" fontId="145" fillId="0" borderId="0" applyFont="0" applyFill="0" applyBorder="0" applyAlignment="0" applyProtection="0"/>
    <xf numFmtId="38" fontId="145" fillId="0" borderId="0" applyFont="0" applyFill="0" applyBorder="0" applyAlignment="0" applyProtection="0"/>
    <xf numFmtId="216" fontId="56" fillId="0" borderId="16" applyNumberFormat="0"/>
    <xf numFmtId="38" fontId="76" fillId="0" borderId="0" applyFont="0" applyFill="0" applyBorder="0" applyAlignment="0" applyProtection="0"/>
    <xf numFmtId="40" fontId="76" fillId="0" borderId="0" applyFont="0" applyFill="0" applyBorder="0" applyAlignment="0" applyProtection="0"/>
    <xf numFmtId="176" fontId="76" fillId="0" borderId="0" applyFont="0" applyFill="0" applyBorder="0" applyAlignment="0" applyProtection="0"/>
    <xf numFmtId="176" fontId="76" fillId="0" borderId="0" applyFont="0" applyFill="0" applyBorder="0" applyAlignment="0" applyProtection="0"/>
    <xf numFmtId="176" fontId="169" fillId="0" borderId="0"/>
    <xf numFmtId="176" fontId="1" fillId="0" borderId="0">
      <alignment vertical="center"/>
    </xf>
  </cellStyleXfs>
  <cellXfs count="665">
    <xf numFmtId="0" fontId="0" fillId="0" borderId="0" xfId="0">
      <protection locked="0"/>
    </xf>
    <xf numFmtId="0" fontId="2" fillId="0" borderId="0" xfId="0" applyFont="1" applyAlignment="1">
      <alignment horizontal="center" vertical="center"/>
      <protection locked="0"/>
    </xf>
    <xf numFmtId="0" fontId="2" fillId="0" borderId="0" xfId="0" applyFont="1" applyAlignment="1">
      <alignment vertical="center"/>
      <protection locked="0"/>
    </xf>
    <xf numFmtId="43" fontId="2" fillId="0" borderId="0" xfId="558" applyNumberFormat="1" applyFont="1" applyBorder="1" applyAlignment="1">
      <alignment vertical="center"/>
    </xf>
    <xf numFmtId="0" fontId="2" fillId="0" borderId="0" xfId="520" applyFont="1" applyAlignment="1">
      <alignment vertical="center"/>
      <protection locked="0"/>
    </xf>
    <xf numFmtId="0" fontId="2" fillId="0" borderId="0" xfId="520" applyFont="1" applyAlignment="1">
      <alignment horizontal="right" vertical="center"/>
      <protection locked="0"/>
    </xf>
    <xf numFmtId="0" fontId="5" fillId="0" borderId="0" xfId="520" applyFont="1" applyAlignment="1">
      <alignment vertical="center"/>
      <protection locked="0"/>
    </xf>
    <xf numFmtId="0" fontId="6" fillId="0" borderId="0" xfId="0" applyFont="1" applyAlignment="1">
      <alignment horizontal="left" vertical="center"/>
      <protection locked="0"/>
    </xf>
    <xf numFmtId="0" fontId="5" fillId="0" borderId="0" xfId="0" applyFont="1" applyAlignment="1">
      <alignment vertical="center"/>
      <protection locked="0"/>
    </xf>
    <xf numFmtId="0" fontId="5" fillId="2" borderId="1" xfId="0" applyFont="1" applyFill="1" applyBorder="1" applyAlignment="1">
      <alignment horizontal="center" vertical="center"/>
      <protection locked="0"/>
    </xf>
    <xf numFmtId="0" fontId="5" fillId="2" borderId="1" xfId="0" applyFont="1" applyFill="1" applyBorder="1" applyAlignment="1">
      <alignment horizontal="center" vertical="center" wrapText="1"/>
      <protection locked="0"/>
    </xf>
    <xf numFmtId="0" fontId="2" fillId="0" borderId="1" xfId="0" applyFont="1" applyBorder="1" applyAlignment="1">
      <alignment vertical="center"/>
      <protection locked="0"/>
    </xf>
    <xf numFmtId="43" fontId="7" fillId="0" borderId="1" xfId="0" applyNumberFormat="1" applyFont="1" applyBorder="1" applyAlignment="1">
      <alignment vertical="center"/>
      <protection locked="0"/>
    </xf>
    <xf numFmtId="0" fontId="7" fillId="0" borderId="1" xfId="0" applyFont="1" applyBorder="1" applyAlignment="1">
      <alignment vertical="center"/>
      <protection locked="0"/>
    </xf>
    <xf numFmtId="0" fontId="5" fillId="3" borderId="1" xfId="0" applyFont="1" applyFill="1" applyBorder="1" applyAlignment="1">
      <alignment horizontal="center" vertical="center"/>
      <protection locked="0"/>
    </xf>
    <xf numFmtId="0" fontId="2" fillId="3" borderId="1" xfId="0" applyFont="1" applyFill="1" applyBorder="1" applyAlignment="1">
      <alignment vertical="center"/>
      <protection locked="0"/>
    </xf>
    <xf numFmtId="43" fontId="7" fillId="3" borderId="1" xfId="1" applyFont="1" applyFill="1" applyBorder="1" applyAlignment="1" applyProtection="1">
      <alignment vertical="center"/>
      <protection locked="0"/>
    </xf>
    <xf numFmtId="0" fontId="7" fillId="3" borderId="1" xfId="0" applyFont="1" applyFill="1" applyBorder="1" applyAlignment="1">
      <alignment vertical="center"/>
      <protection locked="0"/>
    </xf>
    <xf numFmtId="0" fontId="8" fillId="0" borderId="0" xfId="552" applyFont="1">
      <alignment vertical="center"/>
    </xf>
    <xf numFmtId="0" fontId="8" fillId="0" borderId="0" xfId="520" applyFont="1" applyAlignment="1">
      <alignment vertical="center"/>
      <protection locked="0"/>
    </xf>
    <xf numFmtId="0" fontId="9" fillId="0" borderId="0" xfId="0" applyFont="1" applyAlignment="1">
      <alignment vertical="center" wrapText="1"/>
      <protection locked="0"/>
    </xf>
    <xf numFmtId="0" fontId="9" fillId="0" borderId="0" xfId="523" applyNumberFormat="1" applyFont="1" applyAlignment="1">
      <alignment vertical="center" wrapText="1"/>
      <protection locked="0"/>
    </xf>
    <xf numFmtId="0" fontId="9" fillId="0" borderId="0" xfId="0" applyFont="1">
      <protection locked="0"/>
    </xf>
    <xf numFmtId="0" fontId="9" fillId="0" borderId="0" xfId="520" applyFont="1" applyAlignment="1">
      <alignment vertical="center"/>
      <protection locked="0"/>
    </xf>
    <xf numFmtId="43" fontId="9" fillId="0" borderId="0" xfId="558" applyNumberFormat="1" applyFont="1" applyBorder="1" applyAlignment="1">
      <alignment vertical="center"/>
    </xf>
    <xf numFmtId="0" fontId="9" fillId="0" borderId="0" xfId="520" applyFont="1" applyAlignment="1">
      <alignment horizontal="right" vertical="center"/>
      <protection locked="0"/>
    </xf>
    <xf numFmtId="49" fontId="9" fillId="0" borderId="0" xfId="558" applyNumberFormat="1" applyFont="1" applyBorder="1" applyAlignment="1">
      <alignment vertical="center"/>
    </xf>
    <xf numFmtId="0" fontId="9" fillId="0" borderId="0" xfId="520" applyFont="1" applyAlignment="1">
      <alignment horizontal="center" vertical="center"/>
      <protection locked="0"/>
    </xf>
    <xf numFmtId="43" fontId="12" fillId="0" borderId="0" xfId="558" applyNumberFormat="1" applyFont="1" applyBorder="1" applyAlignment="1">
      <alignment horizontal="left" vertical="center"/>
    </xf>
    <xf numFmtId="0" fontId="9" fillId="0" borderId="0" xfId="0" applyFont="1" applyAlignment="1">
      <alignment horizontal="left" vertical="center"/>
      <protection locked="0"/>
    </xf>
    <xf numFmtId="0" fontId="9" fillId="0" borderId="0" xfId="558" applyFont="1" applyBorder="1" applyAlignment="1">
      <alignment horizontal="left" vertical="center"/>
    </xf>
    <xf numFmtId="43" fontId="9" fillId="0" borderId="0" xfId="558" applyNumberFormat="1" applyFont="1" applyBorder="1" applyAlignment="1">
      <alignment horizontal="left" vertical="center"/>
    </xf>
    <xf numFmtId="0" fontId="8" fillId="0" borderId="0" xfId="523" applyNumberFormat="1" applyFont="1" applyAlignment="1">
      <alignment vertical="center"/>
      <protection locked="0"/>
    </xf>
    <xf numFmtId="0" fontId="8" fillId="3" borderId="2" xfId="522" applyFont="1" applyFill="1" applyBorder="1" applyAlignment="1">
      <alignment horizontal="center" vertical="center" wrapText="1"/>
      <protection locked="0"/>
    </xf>
    <xf numFmtId="0" fontId="8" fillId="3" borderId="1" xfId="523" applyNumberFormat="1" applyFont="1" applyFill="1" applyBorder="1" applyAlignment="1">
      <alignment horizontal="center" vertical="center" wrapText="1"/>
      <protection locked="0"/>
    </xf>
    <xf numFmtId="0" fontId="12" fillId="0" borderId="1" xfId="522" applyFont="1" applyBorder="1" applyAlignment="1">
      <alignment horizontal="left" vertical="center" wrapText="1"/>
      <protection locked="0"/>
    </xf>
    <xf numFmtId="43" fontId="13" fillId="0" borderId="1" xfId="1" applyFont="1" applyFill="1" applyBorder="1" applyAlignment="1">
      <alignment horizontal="right" vertical="center"/>
    </xf>
    <xf numFmtId="43" fontId="7" fillId="3" borderId="1" xfId="522" applyNumberFormat="1" applyFont="1" applyFill="1" applyBorder="1" applyAlignment="1">
      <alignment horizontal="left" vertical="center" wrapText="1"/>
      <protection locked="0"/>
    </xf>
    <xf numFmtId="43" fontId="7" fillId="0" borderId="1" xfId="522" applyNumberFormat="1" applyFont="1" applyBorder="1" applyAlignment="1">
      <alignment horizontal="left" vertical="center" wrapText="1"/>
      <protection locked="0"/>
    </xf>
    <xf numFmtId="43" fontId="13" fillId="3" borderId="1" xfId="1" applyFont="1" applyFill="1" applyBorder="1" applyAlignment="1">
      <alignment horizontal="right" vertical="center"/>
    </xf>
    <xf numFmtId="0" fontId="14" fillId="0" borderId="1" xfId="1" applyNumberFormat="1" applyFont="1" applyFill="1" applyBorder="1" applyAlignment="1">
      <alignment horizontal="right" vertical="center"/>
    </xf>
    <xf numFmtId="0" fontId="7" fillId="0" borderId="1" xfId="0" applyFont="1" applyBorder="1">
      <protection locked="0"/>
    </xf>
    <xf numFmtId="0" fontId="15" fillId="3" borderId="1" xfId="522" applyFont="1" applyFill="1" applyBorder="1" applyAlignment="1">
      <alignment horizontal="center" vertical="center" wrapText="1"/>
      <protection locked="0"/>
    </xf>
    <xf numFmtId="43" fontId="16" fillId="3" borderId="1" xfId="1" applyFont="1" applyFill="1" applyBorder="1" applyAlignment="1">
      <alignment horizontal="right" vertical="center"/>
    </xf>
    <xf numFmtId="43" fontId="16" fillId="3" borderId="1" xfId="2" applyNumberFormat="1" applyFont="1" applyFill="1" applyBorder="1" applyAlignment="1">
      <alignment horizontal="right" vertical="center"/>
    </xf>
    <xf numFmtId="0" fontId="17" fillId="3" borderId="1" xfId="1" applyNumberFormat="1" applyFont="1" applyFill="1" applyBorder="1" applyAlignment="1">
      <alignment horizontal="right" vertical="center"/>
    </xf>
    <xf numFmtId="0" fontId="7" fillId="3" borderId="1" xfId="0" applyFont="1" applyFill="1" applyBorder="1">
      <protection locked="0"/>
    </xf>
    <xf numFmtId="0" fontId="18" fillId="0" borderId="0" xfId="523" applyNumberFormat="1" applyFont="1" applyAlignment="1">
      <alignment vertical="center"/>
      <protection locked="0"/>
    </xf>
    <xf numFmtId="0" fontId="18" fillId="0" borderId="0" xfId="523" applyNumberFormat="1" applyFont="1" applyAlignment="1">
      <alignment horizontal="center" vertical="center"/>
      <protection locked="0"/>
    </xf>
    <xf numFmtId="0" fontId="8" fillId="0" borderId="0" xfId="522" applyFont="1" applyAlignment="1">
      <alignment horizontal="center" vertical="center" wrapText="1"/>
      <protection locked="0"/>
    </xf>
    <xf numFmtId="0" fontId="8" fillId="3" borderId="1" xfId="522" applyFont="1" applyFill="1" applyBorder="1" applyAlignment="1">
      <alignment horizontal="center" vertical="center" wrapText="1"/>
      <protection locked="0"/>
    </xf>
    <xf numFmtId="0" fontId="8" fillId="3" borderId="3" xfId="523" applyNumberFormat="1" applyFont="1" applyFill="1" applyBorder="1" applyAlignment="1">
      <alignment horizontal="center" vertical="center" wrapText="1"/>
      <protection locked="0"/>
    </xf>
    <xf numFmtId="0" fontId="9" fillId="0" borderId="0" xfId="523" applyNumberFormat="1" applyFont="1" applyAlignment="1">
      <alignment vertical="center"/>
      <protection locked="0"/>
    </xf>
    <xf numFmtId="0" fontId="9" fillId="0" borderId="0" xfId="0" applyFont="1" applyBorder="1">
      <protection locked="0"/>
    </xf>
    <xf numFmtId="0" fontId="15" fillId="0" borderId="4" xfId="522" applyFont="1" applyBorder="1" applyAlignment="1">
      <alignment horizontal="left" vertical="center"/>
      <protection locked="0"/>
    </xf>
    <xf numFmtId="0" fontId="14" fillId="0" borderId="5" xfId="1" applyNumberFormat="1" applyFont="1" applyFill="1" applyBorder="1" applyAlignment="1">
      <alignment horizontal="right" vertical="center"/>
    </xf>
    <xf numFmtId="0" fontId="9" fillId="0" borderId="5" xfId="522" applyFont="1" applyBorder="1" applyAlignment="1">
      <alignment vertical="center" wrapText="1"/>
      <protection locked="0"/>
    </xf>
    <xf numFmtId="0" fontId="9" fillId="0" borderId="3" xfId="522" applyFont="1" applyBorder="1" applyAlignment="1">
      <alignment horizontal="left" vertical="center" wrapText="1"/>
      <protection locked="0"/>
    </xf>
    <xf numFmtId="43" fontId="13" fillId="0" borderId="3" xfId="2" applyNumberFormat="1" applyFont="1" applyFill="1" applyBorder="1" applyAlignment="1">
      <alignment horizontal="center" vertical="center"/>
    </xf>
    <xf numFmtId="43" fontId="7" fillId="3" borderId="3" xfId="522" applyNumberFormat="1" applyFont="1" applyFill="1" applyBorder="1" applyAlignment="1">
      <alignment horizontal="left" vertical="center" wrapText="1"/>
      <protection locked="0"/>
    </xf>
    <xf numFmtId="43" fontId="13" fillId="0" borderId="3" xfId="1" applyFont="1" applyFill="1" applyBorder="1" applyAlignment="1">
      <alignment horizontal="right" vertical="center"/>
    </xf>
    <xf numFmtId="43" fontId="13" fillId="3" borderId="3" xfId="1" applyFont="1" applyFill="1" applyBorder="1" applyAlignment="1">
      <alignment horizontal="right" vertical="center"/>
    </xf>
    <xf numFmtId="0" fontId="9" fillId="0" borderId="1" xfId="522" applyFont="1" applyBorder="1" applyAlignment="1">
      <alignment horizontal="left" vertical="center" wrapText="1"/>
      <protection locked="0"/>
    </xf>
    <xf numFmtId="43" fontId="13" fillId="0" borderId="1" xfId="2" applyNumberFormat="1" applyFont="1" applyFill="1" applyBorder="1" applyAlignment="1">
      <alignment horizontal="center" vertical="center"/>
    </xf>
    <xf numFmtId="43" fontId="13" fillId="0" borderId="5" xfId="1" applyFont="1" applyFill="1" applyBorder="1" applyAlignment="1">
      <alignment horizontal="right" vertical="center"/>
    </xf>
    <xf numFmtId="43" fontId="7" fillId="0" borderId="5" xfId="522" applyNumberFormat="1" applyFont="1" applyBorder="1" applyAlignment="1">
      <alignment vertical="center" wrapText="1"/>
      <protection locked="0"/>
    </xf>
    <xf numFmtId="43" fontId="13" fillId="0" borderId="6" xfId="1" applyFont="1" applyFill="1" applyBorder="1" applyAlignment="1">
      <alignment horizontal="right" vertical="center"/>
    </xf>
    <xf numFmtId="0" fontId="12" fillId="0" borderId="0" xfId="520" applyFont="1" applyAlignment="1">
      <alignment horizontal="center" vertical="center"/>
      <protection locked="0"/>
    </xf>
    <xf numFmtId="0" fontId="12" fillId="0" borderId="0" xfId="520" applyFont="1" applyAlignment="1">
      <alignment vertical="center"/>
      <protection locked="0"/>
    </xf>
    <xf numFmtId="0" fontId="19" fillId="0" borderId="0" xfId="0" applyFont="1" applyAlignment="1">
      <alignment horizontal="left" vertical="center"/>
      <protection locked="0"/>
    </xf>
    <xf numFmtId="0" fontId="19" fillId="0" borderId="0" xfId="520" applyFont="1" applyAlignment="1">
      <alignment vertical="center"/>
      <protection locked="0"/>
    </xf>
    <xf numFmtId="0" fontId="9" fillId="0" borderId="0" xfId="520" applyFont="1" applyAlignment="1">
      <alignment horizontal="justify" vertical="center" wrapText="1"/>
      <protection locked="0"/>
    </xf>
    <xf numFmtId="0" fontId="9" fillId="4" borderId="0" xfId="552" applyFont="1" applyFill="1" applyAlignment="1">
      <alignment vertical="center" wrapText="1"/>
    </xf>
    <xf numFmtId="0" fontId="9" fillId="4" borderId="0" xfId="522" applyFont="1" applyFill="1" applyAlignment="1">
      <alignment vertical="center"/>
      <protection locked="0"/>
    </xf>
    <xf numFmtId="0" fontId="9" fillId="4" borderId="0" xfId="522" applyFont="1" applyFill="1" applyAlignment="1">
      <alignment vertical="center" wrapText="1"/>
      <protection locked="0"/>
    </xf>
    <xf numFmtId="0" fontId="9" fillId="4" borderId="0" xfId="522" applyFont="1" applyFill="1" applyAlignment="1">
      <alignment horizontal="right" vertical="center"/>
      <protection locked="0"/>
    </xf>
    <xf numFmtId="0" fontId="8" fillId="4" borderId="0" xfId="556" applyFont="1" applyFill="1" applyAlignment="1">
      <alignment horizontal="left" vertical="center"/>
    </xf>
    <xf numFmtId="0" fontId="2" fillId="4" borderId="0" xfId="558" applyFont="1" applyFill="1" applyBorder="1" applyAlignment="1">
      <alignment vertical="center"/>
    </xf>
    <xf numFmtId="0" fontId="12" fillId="4" borderId="0" xfId="522" applyFont="1" applyFill="1" applyAlignment="1">
      <alignment vertical="center"/>
      <protection locked="0"/>
    </xf>
    <xf numFmtId="0" fontId="9" fillId="4" borderId="0" xfId="522" applyFont="1" applyFill="1" applyAlignment="1">
      <alignment horizontal="justify" vertical="center" wrapText="1"/>
      <protection locked="0"/>
    </xf>
    <xf numFmtId="0" fontId="8" fillId="4" borderId="0" xfId="522" applyFont="1" applyFill="1" applyAlignment="1">
      <alignment vertical="center"/>
      <protection locked="0"/>
    </xf>
    <xf numFmtId="0" fontId="12" fillId="4" borderId="0" xfId="522" applyFont="1" applyFill="1" applyAlignment="1">
      <alignment horizontal="left" vertical="center" wrapText="1"/>
      <protection locked="0"/>
    </xf>
    <xf numFmtId="0" fontId="9" fillId="4" borderId="0" xfId="522" applyFont="1" applyFill="1" applyAlignment="1">
      <alignment horizontal="center" vertical="center" wrapText="1"/>
      <protection locked="0"/>
    </xf>
    <xf numFmtId="0" fontId="19" fillId="4" borderId="0" xfId="522" applyFont="1" applyFill="1" applyAlignment="1">
      <alignment vertical="center"/>
      <protection locked="0"/>
    </xf>
    <xf numFmtId="0" fontId="19" fillId="4" borderId="0" xfId="522" applyFont="1" applyFill="1" applyAlignment="1">
      <alignment horizontal="left" vertical="center" wrapText="1"/>
      <protection locked="0"/>
    </xf>
    <xf numFmtId="0" fontId="19" fillId="4" borderId="0" xfId="522" applyFont="1" applyFill="1" applyAlignment="1">
      <alignment horizontal="left" vertical="center"/>
      <protection locked="0"/>
    </xf>
    <xf numFmtId="0" fontId="20" fillId="4" borderId="0" xfId="522" applyFont="1" applyFill="1" applyAlignment="1">
      <alignment vertical="center"/>
      <protection locked="0"/>
    </xf>
    <xf numFmtId="0" fontId="12" fillId="0" borderId="0" xfId="522" applyFont="1" applyAlignment="1">
      <alignment horizontal="left" vertical="center" wrapText="1"/>
      <protection locked="0"/>
    </xf>
    <xf numFmtId="0" fontId="12" fillId="0" borderId="0" xfId="522" applyFont="1" applyAlignment="1">
      <alignment horizontal="left" vertical="center"/>
      <protection locked="0"/>
    </xf>
    <xf numFmtId="0" fontId="9" fillId="0" borderId="0" xfId="518" applyNumberFormat="1" applyFont="1">
      <protection locked="0"/>
    </xf>
    <xf numFmtId="0" fontId="13" fillId="0" borderId="0" xfId="0" applyFont="1" applyAlignment="1" applyProtection="1">
      <alignment vertical="center"/>
    </xf>
    <xf numFmtId="0" fontId="2" fillId="0" borderId="0" xfId="523" applyNumberFormat="1" applyFont="1" applyAlignment="1">
      <alignment vertical="center"/>
      <protection locked="0"/>
    </xf>
    <xf numFmtId="176" fontId="21" fillId="0" borderId="0" xfId="518">
      <protection locked="0"/>
    </xf>
    <xf numFmtId="176" fontId="2" fillId="0" borderId="0" xfId="518" applyFont="1" applyAlignment="1">
      <alignment vertical="center"/>
      <protection locked="0"/>
    </xf>
    <xf numFmtId="176" fontId="2" fillId="0" borderId="0" xfId="518" applyFont="1">
      <protection locked="0"/>
    </xf>
    <xf numFmtId="176" fontId="5" fillId="0" borderId="0" xfId="557" applyFont="1" applyAlignment="1">
      <alignment vertical="center"/>
    </xf>
    <xf numFmtId="176" fontId="5" fillId="0" borderId="0" xfId="557" applyFont="1" applyAlignment="1">
      <alignment vertical="center" wrapText="1"/>
    </xf>
    <xf numFmtId="176" fontId="7" fillId="0" borderId="0" xfId="557" applyFont="1" applyAlignment="1">
      <alignment vertical="center"/>
    </xf>
    <xf numFmtId="176" fontId="2" fillId="0" borderId="0" xfId="557" applyFont="1" applyAlignment="1">
      <alignment vertical="center"/>
    </xf>
    <xf numFmtId="176" fontId="5" fillId="0" borderId="0" xfId="557" applyFont="1" applyAlignment="1">
      <alignment horizontal="left" vertical="center"/>
    </xf>
    <xf numFmtId="0" fontId="9" fillId="0" borderId="0" xfId="557" applyNumberFormat="1" applyFont="1" applyAlignment="1">
      <alignment horizontal="left" vertical="center"/>
    </xf>
    <xf numFmtId="0" fontId="19" fillId="0" borderId="0" xfId="557" applyNumberFormat="1" applyFont="1" applyAlignment="1">
      <alignment horizontal="left" vertical="center"/>
    </xf>
    <xf numFmtId="0" fontId="8" fillId="0" borderId="0" xfId="557" applyNumberFormat="1" applyFont="1" applyAlignment="1">
      <alignment vertical="center"/>
    </xf>
    <xf numFmtId="0" fontId="22" fillId="0" borderId="0" xfId="0" applyFont="1" applyFill="1" applyBorder="1" applyAlignment="1" applyProtection="1">
      <alignment horizontal="left" vertical="center"/>
      <protection locked="0"/>
    </xf>
    <xf numFmtId="0" fontId="23" fillId="0" borderId="0" xfId="556" applyFont="1" applyAlignment="1" applyProtection="1">
      <alignment horizontal="center" vertical="center"/>
      <protection hidden="1"/>
    </xf>
    <xf numFmtId="0" fontId="7" fillId="0" borderId="0" xfId="556" applyFont="1" applyAlignment="1" applyProtection="1">
      <alignment horizontal="left" vertical="center"/>
      <protection hidden="1"/>
    </xf>
    <xf numFmtId="0" fontId="23" fillId="0" borderId="0" xfId="556" applyFont="1" applyAlignment="1" applyProtection="1">
      <alignment horizontal="left" vertical="center"/>
      <protection locked="0"/>
    </xf>
    <xf numFmtId="0" fontId="7" fillId="0" borderId="0" xfId="556" applyFont="1" applyAlignment="1" applyProtection="1">
      <alignment vertical="center"/>
      <protection locked="0"/>
    </xf>
    <xf numFmtId="176" fontId="5" fillId="3" borderId="1" xfId="518" applyFont="1" applyFill="1" applyBorder="1" applyAlignment="1">
      <alignment horizontal="center" vertical="center"/>
      <protection locked="0"/>
    </xf>
    <xf numFmtId="176" fontId="5" fillId="3" borderId="1" xfId="518" applyFont="1" applyFill="1" applyBorder="1" applyAlignment="1">
      <alignment horizontal="center" vertical="center" wrapText="1"/>
      <protection locked="0"/>
    </xf>
    <xf numFmtId="176" fontId="7" fillId="0" borderId="1" xfId="518" applyFont="1" applyBorder="1" applyAlignment="1">
      <alignment vertical="center"/>
      <protection locked="0"/>
    </xf>
    <xf numFmtId="14" fontId="7" fillId="0" borderId="1" xfId="518" applyNumberFormat="1" applyFont="1" applyBorder="1" applyAlignment="1">
      <alignment horizontal="center" vertical="center"/>
      <protection locked="0"/>
    </xf>
    <xf numFmtId="49" fontId="7" fillId="0" borderId="1" xfId="518" applyNumberFormat="1" applyFont="1" applyBorder="1" applyAlignment="1">
      <alignment horizontal="center" vertical="center"/>
      <protection locked="0"/>
    </xf>
    <xf numFmtId="176" fontId="2" fillId="0" borderId="1" xfId="518" applyFont="1" applyBorder="1" applyAlignment="1">
      <alignment vertical="center"/>
      <protection locked="0"/>
    </xf>
    <xf numFmtId="232" fontId="7" fillId="0" borderId="1" xfId="652" applyFont="1" applyBorder="1" applyAlignment="1" applyProtection="1">
      <alignment vertical="center"/>
      <protection locked="0"/>
    </xf>
    <xf numFmtId="176" fontId="5" fillId="2" borderId="1" xfId="518" applyFont="1" applyFill="1" applyBorder="1" applyAlignment="1">
      <alignment horizontal="center" vertical="center"/>
      <protection locked="0"/>
    </xf>
    <xf numFmtId="176" fontId="2" fillId="2" borderId="1" xfId="518" applyFont="1" applyFill="1" applyBorder="1" applyAlignment="1">
      <alignment vertical="center"/>
      <protection locked="0"/>
    </xf>
    <xf numFmtId="232" fontId="24" fillId="2" borderId="1" xfId="652" applyFont="1" applyFill="1" applyBorder="1" applyAlignment="1" applyProtection="1">
      <alignment vertical="center"/>
      <protection locked="0"/>
    </xf>
    <xf numFmtId="0" fontId="5" fillId="0" borderId="0" xfId="557" applyNumberFormat="1" applyFont="1" applyBorder="1" applyAlignment="1">
      <alignment vertical="center"/>
    </xf>
    <xf numFmtId="49" fontId="2" fillId="0" borderId="1" xfId="518" applyNumberFormat="1" applyFont="1" applyBorder="1" applyAlignment="1">
      <alignment horizontal="center" vertical="center"/>
      <protection locked="0"/>
    </xf>
    <xf numFmtId="176" fontId="5" fillId="0" borderId="0" xfId="518" applyFont="1" applyAlignment="1">
      <alignment vertical="center"/>
      <protection locked="0"/>
    </xf>
    <xf numFmtId="0" fontId="6" fillId="0" borderId="0" xfId="518" applyNumberFormat="1" applyFont="1" applyAlignment="1">
      <alignment vertical="center"/>
      <protection locked="0"/>
    </xf>
    <xf numFmtId="176" fontId="25" fillId="0" borderId="0" xfId="518" applyFont="1" applyAlignment="1">
      <alignment wrapText="1"/>
      <protection locked="0"/>
    </xf>
    <xf numFmtId="176" fontId="2" fillId="0" borderId="0" xfId="518" applyFont="1" applyAlignment="1">
      <alignment horizontal="right" vertical="center"/>
      <protection locked="0"/>
    </xf>
    <xf numFmtId="0" fontId="24" fillId="3" borderId="1" xfId="0" applyNumberFormat="1" applyFont="1" applyFill="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1" xfId="652" applyNumberFormat="1" applyFont="1" applyBorder="1" applyAlignment="1" applyProtection="1">
      <alignment horizontal="center" vertical="center"/>
      <protection locked="0"/>
    </xf>
    <xf numFmtId="49" fontId="7" fillId="0" borderId="1" xfId="518" applyNumberFormat="1" applyFont="1" applyBorder="1" applyAlignment="1">
      <alignment vertical="center"/>
      <protection locked="0"/>
    </xf>
    <xf numFmtId="176" fontId="5" fillId="2" borderId="1" xfId="518" applyFont="1" applyFill="1" applyBorder="1" applyAlignment="1">
      <alignment vertical="center"/>
      <protection locked="0"/>
    </xf>
    <xf numFmtId="176" fontId="9" fillId="0" borderId="0" xfId="518" applyFont="1">
      <protection locked="0"/>
    </xf>
    <xf numFmtId="0" fontId="2" fillId="0" borderId="0" xfId="517" applyFont="1" applyAlignment="1">
      <alignment vertical="center"/>
      <protection locked="0"/>
    </xf>
    <xf numFmtId="0" fontId="2" fillId="0" borderId="0" xfId="558" applyFont="1" applyBorder="1" applyAlignment="1">
      <alignment vertical="center"/>
    </xf>
    <xf numFmtId="0" fontId="5" fillId="0" borderId="0" xfId="558" applyFont="1" applyBorder="1" applyAlignment="1">
      <alignment vertical="center"/>
    </xf>
    <xf numFmtId="0" fontId="2" fillId="0" borderId="0" xfId="517" applyFont="1" applyAlignment="1">
      <alignment vertical="center" wrapText="1"/>
      <protection locked="0"/>
    </xf>
    <xf numFmtId="0" fontId="5" fillId="3" borderId="1" xfId="517" applyFont="1" applyFill="1" applyBorder="1" applyAlignment="1">
      <alignment horizontal="center" vertical="center" wrapText="1"/>
      <protection locked="0"/>
    </xf>
    <xf numFmtId="0" fontId="5" fillId="3" borderId="1" xfId="518" applyNumberFormat="1" applyFont="1" applyFill="1" applyBorder="1" applyAlignment="1">
      <alignment horizontal="center" vertical="center" wrapText="1"/>
      <protection locked="0"/>
    </xf>
    <xf numFmtId="0" fontId="5" fillId="3" borderId="1" xfId="0" applyFont="1" applyFill="1" applyBorder="1" applyAlignment="1">
      <alignment horizontal="center" vertical="center" wrapText="1"/>
      <protection locked="0"/>
    </xf>
    <xf numFmtId="0" fontId="2" fillId="0" borderId="1" xfId="517" applyFont="1" applyBorder="1" applyAlignment="1">
      <alignment horizontal="left" vertical="center" wrapText="1"/>
      <protection locked="0"/>
    </xf>
    <xf numFmtId="0" fontId="2" fillId="0" borderId="1" xfId="517" applyFont="1" applyBorder="1" applyAlignment="1">
      <alignment vertical="center"/>
      <protection locked="0"/>
    </xf>
    <xf numFmtId="43" fontId="7" fillId="0" borderId="1" xfId="517" applyNumberFormat="1" applyFont="1" applyBorder="1" applyAlignment="1">
      <alignment vertical="center"/>
      <protection locked="0"/>
    </xf>
    <xf numFmtId="43" fontId="7" fillId="3" borderId="1" xfId="517" applyNumberFormat="1" applyFont="1" applyFill="1" applyBorder="1" applyAlignment="1">
      <alignment vertical="center"/>
      <protection locked="0"/>
    </xf>
    <xf numFmtId="43" fontId="7" fillId="3" borderId="1" xfId="517" applyNumberFormat="1" applyFont="1" applyFill="1" applyBorder="1" applyAlignment="1">
      <alignment horizontal="left" vertical="center" wrapText="1"/>
      <protection locked="0"/>
    </xf>
    <xf numFmtId="0" fontId="5" fillId="2" borderId="1" xfId="517" applyFont="1" applyFill="1" applyBorder="1" applyAlignment="1">
      <alignment horizontal="center" vertical="center" wrapText="1"/>
      <protection locked="0"/>
    </xf>
    <xf numFmtId="43" fontId="7" fillId="2" borderId="1" xfId="645" applyFont="1" applyFill="1" applyBorder="1" applyAlignment="1" applyProtection="1">
      <alignment vertical="center"/>
    </xf>
    <xf numFmtId="43" fontId="7" fillId="3" borderId="1" xfId="645" applyFont="1" applyFill="1" applyBorder="1" applyAlignment="1" applyProtection="1">
      <alignment vertical="center"/>
    </xf>
    <xf numFmtId="0" fontId="5" fillId="0" borderId="0" xfId="517" applyFont="1" applyAlignment="1">
      <alignment vertical="center"/>
      <protection locked="0"/>
    </xf>
    <xf numFmtId="0" fontId="26" fillId="0" borderId="0" xfId="517" applyFont="1" applyAlignment="1">
      <alignment vertical="center"/>
      <protection locked="0"/>
    </xf>
    <xf numFmtId="0" fontId="5" fillId="0" borderId="0" xfId="517" applyFont="1" applyAlignment="1">
      <alignment vertical="center" wrapText="1"/>
      <protection locked="0"/>
    </xf>
    <xf numFmtId="0" fontId="26" fillId="0" borderId="0" xfId="517" applyFont="1" applyBorder="1" applyAlignment="1">
      <alignment vertical="center"/>
      <protection locked="0"/>
    </xf>
    <xf numFmtId="0" fontId="2" fillId="0" borderId="0" xfId="560" applyNumberFormat="1" applyFont="1" applyBorder="1" applyAlignment="1">
      <alignment vertical="center"/>
    </xf>
    <xf numFmtId="0" fontId="27" fillId="0" borderId="0" xfId="3" applyNumberFormat="1" applyFont="1" applyFill="1" applyAlignment="1" applyProtection="1">
      <alignment vertical="center"/>
    </xf>
    <xf numFmtId="0" fontId="2" fillId="0" borderId="0" xfId="558" applyFont="1" applyBorder="1" applyAlignment="1">
      <alignment horizontal="right" vertical="center"/>
    </xf>
    <xf numFmtId="0" fontId="2" fillId="0" borderId="1" xfId="517" applyFont="1" applyBorder="1" applyAlignment="1">
      <alignment horizontal="center" vertical="center" wrapText="1"/>
      <protection locked="0"/>
    </xf>
    <xf numFmtId="0" fontId="5" fillId="0" borderId="1" xfId="517" applyFont="1" applyBorder="1" applyAlignment="1">
      <alignment horizontal="center" vertical="center" wrapText="1"/>
      <protection locked="0"/>
    </xf>
    <xf numFmtId="0" fontId="5" fillId="3" borderId="1" xfId="517" applyFont="1" applyFill="1" applyBorder="1" applyAlignment="1">
      <alignment horizontal="left" vertical="center" wrapText="1"/>
      <protection locked="0"/>
    </xf>
    <xf numFmtId="0" fontId="9" fillId="0" borderId="0" xfId="0" applyFont="1" applyAlignment="1">
      <alignment vertical="center"/>
      <protection locked="0"/>
    </xf>
    <xf numFmtId="0" fontId="9" fillId="0" borderId="0" xfId="558" applyFont="1" applyBorder="1" applyAlignment="1">
      <alignment vertical="center"/>
    </xf>
    <xf numFmtId="0" fontId="17" fillId="2" borderId="1" xfId="506" applyFont="1" applyFill="1" applyBorder="1" applyAlignment="1" applyProtection="1">
      <alignment horizontal="center" vertical="center" wrapText="1"/>
    </xf>
    <xf numFmtId="0" fontId="8" fillId="2" borderId="1" xfId="528" applyNumberFormat="1" applyFont="1" applyFill="1" applyBorder="1" applyAlignment="1" applyProtection="1">
      <alignment horizontal="center" vertical="center" wrapText="1"/>
      <protection locked="0"/>
    </xf>
    <xf numFmtId="0" fontId="28" fillId="2" borderId="1" xfId="528" applyNumberFormat="1" applyFont="1" applyFill="1" applyBorder="1" applyAlignment="1" applyProtection="1">
      <alignment horizontal="center" vertical="center" wrapText="1"/>
      <protection locked="0"/>
    </xf>
    <xf numFmtId="0" fontId="14" fillId="0" borderId="1" xfId="506" applyFont="1" applyBorder="1" applyProtection="1">
      <alignment vertical="center"/>
    </xf>
    <xf numFmtId="43" fontId="13" fillId="0" borderId="1" xfId="506" applyNumberFormat="1" applyFont="1" applyBorder="1" applyProtection="1">
      <alignment vertical="center"/>
    </xf>
    <xf numFmtId="0" fontId="9" fillId="0" borderId="1" xfId="506" applyFont="1" applyBorder="1" applyProtection="1">
      <alignment vertical="center"/>
    </xf>
    <xf numFmtId="0" fontId="12" fillId="0" borderId="1" xfId="506" applyFont="1" applyBorder="1" applyAlignment="1" applyProtection="1">
      <alignment horizontal="left" vertical="center"/>
    </xf>
    <xf numFmtId="0" fontId="17" fillId="0" borderId="1" xfId="506" applyFont="1" applyBorder="1" applyAlignment="1" applyProtection="1">
      <alignment horizontal="center" vertical="center"/>
    </xf>
    <xf numFmtId="0" fontId="29" fillId="0" borderId="0" xfId="506" applyFont="1" applyAlignment="1">
      <alignment vertical="center"/>
      <protection locked="0"/>
    </xf>
    <xf numFmtId="0" fontId="9" fillId="0" borderId="0" xfId="506" applyFont="1" applyAlignment="1">
      <alignment vertical="center"/>
      <protection locked="0"/>
    </xf>
    <xf numFmtId="0" fontId="9" fillId="0" borderId="0" xfId="506" applyFont="1">
      <alignment vertical="center"/>
      <protection locked="0"/>
    </xf>
    <xf numFmtId="0" fontId="9" fillId="0" borderId="0" xfId="558" applyFont="1" applyBorder="1" applyAlignment="1">
      <alignment horizontal="right" vertical="center"/>
    </xf>
    <xf numFmtId="0" fontId="13" fillId="0" borderId="1" xfId="506" applyFont="1" applyBorder="1" applyProtection="1">
      <alignment vertical="center"/>
    </xf>
    <xf numFmtId="0" fontId="17" fillId="0" borderId="0" xfId="0" applyFont="1" applyAlignment="1" applyProtection="1">
      <alignment vertical="center"/>
    </xf>
    <xf numFmtId="0" fontId="9" fillId="0" borderId="0" xfId="533" applyFont="1">
      <alignment vertical="center"/>
    </xf>
    <xf numFmtId="0" fontId="12" fillId="0" borderId="0" xfId="0" applyFont="1">
      <protection locked="0"/>
    </xf>
    <xf numFmtId="0" fontId="8" fillId="3" borderId="1" xfId="340" applyFont="1" applyFill="1" applyBorder="1" applyAlignment="1">
      <alignment horizontal="center" vertical="center"/>
    </xf>
    <xf numFmtId="0" fontId="9" fillId="3" borderId="1" xfId="340" applyFont="1" applyFill="1" applyBorder="1" applyAlignment="1">
      <alignment vertical="center" shrinkToFit="1"/>
    </xf>
    <xf numFmtId="43" fontId="7" fillId="3" borderId="1" xfId="1" applyFont="1" applyFill="1" applyBorder="1" applyAlignment="1" applyProtection="1">
      <alignment vertical="center" shrinkToFit="1"/>
    </xf>
    <xf numFmtId="0" fontId="9" fillId="3" borderId="1" xfId="340" applyFont="1" applyFill="1" applyBorder="1" applyAlignment="1" applyProtection="1">
      <alignment vertical="center" shrinkToFit="1"/>
      <protection locked="0"/>
    </xf>
    <xf numFmtId="43" fontId="7" fillId="0" borderId="1" xfId="1" applyFont="1" applyFill="1" applyBorder="1" applyAlignment="1" applyProtection="1">
      <alignment vertical="center" shrinkToFit="1"/>
      <protection locked="0"/>
    </xf>
    <xf numFmtId="43" fontId="7" fillId="3" borderId="1" xfId="1" applyFont="1" applyFill="1" applyBorder="1" applyAlignment="1" applyProtection="1">
      <alignment vertical="center" shrinkToFit="1"/>
      <protection locked="0"/>
    </xf>
    <xf numFmtId="0" fontId="9" fillId="3" borderId="1" xfId="340" applyFont="1" applyFill="1" applyBorder="1" applyAlignment="1" applyProtection="1">
      <alignment horizontal="left" vertical="center" shrinkToFit="1"/>
      <protection locked="0"/>
    </xf>
    <xf numFmtId="0" fontId="9" fillId="3" borderId="1" xfId="340" applyFont="1" applyFill="1" applyBorder="1" applyAlignment="1" applyProtection="1">
      <alignment horizontal="left" vertical="center" indent="4" shrinkToFit="1"/>
      <protection locked="0"/>
    </xf>
    <xf numFmtId="0" fontId="8" fillId="3" borderId="1" xfId="340" applyFont="1" applyFill="1" applyBorder="1" applyAlignment="1">
      <alignment horizontal="center" vertical="center" shrinkToFit="1"/>
    </xf>
    <xf numFmtId="43" fontId="24" fillId="3" borderId="1" xfId="1" applyFont="1" applyFill="1" applyBorder="1" applyAlignment="1" applyProtection="1">
      <alignment vertical="center" shrinkToFit="1"/>
    </xf>
    <xf numFmtId="0" fontId="9" fillId="0" borderId="0" xfId="0" applyFont="1" applyAlignment="1">
      <alignment horizontal="center" vertical="center"/>
      <protection locked="0"/>
    </xf>
    <xf numFmtId="0" fontId="9" fillId="0" borderId="0" xfId="0" applyFont="1" applyAlignment="1">
      <alignment horizontal="right" vertical="center"/>
      <protection locked="0"/>
    </xf>
    <xf numFmtId="0" fontId="9" fillId="0" borderId="0" xfId="505" applyFont="1" applyAlignment="1" applyProtection="1">
      <alignment vertical="center"/>
      <protection locked="0"/>
    </xf>
    <xf numFmtId="0" fontId="8" fillId="0" borderId="0" xfId="555" applyFont="1" applyAlignment="1">
      <alignment vertical="center"/>
      <protection locked="0"/>
    </xf>
    <xf numFmtId="0" fontId="8" fillId="2" borderId="0" xfId="555" applyFont="1" applyFill="1" applyAlignment="1">
      <alignment vertical="center"/>
      <protection locked="0"/>
    </xf>
    <xf numFmtId="0" fontId="9" fillId="0" borderId="0" xfId="555" applyFont="1" applyAlignment="1">
      <alignment vertical="center"/>
      <protection locked="0"/>
    </xf>
    <xf numFmtId="0" fontId="17" fillId="0" borderId="0" xfId="505" applyFont="1" applyAlignment="1">
      <alignment vertical="center"/>
    </xf>
    <xf numFmtId="0" fontId="30" fillId="0" borderId="0" xfId="505" applyFont="1" applyAlignment="1">
      <alignment horizontal="center" vertical="center"/>
    </xf>
    <xf numFmtId="0" fontId="9" fillId="0" borderId="0" xfId="505" applyFont="1" applyAlignment="1">
      <alignment horizontal="left" vertical="center"/>
    </xf>
    <xf numFmtId="0" fontId="14" fillId="0" borderId="0" xfId="0" applyFont="1" applyAlignment="1" applyProtection="1">
      <alignment horizontal="left" vertical="center"/>
    </xf>
    <xf numFmtId="0" fontId="8" fillId="0" borderId="0" xfId="505" applyFont="1" applyAlignment="1">
      <alignment horizontal="left" vertical="center"/>
    </xf>
    <xf numFmtId="0" fontId="12" fillId="0" borderId="0" xfId="0" applyFont="1" applyAlignment="1" applyProtection="1">
      <alignment horizontal="left" vertical="center"/>
    </xf>
    <xf numFmtId="0" fontId="8" fillId="2" borderId="3" xfId="0" applyFont="1" applyFill="1" applyBorder="1" applyAlignment="1">
      <alignment horizontal="center" vertical="center" wrapText="1"/>
      <protection locked="0"/>
    </xf>
    <xf numFmtId="0" fontId="9" fillId="0" borderId="1" xfId="0" applyFont="1" applyBorder="1" applyAlignment="1" applyProtection="1">
      <alignment horizontal="right" vertical="center" shrinkToFit="1"/>
    </xf>
    <xf numFmtId="0" fontId="9" fillId="0" borderId="1" xfId="0" applyFont="1" applyBorder="1" applyAlignment="1" applyProtection="1">
      <alignment horizontal="left" vertical="center" shrinkToFit="1"/>
    </xf>
    <xf numFmtId="0" fontId="8" fillId="3" borderId="4" xfId="0" applyFont="1" applyFill="1" applyBorder="1" applyAlignment="1" applyProtection="1">
      <alignment horizontal="centerContinuous" vertical="center" wrapText="1"/>
    </xf>
    <xf numFmtId="0" fontId="8" fillId="3" borderId="5" xfId="0" applyFont="1" applyFill="1" applyBorder="1" applyAlignment="1" applyProtection="1">
      <alignment horizontal="centerContinuous" vertical="center" wrapText="1"/>
    </xf>
    <xf numFmtId="43" fontId="24" fillId="3" borderId="5" xfId="0" applyNumberFormat="1" applyFont="1" applyFill="1" applyBorder="1" applyAlignment="1" applyProtection="1">
      <alignment horizontal="centerContinuous" vertical="center" wrapText="1"/>
    </xf>
    <xf numFmtId="0" fontId="8" fillId="0" borderId="7" xfId="505" applyFont="1" applyBorder="1" applyAlignment="1" applyProtection="1">
      <alignment vertical="center"/>
      <protection locked="0"/>
    </xf>
    <xf numFmtId="0" fontId="9" fillId="0" borderId="7" xfId="505" applyFont="1" applyBorder="1" applyAlignment="1" applyProtection="1">
      <alignment vertical="center"/>
      <protection locked="0"/>
    </xf>
    <xf numFmtId="0" fontId="31" fillId="0" borderId="0" xfId="505" applyFont="1" applyAlignment="1" applyProtection="1">
      <alignment horizontal="right" vertical="center"/>
      <protection locked="0"/>
    </xf>
    <xf numFmtId="0" fontId="12" fillId="0" borderId="0" xfId="505" applyFont="1" applyAlignment="1" applyProtection="1">
      <alignment vertical="center"/>
      <protection locked="0"/>
    </xf>
    <xf numFmtId="0" fontId="8" fillId="0" borderId="0" xfId="505" applyFont="1" applyAlignment="1" applyProtection="1">
      <alignment vertical="center"/>
      <protection locked="0"/>
    </xf>
    <xf numFmtId="0" fontId="19" fillId="0" borderId="0" xfId="555" applyFont="1" applyAlignment="1">
      <alignment vertical="center"/>
      <protection locked="0"/>
    </xf>
    <xf numFmtId="0" fontId="9" fillId="0" borderId="0" xfId="505" applyFont="1" applyAlignment="1" applyProtection="1">
      <alignment vertical="center" wrapText="1"/>
      <protection locked="0"/>
    </xf>
    <xf numFmtId="0" fontId="8" fillId="3" borderId="3" xfId="0" applyFont="1" applyFill="1" applyBorder="1" applyAlignment="1">
      <alignment horizontal="center" vertical="center" wrapText="1"/>
      <protection locked="0"/>
    </xf>
    <xf numFmtId="43" fontId="7" fillId="0" borderId="1" xfId="0" applyNumberFormat="1" applyFont="1" applyBorder="1" applyAlignment="1" applyProtection="1">
      <alignment horizontal="right" vertical="center" shrinkToFit="1"/>
    </xf>
    <xf numFmtId="43" fontId="22" fillId="3" borderId="1" xfId="1" applyFont="1" applyFill="1" applyBorder="1" applyAlignment="1">
      <alignment horizontal="center" vertical="center"/>
    </xf>
    <xf numFmtId="43" fontId="16" fillId="3" borderId="5" xfId="0" applyNumberFormat="1" applyFont="1" applyFill="1" applyBorder="1" applyAlignment="1">
      <alignment vertical="center"/>
      <protection locked="0"/>
    </xf>
    <xf numFmtId="0" fontId="9" fillId="0" borderId="0" xfId="561" applyFont="1">
      <alignment vertical="center"/>
    </xf>
    <xf numFmtId="0" fontId="9" fillId="0" borderId="1" xfId="0" applyFont="1" applyBorder="1" applyAlignment="1" applyProtection="1">
      <alignment horizontal="center" vertical="center" shrinkToFit="1"/>
    </xf>
    <xf numFmtId="43" fontId="9" fillId="0" borderId="1" xfId="555" applyNumberFormat="1" applyFont="1" applyBorder="1" applyAlignment="1">
      <alignment vertical="center"/>
      <protection locked="0"/>
    </xf>
    <xf numFmtId="43" fontId="8" fillId="0" borderId="1" xfId="555" applyNumberFormat="1" applyFont="1" applyBorder="1" applyAlignment="1">
      <alignment vertical="center"/>
      <protection locked="0"/>
    </xf>
    <xf numFmtId="0" fontId="14" fillId="3" borderId="1" xfId="1" applyNumberFormat="1" applyFont="1" applyFill="1" applyBorder="1" applyAlignment="1">
      <alignment horizontal="right" vertical="center"/>
    </xf>
    <xf numFmtId="0" fontId="9" fillId="3" borderId="1" xfId="0" applyFont="1" applyFill="1" applyBorder="1" applyAlignment="1" applyProtection="1">
      <alignment horizontal="right" vertical="center" shrinkToFit="1"/>
    </xf>
    <xf numFmtId="0" fontId="9" fillId="3" borderId="1" xfId="2" applyNumberFormat="1" applyFont="1" applyFill="1" applyBorder="1" applyAlignment="1" applyProtection="1">
      <alignment vertical="center"/>
      <protection locked="0"/>
    </xf>
    <xf numFmtId="0" fontId="9" fillId="3" borderId="5" xfId="2" applyNumberFormat="1" applyFont="1" applyFill="1" applyBorder="1" applyAlignment="1" applyProtection="1">
      <alignment vertical="center"/>
      <protection locked="0"/>
    </xf>
    <xf numFmtId="0" fontId="9" fillId="3" borderId="5" xfId="555" applyFont="1" applyFill="1" applyBorder="1" applyAlignment="1">
      <alignment vertical="center"/>
      <protection locked="0"/>
    </xf>
    <xf numFmtId="43" fontId="9" fillId="3" borderId="6" xfId="555" applyNumberFormat="1" applyFont="1" applyFill="1" applyBorder="1" applyAlignment="1">
      <alignment vertical="center"/>
      <protection locked="0"/>
    </xf>
    <xf numFmtId="0" fontId="9" fillId="0" borderId="7" xfId="555" applyFont="1" applyBorder="1" applyAlignment="1">
      <alignment vertical="center"/>
      <protection locked="0"/>
    </xf>
    <xf numFmtId="43" fontId="7" fillId="0" borderId="0" xfId="558" applyNumberFormat="1" applyFont="1" applyBorder="1" applyAlignment="1">
      <alignment vertical="center"/>
    </xf>
    <xf numFmtId="43" fontId="32" fillId="0" borderId="0" xfId="558" applyNumberFormat="1" applyFont="1" applyBorder="1" applyAlignment="1">
      <alignment vertical="center"/>
    </xf>
    <xf numFmtId="0" fontId="32" fillId="0" borderId="0" xfId="0" applyFont="1" applyAlignment="1">
      <alignment vertical="center"/>
      <protection locked="0"/>
    </xf>
    <xf numFmtId="0" fontId="7" fillId="0" borderId="0" xfId="0" applyFont="1" applyAlignment="1">
      <alignment vertical="center"/>
      <protection locked="0"/>
    </xf>
    <xf numFmtId="0" fontId="24" fillId="0" borderId="0" xfId="554" applyFont="1" applyAlignment="1">
      <alignment vertical="center"/>
    </xf>
    <xf numFmtId="43" fontId="33" fillId="0" borderId="0" xfId="558" applyNumberFormat="1" applyFont="1" applyBorder="1" applyAlignment="1">
      <alignment vertical="center"/>
    </xf>
    <xf numFmtId="49" fontId="7" fillId="0" borderId="0" xfId="558" applyNumberFormat="1" applyFont="1" applyBorder="1" applyAlignment="1">
      <alignment vertical="center"/>
    </xf>
    <xf numFmtId="0" fontId="34" fillId="0" borderId="0" xfId="0" applyFont="1" applyAlignment="1">
      <alignment horizontal="left" vertical="center"/>
      <protection locked="0"/>
    </xf>
    <xf numFmtId="43" fontId="35" fillId="0" borderId="0" xfId="503" applyNumberFormat="1" applyFont="1">
      <alignment vertical="center"/>
    </xf>
    <xf numFmtId="43" fontId="36" fillId="0" borderId="8" xfId="503" applyNumberFormat="1" applyFont="1" applyBorder="1" applyAlignment="1">
      <alignment horizontal="justify" vertical="center" wrapText="1"/>
    </xf>
    <xf numFmtId="43" fontId="36" fillId="0" borderId="10" xfId="503" applyNumberFormat="1" applyFont="1" applyBorder="1" applyAlignment="1">
      <alignment horizontal="right" vertical="center" wrapText="1"/>
    </xf>
    <xf numFmtId="43" fontId="35" fillId="0" borderId="0" xfId="503" applyNumberFormat="1" applyFont="1" applyAlignment="1">
      <alignment horizontal="justify" vertical="center" wrapText="1"/>
    </xf>
    <xf numFmtId="43" fontId="35" fillId="0" borderId="0" xfId="503" applyNumberFormat="1" applyFont="1" applyAlignment="1">
      <alignment horizontal="right" vertical="center" wrapText="1"/>
    </xf>
    <xf numFmtId="43" fontId="36" fillId="0" borderId="11" xfId="503" applyNumberFormat="1" applyFont="1" applyBorder="1" applyAlignment="1">
      <alignment horizontal="justify" vertical="center" wrapText="1"/>
    </xf>
    <xf numFmtId="43" fontId="36" fillId="0" borderId="8" xfId="503" applyNumberFormat="1" applyFont="1" applyBorder="1" applyAlignment="1">
      <alignment horizontal="right" vertical="center" wrapText="1"/>
    </xf>
    <xf numFmtId="43" fontId="36" fillId="0" borderId="12" xfId="503" applyNumberFormat="1" applyFont="1" applyBorder="1" applyAlignment="1">
      <alignment horizontal="right" vertical="center" wrapText="1"/>
    </xf>
    <xf numFmtId="43" fontId="37" fillId="0" borderId="0" xfId="503" applyNumberFormat="1" applyFont="1" applyAlignment="1">
      <alignment horizontal="justify" vertical="center"/>
    </xf>
    <xf numFmtId="43" fontId="36" fillId="6" borderId="9" xfId="503" applyNumberFormat="1" applyFont="1" applyFill="1" applyBorder="1" applyAlignment="1">
      <alignment horizontal="right" vertical="center" wrapText="1"/>
    </xf>
    <xf numFmtId="43" fontId="36" fillId="6" borderId="10" xfId="503" applyNumberFormat="1" applyFont="1" applyFill="1" applyBorder="1" applyAlignment="1">
      <alignment horizontal="right" vertical="center" wrapText="1"/>
    </xf>
    <xf numFmtId="43" fontId="35" fillId="0" borderId="10" xfId="503" applyNumberFormat="1" applyFont="1" applyBorder="1" applyAlignment="1">
      <alignment horizontal="justify" vertical="center" wrapText="1"/>
    </xf>
    <xf numFmtId="43" fontId="35" fillId="0" borderId="10" xfId="503" applyNumberFormat="1" applyFont="1" applyBorder="1" applyAlignment="1">
      <alignment horizontal="right" vertical="center" wrapText="1"/>
    </xf>
    <xf numFmtId="43" fontId="36" fillId="0" borderId="10" xfId="503" applyNumberFormat="1" applyFont="1" applyBorder="1" applyAlignment="1">
      <alignment horizontal="justify" vertical="center" wrapText="1"/>
    </xf>
    <xf numFmtId="43" fontId="37" fillId="0" borderId="0" xfId="503" applyNumberFormat="1" applyFont="1">
      <alignment vertical="center"/>
    </xf>
    <xf numFmtId="43" fontId="38" fillId="0" borderId="0" xfId="503" applyNumberFormat="1" applyFont="1">
      <alignment vertical="center"/>
    </xf>
    <xf numFmtId="43" fontId="7" fillId="0" borderId="0" xfId="558" applyNumberFormat="1" applyFont="1" applyFill="1" applyBorder="1" applyAlignment="1">
      <alignment vertical="center"/>
    </xf>
    <xf numFmtId="43" fontId="32" fillId="0" borderId="0" xfId="558" applyNumberFormat="1" applyFont="1" applyFill="1" applyBorder="1" applyAlignment="1">
      <alignment vertical="center"/>
    </xf>
    <xf numFmtId="0" fontId="39" fillId="0" borderId="0" xfId="0" applyFont="1" applyAlignment="1">
      <alignment vertical="center"/>
      <protection locked="0"/>
    </xf>
    <xf numFmtId="43" fontId="33" fillId="0" borderId="0" xfId="558" applyNumberFormat="1" applyFont="1" applyFill="1" applyBorder="1" applyAlignment="1">
      <alignment vertical="center"/>
    </xf>
    <xf numFmtId="49" fontId="7" fillId="0" borderId="0" xfId="558" applyNumberFormat="1" applyFont="1" applyFill="1" applyBorder="1" applyAlignment="1">
      <alignment vertical="center"/>
    </xf>
    <xf numFmtId="0" fontId="40" fillId="0" borderId="0" xfId="0" applyFont="1" applyAlignment="1">
      <alignment horizontal="left" vertical="center"/>
      <protection locked="0"/>
    </xf>
    <xf numFmtId="0" fontId="32" fillId="0" borderId="0" xfId="503" applyFont="1" applyAlignment="1">
      <alignment horizontal="left" vertical="center"/>
    </xf>
    <xf numFmtId="0" fontId="0" fillId="0" borderId="0" xfId="503" applyFont="1">
      <alignment vertical="center"/>
    </xf>
    <xf numFmtId="0" fontId="40" fillId="0" borderId="10" xfId="503" applyFont="1" applyBorder="1" applyAlignment="1">
      <alignment horizontal="left" vertical="center" wrapText="1"/>
    </xf>
    <xf numFmtId="0" fontId="40" fillId="0" borderId="10" xfId="503" applyFont="1" applyBorder="1" applyAlignment="1">
      <alignment horizontal="right" vertical="center" wrapText="1"/>
    </xf>
    <xf numFmtId="0" fontId="7" fillId="0" borderId="0" xfId="503" applyFont="1" applyAlignment="1">
      <alignment horizontal="left" vertical="center" wrapText="1"/>
    </xf>
    <xf numFmtId="43" fontId="32" fillId="0" borderId="0" xfId="503" applyNumberFormat="1" applyFont="1" applyAlignment="1">
      <alignment horizontal="right" vertical="center" wrapText="1"/>
    </xf>
    <xf numFmtId="43" fontId="32" fillId="0" borderId="0" xfId="652" applyNumberFormat="1" applyFont="1" applyAlignment="1">
      <alignment horizontal="right" vertical="center" wrapText="1"/>
    </xf>
    <xf numFmtId="0" fontId="2" fillId="0" borderId="0" xfId="503" applyAlignment="1">
      <alignment horizontal="left" vertical="center" wrapText="1"/>
    </xf>
    <xf numFmtId="0" fontId="32" fillId="0" borderId="0" xfId="503" applyFont="1" applyAlignment="1">
      <alignment horizontal="left" vertical="center" wrapText="1"/>
    </xf>
    <xf numFmtId="0" fontId="34" fillId="0" borderId="0" xfId="503" applyFont="1" applyAlignment="1">
      <alignment horizontal="left" vertical="center" wrapText="1"/>
    </xf>
    <xf numFmtId="0" fontId="34" fillId="0" borderId="10" xfId="503" applyFont="1" applyBorder="1" applyAlignment="1">
      <alignment horizontal="left" vertical="center" wrapText="1"/>
    </xf>
    <xf numFmtId="0" fontId="32" fillId="0" borderId="10" xfId="503" applyFont="1" applyBorder="1" applyAlignment="1">
      <alignment horizontal="right" vertical="center" wrapText="1"/>
    </xf>
    <xf numFmtId="43" fontId="33" fillId="0" borderId="10" xfId="503" applyNumberFormat="1" applyFont="1" applyBorder="1" applyAlignment="1">
      <alignment horizontal="right" vertical="center" wrapText="1"/>
    </xf>
    <xf numFmtId="0" fontId="43" fillId="0" borderId="0" xfId="503" applyFont="1" applyAlignment="1">
      <alignment horizontal="left" vertical="center"/>
    </xf>
    <xf numFmtId="0" fontId="40" fillId="0" borderId="8" xfId="503" applyFont="1" applyBorder="1" applyAlignment="1">
      <alignment horizontal="left" vertical="center" wrapText="1"/>
    </xf>
    <xf numFmtId="0" fontId="44" fillId="0" borderId="8" xfId="503" applyFont="1" applyBorder="1" applyAlignment="1">
      <alignment horizontal="right" vertical="center" wrapText="1"/>
    </xf>
    <xf numFmtId="0" fontId="45" fillId="0" borderId="0" xfId="503" applyFont="1" applyAlignment="1">
      <alignment horizontal="left" vertical="center" wrapText="1"/>
    </xf>
    <xf numFmtId="0" fontId="45" fillId="0" borderId="10" xfId="503" applyFont="1" applyBorder="1" applyAlignment="1">
      <alignment horizontal="left" vertical="center" wrapText="1"/>
    </xf>
    <xf numFmtId="0" fontId="40" fillId="0" borderId="8" xfId="503" applyFont="1" applyBorder="1" applyAlignment="1">
      <alignment horizontal="right" vertical="center" wrapText="1"/>
    </xf>
    <xf numFmtId="0" fontId="32" fillId="0" borderId="0" xfId="503" applyFont="1" applyAlignment="1">
      <alignment horizontal="right" vertical="center" wrapText="1"/>
    </xf>
    <xf numFmtId="0" fontId="32" fillId="0" borderId="10" xfId="503" applyFont="1" applyBorder="1" applyAlignment="1">
      <alignment horizontal="left" vertical="center" wrapText="1"/>
    </xf>
    <xf numFmtId="0" fontId="33" fillId="0" borderId="10" xfId="503" applyFont="1" applyBorder="1" applyAlignment="1">
      <alignment horizontal="right" vertical="center" wrapText="1"/>
    </xf>
    <xf numFmtId="0" fontId="34" fillId="0" borderId="0" xfId="503" applyFont="1" applyAlignment="1">
      <alignment horizontal="left" vertical="center"/>
    </xf>
    <xf numFmtId="0" fontId="46" fillId="0" borderId="0" xfId="503" applyFont="1" applyAlignment="1">
      <alignment horizontal="left" vertical="center"/>
    </xf>
    <xf numFmtId="0" fontId="47" fillId="0" borderId="0" xfId="503" applyFont="1" applyAlignment="1">
      <alignment horizontal="left" vertical="center"/>
    </xf>
    <xf numFmtId="43" fontId="33" fillId="0" borderId="0" xfId="559" applyNumberFormat="1" applyFont="1" applyAlignment="1">
      <alignment vertical="center"/>
    </xf>
    <xf numFmtId="0" fontId="40" fillId="0" borderId="10" xfId="503" applyFont="1" applyBorder="1" applyAlignment="1">
      <alignment horizontal="justify" vertical="center" wrapText="1"/>
    </xf>
    <xf numFmtId="9" fontId="32" fillId="0" borderId="0" xfId="453" applyFont="1" applyAlignment="1">
      <alignment horizontal="right" vertical="center" wrapText="1"/>
    </xf>
    <xf numFmtId="43" fontId="32" fillId="0" borderId="0" xfId="559" applyNumberFormat="1" applyFont="1" applyAlignment="1">
      <alignment vertical="center"/>
    </xf>
    <xf numFmtId="0" fontId="48" fillId="0" borderId="10" xfId="503" applyFont="1" applyBorder="1" applyAlignment="1">
      <alignment horizontal="left" vertical="center" wrapText="1"/>
    </xf>
    <xf numFmtId="43" fontId="42" fillId="0" borderId="10" xfId="652" applyNumberFormat="1" applyFont="1" applyBorder="1" applyAlignment="1">
      <alignment horizontal="right" vertical="center" wrapText="1"/>
    </xf>
    <xf numFmtId="9" fontId="32" fillId="0" borderId="8" xfId="453" applyFont="1" applyBorder="1" applyAlignment="1">
      <alignment horizontal="right" vertical="center" wrapText="1"/>
    </xf>
    <xf numFmtId="43" fontId="42" fillId="0" borderId="8" xfId="652" applyNumberFormat="1" applyFont="1" applyBorder="1" applyAlignment="1">
      <alignment horizontal="right" vertical="center" wrapText="1"/>
    </xf>
    <xf numFmtId="43" fontId="33" fillId="0" borderId="10" xfId="652" applyNumberFormat="1" applyFont="1" applyBorder="1" applyAlignment="1">
      <alignment horizontal="right" vertical="center" wrapText="1"/>
    </xf>
    <xf numFmtId="0" fontId="49" fillId="0" borderId="0" xfId="503" applyFont="1" applyAlignment="1">
      <alignment horizontal="left" vertical="center" wrapText="1"/>
    </xf>
    <xf numFmtId="0" fontId="49" fillId="0" borderId="10" xfId="503" applyFont="1" applyBorder="1" applyAlignment="1">
      <alignment horizontal="left" vertical="center" wrapText="1"/>
    </xf>
    <xf numFmtId="0" fontId="40" fillId="0" borderId="8" xfId="503" applyFont="1" applyBorder="1" applyAlignment="1">
      <alignment horizontal="justify" vertical="center" wrapText="1"/>
    </xf>
    <xf numFmtId="0" fontId="32" fillId="0" borderId="0" xfId="503" applyFont="1" applyAlignment="1">
      <alignment horizontal="justify" vertical="center" wrapText="1"/>
    </xf>
    <xf numFmtId="43" fontId="46" fillId="0" borderId="0" xfId="652" applyNumberFormat="1" applyFont="1" applyAlignment="1">
      <alignment horizontal="right" vertical="center" wrapText="1"/>
    </xf>
    <xf numFmtId="0" fontId="46" fillId="0" borderId="0" xfId="503" applyFont="1" applyAlignment="1">
      <alignment horizontal="right" vertical="center" wrapText="1"/>
    </xf>
    <xf numFmtId="0" fontId="46" fillId="0" borderId="10" xfId="503" applyFont="1" applyBorder="1" applyAlignment="1">
      <alignment horizontal="justify" vertical="center" wrapText="1"/>
    </xf>
    <xf numFmtId="43" fontId="46" fillId="0" borderId="10" xfId="652" applyNumberFormat="1" applyFont="1" applyBorder="1" applyAlignment="1">
      <alignment horizontal="right" vertical="center" wrapText="1"/>
    </xf>
    <xf numFmtId="0" fontId="46" fillId="0" borderId="10" xfId="503" applyFont="1" applyBorder="1" applyAlignment="1">
      <alignment horizontal="right" vertical="center" wrapText="1"/>
    </xf>
    <xf numFmtId="43" fontId="33" fillId="0" borderId="10" xfId="652" applyNumberFormat="1" applyFont="1" applyBorder="1" applyAlignment="1">
      <alignment horizontal="right" vertical="center" wrapText="1" indent="1"/>
    </xf>
    <xf numFmtId="0" fontId="46" fillId="0" borderId="10" xfId="503" applyFont="1" applyBorder="1" applyAlignment="1">
      <alignment horizontal="right" vertical="center" wrapText="1" indent="1"/>
    </xf>
    <xf numFmtId="0" fontId="5" fillId="0" borderId="0" xfId="558" applyFont="1" applyFill="1" applyBorder="1" applyAlignment="1">
      <alignment vertical="center"/>
    </xf>
    <xf numFmtId="0" fontId="2" fillId="0" borderId="0" xfId="558" applyFont="1" applyFill="1" applyBorder="1" applyAlignment="1">
      <alignment vertical="center"/>
    </xf>
    <xf numFmtId="0" fontId="2" fillId="0" borderId="0" xfId="558" applyFont="1" applyBorder="1" applyAlignment="1">
      <alignment horizontal="left" vertical="center"/>
    </xf>
    <xf numFmtId="0" fontId="50" fillId="2" borderId="1" xfId="0" applyFont="1" applyFill="1" applyBorder="1" applyAlignment="1" applyProtection="1">
      <alignment vertical="center"/>
    </xf>
    <xf numFmtId="0" fontId="5" fillId="2" borderId="1" xfId="527" applyNumberFormat="1" applyFont="1" applyFill="1" applyBorder="1" applyAlignment="1" applyProtection="1">
      <alignment horizontal="center" vertical="center" wrapText="1"/>
      <protection locked="0"/>
    </xf>
    <xf numFmtId="0" fontId="51" fillId="2" borderId="1" xfId="1" applyNumberFormat="1" applyFont="1" applyFill="1" applyBorder="1" applyAlignment="1">
      <alignment horizontal="right" vertical="center"/>
    </xf>
    <xf numFmtId="0" fontId="51" fillId="0" borderId="1" xfId="0" applyFont="1" applyBorder="1" applyAlignment="1" applyProtection="1">
      <alignment vertical="center"/>
    </xf>
    <xf numFmtId="0" fontId="2" fillId="0" borderId="1" xfId="0" applyFont="1" applyBorder="1" applyAlignment="1" applyProtection="1">
      <alignment vertical="center"/>
    </xf>
    <xf numFmtId="0" fontId="6" fillId="0" borderId="1" xfId="0" applyFont="1" applyBorder="1" applyAlignment="1" applyProtection="1">
      <alignment horizontal="left" vertical="center"/>
    </xf>
    <xf numFmtId="0" fontId="50" fillId="3" borderId="1" xfId="0" applyFont="1" applyFill="1" applyBorder="1" applyAlignment="1" applyProtection="1">
      <alignment horizontal="center" vertical="center"/>
    </xf>
    <xf numFmtId="0" fontId="51" fillId="0" borderId="1" xfId="0" applyFont="1" applyBorder="1" applyAlignment="1" applyProtection="1">
      <alignment horizontal="left" vertical="center"/>
    </xf>
    <xf numFmtId="0" fontId="50" fillId="3" borderId="1" xfId="1" applyNumberFormat="1" applyFont="1" applyFill="1" applyBorder="1" applyAlignment="1">
      <alignment horizontal="center" vertical="center"/>
    </xf>
    <xf numFmtId="43" fontId="13" fillId="2" borderId="1" xfId="1" applyFont="1" applyFill="1" applyBorder="1" applyAlignment="1">
      <alignment horizontal="right" vertical="center"/>
    </xf>
    <xf numFmtId="49" fontId="51" fillId="0" borderId="1" xfId="0" applyNumberFormat="1" applyFont="1" applyBorder="1" applyAlignment="1" applyProtection="1">
      <alignment vertical="center"/>
    </xf>
    <xf numFmtId="0" fontId="51" fillId="0" borderId="1" xfId="0" applyFont="1" applyBorder="1" applyAlignment="1" applyProtection="1">
      <alignment horizontal="center" vertical="center"/>
    </xf>
    <xf numFmtId="0" fontId="50" fillId="0" borderId="1" xfId="0" applyFont="1" applyBorder="1" applyAlignment="1" applyProtection="1">
      <alignment horizontal="center" vertical="center"/>
    </xf>
    <xf numFmtId="0" fontId="5" fillId="0" borderId="1" xfId="558" applyFont="1" applyFill="1" applyBorder="1" applyAlignment="1">
      <alignment vertical="center"/>
    </xf>
    <xf numFmtId="0" fontId="50" fillId="0" borderId="1" xfId="1" applyNumberFormat="1" applyFont="1" applyFill="1" applyBorder="1" applyAlignment="1">
      <alignment horizontal="right" vertical="center"/>
    </xf>
    <xf numFmtId="0" fontId="5" fillId="0" borderId="0" xfId="558" applyFont="1" applyBorder="1" applyAlignment="1">
      <alignment horizontal="left" vertical="center"/>
    </xf>
    <xf numFmtId="0" fontId="52" fillId="0" borderId="0" xfId="3" applyNumberFormat="1" applyFont="1" applyBorder="1" applyAlignment="1" applyProtection="1">
      <alignment horizontal="center" vertical="center"/>
    </xf>
    <xf numFmtId="0" fontId="2" fillId="0" borderId="0" xfId="554" applyFont="1" applyAlignment="1">
      <alignment vertical="center"/>
    </xf>
    <xf numFmtId="0" fontId="53" fillId="0" borderId="0" xfId="2" applyNumberFormat="1" applyFont="1" applyBorder="1" applyAlignment="1">
      <alignment horizontal="left" vertical="center"/>
    </xf>
    <xf numFmtId="43" fontId="54" fillId="3" borderId="0" xfId="2" applyNumberFormat="1" applyFont="1" applyFill="1" applyBorder="1" applyAlignment="1">
      <alignment horizontal="center" vertical="center"/>
    </xf>
    <xf numFmtId="0" fontId="2" fillId="0" borderId="0" xfId="554" applyFont="1" applyAlignment="1">
      <alignment horizontal="left" vertical="center"/>
    </xf>
    <xf numFmtId="0" fontId="5" fillId="0" borderId="0" xfId="554" applyFont="1" applyAlignment="1">
      <alignment vertical="center"/>
    </xf>
    <xf numFmtId="0" fontId="50" fillId="2" borderId="1" xfId="520" applyFont="1" applyFill="1" applyBorder="1" applyAlignment="1">
      <alignment horizontal="center" vertical="center" wrapText="1"/>
      <protection locked="0"/>
    </xf>
    <xf numFmtId="0" fontId="5" fillId="2" borderId="1" xfId="520" applyFont="1" applyFill="1" applyBorder="1" applyAlignment="1">
      <alignment horizontal="center" vertical="center"/>
      <protection locked="0"/>
    </xf>
    <xf numFmtId="0" fontId="2" fillId="2" borderId="1" xfId="1" applyNumberFormat="1" applyFont="1" applyFill="1" applyBorder="1" applyAlignment="1">
      <alignment horizontal="right" vertical="center" wrapText="1"/>
    </xf>
    <xf numFmtId="0" fontId="2" fillId="2" borderId="1" xfId="2" applyNumberFormat="1" applyFont="1" applyFill="1" applyBorder="1" applyAlignment="1">
      <alignment horizontal="right" vertical="center" wrapText="1"/>
    </xf>
    <xf numFmtId="43" fontId="7" fillId="3" borderId="1" xfId="1" applyFont="1" applyFill="1" applyBorder="1" applyAlignment="1">
      <alignment horizontal="right" vertical="center" wrapText="1"/>
    </xf>
    <xf numFmtId="0" fontId="2" fillId="3" borderId="1" xfId="2" applyNumberFormat="1" applyFont="1" applyFill="1" applyBorder="1" applyAlignment="1">
      <alignment horizontal="right" vertical="center" wrapText="1"/>
    </xf>
    <xf numFmtId="0" fontId="2" fillId="0" borderId="1" xfId="1" applyNumberFormat="1" applyFont="1" applyFill="1" applyBorder="1" applyAlignment="1">
      <alignment horizontal="right" vertical="center" wrapText="1"/>
    </xf>
    <xf numFmtId="43" fontId="7" fillId="2" borderId="1" xfId="1" applyFont="1" applyFill="1" applyBorder="1" applyAlignment="1">
      <alignment horizontal="right" vertical="center" wrapText="1"/>
    </xf>
    <xf numFmtId="0" fontId="2" fillId="0" borderId="1" xfId="2" applyNumberFormat="1" applyFont="1" applyFill="1" applyBorder="1" applyAlignment="1">
      <alignment horizontal="right" vertical="center" wrapText="1"/>
    </xf>
    <xf numFmtId="0" fontId="32" fillId="0" borderId="0" xfId="552" applyFont="1">
      <alignment vertical="center"/>
    </xf>
    <xf numFmtId="0" fontId="7" fillId="0" borderId="0" xfId="506" applyFont="1">
      <alignment vertical="center"/>
      <protection locked="0"/>
    </xf>
    <xf numFmtId="0" fontId="7" fillId="2" borderId="0" xfId="506" applyFont="1" applyFill="1">
      <alignment vertical="center"/>
      <protection locked="0"/>
    </xf>
    <xf numFmtId="0" fontId="55" fillId="0" borderId="0" xfId="561" applyFont="1">
      <alignment vertical="center"/>
    </xf>
    <xf numFmtId="0" fontId="56" fillId="0" borderId="0" xfId="561" applyFont="1">
      <alignment vertical="center"/>
    </xf>
    <xf numFmtId="0" fontId="7" fillId="7" borderId="0" xfId="561" applyFont="1" applyFill="1">
      <alignment vertical="center"/>
    </xf>
    <xf numFmtId="0" fontId="7" fillId="8" borderId="0" xfId="561" applyFont="1" applyFill="1">
      <alignment vertical="center"/>
    </xf>
    <xf numFmtId="0" fontId="57" fillId="0" borderId="0" xfId="561" applyFont="1">
      <alignment vertical="center"/>
    </xf>
    <xf numFmtId="49" fontId="7" fillId="0" borderId="0" xfId="561" applyNumberFormat="1" applyFont="1" applyAlignment="1">
      <alignment horizontal="left" vertical="center"/>
    </xf>
    <xf numFmtId="0" fontId="7" fillId="0" borderId="0" xfId="561" applyFont="1">
      <alignment vertical="center"/>
    </xf>
    <xf numFmtId="0" fontId="7" fillId="0" borderId="0" xfId="506" applyFont="1" applyAlignment="1">
      <alignment horizontal="left" vertical="center"/>
      <protection locked="0"/>
    </xf>
    <xf numFmtId="0" fontId="7" fillId="0" borderId="0" xfId="506" applyFont="1" applyAlignment="1">
      <alignment horizontal="right" vertical="center"/>
      <protection locked="0"/>
    </xf>
    <xf numFmtId="0" fontId="24" fillId="0" borderId="0" xfId="506" applyFont="1" applyAlignment="1">
      <alignment horizontal="left" vertical="center"/>
      <protection locked="0"/>
    </xf>
    <xf numFmtId="49" fontId="24" fillId="0" borderId="0" xfId="506" applyNumberFormat="1" applyFont="1" applyAlignment="1">
      <alignment horizontal="left" vertical="center"/>
      <protection locked="0"/>
    </xf>
    <xf numFmtId="0" fontId="24" fillId="0" borderId="0" xfId="506" applyFont="1" applyAlignment="1">
      <alignment horizontal="justify" vertical="center"/>
      <protection locked="0"/>
    </xf>
    <xf numFmtId="0" fontId="24" fillId="0" borderId="1" xfId="506" applyFont="1" applyBorder="1" applyAlignment="1">
      <alignment horizontal="left" vertical="center" wrapText="1"/>
      <protection locked="0"/>
    </xf>
    <xf numFmtId="0" fontId="7" fillId="0" borderId="1" xfId="506" applyFont="1" applyBorder="1" applyAlignment="1">
      <alignment horizontal="center" vertical="center" wrapText="1"/>
      <protection locked="0"/>
    </xf>
    <xf numFmtId="0" fontId="2" fillId="0" borderId="1" xfId="506" applyFont="1" applyBorder="1" applyAlignment="1">
      <alignment horizontal="center" vertical="center" wrapText="1"/>
      <protection locked="0"/>
    </xf>
    <xf numFmtId="0" fontId="2" fillId="0" borderId="4" xfId="506" applyFont="1" applyBorder="1" applyAlignment="1">
      <alignment horizontal="center" vertical="center" wrapText="1"/>
      <protection locked="0"/>
    </xf>
    <xf numFmtId="0" fontId="7" fillId="0" borderId="1" xfId="506" applyFont="1" applyBorder="1" applyAlignment="1">
      <alignment horizontal="left" vertical="center" wrapText="1"/>
      <protection locked="0"/>
    </xf>
    <xf numFmtId="0" fontId="2" fillId="0" borderId="1" xfId="506" applyFont="1" applyBorder="1" applyAlignment="1">
      <alignment horizontal="left" vertical="center" wrapText="1"/>
      <protection locked="0"/>
    </xf>
    <xf numFmtId="0" fontId="7" fillId="0" borderId="4" xfId="506" applyFont="1" applyBorder="1" applyAlignment="1">
      <alignment horizontal="center" vertical="center" wrapText="1"/>
      <protection locked="0"/>
    </xf>
    <xf numFmtId="49" fontId="24" fillId="8" borderId="1" xfId="506" applyNumberFormat="1" applyFont="1" applyFill="1" applyBorder="1" applyAlignment="1">
      <alignment horizontal="left" vertical="center"/>
      <protection locked="0"/>
    </xf>
    <xf numFmtId="0" fontId="24" fillId="8" borderId="1" xfId="506" applyFont="1" applyFill="1" applyBorder="1" applyAlignment="1">
      <alignment horizontal="center" vertical="center" wrapText="1"/>
      <protection locked="0"/>
    </xf>
    <xf numFmtId="49" fontId="5" fillId="2" borderId="1" xfId="506" applyNumberFormat="1" applyFont="1" applyFill="1" applyBorder="1" applyAlignment="1">
      <alignment horizontal="left" vertical="center"/>
      <protection locked="0"/>
    </xf>
    <xf numFmtId="0" fontId="5" fillId="2" borderId="1" xfId="506" applyFont="1" applyFill="1" applyBorder="1" applyAlignment="1">
      <alignment horizontal="left" vertical="center" wrapText="1"/>
      <protection locked="0"/>
    </xf>
    <xf numFmtId="49" fontId="5" fillId="8" borderId="1" xfId="561" applyNumberFormat="1" applyFont="1" applyFill="1" applyBorder="1" applyAlignment="1">
      <alignment horizontal="left" vertical="center"/>
    </xf>
    <xf numFmtId="0" fontId="59" fillId="8" borderId="1" xfId="506" applyFont="1" applyFill="1" applyBorder="1" applyAlignment="1">
      <alignment horizontal="left" vertical="center" wrapText="1"/>
      <protection locked="0"/>
    </xf>
    <xf numFmtId="49" fontId="24" fillId="0" borderId="1" xfId="561" applyNumberFormat="1" applyFont="1" applyBorder="1" applyAlignment="1">
      <alignment horizontal="left" vertical="center" indent="1"/>
    </xf>
    <xf numFmtId="0" fontId="60" fillId="0" borderId="4" xfId="506" applyFont="1" applyBorder="1" applyAlignment="1" applyProtection="1">
      <alignment vertical="center" wrapText="1"/>
    </xf>
    <xf numFmtId="49" fontId="5" fillId="2" borderId="1" xfId="561" applyNumberFormat="1" applyFont="1" applyFill="1" applyBorder="1" applyAlignment="1">
      <alignment horizontal="left" vertical="center"/>
    </xf>
    <xf numFmtId="0" fontId="55" fillId="2" borderId="1" xfId="511" applyFont="1" applyFill="1" applyBorder="1" applyAlignment="1" applyProtection="1">
      <alignment horizontal="left" vertical="center" wrapText="1"/>
      <protection locked="0"/>
    </xf>
    <xf numFmtId="49" fontId="55" fillId="0" borderId="1" xfId="561" applyNumberFormat="1" applyFont="1" applyBorder="1" applyAlignment="1">
      <alignment horizontal="left" vertical="center" indent="1"/>
    </xf>
    <xf numFmtId="0" fontId="2" fillId="0" borderId="1" xfId="511" applyFont="1" applyBorder="1" applyAlignment="1" applyProtection="1">
      <alignment horizontal="left" vertical="center" wrapText="1"/>
      <protection locked="0"/>
    </xf>
    <xf numFmtId="0" fontId="56" fillId="0" borderId="1" xfId="511" applyFont="1" applyBorder="1" applyAlignment="1" applyProtection="1">
      <alignment horizontal="left" vertical="center" wrapText="1"/>
      <protection locked="0"/>
    </xf>
    <xf numFmtId="0" fontId="39" fillId="8" borderId="1" xfId="506" applyFont="1" applyFill="1" applyBorder="1" applyAlignment="1">
      <alignment horizontal="justify" vertical="center" wrapText="1"/>
      <protection locked="0"/>
    </xf>
    <xf numFmtId="49" fontId="7" fillId="0" borderId="1" xfId="561" applyNumberFormat="1" applyFont="1" applyBorder="1" applyAlignment="1">
      <alignment horizontal="left" vertical="center" indent="1"/>
    </xf>
    <xf numFmtId="0" fontId="2" fillId="0" borderId="1" xfId="506" applyFont="1" applyBorder="1" applyAlignment="1">
      <alignment horizontal="justify" vertical="center" wrapText="1"/>
      <protection locked="0"/>
    </xf>
    <xf numFmtId="0" fontId="7" fillId="0" borderId="1" xfId="506" applyFont="1" applyBorder="1" applyAlignment="1">
      <alignment horizontal="justify" vertical="center" wrapText="1"/>
      <protection locked="0"/>
    </xf>
    <xf numFmtId="0" fontId="5" fillId="0" borderId="1" xfId="506" applyFont="1" applyBorder="1" applyAlignment="1">
      <alignment horizontal="justify" vertical="center" wrapText="1"/>
      <protection locked="0"/>
    </xf>
    <xf numFmtId="0" fontId="5" fillId="8" borderId="1" xfId="506" applyFont="1" applyFill="1" applyBorder="1" applyAlignment="1">
      <alignment horizontal="left" vertical="center" wrapText="1"/>
      <protection locked="0"/>
    </xf>
    <xf numFmtId="0" fontId="7" fillId="0" borderId="1" xfId="506" applyFont="1" applyBorder="1" applyAlignment="1">
      <alignment vertical="center" wrapText="1"/>
      <protection locked="0"/>
    </xf>
    <xf numFmtId="0" fontId="5" fillId="8" borderId="1" xfId="506" applyFont="1" applyFill="1" applyBorder="1" applyAlignment="1">
      <alignment horizontal="justify" vertical="center" wrapText="1"/>
      <protection locked="0"/>
    </xf>
    <xf numFmtId="0" fontId="5" fillId="0" borderId="1" xfId="506" applyFont="1" applyBorder="1" applyAlignment="1">
      <alignment horizontal="left" vertical="center" wrapText="1"/>
      <protection locked="0"/>
    </xf>
    <xf numFmtId="0" fontId="51" fillId="0" borderId="1" xfId="506" applyFont="1" applyBorder="1" applyAlignment="1">
      <alignment horizontal="left" vertical="center" wrapText="1"/>
      <protection locked="0"/>
    </xf>
    <xf numFmtId="0" fontId="50" fillId="0" borderId="1" xfId="506" applyFont="1" applyBorder="1" applyAlignment="1">
      <alignment horizontal="left" vertical="center" wrapText="1"/>
      <protection locked="0"/>
    </xf>
    <xf numFmtId="0" fontId="2" fillId="0" borderId="1" xfId="506" applyFont="1" applyBorder="1" applyAlignment="1">
      <alignment vertical="center" wrapText="1"/>
      <protection locked="0"/>
    </xf>
    <xf numFmtId="0" fontId="5" fillId="8" borderId="1" xfId="506" applyFont="1" applyFill="1" applyBorder="1" applyAlignment="1">
      <alignment vertical="center" wrapText="1"/>
      <protection locked="0"/>
    </xf>
    <xf numFmtId="0" fontId="7" fillId="0" borderId="6" xfId="506" applyFont="1" applyBorder="1" applyAlignment="1">
      <alignment horizontal="center" vertical="center" wrapText="1"/>
      <protection locked="0"/>
    </xf>
    <xf numFmtId="0" fontId="39" fillId="0" borderId="1" xfId="506" applyFont="1" applyBorder="1" applyAlignment="1">
      <alignment vertical="center" wrapText="1"/>
      <protection locked="0"/>
    </xf>
    <xf numFmtId="0" fontId="2" fillId="7" borderId="1" xfId="506" applyFont="1" applyFill="1" applyBorder="1" applyAlignment="1">
      <alignment vertical="center" wrapText="1"/>
      <protection locked="0"/>
    </xf>
    <xf numFmtId="49" fontId="7" fillId="0" borderId="1" xfId="561" applyNumberFormat="1" applyFont="1" applyBorder="1" applyAlignment="1">
      <alignment horizontal="center" vertical="center"/>
    </xf>
    <xf numFmtId="0" fontId="2" fillId="7" borderId="1" xfId="506" applyFont="1" applyFill="1" applyBorder="1" applyAlignment="1">
      <alignment horizontal="left" vertical="center" wrapText="1"/>
      <protection locked="0"/>
    </xf>
    <xf numFmtId="49" fontId="7" fillId="7" borderId="1" xfId="561" applyNumberFormat="1" applyFont="1" applyFill="1" applyBorder="1" applyAlignment="1">
      <alignment horizontal="left" vertical="center" indent="1"/>
    </xf>
    <xf numFmtId="0" fontId="7" fillId="7" borderId="1" xfId="506" applyFont="1" applyFill="1" applyBorder="1" applyAlignment="1">
      <alignment horizontal="left" vertical="center" wrapText="1"/>
      <protection locked="0"/>
    </xf>
    <xf numFmtId="49" fontId="24" fillId="7" borderId="1" xfId="561" applyNumberFormat="1" applyFont="1" applyFill="1" applyBorder="1" applyAlignment="1">
      <alignment horizontal="left" vertical="center" indent="1"/>
    </xf>
    <xf numFmtId="0" fontId="62" fillId="0" borderId="1" xfId="506" applyFont="1" applyBorder="1" applyAlignment="1">
      <alignment horizontal="center" vertical="center" wrapText="1"/>
      <protection locked="0"/>
    </xf>
    <xf numFmtId="0" fontId="63" fillId="9" borderId="15" xfId="506" applyFont="1" applyFill="1" applyBorder="1" applyAlignment="1">
      <alignment horizontal="centerContinuous" vertical="center"/>
      <protection locked="0"/>
    </xf>
    <xf numFmtId="0" fontId="64" fillId="9" borderId="15" xfId="506" applyFont="1" applyFill="1" applyBorder="1" applyAlignment="1" applyProtection="1">
      <alignment horizontal="centerContinuous" vertical="center"/>
    </xf>
    <xf numFmtId="0" fontId="63" fillId="9" borderId="0" xfId="506" applyFont="1" applyFill="1" applyAlignment="1">
      <alignment horizontal="center" vertical="center"/>
      <protection locked="0"/>
    </xf>
    <xf numFmtId="0" fontId="7" fillId="0" borderId="0" xfId="561" applyFont="1" applyAlignment="1">
      <alignment vertical="center" wrapText="1"/>
    </xf>
    <xf numFmtId="0" fontId="6" fillId="0" borderId="0" xfId="561" applyFont="1">
      <alignment vertical="center"/>
    </xf>
    <xf numFmtId="0" fontId="7" fillId="10" borderId="0" xfId="561" applyFont="1" applyFill="1" applyAlignment="1">
      <alignment vertical="center" wrapText="1"/>
    </xf>
    <xf numFmtId="49" fontId="2" fillId="2" borderId="1" xfId="561" applyNumberFormat="1" applyFont="1" applyFill="1" applyBorder="1" applyAlignment="1">
      <alignment horizontal="left" vertical="center"/>
    </xf>
    <xf numFmtId="0" fontId="7" fillId="2" borderId="1" xfId="506" applyFont="1" applyFill="1" applyBorder="1" applyAlignment="1">
      <alignment vertical="center" wrapText="1"/>
      <protection locked="0"/>
    </xf>
    <xf numFmtId="0" fontId="59" fillId="2" borderId="1" xfId="506" applyFont="1" applyFill="1" applyBorder="1" applyAlignment="1">
      <alignment horizontal="justify" vertical="center" wrapText="1"/>
      <protection locked="0"/>
    </xf>
    <xf numFmtId="49" fontId="7" fillId="0" borderId="0" xfId="561" applyNumberFormat="1" applyFont="1" applyAlignment="1">
      <alignment horizontal="left" vertical="center" indent="1"/>
    </xf>
    <xf numFmtId="0" fontId="2" fillId="0" borderId="0" xfId="506" applyFont="1" applyAlignment="1">
      <alignment horizontal="justify" vertical="center" wrapText="1"/>
      <protection locked="0"/>
    </xf>
    <xf numFmtId="0" fontId="5" fillId="0" borderId="0" xfId="506" applyFont="1" applyAlignment="1">
      <alignment horizontal="center" vertical="center" wrapText="1"/>
      <protection locked="0"/>
    </xf>
    <xf numFmtId="0" fontId="7" fillId="0" borderId="0" xfId="506" applyFont="1" applyAlignment="1">
      <alignment horizontal="center" vertical="center" wrapText="1"/>
      <protection locked="0"/>
    </xf>
    <xf numFmtId="49" fontId="65" fillId="2" borderId="0" xfId="561" applyNumberFormat="1" applyFont="1" applyFill="1" applyAlignment="1">
      <alignment horizontal="left" vertical="center"/>
    </xf>
    <xf numFmtId="0" fontId="24" fillId="2" borderId="0" xfId="506" applyFont="1" applyFill="1" applyAlignment="1">
      <alignment horizontal="justify" vertical="center" wrapText="1"/>
      <protection locked="0"/>
    </xf>
    <xf numFmtId="0" fontId="7" fillId="2" borderId="0" xfId="506" applyFont="1" applyFill="1" applyAlignment="1">
      <alignment horizontal="center" vertical="center" wrapText="1"/>
      <protection locked="0"/>
    </xf>
    <xf numFmtId="49" fontId="66" fillId="8" borderId="1" xfId="517" applyNumberFormat="1" applyFont="1" applyFill="1" applyBorder="1" applyAlignment="1">
      <alignment horizontal="left" vertical="center"/>
      <protection locked="0"/>
    </xf>
    <xf numFmtId="0" fontId="67" fillId="8" borderId="1" xfId="517" applyFont="1" applyFill="1" applyBorder="1" applyAlignment="1">
      <alignment horizontal="center" vertical="center" wrapText="1"/>
      <protection locked="0"/>
    </xf>
    <xf numFmtId="49" fontId="25" fillId="8" borderId="1" xfId="561" applyNumberFormat="1" applyFont="1" applyFill="1" applyBorder="1" applyAlignment="1">
      <alignment horizontal="left" vertical="center"/>
    </xf>
    <xf numFmtId="0" fontId="67" fillId="8" borderId="1" xfId="517" applyFont="1" applyFill="1" applyBorder="1" applyAlignment="1">
      <alignment horizontal="left" vertical="center" wrapText="1"/>
      <protection locked="0"/>
    </xf>
    <xf numFmtId="0" fontId="68" fillId="8" borderId="1" xfId="517" applyFont="1" applyFill="1" applyBorder="1" applyAlignment="1">
      <alignment vertical="center" wrapText="1"/>
      <protection locked="0"/>
    </xf>
    <xf numFmtId="49" fontId="68" fillId="0" borderId="1" xfId="561" applyNumberFormat="1" applyFont="1" applyBorder="1" applyAlignment="1">
      <alignment horizontal="center" vertical="center"/>
    </xf>
    <xf numFmtId="0" fontId="25" fillId="0" borderId="1" xfId="517" applyFont="1" applyBorder="1" applyAlignment="1">
      <alignment horizontal="left" vertical="center" wrapText="1"/>
      <protection locked="0"/>
    </xf>
    <xf numFmtId="49" fontId="25" fillId="2" borderId="1" xfId="561" applyNumberFormat="1" applyFont="1" applyFill="1" applyBorder="1" applyAlignment="1">
      <alignment horizontal="left" vertical="center"/>
    </xf>
    <xf numFmtId="0" fontId="25" fillId="2" borderId="1" xfId="517" applyFont="1" applyFill="1" applyBorder="1" applyAlignment="1">
      <alignment horizontal="left" vertical="center" wrapText="1"/>
      <protection locked="0"/>
    </xf>
    <xf numFmtId="0" fontId="68" fillId="0" borderId="1" xfId="517" applyFont="1" applyBorder="1" applyAlignment="1">
      <alignment horizontal="left" vertical="center" wrapText="1"/>
      <protection locked="0"/>
    </xf>
    <xf numFmtId="49" fontId="25" fillId="0" borderId="1" xfId="561" applyNumberFormat="1" applyFont="1" applyBorder="1" applyAlignment="1">
      <alignment horizontal="center" vertical="center"/>
    </xf>
    <xf numFmtId="0" fontId="68" fillId="0" borderId="1" xfId="517" applyFont="1" applyBorder="1" applyAlignment="1">
      <alignment vertical="center" wrapText="1"/>
      <protection locked="0"/>
    </xf>
    <xf numFmtId="49" fontId="24" fillId="0" borderId="0" xfId="561" applyNumberFormat="1" applyFont="1" applyAlignment="1">
      <alignment horizontal="left" vertical="center"/>
    </xf>
    <xf numFmtId="0" fontId="24" fillId="0" borderId="0" xfId="506" applyFont="1" applyAlignment="1">
      <alignment horizontal="justify" vertical="center" wrapText="1"/>
      <protection locked="0"/>
    </xf>
    <xf numFmtId="0" fontId="24" fillId="0" borderId="0" xfId="506" applyFont="1" applyAlignment="1">
      <alignment vertical="center" wrapText="1"/>
      <protection locked="0"/>
    </xf>
    <xf numFmtId="49" fontId="57" fillId="0" borderId="0" xfId="561" applyNumberFormat="1" applyFont="1" applyAlignment="1">
      <alignment horizontal="left" vertical="center"/>
    </xf>
    <xf numFmtId="0" fontId="69" fillId="0" borderId="0" xfId="561" applyFont="1">
      <alignment vertical="center"/>
    </xf>
    <xf numFmtId="0" fontId="70" fillId="0" borderId="0" xfId="561" applyFont="1">
      <alignment vertical="center"/>
    </xf>
    <xf numFmtId="0" fontId="7" fillId="10" borderId="1" xfId="506" applyFont="1" applyFill="1" applyBorder="1" applyAlignment="1">
      <alignment vertical="center" wrapText="1"/>
      <protection locked="0"/>
    </xf>
    <xf numFmtId="0" fontId="68" fillId="0" borderId="0" xfId="561" applyFont="1">
      <alignment vertical="center"/>
    </xf>
    <xf numFmtId="0" fontId="2" fillId="0" borderId="0" xfId="561" applyFont="1">
      <alignment vertical="center"/>
    </xf>
    <xf numFmtId="0" fontId="7" fillId="8" borderId="0" xfId="517" applyFont="1" applyFill="1" applyAlignment="1">
      <alignment horizontal="center" vertical="center"/>
      <protection locked="0"/>
    </xf>
    <xf numFmtId="0" fontId="7" fillId="8" borderId="0" xfId="561" applyFont="1" applyFill="1" applyAlignment="1">
      <alignment vertical="center" wrapText="1"/>
    </xf>
    <xf numFmtId="0" fontId="9" fillId="0" borderId="0" xfId="552" applyFont="1">
      <alignment vertical="center"/>
    </xf>
    <xf numFmtId="0" fontId="8" fillId="0" borderId="0" xfId="561" applyFont="1">
      <alignment vertical="center"/>
    </xf>
    <xf numFmtId="0" fontId="9" fillId="0" borderId="0" xfId="561" applyFont="1" applyAlignment="1">
      <alignment horizontal="left" vertical="center"/>
    </xf>
    <xf numFmtId="0" fontId="9" fillId="0" borderId="0" xfId="506" applyFont="1" applyAlignment="1">
      <alignment horizontal="left" vertical="center"/>
      <protection locked="0"/>
    </xf>
    <xf numFmtId="0" fontId="8" fillId="0" borderId="0" xfId="506" applyFont="1" applyAlignment="1">
      <alignment horizontal="left" vertical="center"/>
      <protection locked="0"/>
    </xf>
    <xf numFmtId="0" fontId="8" fillId="0" borderId="0" xfId="506" applyFont="1" applyBorder="1">
      <alignment vertical="center"/>
      <protection locked="0"/>
    </xf>
    <xf numFmtId="0" fontId="8" fillId="0" borderId="0" xfId="506" applyFont="1">
      <alignment vertical="center"/>
      <protection locked="0"/>
    </xf>
    <xf numFmtId="0" fontId="8" fillId="0" borderId="0" xfId="506" applyFont="1" applyAlignment="1">
      <alignment horizontal="justify" vertical="center"/>
      <protection locked="0"/>
    </xf>
    <xf numFmtId="0" fontId="9" fillId="0" borderId="1" xfId="506" applyFont="1" applyBorder="1" applyAlignment="1">
      <alignment horizontal="center" vertical="center" wrapText="1"/>
      <protection locked="0"/>
    </xf>
    <xf numFmtId="0" fontId="8" fillId="3" borderId="1" xfId="506" applyFont="1" applyFill="1" applyBorder="1" applyAlignment="1">
      <alignment horizontal="center" vertical="center" wrapText="1"/>
      <protection locked="0"/>
    </xf>
    <xf numFmtId="0" fontId="7" fillId="0" borderId="1" xfId="561" applyFont="1" applyBorder="1" applyAlignment="1">
      <alignment horizontal="center" vertical="center"/>
    </xf>
    <xf numFmtId="0" fontId="9" fillId="0" borderId="1" xfId="504" applyNumberFormat="1" applyFont="1" applyBorder="1" applyAlignment="1">
      <alignment vertical="center" wrapText="1"/>
    </xf>
    <xf numFmtId="0" fontId="71" fillId="0" borderId="1" xfId="545" applyFont="1" applyFill="1" applyBorder="1" applyAlignment="1">
      <alignment horizontal="center" vertical="center" wrapText="1"/>
    </xf>
    <xf numFmtId="0" fontId="72" fillId="0" borderId="1" xfId="545" applyFont="1" applyFill="1" applyBorder="1" applyAlignment="1">
      <alignment horizontal="center" vertical="center" wrapText="1"/>
    </xf>
    <xf numFmtId="0" fontId="60" fillId="0" borderId="1" xfId="545" applyFont="1" applyFill="1" applyBorder="1" applyAlignment="1">
      <alignment horizontal="center" vertical="center" wrapText="1"/>
    </xf>
    <xf numFmtId="0" fontId="71" fillId="0" borderId="1" xfId="545" applyFont="1" applyFill="1" applyBorder="1" applyAlignment="1">
      <alignment vertical="center" wrapText="1"/>
    </xf>
    <xf numFmtId="0" fontId="9" fillId="0" borderId="1" xfId="517" applyFont="1" applyBorder="1" applyAlignment="1">
      <alignment horizontal="left" vertical="center" wrapText="1"/>
      <protection locked="0"/>
    </xf>
    <xf numFmtId="0" fontId="14" fillId="0" borderId="1" xfId="506" applyFont="1" applyBorder="1" applyAlignment="1">
      <alignment horizontal="center" vertical="center" wrapText="1"/>
      <protection locked="0"/>
    </xf>
    <xf numFmtId="0" fontId="2" fillId="0" borderId="0" xfId="0" applyFont="1" applyAlignment="1">
      <alignment vertical="center" wrapText="1"/>
      <protection locked="0"/>
    </xf>
    <xf numFmtId="0" fontId="73" fillId="0" borderId="1" xfId="545" applyFont="1" applyBorder="1" applyAlignment="1">
      <alignment horizontal="center" vertical="center" wrapText="1"/>
    </xf>
    <xf numFmtId="0" fontId="72" fillId="0" borderId="1" xfId="545" applyFont="1" applyBorder="1" applyAlignment="1">
      <alignment horizontal="center" vertical="center" wrapText="1"/>
    </xf>
    <xf numFmtId="0" fontId="9" fillId="0" borderId="1" xfId="0" applyFont="1" applyBorder="1" applyAlignment="1">
      <alignment horizontal="left" vertical="center" wrapText="1"/>
      <protection locked="0"/>
    </xf>
    <xf numFmtId="0" fontId="24" fillId="0" borderId="1" xfId="517" applyFont="1" applyBorder="1" applyAlignment="1">
      <alignment horizontal="center" vertical="center" wrapText="1"/>
      <protection locked="0"/>
    </xf>
    <xf numFmtId="0" fontId="7" fillId="0" borderId="1" xfId="517" applyFont="1" applyBorder="1" applyAlignment="1">
      <alignment horizontal="center" vertical="center" wrapText="1"/>
      <protection locked="0"/>
    </xf>
    <xf numFmtId="0" fontId="9" fillId="0" borderId="1" xfId="506" applyFont="1" applyBorder="1" applyAlignment="1">
      <alignment horizontal="justify" vertical="center" wrapText="1"/>
      <protection locked="0"/>
    </xf>
    <xf numFmtId="0" fontId="7" fillId="0" borderId="1" xfId="0" applyFont="1" applyBorder="1" applyAlignment="1">
      <alignment horizontal="center" vertical="center" wrapText="1"/>
      <protection locked="0"/>
    </xf>
    <xf numFmtId="176" fontId="72" fillId="0" borderId="1" xfId="504" applyFont="1" applyFill="1" applyBorder="1" applyAlignment="1">
      <alignment horizontal="center" vertical="center" wrapText="1"/>
    </xf>
    <xf numFmtId="0" fontId="9" fillId="0" borderId="1" xfId="518" applyNumberFormat="1" applyFont="1" applyBorder="1" applyAlignment="1">
      <alignment horizontal="left" vertical="center" wrapText="1"/>
      <protection locked="0"/>
    </xf>
    <xf numFmtId="0" fontId="24" fillId="0" borderId="1" xfId="506" applyFont="1" applyBorder="1" applyAlignment="1">
      <alignment horizontal="center" vertical="center" wrapText="1"/>
      <protection locked="0"/>
    </xf>
    <xf numFmtId="0" fontId="2" fillId="0" borderId="1" xfId="0" applyFont="1" applyBorder="1" applyAlignment="1">
      <alignment horizontal="left" vertical="center" wrapText="1"/>
      <protection locked="0"/>
    </xf>
    <xf numFmtId="0" fontId="9" fillId="0" borderId="1" xfId="506" applyFont="1" applyBorder="1" applyAlignment="1">
      <alignment vertical="center" wrapText="1"/>
      <protection locked="0"/>
    </xf>
    <xf numFmtId="0" fontId="8" fillId="0" borderId="0" xfId="561" applyFont="1" applyAlignment="1">
      <alignment horizontal="left" vertical="center"/>
    </xf>
    <xf numFmtId="0" fontId="8" fillId="0" borderId="0" xfId="506" applyFont="1" applyAlignment="1">
      <alignment horizontal="justify" vertical="center" wrapText="1"/>
      <protection locked="0"/>
    </xf>
    <xf numFmtId="0" fontId="8" fillId="0" borderId="0" xfId="506" applyFont="1" applyAlignment="1">
      <alignment vertical="center" wrapText="1"/>
      <protection locked="0"/>
    </xf>
    <xf numFmtId="0" fontId="9" fillId="0" borderId="0" xfId="506" applyFont="1" applyAlignment="1">
      <alignment horizontal="center" vertical="center" wrapText="1"/>
      <protection locked="0"/>
    </xf>
    <xf numFmtId="0" fontId="12" fillId="0" borderId="0" xfId="0" applyFont="1" applyAlignment="1">
      <alignment vertical="center" wrapText="1"/>
      <protection locked="0"/>
    </xf>
    <xf numFmtId="0" fontId="74" fillId="0" borderId="1" xfId="506" applyFont="1" applyBorder="1" applyAlignment="1">
      <alignment horizontal="center" vertical="center" wrapText="1"/>
      <protection locked="0"/>
    </xf>
    <xf numFmtId="0" fontId="68" fillId="9" borderId="0" xfId="545" applyFont="1" applyFill="1" applyAlignment="1" applyProtection="1">
      <alignment horizontal="left" vertical="center" wrapText="1"/>
      <protection locked="0"/>
    </xf>
    <xf numFmtId="0" fontId="19" fillId="0" borderId="0" xfId="561" applyFont="1">
      <alignment vertical="center"/>
    </xf>
    <xf numFmtId="0" fontId="7" fillId="0" borderId="1" xfId="506" applyFont="1" applyBorder="1" applyAlignment="1">
      <alignment horizontal="center" vertical="center"/>
      <protection locked="0"/>
    </xf>
    <xf numFmtId="0" fontId="19" fillId="0" borderId="0" xfId="0" applyFont="1">
      <protection locked="0"/>
    </xf>
    <xf numFmtId="176" fontId="7" fillId="0" borderId="1" xfId="504" applyFont="1" applyFill="1" applyBorder="1" applyAlignment="1">
      <alignment horizontal="center" vertical="center" wrapText="1"/>
    </xf>
    <xf numFmtId="0" fontId="2" fillId="12" borderId="0" xfId="0" applyFont="1" applyFill="1" applyAlignment="1">
      <alignment horizontal="justify" vertical="center" wrapText="1"/>
      <protection locked="0"/>
    </xf>
    <xf numFmtId="0" fontId="2" fillId="0" borderId="0" xfId="0" applyFont="1" applyAlignment="1">
      <alignment horizontal="justify" vertical="center" wrapText="1"/>
      <protection locked="0"/>
    </xf>
    <xf numFmtId="0" fontId="5" fillId="0" borderId="0" xfId="0" applyFont="1" applyAlignment="1">
      <alignment horizontal="center" vertical="center"/>
      <protection locked="0"/>
    </xf>
    <xf numFmtId="0" fontId="7" fillId="0" borderId="16" xfId="0" applyFont="1" applyBorder="1" applyAlignment="1">
      <alignment horizontal="center" vertical="center"/>
      <protection locked="0"/>
    </xf>
    <xf numFmtId="0" fontId="7" fillId="0" borderId="16" xfId="0" applyFont="1" applyBorder="1" applyAlignment="1">
      <alignment horizontal="center" vertical="center" wrapText="1"/>
      <protection locked="0"/>
    </xf>
    <xf numFmtId="0" fontId="25" fillId="0" borderId="0" xfId="0" applyFont="1" applyAlignment="1">
      <alignment vertical="center"/>
      <protection locked="0"/>
    </xf>
    <xf numFmtId="0" fontId="9" fillId="0" borderId="1" xfId="0" quotePrefix="1" applyFont="1" applyBorder="1" applyAlignment="1" applyProtection="1">
      <alignment horizontal="left" vertical="center" shrinkToFit="1"/>
    </xf>
    <xf numFmtId="0" fontId="9" fillId="0" borderId="0" xfId="506" applyFont="1" applyAlignment="1">
      <alignment horizontal="left" vertical="center"/>
      <protection locked="0"/>
    </xf>
    <xf numFmtId="0" fontId="8" fillId="0" borderId="0" xfId="506" applyFont="1" applyAlignment="1">
      <alignment horizontal="left" vertical="center"/>
      <protection locked="0"/>
    </xf>
    <xf numFmtId="0" fontId="9" fillId="0" borderId="0" xfId="506" applyFont="1" applyBorder="1" applyAlignment="1">
      <alignment horizontal="left" vertical="center" wrapText="1"/>
      <protection locked="0"/>
    </xf>
    <xf numFmtId="0" fontId="8" fillId="11" borderId="1" xfId="506" applyFont="1" applyFill="1" applyBorder="1" applyAlignment="1">
      <alignment horizontal="center" vertical="center" wrapText="1"/>
      <protection locked="0"/>
    </xf>
    <xf numFmtId="0" fontId="8" fillId="11" borderId="1" xfId="506" applyFont="1" applyFill="1" applyBorder="1" applyAlignment="1">
      <alignment horizontal="center" vertical="center"/>
      <protection locked="0"/>
    </xf>
    <xf numFmtId="0" fontId="9" fillId="0" borderId="1" xfId="545" applyFont="1" applyBorder="1" applyAlignment="1" applyProtection="1">
      <alignment horizontal="left" vertical="center" wrapText="1"/>
      <protection locked="0"/>
    </xf>
    <xf numFmtId="0" fontId="9" fillId="0" borderId="1" xfId="506" applyFont="1" applyBorder="1" applyAlignment="1">
      <alignment horizontal="center" vertical="center" wrapText="1"/>
      <protection locked="0"/>
    </xf>
    <xf numFmtId="0" fontId="8" fillId="3" borderId="1" xfId="506" applyFont="1" applyFill="1" applyBorder="1" applyAlignment="1">
      <alignment horizontal="center" vertical="center" wrapText="1"/>
      <protection locked="0"/>
    </xf>
    <xf numFmtId="0" fontId="8" fillId="3" borderId="1" xfId="506" applyFont="1" applyFill="1" applyBorder="1" applyAlignment="1">
      <alignment horizontal="center" vertical="center"/>
      <protection locked="0"/>
    </xf>
    <xf numFmtId="0" fontId="5" fillId="2" borderId="1" xfId="545" applyFont="1" applyFill="1" applyBorder="1" applyAlignment="1" applyProtection="1">
      <alignment horizontal="center" vertical="center" wrapText="1"/>
      <protection locked="0"/>
    </xf>
    <xf numFmtId="0" fontId="24" fillId="2" borderId="1" xfId="545" applyFont="1" applyFill="1" applyBorder="1" applyAlignment="1" applyProtection="1">
      <alignment horizontal="center" vertical="center" wrapText="1"/>
      <protection locked="0"/>
    </xf>
    <xf numFmtId="0" fontId="24" fillId="0" borderId="0" xfId="552" applyFont="1" applyAlignment="1">
      <alignment horizontal="center" vertical="center"/>
    </xf>
    <xf numFmtId="0" fontId="4" fillId="0" borderId="0" xfId="552" applyFont="1" applyAlignment="1">
      <alignment horizontal="center" vertical="center"/>
    </xf>
    <xf numFmtId="0" fontId="58" fillId="0" borderId="0" xfId="552" applyFont="1" applyAlignment="1">
      <alignment horizontal="center" vertical="center"/>
    </xf>
    <xf numFmtId="0" fontId="7" fillId="0" borderId="0" xfId="506" applyFont="1" applyAlignment="1">
      <alignment horizontal="left" vertical="center"/>
      <protection locked="0"/>
    </xf>
    <xf numFmtId="0" fontId="5" fillId="0" borderId="0" xfId="506" applyFont="1" applyAlignment="1">
      <alignment horizontal="left" vertical="center"/>
      <protection locked="0"/>
    </xf>
    <xf numFmtId="0" fontId="24" fillId="0" borderId="0" xfId="506" applyFont="1" applyAlignment="1">
      <alignment horizontal="left" vertical="center"/>
      <protection locked="0"/>
    </xf>
    <xf numFmtId="0" fontId="2" fillId="0" borderId="4" xfId="506" applyFont="1" applyBorder="1" applyAlignment="1">
      <alignment horizontal="left" vertical="center" wrapText="1"/>
      <protection locked="0"/>
    </xf>
    <xf numFmtId="0" fontId="7" fillId="0" borderId="5" xfId="506" applyFont="1" applyBorder="1" applyAlignment="1">
      <alignment horizontal="left" vertical="center" wrapText="1"/>
      <protection locked="0"/>
    </xf>
    <xf numFmtId="0" fontId="7" fillId="0" borderId="6" xfId="506" applyFont="1" applyBorder="1" applyAlignment="1">
      <alignment horizontal="left" vertical="center" wrapText="1"/>
      <protection locked="0"/>
    </xf>
    <xf numFmtId="0" fontId="24" fillId="0" borderId="1" xfId="506" applyFont="1" applyBorder="1" applyAlignment="1">
      <alignment horizontal="center" vertical="center"/>
      <protection locked="0"/>
    </xf>
    <xf numFmtId="0" fontId="7" fillId="0" borderId="1" xfId="506" applyFont="1" applyBorder="1" applyAlignment="1">
      <alignment horizontal="left" vertical="center" wrapText="1"/>
      <protection locked="0"/>
    </xf>
    <xf numFmtId="0" fontId="5" fillId="8" borderId="4" xfId="506" applyFont="1" applyFill="1" applyBorder="1" applyAlignment="1">
      <alignment horizontal="center" vertical="center" wrapText="1"/>
      <protection locked="0"/>
    </xf>
    <xf numFmtId="0" fontId="5" fillId="8" borderId="6" xfId="506" applyFont="1" applyFill="1" applyBorder="1" applyAlignment="1">
      <alignment horizontal="center" vertical="center" wrapText="1"/>
      <protection locked="0"/>
    </xf>
    <xf numFmtId="0" fontId="5" fillId="8" borderId="4" xfId="506" applyFont="1" applyFill="1" applyBorder="1" applyAlignment="1">
      <alignment horizontal="center" vertical="center"/>
      <protection locked="0"/>
    </xf>
    <xf numFmtId="0" fontId="24" fillId="8" borderId="5" xfId="506" applyFont="1" applyFill="1" applyBorder="1" applyAlignment="1">
      <alignment horizontal="center" vertical="center"/>
      <protection locked="0"/>
    </xf>
    <xf numFmtId="0" fontId="24" fillId="8" borderId="1" xfId="506" applyFont="1" applyFill="1" applyBorder="1" applyAlignment="1">
      <alignment horizontal="center" vertical="center" wrapText="1"/>
      <protection locked="0"/>
    </xf>
    <xf numFmtId="0" fontId="5" fillId="2" borderId="4" xfId="506" applyFont="1" applyFill="1" applyBorder="1" applyAlignment="1">
      <alignment horizontal="center" vertical="center" wrapText="1"/>
      <protection locked="0"/>
    </xf>
    <xf numFmtId="0" fontId="5" fillId="2" borderId="6" xfId="506" applyFont="1" applyFill="1" applyBorder="1" applyAlignment="1">
      <alignment horizontal="center" vertical="center" wrapText="1"/>
      <protection locked="0"/>
    </xf>
    <xf numFmtId="0" fontId="7" fillId="2" borderId="1" xfId="506" applyFont="1" applyFill="1" applyBorder="1" applyAlignment="1">
      <alignment horizontal="center" vertical="center" wrapText="1"/>
      <protection locked="0"/>
    </xf>
    <xf numFmtId="0" fontId="7" fillId="8" borderId="13" xfId="506" applyFont="1" applyFill="1" applyBorder="1" applyAlignment="1">
      <alignment horizontal="center" vertical="center" wrapText="1"/>
      <protection locked="0"/>
    </xf>
    <xf numFmtId="0" fontId="7" fillId="8" borderId="6" xfId="506" applyFont="1" applyFill="1" applyBorder="1" applyAlignment="1">
      <alignment horizontal="center" vertical="center" wrapText="1"/>
      <protection locked="0"/>
    </xf>
    <xf numFmtId="0" fontId="7" fillId="8" borderId="1" xfId="506" applyFont="1" applyFill="1" applyBorder="1" applyAlignment="1">
      <alignment horizontal="center" vertical="center" wrapText="1"/>
      <protection locked="0"/>
    </xf>
    <xf numFmtId="0" fontId="5" fillId="0" borderId="4" xfId="506" applyFont="1" applyBorder="1" applyAlignment="1">
      <alignment horizontal="center" vertical="center" wrapText="1"/>
      <protection locked="0"/>
    </xf>
    <xf numFmtId="0" fontId="5" fillId="0" borderId="6" xfId="506" applyFont="1" applyBorder="1" applyAlignment="1">
      <alignment horizontal="center" vertical="center" wrapText="1"/>
      <protection locked="0"/>
    </xf>
    <xf numFmtId="0" fontId="7" fillId="0" borderId="3" xfId="506" applyFont="1" applyBorder="1" applyAlignment="1">
      <alignment horizontal="center" vertical="center" wrapText="1"/>
      <protection locked="0"/>
    </xf>
    <xf numFmtId="0" fontId="7" fillId="0" borderId="1" xfId="506" applyFont="1" applyBorder="1" applyAlignment="1">
      <alignment horizontal="center" vertical="center" wrapText="1"/>
      <protection locked="0"/>
    </xf>
    <xf numFmtId="0" fontId="61" fillId="2" borderId="5" xfId="511" applyFont="1" applyFill="1" applyBorder="1" applyAlignment="1">
      <alignment horizontal="center" vertical="center" wrapText="1"/>
    </xf>
    <xf numFmtId="0" fontId="61" fillId="2" borderId="6" xfId="511" applyFont="1" applyFill="1" applyBorder="1" applyAlignment="1">
      <alignment horizontal="center" vertical="center" wrapText="1"/>
    </xf>
    <xf numFmtId="0" fontId="7" fillId="2" borderId="4" xfId="506" applyFont="1" applyFill="1" applyBorder="1" applyAlignment="1">
      <alignment horizontal="center" vertical="center" wrapText="1"/>
      <protection locked="0"/>
    </xf>
    <xf numFmtId="0" fontId="7" fillId="2" borderId="5" xfId="506" applyFont="1" applyFill="1" applyBorder="1" applyAlignment="1">
      <alignment horizontal="center" vertical="center" wrapText="1"/>
      <protection locked="0"/>
    </xf>
    <xf numFmtId="0" fontId="7" fillId="2" borderId="14" xfId="506" applyFont="1" applyFill="1" applyBorder="1" applyAlignment="1">
      <alignment horizontal="center" vertical="center" wrapText="1"/>
      <protection locked="0"/>
    </xf>
    <xf numFmtId="0" fontId="7" fillId="2" borderId="7" xfId="506" applyFont="1" applyFill="1" applyBorder="1" applyAlignment="1">
      <alignment horizontal="center" vertical="center" wrapText="1"/>
      <protection locked="0"/>
    </xf>
    <xf numFmtId="0" fontId="7" fillId="8" borderId="4" xfId="506" applyFont="1" applyFill="1" applyBorder="1" applyAlignment="1">
      <alignment horizontal="center" vertical="center" wrapText="1"/>
      <protection locked="0"/>
    </xf>
    <xf numFmtId="0" fontId="7" fillId="8" borderId="5" xfId="506" applyFont="1" applyFill="1" applyBorder="1" applyAlignment="1">
      <alignment horizontal="center" vertical="center" wrapText="1"/>
      <protection locked="0"/>
    </xf>
    <xf numFmtId="0" fontId="7" fillId="0" borderId="4" xfId="506" applyFont="1" applyBorder="1" applyAlignment="1">
      <alignment horizontal="center" vertical="center" wrapText="1"/>
      <protection locked="0"/>
    </xf>
    <xf numFmtId="0" fontId="7" fillId="0" borderId="5" xfId="506" applyFont="1" applyBorder="1" applyAlignment="1">
      <alignment horizontal="center" vertical="center" wrapText="1"/>
      <protection locked="0"/>
    </xf>
    <xf numFmtId="0" fontId="7" fillId="0" borderId="6" xfId="506" applyFont="1" applyBorder="1" applyAlignment="1">
      <alignment horizontal="center" vertical="center" wrapText="1"/>
      <protection locked="0"/>
    </xf>
    <xf numFmtId="0" fontId="7" fillId="8" borderId="1" xfId="506" applyFont="1" applyFill="1" applyBorder="1" applyAlignment="1">
      <alignment horizontal="center" vertical="center"/>
      <protection locked="0"/>
    </xf>
    <xf numFmtId="0" fontId="7" fillId="7" borderId="1" xfId="506" applyFont="1" applyFill="1" applyBorder="1" applyAlignment="1">
      <alignment horizontal="center" vertical="center"/>
      <protection locked="0"/>
    </xf>
    <xf numFmtId="0" fontId="66" fillId="8" borderId="4" xfId="517" applyFont="1" applyFill="1" applyBorder="1" applyAlignment="1">
      <alignment horizontal="center" vertical="center" wrapText="1"/>
      <protection locked="0"/>
    </xf>
    <xf numFmtId="0" fontId="66" fillId="8" borderId="6" xfId="517" applyFont="1" applyFill="1" applyBorder="1" applyAlignment="1">
      <alignment horizontal="center" vertical="center" wrapText="1"/>
      <protection locked="0"/>
    </xf>
    <xf numFmtId="0" fontId="66" fillId="8" borderId="4" xfId="517" applyFont="1" applyFill="1" applyBorder="1" applyAlignment="1">
      <alignment horizontal="center" vertical="center"/>
      <protection locked="0"/>
    </xf>
    <xf numFmtId="0" fontId="66" fillId="8" borderId="5" xfId="517" applyFont="1" applyFill="1" applyBorder="1" applyAlignment="1">
      <alignment horizontal="center" vertical="center"/>
      <protection locked="0"/>
    </xf>
    <xf numFmtId="0" fontId="66" fillId="8" borderId="1" xfId="517" applyFont="1" applyFill="1" applyBorder="1" applyAlignment="1">
      <alignment horizontal="center" vertical="center" wrapText="1"/>
      <protection locked="0"/>
    </xf>
    <xf numFmtId="0" fontId="68" fillId="8" borderId="4" xfId="517" applyFont="1" applyFill="1" applyBorder="1" applyAlignment="1">
      <alignment horizontal="center" vertical="center" wrapText="1"/>
      <protection locked="0"/>
    </xf>
    <xf numFmtId="0" fontId="68" fillId="8" borderId="6" xfId="517" applyFont="1" applyFill="1" applyBorder="1" applyAlignment="1">
      <alignment horizontal="center" vertical="center" wrapText="1"/>
      <protection locked="0"/>
    </xf>
    <xf numFmtId="0" fontId="68" fillId="8" borderId="1" xfId="506" applyFont="1" applyFill="1" applyBorder="1" applyAlignment="1">
      <alignment horizontal="center" vertical="center" wrapText="1"/>
      <protection locked="0"/>
    </xf>
    <xf numFmtId="0" fontId="68" fillId="8" borderId="1" xfId="517" applyFont="1" applyFill="1" applyBorder="1" applyAlignment="1">
      <alignment horizontal="center" vertical="center"/>
      <protection locked="0"/>
    </xf>
    <xf numFmtId="0" fontId="68" fillId="0" borderId="4" xfId="517" applyFont="1" applyBorder="1" applyAlignment="1">
      <alignment horizontal="center" vertical="center" wrapText="1"/>
      <protection locked="0"/>
    </xf>
    <xf numFmtId="0" fontId="68" fillId="0" borderId="6" xfId="517" applyFont="1" applyBorder="1" applyAlignment="1">
      <alignment horizontal="center" vertical="center" wrapText="1"/>
      <protection locked="0"/>
    </xf>
    <xf numFmtId="0" fontId="68" fillId="0" borderId="1" xfId="517" applyFont="1" applyBorder="1" applyAlignment="1">
      <alignment horizontal="center" vertical="center" wrapText="1"/>
      <protection locked="0"/>
    </xf>
    <xf numFmtId="0" fontId="68" fillId="0" borderId="1" xfId="517" applyFont="1" applyBorder="1" applyAlignment="1">
      <alignment horizontal="center" vertical="center"/>
      <protection locked="0"/>
    </xf>
    <xf numFmtId="0" fontId="68" fillId="2" borderId="4" xfId="517" applyFont="1" applyFill="1" applyBorder="1" applyAlignment="1">
      <alignment horizontal="center" vertical="center" wrapText="1"/>
      <protection locked="0"/>
    </xf>
    <xf numFmtId="0" fontId="68" fillId="2" borderId="6" xfId="517" applyFont="1" applyFill="1" applyBorder="1" applyAlignment="1">
      <alignment horizontal="center" vertical="center" wrapText="1"/>
      <protection locked="0"/>
    </xf>
    <xf numFmtId="0" fontId="68" fillId="2" borderId="1" xfId="517" applyFont="1" applyFill="1" applyBorder="1" applyAlignment="1">
      <alignment horizontal="center" vertical="center" wrapText="1"/>
      <protection locked="0"/>
    </xf>
    <xf numFmtId="0" fontId="68" fillId="2" borderId="1" xfId="517" applyFont="1" applyFill="1" applyBorder="1" applyAlignment="1">
      <alignment horizontal="center" vertical="center"/>
      <protection locked="0"/>
    </xf>
    <xf numFmtId="0" fontId="24" fillId="0" borderId="1" xfId="506" applyFont="1" applyBorder="1" applyAlignment="1">
      <alignment horizontal="left" vertical="center" wrapText="1"/>
      <protection locked="0"/>
    </xf>
    <xf numFmtId="0" fontId="3" fillId="0" borderId="0" xfId="558" applyFont="1" applyBorder="1" applyAlignment="1">
      <alignment horizontal="center" vertical="center"/>
    </xf>
    <xf numFmtId="0" fontId="4" fillId="0" borderId="0" xfId="558" applyFont="1" applyBorder="1" applyAlignment="1">
      <alignment horizontal="center" vertical="center"/>
    </xf>
    <xf numFmtId="0" fontId="5" fillId="2" borderId="4" xfId="527" applyNumberFormat="1" applyFont="1" applyFill="1" applyBorder="1" applyAlignment="1" applyProtection="1">
      <alignment horizontal="center" vertical="center" wrapText="1"/>
      <protection locked="0"/>
    </xf>
    <xf numFmtId="0" fontId="5" fillId="2" borderId="5" xfId="527" applyNumberFormat="1" applyFont="1" applyFill="1" applyBorder="1" applyAlignment="1" applyProtection="1">
      <alignment horizontal="center" vertical="center" wrapText="1"/>
      <protection locked="0"/>
    </xf>
    <xf numFmtId="0" fontId="5" fillId="2" borderId="6" xfId="527" applyNumberFormat="1" applyFont="1" applyFill="1" applyBorder="1" applyAlignment="1" applyProtection="1">
      <alignment horizontal="center" vertical="center" wrapText="1"/>
      <protection locked="0"/>
    </xf>
    <xf numFmtId="0" fontId="50" fillId="2" borderId="1" xfId="520" applyFont="1" applyFill="1" applyBorder="1" applyAlignment="1">
      <alignment horizontal="center" vertical="center" wrapText="1"/>
      <protection locked="0"/>
    </xf>
    <xf numFmtId="0" fontId="5" fillId="2" borderId="1" xfId="520" applyFont="1" applyFill="1" applyBorder="1" applyAlignment="1">
      <alignment horizontal="center" vertical="center" wrapText="1"/>
      <protection locked="0"/>
    </xf>
    <xf numFmtId="0" fontId="50" fillId="2" borderId="1" xfId="0" applyFont="1" applyFill="1" applyBorder="1" applyAlignment="1" applyProtection="1">
      <alignment horizontal="center" vertical="center"/>
    </xf>
    <xf numFmtId="0" fontId="50" fillId="2" borderId="1" xfId="0" applyFont="1" applyFill="1" applyBorder="1" applyAlignment="1" applyProtection="1">
      <alignment vertical="center"/>
    </xf>
    <xf numFmtId="0" fontId="51" fillId="2" borderId="1" xfId="0" applyFont="1" applyFill="1" applyBorder="1" applyAlignment="1" applyProtection="1">
      <alignment vertical="center"/>
    </xf>
    <xf numFmtId="0" fontId="24" fillId="0" borderId="0" xfId="554" applyFont="1" applyAlignment="1">
      <alignment horizontal="center" vertical="center"/>
    </xf>
    <xf numFmtId="43" fontId="33" fillId="0" borderId="0" xfId="558" applyNumberFormat="1" applyFont="1" applyFill="1" applyBorder="1" applyAlignment="1">
      <alignment horizontal="center" vertical="center"/>
    </xf>
    <xf numFmtId="0" fontId="41" fillId="0" borderId="9" xfId="503" applyFont="1" applyBorder="1" applyAlignment="1">
      <alignment horizontal="center" vertical="center" wrapText="1"/>
    </xf>
    <xf numFmtId="0" fontId="42" fillId="0" borderId="9" xfId="503" applyFont="1" applyBorder="1" applyAlignment="1">
      <alignment horizontal="center" vertical="center" wrapText="1"/>
    </xf>
    <xf numFmtId="0" fontId="43" fillId="0" borderId="0" xfId="503" applyFont="1" applyAlignment="1">
      <alignment horizontal="left" vertical="center" wrapText="1"/>
    </xf>
    <xf numFmtId="0" fontId="40" fillId="0" borderId="9" xfId="503" applyFont="1" applyBorder="1" applyAlignment="1">
      <alignment horizontal="left" vertical="center" wrapText="1"/>
    </xf>
    <xf numFmtId="0" fontId="40" fillId="0" borderId="10" xfId="503" applyFont="1" applyBorder="1" applyAlignment="1">
      <alignment horizontal="left" vertical="center" wrapText="1"/>
    </xf>
    <xf numFmtId="0" fontId="47" fillId="0" borderId="0" xfId="503" applyFont="1" applyAlignment="1">
      <alignment horizontal="left" vertical="center" wrapText="1"/>
    </xf>
    <xf numFmtId="0" fontId="33" fillId="0" borderId="9" xfId="503" applyFont="1" applyBorder="1" applyAlignment="1">
      <alignment horizontal="center" vertical="center" wrapText="1"/>
    </xf>
    <xf numFmtId="0" fontId="2" fillId="0" borderId="9" xfId="503" applyBorder="1" applyAlignment="1"/>
    <xf numFmtId="0" fontId="40" fillId="0" borderId="0" xfId="503" applyFont="1" applyAlignment="1">
      <alignment horizontal="center" vertical="center" wrapText="1"/>
    </xf>
    <xf numFmtId="43" fontId="33" fillId="0" borderId="0" xfId="559" applyNumberFormat="1" applyFont="1" applyAlignment="1">
      <alignment vertical="center"/>
    </xf>
    <xf numFmtId="0" fontId="40" fillId="0" borderId="8" xfId="503" applyFont="1" applyBorder="1" applyAlignment="1">
      <alignment horizontal="left" vertical="center" wrapText="1"/>
    </xf>
    <xf numFmtId="0" fontId="2" fillId="0" borderId="10" xfId="503" applyBorder="1" applyAlignment="1"/>
    <xf numFmtId="0" fontId="40" fillId="0" borderId="10" xfId="503" applyFont="1" applyBorder="1" applyAlignment="1">
      <alignment horizontal="center" vertical="center" wrapText="1"/>
    </xf>
    <xf numFmtId="0" fontId="33" fillId="0" borderId="9" xfId="503" applyFont="1" applyBorder="1" applyAlignment="1">
      <alignment horizontal="left" vertical="center" wrapText="1"/>
    </xf>
    <xf numFmtId="0" fontId="33" fillId="0" borderId="10" xfId="503" applyFont="1" applyBorder="1" applyAlignment="1">
      <alignment horizontal="left" vertical="center" wrapText="1"/>
    </xf>
    <xf numFmtId="0" fontId="33" fillId="0" borderId="8" xfId="503" applyFont="1" applyBorder="1" applyAlignment="1">
      <alignment horizontal="left" vertical="center" wrapText="1"/>
    </xf>
    <xf numFmtId="43" fontId="3" fillId="0" borderId="0" xfId="558" applyNumberFormat="1" applyFont="1" applyBorder="1" applyAlignment="1">
      <alignment horizontal="center" vertical="center"/>
    </xf>
    <xf numFmtId="43" fontId="33" fillId="0" borderId="0" xfId="558" applyNumberFormat="1" applyFont="1" applyBorder="1" applyAlignment="1">
      <alignment horizontal="center" vertical="center"/>
    </xf>
    <xf numFmtId="43" fontId="36" fillId="0" borderId="9" xfId="503" applyNumberFormat="1" applyFont="1" applyBorder="1" applyAlignment="1">
      <alignment horizontal="center" vertical="center" wrapText="1"/>
    </xf>
    <xf numFmtId="43" fontId="36" fillId="6" borderId="9" xfId="503" applyNumberFormat="1" applyFont="1" applyFill="1" applyBorder="1" applyAlignment="1">
      <alignment horizontal="center" vertical="center" wrapText="1"/>
    </xf>
    <xf numFmtId="43" fontId="36" fillId="0" borderId="8" xfId="503" applyNumberFormat="1" applyFont="1" applyBorder="1" applyAlignment="1">
      <alignment horizontal="justify" vertical="center" wrapText="1"/>
    </xf>
    <xf numFmtId="43" fontId="36" fillId="6" borderId="8" xfId="503" applyNumberFormat="1" applyFont="1" applyFill="1" applyBorder="1" applyAlignment="1">
      <alignment horizontal="justify" vertical="center" wrapText="1"/>
    </xf>
    <xf numFmtId="43" fontId="36" fillId="6" borderId="8" xfId="503" applyNumberFormat="1" applyFont="1" applyFill="1" applyBorder="1" applyAlignment="1">
      <alignment horizontal="right" vertical="center" wrapText="1"/>
    </xf>
    <xf numFmtId="0" fontId="10" fillId="0" borderId="0" xfId="552" applyFont="1" applyAlignment="1">
      <alignment horizontal="center" vertical="center" wrapText="1"/>
    </xf>
    <xf numFmtId="0" fontId="11" fillId="0" borderId="0" xfId="552" applyFont="1" applyAlignment="1">
      <alignment horizontal="center" vertical="center" wrapText="1"/>
    </xf>
    <xf numFmtId="0" fontId="8" fillId="2" borderId="1" xfId="0" applyFont="1" applyFill="1" applyBorder="1" applyAlignment="1">
      <alignment horizontal="center" vertical="center" wrapText="1"/>
      <protection locked="0"/>
    </xf>
    <xf numFmtId="0" fontId="8" fillId="3" borderId="1" xfId="0" applyFont="1" applyFill="1" applyBorder="1" applyAlignment="1">
      <alignment horizontal="center" vertical="center" wrapText="1"/>
      <protection locked="0"/>
    </xf>
    <xf numFmtId="0" fontId="8" fillId="3" borderId="4" xfId="0" applyFont="1" applyFill="1" applyBorder="1" applyAlignment="1" applyProtection="1">
      <alignment horizontal="center" vertical="center" wrapText="1"/>
    </xf>
    <xf numFmtId="0" fontId="8" fillId="3" borderId="5" xfId="0" applyFont="1" applyFill="1" applyBorder="1" applyAlignment="1" applyProtection="1">
      <alignment horizontal="center" vertical="center" wrapText="1"/>
    </xf>
    <xf numFmtId="0" fontId="8" fillId="3" borderId="6" xfId="0" applyFont="1" applyFill="1" applyBorder="1" applyAlignment="1" applyProtection="1">
      <alignment horizontal="center" vertical="center" wrapText="1"/>
    </xf>
    <xf numFmtId="0" fontId="8" fillId="3" borderId="2" xfId="0" applyFont="1" applyFill="1" applyBorder="1" applyAlignment="1">
      <alignment horizontal="center" vertical="center" wrapText="1"/>
      <protection locked="0"/>
    </xf>
    <xf numFmtId="0" fontId="9" fillId="3" borderId="3" xfId="0" applyFont="1" applyFill="1" applyBorder="1" applyAlignment="1">
      <alignment horizontal="center" vertical="center" wrapText="1"/>
      <protection locked="0"/>
    </xf>
    <xf numFmtId="0" fontId="8" fillId="2" borderId="2" xfId="0" applyFont="1" applyFill="1" applyBorder="1" applyAlignment="1">
      <alignment horizontal="center" vertical="center" wrapText="1"/>
      <protection locked="0"/>
    </xf>
    <xf numFmtId="0" fontId="8" fillId="2" borderId="3" xfId="0" applyFont="1" applyFill="1" applyBorder="1" applyAlignment="1">
      <alignment horizontal="center" vertical="center" wrapText="1"/>
      <protection locked="0"/>
    </xf>
    <xf numFmtId="0" fontId="8" fillId="3" borderId="3" xfId="0" applyFont="1" applyFill="1" applyBorder="1" applyAlignment="1">
      <alignment horizontal="center" vertical="center" wrapText="1"/>
      <protection locked="0"/>
    </xf>
    <xf numFmtId="0" fontId="10" fillId="0" borderId="0" xfId="0" applyFont="1" applyAlignment="1">
      <alignment horizontal="center" vertical="center"/>
      <protection locked="0"/>
    </xf>
    <xf numFmtId="0" fontId="11" fillId="0" borderId="0" xfId="0" applyFont="1" applyAlignment="1">
      <alignment horizontal="center" vertical="center"/>
      <protection locked="0"/>
    </xf>
    <xf numFmtId="0" fontId="8" fillId="3" borderId="1" xfId="340" applyFont="1" applyFill="1" applyBorder="1" applyAlignment="1">
      <alignment horizontal="center" vertical="center"/>
    </xf>
    <xf numFmtId="0" fontId="10" fillId="0" borderId="0" xfId="558" applyFont="1" applyBorder="1" applyAlignment="1">
      <alignment horizontal="center" vertical="center"/>
    </xf>
    <xf numFmtId="0" fontId="11" fillId="0" borderId="0" xfId="558" applyFont="1" applyBorder="1" applyAlignment="1">
      <alignment horizontal="center" vertical="center"/>
    </xf>
    <xf numFmtId="0" fontId="3" fillId="0" borderId="0" xfId="551" applyFont="1" applyAlignment="1">
      <alignment horizontal="center" vertical="center" wrapText="1"/>
    </xf>
    <xf numFmtId="0" fontId="4" fillId="0" borderId="0" xfId="551" applyFont="1" applyAlignment="1">
      <alignment horizontal="center" vertical="center" wrapText="1"/>
    </xf>
    <xf numFmtId="176" fontId="3" fillId="0" borderId="0" xfId="553" applyFont="1" applyAlignment="1">
      <alignment horizontal="center" vertical="center" wrapText="1"/>
    </xf>
    <xf numFmtId="176" fontId="4" fillId="0" borderId="0" xfId="553" applyFont="1" applyAlignment="1">
      <alignment horizontal="center" vertical="center" wrapText="1"/>
    </xf>
    <xf numFmtId="176" fontId="5" fillId="3" borderId="1" xfId="518" applyFont="1" applyFill="1" applyBorder="1" applyAlignment="1">
      <alignment horizontal="center" vertical="center"/>
      <protection locked="0"/>
    </xf>
    <xf numFmtId="0" fontId="24" fillId="3" borderId="4" xfId="0" applyFont="1" applyFill="1" applyBorder="1" applyAlignment="1" applyProtection="1">
      <alignment horizontal="center" vertical="center"/>
      <protection locked="0"/>
    </xf>
    <xf numFmtId="0" fontId="24" fillId="3" borderId="5" xfId="0" applyFont="1" applyFill="1" applyBorder="1" applyAlignment="1" applyProtection="1">
      <alignment horizontal="center" vertical="center"/>
      <protection locked="0"/>
    </xf>
    <xf numFmtId="0" fontId="24" fillId="3" borderId="1" xfId="0" applyFont="1" applyFill="1" applyBorder="1" applyAlignment="1" applyProtection="1">
      <alignment horizontal="center" vertical="center"/>
      <protection locked="0"/>
    </xf>
    <xf numFmtId="176" fontId="5" fillId="5" borderId="2" xfId="518" applyFont="1" applyFill="1" applyBorder="1" applyAlignment="1" applyProtection="1">
      <alignment horizontal="center" vertical="center" wrapText="1"/>
    </xf>
    <xf numFmtId="176" fontId="5" fillId="5" borderId="3" xfId="518" applyFont="1" applyFill="1" applyBorder="1" applyAlignment="1" applyProtection="1">
      <alignment horizontal="center" vertical="center" wrapText="1"/>
    </xf>
    <xf numFmtId="0" fontId="5" fillId="3" borderId="1" xfId="509" applyFont="1" applyFill="1" applyBorder="1" applyAlignment="1">
      <alignment horizontal="center" vertical="center"/>
      <protection locked="0"/>
    </xf>
    <xf numFmtId="0" fontId="24" fillId="3" borderId="1" xfId="509" applyFont="1" applyFill="1" applyBorder="1" applyAlignment="1">
      <alignment horizontal="center" vertical="center"/>
      <protection locked="0"/>
    </xf>
    <xf numFmtId="0" fontId="5" fillId="3" borderId="2" xfId="509" applyFont="1" applyFill="1" applyBorder="1" applyAlignment="1">
      <alignment horizontal="center" vertical="center"/>
      <protection locked="0"/>
    </xf>
    <xf numFmtId="0" fontId="5" fillId="3" borderId="3" xfId="509" applyFont="1" applyFill="1" applyBorder="1" applyAlignment="1">
      <alignment horizontal="center" vertical="center"/>
      <protection locked="0"/>
    </xf>
    <xf numFmtId="176" fontId="2" fillId="2" borderId="1" xfId="518" applyFont="1" applyFill="1" applyBorder="1" applyAlignment="1">
      <alignment horizontal="center" vertical="center"/>
      <protection locked="0"/>
    </xf>
    <xf numFmtId="176" fontId="5" fillId="3" borderId="2" xfId="518" applyFont="1" applyFill="1" applyBorder="1" applyAlignment="1">
      <alignment horizontal="center" vertical="center"/>
      <protection locked="0"/>
    </xf>
    <xf numFmtId="176" fontId="5" fillId="3" borderId="3" xfId="518" applyFont="1" applyFill="1" applyBorder="1" applyAlignment="1">
      <alignment horizontal="center" vertical="center"/>
      <protection locked="0"/>
    </xf>
    <xf numFmtId="0" fontId="5" fillId="3" borderId="1" xfId="509" applyFont="1" applyFill="1" applyBorder="1" applyAlignment="1">
      <alignment horizontal="center" vertical="center" wrapText="1"/>
      <protection locked="0"/>
    </xf>
    <xf numFmtId="0" fontId="24" fillId="3" borderId="1" xfId="509" applyFont="1" applyFill="1" applyBorder="1" applyAlignment="1">
      <alignment horizontal="center" vertical="center" wrapText="1"/>
      <protection locked="0"/>
    </xf>
    <xf numFmtId="176" fontId="5" fillId="5" borderId="1" xfId="518" applyFont="1" applyFill="1" applyBorder="1" applyAlignment="1" applyProtection="1">
      <alignment horizontal="center" vertical="center" wrapText="1"/>
    </xf>
    <xf numFmtId="49" fontId="2" fillId="0" borderId="1" xfId="518" applyNumberFormat="1" applyFont="1" applyBorder="1" applyAlignment="1">
      <alignment horizontal="center" vertical="center"/>
      <protection locked="0"/>
    </xf>
    <xf numFmtId="0" fontId="2" fillId="0" borderId="1" xfId="523" applyNumberFormat="1" applyFont="1" applyBorder="1" applyAlignment="1">
      <alignment horizontal="center" vertical="center"/>
      <protection locked="0"/>
    </xf>
    <xf numFmtId="176" fontId="21" fillId="0" borderId="1" xfId="518" applyBorder="1" applyAlignment="1">
      <alignment horizontal="center"/>
      <protection locked="0"/>
    </xf>
    <xf numFmtId="0" fontId="10" fillId="4" borderId="0" xfId="551" applyFont="1" applyFill="1" applyAlignment="1">
      <alignment horizontal="center" vertical="center" wrapText="1"/>
    </xf>
    <xf numFmtId="0" fontId="11" fillId="4" borderId="0" xfId="551" applyFont="1" applyFill="1" applyAlignment="1">
      <alignment horizontal="center" vertical="center" wrapText="1"/>
    </xf>
    <xf numFmtId="0" fontId="8" fillId="4" borderId="0" xfId="556" applyFont="1" applyFill="1" applyAlignment="1">
      <alignment horizontal="left" vertical="center"/>
    </xf>
    <xf numFmtId="0" fontId="9" fillId="4" borderId="0" xfId="522" applyFont="1" applyFill="1" applyAlignment="1">
      <alignment horizontal="left" vertical="center" wrapText="1"/>
      <protection locked="0"/>
    </xf>
    <xf numFmtId="0" fontId="19" fillId="4" borderId="0" xfId="522" applyFont="1" applyFill="1" applyAlignment="1">
      <alignment horizontal="left" vertical="center" wrapText="1"/>
      <protection locked="0"/>
    </xf>
    <xf numFmtId="0" fontId="12" fillId="4" borderId="0" xfId="522" applyFont="1" applyFill="1" applyAlignment="1">
      <alignment horizontal="left" vertical="center" wrapText="1"/>
      <protection locked="0"/>
    </xf>
    <xf numFmtId="0" fontId="19" fillId="4" borderId="0" xfId="522" applyFont="1" applyFill="1" applyAlignment="1">
      <alignment vertical="center" wrapText="1"/>
      <protection locked="0"/>
    </xf>
    <xf numFmtId="0" fontId="12" fillId="0" borderId="0" xfId="522" applyFont="1" applyAlignment="1">
      <alignment horizontal="left" vertical="center" wrapText="1"/>
      <protection locked="0"/>
    </xf>
    <xf numFmtId="176" fontId="9" fillId="4" borderId="0" xfId="518" applyFont="1" applyFill="1" applyAlignment="1">
      <alignment horizontal="left" vertical="center" wrapText="1"/>
      <protection locked="0"/>
    </xf>
    <xf numFmtId="0" fontId="19" fillId="4" borderId="0" xfId="522" applyFont="1" applyFill="1" applyAlignment="1">
      <alignment vertical="top" wrapText="1"/>
      <protection locked="0"/>
    </xf>
    <xf numFmtId="0" fontId="12" fillId="4" borderId="0" xfId="556" applyFont="1" applyFill="1" applyAlignment="1">
      <alignment horizontal="left" vertical="center" wrapText="1"/>
    </xf>
    <xf numFmtId="0" fontId="19" fillId="4" borderId="0" xfId="517" applyFont="1" applyFill="1" applyAlignment="1">
      <alignment horizontal="left" vertical="center" wrapText="1"/>
      <protection locked="0"/>
    </xf>
    <xf numFmtId="0" fontId="10" fillId="0" borderId="0" xfId="520" applyFont="1" applyAlignment="1">
      <alignment horizontal="center" vertical="center"/>
      <protection locked="0"/>
    </xf>
    <xf numFmtId="0" fontId="11" fillId="0" borderId="0" xfId="520" applyFont="1" applyAlignment="1">
      <alignment horizontal="center" vertical="center"/>
      <protection locked="0"/>
    </xf>
    <xf numFmtId="0" fontId="8" fillId="3" borderId="2" xfId="522" applyFont="1" applyFill="1" applyBorder="1" applyAlignment="1">
      <alignment horizontal="center" vertical="center" wrapText="1"/>
      <protection locked="0"/>
    </xf>
    <xf numFmtId="0" fontId="8" fillId="3" borderId="3" xfId="522" applyFont="1" applyFill="1" applyBorder="1" applyAlignment="1">
      <alignment horizontal="center" vertical="center" wrapText="1"/>
      <protection locked="0"/>
    </xf>
    <xf numFmtId="0" fontId="8" fillId="3" borderId="1" xfId="523" applyNumberFormat="1" applyFont="1" applyFill="1" applyBorder="1" applyAlignment="1">
      <alignment horizontal="center" vertical="center" wrapText="1"/>
      <protection locked="0"/>
    </xf>
    <xf numFmtId="0" fontId="3" fillId="0" borderId="0" xfId="520" applyFont="1" applyAlignment="1">
      <alignment horizontal="center" vertical="center"/>
      <protection locked="0"/>
    </xf>
    <xf numFmtId="0" fontId="4" fillId="0" borderId="0" xfId="520" applyFont="1" applyAlignment="1">
      <alignment horizontal="center" vertical="center"/>
      <protection locked="0"/>
    </xf>
    <xf numFmtId="0" fontId="7" fillId="12" borderId="0" xfId="0" applyFont="1" applyFill="1" applyBorder="1" applyAlignment="1">
      <alignment horizontal="justify" vertical="center" wrapText="1"/>
      <protection locked="0"/>
    </xf>
    <xf numFmtId="0" fontId="4" fillId="0" borderId="0" xfId="0" applyFont="1" applyAlignment="1">
      <alignment horizontal="center" vertical="center"/>
      <protection locked="0"/>
    </xf>
    <xf numFmtId="0" fontId="33" fillId="0" borderId="0" xfId="0" applyFont="1" applyAlignment="1">
      <alignment horizontal="left" vertical="center" wrapText="1"/>
      <protection locked="0"/>
    </xf>
    <xf numFmtId="0" fontId="32" fillId="0" borderId="0" xfId="0" applyFont="1" applyAlignment="1">
      <alignment horizontal="left" vertical="center" wrapText="1"/>
      <protection locked="0"/>
    </xf>
    <xf numFmtId="0" fontId="177" fillId="0" borderId="16" xfId="3" quotePrefix="1" applyNumberFormat="1" applyFont="1" applyBorder="1" applyAlignment="1">
      <alignment vertical="center"/>
      <protection locked="0"/>
    </xf>
    <xf numFmtId="0" fontId="177" fillId="0" borderId="16" xfId="3" applyNumberFormat="1" applyFont="1" applyBorder="1" applyAlignment="1">
      <alignment vertical="center"/>
      <protection locked="0"/>
    </xf>
    <xf numFmtId="0" fontId="2" fillId="0" borderId="16" xfId="0" applyFont="1" applyBorder="1" applyAlignment="1">
      <alignment vertical="center"/>
      <protection locked="0"/>
    </xf>
    <xf numFmtId="176" fontId="25" fillId="0" borderId="0" xfId="672" applyFont="1" applyFill="1" applyAlignment="1">
      <alignment horizontal="left" vertical="center"/>
    </xf>
    <xf numFmtId="0" fontId="5" fillId="62" borderId="1" xfId="545" applyFont="1" applyFill="1" applyBorder="1" applyAlignment="1" applyProtection="1">
      <alignment horizontal="center" vertical="center" wrapText="1"/>
      <protection locked="0"/>
    </xf>
    <xf numFmtId="0" fontId="10" fillId="0" borderId="0" xfId="552" applyFont="1" applyAlignment="1">
      <alignment horizontal="center" vertical="center"/>
    </xf>
    <xf numFmtId="0" fontId="11" fillId="0" borderId="0" xfId="552" applyFont="1" applyAlignment="1">
      <alignment horizontal="center" vertical="center"/>
    </xf>
    <xf numFmtId="0" fontId="7" fillId="0" borderId="1" xfId="0" applyFont="1" applyBorder="1" applyAlignment="1" applyProtection="1">
      <alignment horizontal="center" vertical="center" wrapText="1"/>
    </xf>
    <xf numFmtId="176" fontId="25" fillId="0" borderId="0" xfId="557" applyFont="1" applyAlignment="1">
      <alignment horizontal="left" vertical="center"/>
    </xf>
    <xf numFmtId="176" fontId="7" fillId="0" borderId="0" xfId="518" applyFont="1" applyAlignment="1">
      <alignment vertical="center"/>
      <protection locked="0"/>
    </xf>
    <xf numFmtId="0" fontId="2" fillId="0" borderId="1" xfId="0" applyFont="1" applyBorder="1" applyAlignment="1">
      <alignment horizontal="center" vertical="center"/>
      <protection locked="0"/>
    </xf>
    <xf numFmtId="176" fontId="6" fillId="0" borderId="0" xfId="518" applyFont="1" applyAlignment="1">
      <alignment vertical="center"/>
      <protection locked="0"/>
    </xf>
    <xf numFmtId="176" fontId="24" fillId="0" borderId="0" xfId="518" applyFont="1" applyAlignment="1">
      <alignment vertical="center"/>
      <protection locked="0"/>
    </xf>
    <xf numFmtId="43" fontId="7" fillId="0" borderId="1" xfId="644" applyFont="1" applyBorder="1" applyAlignment="1" applyProtection="1">
      <alignment horizontal="center" vertical="center"/>
      <protection locked="0"/>
    </xf>
    <xf numFmtId="10" fontId="7" fillId="0" borderId="1" xfId="450" applyNumberFormat="1" applyFont="1" applyBorder="1" applyAlignment="1" applyProtection="1">
      <alignment horizontal="center" vertical="center"/>
      <protection locked="0"/>
    </xf>
    <xf numFmtId="176" fontId="22" fillId="0" borderId="0" xfId="518" applyFont="1" applyAlignment="1">
      <alignment vertical="center"/>
      <protection locked="0"/>
    </xf>
    <xf numFmtId="0" fontId="2" fillId="0" borderId="0" xfId="0" applyFont="1" applyBorder="1" applyAlignment="1">
      <alignment horizontal="center" vertical="center"/>
      <protection locked="0"/>
    </xf>
    <xf numFmtId="43" fontId="7" fillId="0" borderId="0" xfId="644" applyFont="1" applyBorder="1" applyAlignment="1" applyProtection="1">
      <alignment horizontal="center" vertical="center"/>
      <protection locked="0"/>
    </xf>
    <xf numFmtId="10" fontId="7" fillId="0" borderId="0" xfId="450" applyNumberFormat="1" applyFont="1" applyBorder="1" applyAlignment="1" applyProtection="1">
      <alignment horizontal="center" vertical="center"/>
      <protection locked="0"/>
    </xf>
    <xf numFmtId="0" fontId="23" fillId="0" borderId="0" xfId="3" applyFont="1" applyAlignment="1">
      <alignment vertical="center"/>
      <protection locked="0"/>
    </xf>
    <xf numFmtId="0" fontId="5" fillId="62" borderId="1" xfId="0" applyFont="1" applyFill="1" applyBorder="1" applyAlignment="1">
      <alignment horizontal="center" vertical="center" wrapText="1"/>
      <protection locked="0"/>
    </xf>
    <xf numFmtId="0" fontId="24" fillId="62" borderId="1" xfId="0" applyFont="1" applyFill="1" applyBorder="1" applyAlignment="1">
      <alignment horizontal="center" vertical="center" wrapText="1"/>
      <protection locked="0"/>
    </xf>
  </cellXfs>
  <cellStyles count="673">
    <cellStyle name="_x000a_mouse.drv=lm" xfId="4"/>
    <cellStyle name="%" xfId="5"/>
    <cellStyle name="% 2" xfId="6"/>
    <cellStyle name="?" xfId="7"/>
    <cellStyle name="? 2" xfId="8"/>
    <cellStyle name="??" xfId="9"/>
    <cellStyle name="?? [0]" xfId="10"/>
    <cellStyle name="??_0N-HANDLING " xfId="11"/>
    <cellStyle name="?餡_x000c_k" xfId="12"/>
    <cellStyle name="?餡_x000c_k 2" xfId="13"/>
    <cellStyle name="?餡_x000c_k?_x000d_^" xfId="14"/>
    <cellStyle name="?餡_x000c_k?_x000d_^ 2" xfId="15"/>
    <cellStyle name="?餡_x000c_k?_x000d_^黇_x0001_??_x0007__x0001__x0001_" xfId="16"/>
    <cellStyle name="?餡_x000c_k?_x000d_^黇_x0001_??_x0007__x0001__x0001_ 2" xfId="17"/>
    <cellStyle name="@_text" xfId="18"/>
    <cellStyle name="@_text_子公司附注汇总(房开公司)" xfId="19"/>
    <cellStyle name="_(本部)2006年年报审计PBC表" xfId="20"/>
    <cellStyle name="_07930建造合同" xfId="21"/>
    <cellStyle name="_12月项目部访问及审计-德勤" xfId="22"/>
    <cellStyle name="_2005-08-31审计底稿－李" xfId="23"/>
    <cellStyle name="_2005年工作底稿" xfId="24"/>
    <cellStyle name="_2005年工作底稿_3-2-A1B-银行存款" xfId="25"/>
    <cellStyle name="_2005年工作底稿_3-2-Z17A-固定资产" xfId="26"/>
    <cellStyle name="_2005年工作底稿_Sheet1" xfId="27"/>
    <cellStyle name="_2005审计报表及附注-中国建材股份模板（房屋）" xfId="28"/>
    <cellStyle name="_2005审计报表及附注-中国建材股份模板（房屋） 2" xfId="29"/>
    <cellStyle name="_2006年年报审计PBC表（合并）" xfId="30"/>
    <cellStyle name="_2006年年报审计PBC表-XX" xfId="31"/>
    <cellStyle name="_2006年年报审计PBC表-XXX" xfId="32"/>
    <cellStyle name="_2006年年报审计PBC表-XXX 2" xfId="33"/>
    <cellStyle name="_2006年年报审计PBC表-福州分公司" xfId="34"/>
    <cellStyle name="_2006年年报审计PBC表-云南分公司" xfId="35"/>
    <cellStyle name="_2006年年报审计填报资料" xfId="36"/>
    <cellStyle name="_2006年年报审计填报资料 2" xfId="37"/>
    <cellStyle name="_2007调整分录-鲁佳" xfId="38"/>
    <cellStyle name="_3-2-A22-无形资产" xfId="39"/>
    <cellStyle name="_3-2-A4-应收账款" xfId="40"/>
    <cellStyle name="_A17固定资产" xfId="41"/>
    <cellStyle name="_A23无形资产" xfId="42"/>
    <cellStyle name="_A3应收票据" xfId="43"/>
    <cellStyle name="_A6应收账款" xfId="44"/>
    <cellStyle name="_A6应收账款_3-2-A1B-银行存款" xfId="45"/>
    <cellStyle name="_A6应收账款_3-2-Z17A-固定资产" xfId="46"/>
    <cellStyle name="_A6应收账款_Sheet1" xfId="47"/>
    <cellStyle name="_B10其他未交款" xfId="48"/>
    <cellStyle name="_B13预收账款2005" xfId="49"/>
    <cellStyle name="_B6应付工资" xfId="50"/>
    <cellStyle name="_B7应付福利费" xfId="51"/>
    <cellStyle name="_B9应交税金2005" xfId="52"/>
    <cellStyle name="_Book1" xfId="53"/>
    <cellStyle name="_Book1 2" xfId="54"/>
    <cellStyle name="_CREC(Huo" xfId="55"/>
    <cellStyle name="_D11营业外支出" xfId="56"/>
    <cellStyle name="_D12所得税2005" xfId="57"/>
    <cellStyle name="_D1主营业务收入" xfId="58"/>
    <cellStyle name="_D3主营业务税金及附加" xfId="59"/>
    <cellStyle name="_D4其他业务利润" xfId="60"/>
    <cellStyle name="_ET_STYLE_NoName_00_" xfId="61"/>
    <cellStyle name="_ET_STYLE_NoName_00__2007调整分录-鲁佳" xfId="62"/>
    <cellStyle name="_ET_STYLE_NoName_00__股份本部" xfId="63"/>
    <cellStyle name="_ET_STYLE_NoName_00__股份本部_1" xfId="64"/>
    <cellStyle name="_ET_STYLE_NoName_00__股份本部_3" xfId="65"/>
    <cellStyle name="_ET_STYLE_NoName_00__股份本部_6_股份本部_2" xfId="66"/>
    <cellStyle name="_ET_STYLE_NoName_00__股份本部_7_股份本部_3" xfId="67"/>
    <cellStyle name="_J1000-存货-ZHHG" xfId="68"/>
    <cellStyle name="_PBC审核提示" xfId="69"/>
    <cellStyle name="_PBC审核提示 2" xfId="70"/>
    <cellStyle name="_Sheet1" xfId="71"/>
    <cellStyle name="_宝丽华房地产20051231" xfId="72"/>
    <cellStyle name="_宝丽华房地产20051231 2" xfId="73"/>
    <cellStyle name="_保证金-企业填写部分" xfId="74"/>
    <cellStyle name="_保证金-企业填写部分 2" xfId="75"/>
    <cellStyle name="_北新房屋2004年审-刘" xfId="76"/>
    <cellStyle name="_北新房屋2004年审-刘 2" xfId="77"/>
    <cellStyle name="_北新股份2005年审工作底稿" xfId="78"/>
    <cellStyle name="_北新股份2005年审工作底稿 2" xfId="79"/>
    <cellStyle name="_北新建材关连交易基础表051230（10－12月版）更新稿" xfId="80"/>
    <cellStyle name="_北新建材关连交易基础表051230（10－12月版）更新稿 2" xfId="81"/>
    <cellStyle name="_北新建材-会计报表附注模版" xfId="82"/>
    <cellStyle name="_北新建材-会计报表附注模版 2" xfId="83"/>
    <cellStyle name="_北新龙之星2004年审工作底稿" xfId="84"/>
    <cellStyle name="_北新龙之星2004年审工作底稿 2" xfId="85"/>
    <cellStyle name="_北新物流2005底稿-刘" xfId="86"/>
    <cellStyle name="_北新物流2005底稿-刘 2" xfId="87"/>
    <cellStyle name="_北新置换memo" xfId="88"/>
    <cellStyle name="_北新置换memo 2" xfId="89"/>
    <cellStyle name="_本部其他应收应付年审底稿--鲁佳pb" xfId="90"/>
    <cellStyle name="_存货结转测试" xfId="91"/>
    <cellStyle name="_存货结转测试 2" xfId="92"/>
    <cellStyle name="_存货数量与明细05.12" xfId="93"/>
    <cellStyle name="_存货数量与明细05.12 2" xfId="94"/>
    <cellStyle name="_动力厂2004年审工作底稿-刘" xfId="95"/>
    <cellStyle name="_动力厂2004年审工作底稿-刘 2" xfId="96"/>
    <cellStyle name="_分工" xfId="97"/>
    <cellStyle name="_分工 2" xfId="98"/>
    <cellStyle name="_封面" xfId="99"/>
    <cellStyle name="_工程施工项目现场审计提示" xfId="100"/>
    <cellStyle name="_工程施工项目现场审计提示 2" xfId="101"/>
    <cellStyle name="_公司填表" xfId="102"/>
    <cellStyle name="_公司填表-2005蔡" xfId="103"/>
    <cellStyle name="_公司填表-2005李志刚" xfId="104"/>
    <cellStyle name="_公司填表2005-吴" xfId="105"/>
    <cellStyle name="_公司填表2005-吴_3-2-A1B-银行存款" xfId="106"/>
    <cellStyle name="_公司填表2005-吴_3-2-Z17A-固定资产" xfId="107"/>
    <cellStyle name="_公司填表2005-吴_Sheet1" xfId="108"/>
    <cellStyle name="_公司填表2005-修改" xfId="109"/>
    <cellStyle name="_公司填表2005-修改_3-2-A1B-银行存款" xfId="110"/>
    <cellStyle name="_公司填表2005-修改_3-2-Z17A-固定资产" xfId="111"/>
    <cellStyle name="_公司填表2005-修改_Sheet1" xfId="112"/>
    <cellStyle name="_公司填表2005-修改后" xfId="113"/>
    <cellStyle name="_公司填表2005-修改后_3-2-A1B-银行存款" xfId="114"/>
    <cellStyle name="_公司填表2005-修改后_3-2-Z17A-固定资产" xfId="115"/>
    <cellStyle name="_公司填表2005-修改后_Sheet1" xfId="116"/>
    <cellStyle name="_公司填表-2005杨" xfId="117"/>
    <cellStyle name="_关联交易" xfId="118"/>
    <cellStyle name="_关联交易 2" xfId="119"/>
    <cellStyle name="_关联交易、往来统计表" xfId="120"/>
    <cellStyle name="_关联交易、往来统计表 2" xfId="121"/>
    <cellStyle name="_合并报表审计调整模板(CREC)" xfId="122"/>
    <cellStyle name="_合并公司2006年度科目明细表(定稿)" xfId="123"/>
    <cellStyle name="_建造合同-宜万指（正式版）" xfId="124"/>
    <cellStyle name="_建造合同-宜万指（正式版） 2" xfId="125"/>
    <cellStyle name="_科目核对表" xfId="126"/>
    <cellStyle name="_科目核对表 2" xfId="127"/>
    <cellStyle name="_刘青分工填列信息统计" xfId="128"/>
    <cellStyle name="_刘青分工－子公司审计模板-电务" xfId="129"/>
    <cellStyle name="_刘青分工－子公司审计模板－铁达本部" xfId="130"/>
    <cellStyle name="_母PL" xfId="131"/>
    <cellStyle name="_母PL 2" xfId="132"/>
    <cellStyle name="_母公司底稿-鲁佳" xfId="133"/>
    <cellStyle name="_年审筹资循环资料清单" xfId="134"/>
    <cellStyle name="_凭证抽查-05年" xfId="135"/>
    <cellStyle name="_人员分工备忘录" xfId="136"/>
    <cellStyle name="_人员分工备忘录 2" xfId="137"/>
    <cellStyle name="_审计底稿-轩" xfId="138"/>
    <cellStyle name="_审计所需资料清单－子公司" xfId="139"/>
    <cellStyle name="_审计所需资料清单－子公司 2" xfId="140"/>
    <cellStyle name="_审计提示模版" xfId="141"/>
    <cellStyle name="_审计提示模版-母公司部分" xfId="142"/>
    <cellStyle name="_铁鸿源－刘青分工－子公司审计模板" xfId="143"/>
    <cellStyle name="_兴华审计成本" xfId="144"/>
    <cellStyle name="_岩土长投--急0121报王占学" xfId="145"/>
    <cellStyle name="_一公司建造合同前5名" xfId="146"/>
    <cellStyle name="_一公司建造合同前5名 2" xfId="147"/>
    <cellStyle name="_一公司－刘丰收" xfId="148"/>
    <cellStyle name="_一公司－刘丰收 2" xfId="149"/>
    <cellStyle name="_银行询证函统计－大表" xfId="150"/>
    <cellStyle name="_应收账款账龄--04、05" xfId="151"/>
    <cellStyle name="_长期借款－江阴" xfId="152"/>
    <cellStyle name="_长期借款－江阴 2" xfId="153"/>
    <cellStyle name="_子公司筹资循环－刘青" xfId="154"/>
    <cellStyle name="_子公司审计提示模版-Liufs" xfId="155"/>
    <cellStyle name="_子公司审计提示模版-Liufs 2" xfId="156"/>
    <cellStyle name="_子公司填表" xfId="157"/>
    <cellStyle name="{Comma [0]}" xfId="158"/>
    <cellStyle name="{Comma}" xfId="159"/>
    <cellStyle name="{Date}" xfId="160"/>
    <cellStyle name="{Month}" xfId="161"/>
    <cellStyle name="{Percent}" xfId="162"/>
    <cellStyle name="{Thousand [0]}" xfId="163"/>
    <cellStyle name="{Thousand}" xfId="164"/>
    <cellStyle name="{Z'0000(1 dec)}" xfId="165"/>
    <cellStyle name="{Z'0000(4 dec)}" xfId="166"/>
    <cellStyle name="0%" xfId="167"/>
    <cellStyle name="0,0_x000d__x000a_NA_x000d__x000a_" xfId="168"/>
    <cellStyle name="0.0%" xfId="169"/>
    <cellStyle name="0.00%" xfId="170"/>
    <cellStyle name="00" xfId="171"/>
    <cellStyle name="20% - Accent1" xfId="172"/>
    <cellStyle name="20% - Accent2" xfId="173"/>
    <cellStyle name="20% - Accent3" xfId="174"/>
    <cellStyle name="20% - Accent4" xfId="175"/>
    <cellStyle name="20% - Accent5" xfId="176"/>
    <cellStyle name="20% - Accent6" xfId="177"/>
    <cellStyle name="40% - Accent1" xfId="178"/>
    <cellStyle name="40% - Accent2" xfId="179"/>
    <cellStyle name="40% - Accent3" xfId="180"/>
    <cellStyle name="40% - Accent4" xfId="181"/>
    <cellStyle name="40% - Accent5" xfId="182"/>
    <cellStyle name="40% - Accent6" xfId="183"/>
    <cellStyle name="60% - Accent1" xfId="184"/>
    <cellStyle name="60% - Accent2" xfId="185"/>
    <cellStyle name="60% - Accent3" xfId="186"/>
    <cellStyle name="60% - Accent4" xfId="187"/>
    <cellStyle name="60% - Accent5" xfId="188"/>
    <cellStyle name="60% - Accent6" xfId="189"/>
    <cellStyle name="AA FRAME" xfId="190"/>
    <cellStyle name="AA HEADING" xfId="191"/>
    <cellStyle name="AA INITIALS" xfId="192"/>
    <cellStyle name="AA INPUT" xfId="193"/>
    <cellStyle name="AA LOCK" xfId="194"/>
    <cellStyle name="AA MGR NAME" xfId="195"/>
    <cellStyle name="AA NORMAL" xfId="196"/>
    <cellStyle name="AA NUMBER" xfId="197"/>
    <cellStyle name="AA NUMBER2" xfId="198"/>
    <cellStyle name="AA QUESTION" xfId="199"/>
    <cellStyle name="AA SHADE" xfId="200"/>
    <cellStyle name="Accent1" xfId="201"/>
    <cellStyle name="Accent1 - 20%" xfId="202"/>
    <cellStyle name="Accent1 - 40%" xfId="203"/>
    <cellStyle name="Accent1 - 60%" xfId="204"/>
    <cellStyle name="Accent2" xfId="205"/>
    <cellStyle name="Accent2 - 20%" xfId="206"/>
    <cellStyle name="Accent2 - 40%" xfId="207"/>
    <cellStyle name="Accent2 - 60%" xfId="208"/>
    <cellStyle name="Accent3" xfId="209"/>
    <cellStyle name="Accent3 - 20%" xfId="210"/>
    <cellStyle name="Accent3 - 40%" xfId="211"/>
    <cellStyle name="Accent3 - 60%" xfId="212"/>
    <cellStyle name="Accent4" xfId="213"/>
    <cellStyle name="Accent4 - 20%" xfId="214"/>
    <cellStyle name="Accent4 - 40%" xfId="215"/>
    <cellStyle name="Accent4 - 60%" xfId="216"/>
    <cellStyle name="Accent5" xfId="217"/>
    <cellStyle name="Accent5 - 20%" xfId="218"/>
    <cellStyle name="Accent5 - 40%" xfId="219"/>
    <cellStyle name="Accent5 - 60%" xfId="220"/>
    <cellStyle name="Accent6" xfId="221"/>
    <cellStyle name="Accent6 - 20%" xfId="222"/>
    <cellStyle name="Accent6 - 40%" xfId="223"/>
    <cellStyle name="Accent6 - 60%" xfId="224"/>
    <cellStyle name="args.style" xfId="225"/>
    <cellStyle name="Bad" xfId="226"/>
    <cellStyle name="Black" xfId="227"/>
    <cellStyle name="Border" xfId="228"/>
    <cellStyle name="Calc Currency (0)" xfId="229"/>
    <cellStyle name="Calc Currency (2)" xfId="230"/>
    <cellStyle name="Calc Percent (0)" xfId="231"/>
    <cellStyle name="Calc Percent (1)" xfId="232"/>
    <cellStyle name="Calc Percent (2)" xfId="233"/>
    <cellStyle name="Calc Units (0)" xfId="234"/>
    <cellStyle name="Calc Units (1)" xfId="235"/>
    <cellStyle name="Calc Units (2)" xfId="236"/>
    <cellStyle name="Calculation" xfId="237"/>
    <cellStyle name="category" xfId="238"/>
    <cellStyle name="Check Cell" xfId="239"/>
    <cellStyle name="Col Heads" xfId="240"/>
    <cellStyle name="Column_Title" xfId="241"/>
    <cellStyle name="Comma  - Style1" xfId="242"/>
    <cellStyle name="Comma  - Style2" xfId="243"/>
    <cellStyle name="Comma  - Style3" xfId="244"/>
    <cellStyle name="Comma  - Style4" xfId="245"/>
    <cellStyle name="Comma  - Style5" xfId="246"/>
    <cellStyle name="Comma  - Style6" xfId="247"/>
    <cellStyle name="Comma  - Style7" xfId="248"/>
    <cellStyle name="Comma  - Style8" xfId="249"/>
    <cellStyle name="Comma [0]" xfId="250"/>
    <cellStyle name="Comma [00]" xfId="251"/>
    <cellStyle name="Comma 28" xfId="252"/>
    <cellStyle name="comma zerodec" xfId="253"/>
    <cellStyle name="Comma,0" xfId="254"/>
    <cellStyle name="Comma,1" xfId="255"/>
    <cellStyle name="Comma,2" xfId="256"/>
    <cellStyle name="Comma_ rislugp" xfId="257"/>
    <cellStyle name="Copied" xfId="258"/>
    <cellStyle name="COST1" xfId="259"/>
    <cellStyle name="Currency [0]" xfId="260"/>
    <cellStyle name="Currency [00]" xfId="261"/>
    <cellStyle name="Currency,0" xfId="262"/>
    <cellStyle name="Currency,2" xfId="263"/>
    <cellStyle name="Currency_ rislugp" xfId="264"/>
    <cellStyle name="Currency1" xfId="265"/>
    <cellStyle name="Date" xfId="266"/>
    <cellStyle name="Date 2" xfId="267"/>
    <cellStyle name="Date Short" xfId="268"/>
    <cellStyle name="Date_ A1-货币资金审定表" xfId="269"/>
    <cellStyle name="Dezimal [0]_laroux" xfId="270"/>
    <cellStyle name="Dezimal_laroux" xfId="271"/>
    <cellStyle name="Dollar (zero dec)" xfId="272"/>
    <cellStyle name="E&amp;Y House" xfId="273"/>
    <cellStyle name="Enter Currency (0)" xfId="274"/>
    <cellStyle name="Enter Currency (2)" xfId="275"/>
    <cellStyle name="Enter Units (0)" xfId="276"/>
    <cellStyle name="Enter Units (1)" xfId="277"/>
    <cellStyle name="Enter Units (2)" xfId="278"/>
    <cellStyle name="Entered" xfId="279"/>
    <cellStyle name="entry" xfId="280"/>
    <cellStyle name="entry 2" xfId="281"/>
    <cellStyle name="entry box" xfId="282"/>
    <cellStyle name="entry box 2" xfId="283"/>
    <cellStyle name="Euro" xfId="284"/>
    <cellStyle name="Explanatory Text" xfId="285"/>
    <cellStyle name="F2" xfId="286"/>
    <cellStyle name="F3" xfId="287"/>
    <cellStyle name="F4" xfId="288"/>
    <cellStyle name="F5" xfId="289"/>
    <cellStyle name="F6" xfId="290"/>
    <cellStyle name="F7" xfId="291"/>
    <cellStyle name="F8" xfId="292"/>
    <cellStyle name="Fixed" xfId="293"/>
    <cellStyle name="Followed Hyperlink_AheadBehind.xls Chart 23" xfId="294"/>
    <cellStyle name="Good" xfId="295"/>
    <cellStyle name="Grey" xfId="296"/>
    <cellStyle name="HEADER" xfId="297"/>
    <cellStyle name="Header1" xfId="298"/>
    <cellStyle name="Header1 2" xfId="299"/>
    <cellStyle name="Header2" xfId="300"/>
    <cellStyle name="Header2 2" xfId="301"/>
    <cellStyle name="Heading" xfId="302"/>
    <cellStyle name="Heading 1" xfId="303"/>
    <cellStyle name="Heading 2" xfId="304"/>
    <cellStyle name="Heading 3" xfId="305"/>
    <cellStyle name="Heading 4" xfId="306"/>
    <cellStyle name="Heading1" xfId="307"/>
    <cellStyle name="Heading2" xfId="308"/>
    <cellStyle name="Hyperlink_AheadBehind.xls Chart 23" xfId="309"/>
    <cellStyle name="Input" xfId="310"/>
    <cellStyle name="Input [yellow]" xfId="311"/>
    <cellStyle name="Input Cells" xfId="312"/>
    <cellStyle name="Input Cells 2" xfId="313"/>
    <cellStyle name="left" xfId="314"/>
    <cellStyle name="left 2" xfId="315"/>
    <cellStyle name="Link Currency (0)" xfId="316"/>
    <cellStyle name="Link Currency (2)" xfId="317"/>
    <cellStyle name="Link Units (0)" xfId="318"/>
    <cellStyle name="Link Units (1)" xfId="319"/>
    <cellStyle name="Link Units (2)" xfId="320"/>
    <cellStyle name="Linked Cell" xfId="321"/>
    <cellStyle name="Linked Cells" xfId="322"/>
    <cellStyle name="Linked Cells 2" xfId="323"/>
    <cellStyle name="Millares [0]_laroux" xfId="324"/>
    <cellStyle name="Millares_laroux" xfId="325"/>
    <cellStyle name="Milliers [0]_!!!GO" xfId="326"/>
    <cellStyle name="Milliers_!!!GO" xfId="327"/>
    <cellStyle name="Model" xfId="328"/>
    <cellStyle name="Moneda [0]_laroux" xfId="329"/>
    <cellStyle name="Moneda_laroux" xfId="330"/>
    <cellStyle name="Monétaire [0]_!!!GO" xfId="331"/>
    <cellStyle name="Monétaire_!!!GO" xfId="332"/>
    <cellStyle name="Mon閠aire [0]_laroux" xfId="333"/>
    <cellStyle name="Mon閠aire_laroux" xfId="334"/>
    <cellStyle name="Neutral" xfId="335"/>
    <cellStyle name="New Times Roman" xfId="336"/>
    <cellStyle name="no dec" xfId="337"/>
    <cellStyle name="Non défini" xfId="338"/>
    <cellStyle name="Normal - Style1" xfId="339"/>
    <cellStyle name="Normal 2" xfId="340"/>
    <cellStyle name="Normal 2 2" xfId="341"/>
    <cellStyle name="Normal 21" xfId="342"/>
    <cellStyle name="Normal 3 2" xfId="343"/>
    <cellStyle name="Normal_ rislugp" xfId="344"/>
    <cellStyle name="Normalny_Arkusz1" xfId="345"/>
    <cellStyle name="Note" xfId="346"/>
    <cellStyle name="Œ…‹æØ‚è [0.00]_Region Orders (2)" xfId="347"/>
    <cellStyle name="Œ…‹æØ‚è_Region Orders (2)" xfId="348"/>
    <cellStyle name="Output" xfId="349"/>
    <cellStyle name="per.style" xfId="350"/>
    <cellStyle name="Percent (0)" xfId="351"/>
    <cellStyle name="Percent [0]" xfId="352"/>
    <cellStyle name="Percent [00]" xfId="353"/>
    <cellStyle name="Percent [2]" xfId="354"/>
    <cellStyle name="Percent 2" xfId="355"/>
    <cellStyle name="Percent_!!!GO" xfId="356"/>
    <cellStyle name="Pourcentage_pldt" xfId="357"/>
    <cellStyle name="Prefilled" xfId="358"/>
    <cellStyle name="Prefilled 2" xfId="359"/>
    <cellStyle name="PrePop Currency (0)" xfId="360"/>
    <cellStyle name="PrePop Currency (2)" xfId="361"/>
    <cellStyle name="PrePop Units (0)" xfId="362"/>
    <cellStyle name="PrePop Units (1)" xfId="363"/>
    <cellStyle name="PrePop Units (2)" xfId="364"/>
    <cellStyle name="price" xfId="365"/>
    <cellStyle name="pricing" xfId="366"/>
    <cellStyle name="pricing 2" xfId="367"/>
    <cellStyle name="PSChar" xfId="368"/>
    <cellStyle name="PSHeading" xfId="369"/>
    <cellStyle name="Red" xfId="370"/>
    <cellStyle name="revised" xfId="371"/>
    <cellStyle name="RevList" xfId="372"/>
    <cellStyle name="RevList 2" xfId="373"/>
    <cellStyle name="row_def_array" xfId="374"/>
    <cellStyle name="S4" xfId="375"/>
    <cellStyle name="S5" xfId="376"/>
    <cellStyle name="SAPBEXaggData" xfId="377"/>
    <cellStyle name="SAPBEXaggDataEmph" xfId="378"/>
    <cellStyle name="SAPBEXaggItem" xfId="379"/>
    <cellStyle name="SAPBEXaggItemX" xfId="380"/>
    <cellStyle name="SAPBEXchaText" xfId="381"/>
    <cellStyle name="SAPBEXexcBad7" xfId="382"/>
    <cellStyle name="SAPBEXexcBad8" xfId="383"/>
    <cellStyle name="SAPBEXexcBad9" xfId="384"/>
    <cellStyle name="SAPBEXexcCritical4" xfId="385"/>
    <cellStyle name="SAPBEXexcCritical5" xfId="386"/>
    <cellStyle name="SAPBEXexcCritical6" xfId="387"/>
    <cellStyle name="SAPBEXexcGood1" xfId="388"/>
    <cellStyle name="SAPBEXexcGood2" xfId="389"/>
    <cellStyle name="SAPBEXexcGood3" xfId="390"/>
    <cellStyle name="SAPBEXfilterDrill" xfId="391"/>
    <cellStyle name="SAPBEXfilterItem" xfId="392"/>
    <cellStyle name="SAPBEXfilterText" xfId="393"/>
    <cellStyle name="SAPBEXformats" xfId="394"/>
    <cellStyle name="SAPBEXheaderItem" xfId="395"/>
    <cellStyle name="SAPBEXheaderText" xfId="396"/>
    <cellStyle name="SAPBEXHLevel0" xfId="397"/>
    <cellStyle name="SAPBEXHLevel0X" xfId="398"/>
    <cellStyle name="SAPBEXHLevel1" xfId="399"/>
    <cellStyle name="SAPBEXHLevel1X" xfId="400"/>
    <cellStyle name="SAPBEXHLevel2" xfId="401"/>
    <cellStyle name="SAPBEXHLevel2X" xfId="402"/>
    <cellStyle name="SAPBEXHLevel3" xfId="403"/>
    <cellStyle name="SAPBEXHLevel3X" xfId="404"/>
    <cellStyle name="SAPBEXresData" xfId="405"/>
    <cellStyle name="SAPBEXresDataEmph" xfId="406"/>
    <cellStyle name="SAPBEXresItem" xfId="407"/>
    <cellStyle name="SAPBEXresItemX" xfId="408"/>
    <cellStyle name="SAPBEXstdData" xfId="409"/>
    <cellStyle name="SAPBEXstdDataEmph" xfId="410"/>
    <cellStyle name="SAPBEXstdItem" xfId="411"/>
    <cellStyle name="SAPBEXstdItemX" xfId="412"/>
    <cellStyle name="SAPBEXtitle" xfId="413"/>
    <cellStyle name="SAPBEXundefined" xfId="414"/>
    <cellStyle name="section" xfId="415"/>
    <cellStyle name="section 2" xfId="416"/>
    <cellStyle name="SOR" xfId="417"/>
    <cellStyle name="Standard_AREAS" xfId="418"/>
    <cellStyle name="style" xfId="419"/>
    <cellStyle name="style 2" xfId="420"/>
    <cellStyle name="style1" xfId="421"/>
    <cellStyle name="style1 2" xfId="422"/>
    <cellStyle name="style2" xfId="423"/>
    <cellStyle name="style2 2" xfId="424"/>
    <cellStyle name="subhead" xfId="425"/>
    <cellStyle name="Subtotal" xfId="426"/>
    <cellStyle name="Text Indent A" xfId="427"/>
    <cellStyle name="Text Indent B" xfId="428"/>
    <cellStyle name="Text Indent C" xfId="429"/>
    <cellStyle name="Tickmark" xfId="430"/>
    <cellStyle name="Tickmark 2" xfId="431"/>
    <cellStyle name="title" xfId="432"/>
    <cellStyle name="title 2" xfId="433"/>
    <cellStyle name="Total" xfId="434"/>
    <cellStyle name="Tusental (0)_pldt" xfId="435"/>
    <cellStyle name="Tusental_pldt" xfId="436"/>
    <cellStyle name="Valuta (0)_pldt" xfId="437"/>
    <cellStyle name="Valuta_pldt" xfId="438"/>
    <cellStyle name="Warning Text" xfId="439"/>
    <cellStyle name="wrap" xfId="440"/>
    <cellStyle name="wrap 2" xfId="441"/>
    <cellStyle name="パーセント_laroux" xfId="442"/>
    <cellStyle name="_PLDT" xfId="443"/>
    <cellStyle name="_laroux" xfId="444"/>
    <cellStyle name="だ[0]_PLDT" xfId="445"/>
    <cellStyle name="だ_PLDT" xfId="446"/>
    <cellStyle name="だ[0]_Total (2)" xfId="447"/>
    <cellStyle name="だ_laroux" xfId="448"/>
    <cellStyle name="百分比" xfId="2" builtinId="5"/>
    <cellStyle name="百分比 2" xfId="449"/>
    <cellStyle name="百分比 2 2" xfId="450"/>
    <cellStyle name="百分比 3" xfId="451"/>
    <cellStyle name="百分比 4" xfId="452"/>
    <cellStyle name="百分比 5" xfId="453"/>
    <cellStyle name="捠壿 [0.00]_PRODUCT DETAIL Q1" xfId="454"/>
    <cellStyle name="捠壿_PRODUCT DETAIL Q1" xfId="455"/>
    <cellStyle name="標準_１１月価格表" xfId="456"/>
    <cellStyle name="表标题" xfId="457"/>
    <cellStyle name="差_10存货" xfId="458"/>
    <cellStyle name="差_19-无形资产（空白模板）" xfId="459"/>
    <cellStyle name="差_2-交易性金融资产（空白模板）" xfId="460"/>
    <cellStyle name="差_2应收账款" xfId="461"/>
    <cellStyle name="差_3-2 进一步审计程序-采购与付款循环" xfId="462"/>
    <cellStyle name="差_3-3 进一步审计程序-存货与生产循环" xfId="463"/>
    <cellStyle name="差_37-长期借款（空白模板）" xfId="464"/>
    <cellStyle name="差_49-营业收入（空白模板）" xfId="465"/>
    <cellStyle name="差_4-应收账款（空白模板）" xfId="466"/>
    <cellStyle name="差_50-营业成本（空白模板）" xfId="467"/>
    <cellStyle name="差_51-营业税金及附加（空白模板）" xfId="468"/>
    <cellStyle name="差_54-财务费用（空白模板）" xfId="469"/>
    <cellStyle name="差_55-资产减值损失（空白模板）" xfId="470"/>
    <cellStyle name="差_9管理费用" xfId="471"/>
    <cellStyle name="差_Book2" xfId="472"/>
    <cellStyle name="差_dxn底稿目录" xfId="473"/>
    <cellStyle name="差_Sheet1" xfId="474"/>
    <cellStyle name="差_StartUp" xfId="475"/>
    <cellStyle name="差_T1000-主营业务收入-LJCH" xfId="476"/>
    <cellStyle name="差_Z14-长期应收款（函证汇总表样本）" xfId="477"/>
    <cellStyle name="差_ZA0货币资金审定表 " xfId="478"/>
    <cellStyle name="差_财务费用" xfId="479"/>
    <cellStyle name="差_程序表模版" xfId="480"/>
    <cellStyle name="差_存货" xfId="481"/>
    <cellStyle name="差_大信底稿目录" xfId="482"/>
    <cellStyle name="差_底稿设置宏" xfId="483"/>
    <cellStyle name="差_管理费用" xfId="484"/>
    <cellStyle name="差_货币资金" xfId="485"/>
    <cellStyle name="差_货币资金 天职" xfId="486"/>
    <cellStyle name="差_货币资金 岳华" xfId="487"/>
    <cellStyle name="差_其他应付款" xfId="488"/>
    <cellStyle name="差_其他应付款—YH" xfId="489"/>
    <cellStyle name="差_未分配利润" xfId="490"/>
    <cellStyle name="差_无形资产" xfId="491"/>
    <cellStyle name="差_应付账款" xfId="492"/>
    <cellStyle name="差_应付职工薪酬" xfId="493"/>
    <cellStyle name="差_应收账款" xfId="494"/>
    <cellStyle name="差_盈余公积" xfId="495"/>
    <cellStyle name="差_长期应付款" xfId="496"/>
    <cellStyle name="差_账项明细表" xfId="497"/>
    <cellStyle name="差_资本公积" xfId="498"/>
    <cellStyle name="差_资产负债标准底稿" xfId="499"/>
    <cellStyle name="差_资产负债类底稿模版" xfId="500"/>
    <cellStyle name="差_子公司附注汇总(房开公司)" xfId="501"/>
    <cellStyle name="常规" xfId="0" builtinId="0"/>
    <cellStyle name="常规 10" xfId="502"/>
    <cellStyle name="常规 11" xfId="503"/>
    <cellStyle name="常规 11 5" xfId="672"/>
    <cellStyle name="常规 13" xfId="504"/>
    <cellStyle name="常规 2" xfId="505"/>
    <cellStyle name="常规 2 2" xfId="506"/>
    <cellStyle name="常规 2 2 2" xfId="507"/>
    <cellStyle name="常规 2 2 3" xfId="508"/>
    <cellStyle name="常规 2 2 3 2" xfId="509"/>
    <cellStyle name="常规 2 2 4" xfId="510"/>
    <cellStyle name="常规 2 3" xfId="511"/>
    <cellStyle name="常规 2 3 2" xfId="512"/>
    <cellStyle name="常规 2 3 3" xfId="513"/>
    <cellStyle name="常规 2 4" xfId="514"/>
    <cellStyle name="常规 2 4 3" xfId="515"/>
    <cellStyle name="常规 2 5" xfId="516"/>
    <cellStyle name="常规 2 8" xfId="517"/>
    <cellStyle name="常规 2 8 2" xfId="518"/>
    <cellStyle name="常规 2_10存货" xfId="519"/>
    <cellStyle name="常规 3" xfId="520"/>
    <cellStyle name="常规 3 2" xfId="521"/>
    <cellStyle name="常规 3 2 2" xfId="522"/>
    <cellStyle name="常规 3 2 3" xfId="523"/>
    <cellStyle name="常规 3 3" xfId="524"/>
    <cellStyle name="常规 3 4" xfId="525"/>
    <cellStyle name="常规 3_10存货" xfId="526"/>
    <cellStyle name="常规 4" xfId="527"/>
    <cellStyle name="常规 4 2" xfId="528"/>
    <cellStyle name="常规 4 3" xfId="529"/>
    <cellStyle name="常规 5" xfId="530"/>
    <cellStyle name="常规 5 2" xfId="531"/>
    <cellStyle name="常规 5 3" xfId="532"/>
    <cellStyle name="常规 6" xfId="533"/>
    <cellStyle name="常规 6 2" xfId="534"/>
    <cellStyle name="常规 6 2 2" xfId="535"/>
    <cellStyle name="常规 6 2 3" xfId="536"/>
    <cellStyle name="常规 6 3" xfId="537"/>
    <cellStyle name="常规 6 3 2" xfId="538"/>
    <cellStyle name="常规 6 3 2 2" xfId="539"/>
    <cellStyle name="常规 6 3 3" xfId="540"/>
    <cellStyle name="常规 6 4" xfId="541"/>
    <cellStyle name="常规 6 4 2" xfId="542"/>
    <cellStyle name="常规 6 5" xfId="543"/>
    <cellStyle name="常规 6 6" xfId="544"/>
    <cellStyle name="常规 7" xfId="545"/>
    <cellStyle name="常规 7 2" xfId="546"/>
    <cellStyle name="常规 7 2 2" xfId="547"/>
    <cellStyle name="常规 7 3" xfId="548"/>
    <cellStyle name="常规 8" xfId="549"/>
    <cellStyle name="常规 9" xfId="550"/>
    <cellStyle name="常规_2-1项目审定表－模板" xfId="551"/>
    <cellStyle name="常规_Book1" xfId="552"/>
    <cellStyle name="常规_Book1 2" xfId="553"/>
    <cellStyle name="常规_c-资产类" xfId="554"/>
    <cellStyle name="常规_sheet" xfId="555"/>
    <cellStyle name="常规_进一步审计程序--销售与收款循环" xfId="556"/>
    <cellStyle name="常规_进一步审计程序--销售与收款循环 3" xfId="557"/>
    <cellStyle name="常规_新审定表" xfId="558"/>
    <cellStyle name="常规_新审定表 2" xfId="559"/>
    <cellStyle name="常规_新审定表 2 2" xfId="560"/>
    <cellStyle name="常规_制造费用" xfId="561"/>
    <cellStyle name="超级链接_A4应收账款" xfId="562"/>
    <cellStyle name="超链接" xfId="3" builtinId="8"/>
    <cellStyle name="超链接 2" xfId="563"/>
    <cellStyle name="超链接 2 2" xfId="564"/>
    <cellStyle name="超链接 2 3" xfId="565"/>
    <cellStyle name="超链接 3" xfId="566"/>
    <cellStyle name="分级显示行_1_4附件二凯旋评估表" xfId="567"/>
    <cellStyle name="好_10存货" xfId="568"/>
    <cellStyle name="好_19-无形资产（空白模板）" xfId="569"/>
    <cellStyle name="好_1财务费用" xfId="570"/>
    <cellStyle name="好_1营业收入" xfId="571"/>
    <cellStyle name="好_1资产减值损失" xfId="572"/>
    <cellStyle name="好_2-交易性金融资产（空白模板）" xfId="573"/>
    <cellStyle name="好_2应收账款" xfId="574"/>
    <cellStyle name="好_3-2 进一步审计程序-采购与付款循环" xfId="575"/>
    <cellStyle name="好_3-3 进一步审计程序-存货与生产循环" xfId="576"/>
    <cellStyle name="好_37-长期借款（空白模板）" xfId="577"/>
    <cellStyle name="好_49-营业收入（空白模板）" xfId="578"/>
    <cellStyle name="好_4-应收账款（空白模板）" xfId="579"/>
    <cellStyle name="好_50-营业成本（空白模板）" xfId="580"/>
    <cellStyle name="好_51-营业税金及附加（空白模板）" xfId="581"/>
    <cellStyle name="好_54-财务费用（空白模板）" xfId="582"/>
    <cellStyle name="好_55-资产减值损失（空白模板）" xfId="583"/>
    <cellStyle name="好_9管理费用" xfId="584"/>
    <cellStyle name="好_Book2" xfId="585"/>
    <cellStyle name="好_Sheet1" xfId="586"/>
    <cellStyle name="好_StartUp" xfId="587"/>
    <cellStyle name="好_T1000-主营业务收入" xfId="588"/>
    <cellStyle name="好_Z14-长期应收款（函证汇总表样本）" xfId="589"/>
    <cellStyle name="好_ZA0货币资金审定表 " xfId="590"/>
    <cellStyle name="好_财务费用" xfId="591"/>
    <cellStyle name="好_程序表模版" xfId="592"/>
    <cellStyle name="好_存货" xfId="593"/>
    <cellStyle name="好_存货 - 复制" xfId="594"/>
    <cellStyle name="好_大信底稿目录" xfId="595"/>
    <cellStyle name="好_底稿设置宏" xfId="596"/>
    <cellStyle name="好_底稿设置宏_大信底稿目录" xfId="597"/>
    <cellStyle name="好_管理费用" xfId="598"/>
    <cellStyle name="好_货币资金" xfId="599"/>
    <cellStyle name="好_货币资金 天职" xfId="600"/>
    <cellStyle name="好_货币资金 岳华" xfId="601"/>
    <cellStyle name="好_其他应付款" xfId="602"/>
    <cellStyle name="好_其他应付款—YH" xfId="603"/>
    <cellStyle name="好_其他应收款" xfId="604"/>
    <cellStyle name="好_实收资本(股本)" xfId="605"/>
    <cellStyle name="好_未分配利润" xfId="606"/>
    <cellStyle name="好_无形资产" xfId="607"/>
    <cellStyle name="好_银行函证结果汇总表" xfId="608"/>
    <cellStyle name="好_应付债券" xfId="609"/>
    <cellStyle name="好_应付账款" xfId="610"/>
    <cellStyle name="好_应付职工薪酬" xfId="611"/>
    <cellStyle name="好_应收利息" xfId="612"/>
    <cellStyle name="好_应收账款" xfId="613"/>
    <cellStyle name="好_盈余公积" xfId="614"/>
    <cellStyle name="好_营业收入" xfId="615"/>
    <cellStyle name="好_预收款项" xfId="616"/>
    <cellStyle name="好_长期借款—TZ" xfId="617"/>
    <cellStyle name="好_长期应付款" xfId="618"/>
    <cellStyle name="好_账项明细表" xfId="619"/>
    <cellStyle name="好_资本公积" xfId="620"/>
    <cellStyle name="好_资产负债标准底稿" xfId="621"/>
    <cellStyle name="好_资产负债标准底稿_大信底稿目录" xfId="622"/>
    <cellStyle name="好_资产负债类底稿模版" xfId="623"/>
    <cellStyle name="好_资产负债类底稿模版_大信底稿目录" xfId="624"/>
    <cellStyle name="好_资产减值损失" xfId="625"/>
    <cellStyle name="好_子公司附注汇总(房开公司)" xfId="626"/>
    <cellStyle name="桁区切り [0.00]_１１月価格表" xfId="627"/>
    <cellStyle name="桁区切り_１１月価格表" xfId="628"/>
    <cellStyle name="貨幣 [0]_SGV" xfId="629"/>
    <cellStyle name="貨幣_SGV" xfId="630"/>
    <cellStyle name="霓付 [0]_1202" xfId="631"/>
    <cellStyle name="霓付_1202" xfId="632"/>
    <cellStyle name="妞" xfId="633"/>
    <cellStyle name="欧" xfId="634"/>
    <cellStyle name="烹拳 [0]_1202" xfId="635"/>
    <cellStyle name="烹拳_1202" xfId="636"/>
    <cellStyle name="砯刽 [0]_PLDT" xfId="637"/>
    <cellStyle name="砯刽_PLDT" xfId="638"/>
    <cellStyle name="普通_ 白土" xfId="639"/>
    <cellStyle name="千分位[0]_ 白土" xfId="640"/>
    <cellStyle name="千分位_ 白土" xfId="641"/>
    <cellStyle name="千位[0]_ 应交税金审定表" xfId="642"/>
    <cellStyle name="千位_ 应交税金审定表" xfId="643"/>
    <cellStyle name="千位分隔" xfId="1" builtinId="3"/>
    <cellStyle name="千位分隔 2" xfId="644"/>
    <cellStyle name="千位分隔 2 2" xfId="645"/>
    <cellStyle name="千位分隔 2 3" xfId="646"/>
    <cellStyle name="千位分隔 3" xfId="647"/>
    <cellStyle name="千位分隔 3 2" xfId="648"/>
    <cellStyle name="千位分隔 3 3" xfId="649"/>
    <cellStyle name="千位分隔 4" xfId="650"/>
    <cellStyle name="千位分隔 5" xfId="651"/>
    <cellStyle name="千位分隔 6" xfId="652"/>
    <cellStyle name="千位分隔[0] 2" xfId="653"/>
    <cellStyle name="钎霖_(沥焊何巩)岿喊牢盔拌裙" xfId="654"/>
    <cellStyle name="强调 1" xfId="655"/>
    <cellStyle name="强调 2" xfId="656"/>
    <cellStyle name="强调 3" xfId="657"/>
    <cellStyle name="通貨 [0.00]_１１月価格表" xfId="658"/>
    <cellStyle name="通貨_１１月価格表" xfId="659"/>
    <cellStyle name="样式 1" xfId="660"/>
    <cellStyle name="样式 1 2" xfId="661"/>
    <cellStyle name="一般_SGV" xfId="662"/>
    <cellStyle name="昗弨_BOOKSHIP" xfId="663"/>
    <cellStyle name="寘嬫愗傝 [0.00]_PRODUCT DETAIL Q1" xfId="664"/>
    <cellStyle name="寘嬫愗傝_PRODUCT DETAIL Q1" xfId="665"/>
    <cellStyle name="资产" xfId="666"/>
    <cellStyle name="콤마 [0]_BOILER-CO1" xfId="667"/>
    <cellStyle name="콤마_BOILER-CO1" xfId="668"/>
    <cellStyle name="통화 [0]_BOILER-CO1" xfId="669"/>
    <cellStyle name="통화_BOILER-CO1" xfId="670"/>
    <cellStyle name="표준_0N-HANDLING " xfId="671"/>
  </cellStyles>
  <dxfs count="0"/>
  <tableStyles count="0" defaultTableStyle="TableStyleMedium9" defaultPivotStyle="PivotStyleLight16"/>
  <colors>
    <mruColors>
      <color rgb="FF0000FF"/>
      <color rgb="FFE92841"/>
      <color rgb="FFE4DFEC"/>
      <color rgb="FFDCD5E5"/>
      <color rgb="FFFFFF99"/>
      <color rgb="FFEBF7D6"/>
      <color rgb="FFCCED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39"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38"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2"/>
  <sheetViews>
    <sheetView tabSelected="1" zoomScaleNormal="100" zoomScaleSheetLayoutView="100" workbookViewId="0"/>
  </sheetViews>
  <sheetFormatPr defaultColWidth="9" defaultRowHeight="20.100000000000001" customHeight="1"/>
  <cols>
    <col min="1" max="1" width="77.59765625" style="2" customWidth="1"/>
    <col min="2" max="2" width="2" style="2" customWidth="1"/>
    <col min="3" max="3" width="2.09765625" style="2" customWidth="1"/>
    <col min="4" max="4" width="6.09765625" style="2" customWidth="1"/>
    <col min="5" max="5" width="28.296875" style="2" customWidth="1"/>
    <col min="6" max="6" width="10.296875" style="2" customWidth="1"/>
    <col min="7" max="7" width="14.69921875" style="2" customWidth="1"/>
    <col min="8" max="16384" width="9" style="2"/>
  </cols>
  <sheetData>
    <row r="1" spans="1:8" ht="20.100000000000001" customHeight="1">
      <c r="A1" s="8" t="s">
        <v>0</v>
      </c>
    </row>
    <row r="2" spans="1:8" ht="20.100000000000001" customHeight="1">
      <c r="A2" s="470" t="s">
        <v>1</v>
      </c>
      <c r="B2" s="471"/>
      <c r="C2" s="471"/>
      <c r="G2" s="471"/>
      <c r="H2" s="471"/>
    </row>
    <row r="3" spans="1:8" ht="20.100000000000001" customHeight="1">
      <c r="A3" s="639" t="s">
        <v>583</v>
      </c>
      <c r="B3" s="471"/>
      <c r="C3" s="471"/>
      <c r="D3" s="472" t="s">
        <v>2</v>
      </c>
      <c r="E3" s="472" t="s">
        <v>3</v>
      </c>
      <c r="F3" s="472" t="s">
        <v>4</v>
      </c>
      <c r="G3" s="471"/>
      <c r="H3" s="471"/>
    </row>
    <row r="4" spans="1:8" ht="20.100000000000001" customHeight="1">
      <c r="A4" s="470" t="s">
        <v>5</v>
      </c>
      <c r="D4" s="473">
        <v>1</v>
      </c>
      <c r="E4" s="644" t="s">
        <v>6</v>
      </c>
      <c r="F4" s="473" t="s">
        <v>7</v>
      </c>
    </row>
    <row r="5" spans="1:8" ht="20.100000000000001" customHeight="1">
      <c r="A5" s="470" t="s">
        <v>8</v>
      </c>
      <c r="D5" s="474">
        <v>2</v>
      </c>
      <c r="E5" s="644" t="s">
        <v>9</v>
      </c>
      <c r="F5" s="473" t="s">
        <v>10</v>
      </c>
    </row>
    <row r="6" spans="1:8" ht="20.100000000000001" customHeight="1">
      <c r="A6" s="470" t="s">
        <v>11</v>
      </c>
      <c r="D6" s="473">
        <v>3</v>
      </c>
      <c r="E6" s="644" t="s">
        <v>12</v>
      </c>
      <c r="F6" s="473"/>
      <c r="G6" s="475" t="s">
        <v>13</v>
      </c>
    </row>
    <row r="7" spans="1:8" ht="20.100000000000001" customHeight="1">
      <c r="A7" s="470" t="s">
        <v>14</v>
      </c>
      <c r="D7" s="473">
        <v>4</v>
      </c>
      <c r="E7" s="644" t="s">
        <v>15</v>
      </c>
      <c r="F7" s="473"/>
      <c r="G7" s="475" t="s">
        <v>13</v>
      </c>
    </row>
    <row r="8" spans="1:8" ht="20.100000000000001" customHeight="1">
      <c r="D8" s="474">
        <v>5</v>
      </c>
      <c r="E8" s="644" t="s">
        <v>16</v>
      </c>
      <c r="F8" s="473" t="s">
        <v>17</v>
      </c>
    </row>
    <row r="9" spans="1:8" ht="20.100000000000001" customHeight="1">
      <c r="A9" s="640" t="s">
        <v>584</v>
      </c>
      <c r="D9" s="473">
        <v>6</v>
      </c>
      <c r="E9" s="643" t="s">
        <v>18</v>
      </c>
      <c r="F9" s="473" t="s">
        <v>19</v>
      </c>
    </row>
    <row r="10" spans="1:8" ht="20.100000000000001" customHeight="1">
      <c r="A10" s="641" t="s">
        <v>585</v>
      </c>
      <c r="D10" s="473">
        <v>7</v>
      </c>
      <c r="E10" s="644" t="s">
        <v>20</v>
      </c>
      <c r="F10" s="473" t="s">
        <v>21</v>
      </c>
    </row>
    <row r="11" spans="1:8" ht="20.100000000000001" customHeight="1">
      <c r="A11" s="641"/>
      <c r="D11" s="474">
        <v>8</v>
      </c>
      <c r="E11" s="645" t="s">
        <v>590</v>
      </c>
      <c r="F11" s="473" t="s">
        <v>591</v>
      </c>
    </row>
    <row r="12" spans="1:8" ht="20.100000000000001" customHeight="1">
      <c r="A12" s="641"/>
      <c r="D12" s="473">
        <v>9</v>
      </c>
      <c r="E12" s="645" t="s">
        <v>592</v>
      </c>
      <c r="F12" s="473" t="s">
        <v>593</v>
      </c>
    </row>
    <row r="13" spans="1:8" ht="20.100000000000001" customHeight="1">
      <c r="A13" s="641"/>
      <c r="D13" s="473">
        <v>10</v>
      </c>
      <c r="E13" s="645" t="s">
        <v>594</v>
      </c>
      <c r="F13" s="473" t="s">
        <v>595</v>
      </c>
    </row>
    <row r="14" spans="1:8" ht="20.100000000000001" customHeight="1">
      <c r="A14" s="641" t="s">
        <v>586</v>
      </c>
      <c r="D14" s="474">
        <v>11</v>
      </c>
      <c r="E14" s="645" t="s">
        <v>596</v>
      </c>
      <c r="F14" s="473" t="s">
        <v>597</v>
      </c>
    </row>
    <row r="15" spans="1:8" ht="20.100000000000001" customHeight="1">
      <c r="A15" s="641"/>
      <c r="D15" s="473">
        <v>12</v>
      </c>
      <c r="E15" s="645" t="s">
        <v>598</v>
      </c>
      <c r="F15" s="473" t="s">
        <v>599</v>
      </c>
    </row>
    <row r="16" spans="1:8" ht="20.100000000000001" customHeight="1">
      <c r="A16" s="641"/>
      <c r="D16" s="473">
        <v>13</v>
      </c>
      <c r="E16" s="645" t="s">
        <v>600</v>
      </c>
      <c r="F16" s="473" t="s">
        <v>601</v>
      </c>
    </row>
    <row r="17" spans="1:6" ht="20.100000000000001" customHeight="1">
      <c r="A17" s="642" t="s">
        <v>587</v>
      </c>
      <c r="D17" s="474">
        <v>14</v>
      </c>
      <c r="E17" s="645" t="s">
        <v>602</v>
      </c>
      <c r="F17" s="473" t="s">
        <v>603</v>
      </c>
    </row>
    <row r="18" spans="1:6" ht="20.100000000000001" customHeight="1">
      <c r="A18" s="642"/>
      <c r="D18" s="473">
        <v>15</v>
      </c>
      <c r="E18" s="643" t="s">
        <v>22</v>
      </c>
      <c r="F18" s="473" t="s">
        <v>23</v>
      </c>
    </row>
    <row r="19" spans="1:6" ht="20.100000000000001" customHeight="1">
      <c r="A19" s="642"/>
      <c r="D19" s="473">
        <v>16</v>
      </c>
      <c r="E19" s="643" t="s">
        <v>24</v>
      </c>
      <c r="F19" s="473" t="s">
        <v>25</v>
      </c>
    </row>
    <row r="20" spans="1:6" ht="20.100000000000001" customHeight="1">
      <c r="D20" s="474">
        <v>17</v>
      </c>
      <c r="E20" s="643" t="s">
        <v>26</v>
      </c>
      <c r="F20" s="473" t="s">
        <v>27</v>
      </c>
    </row>
    <row r="21" spans="1:6" ht="20.100000000000001" customHeight="1">
      <c r="D21" s="473">
        <v>18</v>
      </c>
      <c r="E21" s="643" t="s">
        <v>28</v>
      </c>
      <c r="F21" s="473" t="s">
        <v>29</v>
      </c>
    </row>
    <row r="22" spans="1:6" ht="20.100000000000001" customHeight="1">
      <c r="D22" s="473">
        <v>19</v>
      </c>
      <c r="E22" s="643" t="s">
        <v>30</v>
      </c>
      <c r="F22" s="473" t="s">
        <v>31</v>
      </c>
    </row>
  </sheetData>
  <mergeCells count="3">
    <mergeCell ref="A10:A13"/>
    <mergeCell ref="A14:A16"/>
    <mergeCell ref="A17:A19"/>
  </mergeCells>
  <phoneticPr fontId="176" type="noConversion"/>
  <hyperlinks>
    <hyperlink ref="E5" location="'审定表D6-1'!A1" display="审定表"/>
    <hyperlink ref="E6" location="'附注披露信息(上市公司）'!A1" display="附注披露信息(上市公司）"/>
    <hyperlink ref="E8" location="'明细表D6-2'!A1" display="明细表"/>
    <hyperlink ref="E19" location="'关联关系及交易检查D6-5'!A1" display="合同资产检查表"/>
    <hyperlink ref="E4" location="'合同资产实质性程序表 D6A'!A1" display="合同资产实质性程序表 "/>
    <hyperlink ref="E10" location="'调整分录汇总表D6-4'!A1" display="调整分录汇总表"/>
    <hyperlink ref="E7" location="'附注披露信息（国企）'!A1" display="附注披露信息（国企）"/>
    <hyperlink ref="E9" location="'合同资产减值准备明细表D6-3'!A1" display="合同资产减值准备明细表"/>
    <hyperlink ref="E18" location="'关联关系及交易检查D6-5'!A1" display="关联关系及交易检查"/>
    <hyperlink ref="E21" location="'减值准备测算D6-8'!A1" display="减值准备测算"/>
    <hyperlink ref="E20" location="'合同资产减值准备会计政策检查D6-7'!A1" display="合同资产减值准备会计政策检查"/>
    <hyperlink ref="E22" location="'减值准备转回、核销检查表D6-9'!A1" display="减值准备转回、核销检查表"/>
  </hyperlinks>
  <pageMargins left="0.70833333333333304" right="0.70833333333333304" top="0.74791666666666701" bottom="0.74791666666666701" header="0.31458333333333299" footer="0.31458333333333299"/>
  <pageSetup paperSize="9" scale="67" orientation="portrait" blackAndWhite="1" horizontalDpi="1200" verticalDpi="1200" r:id="rId1"/>
  <headerFooter alignWithMargins="0">
    <oddFooter>&amp;C&amp;P/&amp;N</oddFooter>
  </headerFooter>
  <colBreaks count="1" manualBreakCount="1">
    <brk id="6" max="22"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J33"/>
  <sheetViews>
    <sheetView view="pageBreakPreview" zoomScaleNormal="100" workbookViewId="0">
      <selection sqref="A1:I1"/>
    </sheetView>
  </sheetViews>
  <sheetFormatPr defaultColWidth="9" defaultRowHeight="20.100000000000001" customHeight="1"/>
  <cols>
    <col min="1" max="1" width="4.69921875" style="430" customWidth="1"/>
    <col min="2" max="2" width="63.796875" style="212" customWidth="1"/>
    <col min="3" max="3" width="9.59765625" style="212" customWidth="1"/>
    <col min="4" max="4" width="5.3984375" style="212" customWidth="1"/>
    <col min="5" max="5" width="6.59765625" style="212" customWidth="1"/>
    <col min="6" max="6" width="6" style="212" customWidth="1"/>
    <col min="7" max="7" width="7.19921875" style="212" customWidth="1"/>
    <col min="8" max="8" width="5" style="212" customWidth="1"/>
    <col min="9" max="9" width="7" style="212" customWidth="1"/>
    <col min="10" max="10" width="60.19921875" style="212" customWidth="1"/>
    <col min="11" max="16384" width="9" style="212"/>
  </cols>
  <sheetData>
    <row r="1" spans="1:10" s="428" customFormat="1" ht="20.100000000000001" customHeight="1">
      <c r="A1" s="648" t="s">
        <v>32</v>
      </c>
      <c r="B1" s="648"/>
      <c r="C1" s="648"/>
      <c r="D1" s="648"/>
      <c r="E1" s="648"/>
      <c r="F1" s="648"/>
      <c r="G1" s="648"/>
      <c r="H1" s="648"/>
      <c r="I1" s="648"/>
    </row>
    <row r="2" spans="1:10" s="428" customFormat="1" ht="20.100000000000001" customHeight="1">
      <c r="A2" s="649" t="s">
        <v>33</v>
      </c>
      <c r="B2" s="649"/>
      <c r="C2" s="649"/>
      <c r="D2" s="649"/>
      <c r="E2" s="649"/>
      <c r="F2" s="649"/>
      <c r="G2" s="649"/>
      <c r="H2" s="649"/>
      <c r="I2" s="649"/>
    </row>
    <row r="3" spans="1:10" s="167" customFormat="1" ht="20.100000000000001" customHeight="1">
      <c r="A3" s="477" t="str">
        <f>底稿目录!A2</f>
        <v>被审计单位：</v>
      </c>
      <c r="B3" s="477"/>
      <c r="C3" s="167" t="str">
        <f>底稿目录!A4</f>
        <v>编制人：</v>
      </c>
      <c r="D3" s="212"/>
      <c r="E3" s="167" t="str">
        <f>底稿目录!A5</f>
        <v>编制日期：</v>
      </c>
      <c r="H3" s="167" t="s">
        <v>34</v>
      </c>
      <c r="I3" s="662" t="str">
        <f>底稿目录!F4</f>
        <v>D6A</v>
      </c>
    </row>
    <row r="4" spans="1:10" s="167" customFormat="1" ht="20.100000000000001" customHeight="1">
      <c r="A4" s="477" t="str">
        <f>底稿目录!A3</f>
        <v>截止日：202X年12月31日</v>
      </c>
      <c r="B4" s="477"/>
      <c r="C4" s="167" t="str">
        <f>底稿目录!A6</f>
        <v>复核人：</v>
      </c>
      <c r="D4" s="212"/>
      <c r="E4" s="167" t="str">
        <f>底稿目录!A7</f>
        <v>复核日期：</v>
      </c>
      <c r="H4" s="167" t="s">
        <v>35</v>
      </c>
      <c r="I4" s="431"/>
    </row>
    <row r="5" spans="1:10" ht="20.100000000000001" customHeight="1">
      <c r="A5" s="478" t="s">
        <v>36</v>
      </c>
      <c r="B5" s="478"/>
    </row>
    <row r="6" spans="1:10" ht="20.100000000000001" customHeight="1">
      <c r="A6" s="479" t="s">
        <v>37</v>
      </c>
      <c r="B6" s="479"/>
      <c r="C6" s="479"/>
      <c r="D6" s="433"/>
      <c r="E6" s="433"/>
      <c r="F6" s="434"/>
      <c r="G6" s="434"/>
      <c r="H6" s="434"/>
      <c r="I6" s="434"/>
    </row>
    <row r="7" spans="1:10" s="167" customFormat="1" ht="20.100000000000001" customHeight="1">
      <c r="A7" s="432" t="s">
        <v>38</v>
      </c>
      <c r="B7" s="432"/>
      <c r="C7" s="435"/>
    </row>
    <row r="8" spans="1:10" s="167" customFormat="1" ht="19.95" customHeight="1">
      <c r="A8" s="480" t="s">
        <v>39</v>
      </c>
      <c r="B8" s="480"/>
      <c r="C8" s="480"/>
      <c r="D8" s="480"/>
      <c r="E8" s="480"/>
      <c r="F8" s="480"/>
      <c r="G8" s="481" t="s">
        <v>40</v>
      </c>
      <c r="H8" s="481"/>
      <c r="I8" s="481"/>
    </row>
    <row r="9" spans="1:10" s="167" customFormat="1" ht="19.95" customHeight="1">
      <c r="A9" s="482" t="s">
        <v>41</v>
      </c>
      <c r="B9" s="482"/>
      <c r="C9" s="482"/>
      <c r="D9" s="482"/>
      <c r="E9" s="482"/>
      <c r="F9" s="482"/>
      <c r="G9" s="483" t="s">
        <v>42</v>
      </c>
      <c r="H9" s="483"/>
      <c r="I9" s="483"/>
    </row>
    <row r="10" spans="1:10" s="167" customFormat="1" ht="19.95" customHeight="1">
      <c r="A10" s="482" t="s">
        <v>43</v>
      </c>
      <c r="B10" s="482"/>
      <c r="C10" s="482"/>
      <c r="D10" s="482"/>
      <c r="E10" s="482"/>
      <c r="F10" s="482"/>
      <c r="G10" s="483" t="s">
        <v>44</v>
      </c>
      <c r="H10" s="483"/>
      <c r="I10" s="483"/>
    </row>
    <row r="11" spans="1:10" s="167" customFormat="1" ht="19.95" customHeight="1">
      <c r="A11" s="482" t="s">
        <v>45</v>
      </c>
      <c r="B11" s="482"/>
      <c r="C11" s="482"/>
      <c r="D11" s="482"/>
      <c r="E11" s="482"/>
      <c r="F11" s="482"/>
      <c r="G11" s="483" t="s">
        <v>46</v>
      </c>
      <c r="H11" s="483"/>
      <c r="I11" s="483"/>
    </row>
    <row r="12" spans="1:10" s="167" customFormat="1" ht="19.95" customHeight="1">
      <c r="A12" s="482" t="s">
        <v>47</v>
      </c>
      <c r="B12" s="482"/>
      <c r="C12" s="482"/>
      <c r="D12" s="482"/>
      <c r="E12" s="482"/>
      <c r="F12" s="482"/>
      <c r="G12" s="483" t="s">
        <v>48</v>
      </c>
      <c r="H12" s="483"/>
      <c r="I12" s="483"/>
    </row>
    <row r="13" spans="1:10" s="167" customFormat="1" ht="19.95" customHeight="1">
      <c r="A13" s="482" t="s">
        <v>49</v>
      </c>
      <c r="B13" s="482"/>
      <c r="C13" s="482"/>
      <c r="D13" s="482"/>
      <c r="E13" s="482"/>
      <c r="F13" s="482"/>
      <c r="G13" s="483" t="s">
        <v>50</v>
      </c>
      <c r="H13" s="483"/>
      <c r="I13" s="483"/>
    </row>
    <row r="14" spans="1:10" s="167" customFormat="1" ht="20.100000000000001" customHeight="1">
      <c r="A14" s="478" t="s">
        <v>51</v>
      </c>
      <c r="B14" s="478"/>
      <c r="C14" s="435"/>
    </row>
    <row r="15" spans="1:10" s="167" customFormat="1" ht="20.100000000000001" customHeight="1">
      <c r="A15" s="485" t="s">
        <v>2</v>
      </c>
      <c r="B15" s="647" t="s">
        <v>605</v>
      </c>
      <c r="C15" s="484" t="s">
        <v>53</v>
      </c>
      <c r="D15" s="484" t="s">
        <v>54</v>
      </c>
      <c r="E15" s="484"/>
      <c r="F15" s="484"/>
      <c r="G15" s="484"/>
      <c r="H15" s="484"/>
      <c r="I15" s="486" t="s">
        <v>55</v>
      </c>
    </row>
    <row r="16" spans="1:10" s="167" customFormat="1" ht="44.25" customHeight="1">
      <c r="A16" s="485"/>
      <c r="B16" s="647"/>
      <c r="C16" s="484"/>
      <c r="D16" s="437" t="s">
        <v>42</v>
      </c>
      <c r="E16" s="437" t="s">
        <v>44</v>
      </c>
      <c r="F16" s="437" t="s">
        <v>56</v>
      </c>
      <c r="G16" s="437" t="s">
        <v>57</v>
      </c>
      <c r="H16" s="437" t="s">
        <v>50</v>
      </c>
      <c r="I16" s="487"/>
      <c r="J16" s="646" t="s">
        <v>604</v>
      </c>
    </row>
    <row r="17" spans="1:10" ht="65.400000000000006" customHeight="1">
      <c r="A17" s="438" t="s">
        <v>58</v>
      </c>
      <c r="B17" s="439" t="s">
        <v>59</v>
      </c>
      <c r="C17" s="436" t="s">
        <v>60</v>
      </c>
      <c r="D17" s="440" t="s">
        <v>61</v>
      </c>
      <c r="E17" s="440" t="s">
        <v>61</v>
      </c>
      <c r="F17" s="441"/>
      <c r="G17" s="442" t="s">
        <v>61</v>
      </c>
      <c r="H17" s="441"/>
      <c r="I17" s="348" t="s">
        <v>62</v>
      </c>
    </row>
    <row r="18" spans="1:10" s="429" customFormat="1" ht="53.4" customHeight="1">
      <c r="A18" s="438" t="s">
        <v>63</v>
      </c>
      <c r="B18" s="443" t="s">
        <v>64</v>
      </c>
      <c r="C18" s="436" t="s">
        <v>60</v>
      </c>
      <c r="D18" s="441"/>
      <c r="E18" s="442" t="s">
        <v>61</v>
      </c>
      <c r="F18" s="441"/>
      <c r="G18" s="440" t="s">
        <v>61</v>
      </c>
      <c r="H18" s="441"/>
      <c r="I18" s="464" t="s">
        <v>588</v>
      </c>
      <c r="J18" s="465" t="s">
        <v>66</v>
      </c>
    </row>
    <row r="19" spans="1:10" ht="40.799999999999997" customHeight="1">
      <c r="A19" s="438" t="s">
        <v>67</v>
      </c>
      <c r="B19" s="444" t="s">
        <v>68</v>
      </c>
      <c r="C19" s="445" t="s">
        <v>69</v>
      </c>
      <c r="D19" s="442" t="s">
        <v>61</v>
      </c>
      <c r="E19" s="440" t="s">
        <v>61</v>
      </c>
      <c r="F19" s="440" t="s">
        <v>61</v>
      </c>
      <c r="G19" s="440" t="s">
        <v>61</v>
      </c>
      <c r="H19" s="441"/>
      <c r="I19" s="348"/>
      <c r="J19" s="465" t="s">
        <v>70</v>
      </c>
    </row>
    <row r="20" spans="1:10" ht="49.8" customHeight="1">
      <c r="A20" s="438" t="s">
        <v>71</v>
      </c>
      <c r="B20" s="446" t="s">
        <v>72</v>
      </c>
      <c r="C20" s="436" t="s">
        <v>60</v>
      </c>
      <c r="D20" s="447" t="s">
        <v>73</v>
      </c>
      <c r="E20" s="448"/>
      <c r="F20" s="448"/>
      <c r="G20" s="448" t="s">
        <v>74</v>
      </c>
      <c r="H20" s="41"/>
      <c r="I20" s="348" t="s">
        <v>75</v>
      </c>
      <c r="J20" s="466" t="s">
        <v>76</v>
      </c>
    </row>
    <row r="21" spans="1:10" ht="68.400000000000006" customHeight="1">
      <c r="A21" s="438" t="s">
        <v>77</v>
      </c>
      <c r="B21" s="444" t="s">
        <v>78</v>
      </c>
      <c r="C21" s="436" t="s">
        <v>60</v>
      </c>
      <c r="D21" s="41"/>
      <c r="E21" s="41"/>
      <c r="F21" s="41"/>
      <c r="G21" s="447" t="s">
        <v>73</v>
      </c>
      <c r="H21" s="41"/>
      <c r="I21" s="348" t="s">
        <v>17</v>
      </c>
    </row>
    <row r="22" spans="1:10" ht="22.8" customHeight="1">
      <c r="A22" s="438" t="s">
        <v>79</v>
      </c>
      <c r="B22" s="449" t="s">
        <v>80</v>
      </c>
      <c r="C22" s="436" t="s">
        <v>60</v>
      </c>
      <c r="D22" s="450" t="s">
        <v>81</v>
      </c>
      <c r="E22" s="451"/>
      <c r="F22" s="451"/>
      <c r="G22" s="450" t="s">
        <v>81</v>
      </c>
      <c r="H22" s="348"/>
      <c r="I22" s="348" t="s">
        <v>17</v>
      </c>
    </row>
    <row r="23" spans="1:10" ht="24.6" customHeight="1">
      <c r="A23" s="438" t="s">
        <v>82</v>
      </c>
      <c r="B23" s="452" t="s">
        <v>83</v>
      </c>
      <c r="C23" s="436" t="s">
        <v>60</v>
      </c>
      <c r="D23" s="447" t="s">
        <v>73</v>
      </c>
      <c r="E23" s="448" t="s">
        <v>74</v>
      </c>
      <c r="F23" s="447" t="s">
        <v>73</v>
      </c>
      <c r="G23" s="448" t="s">
        <v>74</v>
      </c>
      <c r="H23" s="453"/>
      <c r="I23" s="467" t="s">
        <v>84</v>
      </c>
    </row>
    <row r="24" spans="1:10" ht="121.8" customHeight="1">
      <c r="A24" s="438" t="s">
        <v>85</v>
      </c>
      <c r="B24" s="449" t="s">
        <v>86</v>
      </c>
      <c r="C24" s="436" t="s">
        <v>60</v>
      </c>
      <c r="D24" s="442" t="s">
        <v>61</v>
      </c>
      <c r="E24" s="440" t="s">
        <v>61</v>
      </c>
      <c r="F24" s="440" t="s">
        <v>61</v>
      </c>
      <c r="G24" s="442" t="s">
        <v>61</v>
      </c>
      <c r="H24" s="440" t="s">
        <v>61</v>
      </c>
      <c r="I24" s="348" t="s">
        <v>23</v>
      </c>
    </row>
    <row r="25" spans="1:10" ht="30.6" customHeight="1">
      <c r="A25" s="438" t="s">
        <v>87</v>
      </c>
      <c r="B25" s="452" t="s">
        <v>589</v>
      </c>
      <c r="C25" s="436" t="s">
        <v>60</v>
      </c>
      <c r="D25" s="442" t="s">
        <v>61</v>
      </c>
      <c r="E25" s="441"/>
      <c r="F25" s="440" t="s">
        <v>61</v>
      </c>
      <c r="G25" s="440" t="s">
        <v>61</v>
      </c>
      <c r="H25" s="454"/>
      <c r="I25" s="467" t="s">
        <v>25</v>
      </c>
    </row>
    <row r="26" spans="1:10" ht="93.6" customHeight="1">
      <c r="A26" s="438" t="s">
        <v>88</v>
      </c>
      <c r="B26" s="455" t="s">
        <v>89</v>
      </c>
      <c r="C26" s="436" t="s">
        <v>60</v>
      </c>
      <c r="D26" s="348"/>
      <c r="E26" s="348"/>
      <c r="F26" s="451"/>
      <c r="G26" s="456" t="s">
        <v>81</v>
      </c>
      <c r="H26" s="348"/>
      <c r="I26" s="348" t="s">
        <v>90</v>
      </c>
    </row>
    <row r="27" spans="1:10" ht="68.400000000000006" customHeight="1">
      <c r="A27" s="438" t="s">
        <v>91</v>
      </c>
      <c r="B27" s="457" t="s">
        <v>92</v>
      </c>
      <c r="C27" s="445" t="s">
        <v>93</v>
      </c>
      <c r="D27" s="442" t="s">
        <v>61</v>
      </c>
      <c r="E27" s="440" t="s">
        <v>61</v>
      </c>
      <c r="F27" s="440" t="s">
        <v>61</v>
      </c>
      <c r="G27" s="442" t="s">
        <v>61</v>
      </c>
      <c r="H27" s="454"/>
      <c r="I27" s="453" t="s">
        <v>94</v>
      </c>
      <c r="J27" s="468"/>
    </row>
    <row r="28" spans="1:10" ht="41.4" customHeight="1">
      <c r="A28" s="438" t="s">
        <v>95</v>
      </c>
      <c r="B28" s="458" t="s">
        <v>96</v>
      </c>
      <c r="C28" s="445" t="s">
        <v>93</v>
      </c>
      <c r="D28" s="451"/>
      <c r="E28" s="451"/>
      <c r="F28" s="438"/>
      <c r="G28" s="348"/>
      <c r="H28" s="348"/>
      <c r="I28" s="348"/>
    </row>
    <row r="29" spans="1:10" ht="30" customHeight="1">
      <c r="A29" s="438" t="s">
        <v>97</v>
      </c>
      <c r="B29" s="452" t="s">
        <v>98</v>
      </c>
      <c r="C29" s="436" t="s">
        <v>60</v>
      </c>
      <c r="D29" s="348"/>
      <c r="E29" s="348"/>
      <c r="F29" s="438"/>
      <c r="G29" s="348"/>
      <c r="H29" s="451" t="s">
        <v>99</v>
      </c>
      <c r="I29" s="469" t="s">
        <v>100</v>
      </c>
    </row>
    <row r="30" spans="1:10" ht="20.100000000000001" customHeight="1">
      <c r="A30" s="459"/>
      <c r="B30" s="460"/>
      <c r="C30" s="461"/>
      <c r="D30" s="462"/>
      <c r="E30" s="462"/>
      <c r="F30" s="462"/>
      <c r="G30" s="462"/>
      <c r="H30" s="462"/>
      <c r="I30" s="462"/>
    </row>
    <row r="33" spans="2:2" ht="20.100000000000001" customHeight="1">
      <c r="B33" s="463"/>
    </row>
  </sheetData>
  <mergeCells count="24">
    <mergeCell ref="A13:F13"/>
    <mergeCell ref="G13:I13"/>
    <mergeCell ref="A14:B14"/>
    <mergeCell ref="D15:H15"/>
    <mergeCell ref="A15:A16"/>
    <mergeCell ref="B15:B16"/>
    <mergeCell ref="C15:C16"/>
    <mergeCell ref="I15:I16"/>
    <mergeCell ref="A10:F10"/>
    <mergeCell ref="G10:I10"/>
    <mergeCell ref="A11:F11"/>
    <mergeCell ref="G11:I11"/>
    <mergeCell ref="A12:F12"/>
    <mergeCell ref="G12:I12"/>
    <mergeCell ref="A6:C6"/>
    <mergeCell ref="A8:F8"/>
    <mergeCell ref="G8:I8"/>
    <mergeCell ref="A9:F9"/>
    <mergeCell ref="G9:I9"/>
    <mergeCell ref="A1:I1"/>
    <mergeCell ref="A2:I2"/>
    <mergeCell ref="A3:B3"/>
    <mergeCell ref="A4:B4"/>
    <mergeCell ref="A5:B5"/>
  </mergeCells>
  <phoneticPr fontId="176" type="noConversion"/>
  <hyperlinks>
    <hyperlink ref="I3" location="底稿目录!A1" display="=底稿目录!F4"/>
  </hyperlinks>
  <pageMargins left="0.70833333333333304" right="0.70833333333333304" top="0.74791666666666701" bottom="0.74791666666666701" header="0.31458333333333299" footer="0.31458333333333299"/>
  <pageSetup paperSize="9" scale="70" fitToHeight="4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M104"/>
  <sheetViews>
    <sheetView view="pageBreakPreview" topLeftCell="A28" zoomScaleNormal="100" workbookViewId="0">
      <selection activeCell="M77" sqref="M77"/>
    </sheetView>
  </sheetViews>
  <sheetFormatPr defaultColWidth="9" defaultRowHeight="27.6" customHeight="1" outlineLevelRow="1"/>
  <cols>
    <col min="1" max="1" width="8.5" style="340" customWidth="1"/>
    <col min="2" max="2" width="89.19921875" style="341" customWidth="1"/>
    <col min="3" max="3" width="6.8984375" style="341" customWidth="1"/>
    <col min="4" max="4" width="10.69921875" style="341" customWidth="1"/>
    <col min="5" max="5" width="7.59765625" style="341" customWidth="1"/>
    <col min="6" max="6" width="7.19921875" style="341" customWidth="1"/>
    <col min="7" max="7" width="8.19921875" style="341" customWidth="1"/>
    <col min="8" max="8" width="9.59765625" style="341" customWidth="1"/>
    <col min="9" max="9" width="12.5" style="341" customWidth="1"/>
    <col min="10" max="10" width="13.69921875" style="341" customWidth="1"/>
    <col min="11" max="11" width="9" style="341"/>
    <col min="12" max="12" width="15.19921875" style="341" customWidth="1"/>
    <col min="13" max="16384" width="9" style="341"/>
  </cols>
  <sheetData>
    <row r="1" spans="1:12" s="332" customFormat="1" ht="15.6">
      <c r="A1" s="488" t="s">
        <v>101</v>
      </c>
      <c r="B1" s="488"/>
      <c r="C1" s="488"/>
      <c r="D1" s="488"/>
      <c r="E1" s="488"/>
      <c r="F1" s="488"/>
      <c r="G1" s="488"/>
      <c r="H1" s="488"/>
      <c r="I1" s="488"/>
    </row>
    <row r="2" spans="1:12" s="332" customFormat="1" ht="27.6" customHeight="1">
      <c r="A2" s="489" t="s">
        <v>33</v>
      </c>
      <c r="B2" s="490"/>
      <c r="C2" s="490"/>
      <c r="D2" s="490"/>
      <c r="E2" s="490"/>
      <c r="F2" s="490"/>
      <c r="G2" s="490"/>
      <c r="H2" s="490"/>
      <c r="I2" s="490"/>
    </row>
    <row r="3" spans="1:12" s="333" customFormat="1" ht="20.25" customHeight="1">
      <c r="A3" s="491" t="s">
        <v>102</v>
      </c>
      <c r="B3" s="491"/>
      <c r="C3" s="333" t="s">
        <v>5</v>
      </c>
      <c r="D3" s="341"/>
      <c r="G3" s="333" t="s">
        <v>8</v>
      </c>
      <c r="H3" s="343"/>
      <c r="I3" s="333" t="s">
        <v>103</v>
      </c>
    </row>
    <row r="4" spans="1:12" s="333" customFormat="1" ht="20.25" customHeight="1">
      <c r="A4" s="491" t="s">
        <v>104</v>
      </c>
      <c r="B4" s="491"/>
      <c r="C4" s="333" t="s">
        <v>11</v>
      </c>
      <c r="D4" s="341"/>
      <c r="G4" s="333" t="s">
        <v>14</v>
      </c>
      <c r="H4" s="343"/>
      <c r="I4" s="342" t="s">
        <v>105</v>
      </c>
    </row>
    <row r="5" spans="1:12" ht="19.5" customHeight="1">
      <c r="A5" s="492" t="s">
        <v>36</v>
      </c>
      <c r="B5" s="493"/>
    </row>
    <row r="6" spans="1:12" ht="19.5" customHeight="1">
      <c r="A6" s="494" t="s">
        <v>37</v>
      </c>
      <c r="B6" s="495"/>
      <c r="C6" s="495"/>
      <c r="D6" s="495"/>
      <c r="E6" s="495"/>
      <c r="F6" s="495"/>
      <c r="G6" s="495"/>
      <c r="H6" s="495"/>
      <c r="I6" s="496"/>
    </row>
    <row r="7" spans="1:12" s="333" customFormat="1" ht="19.5" customHeight="1">
      <c r="A7" s="345" t="s">
        <v>106</v>
      </c>
      <c r="B7" s="344"/>
      <c r="C7" s="346"/>
    </row>
    <row r="8" spans="1:12" s="333" customFormat="1" ht="18.75" customHeight="1">
      <c r="A8" s="544" t="s">
        <v>107</v>
      </c>
      <c r="B8" s="544"/>
      <c r="C8" s="497" t="s">
        <v>108</v>
      </c>
      <c r="D8" s="497"/>
      <c r="E8" s="497"/>
      <c r="F8" s="497"/>
      <c r="G8" s="497"/>
      <c r="H8" s="513" t="s">
        <v>109</v>
      </c>
      <c r="I8" s="513" t="s">
        <v>110</v>
      </c>
    </row>
    <row r="9" spans="1:12" s="333" customFormat="1" ht="34.5" customHeight="1">
      <c r="A9" s="544"/>
      <c r="B9" s="544"/>
      <c r="C9" s="349" t="s">
        <v>42</v>
      </c>
      <c r="D9" s="348" t="s">
        <v>111</v>
      </c>
      <c r="E9" s="350" t="s">
        <v>56</v>
      </c>
      <c r="F9" s="349" t="s">
        <v>112</v>
      </c>
      <c r="G9" s="349" t="s">
        <v>113</v>
      </c>
      <c r="H9" s="513"/>
      <c r="I9" s="513"/>
    </row>
    <row r="10" spans="1:12" s="333" customFormat="1" ht="19.5" customHeight="1">
      <c r="A10" s="498" t="s">
        <v>114</v>
      </c>
      <c r="B10" s="498"/>
      <c r="C10" s="352" t="s">
        <v>61</v>
      </c>
      <c r="D10" s="348"/>
      <c r="E10" s="353"/>
      <c r="F10" s="348"/>
      <c r="G10" s="349"/>
      <c r="H10" s="348"/>
      <c r="I10" s="388" t="s">
        <v>115</v>
      </c>
    </row>
    <row r="11" spans="1:12" s="333" customFormat="1" ht="19.5" customHeight="1">
      <c r="A11" s="498" t="s">
        <v>116</v>
      </c>
      <c r="B11" s="498"/>
      <c r="C11" s="351"/>
      <c r="D11" s="349" t="s">
        <v>61</v>
      </c>
      <c r="E11" s="349"/>
      <c r="F11" s="348"/>
      <c r="G11" s="349"/>
      <c r="H11" s="348"/>
      <c r="I11" s="388" t="s">
        <v>117</v>
      </c>
    </row>
    <row r="12" spans="1:12" s="333" customFormat="1" ht="19.5" customHeight="1">
      <c r="A12" s="498" t="s">
        <v>118</v>
      </c>
      <c r="B12" s="498"/>
      <c r="C12" s="351"/>
      <c r="D12" s="348"/>
      <c r="E12" s="349" t="s">
        <v>61</v>
      </c>
      <c r="F12" s="348"/>
      <c r="G12" s="349"/>
      <c r="H12" s="348"/>
      <c r="I12" s="348" t="s">
        <v>119</v>
      </c>
    </row>
    <row r="13" spans="1:12" s="333" customFormat="1" ht="19.5" customHeight="1">
      <c r="A13" s="498" t="s">
        <v>120</v>
      </c>
      <c r="B13" s="498"/>
      <c r="C13" s="351"/>
      <c r="D13" s="348"/>
      <c r="E13" s="353"/>
      <c r="F13" s="349" t="s">
        <v>61</v>
      </c>
      <c r="G13" s="349"/>
      <c r="H13" s="348"/>
      <c r="I13" s="348"/>
    </row>
    <row r="14" spans="1:12" s="333" customFormat="1" ht="19.5" customHeight="1">
      <c r="A14" s="498" t="s">
        <v>121</v>
      </c>
      <c r="B14" s="498"/>
      <c r="C14" s="351"/>
      <c r="D14" s="348"/>
      <c r="E14" s="353"/>
      <c r="F14" s="348"/>
      <c r="G14" s="349" t="s">
        <v>61</v>
      </c>
      <c r="H14" s="348"/>
      <c r="I14" s="348"/>
    </row>
    <row r="15" spans="1:12" s="333" customFormat="1" ht="19.5" customHeight="1">
      <c r="A15" s="493" t="s">
        <v>122</v>
      </c>
      <c r="B15" s="493"/>
      <c r="C15" s="346"/>
      <c r="J15" s="389" t="s">
        <v>123</v>
      </c>
      <c r="K15" s="390"/>
      <c r="L15" s="390"/>
    </row>
    <row r="16" spans="1:12" s="333" customFormat="1" ht="27.6" customHeight="1">
      <c r="A16" s="354" t="s">
        <v>124</v>
      </c>
      <c r="B16" s="355" t="s">
        <v>125</v>
      </c>
      <c r="C16" s="499" t="s">
        <v>53</v>
      </c>
      <c r="D16" s="500"/>
      <c r="E16" s="501" t="s">
        <v>39</v>
      </c>
      <c r="F16" s="502"/>
      <c r="G16" s="502"/>
      <c r="H16" s="503" t="s">
        <v>126</v>
      </c>
      <c r="I16" s="503"/>
      <c r="J16" s="391" t="s">
        <v>127</v>
      </c>
      <c r="K16" s="391" t="s">
        <v>128</v>
      </c>
      <c r="L16" s="391" t="s">
        <v>129</v>
      </c>
    </row>
    <row r="17" spans="1:12" s="334" customFormat="1" ht="27.6" customHeight="1">
      <c r="A17" s="356" t="s">
        <v>130</v>
      </c>
      <c r="B17" s="357" t="s">
        <v>131</v>
      </c>
      <c r="C17" s="504" t="s">
        <v>60</v>
      </c>
      <c r="D17" s="505"/>
      <c r="E17" s="506" t="s">
        <v>132</v>
      </c>
      <c r="F17" s="506"/>
      <c r="G17" s="506"/>
      <c r="H17" s="506" t="s">
        <v>133</v>
      </c>
      <c r="I17" s="506"/>
      <c r="J17" s="334" t="s">
        <v>134</v>
      </c>
    </row>
    <row r="18" spans="1:12" ht="48.75" customHeight="1">
      <c r="A18" s="358" t="s">
        <v>135</v>
      </c>
      <c r="B18" s="359" t="s">
        <v>136</v>
      </c>
      <c r="C18" s="499" t="s">
        <v>60</v>
      </c>
      <c r="D18" s="500"/>
      <c r="E18" s="507" t="s">
        <v>137</v>
      </c>
      <c r="F18" s="507"/>
      <c r="G18" s="507"/>
      <c r="H18" s="508" t="s">
        <v>138</v>
      </c>
      <c r="I18" s="509"/>
      <c r="J18" s="333" t="s">
        <v>134</v>
      </c>
    </row>
    <row r="19" spans="1:12" ht="27.6" customHeight="1" outlineLevel="1">
      <c r="A19" s="360" t="s">
        <v>58</v>
      </c>
      <c r="B19" s="361" t="s">
        <v>139</v>
      </c>
      <c r="C19" s="510" t="s">
        <v>60</v>
      </c>
      <c r="D19" s="511"/>
      <c r="E19" s="512"/>
      <c r="F19" s="512"/>
      <c r="G19" s="512"/>
      <c r="H19" s="513"/>
      <c r="I19" s="513"/>
      <c r="J19" s="333" t="s">
        <v>134</v>
      </c>
    </row>
    <row r="20" spans="1:12" ht="27.6" customHeight="1" outlineLevel="1">
      <c r="A20" s="360" t="s">
        <v>63</v>
      </c>
      <c r="B20" s="361" t="s">
        <v>140</v>
      </c>
      <c r="C20" s="510" t="s">
        <v>60</v>
      </c>
      <c r="D20" s="511"/>
      <c r="E20" s="513"/>
      <c r="F20" s="513"/>
      <c r="G20" s="513"/>
      <c r="H20" s="513"/>
      <c r="I20" s="513"/>
      <c r="J20" s="333" t="s">
        <v>134</v>
      </c>
    </row>
    <row r="21" spans="1:12" s="335" customFormat="1" ht="24.75" customHeight="1">
      <c r="A21" s="362" t="s">
        <v>141</v>
      </c>
      <c r="B21" s="363" t="s">
        <v>142</v>
      </c>
      <c r="C21" s="514"/>
      <c r="D21" s="515"/>
      <c r="E21" s="516" t="s">
        <v>132</v>
      </c>
      <c r="F21" s="517"/>
      <c r="G21" s="517"/>
      <c r="H21" s="518" t="s">
        <v>65</v>
      </c>
      <c r="I21" s="519"/>
    </row>
    <row r="22" spans="1:12" s="336" customFormat="1" ht="38.25" customHeight="1" outlineLevel="1">
      <c r="A22" s="364" t="s">
        <v>58</v>
      </c>
      <c r="B22" s="365" t="s">
        <v>143</v>
      </c>
      <c r="C22" s="510"/>
      <c r="D22" s="511"/>
      <c r="E22" s="512"/>
      <c r="F22" s="512"/>
      <c r="G22" s="512"/>
      <c r="H22" s="513"/>
      <c r="I22" s="513"/>
    </row>
    <row r="23" spans="1:12" s="336" customFormat="1" ht="38.25" customHeight="1" outlineLevel="1">
      <c r="A23" s="364" t="s">
        <v>63</v>
      </c>
      <c r="B23" s="366" t="s">
        <v>144</v>
      </c>
      <c r="C23" s="510"/>
      <c r="D23" s="511"/>
      <c r="E23" s="512"/>
      <c r="F23" s="512"/>
      <c r="G23" s="512"/>
      <c r="H23" s="513"/>
      <c r="I23" s="513"/>
    </row>
    <row r="24" spans="1:12" ht="38.25" customHeight="1">
      <c r="A24" s="358" t="s">
        <v>145</v>
      </c>
      <c r="B24" s="367" t="s">
        <v>146</v>
      </c>
      <c r="C24" s="499" t="s">
        <v>147</v>
      </c>
      <c r="D24" s="500"/>
      <c r="E24" s="520" t="s">
        <v>148</v>
      </c>
      <c r="F24" s="521"/>
      <c r="G24" s="521"/>
      <c r="H24" s="520"/>
      <c r="I24" s="508"/>
      <c r="J24" s="341" t="s">
        <v>149</v>
      </c>
      <c r="K24" s="341" t="s">
        <v>150</v>
      </c>
    </row>
    <row r="25" spans="1:12" ht="38.25" customHeight="1" outlineLevel="1">
      <c r="A25" s="368" t="s">
        <v>58</v>
      </c>
      <c r="B25" s="369" t="s">
        <v>151</v>
      </c>
      <c r="C25" s="510" t="s">
        <v>147</v>
      </c>
      <c r="D25" s="511"/>
      <c r="E25" s="522"/>
      <c r="F25" s="523"/>
      <c r="G25" s="523"/>
      <c r="H25" s="522"/>
      <c r="I25" s="524"/>
      <c r="J25" s="341" t="s">
        <v>149</v>
      </c>
      <c r="K25" s="341" t="s">
        <v>150</v>
      </c>
    </row>
    <row r="26" spans="1:12" ht="38.25" customHeight="1" outlineLevel="1">
      <c r="A26" s="368" t="s">
        <v>63</v>
      </c>
      <c r="B26" s="370" t="s">
        <v>152</v>
      </c>
      <c r="C26" s="510" t="s">
        <v>147</v>
      </c>
      <c r="D26" s="511"/>
      <c r="E26" s="522"/>
      <c r="F26" s="523"/>
      <c r="G26" s="523"/>
      <c r="H26" s="522"/>
      <c r="I26" s="524"/>
      <c r="J26" s="341" t="s">
        <v>149</v>
      </c>
      <c r="K26" s="341" t="s">
        <v>150</v>
      </c>
    </row>
    <row r="27" spans="1:12" ht="30" customHeight="1" outlineLevel="1">
      <c r="A27" s="368" t="s">
        <v>67</v>
      </c>
      <c r="B27" s="371" t="s">
        <v>153</v>
      </c>
      <c r="C27" s="510" t="s">
        <v>147</v>
      </c>
      <c r="D27" s="511"/>
      <c r="E27" s="513"/>
      <c r="F27" s="513"/>
      <c r="G27" s="513"/>
      <c r="H27" s="513"/>
      <c r="I27" s="513"/>
      <c r="J27" s="341" t="s">
        <v>149</v>
      </c>
      <c r="K27" s="341" t="s">
        <v>150</v>
      </c>
    </row>
    <row r="28" spans="1:12" ht="27.75" customHeight="1" outlineLevel="1">
      <c r="A28" s="368" t="s">
        <v>71</v>
      </c>
      <c r="B28" s="369" t="s">
        <v>154</v>
      </c>
      <c r="C28" s="510" t="s">
        <v>147</v>
      </c>
      <c r="D28" s="511"/>
      <c r="E28" s="513"/>
      <c r="F28" s="513"/>
      <c r="G28" s="513"/>
      <c r="H28" s="513"/>
      <c r="I28" s="513"/>
      <c r="J28" s="341" t="s">
        <v>149</v>
      </c>
      <c r="K28" s="341" t="s">
        <v>150</v>
      </c>
    </row>
    <row r="29" spans="1:12" s="337" customFormat="1" ht="27.6" customHeight="1">
      <c r="A29" s="358" t="s">
        <v>155</v>
      </c>
      <c r="B29" s="372" t="s">
        <v>156</v>
      </c>
      <c r="C29" s="499" t="s">
        <v>60</v>
      </c>
      <c r="D29" s="500"/>
      <c r="E29" s="509" t="s">
        <v>157</v>
      </c>
      <c r="F29" s="509"/>
      <c r="G29" s="509"/>
      <c r="H29" s="509" t="s">
        <v>158</v>
      </c>
      <c r="I29" s="509"/>
      <c r="J29" s="392" t="s">
        <v>159</v>
      </c>
    </row>
    <row r="30" spans="1:12" ht="30" customHeight="1" outlineLevel="1">
      <c r="A30" s="368" t="s">
        <v>63</v>
      </c>
      <c r="B30" s="373" t="s">
        <v>160</v>
      </c>
      <c r="C30" s="510" t="s">
        <v>161</v>
      </c>
      <c r="D30" s="511"/>
      <c r="E30" s="513"/>
      <c r="F30" s="513"/>
      <c r="G30" s="513"/>
      <c r="H30" s="513"/>
      <c r="I30" s="513"/>
      <c r="J30" s="341" t="s">
        <v>162</v>
      </c>
    </row>
    <row r="31" spans="1:12" ht="45" customHeight="1" outlineLevel="1">
      <c r="A31" s="368" t="s">
        <v>67</v>
      </c>
      <c r="B31" s="373" t="s">
        <v>163</v>
      </c>
      <c r="C31" s="510" t="s">
        <v>161</v>
      </c>
      <c r="D31" s="511"/>
      <c r="E31" s="513"/>
      <c r="F31" s="513"/>
      <c r="G31" s="513"/>
      <c r="H31" s="513"/>
      <c r="I31" s="513"/>
      <c r="J31" s="392" t="s">
        <v>159</v>
      </c>
    </row>
    <row r="32" spans="1:12" ht="27.6" customHeight="1">
      <c r="A32" s="358" t="s">
        <v>164</v>
      </c>
      <c r="B32" s="374" t="s">
        <v>165</v>
      </c>
      <c r="C32" s="499" t="s">
        <v>60</v>
      </c>
      <c r="D32" s="500"/>
      <c r="E32" s="509" t="s">
        <v>166</v>
      </c>
      <c r="F32" s="509"/>
      <c r="G32" s="509"/>
      <c r="H32" s="525" t="s">
        <v>167</v>
      </c>
      <c r="I32" s="525"/>
      <c r="J32" s="341" t="s">
        <v>168</v>
      </c>
      <c r="L32" s="393" t="s">
        <v>169</v>
      </c>
    </row>
    <row r="33" spans="1:12" ht="27" customHeight="1" outlineLevel="1">
      <c r="A33" s="360" t="s">
        <v>58</v>
      </c>
      <c r="B33" s="375" t="s">
        <v>170</v>
      </c>
      <c r="C33" s="510" t="s">
        <v>60</v>
      </c>
      <c r="D33" s="511"/>
      <c r="E33" s="513"/>
      <c r="F33" s="513"/>
      <c r="G33" s="513"/>
      <c r="H33" s="526"/>
      <c r="I33" s="526"/>
      <c r="J33" s="341" t="s">
        <v>168</v>
      </c>
    </row>
    <row r="34" spans="1:12" ht="36" customHeight="1" outlineLevel="1">
      <c r="A34" s="360" t="s">
        <v>63</v>
      </c>
      <c r="B34" s="375" t="s">
        <v>171</v>
      </c>
      <c r="C34" s="510" t="s">
        <v>60</v>
      </c>
      <c r="D34" s="511"/>
      <c r="E34" s="513"/>
      <c r="F34" s="513"/>
      <c r="G34" s="513"/>
      <c r="H34" s="526"/>
      <c r="I34" s="526"/>
      <c r="J34" s="341" t="s">
        <v>168</v>
      </c>
    </row>
    <row r="35" spans="1:12" ht="51.75" customHeight="1" outlineLevel="1">
      <c r="A35" s="360" t="s">
        <v>67</v>
      </c>
      <c r="B35" s="375" t="s">
        <v>172</v>
      </c>
      <c r="C35" s="510" t="s">
        <v>60</v>
      </c>
      <c r="D35" s="511"/>
      <c r="E35" s="513" t="s">
        <v>137</v>
      </c>
      <c r="F35" s="513"/>
      <c r="G35" s="513"/>
      <c r="H35" s="526"/>
      <c r="I35" s="526"/>
      <c r="J35" s="341" t="s">
        <v>168</v>
      </c>
    </row>
    <row r="36" spans="1:12" ht="36" customHeight="1" outlineLevel="1">
      <c r="A36" s="360" t="s">
        <v>71</v>
      </c>
      <c r="B36" s="376" t="s">
        <v>173</v>
      </c>
      <c r="C36" s="510" t="s">
        <v>161</v>
      </c>
      <c r="D36" s="511"/>
      <c r="E36" s="513"/>
      <c r="F36" s="513"/>
      <c r="G36" s="513"/>
      <c r="H36" s="526"/>
      <c r="I36" s="526"/>
      <c r="J36" s="341" t="s">
        <v>168</v>
      </c>
    </row>
    <row r="37" spans="1:12" ht="36.75" customHeight="1" outlineLevel="1">
      <c r="A37" s="360" t="s">
        <v>77</v>
      </c>
      <c r="B37" s="377" t="s">
        <v>174</v>
      </c>
      <c r="C37" s="510" t="s">
        <v>60</v>
      </c>
      <c r="D37" s="511"/>
      <c r="E37" s="513"/>
      <c r="F37" s="513"/>
      <c r="G37" s="513"/>
      <c r="H37" s="526"/>
      <c r="I37" s="526"/>
      <c r="J37" s="341" t="s">
        <v>168</v>
      </c>
    </row>
    <row r="38" spans="1:12" ht="39" customHeight="1" outlineLevel="1">
      <c r="A38" s="360" t="s">
        <v>79</v>
      </c>
      <c r="B38" s="351" t="s">
        <v>175</v>
      </c>
      <c r="C38" s="510" t="s">
        <v>161</v>
      </c>
      <c r="D38" s="511"/>
      <c r="E38" s="513"/>
      <c r="F38" s="513"/>
      <c r="G38" s="513"/>
      <c r="H38" s="526"/>
      <c r="I38" s="526"/>
      <c r="J38" s="341" t="s">
        <v>168</v>
      </c>
    </row>
    <row r="39" spans="1:12" ht="43.5" customHeight="1" outlineLevel="1">
      <c r="A39" s="360" t="s">
        <v>82</v>
      </c>
      <c r="B39" s="378" t="s">
        <v>176</v>
      </c>
      <c r="C39" s="510" t="s">
        <v>177</v>
      </c>
      <c r="D39" s="511"/>
      <c r="E39" s="522"/>
      <c r="F39" s="523"/>
      <c r="G39" s="523"/>
      <c r="H39" s="522"/>
      <c r="I39" s="524"/>
      <c r="J39" s="341" t="s">
        <v>178</v>
      </c>
      <c r="L39" s="341" t="s">
        <v>179</v>
      </c>
    </row>
    <row r="40" spans="1:12" ht="33.75" customHeight="1" outlineLevel="1">
      <c r="A40" s="360" t="s">
        <v>85</v>
      </c>
      <c r="B40" s="373" t="s">
        <v>180</v>
      </c>
      <c r="C40" s="510" t="s">
        <v>177</v>
      </c>
      <c r="D40" s="511"/>
      <c r="E40" s="522"/>
      <c r="F40" s="523"/>
      <c r="G40" s="523"/>
      <c r="H40" s="522"/>
      <c r="I40" s="524"/>
      <c r="J40" s="341" t="s">
        <v>178</v>
      </c>
      <c r="L40" s="341" t="s">
        <v>179</v>
      </c>
    </row>
    <row r="41" spans="1:12" ht="28.5" customHeight="1" outlineLevel="1">
      <c r="A41" s="360" t="s">
        <v>87</v>
      </c>
      <c r="B41" s="375" t="s">
        <v>181</v>
      </c>
      <c r="C41" s="510" t="s">
        <v>60</v>
      </c>
      <c r="D41" s="511"/>
      <c r="E41" s="522"/>
      <c r="F41" s="523"/>
      <c r="G41" s="523"/>
      <c r="H41" s="522"/>
      <c r="I41" s="524"/>
      <c r="J41" s="341" t="s">
        <v>178</v>
      </c>
      <c r="L41" s="341" t="s">
        <v>179</v>
      </c>
    </row>
    <row r="42" spans="1:12" ht="27.6" customHeight="1">
      <c r="A42" s="358" t="s">
        <v>182</v>
      </c>
      <c r="B42" s="372" t="s">
        <v>183</v>
      </c>
      <c r="C42" s="499" t="s">
        <v>60</v>
      </c>
      <c r="D42" s="500"/>
      <c r="E42" s="509" t="s">
        <v>137</v>
      </c>
      <c r="F42" s="509"/>
      <c r="G42" s="509"/>
      <c r="H42" s="525" t="s">
        <v>184</v>
      </c>
      <c r="I42" s="525"/>
      <c r="J42" s="341" t="s">
        <v>162</v>
      </c>
    </row>
    <row r="43" spans="1:12" ht="27.6" customHeight="1" outlineLevel="1">
      <c r="A43" s="368" t="s">
        <v>58</v>
      </c>
      <c r="B43" s="352" t="s">
        <v>185</v>
      </c>
      <c r="C43" s="510" t="s">
        <v>60</v>
      </c>
      <c r="D43" s="511"/>
      <c r="E43" s="513"/>
      <c r="F43" s="513"/>
      <c r="G43" s="513"/>
      <c r="H43" s="526"/>
      <c r="I43" s="526"/>
      <c r="J43" s="341" t="s">
        <v>162</v>
      </c>
    </row>
    <row r="44" spans="1:12" ht="27.6" customHeight="1" outlineLevel="1">
      <c r="A44" s="368" t="s">
        <v>63</v>
      </c>
      <c r="B44" s="352" t="s">
        <v>186</v>
      </c>
      <c r="C44" s="510" t="s">
        <v>60</v>
      </c>
      <c r="D44" s="511"/>
      <c r="E44" s="513"/>
      <c r="F44" s="513"/>
      <c r="G44" s="513"/>
      <c r="H44" s="526"/>
      <c r="I44" s="526"/>
      <c r="J44" s="341" t="s">
        <v>162</v>
      </c>
    </row>
    <row r="45" spans="1:12" ht="46.5" customHeight="1" outlineLevel="1">
      <c r="A45" s="368" t="s">
        <v>67</v>
      </c>
      <c r="B45" s="375" t="s">
        <v>187</v>
      </c>
      <c r="C45" s="510" t="s">
        <v>60</v>
      </c>
      <c r="D45" s="511"/>
      <c r="E45" s="513"/>
      <c r="F45" s="513"/>
      <c r="G45" s="513"/>
      <c r="H45" s="526"/>
      <c r="I45" s="526"/>
      <c r="J45" s="341" t="s">
        <v>162</v>
      </c>
    </row>
    <row r="46" spans="1:12" ht="27.6" customHeight="1" outlineLevel="1">
      <c r="A46" s="368" t="s">
        <v>71</v>
      </c>
      <c r="B46" s="352" t="s">
        <v>188</v>
      </c>
      <c r="C46" s="510" t="s">
        <v>161</v>
      </c>
      <c r="D46" s="511"/>
      <c r="E46" s="513"/>
      <c r="F46" s="513"/>
      <c r="G46" s="513"/>
      <c r="H46" s="526"/>
      <c r="I46" s="526"/>
      <c r="J46" s="341" t="s">
        <v>162</v>
      </c>
    </row>
    <row r="47" spans="1:12" ht="27.6" customHeight="1" outlineLevel="1">
      <c r="A47" s="368" t="s">
        <v>77</v>
      </c>
      <c r="B47" s="352" t="s">
        <v>189</v>
      </c>
      <c r="C47" s="510" t="s">
        <v>161</v>
      </c>
      <c r="D47" s="511"/>
      <c r="E47" s="513"/>
      <c r="F47" s="513"/>
      <c r="G47" s="513"/>
      <c r="H47" s="526"/>
      <c r="I47" s="526"/>
      <c r="J47" s="341" t="s">
        <v>162</v>
      </c>
    </row>
    <row r="48" spans="1:12" ht="27.6" customHeight="1" outlineLevel="1">
      <c r="A48" s="358" t="s">
        <v>190</v>
      </c>
      <c r="B48" s="379" t="s">
        <v>191</v>
      </c>
      <c r="C48" s="499" t="s">
        <v>177</v>
      </c>
      <c r="D48" s="500" t="s">
        <v>192</v>
      </c>
      <c r="E48" s="509" t="s">
        <v>193</v>
      </c>
      <c r="F48" s="509"/>
      <c r="G48" s="509"/>
      <c r="H48" s="509" t="s">
        <v>194</v>
      </c>
      <c r="I48" s="509"/>
      <c r="J48" s="394" t="s">
        <v>195</v>
      </c>
    </row>
    <row r="49" spans="1:10" ht="27.6" customHeight="1" outlineLevel="1">
      <c r="A49" s="368" t="s">
        <v>58</v>
      </c>
      <c r="B49" s="373" t="s">
        <v>196</v>
      </c>
      <c r="C49" s="522" t="s">
        <v>177</v>
      </c>
      <c r="D49" s="524" t="s">
        <v>192</v>
      </c>
      <c r="E49" s="513"/>
      <c r="F49" s="513"/>
      <c r="G49" s="513"/>
      <c r="H49" s="513"/>
      <c r="I49" s="513"/>
      <c r="J49" s="341" t="s">
        <v>149</v>
      </c>
    </row>
    <row r="50" spans="1:10" ht="27.6" customHeight="1" outlineLevel="1">
      <c r="A50" s="368" t="s">
        <v>197</v>
      </c>
      <c r="B50" s="373" t="s">
        <v>198</v>
      </c>
      <c r="C50" s="522" t="s">
        <v>177</v>
      </c>
      <c r="D50" s="524" t="s">
        <v>192</v>
      </c>
      <c r="E50" s="513"/>
      <c r="F50" s="513"/>
      <c r="G50" s="513"/>
      <c r="H50" s="513"/>
      <c r="I50" s="513"/>
      <c r="J50" s="341" t="s">
        <v>149</v>
      </c>
    </row>
    <row r="51" spans="1:10" ht="27.6" customHeight="1" outlineLevel="1">
      <c r="A51" s="368" t="s">
        <v>199</v>
      </c>
      <c r="B51" s="381" t="s">
        <v>200</v>
      </c>
      <c r="C51" s="353"/>
      <c r="D51" s="380"/>
      <c r="E51" s="348"/>
      <c r="F51" s="348"/>
      <c r="G51" s="348"/>
      <c r="H51" s="348"/>
      <c r="I51" s="348"/>
    </row>
    <row r="52" spans="1:10" ht="46.5" customHeight="1" outlineLevel="1">
      <c r="A52" s="368" t="s">
        <v>63</v>
      </c>
      <c r="B52" s="378" t="s">
        <v>201</v>
      </c>
      <c r="C52" s="522" t="s">
        <v>177</v>
      </c>
      <c r="D52" s="524" t="s">
        <v>192</v>
      </c>
      <c r="E52" s="513"/>
      <c r="F52" s="513"/>
      <c r="G52" s="513"/>
      <c r="H52" s="513"/>
      <c r="I52" s="513"/>
      <c r="J52" s="341" t="s">
        <v>149</v>
      </c>
    </row>
    <row r="53" spans="1:10" ht="27.6" customHeight="1" outlineLevel="1">
      <c r="A53" s="368" t="s">
        <v>67</v>
      </c>
      <c r="B53" s="382" t="s">
        <v>202</v>
      </c>
      <c r="C53" s="522" t="s">
        <v>177</v>
      </c>
      <c r="D53" s="524" t="s">
        <v>192</v>
      </c>
      <c r="E53" s="513"/>
      <c r="F53" s="513"/>
      <c r="G53" s="513"/>
      <c r="H53" s="526" t="s">
        <v>203</v>
      </c>
      <c r="I53" s="526"/>
      <c r="J53" s="341" t="s">
        <v>149</v>
      </c>
    </row>
    <row r="54" spans="1:10" ht="27.6" customHeight="1" outlineLevel="1">
      <c r="A54" s="383" t="s">
        <v>204</v>
      </c>
      <c r="B54" s="382" t="s">
        <v>205</v>
      </c>
      <c r="C54" s="522" t="s">
        <v>177</v>
      </c>
      <c r="D54" s="524" t="s">
        <v>192</v>
      </c>
      <c r="E54" s="513"/>
      <c r="F54" s="513"/>
      <c r="G54" s="513"/>
      <c r="H54" s="526"/>
      <c r="I54" s="526"/>
    </row>
    <row r="55" spans="1:10" ht="27.6" customHeight="1" outlineLevel="1">
      <c r="A55" s="383" t="s">
        <v>206</v>
      </c>
      <c r="B55" s="382" t="s">
        <v>207</v>
      </c>
      <c r="C55" s="522" t="s">
        <v>177</v>
      </c>
      <c r="D55" s="524" t="s">
        <v>192</v>
      </c>
      <c r="E55" s="513"/>
      <c r="F55" s="513"/>
      <c r="G55" s="513"/>
      <c r="H55" s="526"/>
      <c r="I55" s="526"/>
    </row>
    <row r="56" spans="1:10" ht="27.6" customHeight="1" outlineLevel="1">
      <c r="A56" s="383" t="s">
        <v>208</v>
      </c>
      <c r="B56" s="382" t="s">
        <v>209</v>
      </c>
      <c r="C56" s="522" t="s">
        <v>177</v>
      </c>
      <c r="D56" s="524" t="s">
        <v>192</v>
      </c>
      <c r="E56" s="513"/>
      <c r="F56" s="513"/>
      <c r="G56" s="513"/>
      <c r="H56" s="526"/>
      <c r="I56" s="526"/>
    </row>
    <row r="57" spans="1:10" ht="27.6" customHeight="1" outlineLevel="1">
      <c r="A57" s="368" t="s">
        <v>71</v>
      </c>
      <c r="B57" s="384" t="s">
        <v>210</v>
      </c>
      <c r="C57" s="522" t="s">
        <v>177</v>
      </c>
      <c r="D57" s="524" t="s">
        <v>192</v>
      </c>
      <c r="E57" s="513"/>
      <c r="F57" s="513"/>
      <c r="G57" s="513"/>
      <c r="H57" s="526"/>
      <c r="I57" s="526"/>
      <c r="J57" s="341" t="s">
        <v>149</v>
      </c>
    </row>
    <row r="58" spans="1:10" ht="27.6" customHeight="1" outlineLevel="1">
      <c r="A58" s="385" t="s">
        <v>197</v>
      </c>
      <c r="B58" s="386" t="s">
        <v>211</v>
      </c>
      <c r="C58" s="522" t="s">
        <v>177</v>
      </c>
      <c r="D58" s="524" t="s">
        <v>192</v>
      </c>
      <c r="E58" s="513"/>
      <c r="F58" s="513"/>
      <c r="G58" s="513"/>
      <c r="H58" s="526"/>
      <c r="I58" s="526"/>
      <c r="J58" s="341" t="s">
        <v>149</v>
      </c>
    </row>
    <row r="59" spans="1:10" ht="27.6" customHeight="1" outlineLevel="1">
      <c r="A59" s="385" t="s">
        <v>199</v>
      </c>
      <c r="B59" s="384" t="s">
        <v>212</v>
      </c>
      <c r="C59" s="522" t="s">
        <v>177</v>
      </c>
      <c r="D59" s="524" t="s">
        <v>192</v>
      </c>
      <c r="E59" s="513"/>
      <c r="F59" s="513"/>
      <c r="G59" s="513"/>
      <c r="H59" s="526"/>
      <c r="I59" s="526"/>
      <c r="J59" s="341" t="s">
        <v>149</v>
      </c>
    </row>
    <row r="60" spans="1:10" ht="27.6" customHeight="1" outlineLevel="1">
      <c r="A60" s="385" t="s">
        <v>77</v>
      </c>
      <c r="B60" s="384" t="s">
        <v>213</v>
      </c>
      <c r="C60" s="522" t="s">
        <v>177</v>
      </c>
      <c r="D60" s="524" t="s">
        <v>192</v>
      </c>
      <c r="E60" s="513"/>
      <c r="F60" s="513"/>
      <c r="G60" s="513"/>
      <c r="H60" s="526"/>
      <c r="I60" s="526"/>
    </row>
    <row r="61" spans="1:10" ht="27.6" customHeight="1" outlineLevel="1">
      <c r="A61" s="387" t="s">
        <v>79</v>
      </c>
      <c r="B61" s="384" t="s">
        <v>214</v>
      </c>
      <c r="C61" s="522" t="s">
        <v>177</v>
      </c>
      <c r="D61" s="524" t="s">
        <v>192</v>
      </c>
      <c r="E61" s="513"/>
      <c r="F61" s="513"/>
      <c r="G61" s="513"/>
      <c r="H61" s="526"/>
      <c r="I61" s="526"/>
      <c r="J61" s="341" t="s">
        <v>149</v>
      </c>
    </row>
    <row r="62" spans="1:10" ht="27.6" customHeight="1" outlineLevel="1">
      <c r="A62" s="387" t="s">
        <v>82</v>
      </c>
      <c r="B62" s="375" t="s">
        <v>215</v>
      </c>
      <c r="C62" s="522" t="s">
        <v>177</v>
      </c>
      <c r="D62" s="524" t="s">
        <v>192</v>
      </c>
      <c r="E62" s="513"/>
      <c r="F62" s="513"/>
      <c r="G62" s="513"/>
      <c r="H62" s="526"/>
      <c r="I62" s="526"/>
      <c r="J62" s="341" t="s">
        <v>149</v>
      </c>
    </row>
    <row r="63" spans="1:10" ht="27.6" customHeight="1" outlineLevel="1">
      <c r="A63" s="387" t="s">
        <v>85</v>
      </c>
      <c r="B63" s="375" t="s">
        <v>216</v>
      </c>
      <c r="C63" s="522" t="s">
        <v>177</v>
      </c>
      <c r="D63" s="524" t="s">
        <v>192</v>
      </c>
      <c r="E63" s="513"/>
      <c r="F63" s="513"/>
      <c r="G63" s="513"/>
      <c r="H63" s="526" t="s">
        <v>217</v>
      </c>
      <c r="I63" s="526"/>
      <c r="J63" s="341" t="s">
        <v>149</v>
      </c>
    </row>
    <row r="64" spans="1:10" ht="27.6" customHeight="1" outlineLevel="1">
      <c r="A64" s="387" t="s">
        <v>87</v>
      </c>
      <c r="B64" s="347" t="s">
        <v>218</v>
      </c>
      <c r="C64" s="522" t="s">
        <v>177</v>
      </c>
      <c r="D64" s="524" t="s">
        <v>192</v>
      </c>
      <c r="E64" s="513"/>
      <c r="F64" s="513"/>
      <c r="G64" s="513"/>
      <c r="H64" s="526" t="s">
        <v>219</v>
      </c>
      <c r="I64" s="526"/>
      <c r="J64" s="341" t="s">
        <v>149</v>
      </c>
    </row>
    <row r="65" spans="1:13" ht="27.6" customHeight="1" outlineLevel="1">
      <c r="A65" s="360" t="s">
        <v>197</v>
      </c>
      <c r="B65" s="375" t="s">
        <v>220</v>
      </c>
      <c r="C65" s="522" t="s">
        <v>177</v>
      </c>
      <c r="D65" s="524" t="s">
        <v>192</v>
      </c>
      <c r="E65" s="513"/>
      <c r="F65" s="513"/>
      <c r="G65" s="513"/>
      <c r="H65" s="526"/>
      <c r="I65" s="526"/>
      <c r="J65" s="341" t="s">
        <v>149</v>
      </c>
    </row>
    <row r="66" spans="1:13" ht="27.6" customHeight="1" outlineLevel="1">
      <c r="A66" s="368" t="s">
        <v>199</v>
      </c>
      <c r="B66" s="351" t="s">
        <v>221</v>
      </c>
      <c r="C66" s="522" t="s">
        <v>177</v>
      </c>
      <c r="D66" s="524" t="s">
        <v>192</v>
      </c>
      <c r="E66" s="513"/>
      <c r="F66" s="513"/>
      <c r="G66" s="513"/>
      <c r="H66" s="526"/>
      <c r="I66" s="526"/>
      <c r="J66" s="341" t="s">
        <v>149</v>
      </c>
    </row>
    <row r="67" spans="1:13" ht="27.6" customHeight="1" outlineLevel="1">
      <c r="A67" s="368" t="s">
        <v>88</v>
      </c>
      <c r="B67" s="351" t="s">
        <v>222</v>
      </c>
      <c r="C67" s="522" t="s">
        <v>177</v>
      </c>
      <c r="D67" s="524" t="s">
        <v>192</v>
      </c>
      <c r="E67" s="513"/>
      <c r="F67" s="513"/>
      <c r="G67" s="513"/>
      <c r="H67" s="526" t="s">
        <v>217</v>
      </c>
      <c r="I67" s="526"/>
      <c r="J67" s="341" t="s">
        <v>149</v>
      </c>
    </row>
    <row r="68" spans="1:13" ht="27.6" customHeight="1" outlineLevel="1">
      <c r="A68" s="360" t="s">
        <v>197</v>
      </c>
      <c r="B68" s="352" t="s">
        <v>223</v>
      </c>
      <c r="C68" s="522" t="s">
        <v>177</v>
      </c>
      <c r="D68" s="524" t="s">
        <v>192</v>
      </c>
      <c r="E68" s="513"/>
      <c r="F68" s="513"/>
      <c r="G68" s="513"/>
      <c r="H68" s="526"/>
      <c r="I68" s="526"/>
      <c r="J68" s="341" t="s">
        <v>149</v>
      </c>
    </row>
    <row r="69" spans="1:13" ht="27.6" customHeight="1" outlineLevel="1">
      <c r="A69" s="368" t="s">
        <v>199</v>
      </c>
      <c r="B69" s="375" t="s">
        <v>224</v>
      </c>
      <c r="C69" s="522" t="s">
        <v>177</v>
      </c>
      <c r="D69" s="524" t="s">
        <v>192</v>
      </c>
      <c r="E69" s="513"/>
      <c r="F69" s="513"/>
      <c r="G69" s="513"/>
      <c r="H69" s="526"/>
      <c r="I69" s="526"/>
      <c r="J69" s="341" t="s">
        <v>149</v>
      </c>
    </row>
    <row r="70" spans="1:13" ht="27.6" customHeight="1" outlineLevel="1">
      <c r="A70" s="360" t="s">
        <v>225</v>
      </c>
      <c r="B70" s="352" t="s">
        <v>226</v>
      </c>
      <c r="C70" s="522" t="s">
        <v>177</v>
      </c>
      <c r="D70" s="524" t="s">
        <v>192</v>
      </c>
      <c r="E70" s="513"/>
      <c r="F70" s="513"/>
      <c r="G70" s="513"/>
      <c r="H70" s="526"/>
      <c r="I70" s="526"/>
      <c r="J70" s="341" t="s">
        <v>149</v>
      </c>
    </row>
    <row r="71" spans="1:13" ht="27.6" customHeight="1">
      <c r="A71" s="395" t="s">
        <v>227</v>
      </c>
      <c r="B71" s="396" t="s">
        <v>228</v>
      </c>
      <c r="C71" s="504" t="s">
        <v>147</v>
      </c>
      <c r="D71" s="505"/>
      <c r="E71" s="506" t="s">
        <v>229</v>
      </c>
      <c r="F71" s="506"/>
      <c r="G71" s="506"/>
      <c r="H71" s="506"/>
      <c r="I71" s="506"/>
      <c r="J71" s="392" t="s">
        <v>178</v>
      </c>
    </row>
    <row r="72" spans="1:13" ht="31.5" customHeight="1">
      <c r="A72" s="362" t="s">
        <v>230</v>
      </c>
      <c r="B72" s="397" t="s">
        <v>231</v>
      </c>
      <c r="C72" s="504" t="s">
        <v>60</v>
      </c>
      <c r="D72" s="505"/>
      <c r="E72" s="506" t="s">
        <v>232</v>
      </c>
      <c r="F72" s="506"/>
      <c r="G72" s="506"/>
      <c r="H72" s="506" t="s">
        <v>233</v>
      </c>
      <c r="I72" s="506"/>
    </row>
    <row r="73" spans="1:13" ht="31.5" customHeight="1">
      <c r="A73" s="368" t="s">
        <v>58</v>
      </c>
      <c r="B73" s="369" t="s">
        <v>234</v>
      </c>
      <c r="C73" s="510" t="s">
        <v>60</v>
      </c>
      <c r="D73" s="511"/>
      <c r="E73" s="513" t="s">
        <v>232</v>
      </c>
      <c r="F73" s="513"/>
      <c r="G73" s="513"/>
      <c r="H73" s="513"/>
      <c r="I73" s="513"/>
    </row>
    <row r="74" spans="1:13" ht="31.5" customHeight="1">
      <c r="A74" s="368" t="s">
        <v>63</v>
      </c>
      <c r="B74" s="369" t="s">
        <v>235</v>
      </c>
      <c r="C74" s="510" t="s">
        <v>60</v>
      </c>
      <c r="D74" s="511"/>
      <c r="E74" s="513" t="s">
        <v>232</v>
      </c>
      <c r="F74" s="513"/>
      <c r="G74" s="513"/>
      <c r="H74" s="513"/>
      <c r="I74" s="513"/>
    </row>
    <row r="75" spans="1:13" ht="31.5" customHeight="1">
      <c r="A75" s="398"/>
      <c r="B75" s="399"/>
      <c r="C75" s="400"/>
      <c r="D75" s="400"/>
      <c r="E75" s="401"/>
      <c r="F75" s="401"/>
      <c r="G75" s="401"/>
      <c r="H75" s="401"/>
      <c r="I75" s="401"/>
    </row>
    <row r="76" spans="1:13" ht="27.6" customHeight="1">
      <c r="A76" s="402" t="s">
        <v>236</v>
      </c>
      <c r="B76" s="403"/>
      <c r="C76" s="404"/>
      <c r="D76" s="404"/>
      <c r="E76" s="404"/>
      <c r="F76" s="404"/>
      <c r="G76" s="404"/>
      <c r="H76" s="404"/>
      <c r="I76" s="404"/>
      <c r="J76" s="424" t="s">
        <v>237</v>
      </c>
      <c r="M76" s="425" t="s">
        <v>169</v>
      </c>
    </row>
    <row r="77" spans="1:13" ht="27.6" customHeight="1">
      <c r="A77" s="405" t="s">
        <v>238</v>
      </c>
      <c r="B77" s="406" t="s">
        <v>52</v>
      </c>
      <c r="C77" s="527" t="s">
        <v>239</v>
      </c>
      <c r="D77" s="528"/>
      <c r="E77" s="529" t="s">
        <v>39</v>
      </c>
      <c r="F77" s="530"/>
      <c r="G77" s="530"/>
      <c r="H77" s="531" t="s">
        <v>240</v>
      </c>
      <c r="I77" s="531"/>
      <c r="J77" s="424"/>
    </row>
    <row r="78" spans="1:13" s="338" customFormat="1" ht="27.6" customHeight="1">
      <c r="A78" s="407" t="s">
        <v>230</v>
      </c>
      <c r="B78" s="408" t="s">
        <v>241</v>
      </c>
      <c r="C78" s="532" t="s">
        <v>242</v>
      </c>
      <c r="D78" s="533"/>
      <c r="E78" s="534" t="s">
        <v>166</v>
      </c>
      <c r="F78" s="534"/>
      <c r="G78" s="534"/>
      <c r="H78" s="409"/>
      <c r="I78" s="535"/>
      <c r="J78" s="535"/>
      <c r="K78" s="426"/>
      <c r="L78" s="427" t="s">
        <v>243</v>
      </c>
    </row>
    <row r="79" spans="1:13" ht="27.6" customHeight="1">
      <c r="A79" s="410" t="s">
        <v>58</v>
      </c>
      <c r="B79" s="411" t="s">
        <v>244</v>
      </c>
      <c r="C79" s="536" t="s">
        <v>242</v>
      </c>
      <c r="D79" s="537"/>
      <c r="E79" s="538"/>
      <c r="F79" s="538"/>
      <c r="G79" s="538"/>
      <c r="H79" s="539"/>
      <c r="I79" s="539"/>
      <c r="J79" s="424"/>
    </row>
    <row r="80" spans="1:13" ht="27.6" customHeight="1">
      <c r="A80" s="410" t="s">
        <v>63</v>
      </c>
      <c r="B80" s="411" t="s">
        <v>245</v>
      </c>
      <c r="C80" s="536" t="s">
        <v>242</v>
      </c>
      <c r="D80" s="537" t="s">
        <v>246</v>
      </c>
      <c r="E80" s="538"/>
      <c r="F80" s="538"/>
      <c r="G80" s="538"/>
      <c r="H80" s="539"/>
      <c r="I80" s="539"/>
      <c r="J80" s="424"/>
    </row>
    <row r="81" spans="1:10" ht="27.6" customHeight="1">
      <c r="A81" s="410" t="s">
        <v>67</v>
      </c>
      <c r="B81" s="411" t="s">
        <v>247</v>
      </c>
      <c r="C81" s="536" t="s">
        <v>242</v>
      </c>
      <c r="D81" s="537" t="s">
        <v>246</v>
      </c>
      <c r="E81" s="538"/>
      <c r="F81" s="538"/>
      <c r="G81" s="538"/>
      <c r="H81" s="539"/>
      <c r="I81" s="539"/>
      <c r="J81" s="424"/>
    </row>
    <row r="82" spans="1:10" ht="27.6" customHeight="1">
      <c r="A82" s="412" t="s">
        <v>248</v>
      </c>
      <c r="B82" s="413" t="s">
        <v>249</v>
      </c>
      <c r="C82" s="540" t="s">
        <v>242</v>
      </c>
      <c r="D82" s="541"/>
      <c r="E82" s="542" t="s">
        <v>157</v>
      </c>
      <c r="F82" s="542"/>
      <c r="G82" s="542"/>
      <c r="H82" s="543"/>
      <c r="I82" s="543"/>
      <c r="J82" s="424"/>
    </row>
    <row r="83" spans="1:10" ht="27.6" customHeight="1">
      <c r="A83" s="410" t="s">
        <v>58</v>
      </c>
      <c r="B83" s="414" t="s">
        <v>250</v>
      </c>
      <c r="C83" s="536" t="s">
        <v>242</v>
      </c>
      <c r="D83" s="537" t="s">
        <v>246</v>
      </c>
      <c r="E83" s="538"/>
      <c r="F83" s="538"/>
      <c r="G83" s="538"/>
      <c r="H83" s="539"/>
      <c r="I83" s="539"/>
      <c r="J83" s="424"/>
    </row>
    <row r="84" spans="1:10" ht="27.6" customHeight="1">
      <c r="A84" s="415" t="s">
        <v>204</v>
      </c>
      <c r="B84" s="414" t="s">
        <v>251</v>
      </c>
      <c r="C84" s="536" t="s">
        <v>242</v>
      </c>
      <c r="D84" s="537" t="s">
        <v>246</v>
      </c>
      <c r="E84" s="538"/>
      <c r="F84" s="538"/>
      <c r="G84" s="538"/>
      <c r="H84" s="539"/>
      <c r="I84" s="539"/>
      <c r="J84" s="424"/>
    </row>
    <row r="85" spans="1:10" ht="27.6" customHeight="1">
      <c r="A85" s="415" t="s">
        <v>206</v>
      </c>
      <c r="B85" s="414" t="s">
        <v>252</v>
      </c>
      <c r="C85" s="536" t="s">
        <v>242</v>
      </c>
      <c r="D85" s="537" t="s">
        <v>246</v>
      </c>
      <c r="E85" s="538"/>
      <c r="F85" s="538"/>
      <c r="G85" s="538"/>
      <c r="H85" s="539"/>
      <c r="I85" s="539"/>
      <c r="J85" s="424"/>
    </row>
    <row r="86" spans="1:10" ht="27.6" customHeight="1">
      <c r="A86" s="415" t="s">
        <v>208</v>
      </c>
      <c r="B86" s="414" t="s">
        <v>253</v>
      </c>
      <c r="C86" s="536" t="s">
        <v>242</v>
      </c>
      <c r="D86" s="537" t="s">
        <v>246</v>
      </c>
      <c r="E86" s="538"/>
      <c r="F86" s="538"/>
      <c r="G86" s="538"/>
      <c r="H86" s="539"/>
      <c r="I86" s="539"/>
      <c r="J86" s="424"/>
    </row>
    <row r="87" spans="1:10" ht="27.6" customHeight="1">
      <c r="A87" s="410" t="s">
        <v>254</v>
      </c>
      <c r="B87" s="414" t="s">
        <v>255</v>
      </c>
      <c r="C87" s="536" t="s">
        <v>242</v>
      </c>
      <c r="D87" s="537" t="s">
        <v>246</v>
      </c>
      <c r="E87" s="538"/>
      <c r="F87" s="538"/>
      <c r="G87" s="538"/>
      <c r="H87" s="539"/>
      <c r="I87" s="539"/>
      <c r="J87" s="424"/>
    </row>
    <row r="88" spans="1:10" ht="27.6" customHeight="1">
      <c r="A88" s="415" t="s">
        <v>204</v>
      </c>
      <c r="B88" s="416" t="s">
        <v>256</v>
      </c>
      <c r="C88" s="536" t="s">
        <v>242</v>
      </c>
      <c r="D88" s="537" t="s">
        <v>246</v>
      </c>
      <c r="E88" s="538"/>
      <c r="F88" s="538"/>
      <c r="G88" s="538"/>
      <c r="H88" s="539"/>
      <c r="I88" s="539"/>
      <c r="J88" s="424"/>
    </row>
    <row r="89" spans="1:10" ht="27.6" customHeight="1">
      <c r="A89" s="415" t="s">
        <v>206</v>
      </c>
      <c r="B89" s="416" t="s">
        <v>257</v>
      </c>
      <c r="C89" s="536" t="s">
        <v>242</v>
      </c>
      <c r="D89" s="537" t="s">
        <v>246</v>
      </c>
      <c r="E89" s="538"/>
      <c r="F89" s="538"/>
      <c r="G89" s="538"/>
      <c r="H89" s="539"/>
      <c r="I89" s="539"/>
      <c r="J89" s="424"/>
    </row>
    <row r="90" spans="1:10" ht="27.6" customHeight="1">
      <c r="A90" s="415" t="s">
        <v>208</v>
      </c>
      <c r="B90" s="416" t="s">
        <v>258</v>
      </c>
      <c r="C90" s="536" t="s">
        <v>242</v>
      </c>
      <c r="D90" s="537" t="s">
        <v>246</v>
      </c>
      <c r="E90" s="538"/>
      <c r="F90" s="538"/>
      <c r="G90" s="538"/>
      <c r="H90" s="539"/>
      <c r="I90" s="539"/>
      <c r="J90" s="424"/>
    </row>
    <row r="91" spans="1:10" ht="27.6" customHeight="1">
      <c r="A91" s="415" t="s">
        <v>259</v>
      </c>
      <c r="B91" s="416" t="s">
        <v>260</v>
      </c>
      <c r="C91" s="536" t="s">
        <v>242</v>
      </c>
      <c r="D91" s="537" t="s">
        <v>246</v>
      </c>
      <c r="E91" s="538"/>
      <c r="F91" s="538"/>
      <c r="G91" s="538"/>
      <c r="H91" s="539"/>
      <c r="I91" s="539"/>
      <c r="J91" s="424"/>
    </row>
    <row r="92" spans="1:10" ht="27.6" customHeight="1">
      <c r="A92" s="415" t="s">
        <v>261</v>
      </c>
      <c r="B92" s="416" t="s">
        <v>262</v>
      </c>
      <c r="C92" s="536" t="s">
        <v>242</v>
      </c>
      <c r="D92" s="537" t="s">
        <v>246</v>
      </c>
      <c r="E92" s="538"/>
      <c r="F92" s="538"/>
      <c r="G92" s="538"/>
      <c r="H92" s="539"/>
      <c r="I92" s="539"/>
      <c r="J92" s="424"/>
    </row>
    <row r="93" spans="1:10" ht="27.6" customHeight="1">
      <c r="A93" s="410" t="s">
        <v>263</v>
      </c>
      <c r="B93" s="416" t="s">
        <v>264</v>
      </c>
      <c r="C93" s="536" t="s">
        <v>242</v>
      </c>
      <c r="D93" s="537" t="s">
        <v>246</v>
      </c>
      <c r="E93" s="538"/>
      <c r="F93" s="538"/>
      <c r="G93" s="538"/>
      <c r="H93" s="539"/>
      <c r="I93" s="539"/>
      <c r="J93" s="424"/>
    </row>
    <row r="94" spans="1:10" ht="27.6" customHeight="1">
      <c r="A94" s="415" t="s">
        <v>204</v>
      </c>
      <c r="B94" s="416" t="s">
        <v>265</v>
      </c>
      <c r="C94" s="536" t="s">
        <v>242</v>
      </c>
      <c r="D94" s="537" t="s">
        <v>246</v>
      </c>
      <c r="E94" s="538"/>
      <c r="F94" s="538"/>
      <c r="G94" s="538"/>
      <c r="H94" s="539"/>
      <c r="I94" s="539"/>
      <c r="J94" s="424"/>
    </row>
    <row r="95" spans="1:10" ht="27.6" customHeight="1">
      <c r="A95" s="415" t="s">
        <v>206</v>
      </c>
      <c r="B95" s="416" t="s">
        <v>266</v>
      </c>
      <c r="C95" s="536" t="s">
        <v>242</v>
      </c>
      <c r="D95" s="537" t="s">
        <v>246</v>
      </c>
      <c r="E95" s="538"/>
      <c r="F95" s="538"/>
      <c r="G95" s="538"/>
      <c r="H95" s="539"/>
      <c r="I95" s="539"/>
      <c r="J95" s="424"/>
    </row>
    <row r="96" spans="1:10" ht="27.6" customHeight="1">
      <c r="A96" s="415" t="s">
        <v>208</v>
      </c>
      <c r="B96" s="416" t="s">
        <v>267</v>
      </c>
      <c r="C96" s="536" t="s">
        <v>242</v>
      </c>
      <c r="D96" s="537" t="s">
        <v>246</v>
      </c>
      <c r="E96" s="538"/>
      <c r="F96" s="538"/>
      <c r="G96" s="538"/>
      <c r="H96" s="539"/>
      <c r="I96" s="539"/>
      <c r="J96" s="424"/>
    </row>
    <row r="97" spans="1:9" ht="27.6" customHeight="1">
      <c r="A97" s="417"/>
      <c r="B97" s="418"/>
      <c r="C97" s="419"/>
      <c r="D97" s="401"/>
      <c r="E97" s="401"/>
      <c r="F97" s="401"/>
      <c r="G97" s="401"/>
      <c r="H97" s="401"/>
      <c r="I97" s="401"/>
    </row>
    <row r="98" spans="1:9" s="339" customFormat="1" ht="27.6" customHeight="1">
      <c r="A98" s="420"/>
      <c r="B98" s="421" t="s">
        <v>268</v>
      </c>
    </row>
    <row r="99" spans="1:9" s="339" customFormat="1" ht="27.6" customHeight="1">
      <c r="A99" s="420"/>
      <c r="B99" s="422" t="s">
        <v>269</v>
      </c>
    </row>
    <row r="100" spans="1:9" ht="27.6" customHeight="1">
      <c r="B100" s="423" t="s">
        <v>270</v>
      </c>
    </row>
    <row r="101" spans="1:9" ht="27.6" customHeight="1">
      <c r="B101" s="423" t="s">
        <v>271</v>
      </c>
    </row>
    <row r="102" spans="1:9" ht="27.6" customHeight="1">
      <c r="B102" s="423" t="s">
        <v>272</v>
      </c>
    </row>
    <row r="103" spans="1:9" ht="27.6" customHeight="1">
      <c r="B103" s="423" t="s">
        <v>273</v>
      </c>
    </row>
    <row r="104" spans="1:9" ht="27.6" customHeight="1">
      <c r="B104" s="423" t="s">
        <v>274</v>
      </c>
    </row>
  </sheetData>
  <autoFilter ref="A16:L74"/>
  <mergeCells count="250">
    <mergeCell ref="C96:D96"/>
    <mergeCell ref="E96:G96"/>
    <mergeCell ref="H96:I96"/>
    <mergeCell ref="H8:H9"/>
    <mergeCell ref="I8:I9"/>
    <mergeCell ref="A8:B9"/>
    <mergeCell ref="C93:D93"/>
    <mergeCell ref="E93:G93"/>
    <mergeCell ref="H93:I93"/>
    <mergeCell ref="C94:D94"/>
    <mergeCell ref="E94:G94"/>
    <mergeCell ref="H94:I94"/>
    <mergeCell ref="C95:D95"/>
    <mergeCell ref="E95:G95"/>
    <mergeCell ref="H95:I95"/>
    <mergeCell ref="C90:D90"/>
    <mergeCell ref="E90:G90"/>
    <mergeCell ref="H90:I90"/>
    <mergeCell ref="C91:D91"/>
    <mergeCell ref="E91:G91"/>
    <mergeCell ref="H91:I91"/>
    <mergeCell ref="C92:D92"/>
    <mergeCell ref="E92:G92"/>
    <mergeCell ref="H92:I92"/>
    <mergeCell ref="C87:D87"/>
    <mergeCell ref="E87:G87"/>
    <mergeCell ref="H87:I87"/>
    <mergeCell ref="C88:D88"/>
    <mergeCell ref="E88:G88"/>
    <mergeCell ref="H88:I88"/>
    <mergeCell ref="C89:D89"/>
    <mergeCell ref="E89:G89"/>
    <mergeCell ref="H89:I89"/>
    <mergeCell ref="C84:D84"/>
    <mergeCell ref="E84:G84"/>
    <mergeCell ref="H84:I84"/>
    <mergeCell ref="C85:D85"/>
    <mergeCell ref="E85:G85"/>
    <mergeCell ref="H85:I85"/>
    <mergeCell ref="C86:D86"/>
    <mergeCell ref="E86:G86"/>
    <mergeCell ref="H86:I86"/>
    <mergeCell ref="C81:D81"/>
    <mergeCell ref="E81:G81"/>
    <mergeCell ref="H81:I81"/>
    <mergeCell ref="C82:D82"/>
    <mergeCell ref="E82:G82"/>
    <mergeCell ref="H82:I82"/>
    <mergeCell ref="C83:D83"/>
    <mergeCell ref="E83:G83"/>
    <mergeCell ref="H83:I83"/>
    <mergeCell ref="C78:D78"/>
    <mergeCell ref="E78:G78"/>
    <mergeCell ref="I78:J78"/>
    <mergeCell ref="C79:D79"/>
    <mergeCell ref="E79:G79"/>
    <mergeCell ref="H79:I79"/>
    <mergeCell ref="C80:D80"/>
    <mergeCell ref="E80:G80"/>
    <mergeCell ref="H80:I80"/>
    <mergeCell ref="C73:D73"/>
    <mergeCell ref="E73:G73"/>
    <mergeCell ref="H73:I73"/>
    <mergeCell ref="C74:D74"/>
    <mergeCell ref="E74:G74"/>
    <mergeCell ref="H74:I74"/>
    <mergeCell ref="C77:D77"/>
    <mergeCell ref="E77:G77"/>
    <mergeCell ref="H77:I77"/>
    <mergeCell ref="C70:D70"/>
    <mergeCell ref="E70:G70"/>
    <mergeCell ref="H70:I70"/>
    <mergeCell ref="C71:D71"/>
    <mergeCell ref="E71:G71"/>
    <mergeCell ref="H71:I71"/>
    <mergeCell ref="C72:D72"/>
    <mergeCell ref="E72:G72"/>
    <mergeCell ref="H72:I72"/>
    <mergeCell ref="C67:D67"/>
    <mergeCell ref="E67:G67"/>
    <mergeCell ref="H67:I67"/>
    <mergeCell ref="C68:D68"/>
    <mergeCell ref="E68:G68"/>
    <mergeCell ref="H68:I68"/>
    <mergeCell ref="C69:D69"/>
    <mergeCell ref="E69:G69"/>
    <mergeCell ref="H69:I69"/>
    <mergeCell ref="C64:D64"/>
    <mergeCell ref="E64:G64"/>
    <mergeCell ref="H64:I64"/>
    <mergeCell ref="C65:D65"/>
    <mergeCell ref="E65:G65"/>
    <mergeCell ref="H65:I65"/>
    <mergeCell ref="C66:D66"/>
    <mergeCell ref="E66:G66"/>
    <mergeCell ref="H66:I66"/>
    <mergeCell ref="C61:D61"/>
    <mergeCell ref="E61:G61"/>
    <mergeCell ref="H61:I61"/>
    <mergeCell ref="C62:D62"/>
    <mergeCell ref="E62:G62"/>
    <mergeCell ref="H62:I62"/>
    <mergeCell ref="C63:D63"/>
    <mergeCell ref="E63:G63"/>
    <mergeCell ref="H63:I63"/>
    <mergeCell ref="C58:D58"/>
    <mergeCell ref="E58:G58"/>
    <mergeCell ref="H58:I58"/>
    <mergeCell ref="C59:D59"/>
    <mergeCell ref="E59:G59"/>
    <mergeCell ref="H59:I59"/>
    <mergeCell ref="C60:D60"/>
    <mergeCell ref="E60:G60"/>
    <mergeCell ref="H60:I60"/>
    <mergeCell ref="C55:D55"/>
    <mergeCell ref="E55:G55"/>
    <mergeCell ref="H55:I55"/>
    <mergeCell ref="C56:D56"/>
    <mergeCell ref="E56:G56"/>
    <mergeCell ref="H56:I56"/>
    <mergeCell ref="C57:D57"/>
    <mergeCell ref="E57:G57"/>
    <mergeCell ref="H57:I57"/>
    <mergeCell ref="C52:D52"/>
    <mergeCell ref="E52:G52"/>
    <mergeCell ref="H52:I52"/>
    <mergeCell ref="C53:D53"/>
    <mergeCell ref="E53:G53"/>
    <mergeCell ref="H53:I53"/>
    <mergeCell ref="C54:D54"/>
    <mergeCell ref="E54:G54"/>
    <mergeCell ref="H54:I54"/>
    <mergeCell ref="C48:D48"/>
    <mergeCell ref="E48:G48"/>
    <mergeCell ref="H48:I48"/>
    <mergeCell ref="C49:D49"/>
    <mergeCell ref="E49:G49"/>
    <mergeCell ref="H49:I49"/>
    <mergeCell ref="C50:D50"/>
    <mergeCell ref="E50:G50"/>
    <mergeCell ref="H50:I50"/>
    <mergeCell ref="C45:D45"/>
    <mergeCell ref="E45:G45"/>
    <mergeCell ref="H45:I45"/>
    <mergeCell ref="C46:D46"/>
    <mergeCell ref="E46:G46"/>
    <mergeCell ref="H46:I46"/>
    <mergeCell ref="C47:D47"/>
    <mergeCell ref="E47:G47"/>
    <mergeCell ref="H47:I47"/>
    <mergeCell ref="C42:D42"/>
    <mergeCell ref="E42:G42"/>
    <mergeCell ref="H42:I42"/>
    <mergeCell ref="C43:D43"/>
    <mergeCell ref="E43:G43"/>
    <mergeCell ref="H43:I43"/>
    <mergeCell ref="C44:D44"/>
    <mergeCell ref="E44:G44"/>
    <mergeCell ref="H44:I44"/>
    <mergeCell ref="C39:D39"/>
    <mergeCell ref="E39:G39"/>
    <mergeCell ref="H39:I39"/>
    <mergeCell ref="C40:D40"/>
    <mergeCell ref="E40:G40"/>
    <mergeCell ref="H40:I40"/>
    <mergeCell ref="C41:D41"/>
    <mergeCell ref="E41:G41"/>
    <mergeCell ref="H41:I41"/>
    <mergeCell ref="C36:D36"/>
    <mergeCell ref="E36:G36"/>
    <mergeCell ref="H36:I36"/>
    <mergeCell ref="C37:D37"/>
    <mergeCell ref="E37:G37"/>
    <mergeCell ref="H37:I37"/>
    <mergeCell ref="C38:D38"/>
    <mergeCell ref="E38:G38"/>
    <mergeCell ref="H38:I38"/>
    <mergeCell ref="C33:D33"/>
    <mergeCell ref="E33:G33"/>
    <mergeCell ref="H33:I33"/>
    <mergeCell ref="C34:D34"/>
    <mergeCell ref="E34:G34"/>
    <mergeCell ref="H34:I34"/>
    <mergeCell ref="C35:D35"/>
    <mergeCell ref="E35:G35"/>
    <mergeCell ref="H35:I35"/>
    <mergeCell ref="C30:D30"/>
    <mergeCell ref="E30:G30"/>
    <mergeCell ref="H30:I30"/>
    <mergeCell ref="C31:D31"/>
    <mergeCell ref="E31:G31"/>
    <mergeCell ref="H31:I31"/>
    <mergeCell ref="C32:D32"/>
    <mergeCell ref="E32:G32"/>
    <mergeCell ref="H32:I32"/>
    <mergeCell ref="C27:D27"/>
    <mergeCell ref="E27:G27"/>
    <mergeCell ref="H27:I27"/>
    <mergeCell ref="C28:D28"/>
    <mergeCell ref="E28:G28"/>
    <mergeCell ref="H28:I28"/>
    <mergeCell ref="C29:D29"/>
    <mergeCell ref="E29:G29"/>
    <mergeCell ref="H29:I29"/>
    <mergeCell ref="C24:D24"/>
    <mergeCell ref="E24:G24"/>
    <mergeCell ref="H24:I24"/>
    <mergeCell ref="C25:D25"/>
    <mergeCell ref="E25:G25"/>
    <mergeCell ref="H25:I25"/>
    <mergeCell ref="C26:D26"/>
    <mergeCell ref="E26:G26"/>
    <mergeCell ref="H26:I26"/>
    <mergeCell ref="C21:D21"/>
    <mergeCell ref="E21:G21"/>
    <mergeCell ref="H21:I21"/>
    <mergeCell ref="C22:D22"/>
    <mergeCell ref="E22:G22"/>
    <mergeCell ref="H22:I22"/>
    <mergeCell ref="C23:D23"/>
    <mergeCell ref="E23:G23"/>
    <mergeCell ref="H23:I23"/>
    <mergeCell ref="C18:D18"/>
    <mergeCell ref="E18:G18"/>
    <mergeCell ref="H18:I18"/>
    <mergeCell ref="C19:D19"/>
    <mergeCell ref="E19:G19"/>
    <mergeCell ref="H19:I19"/>
    <mergeCell ref="C20:D20"/>
    <mergeCell ref="E20:G20"/>
    <mergeCell ref="H20:I20"/>
    <mergeCell ref="A12:B12"/>
    <mergeCell ref="A13:B13"/>
    <mergeCell ref="A14:B14"/>
    <mergeCell ref="A15:B15"/>
    <mergeCell ref="C16:D16"/>
    <mergeCell ref="E16:G16"/>
    <mergeCell ref="H16:I16"/>
    <mergeCell ref="C17:D17"/>
    <mergeCell ref="E17:G17"/>
    <mergeCell ref="H17:I17"/>
    <mergeCell ref="A1:I1"/>
    <mergeCell ref="A2:I2"/>
    <mergeCell ref="A3:B3"/>
    <mergeCell ref="A4:B4"/>
    <mergeCell ref="A5:B5"/>
    <mergeCell ref="A6:I6"/>
    <mergeCell ref="C8:G8"/>
    <mergeCell ref="A10:B10"/>
    <mergeCell ref="A11:B11"/>
  </mergeCells>
  <phoneticPr fontId="176" type="noConversion"/>
  <printOptions horizontalCentered="1"/>
  <pageMargins left="0.511811023622047" right="0.43307086614173201" top="0.55118110236220497" bottom="0.35433070866141703" header="0.511811023622047" footer="0.196850393700787"/>
  <pageSetup paperSize="9" scale="80" fitToHeight="40" orientation="landscape" blackAndWhite="1" r:id="rId1"/>
  <headerFooter alignWithMargins="0">
    <oddFooter>&amp;R&amp;10&amp;P/&amp;N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M43"/>
  <sheetViews>
    <sheetView showZeros="0" view="pageBreakPreview" zoomScaleNormal="100" workbookViewId="0">
      <pane xSplit="1" ySplit="6" topLeftCell="B10" activePane="bottomRight" state="frozen"/>
      <selection pane="topRight"/>
      <selection pane="bottomLeft"/>
      <selection pane="bottomRight" sqref="A1:L1"/>
    </sheetView>
  </sheetViews>
  <sheetFormatPr defaultColWidth="9" defaultRowHeight="20.100000000000001" customHeight="1"/>
  <cols>
    <col min="1" max="1" width="28.59765625" style="131" customWidth="1"/>
    <col min="2" max="2" width="11.09765625" style="131" customWidth="1"/>
    <col min="3" max="3" width="10.3984375" style="131" customWidth="1"/>
    <col min="4" max="4" width="11.8984375" style="131" customWidth="1"/>
    <col min="5" max="5" width="12.09765625" style="131" customWidth="1"/>
    <col min="6" max="7" width="11.59765625" style="131" customWidth="1"/>
    <col min="8" max="8" width="11.5" style="131" customWidth="1"/>
    <col min="9" max="9" width="11.59765625" style="131" customWidth="1"/>
    <col min="10" max="10" width="12" style="131" customWidth="1"/>
    <col min="11" max="11" width="12.5" style="131" customWidth="1"/>
    <col min="12" max="12" width="14" style="131" customWidth="1"/>
    <col min="13" max="13" width="13.5" style="131" customWidth="1"/>
    <col min="14" max="14" width="7.5" style="131" customWidth="1"/>
    <col min="15" max="15" width="5.8984375" style="131" customWidth="1"/>
    <col min="16" max="16" width="9.8984375" style="131" customWidth="1"/>
    <col min="17" max="17" width="9" style="131"/>
    <col min="18" max="18" width="6.19921875" style="131" customWidth="1"/>
    <col min="19" max="19" width="9" style="131" customWidth="1"/>
    <col min="20" max="20" width="9" style="131"/>
    <col min="21" max="21" width="9" style="131" customWidth="1"/>
    <col min="22" max="254" width="9" style="131"/>
    <col min="255" max="255" width="9.3984375" style="131" customWidth="1"/>
    <col min="256" max="256" width="12.3984375" style="131" customWidth="1"/>
    <col min="257" max="257" width="4.19921875" style="131" customWidth="1"/>
    <col min="258" max="258" width="9.8984375" style="131" customWidth="1"/>
    <col min="259" max="259" width="13.8984375" style="131" customWidth="1"/>
    <col min="260" max="260" width="8.8984375" style="131" customWidth="1"/>
    <col min="261" max="261" width="4.09765625" style="131" customWidth="1"/>
    <col min="262" max="265" width="6.5" style="131" customWidth="1"/>
    <col min="266" max="266" width="9" style="131" customWidth="1"/>
    <col min="267" max="267" width="3.8984375" style="131" customWidth="1"/>
    <col min="268" max="268" width="11.8984375" style="131" customWidth="1"/>
    <col min="269" max="269" width="13.5" style="131" customWidth="1"/>
    <col min="270" max="270" width="7.5" style="131" customWidth="1"/>
    <col min="271" max="271" width="5.8984375" style="131" customWidth="1"/>
    <col min="272" max="272" width="9.8984375" style="131" customWidth="1"/>
    <col min="273" max="273" width="9" style="131"/>
    <col min="274" max="274" width="6.19921875" style="131" customWidth="1"/>
    <col min="275" max="275" width="9" style="131" customWidth="1"/>
    <col min="276" max="276" width="9" style="131"/>
    <col min="277" max="277" width="9" style="131" customWidth="1"/>
    <col min="278" max="510" width="9" style="131"/>
    <col min="511" max="511" width="9.3984375" style="131" customWidth="1"/>
    <col min="512" max="512" width="12.3984375" style="131" customWidth="1"/>
    <col min="513" max="513" width="4.19921875" style="131" customWidth="1"/>
    <col min="514" max="514" width="9.8984375" style="131" customWidth="1"/>
    <col min="515" max="515" width="13.8984375" style="131" customWidth="1"/>
    <col min="516" max="516" width="8.8984375" style="131" customWidth="1"/>
    <col min="517" max="517" width="4.09765625" style="131" customWidth="1"/>
    <col min="518" max="521" width="6.5" style="131" customWidth="1"/>
    <col min="522" max="522" width="9" style="131" customWidth="1"/>
    <col min="523" max="523" width="3.8984375" style="131" customWidth="1"/>
    <col min="524" max="524" width="11.8984375" style="131" customWidth="1"/>
    <col min="525" max="525" width="13.5" style="131" customWidth="1"/>
    <col min="526" max="526" width="7.5" style="131" customWidth="1"/>
    <col min="527" max="527" width="5.8984375" style="131" customWidth="1"/>
    <col min="528" max="528" width="9.8984375" style="131" customWidth="1"/>
    <col min="529" max="529" width="9" style="131"/>
    <col min="530" max="530" width="6.19921875" style="131" customWidth="1"/>
    <col min="531" max="531" width="9" style="131" customWidth="1"/>
    <col min="532" max="532" width="9" style="131"/>
    <col min="533" max="533" width="9" style="131" customWidth="1"/>
    <col min="534" max="766" width="9" style="131"/>
    <col min="767" max="767" width="9.3984375" style="131" customWidth="1"/>
    <col min="768" max="768" width="12.3984375" style="131" customWidth="1"/>
    <col min="769" max="769" width="4.19921875" style="131" customWidth="1"/>
    <col min="770" max="770" width="9.8984375" style="131" customWidth="1"/>
    <col min="771" max="771" width="13.8984375" style="131" customWidth="1"/>
    <col min="772" max="772" width="8.8984375" style="131" customWidth="1"/>
    <col min="773" max="773" width="4.09765625" style="131" customWidth="1"/>
    <col min="774" max="777" width="6.5" style="131" customWidth="1"/>
    <col min="778" max="778" width="9" style="131" customWidth="1"/>
    <col min="779" max="779" width="3.8984375" style="131" customWidth="1"/>
    <col min="780" max="780" width="11.8984375" style="131" customWidth="1"/>
    <col min="781" max="781" width="13.5" style="131" customWidth="1"/>
    <col min="782" max="782" width="7.5" style="131" customWidth="1"/>
    <col min="783" max="783" width="5.8984375" style="131" customWidth="1"/>
    <col min="784" max="784" width="9.8984375" style="131" customWidth="1"/>
    <col min="785" max="785" width="9" style="131"/>
    <col min="786" max="786" width="6.19921875" style="131" customWidth="1"/>
    <col min="787" max="787" width="9" style="131" customWidth="1"/>
    <col min="788" max="788" width="9" style="131"/>
    <col min="789" max="789" width="9" style="131" customWidth="1"/>
    <col min="790" max="1022" width="9" style="131"/>
    <col min="1023" max="1023" width="9.3984375" style="131" customWidth="1"/>
    <col min="1024" max="1024" width="12.3984375" style="131" customWidth="1"/>
    <col min="1025" max="1025" width="4.19921875" style="131" customWidth="1"/>
    <col min="1026" max="1026" width="9.8984375" style="131" customWidth="1"/>
    <col min="1027" max="1027" width="13.8984375" style="131" customWidth="1"/>
    <col min="1028" max="1028" width="8.8984375" style="131" customWidth="1"/>
    <col min="1029" max="1029" width="4.09765625" style="131" customWidth="1"/>
    <col min="1030" max="1033" width="6.5" style="131" customWidth="1"/>
    <col min="1034" max="1034" width="9" style="131" customWidth="1"/>
    <col min="1035" max="1035" width="3.8984375" style="131" customWidth="1"/>
    <col min="1036" max="1036" width="11.8984375" style="131" customWidth="1"/>
    <col min="1037" max="1037" width="13.5" style="131" customWidth="1"/>
    <col min="1038" max="1038" width="7.5" style="131" customWidth="1"/>
    <col min="1039" max="1039" width="5.8984375" style="131" customWidth="1"/>
    <col min="1040" max="1040" width="9.8984375" style="131" customWidth="1"/>
    <col min="1041" max="1041" width="9" style="131"/>
    <col min="1042" max="1042" width="6.19921875" style="131" customWidth="1"/>
    <col min="1043" max="1043" width="9" style="131" customWidth="1"/>
    <col min="1044" max="1044" width="9" style="131"/>
    <col min="1045" max="1045" width="9" style="131" customWidth="1"/>
    <col min="1046" max="1278" width="9" style="131"/>
    <col min="1279" max="1279" width="9.3984375" style="131" customWidth="1"/>
    <col min="1280" max="1280" width="12.3984375" style="131" customWidth="1"/>
    <col min="1281" max="1281" width="4.19921875" style="131" customWidth="1"/>
    <col min="1282" max="1282" width="9.8984375" style="131" customWidth="1"/>
    <col min="1283" max="1283" width="13.8984375" style="131" customWidth="1"/>
    <col min="1284" max="1284" width="8.8984375" style="131" customWidth="1"/>
    <col min="1285" max="1285" width="4.09765625" style="131" customWidth="1"/>
    <col min="1286" max="1289" width="6.5" style="131" customWidth="1"/>
    <col min="1290" max="1290" width="9" style="131" customWidth="1"/>
    <col min="1291" max="1291" width="3.8984375" style="131" customWidth="1"/>
    <col min="1292" max="1292" width="11.8984375" style="131" customWidth="1"/>
    <col min="1293" max="1293" width="13.5" style="131" customWidth="1"/>
    <col min="1294" max="1294" width="7.5" style="131" customWidth="1"/>
    <col min="1295" max="1295" width="5.8984375" style="131" customWidth="1"/>
    <col min="1296" max="1296" width="9.8984375" style="131" customWidth="1"/>
    <col min="1297" max="1297" width="9" style="131"/>
    <col min="1298" max="1298" width="6.19921875" style="131" customWidth="1"/>
    <col min="1299" max="1299" width="9" style="131" customWidth="1"/>
    <col min="1300" max="1300" width="9" style="131"/>
    <col min="1301" max="1301" width="9" style="131" customWidth="1"/>
    <col min="1302" max="1534" width="9" style="131"/>
    <col min="1535" max="1535" width="9.3984375" style="131" customWidth="1"/>
    <col min="1536" max="1536" width="12.3984375" style="131" customWidth="1"/>
    <col min="1537" max="1537" width="4.19921875" style="131" customWidth="1"/>
    <col min="1538" max="1538" width="9.8984375" style="131" customWidth="1"/>
    <col min="1539" max="1539" width="13.8984375" style="131" customWidth="1"/>
    <col min="1540" max="1540" width="8.8984375" style="131" customWidth="1"/>
    <col min="1541" max="1541" width="4.09765625" style="131" customWidth="1"/>
    <col min="1542" max="1545" width="6.5" style="131" customWidth="1"/>
    <col min="1546" max="1546" width="9" style="131" customWidth="1"/>
    <col min="1547" max="1547" width="3.8984375" style="131" customWidth="1"/>
    <col min="1548" max="1548" width="11.8984375" style="131" customWidth="1"/>
    <col min="1549" max="1549" width="13.5" style="131" customWidth="1"/>
    <col min="1550" max="1550" width="7.5" style="131" customWidth="1"/>
    <col min="1551" max="1551" width="5.8984375" style="131" customWidth="1"/>
    <col min="1552" max="1552" width="9.8984375" style="131" customWidth="1"/>
    <col min="1553" max="1553" width="9" style="131"/>
    <col min="1554" max="1554" width="6.19921875" style="131" customWidth="1"/>
    <col min="1555" max="1555" width="9" style="131" customWidth="1"/>
    <col min="1556" max="1556" width="9" style="131"/>
    <col min="1557" max="1557" width="9" style="131" customWidth="1"/>
    <col min="1558" max="1790" width="9" style="131"/>
    <col min="1791" max="1791" width="9.3984375" style="131" customWidth="1"/>
    <col min="1792" max="1792" width="12.3984375" style="131" customWidth="1"/>
    <col min="1793" max="1793" width="4.19921875" style="131" customWidth="1"/>
    <col min="1794" max="1794" width="9.8984375" style="131" customWidth="1"/>
    <col min="1795" max="1795" width="13.8984375" style="131" customWidth="1"/>
    <col min="1796" max="1796" width="8.8984375" style="131" customWidth="1"/>
    <col min="1797" max="1797" width="4.09765625" style="131" customWidth="1"/>
    <col min="1798" max="1801" width="6.5" style="131" customWidth="1"/>
    <col min="1802" max="1802" width="9" style="131" customWidth="1"/>
    <col min="1803" max="1803" width="3.8984375" style="131" customWidth="1"/>
    <col min="1804" max="1804" width="11.8984375" style="131" customWidth="1"/>
    <col min="1805" max="1805" width="13.5" style="131" customWidth="1"/>
    <col min="1806" max="1806" width="7.5" style="131" customWidth="1"/>
    <col min="1807" max="1807" width="5.8984375" style="131" customWidth="1"/>
    <col min="1808" max="1808" width="9.8984375" style="131" customWidth="1"/>
    <col min="1809" max="1809" width="9" style="131"/>
    <col min="1810" max="1810" width="6.19921875" style="131" customWidth="1"/>
    <col min="1811" max="1811" width="9" style="131" customWidth="1"/>
    <col min="1812" max="1812" width="9" style="131"/>
    <col min="1813" max="1813" width="9" style="131" customWidth="1"/>
    <col min="1814" max="2046" width="9" style="131"/>
    <col min="2047" max="2047" width="9.3984375" style="131" customWidth="1"/>
    <col min="2048" max="2048" width="12.3984375" style="131" customWidth="1"/>
    <col min="2049" max="2049" width="4.19921875" style="131" customWidth="1"/>
    <col min="2050" max="2050" width="9.8984375" style="131" customWidth="1"/>
    <col min="2051" max="2051" width="13.8984375" style="131" customWidth="1"/>
    <col min="2052" max="2052" width="8.8984375" style="131" customWidth="1"/>
    <col min="2053" max="2053" width="4.09765625" style="131" customWidth="1"/>
    <col min="2054" max="2057" width="6.5" style="131" customWidth="1"/>
    <col min="2058" max="2058" width="9" style="131" customWidth="1"/>
    <col min="2059" max="2059" width="3.8984375" style="131" customWidth="1"/>
    <col min="2060" max="2060" width="11.8984375" style="131" customWidth="1"/>
    <col min="2061" max="2061" width="13.5" style="131" customWidth="1"/>
    <col min="2062" max="2062" width="7.5" style="131" customWidth="1"/>
    <col min="2063" max="2063" width="5.8984375" style="131" customWidth="1"/>
    <col min="2064" max="2064" width="9.8984375" style="131" customWidth="1"/>
    <col min="2065" max="2065" width="9" style="131"/>
    <col min="2066" max="2066" width="6.19921875" style="131" customWidth="1"/>
    <col min="2067" max="2067" width="9" style="131" customWidth="1"/>
    <col min="2068" max="2068" width="9" style="131"/>
    <col min="2069" max="2069" width="9" style="131" customWidth="1"/>
    <col min="2070" max="2302" width="9" style="131"/>
    <col min="2303" max="2303" width="9.3984375" style="131" customWidth="1"/>
    <col min="2304" max="2304" width="12.3984375" style="131" customWidth="1"/>
    <col min="2305" max="2305" width="4.19921875" style="131" customWidth="1"/>
    <col min="2306" max="2306" width="9.8984375" style="131" customWidth="1"/>
    <col min="2307" max="2307" width="13.8984375" style="131" customWidth="1"/>
    <col min="2308" max="2308" width="8.8984375" style="131" customWidth="1"/>
    <col min="2309" max="2309" width="4.09765625" style="131" customWidth="1"/>
    <col min="2310" max="2313" width="6.5" style="131" customWidth="1"/>
    <col min="2314" max="2314" width="9" style="131" customWidth="1"/>
    <col min="2315" max="2315" width="3.8984375" style="131" customWidth="1"/>
    <col min="2316" max="2316" width="11.8984375" style="131" customWidth="1"/>
    <col min="2317" max="2317" width="13.5" style="131" customWidth="1"/>
    <col min="2318" max="2318" width="7.5" style="131" customWidth="1"/>
    <col min="2319" max="2319" width="5.8984375" style="131" customWidth="1"/>
    <col min="2320" max="2320" width="9.8984375" style="131" customWidth="1"/>
    <col min="2321" max="2321" width="9" style="131"/>
    <col min="2322" max="2322" width="6.19921875" style="131" customWidth="1"/>
    <col min="2323" max="2323" width="9" style="131" customWidth="1"/>
    <col min="2324" max="2324" width="9" style="131"/>
    <col min="2325" max="2325" width="9" style="131" customWidth="1"/>
    <col min="2326" max="2558" width="9" style="131"/>
    <col min="2559" max="2559" width="9.3984375" style="131" customWidth="1"/>
    <col min="2560" max="2560" width="12.3984375" style="131" customWidth="1"/>
    <col min="2561" max="2561" width="4.19921875" style="131" customWidth="1"/>
    <col min="2562" max="2562" width="9.8984375" style="131" customWidth="1"/>
    <col min="2563" max="2563" width="13.8984375" style="131" customWidth="1"/>
    <col min="2564" max="2564" width="8.8984375" style="131" customWidth="1"/>
    <col min="2565" max="2565" width="4.09765625" style="131" customWidth="1"/>
    <col min="2566" max="2569" width="6.5" style="131" customWidth="1"/>
    <col min="2570" max="2570" width="9" style="131" customWidth="1"/>
    <col min="2571" max="2571" width="3.8984375" style="131" customWidth="1"/>
    <col min="2572" max="2572" width="11.8984375" style="131" customWidth="1"/>
    <col min="2573" max="2573" width="13.5" style="131" customWidth="1"/>
    <col min="2574" max="2574" width="7.5" style="131" customWidth="1"/>
    <col min="2575" max="2575" width="5.8984375" style="131" customWidth="1"/>
    <col min="2576" max="2576" width="9.8984375" style="131" customWidth="1"/>
    <col min="2577" max="2577" width="9" style="131"/>
    <col min="2578" max="2578" width="6.19921875" style="131" customWidth="1"/>
    <col min="2579" max="2579" width="9" style="131" customWidth="1"/>
    <col min="2580" max="2580" width="9" style="131"/>
    <col min="2581" max="2581" width="9" style="131" customWidth="1"/>
    <col min="2582" max="2814" width="9" style="131"/>
    <col min="2815" max="2815" width="9.3984375" style="131" customWidth="1"/>
    <col min="2816" max="2816" width="12.3984375" style="131" customWidth="1"/>
    <col min="2817" max="2817" width="4.19921875" style="131" customWidth="1"/>
    <col min="2818" max="2818" width="9.8984375" style="131" customWidth="1"/>
    <col min="2819" max="2819" width="13.8984375" style="131" customWidth="1"/>
    <col min="2820" max="2820" width="8.8984375" style="131" customWidth="1"/>
    <col min="2821" max="2821" width="4.09765625" style="131" customWidth="1"/>
    <col min="2822" max="2825" width="6.5" style="131" customWidth="1"/>
    <col min="2826" max="2826" width="9" style="131" customWidth="1"/>
    <col min="2827" max="2827" width="3.8984375" style="131" customWidth="1"/>
    <col min="2828" max="2828" width="11.8984375" style="131" customWidth="1"/>
    <col min="2829" max="2829" width="13.5" style="131" customWidth="1"/>
    <col min="2830" max="2830" width="7.5" style="131" customWidth="1"/>
    <col min="2831" max="2831" width="5.8984375" style="131" customWidth="1"/>
    <col min="2832" max="2832" width="9.8984375" style="131" customWidth="1"/>
    <col min="2833" max="2833" width="9" style="131"/>
    <col min="2834" max="2834" width="6.19921875" style="131" customWidth="1"/>
    <col min="2835" max="2835" width="9" style="131" customWidth="1"/>
    <col min="2836" max="2836" width="9" style="131"/>
    <col min="2837" max="2837" width="9" style="131" customWidth="1"/>
    <col min="2838" max="3070" width="9" style="131"/>
    <col min="3071" max="3071" width="9.3984375" style="131" customWidth="1"/>
    <col min="3072" max="3072" width="12.3984375" style="131" customWidth="1"/>
    <col min="3073" max="3073" width="4.19921875" style="131" customWidth="1"/>
    <col min="3074" max="3074" width="9.8984375" style="131" customWidth="1"/>
    <col min="3075" max="3075" width="13.8984375" style="131" customWidth="1"/>
    <col min="3076" max="3076" width="8.8984375" style="131" customWidth="1"/>
    <col min="3077" max="3077" width="4.09765625" style="131" customWidth="1"/>
    <col min="3078" max="3081" width="6.5" style="131" customWidth="1"/>
    <col min="3082" max="3082" width="9" style="131" customWidth="1"/>
    <col min="3083" max="3083" width="3.8984375" style="131" customWidth="1"/>
    <col min="3084" max="3084" width="11.8984375" style="131" customWidth="1"/>
    <col min="3085" max="3085" width="13.5" style="131" customWidth="1"/>
    <col min="3086" max="3086" width="7.5" style="131" customWidth="1"/>
    <col min="3087" max="3087" width="5.8984375" style="131" customWidth="1"/>
    <col min="3088" max="3088" width="9.8984375" style="131" customWidth="1"/>
    <col min="3089" max="3089" width="9" style="131"/>
    <col min="3090" max="3090" width="6.19921875" style="131" customWidth="1"/>
    <col min="3091" max="3091" width="9" style="131" customWidth="1"/>
    <col min="3092" max="3092" width="9" style="131"/>
    <col min="3093" max="3093" width="9" style="131" customWidth="1"/>
    <col min="3094" max="3326" width="9" style="131"/>
    <col min="3327" max="3327" width="9.3984375" style="131" customWidth="1"/>
    <col min="3328" max="3328" width="12.3984375" style="131" customWidth="1"/>
    <col min="3329" max="3329" width="4.19921875" style="131" customWidth="1"/>
    <col min="3330" max="3330" width="9.8984375" style="131" customWidth="1"/>
    <col min="3331" max="3331" width="13.8984375" style="131" customWidth="1"/>
    <col min="3332" max="3332" width="8.8984375" style="131" customWidth="1"/>
    <col min="3333" max="3333" width="4.09765625" style="131" customWidth="1"/>
    <col min="3334" max="3337" width="6.5" style="131" customWidth="1"/>
    <col min="3338" max="3338" width="9" style="131" customWidth="1"/>
    <col min="3339" max="3339" width="3.8984375" style="131" customWidth="1"/>
    <col min="3340" max="3340" width="11.8984375" style="131" customWidth="1"/>
    <col min="3341" max="3341" width="13.5" style="131" customWidth="1"/>
    <col min="3342" max="3342" width="7.5" style="131" customWidth="1"/>
    <col min="3343" max="3343" width="5.8984375" style="131" customWidth="1"/>
    <col min="3344" max="3344" width="9.8984375" style="131" customWidth="1"/>
    <col min="3345" max="3345" width="9" style="131"/>
    <col min="3346" max="3346" width="6.19921875" style="131" customWidth="1"/>
    <col min="3347" max="3347" width="9" style="131" customWidth="1"/>
    <col min="3348" max="3348" width="9" style="131"/>
    <col min="3349" max="3349" width="9" style="131" customWidth="1"/>
    <col min="3350" max="3582" width="9" style="131"/>
    <col min="3583" max="3583" width="9.3984375" style="131" customWidth="1"/>
    <col min="3584" max="3584" width="12.3984375" style="131" customWidth="1"/>
    <col min="3585" max="3585" width="4.19921875" style="131" customWidth="1"/>
    <col min="3586" max="3586" width="9.8984375" style="131" customWidth="1"/>
    <col min="3587" max="3587" width="13.8984375" style="131" customWidth="1"/>
    <col min="3588" max="3588" width="8.8984375" style="131" customWidth="1"/>
    <col min="3589" max="3589" width="4.09765625" style="131" customWidth="1"/>
    <col min="3590" max="3593" width="6.5" style="131" customWidth="1"/>
    <col min="3594" max="3594" width="9" style="131" customWidth="1"/>
    <col min="3595" max="3595" width="3.8984375" style="131" customWidth="1"/>
    <col min="3596" max="3596" width="11.8984375" style="131" customWidth="1"/>
    <col min="3597" max="3597" width="13.5" style="131" customWidth="1"/>
    <col min="3598" max="3598" width="7.5" style="131" customWidth="1"/>
    <col min="3599" max="3599" width="5.8984375" style="131" customWidth="1"/>
    <col min="3600" max="3600" width="9.8984375" style="131" customWidth="1"/>
    <col min="3601" max="3601" width="9" style="131"/>
    <col min="3602" max="3602" width="6.19921875" style="131" customWidth="1"/>
    <col min="3603" max="3603" width="9" style="131" customWidth="1"/>
    <col min="3604" max="3604" width="9" style="131"/>
    <col min="3605" max="3605" width="9" style="131" customWidth="1"/>
    <col min="3606" max="3838" width="9" style="131"/>
    <col min="3839" max="3839" width="9.3984375" style="131" customWidth="1"/>
    <col min="3840" max="3840" width="12.3984375" style="131" customWidth="1"/>
    <col min="3841" max="3841" width="4.19921875" style="131" customWidth="1"/>
    <col min="3842" max="3842" width="9.8984375" style="131" customWidth="1"/>
    <col min="3843" max="3843" width="13.8984375" style="131" customWidth="1"/>
    <col min="3844" max="3844" width="8.8984375" style="131" customWidth="1"/>
    <col min="3845" max="3845" width="4.09765625" style="131" customWidth="1"/>
    <col min="3846" max="3849" width="6.5" style="131" customWidth="1"/>
    <col min="3850" max="3850" width="9" style="131" customWidth="1"/>
    <col min="3851" max="3851" width="3.8984375" style="131" customWidth="1"/>
    <col min="3852" max="3852" width="11.8984375" style="131" customWidth="1"/>
    <col min="3853" max="3853" width="13.5" style="131" customWidth="1"/>
    <col min="3854" max="3854" width="7.5" style="131" customWidth="1"/>
    <col min="3855" max="3855" width="5.8984375" style="131" customWidth="1"/>
    <col min="3856" max="3856" width="9.8984375" style="131" customWidth="1"/>
    <col min="3857" max="3857" width="9" style="131"/>
    <col min="3858" max="3858" width="6.19921875" style="131" customWidth="1"/>
    <col min="3859" max="3859" width="9" style="131" customWidth="1"/>
    <col min="3860" max="3860" width="9" style="131"/>
    <col min="3861" max="3861" width="9" style="131" customWidth="1"/>
    <col min="3862" max="4094" width="9" style="131"/>
    <col min="4095" max="4095" width="9.3984375" style="131" customWidth="1"/>
    <col min="4096" max="4096" width="12.3984375" style="131" customWidth="1"/>
    <col min="4097" max="4097" width="4.19921875" style="131" customWidth="1"/>
    <col min="4098" max="4098" width="9.8984375" style="131" customWidth="1"/>
    <col min="4099" max="4099" width="13.8984375" style="131" customWidth="1"/>
    <col min="4100" max="4100" width="8.8984375" style="131" customWidth="1"/>
    <col min="4101" max="4101" width="4.09765625" style="131" customWidth="1"/>
    <col min="4102" max="4105" width="6.5" style="131" customWidth="1"/>
    <col min="4106" max="4106" width="9" style="131" customWidth="1"/>
    <col min="4107" max="4107" width="3.8984375" style="131" customWidth="1"/>
    <col min="4108" max="4108" width="11.8984375" style="131" customWidth="1"/>
    <col min="4109" max="4109" width="13.5" style="131" customWidth="1"/>
    <col min="4110" max="4110" width="7.5" style="131" customWidth="1"/>
    <col min="4111" max="4111" width="5.8984375" style="131" customWidth="1"/>
    <col min="4112" max="4112" width="9.8984375" style="131" customWidth="1"/>
    <col min="4113" max="4113" width="9" style="131"/>
    <col min="4114" max="4114" width="6.19921875" style="131" customWidth="1"/>
    <col min="4115" max="4115" width="9" style="131" customWidth="1"/>
    <col min="4116" max="4116" width="9" style="131"/>
    <col min="4117" max="4117" width="9" style="131" customWidth="1"/>
    <col min="4118" max="4350" width="9" style="131"/>
    <col min="4351" max="4351" width="9.3984375" style="131" customWidth="1"/>
    <col min="4352" max="4352" width="12.3984375" style="131" customWidth="1"/>
    <col min="4353" max="4353" width="4.19921875" style="131" customWidth="1"/>
    <col min="4354" max="4354" width="9.8984375" style="131" customWidth="1"/>
    <col min="4355" max="4355" width="13.8984375" style="131" customWidth="1"/>
    <col min="4356" max="4356" width="8.8984375" style="131" customWidth="1"/>
    <col min="4357" max="4357" width="4.09765625" style="131" customWidth="1"/>
    <col min="4358" max="4361" width="6.5" style="131" customWidth="1"/>
    <col min="4362" max="4362" width="9" style="131" customWidth="1"/>
    <col min="4363" max="4363" width="3.8984375" style="131" customWidth="1"/>
    <col min="4364" max="4364" width="11.8984375" style="131" customWidth="1"/>
    <col min="4365" max="4365" width="13.5" style="131" customWidth="1"/>
    <col min="4366" max="4366" width="7.5" style="131" customWidth="1"/>
    <col min="4367" max="4367" width="5.8984375" style="131" customWidth="1"/>
    <col min="4368" max="4368" width="9.8984375" style="131" customWidth="1"/>
    <col min="4369" max="4369" width="9" style="131"/>
    <col min="4370" max="4370" width="6.19921875" style="131" customWidth="1"/>
    <col min="4371" max="4371" width="9" style="131" customWidth="1"/>
    <col min="4372" max="4372" width="9" style="131"/>
    <col min="4373" max="4373" width="9" style="131" customWidth="1"/>
    <col min="4374" max="4606" width="9" style="131"/>
    <col min="4607" max="4607" width="9.3984375" style="131" customWidth="1"/>
    <col min="4608" max="4608" width="12.3984375" style="131" customWidth="1"/>
    <col min="4609" max="4609" width="4.19921875" style="131" customWidth="1"/>
    <col min="4610" max="4610" width="9.8984375" style="131" customWidth="1"/>
    <col min="4611" max="4611" width="13.8984375" style="131" customWidth="1"/>
    <col min="4612" max="4612" width="8.8984375" style="131" customWidth="1"/>
    <col min="4613" max="4613" width="4.09765625" style="131" customWidth="1"/>
    <col min="4614" max="4617" width="6.5" style="131" customWidth="1"/>
    <col min="4618" max="4618" width="9" style="131" customWidth="1"/>
    <col min="4619" max="4619" width="3.8984375" style="131" customWidth="1"/>
    <col min="4620" max="4620" width="11.8984375" style="131" customWidth="1"/>
    <col min="4621" max="4621" width="13.5" style="131" customWidth="1"/>
    <col min="4622" max="4622" width="7.5" style="131" customWidth="1"/>
    <col min="4623" max="4623" width="5.8984375" style="131" customWidth="1"/>
    <col min="4624" max="4624" width="9.8984375" style="131" customWidth="1"/>
    <col min="4625" max="4625" width="9" style="131"/>
    <col min="4626" max="4626" width="6.19921875" style="131" customWidth="1"/>
    <col min="4627" max="4627" width="9" style="131" customWidth="1"/>
    <col min="4628" max="4628" width="9" style="131"/>
    <col min="4629" max="4629" width="9" style="131" customWidth="1"/>
    <col min="4630" max="4862" width="9" style="131"/>
    <col min="4863" max="4863" width="9.3984375" style="131" customWidth="1"/>
    <col min="4864" max="4864" width="12.3984375" style="131" customWidth="1"/>
    <col min="4865" max="4865" width="4.19921875" style="131" customWidth="1"/>
    <col min="4866" max="4866" width="9.8984375" style="131" customWidth="1"/>
    <col min="4867" max="4867" width="13.8984375" style="131" customWidth="1"/>
    <col min="4868" max="4868" width="8.8984375" style="131" customWidth="1"/>
    <col min="4869" max="4869" width="4.09765625" style="131" customWidth="1"/>
    <col min="4870" max="4873" width="6.5" style="131" customWidth="1"/>
    <col min="4874" max="4874" width="9" style="131" customWidth="1"/>
    <col min="4875" max="4875" width="3.8984375" style="131" customWidth="1"/>
    <col min="4876" max="4876" width="11.8984375" style="131" customWidth="1"/>
    <col min="4877" max="4877" width="13.5" style="131" customWidth="1"/>
    <col min="4878" max="4878" width="7.5" style="131" customWidth="1"/>
    <col min="4879" max="4879" width="5.8984375" style="131" customWidth="1"/>
    <col min="4880" max="4880" width="9.8984375" style="131" customWidth="1"/>
    <col min="4881" max="4881" width="9" style="131"/>
    <col min="4882" max="4882" width="6.19921875" style="131" customWidth="1"/>
    <col min="4883" max="4883" width="9" style="131" customWidth="1"/>
    <col min="4884" max="4884" width="9" style="131"/>
    <col min="4885" max="4885" width="9" style="131" customWidth="1"/>
    <col min="4886" max="5118" width="9" style="131"/>
    <col min="5119" max="5119" width="9.3984375" style="131" customWidth="1"/>
    <col min="5120" max="5120" width="12.3984375" style="131" customWidth="1"/>
    <col min="5121" max="5121" width="4.19921875" style="131" customWidth="1"/>
    <col min="5122" max="5122" width="9.8984375" style="131" customWidth="1"/>
    <col min="5123" max="5123" width="13.8984375" style="131" customWidth="1"/>
    <col min="5124" max="5124" width="8.8984375" style="131" customWidth="1"/>
    <col min="5125" max="5125" width="4.09765625" style="131" customWidth="1"/>
    <col min="5126" max="5129" width="6.5" style="131" customWidth="1"/>
    <col min="5130" max="5130" width="9" style="131" customWidth="1"/>
    <col min="5131" max="5131" width="3.8984375" style="131" customWidth="1"/>
    <col min="5132" max="5132" width="11.8984375" style="131" customWidth="1"/>
    <col min="5133" max="5133" width="13.5" style="131" customWidth="1"/>
    <col min="5134" max="5134" width="7.5" style="131" customWidth="1"/>
    <col min="5135" max="5135" width="5.8984375" style="131" customWidth="1"/>
    <col min="5136" max="5136" width="9.8984375" style="131" customWidth="1"/>
    <col min="5137" max="5137" width="9" style="131"/>
    <col min="5138" max="5138" width="6.19921875" style="131" customWidth="1"/>
    <col min="5139" max="5139" width="9" style="131" customWidth="1"/>
    <col min="5140" max="5140" width="9" style="131"/>
    <col min="5141" max="5141" width="9" style="131" customWidth="1"/>
    <col min="5142" max="5374" width="9" style="131"/>
    <col min="5375" max="5375" width="9.3984375" style="131" customWidth="1"/>
    <col min="5376" max="5376" width="12.3984375" style="131" customWidth="1"/>
    <col min="5377" max="5377" width="4.19921875" style="131" customWidth="1"/>
    <col min="5378" max="5378" width="9.8984375" style="131" customWidth="1"/>
    <col min="5379" max="5379" width="13.8984375" style="131" customWidth="1"/>
    <col min="5380" max="5380" width="8.8984375" style="131" customWidth="1"/>
    <col min="5381" max="5381" width="4.09765625" style="131" customWidth="1"/>
    <col min="5382" max="5385" width="6.5" style="131" customWidth="1"/>
    <col min="5386" max="5386" width="9" style="131" customWidth="1"/>
    <col min="5387" max="5387" width="3.8984375" style="131" customWidth="1"/>
    <col min="5388" max="5388" width="11.8984375" style="131" customWidth="1"/>
    <col min="5389" max="5389" width="13.5" style="131" customWidth="1"/>
    <col min="5390" max="5390" width="7.5" style="131" customWidth="1"/>
    <col min="5391" max="5391" width="5.8984375" style="131" customWidth="1"/>
    <col min="5392" max="5392" width="9.8984375" style="131" customWidth="1"/>
    <col min="5393" max="5393" width="9" style="131"/>
    <col min="5394" max="5394" width="6.19921875" style="131" customWidth="1"/>
    <col min="5395" max="5395" width="9" style="131" customWidth="1"/>
    <col min="5396" max="5396" width="9" style="131"/>
    <col min="5397" max="5397" width="9" style="131" customWidth="1"/>
    <col min="5398" max="5630" width="9" style="131"/>
    <col min="5631" max="5631" width="9.3984375" style="131" customWidth="1"/>
    <col min="5632" max="5632" width="12.3984375" style="131" customWidth="1"/>
    <col min="5633" max="5633" width="4.19921875" style="131" customWidth="1"/>
    <col min="5634" max="5634" width="9.8984375" style="131" customWidth="1"/>
    <col min="5635" max="5635" width="13.8984375" style="131" customWidth="1"/>
    <col min="5636" max="5636" width="8.8984375" style="131" customWidth="1"/>
    <col min="5637" max="5637" width="4.09765625" style="131" customWidth="1"/>
    <col min="5638" max="5641" width="6.5" style="131" customWidth="1"/>
    <col min="5642" max="5642" width="9" style="131" customWidth="1"/>
    <col min="5643" max="5643" width="3.8984375" style="131" customWidth="1"/>
    <col min="5644" max="5644" width="11.8984375" style="131" customWidth="1"/>
    <col min="5645" max="5645" width="13.5" style="131" customWidth="1"/>
    <col min="5646" max="5646" width="7.5" style="131" customWidth="1"/>
    <col min="5647" max="5647" width="5.8984375" style="131" customWidth="1"/>
    <col min="5648" max="5648" width="9.8984375" style="131" customWidth="1"/>
    <col min="5649" max="5649" width="9" style="131"/>
    <col min="5650" max="5650" width="6.19921875" style="131" customWidth="1"/>
    <col min="5651" max="5651" width="9" style="131" customWidth="1"/>
    <col min="5652" max="5652" width="9" style="131"/>
    <col min="5653" max="5653" width="9" style="131" customWidth="1"/>
    <col min="5654" max="5886" width="9" style="131"/>
    <col min="5887" max="5887" width="9.3984375" style="131" customWidth="1"/>
    <col min="5888" max="5888" width="12.3984375" style="131" customWidth="1"/>
    <col min="5889" max="5889" width="4.19921875" style="131" customWidth="1"/>
    <col min="5890" max="5890" width="9.8984375" style="131" customWidth="1"/>
    <col min="5891" max="5891" width="13.8984375" style="131" customWidth="1"/>
    <col min="5892" max="5892" width="8.8984375" style="131" customWidth="1"/>
    <col min="5893" max="5893" width="4.09765625" style="131" customWidth="1"/>
    <col min="5894" max="5897" width="6.5" style="131" customWidth="1"/>
    <col min="5898" max="5898" width="9" style="131" customWidth="1"/>
    <col min="5899" max="5899" width="3.8984375" style="131" customWidth="1"/>
    <col min="5900" max="5900" width="11.8984375" style="131" customWidth="1"/>
    <col min="5901" max="5901" width="13.5" style="131" customWidth="1"/>
    <col min="5902" max="5902" width="7.5" style="131" customWidth="1"/>
    <col min="5903" max="5903" width="5.8984375" style="131" customWidth="1"/>
    <col min="5904" max="5904" width="9.8984375" style="131" customWidth="1"/>
    <col min="5905" max="5905" width="9" style="131"/>
    <col min="5906" max="5906" width="6.19921875" style="131" customWidth="1"/>
    <col min="5907" max="5907" width="9" style="131" customWidth="1"/>
    <col min="5908" max="5908" width="9" style="131"/>
    <col min="5909" max="5909" width="9" style="131" customWidth="1"/>
    <col min="5910" max="6142" width="9" style="131"/>
    <col min="6143" max="6143" width="9.3984375" style="131" customWidth="1"/>
    <col min="6144" max="6144" width="12.3984375" style="131" customWidth="1"/>
    <col min="6145" max="6145" width="4.19921875" style="131" customWidth="1"/>
    <col min="6146" max="6146" width="9.8984375" style="131" customWidth="1"/>
    <col min="6147" max="6147" width="13.8984375" style="131" customWidth="1"/>
    <col min="6148" max="6148" width="8.8984375" style="131" customWidth="1"/>
    <col min="6149" max="6149" width="4.09765625" style="131" customWidth="1"/>
    <col min="6150" max="6153" width="6.5" style="131" customWidth="1"/>
    <col min="6154" max="6154" width="9" style="131" customWidth="1"/>
    <col min="6155" max="6155" width="3.8984375" style="131" customWidth="1"/>
    <col min="6156" max="6156" width="11.8984375" style="131" customWidth="1"/>
    <col min="6157" max="6157" width="13.5" style="131" customWidth="1"/>
    <col min="6158" max="6158" width="7.5" style="131" customWidth="1"/>
    <col min="6159" max="6159" width="5.8984375" style="131" customWidth="1"/>
    <col min="6160" max="6160" width="9.8984375" style="131" customWidth="1"/>
    <col min="6161" max="6161" width="9" style="131"/>
    <col min="6162" max="6162" width="6.19921875" style="131" customWidth="1"/>
    <col min="6163" max="6163" width="9" style="131" customWidth="1"/>
    <col min="6164" max="6164" width="9" style="131"/>
    <col min="6165" max="6165" width="9" style="131" customWidth="1"/>
    <col min="6166" max="6398" width="9" style="131"/>
    <col min="6399" max="6399" width="9.3984375" style="131" customWidth="1"/>
    <col min="6400" max="6400" width="12.3984375" style="131" customWidth="1"/>
    <col min="6401" max="6401" width="4.19921875" style="131" customWidth="1"/>
    <col min="6402" max="6402" width="9.8984375" style="131" customWidth="1"/>
    <col min="6403" max="6403" width="13.8984375" style="131" customWidth="1"/>
    <col min="6404" max="6404" width="8.8984375" style="131" customWidth="1"/>
    <col min="6405" max="6405" width="4.09765625" style="131" customWidth="1"/>
    <col min="6406" max="6409" width="6.5" style="131" customWidth="1"/>
    <col min="6410" max="6410" width="9" style="131" customWidth="1"/>
    <col min="6411" max="6411" width="3.8984375" style="131" customWidth="1"/>
    <col min="6412" max="6412" width="11.8984375" style="131" customWidth="1"/>
    <col min="6413" max="6413" width="13.5" style="131" customWidth="1"/>
    <col min="6414" max="6414" width="7.5" style="131" customWidth="1"/>
    <col min="6415" max="6415" width="5.8984375" style="131" customWidth="1"/>
    <col min="6416" max="6416" width="9.8984375" style="131" customWidth="1"/>
    <col min="6417" max="6417" width="9" style="131"/>
    <col min="6418" max="6418" width="6.19921875" style="131" customWidth="1"/>
    <col min="6419" max="6419" width="9" style="131" customWidth="1"/>
    <col min="6420" max="6420" width="9" style="131"/>
    <col min="6421" max="6421" width="9" style="131" customWidth="1"/>
    <col min="6422" max="6654" width="9" style="131"/>
    <col min="6655" max="6655" width="9.3984375" style="131" customWidth="1"/>
    <col min="6656" max="6656" width="12.3984375" style="131" customWidth="1"/>
    <col min="6657" max="6657" width="4.19921875" style="131" customWidth="1"/>
    <col min="6658" max="6658" width="9.8984375" style="131" customWidth="1"/>
    <col min="6659" max="6659" width="13.8984375" style="131" customWidth="1"/>
    <col min="6660" max="6660" width="8.8984375" style="131" customWidth="1"/>
    <col min="6661" max="6661" width="4.09765625" style="131" customWidth="1"/>
    <col min="6662" max="6665" width="6.5" style="131" customWidth="1"/>
    <col min="6666" max="6666" width="9" style="131" customWidth="1"/>
    <col min="6667" max="6667" width="3.8984375" style="131" customWidth="1"/>
    <col min="6668" max="6668" width="11.8984375" style="131" customWidth="1"/>
    <col min="6669" max="6669" width="13.5" style="131" customWidth="1"/>
    <col min="6670" max="6670" width="7.5" style="131" customWidth="1"/>
    <col min="6671" max="6671" width="5.8984375" style="131" customWidth="1"/>
    <col min="6672" max="6672" width="9.8984375" style="131" customWidth="1"/>
    <col min="6673" max="6673" width="9" style="131"/>
    <col min="6674" max="6674" width="6.19921875" style="131" customWidth="1"/>
    <col min="6675" max="6675" width="9" style="131" customWidth="1"/>
    <col min="6676" max="6676" width="9" style="131"/>
    <col min="6677" max="6677" width="9" style="131" customWidth="1"/>
    <col min="6678" max="6910" width="9" style="131"/>
    <col min="6911" max="6911" width="9.3984375" style="131" customWidth="1"/>
    <col min="6912" max="6912" width="12.3984375" style="131" customWidth="1"/>
    <col min="6913" max="6913" width="4.19921875" style="131" customWidth="1"/>
    <col min="6914" max="6914" width="9.8984375" style="131" customWidth="1"/>
    <col min="6915" max="6915" width="13.8984375" style="131" customWidth="1"/>
    <col min="6916" max="6916" width="8.8984375" style="131" customWidth="1"/>
    <col min="6917" max="6917" width="4.09765625" style="131" customWidth="1"/>
    <col min="6918" max="6921" width="6.5" style="131" customWidth="1"/>
    <col min="6922" max="6922" width="9" style="131" customWidth="1"/>
    <col min="6923" max="6923" width="3.8984375" style="131" customWidth="1"/>
    <col min="6924" max="6924" width="11.8984375" style="131" customWidth="1"/>
    <col min="6925" max="6925" width="13.5" style="131" customWidth="1"/>
    <col min="6926" max="6926" width="7.5" style="131" customWidth="1"/>
    <col min="6927" max="6927" width="5.8984375" style="131" customWidth="1"/>
    <col min="6928" max="6928" width="9.8984375" style="131" customWidth="1"/>
    <col min="6929" max="6929" width="9" style="131"/>
    <col min="6930" max="6930" width="6.19921875" style="131" customWidth="1"/>
    <col min="6931" max="6931" width="9" style="131" customWidth="1"/>
    <col min="6932" max="6932" width="9" style="131"/>
    <col min="6933" max="6933" width="9" style="131" customWidth="1"/>
    <col min="6934" max="7166" width="9" style="131"/>
    <col min="7167" max="7167" width="9.3984375" style="131" customWidth="1"/>
    <col min="7168" max="7168" width="12.3984375" style="131" customWidth="1"/>
    <col min="7169" max="7169" width="4.19921875" style="131" customWidth="1"/>
    <col min="7170" max="7170" width="9.8984375" style="131" customWidth="1"/>
    <col min="7171" max="7171" width="13.8984375" style="131" customWidth="1"/>
    <col min="7172" max="7172" width="8.8984375" style="131" customWidth="1"/>
    <col min="7173" max="7173" width="4.09765625" style="131" customWidth="1"/>
    <col min="7174" max="7177" width="6.5" style="131" customWidth="1"/>
    <col min="7178" max="7178" width="9" style="131" customWidth="1"/>
    <col min="7179" max="7179" width="3.8984375" style="131" customWidth="1"/>
    <col min="7180" max="7180" width="11.8984375" style="131" customWidth="1"/>
    <col min="7181" max="7181" width="13.5" style="131" customWidth="1"/>
    <col min="7182" max="7182" width="7.5" style="131" customWidth="1"/>
    <col min="7183" max="7183" width="5.8984375" style="131" customWidth="1"/>
    <col min="7184" max="7184" width="9.8984375" style="131" customWidth="1"/>
    <col min="7185" max="7185" width="9" style="131"/>
    <col min="7186" max="7186" width="6.19921875" style="131" customWidth="1"/>
    <col min="7187" max="7187" width="9" style="131" customWidth="1"/>
    <col min="7188" max="7188" width="9" style="131"/>
    <col min="7189" max="7189" width="9" style="131" customWidth="1"/>
    <col min="7190" max="7422" width="9" style="131"/>
    <col min="7423" max="7423" width="9.3984375" style="131" customWidth="1"/>
    <col min="7424" max="7424" width="12.3984375" style="131" customWidth="1"/>
    <col min="7425" max="7425" width="4.19921875" style="131" customWidth="1"/>
    <col min="7426" max="7426" width="9.8984375" style="131" customWidth="1"/>
    <col min="7427" max="7427" width="13.8984375" style="131" customWidth="1"/>
    <col min="7428" max="7428" width="8.8984375" style="131" customWidth="1"/>
    <col min="7429" max="7429" width="4.09765625" style="131" customWidth="1"/>
    <col min="7430" max="7433" width="6.5" style="131" customWidth="1"/>
    <col min="7434" max="7434" width="9" style="131" customWidth="1"/>
    <col min="7435" max="7435" width="3.8984375" style="131" customWidth="1"/>
    <col min="7436" max="7436" width="11.8984375" style="131" customWidth="1"/>
    <col min="7437" max="7437" width="13.5" style="131" customWidth="1"/>
    <col min="7438" max="7438" width="7.5" style="131" customWidth="1"/>
    <col min="7439" max="7439" width="5.8984375" style="131" customWidth="1"/>
    <col min="7440" max="7440" width="9.8984375" style="131" customWidth="1"/>
    <col min="7441" max="7441" width="9" style="131"/>
    <col min="7442" max="7442" width="6.19921875" style="131" customWidth="1"/>
    <col min="7443" max="7443" width="9" style="131" customWidth="1"/>
    <col min="7444" max="7444" width="9" style="131"/>
    <col min="7445" max="7445" width="9" style="131" customWidth="1"/>
    <col min="7446" max="7678" width="9" style="131"/>
    <col min="7679" max="7679" width="9.3984375" style="131" customWidth="1"/>
    <col min="7680" max="7680" width="12.3984375" style="131" customWidth="1"/>
    <col min="7681" max="7681" width="4.19921875" style="131" customWidth="1"/>
    <col min="7682" max="7682" width="9.8984375" style="131" customWidth="1"/>
    <col min="7683" max="7683" width="13.8984375" style="131" customWidth="1"/>
    <col min="7684" max="7684" width="8.8984375" style="131" customWidth="1"/>
    <col min="7685" max="7685" width="4.09765625" style="131" customWidth="1"/>
    <col min="7686" max="7689" width="6.5" style="131" customWidth="1"/>
    <col min="7690" max="7690" width="9" style="131" customWidth="1"/>
    <col min="7691" max="7691" width="3.8984375" style="131" customWidth="1"/>
    <col min="7692" max="7692" width="11.8984375" style="131" customWidth="1"/>
    <col min="7693" max="7693" width="13.5" style="131" customWidth="1"/>
    <col min="7694" max="7694" width="7.5" style="131" customWidth="1"/>
    <col min="7695" max="7695" width="5.8984375" style="131" customWidth="1"/>
    <col min="7696" max="7696" width="9.8984375" style="131" customWidth="1"/>
    <col min="7697" max="7697" width="9" style="131"/>
    <col min="7698" max="7698" width="6.19921875" style="131" customWidth="1"/>
    <col min="7699" max="7699" width="9" style="131" customWidth="1"/>
    <col min="7700" max="7700" width="9" style="131"/>
    <col min="7701" max="7701" width="9" style="131" customWidth="1"/>
    <col min="7702" max="7934" width="9" style="131"/>
    <col min="7935" max="7935" width="9.3984375" style="131" customWidth="1"/>
    <col min="7936" max="7936" width="12.3984375" style="131" customWidth="1"/>
    <col min="7937" max="7937" width="4.19921875" style="131" customWidth="1"/>
    <col min="7938" max="7938" width="9.8984375" style="131" customWidth="1"/>
    <col min="7939" max="7939" width="13.8984375" style="131" customWidth="1"/>
    <col min="7940" max="7940" width="8.8984375" style="131" customWidth="1"/>
    <col min="7941" max="7941" width="4.09765625" style="131" customWidth="1"/>
    <col min="7942" max="7945" width="6.5" style="131" customWidth="1"/>
    <col min="7946" max="7946" width="9" style="131" customWidth="1"/>
    <col min="7947" max="7947" width="3.8984375" style="131" customWidth="1"/>
    <col min="7948" max="7948" width="11.8984375" style="131" customWidth="1"/>
    <col min="7949" max="7949" width="13.5" style="131" customWidth="1"/>
    <col min="7950" max="7950" width="7.5" style="131" customWidth="1"/>
    <col min="7951" max="7951" width="5.8984375" style="131" customWidth="1"/>
    <col min="7952" max="7952" width="9.8984375" style="131" customWidth="1"/>
    <col min="7953" max="7953" width="9" style="131"/>
    <col min="7954" max="7954" width="6.19921875" style="131" customWidth="1"/>
    <col min="7955" max="7955" width="9" style="131" customWidth="1"/>
    <col min="7956" max="7956" width="9" style="131"/>
    <col min="7957" max="7957" width="9" style="131" customWidth="1"/>
    <col min="7958" max="8190" width="9" style="131"/>
    <col min="8191" max="8191" width="9.3984375" style="131" customWidth="1"/>
    <col min="8192" max="8192" width="12.3984375" style="131" customWidth="1"/>
    <col min="8193" max="8193" width="4.19921875" style="131" customWidth="1"/>
    <col min="8194" max="8194" width="9.8984375" style="131" customWidth="1"/>
    <col min="8195" max="8195" width="13.8984375" style="131" customWidth="1"/>
    <col min="8196" max="8196" width="8.8984375" style="131" customWidth="1"/>
    <col min="8197" max="8197" width="4.09765625" style="131" customWidth="1"/>
    <col min="8198" max="8201" width="6.5" style="131" customWidth="1"/>
    <col min="8202" max="8202" width="9" style="131" customWidth="1"/>
    <col min="8203" max="8203" width="3.8984375" style="131" customWidth="1"/>
    <col min="8204" max="8204" width="11.8984375" style="131" customWidth="1"/>
    <col min="8205" max="8205" width="13.5" style="131" customWidth="1"/>
    <col min="8206" max="8206" width="7.5" style="131" customWidth="1"/>
    <col min="8207" max="8207" width="5.8984375" style="131" customWidth="1"/>
    <col min="8208" max="8208" width="9.8984375" style="131" customWidth="1"/>
    <col min="8209" max="8209" width="9" style="131"/>
    <col min="8210" max="8210" width="6.19921875" style="131" customWidth="1"/>
    <col min="8211" max="8211" width="9" style="131" customWidth="1"/>
    <col min="8212" max="8212" width="9" style="131"/>
    <col min="8213" max="8213" width="9" style="131" customWidth="1"/>
    <col min="8214" max="8446" width="9" style="131"/>
    <col min="8447" max="8447" width="9.3984375" style="131" customWidth="1"/>
    <col min="8448" max="8448" width="12.3984375" style="131" customWidth="1"/>
    <col min="8449" max="8449" width="4.19921875" style="131" customWidth="1"/>
    <col min="8450" max="8450" width="9.8984375" style="131" customWidth="1"/>
    <col min="8451" max="8451" width="13.8984375" style="131" customWidth="1"/>
    <col min="8452" max="8452" width="8.8984375" style="131" customWidth="1"/>
    <col min="8453" max="8453" width="4.09765625" style="131" customWidth="1"/>
    <col min="8454" max="8457" width="6.5" style="131" customWidth="1"/>
    <col min="8458" max="8458" width="9" style="131" customWidth="1"/>
    <col min="8459" max="8459" width="3.8984375" style="131" customWidth="1"/>
    <col min="8460" max="8460" width="11.8984375" style="131" customWidth="1"/>
    <col min="8461" max="8461" width="13.5" style="131" customWidth="1"/>
    <col min="8462" max="8462" width="7.5" style="131" customWidth="1"/>
    <col min="8463" max="8463" width="5.8984375" style="131" customWidth="1"/>
    <col min="8464" max="8464" width="9.8984375" style="131" customWidth="1"/>
    <col min="8465" max="8465" width="9" style="131"/>
    <col min="8466" max="8466" width="6.19921875" style="131" customWidth="1"/>
    <col min="8467" max="8467" width="9" style="131" customWidth="1"/>
    <col min="8468" max="8468" width="9" style="131"/>
    <col min="8469" max="8469" width="9" style="131" customWidth="1"/>
    <col min="8470" max="8702" width="9" style="131"/>
    <col min="8703" max="8703" width="9.3984375" style="131" customWidth="1"/>
    <col min="8704" max="8704" width="12.3984375" style="131" customWidth="1"/>
    <col min="8705" max="8705" width="4.19921875" style="131" customWidth="1"/>
    <col min="8706" max="8706" width="9.8984375" style="131" customWidth="1"/>
    <col min="8707" max="8707" width="13.8984375" style="131" customWidth="1"/>
    <col min="8708" max="8708" width="8.8984375" style="131" customWidth="1"/>
    <col min="8709" max="8709" width="4.09765625" style="131" customWidth="1"/>
    <col min="8710" max="8713" width="6.5" style="131" customWidth="1"/>
    <col min="8714" max="8714" width="9" style="131" customWidth="1"/>
    <col min="8715" max="8715" width="3.8984375" style="131" customWidth="1"/>
    <col min="8716" max="8716" width="11.8984375" style="131" customWidth="1"/>
    <col min="8717" max="8717" width="13.5" style="131" customWidth="1"/>
    <col min="8718" max="8718" width="7.5" style="131" customWidth="1"/>
    <col min="8719" max="8719" width="5.8984375" style="131" customWidth="1"/>
    <col min="8720" max="8720" width="9.8984375" style="131" customWidth="1"/>
    <col min="8721" max="8721" width="9" style="131"/>
    <col min="8722" max="8722" width="6.19921875" style="131" customWidth="1"/>
    <col min="8723" max="8723" width="9" style="131" customWidth="1"/>
    <col min="8724" max="8724" width="9" style="131"/>
    <col min="8725" max="8725" width="9" style="131" customWidth="1"/>
    <col min="8726" max="8958" width="9" style="131"/>
    <col min="8959" max="8959" width="9.3984375" style="131" customWidth="1"/>
    <col min="8960" max="8960" width="12.3984375" style="131" customWidth="1"/>
    <col min="8961" max="8961" width="4.19921875" style="131" customWidth="1"/>
    <col min="8962" max="8962" width="9.8984375" style="131" customWidth="1"/>
    <col min="8963" max="8963" width="13.8984375" style="131" customWidth="1"/>
    <col min="8964" max="8964" width="8.8984375" style="131" customWidth="1"/>
    <col min="8965" max="8965" width="4.09765625" style="131" customWidth="1"/>
    <col min="8966" max="8969" width="6.5" style="131" customWidth="1"/>
    <col min="8970" max="8970" width="9" style="131" customWidth="1"/>
    <col min="8971" max="8971" width="3.8984375" style="131" customWidth="1"/>
    <col min="8972" max="8972" width="11.8984375" style="131" customWidth="1"/>
    <col min="8973" max="8973" width="13.5" style="131" customWidth="1"/>
    <col min="8974" max="8974" width="7.5" style="131" customWidth="1"/>
    <col min="8975" max="8975" width="5.8984375" style="131" customWidth="1"/>
    <col min="8976" max="8976" width="9.8984375" style="131" customWidth="1"/>
    <col min="8977" max="8977" width="9" style="131"/>
    <col min="8978" max="8978" width="6.19921875" style="131" customWidth="1"/>
    <col min="8979" max="8979" width="9" style="131" customWidth="1"/>
    <col min="8980" max="8980" width="9" style="131"/>
    <col min="8981" max="8981" width="9" style="131" customWidth="1"/>
    <col min="8982" max="9214" width="9" style="131"/>
    <col min="9215" max="9215" width="9.3984375" style="131" customWidth="1"/>
    <col min="9216" max="9216" width="12.3984375" style="131" customWidth="1"/>
    <col min="9217" max="9217" width="4.19921875" style="131" customWidth="1"/>
    <col min="9218" max="9218" width="9.8984375" style="131" customWidth="1"/>
    <col min="9219" max="9219" width="13.8984375" style="131" customWidth="1"/>
    <col min="9220" max="9220" width="8.8984375" style="131" customWidth="1"/>
    <col min="9221" max="9221" width="4.09765625" style="131" customWidth="1"/>
    <col min="9222" max="9225" width="6.5" style="131" customWidth="1"/>
    <col min="9226" max="9226" width="9" style="131" customWidth="1"/>
    <col min="9227" max="9227" width="3.8984375" style="131" customWidth="1"/>
    <col min="9228" max="9228" width="11.8984375" style="131" customWidth="1"/>
    <col min="9229" max="9229" width="13.5" style="131" customWidth="1"/>
    <col min="9230" max="9230" width="7.5" style="131" customWidth="1"/>
    <col min="9231" max="9231" width="5.8984375" style="131" customWidth="1"/>
    <col min="9232" max="9232" width="9.8984375" style="131" customWidth="1"/>
    <col min="9233" max="9233" width="9" style="131"/>
    <col min="9234" max="9234" width="6.19921875" style="131" customWidth="1"/>
    <col min="9235" max="9235" width="9" style="131" customWidth="1"/>
    <col min="9236" max="9236" width="9" style="131"/>
    <col min="9237" max="9237" width="9" style="131" customWidth="1"/>
    <col min="9238" max="9470" width="9" style="131"/>
    <col min="9471" max="9471" width="9.3984375" style="131" customWidth="1"/>
    <col min="9472" max="9472" width="12.3984375" style="131" customWidth="1"/>
    <col min="9473" max="9473" width="4.19921875" style="131" customWidth="1"/>
    <col min="9474" max="9474" width="9.8984375" style="131" customWidth="1"/>
    <col min="9475" max="9475" width="13.8984375" style="131" customWidth="1"/>
    <col min="9476" max="9476" width="8.8984375" style="131" customWidth="1"/>
    <col min="9477" max="9477" width="4.09765625" style="131" customWidth="1"/>
    <col min="9478" max="9481" width="6.5" style="131" customWidth="1"/>
    <col min="9482" max="9482" width="9" style="131" customWidth="1"/>
    <col min="9483" max="9483" width="3.8984375" style="131" customWidth="1"/>
    <col min="9484" max="9484" width="11.8984375" style="131" customWidth="1"/>
    <col min="9485" max="9485" width="13.5" style="131" customWidth="1"/>
    <col min="9486" max="9486" width="7.5" style="131" customWidth="1"/>
    <col min="9487" max="9487" width="5.8984375" style="131" customWidth="1"/>
    <col min="9488" max="9488" width="9.8984375" style="131" customWidth="1"/>
    <col min="9489" max="9489" width="9" style="131"/>
    <col min="9490" max="9490" width="6.19921875" style="131" customWidth="1"/>
    <col min="9491" max="9491" width="9" style="131" customWidth="1"/>
    <col min="9492" max="9492" width="9" style="131"/>
    <col min="9493" max="9493" width="9" style="131" customWidth="1"/>
    <col min="9494" max="9726" width="9" style="131"/>
    <col min="9727" max="9727" width="9.3984375" style="131" customWidth="1"/>
    <col min="9728" max="9728" width="12.3984375" style="131" customWidth="1"/>
    <col min="9729" max="9729" width="4.19921875" style="131" customWidth="1"/>
    <col min="9730" max="9730" width="9.8984375" style="131" customWidth="1"/>
    <col min="9731" max="9731" width="13.8984375" style="131" customWidth="1"/>
    <col min="9732" max="9732" width="8.8984375" style="131" customWidth="1"/>
    <col min="9733" max="9733" width="4.09765625" style="131" customWidth="1"/>
    <col min="9734" max="9737" width="6.5" style="131" customWidth="1"/>
    <col min="9738" max="9738" width="9" style="131" customWidth="1"/>
    <col min="9739" max="9739" width="3.8984375" style="131" customWidth="1"/>
    <col min="9740" max="9740" width="11.8984375" style="131" customWidth="1"/>
    <col min="9741" max="9741" width="13.5" style="131" customWidth="1"/>
    <col min="9742" max="9742" width="7.5" style="131" customWidth="1"/>
    <col min="9743" max="9743" width="5.8984375" style="131" customWidth="1"/>
    <col min="9744" max="9744" width="9.8984375" style="131" customWidth="1"/>
    <col min="9745" max="9745" width="9" style="131"/>
    <col min="9746" max="9746" width="6.19921875" style="131" customWidth="1"/>
    <col min="9747" max="9747" width="9" style="131" customWidth="1"/>
    <col min="9748" max="9748" width="9" style="131"/>
    <col min="9749" max="9749" width="9" style="131" customWidth="1"/>
    <col min="9750" max="9982" width="9" style="131"/>
    <col min="9983" max="9983" width="9.3984375" style="131" customWidth="1"/>
    <col min="9984" max="9984" width="12.3984375" style="131" customWidth="1"/>
    <col min="9985" max="9985" width="4.19921875" style="131" customWidth="1"/>
    <col min="9986" max="9986" width="9.8984375" style="131" customWidth="1"/>
    <col min="9987" max="9987" width="13.8984375" style="131" customWidth="1"/>
    <col min="9988" max="9988" width="8.8984375" style="131" customWidth="1"/>
    <col min="9989" max="9989" width="4.09765625" style="131" customWidth="1"/>
    <col min="9990" max="9993" width="6.5" style="131" customWidth="1"/>
    <col min="9994" max="9994" width="9" style="131" customWidth="1"/>
    <col min="9995" max="9995" width="3.8984375" style="131" customWidth="1"/>
    <col min="9996" max="9996" width="11.8984375" style="131" customWidth="1"/>
    <col min="9997" max="9997" width="13.5" style="131" customWidth="1"/>
    <col min="9998" max="9998" width="7.5" style="131" customWidth="1"/>
    <col min="9999" max="9999" width="5.8984375" style="131" customWidth="1"/>
    <col min="10000" max="10000" width="9.8984375" style="131" customWidth="1"/>
    <col min="10001" max="10001" width="9" style="131"/>
    <col min="10002" max="10002" width="6.19921875" style="131" customWidth="1"/>
    <col min="10003" max="10003" width="9" style="131" customWidth="1"/>
    <col min="10004" max="10004" width="9" style="131"/>
    <col min="10005" max="10005" width="9" style="131" customWidth="1"/>
    <col min="10006" max="10238" width="9" style="131"/>
    <col min="10239" max="10239" width="9.3984375" style="131" customWidth="1"/>
    <col min="10240" max="10240" width="12.3984375" style="131" customWidth="1"/>
    <col min="10241" max="10241" width="4.19921875" style="131" customWidth="1"/>
    <col min="10242" max="10242" width="9.8984375" style="131" customWidth="1"/>
    <col min="10243" max="10243" width="13.8984375" style="131" customWidth="1"/>
    <col min="10244" max="10244" width="8.8984375" style="131" customWidth="1"/>
    <col min="10245" max="10245" width="4.09765625" style="131" customWidth="1"/>
    <col min="10246" max="10249" width="6.5" style="131" customWidth="1"/>
    <col min="10250" max="10250" width="9" style="131" customWidth="1"/>
    <col min="10251" max="10251" width="3.8984375" style="131" customWidth="1"/>
    <col min="10252" max="10252" width="11.8984375" style="131" customWidth="1"/>
    <col min="10253" max="10253" width="13.5" style="131" customWidth="1"/>
    <col min="10254" max="10254" width="7.5" style="131" customWidth="1"/>
    <col min="10255" max="10255" width="5.8984375" style="131" customWidth="1"/>
    <col min="10256" max="10256" width="9.8984375" style="131" customWidth="1"/>
    <col min="10257" max="10257" width="9" style="131"/>
    <col min="10258" max="10258" width="6.19921875" style="131" customWidth="1"/>
    <col min="10259" max="10259" width="9" style="131" customWidth="1"/>
    <col min="10260" max="10260" width="9" style="131"/>
    <col min="10261" max="10261" width="9" style="131" customWidth="1"/>
    <col min="10262" max="10494" width="9" style="131"/>
    <col min="10495" max="10495" width="9.3984375" style="131" customWidth="1"/>
    <col min="10496" max="10496" width="12.3984375" style="131" customWidth="1"/>
    <col min="10497" max="10497" width="4.19921875" style="131" customWidth="1"/>
    <col min="10498" max="10498" width="9.8984375" style="131" customWidth="1"/>
    <col min="10499" max="10499" width="13.8984375" style="131" customWidth="1"/>
    <col min="10500" max="10500" width="8.8984375" style="131" customWidth="1"/>
    <col min="10501" max="10501" width="4.09765625" style="131" customWidth="1"/>
    <col min="10502" max="10505" width="6.5" style="131" customWidth="1"/>
    <col min="10506" max="10506" width="9" style="131" customWidth="1"/>
    <col min="10507" max="10507" width="3.8984375" style="131" customWidth="1"/>
    <col min="10508" max="10508" width="11.8984375" style="131" customWidth="1"/>
    <col min="10509" max="10509" width="13.5" style="131" customWidth="1"/>
    <col min="10510" max="10510" width="7.5" style="131" customWidth="1"/>
    <col min="10511" max="10511" width="5.8984375" style="131" customWidth="1"/>
    <col min="10512" max="10512" width="9.8984375" style="131" customWidth="1"/>
    <col min="10513" max="10513" width="9" style="131"/>
    <col min="10514" max="10514" width="6.19921875" style="131" customWidth="1"/>
    <col min="10515" max="10515" width="9" style="131" customWidth="1"/>
    <col min="10516" max="10516" width="9" style="131"/>
    <col min="10517" max="10517" width="9" style="131" customWidth="1"/>
    <col min="10518" max="10750" width="9" style="131"/>
    <col min="10751" max="10751" width="9.3984375" style="131" customWidth="1"/>
    <col min="10752" max="10752" width="12.3984375" style="131" customWidth="1"/>
    <col min="10753" max="10753" width="4.19921875" style="131" customWidth="1"/>
    <col min="10754" max="10754" width="9.8984375" style="131" customWidth="1"/>
    <col min="10755" max="10755" width="13.8984375" style="131" customWidth="1"/>
    <col min="10756" max="10756" width="8.8984375" style="131" customWidth="1"/>
    <col min="10757" max="10757" width="4.09765625" style="131" customWidth="1"/>
    <col min="10758" max="10761" width="6.5" style="131" customWidth="1"/>
    <col min="10762" max="10762" width="9" style="131" customWidth="1"/>
    <col min="10763" max="10763" width="3.8984375" style="131" customWidth="1"/>
    <col min="10764" max="10764" width="11.8984375" style="131" customWidth="1"/>
    <col min="10765" max="10765" width="13.5" style="131" customWidth="1"/>
    <col min="10766" max="10766" width="7.5" style="131" customWidth="1"/>
    <col min="10767" max="10767" width="5.8984375" style="131" customWidth="1"/>
    <col min="10768" max="10768" width="9.8984375" style="131" customWidth="1"/>
    <col min="10769" max="10769" width="9" style="131"/>
    <col min="10770" max="10770" width="6.19921875" style="131" customWidth="1"/>
    <col min="10771" max="10771" width="9" style="131" customWidth="1"/>
    <col min="10772" max="10772" width="9" style="131"/>
    <col min="10773" max="10773" width="9" style="131" customWidth="1"/>
    <col min="10774" max="11006" width="9" style="131"/>
    <col min="11007" max="11007" width="9.3984375" style="131" customWidth="1"/>
    <col min="11008" max="11008" width="12.3984375" style="131" customWidth="1"/>
    <col min="11009" max="11009" width="4.19921875" style="131" customWidth="1"/>
    <col min="11010" max="11010" width="9.8984375" style="131" customWidth="1"/>
    <col min="11011" max="11011" width="13.8984375" style="131" customWidth="1"/>
    <col min="11012" max="11012" width="8.8984375" style="131" customWidth="1"/>
    <col min="11013" max="11013" width="4.09765625" style="131" customWidth="1"/>
    <col min="11014" max="11017" width="6.5" style="131" customWidth="1"/>
    <col min="11018" max="11018" width="9" style="131" customWidth="1"/>
    <col min="11019" max="11019" width="3.8984375" style="131" customWidth="1"/>
    <col min="11020" max="11020" width="11.8984375" style="131" customWidth="1"/>
    <col min="11021" max="11021" width="13.5" style="131" customWidth="1"/>
    <col min="11022" max="11022" width="7.5" style="131" customWidth="1"/>
    <col min="11023" max="11023" width="5.8984375" style="131" customWidth="1"/>
    <col min="11024" max="11024" width="9.8984375" style="131" customWidth="1"/>
    <col min="11025" max="11025" width="9" style="131"/>
    <col min="11026" max="11026" width="6.19921875" style="131" customWidth="1"/>
    <col min="11027" max="11027" width="9" style="131" customWidth="1"/>
    <col min="11028" max="11028" width="9" style="131"/>
    <col min="11029" max="11029" width="9" style="131" customWidth="1"/>
    <col min="11030" max="11262" width="9" style="131"/>
    <col min="11263" max="11263" width="9.3984375" style="131" customWidth="1"/>
    <col min="11264" max="11264" width="12.3984375" style="131" customWidth="1"/>
    <col min="11265" max="11265" width="4.19921875" style="131" customWidth="1"/>
    <col min="11266" max="11266" width="9.8984375" style="131" customWidth="1"/>
    <col min="11267" max="11267" width="13.8984375" style="131" customWidth="1"/>
    <col min="11268" max="11268" width="8.8984375" style="131" customWidth="1"/>
    <col min="11269" max="11269" width="4.09765625" style="131" customWidth="1"/>
    <col min="11270" max="11273" width="6.5" style="131" customWidth="1"/>
    <col min="11274" max="11274" width="9" style="131" customWidth="1"/>
    <col min="11275" max="11275" width="3.8984375" style="131" customWidth="1"/>
    <col min="11276" max="11276" width="11.8984375" style="131" customWidth="1"/>
    <col min="11277" max="11277" width="13.5" style="131" customWidth="1"/>
    <col min="11278" max="11278" width="7.5" style="131" customWidth="1"/>
    <col min="11279" max="11279" width="5.8984375" style="131" customWidth="1"/>
    <col min="11280" max="11280" width="9.8984375" style="131" customWidth="1"/>
    <col min="11281" max="11281" width="9" style="131"/>
    <col min="11282" max="11282" width="6.19921875" style="131" customWidth="1"/>
    <col min="11283" max="11283" width="9" style="131" customWidth="1"/>
    <col min="11284" max="11284" width="9" style="131"/>
    <col min="11285" max="11285" width="9" style="131" customWidth="1"/>
    <col min="11286" max="11518" width="9" style="131"/>
    <col min="11519" max="11519" width="9.3984375" style="131" customWidth="1"/>
    <col min="11520" max="11520" width="12.3984375" style="131" customWidth="1"/>
    <col min="11521" max="11521" width="4.19921875" style="131" customWidth="1"/>
    <col min="11522" max="11522" width="9.8984375" style="131" customWidth="1"/>
    <col min="11523" max="11523" width="13.8984375" style="131" customWidth="1"/>
    <col min="11524" max="11524" width="8.8984375" style="131" customWidth="1"/>
    <col min="11525" max="11525" width="4.09765625" style="131" customWidth="1"/>
    <col min="11526" max="11529" width="6.5" style="131" customWidth="1"/>
    <col min="11530" max="11530" width="9" style="131" customWidth="1"/>
    <col min="11531" max="11531" width="3.8984375" style="131" customWidth="1"/>
    <col min="11532" max="11532" width="11.8984375" style="131" customWidth="1"/>
    <col min="11533" max="11533" width="13.5" style="131" customWidth="1"/>
    <col min="11534" max="11534" width="7.5" style="131" customWidth="1"/>
    <col min="11535" max="11535" width="5.8984375" style="131" customWidth="1"/>
    <col min="11536" max="11536" width="9.8984375" style="131" customWidth="1"/>
    <col min="11537" max="11537" width="9" style="131"/>
    <col min="11538" max="11538" width="6.19921875" style="131" customWidth="1"/>
    <col min="11539" max="11539" width="9" style="131" customWidth="1"/>
    <col min="11540" max="11540" width="9" style="131"/>
    <col min="11541" max="11541" width="9" style="131" customWidth="1"/>
    <col min="11542" max="11774" width="9" style="131"/>
    <col min="11775" max="11775" width="9.3984375" style="131" customWidth="1"/>
    <col min="11776" max="11776" width="12.3984375" style="131" customWidth="1"/>
    <col min="11777" max="11777" width="4.19921875" style="131" customWidth="1"/>
    <col min="11778" max="11778" width="9.8984375" style="131" customWidth="1"/>
    <col min="11779" max="11779" width="13.8984375" style="131" customWidth="1"/>
    <col min="11780" max="11780" width="8.8984375" style="131" customWidth="1"/>
    <col min="11781" max="11781" width="4.09765625" style="131" customWidth="1"/>
    <col min="11782" max="11785" width="6.5" style="131" customWidth="1"/>
    <col min="11786" max="11786" width="9" style="131" customWidth="1"/>
    <col min="11787" max="11787" width="3.8984375" style="131" customWidth="1"/>
    <col min="11788" max="11788" width="11.8984375" style="131" customWidth="1"/>
    <col min="11789" max="11789" width="13.5" style="131" customWidth="1"/>
    <col min="11790" max="11790" width="7.5" style="131" customWidth="1"/>
    <col min="11791" max="11791" width="5.8984375" style="131" customWidth="1"/>
    <col min="11792" max="11792" width="9.8984375" style="131" customWidth="1"/>
    <col min="11793" max="11793" width="9" style="131"/>
    <col min="11794" max="11794" width="6.19921875" style="131" customWidth="1"/>
    <col min="11795" max="11795" width="9" style="131" customWidth="1"/>
    <col min="11796" max="11796" width="9" style="131"/>
    <col min="11797" max="11797" width="9" style="131" customWidth="1"/>
    <col min="11798" max="12030" width="9" style="131"/>
    <col min="12031" max="12031" width="9.3984375" style="131" customWidth="1"/>
    <col min="12032" max="12032" width="12.3984375" style="131" customWidth="1"/>
    <col min="12033" max="12033" width="4.19921875" style="131" customWidth="1"/>
    <col min="12034" max="12034" width="9.8984375" style="131" customWidth="1"/>
    <col min="12035" max="12035" width="13.8984375" style="131" customWidth="1"/>
    <col min="12036" max="12036" width="8.8984375" style="131" customWidth="1"/>
    <col min="12037" max="12037" width="4.09765625" style="131" customWidth="1"/>
    <col min="12038" max="12041" width="6.5" style="131" customWidth="1"/>
    <col min="12042" max="12042" width="9" style="131" customWidth="1"/>
    <col min="12043" max="12043" width="3.8984375" style="131" customWidth="1"/>
    <col min="12044" max="12044" width="11.8984375" style="131" customWidth="1"/>
    <col min="12045" max="12045" width="13.5" style="131" customWidth="1"/>
    <col min="12046" max="12046" width="7.5" style="131" customWidth="1"/>
    <col min="12047" max="12047" width="5.8984375" style="131" customWidth="1"/>
    <col min="12048" max="12048" width="9.8984375" style="131" customWidth="1"/>
    <col min="12049" max="12049" width="9" style="131"/>
    <col min="12050" max="12050" width="6.19921875" style="131" customWidth="1"/>
    <col min="12051" max="12051" width="9" style="131" customWidth="1"/>
    <col min="12052" max="12052" width="9" style="131"/>
    <col min="12053" max="12053" width="9" style="131" customWidth="1"/>
    <col min="12054" max="12286" width="9" style="131"/>
    <col min="12287" max="12287" width="9.3984375" style="131" customWidth="1"/>
    <col min="12288" max="12288" width="12.3984375" style="131" customWidth="1"/>
    <col min="12289" max="12289" width="4.19921875" style="131" customWidth="1"/>
    <col min="12290" max="12290" width="9.8984375" style="131" customWidth="1"/>
    <col min="12291" max="12291" width="13.8984375" style="131" customWidth="1"/>
    <col min="12292" max="12292" width="8.8984375" style="131" customWidth="1"/>
    <col min="12293" max="12293" width="4.09765625" style="131" customWidth="1"/>
    <col min="12294" max="12297" width="6.5" style="131" customWidth="1"/>
    <col min="12298" max="12298" width="9" style="131" customWidth="1"/>
    <col min="12299" max="12299" width="3.8984375" style="131" customWidth="1"/>
    <col min="12300" max="12300" width="11.8984375" style="131" customWidth="1"/>
    <col min="12301" max="12301" width="13.5" style="131" customWidth="1"/>
    <col min="12302" max="12302" width="7.5" style="131" customWidth="1"/>
    <col min="12303" max="12303" width="5.8984375" style="131" customWidth="1"/>
    <col min="12304" max="12304" width="9.8984375" style="131" customWidth="1"/>
    <col min="12305" max="12305" width="9" style="131"/>
    <col min="12306" max="12306" width="6.19921875" style="131" customWidth="1"/>
    <col min="12307" max="12307" width="9" style="131" customWidth="1"/>
    <col min="12308" max="12308" width="9" style="131"/>
    <col min="12309" max="12309" width="9" style="131" customWidth="1"/>
    <col min="12310" max="12542" width="9" style="131"/>
    <col min="12543" max="12543" width="9.3984375" style="131" customWidth="1"/>
    <col min="12544" max="12544" width="12.3984375" style="131" customWidth="1"/>
    <col min="12545" max="12545" width="4.19921875" style="131" customWidth="1"/>
    <col min="12546" max="12546" width="9.8984375" style="131" customWidth="1"/>
    <col min="12547" max="12547" width="13.8984375" style="131" customWidth="1"/>
    <col min="12548" max="12548" width="8.8984375" style="131" customWidth="1"/>
    <col min="12549" max="12549" width="4.09765625" style="131" customWidth="1"/>
    <col min="12550" max="12553" width="6.5" style="131" customWidth="1"/>
    <col min="12554" max="12554" width="9" style="131" customWidth="1"/>
    <col min="12555" max="12555" width="3.8984375" style="131" customWidth="1"/>
    <col min="12556" max="12556" width="11.8984375" style="131" customWidth="1"/>
    <col min="12557" max="12557" width="13.5" style="131" customWidth="1"/>
    <col min="12558" max="12558" width="7.5" style="131" customWidth="1"/>
    <col min="12559" max="12559" width="5.8984375" style="131" customWidth="1"/>
    <col min="12560" max="12560" width="9.8984375" style="131" customWidth="1"/>
    <col min="12561" max="12561" width="9" style="131"/>
    <col min="12562" max="12562" width="6.19921875" style="131" customWidth="1"/>
    <col min="12563" max="12563" width="9" style="131" customWidth="1"/>
    <col min="12564" max="12564" width="9" style="131"/>
    <col min="12565" max="12565" width="9" style="131" customWidth="1"/>
    <col min="12566" max="12798" width="9" style="131"/>
    <col min="12799" max="12799" width="9.3984375" style="131" customWidth="1"/>
    <col min="12800" max="12800" width="12.3984375" style="131" customWidth="1"/>
    <col min="12801" max="12801" width="4.19921875" style="131" customWidth="1"/>
    <col min="12802" max="12802" width="9.8984375" style="131" customWidth="1"/>
    <col min="12803" max="12803" width="13.8984375" style="131" customWidth="1"/>
    <col min="12804" max="12804" width="8.8984375" style="131" customWidth="1"/>
    <col min="12805" max="12805" width="4.09765625" style="131" customWidth="1"/>
    <col min="12806" max="12809" width="6.5" style="131" customWidth="1"/>
    <col min="12810" max="12810" width="9" style="131" customWidth="1"/>
    <col min="12811" max="12811" width="3.8984375" style="131" customWidth="1"/>
    <col min="12812" max="12812" width="11.8984375" style="131" customWidth="1"/>
    <col min="12813" max="12813" width="13.5" style="131" customWidth="1"/>
    <col min="12814" max="12814" width="7.5" style="131" customWidth="1"/>
    <col min="12815" max="12815" width="5.8984375" style="131" customWidth="1"/>
    <col min="12816" max="12816" width="9.8984375" style="131" customWidth="1"/>
    <col min="12817" max="12817" width="9" style="131"/>
    <col min="12818" max="12818" width="6.19921875" style="131" customWidth="1"/>
    <col min="12819" max="12819" width="9" style="131" customWidth="1"/>
    <col min="12820" max="12820" width="9" style="131"/>
    <col min="12821" max="12821" width="9" style="131" customWidth="1"/>
    <col min="12822" max="13054" width="9" style="131"/>
    <col min="13055" max="13055" width="9.3984375" style="131" customWidth="1"/>
    <col min="13056" max="13056" width="12.3984375" style="131" customWidth="1"/>
    <col min="13057" max="13057" width="4.19921875" style="131" customWidth="1"/>
    <col min="13058" max="13058" width="9.8984375" style="131" customWidth="1"/>
    <col min="13059" max="13059" width="13.8984375" style="131" customWidth="1"/>
    <col min="13060" max="13060" width="8.8984375" style="131" customWidth="1"/>
    <col min="13061" max="13061" width="4.09765625" style="131" customWidth="1"/>
    <col min="13062" max="13065" width="6.5" style="131" customWidth="1"/>
    <col min="13066" max="13066" width="9" style="131" customWidth="1"/>
    <col min="13067" max="13067" width="3.8984375" style="131" customWidth="1"/>
    <col min="13068" max="13068" width="11.8984375" style="131" customWidth="1"/>
    <col min="13069" max="13069" width="13.5" style="131" customWidth="1"/>
    <col min="13070" max="13070" width="7.5" style="131" customWidth="1"/>
    <col min="13071" max="13071" width="5.8984375" style="131" customWidth="1"/>
    <col min="13072" max="13072" width="9.8984375" style="131" customWidth="1"/>
    <col min="13073" max="13073" width="9" style="131"/>
    <col min="13074" max="13074" width="6.19921875" style="131" customWidth="1"/>
    <col min="13075" max="13075" width="9" style="131" customWidth="1"/>
    <col min="13076" max="13076" width="9" style="131"/>
    <col min="13077" max="13077" width="9" style="131" customWidth="1"/>
    <col min="13078" max="13310" width="9" style="131"/>
    <col min="13311" max="13311" width="9.3984375" style="131" customWidth="1"/>
    <col min="13312" max="13312" width="12.3984375" style="131" customWidth="1"/>
    <col min="13313" max="13313" width="4.19921875" style="131" customWidth="1"/>
    <col min="13314" max="13314" width="9.8984375" style="131" customWidth="1"/>
    <col min="13315" max="13315" width="13.8984375" style="131" customWidth="1"/>
    <col min="13316" max="13316" width="8.8984375" style="131" customWidth="1"/>
    <col min="13317" max="13317" width="4.09765625" style="131" customWidth="1"/>
    <col min="13318" max="13321" width="6.5" style="131" customWidth="1"/>
    <col min="13322" max="13322" width="9" style="131" customWidth="1"/>
    <col min="13323" max="13323" width="3.8984375" style="131" customWidth="1"/>
    <col min="13324" max="13324" width="11.8984375" style="131" customWidth="1"/>
    <col min="13325" max="13325" width="13.5" style="131" customWidth="1"/>
    <col min="13326" max="13326" width="7.5" style="131" customWidth="1"/>
    <col min="13327" max="13327" width="5.8984375" style="131" customWidth="1"/>
    <col min="13328" max="13328" width="9.8984375" style="131" customWidth="1"/>
    <col min="13329" max="13329" width="9" style="131"/>
    <col min="13330" max="13330" width="6.19921875" style="131" customWidth="1"/>
    <col min="13331" max="13331" width="9" style="131" customWidth="1"/>
    <col min="13332" max="13332" width="9" style="131"/>
    <col min="13333" max="13333" width="9" style="131" customWidth="1"/>
    <col min="13334" max="13566" width="9" style="131"/>
    <col min="13567" max="13567" width="9.3984375" style="131" customWidth="1"/>
    <col min="13568" max="13568" width="12.3984375" style="131" customWidth="1"/>
    <col min="13569" max="13569" width="4.19921875" style="131" customWidth="1"/>
    <col min="13570" max="13570" width="9.8984375" style="131" customWidth="1"/>
    <col min="13571" max="13571" width="13.8984375" style="131" customWidth="1"/>
    <col min="13572" max="13572" width="8.8984375" style="131" customWidth="1"/>
    <col min="13573" max="13573" width="4.09765625" style="131" customWidth="1"/>
    <col min="13574" max="13577" width="6.5" style="131" customWidth="1"/>
    <col min="13578" max="13578" width="9" style="131" customWidth="1"/>
    <col min="13579" max="13579" width="3.8984375" style="131" customWidth="1"/>
    <col min="13580" max="13580" width="11.8984375" style="131" customWidth="1"/>
    <col min="13581" max="13581" width="13.5" style="131" customWidth="1"/>
    <col min="13582" max="13582" width="7.5" style="131" customWidth="1"/>
    <col min="13583" max="13583" width="5.8984375" style="131" customWidth="1"/>
    <col min="13584" max="13584" width="9.8984375" style="131" customWidth="1"/>
    <col min="13585" max="13585" width="9" style="131"/>
    <col min="13586" max="13586" width="6.19921875" style="131" customWidth="1"/>
    <col min="13587" max="13587" width="9" style="131" customWidth="1"/>
    <col min="13588" max="13588" width="9" style="131"/>
    <col min="13589" max="13589" width="9" style="131" customWidth="1"/>
    <col min="13590" max="13822" width="9" style="131"/>
    <col min="13823" max="13823" width="9.3984375" style="131" customWidth="1"/>
    <col min="13824" max="13824" width="12.3984375" style="131" customWidth="1"/>
    <col min="13825" max="13825" width="4.19921875" style="131" customWidth="1"/>
    <col min="13826" max="13826" width="9.8984375" style="131" customWidth="1"/>
    <col min="13827" max="13827" width="13.8984375" style="131" customWidth="1"/>
    <col min="13828" max="13828" width="8.8984375" style="131" customWidth="1"/>
    <col min="13829" max="13829" width="4.09765625" style="131" customWidth="1"/>
    <col min="13830" max="13833" width="6.5" style="131" customWidth="1"/>
    <col min="13834" max="13834" width="9" style="131" customWidth="1"/>
    <col min="13835" max="13835" width="3.8984375" style="131" customWidth="1"/>
    <col min="13836" max="13836" width="11.8984375" style="131" customWidth="1"/>
    <col min="13837" max="13837" width="13.5" style="131" customWidth="1"/>
    <col min="13838" max="13838" width="7.5" style="131" customWidth="1"/>
    <col min="13839" max="13839" width="5.8984375" style="131" customWidth="1"/>
    <col min="13840" max="13840" width="9.8984375" style="131" customWidth="1"/>
    <col min="13841" max="13841" width="9" style="131"/>
    <col min="13842" max="13842" width="6.19921875" style="131" customWidth="1"/>
    <col min="13843" max="13843" width="9" style="131" customWidth="1"/>
    <col min="13844" max="13844" width="9" style="131"/>
    <col min="13845" max="13845" width="9" style="131" customWidth="1"/>
    <col min="13846" max="14078" width="9" style="131"/>
    <col min="14079" max="14079" width="9.3984375" style="131" customWidth="1"/>
    <col min="14080" max="14080" width="12.3984375" style="131" customWidth="1"/>
    <col min="14081" max="14081" width="4.19921875" style="131" customWidth="1"/>
    <col min="14082" max="14082" width="9.8984375" style="131" customWidth="1"/>
    <col min="14083" max="14083" width="13.8984375" style="131" customWidth="1"/>
    <col min="14084" max="14084" width="8.8984375" style="131" customWidth="1"/>
    <col min="14085" max="14085" width="4.09765625" style="131" customWidth="1"/>
    <col min="14086" max="14089" width="6.5" style="131" customWidth="1"/>
    <col min="14090" max="14090" width="9" style="131" customWidth="1"/>
    <col min="14091" max="14091" width="3.8984375" style="131" customWidth="1"/>
    <col min="14092" max="14092" width="11.8984375" style="131" customWidth="1"/>
    <col min="14093" max="14093" width="13.5" style="131" customWidth="1"/>
    <col min="14094" max="14094" width="7.5" style="131" customWidth="1"/>
    <col min="14095" max="14095" width="5.8984375" style="131" customWidth="1"/>
    <col min="14096" max="14096" width="9.8984375" style="131" customWidth="1"/>
    <col min="14097" max="14097" width="9" style="131"/>
    <col min="14098" max="14098" width="6.19921875" style="131" customWidth="1"/>
    <col min="14099" max="14099" width="9" style="131" customWidth="1"/>
    <col min="14100" max="14100" width="9" style="131"/>
    <col min="14101" max="14101" width="9" style="131" customWidth="1"/>
    <col min="14102" max="14334" width="9" style="131"/>
    <col min="14335" max="14335" width="9.3984375" style="131" customWidth="1"/>
    <col min="14336" max="14336" width="12.3984375" style="131" customWidth="1"/>
    <col min="14337" max="14337" width="4.19921875" style="131" customWidth="1"/>
    <col min="14338" max="14338" width="9.8984375" style="131" customWidth="1"/>
    <col min="14339" max="14339" width="13.8984375" style="131" customWidth="1"/>
    <col min="14340" max="14340" width="8.8984375" style="131" customWidth="1"/>
    <col min="14341" max="14341" width="4.09765625" style="131" customWidth="1"/>
    <col min="14342" max="14345" width="6.5" style="131" customWidth="1"/>
    <col min="14346" max="14346" width="9" style="131" customWidth="1"/>
    <col min="14347" max="14347" width="3.8984375" style="131" customWidth="1"/>
    <col min="14348" max="14348" width="11.8984375" style="131" customWidth="1"/>
    <col min="14349" max="14349" width="13.5" style="131" customWidth="1"/>
    <col min="14350" max="14350" width="7.5" style="131" customWidth="1"/>
    <col min="14351" max="14351" width="5.8984375" style="131" customWidth="1"/>
    <col min="14352" max="14352" width="9.8984375" style="131" customWidth="1"/>
    <col min="14353" max="14353" width="9" style="131"/>
    <col min="14354" max="14354" width="6.19921875" style="131" customWidth="1"/>
    <col min="14355" max="14355" width="9" style="131" customWidth="1"/>
    <col min="14356" max="14356" width="9" style="131"/>
    <col min="14357" max="14357" width="9" style="131" customWidth="1"/>
    <col min="14358" max="14590" width="9" style="131"/>
    <col min="14591" max="14591" width="9.3984375" style="131" customWidth="1"/>
    <col min="14592" max="14592" width="12.3984375" style="131" customWidth="1"/>
    <col min="14593" max="14593" width="4.19921875" style="131" customWidth="1"/>
    <col min="14594" max="14594" width="9.8984375" style="131" customWidth="1"/>
    <col min="14595" max="14595" width="13.8984375" style="131" customWidth="1"/>
    <col min="14596" max="14596" width="8.8984375" style="131" customWidth="1"/>
    <col min="14597" max="14597" width="4.09765625" style="131" customWidth="1"/>
    <col min="14598" max="14601" width="6.5" style="131" customWidth="1"/>
    <col min="14602" max="14602" width="9" style="131" customWidth="1"/>
    <col min="14603" max="14603" width="3.8984375" style="131" customWidth="1"/>
    <col min="14604" max="14604" width="11.8984375" style="131" customWidth="1"/>
    <col min="14605" max="14605" width="13.5" style="131" customWidth="1"/>
    <col min="14606" max="14606" width="7.5" style="131" customWidth="1"/>
    <col min="14607" max="14607" width="5.8984375" style="131" customWidth="1"/>
    <col min="14608" max="14608" width="9.8984375" style="131" customWidth="1"/>
    <col min="14609" max="14609" width="9" style="131"/>
    <col min="14610" max="14610" width="6.19921875" style="131" customWidth="1"/>
    <col min="14611" max="14611" width="9" style="131" customWidth="1"/>
    <col min="14612" max="14612" width="9" style="131"/>
    <col min="14613" max="14613" width="9" style="131" customWidth="1"/>
    <col min="14614" max="14846" width="9" style="131"/>
    <col min="14847" max="14847" width="9.3984375" style="131" customWidth="1"/>
    <col min="14848" max="14848" width="12.3984375" style="131" customWidth="1"/>
    <col min="14849" max="14849" width="4.19921875" style="131" customWidth="1"/>
    <col min="14850" max="14850" width="9.8984375" style="131" customWidth="1"/>
    <col min="14851" max="14851" width="13.8984375" style="131" customWidth="1"/>
    <col min="14852" max="14852" width="8.8984375" style="131" customWidth="1"/>
    <col min="14853" max="14853" width="4.09765625" style="131" customWidth="1"/>
    <col min="14854" max="14857" width="6.5" style="131" customWidth="1"/>
    <col min="14858" max="14858" width="9" style="131" customWidth="1"/>
    <col min="14859" max="14859" width="3.8984375" style="131" customWidth="1"/>
    <col min="14860" max="14860" width="11.8984375" style="131" customWidth="1"/>
    <col min="14861" max="14861" width="13.5" style="131" customWidth="1"/>
    <col min="14862" max="14862" width="7.5" style="131" customWidth="1"/>
    <col min="14863" max="14863" width="5.8984375" style="131" customWidth="1"/>
    <col min="14864" max="14864" width="9.8984375" style="131" customWidth="1"/>
    <col min="14865" max="14865" width="9" style="131"/>
    <col min="14866" max="14866" width="6.19921875" style="131" customWidth="1"/>
    <col min="14867" max="14867" width="9" style="131" customWidth="1"/>
    <col min="14868" max="14868" width="9" style="131"/>
    <col min="14869" max="14869" width="9" style="131" customWidth="1"/>
    <col min="14870" max="15102" width="9" style="131"/>
    <col min="15103" max="15103" width="9.3984375" style="131" customWidth="1"/>
    <col min="15104" max="15104" width="12.3984375" style="131" customWidth="1"/>
    <col min="15105" max="15105" width="4.19921875" style="131" customWidth="1"/>
    <col min="15106" max="15106" width="9.8984375" style="131" customWidth="1"/>
    <col min="15107" max="15107" width="13.8984375" style="131" customWidth="1"/>
    <col min="15108" max="15108" width="8.8984375" style="131" customWidth="1"/>
    <col min="15109" max="15109" width="4.09765625" style="131" customWidth="1"/>
    <col min="15110" max="15113" width="6.5" style="131" customWidth="1"/>
    <col min="15114" max="15114" width="9" style="131" customWidth="1"/>
    <col min="15115" max="15115" width="3.8984375" style="131" customWidth="1"/>
    <col min="15116" max="15116" width="11.8984375" style="131" customWidth="1"/>
    <col min="15117" max="15117" width="13.5" style="131" customWidth="1"/>
    <col min="15118" max="15118" width="7.5" style="131" customWidth="1"/>
    <col min="15119" max="15119" width="5.8984375" style="131" customWidth="1"/>
    <col min="15120" max="15120" width="9.8984375" style="131" customWidth="1"/>
    <col min="15121" max="15121" width="9" style="131"/>
    <col min="15122" max="15122" width="6.19921875" style="131" customWidth="1"/>
    <col min="15123" max="15123" width="9" style="131" customWidth="1"/>
    <col min="15124" max="15124" width="9" style="131"/>
    <col min="15125" max="15125" width="9" style="131" customWidth="1"/>
    <col min="15126" max="15358" width="9" style="131"/>
    <col min="15359" max="15359" width="9.3984375" style="131" customWidth="1"/>
    <col min="15360" max="15360" width="12.3984375" style="131" customWidth="1"/>
    <col min="15361" max="15361" width="4.19921875" style="131" customWidth="1"/>
    <col min="15362" max="15362" width="9.8984375" style="131" customWidth="1"/>
    <col min="15363" max="15363" width="13.8984375" style="131" customWidth="1"/>
    <col min="15364" max="15364" width="8.8984375" style="131" customWidth="1"/>
    <col min="15365" max="15365" width="4.09765625" style="131" customWidth="1"/>
    <col min="15366" max="15369" width="6.5" style="131" customWidth="1"/>
    <col min="15370" max="15370" width="9" style="131" customWidth="1"/>
    <col min="15371" max="15371" width="3.8984375" style="131" customWidth="1"/>
    <col min="15372" max="15372" width="11.8984375" style="131" customWidth="1"/>
    <col min="15373" max="15373" width="13.5" style="131" customWidth="1"/>
    <col min="15374" max="15374" width="7.5" style="131" customWidth="1"/>
    <col min="15375" max="15375" width="5.8984375" style="131" customWidth="1"/>
    <col min="15376" max="15376" width="9.8984375" style="131" customWidth="1"/>
    <col min="15377" max="15377" width="9" style="131"/>
    <col min="15378" max="15378" width="6.19921875" style="131" customWidth="1"/>
    <col min="15379" max="15379" width="9" style="131" customWidth="1"/>
    <col min="15380" max="15380" width="9" style="131"/>
    <col min="15381" max="15381" width="9" style="131" customWidth="1"/>
    <col min="15382" max="15614" width="9" style="131"/>
    <col min="15615" max="15615" width="9.3984375" style="131" customWidth="1"/>
    <col min="15616" max="15616" width="12.3984375" style="131" customWidth="1"/>
    <col min="15617" max="15617" width="4.19921875" style="131" customWidth="1"/>
    <col min="15618" max="15618" width="9.8984375" style="131" customWidth="1"/>
    <col min="15619" max="15619" width="13.8984375" style="131" customWidth="1"/>
    <col min="15620" max="15620" width="8.8984375" style="131" customWidth="1"/>
    <col min="15621" max="15621" width="4.09765625" style="131" customWidth="1"/>
    <col min="15622" max="15625" width="6.5" style="131" customWidth="1"/>
    <col min="15626" max="15626" width="9" style="131" customWidth="1"/>
    <col min="15627" max="15627" width="3.8984375" style="131" customWidth="1"/>
    <col min="15628" max="15628" width="11.8984375" style="131" customWidth="1"/>
    <col min="15629" max="15629" width="13.5" style="131" customWidth="1"/>
    <col min="15630" max="15630" width="7.5" style="131" customWidth="1"/>
    <col min="15631" max="15631" width="5.8984375" style="131" customWidth="1"/>
    <col min="15632" max="15632" width="9.8984375" style="131" customWidth="1"/>
    <col min="15633" max="15633" width="9" style="131"/>
    <col min="15634" max="15634" width="6.19921875" style="131" customWidth="1"/>
    <col min="15635" max="15635" width="9" style="131" customWidth="1"/>
    <col min="15636" max="15636" width="9" style="131"/>
    <col min="15637" max="15637" width="9" style="131" customWidth="1"/>
    <col min="15638" max="15870" width="9" style="131"/>
    <col min="15871" max="15871" width="9.3984375" style="131" customWidth="1"/>
    <col min="15872" max="15872" width="12.3984375" style="131" customWidth="1"/>
    <col min="15873" max="15873" width="4.19921875" style="131" customWidth="1"/>
    <col min="15874" max="15874" width="9.8984375" style="131" customWidth="1"/>
    <col min="15875" max="15875" width="13.8984375" style="131" customWidth="1"/>
    <col min="15876" max="15876" width="8.8984375" style="131" customWidth="1"/>
    <col min="15877" max="15877" width="4.09765625" style="131" customWidth="1"/>
    <col min="15878" max="15881" width="6.5" style="131" customWidth="1"/>
    <col min="15882" max="15882" width="9" style="131" customWidth="1"/>
    <col min="15883" max="15883" width="3.8984375" style="131" customWidth="1"/>
    <col min="15884" max="15884" width="11.8984375" style="131" customWidth="1"/>
    <col min="15885" max="15885" width="13.5" style="131" customWidth="1"/>
    <col min="15886" max="15886" width="7.5" style="131" customWidth="1"/>
    <col min="15887" max="15887" width="5.8984375" style="131" customWidth="1"/>
    <col min="15888" max="15888" width="9.8984375" style="131" customWidth="1"/>
    <col min="15889" max="15889" width="9" style="131"/>
    <col min="15890" max="15890" width="6.19921875" style="131" customWidth="1"/>
    <col min="15891" max="15891" width="9" style="131" customWidth="1"/>
    <col min="15892" max="15892" width="9" style="131"/>
    <col min="15893" max="15893" width="9" style="131" customWidth="1"/>
    <col min="15894" max="16126" width="9" style="131"/>
    <col min="16127" max="16127" width="9.3984375" style="131" customWidth="1"/>
    <col min="16128" max="16128" width="12.3984375" style="131" customWidth="1"/>
    <col min="16129" max="16129" width="4.19921875" style="131" customWidth="1"/>
    <col min="16130" max="16130" width="9.8984375" style="131" customWidth="1"/>
    <col min="16131" max="16131" width="13.8984375" style="131" customWidth="1"/>
    <col min="16132" max="16132" width="8.8984375" style="131" customWidth="1"/>
    <col min="16133" max="16133" width="4.09765625" style="131" customWidth="1"/>
    <col min="16134" max="16137" width="6.5" style="131" customWidth="1"/>
    <col min="16138" max="16138" width="9" style="131" customWidth="1"/>
    <col min="16139" max="16139" width="3.8984375" style="131" customWidth="1"/>
    <col min="16140" max="16140" width="11.8984375" style="131" customWidth="1"/>
    <col min="16141" max="16141" width="13.5" style="131" customWidth="1"/>
    <col min="16142" max="16142" width="7.5" style="131" customWidth="1"/>
    <col min="16143" max="16143" width="5.8984375" style="131" customWidth="1"/>
    <col min="16144" max="16144" width="9.8984375" style="131" customWidth="1"/>
    <col min="16145" max="16145" width="9" style="131"/>
    <col min="16146" max="16146" width="6.19921875" style="131" customWidth="1"/>
    <col min="16147" max="16147" width="9" style="131" customWidth="1"/>
    <col min="16148" max="16148" width="9" style="131"/>
    <col min="16149" max="16149" width="9" style="131" customWidth="1"/>
    <col min="16150" max="16384" width="9" style="131"/>
  </cols>
  <sheetData>
    <row r="1" spans="1:12" ht="20.100000000000001" customHeight="1">
      <c r="A1" s="545" t="s">
        <v>32</v>
      </c>
      <c r="B1" s="545"/>
      <c r="C1" s="545"/>
      <c r="D1" s="545"/>
      <c r="E1" s="545"/>
      <c r="F1" s="545"/>
      <c r="G1" s="545"/>
      <c r="H1" s="545"/>
      <c r="I1" s="545"/>
      <c r="J1" s="545"/>
      <c r="K1" s="545"/>
      <c r="L1" s="545"/>
    </row>
    <row r="2" spans="1:12" ht="20.100000000000001" customHeight="1">
      <c r="A2" s="546" t="s">
        <v>275</v>
      </c>
      <c r="B2" s="546"/>
      <c r="C2" s="546"/>
      <c r="D2" s="546"/>
      <c r="E2" s="546"/>
      <c r="F2" s="546"/>
      <c r="G2" s="546"/>
      <c r="H2" s="546"/>
      <c r="I2" s="546"/>
      <c r="J2" s="546"/>
      <c r="K2" s="546"/>
      <c r="L2" s="546"/>
    </row>
    <row r="3" spans="1:12" ht="20.100000000000001" customHeight="1">
      <c r="A3" s="131" t="str">
        <f>底稿目录!A2</f>
        <v>被审计单位：</v>
      </c>
      <c r="E3" s="300" t="str">
        <f>底稿目录!A4</f>
        <v>编制人：</v>
      </c>
      <c r="H3" s="300" t="str">
        <f>底稿目录!A5</f>
        <v>编制日期：</v>
      </c>
      <c r="K3" s="151" t="s">
        <v>34</v>
      </c>
      <c r="L3" s="662" t="str">
        <f>底稿目录!F5</f>
        <v>D6-1</v>
      </c>
    </row>
    <row r="4" spans="1:12" ht="20.100000000000001" customHeight="1">
      <c r="A4" s="131" t="str">
        <f>底稿目录!A3</f>
        <v>截止日：202X年12月31日</v>
      </c>
      <c r="E4" s="300" t="str">
        <f>底稿目录!A6</f>
        <v>复核人：</v>
      </c>
      <c r="H4" s="300" t="str">
        <f>底稿目录!A7</f>
        <v>复核日期：</v>
      </c>
      <c r="K4" s="151" t="s">
        <v>35</v>
      </c>
    </row>
    <row r="5" spans="1:12" ht="20.100000000000001" customHeight="1">
      <c r="A5" s="552" t="s">
        <v>276</v>
      </c>
      <c r="B5" s="547" t="s">
        <v>277</v>
      </c>
      <c r="C5" s="548"/>
      <c r="D5" s="548"/>
      <c r="E5" s="549"/>
      <c r="F5" s="547" t="s">
        <v>278</v>
      </c>
      <c r="G5" s="548"/>
      <c r="H5" s="548"/>
      <c r="I5" s="549"/>
      <c r="J5" s="550" t="s">
        <v>279</v>
      </c>
      <c r="K5" s="551"/>
      <c r="L5" s="552" t="s">
        <v>280</v>
      </c>
    </row>
    <row r="6" spans="1:12" ht="20.100000000000001" customHeight="1">
      <c r="A6" s="553"/>
      <c r="B6" s="302" t="s">
        <v>281</v>
      </c>
      <c r="C6" s="302" t="s">
        <v>282</v>
      </c>
      <c r="D6" s="302" t="s">
        <v>283</v>
      </c>
      <c r="E6" s="302" t="s">
        <v>284</v>
      </c>
      <c r="F6" s="302" t="s">
        <v>281</v>
      </c>
      <c r="G6" s="302" t="s">
        <v>282</v>
      </c>
      <c r="H6" s="302" t="s">
        <v>283</v>
      </c>
      <c r="I6" s="302" t="s">
        <v>284</v>
      </c>
      <c r="J6" s="324" t="s">
        <v>285</v>
      </c>
      <c r="K6" s="323" t="s">
        <v>286</v>
      </c>
      <c r="L6" s="554"/>
    </row>
    <row r="7" spans="1:12" s="132" customFormat="1" ht="20.100000000000001" customHeight="1">
      <c r="A7" s="301" t="s">
        <v>287</v>
      </c>
      <c r="B7" s="303"/>
      <c r="C7" s="303"/>
      <c r="D7" s="303"/>
      <c r="E7" s="303"/>
      <c r="F7" s="303"/>
      <c r="G7" s="303"/>
      <c r="H7" s="303"/>
      <c r="I7" s="303"/>
      <c r="J7" s="325"/>
      <c r="K7" s="326"/>
      <c r="L7" s="325"/>
    </row>
    <row r="8" spans="1:12" s="132" customFormat="1" ht="20.100000000000001" customHeight="1">
      <c r="A8" s="304"/>
      <c r="B8" s="36"/>
      <c r="C8" s="36"/>
      <c r="D8" s="36"/>
      <c r="E8" s="39">
        <f>B8+C8+D8</f>
        <v>0</v>
      </c>
      <c r="F8" s="36"/>
      <c r="G8" s="36"/>
      <c r="H8" s="36"/>
      <c r="I8" s="39">
        <f>F8+G8+H8</f>
        <v>0</v>
      </c>
      <c r="J8" s="327">
        <f>I8-E8</f>
        <v>0</v>
      </c>
      <c r="K8" s="328" t="str">
        <f>IF(AND(E8=0,I8=0),"",IF(AND(E8=0,I8&gt;0),1,J8/E8))</f>
        <v/>
      </c>
      <c r="L8" s="329"/>
    </row>
    <row r="9" spans="1:12" s="132" customFormat="1" ht="20.100000000000001" customHeight="1">
      <c r="A9" s="305"/>
      <c r="B9" s="36"/>
      <c r="C9" s="36"/>
      <c r="D9" s="36"/>
      <c r="E9" s="39">
        <f t="shared" ref="E9:E12" si="0">B9+C9+D9</f>
        <v>0</v>
      </c>
      <c r="F9" s="36"/>
      <c r="G9" s="36"/>
      <c r="H9" s="36"/>
      <c r="I9" s="39">
        <f t="shared" ref="I9:I12" si="1">F9+G9+H9</f>
        <v>0</v>
      </c>
      <c r="J9" s="327">
        <f t="shared" ref="J9:J13" si="2">I9-E9</f>
        <v>0</v>
      </c>
      <c r="K9" s="328" t="str">
        <f t="shared" ref="K9:K13" si="3">IF(AND(E9=0,I9=0),"",IF(AND(E9=0,I9&gt;0),1,J9/E9))</f>
        <v/>
      </c>
      <c r="L9" s="329"/>
    </row>
    <row r="10" spans="1:12" s="132" customFormat="1" ht="20.100000000000001" customHeight="1">
      <c r="A10" s="306"/>
      <c r="B10" s="36"/>
      <c r="C10" s="36"/>
      <c r="D10" s="36"/>
      <c r="E10" s="39">
        <f t="shared" si="0"/>
        <v>0</v>
      </c>
      <c r="F10" s="36"/>
      <c r="G10" s="36"/>
      <c r="H10" s="36"/>
      <c r="I10" s="39">
        <f t="shared" si="1"/>
        <v>0</v>
      </c>
      <c r="J10" s="327">
        <f t="shared" si="2"/>
        <v>0</v>
      </c>
      <c r="K10" s="328" t="str">
        <f t="shared" si="3"/>
        <v/>
      </c>
      <c r="L10" s="329"/>
    </row>
    <row r="11" spans="1:12" s="132" customFormat="1" ht="20.100000000000001" customHeight="1">
      <c r="A11" s="306"/>
      <c r="B11" s="36"/>
      <c r="C11" s="36"/>
      <c r="D11" s="36"/>
      <c r="E11" s="39">
        <f t="shared" si="0"/>
        <v>0</v>
      </c>
      <c r="F11" s="36"/>
      <c r="G11" s="36"/>
      <c r="H11" s="36"/>
      <c r="I11" s="39">
        <f t="shared" si="1"/>
        <v>0</v>
      </c>
      <c r="J11" s="327">
        <f t="shared" si="2"/>
        <v>0</v>
      </c>
      <c r="K11" s="328" t="str">
        <f t="shared" si="3"/>
        <v/>
      </c>
      <c r="L11" s="329"/>
    </row>
    <row r="12" spans="1:12" s="132" customFormat="1" ht="20.100000000000001" customHeight="1">
      <c r="A12" s="306"/>
      <c r="B12" s="36"/>
      <c r="C12" s="36"/>
      <c r="D12" s="36"/>
      <c r="E12" s="39">
        <f t="shared" si="0"/>
        <v>0</v>
      </c>
      <c r="F12" s="36"/>
      <c r="G12" s="36"/>
      <c r="H12" s="36"/>
      <c r="I12" s="39">
        <f t="shared" si="1"/>
        <v>0</v>
      </c>
      <c r="J12" s="327">
        <f t="shared" si="2"/>
        <v>0</v>
      </c>
      <c r="K12" s="328" t="str">
        <f t="shared" si="3"/>
        <v/>
      </c>
      <c r="L12" s="329"/>
    </row>
    <row r="13" spans="1:12" s="132" customFormat="1" ht="20.100000000000001" customHeight="1">
      <c r="A13" s="307" t="s">
        <v>288</v>
      </c>
      <c r="B13" s="39">
        <f>SUM(B8:B12)</f>
        <v>0</v>
      </c>
      <c r="C13" s="39">
        <f t="shared" ref="C13:E13" si="4">SUM(C8:C12)</f>
        <v>0</v>
      </c>
      <c r="D13" s="39">
        <f t="shared" si="4"/>
        <v>0</v>
      </c>
      <c r="E13" s="39">
        <f t="shared" si="4"/>
        <v>0</v>
      </c>
      <c r="F13" s="39">
        <f t="shared" ref="F13:I13" si="5">SUM(F8:F12)</f>
        <v>0</v>
      </c>
      <c r="G13" s="39">
        <f t="shared" si="5"/>
        <v>0</v>
      </c>
      <c r="H13" s="39">
        <f t="shared" si="5"/>
        <v>0</v>
      </c>
      <c r="I13" s="39">
        <f t="shared" si="5"/>
        <v>0</v>
      </c>
      <c r="J13" s="327">
        <f t="shared" si="2"/>
        <v>0</v>
      </c>
      <c r="K13" s="328" t="str">
        <f t="shared" si="3"/>
        <v/>
      </c>
      <c r="L13" s="329"/>
    </row>
    <row r="14" spans="1:12" s="132" customFormat="1" ht="20.100000000000001" customHeight="1">
      <c r="A14" s="308" t="s">
        <v>289</v>
      </c>
      <c r="B14" s="36"/>
      <c r="C14" s="36"/>
      <c r="D14" s="36"/>
      <c r="E14" s="39"/>
      <c r="F14" s="36"/>
      <c r="G14" s="36"/>
      <c r="H14" s="36"/>
      <c r="I14" s="39"/>
      <c r="J14" s="327"/>
      <c r="K14" s="328"/>
      <c r="L14" s="329"/>
    </row>
    <row r="15" spans="1:12" s="132" customFormat="1" ht="20.100000000000001" customHeight="1">
      <c r="A15" s="309" t="s">
        <v>290</v>
      </c>
      <c r="B15" s="43">
        <f>B13-B14</f>
        <v>0</v>
      </c>
      <c r="C15" s="43">
        <f t="shared" ref="C15:J15" si="6">C13-C14</f>
        <v>0</v>
      </c>
      <c r="D15" s="43">
        <f t="shared" si="6"/>
        <v>0</v>
      </c>
      <c r="E15" s="43">
        <f t="shared" si="6"/>
        <v>0</v>
      </c>
      <c r="F15" s="43">
        <f t="shared" si="6"/>
        <v>0</v>
      </c>
      <c r="G15" s="43">
        <f t="shared" si="6"/>
        <v>0</v>
      </c>
      <c r="H15" s="43">
        <f t="shared" si="6"/>
        <v>0</v>
      </c>
      <c r="I15" s="43">
        <f t="shared" si="6"/>
        <v>0</v>
      </c>
      <c r="J15" s="43">
        <f t="shared" si="6"/>
        <v>0</v>
      </c>
      <c r="K15" s="328"/>
      <c r="L15" s="329"/>
    </row>
    <row r="16" spans="1:12" s="132" customFormat="1" ht="20.100000000000001" customHeight="1">
      <c r="A16" s="301" t="s">
        <v>291</v>
      </c>
      <c r="B16" s="310"/>
      <c r="C16" s="310"/>
      <c r="D16" s="310"/>
      <c r="E16" s="310"/>
      <c r="F16" s="310"/>
      <c r="G16" s="310"/>
      <c r="H16" s="310"/>
      <c r="I16" s="310"/>
      <c r="J16" s="330"/>
      <c r="K16" s="326"/>
      <c r="L16" s="325"/>
    </row>
    <row r="17" spans="1:12" s="132" customFormat="1" ht="20.100000000000001" customHeight="1">
      <c r="A17" s="311">
        <f>A8</f>
        <v>0</v>
      </c>
      <c r="B17" s="36"/>
      <c r="C17" s="36"/>
      <c r="D17" s="36"/>
      <c r="E17" s="39">
        <f>B17+C17+D17</f>
        <v>0</v>
      </c>
      <c r="F17" s="36"/>
      <c r="G17" s="36"/>
      <c r="H17" s="36"/>
      <c r="I17" s="39">
        <f>F17+G17+H17</f>
        <v>0</v>
      </c>
      <c r="J17" s="327">
        <f>I17-E17</f>
        <v>0</v>
      </c>
      <c r="K17" s="328" t="str">
        <f>IF(AND(E17=0,I17=0),"",IF(AND(E17=0,I17&gt;0),1,J17/E17))</f>
        <v/>
      </c>
      <c r="L17" s="329"/>
    </row>
    <row r="18" spans="1:12" s="132" customFormat="1" ht="20.100000000000001" customHeight="1">
      <c r="A18" s="311">
        <f t="shared" ref="A18:A21" si="7">A9</f>
        <v>0</v>
      </c>
      <c r="B18" s="36"/>
      <c r="C18" s="36"/>
      <c r="D18" s="36"/>
      <c r="E18" s="39">
        <f t="shared" ref="E18:E21" si="8">B18+C18+D18</f>
        <v>0</v>
      </c>
      <c r="F18" s="36"/>
      <c r="G18" s="36"/>
      <c r="H18" s="36"/>
      <c r="I18" s="39">
        <f t="shared" ref="I18:I21" si="9">F18+G18+H18</f>
        <v>0</v>
      </c>
      <c r="J18" s="327">
        <f t="shared" ref="J18" si="10">I18-E18</f>
        <v>0</v>
      </c>
      <c r="K18" s="328" t="str">
        <f t="shared" ref="K18:K22" si="11">IF(AND(E18=0,I18=0),"",IF(AND(E18=0,I18&gt;0),1,J18/E18))</f>
        <v/>
      </c>
      <c r="L18" s="329"/>
    </row>
    <row r="19" spans="1:12" s="132" customFormat="1" ht="20.100000000000001" customHeight="1">
      <c r="A19" s="311">
        <f t="shared" si="7"/>
        <v>0</v>
      </c>
      <c r="B19" s="36"/>
      <c r="C19" s="36"/>
      <c r="D19" s="36"/>
      <c r="E19" s="39">
        <f t="shared" si="8"/>
        <v>0</v>
      </c>
      <c r="F19" s="36"/>
      <c r="G19" s="36"/>
      <c r="H19" s="36"/>
      <c r="I19" s="39">
        <f t="shared" si="9"/>
        <v>0</v>
      </c>
      <c r="J19" s="327">
        <f t="shared" ref="J19:J22" si="12">I19-E19</f>
        <v>0</v>
      </c>
      <c r="K19" s="328" t="str">
        <f t="shared" si="11"/>
        <v/>
      </c>
      <c r="L19" s="329"/>
    </row>
    <row r="20" spans="1:12" s="132" customFormat="1" ht="20.100000000000001" customHeight="1">
      <c r="A20" s="311">
        <f t="shared" si="7"/>
        <v>0</v>
      </c>
      <c r="B20" s="36"/>
      <c r="C20" s="36"/>
      <c r="D20" s="36"/>
      <c r="E20" s="39">
        <f t="shared" si="8"/>
        <v>0</v>
      </c>
      <c r="F20" s="36"/>
      <c r="G20" s="36"/>
      <c r="H20" s="36"/>
      <c r="I20" s="39">
        <f t="shared" si="9"/>
        <v>0</v>
      </c>
      <c r="J20" s="327">
        <f t="shared" si="12"/>
        <v>0</v>
      </c>
      <c r="K20" s="328" t="str">
        <f t="shared" si="11"/>
        <v/>
      </c>
      <c r="L20" s="329"/>
    </row>
    <row r="21" spans="1:12" s="132" customFormat="1" ht="20.100000000000001" customHeight="1">
      <c r="A21" s="311">
        <f t="shared" si="7"/>
        <v>0</v>
      </c>
      <c r="B21" s="36"/>
      <c r="C21" s="36"/>
      <c r="D21" s="36"/>
      <c r="E21" s="39">
        <f t="shared" si="8"/>
        <v>0</v>
      </c>
      <c r="F21" s="36"/>
      <c r="G21" s="36"/>
      <c r="H21" s="36"/>
      <c r="I21" s="39">
        <f t="shared" si="9"/>
        <v>0</v>
      </c>
      <c r="J21" s="327">
        <f t="shared" si="12"/>
        <v>0</v>
      </c>
      <c r="K21" s="328" t="str">
        <f t="shared" si="11"/>
        <v/>
      </c>
      <c r="L21" s="329"/>
    </row>
    <row r="22" spans="1:12" s="132" customFormat="1" ht="20.100000000000001" customHeight="1">
      <c r="A22" s="307" t="s">
        <v>288</v>
      </c>
      <c r="B22" s="39">
        <f>SUM(B17:B21)</f>
        <v>0</v>
      </c>
      <c r="C22" s="39">
        <f t="shared" ref="C22:I22" si="13">SUM(C17:C21)</f>
        <v>0</v>
      </c>
      <c r="D22" s="39">
        <f t="shared" si="13"/>
        <v>0</v>
      </c>
      <c r="E22" s="39">
        <f t="shared" si="13"/>
        <v>0</v>
      </c>
      <c r="F22" s="39">
        <f t="shared" si="13"/>
        <v>0</v>
      </c>
      <c r="G22" s="39">
        <f t="shared" si="13"/>
        <v>0</v>
      </c>
      <c r="H22" s="39">
        <f t="shared" si="13"/>
        <v>0</v>
      </c>
      <c r="I22" s="39">
        <f t="shared" si="13"/>
        <v>0</v>
      </c>
      <c r="J22" s="327">
        <f t="shared" si="12"/>
        <v>0</v>
      </c>
      <c r="K22" s="328" t="str">
        <f t="shared" si="11"/>
        <v/>
      </c>
      <c r="L22" s="329"/>
    </row>
    <row r="23" spans="1:12" s="132" customFormat="1" ht="20.100000000000001" customHeight="1">
      <c r="A23" s="312" t="s">
        <v>289</v>
      </c>
      <c r="B23" s="36"/>
      <c r="C23" s="36"/>
      <c r="D23" s="36"/>
      <c r="E23" s="39"/>
      <c r="F23" s="36"/>
      <c r="G23" s="36"/>
      <c r="H23" s="36"/>
      <c r="I23" s="39"/>
      <c r="J23" s="327"/>
      <c r="K23" s="328"/>
      <c r="L23" s="329"/>
    </row>
    <row r="24" spans="1:12" s="132" customFormat="1" ht="20.100000000000001" customHeight="1">
      <c r="A24" s="309" t="s">
        <v>292</v>
      </c>
      <c r="B24" s="43">
        <f>B22-B23</f>
        <v>0</v>
      </c>
      <c r="C24" s="43">
        <f t="shared" ref="C24" si="14">C22-C23</f>
        <v>0</v>
      </c>
      <c r="D24" s="43">
        <f t="shared" ref="D24" si="15">D22-D23</f>
        <v>0</v>
      </c>
      <c r="E24" s="43">
        <f t="shared" ref="E24" si="16">E22-E23</f>
        <v>0</v>
      </c>
      <c r="F24" s="43">
        <f t="shared" ref="F24" si="17">F22-F23</f>
        <v>0</v>
      </c>
      <c r="G24" s="43">
        <f t="shared" ref="G24" si="18">G22-G23</f>
        <v>0</v>
      </c>
      <c r="H24" s="43">
        <f t="shared" ref="H24" si="19">H22-H23</f>
        <v>0</v>
      </c>
      <c r="I24" s="43">
        <f t="shared" ref="I24" si="20">I22-I23</f>
        <v>0</v>
      </c>
      <c r="J24" s="43">
        <f t="shared" ref="J24" si="21">J22-J23</f>
        <v>0</v>
      </c>
      <c r="K24" s="328"/>
      <c r="L24" s="329"/>
    </row>
    <row r="25" spans="1:12" s="132" customFormat="1" ht="20.100000000000001" customHeight="1">
      <c r="A25" s="301" t="s">
        <v>293</v>
      </c>
      <c r="B25" s="310"/>
      <c r="C25" s="310"/>
      <c r="D25" s="310"/>
      <c r="E25" s="310"/>
      <c r="F25" s="310"/>
      <c r="G25" s="310"/>
      <c r="H25" s="310"/>
      <c r="I25" s="310"/>
      <c r="J25" s="330"/>
      <c r="K25" s="326"/>
      <c r="L25" s="325"/>
    </row>
    <row r="26" spans="1:12" s="132" customFormat="1" ht="20.100000000000001" customHeight="1">
      <c r="A26" s="304">
        <f>A8</f>
        <v>0</v>
      </c>
      <c r="B26" s="39">
        <f>B8-B17</f>
        <v>0</v>
      </c>
      <c r="C26" s="39">
        <f t="shared" ref="C26:I26" si="22">C8-C17</f>
        <v>0</v>
      </c>
      <c r="D26" s="39">
        <f t="shared" si="22"/>
        <v>0</v>
      </c>
      <c r="E26" s="39">
        <f t="shared" si="22"/>
        <v>0</v>
      </c>
      <c r="F26" s="39">
        <f t="shared" si="22"/>
        <v>0</v>
      </c>
      <c r="G26" s="39">
        <f t="shared" si="22"/>
        <v>0</v>
      </c>
      <c r="H26" s="39">
        <f t="shared" si="22"/>
        <v>0</v>
      </c>
      <c r="I26" s="39">
        <f t="shared" si="22"/>
        <v>0</v>
      </c>
      <c r="J26" s="327">
        <f>I26-E26</f>
        <v>0</v>
      </c>
      <c r="K26" s="328" t="str">
        <f>IF(AND(E26=0,I26=0),"",IF(AND(E26=0,I26&gt;0),1,J26/E26))</f>
        <v/>
      </c>
      <c r="L26" s="329"/>
    </row>
    <row r="27" spans="1:12" s="132" customFormat="1" ht="20.100000000000001" customHeight="1">
      <c r="A27" s="304">
        <f t="shared" ref="A27:A30" si="23">A9</f>
        <v>0</v>
      </c>
      <c r="B27" s="39">
        <f>SUM(B28:B30)</f>
        <v>0</v>
      </c>
      <c r="C27" s="39">
        <f t="shared" ref="C27" si="24">SUM(C28:C30)</f>
        <v>0</v>
      </c>
      <c r="D27" s="39">
        <f t="shared" ref="D27" si="25">SUM(D28:D30)</f>
        <v>0</v>
      </c>
      <c r="E27" s="39">
        <f t="shared" ref="E27" si="26">SUM(E28:E30)</f>
        <v>0</v>
      </c>
      <c r="F27" s="39">
        <f t="shared" ref="F27" si="27">SUM(F28:F30)</f>
        <v>0</v>
      </c>
      <c r="G27" s="39">
        <f t="shared" ref="G27" si="28">SUM(G28:G30)</f>
        <v>0</v>
      </c>
      <c r="H27" s="39">
        <f t="shared" ref="H27" si="29">SUM(H28:H30)</f>
        <v>0</v>
      </c>
      <c r="I27" s="39">
        <f t="shared" ref="I27" si="30">SUM(I28:I30)</f>
        <v>0</v>
      </c>
      <c r="J27" s="327">
        <f t="shared" ref="J27:J32" si="31">I27-E27</f>
        <v>0</v>
      </c>
      <c r="K27" s="328" t="str">
        <f t="shared" ref="K27:K31" si="32">IF(AND(E27=0,I27=0),"",IF(AND(E27=0,I27&gt;0),1,J27/E27))</f>
        <v/>
      </c>
      <c r="L27" s="329"/>
    </row>
    <row r="28" spans="1:12" s="132" customFormat="1" ht="20.100000000000001" customHeight="1">
      <c r="A28" s="304">
        <f t="shared" si="23"/>
        <v>0</v>
      </c>
      <c r="B28" s="39">
        <f t="shared" ref="B28:I30" si="33">B10-B19</f>
        <v>0</v>
      </c>
      <c r="C28" s="39">
        <f t="shared" si="33"/>
        <v>0</v>
      </c>
      <c r="D28" s="39">
        <f t="shared" si="33"/>
        <v>0</v>
      </c>
      <c r="E28" s="39">
        <f t="shared" si="33"/>
        <v>0</v>
      </c>
      <c r="F28" s="39">
        <f t="shared" si="33"/>
        <v>0</v>
      </c>
      <c r="G28" s="39">
        <f t="shared" si="33"/>
        <v>0</v>
      </c>
      <c r="H28" s="39">
        <f t="shared" si="33"/>
        <v>0</v>
      </c>
      <c r="I28" s="39">
        <f t="shared" si="33"/>
        <v>0</v>
      </c>
      <c r="J28" s="327">
        <f t="shared" si="31"/>
        <v>0</v>
      </c>
      <c r="K28" s="328" t="str">
        <f t="shared" si="32"/>
        <v/>
      </c>
      <c r="L28" s="329"/>
    </row>
    <row r="29" spans="1:12" s="132" customFormat="1" ht="20.100000000000001" customHeight="1">
      <c r="A29" s="304">
        <f t="shared" si="23"/>
        <v>0</v>
      </c>
      <c r="B29" s="39">
        <f t="shared" si="33"/>
        <v>0</v>
      </c>
      <c r="C29" s="39">
        <f t="shared" si="33"/>
        <v>0</v>
      </c>
      <c r="D29" s="39">
        <f t="shared" si="33"/>
        <v>0</v>
      </c>
      <c r="E29" s="39">
        <f t="shared" si="33"/>
        <v>0</v>
      </c>
      <c r="F29" s="39">
        <f t="shared" si="33"/>
        <v>0</v>
      </c>
      <c r="G29" s="39">
        <f t="shared" si="33"/>
        <v>0</v>
      </c>
      <c r="H29" s="39">
        <f t="shared" si="33"/>
        <v>0</v>
      </c>
      <c r="I29" s="39">
        <f t="shared" si="33"/>
        <v>0</v>
      </c>
      <c r="J29" s="327">
        <f t="shared" si="31"/>
        <v>0</v>
      </c>
      <c r="K29" s="328" t="str">
        <f t="shared" si="32"/>
        <v/>
      </c>
      <c r="L29" s="329"/>
    </row>
    <row r="30" spans="1:12" s="132" customFormat="1" ht="20.100000000000001" customHeight="1">
      <c r="A30" s="304">
        <f t="shared" si="23"/>
        <v>0</v>
      </c>
      <c r="B30" s="39">
        <f t="shared" si="33"/>
        <v>0</v>
      </c>
      <c r="C30" s="39">
        <f t="shared" si="33"/>
        <v>0</v>
      </c>
      <c r="D30" s="39">
        <f t="shared" si="33"/>
        <v>0</v>
      </c>
      <c r="E30" s="39">
        <f t="shared" si="33"/>
        <v>0</v>
      </c>
      <c r="F30" s="39">
        <f t="shared" si="33"/>
        <v>0</v>
      </c>
      <c r="G30" s="39">
        <f t="shared" si="33"/>
        <v>0</v>
      </c>
      <c r="H30" s="39">
        <f t="shared" si="33"/>
        <v>0</v>
      </c>
      <c r="I30" s="39">
        <f t="shared" si="33"/>
        <v>0</v>
      </c>
      <c r="J30" s="327">
        <f t="shared" si="31"/>
        <v>0</v>
      </c>
      <c r="K30" s="328" t="str">
        <f t="shared" si="32"/>
        <v/>
      </c>
      <c r="L30" s="329"/>
    </row>
    <row r="31" spans="1:12" s="132" customFormat="1" ht="20.100000000000001" customHeight="1">
      <c r="A31" s="313" t="s">
        <v>288</v>
      </c>
      <c r="B31" s="39">
        <f>SUM(B26:B30)</f>
        <v>0</v>
      </c>
      <c r="C31" s="39">
        <f t="shared" ref="C31:I31" si="34">SUM(C26:C30)</f>
        <v>0</v>
      </c>
      <c r="D31" s="39">
        <f t="shared" si="34"/>
        <v>0</v>
      </c>
      <c r="E31" s="39">
        <f t="shared" si="34"/>
        <v>0</v>
      </c>
      <c r="F31" s="39">
        <f t="shared" si="34"/>
        <v>0</v>
      </c>
      <c r="G31" s="39">
        <f t="shared" si="34"/>
        <v>0</v>
      </c>
      <c r="H31" s="39">
        <f t="shared" si="34"/>
        <v>0</v>
      </c>
      <c r="I31" s="39">
        <f t="shared" si="34"/>
        <v>0</v>
      </c>
      <c r="J31" s="327">
        <f t="shared" si="31"/>
        <v>0</v>
      </c>
      <c r="K31" s="328" t="str">
        <f t="shared" si="32"/>
        <v/>
      </c>
      <c r="L31" s="329"/>
    </row>
    <row r="32" spans="1:12" s="132" customFormat="1" ht="20.100000000000001" customHeight="1">
      <c r="A32" s="312" t="s">
        <v>289</v>
      </c>
      <c r="B32" s="39">
        <f>B14-B23</f>
        <v>0</v>
      </c>
      <c r="C32" s="39">
        <f t="shared" ref="C32:D32" si="35">C14-C23</f>
        <v>0</v>
      </c>
      <c r="D32" s="39">
        <f t="shared" si="35"/>
        <v>0</v>
      </c>
      <c r="E32" s="39">
        <f t="shared" ref="E32:I32" si="36">SUM(E27,E28)</f>
        <v>0</v>
      </c>
      <c r="F32" s="39">
        <f>F14-F23</f>
        <v>0</v>
      </c>
      <c r="G32" s="39">
        <f t="shared" ref="G32:H32" si="37">G14-G23</f>
        <v>0</v>
      </c>
      <c r="H32" s="39">
        <f t="shared" si="37"/>
        <v>0</v>
      </c>
      <c r="I32" s="39">
        <f t="shared" si="36"/>
        <v>0</v>
      </c>
      <c r="J32" s="327">
        <f t="shared" si="31"/>
        <v>0</v>
      </c>
      <c r="K32" s="328" t="str">
        <f t="shared" ref="K32" si="38">IF(AND(E32=0,I32=0),"",IF(AND(E32=0,I32&gt;0),1,J32/E32))</f>
        <v/>
      </c>
      <c r="L32" s="329"/>
    </row>
    <row r="33" spans="1:13" s="132" customFormat="1" ht="20.100000000000001" customHeight="1">
      <c r="A33" s="309" t="s">
        <v>294</v>
      </c>
      <c r="B33" s="43">
        <f>B31-B32</f>
        <v>0</v>
      </c>
      <c r="C33" s="43">
        <f>C31-C32</f>
        <v>0</v>
      </c>
      <c r="D33" s="43">
        <f t="shared" ref="D33" si="39">D31-D32</f>
        <v>0</v>
      </c>
      <c r="E33" s="43">
        <f t="shared" ref="E33" si="40">E31-E32</f>
        <v>0</v>
      </c>
      <c r="F33" s="43">
        <f t="shared" ref="F33" si="41">F31-F32</f>
        <v>0</v>
      </c>
      <c r="G33" s="43">
        <f t="shared" ref="G33" si="42">G31-G32</f>
        <v>0</v>
      </c>
      <c r="H33" s="43">
        <f t="shared" ref="H33" si="43">H31-H32</f>
        <v>0</v>
      </c>
      <c r="I33" s="43">
        <f t="shared" ref="I33" si="44">I31-I32</f>
        <v>0</v>
      </c>
      <c r="J33" s="43">
        <f t="shared" ref="J33" si="45">J31-J32</f>
        <v>0</v>
      </c>
      <c r="K33" s="328"/>
      <c r="L33" s="329"/>
    </row>
    <row r="34" spans="1:13" s="298" customFormat="1" ht="20.100000000000001" customHeight="1">
      <c r="A34" s="314" t="s">
        <v>295</v>
      </c>
      <c r="B34" s="315"/>
      <c r="C34" s="315"/>
      <c r="D34" s="315"/>
      <c r="E34" s="315"/>
      <c r="F34" s="315"/>
      <c r="G34" s="315"/>
      <c r="H34" s="315"/>
      <c r="I34" s="315"/>
      <c r="J34" s="315"/>
      <c r="K34" s="331"/>
      <c r="L34" s="329"/>
    </row>
    <row r="35" spans="1:13" s="298" customFormat="1" ht="20.100000000000001" customHeight="1">
      <c r="A35" s="314" t="s">
        <v>296</v>
      </c>
      <c r="B35" s="315"/>
      <c r="C35" s="315"/>
      <c r="D35" s="315"/>
      <c r="E35" s="43">
        <f>E33-E34</f>
        <v>0</v>
      </c>
      <c r="F35" s="315"/>
      <c r="G35" s="315"/>
      <c r="H35" s="315"/>
      <c r="I35" s="43">
        <f>I33-I34</f>
        <v>0</v>
      </c>
      <c r="J35" s="315"/>
      <c r="K35" s="331"/>
      <c r="L35" s="329"/>
    </row>
    <row r="36" spans="1:13" s="298" customFormat="1" ht="20.100000000000001" customHeight="1">
      <c r="A36" s="316" t="s">
        <v>297</v>
      </c>
      <c r="B36" s="300"/>
      <c r="C36" s="300"/>
      <c r="D36" s="300"/>
      <c r="E36" s="300"/>
      <c r="F36" s="317"/>
      <c r="G36" s="317"/>
      <c r="H36" s="300"/>
      <c r="I36" s="131"/>
      <c r="J36" s="131"/>
      <c r="K36" s="131"/>
      <c r="L36" s="131"/>
      <c r="M36" s="131"/>
    </row>
    <row r="37" spans="1:13" s="299" customFormat="1" ht="20.100000000000001" customHeight="1">
      <c r="A37" s="318" t="s">
        <v>298</v>
      </c>
      <c r="B37" s="318"/>
      <c r="C37" s="318"/>
      <c r="D37" s="319"/>
      <c r="E37" s="320">
        <f>IF(AND(E33=0,I33=0),0,IF(AND(E33=0,I33&gt;0),1,(I33-E33)/E33))</f>
        <v>0</v>
      </c>
      <c r="F37" s="319"/>
      <c r="G37" s="319"/>
      <c r="H37" s="319"/>
      <c r="I37" s="319"/>
      <c r="J37" s="319"/>
      <c r="K37" s="319"/>
      <c r="L37" s="131"/>
      <c r="M37" s="131"/>
    </row>
    <row r="38" spans="1:13" s="298" customFormat="1" ht="20.100000000000001" customHeight="1">
      <c r="A38" s="318" t="s">
        <v>299</v>
      </c>
      <c r="B38" s="318"/>
      <c r="C38" s="318"/>
      <c r="D38" s="318"/>
      <c r="E38" s="318"/>
      <c r="F38" s="318"/>
      <c r="G38" s="318"/>
      <c r="H38" s="318"/>
      <c r="I38" s="318"/>
      <c r="J38" s="318"/>
      <c r="K38" s="318"/>
      <c r="L38" s="131"/>
      <c r="M38" s="131"/>
    </row>
    <row r="39" spans="1:13" s="299" customFormat="1" ht="20.100000000000001" customHeight="1">
      <c r="A39" s="318"/>
      <c r="B39" s="318"/>
      <c r="C39" s="318"/>
      <c r="D39" s="318"/>
      <c r="E39" s="318"/>
      <c r="F39" s="318"/>
      <c r="G39" s="318"/>
      <c r="H39" s="318"/>
      <c r="I39" s="318"/>
      <c r="J39" s="318"/>
      <c r="K39" s="318"/>
      <c r="L39" s="131"/>
      <c r="M39" s="131"/>
    </row>
    <row r="40" spans="1:13" s="299" customFormat="1" ht="20.100000000000001" customHeight="1">
      <c r="A40" s="321" t="s">
        <v>300</v>
      </c>
      <c r="B40" s="318"/>
      <c r="C40" s="318"/>
      <c r="D40" s="318"/>
      <c r="E40" s="318"/>
      <c r="F40" s="318"/>
      <c r="G40" s="318"/>
      <c r="H40" s="318"/>
      <c r="I40" s="318"/>
      <c r="J40" s="318"/>
      <c r="K40" s="318"/>
      <c r="L40" s="131"/>
      <c r="M40" s="131"/>
    </row>
    <row r="41" spans="1:13" s="299" customFormat="1" ht="20.100000000000001" customHeight="1">
      <c r="B41" s="321"/>
      <c r="C41" s="321"/>
      <c r="D41" s="321"/>
      <c r="E41" s="321"/>
      <c r="F41" s="321"/>
      <c r="G41" s="321"/>
      <c r="H41" s="321"/>
      <c r="I41" s="321"/>
      <c r="J41" s="321"/>
      <c r="K41" s="321"/>
      <c r="L41" s="131"/>
      <c r="M41" s="131"/>
    </row>
    <row r="42" spans="1:13" s="299" customFormat="1" ht="20.100000000000001" customHeight="1">
      <c r="A42" s="322" t="s">
        <v>301</v>
      </c>
      <c r="B42" s="321"/>
      <c r="C42" s="321"/>
      <c r="D42" s="321"/>
      <c r="E42" s="321"/>
      <c r="F42" s="321"/>
      <c r="G42" s="321"/>
      <c r="H42" s="321"/>
      <c r="I42" s="321"/>
      <c r="J42" s="321"/>
      <c r="K42" s="321"/>
      <c r="L42" s="131"/>
      <c r="M42" s="131"/>
    </row>
    <row r="43" spans="1:13" ht="20.100000000000001" customHeight="1">
      <c r="A43" s="322"/>
      <c r="B43" s="318"/>
      <c r="C43" s="318"/>
      <c r="D43" s="318"/>
      <c r="E43" s="318"/>
      <c r="F43" s="318"/>
      <c r="G43" s="318"/>
      <c r="H43" s="318"/>
      <c r="I43" s="318"/>
      <c r="J43" s="318"/>
      <c r="K43" s="318"/>
    </row>
  </sheetData>
  <mergeCells count="7">
    <mergeCell ref="A1:L1"/>
    <mergeCell ref="A2:L2"/>
    <mergeCell ref="B5:E5"/>
    <mergeCell ref="F5:I5"/>
    <mergeCell ref="J5:K5"/>
    <mergeCell ref="A5:A6"/>
    <mergeCell ref="L5:L6"/>
  </mergeCells>
  <phoneticPr fontId="176" type="noConversion"/>
  <hyperlinks>
    <hyperlink ref="L3" location="底稿目录!A1" display="=底稿目录!F5"/>
  </hyperlinks>
  <pageMargins left="0.70833333333333304" right="0.70833333333333304" top="0.74791666666666701" bottom="0.74791666666666701" header="0.31458333333333299" footer="0.31458333333333299"/>
  <pageSetup paperSize="9" scale="77" fitToHeight="40" orientation="landscape" blackAndWhite="1" r:id="rId1"/>
  <headerFooter alignWithMargins="0">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89"/>
  <sheetViews>
    <sheetView view="pageBreakPreview" zoomScaleNormal="100" workbookViewId="0">
      <selection sqref="A1:F1"/>
    </sheetView>
  </sheetViews>
  <sheetFormatPr defaultColWidth="9" defaultRowHeight="13.8"/>
  <cols>
    <col min="1" max="1" width="26.09765625" style="226" customWidth="1"/>
    <col min="2" max="2" width="14" style="226" customWidth="1"/>
    <col min="3" max="3" width="15" style="226" customWidth="1"/>
    <col min="4" max="4" width="16.5" style="226" customWidth="1"/>
    <col min="5" max="5" width="18.5" style="226" customWidth="1"/>
    <col min="6" max="6" width="13.5" style="226" customWidth="1"/>
    <col min="7" max="7" width="11.69921875" style="226" customWidth="1"/>
    <col min="8" max="16384" width="9" style="226"/>
  </cols>
  <sheetData>
    <row r="1" spans="1:11" s="247" customFormat="1" ht="20.100000000000001" customHeight="1">
      <c r="A1" s="555" t="s">
        <v>101</v>
      </c>
      <c r="B1" s="555"/>
      <c r="C1" s="555"/>
      <c r="D1" s="555"/>
      <c r="E1" s="555"/>
      <c r="F1" s="555"/>
      <c r="G1" s="227"/>
      <c r="H1" s="227"/>
      <c r="I1" s="227"/>
    </row>
    <row r="2" spans="1:11" s="248" customFormat="1" ht="24.9" customHeight="1">
      <c r="A2" s="556" t="s">
        <v>302</v>
      </c>
      <c r="B2" s="556"/>
      <c r="C2" s="556"/>
      <c r="D2" s="556"/>
      <c r="E2" s="556"/>
      <c r="F2" s="556"/>
      <c r="G2" s="250"/>
      <c r="H2" s="250"/>
      <c r="I2" s="250"/>
    </row>
    <row r="3" spans="1:11" s="247" customFormat="1" ht="20.100000000000001" customHeight="1">
      <c r="A3" s="247" t="str">
        <f>底稿目录!A2</f>
        <v>被审计单位：</v>
      </c>
      <c r="C3" s="247" t="str">
        <f>底稿目录!A4</f>
        <v>编制人：</v>
      </c>
      <c r="E3" s="247" t="str">
        <f>底稿目录!A5</f>
        <v>编制日期：</v>
      </c>
      <c r="J3" s="247" t="s">
        <v>303</v>
      </c>
    </row>
    <row r="4" spans="1:11" s="247" customFormat="1" ht="20.100000000000001" customHeight="1">
      <c r="A4" s="247" t="str">
        <f>底稿目录!A3</f>
        <v>截止日：202X年12月31日</v>
      </c>
      <c r="B4" s="251"/>
      <c r="C4" s="247" t="str">
        <f>底稿目录!A6</f>
        <v>复核人：</v>
      </c>
      <c r="E4" s="247" t="str">
        <f>底稿目录!A7</f>
        <v>复核日期：</v>
      </c>
      <c r="I4" s="251"/>
      <c r="J4" s="247" t="s">
        <v>105</v>
      </c>
    </row>
    <row r="5" spans="1:11" s="225" customFormat="1" ht="20.100000000000001" customHeight="1">
      <c r="A5" s="225" t="s">
        <v>304</v>
      </c>
    </row>
    <row r="6" spans="1:11" s="225" customFormat="1" ht="20.100000000000001" customHeight="1">
      <c r="A6" s="252" t="s">
        <v>305</v>
      </c>
    </row>
    <row r="7" spans="1:11" ht="15.6">
      <c r="A7" s="253" t="s">
        <v>306</v>
      </c>
      <c r="B7" s="254"/>
      <c r="C7" s="254"/>
      <c r="D7" s="254"/>
      <c r="E7" s="254"/>
      <c r="F7" s="254"/>
      <c r="G7" s="254"/>
      <c r="H7" s="254"/>
      <c r="I7" s="254"/>
      <c r="J7" s="254"/>
      <c r="K7" s="254"/>
    </row>
    <row r="8" spans="1:11" ht="15.6">
      <c r="A8" s="560" t="s">
        <v>307</v>
      </c>
      <c r="B8" s="557" t="s">
        <v>308</v>
      </c>
      <c r="C8" s="558"/>
      <c r="D8" s="558"/>
      <c r="E8" s="557" t="s">
        <v>309</v>
      </c>
      <c r="F8" s="558"/>
      <c r="G8" s="558"/>
      <c r="H8" s="254"/>
      <c r="I8" s="254"/>
      <c r="J8" s="254"/>
      <c r="K8" s="254"/>
    </row>
    <row r="9" spans="1:11" ht="15.6">
      <c r="A9" s="561"/>
      <c r="B9" s="256" t="s">
        <v>310</v>
      </c>
      <c r="C9" s="256" t="s">
        <v>311</v>
      </c>
      <c r="D9" s="256" t="s">
        <v>312</v>
      </c>
      <c r="E9" s="256" t="s">
        <v>310</v>
      </c>
      <c r="F9" s="256" t="s">
        <v>311</v>
      </c>
      <c r="G9" s="256" t="s">
        <v>312</v>
      </c>
      <c r="H9" s="254"/>
      <c r="I9" s="254"/>
      <c r="J9" s="254"/>
      <c r="K9" s="254"/>
    </row>
    <row r="10" spans="1:11" ht="15.6">
      <c r="A10" s="257" t="s">
        <v>313</v>
      </c>
      <c r="B10" s="258">
        <f>'审定表D6-1'!I8</f>
        <v>0</v>
      </c>
      <c r="C10" s="258">
        <f>'审定表D6-1'!I17</f>
        <v>0</v>
      </c>
      <c r="D10" s="259">
        <f t="shared" ref="D10:D16" si="0">B10-C10</f>
        <v>0</v>
      </c>
      <c r="E10" s="259">
        <f>'审定表D6-1'!E8</f>
        <v>0</v>
      </c>
      <c r="F10" s="259">
        <f>'审定表D6-1'!E17</f>
        <v>0</v>
      </c>
      <c r="G10" s="259">
        <f t="shared" ref="G10:G14" si="1">E10-F10</f>
        <v>0</v>
      </c>
      <c r="H10" s="254"/>
      <c r="I10" s="254"/>
      <c r="J10" s="254"/>
      <c r="K10" s="254"/>
    </row>
    <row r="11" spans="1:11" ht="15.6">
      <c r="A11" s="257" t="s">
        <v>314</v>
      </c>
      <c r="B11" s="258">
        <f>'审定表D6-1'!I9</f>
        <v>0</v>
      </c>
      <c r="C11" s="258">
        <f>'审定表D6-1'!I18</f>
        <v>0</v>
      </c>
      <c r="D11" s="259">
        <f t="shared" si="0"/>
        <v>0</v>
      </c>
      <c r="E11" s="259">
        <f>'审定表D6-1'!E9</f>
        <v>0</v>
      </c>
      <c r="F11" s="259">
        <f>'审定表D6-1'!E18</f>
        <v>0</v>
      </c>
      <c r="G11" s="259">
        <f t="shared" si="1"/>
        <v>0</v>
      </c>
      <c r="H11" s="254"/>
      <c r="I11" s="254"/>
      <c r="J11" s="254"/>
      <c r="K11" s="254"/>
    </row>
    <row r="12" spans="1:11" ht="15.6">
      <c r="A12" s="260" t="s">
        <v>315</v>
      </c>
      <c r="B12" s="258">
        <f>'审定表D6-1'!J10</f>
        <v>0</v>
      </c>
      <c r="C12" s="258">
        <f>'审定表D6-1'!I19</f>
        <v>0</v>
      </c>
      <c r="D12" s="259">
        <f t="shared" si="0"/>
        <v>0</v>
      </c>
      <c r="E12" s="259">
        <f>'审定表D6-1'!E10</f>
        <v>0</v>
      </c>
      <c r="F12" s="259">
        <f>'审定表D6-1'!E19</f>
        <v>0</v>
      </c>
      <c r="G12" s="259">
        <f t="shared" si="1"/>
        <v>0</v>
      </c>
      <c r="H12" s="254"/>
      <c r="I12" s="254"/>
      <c r="J12" s="254"/>
      <c r="K12" s="254"/>
    </row>
    <row r="13" spans="1:11" ht="15.6">
      <c r="A13" s="257" t="s">
        <v>316</v>
      </c>
      <c r="B13" s="258">
        <f>'审定表D6-1'!J11</f>
        <v>0</v>
      </c>
      <c r="C13" s="258">
        <f>'审定表D6-1'!I20</f>
        <v>0</v>
      </c>
      <c r="D13" s="259">
        <f t="shared" si="0"/>
        <v>0</v>
      </c>
      <c r="E13" s="259">
        <f>'审定表D6-1'!E11</f>
        <v>0</v>
      </c>
      <c r="F13" s="259">
        <f>'审定表D6-1'!E20</f>
        <v>0</v>
      </c>
      <c r="G13" s="259">
        <f t="shared" si="1"/>
        <v>0</v>
      </c>
      <c r="H13" s="254"/>
      <c r="I13" s="254"/>
      <c r="J13" s="254"/>
      <c r="K13" s="254"/>
    </row>
    <row r="14" spans="1:11" ht="15.6">
      <c r="A14" s="257" t="s">
        <v>317</v>
      </c>
      <c r="B14" s="258">
        <f>'审定表D6-1'!J12</f>
        <v>0</v>
      </c>
      <c r="C14" s="258">
        <f>'审定表D6-1'!I21</f>
        <v>0</v>
      </c>
      <c r="D14" s="259">
        <f t="shared" si="0"/>
        <v>0</v>
      </c>
      <c r="E14" s="259">
        <f>'审定表D6-1'!E12</f>
        <v>0</v>
      </c>
      <c r="F14" s="259">
        <f>'审定表D6-1'!E21</f>
        <v>0</v>
      </c>
      <c r="G14" s="259">
        <f t="shared" si="1"/>
        <v>0</v>
      </c>
      <c r="H14" s="254"/>
      <c r="I14" s="254"/>
      <c r="J14" s="254"/>
      <c r="K14" s="254"/>
    </row>
    <row r="15" spans="1:11" ht="15.6">
      <c r="A15" s="261"/>
      <c r="B15" s="258"/>
      <c r="C15" s="258"/>
      <c r="D15" s="259"/>
      <c r="E15" s="259"/>
      <c r="F15" s="259"/>
      <c r="G15" s="259"/>
      <c r="H15" s="254"/>
      <c r="I15" s="254"/>
      <c r="J15" s="254"/>
      <c r="K15" s="254"/>
    </row>
    <row r="16" spans="1:11" ht="15.6">
      <c r="A16" s="262" t="s">
        <v>318</v>
      </c>
      <c r="B16" s="259">
        <f>B10+B11</f>
        <v>0</v>
      </c>
      <c r="C16" s="259">
        <f>C10+C11</f>
        <v>0</v>
      </c>
      <c r="D16" s="259">
        <f t="shared" si="0"/>
        <v>0</v>
      </c>
      <c r="E16" s="259">
        <f>E10+E11</f>
        <v>0</v>
      </c>
      <c r="F16" s="259">
        <f>F10+F11</f>
        <v>0</v>
      </c>
      <c r="G16" s="259">
        <f>E16-F16</f>
        <v>0</v>
      </c>
      <c r="H16" s="254"/>
      <c r="I16" s="254"/>
      <c r="J16" s="254"/>
      <c r="K16" s="254"/>
    </row>
    <row r="17" spans="1:11" ht="31.2">
      <c r="A17" s="263" t="s">
        <v>289</v>
      </c>
      <c r="B17" s="264"/>
      <c r="C17" s="264"/>
      <c r="D17" s="264"/>
      <c r="E17" s="264"/>
      <c r="F17" s="264"/>
      <c r="G17" s="264"/>
      <c r="H17" s="254"/>
      <c r="I17" s="254"/>
      <c r="J17" s="254"/>
      <c r="K17" s="254"/>
    </row>
    <row r="18" spans="1:11" ht="15.6">
      <c r="A18" s="255" t="s">
        <v>319</v>
      </c>
      <c r="B18" s="265">
        <f>B16-B17</f>
        <v>0</v>
      </c>
      <c r="C18" s="265">
        <f t="shared" ref="C18:G18" si="2">C16-C17</f>
        <v>0</v>
      </c>
      <c r="D18" s="265">
        <f t="shared" si="2"/>
        <v>0</v>
      </c>
      <c r="E18" s="265">
        <f t="shared" si="2"/>
        <v>0</v>
      </c>
      <c r="F18" s="265">
        <f t="shared" si="2"/>
        <v>0</v>
      </c>
      <c r="G18" s="265">
        <f t="shared" si="2"/>
        <v>0</v>
      </c>
      <c r="H18" s="254"/>
      <c r="I18" s="254"/>
      <c r="J18" s="254"/>
      <c r="K18" s="254"/>
    </row>
    <row r="19" spans="1:11" ht="48" customHeight="1">
      <c r="A19" s="559" t="s">
        <v>320</v>
      </c>
      <c r="B19" s="559"/>
      <c r="C19" s="559"/>
      <c r="D19" s="559"/>
      <c r="E19" s="559"/>
      <c r="F19" s="559"/>
      <c r="G19" s="559"/>
      <c r="H19" s="559"/>
      <c r="I19" s="559"/>
      <c r="J19" s="559"/>
      <c r="K19" s="559"/>
    </row>
    <row r="20" spans="1:11" ht="15.6">
      <c r="A20" s="266" t="s">
        <v>321</v>
      </c>
      <c r="B20" s="254"/>
      <c r="C20" s="254"/>
      <c r="D20" s="254"/>
      <c r="E20" s="254"/>
      <c r="F20" s="254"/>
      <c r="G20" s="254"/>
      <c r="H20" s="254"/>
      <c r="I20" s="254"/>
      <c r="J20" s="254"/>
      <c r="K20" s="254"/>
    </row>
    <row r="21" spans="1:11" ht="15.6">
      <c r="A21" s="267" t="s">
        <v>307</v>
      </c>
      <c r="B21" s="268" t="s">
        <v>308</v>
      </c>
      <c r="C21" s="268" t="s">
        <v>309</v>
      </c>
      <c r="D21" s="254"/>
      <c r="E21" s="254"/>
      <c r="F21" s="254"/>
      <c r="G21" s="254"/>
      <c r="H21" s="254"/>
      <c r="I21" s="254"/>
      <c r="J21" s="254"/>
      <c r="K21" s="254"/>
    </row>
    <row r="22" spans="1:11" ht="15.6">
      <c r="A22" s="269" t="s">
        <v>37</v>
      </c>
      <c r="B22" s="258">
        <f>'审定表D6-1'!I15</f>
        <v>0</v>
      </c>
      <c r="C22" s="258">
        <f>'审定表D6-1'!E20</f>
        <v>0</v>
      </c>
      <c r="D22" s="254"/>
      <c r="E22" s="254"/>
      <c r="F22" s="254"/>
      <c r="G22" s="254"/>
      <c r="H22" s="254"/>
      <c r="I22" s="254"/>
      <c r="J22" s="254"/>
      <c r="K22" s="254"/>
    </row>
    <row r="23" spans="1:11" ht="15.6">
      <c r="A23" s="269" t="s">
        <v>322</v>
      </c>
      <c r="B23" s="258">
        <f>'审定表D6-1'!I24</f>
        <v>0</v>
      </c>
      <c r="C23" s="258">
        <f>'审定表D6-1'!E29</f>
        <v>0</v>
      </c>
      <c r="D23" s="254"/>
      <c r="E23" s="254"/>
      <c r="F23" s="254"/>
      <c r="G23" s="254"/>
      <c r="H23" s="254"/>
      <c r="I23" s="254"/>
      <c r="J23" s="254"/>
      <c r="K23" s="254"/>
    </row>
    <row r="24" spans="1:11" ht="15.6">
      <c r="A24" s="269" t="s">
        <v>318</v>
      </c>
      <c r="B24" s="259">
        <f>B22-B23</f>
        <v>0</v>
      </c>
      <c r="C24" s="259">
        <f>C22-C23</f>
        <v>0</v>
      </c>
      <c r="D24" s="254"/>
      <c r="E24" s="254"/>
      <c r="F24" s="254"/>
      <c r="G24" s="254"/>
      <c r="H24" s="254"/>
      <c r="I24" s="254"/>
      <c r="J24" s="254"/>
      <c r="K24" s="254"/>
    </row>
    <row r="25" spans="1:11" ht="31.2">
      <c r="A25" s="270" t="s">
        <v>289</v>
      </c>
      <c r="B25" s="264"/>
      <c r="C25" s="264"/>
      <c r="D25" s="254"/>
      <c r="E25" s="254"/>
      <c r="F25" s="254"/>
      <c r="G25" s="254"/>
      <c r="H25" s="254"/>
      <c r="I25" s="254"/>
      <c r="J25" s="254"/>
      <c r="K25" s="254"/>
    </row>
    <row r="26" spans="1:11" ht="15.6">
      <c r="A26" s="255" t="s">
        <v>319</v>
      </c>
      <c r="B26" s="265">
        <f>B24-B25</f>
        <v>0</v>
      </c>
      <c r="C26" s="265">
        <f>C24-C25</f>
        <v>0</v>
      </c>
      <c r="D26" s="254"/>
      <c r="E26" s="254"/>
      <c r="F26" s="254"/>
      <c r="G26" s="254"/>
      <c r="H26" s="254"/>
      <c r="I26" s="254"/>
      <c r="J26" s="254"/>
      <c r="K26" s="254"/>
    </row>
    <row r="27" spans="1:11" ht="15.6">
      <c r="A27" s="253" t="s">
        <v>323</v>
      </c>
      <c r="B27" s="254"/>
      <c r="C27" s="254"/>
      <c r="D27" s="254"/>
      <c r="E27" s="254"/>
      <c r="F27" s="254"/>
      <c r="G27" s="254"/>
      <c r="H27" s="254"/>
      <c r="I27" s="254"/>
      <c r="J27" s="254"/>
      <c r="K27" s="254"/>
    </row>
    <row r="28" spans="1:11" ht="15.6">
      <c r="A28" s="267" t="s">
        <v>307</v>
      </c>
      <c r="B28" s="271" t="s">
        <v>324</v>
      </c>
      <c r="C28" s="271" t="s">
        <v>325</v>
      </c>
      <c r="D28" s="254"/>
      <c r="E28" s="254"/>
      <c r="F28" s="254"/>
      <c r="G28" s="254"/>
      <c r="H28" s="254"/>
      <c r="I28" s="254"/>
      <c r="J28" s="254"/>
      <c r="K28" s="254"/>
    </row>
    <row r="29" spans="1:11" ht="15.6">
      <c r="A29" s="261"/>
      <c r="B29" s="272"/>
      <c r="C29" s="272"/>
      <c r="D29" s="254"/>
      <c r="E29" s="254"/>
      <c r="F29" s="254"/>
      <c r="G29" s="254"/>
      <c r="H29" s="254"/>
      <c r="I29" s="254"/>
      <c r="J29" s="254"/>
      <c r="K29" s="254"/>
    </row>
    <row r="30" spans="1:11" ht="15.6">
      <c r="A30" s="261"/>
      <c r="B30" s="272"/>
      <c r="C30" s="272"/>
      <c r="D30" s="254"/>
      <c r="E30" s="254"/>
      <c r="F30" s="254"/>
      <c r="G30" s="254"/>
      <c r="H30" s="254"/>
      <c r="I30" s="254"/>
      <c r="J30" s="254"/>
      <c r="K30" s="254"/>
    </row>
    <row r="31" spans="1:11" ht="15.6">
      <c r="A31" s="261"/>
      <c r="B31" s="272"/>
      <c r="C31" s="272"/>
      <c r="D31" s="254"/>
      <c r="E31" s="254"/>
      <c r="F31" s="254"/>
      <c r="G31" s="254"/>
      <c r="H31" s="254"/>
      <c r="I31" s="254"/>
      <c r="J31" s="254"/>
      <c r="K31" s="254"/>
    </row>
    <row r="32" spans="1:11" ht="15.6">
      <c r="A32" s="261"/>
      <c r="B32" s="272"/>
      <c r="C32" s="272"/>
      <c r="D32" s="254"/>
      <c r="E32" s="254"/>
      <c r="F32" s="254"/>
      <c r="G32" s="254"/>
      <c r="H32" s="254"/>
      <c r="I32" s="254"/>
      <c r="J32" s="254"/>
      <c r="K32" s="254"/>
    </row>
    <row r="33" spans="1:11" ht="15.6">
      <c r="A33" s="261"/>
      <c r="B33" s="272"/>
      <c r="C33" s="272"/>
      <c r="D33" s="254"/>
      <c r="E33" s="254"/>
      <c r="F33" s="254"/>
      <c r="G33" s="254"/>
      <c r="H33" s="254"/>
      <c r="I33" s="254"/>
      <c r="J33" s="254"/>
      <c r="K33" s="254"/>
    </row>
    <row r="34" spans="1:11" ht="15.6">
      <c r="A34" s="273"/>
      <c r="B34" s="264"/>
      <c r="C34" s="264"/>
      <c r="D34" s="254"/>
      <c r="E34" s="254"/>
      <c r="F34" s="254"/>
      <c r="G34" s="254"/>
      <c r="H34" s="254"/>
      <c r="I34" s="254"/>
      <c r="J34" s="254"/>
      <c r="K34" s="254"/>
    </row>
    <row r="35" spans="1:11" ht="15.6">
      <c r="A35" s="255" t="s">
        <v>319</v>
      </c>
      <c r="B35" s="274"/>
      <c r="C35" s="274"/>
      <c r="D35" s="254"/>
      <c r="E35" s="254"/>
      <c r="F35" s="254"/>
      <c r="G35" s="254"/>
      <c r="H35" s="254"/>
      <c r="I35" s="254"/>
      <c r="J35" s="254"/>
      <c r="K35" s="254"/>
    </row>
    <row r="36" spans="1:11" ht="15.6">
      <c r="A36" s="275" t="s">
        <v>326</v>
      </c>
      <c r="B36" s="254"/>
      <c r="C36" s="254"/>
      <c r="D36" s="254"/>
      <c r="E36" s="254"/>
      <c r="F36" s="254"/>
      <c r="G36" s="254"/>
      <c r="H36" s="254"/>
      <c r="I36" s="254"/>
      <c r="J36" s="254"/>
      <c r="K36" s="254"/>
    </row>
    <row r="37" spans="1:11" ht="15.6">
      <c r="A37" s="276" t="s">
        <v>327</v>
      </c>
      <c r="B37" s="254"/>
      <c r="C37" s="254"/>
      <c r="D37" s="254"/>
      <c r="E37" s="254"/>
      <c r="F37" s="254"/>
      <c r="G37" s="254"/>
      <c r="H37" s="254"/>
      <c r="I37" s="254"/>
      <c r="J37" s="254"/>
      <c r="K37" s="254"/>
    </row>
    <row r="38" spans="1:11" ht="15.6">
      <c r="A38" s="276" t="s">
        <v>328</v>
      </c>
      <c r="B38" s="254"/>
      <c r="C38" s="254"/>
      <c r="D38" s="254"/>
      <c r="E38" s="254"/>
      <c r="F38" s="254"/>
      <c r="G38" s="254"/>
      <c r="H38" s="254"/>
      <c r="I38" s="254"/>
      <c r="J38" s="254"/>
      <c r="K38" s="254"/>
    </row>
    <row r="39" spans="1:11" ht="17.399999999999999">
      <c r="A39" s="277" t="s">
        <v>329</v>
      </c>
      <c r="B39" s="254"/>
      <c r="C39" s="254"/>
      <c r="D39" s="254"/>
      <c r="E39" s="254"/>
      <c r="F39" s="254"/>
      <c r="G39" s="254"/>
      <c r="H39" s="254"/>
      <c r="I39" s="254"/>
      <c r="J39" s="254"/>
      <c r="K39" s="254"/>
    </row>
    <row r="40" spans="1:11" s="249" customFormat="1" ht="34.049999999999997" customHeight="1">
      <c r="A40" s="562" t="s">
        <v>330</v>
      </c>
      <c r="B40" s="562"/>
      <c r="C40" s="562"/>
      <c r="D40" s="562"/>
      <c r="E40" s="562"/>
      <c r="F40" s="562"/>
      <c r="G40" s="562"/>
      <c r="H40" s="562"/>
      <c r="I40" s="562"/>
      <c r="J40" s="562"/>
      <c r="K40" s="562"/>
    </row>
    <row r="41" spans="1:11" ht="17.399999999999999">
      <c r="A41" s="277" t="s">
        <v>331</v>
      </c>
      <c r="B41" s="254"/>
      <c r="C41" s="254"/>
      <c r="D41" s="254"/>
      <c r="E41" s="254"/>
      <c r="F41" s="254"/>
      <c r="G41" s="254"/>
      <c r="H41" s="254"/>
      <c r="I41" s="254"/>
      <c r="J41" s="254"/>
      <c r="K41" s="254"/>
    </row>
    <row r="42" spans="1:11" ht="15.6">
      <c r="A42" s="253" t="s">
        <v>332</v>
      </c>
      <c r="B42" s="254"/>
      <c r="C42" s="254"/>
      <c r="D42" s="254"/>
      <c r="E42" s="254"/>
      <c r="F42" s="254"/>
      <c r="G42" s="254"/>
      <c r="H42" s="254"/>
      <c r="I42" s="254"/>
      <c r="J42" s="254"/>
      <c r="K42" s="254"/>
    </row>
    <row r="43" spans="1:11">
      <c r="A43" s="567" t="s">
        <v>333</v>
      </c>
      <c r="B43" s="563" t="s">
        <v>308</v>
      </c>
      <c r="C43" s="564"/>
      <c r="D43" s="564"/>
      <c r="E43" s="564"/>
      <c r="F43" s="564"/>
      <c r="G43" s="563" t="s">
        <v>309</v>
      </c>
      <c r="H43" s="564"/>
      <c r="I43" s="564"/>
      <c r="J43" s="564"/>
      <c r="K43" s="564"/>
    </row>
    <row r="44" spans="1:11" ht="15.6">
      <c r="A44" s="566"/>
      <c r="B44" s="565" t="s">
        <v>310</v>
      </c>
      <c r="C44" s="566"/>
      <c r="D44" s="565" t="s">
        <v>311</v>
      </c>
      <c r="E44" s="566"/>
      <c r="F44" s="569" t="s">
        <v>312</v>
      </c>
      <c r="G44" s="565" t="s">
        <v>310</v>
      </c>
      <c r="H44" s="566"/>
      <c r="I44" s="565" t="s">
        <v>311</v>
      </c>
      <c r="J44" s="566"/>
      <c r="K44" s="569" t="s">
        <v>312</v>
      </c>
    </row>
    <row r="45" spans="1:11" ht="46.8">
      <c r="A45" s="568"/>
      <c r="B45" s="279" t="s">
        <v>334</v>
      </c>
      <c r="C45" s="255" t="s">
        <v>335</v>
      </c>
      <c r="D45" s="279" t="s">
        <v>334</v>
      </c>
      <c r="E45" s="255" t="s">
        <v>336</v>
      </c>
      <c r="F45" s="568"/>
      <c r="G45" s="279" t="s">
        <v>334</v>
      </c>
      <c r="H45" s="255" t="s">
        <v>335</v>
      </c>
      <c r="I45" s="279" t="s">
        <v>334</v>
      </c>
      <c r="J45" s="279" t="s">
        <v>336</v>
      </c>
      <c r="K45" s="568"/>
    </row>
    <row r="46" spans="1:11" ht="15.6">
      <c r="A46" s="262" t="s">
        <v>337</v>
      </c>
      <c r="B46" s="258">
        <f>SUM(B47:B49)</f>
        <v>0</v>
      </c>
      <c r="C46" s="280">
        <f t="shared" ref="C46:C54" si="3">IFERROR(B46/$B$49,0)</f>
        <v>0</v>
      </c>
      <c r="D46" s="258">
        <f>SUM(D47:D49)</f>
        <v>0</v>
      </c>
      <c r="E46" s="280">
        <f t="shared" ref="E46:E54" si="4">IFERROR(D46/B46,0)</f>
        <v>0</v>
      </c>
      <c r="F46" s="259">
        <f t="shared" ref="F46:F53" si="5">B46-D46</f>
        <v>0</v>
      </c>
      <c r="G46" s="258">
        <f>SUM(G47:G49)</f>
        <v>0</v>
      </c>
      <c r="H46" s="280">
        <f t="shared" ref="H46:H54" si="6">IFERROR(G46/$G$49,0)</f>
        <v>0</v>
      </c>
      <c r="I46" s="258">
        <f>SUM(I47:I49)</f>
        <v>0</v>
      </c>
      <c r="J46" s="280">
        <f t="shared" ref="J46:J54" si="7">IFERROR(I46/G46,0)</f>
        <v>0</v>
      </c>
      <c r="K46" s="259">
        <f t="shared" ref="K46:K53" si="8">G46-I46</f>
        <v>0</v>
      </c>
    </row>
    <row r="47" spans="1:11" ht="15.6">
      <c r="A47" s="281" t="s">
        <v>338</v>
      </c>
      <c r="B47" s="278"/>
      <c r="C47" s="280">
        <f t="shared" si="3"/>
        <v>0</v>
      </c>
      <c r="D47" s="278"/>
      <c r="E47" s="280">
        <f t="shared" si="4"/>
        <v>0</v>
      </c>
      <c r="F47" s="259">
        <f t="shared" si="5"/>
        <v>0</v>
      </c>
      <c r="G47" s="278"/>
      <c r="H47" s="280">
        <f t="shared" si="6"/>
        <v>0</v>
      </c>
      <c r="I47" s="278"/>
      <c r="J47" s="280">
        <f t="shared" si="7"/>
        <v>0</v>
      </c>
      <c r="K47" s="259">
        <f t="shared" si="8"/>
        <v>0</v>
      </c>
    </row>
    <row r="48" spans="1:11" ht="15.6">
      <c r="A48" s="281"/>
      <c r="B48" s="278"/>
      <c r="C48" s="280">
        <f t="shared" si="3"/>
        <v>0</v>
      </c>
      <c r="D48" s="278"/>
      <c r="E48" s="280">
        <f t="shared" si="4"/>
        <v>0</v>
      </c>
      <c r="F48" s="259">
        <f t="shared" si="5"/>
        <v>0</v>
      </c>
      <c r="G48" s="278"/>
      <c r="H48" s="280">
        <f t="shared" si="6"/>
        <v>0</v>
      </c>
      <c r="I48" s="278"/>
      <c r="J48" s="280">
        <f t="shared" si="7"/>
        <v>0</v>
      </c>
      <c r="K48" s="259">
        <f t="shared" si="8"/>
        <v>0</v>
      </c>
    </row>
    <row r="49" spans="1:11" ht="15.6">
      <c r="A49" s="281"/>
      <c r="B49" s="278"/>
      <c r="C49" s="280">
        <f t="shared" si="3"/>
        <v>0</v>
      </c>
      <c r="D49" s="278"/>
      <c r="E49" s="280">
        <f t="shared" si="4"/>
        <v>0</v>
      </c>
      <c r="F49" s="259">
        <f t="shared" si="5"/>
        <v>0</v>
      </c>
      <c r="G49" s="278"/>
      <c r="H49" s="280">
        <f t="shared" si="6"/>
        <v>0</v>
      </c>
      <c r="I49" s="278"/>
      <c r="J49" s="280">
        <f t="shared" si="7"/>
        <v>0</v>
      </c>
      <c r="K49" s="259">
        <f t="shared" si="8"/>
        <v>0</v>
      </c>
    </row>
    <row r="50" spans="1:11" ht="15.6">
      <c r="A50" s="281" t="s">
        <v>314</v>
      </c>
      <c r="B50" s="258">
        <f>SUM(B51:B53)</f>
        <v>0</v>
      </c>
      <c r="C50" s="280">
        <f t="shared" si="3"/>
        <v>0</v>
      </c>
      <c r="D50" s="258">
        <f>SUM(D51:D53)</f>
        <v>0</v>
      </c>
      <c r="E50" s="280">
        <f t="shared" si="4"/>
        <v>0</v>
      </c>
      <c r="F50" s="259">
        <f t="shared" si="5"/>
        <v>0</v>
      </c>
      <c r="G50" s="258">
        <f>SUM(G51:G53)</f>
        <v>0</v>
      </c>
      <c r="H50" s="280">
        <f t="shared" si="6"/>
        <v>0</v>
      </c>
      <c r="I50" s="258">
        <f>SUM(I51:I53)</f>
        <v>0</v>
      </c>
      <c r="J50" s="280">
        <f t="shared" si="7"/>
        <v>0</v>
      </c>
      <c r="K50" s="259">
        <f t="shared" si="8"/>
        <v>0</v>
      </c>
    </row>
    <row r="51" spans="1:11" ht="15.6">
      <c r="A51" s="281" t="s">
        <v>338</v>
      </c>
      <c r="B51" s="278"/>
      <c r="C51" s="280">
        <f t="shared" si="3"/>
        <v>0</v>
      </c>
      <c r="D51" s="278"/>
      <c r="E51" s="280">
        <f t="shared" si="4"/>
        <v>0</v>
      </c>
      <c r="F51" s="259">
        <f t="shared" si="5"/>
        <v>0</v>
      </c>
      <c r="G51" s="278"/>
      <c r="H51" s="280">
        <f t="shared" si="6"/>
        <v>0</v>
      </c>
      <c r="I51" s="278"/>
      <c r="J51" s="280">
        <f t="shared" si="7"/>
        <v>0</v>
      </c>
      <c r="K51" s="259">
        <f t="shared" si="8"/>
        <v>0</v>
      </c>
    </row>
    <row r="52" spans="1:11" ht="15.6">
      <c r="A52" s="261"/>
      <c r="B52" s="272"/>
      <c r="C52" s="280">
        <f t="shared" si="3"/>
        <v>0</v>
      </c>
      <c r="D52" s="272"/>
      <c r="E52" s="280">
        <f t="shared" si="4"/>
        <v>0</v>
      </c>
      <c r="F52" s="259">
        <f t="shared" si="5"/>
        <v>0</v>
      </c>
      <c r="G52" s="272"/>
      <c r="H52" s="280">
        <f t="shared" si="6"/>
        <v>0</v>
      </c>
      <c r="I52" s="272"/>
      <c r="J52" s="280">
        <f t="shared" si="7"/>
        <v>0</v>
      </c>
      <c r="K52" s="259">
        <f t="shared" si="8"/>
        <v>0</v>
      </c>
    </row>
    <row r="53" spans="1:11" ht="15.6">
      <c r="A53" s="273"/>
      <c r="B53" s="264"/>
      <c r="C53" s="280">
        <f t="shared" si="3"/>
        <v>0</v>
      </c>
      <c r="D53" s="264"/>
      <c r="E53" s="280">
        <f t="shared" si="4"/>
        <v>0</v>
      </c>
      <c r="F53" s="259">
        <f t="shared" si="5"/>
        <v>0</v>
      </c>
      <c r="G53" s="264"/>
      <c r="H53" s="280">
        <f t="shared" si="6"/>
        <v>0</v>
      </c>
      <c r="I53" s="264"/>
      <c r="J53" s="280">
        <f t="shared" si="7"/>
        <v>0</v>
      </c>
      <c r="K53" s="259">
        <f t="shared" si="8"/>
        <v>0</v>
      </c>
    </row>
    <row r="54" spans="1:11" ht="15.6">
      <c r="A54" s="282" t="s">
        <v>339</v>
      </c>
      <c r="B54" s="283">
        <f>B46+B50</f>
        <v>0</v>
      </c>
      <c r="C54" s="284">
        <f t="shared" si="3"/>
        <v>0</v>
      </c>
      <c r="D54" s="283">
        <f>D46+D50</f>
        <v>0</v>
      </c>
      <c r="E54" s="284">
        <f t="shared" si="4"/>
        <v>0</v>
      </c>
      <c r="F54" s="285">
        <f>F46+F50</f>
        <v>0</v>
      </c>
      <c r="G54" s="283">
        <f>G46+G50</f>
        <v>0</v>
      </c>
      <c r="H54" s="284">
        <f t="shared" si="6"/>
        <v>0</v>
      </c>
      <c r="I54" s="283">
        <f>I46+I50</f>
        <v>0</v>
      </c>
      <c r="J54" s="284">
        <f t="shared" si="7"/>
        <v>0</v>
      </c>
      <c r="K54" s="285">
        <f>K46+K50</f>
        <v>0</v>
      </c>
    </row>
    <row r="55" spans="1:11" ht="15.6">
      <c r="A55" s="275" t="s">
        <v>340</v>
      </c>
      <c r="B55" s="254"/>
      <c r="C55" s="254"/>
      <c r="D55" s="254"/>
      <c r="E55" s="254"/>
      <c r="F55" s="254"/>
      <c r="G55" s="254"/>
      <c r="H55" s="254"/>
      <c r="I55" s="254"/>
      <c r="J55" s="254"/>
      <c r="K55" s="254"/>
    </row>
    <row r="56" spans="1:11" ht="15.6">
      <c r="A56" s="567" t="s">
        <v>341</v>
      </c>
      <c r="B56" s="563" t="s">
        <v>308</v>
      </c>
      <c r="C56" s="564"/>
      <c r="D56" s="564"/>
      <c r="E56" s="564"/>
      <c r="F56" s="254"/>
      <c r="G56" s="254"/>
      <c r="H56" s="254"/>
      <c r="I56" s="254"/>
      <c r="J56" s="254"/>
      <c r="K56" s="254"/>
    </row>
    <row r="57" spans="1:11" ht="31.2">
      <c r="A57" s="568"/>
      <c r="B57" s="256" t="s">
        <v>310</v>
      </c>
      <c r="C57" s="256" t="s">
        <v>342</v>
      </c>
      <c r="D57" s="256" t="s">
        <v>336</v>
      </c>
      <c r="E57" s="256" t="s">
        <v>343</v>
      </c>
      <c r="F57" s="254"/>
      <c r="G57" s="254"/>
      <c r="H57" s="254"/>
      <c r="I57" s="254"/>
      <c r="J57" s="254"/>
      <c r="K57" s="254"/>
    </row>
    <row r="58" spans="1:11" ht="15.6">
      <c r="A58" s="261"/>
      <c r="B58" s="272"/>
      <c r="C58" s="272"/>
      <c r="D58" s="280">
        <f>IFERROR(C58/B58,0)</f>
        <v>0</v>
      </c>
      <c r="E58" s="272"/>
      <c r="F58" s="254"/>
      <c r="G58" s="254"/>
      <c r="H58" s="254"/>
      <c r="I58" s="254"/>
      <c r="J58" s="254"/>
      <c r="K58" s="254"/>
    </row>
    <row r="59" spans="1:11" ht="15.6">
      <c r="A59" s="273"/>
      <c r="B59" s="264"/>
      <c r="C59" s="264"/>
      <c r="D59" s="280">
        <f>IFERROR(C59/B59,0)</f>
        <v>0</v>
      </c>
      <c r="E59" s="264"/>
      <c r="F59" s="254"/>
      <c r="G59" s="254"/>
      <c r="H59" s="254"/>
      <c r="I59" s="254"/>
      <c r="J59" s="254"/>
      <c r="K59" s="254"/>
    </row>
    <row r="60" spans="1:11" ht="15.6">
      <c r="A60" s="255" t="s">
        <v>319</v>
      </c>
      <c r="B60" s="286">
        <f>SUM(B58:B59)</f>
        <v>0</v>
      </c>
      <c r="C60" s="286">
        <f>SUM(C58:C59)</f>
        <v>0</v>
      </c>
      <c r="D60" s="284">
        <f>IFERROR(C60/B60,0)</f>
        <v>0</v>
      </c>
      <c r="E60" s="274" t="s">
        <v>344</v>
      </c>
      <c r="F60" s="254"/>
      <c r="G60" s="254"/>
      <c r="H60" s="254"/>
      <c r="I60" s="254"/>
      <c r="J60" s="254"/>
      <c r="K60" s="254"/>
    </row>
    <row r="61" spans="1:11" ht="15.6">
      <c r="A61" s="275" t="s">
        <v>345</v>
      </c>
      <c r="B61" s="254"/>
      <c r="C61" s="254"/>
      <c r="D61" s="254"/>
      <c r="E61" s="254"/>
      <c r="F61" s="254"/>
      <c r="G61" s="254"/>
      <c r="H61" s="254"/>
      <c r="I61" s="254"/>
      <c r="J61" s="254"/>
      <c r="K61" s="254"/>
    </row>
    <row r="62" spans="1:11" ht="15.6">
      <c r="A62" s="567" t="s">
        <v>341</v>
      </c>
      <c r="B62" s="563" t="s">
        <v>309</v>
      </c>
      <c r="C62" s="564"/>
      <c r="D62" s="564"/>
      <c r="E62" s="564"/>
      <c r="F62" s="254"/>
      <c r="G62" s="254"/>
      <c r="H62" s="254"/>
      <c r="I62" s="254"/>
      <c r="J62" s="254"/>
      <c r="K62" s="254"/>
    </row>
    <row r="63" spans="1:11" ht="31.2">
      <c r="A63" s="568"/>
      <c r="B63" s="256" t="s">
        <v>310</v>
      </c>
      <c r="C63" s="256" t="s">
        <v>342</v>
      </c>
      <c r="D63" s="256" t="s">
        <v>336</v>
      </c>
      <c r="E63" s="256" t="s">
        <v>343</v>
      </c>
      <c r="F63" s="254"/>
      <c r="G63" s="254"/>
      <c r="H63" s="254"/>
      <c r="I63" s="254"/>
      <c r="J63" s="254"/>
      <c r="K63" s="254"/>
    </row>
    <row r="64" spans="1:11" ht="15.6">
      <c r="A64" s="261"/>
      <c r="B64" s="272"/>
      <c r="C64" s="272"/>
      <c r="D64" s="280">
        <f>IFERROR(C64/B64,0)</f>
        <v>0</v>
      </c>
      <c r="E64" s="272"/>
      <c r="F64" s="254"/>
      <c r="G64" s="254"/>
      <c r="H64" s="254"/>
      <c r="I64" s="254"/>
      <c r="J64" s="254"/>
      <c r="K64" s="254"/>
    </row>
    <row r="65" spans="1:11" ht="15.6">
      <c r="A65" s="273"/>
      <c r="B65" s="264"/>
      <c r="C65" s="264"/>
      <c r="D65" s="280">
        <f>IFERROR(C65/B65,0)</f>
        <v>0</v>
      </c>
      <c r="E65" s="264"/>
      <c r="F65" s="254"/>
      <c r="G65" s="254"/>
      <c r="H65" s="254"/>
      <c r="I65" s="254"/>
      <c r="J65" s="254"/>
      <c r="K65" s="254"/>
    </row>
    <row r="66" spans="1:11" ht="15.6">
      <c r="A66" s="255" t="s">
        <v>319</v>
      </c>
      <c r="B66" s="286">
        <f>SUM(B64:B65)</f>
        <v>0</v>
      </c>
      <c r="C66" s="286">
        <f>SUM(C64:C65)</f>
        <v>0</v>
      </c>
      <c r="D66" s="284">
        <f>IFERROR(C66/B66,0)</f>
        <v>0</v>
      </c>
      <c r="E66" s="274"/>
      <c r="F66" s="254"/>
      <c r="G66" s="254"/>
      <c r="H66" s="254"/>
      <c r="I66" s="254"/>
      <c r="J66" s="254"/>
      <c r="K66" s="254"/>
    </row>
    <row r="67" spans="1:11" ht="15.6">
      <c r="A67" s="275" t="s">
        <v>346</v>
      </c>
      <c r="B67" s="254"/>
      <c r="C67" s="254"/>
      <c r="D67" s="254"/>
      <c r="E67" s="254"/>
      <c r="F67" s="254"/>
      <c r="G67" s="254"/>
      <c r="H67" s="254"/>
      <c r="I67" s="254"/>
      <c r="J67" s="254"/>
      <c r="K67" s="254"/>
    </row>
    <row r="68" spans="1:11" ht="15.6">
      <c r="A68" s="275" t="s">
        <v>347</v>
      </c>
      <c r="B68" s="254"/>
      <c r="C68" s="254"/>
      <c r="D68" s="254"/>
      <c r="E68" s="254"/>
      <c r="F68" s="254"/>
      <c r="G68" s="254"/>
      <c r="H68" s="254"/>
      <c r="I68" s="254"/>
      <c r="J68" s="254"/>
      <c r="K68" s="254"/>
    </row>
    <row r="69" spans="1:11" ht="15.6">
      <c r="A69" s="570"/>
      <c r="B69" s="563" t="s">
        <v>308</v>
      </c>
      <c r="C69" s="563"/>
      <c r="D69" s="563"/>
      <c r="E69" s="563" t="s">
        <v>309</v>
      </c>
      <c r="F69" s="563"/>
      <c r="G69" s="563"/>
      <c r="H69" s="254"/>
      <c r="I69" s="254"/>
      <c r="J69" s="254"/>
      <c r="K69" s="254"/>
    </row>
    <row r="70" spans="1:11" ht="31.2">
      <c r="A70" s="571"/>
      <c r="B70" s="256" t="s">
        <v>37</v>
      </c>
      <c r="C70" s="256" t="s">
        <v>342</v>
      </c>
      <c r="D70" s="256" t="s">
        <v>336</v>
      </c>
      <c r="E70" s="256" t="s">
        <v>37</v>
      </c>
      <c r="F70" s="256" t="s">
        <v>342</v>
      </c>
      <c r="G70" s="256" t="s">
        <v>336</v>
      </c>
      <c r="H70" s="254"/>
      <c r="I70" s="254"/>
      <c r="J70" s="254"/>
      <c r="K70" s="254"/>
    </row>
    <row r="71" spans="1:11" ht="15.6">
      <c r="A71" s="287" t="s">
        <v>348</v>
      </c>
      <c r="B71" s="272"/>
      <c r="C71" s="272"/>
      <c r="D71" s="280">
        <f>IFERROR(C71/B71,0)</f>
        <v>0</v>
      </c>
      <c r="E71" s="272"/>
      <c r="F71" s="272"/>
      <c r="G71" s="280">
        <f>IFERROR(F71/E71,0)</f>
        <v>0</v>
      </c>
      <c r="H71" s="254"/>
      <c r="I71" s="254"/>
      <c r="J71" s="254"/>
      <c r="K71" s="254"/>
    </row>
    <row r="72" spans="1:11" ht="15.6">
      <c r="A72" s="287" t="s">
        <v>349</v>
      </c>
      <c r="B72" s="272"/>
      <c r="C72" s="272"/>
      <c r="D72" s="280">
        <f>IFERROR(C72/B72,0)</f>
        <v>0</v>
      </c>
      <c r="E72" s="272"/>
      <c r="F72" s="272"/>
      <c r="G72" s="280">
        <f>IFERROR(F72/E72,0)</f>
        <v>0</v>
      </c>
      <c r="H72" s="254"/>
      <c r="I72" s="254"/>
      <c r="J72" s="254"/>
      <c r="K72" s="254"/>
    </row>
    <row r="73" spans="1:11" ht="15.6">
      <c r="A73" s="287" t="s">
        <v>350</v>
      </c>
      <c r="B73" s="272"/>
      <c r="C73" s="272"/>
      <c r="D73" s="280">
        <f>IFERROR(C73/B73,0)</f>
        <v>0</v>
      </c>
      <c r="E73" s="272"/>
      <c r="F73" s="272"/>
      <c r="G73" s="280">
        <f>IFERROR(F73/E73,0)</f>
        <v>0</v>
      </c>
      <c r="H73" s="254"/>
      <c r="I73" s="254"/>
      <c r="J73" s="254"/>
      <c r="K73" s="254"/>
    </row>
    <row r="74" spans="1:11" ht="15.6">
      <c r="A74" s="288" t="s">
        <v>351</v>
      </c>
      <c r="B74" s="264"/>
      <c r="C74" s="264"/>
      <c r="D74" s="280">
        <f>IFERROR(C74/B74,0)</f>
        <v>0</v>
      </c>
      <c r="E74" s="264"/>
      <c r="F74" s="264"/>
      <c r="G74" s="280">
        <f>IFERROR(F74/E74,0)</f>
        <v>0</v>
      </c>
      <c r="H74" s="254"/>
      <c r="I74" s="254"/>
      <c r="J74" s="254"/>
      <c r="K74" s="254"/>
    </row>
    <row r="75" spans="1:11" ht="15.6">
      <c r="A75" s="282" t="s">
        <v>319</v>
      </c>
      <c r="B75" s="286">
        <f>SUM(B71:B74)</f>
        <v>0</v>
      </c>
      <c r="C75" s="286">
        <f>SUM(C71:C74)</f>
        <v>0</v>
      </c>
      <c r="D75" s="284">
        <f>IFERROR(C75/B75,0)</f>
        <v>0</v>
      </c>
      <c r="E75" s="286">
        <f>SUM(E71:E74)</f>
        <v>0</v>
      </c>
      <c r="F75" s="286">
        <f>SUM(F71:F74)</f>
        <v>0</v>
      </c>
      <c r="G75" s="284">
        <f>IFERROR(F75/E75,0)</f>
        <v>0</v>
      </c>
      <c r="H75" s="254"/>
      <c r="I75" s="254"/>
      <c r="J75" s="254"/>
      <c r="K75" s="254"/>
    </row>
    <row r="76" spans="1:11" ht="15.6">
      <c r="A76" s="275" t="s">
        <v>352</v>
      </c>
      <c r="B76" s="254"/>
      <c r="C76" s="254"/>
      <c r="D76" s="254"/>
      <c r="E76" s="254"/>
      <c r="F76" s="254"/>
      <c r="G76" s="254"/>
      <c r="H76" s="254"/>
      <c r="I76" s="254"/>
      <c r="J76" s="254"/>
      <c r="K76" s="254"/>
    </row>
    <row r="77" spans="1:11" ht="15.6">
      <c r="A77" s="572"/>
      <c r="B77" s="563" t="s">
        <v>308</v>
      </c>
      <c r="C77" s="564"/>
      <c r="D77" s="564"/>
      <c r="E77" s="563" t="s">
        <v>309</v>
      </c>
      <c r="F77" s="564"/>
      <c r="G77" s="564"/>
      <c r="H77" s="254"/>
      <c r="I77" s="254"/>
      <c r="J77" s="254"/>
      <c r="K77" s="254"/>
    </row>
    <row r="78" spans="1:11" ht="31.2">
      <c r="A78" s="568"/>
      <c r="B78" s="256" t="s">
        <v>37</v>
      </c>
      <c r="C78" s="256" t="s">
        <v>342</v>
      </c>
      <c r="D78" s="256" t="s">
        <v>336</v>
      </c>
      <c r="E78" s="256" t="s">
        <v>37</v>
      </c>
      <c r="F78" s="256" t="s">
        <v>342</v>
      </c>
      <c r="G78" s="256" t="s">
        <v>336</v>
      </c>
      <c r="H78" s="254"/>
      <c r="I78" s="254"/>
      <c r="J78" s="254"/>
      <c r="K78" s="254"/>
    </row>
    <row r="79" spans="1:11" ht="15.6">
      <c r="A79" s="287" t="s">
        <v>348</v>
      </c>
      <c r="B79" s="272"/>
      <c r="C79" s="272"/>
      <c r="D79" s="280">
        <f>IFERROR(C79/B79,0)</f>
        <v>0</v>
      </c>
      <c r="E79" s="272"/>
      <c r="F79" s="272"/>
      <c r="G79" s="280">
        <f>IFERROR(F79/E79,0)</f>
        <v>0</v>
      </c>
      <c r="H79" s="254"/>
      <c r="I79" s="254"/>
      <c r="J79" s="254"/>
      <c r="K79" s="254"/>
    </row>
    <row r="80" spans="1:11" ht="15.6">
      <c r="A80" s="287" t="s">
        <v>349</v>
      </c>
      <c r="B80" s="272"/>
      <c r="C80" s="272"/>
      <c r="D80" s="280">
        <f>IFERROR(C80/B80,0)</f>
        <v>0</v>
      </c>
      <c r="E80" s="272"/>
      <c r="F80" s="272"/>
      <c r="G80" s="280">
        <f>IFERROR(F80/E80,0)</f>
        <v>0</v>
      </c>
      <c r="H80" s="254"/>
      <c r="I80" s="254"/>
      <c r="J80" s="254"/>
      <c r="K80" s="254"/>
    </row>
    <row r="81" spans="1:11" ht="15.6">
      <c r="A81" s="287" t="s">
        <v>350</v>
      </c>
      <c r="B81" s="272"/>
      <c r="C81" s="272"/>
      <c r="D81" s="280">
        <f>IFERROR(C81/B81,0)</f>
        <v>0</v>
      </c>
      <c r="E81" s="272"/>
      <c r="F81" s="272"/>
      <c r="G81" s="280">
        <f>IFERROR(F81/E81,0)</f>
        <v>0</v>
      </c>
      <c r="H81" s="254"/>
      <c r="I81" s="254"/>
      <c r="J81" s="254"/>
      <c r="K81" s="254"/>
    </row>
    <row r="82" spans="1:11" ht="15.6">
      <c r="A82" s="288" t="s">
        <v>351</v>
      </c>
      <c r="B82" s="264"/>
      <c r="C82" s="264"/>
      <c r="D82" s="280">
        <f>IFERROR(C82/B82,0)</f>
        <v>0</v>
      </c>
      <c r="E82" s="264"/>
      <c r="F82" s="264"/>
      <c r="G82" s="280">
        <f>IFERROR(F82/E82,0)</f>
        <v>0</v>
      </c>
      <c r="H82" s="254"/>
      <c r="I82" s="254"/>
      <c r="J82" s="254"/>
      <c r="K82" s="254"/>
    </row>
    <row r="83" spans="1:11" ht="15.6">
      <c r="A83" s="282" t="s">
        <v>319</v>
      </c>
      <c r="B83" s="286">
        <f>SUM(B79:B82)</f>
        <v>0</v>
      </c>
      <c r="C83" s="286">
        <f>SUM(C79:C82)</f>
        <v>0</v>
      </c>
      <c r="D83" s="284">
        <f>IFERROR(C83/B83,0)</f>
        <v>0</v>
      </c>
      <c r="E83" s="286">
        <f>SUM(E79:E82)</f>
        <v>0</v>
      </c>
      <c r="F83" s="286">
        <f>SUM(F79:F82)</f>
        <v>0</v>
      </c>
      <c r="G83" s="284">
        <f>IFERROR(F83/E83,0)</f>
        <v>0</v>
      </c>
      <c r="H83" s="254"/>
      <c r="I83" s="254"/>
      <c r="J83" s="254"/>
      <c r="K83" s="254"/>
    </row>
    <row r="84" spans="1:11" ht="15.6">
      <c r="A84" s="253" t="s">
        <v>353</v>
      </c>
      <c r="B84" s="254"/>
      <c r="C84" s="254"/>
      <c r="D84" s="254"/>
      <c r="E84" s="254"/>
      <c r="F84" s="254"/>
      <c r="G84" s="254"/>
      <c r="H84" s="254"/>
      <c r="I84" s="254"/>
      <c r="J84" s="254"/>
      <c r="K84" s="254"/>
    </row>
    <row r="85" spans="1:11" ht="15.6">
      <c r="A85" s="289" t="s">
        <v>307</v>
      </c>
      <c r="B85" s="271" t="s">
        <v>354</v>
      </c>
      <c r="C85" s="271" t="s">
        <v>355</v>
      </c>
      <c r="D85" s="271" t="s">
        <v>356</v>
      </c>
      <c r="E85" s="271" t="s">
        <v>357</v>
      </c>
      <c r="F85" s="254"/>
      <c r="G85" s="254"/>
      <c r="H85" s="254"/>
      <c r="I85" s="254"/>
      <c r="J85" s="254"/>
      <c r="K85" s="254"/>
    </row>
    <row r="86" spans="1:11" ht="15.6">
      <c r="A86" s="290"/>
      <c r="B86" s="259"/>
      <c r="C86" s="259"/>
      <c r="D86" s="259"/>
      <c r="E86" s="272"/>
      <c r="F86" s="254"/>
      <c r="G86" s="254"/>
      <c r="H86" s="254"/>
      <c r="I86" s="254"/>
      <c r="J86" s="254"/>
      <c r="K86" s="254"/>
    </row>
    <row r="87" spans="1:11" ht="15.6">
      <c r="A87" s="290"/>
      <c r="B87" s="291"/>
      <c r="C87" s="291"/>
      <c r="D87" s="291"/>
      <c r="E87" s="292"/>
      <c r="F87" s="254"/>
      <c r="G87" s="254"/>
      <c r="H87" s="254"/>
      <c r="I87" s="254"/>
      <c r="J87" s="254"/>
      <c r="K87" s="254"/>
    </row>
    <row r="88" spans="1:11" ht="15.6">
      <c r="A88" s="293"/>
      <c r="B88" s="294"/>
      <c r="C88" s="294"/>
      <c r="D88" s="294"/>
      <c r="E88" s="295"/>
      <c r="F88" s="254"/>
      <c r="G88" s="254"/>
      <c r="H88" s="254"/>
      <c r="I88" s="254"/>
      <c r="J88" s="254"/>
      <c r="K88" s="254"/>
    </row>
    <row r="89" spans="1:11" ht="15.6">
      <c r="A89" s="279" t="s">
        <v>319</v>
      </c>
      <c r="B89" s="296">
        <f>SUM(B86:B88)</f>
        <v>0</v>
      </c>
      <c r="C89" s="296">
        <f>SUM(C86:C88)</f>
        <v>0</v>
      </c>
      <c r="D89" s="296">
        <f>SUM(D86:D88)</f>
        <v>0</v>
      </c>
      <c r="E89" s="297"/>
      <c r="F89" s="254"/>
      <c r="G89" s="254"/>
      <c r="H89" s="254"/>
      <c r="I89" s="254"/>
      <c r="J89" s="254"/>
      <c r="K89" s="254"/>
    </row>
  </sheetData>
  <mergeCells count="26">
    <mergeCell ref="A56:A57"/>
    <mergeCell ref="A62:A63"/>
    <mergeCell ref="A69:A70"/>
    <mergeCell ref="A77:A78"/>
    <mergeCell ref="F44:F45"/>
    <mergeCell ref="B56:E56"/>
    <mergeCell ref="B62:E62"/>
    <mergeCell ref="B69:D69"/>
    <mergeCell ref="E69:G69"/>
    <mergeCell ref="B77:D77"/>
    <mergeCell ref="E77:G77"/>
    <mergeCell ref="A40:K40"/>
    <mergeCell ref="B43:F43"/>
    <mergeCell ref="G43:K43"/>
    <mergeCell ref="B44:C44"/>
    <mergeCell ref="D44:E44"/>
    <mergeCell ref="G44:H44"/>
    <mergeCell ref="I44:J44"/>
    <mergeCell ref="A43:A45"/>
    <mergeCell ref="K44:K45"/>
    <mergeCell ref="A1:F1"/>
    <mergeCell ref="A2:F2"/>
    <mergeCell ref="B8:D8"/>
    <mergeCell ref="E8:G8"/>
    <mergeCell ref="A19:K19"/>
    <mergeCell ref="A8:A9"/>
  </mergeCells>
  <phoneticPr fontId="176" type="noConversion"/>
  <pageMargins left="0.70833333333333304" right="0.70833333333333304" top="0.74791666666666701" bottom="0.74791666666666701" header="0.31458333333333299" footer="0.31458333333333299"/>
  <pageSetup paperSize="9" scale="70" fitToHeight="40" orientation="landscape" blackAndWhite="1"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37"/>
  <sheetViews>
    <sheetView view="pageBreakPreview" zoomScaleNormal="100" workbookViewId="0">
      <selection sqref="A1:G1"/>
    </sheetView>
  </sheetViews>
  <sheetFormatPr defaultColWidth="9" defaultRowHeight="13.8"/>
  <cols>
    <col min="1" max="1" width="30" style="226" customWidth="1"/>
    <col min="2" max="2" width="16.59765625" style="226" customWidth="1"/>
    <col min="3" max="3" width="19.3984375" style="226" customWidth="1"/>
    <col min="4" max="4" width="14.8984375" style="226" customWidth="1"/>
    <col min="5" max="5" width="16.19921875" style="226" customWidth="1"/>
    <col min="6" max="6" width="13.8984375" style="226" customWidth="1"/>
    <col min="7" max="7" width="12.8984375" style="226" customWidth="1"/>
    <col min="8" max="16384" width="9" style="226"/>
  </cols>
  <sheetData>
    <row r="1" spans="1:10" s="223" customFormat="1" ht="20.100000000000001" customHeight="1">
      <c r="A1" s="555" t="s">
        <v>101</v>
      </c>
      <c r="B1" s="555"/>
      <c r="C1" s="555"/>
      <c r="D1" s="555"/>
      <c r="E1" s="555"/>
      <c r="F1" s="555"/>
      <c r="G1" s="555"/>
      <c r="H1" s="227"/>
      <c r="I1" s="227"/>
      <c r="J1" s="227"/>
    </row>
    <row r="2" spans="1:10" s="224" customFormat="1" ht="24.9" customHeight="1">
      <c r="A2" s="573" t="s">
        <v>15</v>
      </c>
      <c r="B2" s="574"/>
      <c r="C2" s="574"/>
      <c r="D2" s="574"/>
      <c r="E2" s="574"/>
      <c r="F2" s="574"/>
      <c r="G2" s="574"/>
      <c r="H2" s="228"/>
      <c r="I2" s="228"/>
      <c r="J2" s="228"/>
    </row>
    <row r="3" spans="1:10" s="223" customFormat="1" ht="20.100000000000001" customHeight="1">
      <c r="A3" s="223" t="str">
        <f>底稿目录!A2</f>
        <v>被审计单位：</v>
      </c>
      <c r="C3" s="223" t="str">
        <f>底稿目录!A4</f>
        <v>编制人：</v>
      </c>
      <c r="E3" s="223" t="str">
        <f>底稿目录!A5</f>
        <v>编制日期：</v>
      </c>
      <c r="G3" s="223" t="s">
        <v>358</v>
      </c>
    </row>
    <row r="4" spans="1:10" s="223" customFormat="1" ht="20.100000000000001" customHeight="1">
      <c r="A4" s="223" t="str">
        <f>底稿目录!A3</f>
        <v>截止日：202X年12月31日</v>
      </c>
      <c r="B4" s="229"/>
      <c r="C4" s="223" t="str">
        <f>底稿目录!A6</f>
        <v>复核人：</v>
      </c>
      <c r="E4" s="223" t="str">
        <f>底稿目录!A7</f>
        <v>复核日期：</v>
      </c>
      <c r="G4" s="223" t="s">
        <v>359</v>
      </c>
      <c r="J4" s="229"/>
    </row>
    <row r="5" spans="1:10" s="225" customFormat="1" ht="20.100000000000001" customHeight="1">
      <c r="A5" s="225" t="s">
        <v>304</v>
      </c>
    </row>
    <row r="6" spans="1:10" s="225" customFormat="1" ht="20.100000000000001" customHeight="1">
      <c r="A6" s="230" t="s">
        <v>37</v>
      </c>
    </row>
    <row r="7" spans="1:10" s="225" customFormat="1" ht="20.100000000000001" customHeight="1">
      <c r="A7" s="231" t="s">
        <v>360</v>
      </c>
      <c r="B7" s="231"/>
      <c r="C7" s="231"/>
      <c r="D7" s="231"/>
      <c r="E7" s="231"/>
      <c r="F7" s="231"/>
      <c r="G7" s="231"/>
      <c r="H7" s="231"/>
    </row>
    <row r="8" spans="1:10" s="225" customFormat="1" ht="20.100000000000001" customHeight="1">
      <c r="A8" s="577" t="s">
        <v>307</v>
      </c>
      <c r="B8" s="575" t="s">
        <v>278</v>
      </c>
      <c r="C8" s="564"/>
      <c r="D8" s="564"/>
      <c r="E8" s="575" t="s">
        <v>277</v>
      </c>
      <c r="F8" s="564"/>
      <c r="G8" s="564"/>
      <c r="H8" s="231"/>
    </row>
    <row r="9" spans="1:10" s="225" customFormat="1" ht="20.100000000000001" customHeight="1">
      <c r="A9" s="568"/>
      <c r="B9" s="233" t="s">
        <v>310</v>
      </c>
      <c r="C9" s="233" t="s">
        <v>311</v>
      </c>
      <c r="D9" s="233" t="s">
        <v>312</v>
      </c>
      <c r="E9" s="233" t="s">
        <v>310</v>
      </c>
      <c r="F9" s="233" t="s">
        <v>311</v>
      </c>
      <c r="G9" s="233" t="s">
        <v>312</v>
      </c>
      <c r="H9" s="231"/>
    </row>
    <row r="10" spans="1:10" s="225" customFormat="1" ht="15.6">
      <c r="A10" s="234" t="s">
        <v>313</v>
      </c>
      <c r="B10" s="235">
        <f>'审定表D6-1'!I8</f>
        <v>0</v>
      </c>
      <c r="C10" s="235">
        <f>'审定表D6-1'!I17</f>
        <v>0</v>
      </c>
      <c r="D10" s="235">
        <f>B10-C10</f>
        <v>0</v>
      </c>
      <c r="E10" s="235">
        <f>'审定表D6-1'!E8</f>
        <v>0</v>
      </c>
      <c r="F10" s="235">
        <f>'审定表D6-1'!E17</f>
        <v>0</v>
      </c>
      <c r="G10" s="235">
        <f>E10-F10</f>
        <v>0</v>
      </c>
      <c r="H10" s="231"/>
    </row>
    <row r="11" spans="1:10" s="225" customFormat="1" ht="15.6">
      <c r="A11" s="234" t="s">
        <v>314</v>
      </c>
      <c r="B11" s="235">
        <f>'审定表D6-1'!I9</f>
        <v>0</v>
      </c>
      <c r="C11" s="235">
        <f>'审定表D6-1'!I18</f>
        <v>0</v>
      </c>
      <c r="D11" s="235">
        <f t="shared" ref="D11:D14" si="0">B11-C11</f>
        <v>0</v>
      </c>
      <c r="E11" s="235">
        <f>'审定表D6-1'!E9</f>
        <v>0</v>
      </c>
      <c r="F11" s="235">
        <f>'审定表D6-1'!E18</f>
        <v>0</v>
      </c>
      <c r="G11" s="235"/>
      <c r="H11" s="231"/>
    </row>
    <row r="12" spans="1:10" s="225" customFormat="1" ht="20.100000000000001" customHeight="1">
      <c r="A12" s="234" t="s">
        <v>315</v>
      </c>
      <c r="B12" s="235">
        <f>'审定表D6-1'!I10</f>
        <v>0</v>
      </c>
      <c r="C12" s="235">
        <f>'审定表D6-1'!I19</f>
        <v>0</v>
      </c>
      <c r="D12" s="235">
        <f t="shared" si="0"/>
        <v>0</v>
      </c>
      <c r="E12" s="235">
        <f>'审定表D6-1'!E10</f>
        <v>0</v>
      </c>
      <c r="F12" s="235">
        <f>'审定表D6-1'!E19</f>
        <v>0</v>
      </c>
      <c r="G12" s="235">
        <f>E12-F12</f>
        <v>0</v>
      </c>
      <c r="H12" s="231"/>
    </row>
    <row r="13" spans="1:10" s="225" customFormat="1" ht="20.100000000000001" customHeight="1">
      <c r="A13" s="234" t="s">
        <v>361</v>
      </c>
      <c r="B13" s="235">
        <f>'审定表D6-1'!I11</f>
        <v>0</v>
      </c>
      <c r="C13" s="235">
        <f>'审定表D6-1'!I20</f>
        <v>0</v>
      </c>
      <c r="D13" s="235">
        <f t="shared" si="0"/>
        <v>0</v>
      </c>
      <c r="E13" s="235">
        <f>'审定表D6-1'!E11</f>
        <v>0</v>
      </c>
      <c r="F13" s="235">
        <f>'审定表D6-1'!E20</f>
        <v>0</v>
      </c>
      <c r="G13" s="235">
        <f>E13-F13</f>
        <v>0</v>
      </c>
      <c r="H13" s="231"/>
    </row>
    <row r="14" spans="1:10" s="225" customFormat="1" ht="20.100000000000001" customHeight="1">
      <c r="A14" s="234" t="s">
        <v>362</v>
      </c>
      <c r="B14" s="235">
        <f>'审定表D6-1'!I12</f>
        <v>0</v>
      </c>
      <c r="C14" s="235">
        <f>'审定表D6-1'!I21</f>
        <v>0</v>
      </c>
      <c r="D14" s="235">
        <f t="shared" si="0"/>
        <v>0</v>
      </c>
      <c r="E14" s="235">
        <f>'审定表D6-1'!E12</f>
        <v>0</v>
      </c>
      <c r="F14" s="235">
        <f>'审定表D6-1'!E21</f>
        <v>0</v>
      </c>
      <c r="G14" s="235">
        <f>E14-F14</f>
        <v>0</v>
      </c>
      <c r="H14" s="231"/>
    </row>
    <row r="15" spans="1:10" s="225" customFormat="1" ht="20.100000000000001" customHeight="1">
      <c r="A15" s="234"/>
      <c r="B15" s="234"/>
      <c r="C15" s="234"/>
      <c r="D15" s="234"/>
      <c r="E15" s="234"/>
      <c r="F15" s="234"/>
      <c r="G15" s="234"/>
      <c r="H15" s="231"/>
    </row>
    <row r="16" spans="1:10" s="225" customFormat="1" ht="20.100000000000001" customHeight="1">
      <c r="A16" s="236" t="s">
        <v>319</v>
      </c>
      <c r="B16" s="237">
        <f>B10+B11</f>
        <v>0</v>
      </c>
      <c r="C16" s="237">
        <f t="shared" ref="C16:G16" si="1">C10+C11</f>
        <v>0</v>
      </c>
      <c r="D16" s="237">
        <f t="shared" si="1"/>
        <v>0</v>
      </c>
      <c r="E16" s="237">
        <f t="shared" si="1"/>
        <v>0</v>
      </c>
      <c r="F16" s="237">
        <f t="shared" si="1"/>
        <v>0</v>
      </c>
      <c r="G16" s="238">
        <f t="shared" si="1"/>
        <v>0</v>
      </c>
      <c r="H16" s="231"/>
    </row>
    <row r="17" spans="1:8" s="225" customFormat="1" ht="20.100000000000001" customHeight="1">
      <c r="A17" s="239"/>
      <c r="B17" s="231"/>
      <c r="C17" s="231"/>
      <c r="D17" s="231"/>
      <c r="E17" s="231"/>
      <c r="F17" s="231"/>
      <c r="G17" s="231"/>
      <c r="H17" s="231"/>
    </row>
    <row r="18" spans="1:8" s="225" customFormat="1" ht="20.100000000000001" customHeight="1">
      <c r="A18" s="231" t="s">
        <v>363</v>
      </c>
      <c r="B18" s="231"/>
      <c r="C18" s="231"/>
      <c r="D18" s="231"/>
      <c r="E18" s="231"/>
      <c r="F18" s="231"/>
      <c r="G18" s="231"/>
      <c r="H18" s="231"/>
    </row>
    <row r="19" spans="1:8" s="225" customFormat="1" ht="20.100000000000001" customHeight="1">
      <c r="A19" s="578" t="s">
        <v>307</v>
      </c>
      <c r="B19" s="579" t="s">
        <v>277</v>
      </c>
      <c r="C19" s="576" t="s">
        <v>364</v>
      </c>
      <c r="D19" s="564"/>
      <c r="E19" s="564"/>
      <c r="F19" s="579" t="s">
        <v>278</v>
      </c>
      <c r="G19" s="240"/>
      <c r="H19" s="231"/>
    </row>
    <row r="20" spans="1:8" s="225" customFormat="1" ht="20.100000000000001" customHeight="1">
      <c r="A20" s="568"/>
      <c r="B20" s="568"/>
      <c r="C20" s="241" t="s">
        <v>365</v>
      </c>
      <c r="D20" s="241" t="s">
        <v>366</v>
      </c>
      <c r="E20" s="241" t="s">
        <v>367</v>
      </c>
      <c r="F20" s="568"/>
      <c r="G20" s="241" t="s">
        <v>357</v>
      </c>
      <c r="H20" s="231"/>
    </row>
    <row r="21" spans="1:8" s="225" customFormat="1" ht="20.100000000000001" customHeight="1">
      <c r="A21" s="234"/>
      <c r="B21" s="235"/>
      <c r="C21" s="235"/>
      <c r="D21" s="235"/>
      <c r="E21" s="235"/>
      <c r="F21" s="235">
        <f>B21+C21-D21-E21</f>
        <v>0</v>
      </c>
      <c r="G21" s="235"/>
      <c r="H21" s="231"/>
    </row>
    <row r="22" spans="1:8" s="225" customFormat="1" ht="15.6">
      <c r="A22" s="234"/>
      <c r="B22" s="235"/>
      <c r="C22" s="235"/>
      <c r="D22" s="235"/>
      <c r="E22" s="235"/>
      <c r="F22" s="235">
        <f>B22+C22-D22-E22</f>
        <v>0</v>
      </c>
      <c r="G22" s="235"/>
      <c r="H22" s="231"/>
    </row>
    <row r="23" spans="1:8" s="225" customFormat="1" ht="15.6">
      <c r="A23" s="242"/>
      <c r="B23" s="243"/>
      <c r="C23" s="243"/>
      <c r="D23" s="243"/>
      <c r="E23" s="243"/>
      <c r="F23" s="243">
        <f>B23+C23-D23-E23</f>
        <v>0</v>
      </c>
      <c r="G23" s="243"/>
      <c r="H23" s="231"/>
    </row>
    <row r="24" spans="1:8" s="225" customFormat="1" ht="20.100000000000001" customHeight="1">
      <c r="A24" s="244" t="s">
        <v>319</v>
      </c>
      <c r="B24" s="233">
        <f>SUM(B21:B23)</f>
        <v>0</v>
      </c>
      <c r="C24" s="233">
        <f>SUM(C21:C23)</f>
        <v>0</v>
      </c>
      <c r="D24" s="233">
        <f>SUM(D21:D23)</f>
        <v>0</v>
      </c>
      <c r="E24" s="233">
        <f>SUM(E21:E23)</f>
        <v>0</v>
      </c>
      <c r="F24" s="233">
        <f>SUM(F21:F23)</f>
        <v>0</v>
      </c>
      <c r="G24" s="233"/>
      <c r="H24" s="231"/>
    </row>
    <row r="25" spans="1:8" s="225" customFormat="1" ht="20.100000000000001" customHeight="1">
      <c r="A25" s="231" t="s">
        <v>368</v>
      </c>
      <c r="B25" s="231"/>
      <c r="C25" s="231"/>
      <c r="D25" s="231"/>
      <c r="E25" s="231"/>
      <c r="F25" s="231"/>
      <c r="G25" s="231"/>
      <c r="H25" s="231"/>
    </row>
    <row r="26" spans="1:8" s="225" customFormat="1" ht="20.100000000000001" customHeight="1">
      <c r="A26" s="232" t="s">
        <v>307</v>
      </c>
      <c r="B26" s="237" t="s">
        <v>324</v>
      </c>
      <c r="C26" s="237" t="s">
        <v>325</v>
      </c>
      <c r="D26" s="231"/>
      <c r="E26" s="231"/>
      <c r="F26" s="231"/>
      <c r="G26" s="231"/>
      <c r="H26" s="231"/>
    </row>
    <row r="27" spans="1:8" s="225" customFormat="1" ht="20.100000000000001" customHeight="1">
      <c r="A27" s="234"/>
      <c r="B27" s="235"/>
      <c r="C27" s="235"/>
      <c r="D27" s="231"/>
      <c r="E27" s="231"/>
      <c r="F27" s="231"/>
      <c r="G27" s="231"/>
      <c r="H27" s="231"/>
    </row>
    <row r="28" spans="1:8" s="225" customFormat="1" ht="15.6">
      <c r="A28" s="234"/>
      <c r="B28" s="235"/>
      <c r="C28" s="235"/>
      <c r="D28" s="231"/>
      <c r="E28" s="231"/>
      <c r="F28" s="231"/>
      <c r="G28" s="231"/>
      <c r="H28" s="231"/>
    </row>
    <row r="29" spans="1:8" s="225" customFormat="1" ht="20.100000000000001" customHeight="1">
      <c r="A29" s="234"/>
      <c r="B29" s="235"/>
      <c r="C29" s="235"/>
      <c r="D29" s="231"/>
      <c r="E29" s="231"/>
      <c r="F29" s="231"/>
      <c r="G29" s="231"/>
      <c r="H29" s="231"/>
    </row>
    <row r="30" spans="1:8" ht="14.4">
      <c r="A30" s="242"/>
      <c r="B30" s="243"/>
      <c r="C30" s="243"/>
      <c r="D30" s="231"/>
      <c r="E30" s="231"/>
      <c r="F30" s="231"/>
      <c r="G30" s="231"/>
      <c r="H30" s="231"/>
    </row>
    <row r="31" spans="1:8" ht="14.4">
      <c r="A31" s="244" t="s">
        <v>319</v>
      </c>
      <c r="B31" s="233">
        <f>SUM(B27:B30)</f>
        <v>0</v>
      </c>
      <c r="C31" s="233"/>
      <c r="D31" s="231"/>
      <c r="E31" s="231"/>
      <c r="F31" s="231"/>
      <c r="G31" s="231"/>
      <c r="H31" s="231"/>
    </row>
    <row r="32" spans="1:8" ht="14.4">
      <c r="A32" s="245" t="s">
        <v>369</v>
      </c>
      <c r="B32" s="231"/>
      <c r="C32" s="231"/>
      <c r="D32" s="231"/>
      <c r="E32" s="231"/>
      <c r="F32" s="231"/>
      <c r="G32" s="231"/>
      <c r="H32" s="231"/>
    </row>
    <row r="33" spans="1:8" ht="14.4">
      <c r="A33" s="245" t="s">
        <v>370</v>
      </c>
      <c r="B33" s="231"/>
      <c r="C33" s="231"/>
      <c r="D33" s="231"/>
      <c r="E33" s="231"/>
      <c r="F33" s="231"/>
      <c r="G33" s="231"/>
      <c r="H33" s="231"/>
    </row>
    <row r="34" spans="1:8" ht="14.4">
      <c r="A34" s="245" t="s">
        <v>329</v>
      </c>
      <c r="B34" s="231"/>
      <c r="C34" s="231"/>
      <c r="D34" s="231"/>
      <c r="E34" s="231"/>
      <c r="F34" s="231"/>
      <c r="G34" s="231"/>
      <c r="H34" s="231"/>
    </row>
    <row r="35" spans="1:8" ht="14.4">
      <c r="A35" s="245" t="s">
        <v>330</v>
      </c>
      <c r="B35" s="231"/>
      <c r="C35" s="231"/>
      <c r="D35" s="231"/>
      <c r="E35" s="231"/>
      <c r="F35" s="231"/>
      <c r="G35" s="231"/>
      <c r="H35" s="231"/>
    </row>
    <row r="36" spans="1:8" ht="14.4">
      <c r="A36" s="245" t="s">
        <v>331</v>
      </c>
      <c r="B36" s="231"/>
      <c r="C36" s="231"/>
      <c r="D36" s="231"/>
      <c r="E36" s="231"/>
      <c r="F36" s="231"/>
      <c r="G36" s="231"/>
      <c r="H36" s="231"/>
    </row>
    <row r="37" spans="1:8">
      <c r="A37" s="246"/>
      <c r="B37" s="246"/>
      <c r="C37" s="246"/>
      <c r="D37" s="246"/>
      <c r="E37" s="246"/>
      <c r="F37" s="246"/>
      <c r="G37" s="246"/>
      <c r="H37" s="246"/>
    </row>
  </sheetData>
  <mergeCells count="9">
    <mergeCell ref="A1:G1"/>
    <mergeCell ref="A2:G2"/>
    <mergeCell ref="B8:D8"/>
    <mergeCell ref="E8:G8"/>
    <mergeCell ref="C19:E19"/>
    <mergeCell ref="A8:A9"/>
    <mergeCell ref="A19:A20"/>
    <mergeCell ref="B19:B20"/>
    <mergeCell ref="F19:F20"/>
  </mergeCells>
  <phoneticPr fontId="176" type="noConversion"/>
  <pageMargins left="0.70833333333333304" right="0.70833333333333304" top="0.74791666666666701" bottom="0.74791666666666701" header="0.31458333333333299" footer="0.31458333333333299"/>
  <pageSetup paperSize="9" scale="76" fitToHeight="40" orientation="landscape" blackAndWhite="1" r:id="rId1"/>
  <headerFooter alignWithMargins="0">
    <oddFooter>&amp;C&amp;P/&amp;N</oddFooter>
  </headerFooter>
  <rowBreaks count="1" manualBreakCount="1">
    <brk id="36" max="16383"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AF38"/>
  <sheetViews>
    <sheetView view="pageBreakPreview" topLeftCell="K13" zoomScaleNormal="100" workbookViewId="0">
      <selection activeCell="X27" sqref="X27"/>
    </sheetView>
  </sheetViews>
  <sheetFormatPr defaultColWidth="7" defaultRowHeight="20.100000000000001" customHeight="1"/>
  <cols>
    <col min="1" max="1" width="5.69921875" style="188" customWidth="1"/>
    <col min="2" max="2" width="16.09765625" style="188" customWidth="1"/>
    <col min="3" max="3" width="15.5" style="188" customWidth="1"/>
    <col min="4" max="4" width="15" style="188" customWidth="1"/>
    <col min="5" max="5" width="10.8984375" style="188" customWidth="1"/>
    <col min="6" max="6" width="12" style="188" customWidth="1"/>
    <col min="7" max="26" width="10.19921875" style="188" customWidth="1"/>
    <col min="27" max="28" width="9.59765625" style="188" customWidth="1"/>
    <col min="29" max="29" width="8.09765625" style="188" customWidth="1"/>
    <col min="30" max="30" width="8.5" style="188" customWidth="1"/>
    <col min="31" max="16384" width="7" style="188"/>
  </cols>
  <sheetData>
    <row r="1" spans="1:32" ht="20.100000000000001" customHeight="1">
      <c r="A1" s="580" t="s">
        <v>32</v>
      </c>
      <c r="B1" s="580"/>
      <c r="C1" s="580"/>
      <c r="D1" s="580"/>
      <c r="E1" s="580"/>
      <c r="F1" s="580"/>
      <c r="G1" s="580"/>
      <c r="H1" s="580"/>
      <c r="I1" s="580"/>
      <c r="J1" s="580"/>
      <c r="K1" s="580"/>
      <c r="L1" s="580"/>
      <c r="M1" s="580"/>
      <c r="N1" s="580"/>
      <c r="O1" s="580"/>
      <c r="P1" s="580"/>
      <c r="Q1" s="580"/>
      <c r="R1" s="580"/>
      <c r="S1" s="580"/>
      <c r="T1" s="580"/>
      <c r="U1" s="580"/>
      <c r="V1" s="580"/>
      <c r="W1" s="580"/>
      <c r="X1" s="580"/>
      <c r="Y1" s="580"/>
      <c r="Z1" s="580"/>
      <c r="AA1" s="580"/>
      <c r="AB1" s="580"/>
      <c r="AC1" s="580"/>
      <c r="AD1" s="580"/>
    </row>
    <row r="2" spans="1:32" ht="20.100000000000001" customHeight="1">
      <c r="A2" s="581" t="s">
        <v>371</v>
      </c>
      <c r="B2" s="581"/>
      <c r="C2" s="581"/>
      <c r="D2" s="581"/>
      <c r="E2" s="581"/>
      <c r="F2" s="581"/>
      <c r="G2" s="581"/>
      <c r="H2" s="581"/>
      <c r="I2" s="581"/>
      <c r="J2" s="581"/>
      <c r="K2" s="581"/>
      <c r="L2" s="581"/>
      <c r="M2" s="581"/>
      <c r="N2" s="581"/>
      <c r="O2" s="581"/>
      <c r="P2" s="581"/>
      <c r="Q2" s="581"/>
      <c r="R2" s="581"/>
      <c r="S2" s="581"/>
      <c r="T2" s="581"/>
      <c r="U2" s="581"/>
      <c r="V2" s="581"/>
      <c r="W2" s="581"/>
      <c r="X2" s="581"/>
      <c r="Y2" s="581"/>
      <c r="Z2" s="581"/>
      <c r="AA2" s="581"/>
      <c r="AB2" s="581"/>
      <c r="AC2" s="581"/>
      <c r="AD2" s="581"/>
    </row>
    <row r="3" spans="1:32" ht="20.100000000000001" customHeight="1">
      <c r="A3" s="156" t="str">
        <f>底稿目录!A2</f>
        <v>被审计单位：</v>
      </c>
      <c r="J3" s="188" t="str">
        <f>底稿目录!A4</f>
        <v>编制人：</v>
      </c>
      <c r="K3" s="185"/>
      <c r="L3" s="185"/>
      <c r="M3" s="185"/>
      <c r="N3" s="185"/>
      <c r="P3" s="185"/>
      <c r="T3" s="188" t="str">
        <f>底稿目录!A5</f>
        <v>编制日期：</v>
      </c>
      <c r="AC3" s="185" t="s">
        <v>34</v>
      </c>
      <c r="AD3" s="662" t="str">
        <f>底稿目录!F8</f>
        <v>D6-2</v>
      </c>
    </row>
    <row r="4" spans="1:32" ht="20.100000000000001" customHeight="1">
      <c r="A4" s="156" t="str">
        <f>底稿目录!A3</f>
        <v>截止日：202X年12月31日</v>
      </c>
      <c r="J4" s="188" t="str">
        <f>底稿目录!A6</f>
        <v>复核人：</v>
      </c>
      <c r="K4" s="185"/>
      <c r="L4" s="185"/>
      <c r="M4" s="185"/>
      <c r="N4" s="185"/>
      <c r="P4" s="185"/>
      <c r="T4" s="188" t="str">
        <f>底稿目录!A7</f>
        <v>复核日期：</v>
      </c>
      <c r="AC4" s="185" t="s">
        <v>35</v>
      </c>
    </row>
    <row r="5" spans="1:32" s="185" customFormat="1" ht="20.100000000000001" customHeight="1">
      <c r="A5" s="189" t="s">
        <v>372</v>
      </c>
      <c r="B5" s="190"/>
      <c r="C5" s="190"/>
      <c r="D5" s="190"/>
      <c r="E5" s="190"/>
      <c r="F5" s="190"/>
      <c r="G5" s="190"/>
      <c r="H5" s="190"/>
      <c r="I5" s="190"/>
      <c r="O5" s="207"/>
    </row>
    <row r="6" spans="1:32" s="185" customFormat="1" ht="20.100000000000001" customHeight="1">
      <c r="A6" s="191" t="s">
        <v>373</v>
      </c>
      <c r="B6" s="192"/>
      <c r="C6" s="192"/>
      <c r="D6" s="192"/>
      <c r="E6" s="192"/>
      <c r="F6" s="192"/>
      <c r="G6" s="192"/>
      <c r="H6" s="192"/>
      <c r="I6" s="192"/>
      <c r="S6" s="192"/>
    </row>
    <row r="7" spans="1:32" s="185" customFormat="1" ht="20.100000000000001" customHeight="1">
      <c r="A7" s="193" t="s">
        <v>374</v>
      </c>
      <c r="R7" s="212"/>
    </row>
    <row r="8" spans="1:32" s="185" customFormat="1" ht="20.100000000000001" customHeight="1">
      <c r="A8" s="194" t="s">
        <v>375</v>
      </c>
      <c r="C8" s="192"/>
      <c r="D8" s="192"/>
      <c r="E8" s="192"/>
      <c r="F8" s="192"/>
      <c r="G8" s="192"/>
      <c r="H8" s="192"/>
      <c r="I8" s="192"/>
    </row>
    <row r="9" spans="1:32" s="185" customFormat="1" ht="20.100000000000001" customHeight="1">
      <c r="A9" s="194" t="s">
        <v>376</v>
      </c>
      <c r="C9" s="192"/>
      <c r="D9" s="192"/>
      <c r="E9" s="192"/>
      <c r="F9" s="192"/>
      <c r="G9" s="192"/>
      <c r="H9" s="192"/>
      <c r="I9" s="192"/>
      <c r="S9" s="192"/>
    </row>
    <row r="10" spans="1:32" s="185" customFormat="1" ht="20.100000000000001" customHeight="1">
      <c r="A10" s="194" t="s">
        <v>377</v>
      </c>
      <c r="C10" s="192"/>
      <c r="D10" s="192"/>
      <c r="E10" s="192"/>
      <c r="F10" s="192"/>
      <c r="G10" s="192"/>
      <c r="H10" s="192"/>
      <c r="I10" s="192"/>
      <c r="S10" s="192"/>
    </row>
    <row r="11" spans="1:32" s="185" customFormat="1" ht="20.100000000000001" customHeight="1">
      <c r="A11" s="194" t="s">
        <v>378</v>
      </c>
      <c r="C11" s="192"/>
      <c r="D11" s="192"/>
      <c r="E11" s="192"/>
      <c r="F11" s="192"/>
      <c r="G11" s="192"/>
      <c r="H11" s="192"/>
      <c r="I11" s="192"/>
      <c r="S11" s="192"/>
    </row>
    <row r="12" spans="1:32" ht="20.100000000000001" customHeight="1">
      <c r="A12" s="582" t="s">
        <v>2</v>
      </c>
      <c r="B12" s="582" t="s">
        <v>379</v>
      </c>
      <c r="C12" s="587" t="s">
        <v>380</v>
      </c>
      <c r="D12" s="589" t="s">
        <v>381</v>
      </c>
      <c r="E12" s="663" t="s">
        <v>618</v>
      </c>
      <c r="F12" s="589" t="s">
        <v>382</v>
      </c>
      <c r="G12" s="589" t="s">
        <v>383</v>
      </c>
      <c r="H12" s="589" t="s">
        <v>384</v>
      </c>
      <c r="I12" s="589" t="s">
        <v>385</v>
      </c>
      <c r="J12" s="589" t="s">
        <v>386</v>
      </c>
      <c r="K12" s="582" t="s">
        <v>387</v>
      </c>
      <c r="L12" s="582"/>
      <c r="M12" s="582"/>
      <c r="N12" s="582"/>
      <c r="O12" s="589" t="s">
        <v>388</v>
      </c>
      <c r="P12" s="589" t="s">
        <v>389</v>
      </c>
      <c r="Q12" s="587" t="s">
        <v>390</v>
      </c>
      <c r="R12" s="589" t="s">
        <v>282</v>
      </c>
      <c r="S12" s="589" t="s">
        <v>283</v>
      </c>
      <c r="T12" s="583" t="s">
        <v>391</v>
      </c>
      <c r="U12" s="583" t="s">
        <v>392</v>
      </c>
      <c r="V12" s="583"/>
      <c r="W12" s="583"/>
      <c r="X12" s="583"/>
      <c r="Y12" s="583" t="s">
        <v>393</v>
      </c>
      <c r="Z12" s="583" t="s">
        <v>394</v>
      </c>
      <c r="AA12" s="587" t="s">
        <v>395</v>
      </c>
      <c r="AB12" s="587" t="s">
        <v>396</v>
      </c>
      <c r="AC12" s="587" t="s">
        <v>397</v>
      </c>
      <c r="AD12" s="587" t="s">
        <v>398</v>
      </c>
    </row>
    <row r="13" spans="1:32" ht="20.100000000000001" customHeight="1">
      <c r="A13" s="582"/>
      <c r="B13" s="582"/>
      <c r="C13" s="588"/>
      <c r="D13" s="590"/>
      <c r="E13" s="664"/>
      <c r="F13" s="590"/>
      <c r="G13" s="590"/>
      <c r="H13" s="590"/>
      <c r="I13" s="590"/>
      <c r="J13" s="590"/>
      <c r="K13" s="195" t="s">
        <v>399</v>
      </c>
      <c r="L13" s="195" t="s">
        <v>400</v>
      </c>
      <c r="M13" s="195" t="s">
        <v>401</v>
      </c>
      <c r="N13" s="195" t="s">
        <v>402</v>
      </c>
      <c r="O13" s="590"/>
      <c r="P13" s="590"/>
      <c r="Q13" s="591"/>
      <c r="R13" s="590"/>
      <c r="S13" s="590"/>
      <c r="T13" s="583"/>
      <c r="U13" s="208" t="s">
        <v>399</v>
      </c>
      <c r="V13" s="208" t="s">
        <v>400</v>
      </c>
      <c r="W13" s="208" t="s">
        <v>401</v>
      </c>
      <c r="X13" s="208" t="s">
        <v>402</v>
      </c>
      <c r="Y13" s="583"/>
      <c r="Z13" s="583"/>
      <c r="AA13" s="591"/>
      <c r="AB13" s="591"/>
      <c r="AC13" s="591"/>
      <c r="AD13" s="591"/>
    </row>
    <row r="14" spans="1:32" ht="20.100000000000001" customHeight="1">
      <c r="A14" s="650">
        <v>1</v>
      </c>
      <c r="B14" s="196"/>
      <c r="C14" s="476"/>
      <c r="D14" s="196"/>
      <c r="E14" s="196"/>
      <c r="F14" s="40"/>
      <c r="G14" s="36"/>
      <c r="H14" s="36"/>
      <c r="I14" s="36"/>
      <c r="J14" s="39">
        <f>G14+H14+I14</f>
        <v>0</v>
      </c>
      <c r="K14" s="36"/>
      <c r="L14" s="36"/>
      <c r="M14" s="36"/>
      <c r="N14" s="36"/>
      <c r="O14" s="209"/>
      <c r="P14" s="209"/>
      <c r="Q14" s="39">
        <f>G14+O14-P14</f>
        <v>0</v>
      </c>
      <c r="R14" s="209"/>
      <c r="S14" s="209"/>
      <c r="T14" s="39">
        <f>Q14+R14+S14</f>
        <v>0</v>
      </c>
      <c r="U14" s="36"/>
      <c r="V14" s="36"/>
      <c r="W14" s="36"/>
      <c r="X14" s="36"/>
      <c r="Y14" s="36"/>
      <c r="Z14" s="36"/>
      <c r="AA14" s="213"/>
      <c r="AB14" s="213"/>
      <c r="AC14" s="196"/>
      <c r="AD14" s="214"/>
      <c r="AE14" s="188" t="s">
        <v>403</v>
      </c>
    </row>
    <row r="15" spans="1:32" ht="20.100000000000001" customHeight="1">
      <c r="A15" s="650">
        <v>2</v>
      </c>
      <c r="B15" s="196"/>
      <c r="C15" s="197"/>
      <c r="D15" s="196"/>
      <c r="E15" s="196"/>
      <c r="F15" s="40"/>
      <c r="G15" s="36"/>
      <c r="H15" s="36"/>
      <c r="I15" s="36"/>
      <c r="J15" s="39">
        <f t="shared" ref="J15:J25" si="0">G15+H15+I15</f>
        <v>0</v>
      </c>
      <c r="K15" s="36"/>
      <c r="L15" s="36"/>
      <c r="M15" s="36"/>
      <c r="N15" s="36"/>
      <c r="O15" s="209"/>
      <c r="P15" s="209"/>
      <c r="Q15" s="39">
        <f t="shared" ref="Q15:Q25" si="1">G15+O15-P15</f>
        <v>0</v>
      </c>
      <c r="R15" s="209"/>
      <c r="S15" s="209"/>
      <c r="T15" s="39">
        <f>Q15+R15+S15</f>
        <v>0</v>
      </c>
      <c r="U15" s="36"/>
      <c r="V15" s="36"/>
      <c r="W15" s="36"/>
      <c r="X15" s="36"/>
      <c r="Y15" s="36"/>
      <c r="Z15" s="36"/>
      <c r="AA15" s="213"/>
      <c r="AB15" s="213"/>
      <c r="AC15" s="196"/>
      <c r="AD15" s="214"/>
      <c r="AE15" s="188" t="s">
        <v>404</v>
      </c>
    </row>
    <row r="16" spans="1:32" s="186" customFormat="1" ht="20.100000000000001" customHeight="1">
      <c r="A16" s="650">
        <v>3</v>
      </c>
      <c r="B16" s="196"/>
      <c r="C16" s="197"/>
      <c r="D16" s="196"/>
      <c r="E16" s="196"/>
      <c r="F16" s="40"/>
      <c r="G16" s="36"/>
      <c r="H16" s="36"/>
      <c r="I16" s="36"/>
      <c r="J16" s="39">
        <f t="shared" si="0"/>
        <v>0</v>
      </c>
      <c r="K16" s="36"/>
      <c r="L16" s="36"/>
      <c r="M16" s="36"/>
      <c r="N16" s="36"/>
      <c r="O16" s="209"/>
      <c r="P16" s="209"/>
      <c r="Q16" s="39">
        <f t="shared" si="1"/>
        <v>0</v>
      </c>
      <c r="R16" s="209"/>
      <c r="S16" s="209"/>
      <c r="T16" s="39">
        <f>Q16+R16+S16</f>
        <v>0</v>
      </c>
      <c r="U16" s="36"/>
      <c r="V16" s="36"/>
      <c r="W16" s="36"/>
      <c r="X16" s="36"/>
      <c r="Y16" s="36"/>
      <c r="Z16" s="36"/>
      <c r="AA16" s="213"/>
      <c r="AB16" s="213"/>
      <c r="AC16" s="196"/>
      <c r="AD16" s="215"/>
      <c r="AE16" s="188" t="s">
        <v>405</v>
      </c>
      <c r="AF16" s="188"/>
    </row>
    <row r="17" spans="1:31" ht="20.100000000000001" customHeight="1">
      <c r="A17" s="650">
        <v>4</v>
      </c>
      <c r="B17" s="196"/>
      <c r="C17" s="197"/>
      <c r="D17" s="196"/>
      <c r="E17" s="196"/>
      <c r="F17" s="40"/>
      <c r="G17" s="36"/>
      <c r="H17" s="36"/>
      <c r="I17" s="36"/>
      <c r="J17" s="39">
        <f t="shared" si="0"/>
        <v>0</v>
      </c>
      <c r="K17" s="36"/>
      <c r="L17" s="36"/>
      <c r="M17" s="36"/>
      <c r="N17" s="36"/>
      <c r="O17" s="209"/>
      <c r="P17" s="209"/>
      <c r="Q17" s="39">
        <f t="shared" si="1"/>
        <v>0</v>
      </c>
      <c r="R17" s="209"/>
      <c r="S17" s="209"/>
      <c r="T17" s="39">
        <f>Q17+R17+S17</f>
        <v>0</v>
      </c>
      <c r="U17" s="36"/>
      <c r="V17" s="36"/>
      <c r="W17" s="36"/>
      <c r="X17" s="36"/>
      <c r="Y17" s="36"/>
      <c r="Z17" s="36"/>
      <c r="AA17" s="213"/>
      <c r="AB17" s="213"/>
      <c r="AC17" s="196"/>
      <c r="AD17" s="214"/>
    </row>
    <row r="18" spans="1:31" ht="20.100000000000001" customHeight="1">
      <c r="A18" s="650">
        <v>5</v>
      </c>
      <c r="B18" s="196"/>
      <c r="C18" s="197"/>
      <c r="D18" s="196"/>
      <c r="E18" s="196"/>
      <c r="F18" s="40"/>
      <c r="G18" s="36"/>
      <c r="H18" s="36"/>
      <c r="I18" s="36"/>
      <c r="J18" s="39">
        <f t="shared" si="0"/>
        <v>0</v>
      </c>
      <c r="K18" s="36"/>
      <c r="L18" s="36"/>
      <c r="M18" s="36"/>
      <c r="N18" s="36"/>
      <c r="O18" s="209"/>
      <c r="P18" s="209"/>
      <c r="Q18" s="39">
        <f t="shared" si="1"/>
        <v>0</v>
      </c>
      <c r="R18" s="209"/>
      <c r="S18" s="209"/>
      <c r="T18" s="39">
        <f t="shared" ref="T18:T25" si="2">Q18+R18+S18</f>
        <v>0</v>
      </c>
      <c r="U18" s="36"/>
      <c r="V18" s="36"/>
      <c r="W18" s="36"/>
      <c r="X18" s="36"/>
      <c r="Y18" s="36"/>
      <c r="Z18" s="36"/>
      <c r="AA18" s="213"/>
      <c r="AB18" s="213"/>
      <c r="AC18" s="196"/>
      <c r="AD18" s="214"/>
      <c r="AE18" s="188" t="s">
        <v>313</v>
      </c>
    </row>
    <row r="19" spans="1:31" ht="20.100000000000001" customHeight="1">
      <c r="A19" s="650">
        <v>6</v>
      </c>
      <c r="B19" s="196"/>
      <c r="C19" s="197"/>
      <c r="D19" s="196"/>
      <c r="E19" s="196"/>
      <c r="F19" s="40"/>
      <c r="G19" s="36"/>
      <c r="H19" s="36"/>
      <c r="I19" s="36"/>
      <c r="J19" s="39">
        <f t="shared" si="0"/>
        <v>0</v>
      </c>
      <c r="K19" s="36"/>
      <c r="L19" s="36"/>
      <c r="M19" s="36"/>
      <c r="N19" s="36"/>
      <c r="O19" s="209"/>
      <c r="P19" s="209"/>
      <c r="Q19" s="39">
        <f t="shared" si="1"/>
        <v>0</v>
      </c>
      <c r="R19" s="209"/>
      <c r="S19" s="209"/>
      <c r="T19" s="39">
        <f t="shared" si="2"/>
        <v>0</v>
      </c>
      <c r="U19" s="36"/>
      <c r="V19" s="36"/>
      <c r="W19" s="36"/>
      <c r="X19" s="36"/>
      <c r="Y19" s="36"/>
      <c r="Z19" s="36"/>
      <c r="AA19" s="213"/>
      <c r="AB19" s="213"/>
      <c r="AC19" s="196"/>
      <c r="AD19" s="214"/>
      <c r="AE19" s="188" t="s">
        <v>406</v>
      </c>
    </row>
    <row r="20" spans="1:31" ht="20.100000000000001" customHeight="1">
      <c r="A20" s="650">
        <v>7</v>
      </c>
      <c r="B20" s="196"/>
      <c r="C20" s="197"/>
      <c r="D20" s="196"/>
      <c r="E20" s="196"/>
      <c r="F20" s="40"/>
      <c r="G20" s="36"/>
      <c r="H20" s="36"/>
      <c r="I20" s="36"/>
      <c r="J20" s="39">
        <f t="shared" si="0"/>
        <v>0</v>
      </c>
      <c r="K20" s="36"/>
      <c r="L20" s="36"/>
      <c r="M20" s="36"/>
      <c r="N20" s="36"/>
      <c r="O20" s="209"/>
      <c r="P20" s="209"/>
      <c r="Q20" s="39">
        <f t="shared" si="1"/>
        <v>0</v>
      </c>
      <c r="R20" s="209"/>
      <c r="S20" s="209"/>
      <c r="T20" s="39">
        <f t="shared" si="2"/>
        <v>0</v>
      </c>
      <c r="U20" s="36"/>
      <c r="V20" s="36"/>
      <c r="W20" s="36"/>
      <c r="X20" s="36"/>
      <c r="Y20" s="36"/>
      <c r="Z20" s="36"/>
      <c r="AA20" s="213"/>
      <c r="AB20" s="213"/>
      <c r="AC20" s="196"/>
      <c r="AD20" s="214"/>
      <c r="AE20" s="188" t="s">
        <v>407</v>
      </c>
    </row>
    <row r="21" spans="1:31" ht="20.100000000000001" customHeight="1">
      <c r="A21" s="650">
        <v>8</v>
      </c>
      <c r="B21" s="196"/>
      <c r="C21" s="197"/>
      <c r="D21" s="196"/>
      <c r="E21" s="196"/>
      <c r="F21" s="40"/>
      <c r="G21" s="36"/>
      <c r="H21" s="36"/>
      <c r="I21" s="36"/>
      <c r="J21" s="39">
        <f t="shared" si="0"/>
        <v>0</v>
      </c>
      <c r="K21" s="36"/>
      <c r="L21" s="36"/>
      <c r="M21" s="36"/>
      <c r="N21" s="36"/>
      <c r="O21" s="209"/>
      <c r="P21" s="209"/>
      <c r="Q21" s="39">
        <f t="shared" si="1"/>
        <v>0</v>
      </c>
      <c r="R21" s="209"/>
      <c r="S21" s="209"/>
      <c r="T21" s="39">
        <f t="shared" si="2"/>
        <v>0</v>
      </c>
      <c r="U21" s="36"/>
      <c r="V21" s="36"/>
      <c r="W21" s="36"/>
      <c r="X21" s="36"/>
      <c r="Y21" s="36"/>
      <c r="Z21" s="36"/>
      <c r="AA21" s="213"/>
      <c r="AB21" s="213"/>
      <c r="AC21" s="196"/>
      <c r="AD21" s="214"/>
    </row>
    <row r="22" spans="1:31" ht="20.100000000000001" customHeight="1">
      <c r="A22" s="650">
        <v>9</v>
      </c>
      <c r="B22" s="196"/>
      <c r="C22" s="197"/>
      <c r="D22" s="196"/>
      <c r="E22" s="196"/>
      <c r="F22" s="40"/>
      <c r="G22" s="36"/>
      <c r="H22" s="36"/>
      <c r="I22" s="36"/>
      <c r="J22" s="39">
        <f t="shared" si="0"/>
        <v>0</v>
      </c>
      <c r="K22" s="36"/>
      <c r="L22" s="36"/>
      <c r="M22" s="36"/>
      <c r="N22" s="36"/>
      <c r="O22" s="209"/>
      <c r="P22" s="209"/>
      <c r="Q22" s="39">
        <f t="shared" si="1"/>
        <v>0</v>
      </c>
      <c r="R22" s="209"/>
      <c r="S22" s="209"/>
      <c r="T22" s="39">
        <f t="shared" si="2"/>
        <v>0</v>
      </c>
      <c r="U22" s="36"/>
      <c r="V22" s="36"/>
      <c r="W22" s="36"/>
      <c r="X22" s="36"/>
      <c r="Y22" s="36"/>
      <c r="Z22" s="36"/>
      <c r="AA22" s="213"/>
      <c r="AB22" s="213"/>
      <c r="AC22" s="196"/>
      <c r="AD22" s="214"/>
    </row>
    <row r="23" spans="1:31" ht="20.100000000000001" customHeight="1">
      <c r="A23" s="650">
        <v>10</v>
      </c>
      <c r="B23" s="196"/>
      <c r="C23" s="197"/>
      <c r="D23" s="196"/>
      <c r="E23" s="196"/>
      <c r="F23" s="40"/>
      <c r="G23" s="36"/>
      <c r="H23" s="36"/>
      <c r="I23" s="36"/>
      <c r="J23" s="39">
        <f t="shared" si="0"/>
        <v>0</v>
      </c>
      <c r="K23" s="36"/>
      <c r="L23" s="36"/>
      <c r="M23" s="36"/>
      <c r="N23" s="36"/>
      <c r="O23" s="209"/>
      <c r="P23" s="209"/>
      <c r="Q23" s="39">
        <f t="shared" si="1"/>
        <v>0</v>
      </c>
      <c r="R23" s="209"/>
      <c r="S23" s="209"/>
      <c r="T23" s="39">
        <f t="shared" si="2"/>
        <v>0</v>
      </c>
      <c r="U23" s="36"/>
      <c r="V23" s="36"/>
      <c r="W23" s="36"/>
      <c r="X23" s="36"/>
      <c r="Y23" s="36"/>
      <c r="Z23" s="36"/>
      <c r="AA23" s="213"/>
      <c r="AB23" s="213"/>
      <c r="AC23" s="196"/>
      <c r="AD23" s="214"/>
    </row>
    <row r="24" spans="1:31" ht="20.100000000000001" customHeight="1">
      <c r="A24" s="650">
        <v>11</v>
      </c>
      <c r="B24" s="196"/>
      <c r="C24" s="197"/>
      <c r="D24" s="196"/>
      <c r="E24" s="196"/>
      <c r="F24" s="40"/>
      <c r="G24" s="36"/>
      <c r="H24" s="36"/>
      <c r="I24" s="36"/>
      <c r="J24" s="39">
        <f t="shared" si="0"/>
        <v>0</v>
      </c>
      <c r="K24" s="36"/>
      <c r="L24" s="36"/>
      <c r="M24" s="36"/>
      <c r="N24" s="36"/>
      <c r="O24" s="209"/>
      <c r="P24" s="209"/>
      <c r="Q24" s="39">
        <f t="shared" si="1"/>
        <v>0</v>
      </c>
      <c r="R24" s="209"/>
      <c r="S24" s="209"/>
      <c r="T24" s="39">
        <f t="shared" si="2"/>
        <v>0</v>
      </c>
      <c r="U24" s="36"/>
      <c r="V24" s="36"/>
      <c r="W24" s="36"/>
      <c r="X24" s="36"/>
      <c r="Y24" s="36"/>
      <c r="Z24" s="36"/>
      <c r="AA24" s="213"/>
      <c r="AB24" s="213"/>
      <c r="AC24" s="196"/>
      <c r="AD24" s="214"/>
    </row>
    <row r="25" spans="1:31" ht="20.100000000000001" customHeight="1">
      <c r="A25" s="650">
        <v>12</v>
      </c>
      <c r="B25" s="196"/>
      <c r="C25" s="197"/>
      <c r="D25" s="196"/>
      <c r="E25" s="196"/>
      <c r="F25" s="40"/>
      <c r="G25" s="36"/>
      <c r="H25" s="36"/>
      <c r="I25" s="36"/>
      <c r="J25" s="39">
        <f t="shared" si="0"/>
        <v>0</v>
      </c>
      <c r="K25" s="36"/>
      <c r="L25" s="36"/>
      <c r="M25" s="36"/>
      <c r="N25" s="36"/>
      <c r="O25" s="209"/>
      <c r="P25" s="209"/>
      <c r="Q25" s="39">
        <f t="shared" si="1"/>
        <v>0</v>
      </c>
      <c r="R25" s="209"/>
      <c r="S25" s="209"/>
      <c r="T25" s="39">
        <f t="shared" si="2"/>
        <v>0</v>
      </c>
      <c r="U25" s="36"/>
      <c r="V25" s="36"/>
      <c r="W25" s="36"/>
      <c r="X25" s="36"/>
      <c r="Y25" s="36"/>
      <c r="Z25" s="36"/>
      <c r="AA25" s="213"/>
      <c r="AB25" s="213"/>
      <c r="AC25" s="196"/>
      <c r="AD25" s="214"/>
    </row>
    <row r="26" spans="1:31" s="187" customFormat="1" ht="20.100000000000001" customHeight="1">
      <c r="A26" s="584" t="s">
        <v>408</v>
      </c>
      <c r="B26" s="585"/>
      <c r="C26" s="585"/>
      <c r="D26" s="585"/>
      <c r="E26" s="585"/>
      <c r="F26" s="586"/>
      <c r="G26" s="39">
        <f>SUM(G14:G25)</f>
        <v>0</v>
      </c>
      <c r="H26" s="39">
        <f t="shared" ref="H26:J26" si="3">SUM(H14:H25)</f>
        <v>0</v>
      </c>
      <c r="I26" s="39">
        <f t="shared" si="3"/>
        <v>0</v>
      </c>
      <c r="J26" s="39">
        <f t="shared" si="3"/>
        <v>0</v>
      </c>
      <c r="K26" s="39">
        <f t="shared" ref="K26" si="4">SUM(K14:K25)</f>
        <v>0</v>
      </c>
      <c r="L26" s="39">
        <f t="shared" ref="L26" si="5">SUM(L14:L25)</f>
        <v>0</v>
      </c>
      <c r="M26" s="39">
        <f t="shared" ref="M26" si="6">SUM(M14:M25)</f>
        <v>0</v>
      </c>
      <c r="N26" s="39">
        <f t="shared" ref="N26" si="7">SUM(N14:N25)</f>
        <v>0</v>
      </c>
      <c r="O26" s="39">
        <f t="shared" ref="O26" si="8">SUM(O14:O25)</f>
        <v>0</v>
      </c>
      <c r="P26" s="39">
        <f t="shared" ref="P26" si="9">SUM(P14:P25)</f>
        <v>0</v>
      </c>
      <c r="Q26" s="39">
        <f t="shared" ref="Q26:T26" si="10">SUM(Q14:Q25)</f>
        <v>0</v>
      </c>
      <c r="R26" s="39">
        <f t="shared" si="10"/>
        <v>0</v>
      </c>
      <c r="S26" s="39">
        <f t="shared" si="10"/>
        <v>0</v>
      </c>
      <c r="T26" s="39">
        <f t="shared" si="10"/>
        <v>0</v>
      </c>
      <c r="U26" s="39">
        <f t="shared" ref="U26" si="11">SUM(U14:U25)</f>
        <v>0</v>
      </c>
      <c r="V26" s="39">
        <f t="shared" ref="V26" si="12">SUM(V14:V25)</f>
        <v>0</v>
      </c>
      <c r="W26" s="39">
        <f t="shared" ref="W26" si="13">SUM(W14:W25)</f>
        <v>0</v>
      </c>
      <c r="X26" s="39">
        <f t="shared" ref="X26" si="14">SUM(X14:X25)</f>
        <v>0</v>
      </c>
      <c r="Y26" s="39">
        <f t="shared" ref="Y26" si="15">SUM(Y14:Y25)</f>
        <v>0</v>
      </c>
      <c r="Z26" s="39">
        <f t="shared" ref="Z26" si="16">SUM(Z14:Z25)</f>
        <v>0</v>
      </c>
      <c r="AA26" s="216"/>
      <c r="AB26" s="216"/>
      <c r="AC26" s="217"/>
      <c r="AD26" s="39">
        <f t="shared" ref="AD26" si="17">SUM(AD14:AD25)</f>
        <v>0</v>
      </c>
    </row>
    <row r="27" spans="1:31" ht="20.100000000000001" customHeight="1">
      <c r="A27" s="198" t="s">
        <v>409</v>
      </c>
      <c r="B27" s="199"/>
      <c r="C27" s="199"/>
      <c r="D27" s="199"/>
      <c r="E27" s="199"/>
      <c r="F27" s="199"/>
      <c r="G27" s="200"/>
      <c r="H27" s="200"/>
      <c r="I27" s="200"/>
      <c r="J27" s="210" t="str">
        <f>IF((J26-SUM(K26:N26)=0),"OK","账龄与审定不匹配")</f>
        <v>OK</v>
      </c>
      <c r="K27" s="211"/>
      <c r="L27" s="211"/>
      <c r="M27" s="211"/>
      <c r="N27" s="211"/>
      <c r="O27" s="211"/>
      <c r="P27" s="211"/>
      <c r="Q27" s="210"/>
      <c r="R27" s="211"/>
      <c r="S27" s="211"/>
      <c r="T27" s="210" t="str">
        <f>IF((T26-SUM(U26:X26)=0),"OK","账龄与审定不匹配")</f>
        <v>OK</v>
      </c>
      <c r="U27" s="210"/>
      <c r="V27" s="210" t="b">
        <f>IF(V26&lt;=K26,TRUE,FALSE)</f>
        <v>1</v>
      </c>
      <c r="W27" s="210" t="b">
        <f>IF(W26&lt;=L26,TRUE,FALSE)</f>
        <v>1</v>
      </c>
      <c r="X27" s="210" t="b">
        <f>IF(X26&lt;=(M26+N26),TRUE,FALSE)</f>
        <v>1</v>
      </c>
      <c r="Y27" s="210"/>
      <c r="Z27" s="210"/>
      <c r="AA27" s="218"/>
      <c r="AB27" s="219"/>
      <c r="AC27" s="220"/>
      <c r="AD27" s="221"/>
    </row>
    <row r="28" spans="1:31" ht="20.100000000000001" customHeight="1">
      <c r="A28" s="201" t="s">
        <v>410</v>
      </c>
      <c r="B28" s="202"/>
      <c r="C28" s="185"/>
      <c r="D28" s="185"/>
      <c r="E28" s="185"/>
      <c r="F28" s="185"/>
      <c r="G28" s="185"/>
      <c r="H28" s="185"/>
      <c r="I28" s="185"/>
      <c r="AD28" s="222"/>
    </row>
    <row r="29" spans="1:31" ht="20.100000000000001" customHeight="1">
      <c r="A29" s="203"/>
      <c r="B29" s="204"/>
      <c r="C29" s="204"/>
      <c r="D29" s="204"/>
      <c r="E29" s="204"/>
      <c r="F29" s="204"/>
      <c r="G29" s="204"/>
      <c r="H29" s="204"/>
      <c r="I29" s="204"/>
    </row>
    <row r="30" spans="1:31" ht="20.100000000000001" customHeight="1">
      <c r="A30" s="203"/>
      <c r="B30" s="185"/>
      <c r="C30" s="185"/>
      <c r="D30" s="185"/>
      <c r="E30" s="185"/>
      <c r="F30" s="185"/>
      <c r="G30" s="185"/>
      <c r="H30" s="185"/>
      <c r="I30" s="185"/>
    </row>
    <row r="31" spans="1:31" ht="20.100000000000001" customHeight="1">
      <c r="A31" s="185"/>
      <c r="B31" s="185"/>
      <c r="C31" s="185"/>
      <c r="D31" s="185"/>
      <c r="E31" s="185"/>
      <c r="F31" s="185"/>
      <c r="G31" s="185"/>
      <c r="H31" s="185"/>
      <c r="I31" s="185"/>
    </row>
    <row r="32" spans="1:31" ht="20.100000000000001" customHeight="1">
      <c r="A32" s="205" t="s">
        <v>411</v>
      </c>
      <c r="B32" s="185"/>
      <c r="C32" s="185"/>
      <c r="D32" s="185"/>
      <c r="E32" s="185"/>
      <c r="F32" s="185"/>
      <c r="G32" s="185"/>
      <c r="H32" s="185"/>
      <c r="I32" s="185"/>
    </row>
    <row r="33" spans="1:9" ht="20.100000000000001" customHeight="1">
      <c r="A33" s="185"/>
      <c r="B33" s="185"/>
      <c r="C33" s="185"/>
      <c r="D33" s="185"/>
      <c r="E33" s="185"/>
      <c r="F33" s="185"/>
      <c r="G33" s="185"/>
      <c r="H33" s="185"/>
      <c r="I33" s="185"/>
    </row>
    <row r="34" spans="1:9" ht="20.100000000000001" customHeight="1">
      <c r="A34" s="206" t="s">
        <v>268</v>
      </c>
    </row>
    <row r="35" spans="1:9" ht="20.100000000000001" customHeight="1">
      <c r="A35" s="206" t="s">
        <v>412</v>
      </c>
    </row>
    <row r="36" spans="1:9" ht="20.100000000000001" customHeight="1">
      <c r="A36" s="206" t="s">
        <v>413</v>
      </c>
    </row>
    <row r="37" spans="1:9" ht="20.100000000000001" customHeight="1">
      <c r="A37" s="206" t="s">
        <v>414</v>
      </c>
    </row>
    <row r="38" spans="1:9" ht="20.100000000000001" customHeight="1">
      <c r="A38" s="206" t="s">
        <v>415</v>
      </c>
    </row>
  </sheetData>
  <mergeCells count="27">
    <mergeCell ref="E12:E13"/>
    <mergeCell ref="Z12:Z13"/>
    <mergeCell ref="AA12:AA13"/>
    <mergeCell ref="AB12:AB13"/>
    <mergeCell ref="AC12:AC13"/>
    <mergeCell ref="AD12:AD13"/>
    <mergeCell ref="Q12:Q13"/>
    <mergeCell ref="R12:R13"/>
    <mergeCell ref="S12:S13"/>
    <mergeCell ref="T12:T13"/>
    <mergeCell ref="Y12:Y13"/>
    <mergeCell ref="A1:AD1"/>
    <mergeCell ref="A2:AD2"/>
    <mergeCell ref="K12:N12"/>
    <mergeCell ref="U12:X12"/>
    <mergeCell ref="A26:F26"/>
    <mergeCell ref="A12:A13"/>
    <mergeCell ref="B12:B13"/>
    <mergeCell ref="C12:C13"/>
    <mergeCell ref="D12:D13"/>
    <mergeCell ref="F12:F13"/>
    <mergeCell ref="G12:G13"/>
    <mergeCell ref="H12:H13"/>
    <mergeCell ref="I12:I13"/>
    <mergeCell ref="J12:J13"/>
    <mergeCell ref="O12:O13"/>
    <mergeCell ref="P12:P13"/>
  </mergeCells>
  <phoneticPr fontId="176" type="noConversion"/>
  <dataValidations count="7">
    <dataValidation type="list" allowBlank="1" showInputMessage="1" showErrorMessage="1" sqref="C14">
      <formula1>"工程施工服务相关的合同资产,工程质保金相关的合同资产,销售商品相关的合同资产"</formula1>
    </dataValidation>
    <dataValidation type="list" allowBlank="1" showInputMessage="1" showErrorMessage="1" sqref="F14:F25">
      <formula1>$AE$14:$AE$16</formula1>
    </dataValidation>
    <dataValidation type="list" allowBlank="1" showInputMessage="1" showErrorMessage="1" sqref="AB14:AB25">
      <formula1>$AE$18:$AE$20</formula1>
    </dataValidation>
    <dataValidation type="list" allowBlank="1" showInputMessage="1" showErrorMessage="1" sqref="AE65542:AE65556 AE131078:AE131092 AE196614:AE196628 AE262150:AE262164 AE327686:AE327700 AE393222:AE393236 AE458758:AE458772 AE524294:AE524308 AE589830:AE589844 AE655366:AE655380 AE720902:AE720916 AE786438:AE786452 AE851974:AE851988 AE917510:AE917524 AE983046:AE983060">
      <formula1>"√,×"</formula1>
    </dataValidation>
    <dataValidation type="list" allowBlank="1" showInputMessage="1" showErrorMessage="1" sqref="AG65542:AG65556 AG131078:AG131092 AG196614:AG196628 AG262150:AG262164 AG327686:AG327700 AG393222:AG393236 AG458758:AG458772 AG524294:AG524308 AG589830:AG589844 AG655366:AG655380 AG720902:AG720916 AG786438:AG786452 AG851974:AG851988 AG917510:AG917524 AG983046:AG983060">
      <formula1>"未支付,全额支付,部分支付"</formula1>
    </dataValidation>
    <dataValidation type="list" allowBlank="1" showInputMessage="1" showErrorMessage="1" sqref="B65541:I65556 B131077:I131092 B196613:I196628 B262149:I262164 B327685:I327700 B393221:I393236 B458757:I458772 B524293:I524308 B589829:I589844 B655365:I655380 B720901:I720916 B786437:I786452 B851973:I851988 B917509:I917524 B983045:I983060">
      <formula1>"是,否"</formula1>
    </dataValidation>
    <dataValidation type="list" allowBlank="1" showInputMessage="1" sqref="J65542:N65556 J131078:N131092 J196614:N196628 J262150:N262164 J327686:N327700 J393222:N393236 J458758:N458772 J524294:N524308 J589830:N589844 J655366:N655380 J720902:N720916 J786438:N786452 J851974:N851988 J917510:N917524 J983046:N983060">
      <formula1>"人民币,美元,港元,日元,欧元,英镑,瑞士法郎,加拿大元,澳大利亚元,新加坡元,丹麦克朗,挪威克朗,瑞典克朗,澳门元,新西兰元,韩元,其他(请填写) "</formula1>
    </dataValidation>
  </dataValidations>
  <hyperlinks>
    <hyperlink ref="AD3" location="底稿目录!A1" display="=底稿目录!F8"/>
  </hyperlinks>
  <pageMargins left="0.70833333333333304" right="0.70833333333333304" top="0.74791666666666701" bottom="0.74791666666666701" header="0.31458333333333299" footer="0.31458333333333299"/>
  <pageSetup paperSize="9" scale="59" fitToHeight="40" orientation="landscape" blackAndWhite="1" r:id="rId1"/>
  <headerFooter alignWithMargins="0">
    <oddFooter>&amp;C&amp;P/&amp;N</oddFooter>
  </headerFooter>
  <colBreaks count="1" manualBreakCount="1">
    <brk id="17" max="32" man="1"/>
  </col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view="pageBreakPreview" zoomScaleNormal="100" workbookViewId="0">
      <selection sqref="A1:N1"/>
    </sheetView>
  </sheetViews>
  <sheetFormatPr defaultColWidth="9" defaultRowHeight="20.100000000000001" customHeight="1"/>
  <cols>
    <col min="1" max="1" width="13.5" style="22" customWidth="1"/>
    <col min="2" max="2" width="11.3984375" style="22" customWidth="1"/>
    <col min="3" max="3" width="12.59765625" style="22" customWidth="1"/>
    <col min="4" max="4" width="11.5" style="22" customWidth="1"/>
    <col min="5" max="5" width="12.09765625" style="22" customWidth="1"/>
    <col min="6" max="6" width="10.09765625" style="22" customWidth="1"/>
    <col min="7" max="7" width="9" style="22"/>
    <col min="8" max="8" width="9.59765625" style="22" customWidth="1"/>
    <col min="9" max="9" width="10.59765625" style="22" customWidth="1"/>
    <col min="10" max="10" width="9" style="22"/>
    <col min="11" max="11" width="12.09765625" style="22" customWidth="1"/>
    <col min="12" max="12" width="12.59765625" style="22" customWidth="1"/>
    <col min="13" max="13" width="13.19921875" style="22" customWidth="1"/>
    <col min="14" max="14" width="12.5" style="22" customWidth="1"/>
    <col min="15" max="16384" width="9" style="22"/>
  </cols>
  <sheetData>
    <row r="1" spans="1:14" ht="20.100000000000001" customHeight="1">
      <c r="A1" s="592" t="s">
        <v>32</v>
      </c>
      <c r="B1" s="592"/>
      <c r="C1" s="592"/>
      <c r="D1" s="592"/>
      <c r="E1" s="592"/>
      <c r="F1" s="592"/>
      <c r="G1" s="592"/>
      <c r="H1" s="592"/>
      <c r="I1" s="592"/>
      <c r="J1" s="592"/>
      <c r="K1" s="592"/>
      <c r="L1" s="592"/>
      <c r="M1" s="592"/>
      <c r="N1" s="592"/>
    </row>
    <row r="2" spans="1:14" ht="20.100000000000001" customHeight="1">
      <c r="A2" s="593" t="s">
        <v>18</v>
      </c>
      <c r="B2" s="593"/>
      <c r="C2" s="593"/>
      <c r="D2" s="593"/>
      <c r="E2" s="593"/>
      <c r="F2" s="593"/>
      <c r="G2" s="593"/>
      <c r="H2" s="593"/>
      <c r="I2" s="593"/>
      <c r="J2" s="593"/>
      <c r="K2" s="593"/>
      <c r="L2" s="593"/>
      <c r="M2" s="593"/>
      <c r="N2" s="593"/>
    </row>
    <row r="3" spans="1:14" ht="20.100000000000001" customHeight="1">
      <c r="A3" s="155" t="s">
        <v>416</v>
      </c>
      <c r="B3" s="155"/>
      <c r="C3" s="155"/>
      <c r="D3" s="155"/>
      <c r="E3" s="155"/>
      <c r="F3" s="155" t="s">
        <v>5</v>
      </c>
      <c r="G3" s="155"/>
      <c r="H3" s="155"/>
      <c r="J3" s="155" t="s">
        <v>8</v>
      </c>
      <c r="K3" s="155"/>
      <c r="M3" s="184" t="s">
        <v>34</v>
      </c>
      <c r="N3" s="662" t="str">
        <f>底稿目录!F9</f>
        <v>D6-3</v>
      </c>
    </row>
    <row r="4" spans="1:14" ht="20.100000000000001" customHeight="1">
      <c r="A4" s="155" t="s">
        <v>104</v>
      </c>
      <c r="B4" s="155"/>
      <c r="C4" s="155"/>
      <c r="D4" s="155"/>
      <c r="E4" s="155"/>
      <c r="F4" s="155" t="s">
        <v>11</v>
      </c>
      <c r="G4" s="155"/>
      <c r="H4" s="155"/>
      <c r="J4" s="155" t="s">
        <v>14</v>
      </c>
      <c r="K4" s="155"/>
      <c r="M4" s="184" t="s">
        <v>35</v>
      </c>
      <c r="N4" s="183"/>
    </row>
    <row r="5" spans="1:14" ht="20.100000000000001" customHeight="1">
      <c r="A5" s="170" t="s">
        <v>417</v>
      </c>
    </row>
    <row r="6" spans="1:14" ht="20.100000000000001" customHeight="1">
      <c r="A6" s="171" t="s">
        <v>373</v>
      </c>
    </row>
    <row r="7" spans="1:14" ht="20.100000000000001" customHeight="1">
      <c r="A7" s="170" t="s">
        <v>418</v>
      </c>
    </row>
    <row r="8" spans="1:14" ht="20.100000000000001" customHeight="1">
      <c r="A8" s="172" t="s">
        <v>419</v>
      </c>
    </row>
    <row r="10" spans="1:14" ht="20.100000000000001" customHeight="1">
      <c r="A10" s="594" t="s">
        <v>276</v>
      </c>
      <c r="B10" s="594" t="s">
        <v>277</v>
      </c>
      <c r="C10" s="594"/>
      <c r="D10" s="594"/>
      <c r="E10" s="594"/>
      <c r="F10" s="594" t="s">
        <v>420</v>
      </c>
      <c r="G10" s="594"/>
      <c r="H10" s="594" t="s">
        <v>421</v>
      </c>
      <c r="I10" s="594"/>
      <c r="J10" s="594"/>
      <c r="K10" s="594" t="s">
        <v>278</v>
      </c>
      <c r="L10" s="594"/>
      <c r="M10" s="594"/>
      <c r="N10" s="594"/>
    </row>
    <row r="11" spans="1:14" ht="20.100000000000001" customHeight="1">
      <c r="A11" s="594"/>
      <c r="B11" s="173" t="s">
        <v>422</v>
      </c>
      <c r="C11" s="173" t="s">
        <v>282</v>
      </c>
      <c r="D11" s="173" t="s">
        <v>283</v>
      </c>
      <c r="E11" s="173" t="s">
        <v>423</v>
      </c>
      <c r="F11" s="173" t="s">
        <v>365</v>
      </c>
      <c r="G11" s="173" t="s">
        <v>424</v>
      </c>
      <c r="H11" s="173" t="s">
        <v>366</v>
      </c>
      <c r="I11" s="173" t="s">
        <v>425</v>
      </c>
      <c r="J11" s="173" t="s">
        <v>426</v>
      </c>
      <c r="K11" s="173" t="s">
        <v>422</v>
      </c>
      <c r="L11" s="173" t="s">
        <v>282</v>
      </c>
      <c r="M11" s="173" t="s">
        <v>283</v>
      </c>
      <c r="N11" s="173" t="s">
        <v>423</v>
      </c>
    </row>
    <row r="12" spans="1:14" ht="20.100000000000001" customHeight="1">
      <c r="A12" s="174" t="s">
        <v>427</v>
      </c>
      <c r="B12" s="175">
        <f>SUM(B13:B16)</f>
        <v>0</v>
      </c>
      <c r="C12" s="175">
        <f t="shared" ref="C12:H12" si="0">SUM(C13:C16)</f>
        <v>0</v>
      </c>
      <c r="D12" s="175">
        <f t="shared" si="0"/>
        <v>0</v>
      </c>
      <c r="E12" s="175">
        <f t="shared" si="0"/>
        <v>0</v>
      </c>
      <c r="F12" s="175">
        <f t="shared" si="0"/>
        <v>0</v>
      </c>
      <c r="G12" s="175">
        <f t="shared" si="0"/>
        <v>0</v>
      </c>
      <c r="H12" s="175">
        <f t="shared" si="0"/>
        <v>0</v>
      </c>
      <c r="I12" s="175">
        <f t="shared" ref="I12:J12" si="1">SUM(I13:I16)</f>
        <v>0</v>
      </c>
      <c r="J12" s="175">
        <f t="shared" si="1"/>
        <v>0</v>
      </c>
      <c r="K12" s="175">
        <f t="shared" ref="K12:K21" si="2">B12+SUM(F12:G12)-SUM(H12:J12)</f>
        <v>0</v>
      </c>
      <c r="L12" s="175">
        <f>SUM(L13:L16)</f>
        <v>0</v>
      </c>
      <c r="M12" s="175">
        <f>SUM(M13:M16)</f>
        <v>0</v>
      </c>
      <c r="N12" s="175">
        <f>K12+L12+M12</f>
        <v>0</v>
      </c>
    </row>
    <row r="13" spans="1:14" ht="20.100000000000001" customHeight="1">
      <c r="A13" s="176" t="s">
        <v>338</v>
      </c>
      <c r="B13" s="177"/>
      <c r="C13" s="177"/>
      <c r="D13" s="177"/>
      <c r="E13" s="178">
        <f>B13+C13+D13</f>
        <v>0</v>
      </c>
      <c r="F13" s="177"/>
      <c r="G13" s="177"/>
      <c r="H13" s="177"/>
      <c r="I13" s="177"/>
      <c r="J13" s="177"/>
      <c r="K13" s="175">
        <f t="shared" si="2"/>
        <v>0</v>
      </c>
      <c r="L13" s="177"/>
      <c r="M13" s="177"/>
      <c r="N13" s="178">
        <f>K13+L13+M13</f>
        <v>0</v>
      </c>
    </row>
    <row r="14" spans="1:14" ht="20.100000000000001" customHeight="1">
      <c r="A14" s="176"/>
      <c r="B14" s="177"/>
      <c r="C14" s="177"/>
      <c r="D14" s="177"/>
      <c r="E14" s="178">
        <f t="shared" ref="E14:E21" si="3">B14+C14+D14</f>
        <v>0</v>
      </c>
      <c r="F14" s="177"/>
      <c r="G14" s="177"/>
      <c r="H14" s="177"/>
      <c r="I14" s="177"/>
      <c r="J14" s="177"/>
      <c r="K14" s="175">
        <f t="shared" si="2"/>
        <v>0</v>
      </c>
      <c r="L14" s="177"/>
      <c r="M14" s="177"/>
      <c r="N14" s="178">
        <f t="shared" ref="N14:N21" si="4">K14+L14+M14</f>
        <v>0</v>
      </c>
    </row>
    <row r="15" spans="1:14" ht="20.100000000000001" customHeight="1">
      <c r="A15" s="176"/>
      <c r="B15" s="177"/>
      <c r="C15" s="177"/>
      <c r="D15" s="177"/>
      <c r="E15" s="178">
        <f t="shared" si="3"/>
        <v>0</v>
      </c>
      <c r="F15" s="177"/>
      <c r="G15" s="177"/>
      <c r="H15" s="177"/>
      <c r="I15" s="177"/>
      <c r="J15" s="177"/>
      <c r="K15" s="175">
        <f t="shared" si="2"/>
        <v>0</v>
      </c>
      <c r="L15" s="177"/>
      <c r="M15" s="177"/>
      <c r="N15" s="178">
        <f t="shared" si="4"/>
        <v>0</v>
      </c>
    </row>
    <row r="16" spans="1:14" ht="20.100000000000001" customHeight="1">
      <c r="A16" s="176"/>
      <c r="B16" s="177"/>
      <c r="C16" s="177"/>
      <c r="D16" s="177"/>
      <c r="E16" s="178">
        <f t="shared" si="3"/>
        <v>0</v>
      </c>
      <c r="F16" s="177"/>
      <c r="G16" s="177"/>
      <c r="H16" s="177"/>
      <c r="I16" s="177"/>
      <c r="J16" s="177"/>
      <c r="K16" s="175">
        <f t="shared" si="2"/>
        <v>0</v>
      </c>
      <c r="L16" s="177"/>
      <c r="M16" s="177"/>
      <c r="N16" s="178">
        <f t="shared" si="4"/>
        <v>0</v>
      </c>
    </row>
    <row r="17" spans="1:14" ht="20.100000000000001" customHeight="1">
      <c r="A17" s="174" t="s">
        <v>428</v>
      </c>
      <c r="B17" s="175">
        <f t="shared" ref="B17:H17" si="5">SUM(B18:B21)</f>
        <v>0</v>
      </c>
      <c r="C17" s="175">
        <f t="shared" si="5"/>
        <v>0</v>
      </c>
      <c r="D17" s="175">
        <f t="shared" si="5"/>
        <v>0</v>
      </c>
      <c r="E17" s="175">
        <f t="shared" si="5"/>
        <v>0</v>
      </c>
      <c r="F17" s="175">
        <f t="shared" si="5"/>
        <v>0</v>
      </c>
      <c r="G17" s="175">
        <f t="shared" si="5"/>
        <v>0</v>
      </c>
      <c r="H17" s="175">
        <f t="shared" si="5"/>
        <v>0</v>
      </c>
      <c r="I17" s="175">
        <f t="shared" ref="I17:J17" si="6">SUM(I18:I21)</f>
        <v>0</v>
      </c>
      <c r="J17" s="175">
        <f t="shared" si="6"/>
        <v>0</v>
      </c>
      <c r="K17" s="175">
        <f t="shared" si="2"/>
        <v>0</v>
      </c>
      <c r="L17" s="175">
        <f>SUM(L18:L21)</f>
        <v>0</v>
      </c>
      <c r="M17" s="175">
        <f>SUM(M18:M21)</f>
        <v>0</v>
      </c>
      <c r="N17" s="175">
        <f>K17+L17+M17</f>
        <v>0</v>
      </c>
    </row>
    <row r="18" spans="1:14" ht="20.100000000000001" customHeight="1">
      <c r="A18" s="179" t="s">
        <v>338</v>
      </c>
      <c r="B18" s="177"/>
      <c r="C18" s="177"/>
      <c r="D18" s="177"/>
      <c r="E18" s="178">
        <f t="shared" si="3"/>
        <v>0</v>
      </c>
      <c r="F18" s="177"/>
      <c r="G18" s="177"/>
      <c r="H18" s="177"/>
      <c r="I18" s="177"/>
      <c r="J18" s="177"/>
      <c r="K18" s="175">
        <f t="shared" si="2"/>
        <v>0</v>
      </c>
      <c r="L18" s="177"/>
      <c r="M18" s="177"/>
      <c r="N18" s="178">
        <f t="shared" si="4"/>
        <v>0</v>
      </c>
    </row>
    <row r="19" spans="1:14" ht="20.100000000000001" customHeight="1">
      <c r="A19" s="179"/>
      <c r="B19" s="177"/>
      <c r="C19" s="177"/>
      <c r="D19" s="177"/>
      <c r="E19" s="178">
        <f t="shared" si="3"/>
        <v>0</v>
      </c>
      <c r="F19" s="177"/>
      <c r="G19" s="177"/>
      <c r="H19" s="177"/>
      <c r="I19" s="177"/>
      <c r="J19" s="177"/>
      <c r="K19" s="175">
        <f t="shared" si="2"/>
        <v>0</v>
      </c>
      <c r="L19" s="177"/>
      <c r="M19" s="177"/>
      <c r="N19" s="178">
        <f t="shared" si="4"/>
        <v>0</v>
      </c>
    </row>
    <row r="20" spans="1:14" ht="20.100000000000001" customHeight="1">
      <c r="A20" s="180"/>
      <c r="B20" s="177"/>
      <c r="C20" s="177"/>
      <c r="D20" s="177"/>
      <c r="E20" s="178">
        <f t="shared" si="3"/>
        <v>0</v>
      </c>
      <c r="F20" s="177"/>
      <c r="G20" s="177"/>
      <c r="H20" s="177"/>
      <c r="I20" s="177"/>
      <c r="J20" s="177"/>
      <c r="K20" s="175">
        <f t="shared" si="2"/>
        <v>0</v>
      </c>
      <c r="L20" s="177"/>
      <c r="M20" s="177"/>
      <c r="N20" s="178">
        <f t="shared" si="4"/>
        <v>0</v>
      </c>
    </row>
    <row r="21" spans="1:14" ht="20.100000000000001" customHeight="1">
      <c r="A21" s="176"/>
      <c r="B21" s="177"/>
      <c r="C21" s="177"/>
      <c r="D21" s="177"/>
      <c r="E21" s="178">
        <f t="shared" si="3"/>
        <v>0</v>
      </c>
      <c r="F21" s="177"/>
      <c r="G21" s="177"/>
      <c r="H21" s="177"/>
      <c r="I21" s="177"/>
      <c r="J21" s="177"/>
      <c r="K21" s="175">
        <f t="shared" si="2"/>
        <v>0</v>
      </c>
      <c r="L21" s="177"/>
      <c r="M21" s="177"/>
      <c r="N21" s="178">
        <f t="shared" si="4"/>
        <v>0</v>
      </c>
    </row>
    <row r="22" spans="1:14" ht="20.100000000000001" customHeight="1">
      <c r="A22" s="181" t="s">
        <v>429</v>
      </c>
      <c r="B22" s="182">
        <f>B12+B17</f>
        <v>0</v>
      </c>
      <c r="C22" s="182">
        <f>C12+C17</f>
        <v>0</v>
      </c>
      <c r="D22" s="182"/>
      <c r="E22" s="182">
        <f>E12+E17</f>
        <v>0</v>
      </c>
      <c r="F22" s="182">
        <f t="shared" ref="F22:N22" si="7">F12+F17</f>
        <v>0</v>
      </c>
      <c r="G22" s="182">
        <f t="shared" si="7"/>
        <v>0</v>
      </c>
      <c r="H22" s="182">
        <f t="shared" si="7"/>
        <v>0</v>
      </c>
      <c r="I22" s="182">
        <f t="shared" si="7"/>
        <v>0</v>
      </c>
      <c r="J22" s="182">
        <f t="shared" si="7"/>
        <v>0</v>
      </c>
      <c r="K22" s="182">
        <f t="shared" si="7"/>
        <v>0</v>
      </c>
      <c r="L22" s="182">
        <f t="shared" si="7"/>
        <v>0</v>
      </c>
      <c r="M22" s="182">
        <f t="shared" si="7"/>
        <v>0</v>
      </c>
      <c r="N22" s="182">
        <f t="shared" si="7"/>
        <v>0</v>
      </c>
    </row>
    <row r="23" spans="1:14" ht="20.100000000000001" customHeight="1">
      <c r="A23" s="170" t="s">
        <v>430</v>
      </c>
    </row>
    <row r="24" spans="1:14" ht="20.100000000000001" customHeight="1">
      <c r="A24" s="183"/>
    </row>
    <row r="25" spans="1:14" ht="20.100000000000001" customHeight="1">
      <c r="A25" s="183"/>
    </row>
    <row r="26" spans="1:14" ht="20.100000000000001" customHeight="1">
      <c r="A26" s="183"/>
    </row>
    <row r="27" spans="1:14" ht="20.100000000000001" customHeight="1">
      <c r="A27" s="170" t="s">
        <v>431</v>
      </c>
    </row>
    <row r="28" spans="1:14" ht="20.100000000000001" customHeight="1">
      <c r="A28" s="170"/>
    </row>
    <row r="29" spans="1:14" ht="20.100000000000001" customHeight="1">
      <c r="A29" s="170"/>
    </row>
  </sheetData>
  <mergeCells count="7">
    <mergeCell ref="A1:N1"/>
    <mergeCell ref="A2:N2"/>
    <mergeCell ref="B10:E10"/>
    <mergeCell ref="F10:G10"/>
    <mergeCell ref="H10:J10"/>
    <mergeCell ref="K10:N10"/>
    <mergeCell ref="A10:A11"/>
  </mergeCells>
  <phoneticPr fontId="176" type="noConversion"/>
  <hyperlinks>
    <hyperlink ref="N3" location="底稿目录!A1" display="=底稿目录!F9"/>
  </hyperlinks>
  <pageMargins left="0.70833333333333304" right="0.70833333333333304" top="0.74791666666666701" bottom="0.74791666666666701" header="0.31458333333333299" footer="0.31458333333333299"/>
  <pageSetup paperSize="9" scale="77" fitToHeight="40" orientation="landscape"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view="pageBreakPreview" zoomScaleNormal="100" workbookViewId="0">
      <selection sqref="A1:J1"/>
    </sheetView>
  </sheetViews>
  <sheetFormatPr defaultColWidth="9" defaultRowHeight="20.100000000000001" customHeight="1"/>
  <cols>
    <col min="1" max="16384" width="9" style="155"/>
  </cols>
  <sheetData>
    <row r="1" spans="1:10" ht="20.100000000000001" customHeight="1">
      <c r="A1" s="595" t="s">
        <v>32</v>
      </c>
      <c r="B1" s="595"/>
      <c r="C1" s="595"/>
      <c r="D1" s="595"/>
      <c r="E1" s="595"/>
      <c r="F1" s="595"/>
      <c r="G1" s="595"/>
      <c r="H1" s="595"/>
      <c r="I1" s="595"/>
      <c r="J1" s="595"/>
    </row>
    <row r="2" spans="1:10" ht="20.100000000000001" customHeight="1">
      <c r="A2" s="596" t="s">
        <v>432</v>
      </c>
      <c r="B2" s="596"/>
      <c r="C2" s="596"/>
      <c r="D2" s="596"/>
      <c r="E2" s="596"/>
      <c r="F2" s="596"/>
      <c r="G2" s="596"/>
      <c r="H2" s="596"/>
      <c r="I2" s="596"/>
      <c r="J2" s="596"/>
    </row>
    <row r="3" spans="1:10" ht="20.100000000000001" customHeight="1">
      <c r="A3" s="156" t="str">
        <f>底稿目录!A2</f>
        <v>被审计单位：</v>
      </c>
      <c r="B3" s="156"/>
      <c r="C3" s="156"/>
      <c r="D3" s="156" t="str">
        <f>底稿目录!A4</f>
        <v>编制人：</v>
      </c>
      <c r="E3" s="156"/>
      <c r="F3" s="30"/>
      <c r="G3" s="156" t="str">
        <f>底稿目录!A5</f>
        <v>编制日期：</v>
      </c>
      <c r="H3" s="156"/>
      <c r="I3" s="168" t="s">
        <v>433</v>
      </c>
      <c r="J3" s="662" t="str">
        <f>底稿目录!F10</f>
        <v>D6-4</v>
      </c>
    </row>
    <row r="4" spans="1:10" ht="20.100000000000001" customHeight="1">
      <c r="A4" s="156" t="str">
        <f>底稿目录!A3</f>
        <v>截止日：202X年12月31日</v>
      </c>
      <c r="B4" s="156"/>
      <c r="C4" s="156"/>
      <c r="D4" s="156" t="str">
        <f>底稿目录!A6</f>
        <v>复核人：</v>
      </c>
      <c r="E4" s="156"/>
      <c r="F4" s="30"/>
      <c r="G4" s="156" t="str">
        <f>底稿目录!A7</f>
        <v>复核日期：</v>
      </c>
      <c r="H4" s="156"/>
      <c r="I4" s="168" t="s">
        <v>35</v>
      </c>
    </row>
    <row r="5" spans="1:10" ht="52.95" customHeight="1">
      <c r="A5" s="157" t="s">
        <v>434</v>
      </c>
      <c r="B5" s="157" t="s">
        <v>435</v>
      </c>
      <c r="C5" s="157" t="s">
        <v>436</v>
      </c>
      <c r="D5" s="158" t="s">
        <v>437</v>
      </c>
      <c r="E5" s="158" t="s">
        <v>438</v>
      </c>
      <c r="F5" s="159" t="s">
        <v>351</v>
      </c>
      <c r="G5" s="158" t="s">
        <v>439</v>
      </c>
      <c r="H5" s="158" t="s">
        <v>440</v>
      </c>
      <c r="I5" s="158" t="s">
        <v>4</v>
      </c>
      <c r="J5" s="158" t="s">
        <v>441</v>
      </c>
    </row>
    <row r="6" spans="1:10" ht="20.100000000000001" customHeight="1">
      <c r="A6" s="160"/>
      <c r="B6" s="160"/>
      <c r="C6" s="160"/>
      <c r="D6" s="160"/>
      <c r="E6" s="160"/>
      <c r="F6" s="160"/>
      <c r="G6" s="161"/>
      <c r="H6" s="161"/>
      <c r="I6" s="169"/>
      <c r="J6" s="160"/>
    </row>
    <row r="7" spans="1:10" ht="20.100000000000001" customHeight="1">
      <c r="A7" s="162"/>
      <c r="B7" s="160"/>
      <c r="C7" s="160"/>
      <c r="D7" s="160"/>
      <c r="E7" s="160"/>
      <c r="F7" s="160"/>
      <c r="G7" s="161"/>
      <c r="H7" s="161"/>
      <c r="I7" s="169"/>
      <c r="J7" s="160"/>
    </row>
    <row r="8" spans="1:10" ht="20.100000000000001" customHeight="1">
      <c r="A8" s="163"/>
      <c r="B8" s="160"/>
      <c r="C8" s="160"/>
      <c r="D8" s="160"/>
      <c r="E8" s="160"/>
      <c r="F8" s="160"/>
      <c r="G8" s="161"/>
      <c r="H8" s="161"/>
      <c r="I8" s="169"/>
      <c r="J8" s="160"/>
    </row>
    <row r="9" spans="1:10" ht="20.100000000000001" customHeight="1">
      <c r="A9" s="163"/>
      <c r="B9" s="160"/>
      <c r="C9" s="160"/>
      <c r="D9" s="160"/>
      <c r="E9" s="160"/>
      <c r="F9" s="160"/>
      <c r="G9" s="161"/>
      <c r="H9" s="161"/>
      <c r="I9" s="169"/>
      <c r="J9" s="160"/>
    </row>
    <row r="10" spans="1:10" ht="20.100000000000001" customHeight="1">
      <c r="A10" s="163"/>
      <c r="B10" s="160"/>
      <c r="C10" s="160"/>
      <c r="D10" s="160"/>
      <c r="E10" s="160"/>
      <c r="F10" s="160"/>
      <c r="G10" s="161"/>
      <c r="H10" s="161"/>
      <c r="I10" s="169"/>
      <c r="J10" s="160"/>
    </row>
    <row r="11" spans="1:10" ht="20.100000000000001" customHeight="1">
      <c r="A11" s="164"/>
      <c r="B11" s="160"/>
      <c r="C11" s="160"/>
      <c r="D11" s="160"/>
      <c r="E11" s="160"/>
      <c r="F11" s="160"/>
      <c r="G11" s="161"/>
      <c r="H11" s="161"/>
      <c r="I11" s="169"/>
      <c r="J11" s="160"/>
    </row>
    <row r="12" spans="1:10" ht="20.100000000000001" customHeight="1">
      <c r="A12" s="163"/>
      <c r="B12" s="160"/>
      <c r="C12" s="160"/>
      <c r="D12" s="160"/>
      <c r="E12" s="160"/>
      <c r="F12" s="160"/>
      <c r="G12" s="161"/>
      <c r="H12" s="161"/>
      <c r="I12" s="169"/>
      <c r="J12" s="160"/>
    </row>
    <row r="13" spans="1:10" ht="20.100000000000001" customHeight="1">
      <c r="A13" s="163"/>
      <c r="B13" s="160"/>
      <c r="C13" s="160"/>
      <c r="D13" s="160"/>
      <c r="E13" s="160"/>
      <c r="F13" s="160"/>
      <c r="G13" s="161"/>
      <c r="H13" s="161"/>
      <c r="I13" s="169"/>
      <c r="J13" s="160"/>
    </row>
    <row r="14" spans="1:10" ht="20.100000000000001" customHeight="1">
      <c r="A14" s="163"/>
      <c r="B14" s="160"/>
      <c r="C14" s="160"/>
      <c r="D14" s="160"/>
      <c r="E14" s="160"/>
      <c r="F14" s="160"/>
      <c r="G14" s="161"/>
      <c r="H14" s="161"/>
      <c r="I14" s="169"/>
      <c r="J14" s="160"/>
    </row>
    <row r="15" spans="1:10" ht="20.100000000000001" customHeight="1">
      <c r="A15" s="163"/>
      <c r="B15" s="160"/>
      <c r="C15" s="160"/>
      <c r="D15" s="160"/>
      <c r="E15" s="160"/>
      <c r="F15" s="160"/>
      <c r="G15" s="161"/>
      <c r="H15" s="161"/>
      <c r="I15" s="169"/>
      <c r="J15" s="160"/>
    </row>
    <row r="16" spans="1:10" ht="20.100000000000001" customHeight="1">
      <c r="A16" s="163"/>
      <c r="B16" s="160"/>
      <c r="C16" s="160"/>
      <c r="D16" s="160"/>
      <c r="E16" s="160"/>
      <c r="F16" s="160"/>
      <c r="G16" s="161"/>
      <c r="H16" s="161"/>
      <c r="I16" s="169"/>
      <c r="J16" s="160"/>
    </row>
    <row r="17" spans="1:10" ht="20.100000000000001" customHeight="1">
      <c r="A17" s="163"/>
      <c r="B17" s="160"/>
      <c r="C17" s="160"/>
      <c r="D17" s="160"/>
      <c r="E17" s="160"/>
      <c r="F17" s="160"/>
      <c r="G17" s="161"/>
      <c r="H17" s="161"/>
      <c r="I17" s="169"/>
      <c r="J17" s="160"/>
    </row>
    <row r="18" spans="1:10" ht="20.100000000000001" customHeight="1">
      <c r="A18" s="163"/>
      <c r="B18" s="160"/>
      <c r="C18" s="160"/>
      <c r="D18" s="160"/>
      <c r="E18" s="160"/>
      <c r="F18" s="160"/>
      <c r="G18" s="161"/>
      <c r="H18" s="161"/>
      <c r="I18" s="169"/>
      <c r="J18" s="160"/>
    </row>
    <row r="19" spans="1:10" ht="20.100000000000001" customHeight="1">
      <c r="A19" s="163"/>
      <c r="B19" s="160"/>
      <c r="C19" s="160"/>
      <c r="D19" s="160"/>
      <c r="E19" s="160"/>
      <c r="F19" s="160"/>
      <c r="G19" s="161"/>
      <c r="H19" s="161"/>
      <c r="I19" s="169"/>
      <c r="J19" s="160"/>
    </row>
    <row r="20" spans="1:10" ht="20.100000000000001" customHeight="1">
      <c r="A20" s="163"/>
      <c r="B20" s="160"/>
      <c r="C20" s="160"/>
      <c r="D20" s="160"/>
      <c r="E20" s="160"/>
      <c r="F20" s="160"/>
      <c r="G20" s="161"/>
      <c r="H20" s="161"/>
      <c r="I20" s="169"/>
      <c r="J20" s="160"/>
    </row>
    <row r="21" spans="1:10" ht="20.100000000000001" customHeight="1">
      <c r="A21" s="165" t="s">
        <v>442</v>
      </c>
      <c r="B21" s="166"/>
      <c r="C21" s="166"/>
      <c r="D21" s="166"/>
      <c r="E21" s="166"/>
      <c r="F21" s="166"/>
      <c r="G21" s="166"/>
      <c r="H21" s="166"/>
      <c r="I21" s="166"/>
      <c r="J21" s="166"/>
    </row>
    <row r="22" spans="1:10" ht="20.100000000000001" customHeight="1">
      <c r="A22" s="167"/>
      <c r="B22" s="167"/>
      <c r="C22" s="167"/>
      <c r="D22" s="167"/>
      <c r="E22" s="167"/>
      <c r="F22" s="167"/>
      <c r="G22" s="167"/>
      <c r="H22" s="167"/>
      <c r="I22" s="167"/>
      <c r="J22" s="167"/>
    </row>
    <row r="23" spans="1:10" ht="32.700000000000003" customHeight="1"/>
    <row r="24" spans="1:10" ht="20.100000000000001" customHeight="1">
      <c r="A24" s="167"/>
      <c r="B24" s="167"/>
      <c r="C24" s="167"/>
      <c r="D24" s="167"/>
      <c r="E24" s="167"/>
      <c r="F24" s="167"/>
      <c r="G24" s="167"/>
      <c r="H24" s="167"/>
      <c r="I24" s="167"/>
      <c r="J24" s="167"/>
    </row>
    <row r="25" spans="1:10" ht="20.100000000000001" customHeight="1">
      <c r="A25" s="167"/>
      <c r="B25" s="167"/>
      <c r="C25" s="167"/>
      <c r="D25" s="167"/>
      <c r="E25" s="167"/>
      <c r="F25" s="167"/>
      <c r="G25" s="167"/>
      <c r="H25" s="167"/>
      <c r="I25" s="167"/>
      <c r="J25" s="167"/>
    </row>
  </sheetData>
  <mergeCells count="2">
    <mergeCell ref="A1:J1"/>
    <mergeCell ref="A2:J2"/>
  </mergeCells>
  <phoneticPr fontId="176" type="noConversion"/>
  <dataValidations count="1">
    <dataValidation type="list" allowBlank="1" showInputMessage="1" showErrorMessage="1" sqref="B6:B20">
      <formula1>"账项调整,报表调整,其他"</formula1>
    </dataValidation>
  </dataValidations>
  <hyperlinks>
    <hyperlink ref="J3" location="底稿目录!A1" display="=底稿目录!F10"/>
  </hyperlinks>
  <pageMargins left="0.70833333333333304" right="0.70833333333333304" top="0.74791666666666701" bottom="0.74791666666666701" header="0.31458333333333299" footer="0.31458333333333299"/>
  <pageSetup paperSize="9" scale="90" fitToHeight="40" orientation="portrait" blackAndWhite="1"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Views>
    <sheetView view="pageBreakPreview" zoomScaleNormal="100" workbookViewId="0">
      <selection sqref="A1:L1"/>
    </sheetView>
  </sheetViews>
  <sheetFormatPr defaultColWidth="9" defaultRowHeight="20.100000000000001" customHeight="1"/>
  <cols>
    <col min="1" max="1" width="18" style="130" customWidth="1"/>
    <col min="2" max="2" width="11.59765625" style="130" customWidth="1"/>
    <col min="3" max="3" width="10.69921875" style="130" customWidth="1"/>
    <col min="4" max="4" width="10.19921875" style="130" customWidth="1"/>
    <col min="5" max="5" width="10.5" style="130" customWidth="1"/>
    <col min="6" max="6" width="10.59765625" style="130" customWidth="1"/>
    <col min="7" max="7" width="12.19921875" style="130" customWidth="1"/>
    <col min="8" max="8" width="10.09765625" style="130" customWidth="1"/>
    <col min="9" max="9" width="9.3984375" style="130" customWidth="1"/>
    <col min="10" max="10" width="11.19921875" style="130" customWidth="1"/>
    <col min="11" max="11" width="8.3984375" style="130" customWidth="1"/>
    <col min="12" max="16384" width="9" style="130"/>
  </cols>
  <sheetData>
    <row r="1" spans="1:14" ht="20.100000000000001" customHeight="1">
      <c r="A1" s="597" t="s">
        <v>32</v>
      </c>
      <c r="B1" s="597"/>
      <c r="C1" s="597"/>
      <c r="D1" s="597"/>
      <c r="E1" s="597"/>
      <c r="F1" s="597"/>
      <c r="G1" s="597"/>
      <c r="H1" s="597"/>
      <c r="I1" s="597"/>
      <c r="J1" s="597"/>
      <c r="K1" s="597"/>
      <c r="L1" s="597"/>
    </row>
    <row r="2" spans="1:14" ht="20.100000000000001" customHeight="1">
      <c r="A2" s="598" t="s">
        <v>443</v>
      </c>
      <c r="B2" s="598"/>
      <c r="C2" s="598"/>
      <c r="D2" s="598"/>
      <c r="E2" s="598"/>
      <c r="F2" s="598"/>
      <c r="G2" s="598"/>
      <c r="H2" s="598"/>
      <c r="I2" s="598"/>
      <c r="J2" s="598"/>
      <c r="K2" s="598"/>
      <c r="L2" s="598"/>
      <c r="M2" s="150"/>
    </row>
    <row r="3" spans="1:14" ht="20.100000000000001" customHeight="1">
      <c r="A3" s="131" t="str">
        <f>底稿目录!A2</f>
        <v>被审计单位：</v>
      </c>
      <c r="B3" s="131"/>
      <c r="E3" s="130" t="str">
        <f>底稿目录!A4</f>
        <v>编制人：</v>
      </c>
      <c r="H3" s="131" t="str">
        <f>底稿目录!A5</f>
        <v>编制日期：</v>
      </c>
      <c r="K3" s="151" t="s">
        <v>34</v>
      </c>
      <c r="L3" s="662" t="str">
        <f>底稿目录!F18</f>
        <v>D6-5</v>
      </c>
    </row>
    <row r="4" spans="1:14" ht="20.100000000000001" customHeight="1">
      <c r="A4" s="131" t="str">
        <f>底稿目录!A3</f>
        <v>截止日：202X年12月31日</v>
      </c>
      <c r="B4" s="131"/>
      <c r="E4" s="130" t="str">
        <f>底稿目录!A6</f>
        <v>复核人：</v>
      </c>
      <c r="H4" s="131" t="str">
        <f>底稿目录!A7</f>
        <v>复核日期：</v>
      </c>
      <c r="K4" s="151" t="s">
        <v>35</v>
      </c>
    </row>
    <row r="5" spans="1:14" ht="20.100000000000001" customHeight="1">
      <c r="A5" s="132" t="s">
        <v>444</v>
      </c>
      <c r="B5" s="131"/>
      <c r="C5" s="131"/>
      <c r="D5" s="131"/>
      <c r="F5" s="131"/>
      <c r="H5" s="133"/>
      <c r="I5" s="133"/>
    </row>
    <row r="6" spans="1:14" ht="20.100000000000001" customHeight="1">
      <c r="A6" s="131" t="s">
        <v>445</v>
      </c>
      <c r="B6" s="131"/>
      <c r="C6" s="131"/>
      <c r="D6" s="131"/>
      <c r="F6" s="131"/>
      <c r="H6" s="133"/>
      <c r="I6" s="133"/>
    </row>
    <row r="7" spans="1:14" ht="20.100000000000001" customHeight="1">
      <c r="A7" s="131" t="s">
        <v>446</v>
      </c>
      <c r="B7" s="131"/>
      <c r="C7" s="131"/>
      <c r="D7" s="131"/>
      <c r="F7" s="131"/>
      <c r="H7" s="133"/>
      <c r="I7" s="133"/>
    </row>
    <row r="8" spans="1:14" ht="20.100000000000001" customHeight="1">
      <c r="A8" s="132" t="s">
        <v>418</v>
      </c>
      <c r="B8" s="131"/>
      <c r="C8" s="131"/>
      <c r="D8" s="131"/>
      <c r="F8" s="131"/>
      <c r="H8" s="133"/>
      <c r="I8" s="133"/>
    </row>
    <row r="9" spans="1:14" ht="39" customHeight="1">
      <c r="A9" s="134" t="s">
        <v>447</v>
      </c>
      <c r="B9" s="135" t="s">
        <v>382</v>
      </c>
      <c r="C9" s="135" t="s">
        <v>69</v>
      </c>
      <c r="D9" s="135" t="s">
        <v>388</v>
      </c>
      <c r="E9" s="135" t="s">
        <v>389</v>
      </c>
      <c r="F9" s="135" t="s">
        <v>308</v>
      </c>
      <c r="G9" s="136" t="s">
        <v>448</v>
      </c>
      <c r="H9" s="136" t="s">
        <v>312</v>
      </c>
      <c r="I9" s="134" t="s">
        <v>449</v>
      </c>
      <c r="J9" s="134" t="s">
        <v>450</v>
      </c>
      <c r="K9" s="134" t="s">
        <v>451</v>
      </c>
      <c r="L9" s="134" t="s">
        <v>441</v>
      </c>
      <c r="M9" s="147"/>
      <c r="N9" s="133"/>
    </row>
    <row r="10" spans="1:14" ht="20.100000000000001" customHeight="1">
      <c r="A10" s="137"/>
      <c r="B10" s="138"/>
      <c r="C10" s="139"/>
      <c r="D10" s="139"/>
      <c r="E10" s="139"/>
      <c r="F10" s="140">
        <f>C10+D10-E10</f>
        <v>0</v>
      </c>
      <c r="G10" s="139"/>
      <c r="H10" s="141">
        <f>F10-G10</f>
        <v>0</v>
      </c>
      <c r="I10" s="137"/>
      <c r="J10" s="137"/>
      <c r="K10" s="152"/>
      <c r="L10" s="153"/>
      <c r="M10" s="133"/>
    </row>
    <row r="11" spans="1:14" ht="20.100000000000001" customHeight="1">
      <c r="A11" s="137"/>
      <c r="B11" s="138"/>
      <c r="C11" s="139"/>
      <c r="D11" s="139"/>
      <c r="E11" s="139"/>
      <c r="F11" s="140">
        <f t="shared" ref="F11:F12" si="0">C11+D11-E11</f>
        <v>0</v>
      </c>
      <c r="G11" s="139"/>
      <c r="H11" s="141">
        <f t="shared" ref="H11:H12" si="1">F11-G11</f>
        <v>0</v>
      </c>
      <c r="I11" s="137"/>
      <c r="J11" s="137"/>
      <c r="K11" s="152"/>
      <c r="L11" s="153"/>
      <c r="M11" s="133"/>
    </row>
    <row r="12" spans="1:14" ht="20.100000000000001" customHeight="1">
      <c r="A12" s="137"/>
      <c r="B12" s="138"/>
      <c r="C12" s="139"/>
      <c r="D12" s="139"/>
      <c r="E12" s="139"/>
      <c r="F12" s="140">
        <f t="shared" si="0"/>
        <v>0</v>
      </c>
      <c r="G12" s="139"/>
      <c r="H12" s="141">
        <f t="shared" si="1"/>
        <v>0</v>
      </c>
      <c r="I12" s="137"/>
      <c r="J12" s="137"/>
      <c r="K12" s="152"/>
      <c r="L12" s="153"/>
      <c r="M12" s="133"/>
    </row>
    <row r="13" spans="1:14" ht="20.100000000000001" customHeight="1">
      <c r="A13" s="142" t="s">
        <v>452</v>
      </c>
      <c r="B13" s="142"/>
      <c r="C13" s="143">
        <f t="shared" ref="C13:H13" si="2">SUM(C10:C12)</f>
        <v>0</v>
      </c>
      <c r="D13" s="143">
        <f t="shared" si="2"/>
        <v>0</v>
      </c>
      <c r="E13" s="143">
        <f t="shared" si="2"/>
        <v>0</v>
      </c>
      <c r="F13" s="144">
        <f t="shared" si="2"/>
        <v>0</v>
      </c>
      <c r="G13" s="143">
        <f t="shared" si="2"/>
        <v>0</v>
      </c>
      <c r="H13" s="144">
        <f t="shared" si="2"/>
        <v>0</v>
      </c>
      <c r="I13" s="154"/>
      <c r="J13" s="154"/>
      <c r="K13" s="134"/>
      <c r="L13" s="134"/>
      <c r="M13" s="133"/>
    </row>
    <row r="14" spans="1:14" ht="20.100000000000001" customHeight="1">
      <c r="A14" s="145" t="s">
        <v>453</v>
      </c>
      <c r="H14" s="146"/>
      <c r="I14" s="146"/>
      <c r="J14" s="146"/>
      <c r="K14" s="146"/>
      <c r="L14" s="146"/>
      <c r="M14" s="146"/>
    </row>
    <row r="15" spans="1:14" ht="20.100000000000001" customHeight="1">
      <c r="A15" s="133"/>
      <c r="H15" s="133"/>
      <c r="I15" s="133"/>
      <c r="J15" s="133"/>
      <c r="K15" s="133"/>
      <c r="L15" s="133"/>
      <c r="M15" s="133"/>
    </row>
    <row r="16" spans="1:14" ht="20.100000000000001" customHeight="1">
      <c r="H16" s="133"/>
      <c r="I16" s="133"/>
      <c r="J16" s="133"/>
      <c r="K16" s="133"/>
      <c r="L16" s="133"/>
      <c r="M16" s="133"/>
    </row>
    <row r="17" spans="1:13" ht="20.100000000000001" customHeight="1">
      <c r="A17" s="133"/>
      <c r="H17" s="133"/>
      <c r="I17" s="133"/>
      <c r="J17" s="133"/>
      <c r="K17" s="133"/>
      <c r="L17" s="133"/>
      <c r="M17" s="133"/>
    </row>
    <row r="18" spans="1:13" ht="20.100000000000001" customHeight="1">
      <c r="A18" s="147" t="s">
        <v>411</v>
      </c>
    </row>
    <row r="22" spans="1:13" ht="20.100000000000001" customHeight="1">
      <c r="B22" s="148" t="s">
        <v>454</v>
      </c>
    </row>
    <row r="23" spans="1:13" ht="20.100000000000001" customHeight="1">
      <c r="B23" s="133" t="s">
        <v>455</v>
      </c>
    </row>
    <row r="24" spans="1:13" ht="20.100000000000001" customHeight="1">
      <c r="B24" s="133" t="s">
        <v>456</v>
      </c>
    </row>
    <row r="25" spans="1:13" ht="20.100000000000001" customHeight="1">
      <c r="A25" s="149"/>
      <c r="B25" s="133" t="s">
        <v>457</v>
      </c>
    </row>
    <row r="26" spans="1:13" ht="20.100000000000001" customHeight="1">
      <c r="A26" s="149"/>
      <c r="B26" s="133" t="s">
        <v>458</v>
      </c>
    </row>
    <row r="27" spans="1:13" ht="20.100000000000001" customHeight="1">
      <c r="B27" s="133" t="s">
        <v>459</v>
      </c>
    </row>
    <row r="28" spans="1:13" ht="20.100000000000001" customHeight="1">
      <c r="B28" s="130" t="s">
        <v>460</v>
      </c>
    </row>
    <row r="29" spans="1:13" ht="20.100000000000001" customHeight="1">
      <c r="B29" s="133" t="s">
        <v>461</v>
      </c>
    </row>
    <row r="30" spans="1:13" ht="20.100000000000001" customHeight="1">
      <c r="B30" s="133" t="s">
        <v>462</v>
      </c>
    </row>
  </sheetData>
  <mergeCells count="2">
    <mergeCell ref="A1:L1"/>
    <mergeCell ref="A2:L2"/>
  </mergeCells>
  <phoneticPr fontId="176" type="noConversion"/>
  <dataValidations count="1">
    <dataValidation type="list" allowBlank="1" showInputMessage="1" showErrorMessage="1" sqref="B10">
      <formula1>$B$23:$B$30</formula1>
    </dataValidation>
  </dataValidations>
  <hyperlinks>
    <hyperlink ref="L3" location="底稿目录!A1" display="=底稿目录!F11"/>
  </hyperlinks>
  <pageMargins left="0.70833333333333304" right="0.70833333333333304" top="0.74791666666666701" bottom="0.74791666666666701" header="0.31458333333333299" footer="0.31458333333333299"/>
  <pageSetup paperSize="9" scale="62" fitToHeight="40" orientation="portrait"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view="pageBreakPreview" zoomScale="98" zoomScaleNormal="100" workbookViewId="0">
      <selection sqref="A1:Q1"/>
    </sheetView>
  </sheetViews>
  <sheetFormatPr defaultColWidth="8.69921875" defaultRowHeight="15.6"/>
  <cols>
    <col min="1" max="1" width="13" style="92" customWidth="1"/>
    <col min="2" max="3" width="8.69921875" style="92"/>
    <col min="4" max="4" width="11.5" style="92" customWidth="1"/>
    <col min="5" max="5" width="9.19921875" style="92" customWidth="1"/>
    <col min="6" max="6" width="13.69921875" style="92" customWidth="1"/>
    <col min="7" max="7" width="11.3984375" style="92" customWidth="1"/>
    <col min="8" max="8" width="12.19921875" style="92" customWidth="1"/>
    <col min="9" max="9" width="18.19921875" style="92" customWidth="1"/>
    <col min="10" max="14" width="3.59765625" style="92" customWidth="1"/>
    <col min="15" max="15" width="12.19921875" style="92" customWidth="1"/>
    <col min="16" max="16" width="11.8984375" style="92" customWidth="1"/>
    <col min="17" max="17" width="14.3984375" style="92" customWidth="1"/>
    <col min="18" max="16384" width="8.69921875" style="92"/>
  </cols>
  <sheetData>
    <row r="1" spans="1:17" ht="20.100000000000001" customHeight="1">
      <c r="A1" s="599" t="s">
        <v>32</v>
      </c>
      <c r="B1" s="599"/>
      <c r="C1" s="599"/>
      <c r="D1" s="599"/>
      <c r="E1" s="599"/>
      <c r="F1" s="599"/>
      <c r="G1" s="599"/>
      <c r="H1" s="599"/>
      <c r="I1" s="599"/>
      <c r="J1" s="599"/>
      <c r="K1" s="599"/>
      <c r="L1" s="599"/>
      <c r="M1" s="599"/>
      <c r="N1" s="599"/>
      <c r="O1" s="599"/>
      <c r="P1" s="599"/>
      <c r="Q1" s="599"/>
    </row>
    <row r="2" spans="1:17" ht="20.100000000000001" customHeight="1">
      <c r="A2" s="600" t="s">
        <v>24</v>
      </c>
      <c r="B2" s="600"/>
      <c r="C2" s="600"/>
      <c r="D2" s="600"/>
      <c r="E2" s="600"/>
      <c r="F2" s="600"/>
      <c r="G2" s="600"/>
      <c r="H2" s="600"/>
      <c r="I2" s="600"/>
      <c r="J2" s="600"/>
      <c r="K2" s="600"/>
      <c r="L2" s="600"/>
      <c r="M2" s="600"/>
      <c r="N2" s="600"/>
      <c r="O2" s="600"/>
      <c r="P2" s="600"/>
      <c r="Q2" s="600"/>
    </row>
    <row r="3" spans="1:17" ht="20.100000000000001" customHeight="1">
      <c r="A3" s="93" t="str">
        <f>底稿目录!A2</f>
        <v>被审计单位：</v>
      </c>
      <c r="B3" s="93"/>
      <c r="C3" s="93"/>
      <c r="D3" s="94"/>
      <c r="E3" s="93" t="str">
        <f>底稿目录!A4</f>
        <v>编制人：</v>
      </c>
      <c r="G3" s="94"/>
      <c r="H3" s="93" t="str">
        <f>底稿目录!A5</f>
        <v>编制日期：</v>
      </c>
      <c r="I3" s="94"/>
      <c r="J3" s="94"/>
      <c r="K3" s="94"/>
      <c r="L3" s="94"/>
      <c r="P3" s="123" t="s">
        <v>34</v>
      </c>
      <c r="Q3" s="662" t="str">
        <f>底稿目录!F19</f>
        <v>D6-6</v>
      </c>
    </row>
    <row r="4" spans="1:17" ht="20.100000000000001" customHeight="1">
      <c r="A4" s="93" t="str">
        <f>底稿目录!A3</f>
        <v>截止日：202X年12月31日</v>
      </c>
      <c r="B4" s="93"/>
      <c r="C4" s="93"/>
      <c r="D4" s="94"/>
      <c r="E4" s="93" t="str">
        <f>底稿目录!A6</f>
        <v>复核人：</v>
      </c>
      <c r="G4" s="94"/>
      <c r="H4" s="93" t="str">
        <f>底稿目录!A7</f>
        <v>复核日期：</v>
      </c>
      <c r="I4" s="94"/>
      <c r="J4" s="94"/>
      <c r="K4" s="94"/>
      <c r="L4" s="94"/>
      <c r="P4" s="123" t="s">
        <v>35</v>
      </c>
      <c r="Q4" s="94"/>
    </row>
    <row r="5" spans="1:17" ht="20.100000000000001" customHeight="1">
      <c r="A5" s="95" t="s">
        <v>417</v>
      </c>
      <c r="B5" s="96"/>
      <c r="C5" s="97"/>
      <c r="D5" s="96"/>
      <c r="E5" s="96"/>
      <c r="F5" s="96"/>
      <c r="G5" s="96"/>
      <c r="H5" s="96"/>
      <c r="I5" s="96"/>
      <c r="J5" s="96"/>
      <c r="K5" s="96"/>
      <c r="L5" s="96"/>
      <c r="M5" s="96"/>
      <c r="N5" s="96"/>
      <c r="O5" s="96"/>
    </row>
    <row r="6" spans="1:17" ht="20.100000000000001" customHeight="1">
      <c r="A6" s="97" t="s">
        <v>463</v>
      </c>
      <c r="B6" s="96"/>
      <c r="C6" s="97"/>
      <c r="D6" s="96"/>
      <c r="E6" s="96"/>
      <c r="F6" s="96"/>
      <c r="G6" s="96"/>
      <c r="H6" s="96"/>
      <c r="I6" s="96"/>
      <c r="J6" s="96"/>
      <c r="K6" s="96"/>
      <c r="L6" s="96"/>
      <c r="M6" s="96"/>
      <c r="N6" s="96"/>
      <c r="O6" s="96"/>
    </row>
    <row r="7" spans="1:17" ht="20.100000000000001" customHeight="1">
      <c r="A7" s="97" t="s">
        <v>464</v>
      </c>
      <c r="B7" s="96"/>
      <c r="C7" s="97"/>
      <c r="D7" s="96"/>
      <c r="E7" s="96"/>
      <c r="F7" s="96"/>
      <c r="G7" s="96"/>
      <c r="H7" s="96"/>
      <c r="I7" s="96"/>
      <c r="J7" s="96"/>
      <c r="K7" s="96"/>
      <c r="L7" s="96"/>
      <c r="M7" s="96"/>
      <c r="N7" s="96"/>
      <c r="O7" s="96"/>
    </row>
    <row r="8" spans="1:17" ht="20.100000000000001" customHeight="1">
      <c r="A8" s="98" t="s">
        <v>374</v>
      </c>
      <c r="B8" s="96"/>
      <c r="C8" s="97"/>
      <c r="D8" s="96"/>
      <c r="E8" s="96"/>
      <c r="F8" s="96"/>
      <c r="G8" s="96"/>
      <c r="H8" s="96"/>
      <c r="I8" s="96"/>
      <c r="J8" s="96"/>
      <c r="K8" s="96"/>
      <c r="L8" s="96"/>
      <c r="M8" s="96"/>
      <c r="N8" s="96"/>
      <c r="O8" s="96"/>
    </row>
    <row r="9" spans="1:17" ht="20.100000000000001" customHeight="1">
      <c r="A9" s="99" t="s">
        <v>465</v>
      </c>
    </row>
    <row r="10" spans="1:17" s="89" customFormat="1" ht="20.100000000000001" customHeight="1">
      <c r="A10" s="100" t="s">
        <v>466</v>
      </c>
      <c r="B10" s="101" t="s">
        <v>467</v>
      </c>
      <c r="C10" s="22"/>
      <c r="D10" s="22"/>
      <c r="E10" s="22"/>
      <c r="F10" s="100"/>
      <c r="G10" s="100"/>
      <c r="H10" s="100" t="s">
        <v>468</v>
      </c>
      <c r="I10" s="101" t="s">
        <v>469</v>
      </c>
      <c r="K10" s="101"/>
      <c r="M10" s="22"/>
      <c r="P10" s="22"/>
      <c r="Q10" s="22"/>
    </row>
    <row r="11" spans="1:17" s="89" customFormat="1" ht="20.100000000000001" customHeight="1">
      <c r="A11" s="100" t="s">
        <v>470</v>
      </c>
      <c r="B11" s="101" t="s">
        <v>471</v>
      </c>
      <c r="C11" s="22"/>
      <c r="D11" s="22"/>
      <c r="E11" s="22"/>
      <c r="F11" s="100"/>
      <c r="G11" s="100"/>
      <c r="H11" s="100" t="s">
        <v>472</v>
      </c>
      <c r="I11" s="101" t="s">
        <v>473</v>
      </c>
      <c r="J11" s="101"/>
      <c r="K11" s="101"/>
      <c r="Q11" s="22"/>
    </row>
    <row r="12" spans="1:17" s="89" customFormat="1" ht="20.100000000000001" customHeight="1">
      <c r="A12" s="100" t="s">
        <v>474</v>
      </c>
      <c r="B12" s="651" t="s">
        <v>606</v>
      </c>
      <c r="C12" s="22"/>
      <c r="D12" s="22"/>
      <c r="E12" s="22"/>
      <c r="F12" s="100"/>
      <c r="G12" s="100"/>
      <c r="H12" s="100" t="s">
        <v>475</v>
      </c>
      <c r="I12" s="101" t="s">
        <v>476</v>
      </c>
      <c r="K12" s="101"/>
      <c r="M12" s="22"/>
      <c r="P12" s="22"/>
      <c r="Q12" s="22"/>
    </row>
    <row r="13" spans="1:17" s="89" customFormat="1" ht="20.100000000000001" customHeight="1">
      <c r="A13" s="102" t="s">
        <v>477</v>
      </c>
    </row>
    <row r="14" spans="1:17" s="90" customFormat="1" ht="19.95" customHeight="1">
      <c r="A14" s="103" t="s">
        <v>478</v>
      </c>
      <c r="B14" s="104"/>
      <c r="C14" s="104"/>
      <c r="D14" s="105"/>
      <c r="E14" s="106"/>
      <c r="G14" s="107"/>
      <c r="H14" s="107"/>
      <c r="I14" s="107"/>
      <c r="J14" s="107"/>
      <c r="K14" s="107"/>
      <c r="L14" s="107"/>
      <c r="M14" s="107"/>
      <c r="N14" s="107"/>
      <c r="O14" s="107"/>
    </row>
    <row r="15" spans="1:17" s="89" customFormat="1" ht="20.100000000000001" customHeight="1">
      <c r="A15" s="102" t="s">
        <v>617</v>
      </c>
    </row>
    <row r="16" spans="1:17" s="91" customFormat="1" ht="20.100000000000001" customHeight="1">
      <c r="A16" s="612" t="s">
        <v>381</v>
      </c>
      <c r="B16" s="601" t="s">
        <v>479</v>
      </c>
      <c r="C16" s="601"/>
      <c r="D16" s="601"/>
      <c r="E16" s="601"/>
      <c r="F16" s="601"/>
      <c r="G16" s="601"/>
      <c r="H16" s="601"/>
      <c r="I16" s="614" t="s">
        <v>480</v>
      </c>
      <c r="J16" s="602" t="s">
        <v>481</v>
      </c>
      <c r="K16" s="603"/>
      <c r="L16" s="603"/>
      <c r="M16" s="603"/>
      <c r="N16" s="603"/>
      <c r="O16" s="616" t="s">
        <v>451</v>
      </c>
      <c r="P16" s="605" t="s">
        <v>482</v>
      </c>
      <c r="Q16" s="607" t="s">
        <v>483</v>
      </c>
    </row>
    <row r="17" spans="1:17" s="91" customFormat="1" ht="20.100000000000001" customHeight="1">
      <c r="A17" s="613"/>
      <c r="B17" s="108" t="s">
        <v>484</v>
      </c>
      <c r="C17" s="108" t="s">
        <v>485</v>
      </c>
      <c r="D17" s="108" t="s">
        <v>486</v>
      </c>
      <c r="E17" s="108" t="s">
        <v>487</v>
      </c>
      <c r="F17" s="108" t="s">
        <v>488</v>
      </c>
      <c r="G17" s="109" t="s">
        <v>489</v>
      </c>
      <c r="H17" s="109" t="s">
        <v>490</v>
      </c>
      <c r="I17" s="615"/>
      <c r="J17" s="124">
        <v>1</v>
      </c>
      <c r="K17" s="124">
        <v>2</v>
      </c>
      <c r="L17" s="124">
        <v>3</v>
      </c>
      <c r="M17" s="124">
        <v>4</v>
      </c>
      <c r="N17" s="124">
        <v>5</v>
      </c>
      <c r="O17" s="616"/>
      <c r="P17" s="606"/>
      <c r="Q17" s="608"/>
    </row>
    <row r="18" spans="1:17" s="91" customFormat="1" ht="20.100000000000001" customHeight="1">
      <c r="A18" s="110"/>
      <c r="B18" s="111"/>
      <c r="C18" s="112"/>
      <c r="D18" s="113"/>
      <c r="E18" s="113"/>
      <c r="F18" s="113"/>
      <c r="G18" s="114"/>
      <c r="H18" s="114"/>
      <c r="I18" s="119"/>
      <c r="J18" s="125"/>
      <c r="K18" s="125"/>
      <c r="L18" s="125"/>
      <c r="M18" s="125"/>
      <c r="N18" s="125"/>
      <c r="O18" s="126"/>
      <c r="P18" s="127"/>
      <c r="Q18" s="127"/>
    </row>
    <row r="19" spans="1:17" s="91" customFormat="1" ht="20.100000000000001" customHeight="1">
      <c r="A19" s="110"/>
      <c r="B19" s="111"/>
      <c r="C19" s="112"/>
      <c r="D19" s="113"/>
      <c r="E19" s="113"/>
      <c r="F19" s="113"/>
      <c r="G19" s="114"/>
      <c r="H19" s="114"/>
      <c r="I19" s="119"/>
      <c r="J19" s="125"/>
      <c r="K19" s="125"/>
      <c r="L19" s="125"/>
      <c r="M19" s="125"/>
      <c r="N19" s="125"/>
      <c r="O19" s="126"/>
      <c r="P19" s="127"/>
      <c r="Q19" s="127"/>
    </row>
    <row r="20" spans="1:17" s="91" customFormat="1" ht="20.100000000000001" customHeight="1">
      <c r="A20" s="110"/>
      <c r="B20" s="111"/>
      <c r="C20" s="112"/>
      <c r="D20" s="113"/>
      <c r="E20" s="113"/>
      <c r="F20" s="113"/>
      <c r="G20" s="114"/>
      <c r="H20" s="114"/>
      <c r="I20" s="119"/>
      <c r="J20" s="125"/>
      <c r="K20" s="125"/>
      <c r="L20" s="125"/>
      <c r="M20" s="125"/>
      <c r="N20" s="125"/>
      <c r="O20" s="126"/>
      <c r="P20" s="127"/>
      <c r="Q20" s="127"/>
    </row>
    <row r="21" spans="1:17" s="91" customFormat="1" ht="20.100000000000001" customHeight="1">
      <c r="A21" s="110"/>
      <c r="B21" s="111"/>
      <c r="C21" s="112"/>
      <c r="D21" s="113"/>
      <c r="E21" s="113"/>
      <c r="F21" s="113"/>
      <c r="G21" s="114"/>
      <c r="H21" s="114"/>
      <c r="I21" s="119"/>
      <c r="J21" s="125"/>
      <c r="K21" s="125"/>
      <c r="L21" s="125"/>
      <c r="M21" s="125"/>
      <c r="N21" s="125"/>
      <c r="O21" s="126"/>
      <c r="P21" s="127"/>
      <c r="Q21" s="127"/>
    </row>
    <row r="22" spans="1:17" s="91" customFormat="1" ht="20.100000000000001" customHeight="1">
      <c r="A22" s="110"/>
      <c r="B22" s="111"/>
      <c r="C22" s="112"/>
      <c r="D22" s="113"/>
      <c r="E22" s="113"/>
      <c r="F22" s="113"/>
      <c r="G22" s="114"/>
      <c r="H22" s="114"/>
      <c r="I22" s="119"/>
      <c r="J22" s="125"/>
      <c r="K22" s="125"/>
      <c r="L22" s="125"/>
      <c r="M22" s="125"/>
      <c r="N22" s="125"/>
      <c r="O22" s="126"/>
      <c r="P22" s="127"/>
      <c r="Q22" s="127"/>
    </row>
    <row r="23" spans="1:17" s="91" customFormat="1" ht="20.100000000000001" customHeight="1">
      <c r="A23" s="110"/>
      <c r="B23" s="111"/>
      <c r="C23" s="112"/>
      <c r="D23" s="113"/>
      <c r="E23" s="113"/>
      <c r="F23" s="113"/>
      <c r="G23" s="114"/>
      <c r="H23" s="114"/>
      <c r="I23" s="119"/>
      <c r="J23" s="125"/>
      <c r="K23" s="125"/>
      <c r="L23" s="125"/>
      <c r="M23" s="125"/>
      <c r="N23" s="125"/>
      <c r="O23" s="126"/>
      <c r="P23" s="127"/>
      <c r="Q23" s="127"/>
    </row>
    <row r="24" spans="1:17" s="91" customFormat="1" ht="20.100000000000001" customHeight="1">
      <c r="A24" s="110"/>
      <c r="B24" s="111"/>
      <c r="C24" s="112"/>
      <c r="D24" s="113"/>
      <c r="E24" s="113"/>
      <c r="F24" s="113"/>
      <c r="G24" s="114"/>
      <c r="H24" s="114"/>
      <c r="I24" s="119"/>
      <c r="J24" s="125"/>
      <c r="K24" s="125"/>
      <c r="L24" s="125"/>
      <c r="M24" s="125"/>
      <c r="N24" s="125"/>
      <c r="O24" s="126"/>
      <c r="P24" s="127"/>
      <c r="Q24" s="127"/>
    </row>
    <row r="25" spans="1:17" s="91" customFormat="1" ht="20.100000000000001" customHeight="1">
      <c r="A25" s="110"/>
      <c r="B25" s="111"/>
      <c r="C25" s="112"/>
      <c r="D25" s="113"/>
      <c r="E25" s="113"/>
      <c r="F25" s="113"/>
      <c r="G25" s="114"/>
      <c r="H25" s="114"/>
      <c r="I25" s="119"/>
      <c r="J25" s="125"/>
      <c r="K25" s="125"/>
      <c r="L25" s="125"/>
      <c r="M25" s="125"/>
      <c r="N25" s="125"/>
      <c r="O25" s="126"/>
      <c r="P25" s="127"/>
      <c r="Q25" s="127"/>
    </row>
    <row r="26" spans="1:17" s="91" customFormat="1" ht="20.100000000000001" customHeight="1">
      <c r="A26" s="110"/>
      <c r="B26" s="111"/>
      <c r="C26" s="112"/>
      <c r="D26" s="113"/>
      <c r="E26" s="113"/>
      <c r="F26" s="113"/>
      <c r="G26" s="114"/>
      <c r="H26" s="114"/>
      <c r="I26" s="119"/>
      <c r="J26" s="125"/>
      <c r="K26" s="125"/>
      <c r="L26" s="125"/>
      <c r="M26" s="125"/>
      <c r="N26" s="125"/>
      <c r="O26" s="126"/>
      <c r="P26" s="127"/>
      <c r="Q26" s="127"/>
    </row>
    <row r="27" spans="1:17" s="91" customFormat="1" ht="20.100000000000001" customHeight="1">
      <c r="A27" s="110"/>
      <c r="B27" s="111"/>
      <c r="C27" s="112"/>
      <c r="D27" s="113"/>
      <c r="E27" s="113"/>
      <c r="F27" s="113"/>
      <c r="G27" s="114"/>
      <c r="H27" s="114"/>
      <c r="I27" s="119"/>
      <c r="J27" s="125"/>
      <c r="K27" s="125"/>
      <c r="L27" s="125"/>
      <c r="M27" s="125"/>
      <c r="N27" s="125"/>
      <c r="O27" s="126"/>
      <c r="P27" s="127"/>
      <c r="Q27" s="127"/>
    </row>
    <row r="28" spans="1:17" s="91" customFormat="1" ht="20.100000000000001" customHeight="1">
      <c r="A28" s="110"/>
      <c r="B28" s="111"/>
      <c r="C28" s="112"/>
      <c r="D28" s="113"/>
      <c r="E28" s="113"/>
      <c r="F28" s="113"/>
      <c r="G28" s="114"/>
      <c r="H28" s="114"/>
      <c r="I28" s="119"/>
      <c r="J28" s="125"/>
      <c r="K28" s="125"/>
      <c r="L28" s="125"/>
      <c r="M28" s="125"/>
      <c r="N28" s="125"/>
      <c r="O28" s="126"/>
      <c r="P28" s="127"/>
      <c r="Q28" s="127"/>
    </row>
    <row r="29" spans="1:17" s="91" customFormat="1" ht="20.100000000000001" customHeight="1">
      <c r="A29" s="110"/>
      <c r="B29" s="111"/>
      <c r="C29" s="112"/>
      <c r="D29" s="113"/>
      <c r="E29" s="113"/>
      <c r="F29" s="113"/>
      <c r="G29" s="114"/>
      <c r="H29" s="114"/>
      <c r="I29" s="119"/>
      <c r="J29" s="125"/>
      <c r="K29" s="125"/>
      <c r="L29" s="125"/>
      <c r="M29" s="125"/>
      <c r="N29" s="125"/>
      <c r="O29" s="126"/>
      <c r="P29" s="127"/>
      <c r="Q29" s="127"/>
    </row>
    <row r="30" spans="1:17" ht="19.95" customHeight="1">
      <c r="A30" s="110"/>
      <c r="B30" s="111"/>
      <c r="C30" s="112"/>
      <c r="D30" s="113"/>
      <c r="E30" s="113"/>
      <c r="F30" s="113"/>
      <c r="G30" s="114"/>
      <c r="H30" s="114"/>
      <c r="I30" s="119"/>
      <c r="J30" s="125"/>
      <c r="K30" s="125"/>
      <c r="L30" s="125"/>
      <c r="M30" s="125"/>
      <c r="N30" s="125"/>
      <c r="O30" s="126"/>
      <c r="P30" s="127"/>
      <c r="Q30" s="127"/>
    </row>
    <row r="31" spans="1:17" ht="19.95" customHeight="1">
      <c r="A31" s="115" t="s">
        <v>452</v>
      </c>
      <c r="B31" s="116"/>
      <c r="C31" s="116"/>
      <c r="D31" s="116"/>
      <c r="E31" s="116"/>
      <c r="F31" s="116"/>
      <c r="G31" s="117">
        <f>SUM(G18:G30)</f>
        <v>0</v>
      </c>
      <c r="H31" s="117">
        <f>SUM(H18:H30)</f>
        <v>0</v>
      </c>
      <c r="I31" s="128"/>
      <c r="J31" s="128"/>
      <c r="K31" s="128"/>
      <c r="L31" s="117"/>
      <c r="M31" s="128"/>
      <c r="N31" s="128"/>
      <c r="O31" s="117"/>
      <c r="P31" s="128"/>
      <c r="Q31" s="128"/>
    </row>
    <row r="32" spans="1:17" ht="19.95" customHeight="1">
      <c r="A32" s="118" t="s">
        <v>491</v>
      </c>
      <c r="I32" s="129"/>
      <c r="M32" s="129"/>
    </row>
    <row r="33" spans="1:17" s="91" customFormat="1" ht="20.100000000000001" customHeight="1">
      <c r="A33" s="601" t="s">
        <v>381</v>
      </c>
      <c r="B33" s="601" t="s">
        <v>479</v>
      </c>
      <c r="C33" s="601"/>
      <c r="D33" s="601"/>
      <c r="E33" s="601"/>
      <c r="F33" s="601"/>
      <c r="G33" s="601"/>
      <c r="H33" s="614" t="s">
        <v>480</v>
      </c>
      <c r="I33" s="614"/>
      <c r="J33" s="604" t="s">
        <v>481</v>
      </c>
      <c r="K33" s="604"/>
      <c r="L33" s="604"/>
      <c r="M33" s="604"/>
      <c r="N33" s="604"/>
      <c r="O33" s="605" t="s">
        <v>451</v>
      </c>
      <c r="P33" s="605" t="s">
        <v>482</v>
      </c>
      <c r="Q33" s="609" t="s">
        <v>483</v>
      </c>
    </row>
    <row r="34" spans="1:17" s="91" customFormat="1" ht="20.100000000000001" customHeight="1">
      <c r="A34" s="601"/>
      <c r="B34" s="108" t="s">
        <v>484</v>
      </c>
      <c r="C34" s="108" t="s">
        <v>485</v>
      </c>
      <c r="D34" s="108" t="s">
        <v>486</v>
      </c>
      <c r="E34" s="108" t="s">
        <v>487</v>
      </c>
      <c r="F34" s="108" t="s">
        <v>488</v>
      </c>
      <c r="G34" s="109" t="s">
        <v>490</v>
      </c>
      <c r="H34" s="614"/>
      <c r="I34" s="614"/>
      <c r="J34" s="124">
        <v>1</v>
      </c>
      <c r="K34" s="124">
        <v>2</v>
      </c>
      <c r="L34" s="124">
        <v>3</v>
      </c>
      <c r="M34" s="124">
        <v>4</v>
      </c>
      <c r="N34" s="124">
        <v>5</v>
      </c>
      <c r="O34" s="606"/>
      <c r="P34" s="606"/>
      <c r="Q34" s="610"/>
    </row>
    <row r="35" spans="1:17" s="91" customFormat="1" ht="20.100000000000001" customHeight="1">
      <c r="A35" s="110"/>
      <c r="B35" s="111"/>
      <c r="C35" s="112"/>
      <c r="D35" s="113"/>
      <c r="E35" s="113"/>
      <c r="F35" s="113"/>
      <c r="G35" s="114"/>
      <c r="H35" s="617"/>
      <c r="I35" s="617"/>
      <c r="J35" s="125"/>
      <c r="K35" s="125"/>
      <c r="L35" s="125"/>
      <c r="M35" s="125"/>
      <c r="N35" s="125"/>
      <c r="O35" s="126"/>
      <c r="P35" s="127"/>
      <c r="Q35" s="127"/>
    </row>
    <row r="36" spans="1:17" s="91" customFormat="1" ht="20.100000000000001" customHeight="1">
      <c r="A36" s="110"/>
      <c r="B36" s="111"/>
      <c r="C36" s="112"/>
      <c r="D36" s="113"/>
      <c r="E36" s="113"/>
      <c r="F36" s="113"/>
      <c r="G36" s="114"/>
      <c r="H36" s="618"/>
      <c r="I36" s="618"/>
      <c r="J36" s="125"/>
      <c r="K36" s="125"/>
      <c r="L36" s="125"/>
      <c r="M36" s="125"/>
      <c r="N36" s="125"/>
      <c r="O36" s="126"/>
      <c r="P36" s="127"/>
      <c r="Q36" s="127"/>
    </row>
    <row r="37" spans="1:17" s="91" customFormat="1" ht="20.100000000000001" customHeight="1">
      <c r="A37" s="110"/>
      <c r="B37" s="111"/>
      <c r="C37" s="112"/>
      <c r="D37" s="113"/>
      <c r="E37" s="113"/>
      <c r="F37" s="113"/>
      <c r="G37" s="114"/>
      <c r="H37" s="618"/>
      <c r="I37" s="618"/>
      <c r="J37" s="125"/>
      <c r="K37" s="125"/>
      <c r="L37" s="125"/>
      <c r="M37" s="125"/>
      <c r="N37" s="125"/>
      <c r="O37" s="126"/>
      <c r="P37" s="127"/>
      <c r="Q37" s="127"/>
    </row>
    <row r="38" spans="1:17" s="91" customFormat="1" ht="20.100000000000001" customHeight="1">
      <c r="A38" s="110"/>
      <c r="B38" s="111"/>
      <c r="C38" s="112"/>
      <c r="D38" s="113"/>
      <c r="E38" s="113"/>
      <c r="F38" s="113"/>
      <c r="G38" s="114"/>
      <c r="H38" s="618"/>
      <c r="I38" s="618"/>
      <c r="J38" s="125"/>
      <c r="K38" s="125"/>
      <c r="L38" s="125"/>
      <c r="M38" s="125"/>
      <c r="N38" s="125"/>
      <c r="O38" s="126"/>
      <c r="P38" s="127"/>
      <c r="Q38" s="127"/>
    </row>
    <row r="39" spans="1:17" ht="19.95" customHeight="1">
      <c r="A39" s="110"/>
      <c r="B39" s="111"/>
      <c r="C39" s="112"/>
      <c r="D39" s="113"/>
      <c r="E39" s="113"/>
      <c r="F39" s="113"/>
      <c r="G39" s="114"/>
      <c r="H39" s="619"/>
      <c r="I39" s="619"/>
      <c r="J39" s="125"/>
      <c r="K39" s="125"/>
      <c r="L39" s="125"/>
      <c r="M39" s="125"/>
      <c r="N39" s="125"/>
      <c r="O39" s="126"/>
      <c r="P39" s="127"/>
      <c r="Q39" s="127"/>
    </row>
    <row r="40" spans="1:17" ht="19.95" customHeight="1">
      <c r="A40" s="115" t="s">
        <v>452</v>
      </c>
      <c r="B40" s="116"/>
      <c r="C40" s="116"/>
      <c r="D40" s="116"/>
      <c r="E40" s="116"/>
      <c r="F40" s="116"/>
      <c r="G40" s="117">
        <f>SUM(G35:G39)</f>
        <v>0</v>
      </c>
      <c r="H40" s="611"/>
      <c r="I40" s="611"/>
      <c r="J40" s="128"/>
      <c r="K40" s="128"/>
      <c r="L40" s="117"/>
      <c r="M40" s="128"/>
      <c r="N40" s="128"/>
      <c r="O40" s="117"/>
      <c r="P40" s="128"/>
      <c r="Q40" s="128"/>
    </row>
    <row r="41" spans="1:17" ht="19.95" customHeight="1">
      <c r="A41" s="120" t="s">
        <v>430</v>
      </c>
      <c r="G41" s="120"/>
      <c r="I41" s="129"/>
      <c r="M41" s="129"/>
    </row>
    <row r="42" spans="1:17" ht="19.95" customHeight="1">
      <c r="A42" s="652" t="s">
        <v>607</v>
      </c>
      <c r="B42" s="652"/>
      <c r="C42"/>
      <c r="D42" s="653" t="s">
        <v>608</v>
      </c>
      <c r="E42" s="653" t="s">
        <v>609</v>
      </c>
      <c r="F42" s="653" t="s">
        <v>610</v>
      </c>
      <c r="G42" s="653" t="s">
        <v>611</v>
      </c>
      <c r="H42" s="654" t="s">
        <v>612</v>
      </c>
      <c r="I42" s="129"/>
      <c r="M42" s="129"/>
    </row>
    <row r="43" spans="1:17" ht="19.95" customHeight="1">
      <c r="A43" s="655"/>
      <c r="B43" s="655"/>
      <c r="C43"/>
      <c r="D43" s="653" t="s">
        <v>613</v>
      </c>
      <c r="E43" s="656">
        <f>'明细表D6-2'!O26</f>
        <v>0</v>
      </c>
      <c r="F43" s="656">
        <f>G31</f>
        <v>0</v>
      </c>
      <c r="G43" s="657" t="e">
        <f>ROUND(F43/E43,4)</f>
        <v>#DIV/0!</v>
      </c>
      <c r="H43" s="2"/>
      <c r="I43" s="129"/>
      <c r="M43" s="129"/>
    </row>
    <row r="44" spans="1:17" ht="19.95" customHeight="1">
      <c r="A44" s="655"/>
      <c r="B44" s="655"/>
      <c r="C44"/>
      <c r="D44" s="653" t="s">
        <v>614</v>
      </c>
      <c r="E44" s="656">
        <f>'明细表D6-2'!P26</f>
        <v>0</v>
      </c>
      <c r="F44" s="656">
        <f>H31</f>
        <v>0</v>
      </c>
      <c r="G44" s="657" t="e">
        <f>ROUND(F44/E44,2)</f>
        <v>#DIV/0!</v>
      </c>
      <c r="H44" s="2"/>
      <c r="I44" s="129"/>
      <c r="M44" s="129"/>
    </row>
    <row r="45" spans="1:17" ht="19.95" customHeight="1">
      <c r="A45" s="655"/>
      <c r="B45" s="655"/>
      <c r="C45"/>
      <c r="D45" s="653" t="s">
        <v>615</v>
      </c>
      <c r="E45" s="656">
        <f>'明细表D6-2'!T26</f>
        <v>0</v>
      </c>
      <c r="F45" s="656">
        <f>G40</f>
        <v>0</v>
      </c>
      <c r="G45" s="657" t="e">
        <f>ROUND(F45/E45,2)</f>
        <v>#DIV/0!</v>
      </c>
      <c r="H45" s="2"/>
      <c r="I45" s="129"/>
      <c r="M45" s="129"/>
    </row>
    <row r="46" spans="1:17" ht="19.95" customHeight="1">
      <c r="A46" s="658" t="s">
        <v>616</v>
      </c>
      <c r="B46" s="655"/>
      <c r="C46"/>
      <c r="D46" s="659"/>
      <c r="E46" s="660"/>
      <c r="F46" s="660"/>
      <c r="G46" s="661"/>
      <c r="H46" s="2"/>
      <c r="I46" s="129"/>
      <c r="M46" s="129"/>
    </row>
    <row r="47" spans="1:17" ht="19.95" customHeight="1">
      <c r="A47" s="121"/>
      <c r="G47" s="120"/>
      <c r="I47" s="129"/>
      <c r="M47" s="129"/>
    </row>
    <row r="48" spans="1:17" ht="19.95" customHeight="1">
      <c r="A48" s="120" t="s">
        <v>411</v>
      </c>
    </row>
    <row r="49" spans="1:1" ht="19.95" customHeight="1">
      <c r="A49" s="120"/>
    </row>
    <row r="50" spans="1:1" ht="19.95" customHeight="1"/>
    <row r="51" spans="1:1" ht="19.95" customHeight="1"/>
    <row r="52" spans="1:1" ht="19.95" customHeight="1"/>
    <row r="53" spans="1:1" ht="19.95" customHeight="1">
      <c r="A53" s="122"/>
    </row>
    <row r="54" spans="1:1" ht="19.95" customHeight="1"/>
    <row r="55" spans="1:1" ht="19.95" customHeight="1"/>
    <row r="56" spans="1:1" ht="19.95" customHeight="1"/>
    <row r="57" spans="1:1" ht="19.95" customHeight="1"/>
    <row r="58" spans="1:1" ht="19.95" customHeight="1"/>
  </sheetData>
  <mergeCells count="22">
    <mergeCell ref="H40:I40"/>
    <mergeCell ref="A16:A17"/>
    <mergeCell ref="A33:A34"/>
    <mergeCell ref="I16:I17"/>
    <mergeCell ref="O16:O17"/>
    <mergeCell ref="O33:O34"/>
    <mergeCell ref="H33:I34"/>
    <mergeCell ref="H35:I35"/>
    <mergeCell ref="H36:I36"/>
    <mergeCell ref="H37:I37"/>
    <mergeCell ref="H38:I38"/>
    <mergeCell ref="H39:I39"/>
    <mergeCell ref="A1:Q1"/>
    <mergeCell ref="A2:Q2"/>
    <mergeCell ref="B16:H16"/>
    <mergeCell ref="J16:N16"/>
    <mergeCell ref="B33:G33"/>
    <mergeCell ref="J33:N33"/>
    <mergeCell ref="P16:P17"/>
    <mergeCell ref="P33:P34"/>
    <mergeCell ref="Q16:Q17"/>
    <mergeCell ref="Q33:Q34"/>
  </mergeCells>
  <phoneticPr fontId="176" type="noConversion"/>
  <dataValidations count="1">
    <dataValidation type="list" allowBlank="1" showInputMessage="1" showErrorMessage="1" sqref="J18:N30 J35:N39">
      <formula1>"√,X"</formula1>
    </dataValidation>
  </dataValidations>
  <hyperlinks>
    <hyperlink ref="Q3" location="底稿目录!A1" display="=底稿目录!F12"/>
  </hyperlinks>
  <pageMargins left="0.70833333333333304" right="0.70833333333333304" top="0.74791666666666701" bottom="0.74791666666666701" header="0.31458333333333299" footer="0.31458333333333299"/>
  <pageSetup paperSize="9" scale="75" fitToHeight="40" orientation="landscape" blackAndWhite="1" r:id="rId1"/>
  <headerFooter alignWithMargins="0">
    <oddFooter>&amp;C&amp;P/&amp;N</oddFooter>
  </headerFooter>
  <rowBreaks count="1" manualBreakCount="1">
    <brk id="31" max="1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R58"/>
  <sheetViews>
    <sheetView view="pageBreakPreview" zoomScaleNormal="130" workbookViewId="0">
      <selection sqref="A1:I1"/>
    </sheetView>
  </sheetViews>
  <sheetFormatPr defaultColWidth="9" defaultRowHeight="20.100000000000001" customHeight="1"/>
  <cols>
    <col min="1" max="1" width="15.59765625" style="74" customWidth="1"/>
    <col min="2" max="2" width="11" style="74" customWidth="1"/>
    <col min="3" max="3" width="12.09765625" style="74" customWidth="1"/>
    <col min="4" max="4" width="15.09765625" style="74" customWidth="1"/>
    <col min="5" max="5" width="10.09765625" style="74" customWidth="1"/>
    <col min="6" max="6" width="6.3984375" style="74" customWidth="1"/>
    <col min="7" max="8" width="9" style="74"/>
    <col min="9" max="9" width="6.69921875" style="74" customWidth="1"/>
    <col min="10" max="16384" width="9" style="74"/>
  </cols>
  <sheetData>
    <row r="1" spans="1:18" s="72" customFormat="1" ht="20.100000000000001" customHeight="1">
      <c r="A1" s="620" t="s">
        <v>32</v>
      </c>
      <c r="B1" s="620"/>
      <c r="C1" s="620"/>
      <c r="D1" s="620"/>
      <c r="E1" s="620"/>
      <c r="F1" s="620"/>
      <c r="G1" s="620"/>
      <c r="H1" s="620"/>
      <c r="I1" s="620"/>
    </row>
    <row r="2" spans="1:18" s="72" customFormat="1" ht="20.100000000000001" customHeight="1">
      <c r="A2" s="621" t="s">
        <v>26</v>
      </c>
      <c r="B2" s="621"/>
      <c r="C2" s="621"/>
      <c r="D2" s="621"/>
      <c r="E2" s="621"/>
      <c r="F2" s="621"/>
      <c r="G2" s="621"/>
      <c r="H2" s="621"/>
      <c r="I2" s="621"/>
    </row>
    <row r="3" spans="1:18" ht="20.100000000000001" customHeight="1">
      <c r="A3" s="73" t="str">
        <f>底稿目录!A2</f>
        <v>被审计单位：</v>
      </c>
      <c r="B3" s="73"/>
      <c r="C3" s="73" t="str">
        <f>底稿目录!A4</f>
        <v>编制人：</v>
      </c>
      <c r="E3" s="73" t="str">
        <f>底稿目录!A5</f>
        <v>编制日期：</v>
      </c>
      <c r="G3" s="73"/>
      <c r="H3" s="75" t="s">
        <v>34</v>
      </c>
      <c r="I3" s="662" t="str">
        <f>底稿目录!F20</f>
        <v>D6-7</v>
      </c>
    </row>
    <row r="4" spans="1:18" ht="20.100000000000001" customHeight="1">
      <c r="A4" s="73" t="str">
        <f>底稿目录!A3</f>
        <v>截止日：202X年12月31日</v>
      </c>
      <c r="B4" s="73"/>
      <c r="C4" s="73" t="str">
        <f>底稿目录!A6</f>
        <v>复核人：</v>
      </c>
      <c r="E4" s="73" t="str">
        <f>底稿目录!A7</f>
        <v>复核日期：</v>
      </c>
      <c r="G4" s="73"/>
      <c r="H4" s="75" t="s">
        <v>35</v>
      </c>
      <c r="I4" s="73"/>
    </row>
    <row r="5" spans="1:18" s="73" customFormat="1" ht="20.100000000000001" customHeight="1">
      <c r="A5" s="622" t="s">
        <v>417</v>
      </c>
      <c r="B5" s="622"/>
      <c r="C5" s="622"/>
      <c r="D5" s="622"/>
      <c r="E5" s="622"/>
      <c r="F5" s="622"/>
      <c r="G5" s="622"/>
      <c r="H5" s="622"/>
      <c r="I5" s="622"/>
    </row>
    <row r="6" spans="1:18" s="73" customFormat="1" ht="20.100000000000001" customHeight="1">
      <c r="A6" s="77" t="s">
        <v>492</v>
      </c>
      <c r="B6" s="77"/>
      <c r="C6" s="77"/>
      <c r="D6" s="77"/>
      <c r="E6" s="77"/>
      <c r="F6" s="77"/>
      <c r="G6" s="77"/>
      <c r="H6" s="77"/>
      <c r="I6" s="77"/>
    </row>
    <row r="7" spans="1:18" s="73" customFormat="1" ht="20.100000000000001" customHeight="1">
      <c r="A7" s="77" t="s">
        <v>493</v>
      </c>
      <c r="B7" s="77"/>
      <c r="C7" s="77"/>
      <c r="D7" s="77"/>
      <c r="E7" s="77"/>
      <c r="F7" s="77"/>
      <c r="G7" s="77"/>
      <c r="H7" s="77"/>
      <c r="I7" s="77"/>
    </row>
    <row r="8" spans="1:18" s="73" customFormat="1" ht="20.100000000000001" customHeight="1">
      <c r="A8" s="622" t="s">
        <v>374</v>
      </c>
      <c r="B8" s="622"/>
      <c r="C8" s="622"/>
      <c r="D8" s="622"/>
      <c r="E8" s="622"/>
      <c r="F8" s="622"/>
      <c r="G8" s="622"/>
      <c r="H8" s="622"/>
      <c r="I8" s="622"/>
    </row>
    <row r="9" spans="1:18" ht="20.100000000000001" customHeight="1">
      <c r="A9" s="78" t="s">
        <v>419</v>
      </c>
      <c r="B9" s="79"/>
      <c r="C9" s="79"/>
      <c r="E9" s="79"/>
      <c r="F9" s="79"/>
      <c r="H9" s="79"/>
      <c r="I9" s="79"/>
    </row>
    <row r="10" spans="1:18" ht="20.100000000000001" customHeight="1">
      <c r="A10" s="623"/>
      <c r="B10" s="623"/>
      <c r="C10" s="623"/>
      <c r="D10" s="623"/>
      <c r="E10" s="623"/>
      <c r="F10" s="623"/>
      <c r="G10" s="623"/>
      <c r="H10" s="623"/>
      <c r="I10" s="623"/>
    </row>
    <row r="11" spans="1:18" ht="20.100000000000001" customHeight="1">
      <c r="A11" s="623"/>
      <c r="B11" s="623"/>
      <c r="C11" s="623"/>
      <c r="D11" s="623"/>
      <c r="E11" s="623"/>
      <c r="F11" s="623"/>
      <c r="G11" s="623"/>
      <c r="H11" s="623"/>
      <c r="I11" s="623"/>
    </row>
    <row r="12" spans="1:18" ht="20.100000000000001" customHeight="1">
      <c r="A12" s="80" t="s">
        <v>494</v>
      </c>
      <c r="J12" s="624"/>
      <c r="K12" s="624"/>
      <c r="L12" s="624"/>
      <c r="M12" s="624"/>
      <c r="N12" s="624"/>
      <c r="O12" s="624"/>
      <c r="P12" s="624"/>
      <c r="Q12" s="624"/>
      <c r="R12" s="624"/>
    </row>
    <row r="13" spans="1:18" ht="20.100000000000001" customHeight="1">
      <c r="A13" s="80"/>
      <c r="J13" s="624"/>
      <c r="K13" s="624"/>
      <c r="L13" s="624"/>
      <c r="M13" s="624"/>
      <c r="N13" s="624"/>
      <c r="O13" s="624"/>
      <c r="P13" s="624"/>
      <c r="Q13" s="624"/>
      <c r="R13" s="624"/>
    </row>
    <row r="14" spans="1:18" ht="20.100000000000001" customHeight="1">
      <c r="A14" s="80"/>
      <c r="J14" s="624"/>
      <c r="K14" s="624"/>
      <c r="L14" s="624"/>
      <c r="M14" s="624"/>
      <c r="N14" s="624"/>
      <c r="O14" s="624"/>
      <c r="P14" s="624"/>
      <c r="Q14" s="624"/>
      <c r="R14" s="624"/>
    </row>
    <row r="15" spans="1:18" ht="20.100000000000001" customHeight="1">
      <c r="A15" s="625"/>
      <c r="B15" s="625"/>
      <c r="C15" s="625"/>
      <c r="D15" s="625"/>
      <c r="E15" s="625"/>
      <c r="F15" s="625"/>
      <c r="G15" s="625"/>
      <c r="H15" s="625"/>
      <c r="I15" s="625"/>
      <c r="J15" s="84"/>
      <c r="K15" s="85"/>
      <c r="L15" s="84"/>
      <c r="M15" s="84"/>
      <c r="N15" s="85"/>
      <c r="O15" s="84"/>
      <c r="P15" s="84"/>
      <c r="Q15" s="84"/>
      <c r="R15" s="84"/>
    </row>
    <row r="16" spans="1:18" ht="20.100000000000001" customHeight="1">
      <c r="A16" s="626" t="s">
        <v>495</v>
      </c>
      <c r="B16" s="626"/>
      <c r="C16" s="626"/>
      <c r="D16" s="626"/>
      <c r="E16" s="626"/>
      <c r="F16" s="626"/>
      <c r="G16" s="626"/>
      <c r="H16" s="626"/>
      <c r="I16" s="626"/>
      <c r="J16" s="84"/>
      <c r="K16" s="85"/>
      <c r="L16" s="84"/>
      <c r="M16" s="84"/>
      <c r="N16" s="85"/>
      <c r="O16" s="84"/>
      <c r="P16" s="84"/>
      <c r="Q16" s="84"/>
      <c r="R16" s="84"/>
    </row>
    <row r="17" spans="1:18" ht="20.100000000000001" customHeight="1">
      <c r="A17" s="80" t="s">
        <v>496</v>
      </c>
      <c r="B17" s="82"/>
      <c r="C17" s="82"/>
      <c r="D17" s="82"/>
      <c r="E17" s="82"/>
      <c r="F17" s="82"/>
      <c r="G17" s="82"/>
      <c r="H17" s="82"/>
      <c r="J17" s="84"/>
      <c r="K17" s="85"/>
      <c r="L17" s="84"/>
      <c r="M17" s="84"/>
      <c r="N17" s="85"/>
      <c r="O17" s="84"/>
      <c r="P17" s="84"/>
      <c r="Q17" s="84"/>
      <c r="R17" s="84"/>
    </row>
    <row r="18" spans="1:18" ht="20.100000000000001" customHeight="1">
      <c r="A18" s="80"/>
      <c r="B18" s="82"/>
      <c r="C18" s="82"/>
      <c r="D18" s="82"/>
      <c r="E18" s="82"/>
      <c r="F18" s="82"/>
      <c r="G18" s="82"/>
      <c r="H18" s="82"/>
      <c r="J18" s="84"/>
      <c r="K18" s="85"/>
      <c r="L18" s="84"/>
      <c r="M18" s="84"/>
      <c r="N18" s="85"/>
      <c r="O18" s="84"/>
      <c r="P18" s="84"/>
      <c r="Q18" s="84"/>
      <c r="R18" s="84"/>
    </row>
    <row r="19" spans="1:18" ht="20.100000000000001" customHeight="1">
      <c r="A19" s="80"/>
      <c r="B19" s="82"/>
      <c r="C19" s="82"/>
      <c r="D19" s="82"/>
      <c r="E19" s="82"/>
      <c r="F19" s="82"/>
      <c r="G19" s="82"/>
      <c r="H19" s="82"/>
      <c r="J19" s="82"/>
    </row>
    <row r="20" spans="1:18" ht="20.100000000000001" customHeight="1">
      <c r="A20" s="625"/>
      <c r="B20" s="625"/>
      <c r="C20" s="625"/>
      <c r="D20" s="625"/>
      <c r="E20" s="625"/>
      <c r="F20" s="625"/>
      <c r="G20" s="625"/>
      <c r="H20" s="625"/>
      <c r="I20" s="625"/>
    </row>
    <row r="21" spans="1:18" ht="20.100000000000001" customHeight="1">
      <c r="A21" s="83" t="s">
        <v>497</v>
      </c>
      <c r="B21" s="81"/>
      <c r="C21" s="81"/>
      <c r="D21" s="81"/>
      <c r="E21" s="81"/>
      <c r="F21" s="81"/>
      <c r="G21" s="81"/>
      <c r="H21" s="81"/>
      <c r="I21" s="81"/>
    </row>
    <row r="22" spans="1:18" ht="20.100000000000001" customHeight="1">
      <c r="A22" s="80" t="s">
        <v>498</v>
      </c>
      <c r="B22" s="82"/>
      <c r="C22" s="82"/>
      <c r="D22" s="82"/>
      <c r="E22" s="82"/>
      <c r="F22" s="82"/>
      <c r="G22" s="82"/>
      <c r="H22" s="82"/>
    </row>
    <row r="23" spans="1:18" ht="20.100000000000001" customHeight="1">
      <c r="A23" s="80"/>
      <c r="B23" s="82"/>
      <c r="C23" s="82"/>
      <c r="D23" s="82"/>
      <c r="E23" s="82"/>
      <c r="F23" s="82"/>
      <c r="G23" s="82"/>
      <c r="H23" s="82"/>
    </row>
    <row r="24" spans="1:18" ht="20.100000000000001" customHeight="1">
      <c r="A24" s="80"/>
      <c r="B24" s="82"/>
      <c r="C24" s="82"/>
      <c r="D24" s="82"/>
      <c r="E24" s="82"/>
      <c r="F24" s="82"/>
      <c r="G24" s="82"/>
      <c r="H24" s="82"/>
    </row>
    <row r="25" spans="1:18" ht="20.100000000000001" customHeight="1">
      <c r="A25" s="625"/>
      <c r="B25" s="625"/>
      <c r="C25" s="625"/>
      <c r="D25" s="625"/>
      <c r="E25" s="625"/>
      <c r="F25" s="625"/>
      <c r="G25" s="625"/>
      <c r="H25" s="625"/>
      <c r="I25" s="625"/>
      <c r="J25" s="627"/>
      <c r="K25" s="627"/>
      <c r="L25" s="627"/>
      <c r="M25" s="627"/>
      <c r="N25" s="627"/>
      <c r="O25" s="627"/>
      <c r="P25" s="627"/>
    </row>
    <row r="26" spans="1:18" ht="29.25" customHeight="1">
      <c r="A26" s="624" t="s">
        <v>499</v>
      </c>
      <c r="B26" s="624"/>
      <c r="C26" s="624"/>
      <c r="D26" s="624"/>
      <c r="E26" s="624"/>
      <c r="F26" s="624"/>
      <c r="G26" s="624"/>
      <c r="H26" s="624"/>
      <c r="I26" s="624"/>
      <c r="J26" s="627"/>
      <c r="K26" s="627"/>
      <c r="L26" s="627"/>
      <c r="M26" s="627"/>
      <c r="N26" s="627"/>
      <c r="O26" s="627"/>
      <c r="P26" s="627"/>
    </row>
    <row r="27" spans="1:18" ht="20.100000000000001" customHeight="1">
      <c r="A27" s="80" t="s">
        <v>500</v>
      </c>
      <c r="B27" s="82"/>
      <c r="C27" s="82"/>
      <c r="D27" s="82"/>
      <c r="E27" s="82"/>
      <c r="F27" s="82"/>
      <c r="G27" s="82"/>
      <c r="H27" s="82"/>
      <c r="J27" s="88"/>
      <c r="K27" s="87"/>
      <c r="L27" s="88"/>
      <c r="M27" s="87"/>
      <c r="N27" s="87"/>
      <c r="O27" s="87"/>
      <c r="P27" s="87"/>
    </row>
    <row r="28" spans="1:18" ht="20.100000000000001" customHeight="1">
      <c r="A28" s="80" t="s">
        <v>501</v>
      </c>
      <c r="B28" s="623"/>
      <c r="C28" s="628"/>
      <c r="D28" s="628"/>
      <c r="E28" s="628"/>
      <c r="F28" s="628"/>
      <c r="G28" s="628"/>
      <c r="H28" s="628"/>
      <c r="I28" s="628"/>
      <c r="J28" s="88"/>
      <c r="K28" s="87"/>
      <c r="L28" s="88"/>
      <c r="M28" s="87"/>
      <c r="N28" s="87"/>
      <c r="O28" s="87"/>
      <c r="P28" s="87"/>
    </row>
    <row r="29" spans="1:18" ht="20.100000000000001" customHeight="1">
      <c r="A29" s="80" t="s">
        <v>502</v>
      </c>
      <c r="B29" s="623"/>
      <c r="C29" s="628"/>
      <c r="D29" s="628"/>
      <c r="E29" s="628"/>
      <c r="F29" s="628"/>
      <c r="G29" s="628"/>
      <c r="H29" s="628"/>
      <c r="I29" s="628"/>
      <c r="J29" s="88"/>
      <c r="K29" s="87"/>
      <c r="L29" s="88"/>
      <c r="M29" s="87"/>
      <c r="N29" s="87"/>
      <c r="O29" s="87"/>
      <c r="P29" s="87"/>
    </row>
    <row r="30" spans="1:18" ht="20.100000000000001" customHeight="1">
      <c r="A30" s="80" t="s">
        <v>351</v>
      </c>
      <c r="B30" s="82"/>
      <c r="C30" s="82"/>
      <c r="D30" s="82"/>
      <c r="E30" s="82"/>
      <c r="F30" s="82"/>
      <c r="G30" s="82"/>
      <c r="H30" s="82"/>
      <c r="J30" s="88"/>
      <c r="K30" s="87"/>
      <c r="L30" s="88"/>
      <c r="M30" s="87"/>
      <c r="N30" s="87"/>
      <c r="O30" s="87"/>
      <c r="P30" s="87"/>
    </row>
    <row r="31" spans="1:18" ht="36.75" customHeight="1">
      <c r="A31" s="629" t="s">
        <v>503</v>
      </c>
      <c r="B31" s="629"/>
      <c r="C31" s="629"/>
      <c r="D31" s="629"/>
      <c r="E31" s="629"/>
      <c r="F31" s="629"/>
      <c r="G31" s="629"/>
      <c r="H31" s="629"/>
      <c r="I31" s="629"/>
    </row>
    <row r="32" spans="1:18" ht="20.100000000000001" customHeight="1">
      <c r="A32" s="80" t="s">
        <v>504</v>
      </c>
      <c r="B32" s="82"/>
      <c r="C32" s="82"/>
      <c r="D32" s="82"/>
      <c r="E32" s="82"/>
      <c r="F32" s="82"/>
      <c r="G32" s="82"/>
      <c r="H32" s="82"/>
    </row>
    <row r="33" spans="1:9" ht="20.100000000000001" customHeight="1">
      <c r="A33" s="83" t="s">
        <v>497</v>
      </c>
      <c r="B33" s="82"/>
      <c r="C33" s="82"/>
      <c r="D33" s="82"/>
      <c r="E33" s="82"/>
      <c r="F33" s="82"/>
      <c r="G33" s="82"/>
      <c r="H33" s="82"/>
    </row>
    <row r="34" spans="1:9" ht="20.100000000000001" customHeight="1">
      <c r="A34" s="625"/>
      <c r="B34" s="625"/>
      <c r="C34" s="625"/>
      <c r="D34" s="625"/>
      <c r="E34" s="625"/>
      <c r="F34" s="625"/>
      <c r="G34" s="625"/>
      <c r="H34" s="625"/>
      <c r="I34" s="625"/>
    </row>
    <row r="35" spans="1:9" ht="20.100000000000001" customHeight="1">
      <c r="A35" s="82"/>
      <c r="B35" s="82"/>
      <c r="C35" s="82"/>
      <c r="D35" s="82"/>
      <c r="E35" s="82"/>
      <c r="F35" s="82"/>
      <c r="G35" s="82"/>
      <c r="H35" s="82"/>
    </row>
    <row r="36" spans="1:9" ht="20.100000000000001" customHeight="1">
      <c r="A36" s="80" t="s">
        <v>505</v>
      </c>
      <c r="B36" s="82"/>
      <c r="C36" s="82"/>
      <c r="D36" s="82"/>
      <c r="E36" s="82"/>
      <c r="F36" s="82"/>
      <c r="G36" s="82"/>
      <c r="H36" s="82"/>
    </row>
    <row r="37" spans="1:9" ht="20.100000000000001" customHeight="1">
      <c r="A37" s="624" t="s">
        <v>499</v>
      </c>
      <c r="B37" s="624"/>
      <c r="C37" s="624"/>
      <c r="D37" s="624"/>
      <c r="E37" s="624"/>
      <c r="F37" s="624"/>
      <c r="G37" s="624"/>
      <c r="H37" s="624"/>
      <c r="I37" s="624"/>
    </row>
    <row r="38" spans="1:9" ht="20.100000000000001" customHeight="1">
      <c r="A38" s="625"/>
      <c r="B38" s="625"/>
      <c r="C38" s="625"/>
      <c r="D38" s="625"/>
      <c r="E38" s="625"/>
      <c r="F38" s="625"/>
      <c r="G38" s="625"/>
      <c r="H38" s="625"/>
      <c r="I38" s="625"/>
    </row>
    <row r="39" spans="1:9" ht="20.100000000000001" customHeight="1">
      <c r="A39" s="81"/>
      <c r="B39" s="81"/>
      <c r="C39" s="81"/>
      <c r="D39" s="81"/>
      <c r="E39" s="81"/>
      <c r="F39" s="81"/>
      <c r="G39" s="81"/>
      <c r="H39" s="81"/>
      <c r="I39" s="81"/>
    </row>
    <row r="40" spans="1:9" ht="20.100000000000001" customHeight="1">
      <c r="A40" s="82"/>
      <c r="B40" s="82"/>
      <c r="C40" s="82"/>
      <c r="D40" s="82"/>
      <c r="E40" s="82"/>
      <c r="F40" s="82"/>
      <c r="G40" s="82"/>
      <c r="H40" s="82"/>
    </row>
    <row r="41" spans="1:9" ht="20.100000000000001" customHeight="1">
      <c r="A41" s="80" t="s">
        <v>506</v>
      </c>
      <c r="B41" s="82"/>
      <c r="C41" s="82"/>
      <c r="D41" s="82"/>
      <c r="E41" s="82"/>
      <c r="F41" s="82"/>
      <c r="G41" s="82"/>
      <c r="H41" s="82"/>
    </row>
    <row r="42" spans="1:9" ht="57.75" customHeight="1">
      <c r="A42" s="74" t="s">
        <v>507</v>
      </c>
    </row>
    <row r="43" spans="1:9" ht="59.25" customHeight="1">
      <c r="A43" s="74" t="s">
        <v>507</v>
      </c>
    </row>
    <row r="44" spans="1:9" ht="20.100000000000001" customHeight="1">
      <c r="A44" s="622" t="s">
        <v>508</v>
      </c>
      <c r="B44" s="622"/>
      <c r="C44" s="622"/>
      <c r="D44" s="622"/>
      <c r="E44" s="622"/>
      <c r="F44" s="622"/>
      <c r="G44" s="622"/>
      <c r="H44" s="622"/>
      <c r="I44" s="622"/>
    </row>
    <row r="45" spans="1:9" ht="20.100000000000001" customHeight="1">
      <c r="A45" s="76"/>
      <c r="B45" s="76"/>
      <c r="C45" s="76"/>
      <c r="D45" s="76"/>
      <c r="E45" s="76"/>
      <c r="F45" s="76"/>
      <c r="G45" s="76"/>
      <c r="H45" s="76"/>
      <c r="I45" s="76"/>
    </row>
    <row r="46" spans="1:9" ht="20.100000000000001" customHeight="1">
      <c r="A46" s="623"/>
      <c r="B46" s="623"/>
      <c r="C46" s="623"/>
      <c r="D46" s="623"/>
      <c r="E46" s="623"/>
      <c r="F46" s="623"/>
      <c r="G46" s="623"/>
      <c r="H46" s="623"/>
      <c r="I46" s="623"/>
    </row>
    <row r="47" spans="1:9" ht="20.100000000000001" customHeight="1">
      <c r="A47" s="82"/>
      <c r="B47" s="82"/>
      <c r="C47" s="82"/>
      <c r="D47" s="82"/>
      <c r="E47" s="82"/>
      <c r="F47" s="82"/>
      <c r="G47" s="82"/>
      <c r="H47" s="82"/>
    </row>
    <row r="48" spans="1:9" ht="20.100000000000001" customHeight="1">
      <c r="A48" s="622" t="s">
        <v>411</v>
      </c>
      <c r="B48" s="622"/>
      <c r="C48" s="622"/>
      <c r="D48" s="622"/>
      <c r="E48" s="622"/>
      <c r="F48" s="622"/>
      <c r="G48" s="622"/>
      <c r="H48" s="622"/>
      <c r="I48" s="622"/>
    </row>
    <row r="49" spans="1:9" ht="36" customHeight="1">
      <c r="A49" s="630" t="s">
        <v>509</v>
      </c>
      <c r="B49" s="630"/>
      <c r="C49" s="630"/>
      <c r="D49" s="630"/>
      <c r="E49" s="630"/>
      <c r="F49" s="630"/>
      <c r="G49" s="630"/>
      <c r="H49" s="630"/>
      <c r="I49" s="630"/>
    </row>
    <row r="50" spans="1:9" ht="20.100000000000001" customHeight="1">
      <c r="A50" s="85" t="s">
        <v>510</v>
      </c>
      <c r="B50" s="81"/>
      <c r="C50" s="81"/>
      <c r="D50" s="81"/>
      <c r="E50" s="81"/>
      <c r="F50" s="81"/>
      <c r="G50" s="81"/>
      <c r="H50" s="81"/>
      <c r="I50" s="81"/>
    </row>
    <row r="51" spans="1:9" ht="126" customHeight="1">
      <c r="A51" s="86" t="s">
        <v>511</v>
      </c>
      <c r="B51" s="624" t="s">
        <v>512</v>
      </c>
      <c r="C51" s="631"/>
      <c r="D51" s="631"/>
      <c r="E51" s="631"/>
      <c r="F51" s="631"/>
      <c r="G51" s="631"/>
      <c r="H51" s="631"/>
      <c r="I51" s="631"/>
    </row>
    <row r="52" spans="1:9" ht="126" customHeight="1">
      <c r="A52" s="86" t="s">
        <v>513</v>
      </c>
      <c r="B52" s="624" t="s">
        <v>514</v>
      </c>
      <c r="C52" s="631"/>
      <c r="D52" s="631"/>
      <c r="E52" s="631"/>
      <c r="F52" s="631"/>
      <c r="G52" s="631"/>
      <c r="H52" s="631"/>
      <c r="I52" s="631"/>
    </row>
    <row r="53" spans="1:9" ht="126" customHeight="1">
      <c r="A53" s="86" t="s">
        <v>515</v>
      </c>
      <c r="B53" s="624" t="s">
        <v>516</v>
      </c>
      <c r="C53" s="624"/>
      <c r="D53" s="624"/>
      <c r="E53" s="624"/>
      <c r="F53" s="624"/>
      <c r="G53" s="624"/>
      <c r="H53" s="624"/>
      <c r="I53" s="624"/>
    </row>
    <row r="54" spans="1:9" ht="126" customHeight="1">
      <c r="A54" s="86" t="s">
        <v>517</v>
      </c>
      <c r="B54" s="624" t="s">
        <v>518</v>
      </c>
      <c r="C54" s="624"/>
      <c r="D54" s="624"/>
      <c r="E54" s="624"/>
      <c r="F54" s="624"/>
      <c r="G54" s="624"/>
      <c r="H54" s="624"/>
      <c r="I54" s="624"/>
    </row>
    <row r="55" spans="1:9" ht="123" customHeight="1">
      <c r="A55" s="86" t="s">
        <v>519</v>
      </c>
      <c r="B55" s="624" t="s">
        <v>520</v>
      </c>
      <c r="C55" s="624"/>
      <c r="D55" s="624"/>
      <c r="E55" s="624"/>
      <c r="F55" s="624"/>
      <c r="G55" s="624"/>
      <c r="H55" s="624"/>
      <c r="I55" s="624"/>
    </row>
    <row r="56" spans="1:9" ht="100.5" customHeight="1">
      <c r="A56" s="86" t="s">
        <v>521</v>
      </c>
      <c r="B56" s="624" t="s">
        <v>522</v>
      </c>
      <c r="C56" s="624"/>
      <c r="D56" s="624"/>
      <c r="E56" s="624"/>
      <c r="F56" s="624"/>
      <c r="G56" s="624"/>
      <c r="H56" s="624"/>
      <c r="I56" s="624"/>
    </row>
    <row r="57" spans="1:9" ht="126" customHeight="1">
      <c r="A57" s="82"/>
      <c r="B57" s="82"/>
      <c r="C57" s="82"/>
      <c r="D57" s="82"/>
      <c r="E57" s="82"/>
      <c r="F57" s="82"/>
      <c r="G57" s="82"/>
      <c r="H57" s="82"/>
    </row>
    <row r="58" spans="1:9" ht="20.100000000000001" customHeight="1">
      <c r="A58" s="82"/>
      <c r="B58" s="82"/>
      <c r="C58" s="82"/>
      <c r="D58" s="82"/>
      <c r="E58" s="82"/>
      <c r="F58" s="82"/>
      <c r="G58" s="82"/>
      <c r="H58" s="82"/>
    </row>
  </sheetData>
  <mergeCells count="32">
    <mergeCell ref="B56:I56"/>
    <mergeCell ref="B51:I51"/>
    <mergeCell ref="B52:I52"/>
    <mergeCell ref="B53:I53"/>
    <mergeCell ref="B54:I54"/>
    <mergeCell ref="B55:I55"/>
    <mergeCell ref="A38:I38"/>
    <mergeCell ref="A44:I44"/>
    <mergeCell ref="A46:I46"/>
    <mergeCell ref="A48:I48"/>
    <mergeCell ref="A49:I49"/>
    <mergeCell ref="B28:I28"/>
    <mergeCell ref="B29:I29"/>
    <mergeCell ref="A31:I31"/>
    <mergeCell ref="A34:I34"/>
    <mergeCell ref="A37:I37"/>
    <mergeCell ref="A16:I16"/>
    <mergeCell ref="A20:I20"/>
    <mergeCell ref="A25:I25"/>
    <mergeCell ref="J25:P25"/>
    <mergeCell ref="A26:I26"/>
    <mergeCell ref="J26:P26"/>
    <mergeCell ref="A11:I11"/>
    <mergeCell ref="J12:R12"/>
    <mergeCell ref="J13:R13"/>
    <mergeCell ref="J14:R14"/>
    <mergeCell ref="A15:I15"/>
    <mergeCell ref="A1:I1"/>
    <mergeCell ref="A2:I2"/>
    <mergeCell ref="A5:I5"/>
    <mergeCell ref="A8:I8"/>
    <mergeCell ref="A10:I10"/>
  </mergeCells>
  <phoneticPr fontId="176" type="noConversion"/>
  <hyperlinks>
    <hyperlink ref="I3" location="底稿目录!A1" display="=底稿目录!F13"/>
  </hyperlinks>
  <pageMargins left="0.70833333333333304" right="0.70833333333333304" top="0.74791666666666701" bottom="0.74791666666666701" header="0.31458333333333299" footer="0.31458333333333299"/>
  <pageSetup paperSize="9" scale="80" fitToHeight="40" orientation="portrait" blackAndWhite="1" r:id="rId1"/>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O48"/>
  <sheetViews>
    <sheetView view="pageBreakPreview" zoomScaleNormal="100" workbookViewId="0">
      <selection sqref="A1:H1"/>
    </sheetView>
  </sheetViews>
  <sheetFormatPr defaultColWidth="9" defaultRowHeight="20.100000000000001" customHeight="1"/>
  <cols>
    <col min="1" max="1" width="22.69921875" style="23" customWidth="1"/>
    <col min="2" max="2" width="13.3984375" style="23" customWidth="1"/>
    <col min="3" max="3" width="11.8984375" style="23" customWidth="1"/>
    <col min="4" max="4" width="13.5" style="23" customWidth="1"/>
    <col min="5" max="5" width="11.59765625" style="23" customWidth="1"/>
    <col min="6" max="6" width="12.5" style="23" customWidth="1"/>
    <col min="7" max="7" width="10.09765625" style="23" customWidth="1"/>
    <col min="8" max="8" width="9.09765625" style="23" customWidth="1"/>
    <col min="9" max="252" width="9" style="23"/>
    <col min="253" max="253" width="32.5" style="23" customWidth="1"/>
    <col min="254" max="254" width="14" style="23" customWidth="1"/>
    <col min="255" max="255" width="16.59765625" style="23" customWidth="1"/>
    <col min="256" max="257" width="16.5" style="23" customWidth="1"/>
    <col min="258" max="258" width="12" style="23" customWidth="1"/>
    <col min="259" max="259" width="13.3984375" style="23" customWidth="1"/>
    <col min="260" max="260" width="11.59765625" style="23" customWidth="1"/>
    <col min="261" max="261" width="11.69921875" style="23" customWidth="1"/>
    <col min="262" max="508" width="9" style="23"/>
    <col min="509" max="509" width="32.5" style="23" customWidth="1"/>
    <col min="510" max="510" width="14" style="23" customWidth="1"/>
    <col min="511" max="511" width="16.59765625" style="23" customWidth="1"/>
    <col min="512" max="513" width="16.5" style="23" customWidth="1"/>
    <col min="514" max="514" width="12" style="23" customWidth="1"/>
    <col min="515" max="515" width="13.3984375" style="23" customWidth="1"/>
    <col min="516" max="516" width="11.59765625" style="23" customWidth="1"/>
    <col min="517" max="517" width="11.69921875" style="23" customWidth="1"/>
    <col min="518" max="764" width="9" style="23"/>
    <col min="765" max="765" width="32.5" style="23" customWidth="1"/>
    <col min="766" max="766" width="14" style="23" customWidth="1"/>
    <col min="767" max="767" width="16.59765625" style="23" customWidth="1"/>
    <col min="768" max="769" width="16.5" style="23" customWidth="1"/>
    <col min="770" max="770" width="12" style="23" customWidth="1"/>
    <col min="771" max="771" width="13.3984375" style="23" customWidth="1"/>
    <col min="772" max="772" width="11.59765625" style="23" customWidth="1"/>
    <col min="773" max="773" width="11.69921875" style="23" customWidth="1"/>
    <col min="774" max="1020" width="9" style="23"/>
    <col min="1021" max="1021" width="32.5" style="23" customWidth="1"/>
    <col min="1022" max="1022" width="14" style="23" customWidth="1"/>
    <col min="1023" max="1023" width="16.59765625" style="23" customWidth="1"/>
    <col min="1024" max="1025" width="16.5" style="23" customWidth="1"/>
    <col min="1026" max="1026" width="12" style="23" customWidth="1"/>
    <col min="1027" max="1027" width="13.3984375" style="23" customWidth="1"/>
    <col min="1028" max="1028" width="11.59765625" style="23" customWidth="1"/>
    <col min="1029" max="1029" width="11.69921875" style="23" customWidth="1"/>
    <col min="1030" max="1276" width="9" style="23"/>
    <col min="1277" max="1277" width="32.5" style="23" customWidth="1"/>
    <col min="1278" max="1278" width="14" style="23" customWidth="1"/>
    <col min="1279" max="1279" width="16.59765625" style="23" customWidth="1"/>
    <col min="1280" max="1281" width="16.5" style="23" customWidth="1"/>
    <col min="1282" max="1282" width="12" style="23" customWidth="1"/>
    <col min="1283" max="1283" width="13.3984375" style="23" customWidth="1"/>
    <col min="1284" max="1284" width="11.59765625" style="23" customWidth="1"/>
    <col min="1285" max="1285" width="11.69921875" style="23" customWidth="1"/>
    <col min="1286" max="1532" width="9" style="23"/>
    <col min="1533" max="1533" width="32.5" style="23" customWidth="1"/>
    <col min="1534" max="1534" width="14" style="23" customWidth="1"/>
    <col min="1535" max="1535" width="16.59765625" style="23" customWidth="1"/>
    <col min="1536" max="1537" width="16.5" style="23" customWidth="1"/>
    <col min="1538" max="1538" width="12" style="23" customWidth="1"/>
    <col min="1539" max="1539" width="13.3984375" style="23" customWidth="1"/>
    <col min="1540" max="1540" width="11.59765625" style="23" customWidth="1"/>
    <col min="1541" max="1541" width="11.69921875" style="23" customWidth="1"/>
    <col min="1542" max="1788" width="9" style="23"/>
    <col min="1789" max="1789" width="32.5" style="23" customWidth="1"/>
    <col min="1790" max="1790" width="14" style="23" customWidth="1"/>
    <col min="1791" max="1791" width="16.59765625" style="23" customWidth="1"/>
    <col min="1792" max="1793" width="16.5" style="23" customWidth="1"/>
    <col min="1794" max="1794" width="12" style="23" customWidth="1"/>
    <col min="1795" max="1795" width="13.3984375" style="23" customWidth="1"/>
    <col min="1796" max="1796" width="11.59765625" style="23" customWidth="1"/>
    <col min="1797" max="1797" width="11.69921875" style="23" customWidth="1"/>
    <col min="1798" max="2044" width="9" style="23"/>
    <col min="2045" max="2045" width="32.5" style="23" customWidth="1"/>
    <col min="2046" max="2046" width="14" style="23" customWidth="1"/>
    <col min="2047" max="2047" width="16.59765625" style="23" customWidth="1"/>
    <col min="2048" max="2049" width="16.5" style="23" customWidth="1"/>
    <col min="2050" max="2050" width="12" style="23" customWidth="1"/>
    <col min="2051" max="2051" width="13.3984375" style="23" customWidth="1"/>
    <col min="2052" max="2052" width="11.59765625" style="23" customWidth="1"/>
    <col min="2053" max="2053" width="11.69921875" style="23" customWidth="1"/>
    <col min="2054" max="2300" width="9" style="23"/>
    <col min="2301" max="2301" width="32.5" style="23" customWidth="1"/>
    <col min="2302" max="2302" width="14" style="23" customWidth="1"/>
    <col min="2303" max="2303" width="16.59765625" style="23" customWidth="1"/>
    <col min="2304" max="2305" width="16.5" style="23" customWidth="1"/>
    <col min="2306" max="2306" width="12" style="23" customWidth="1"/>
    <col min="2307" max="2307" width="13.3984375" style="23" customWidth="1"/>
    <col min="2308" max="2308" width="11.59765625" style="23" customWidth="1"/>
    <col min="2309" max="2309" width="11.69921875" style="23" customWidth="1"/>
    <col min="2310" max="2556" width="9" style="23"/>
    <col min="2557" max="2557" width="32.5" style="23" customWidth="1"/>
    <col min="2558" max="2558" width="14" style="23" customWidth="1"/>
    <col min="2559" max="2559" width="16.59765625" style="23" customWidth="1"/>
    <col min="2560" max="2561" width="16.5" style="23" customWidth="1"/>
    <col min="2562" max="2562" width="12" style="23" customWidth="1"/>
    <col min="2563" max="2563" width="13.3984375" style="23" customWidth="1"/>
    <col min="2564" max="2564" width="11.59765625" style="23" customWidth="1"/>
    <col min="2565" max="2565" width="11.69921875" style="23" customWidth="1"/>
    <col min="2566" max="2812" width="9" style="23"/>
    <col min="2813" max="2813" width="32.5" style="23" customWidth="1"/>
    <col min="2814" max="2814" width="14" style="23" customWidth="1"/>
    <col min="2815" max="2815" width="16.59765625" style="23" customWidth="1"/>
    <col min="2816" max="2817" width="16.5" style="23" customWidth="1"/>
    <col min="2818" max="2818" width="12" style="23" customWidth="1"/>
    <col min="2819" max="2819" width="13.3984375" style="23" customWidth="1"/>
    <col min="2820" max="2820" width="11.59765625" style="23" customWidth="1"/>
    <col min="2821" max="2821" width="11.69921875" style="23" customWidth="1"/>
    <col min="2822" max="3068" width="9" style="23"/>
    <col min="3069" max="3069" width="32.5" style="23" customWidth="1"/>
    <col min="3070" max="3070" width="14" style="23" customWidth="1"/>
    <col min="3071" max="3071" width="16.59765625" style="23" customWidth="1"/>
    <col min="3072" max="3073" width="16.5" style="23" customWidth="1"/>
    <col min="3074" max="3074" width="12" style="23" customWidth="1"/>
    <col min="3075" max="3075" width="13.3984375" style="23" customWidth="1"/>
    <col min="3076" max="3076" width="11.59765625" style="23" customWidth="1"/>
    <col min="3077" max="3077" width="11.69921875" style="23" customWidth="1"/>
    <col min="3078" max="3324" width="9" style="23"/>
    <col min="3325" max="3325" width="32.5" style="23" customWidth="1"/>
    <col min="3326" max="3326" width="14" style="23" customWidth="1"/>
    <col min="3327" max="3327" width="16.59765625" style="23" customWidth="1"/>
    <col min="3328" max="3329" width="16.5" style="23" customWidth="1"/>
    <col min="3330" max="3330" width="12" style="23" customWidth="1"/>
    <col min="3331" max="3331" width="13.3984375" style="23" customWidth="1"/>
    <col min="3332" max="3332" width="11.59765625" style="23" customWidth="1"/>
    <col min="3333" max="3333" width="11.69921875" style="23" customWidth="1"/>
    <col min="3334" max="3580" width="9" style="23"/>
    <col min="3581" max="3581" width="32.5" style="23" customWidth="1"/>
    <col min="3582" max="3582" width="14" style="23" customWidth="1"/>
    <col min="3583" max="3583" width="16.59765625" style="23" customWidth="1"/>
    <col min="3584" max="3585" width="16.5" style="23" customWidth="1"/>
    <col min="3586" max="3586" width="12" style="23" customWidth="1"/>
    <col min="3587" max="3587" width="13.3984375" style="23" customWidth="1"/>
    <col min="3588" max="3588" width="11.59765625" style="23" customWidth="1"/>
    <col min="3589" max="3589" width="11.69921875" style="23" customWidth="1"/>
    <col min="3590" max="3836" width="9" style="23"/>
    <col min="3837" max="3837" width="32.5" style="23" customWidth="1"/>
    <col min="3838" max="3838" width="14" style="23" customWidth="1"/>
    <col min="3839" max="3839" width="16.59765625" style="23" customWidth="1"/>
    <col min="3840" max="3841" width="16.5" style="23" customWidth="1"/>
    <col min="3842" max="3842" width="12" style="23" customWidth="1"/>
    <col min="3843" max="3843" width="13.3984375" style="23" customWidth="1"/>
    <col min="3844" max="3844" width="11.59765625" style="23" customWidth="1"/>
    <col min="3845" max="3845" width="11.69921875" style="23" customWidth="1"/>
    <col min="3846" max="4092" width="9" style="23"/>
    <col min="4093" max="4093" width="32.5" style="23" customWidth="1"/>
    <col min="4094" max="4094" width="14" style="23" customWidth="1"/>
    <col min="4095" max="4095" width="16.59765625" style="23" customWidth="1"/>
    <col min="4096" max="4097" width="16.5" style="23" customWidth="1"/>
    <col min="4098" max="4098" width="12" style="23" customWidth="1"/>
    <col min="4099" max="4099" width="13.3984375" style="23" customWidth="1"/>
    <col min="4100" max="4100" width="11.59765625" style="23" customWidth="1"/>
    <col min="4101" max="4101" width="11.69921875" style="23" customWidth="1"/>
    <col min="4102" max="4348" width="9" style="23"/>
    <col min="4349" max="4349" width="32.5" style="23" customWidth="1"/>
    <col min="4350" max="4350" width="14" style="23" customWidth="1"/>
    <col min="4351" max="4351" width="16.59765625" style="23" customWidth="1"/>
    <col min="4352" max="4353" width="16.5" style="23" customWidth="1"/>
    <col min="4354" max="4354" width="12" style="23" customWidth="1"/>
    <col min="4355" max="4355" width="13.3984375" style="23" customWidth="1"/>
    <col min="4356" max="4356" width="11.59765625" style="23" customWidth="1"/>
    <col min="4357" max="4357" width="11.69921875" style="23" customWidth="1"/>
    <col min="4358" max="4604" width="9" style="23"/>
    <col min="4605" max="4605" width="32.5" style="23" customWidth="1"/>
    <col min="4606" max="4606" width="14" style="23" customWidth="1"/>
    <col min="4607" max="4607" width="16.59765625" style="23" customWidth="1"/>
    <col min="4608" max="4609" width="16.5" style="23" customWidth="1"/>
    <col min="4610" max="4610" width="12" style="23" customWidth="1"/>
    <col min="4611" max="4611" width="13.3984375" style="23" customWidth="1"/>
    <col min="4612" max="4612" width="11.59765625" style="23" customWidth="1"/>
    <col min="4613" max="4613" width="11.69921875" style="23" customWidth="1"/>
    <col min="4614" max="4860" width="9" style="23"/>
    <col min="4861" max="4861" width="32.5" style="23" customWidth="1"/>
    <col min="4862" max="4862" width="14" style="23" customWidth="1"/>
    <col min="4863" max="4863" width="16.59765625" style="23" customWidth="1"/>
    <col min="4864" max="4865" width="16.5" style="23" customWidth="1"/>
    <col min="4866" max="4866" width="12" style="23" customWidth="1"/>
    <col min="4867" max="4867" width="13.3984375" style="23" customWidth="1"/>
    <col min="4868" max="4868" width="11.59765625" style="23" customWidth="1"/>
    <col min="4869" max="4869" width="11.69921875" style="23" customWidth="1"/>
    <col min="4870" max="5116" width="9" style="23"/>
    <col min="5117" max="5117" width="32.5" style="23" customWidth="1"/>
    <col min="5118" max="5118" width="14" style="23" customWidth="1"/>
    <col min="5119" max="5119" width="16.59765625" style="23" customWidth="1"/>
    <col min="5120" max="5121" width="16.5" style="23" customWidth="1"/>
    <col min="5122" max="5122" width="12" style="23" customWidth="1"/>
    <col min="5123" max="5123" width="13.3984375" style="23" customWidth="1"/>
    <col min="5124" max="5124" width="11.59765625" style="23" customWidth="1"/>
    <col min="5125" max="5125" width="11.69921875" style="23" customWidth="1"/>
    <col min="5126" max="5372" width="9" style="23"/>
    <col min="5373" max="5373" width="32.5" style="23" customWidth="1"/>
    <col min="5374" max="5374" width="14" style="23" customWidth="1"/>
    <col min="5375" max="5375" width="16.59765625" style="23" customWidth="1"/>
    <col min="5376" max="5377" width="16.5" style="23" customWidth="1"/>
    <col min="5378" max="5378" width="12" style="23" customWidth="1"/>
    <col min="5379" max="5379" width="13.3984375" style="23" customWidth="1"/>
    <col min="5380" max="5380" width="11.59765625" style="23" customWidth="1"/>
    <col min="5381" max="5381" width="11.69921875" style="23" customWidth="1"/>
    <col min="5382" max="5628" width="9" style="23"/>
    <col min="5629" max="5629" width="32.5" style="23" customWidth="1"/>
    <col min="5630" max="5630" width="14" style="23" customWidth="1"/>
    <col min="5631" max="5631" width="16.59765625" style="23" customWidth="1"/>
    <col min="5632" max="5633" width="16.5" style="23" customWidth="1"/>
    <col min="5634" max="5634" width="12" style="23" customWidth="1"/>
    <col min="5635" max="5635" width="13.3984375" style="23" customWidth="1"/>
    <col min="5636" max="5636" width="11.59765625" style="23" customWidth="1"/>
    <col min="5637" max="5637" width="11.69921875" style="23" customWidth="1"/>
    <col min="5638" max="5884" width="9" style="23"/>
    <col min="5885" max="5885" width="32.5" style="23" customWidth="1"/>
    <col min="5886" max="5886" width="14" style="23" customWidth="1"/>
    <col min="5887" max="5887" width="16.59765625" style="23" customWidth="1"/>
    <col min="5888" max="5889" width="16.5" style="23" customWidth="1"/>
    <col min="5890" max="5890" width="12" style="23" customWidth="1"/>
    <col min="5891" max="5891" width="13.3984375" style="23" customWidth="1"/>
    <col min="5892" max="5892" width="11.59765625" style="23" customWidth="1"/>
    <col min="5893" max="5893" width="11.69921875" style="23" customWidth="1"/>
    <col min="5894" max="6140" width="9" style="23"/>
    <col min="6141" max="6141" width="32.5" style="23" customWidth="1"/>
    <col min="6142" max="6142" width="14" style="23" customWidth="1"/>
    <col min="6143" max="6143" width="16.59765625" style="23" customWidth="1"/>
    <col min="6144" max="6145" width="16.5" style="23" customWidth="1"/>
    <col min="6146" max="6146" width="12" style="23" customWidth="1"/>
    <col min="6147" max="6147" width="13.3984375" style="23" customWidth="1"/>
    <col min="6148" max="6148" width="11.59765625" style="23" customWidth="1"/>
    <col min="6149" max="6149" width="11.69921875" style="23" customWidth="1"/>
    <col min="6150" max="6396" width="9" style="23"/>
    <col min="6397" max="6397" width="32.5" style="23" customWidth="1"/>
    <col min="6398" max="6398" width="14" style="23" customWidth="1"/>
    <col min="6399" max="6399" width="16.59765625" style="23" customWidth="1"/>
    <col min="6400" max="6401" width="16.5" style="23" customWidth="1"/>
    <col min="6402" max="6402" width="12" style="23" customWidth="1"/>
    <col min="6403" max="6403" width="13.3984375" style="23" customWidth="1"/>
    <col min="6404" max="6404" width="11.59765625" style="23" customWidth="1"/>
    <col min="6405" max="6405" width="11.69921875" style="23" customWidth="1"/>
    <col min="6406" max="6652" width="9" style="23"/>
    <col min="6653" max="6653" width="32.5" style="23" customWidth="1"/>
    <col min="6654" max="6654" width="14" style="23" customWidth="1"/>
    <col min="6655" max="6655" width="16.59765625" style="23" customWidth="1"/>
    <col min="6656" max="6657" width="16.5" style="23" customWidth="1"/>
    <col min="6658" max="6658" width="12" style="23" customWidth="1"/>
    <col min="6659" max="6659" width="13.3984375" style="23" customWidth="1"/>
    <col min="6660" max="6660" width="11.59765625" style="23" customWidth="1"/>
    <col min="6661" max="6661" width="11.69921875" style="23" customWidth="1"/>
    <col min="6662" max="6908" width="9" style="23"/>
    <col min="6909" max="6909" width="32.5" style="23" customWidth="1"/>
    <col min="6910" max="6910" width="14" style="23" customWidth="1"/>
    <col min="6911" max="6911" width="16.59765625" style="23" customWidth="1"/>
    <col min="6912" max="6913" width="16.5" style="23" customWidth="1"/>
    <col min="6914" max="6914" width="12" style="23" customWidth="1"/>
    <col min="6915" max="6915" width="13.3984375" style="23" customWidth="1"/>
    <col min="6916" max="6916" width="11.59765625" style="23" customWidth="1"/>
    <col min="6917" max="6917" width="11.69921875" style="23" customWidth="1"/>
    <col min="6918" max="7164" width="9" style="23"/>
    <col min="7165" max="7165" width="32.5" style="23" customWidth="1"/>
    <col min="7166" max="7166" width="14" style="23" customWidth="1"/>
    <col min="7167" max="7167" width="16.59765625" style="23" customWidth="1"/>
    <col min="7168" max="7169" width="16.5" style="23" customWidth="1"/>
    <col min="7170" max="7170" width="12" style="23" customWidth="1"/>
    <col min="7171" max="7171" width="13.3984375" style="23" customWidth="1"/>
    <col min="7172" max="7172" width="11.59765625" style="23" customWidth="1"/>
    <col min="7173" max="7173" width="11.69921875" style="23" customWidth="1"/>
    <col min="7174" max="7420" width="9" style="23"/>
    <col min="7421" max="7421" width="32.5" style="23" customWidth="1"/>
    <col min="7422" max="7422" width="14" style="23" customWidth="1"/>
    <col min="7423" max="7423" width="16.59765625" style="23" customWidth="1"/>
    <col min="7424" max="7425" width="16.5" style="23" customWidth="1"/>
    <col min="7426" max="7426" width="12" style="23" customWidth="1"/>
    <col min="7427" max="7427" width="13.3984375" style="23" customWidth="1"/>
    <col min="7428" max="7428" width="11.59765625" style="23" customWidth="1"/>
    <col min="7429" max="7429" width="11.69921875" style="23" customWidth="1"/>
    <col min="7430" max="7676" width="9" style="23"/>
    <col min="7677" max="7677" width="32.5" style="23" customWidth="1"/>
    <col min="7678" max="7678" width="14" style="23" customWidth="1"/>
    <col min="7679" max="7679" width="16.59765625" style="23" customWidth="1"/>
    <col min="7680" max="7681" width="16.5" style="23" customWidth="1"/>
    <col min="7682" max="7682" width="12" style="23" customWidth="1"/>
    <col min="7683" max="7683" width="13.3984375" style="23" customWidth="1"/>
    <col min="7684" max="7684" width="11.59765625" style="23" customWidth="1"/>
    <col min="7685" max="7685" width="11.69921875" style="23" customWidth="1"/>
    <col min="7686" max="7932" width="9" style="23"/>
    <col min="7933" max="7933" width="32.5" style="23" customWidth="1"/>
    <col min="7934" max="7934" width="14" style="23" customWidth="1"/>
    <col min="7935" max="7935" width="16.59765625" style="23" customWidth="1"/>
    <col min="7936" max="7937" width="16.5" style="23" customWidth="1"/>
    <col min="7938" max="7938" width="12" style="23" customWidth="1"/>
    <col min="7939" max="7939" width="13.3984375" style="23" customWidth="1"/>
    <col min="7940" max="7940" width="11.59765625" style="23" customWidth="1"/>
    <col min="7941" max="7941" width="11.69921875" style="23" customWidth="1"/>
    <col min="7942" max="8188" width="9" style="23"/>
    <col min="8189" max="8189" width="32.5" style="23" customWidth="1"/>
    <col min="8190" max="8190" width="14" style="23" customWidth="1"/>
    <col min="8191" max="8191" width="16.59765625" style="23" customWidth="1"/>
    <col min="8192" max="8193" width="16.5" style="23" customWidth="1"/>
    <col min="8194" max="8194" width="12" style="23" customWidth="1"/>
    <col min="8195" max="8195" width="13.3984375" style="23" customWidth="1"/>
    <col min="8196" max="8196" width="11.59765625" style="23" customWidth="1"/>
    <col min="8197" max="8197" width="11.69921875" style="23" customWidth="1"/>
    <col min="8198" max="8444" width="9" style="23"/>
    <col min="8445" max="8445" width="32.5" style="23" customWidth="1"/>
    <col min="8446" max="8446" width="14" style="23" customWidth="1"/>
    <col min="8447" max="8447" width="16.59765625" style="23" customWidth="1"/>
    <col min="8448" max="8449" width="16.5" style="23" customWidth="1"/>
    <col min="8450" max="8450" width="12" style="23" customWidth="1"/>
    <col min="8451" max="8451" width="13.3984375" style="23" customWidth="1"/>
    <col min="8452" max="8452" width="11.59765625" style="23" customWidth="1"/>
    <col min="8453" max="8453" width="11.69921875" style="23" customWidth="1"/>
    <col min="8454" max="8700" width="9" style="23"/>
    <col min="8701" max="8701" width="32.5" style="23" customWidth="1"/>
    <col min="8702" max="8702" width="14" style="23" customWidth="1"/>
    <col min="8703" max="8703" width="16.59765625" style="23" customWidth="1"/>
    <col min="8704" max="8705" width="16.5" style="23" customWidth="1"/>
    <col min="8706" max="8706" width="12" style="23" customWidth="1"/>
    <col min="8707" max="8707" width="13.3984375" style="23" customWidth="1"/>
    <col min="8708" max="8708" width="11.59765625" style="23" customWidth="1"/>
    <col min="8709" max="8709" width="11.69921875" style="23" customWidth="1"/>
    <col min="8710" max="8956" width="9" style="23"/>
    <col min="8957" max="8957" width="32.5" style="23" customWidth="1"/>
    <col min="8958" max="8958" width="14" style="23" customWidth="1"/>
    <col min="8959" max="8959" width="16.59765625" style="23" customWidth="1"/>
    <col min="8960" max="8961" width="16.5" style="23" customWidth="1"/>
    <col min="8962" max="8962" width="12" style="23" customWidth="1"/>
    <col min="8963" max="8963" width="13.3984375" style="23" customWidth="1"/>
    <col min="8964" max="8964" width="11.59765625" style="23" customWidth="1"/>
    <col min="8965" max="8965" width="11.69921875" style="23" customWidth="1"/>
    <col min="8966" max="9212" width="9" style="23"/>
    <col min="9213" max="9213" width="32.5" style="23" customWidth="1"/>
    <col min="9214" max="9214" width="14" style="23" customWidth="1"/>
    <col min="9215" max="9215" width="16.59765625" style="23" customWidth="1"/>
    <col min="9216" max="9217" width="16.5" style="23" customWidth="1"/>
    <col min="9218" max="9218" width="12" style="23" customWidth="1"/>
    <col min="9219" max="9219" width="13.3984375" style="23" customWidth="1"/>
    <col min="9220" max="9220" width="11.59765625" style="23" customWidth="1"/>
    <col min="9221" max="9221" width="11.69921875" style="23" customWidth="1"/>
    <col min="9222" max="9468" width="9" style="23"/>
    <col min="9469" max="9469" width="32.5" style="23" customWidth="1"/>
    <col min="9470" max="9470" width="14" style="23" customWidth="1"/>
    <col min="9471" max="9471" width="16.59765625" style="23" customWidth="1"/>
    <col min="9472" max="9473" width="16.5" style="23" customWidth="1"/>
    <col min="9474" max="9474" width="12" style="23" customWidth="1"/>
    <col min="9475" max="9475" width="13.3984375" style="23" customWidth="1"/>
    <col min="9476" max="9476" width="11.59765625" style="23" customWidth="1"/>
    <col min="9477" max="9477" width="11.69921875" style="23" customWidth="1"/>
    <col min="9478" max="9724" width="9" style="23"/>
    <col min="9725" max="9725" width="32.5" style="23" customWidth="1"/>
    <col min="9726" max="9726" width="14" style="23" customWidth="1"/>
    <col min="9727" max="9727" width="16.59765625" style="23" customWidth="1"/>
    <col min="9728" max="9729" width="16.5" style="23" customWidth="1"/>
    <col min="9730" max="9730" width="12" style="23" customWidth="1"/>
    <col min="9731" max="9731" width="13.3984375" style="23" customWidth="1"/>
    <col min="9732" max="9732" width="11.59765625" style="23" customWidth="1"/>
    <col min="9733" max="9733" width="11.69921875" style="23" customWidth="1"/>
    <col min="9734" max="9980" width="9" style="23"/>
    <col min="9981" max="9981" width="32.5" style="23" customWidth="1"/>
    <col min="9982" max="9982" width="14" style="23" customWidth="1"/>
    <col min="9983" max="9983" width="16.59765625" style="23" customWidth="1"/>
    <col min="9984" max="9985" width="16.5" style="23" customWidth="1"/>
    <col min="9986" max="9986" width="12" style="23" customWidth="1"/>
    <col min="9987" max="9987" width="13.3984375" style="23" customWidth="1"/>
    <col min="9988" max="9988" width="11.59765625" style="23" customWidth="1"/>
    <col min="9989" max="9989" width="11.69921875" style="23" customWidth="1"/>
    <col min="9990" max="10236" width="9" style="23"/>
    <col min="10237" max="10237" width="32.5" style="23" customWidth="1"/>
    <col min="10238" max="10238" width="14" style="23" customWidth="1"/>
    <col min="10239" max="10239" width="16.59765625" style="23" customWidth="1"/>
    <col min="10240" max="10241" width="16.5" style="23" customWidth="1"/>
    <col min="10242" max="10242" width="12" style="23" customWidth="1"/>
    <col min="10243" max="10243" width="13.3984375" style="23" customWidth="1"/>
    <col min="10244" max="10244" width="11.59765625" style="23" customWidth="1"/>
    <col min="10245" max="10245" width="11.69921875" style="23" customWidth="1"/>
    <col min="10246" max="10492" width="9" style="23"/>
    <col min="10493" max="10493" width="32.5" style="23" customWidth="1"/>
    <col min="10494" max="10494" width="14" style="23" customWidth="1"/>
    <col min="10495" max="10495" width="16.59765625" style="23" customWidth="1"/>
    <col min="10496" max="10497" width="16.5" style="23" customWidth="1"/>
    <col min="10498" max="10498" width="12" style="23" customWidth="1"/>
    <col min="10499" max="10499" width="13.3984375" style="23" customWidth="1"/>
    <col min="10500" max="10500" width="11.59765625" style="23" customWidth="1"/>
    <col min="10501" max="10501" width="11.69921875" style="23" customWidth="1"/>
    <col min="10502" max="10748" width="9" style="23"/>
    <col min="10749" max="10749" width="32.5" style="23" customWidth="1"/>
    <col min="10750" max="10750" width="14" style="23" customWidth="1"/>
    <col min="10751" max="10751" width="16.59765625" style="23" customWidth="1"/>
    <col min="10752" max="10753" width="16.5" style="23" customWidth="1"/>
    <col min="10754" max="10754" width="12" style="23" customWidth="1"/>
    <col min="10755" max="10755" width="13.3984375" style="23" customWidth="1"/>
    <col min="10756" max="10756" width="11.59765625" style="23" customWidth="1"/>
    <col min="10757" max="10757" width="11.69921875" style="23" customWidth="1"/>
    <col min="10758" max="11004" width="9" style="23"/>
    <col min="11005" max="11005" width="32.5" style="23" customWidth="1"/>
    <col min="11006" max="11006" width="14" style="23" customWidth="1"/>
    <col min="11007" max="11007" width="16.59765625" style="23" customWidth="1"/>
    <col min="11008" max="11009" width="16.5" style="23" customWidth="1"/>
    <col min="11010" max="11010" width="12" style="23" customWidth="1"/>
    <col min="11011" max="11011" width="13.3984375" style="23" customWidth="1"/>
    <col min="11012" max="11012" width="11.59765625" style="23" customWidth="1"/>
    <col min="11013" max="11013" width="11.69921875" style="23" customWidth="1"/>
    <col min="11014" max="11260" width="9" style="23"/>
    <col min="11261" max="11261" width="32.5" style="23" customWidth="1"/>
    <col min="11262" max="11262" width="14" style="23" customWidth="1"/>
    <col min="11263" max="11263" width="16.59765625" style="23" customWidth="1"/>
    <col min="11264" max="11265" width="16.5" style="23" customWidth="1"/>
    <col min="11266" max="11266" width="12" style="23" customWidth="1"/>
    <col min="11267" max="11267" width="13.3984375" style="23" customWidth="1"/>
    <col min="11268" max="11268" width="11.59765625" style="23" customWidth="1"/>
    <col min="11269" max="11269" width="11.69921875" style="23" customWidth="1"/>
    <col min="11270" max="11516" width="9" style="23"/>
    <col min="11517" max="11517" width="32.5" style="23" customWidth="1"/>
    <col min="11518" max="11518" width="14" style="23" customWidth="1"/>
    <col min="11519" max="11519" width="16.59765625" style="23" customWidth="1"/>
    <col min="11520" max="11521" width="16.5" style="23" customWidth="1"/>
    <col min="11522" max="11522" width="12" style="23" customWidth="1"/>
    <col min="11523" max="11523" width="13.3984375" style="23" customWidth="1"/>
    <col min="11524" max="11524" width="11.59765625" style="23" customWidth="1"/>
    <col min="11525" max="11525" width="11.69921875" style="23" customWidth="1"/>
    <col min="11526" max="11772" width="9" style="23"/>
    <col min="11773" max="11773" width="32.5" style="23" customWidth="1"/>
    <col min="11774" max="11774" width="14" style="23" customWidth="1"/>
    <col min="11775" max="11775" width="16.59765625" style="23" customWidth="1"/>
    <col min="11776" max="11777" width="16.5" style="23" customWidth="1"/>
    <col min="11778" max="11778" width="12" style="23" customWidth="1"/>
    <col min="11779" max="11779" width="13.3984375" style="23" customWidth="1"/>
    <col min="11780" max="11780" width="11.59765625" style="23" customWidth="1"/>
    <col min="11781" max="11781" width="11.69921875" style="23" customWidth="1"/>
    <col min="11782" max="12028" width="9" style="23"/>
    <col min="12029" max="12029" width="32.5" style="23" customWidth="1"/>
    <col min="12030" max="12030" width="14" style="23" customWidth="1"/>
    <col min="12031" max="12031" width="16.59765625" style="23" customWidth="1"/>
    <col min="12032" max="12033" width="16.5" style="23" customWidth="1"/>
    <col min="12034" max="12034" width="12" style="23" customWidth="1"/>
    <col min="12035" max="12035" width="13.3984375" style="23" customWidth="1"/>
    <col min="12036" max="12036" width="11.59765625" style="23" customWidth="1"/>
    <col min="12037" max="12037" width="11.69921875" style="23" customWidth="1"/>
    <col min="12038" max="12284" width="9" style="23"/>
    <col min="12285" max="12285" width="32.5" style="23" customWidth="1"/>
    <col min="12286" max="12286" width="14" style="23" customWidth="1"/>
    <col min="12287" max="12287" width="16.59765625" style="23" customWidth="1"/>
    <col min="12288" max="12289" width="16.5" style="23" customWidth="1"/>
    <col min="12290" max="12290" width="12" style="23" customWidth="1"/>
    <col min="12291" max="12291" width="13.3984375" style="23" customWidth="1"/>
    <col min="12292" max="12292" width="11.59765625" style="23" customWidth="1"/>
    <col min="12293" max="12293" width="11.69921875" style="23" customWidth="1"/>
    <col min="12294" max="12540" width="9" style="23"/>
    <col min="12541" max="12541" width="32.5" style="23" customWidth="1"/>
    <col min="12542" max="12542" width="14" style="23" customWidth="1"/>
    <col min="12543" max="12543" width="16.59765625" style="23" customWidth="1"/>
    <col min="12544" max="12545" width="16.5" style="23" customWidth="1"/>
    <col min="12546" max="12546" width="12" style="23" customWidth="1"/>
    <col min="12547" max="12547" width="13.3984375" style="23" customWidth="1"/>
    <col min="12548" max="12548" width="11.59765625" style="23" customWidth="1"/>
    <col min="12549" max="12549" width="11.69921875" style="23" customWidth="1"/>
    <col min="12550" max="12796" width="9" style="23"/>
    <col min="12797" max="12797" width="32.5" style="23" customWidth="1"/>
    <col min="12798" max="12798" width="14" style="23" customWidth="1"/>
    <col min="12799" max="12799" width="16.59765625" style="23" customWidth="1"/>
    <col min="12800" max="12801" width="16.5" style="23" customWidth="1"/>
    <col min="12802" max="12802" width="12" style="23" customWidth="1"/>
    <col min="12803" max="12803" width="13.3984375" style="23" customWidth="1"/>
    <col min="12804" max="12804" width="11.59765625" style="23" customWidth="1"/>
    <col min="12805" max="12805" width="11.69921875" style="23" customWidth="1"/>
    <col min="12806" max="13052" width="9" style="23"/>
    <col min="13053" max="13053" width="32.5" style="23" customWidth="1"/>
    <col min="13054" max="13054" width="14" style="23" customWidth="1"/>
    <col min="13055" max="13055" width="16.59765625" style="23" customWidth="1"/>
    <col min="13056" max="13057" width="16.5" style="23" customWidth="1"/>
    <col min="13058" max="13058" width="12" style="23" customWidth="1"/>
    <col min="13059" max="13059" width="13.3984375" style="23" customWidth="1"/>
    <col min="13060" max="13060" width="11.59765625" style="23" customWidth="1"/>
    <col min="13061" max="13061" width="11.69921875" style="23" customWidth="1"/>
    <col min="13062" max="13308" width="9" style="23"/>
    <col min="13309" max="13309" width="32.5" style="23" customWidth="1"/>
    <col min="13310" max="13310" width="14" style="23" customWidth="1"/>
    <col min="13311" max="13311" width="16.59765625" style="23" customWidth="1"/>
    <col min="13312" max="13313" width="16.5" style="23" customWidth="1"/>
    <col min="13314" max="13314" width="12" style="23" customWidth="1"/>
    <col min="13315" max="13315" width="13.3984375" style="23" customWidth="1"/>
    <col min="13316" max="13316" width="11.59765625" style="23" customWidth="1"/>
    <col min="13317" max="13317" width="11.69921875" style="23" customWidth="1"/>
    <col min="13318" max="13564" width="9" style="23"/>
    <col min="13565" max="13565" width="32.5" style="23" customWidth="1"/>
    <col min="13566" max="13566" width="14" style="23" customWidth="1"/>
    <col min="13567" max="13567" width="16.59765625" style="23" customWidth="1"/>
    <col min="13568" max="13569" width="16.5" style="23" customWidth="1"/>
    <col min="13570" max="13570" width="12" style="23" customWidth="1"/>
    <col min="13571" max="13571" width="13.3984375" style="23" customWidth="1"/>
    <col min="13572" max="13572" width="11.59765625" style="23" customWidth="1"/>
    <col min="13573" max="13573" width="11.69921875" style="23" customWidth="1"/>
    <col min="13574" max="13820" width="9" style="23"/>
    <col min="13821" max="13821" width="32.5" style="23" customWidth="1"/>
    <col min="13822" max="13822" width="14" style="23" customWidth="1"/>
    <col min="13823" max="13823" width="16.59765625" style="23" customWidth="1"/>
    <col min="13824" max="13825" width="16.5" style="23" customWidth="1"/>
    <col min="13826" max="13826" width="12" style="23" customWidth="1"/>
    <col min="13827" max="13827" width="13.3984375" style="23" customWidth="1"/>
    <col min="13828" max="13828" width="11.59765625" style="23" customWidth="1"/>
    <col min="13829" max="13829" width="11.69921875" style="23" customWidth="1"/>
    <col min="13830" max="14076" width="9" style="23"/>
    <col min="14077" max="14077" width="32.5" style="23" customWidth="1"/>
    <col min="14078" max="14078" width="14" style="23" customWidth="1"/>
    <col min="14079" max="14079" width="16.59765625" style="23" customWidth="1"/>
    <col min="14080" max="14081" width="16.5" style="23" customWidth="1"/>
    <col min="14082" max="14082" width="12" style="23" customWidth="1"/>
    <col min="14083" max="14083" width="13.3984375" style="23" customWidth="1"/>
    <col min="14084" max="14084" width="11.59765625" style="23" customWidth="1"/>
    <col min="14085" max="14085" width="11.69921875" style="23" customWidth="1"/>
    <col min="14086" max="14332" width="9" style="23"/>
    <col min="14333" max="14333" width="32.5" style="23" customWidth="1"/>
    <col min="14334" max="14334" width="14" style="23" customWidth="1"/>
    <col min="14335" max="14335" width="16.59765625" style="23" customWidth="1"/>
    <col min="14336" max="14337" width="16.5" style="23" customWidth="1"/>
    <col min="14338" max="14338" width="12" style="23" customWidth="1"/>
    <col min="14339" max="14339" width="13.3984375" style="23" customWidth="1"/>
    <col min="14340" max="14340" width="11.59765625" style="23" customWidth="1"/>
    <col min="14341" max="14341" width="11.69921875" style="23" customWidth="1"/>
    <col min="14342" max="14588" width="9" style="23"/>
    <col min="14589" max="14589" width="32.5" style="23" customWidth="1"/>
    <col min="14590" max="14590" width="14" style="23" customWidth="1"/>
    <col min="14591" max="14591" width="16.59765625" style="23" customWidth="1"/>
    <col min="14592" max="14593" width="16.5" style="23" customWidth="1"/>
    <col min="14594" max="14594" width="12" style="23" customWidth="1"/>
    <col min="14595" max="14595" width="13.3984375" style="23" customWidth="1"/>
    <col min="14596" max="14596" width="11.59765625" style="23" customWidth="1"/>
    <col min="14597" max="14597" width="11.69921875" style="23" customWidth="1"/>
    <col min="14598" max="14844" width="9" style="23"/>
    <col min="14845" max="14845" width="32.5" style="23" customWidth="1"/>
    <col min="14846" max="14846" width="14" style="23" customWidth="1"/>
    <col min="14847" max="14847" width="16.59765625" style="23" customWidth="1"/>
    <col min="14848" max="14849" width="16.5" style="23" customWidth="1"/>
    <col min="14850" max="14850" width="12" style="23" customWidth="1"/>
    <col min="14851" max="14851" width="13.3984375" style="23" customWidth="1"/>
    <col min="14852" max="14852" width="11.59765625" style="23" customWidth="1"/>
    <col min="14853" max="14853" width="11.69921875" style="23" customWidth="1"/>
    <col min="14854" max="15100" width="9" style="23"/>
    <col min="15101" max="15101" width="32.5" style="23" customWidth="1"/>
    <col min="15102" max="15102" width="14" style="23" customWidth="1"/>
    <col min="15103" max="15103" width="16.59765625" style="23" customWidth="1"/>
    <col min="15104" max="15105" width="16.5" style="23" customWidth="1"/>
    <col min="15106" max="15106" width="12" style="23" customWidth="1"/>
    <col min="15107" max="15107" width="13.3984375" style="23" customWidth="1"/>
    <col min="15108" max="15108" width="11.59765625" style="23" customWidth="1"/>
    <col min="15109" max="15109" width="11.69921875" style="23" customWidth="1"/>
    <col min="15110" max="15356" width="9" style="23"/>
    <col min="15357" max="15357" width="32.5" style="23" customWidth="1"/>
    <col min="15358" max="15358" width="14" style="23" customWidth="1"/>
    <col min="15359" max="15359" width="16.59765625" style="23" customWidth="1"/>
    <col min="15360" max="15361" width="16.5" style="23" customWidth="1"/>
    <col min="15362" max="15362" width="12" style="23" customWidth="1"/>
    <col min="15363" max="15363" width="13.3984375" style="23" customWidth="1"/>
    <col min="15364" max="15364" width="11.59765625" style="23" customWidth="1"/>
    <col min="15365" max="15365" width="11.69921875" style="23" customWidth="1"/>
    <col min="15366" max="15612" width="9" style="23"/>
    <col min="15613" max="15613" width="32.5" style="23" customWidth="1"/>
    <col min="15614" max="15614" width="14" style="23" customWidth="1"/>
    <col min="15615" max="15615" width="16.59765625" style="23" customWidth="1"/>
    <col min="15616" max="15617" width="16.5" style="23" customWidth="1"/>
    <col min="15618" max="15618" width="12" style="23" customWidth="1"/>
    <col min="15619" max="15619" width="13.3984375" style="23" customWidth="1"/>
    <col min="15620" max="15620" width="11.59765625" style="23" customWidth="1"/>
    <col min="15621" max="15621" width="11.69921875" style="23" customWidth="1"/>
    <col min="15622" max="15868" width="9" style="23"/>
    <col min="15869" max="15869" width="32.5" style="23" customWidth="1"/>
    <col min="15870" max="15870" width="14" style="23" customWidth="1"/>
    <col min="15871" max="15871" width="16.59765625" style="23" customWidth="1"/>
    <col min="15872" max="15873" width="16.5" style="23" customWidth="1"/>
    <col min="15874" max="15874" width="12" style="23" customWidth="1"/>
    <col min="15875" max="15875" width="13.3984375" style="23" customWidth="1"/>
    <col min="15876" max="15876" width="11.59765625" style="23" customWidth="1"/>
    <col min="15877" max="15877" width="11.69921875" style="23" customWidth="1"/>
    <col min="15878" max="16124" width="9" style="23"/>
    <col min="16125" max="16125" width="32.5" style="23" customWidth="1"/>
    <col min="16126" max="16126" width="14" style="23" customWidth="1"/>
    <col min="16127" max="16127" width="16.59765625" style="23" customWidth="1"/>
    <col min="16128" max="16129" width="16.5" style="23" customWidth="1"/>
    <col min="16130" max="16130" width="12" style="23" customWidth="1"/>
    <col min="16131" max="16131" width="13.3984375" style="23" customWidth="1"/>
    <col min="16132" max="16132" width="11.59765625" style="23" customWidth="1"/>
    <col min="16133" max="16133" width="11.69921875" style="23" customWidth="1"/>
    <col min="16134" max="16384" width="9" style="23"/>
  </cols>
  <sheetData>
    <row r="1" spans="1:15" s="18" customFormat="1" ht="20.100000000000001" customHeight="1">
      <c r="A1" s="632" t="s">
        <v>32</v>
      </c>
      <c r="B1" s="632"/>
      <c r="C1" s="632"/>
      <c r="D1" s="632"/>
      <c r="E1" s="632"/>
      <c r="F1" s="632"/>
      <c r="G1" s="632"/>
      <c r="H1" s="632"/>
      <c r="I1" s="19"/>
      <c r="J1" s="19"/>
      <c r="K1" s="19"/>
      <c r="L1" s="19"/>
      <c r="M1" s="19"/>
      <c r="N1" s="19"/>
      <c r="O1" s="19"/>
    </row>
    <row r="2" spans="1:15" s="19" customFormat="1" ht="20.100000000000001" customHeight="1">
      <c r="A2" s="633" t="s">
        <v>523</v>
      </c>
      <c r="B2" s="633"/>
      <c r="C2" s="633"/>
      <c r="D2" s="633"/>
      <c r="E2" s="633"/>
      <c r="F2" s="633"/>
      <c r="G2" s="633"/>
      <c r="H2" s="633"/>
    </row>
    <row r="3" spans="1:15" ht="20.100000000000001" customHeight="1">
      <c r="A3" s="24" t="str">
        <f>底稿目录!A2</f>
        <v>被审计单位：</v>
      </c>
      <c r="C3" s="24" t="str">
        <f>底稿目录!A4</f>
        <v>编制人：</v>
      </c>
      <c r="D3" s="24"/>
      <c r="E3" s="24" t="str">
        <f>底稿目录!A5</f>
        <v>编制日期：</v>
      </c>
      <c r="G3" s="25" t="s">
        <v>34</v>
      </c>
      <c r="H3" s="662" t="str">
        <f>底稿目录!F21</f>
        <v>D6-8</v>
      </c>
      <c r="I3" s="71"/>
      <c r="J3" s="71"/>
      <c r="K3" s="71"/>
      <c r="L3" s="71"/>
    </row>
    <row r="4" spans="1:15" ht="20.100000000000001" customHeight="1">
      <c r="A4" s="24" t="str">
        <f>底稿目录!A3</f>
        <v>截止日：202X年12月31日</v>
      </c>
      <c r="C4" s="24" t="str">
        <f>底稿目录!A6</f>
        <v>复核人：</v>
      </c>
      <c r="D4" s="26"/>
      <c r="E4" s="24" t="str">
        <f>底稿目录!A7</f>
        <v>复核日期：</v>
      </c>
      <c r="G4" s="25" t="s">
        <v>35</v>
      </c>
      <c r="H4" s="27"/>
      <c r="I4" s="71"/>
      <c r="J4" s="71"/>
      <c r="K4" s="71"/>
      <c r="L4" s="71"/>
    </row>
    <row r="5" spans="1:15" ht="20.100000000000001" customHeight="1">
      <c r="A5" s="19" t="s">
        <v>444</v>
      </c>
    </row>
    <row r="6" spans="1:15" ht="20.100000000000001" customHeight="1">
      <c r="A6" s="23" t="s">
        <v>524</v>
      </c>
    </row>
    <row r="7" spans="1:15" ht="20.100000000000001" customHeight="1">
      <c r="A7" s="19" t="s">
        <v>418</v>
      </c>
    </row>
    <row r="8" spans="1:15" s="20" customFormat="1" ht="20.100000000000001" customHeight="1">
      <c r="A8" s="28" t="s">
        <v>419</v>
      </c>
      <c r="C8" s="29"/>
      <c r="D8" s="30"/>
      <c r="G8" s="31"/>
      <c r="H8" s="31"/>
    </row>
    <row r="9" spans="1:15" s="20" customFormat="1" ht="20.100000000000001" customHeight="1">
      <c r="C9" s="29"/>
      <c r="D9" s="29"/>
      <c r="E9" s="31"/>
      <c r="F9" s="31"/>
      <c r="G9" s="31"/>
      <c r="H9" s="31"/>
    </row>
    <row r="10" spans="1:15" s="21" customFormat="1" ht="20.100000000000001" customHeight="1">
      <c r="A10" s="32" t="s">
        <v>525</v>
      </c>
      <c r="B10" s="32"/>
      <c r="C10" s="32"/>
      <c r="D10" s="32"/>
    </row>
    <row r="11" spans="1:15" s="22" customFormat="1" ht="47.25" customHeight="1">
      <c r="A11" s="634" t="s">
        <v>526</v>
      </c>
      <c r="B11" s="34" t="s">
        <v>527</v>
      </c>
      <c r="C11" s="34" t="s">
        <v>528</v>
      </c>
      <c r="D11" s="34" t="s">
        <v>529</v>
      </c>
      <c r="E11" s="34" t="s">
        <v>530</v>
      </c>
      <c r="F11" s="34" t="s">
        <v>531</v>
      </c>
      <c r="G11" s="636" t="s">
        <v>532</v>
      </c>
      <c r="H11" s="636" t="s">
        <v>451</v>
      </c>
    </row>
    <row r="12" spans="1:15" s="22" customFormat="1" ht="20.100000000000001" customHeight="1">
      <c r="A12" s="635"/>
      <c r="B12" s="34" t="s">
        <v>533</v>
      </c>
      <c r="C12" s="34" t="s">
        <v>534</v>
      </c>
      <c r="D12" s="34" t="s">
        <v>535</v>
      </c>
      <c r="E12" s="34" t="s">
        <v>536</v>
      </c>
      <c r="F12" s="34" t="s">
        <v>537</v>
      </c>
      <c r="G12" s="636"/>
      <c r="H12" s="636"/>
    </row>
    <row r="13" spans="1:15" s="22" customFormat="1" ht="20.100000000000001" customHeight="1">
      <c r="A13" s="35"/>
      <c r="B13" s="36"/>
      <c r="C13" s="36"/>
      <c r="D13" s="37">
        <f t="shared" ref="D13:D17" si="0">B13*C13</f>
        <v>0</v>
      </c>
      <c r="E13" s="38"/>
      <c r="F13" s="39">
        <f t="shared" ref="F13:F17" si="1">B13-E13</f>
        <v>0</v>
      </c>
      <c r="G13" s="40"/>
      <c r="H13" s="41"/>
    </row>
    <row r="14" spans="1:15" s="22" customFormat="1" ht="20.100000000000001" customHeight="1">
      <c r="A14" s="35"/>
      <c r="B14" s="36"/>
      <c r="C14" s="36"/>
      <c r="D14" s="37">
        <f t="shared" si="0"/>
        <v>0</v>
      </c>
      <c r="E14" s="38"/>
      <c r="F14" s="39">
        <f t="shared" si="1"/>
        <v>0</v>
      </c>
      <c r="G14" s="40"/>
      <c r="H14" s="41"/>
    </row>
    <row r="15" spans="1:15" s="22" customFormat="1" ht="20.100000000000001" customHeight="1">
      <c r="A15" s="35"/>
      <c r="B15" s="36"/>
      <c r="C15" s="36"/>
      <c r="D15" s="37">
        <f t="shared" si="0"/>
        <v>0</v>
      </c>
      <c r="E15" s="38"/>
      <c r="F15" s="39">
        <f t="shared" si="1"/>
        <v>0</v>
      </c>
      <c r="G15" s="40"/>
      <c r="H15" s="41"/>
    </row>
    <row r="16" spans="1:15" s="22" customFormat="1" ht="20.100000000000001" customHeight="1">
      <c r="A16" s="35"/>
      <c r="B16" s="36"/>
      <c r="C16" s="36"/>
      <c r="D16" s="37">
        <f t="shared" si="0"/>
        <v>0</v>
      </c>
      <c r="E16" s="38"/>
      <c r="F16" s="39">
        <f t="shared" si="1"/>
        <v>0</v>
      </c>
      <c r="G16" s="40"/>
      <c r="H16" s="41"/>
    </row>
    <row r="17" spans="1:10" s="22" customFormat="1" ht="20.100000000000001" customHeight="1">
      <c r="A17" s="35"/>
      <c r="B17" s="36"/>
      <c r="C17" s="36"/>
      <c r="D17" s="37">
        <f t="shared" si="0"/>
        <v>0</v>
      </c>
      <c r="E17" s="38"/>
      <c r="F17" s="39">
        <f t="shared" si="1"/>
        <v>0</v>
      </c>
      <c r="G17" s="40"/>
      <c r="H17" s="41"/>
    </row>
    <row r="18" spans="1:10" s="22" customFormat="1" ht="20.100000000000001" customHeight="1">
      <c r="A18" s="42" t="s">
        <v>288</v>
      </c>
      <c r="B18" s="43">
        <f>SUM(B13:B17)</f>
        <v>0</v>
      </c>
      <c r="C18" s="43">
        <f>SUM(C13:C17)</f>
        <v>0</v>
      </c>
      <c r="D18" s="44" t="str">
        <f>IF(B18=0,"",C18/B18)</f>
        <v/>
      </c>
      <c r="E18" s="43">
        <f>SUM(E13:E17)</f>
        <v>0</v>
      </c>
      <c r="F18" s="43">
        <f>SUM(F13:F17)</f>
        <v>0</v>
      </c>
      <c r="G18" s="45"/>
      <c r="H18" s="46"/>
    </row>
    <row r="19" spans="1:10" s="21" customFormat="1" ht="20.100000000000001" customHeight="1">
      <c r="A19" s="47" t="s">
        <v>538</v>
      </c>
      <c r="B19" s="48"/>
      <c r="C19" s="49"/>
      <c r="D19" s="48"/>
      <c r="E19" s="48"/>
      <c r="F19" s="48"/>
      <c r="G19" s="48"/>
    </row>
    <row r="20" spans="1:10" s="22" customFormat="1" ht="39" customHeight="1">
      <c r="A20" s="634" t="s">
        <v>539</v>
      </c>
      <c r="B20" s="34" t="s">
        <v>527</v>
      </c>
      <c r="C20" s="50" t="s">
        <v>528</v>
      </c>
      <c r="D20" s="51" t="s">
        <v>529</v>
      </c>
      <c r="E20" s="51" t="s">
        <v>530</v>
      </c>
      <c r="F20" s="51" t="s">
        <v>531</v>
      </c>
      <c r="G20" s="52"/>
      <c r="H20" s="53"/>
      <c r="I20" s="53"/>
      <c r="J20" s="53"/>
    </row>
    <row r="21" spans="1:10" s="22" customFormat="1" ht="20.100000000000001" customHeight="1">
      <c r="A21" s="635"/>
      <c r="B21" s="33" t="s">
        <v>533</v>
      </c>
      <c r="C21" s="33" t="s">
        <v>534</v>
      </c>
      <c r="D21" s="33" t="s">
        <v>535</v>
      </c>
      <c r="E21" s="33" t="s">
        <v>536</v>
      </c>
      <c r="F21" s="33" t="s">
        <v>537</v>
      </c>
      <c r="G21" s="52"/>
      <c r="H21" s="53"/>
      <c r="I21" s="53"/>
      <c r="J21" s="53"/>
    </row>
    <row r="22" spans="1:10" s="22" customFormat="1" ht="20.100000000000001" customHeight="1">
      <c r="A22" s="54" t="s">
        <v>540</v>
      </c>
      <c r="B22" s="55"/>
      <c r="C22" s="55"/>
      <c r="D22" s="56"/>
      <c r="E22" s="55"/>
      <c r="F22" s="55"/>
      <c r="G22" s="52"/>
      <c r="H22" s="53"/>
      <c r="I22" s="53"/>
      <c r="J22" s="53"/>
    </row>
    <row r="23" spans="1:10" s="22" customFormat="1" ht="20.100000000000001" customHeight="1">
      <c r="A23" s="57" t="s">
        <v>348</v>
      </c>
      <c r="B23" s="36"/>
      <c r="C23" s="58"/>
      <c r="D23" s="59">
        <f t="shared" ref="D23:D28" si="2">B23*C23</f>
        <v>0</v>
      </c>
      <c r="E23" s="60"/>
      <c r="F23" s="61">
        <f>D23-E23</f>
        <v>0</v>
      </c>
      <c r="G23" s="52"/>
      <c r="H23" s="53"/>
      <c r="I23" s="53"/>
      <c r="J23" s="53"/>
    </row>
    <row r="24" spans="1:10" s="22" customFormat="1" ht="20.100000000000001" customHeight="1">
      <c r="A24" s="62" t="s">
        <v>541</v>
      </c>
      <c r="B24" s="36"/>
      <c r="C24" s="63"/>
      <c r="D24" s="37">
        <f t="shared" si="2"/>
        <v>0</v>
      </c>
      <c r="E24" s="36"/>
      <c r="F24" s="39">
        <f t="shared" ref="F24:F28" si="3">D24-E24</f>
        <v>0</v>
      </c>
      <c r="G24" s="52"/>
      <c r="H24" s="53"/>
      <c r="I24" s="53"/>
      <c r="J24" s="53"/>
    </row>
    <row r="25" spans="1:10" s="22" customFormat="1" ht="20.100000000000001" customHeight="1">
      <c r="A25" s="62" t="s">
        <v>542</v>
      </c>
      <c r="B25" s="36"/>
      <c r="C25" s="63"/>
      <c r="D25" s="37">
        <f t="shared" si="2"/>
        <v>0</v>
      </c>
      <c r="E25" s="36"/>
      <c r="F25" s="39">
        <f t="shared" si="3"/>
        <v>0</v>
      </c>
      <c r="G25" s="52"/>
      <c r="H25" s="53"/>
      <c r="I25" s="53"/>
      <c r="J25" s="53"/>
    </row>
    <row r="26" spans="1:10" s="22" customFormat="1" ht="20.100000000000001" customHeight="1">
      <c r="A26" s="35" t="s">
        <v>543</v>
      </c>
      <c r="B26" s="36"/>
      <c r="C26" s="63"/>
      <c r="D26" s="37">
        <f t="shared" si="2"/>
        <v>0</v>
      </c>
      <c r="E26" s="36"/>
      <c r="F26" s="39">
        <f t="shared" si="3"/>
        <v>0</v>
      </c>
      <c r="G26" s="52"/>
      <c r="H26" s="53"/>
      <c r="I26" s="53"/>
      <c r="J26" s="53"/>
    </row>
    <row r="27" spans="1:10" s="22" customFormat="1" ht="20.100000000000001" customHeight="1">
      <c r="A27" s="35" t="s">
        <v>544</v>
      </c>
      <c r="B27" s="36"/>
      <c r="C27" s="63"/>
      <c r="D27" s="37">
        <f t="shared" si="2"/>
        <v>0</v>
      </c>
      <c r="E27" s="36"/>
      <c r="F27" s="39">
        <f t="shared" si="3"/>
        <v>0</v>
      </c>
      <c r="G27" s="52"/>
      <c r="H27" s="53"/>
      <c r="I27" s="53"/>
      <c r="J27" s="53"/>
    </row>
    <row r="28" spans="1:10" s="22" customFormat="1" ht="20.100000000000001" customHeight="1">
      <c r="A28" s="35" t="s">
        <v>545</v>
      </c>
      <c r="B28" s="36"/>
      <c r="C28" s="63"/>
      <c r="D28" s="37">
        <f t="shared" si="2"/>
        <v>0</v>
      </c>
      <c r="E28" s="36"/>
      <c r="F28" s="39">
        <f t="shared" si="3"/>
        <v>0</v>
      </c>
      <c r="G28" s="52"/>
      <c r="H28" s="53"/>
      <c r="I28" s="53"/>
      <c r="J28" s="53"/>
    </row>
    <row r="29" spans="1:10" s="22" customFormat="1" ht="20.100000000000001" customHeight="1">
      <c r="A29" s="42" t="s">
        <v>288</v>
      </c>
      <c r="B29" s="43">
        <f>SUM(B23:B28)</f>
        <v>0</v>
      </c>
      <c r="C29" s="43"/>
      <c r="D29" s="43">
        <f>SUM(D23:D28)</f>
        <v>0</v>
      </c>
      <c r="E29" s="43">
        <f t="shared" ref="E29:F29" si="4">SUM(E23:E28)</f>
        <v>0</v>
      </c>
      <c r="F29" s="43">
        <f t="shared" si="4"/>
        <v>0</v>
      </c>
      <c r="G29" s="52"/>
      <c r="H29" s="53"/>
      <c r="I29" s="53"/>
      <c r="J29" s="53"/>
    </row>
    <row r="30" spans="1:10" s="22" customFormat="1" ht="20.100000000000001" customHeight="1">
      <c r="A30" s="54" t="s">
        <v>546</v>
      </c>
      <c r="B30" s="64"/>
      <c r="C30" s="64"/>
      <c r="D30" s="65"/>
      <c r="E30" s="64"/>
      <c r="F30" s="66"/>
      <c r="G30" s="52"/>
      <c r="H30" s="53"/>
      <c r="I30" s="53"/>
      <c r="J30" s="53"/>
    </row>
    <row r="31" spans="1:10" s="22" customFormat="1" ht="20.100000000000001" customHeight="1">
      <c r="A31" s="57" t="s">
        <v>348</v>
      </c>
      <c r="B31" s="36"/>
      <c r="C31" s="63"/>
      <c r="D31" s="37">
        <f t="shared" ref="D31:D36" si="5">B31*C31</f>
        <v>0</v>
      </c>
      <c r="E31" s="36"/>
      <c r="F31" s="39">
        <f t="shared" ref="F31:F36" si="6">D31-E31</f>
        <v>0</v>
      </c>
      <c r="G31" s="52"/>
      <c r="H31" s="53"/>
      <c r="I31" s="53"/>
      <c r="J31" s="53"/>
    </row>
    <row r="32" spans="1:10" s="22" customFormat="1" ht="20.100000000000001" customHeight="1">
      <c r="A32" s="62" t="s">
        <v>541</v>
      </c>
      <c r="B32" s="36"/>
      <c r="C32" s="63"/>
      <c r="D32" s="37">
        <f t="shared" si="5"/>
        <v>0</v>
      </c>
      <c r="E32" s="36"/>
      <c r="F32" s="39">
        <f t="shared" si="6"/>
        <v>0</v>
      </c>
      <c r="G32" s="52"/>
      <c r="H32" s="53"/>
      <c r="I32" s="53"/>
      <c r="J32" s="53"/>
    </row>
    <row r="33" spans="1:10" s="22" customFormat="1" ht="20.100000000000001" customHeight="1">
      <c r="A33" s="62" t="s">
        <v>542</v>
      </c>
      <c r="B33" s="36"/>
      <c r="C33" s="63"/>
      <c r="D33" s="37">
        <f t="shared" si="5"/>
        <v>0</v>
      </c>
      <c r="E33" s="36"/>
      <c r="F33" s="39">
        <f t="shared" si="6"/>
        <v>0</v>
      </c>
      <c r="G33" s="52"/>
      <c r="H33" s="53"/>
      <c r="I33" s="53"/>
      <c r="J33" s="53"/>
    </row>
    <row r="34" spans="1:10" s="22" customFormat="1" ht="20.100000000000001" customHeight="1">
      <c r="A34" s="35" t="s">
        <v>543</v>
      </c>
      <c r="B34" s="36"/>
      <c r="C34" s="63"/>
      <c r="D34" s="37">
        <f t="shared" si="5"/>
        <v>0</v>
      </c>
      <c r="E34" s="36"/>
      <c r="F34" s="39">
        <f t="shared" si="6"/>
        <v>0</v>
      </c>
      <c r="G34" s="52"/>
      <c r="H34" s="53"/>
      <c r="I34" s="53"/>
      <c r="J34" s="53"/>
    </row>
    <row r="35" spans="1:10" s="22" customFormat="1" ht="20.100000000000001" customHeight="1">
      <c r="A35" s="35" t="s">
        <v>544</v>
      </c>
      <c r="B35" s="36"/>
      <c r="C35" s="63"/>
      <c r="D35" s="37">
        <f t="shared" si="5"/>
        <v>0</v>
      </c>
      <c r="E35" s="36"/>
      <c r="F35" s="39">
        <f t="shared" si="6"/>
        <v>0</v>
      </c>
      <c r="G35" s="52"/>
      <c r="H35" s="53"/>
      <c r="I35" s="53"/>
      <c r="J35" s="53"/>
    </row>
    <row r="36" spans="1:10" s="22" customFormat="1" ht="20.100000000000001" customHeight="1">
      <c r="A36" s="35" t="s">
        <v>545</v>
      </c>
      <c r="B36" s="36"/>
      <c r="C36" s="63"/>
      <c r="D36" s="37">
        <f t="shared" si="5"/>
        <v>0</v>
      </c>
      <c r="E36" s="36"/>
      <c r="F36" s="39">
        <f t="shared" si="6"/>
        <v>0</v>
      </c>
      <c r="G36" s="52"/>
      <c r="H36" s="53"/>
      <c r="I36" s="53"/>
      <c r="J36" s="53"/>
    </row>
    <row r="37" spans="1:10" s="22" customFormat="1" ht="20.100000000000001" customHeight="1">
      <c r="A37" s="42" t="s">
        <v>288</v>
      </c>
      <c r="B37" s="43">
        <f>SUM(B31:B36)</f>
        <v>0</v>
      </c>
      <c r="C37" s="43"/>
      <c r="D37" s="43">
        <f>SUM(D31:D36)</f>
        <v>0</v>
      </c>
      <c r="E37" s="43">
        <f>SUM(E31:E36)</f>
        <v>0</v>
      </c>
      <c r="F37" s="43">
        <f>SUM(F31:F36)</f>
        <v>0</v>
      </c>
      <c r="G37" s="52"/>
      <c r="H37" s="53"/>
      <c r="I37" s="53"/>
      <c r="J37" s="53"/>
    </row>
    <row r="38" spans="1:10" s="22" customFormat="1" ht="20.100000000000001" customHeight="1">
      <c r="A38" s="42" t="s">
        <v>452</v>
      </c>
      <c r="B38" s="43">
        <f>B37+B29</f>
        <v>0</v>
      </c>
      <c r="C38" s="43"/>
      <c r="D38" s="43">
        <f>D37+D29</f>
        <v>0</v>
      </c>
      <c r="E38" s="43">
        <f t="shared" ref="E38:F38" si="7">E37+E29</f>
        <v>0</v>
      </c>
      <c r="F38" s="43">
        <f t="shared" si="7"/>
        <v>0</v>
      </c>
      <c r="G38" s="52"/>
      <c r="H38" s="53"/>
      <c r="I38" s="53"/>
      <c r="J38" s="53"/>
    </row>
    <row r="39" spans="1:10" ht="20.100000000000001" customHeight="1">
      <c r="A39" s="19" t="s">
        <v>430</v>
      </c>
    </row>
    <row r="40" spans="1:10" ht="20.100000000000001" customHeight="1">
      <c r="A40" s="67"/>
      <c r="B40" s="68"/>
    </row>
    <row r="41" spans="1:10" ht="20.100000000000001" customHeight="1">
      <c r="B41" s="68"/>
    </row>
    <row r="42" spans="1:10" ht="20.100000000000001" customHeight="1">
      <c r="B42" s="68"/>
    </row>
    <row r="43" spans="1:10" ht="20.100000000000001" customHeight="1">
      <c r="A43" s="19" t="s">
        <v>431</v>
      </c>
      <c r="B43" s="68"/>
    </row>
    <row r="44" spans="1:10" ht="20.100000000000001" customHeight="1">
      <c r="A44" s="19"/>
      <c r="B44" s="68"/>
    </row>
    <row r="45" spans="1:10" ht="20.100000000000001" customHeight="1">
      <c r="A45" s="69" t="s">
        <v>547</v>
      </c>
      <c r="B45" s="70"/>
      <c r="C45" s="70"/>
      <c r="D45" s="70"/>
      <c r="E45" s="70"/>
      <c r="F45" s="70"/>
      <c r="G45" s="70"/>
      <c r="H45" s="70"/>
    </row>
    <row r="46" spans="1:10" ht="20.100000000000001" customHeight="1">
      <c r="A46" s="70" t="s">
        <v>548</v>
      </c>
      <c r="B46" s="70"/>
      <c r="C46" s="70"/>
      <c r="D46" s="70"/>
      <c r="E46" s="70"/>
      <c r="F46" s="70"/>
      <c r="G46" s="70"/>
      <c r="H46" s="70"/>
    </row>
    <row r="47" spans="1:10" ht="20.100000000000001" customHeight="1">
      <c r="A47" s="70" t="s">
        <v>549</v>
      </c>
      <c r="B47" s="70"/>
      <c r="C47" s="70"/>
      <c r="D47" s="70"/>
      <c r="E47" s="70"/>
      <c r="F47" s="70"/>
      <c r="G47" s="70"/>
      <c r="H47" s="70"/>
    </row>
    <row r="48" spans="1:10" ht="20.100000000000001" customHeight="1">
      <c r="A48" s="70" t="s">
        <v>550</v>
      </c>
    </row>
  </sheetData>
  <mergeCells count="6">
    <mergeCell ref="A1:H1"/>
    <mergeCell ref="A2:H2"/>
    <mergeCell ref="A11:A12"/>
    <mergeCell ref="A20:A21"/>
    <mergeCell ref="G11:G12"/>
    <mergeCell ref="H11:H12"/>
  </mergeCells>
  <phoneticPr fontId="176" type="noConversion"/>
  <dataValidations count="1">
    <dataValidation allowBlank="1" showInputMessage="1" showErrorMessage="1" prompt="根据D2-2 审计调整前的账龄数据填写" sqref="B31"/>
  </dataValidations>
  <hyperlinks>
    <hyperlink ref="H3" location="底稿目录!A1" display="=底稿目录!F14"/>
  </hyperlinks>
  <pageMargins left="0.70833333333333304" right="0.70833333333333304" top="0.74791666666666701" bottom="0.74791666666666701" header="0.31458333333333299" footer="0.31458333333333299"/>
  <pageSetup paperSize="9" scale="75" fitToHeight="40" orientation="portrait" blackAndWhite="1" r:id="rId1"/>
  <headerFooter alignWithMargins="0">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H30"/>
  <sheetViews>
    <sheetView view="pageBreakPreview" zoomScaleNormal="100" workbookViewId="0">
      <selection activeCell="H3" sqref="H3"/>
    </sheetView>
  </sheetViews>
  <sheetFormatPr defaultColWidth="9" defaultRowHeight="20.100000000000001" customHeight="1"/>
  <cols>
    <col min="1" max="1" width="16.19921875" style="2" customWidth="1"/>
    <col min="2" max="2" width="13.3984375" style="2" customWidth="1"/>
    <col min="3" max="3" width="11.09765625" style="2" customWidth="1"/>
    <col min="4" max="4" width="11.5" style="2" customWidth="1"/>
    <col min="5" max="5" width="12" style="2" customWidth="1"/>
    <col min="6" max="6" width="11.8984375" style="2" customWidth="1"/>
    <col min="7" max="7" width="11.69921875" style="2" customWidth="1"/>
    <col min="8" max="8" width="9.09765625" style="2" customWidth="1"/>
    <col min="9" max="16384" width="9" style="2"/>
  </cols>
  <sheetData>
    <row r="1" spans="1:8" ht="20.100000000000001" customHeight="1">
      <c r="A1" s="637" t="s">
        <v>32</v>
      </c>
      <c r="B1" s="637"/>
      <c r="C1" s="637"/>
      <c r="D1" s="637"/>
      <c r="E1" s="637"/>
      <c r="F1" s="637"/>
      <c r="G1" s="637"/>
      <c r="H1" s="637"/>
    </row>
    <row r="2" spans="1:8" ht="20.100000000000001" customHeight="1">
      <c r="A2" s="638" t="s">
        <v>551</v>
      </c>
      <c r="B2" s="638"/>
      <c r="C2" s="638"/>
      <c r="D2" s="638"/>
      <c r="E2" s="638"/>
      <c r="F2" s="638"/>
      <c r="G2" s="638"/>
      <c r="H2" s="638"/>
    </row>
    <row r="3" spans="1:8" ht="20.100000000000001" customHeight="1">
      <c r="A3" s="3" t="str">
        <f>底稿目录!A2</f>
        <v>被审计单位：</v>
      </c>
      <c r="B3" s="4"/>
      <c r="C3" s="3" t="str">
        <f>底稿目录!A4</f>
        <v>编制人：</v>
      </c>
      <c r="E3" s="3" t="str">
        <f>底稿目录!A5</f>
        <v>编制日期：</v>
      </c>
      <c r="G3" s="5" t="s">
        <v>34</v>
      </c>
      <c r="H3" s="662" t="str">
        <f>底稿目录!F22</f>
        <v>D6-9</v>
      </c>
    </row>
    <row r="4" spans="1:8" ht="20.100000000000001" customHeight="1">
      <c r="A4" s="3" t="str">
        <f>底稿目录!A3</f>
        <v>截止日：202X年12月31日</v>
      </c>
      <c r="B4" s="4"/>
      <c r="C4" s="3" t="str">
        <f>底稿目录!A6</f>
        <v>复核人：</v>
      </c>
      <c r="E4" s="3" t="str">
        <f>底稿目录!A7</f>
        <v>复核日期：</v>
      </c>
      <c r="G4" s="5" t="s">
        <v>35</v>
      </c>
    </row>
    <row r="5" spans="1:8" ht="20.100000000000001" customHeight="1">
      <c r="A5" s="6" t="s">
        <v>444</v>
      </c>
      <c r="B5" s="4"/>
    </row>
    <row r="6" spans="1:8" ht="20.100000000000001" customHeight="1">
      <c r="A6" s="4" t="s">
        <v>373</v>
      </c>
    </row>
    <row r="7" spans="1:8" ht="20.100000000000001" customHeight="1">
      <c r="A7" s="6" t="s">
        <v>418</v>
      </c>
      <c r="B7" s="4"/>
    </row>
    <row r="8" spans="1:8" ht="20.100000000000001" customHeight="1">
      <c r="A8" s="7" t="s">
        <v>552</v>
      </c>
    </row>
    <row r="9" spans="1:8" ht="20.100000000000001" customHeight="1">
      <c r="A9" s="7" t="s">
        <v>553</v>
      </c>
    </row>
    <row r="10" spans="1:8" ht="20.100000000000001" customHeight="1">
      <c r="A10" s="7" t="s">
        <v>554</v>
      </c>
    </row>
    <row r="11" spans="1:8" ht="20.100000000000001" customHeight="1">
      <c r="A11" s="7" t="s">
        <v>555</v>
      </c>
    </row>
    <row r="12" spans="1:8" ht="20.100000000000001" customHeight="1">
      <c r="A12" s="8" t="s">
        <v>556</v>
      </c>
      <c r="B12" s="8"/>
    </row>
    <row r="13" spans="1:8" s="1" customFormat="1" ht="43.5" customHeight="1">
      <c r="A13" s="9" t="s">
        <v>381</v>
      </c>
      <c r="B13" s="9" t="s">
        <v>557</v>
      </c>
      <c r="C13" s="9" t="s">
        <v>558</v>
      </c>
      <c r="D13" s="10" t="s">
        <v>559</v>
      </c>
      <c r="E13" s="10" t="s">
        <v>560</v>
      </c>
      <c r="F13" s="10" t="s">
        <v>561</v>
      </c>
      <c r="G13" s="10" t="s">
        <v>562</v>
      </c>
      <c r="H13" s="10" t="s">
        <v>451</v>
      </c>
    </row>
    <row r="14" spans="1:8" ht="20.100000000000001" customHeight="1">
      <c r="A14" s="11"/>
      <c r="B14" s="11"/>
      <c r="C14" s="11"/>
      <c r="D14" s="11"/>
      <c r="E14" s="12"/>
      <c r="F14" s="12"/>
      <c r="G14" s="11"/>
      <c r="H14" s="13"/>
    </row>
    <row r="15" spans="1:8" ht="20.100000000000001" customHeight="1">
      <c r="A15" s="11"/>
      <c r="B15" s="11"/>
      <c r="C15" s="11"/>
      <c r="D15" s="11"/>
      <c r="E15" s="12"/>
      <c r="F15" s="12"/>
      <c r="G15" s="11"/>
      <c r="H15" s="13"/>
    </row>
    <row r="16" spans="1:8" ht="20.100000000000001" customHeight="1">
      <c r="A16" s="11"/>
      <c r="B16" s="11"/>
      <c r="C16" s="11"/>
      <c r="D16" s="11"/>
      <c r="E16" s="12"/>
      <c r="F16" s="12"/>
      <c r="G16" s="11"/>
      <c r="H16" s="13"/>
    </row>
    <row r="17" spans="1:8" ht="20.100000000000001" customHeight="1">
      <c r="A17" s="14" t="s">
        <v>319</v>
      </c>
      <c r="B17" s="15"/>
      <c r="C17" s="15"/>
      <c r="D17" s="15"/>
      <c r="E17" s="16">
        <f>SUM(E14:E16)</f>
        <v>0</v>
      </c>
      <c r="F17" s="16">
        <f>SUM(F14:F16)</f>
        <v>0</v>
      </c>
      <c r="G17" s="15"/>
      <c r="H17" s="17"/>
    </row>
    <row r="18" spans="1:8" ht="20.100000000000001" customHeight="1">
      <c r="A18" s="8" t="s">
        <v>563</v>
      </c>
      <c r="B18" s="8"/>
    </row>
    <row r="19" spans="1:8" ht="35.25" customHeight="1">
      <c r="A19" s="9" t="s">
        <v>381</v>
      </c>
      <c r="B19" s="10" t="s">
        <v>564</v>
      </c>
      <c r="C19" s="10" t="s">
        <v>565</v>
      </c>
      <c r="D19" s="10" t="s">
        <v>566</v>
      </c>
      <c r="E19" s="10" t="s">
        <v>567</v>
      </c>
      <c r="F19" s="10" t="s">
        <v>562</v>
      </c>
      <c r="G19" s="10" t="s">
        <v>451</v>
      </c>
    </row>
    <row r="20" spans="1:8" ht="20.100000000000001" customHeight="1">
      <c r="A20" s="11"/>
      <c r="B20" s="12"/>
      <c r="C20" s="11"/>
      <c r="D20" s="11"/>
      <c r="E20" s="11"/>
      <c r="F20" s="11"/>
      <c r="G20" s="13"/>
    </row>
    <row r="21" spans="1:8" ht="20.100000000000001" customHeight="1">
      <c r="A21" s="11"/>
      <c r="B21" s="12"/>
      <c r="C21" s="11"/>
      <c r="D21" s="11"/>
      <c r="E21" s="11"/>
      <c r="F21" s="11"/>
      <c r="G21" s="13"/>
    </row>
    <row r="22" spans="1:8" ht="20.100000000000001" customHeight="1">
      <c r="A22" s="11"/>
      <c r="B22" s="12"/>
      <c r="C22" s="11"/>
      <c r="D22" s="11"/>
      <c r="E22" s="11"/>
      <c r="F22" s="11"/>
      <c r="G22" s="13"/>
    </row>
    <row r="23" spans="1:8" ht="20.100000000000001" customHeight="1">
      <c r="A23" s="14" t="s">
        <v>319</v>
      </c>
      <c r="B23" s="16">
        <f>SUM(B20:B22)</f>
        <v>0</v>
      </c>
      <c r="C23" s="15"/>
      <c r="D23" s="15"/>
      <c r="E23" s="15"/>
      <c r="F23" s="15"/>
      <c r="G23" s="15"/>
    </row>
    <row r="24" spans="1:8" ht="20.100000000000001" customHeight="1">
      <c r="A24" s="8" t="s">
        <v>430</v>
      </c>
    </row>
    <row r="25" spans="1:8" ht="20.100000000000001" customHeight="1">
      <c r="A25" s="8"/>
    </row>
    <row r="28" spans="1:8" ht="20.100000000000001" customHeight="1">
      <c r="A28" s="8" t="s">
        <v>431</v>
      </c>
    </row>
    <row r="29" spans="1:8" ht="20.100000000000001" customHeight="1">
      <c r="A29" s="8"/>
    </row>
    <row r="30" spans="1:8" ht="20.100000000000001" customHeight="1">
      <c r="A30" s="8"/>
    </row>
  </sheetData>
  <mergeCells count="2">
    <mergeCell ref="A1:H1"/>
    <mergeCell ref="A2:H2"/>
  </mergeCells>
  <phoneticPr fontId="176" type="noConversion"/>
  <hyperlinks>
    <hyperlink ref="H3" location="底稿目录!A1" display="=底稿目录!F15"/>
  </hyperlinks>
  <pageMargins left="0.70833333333333304" right="0.70833333333333304" top="0.74791666666666701" bottom="0.74791666666666701" header="0.31458333333333299" footer="0.31458333333333299"/>
  <pageSetup paperSize="9" scale="84" fitToHeight="40" orientation="portrait" blackAndWhite="1" r:id="rId1"/>
  <headerFooter alignWithMargins="0">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B8"/>
  <sheetViews>
    <sheetView workbookViewId="0"/>
  </sheetViews>
  <sheetFormatPr defaultColWidth="9" defaultRowHeight="15.6"/>
  <sheetData>
    <row r="1" spans="1:2">
      <c r="A1" t="s">
        <v>568</v>
      </c>
      <c r="B1" t="s">
        <v>569</v>
      </c>
    </row>
    <row r="2" spans="1:2">
      <c r="A2" t="s">
        <v>117</v>
      </c>
      <c r="B2" t="s">
        <v>570</v>
      </c>
    </row>
    <row r="3" spans="1:2">
      <c r="A3" t="s">
        <v>571</v>
      </c>
      <c r="B3" t="s">
        <v>572</v>
      </c>
    </row>
    <row r="4" spans="1:2">
      <c r="A4" t="s">
        <v>573</v>
      </c>
      <c r="B4" t="s">
        <v>574</v>
      </c>
    </row>
    <row r="5" spans="1:2">
      <c r="A5" t="s">
        <v>575</v>
      </c>
      <c r="B5" t="s">
        <v>576</v>
      </c>
    </row>
    <row r="6" spans="1:2">
      <c r="A6" t="s">
        <v>577</v>
      </c>
      <c r="B6" t="s">
        <v>578</v>
      </c>
    </row>
    <row r="7" spans="1:2">
      <c r="A7" t="s">
        <v>579</v>
      </c>
      <c r="B7" t="s">
        <v>580</v>
      </c>
    </row>
    <row r="8" spans="1:2">
      <c r="A8" t="s">
        <v>581</v>
      </c>
      <c r="B8" t="s">
        <v>582</v>
      </c>
    </row>
  </sheetData>
  <phoneticPr fontId="17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命名范围</vt:lpstr>
      </vt:variant>
      <vt:variant>
        <vt:i4>15</vt:i4>
      </vt:variant>
    </vt:vector>
  </HeadingPairs>
  <TitlesOfParts>
    <vt:vector size="30" baseType="lpstr">
      <vt:lpstr>底稿目录</vt:lpstr>
      <vt:lpstr>合同资产实质性程序表 D6A</vt:lpstr>
      <vt:lpstr>合同资产实质性程序表 D7A（原）</vt:lpstr>
      <vt:lpstr>审定表D6-1</vt:lpstr>
      <vt:lpstr>附注披露信息(上市公司）</vt:lpstr>
      <vt:lpstr>附注披露信息（国企）</vt:lpstr>
      <vt:lpstr>明细表D6-2</vt:lpstr>
      <vt:lpstr>合同资产减值准备明细表D6-3</vt:lpstr>
      <vt:lpstr>调整分录汇总表D6-4</vt:lpstr>
      <vt:lpstr>关联关系及交易检查D6-5</vt:lpstr>
      <vt:lpstr>合同资产检查表D6-6</vt:lpstr>
      <vt:lpstr>合同资产减值准备会计政策检查D6-7</vt:lpstr>
      <vt:lpstr>减值准备测算D6-8</vt:lpstr>
      <vt:lpstr>减值准备转回、核销检查表D6-9</vt:lpstr>
      <vt:lpstr>GT_Custom</vt:lpstr>
      <vt:lpstr>'调整分录汇总表D6-4'!Print_Area</vt:lpstr>
      <vt:lpstr>'附注披露信息（国企）'!Print_Area</vt:lpstr>
      <vt:lpstr>'关联关系及交易检查D6-5'!Print_Area</vt:lpstr>
      <vt:lpstr>'合同资产检查表D6-6'!Print_Area</vt:lpstr>
      <vt:lpstr>'合同资产减值准备会计政策检查D6-7'!Print_Area</vt:lpstr>
      <vt:lpstr>'合同资产减值准备明细表D6-3'!Print_Area</vt:lpstr>
      <vt:lpstr>'合同资产实质性程序表 D6A'!Print_Area</vt:lpstr>
      <vt:lpstr>'合同资产实质性程序表 D7A（原）'!Print_Area</vt:lpstr>
      <vt:lpstr>'减值准备测算D6-8'!Print_Area</vt:lpstr>
      <vt:lpstr>'减值准备转回、核销检查表D6-9'!Print_Area</vt:lpstr>
      <vt:lpstr>'明细表D6-2'!Print_Area</vt:lpstr>
      <vt:lpstr>'审定表D6-1'!Print_Area</vt:lpstr>
      <vt:lpstr>'合同资产实质性程序表 D7A（原）'!Print_Titles</vt:lpstr>
      <vt:lpstr>'明细表D6-2'!Print_Titles</vt:lpstr>
      <vt:lpstr>'审定表D6-1'!Print_Titles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2025-10-30T02:42:22Z</cp:lastPrinted>
  <dcterms:created xsi:type="dcterms:W3CDTF">2007-05-20T08:51:00Z</dcterms:created>
  <dcterms:modified xsi:type="dcterms:W3CDTF">2025-10-30T03:39:30Z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C1545382E31341A791F70341963AEE8A_12</vt:lpwstr>
  </property>
  <property fmtid="{D5CDD505-2E9C-101B-9397-08002B2CF9AE}" pid="3" name="KSOProductBuildVer">
    <vt:lpwstr>2052-12.1.0.23125</vt:lpwstr>
  </property>
</Properties>
</file>